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2305d919114704" /></Relationships>
</file>

<file path=xl/workbook.xml><?xml version="1.0" encoding="utf-8"?>
<x:workbook xmlns:x="http://schemas.openxmlformats.org/spreadsheetml/2006/main">
  <x:sheets>
    <x:sheet xmlns:r="http://schemas.openxmlformats.org/officeDocument/2006/relationships" name="Materials" sheetId="1" r:id="R61bcbe3b0b9c4fe2"/>
    <x:sheet xmlns:r="http://schemas.openxmlformats.org/officeDocument/2006/relationships" name="Grades" sheetId="2" r:id="R33171b376ed745f7"/>
    <x:sheet xmlns:r="http://schemas.openxmlformats.org/officeDocument/2006/relationships" name="Print setup" sheetId="3" r:id="Rb67729fda62f46ff"/>
    <x:sheet xmlns:r="http://schemas.openxmlformats.org/officeDocument/2006/relationships" name="Properties" sheetId="4" r:id="R8b9236087c0b4bac"/>
    <x:sheet xmlns:r="http://schemas.openxmlformats.org/officeDocument/2006/relationships" name="Use &amp; durability" sheetId="5" r:id="R527adf95e698405a"/>
    <x:sheet xmlns:r="http://schemas.openxmlformats.org/officeDocument/2006/relationships" name="Prices CA" sheetId="6" r:id="R13775f98623c4b5e"/>
    <x:sheet xmlns:r="http://schemas.openxmlformats.org/officeDocument/2006/relationships" name="Sources" sheetId="7" r:id="R9061c2058a174195"/>
    <x:sheet xmlns:r="http://schemas.openxmlformats.org/officeDocument/2006/relationships" name="Coverage" sheetId="8" r:id="Readd487aa01a442b"/>
    <x:sheet xmlns:r="http://schemas.openxmlformats.org/officeDocument/2006/relationships" name="Method" sheetId="9" r:id="R8bee7089c32e40a0"/>
  </x:sheets>
</x:workbook>
</file>

<file path=xl/sharedStrings.xml><?xml version="1.0" encoding="utf-8"?>
<x:sst xmlns:x="http://schemas.openxmlformats.org/spreadsheetml/2006/main">
  <x:si>
    <x:t xml:space="preserve">H2C material database</x:t>
  </x:si>
  <x:si>
    <x:t xml:space="preserve">Use the worksheet tabs below. Filter by MaterialID or GradeID to trace profiles and measurements. Coverage lists remaining gaps.</x:t>
  </x:si>
  <x:si>
    <x:t xml:space="preserve">MaterialID</x:t>
  </x:si>
  <x:si>
    <x:t xml:space="preserve">Original name</x:t>
  </x:si>
  <x:si>
    <x:t xml:space="preserve">Family</x:t>
  </x:si>
  <x:si>
    <x:t xml:space="preserve">H2C status</x:t>
  </x:si>
  <x:si>
    <x:t xml:space="preserve">Representative grade</x:t>
  </x:si>
  <x:si>
    <x:t xml:space="preserve">Nozzle guidance</x:t>
  </x:si>
  <x:si>
    <x:t xml:space="preserve">Bed guidance</x:t>
  </x:si>
  <x:si>
    <x:t xml:space="preserve">Chamber guidance</x:t>
  </x:si>
  <x:si>
    <x:t xml:space="preserve">Printing evidence</x:t>
  </x:si>
  <x:si>
    <x:t xml:space="preserve">Density kg/m³</x:t>
  </x:si>
  <x:si>
    <x:t xml:space="preserve">Tensile modulus XY GPa</x:t>
  </x:si>
  <x:si>
    <x:t xml:space="preserve">Tensile strength XY MPa</x:t>
  </x:si>
  <x:si>
    <x:t xml:space="preserve">Elongation at break XY %</x:t>
  </x:si>
  <x:si>
    <x:t xml:space="preserve">Mechanical evidence</x:t>
  </x:si>
  <x:si>
    <x:t xml:space="preserve">Measurement conditions</x:t>
  </x:si>
  <x:si>
    <x:t xml:space="preserve">HDT 0.45 MPa °C</x:t>
  </x:si>
  <x:si>
    <x:t xml:space="preserve">Thermal evidence</x:t>
  </x:si>
  <x:si>
    <x:t xml:space="preserve">Price CAD/kg</x:t>
  </x:si>
  <x:si>
    <x:t xml:space="preserve">Price evidence</x:t>
  </x:si>
  <x:si>
    <x:t xml:space="preserve">Price basis</x:t>
  </x:si>
  <x:si>
    <x:t xml:space="preserve">Best uses</x:t>
  </x:si>
  <x:si>
    <x:t xml:space="preserve">Limitations</x:t>
  </x:si>
  <x:si>
    <x:t xml:space="preserve">Full name</x:t>
  </x:si>
  <x:si>
    <x:t xml:space="preserve">Original category</x:t>
  </x:si>
  <x:si>
    <x:t xml:space="preserve">Scope</x:t>
  </x:si>
  <x:si>
    <x:t xml:space="preserve">Abbreviation</x:t>
  </x:si>
  <x:si>
    <x:t xml:space="preserve">Normalized name</x:t>
  </x:si>
  <x:si>
    <x:t xml:space="preserve">Base polymer</x:t>
  </x:si>
  <x:si>
    <x:t xml:space="preserve">Modifier / filler</x:t>
  </x:si>
  <x:si>
    <x:t xml:space="preserve">Role</x:t>
  </x:si>
  <x:si>
    <x:t xml:space="preserve">Identity source</x:t>
  </x:si>
  <x:si>
    <x:t xml:space="preserve">H2C evidence</x:t>
  </x:si>
  <x:si>
    <x:t xml:space="preserve">Identity notes</x:t>
  </x:si>
  <x:si>
    <x:t xml:space="preserve">GradeIDs</x:t>
  </x:si>
  <x:si>
    <x:t xml:space="preserve">Headline basis</x:t>
  </x:si>
  <x:si>
    <x:t xml:space="preserve">Impact / toughness</x:t>
  </x:si>
  <x:si>
    <x:t xml:space="preserve">Use evidence</x:t>
  </x:si>
  <x:si>
    <x:t xml:space="preserve">Environmental evidence</x:t>
  </x:si>
  <x:si>
    <x:t xml:space="preserve">Durability evidence</x:t>
  </x:si>
  <x:si>
    <x:t xml:space="preserve">Fatigue / creep</x:t>
  </x:si>
  <x:si>
    <x:t xml:space="preserve">Safety evidence</x:t>
  </x:si>
  <x:si>
    <x:t xml:space="preserve">Printability rating 1–5</x:t>
  </x:si>
  <x:si>
    <x:t xml:space="preserve">Printability rubric</x:t>
  </x:si>
  <x:si>
    <x:t xml:space="preserve">M001</x:t>
  </x:si>
  <x:si>
    <x:t xml:space="preserve">PLA</x:t>
  </x:si>
  <x:si>
    <x:t xml:space="preserve">Officially listed family</x:t>
  </x:si>
  <x:si>
    <x:t xml:space="preserve">G001-01</x:t>
  </x:si>
  <x:si>
    <x:t xml:space="preserve">190-220C</x:t>
  </x:si>
  <x:si>
    <x:t xml:space="preserve">23-60C</x:t>
  </x:si>
  <x:si>
    <x:t xml:space="preserve">Not required</x:t>
  </x:si>
  <x:si>
    <x:t xml:space="preserve">P0133; Q00353</x:t>
  </x:si>
  <x:si>
    <x:t xml:space="preserve">Not published</x:t>
  </x:si>
  <x:si>
    <x:t xml:space="preserve">V000001; V000003; V000004</x:t>
  </x:si>
  <x:si>
    <x:t xml:space="preserve">Not published / Not published</x:t>
  </x:si>
  <x:si>
    <x:t xml:space="preserve">V000008</x:t>
  </x:si>
  <x:si>
    <x:t xml:space="preserve">Not available in sampled Canadian market</x:t>
  </x:si>
  <x:si>
    <x:t xml:space="preserve">Not applicable</x:t>
  </x:si>
  <x:si>
    <x:t xml:space="preserve">No eligible grade-matched offer in sampled Canadian storefronts</x:t>
  </x:si>
  <x:si>
    <x:t xml:space="preserve">Detailed display models and early prototypes; low-load indoor parts.</x:t>
  </x:si>
  <x:si>
    <x:t xml:space="preserve">No transferable long-term allowable. Verify grade, conditioning and geometry.</x:t>
  </x:si>
  <x:si>
    <x:t xml:space="preserve">Polylactic Acid</x:t>
  </x:si>
  <x:si>
    <x:t xml:space="preserve">H2C-relevant</x:t>
  </x:si>
  <x:si>
    <x:t xml:space="preserve">Unfilled / unspecified</x:t>
  </x:si>
  <x:si>
    <x:t xml:space="preserve">Structural / functional / appearance</x:t>
  </x:si>
  <x:si>
    <x:t xml:space="preserve">LOCAL-CANON</x:t>
  </x:si>
  <x:si>
    <x:t xml:space="preserve">H2C-WIKI; H2C-MANUAL</x:t>
  </x:si>
  <x:si>
    <x:t xml:space="preserve">G001-01; G001-02; G001-03</x:t>
  </x:si>
  <x:si>
    <x:t xml:space="preserve">Single-grade observations; not a polymer-family range</x:t>
  </x:si>
  <x:si>
    <x:t xml:space="preserve">Q00271; Q00272; Q00274</x:t>
  </x:si>
  <x:si>
    <x:t xml:space="preserve">Q00001; Q00002; Q00003; Q00004; Q00005; Q00006; Q00275; Q00352</x:t>
  </x:si>
  <x:si>
    <x:t xml:space="preserve">Q00318</x:t>
  </x:si>
  <x:si>
    <x:t xml:space="preserve">Not published for selected grade in sampled sources</x:t>
  </x:si>
  <x:si>
    <x:t xml:space="preserve">Q00320</x:t>
  </x:si>
  <x:si>
    <x:t xml:space="preserve">R-PRINT</x:t>
  </x:si>
  <x:si>
    <x:t xml:space="preserve">M002</x:t>
  </x:si>
  <x:si>
    <x:t xml:space="preserve">PLA Basic</x:t>
  </x:si>
  <x:si>
    <x:t xml:space="preserve">Official Bambu product</x:t>
  </x:si>
  <x:si>
    <x:t xml:space="preserve">G002-01</x:t>
  </x:si>
  <x:si>
    <x:t xml:space="preserve">190 - 230 °C</x:t>
  </x:si>
  <x:si>
    <x:t xml:space="preserve">35 - 45 °C</x:t>
  </x:si>
  <x:si>
    <x:t xml:space="preserve">P0004</x:t>
  </x:si>
  <x:si>
    <x:t xml:space="preserve">V000042; V000050; V000052; V000054</x:t>
  </x:si>
  <x:si>
    <x:t xml:space="preserve">Dried before testing (see preparation) / All the specimens were annealed and dried at 55 °C for 8 h before testing</x:t>
  </x:si>
  <x:si>
    <x:t xml:space="preserve">V000048</x:t>
  </x:si>
  <x:si>
    <x:t xml:space="preserve">CA0001; CA0077</x:t>
  </x:si>
  <x:si>
    <x:t xml:space="preserve">2 in-stock regular-price observation(s), before tax/shipping</x:t>
  </x:si>
  <x:si>
    <x:t xml:space="preserve">Family context in Q00271, Q00272, Q00273, Q00274, Q00275, Q00276, Q00277</x:t>
  </x:si>
  <x:si>
    <x:t xml:space="preserve">Polylactic Acid - Basic</x:t>
  </x:si>
  <x:si>
    <x:t xml:space="preserve">Commercial variant / undisclosed</x:t>
  </x:si>
  <x:si>
    <x:t xml:space="preserve">See distinct impact records; no fracture-toughness substitution</x:t>
  </x:si>
  <x:si>
    <x:t xml:space="preserve">Q00013</x:t>
  </x:si>
  <x:si>
    <x:t xml:space="preserve">Q00008; Q00009; Q00010; Q00011</x:t>
  </x:si>
  <x:si>
    <x:t xml:space="preserve">M003</x:t>
  </x:si>
  <x:si>
    <x:t xml:space="preserve">PLA Matte</x:t>
  </x:si>
  <x:si>
    <x:t xml:space="preserve">G003-01</x:t>
  </x:si>
  <x:si>
    <x:t xml:space="preserve">P0005</x:t>
  </x:si>
  <x:si>
    <x:t xml:space="preserve">V000063; V000071; V000073; V000075</x:t>
  </x:si>
  <x:si>
    <x:t xml:space="preserve">V000069</x:t>
  </x:si>
  <x:si>
    <x:t xml:space="preserve">CA0003; CA0079</x:t>
  </x:si>
  <x:si>
    <x:t xml:space="preserve">Polylactic Acid - Matte</x:t>
  </x:si>
  <x:si>
    <x:t xml:space="preserve">Q00020</x:t>
  </x:si>
  <x:si>
    <x:t xml:space="preserve">Q00015; Q00016; Q00017; Q00018</x:t>
  </x:si>
  <x:si>
    <x:t xml:space="preserve">M004</x:t>
  </x:si>
  <x:si>
    <x:t xml:space="preserve">PLA Lite</x:t>
  </x:si>
  <x:si>
    <x:t xml:space="preserve">Theoretical</x:t>
  </x:si>
  <x:si>
    <x:t xml:space="preserve">Exact official TDS not located. Search lead PLA Pure is a different product and was rejected.</x:t>
  </x:si>
  <x:si>
    <x:t xml:space="preserve">Polylactic Acid - Lite</x:t>
  </x:si>
  <x:si>
    <x:t xml:space="preserve">Insufficient comparable data</x:t>
  </x:si>
  <x:si>
    <x:t xml:space="preserve">Q00271; Q00272; Q00273; Q00274; Q00275; Q00276; Q00277</x:t>
  </x:si>
  <x:si>
    <x:t xml:space="preserve">M005</x:t>
  </x:si>
  <x:si>
    <x:t xml:space="preserve">PLA Basic Gradient</x:t>
  </x:si>
  <x:si>
    <x:t xml:space="preserve">G005-01</x:t>
  </x:si>
  <x:si>
    <x:t xml:space="preserve">25 - 45 °C</x:t>
  </x:si>
  <x:si>
    <x:t xml:space="preserve">P0006</x:t>
  </x:si>
  <x:si>
    <x:t xml:space="preserve">V000083; V000091; V000093; V000095</x:t>
  </x:si>
  <x:si>
    <x:t xml:space="preserve">Dried before testing (see preparation) / All the specimens were annealed and dried at 55 °C for 8 h ours before testing</x:t>
  </x:si>
  <x:si>
    <x:t xml:space="preserve">V000089</x:t>
  </x:si>
  <x:si>
    <x:t xml:space="preserve">Polylactic Acid - Basic Gradient</x:t>
  </x:si>
  <x:si>
    <x:t xml:space="preserve">Q00027</x:t>
  </x:si>
  <x:si>
    <x:t xml:space="preserve">Q00022; Q00023; Q00024; Q00025</x:t>
  </x:si>
  <x:si>
    <x:t xml:space="preserve">M006</x:t>
  </x:si>
  <x:si>
    <x:t xml:space="preserve">PLA Tough+</x:t>
  </x:si>
  <x:si>
    <x:t xml:space="preserve">G006-01</x:t>
  </x:si>
  <x:si>
    <x:t xml:space="preserve">220 -250 °C</x:t>
  </x:si>
  <x:si>
    <x:t xml:space="preserve">35 -65 °C</x:t>
  </x:si>
  <x:si>
    <x:t xml:space="preserve">25 – 45 °C</x:t>
  </x:si>
  <x:si>
    <x:t xml:space="preserve">P0007</x:t>
  </x:si>
  <x:si>
    <x:t xml:space="preserve">V000104; V000111; V000113; V000115</x:t>
  </x:si>
  <x:si>
    <x:t xml:space="preserve">V000109</x:t>
  </x:si>
  <x:si>
    <x:t xml:space="preserve">CA0008</x:t>
  </x:si>
  <x:si>
    <x:t xml:space="preserve">1 in-stock regular-price observation(s), before tax/shipping</x:t>
  </x:si>
  <x:si>
    <x:t xml:space="preserve">Polylactic Acid - Tough+</x:t>
  </x:si>
  <x:si>
    <x:t xml:space="preserve">M007</x:t>
  </x:si>
  <x:si>
    <x:t xml:space="preserve">PLA Translucent</x:t>
  </x:si>
  <x:si>
    <x:t xml:space="preserve">G007-01</x:t>
  </x:si>
  <x:si>
    <x:t xml:space="preserve">200 -240 °C</x:t>
  </x:si>
  <x:si>
    <x:t xml:space="preserve">25 -45°C</x:t>
  </x:si>
  <x:si>
    <x:t xml:space="preserve">P0008</x:t>
  </x:si>
  <x:si>
    <x:t xml:space="preserve">V000124; V000131; V000133; V000135</x:t>
  </x:si>
  <x:si>
    <x:t xml:space="preserve">V000129</x:t>
  </x:si>
  <x:si>
    <x:t xml:space="preserve">CA0009</x:t>
  </x:si>
  <x:si>
    <x:t xml:space="preserve">Polylactic Acid - Translucent</x:t>
  </x:si>
  <x:si>
    <x:t xml:space="preserve">M008</x:t>
  </x:si>
  <x:si>
    <x:t xml:space="preserve">PLA Silk</x:t>
  </x:si>
  <x:si>
    <x:t xml:space="preserve">Original product retained; current Silk+ is not substituted.</x:t>
  </x:si>
  <x:si>
    <x:t xml:space="preserve">Polylactic Acid - Silk</x:t>
  </x:si>
  <x:si>
    <x:t xml:space="preserve">M009</x:t>
  </x:si>
  <x:si>
    <x:t xml:space="preserve">PLA Silk+</x:t>
  </x:si>
  <x:si>
    <x:t xml:space="preserve">G009-01</x:t>
  </x:si>
  <x:si>
    <x:t xml:space="preserve">210 - 240 °C</x:t>
  </x:si>
  <x:si>
    <x:t xml:space="preserve">P0009</x:t>
  </x:si>
  <x:si>
    <x:t xml:space="preserve">V000144; V000151; V000153; V000155</x:t>
  </x:si>
  <x:si>
    <x:t xml:space="preserve">V000149</x:t>
  </x:si>
  <x:si>
    <x:t xml:space="preserve">CA0010; CA0074</x:t>
  </x:si>
  <x:si>
    <x:t xml:space="preserve">Polylactic Acid - Silk+</x:t>
  </x:si>
  <x:si>
    <x:t xml:space="preserve">Q00031</x:t>
  </x:si>
  <x:si>
    <x:t xml:space="preserve">M010</x:t>
  </x:si>
  <x:si>
    <x:t xml:space="preserve">PLA Silk Dual Color</x:t>
  </x:si>
  <x:si>
    <x:t xml:space="preserve">G010-01</x:t>
  </x:si>
  <x:si>
    <x:t xml:space="preserve">210 -240 °C</x:t>
  </x:si>
  <x:si>
    <x:t xml:space="preserve">35 - 45°C</x:t>
  </x:si>
  <x:si>
    <x:t xml:space="preserve">25 -45 °C</x:t>
  </x:si>
  <x:si>
    <x:t xml:space="preserve">P0010</x:t>
  </x:si>
  <x:si>
    <x:t xml:space="preserve">V000164; V000172; V000174; V000176</x:t>
  </x:si>
  <x:si>
    <x:t xml:space="preserve">V000170</x:t>
  </x:si>
  <x:si>
    <x:t xml:space="preserve">CA0012; CA0075</x:t>
  </x:si>
  <x:si>
    <x:t xml:space="preserve">Current Bambu page redirects to PLA Silk Multi-Color. Original identity retained.</x:t>
  </x:si>
  <x:si>
    <x:t xml:space="preserve">Polylactic Acid - Silk Dual Color</x:t>
  </x:si>
  <x:si>
    <x:t xml:space="preserve">Q00033</x:t>
  </x:si>
  <x:si>
    <x:t xml:space="preserve">M011</x:t>
  </x:si>
  <x:si>
    <x:t xml:space="preserve">PLA Metal</x:t>
  </x:si>
  <x:si>
    <x:t xml:space="preserve">G011-01</x:t>
  </x:si>
  <x:si>
    <x:t xml:space="preserve">P0011</x:t>
  </x:si>
  <x:si>
    <x:t xml:space="preserve">V000184; V000191; V000193; V000195</x:t>
  </x:si>
  <x:si>
    <x:t xml:space="preserve">V000189</x:t>
  </x:si>
  <x:si>
    <x:t xml:space="preserve">CA0013</x:t>
  </x:si>
  <x:si>
    <x:t xml:space="preserve">Polylactic Acid - Metal-Effect</x:t>
  </x:si>
  <x:si>
    <x:t xml:space="preserve">Q00040</x:t>
  </x:si>
  <x:si>
    <x:t xml:space="preserve">Q00035; Q00036; Q00037; Q00038</x:t>
  </x:si>
  <x:si>
    <x:t xml:space="preserve">M012</x:t>
  </x:si>
  <x:si>
    <x:t xml:space="preserve">PLA Marble</x:t>
  </x:si>
  <x:si>
    <x:t xml:space="preserve">G012-01</x:t>
  </x:si>
  <x:si>
    <x:t xml:space="preserve">P0012</x:t>
  </x:si>
  <x:si>
    <x:t xml:space="preserve">V000204; V000211; V000213; V000215</x:t>
  </x:si>
  <x:si>
    <x:t xml:space="preserve">V000209</x:t>
  </x:si>
  <x:si>
    <x:t xml:space="preserve">CA0015</x:t>
  </x:si>
  <x:si>
    <x:t xml:space="preserve">Polylactic Acid - Marble-Effect</x:t>
  </x:si>
  <x:si>
    <x:t xml:space="preserve">Q00047</x:t>
  </x:si>
  <x:si>
    <x:t xml:space="preserve">Q00042; Q00043; Q00044; Q00045</x:t>
  </x:si>
  <x:si>
    <x:t xml:space="preserve">M013</x:t>
  </x:si>
  <x:si>
    <x:t xml:space="preserve">PLA Sparkle</x:t>
  </x:si>
  <x:si>
    <x:t xml:space="preserve">G013-01</x:t>
  </x:si>
  <x:si>
    <x:t xml:space="preserve">P0013</x:t>
  </x:si>
  <x:si>
    <x:t xml:space="preserve">V000224; V000232; V000234; V000236</x:t>
  </x:si>
  <x:si>
    <x:t xml:space="preserve">V000230</x:t>
  </x:si>
  <x:si>
    <x:t xml:space="preserve">CA0016</x:t>
  </x:si>
  <x:si>
    <x:t xml:space="preserve">Polylactic Acid - Sparkle</x:t>
  </x:si>
  <x:si>
    <x:t xml:space="preserve">M014</x:t>
  </x:si>
  <x:si>
    <x:t xml:space="preserve">PLA Wood</x:t>
  </x:si>
  <x:si>
    <x:t xml:space="preserve">G014-01</x:t>
  </x:si>
  <x:si>
    <x:t xml:space="preserve">190 - 240 °C</x:t>
  </x:si>
  <x:si>
    <x:t xml:space="preserve">P0014</x:t>
  </x:si>
  <x:si>
    <x:t xml:space="preserve">V000244; V000251; V000253; V000255</x:t>
  </x:si>
  <x:si>
    <x:t xml:space="preserve">V000249</x:t>
  </x:si>
  <x:si>
    <x:t xml:space="preserve">CA0018</x:t>
  </x:si>
  <x:si>
    <x:t xml:space="preserve">Polylactic Acid - Wood-Effect / Wood-Filled</x:t>
  </x:si>
  <x:si>
    <x:t xml:space="preserve">Q00055</x:t>
  </x:si>
  <x:si>
    <x:t xml:space="preserve">Q00050; Q00051; Q00052; Q00053</x:t>
  </x:si>
  <x:si>
    <x:t xml:space="preserve">M015</x:t>
  </x:si>
  <x:si>
    <x:t xml:space="preserve">PLA Galaxy</x:t>
  </x:si>
  <x:si>
    <x:t xml:space="preserve">G015-01</x:t>
  </x:si>
  <x:si>
    <x:t xml:space="preserve">P0015</x:t>
  </x:si>
  <x:si>
    <x:t xml:space="preserve">V000264; V000271; V000273; V000275</x:t>
  </x:si>
  <x:si>
    <x:t xml:space="preserve">V000269</x:t>
  </x:si>
  <x:si>
    <x:t xml:space="preserve">CA0019; CA0087</x:t>
  </x:si>
  <x:si>
    <x:t xml:space="preserve">Polylactic Acid - Galaxy-Effect</x:t>
  </x:si>
  <x:si>
    <x:t xml:space="preserve">Q00057</x:t>
  </x:si>
  <x:si>
    <x:t xml:space="preserve">M016</x:t>
  </x:si>
  <x:si>
    <x:t xml:space="preserve">PLA Glow</x:t>
  </x:si>
  <x:si>
    <x:t xml:space="preserve">G016-01</x:t>
  </x:si>
  <x:si>
    <x:t xml:space="preserve">P0016</x:t>
  </x:si>
  <x:si>
    <x:t xml:space="preserve">V000283; V000290; V000292; V000294</x:t>
  </x:si>
  <x:si>
    <x:t xml:space="preserve">V000288</x:t>
  </x:si>
  <x:si>
    <x:t xml:space="preserve">CA0020</x:t>
  </x:si>
  <x:si>
    <x:t xml:space="preserve">Polylactic Acid - Glow-in-the-Dark</x:t>
  </x:si>
  <x:si>
    <x:t xml:space="preserve">Q00064</x:t>
  </x:si>
  <x:si>
    <x:t xml:space="preserve">Q00059; Q00060; Q00061; Q00062</x:t>
  </x:si>
  <x:si>
    <x:t xml:space="preserve">M017</x:t>
  </x:si>
  <x:si>
    <x:t xml:space="preserve">PLA Aero</x:t>
  </x:si>
  <x:si>
    <x:t xml:space="preserve">G017-01</x:t>
  </x:si>
  <x:si>
    <x:t xml:space="preserve">210 - 260 °C</x:t>
  </x:si>
  <x:si>
    <x:t xml:space="preserve">P0017</x:t>
  </x:si>
  <x:si>
    <x:t xml:space="preserve">V000303; V000310; V000312; V000314</x:t>
  </x:si>
  <x:si>
    <x:t xml:space="preserve">Dried before testing (see preparation) / All the specimens were annealed and dried at 55 °C for8 h before testing</x:t>
  </x:si>
  <x:si>
    <x:t xml:space="preserve">V000308</x:t>
  </x:si>
  <x:si>
    <x:t xml:space="preserve">CA0021</x:t>
  </x:si>
  <x:si>
    <x:t xml:space="preserve">Lightweight / Foaming Polylactic Acid</x:t>
  </x:si>
  <x:si>
    <x:t xml:space="preserve">Foaming</x:t>
  </x:si>
  <x:si>
    <x:t xml:space="preserve">Q00066</x:t>
  </x:si>
  <x:si>
    <x:t xml:space="preserve">M018</x:t>
  </x:si>
  <x:si>
    <x:t xml:space="preserve">PLA-CF</x:t>
  </x:si>
  <x:si>
    <x:t xml:space="preserve">G018-01</x:t>
  </x:si>
  <x:si>
    <x:t xml:space="preserve">P0018</x:t>
  </x:si>
  <x:si>
    <x:t xml:space="preserve">V000323; V000331; V000333; V000335</x:t>
  </x:si>
  <x:si>
    <x:t xml:space="preserve">V000329</x:t>
  </x:si>
  <x:si>
    <x:t xml:space="preserve">CA0025</x:t>
  </x:si>
  <x:si>
    <x:t xml:space="preserve">Carbon-Fiber-Reinforced Polylactic Acid</x:t>
  </x:si>
  <x:si>
    <x:t xml:space="preserve">Carbon fibre</x:t>
  </x:si>
  <x:si>
    <x:t xml:space="preserve">Q00073</x:t>
  </x:si>
  <x:si>
    <x:t xml:space="preserve">Q00068; Q00069; Q00070; Q00071</x:t>
  </x:si>
  <x:si>
    <x:t xml:space="preserve">M019</x:t>
  </x:si>
  <x:si>
    <x:t xml:space="preserve">PLA-GF</x:t>
  </x:si>
  <x:si>
    <x:t xml:space="preserve">G019-01</x:t>
  </x:si>
  <x:si>
    <x:t xml:space="preserve">210-230 (°C)</x:t>
  </x:si>
  <x:si>
    <x:t xml:space="preserve">25-60 (°C)</x:t>
  </x:si>
  <x:si>
    <x:t xml:space="preserve">Ambient temperature</x:t>
  </x:si>
  <x:si>
    <x:t xml:space="preserve">P0019</x:t>
  </x:si>
  <x:si>
    <x:t xml:space="preserve">V000344; V000354; V000356; V000358</x:t>
  </x:si>
  <x:si>
    <x:t xml:space="preserve">V000350</x:t>
  </x:si>
  <x:si>
    <x:t xml:space="preserve">Glass-Fiber-Reinforced Polylactic Acid</x:t>
  </x:si>
  <x:si>
    <x:t xml:space="preserve">Glass fibre</x:t>
  </x:si>
  <x:si>
    <x:t xml:space="preserve">G019-01; G019-02</x:t>
  </x:si>
  <x:si>
    <x:t xml:space="preserve">Q00074; Q00075; Q00076; Q00077; Q00078</x:t>
  </x:si>
  <x:si>
    <x:t xml:space="preserve">Q00319</x:t>
  </x:si>
  <x:si>
    <x:t xml:space="preserve">M020</x:t>
  </x:si>
  <x:si>
    <x:t xml:space="preserve">PETG</x:t>
  </x:si>
  <x:si>
    <x:t xml:space="preserve">G020-01</x:t>
  </x:si>
  <x:si>
    <x:t xml:space="preserve">P0021; Q00354</x:t>
  </x:si>
  <x:si>
    <x:t xml:space="preserve">V000382; V000384; V000385</x:t>
  </x:si>
  <x:si>
    <x:t xml:space="preserve">V000389</x:t>
  </x:si>
  <x:si>
    <x:t xml:space="preserve">Holders, brackets and general functional parts; favourable interlayer bonding.</x:t>
  </x:si>
  <x:si>
    <x:t xml:space="preserve">Polyethylene Terephthalate Glycol-Modified</x:t>
  </x:si>
  <x:si>
    <x:t xml:space="preserve">G020-01; G020-02; G020-03</x:t>
  </x:si>
  <x:si>
    <x:t xml:space="preserve">Q00278; Q00280</x:t>
  </x:si>
  <x:si>
    <x:t xml:space="preserve">Q00079; Q00080; Q00081; Q00082; Q00083; Q00084</x:t>
  </x:si>
  <x:si>
    <x:t xml:space="preserve">M021</x:t>
  </x:si>
  <x:si>
    <x:t xml:space="preserve">PETG Basic</x:t>
  </x:si>
  <x:si>
    <x:t xml:space="preserve">G021-01</x:t>
  </x:si>
  <x:si>
    <x:t xml:space="preserve">230 - 260 °C</x:t>
  </x:si>
  <x:si>
    <x:t xml:space="preserve">65 - 75 °C</x:t>
  </x:si>
  <x:si>
    <x:t xml:space="preserve">P0024</x:t>
  </x:si>
  <x:si>
    <x:t xml:space="preserve">V000423; V000431; V000433; V000435</x:t>
  </x:si>
  <x:si>
    <x:t xml:space="preserve">V000429</x:t>
  </x:si>
  <x:si>
    <x:t xml:space="preserve">CA0027</x:t>
  </x:si>
  <x:si>
    <x:t xml:space="preserve">Family context in Q00278, Q00279, Q00280, Q00281</x:t>
  </x:si>
  <x:si>
    <x:t xml:space="preserve">Current page describes all-new PETG Basic; older Basic data must remain separate.</x:t>
  </x:si>
  <x:si>
    <x:t xml:space="preserve">Polyethylene Terephthalate Glycol-Modified - Basic</x:t>
  </x:si>
  <x:si>
    <x:t xml:space="preserve">Q00278; Q00279; Q00280; Q00281</x:t>
  </x:si>
  <x:si>
    <x:t xml:space="preserve">Q00086; Q00087; Q00088; Q00089</x:t>
  </x:si>
  <x:si>
    <x:t xml:space="preserve">M022</x:t>
  </x:si>
  <x:si>
    <x:t xml:space="preserve">PETG HF</x:t>
  </x:si>
  <x:si>
    <x:t xml:space="preserve">G022-01</x:t>
  </x:si>
  <x:si>
    <x:t xml:space="preserve">P0025</x:t>
  </x:si>
  <x:si>
    <x:t xml:space="preserve">V000443; V000451; V000453; V000455</x:t>
  </x:si>
  <x:si>
    <x:t xml:space="preserve">Dried before testing (see preparation) / All the specimens were annealed and dried at 75 °C for 8 h before testing</x:t>
  </x:si>
  <x:si>
    <x:t xml:space="preserve">V000449</x:t>
  </x:si>
  <x:si>
    <x:t xml:space="preserve">Polyethylene Terephthalate Glycol-Modified - High Flow</x:t>
  </x:si>
  <x:si>
    <x:t xml:space="preserve">Q00092</x:t>
  </x:si>
  <x:si>
    <x:t xml:space="preserve">M023</x:t>
  </x:si>
  <x:si>
    <x:t xml:space="preserve">PETG Translucent</x:t>
  </x:si>
  <x:si>
    <x:t xml:space="preserve">G023-01</x:t>
  </x:si>
  <x:si>
    <x:t xml:space="preserve">230 - 270 °C</x:t>
  </x:si>
  <x:si>
    <x:t xml:space="preserve">35 - 50 °C</x:t>
  </x:si>
  <x:si>
    <x:t xml:space="preserve">P0026</x:t>
  </x:si>
  <x:si>
    <x:t xml:space="preserve">V000463; V000471; V000473; V000475</x:t>
  </x:si>
  <x:si>
    <x:t xml:space="preserve">Dried before testing (see preparation) / All the specimens were annealed and dried at 65 °C for 8 h before testing</x:t>
  </x:si>
  <x:si>
    <x:t xml:space="preserve">V000469</x:t>
  </x:si>
  <x:si>
    <x:t xml:space="preserve">CA0033</x:t>
  </x:si>
  <x:si>
    <x:t xml:space="preserve">Polyethylene Terephthalate Glycol-Modified - Translucent</x:t>
  </x:si>
  <x:si>
    <x:t xml:space="preserve">Q00099</x:t>
  </x:si>
  <x:si>
    <x:t xml:space="preserve">Q00094; Q00095; Q00096; Q00097</x:t>
  </x:si>
  <x:si>
    <x:t xml:space="preserve">M024</x:t>
  </x:si>
  <x:si>
    <x:t xml:space="preserve">PETG-CF</x:t>
  </x:si>
  <x:si>
    <x:t xml:space="preserve">G024-01</x:t>
  </x:si>
  <x:si>
    <x:t xml:space="preserve">240 - 270 °C</x:t>
  </x:si>
  <x:si>
    <x:t xml:space="preserve">P0027</x:t>
  </x:si>
  <x:si>
    <x:t xml:space="preserve">V000484; V000492; V000494; V000496</x:t>
  </x:si>
  <x:si>
    <x:t xml:space="preserve">V000490</x:t>
  </x:si>
  <x:si>
    <x:t xml:space="preserve">CA0036</x:t>
  </x:si>
  <x:si>
    <x:t xml:space="preserve">Carbon-Fiber-Reinforced PETG</x:t>
  </x:si>
  <x:si>
    <x:t xml:space="preserve">Q00106</x:t>
  </x:si>
  <x:si>
    <x:t xml:space="preserve">Q00101; Q00102; Q00103; Q00104</x:t>
  </x:si>
  <x:si>
    <x:t xml:space="preserve">M025</x:t>
  </x:si>
  <x:si>
    <x:t xml:space="preserve">PETG-GF</x:t>
  </x:si>
  <x:si>
    <x:t xml:space="preserve">G025-01</x:t>
  </x:si>
  <x:si>
    <x:t xml:space="preserve">P0028</x:t>
  </x:si>
  <x:si>
    <x:t xml:space="preserve">V000505</x:t>
  </x:si>
  <x:si>
    <x:t xml:space="preserve">Glass-Fiber-Reinforced PETG</x:t>
  </x:si>
  <x:si>
    <x:t xml:space="preserve">M026</x:t>
  </x:si>
  <x:si>
    <x:t xml:space="preserve">PETG-ESD</x:t>
  </x:si>
  <x:si>
    <x:t xml:space="preserve">G026-01</x:t>
  </x:si>
  <x:si>
    <x:t xml:space="preserve">230-260C</x:t>
  </x:si>
  <x:si>
    <x:t xml:space="preserve">60-90C</x:t>
  </x:si>
  <x:si>
    <x:t xml:space="preserve">P0134</x:t>
  </x:si>
  <x:si>
    <x:t xml:space="preserve">V000510; V000512; V000513</x:t>
  </x:si>
  <x:si>
    <x:t xml:space="preserve">V000517</x:t>
  </x:si>
  <x:si>
    <x:t xml:space="preserve">Electrostatic-Dissipative PETG</x:t>
  </x:si>
  <x:si>
    <x:t xml:space="preserve">ESD formulation</x:t>
  </x:si>
  <x:si>
    <x:t xml:space="preserve">G026-01; G026-02; G026-03</x:t>
  </x:si>
  <x:si>
    <x:t xml:space="preserve">Q00107; Q00108; Q00109; Q00110; Q00111</x:t>
  </x:si>
  <x:si>
    <x:t xml:space="preserve">M027</x:t>
  </x:si>
  <x:si>
    <x:t xml:space="preserve">ABS</x:t>
  </x:si>
  <x:si>
    <x:t xml:space="preserve">G027-01</x:t>
  </x:si>
  <x:si>
    <x:t xml:space="preserve">80 - 100 °C</x:t>
  </x:si>
  <x:si>
    <x:t xml:space="preserve">45 - 60 °C</x:t>
  </x:si>
  <x:si>
    <x:t xml:space="preserve">P0032; Q00355</x:t>
  </x:si>
  <x:si>
    <x:t xml:space="preserve">V000546; V000554; V000556; V000558</x:t>
  </x:si>
  <x:si>
    <x:t xml:space="preserve">Dried before testing (see preparation) / All the specimens were annealed and dried at 80 °C for 12 h before testing</x:t>
  </x:si>
  <x:si>
    <x:t xml:space="preserve">V000552</x:t>
  </x:si>
  <x:si>
    <x:t xml:space="preserve">CA0037; CA0069</x:t>
  </x:si>
  <x:si>
    <x:t xml:space="preserve">Economical technical housings and parts that benefit from acetone finishing.</x:t>
  </x:si>
  <x:si>
    <x:t xml:space="preserve">Acrylonitrile Butadiene Styrene</x:t>
  </x:si>
  <x:si>
    <x:t xml:space="preserve">Q00118; Q00282; Q00285</x:t>
  </x:si>
  <x:si>
    <x:t xml:space="preserve">Q00113; Q00114; Q00115; Q00116; Q00283; Q00349</x:t>
  </x:si>
  <x:si>
    <x:t xml:space="preserve">M028</x:t>
  </x:si>
  <x:si>
    <x:t xml:space="preserve">ABS-GF</x:t>
  </x:si>
  <x:si>
    <x:t xml:space="preserve">G028-01</x:t>
  </x:si>
  <x:si>
    <x:t xml:space="preserve">240 - 280 °C</x:t>
  </x:si>
  <x:si>
    <x:t xml:space="preserve">80 -100 °C</x:t>
  </x:si>
  <x:si>
    <x:t xml:space="preserve">P0033</x:t>
  </x:si>
  <x:si>
    <x:t xml:space="preserve">V000567; V000575; V000577; V000579</x:t>
  </x:si>
  <x:si>
    <x:t xml:space="preserve">V000573</x:t>
  </x:si>
  <x:si>
    <x:t xml:space="preserve">CA0040</x:t>
  </x:si>
  <x:si>
    <x:t xml:space="preserve">Family context in Q00282, Q00283, Q00284, Q00285</x:t>
  </x:si>
  <x:si>
    <x:t xml:space="preserve">Glass-Fiber-Reinforced Acrylonitrile Butadiene Styrene</x:t>
  </x:si>
  <x:si>
    <x:t xml:space="preserve">Q00120</x:t>
  </x:si>
  <x:si>
    <x:t xml:space="preserve">Q00282; Q00283; Q00284; Q00285</x:t>
  </x:si>
  <x:si>
    <x:t xml:space="preserve">M029</x:t>
  </x:si>
  <x:si>
    <x:t xml:space="preserve">ABS-CF</x:t>
  </x:si>
  <x:si>
    <x:t xml:space="preserve">G029-01</x:t>
  </x:si>
  <x:si>
    <x:t xml:space="preserve">220-240C</x:t>
  </x:si>
  <x:si>
    <x:t xml:space="preserve">100-110C</x:t>
  </x:si>
  <x:si>
    <x:t xml:space="preserve">Recommended</x:t>
  </x:si>
  <x:si>
    <x:t xml:space="preserve">P0135</x:t>
  </x:si>
  <x:si>
    <x:t xml:space="preserve">V000587; V000589; V000590</x:t>
  </x:si>
  <x:si>
    <x:t xml:space="preserve">V000594</x:t>
  </x:si>
  <x:si>
    <x:t xml:space="preserve">Carbon-Fiber-Reinforced Acrylonitrile Butadiene Styrene</x:t>
  </x:si>
  <x:si>
    <x:t xml:space="preserve">G029-01; G029-02</x:t>
  </x:si>
  <x:si>
    <x:t xml:space="preserve">M030</x:t>
  </x:si>
  <x:si>
    <x:t xml:space="preserve">ABS-ESD</x:t>
  </x:si>
  <x:si>
    <x:t xml:space="preserve">G030-01</x:t>
  </x:si>
  <x:si>
    <x:t xml:space="preserve">220-240°C</x:t>
  </x:si>
  <x:si>
    <x:t xml:space="preserve">100-110°C</x:t>
  </x:si>
  <x:si>
    <x:t xml:space="preserve">P0136</x:t>
  </x:si>
  <x:si>
    <x:t xml:space="preserve">V000596; V000598; V000599</x:t>
  </x:si>
  <x:si>
    <x:t xml:space="preserve">V000603</x:t>
  </x:si>
  <x:si>
    <x:t xml:space="preserve">Electrostatic-Dissipative Acrylonitrile Butadiene Styrene</x:t>
  </x:si>
  <x:si>
    <x:t xml:space="preserve">G030-01; G030-02</x:t>
  </x:si>
  <x:si>
    <x:t xml:space="preserve">M031</x:t>
  </x:si>
  <x:si>
    <x:t xml:space="preserve">ASA</x:t>
  </x:si>
  <x:si>
    <x:t xml:space="preserve">G031-01</x:t>
  </x:si>
  <x:si>
    <x:t xml:space="preserve">P0038; Q00356</x:t>
  </x:si>
  <x:si>
    <x:t xml:space="preserve">V000612; V000620; V000622; V000624</x:t>
  </x:si>
  <x:si>
    <x:t xml:space="preserve">V000618</x:t>
  </x:si>
  <x:si>
    <x:t xml:space="preserve">CA0041; CA0090; CA0104</x:t>
  </x:si>
  <x:si>
    <x:t xml:space="preserve">3 in-stock regular-price observation(s), before tax/shipping</x:t>
  </x:si>
  <x:si>
    <x:t xml:space="preserve">Weather-exposed covers, brackets and outdoor technical components.</x:t>
  </x:si>
  <x:si>
    <x:t xml:space="preserve">Acrylonitrile Styrene Acrylate</x:t>
  </x:si>
  <x:si>
    <x:t xml:space="preserve">Q00127; Q00286; Q00289</x:t>
  </x:si>
  <x:si>
    <x:t xml:space="preserve">Q00122; Q00123; Q00124; Q00125; Q00287; Q00350</x:t>
  </x:si>
  <x:si>
    <x:t xml:space="preserve">Q00345</x:t>
  </x:si>
  <x:si>
    <x:t xml:space="preserve">Original fatigue-study records available; grade-specific</x:t>
  </x:si>
  <x:si>
    <x:t xml:space="preserve">M032</x:t>
  </x:si>
  <x:si>
    <x:t xml:space="preserve">ASA Aero</x:t>
  </x:si>
  <x:si>
    <x:t xml:space="preserve">G032-01</x:t>
  </x:si>
  <x:si>
    <x:t xml:space="preserve">240 - 28 0 °C</x:t>
  </x:si>
  <x:si>
    <x:t xml:space="preserve">80 - 90 °C</x:t>
  </x:si>
  <x:si>
    <x:t xml:space="preserve">P0039</x:t>
  </x:si>
  <x:si>
    <x:t xml:space="preserve">V000633; V000641; V000643; V000645</x:t>
  </x:si>
  <x:si>
    <x:t xml:space="preserve">V000639</x:t>
  </x:si>
  <x:si>
    <x:t xml:space="preserve">CA0043</x:t>
  </x:si>
  <x:si>
    <x:t xml:space="preserve">Family context in Q00286, Q00287, Q00288, Q00289</x:t>
  </x:si>
  <x:si>
    <x:t xml:space="preserve">Lightweight / Foaming Acrylonitrile Styrene Acrylate</x:t>
  </x:si>
  <x:si>
    <x:t xml:space="preserve">Q00134</x:t>
  </x:si>
  <x:si>
    <x:t xml:space="preserve">Q00129; Q00130; Q00131; Q00132</x:t>
  </x:si>
  <x:si>
    <x:t xml:space="preserve">M033</x:t>
  </x:si>
  <x:si>
    <x:t xml:space="preserve">ASA-CF</x:t>
  </x:si>
  <x:si>
    <x:t xml:space="preserve">G033-01</x:t>
  </x:si>
  <x:si>
    <x:t xml:space="preserve">250 - 280 °C</x:t>
  </x:si>
  <x:si>
    <x:t xml:space="preserve">80 - 100°C</x:t>
  </x:si>
  <x:si>
    <x:t xml:space="preserve">P0040</x:t>
  </x:si>
  <x:si>
    <x:t xml:space="preserve">V000653; V000659; V000661; V000663</x:t>
  </x:si>
  <x:si>
    <x:t xml:space="preserve">V000657</x:t>
  </x:si>
  <x:si>
    <x:t xml:space="preserve">Carbon-Fiber-Reinforced Acrylonitrile Styrene Acrylate</x:t>
  </x:si>
  <x:si>
    <x:t xml:space="preserve">Q00141</x:t>
  </x:si>
  <x:si>
    <x:t xml:space="preserve">Q00136; Q00137; Q00138; Q00139</x:t>
  </x:si>
  <x:si>
    <x:t xml:space="preserve">M034</x:t>
  </x:si>
  <x:si>
    <x:t xml:space="preserve">ASA-GF</x:t>
  </x:si>
  <x:si>
    <x:t xml:space="preserve">G034-01</x:t>
  </x:si>
  <x:si>
    <x:t xml:space="preserve">240 - 270°C</x:t>
  </x:si>
  <x:si>
    <x:t xml:space="preserve">P0041</x:t>
  </x:si>
  <x:si>
    <x:t xml:space="preserve">V000671</x:t>
  </x:si>
  <x:si>
    <x:t xml:space="preserve">Glass-Fiber-Reinforced Acrylonitrile Styrene Acrylate</x:t>
  </x:si>
  <x:si>
    <x:t xml:space="preserve">G034-01; G034-02</x:t>
  </x:si>
  <x:si>
    <x:t xml:space="preserve">Q00286; Q00287; Q00288; Q00289</x:t>
  </x:si>
  <x:si>
    <x:t xml:space="preserve">M035</x:t>
  </x:si>
  <x:si>
    <x:t xml:space="preserve">PC</x:t>
  </x:si>
  <x:si>
    <x:t xml:space="preserve">Polycarbonate</x:t>
  </x:si>
  <x:si>
    <x:t xml:space="preserve">G035-01</x:t>
  </x:si>
  <x:si>
    <x:t xml:space="preserve">260 - 280 °C</x:t>
  </x:si>
  <x:si>
    <x:t xml:space="preserve">90 - 110 °C</x:t>
  </x:si>
  <x:si>
    <x:t xml:space="preserve">P0043; Q00357</x:t>
  </x:si>
  <x:si>
    <x:t xml:space="preserve">V000677; V000685; V000687; V000689</x:t>
  </x:si>
  <x:si>
    <x:t xml:space="preserve">Dried before testing (see preparation) / All the specimens were annealed and dried at 80 °C for 12 hours before testing; Dry / All the specimens were annealed and dried at 80 °C for 12 hours before testing</x:t>
  </x:si>
  <x:si>
    <x:t xml:space="preserve">V000683</x:t>
  </x:si>
  <x:si>
    <x:t xml:space="preserve">CA0045</x:t>
  </x:si>
  <x:si>
    <x:t xml:space="preserve">Heat-resistant technical components requiring stiffness and mechanical durability.</x:t>
  </x:si>
  <x:si>
    <x:t xml:space="preserve">Q00148; Q00290; Q00293</x:t>
  </x:si>
  <x:si>
    <x:t xml:space="preserve">Q00143; Q00144; Q00145; Q00146; Q00291</x:t>
  </x:si>
  <x:si>
    <x:t xml:space="preserve">Q00346</x:t>
  </x:si>
  <x:si>
    <x:t xml:space="preserve">M036</x:t>
  </x:si>
  <x:si>
    <x:t xml:space="preserve">PC FR</x:t>
  </x:si>
  <x:si>
    <x:t xml:space="preserve">G036-01</x:t>
  </x:si>
  <x:si>
    <x:t xml:space="preserve">90 -110°C</x:t>
  </x:si>
  <x:si>
    <x:t xml:space="preserve">P0044</x:t>
  </x:si>
  <x:si>
    <x:t xml:space="preserve">V000698; V000706; V000708; V000710</x:t>
  </x:si>
  <x:si>
    <x:t xml:space="preserve">V000704</x:t>
  </x:si>
  <x:si>
    <x:t xml:space="preserve">CA0047</x:t>
  </x:si>
  <x:si>
    <x:t xml:space="preserve">Family context in Q00290, Q00291, Q00292, Q00293</x:t>
  </x:si>
  <x:si>
    <x:t xml:space="preserve">Flame-Retardant Polycarbonate</x:t>
  </x:si>
  <x:si>
    <x:t xml:space="preserve">Q00290; Q00291; Q00292; Q00293</x:t>
  </x:si>
  <x:si>
    <x:t xml:space="preserve">M037</x:t>
  </x:si>
  <x:si>
    <x:t xml:space="preserve">PC-CF</x:t>
  </x:si>
  <x:si>
    <x:t xml:space="preserve">G037-01</x:t>
  </x:si>
  <x:si>
    <x:t xml:space="preserve">280-310C</x:t>
  </x:si>
  <x:si>
    <x:t xml:space="preserve">110-120C</x:t>
  </x:si>
  <x:si>
    <x:t xml:space="preserve">P0137</x:t>
  </x:si>
  <x:si>
    <x:t xml:space="preserve">V000719; V000721; V000722</x:t>
  </x:si>
  <x:si>
    <x:t xml:space="preserve">V000726</x:t>
  </x:si>
  <x:si>
    <x:t xml:space="preserve">Carbon-Fiber-Reinforced Polycarbonate</x:t>
  </x:si>
  <x:si>
    <x:t xml:space="preserve">G037-01; G037-02; G037-03</x:t>
  </x:si>
  <x:si>
    <x:t xml:space="preserve">M038</x:t>
  </x:si>
  <x:si>
    <x:t xml:space="preserve">PC-GF</x:t>
  </x:si>
  <x:si>
    <x:t xml:space="preserve">G038-01</x:t>
  </x:si>
  <x:si>
    <x:t xml:space="preserve">90-110 °C —</x:t>
  </x:si>
  <x:si>
    <x:t xml:space="preserve">P0048</x:t>
  </x:si>
  <x:si>
    <x:t xml:space="preserve">V000740; V000742</x:t>
  </x:si>
  <x:si>
    <x:t xml:space="preserve">Glass-Fiber-Reinforced Polycarbonate</x:t>
  </x:si>
  <x:si>
    <x:t xml:space="preserve">Q00331</x:t>
  </x:si>
  <x:si>
    <x:t xml:space="preserve">M039</x:t>
  </x:si>
  <x:si>
    <x:t xml:space="preserve">TPU</x:t>
  </x:si>
  <x:si>
    <x:t xml:space="preserve">Flexible Elastomers</x:t>
  </x:si>
  <x:si>
    <x:t xml:space="preserve">G039-01</x:t>
  </x:si>
  <x:si>
    <x:t xml:space="preserve">210 – 230 (℃)</x:t>
  </x:si>
  <x:si>
    <x:t xml:space="preserve">25 - 60 (˚C)</x:t>
  </x:si>
  <x:si>
    <x:t xml:space="preserve">Room temperature</x:t>
  </x:si>
  <x:si>
    <x:t xml:space="preserve">P0049; Q00358</x:t>
  </x:si>
  <x:si>
    <x:t xml:space="preserve">V000752; V000753; V000754</x:t>
  </x:si>
  <x:si>
    <x:t xml:space="preserve">Compliant pads, protective sleeves, seals and flexible components; geometry strongly affects compliance.</x:t>
  </x:si>
  <x:si>
    <x:t xml:space="preserve">Thermoplastic Polyurethane</x:t>
  </x:si>
  <x:si>
    <x:t xml:space="preserve">G039-01; G039-02</x:t>
  </x:si>
  <x:si>
    <x:t xml:space="preserve">Q00294; Q00296</x:t>
  </x:si>
  <x:si>
    <x:t xml:space="preserve">Q00149; Q00150; Q00151; Q00152; Q00153; Q00154; Q00297</x:t>
  </x:si>
  <x:si>
    <x:t xml:space="preserve">M040</x:t>
  </x:si>
  <x:si>
    <x:t xml:space="preserve">TPU for AMS</x:t>
  </x:si>
  <x:si>
    <x:t xml:space="preserve">G040-01</x:t>
  </x:si>
  <x:si>
    <x:t xml:space="preserve">220 -240 °C</x:t>
  </x:si>
  <x:si>
    <x:t xml:space="preserve">30 -35 °C</x:t>
  </x:si>
  <x:si>
    <x:t xml:space="preserve">25 - 45°C</x:t>
  </x:si>
  <x:si>
    <x:t xml:space="preserve">P0051</x:t>
  </x:si>
  <x:si>
    <x:t xml:space="preserve">V000768; V000775; V000777; V000779</x:t>
  </x:si>
  <x:si>
    <x:t xml:space="preserve">CA0049; CA0070</x:t>
  </x:si>
  <x:si>
    <x:t xml:space="preserve">Family context in Q00294, Q00295, Q00296, Q00297</x:t>
  </x:si>
  <x:si>
    <x:t xml:space="preserve">Thermoplastic Polyurethane for Automatic Material System</x:t>
  </x:si>
  <x:si>
    <x:t xml:space="preserve">Q00294; Q00295; Q00296; Q00297</x:t>
  </x:si>
  <x:si>
    <x:t xml:space="preserve">M041</x:t>
  </x:si>
  <x:si>
    <x:t xml:space="preserve">TPU 95A HF</x:t>
  </x:si>
  <x:si>
    <x:t xml:space="preserve">G041-01</x:t>
  </x:si>
  <x:si>
    <x:t xml:space="preserve">220 - 240 °C</x:t>
  </x:si>
  <x:si>
    <x:t xml:space="preserve">30 - 35 °C</x:t>
  </x:si>
  <x:si>
    <x:t xml:space="preserve">P0052</x:t>
  </x:si>
  <x:si>
    <x:t xml:space="preserve">V000784; V000791; V000793; V000795</x:t>
  </x:si>
  <x:si>
    <x:t xml:space="preserve">Dried before testing (see preparation) / All the specimens were annealed and dried at 70 °C for 12 h before testing</x:t>
  </x:si>
  <x:si>
    <x:t xml:space="preserve">CA0050; CA0088</x:t>
  </x:si>
  <x:si>
    <x:t xml:space="preserve">Thermoplastic Polyurethane, Shore 95A - High Flow</x:t>
  </x:si>
  <x:si>
    <x:t xml:space="preserve">Q00162</x:t>
  </x:si>
  <x:si>
    <x:t xml:space="preserve">Q00157; Q00158; Q00159; Q00160</x:t>
  </x:si>
  <x:si>
    <x:t xml:space="preserve">M042</x:t>
  </x:si>
  <x:si>
    <x:t xml:space="preserve">TPU 90A</x:t>
  </x:si>
  <x:si>
    <x:t xml:space="preserve">G042-01</x:t>
  </x:si>
  <x:si>
    <x:t xml:space="preserve">200 -250 °C</x:t>
  </x:si>
  <x:si>
    <x:t xml:space="preserve">P0053</x:t>
  </x:si>
  <x:si>
    <x:t xml:space="preserve">V000803; V000810; V000812; V000814</x:t>
  </x:si>
  <x:si>
    <x:t xml:space="preserve">CA0052</x:t>
  </x:si>
  <x:si>
    <x:t xml:space="preserve">Thermoplastic Polyurethane, Shore 90A</x:t>
  </x:si>
  <x:si>
    <x:t xml:space="preserve">M043</x:t>
  </x:si>
  <x:si>
    <x:t xml:space="preserve">TPU 85A</x:t>
  </x:si>
  <x:si>
    <x:t xml:space="preserve">G043-01</x:t>
  </x:si>
  <x:si>
    <x:t xml:space="preserve">P0054</x:t>
  </x:si>
  <x:si>
    <x:t xml:space="preserve">V000819; V000826; V000828; V000830</x:t>
  </x:si>
  <x:si>
    <x:t xml:space="preserve">Thermoplastic Polyurethane, Shore 85A</x:t>
  </x:si>
  <x:si>
    <x:t xml:space="preserve">M044</x:t>
  </x:si>
  <x:si>
    <x:t xml:space="preserve">TPE</x:t>
  </x:si>
  <x:si>
    <x:t xml:space="preserve">G044-01</x:t>
  </x:si>
  <x:si>
    <x:t xml:space="preserve">220–240°C</x:t>
  </x:si>
  <x:si>
    <x:t xml:space="preserve">20–60°C</x:t>
  </x:si>
  <x:si>
    <x:t xml:space="preserve">P0055</x:t>
  </x:si>
  <x:si>
    <x:t xml:space="preserve">V001689</x:t>
  </x:si>
  <x:si>
    <x:t xml:space="preserve">Thermoplastic Elastomer</x:t>
  </x:si>
  <x:si>
    <x:t xml:space="preserve">G044-01; G044-02</x:t>
  </x:si>
  <x:si>
    <x:t xml:space="preserve">Q00165; Q00166; Q00167; Q00168; Q00169; Q00170</x:t>
  </x:si>
  <x:si>
    <x:t xml:space="preserve">M045</x:t>
  </x:si>
  <x:si>
    <x:t xml:space="preserve">PEBA</x:t>
  </x:si>
  <x:si>
    <x:t xml:space="preserve">G045-01</x:t>
  </x:si>
  <x:si>
    <x:r>
      <x:rPr>
        <x:sz val="10"/>
        <x:color rgb="FF243447"/>
        <x:rFont val="Arial"/>
      </x:rPr>
      <x:t xml:space="preserve">230~260 ℃</x:t>
    </x:r>
    <x:r>
      <x:rPr>
        <x:sz val="10"/>
        <x:color rgb="FF243447"/>
        <x:rFont val="Noto Sans CJK SC"/>
        <x:family val="2"/>
      </x:rPr>
      <x:t xml:space="preserve">（</x:t>
    </x:r>
    <x:r>
      <x:rPr>
        <x:sz val="10"/>
        <x:color rgb="FF243447"/>
        <x:rFont val="Arial"/>
      </x:rPr>
      <x:t xml:space="preserve">recommended: 240℃</x:t>
    </x:r>
    <x:r>
      <x:rPr>
        <x:sz val="10"/>
        <x:color rgb="FF243447"/>
        <x:rFont val="Noto Sans CJK SC"/>
        <x:family val="2"/>
      </x:rPr>
      <x:t xml:space="preserve">）</x:t>
    </x:r>
  </x:si>
  <x:si>
    <x:t xml:space="preserve">60~90 ℃</x:t>
  </x:si>
  <x:si>
    <x:t xml:space="preserve">P0057</x:t>
  </x:si>
  <x:si>
    <x:t xml:space="preserve">V000838; V000845</x:t>
  </x:si>
  <x:si>
    <x:t xml:space="preserve">Polyether Block Amide</x:t>
  </x:si>
  <x:si>
    <x:t xml:space="preserve">M046</x:t>
  </x:si>
  <x:si>
    <x:t xml:space="preserve">TPC / TPEE</x:t>
  </x:si>
  <x:si>
    <x:t xml:space="preserve">G046-01</x:t>
  </x:si>
  <x:si>
    <x:t xml:space="preserve">P0059</x:t>
  </x:si>
  <x:si>
    <x:t xml:space="preserve">V001690</x:t>
  </x:si>
  <x:si>
    <x:t xml:space="preserve">TPC / TPEE are elastomer-family synonyms; do not equate to rigid CPE.</x:t>
  </x:si>
  <x:si>
    <x:t xml:space="preserve">Thermoplastic Copolyester / Thermoplastic Polyester Elastomer</x:t>
  </x:si>
  <x:si>
    <x:t xml:space="preserve">TPC</x:t>
  </x:si>
  <x:si>
    <x:t xml:space="preserve">M047</x:t>
  </x:si>
  <x:si>
    <x:t xml:space="preserve">PA</x:t>
  </x:si>
  <x:si>
    <x:t xml:space="preserve">Nylon / Polyamide</x:t>
  </x:si>
  <x:si>
    <x:t xml:space="preserve">G047-01</x:t>
  </x:si>
  <x:si>
    <x:t xml:space="preserve">250 – 270 (℃)</x:t>
  </x:si>
  <x:si>
    <x:t xml:space="preserve">25 - 50 (˚C)</x:t>
  </x:si>
  <x:si>
    <x:t xml:space="preserve">40 - 60 (˚C)</x:t>
  </x:si>
  <x:si>
    <x:t xml:space="preserve">P0060; Q00359</x:t>
  </x:si>
  <x:si>
    <x:t xml:space="preserve">V000854; V000862; V000864; V000866</x:t>
  </x:si>
  <x:si>
    <x:t xml:space="preserve">Dried before testing (see preparation) / All specimens were annealed at 80˚C for 30min and dried for 48h prior to testing; Conditioned: 70% RH / All specimens were annealed at 80˚C for 30min and dried for 48h prior to testing</x:t>
  </x:si>
  <x:si>
    <x:t xml:space="preserve">V000860</x:t>
  </x:si>
  <x:si>
    <x:t xml:space="preserve">CA0098</x:t>
  </x:si>
  <x:si>
    <x:t xml:space="preserve">Wear-resistant technical parts, resilient components and functional mechanisms.</x:t>
  </x:si>
  <x:si>
    <x:t xml:space="preserve">Polyamide (Nylon)</x:t>
  </x:si>
  <x:si>
    <x:t xml:space="preserve">G047-01; G047-02; G047-03</x:t>
  </x:si>
  <x:si>
    <x:t xml:space="preserve">Q00177; Q00298</x:t>
  </x:si>
  <x:si>
    <x:t xml:space="preserve">Q00171; Q00172; Q00173; Q00174; Q00175; Q00176; Q00299</x:t>
  </x:si>
  <x:si>
    <x:t xml:space="preserve">M048</x:t>
  </x:si>
  <x:si>
    <x:t xml:space="preserve">PAHT-CF</x:t>
  </x:si>
  <x:si>
    <x:t xml:space="preserve">G048-01</x:t>
  </x:si>
  <x:si>
    <x:t xml:space="preserve">260 - 290 °C</x:t>
  </x:si>
  <x:si>
    <x:t xml:space="preserve">P0063</x:t>
  </x:si>
  <x:si>
    <x:t xml:space="preserve">V000896; V000904; V000906; V000908</x:t>
  </x:si>
  <x:si>
    <x:t xml:space="preserve">Dried before testing (see preparation) / All the specimens were annealed and dried at 80 °C for 12 h before testing; Dry / All the specimens were annealed and dried at 80 °C for 12 h before testing</x:t>
  </x:si>
  <x:si>
    <x:t xml:space="preserve">V000902</x:t>
  </x:si>
  <x:si>
    <x:t xml:space="preserve">CA0054; CA0083</x:t>
  </x:si>
  <x:si>
    <x:t xml:space="preserve">Carbon-Fiber-Reinforced High-Temperature Polyamide</x:t>
  </x:si>
  <x:si>
    <x:t xml:space="preserve">PAHT</x:t>
  </x:si>
  <x:si>
    <x:t xml:space="preserve">Q00184</x:t>
  </x:si>
  <x:si>
    <x:t xml:space="preserve">Q00179; Q00180; Q00181; Q00182</x:t>
  </x:si>
  <x:si>
    <x:t xml:space="preserve">M049</x:t>
  </x:si>
  <x:si>
    <x:t xml:space="preserve">PA6</x:t>
  </x:si>
  <x:si>
    <x:t xml:space="preserve">G049-01</x:t>
  </x:si>
  <x:si>
    <x:t xml:space="preserve">250-280°C</x:t>
  </x:si>
  <x:si>
    <x:t xml:space="preserve">60-80°C</x:t>
  </x:si>
  <x:si>
    <x:t xml:space="preserve">P0064</x:t>
  </x:si>
  <x:si>
    <x:t xml:space="preserve">V000917</x:t>
  </x:si>
  <x:si>
    <x:t xml:space="preserve">CA0099</x:t>
  </x:si>
  <x:si>
    <x:t xml:space="preserve">Polyamide 6 (Nylon 6)</x:t>
  </x:si>
  <x:si>
    <x:t xml:space="preserve">M050</x:t>
  </x:si>
  <x:si>
    <x:t xml:space="preserve">PA6-CF</x:t>
  </x:si>
  <x:si>
    <x:t xml:space="preserve">G050-01</x:t>
  </x:si>
  <x:si>
    <x:t xml:space="preserve">P0065</x:t>
  </x:si>
  <x:si>
    <x:t xml:space="preserve">V000922; V000930; V000932; V000934</x:t>
  </x:si>
  <x:si>
    <x:t xml:space="preserve">V000928</x:t>
  </x:si>
  <x:si>
    <x:t xml:space="preserve">CA0056; CA0084</x:t>
  </x:si>
  <x:si>
    <x:t xml:space="preserve">Carbon-Fiber-Reinforced Polyamide 6</x:t>
  </x:si>
  <x:si>
    <x:t xml:space="preserve">Q00191</x:t>
  </x:si>
  <x:si>
    <x:t xml:space="preserve">Q00186; Q00187; Q00188; Q00189</x:t>
  </x:si>
  <x:si>
    <x:t xml:space="preserve">M051</x:t>
  </x:si>
  <x:si>
    <x:t xml:space="preserve">PA6-GF</x:t>
  </x:si>
  <x:si>
    <x:t xml:space="preserve">G051-01</x:t>
  </x:si>
  <x:si>
    <x:t xml:space="preserve">P0066</x:t>
  </x:si>
  <x:si>
    <x:t xml:space="preserve">V000943; V000951; V000953; V000955</x:t>
  </x:si>
  <x:si>
    <x:t xml:space="preserve">V000949</x:t>
  </x:si>
  <x:si>
    <x:t xml:space="preserve">CA0058</x:t>
  </x:si>
  <x:si>
    <x:t xml:space="preserve">Glass-Fiber-Reinforced Polyamide 6</x:t>
  </x:si>
  <x:si>
    <x:t xml:space="preserve">M052</x:t>
  </x:si>
  <x:si>
    <x:t xml:space="preserve">PA12</x:t>
  </x:si>
  <x:si>
    <x:t xml:space="preserve">G052-01</x:t>
  </x:si>
  <x:si>
    <x:t xml:space="preserve">275–300°C</x:t>
  </x:si>
  <x:si>
    <x:t xml:space="preserve">60–100°C</x:t>
  </x:si>
  <x:si>
    <x:t xml:space="preserve">P0139</x:t>
  </x:si>
  <x:si>
    <x:t xml:space="preserve">Unfilled, resilient nylon parts when fibre reinforcement is unnecessary.</x:t>
  </x:si>
  <x:si>
    <x:t xml:space="preserve">Polyamide 12 (Nylon 12)</x:t>
  </x:si>
  <x:si>
    <x:t xml:space="preserve">Q00326</x:t>
  </x:si>
  <x:si>
    <x:t xml:space="preserve">Q00324; Q00325</x:t>
  </x:si>
  <x:si>
    <x:t xml:space="preserve">Q00347</x:t>
  </x:si>
  <x:si>
    <x:t xml:space="preserve">M053</x:t>
  </x:si>
  <x:si>
    <x:t xml:space="preserve">PA12-CF</x:t>
  </x:si>
  <x:si>
    <x:t xml:space="preserve">G053-01</x:t>
  </x:si>
  <x:si>
    <x:t xml:space="preserve">265-285C</x:t>
  </x:si>
  <x:si>
    <x:t xml:space="preserve">90-110C</x:t>
  </x:si>
  <x:si>
    <x:t xml:space="preserve">P0140</x:t>
  </x:si>
  <x:si>
    <x:t xml:space="preserve">V000964; V000966; V000967</x:t>
  </x:si>
  <x:si>
    <x:t xml:space="preserve">V000971</x:t>
  </x:si>
  <x:si>
    <x:t xml:space="preserve">Carbon-Fiber-Reinforced Polyamide 12</x:t>
  </x:si>
  <x:si>
    <x:t xml:space="preserve">G053-01; G053-02; G053-03</x:t>
  </x:si>
  <x:si>
    <x:t xml:space="preserve">Q00199</x:t>
  </x:si>
  <x:si>
    <x:t xml:space="preserve">Q00193; Q00194; Q00195; Q00196; Q00197; Q00198</x:t>
  </x:si>
  <x:si>
    <x:t xml:space="preserve">M054</x:t>
  </x:si>
  <x:si>
    <x:t xml:space="preserve">PA12-GF</x:t>
  </x:si>
  <x:si>
    <x:t xml:space="preserve">G054-01</x:t>
  </x:si>
  <x:si>
    <x:t xml:space="preserve">Up to 120C</x:t>
  </x:si>
  <x:si>
    <x:t xml:space="preserve">P0141</x:t>
  </x:si>
  <x:si>
    <x:t xml:space="preserve">V001007; V001009; V001010</x:t>
  </x:si>
  <x:si>
    <x:t xml:space="preserve">V001014</x:t>
  </x:si>
  <x:si>
    <x:t xml:space="preserve">Glass-Fiber-Reinforced Polyamide 12</x:t>
  </x:si>
  <x:si>
    <x:t xml:space="preserve">M055</x:t>
  </x:si>
  <x:si>
    <x:t xml:space="preserve">PA66</x:t>
  </x:si>
  <x:si>
    <x:t xml:space="preserve">Conditional</x:t>
  </x:si>
  <x:si>
    <x:t xml:space="preserve">Pure PA66 filament TDS not located; PA6/66 copolymer is not a substitute.</x:t>
  </x:si>
  <x:si>
    <x:t xml:space="preserve">Polyamide 66 (Nylon 66)</x:t>
  </x:si>
  <x:si>
    <x:t xml:space="preserve">M056</x:t>
  </x:si>
  <x:si>
    <x:t xml:space="preserve">PA66-CF</x:t>
  </x:si>
  <x:si>
    <x:t xml:space="preserve">ABC3D Canadian PA66-CF listing found, but page access failed; no numbers imported.</x:t>
  </x:si>
  <x:si>
    <x:t xml:space="preserve">Carbon-Fiber-Reinforced Polyamide 66</x:t>
  </x:si>
  <x:si>
    <x:t xml:space="preserve">M057</x:t>
  </x:si>
  <x:si>
    <x:t xml:space="preserve">PA6/66</x:t>
  </x:si>
  <x:si>
    <x:t xml:space="preserve">G057-01</x:t>
  </x:si>
  <x:si>
    <x:t xml:space="preserve">P0072</x:t>
  </x:si>
  <x:si>
    <x:t xml:space="preserve">V001015; V001023; V001025; V001027</x:t>
  </x:si>
  <x:si>
    <x:t xml:space="preserve">V001021</x:t>
  </x:si>
  <x:si>
    <x:t xml:space="preserve">Copolymer, not PA66 homopolymer or PA612.</x:t>
  </x:si>
  <x:si>
    <x:t xml:space="preserve">Polyamide 6/66 Copolymer (Nylon 6/66)</x:t>
  </x:si>
  <x:si>
    <x:t xml:space="preserve">G057-01; G057-02</x:t>
  </x:si>
  <x:si>
    <x:t xml:space="preserve">Q00206</x:t>
  </x:si>
  <x:si>
    <x:t xml:space="preserve">Q00200; Q00201; Q00202; Q00203; Q00204; Q00205</x:t>
  </x:si>
  <x:si>
    <x:t xml:space="preserve">M058</x:t>
  </x:si>
  <x:si>
    <x:t xml:space="preserve">PA612</x:t>
  </x:si>
  <x:si>
    <x:t xml:space="preserve">Unfilled PA612 filament TDS not located; do not infer from PA612-CF.</x:t>
  </x:si>
  <x:si>
    <x:t xml:space="preserve">Polyamide 612 (Nylon 612)</x:t>
  </x:si>
  <x:si>
    <x:t xml:space="preserve">M059</x:t>
  </x:si>
  <x:si>
    <x:t xml:space="preserve">PA612-CF</x:t>
  </x:si>
  <x:si>
    <x:t xml:space="preserve">G059-01</x:t>
  </x:si>
  <x:si>
    <x:t xml:space="preserve">250-300 °C Printing speed Up to 300mm/s</x:t>
  </x:si>
  <x:si>
    <x:t xml:space="preserve">40-50 °C Drying temp. and time 100 °C/10H PolySupport™ for PA12</x:t>
  </x:si>
  <x:si>
    <x:t xml:space="preserve">Room Temp. Annealing temp. and time 100 °C/16H PolyDissolve™ S1</x:t>
  </x:si>
  <x:si>
    <x:t xml:space="preserve">P0074</x:t>
  </x:si>
  <x:si>
    <x:t xml:space="preserve">V001052; V001055; V001057; V001059</x:t>
  </x:si>
  <x:si>
    <x:t xml:space="preserve">Not published / All specimens were annealed at 100°C for 16h. MECHANICAL PROPERTIES - WET STATUS PROPERTY TESTING; Dry / All specimens were annealed at 100°C for 16h. MECHANICAL PROPERTIES - WET STATUS PROPERTY TESTING</x:t>
  </x:si>
  <x:si>
    <x:t xml:space="preserve">V001054</x:t>
  </x:si>
  <x:si>
    <x:t xml:space="preserve">Carbon-Fiber-Reinforced Polyamide 612</x:t>
  </x:si>
  <x:si>
    <x:t xml:space="preserve">Q00207</x:t>
  </x:si>
  <x:si>
    <x:t xml:space="preserve">M060</x:t>
  </x:si>
  <x:si>
    <x:t xml:space="preserve">PA612-GF</x:t>
  </x:si>
  <x:si>
    <x:t xml:space="preserve">Exact documented formulation not located in sampled manufacturers.</x:t>
  </x:si>
  <x:si>
    <x:t xml:space="preserve">Glass-Fiber-Reinforced Polyamide 612</x:t>
  </x:si>
  <x:si>
    <x:t xml:space="preserve">M061</x:t>
  </x:si>
  <x:si>
    <x:t xml:space="preserve">CoPA</x:t>
  </x:si>
  <x:si>
    <x:t xml:space="preserve">G061-01</x:t>
  </x:si>
  <x:si>
    <x:t xml:space="preserve">P0075</x:t>
  </x:si>
  <x:si>
    <x:t xml:space="preserve">V001081; V001089; V001091; V001093</x:t>
  </x:si>
  <x:si>
    <x:t xml:space="preserve">V001087</x:t>
  </x:si>
  <x:si>
    <x:t xml:space="preserve">Copolyamide</x:t>
  </x:si>
  <x:si>
    <x:t xml:space="preserve">G061-01; G061-02</x:t>
  </x:si>
  <x:si>
    <x:t xml:space="preserve">Q00214</x:t>
  </x:si>
  <x:si>
    <x:t xml:space="preserve">Q00208; Q00209; Q00210; Q00211; Q00212; Q00213</x:t>
  </x:si>
  <x:si>
    <x:t xml:space="preserve">M062</x:t>
  </x:si>
  <x:si>
    <x:t xml:space="preserve">PA-CF</x:t>
  </x:si>
  <x:si>
    <x:t xml:space="preserve">G062-01</x:t>
  </x:si>
  <x:si>
    <x:t xml:space="preserve">P0144</x:t>
  </x:si>
  <x:si>
    <x:t xml:space="preserve">V001118; V001120; V001121</x:t>
  </x:si>
  <x:si>
    <x:t xml:space="preserve">V001125</x:t>
  </x:si>
  <x:si>
    <x:t xml:space="preserve">Family context in Q00298, Q00299, Q00300</x:t>
  </x:si>
  <x:si>
    <x:t xml:space="preserve">Carbon-Fiber-Reinforced Polyamide</x:t>
  </x:si>
  <x:si>
    <x:t xml:space="preserve">G062-01; G062-02; G062-03</x:t>
  </x:si>
  <x:si>
    <x:t xml:space="preserve">Q00215</x:t>
  </x:si>
  <x:si>
    <x:t xml:space="preserve">Q00298; Q00299; Q00300</x:t>
  </x:si>
  <x:si>
    <x:t xml:space="preserve">M063</x:t>
  </x:si>
  <x:si>
    <x:t xml:space="preserve">PA-GF</x:t>
  </x:si>
  <x:si>
    <x:t xml:space="preserve">G063-01</x:t>
  </x:si>
  <x:si>
    <x:t xml:space="preserve">P0080</x:t>
  </x:si>
  <x:si>
    <x:t xml:space="preserve">V001163; V001165; V001166</x:t>
  </x:si>
  <x:si>
    <x:t xml:space="preserve">V001170</x:t>
  </x:si>
  <x:si>
    <x:t xml:space="preserve">CA0095</x:t>
  </x:si>
  <x:si>
    <x:t xml:space="preserve">Glass-Fiber-Reinforced Polyamide</x:t>
  </x:si>
  <x:si>
    <x:t xml:space="preserve">G063-01; G063-02</x:t>
  </x:si>
  <x:si>
    <x:t xml:space="preserve">Q00222</x:t>
  </x:si>
  <x:si>
    <x:t xml:space="preserve">Q00216; Q00217; Q00218; Q00219; Q00220; Q00221</x:t>
  </x:si>
  <x:si>
    <x:t xml:space="preserve">M064</x:t>
  </x:si>
  <x:si>
    <x:t xml:space="preserve">PA-ESD</x:t>
  </x:si>
  <x:si>
    <x:t xml:space="preserve">G064-01</x:t>
  </x:si>
  <x:si>
    <x:t xml:space="preserve">P0082</x:t>
  </x:si>
  <x:si>
    <x:t xml:space="preserve">V001200</x:t>
  </x:si>
  <x:si>
    <x:t xml:space="preserve">V001207</x:t>
  </x:si>
  <x:si>
    <x:t xml:space="preserve">Electrostatic-Dissipative Polyamide</x:t>
  </x:si>
  <x:si>
    <x:t xml:space="preserve">G064-01; G064-02</x:t>
  </x:si>
  <x:si>
    <x:t xml:space="preserve">Q00223</x:t>
  </x:si>
  <x:si>
    <x:t xml:space="preserve">M065</x:t>
  </x:si>
  <x:si>
    <x:t xml:space="preserve">PA612-ESD</x:t>
  </x:si>
  <x:si>
    <x:t xml:space="preserve">G065-01</x:t>
  </x:si>
  <x:si>
    <x:t xml:space="preserve">280-300 °C Printing speed Up to 300mm/s</x:t>
  </x:si>
  <x:si>
    <x:t xml:space="preserve">40-50 °C Drying temp. and time 100 °C/10H</x:t>
  </x:si>
  <x:si>
    <x:t xml:space="preserve">Room Temp. Annealing temp. and time 100 °C/16H PolySupport™ for PA12</x:t>
  </x:si>
  <x:si>
    <x:t xml:space="preserve">P0084</x:t>
  </x:si>
  <x:si>
    <x:t xml:space="preserve">V001236; V001238; V001240; V001242</x:t>
  </x:si>
  <x:si>
    <x:t xml:space="preserve">Electrostatic-Dissipative Polyamide 612</x:t>
  </x:si>
  <x:si>
    <x:t xml:space="preserve">Q00224</x:t>
  </x:si>
  <x:si>
    <x:t xml:space="preserve">M066</x:t>
  </x:si>
  <x:si>
    <x:t xml:space="preserve">PET</x:t>
  </x:si>
  <x:si>
    <x:t xml:space="preserve">PET Engineering</x:t>
  </x:si>
  <x:si>
    <x:t xml:space="preserve">G066-01</x:t>
  </x:si>
  <x:si>
    <x:t xml:space="preserve">235–260°C</x:t>
  </x:si>
  <x:si>
    <x:t xml:space="preserve">80–90°C</x:t>
  </x:si>
  <x:si>
    <x:t xml:space="preserve">P0085</x:t>
  </x:si>
  <x:si>
    <x:t xml:space="preserve">V001753</x:t>
  </x:si>
  <x:si>
    <x:t xml:space="preserve">Detailed functional prints and high surface quality are intended uses.</x:t>
  </x:si>
  <x:si>
    <x:t xml:space="preserve">Polyethylene Terephthalate</x:t>
  </x:si>
  <x:si>
    <x:t xml:space="preserve">Q00333</x:t>
  </x:si>
  <x:si>
    <x:t xml:space="preserve">M067</x:t>
  </x:si>
  <x:si>
    <x:t xml:space="preserve">PET-CF</x:t>
  </x:si>
  <x:si>
    <x:t xml:space="preserve">G067-01</x:t>
  </x:si>
  <x:si>
    <x:t xml:space="preserve">260 -290 °C</x:t>
  </x:si>
  <x:si>
    <x:t xml:space="preserve">45 -60 °C</x:t>
  </x:si>
  <x:si>
    <x:t xml:space="preserve">P0086</x:t>
  </x:si>
  <x:si>
    <x:t xml:space="preserve">V001264; V001272; V001274; V001276</x:t>
  </x:si>
  <x:si>
    <x:t xml:space="preserve">V001270</x:t>
  </x:si>
  <x:si>
    <x:t xml:space="preserve">CA0060</x:t>
  </x:si>
  <x:si>
    <x:t xml:space="preserve">Carbon-Fiber-Reinforced Polyethylene Terephthalate</x:t>
  </x:si>
  <x:si>
    <x:t xml:space="preserve">M068</x:t>
  </x:si>
  <x:si>
    <x:t xml:space="preserve">PET-GF</x:t>
  </x:si>
  <x:si>
    <x:t xml:space="preserve">G068-01</x:t>
  </x:si>
  <x:si>
    <x:t xml:space="preserve">260–290°C</x:t>
  </x:si>
  <x:si>
    <x:t xml:space="preserve">70–100°C</x:t>
  </x:si>
  <x:si>
    <x:t xml:space="preserve">P0087</x:t>
  </x:si>
  <x:si>
    <x:t xml:space="preserve">Automotive components, electronic housings, jigs and fixtures are manufacturer-proposed applications. No design allowable is supplied.</x:t>
  </x:si>
  <x:si>
    <x:t xml:space="preserve">Glass-Fiber-Reinforced Polyethylene Terephthalate</x:t>
  </x:si>
  <x:si>
    <x:t xml:space="preserve">Q00254</x:t>
  </x:si>
  <x:si>
    <x:t xml:space="preserve">M069</x:t>
  </x:si>
  <x:si>
    <x:t xml:space="preserve">PPA</x:t>
  </x:si>
  <x:si>
    <x:t xml:space="preserve">High-Performance Engineering</x:t>
  </x:si>
  <x:si>
    <x:t xml:space="preserve">G069-01</x:t>
  </x:si>
  <x:si>
    <x:t xml:space="preserve">280 - 310 °C</x:t>
  </x:si>
  <x:si>
    <x:t xml:space="preserve">100 - 120 °C</x:t>
  </x:si>
  <x:si>
    <x:t xml:space="preserve">P0088</x:t>
  </x:si>
  <x:si>
    <x:t xml:space="preserve">V001285; V001292; V001290; V001294</x:t>
  </x:si>
  <x:si>
    <x:t xml:space="preserve">V001289</x:t>
  </x:si>
  <x:si>
    <x:t xml:space="preserve">Heat- and moisture-exposed insulating or wear components are proposed.</x:t>
  </x:si>
  <x:si>
    <x:t xml:space="preserve">Polyphthalamide</x:t>
  </x:si>
  <x:si>
    <x:t xml:space="preserve">Q00327; Q00328</x:t>
  </x:si>
  <x:si>
    <x:t xml:space="preserve">M070</x:t>
  </x:si>
  <x:si>
    <x:t xml:space="preserve">PPA-CF</x:t>
  </x:si>
  <x:si>
    <x:t xml:space="preserve">G070-01</x:t>
  </x:si>
  <x:si>
    <x:t xml:space="preserve">100 - 120°C</x:t>
  </x:si>
  <x:si>
    <x:t xml:space="preserve">P0089</x:t>
  </x:si>
  <x:si>
    <x:t xml:space="preserve">V001302; V001310; V001312; V001314</x:t>
  </x:si>
  <x:si>
    <x:t xml:space="preserve">Not published / All the specimens were not annealed before testing</x:t>
  </x:si>
  <x:si>
    <x:t xml:space="preserve">V001308</x:t>
  </x:si>
  <x:si>
    <x:t xml:space="preserve">CA0061; CA0071</x:t>
  </x:si>
  <x:si>
    <x:t xml:space="preserve">Carbon-Fiber-Reinforced Polyphthalamide</x:t>
  </x:si>
  <x:si>
    <x:t xml:space="preserve">Q00232</x:t>
  </x:si>
  <x:si>
    <x:t xml:space="preserve">Q00227; Q00228; Q00229; Q00230</x:t>
  </x:si>
  <x:si>
    <x:t xml:space="preserve">M071</x:t>
  </x:si>
  <x:si>
    <x:t xml:space="preserve">PPA-GF</x:t>
  </x:si>
  <x:si>
    <x:t xml:space="preserve">G071-01</x:t>
  </x:si>
  <x:si>
    <x:t xml:space="preserve">P0090</x:t>
  </x:si>
  <x:si>
    <x:t xml:space="preserve">V001322; V001329; V001327; V001331</x:t>
  </x:si>
  <x:si>
    <x:t xml:space="preserve">V001326</x:t>
  </x:si>
  <x:si>
    <x:t xml:space="preserve">Insulating parts for machinery, electronics and automotive temperature exposure.</x:t>
  </x:si>
  <x:si>
    <x:t xml:space="preserve">Glass-Fiber-Reinforced Polyphthalamide</x:t>
  </x:si>
  <x:si>
    <x:t xml:space="preserve">Q00329</x:t>
  </x:si>
  <x:si>
    <x:t xml:space="preserve">Q00330</x:t>
  </x:si>
  <x:si>
    <x:t xml:space="preserve">M072</x:t>
  </x:si>
  <x:si>
    <x:t xml:space="preserve">PPS</x:t>
  </x:si>
  <x:si>
    <x:t xml:space="preserve">G072-01</x:t>
  </x:si>
  <x:si>
    <x:t xml:space="preserve">315-345°C</x:t>
  </x:si>
  <x:si>
    <x:t xml:space="preserve">120-160°C</x:t>
  </x:si>
  <x:si>
    <x:t xml:space="preserve">Recommended, up to 50-90°C if available on your printer</x:t>
  </x:si>
  <x:si>
    <x:t xml:space="preserve">P0145</x:t>
  </x:si>
  <x:si>
    <x:t xml:space="preserve">V001339; V001341; V001342</x:t>
  </x:si>
  <x:si>
    <x:t xml:space="preserve">V001346</x:t>
  </x:si>
  <x:si>
    <x:t xml:space="preserve">Polyphenylene Sulfide</x:t>
  </x:si>
  <x:si>
    <x:t xml:space="preserve">G072-01; G072-02</x:t>
  </x:si>
  <x:si>
    <x:t xml:space="preserve">M073</x:t>
  </x:si>
  <x:si>
    <x:t xml:space="preserve">PPS-CF</x:t>
  </x:si>
  <x:si>
    <x:t xml:space="preserve">G073-01</x:t>
  </x:si>
  <x:si>
    <x:t xml:space="preserve">310 -340 °C</x:t>
  </x:si>
  <x:si>
    <x:t xml:space="preserve">100 -120 °C</x:t>
  </x:si>
  <x:si>
    <x:t xml:space="preserve">P0093</x:t>
  </x:si>
  <x:si>
    <x:t xml:space="preserve">V001353; V001361; V001363; V001365</x:t>
  </x:si>
  <x:si>
    <x:t xml:space="preserve">V001359</x:t>
  </x:si>
  <x:si>
    <x:t xml:space="preserve">CA0062; CA0093</x:t>
  </x:si>
  <x:si>
    <x:t xml:space="preserve">Carbon-Fiber-Reinforced Polyphenylene Sulfide</x:t>
  </x:si>
  <x:si>
    <x:t xml:space="preserve">Q00233</x:t>
  </x:si>
  <x:si>
    <x:t xml:space="preserve">M074</x:t>
  </x:si>
  <x:si>
    <x:t xml:space="preserve">PPS-GF</x:t>
  </x:si>
  <x:si>
    <x:t xml:space="preserve">G074-01</x:t>
  </x:si>
  <x:si>
    <x:t xml:space="preserve">320 -360 °C</x:t>
  </x:si>
  <x:si>
    <x:t xml:space="preserve">60 - 120 °C</x:t>
  </x:si>
  <x:si>
    <x:t xml:space="preserve">P0094</x:t>
  </x:si>
  <x:si>
    <x:t xml:space="preserve">V001374; V001381; V001379; V001383</x:t>
  </x:si>
  <x:si>
    <x:t xml:space="preserve">V001378</x:t>
  </x:si>
  <x:si>
    <x:t xml:space="preserve">Glass-Fiber-Reinforced Polyphenylene Sulfide</x:t>
  </x:si>
  <x:si>
    <x:t xml:space="preserve">G074-01; G074-02</x:t>
  </x:si>
  <x:si>
    <x:t xml:space="preserve">M075</x:t>
  </x:si>
  <x:si>
    <x:t xml:space="preserve">PVA</x:t>
  </x:si>
  <x:si>
    <x:t xml:space="preserve">Support / Soluble</x:t>
  </x:si>
  <x:si>
    <x:t xml:space="preserve">G075-01</x:t>
  </x:si>
  <x:si>
    <x:t xml:space="preserve">35 -45°C</x:t>
  </x:si>
  <x:si>
    <x:t xml:space="preserve">P0096; Q00361</x:t>
  </x:si>
  <x:si>
    <x:t xml:space="preserve">V001406</x:t>
  </x:si>
  <x:si>
    <x:t xml:space="preserve">CA0063</x:t>
  </x:si>
  <x:si>
    <x:t xml:space="preserve">Family context in Q00310, Q00311, Q00312</x:t>
  </x:si>
  <x:si>
    <x:t xml:space="preserve">Polyvinyl Alcohol</x:t>
  </x:si>
  <x:si>
    <x:t xml:space="preserve">Support/interface</x:t>
  </x:si>
  <x:si>
    <x:t xml:space="preserve">Q00312</x:t>
  </x:si>
  <x:si>
    <x:t xml:space="preserve">Q00311</x:t>
  </x:si>
  <x:si>
    <x:t xml:space="preserve">M076</x:t>
  </x:si>
  <x:si>
    <x:t xml:space="preserve">BVOH</x:t>
  </x:si>
  <x:si>
    <x:t xml:space="preserve">G076-01</x:t>
  </x:si>
  <x:si>
    <x:t xml:space="preserve">190 - 210 °C</x:t>
  </x:si>
  <x:si>
    <x:t xml:space="preserve">&gt;60 °C</x:t>
  </x:si>
  <x:si>
    <x:t xml:space="preserve">P0097; Q00362</x:t>
  </x:si>
  <x:si>
    <x:t xml:space="preserve">V001418</x:t>
  </x:si>
  <x:si>
    <x:t xml:space="preserve">Butenediol Vinyl Alcohol Copolymer</x:t>
  </x:si>
  <x:si>
    <x:t xml:space="preserve">Q00310; Q00311; Q00312</x:t>
  </x:si>
  <x:si>
    <x:t xml:space="preserve">M077</x:t>
  </x:si>
  <x:si>
    <x:t xml:space="preserve">Support for PLA</x:t>
  </x:si>
  <x:si>
    <x:t xml:space="preserve">Support / Interface</x:t>
  </x:si>
  <x:si>
    <x:t xml:space="preserve">Support Material for PLA</x:t>
  </x:si>
  <x:si>
    <x:t xml:space="preserve">Support</x:t>
  </x:si>
  <x:si>
    <x:t xml:space="preserve">M078</x:t>
  </x:si>
  <x:si>
    <x:t xml:space="preserve">Support for PLA/PETG</x:t>
  </x:si>
  <x:si>
    <x:t xml:space="preserve">G078-01</x:t>
  </x:si>
  <x:si>
    <x:t xml:space="preserve">190 - 240°C</x:t>
  </x:si>
  <x:si>
    <x:t xml:space="preserve">35 - 60°C</x:t>
  </x:si>
  <x:si>
    <x:t xml:space="preserve">P0098</x:t>
  </x:si>
  <x:si>
    <x:t xml:space="preserve">V001427</x:t>
  </x:si>
  <x:si>
    <x:t xml:space="preserve">CA0064; CA0076</x:t>
  </x:si>
  <x:si>
    <x:t xml:space="preserve">Support Material for PLA and PETG</x:t>
  </x:si>
  <x:si>
    <x:t xml:space="preserve">M079</x:t>
  </x:si>
  <x:si>
    <x:t xml:space="preserve">Support for ABS</x:t>
  </x:si>
  <x:si>
    <x:t xml:space="preserve">G079-01</x:t>
  </x:si>
  <x:si>
    <x:t xml:space="preserve">P0099</x:t>
  </x:si>
  <x:si>
    <x:t xml:space="preserve">V001439</x:t>
  </x:si>
  <x:si>
    <x:t xml:space="preserve">CA0065</x:t>
  </x:si>
  <x:si>
    <x:t xml:space="preserve">Support Material for ABS</x:t>
  </x:si>
  <x:si>
    <x:t xml:space="preserve">Q00237; Q00238; Q00239; Q00240</x:t>
  </x:si>
  <x:si>
    <x:t xml:space="preserve">M080</x:t>
  </x:si>
  <x:si>
    <x:t xml:space="preserve">Support for PA/PET</x:t>
  </x:si>
  <x:si>
    <x:t xml:space="preserve">G080-01</x:t>
  </x:si>
  <x:si>
    <x:t xml:space="preserve">P0100</x:t>
  </x:si>
  <x:si>
    <x:t xml:space="preserve">V001458</x:t>
  </x:si>
  <x:si>
    <x:t xml:space="preserve">Support Material for PA and PET</x:t>
  </x:si>
  <x:si>
    <x:t xml:space="preserve">M081</x:t>
  </x:si>
  <x:si>
    <x:t xml:space="preserve">HIPS</x:t>
  </x:si>
  <x:si>
    <x:t xml:space="preserve">Styrenics</x:t>
  </x:si>
  <x:si>
    <x:t xml:space="preserve">G081-01</x:t>
  </x:si>
  <x:si>
    <x:t xml:space="preserve">220-235C</x:t>
  </x:si>
  <x:si>
    <x:t xml:space="preserve">P0146</x:t>
  </x:si>
  <x:si>
    <x:t xml:space="preserve">V001470; V001472; V001473</x:t>
  </x:si>
  <x:si>
    <x:t xml:space="preserve">V001477</x:t>
  </x:si>
  <x:si>
    <x:t xml:space="preserve">CA0100</x:t>
  </x:si>
  <x:si>
    <x:t xml:space="preserve">Support interfaces and low-cost styrenic prototypes after checking the model/solvent pair.</x:t>
  </x:si>
  <x:si>
    <x:t xml:space="preserve">High-Impact Polystyrene</x:t>
  </x:si>
  <x:si>
    <x:t xml:space="preserve">G081-01; G081-02</x:t>
  </x:si>
  <x:si>
    <x:t xml:space="preserve">Q00308; Q00309</x:t>
  </x:si>
  <x:si>
    <x:t xml:space="preserve">Q00351</x:t>
  </x:si>
  <x:si>
    <x:t xml:space="preserve">M082</x:t>
  </x:si>
  <x:si>
    <x:t xml:space="preserve">PP</x:t>
  </x:si>
  <x:si>
    <x:t xml:space="preserve">Polyolefins</x:t>
  </x:si>
  <x:si>
    <x:t xml:space="preserve">G082-01</x:t>
  </x:si>
  <x:si>
    <x:t xml:space="preserve">P0103; Q00360</x:t>
  </x:si>
  <x:si>
    <x:t xml:space="preserve">V001490; V001492; V001493</x:t>
  </x:si>
  <x:si>
    <x:t xml:space="preserve">V001496</x:t>
  </x:si>
  <x:si>
    <x:t xml:space="preserve">Low-density parts and chemically exposed prototypes; verify exact exposure.</x:t>
  </x:si>
  <x:si>
    <x:t xml:space="preserve">Polypropylene</x:t>
  </x:si>
  <x:si>
    <x:t xml:space="preserve">G082-01; G082-02</x:t>
  </x:si>
  <x:si>
    <x:t xml:space="preserve">Q00304; Q00306</x:t>
  </x:si>
  <x:si>
    <x:t xml:space="preserve">Q00304; Q00305; Q00306</x:t>
  </x:si>
  <x:si>
    <x:t xml:space="preserve">M083</x:t>
  </x:si>
  <x:si>
    <x:t xml:space="preserve">PP-CF</x:t>
  </x:si>
  <x:si>
    <x:t xml:space="preserve">G083-01</x:t>
  </x:si>
  <x:si>
    <x:t xml:space="preserve">240-270C</x:t>
  </x:si>
  <x:si>
    <x:t xml:space="preserve">45-65C</x:t>
  </x:si>
  <x:si>
    <x:t xml:space="preserve">Not Required</x:t>
  </x:si>
  <x:si>
    <x:t xml:space="preserve">P0147</x:t>
  </x:si>
  <x:si>
    <x:t xml:space="preserve">V001502; V001504; V001505</x:t>
  </x:si>
  <x:si>
    <x:t xml:space="preserve">V001508</x:t>
  </x:si>
  <x:si>
    <x:t xml:space="preserve">Family context in Q00304, Q00305, Q00306</x:t>
  </x:si>
  <x:si>
    <x:t xml:space="preserve">Carbon-Fiber-Reinforced Polypropylene</x:t>
  </x:si>
  <x:si>
    <x:t xml:space="preserve">M084</x:t>
  </x:si>
  <x:si>
    <x:t xml:space="preserve">PP-GF</x:t>
  </x:si>
  <x:si>
    <x:t xml:space="preserve">G084-01</x:t>
  </x:si>
  <x:si>
    <x:t xml:space="preserve">P0106</x:t>
  </x:si>
  <x:si>
    <x:t xml:space="preserve">V001509; V001511; V001512</x:t>
  </x:si>
  <x:si>
    <x:t xml:space="preserve">V001515</x:t>
  </x:si>
  <x:si>
    <x:t xml:space="preserve">Glass-Fiber-Reinforced Polypropylene</x:t>
  </x:si>
  <x:si>
    <x:t xml:space="preserve">M085</x:t>
  </x:si>
  <x:si>
    <x:t xml:space="preserve">PE</x:t>
  </x:si>
  <x:si>
    <x:t xml:space="preserve">G085-01</x:t>
  </x:si>
  <x:si>
    <x:t xml:space="preserve">240-290°C STORAGE AND SHELF LIFE</x:t>
  </x:si>
  <x:si>
    <x:t xml:space="preserve">80-100°C Filament should be stored in a dr y room at room</x:t>
  </x:si>
  <x:si>
    <x:t xml:space="preserve">P0107</x:t>
  </x:si>
  <x:si>
    <x:t xml:space="preserve">V001516</x:t>
  </x:si>
  <x:si>
    <x:t xml:space="preserve">Polyethylene</x:t>
  </x:si>
  <x:si>
    <x:t xml:space="preserve">M086</x:t>
  </x:si>
  <x:si>
    <x:t xml:space="preserve">OBC</x:t>
  </x:si>
  <x:si>
    <x:t xml:space="preserve">G086-01</x:t>
  </x:si>
  <x:si>
    <x:t xml:space="preserve">180 ±20°C</x:t>
  </x:si>
  <x:si>
    <x:t xml:space="preserve">P0108</x:t>
  </x:si>
  <x:si>
    <x:t xml:space="preserve">V001683</x:t>
  </x:si>
  <x:si>
    <x:t xml:space="preserve">Olefin Block Copolymer</x:t>
  </x:si>
  <x:si>
    <x:t xml:space="preserve">Q00258; Q00259; Q00260; Q00261; Q00262; Q00263; Q00264; Q00265; Q00266; Q00267; Q00268; Q00269; Q00270</x:t>
  </x:si>
  <x:si>
    <x:t xml:space="preserve">M087</x:t>
  </x:si>
  <x:si>
    <x:t xml:space="preserve">POM / Acetal</x:t>
  </x:si>
  <x:si>
    <x:t xml:space="preserve">Acetals</x:t>
  </x:si>
  <x:si>
    <x:t xml:space="preserve">G087-01</x:t>
  </x:si>
  <x:si>
    <x:t xml:space="preserve">190–210°C</x:t>
  </x:si>
  <x:si>
    <x:t xml:space="preserve">120–150°C</x:t>
  </x:si>
  <x:si>
    <x:t xml:space="preserve">P0109</x:t>
  </x:si>
  <x:si>
    <x:t xml:space="preserve">Low-friction gears and snap-fits are proposed applications.</x:t>
  </x:si>
  <x:si>
    <x:t xml:space="preserve">purefil profile bed range extends above H2C limit. Conditional at boundary, not validated.</x:t>
  </x:si>
  <x:si>
    <x:t xml:space="preserve">Polyoxymethylene (Acetal)</x:t>
  </x:si>
  <x:si>
    <x:t xml:space="preserve">POM</x:t>
  </x:si>
  <x:si>
    <x:t xml:space="preserve">Q00321</x:t>
  </x:si>
  <x:si>
    <x:t xml:space="preserve">Q00322; Q00323</x:t>
  </x:si>
  <x:si>
    <x:t xml:space="preserve">M088</x:t>
  </x:si>
  <x:si>
    <x:t xml:space="preserve">PCTG</x:t>
  </x:si>
  <x:si>
    <x:t xml:space="preserve">Copolyesters</x:t>
  </x:si>
  <x:si>
    <x:t xml:space="preserve">G088-01</x:t>
  </x:si>
  <x:si>
    <x:t xml:space="preserve">250-270C</x:t>
  </x:si>
  <x:si>
    <x:t xml:space="preserve">70-90C</x:t>
  </x:si>
  <x:si>
    <x:t xml:space="preserve">P0148</x:t>
  </x:si>
  <x:si>
    <x:t xml:space="preserve">V001523; V001525; V001526</x:t>
  </x:si>
  <x:si>
    <x:t xml:space="preserve">V001531</x:t>
  </x:si>
  <x:si>
    <x:t xml:space="preserve">CA0068</x:t>
  </x:si>
  <x:si>
    <x:t xml:space="preserve">Glycol-Modified Polycyclohexylenedimethylene Terephthalate</x:t>
  </x:si>
  <x:si>
    <x:t xml:space="preserve">G088-01; G088-02</x:t>
  </x:si>
  <x:si>
    <x:t xml:space="preserve">M089</x:t>
  </x:si>
  <x:si>
    <x:t xml:space="preserve">CPE</x:t>
  </x:si>
  <x:si>
    <x:t xml:space="preserve">G089-01</x:t>
  </x:si>
  <x:si>
    <x:t xml:space="preserve">P0112</x:t>
  </x:si>
  <x:si>
    <x:t xml:space="preserve">Functional copolyester parts requiring chemical and mechanical durability.</x:t>
  </x:si>
  <x:si>
    <x:t xml:space="preserve">Generic copolyester umbrella, not one chemistry.</x:t>
  </x:si>
  <x:si>
    <x:t xml:space="preserve">Copolyester</x:t>
  </x:si>
  <x:si>
    <x:t xml:space="preserve">Q00301</x:t>
  </x:si>
  <x:si>
    <x:t xml:space="preserve">Q00303</x:t>
  </x:si>
  <x:si>
    <x:t xml:space="preserve">M090</x:t>
  </x:si>
  <x:si>
    <x:t xml:space="preserve">CPE-CF</x:t>
  </x:si>
  <x:si>
    <x:t xml:space="preserve">G090-01</x:t>
  </x:si>
  <x:si>
    <x:t xml:space="preserve">250–270°C</x:t>
  </x:si>
  <x:si>
    <x:t xml:space="preserve">70–85°C</x:t>
  </x:si>
  <x:si>
    <x:t xml:space="preserve">P0113</x:t>
  </x:si>
  <x:si>
    <x:t xml:space="preserve">V001676</x:t>
  </x:si>
  <x:si>
    <x:t xml:space="preserve">Electrical/electronic components and wear-loaded parts are proposed; long-term load claims have no published creep curve.</x:t>
  </x:si>
  <x:si>
    <x:t xml:space="preserve">Carbon-Fiber-Reinforced Copolyester</x:t>
  </x:si>
  <x:si>
    <x:t xml:space="preserve">G090-01; G090-02</x:t>
  </x:si>
  <x:si>
    <x:t xml:space="preserve">Q00255</x:t>
  </x:si>
  <x:si>
    <x:t xml:space="preserve">Q00257</x:t>
  </x:si>
  <x:si>
    <x:t xml:space="preserve">M091</x:t>
  </x:si>
  <x:si>
    <x:t xml:space="preserve">CoPE</x:t>
  </x:si>
  <x:si>
    <x:t xml:space="preserve">G091-01</x:t>
  </x:si>
  <x:si>
    <x:t xml:space="preserve">P0115</x:t>
  </x:si>
  <x:si>
    <x:t xml:space="preserve">Family context in Q00301, Q00302, Q00303</x:t>
  </x:si>
  <x:si>
    <x:t xml:space="preserve">Same broad term as CPE; separate original scope row.</x:t>
  </x:si>
  <x:si>
    <x:t xml:space="preserve">Q00301; Q00302; Q00303</x:t>
  </x:si>
  <x:si>
    <x:t xml:space="preserve">M092</x:t>
  </x:si>
  <x:si>
    <x:t xml:space="preserve">nGen / Amphora</x:t>
  </x:si>
  <x:si>
    <x:t xml:space="preserve">G092-01</x:t>
  </x:si>
  <x:si>
    <x:t xml:space="preserve">P0116</x:t>
  </x:si>
  <x:si>
    <x:t xml:space="preserve">General copolyester functional parts and decorative translucent items.</x:t>
  </x:si>
  <x:si>
    <x:t xml:space="preserve">nGen uses Eastman Amphora AM3300. Not synonymous with all Amphora formulations.</x:t>
  </x:si>
  <x:si>
    <x:t xml:space="preserve">Amphora-Based Copolyester (nGen Family)</x:t>
  </x:si>
  <x:si>
    <x:t xml:space="preserve">nGen</x:t>
  </x:si>
  <x:si>
    <x:t xml:space="preserve">Q00316</x:t>
  </x:si>
  <x:si>
    <x:t xml:space="preserve">Q00316; Q00317</x:t>
  </x:si>
  <x:si>
    <x:t xml:space="preserve">M093</x:t>
  </x:si>
  <x:si>
    <x:t xml:space="preserve">PVB</x:t>
  </x:si>
  <x:si>
    <x:t xml:space="preserve">PVB / Specialty Polymers</x:t>
  </x:si>
  <x:si>
    <x:t xml:space="preserve">G093-01</x:t>
  </x:si>
  <x:si>
    <x:t xml:space="preserve">215 ±10°C</x:t>
  </x:si>
  <x:si>
    <x:t xml:space="preserve">75 ±5°C</x:t>
  </x:si>
  <x:si>
    <x:t xml:space="preserve">P0117</x:t>
  </x:si>
  <x:si>
    <x:t xml:space="preserve">V001695</x:t>
  </x:si>
  <x:si>
    <x:t xml:space="preserve">V001698</x:t>
  </x:si>
  <x:si>
    <x:t xml:space="preserve">Decorative translucent pieces, vases and lampshades.</x:t>
  </x:si>
  <x:si>
    <x:t xml:space="preserve">Polyvinyl Butyral</x:t>
  </x:si>
  <x:si>
    <x:t xml:space="preserve">Q00313; Q00314</x:t>
  </x:si>
  <x:si>
    <x:t xml:space="preserve">Q00315</x:t>
  </x:si>
  <x:si>
    <x:t xml:space="preserve">M094</x:t>
  </x:si>
  <x:si>
    <x:t xml:space="preserve">PC-ABS</x:t>
  </x:si>
  <x:si>
    <x:t xml:space="preserve">Polymer Blends</x:t>
  </x:si>
  <x:si>
    <x:t xml:space="preserve">G094-01</x:t>
  </x:si>
  <x:si>
    <x:t xml:space="preserve">P0149</x:t>
  </x:si>
  <x:si>
    <x:t xml:space="preserve">V001547; V001549; V001550</x:t>
  </x:si>
  <x:si>
    <x:t xml:space="preserve">V001554</x:t>
  </x:si>
  <x:si>
    <x:t xml:space="preserve">Polycarbonate / Acrylonitrile Butadiene Styrene Blend</x:t>
  </x:si>
  <x:si>
    <x:t xml:space="preserve">G094-01; G094-02; G094-03</x:t>
  </x:si>
  <x:si>
    <x:t xml:space="preserve">Q00242; Q00243; Q00244; Q00245; Q00246; Q00247</x:t>
  </x:si>
  <x:si>
    <x:t xml:space="preserve">Q00348</x:t>
  </x:si>
  <x:si>
    <x:t xml:space="preserve">M095</x:t>
  </x:si>
  <x:si>
    <x:t xml:space="preserve">PC-PBT</x:t>
  </x:si>
  <x:si>
    <x:t xml:space="preserve">G095-01</x:t>
  </x:si>
  <x:si>
    <x:t xml:space="preserve">260 – 280 (℃)</x:t>
  </x:si>
  <x:si>
    <x:t xml:space="preserve">100 - 115 (˚C)</x:t>
  </x:si>
  <x:si>
    <x:t xml:space="preserve">100-110 (˚C)</x:t>
  </x:si>
  <x:si>
    <x:t xml:space="preserve">P0121</x:t>
  </x:si>
  <x:si>
    <x:t xml:space="preserve">V001583; V001591; V001593; V001595</x:t>
  </x:si>
  <x:si>
    <x:t xml:space="preserve">V001589</x:t>
  </x:si>
  <x:si>
    <x:t xml:space="preserve">Polycarbonate / Polybutylene Terephthalate Blend</x:t>
  </x:si>
  <x:si>
    <x:t xml:space="preserve">Q00248; Q00249; Q00250; Q00251; Q00252; Q00253</x:t>
  </x:si>
  <x:si>
    <x:t xml:space="preserve">M096</x:t>
  </x:si>
  <x:si>
    <x:t xml:space="preserve">PVDF</x:t>
  </x:si>
  <x:si>
    <x:t xml:space="preserve">Fluoropolymers</x:t>
  </x:si>
  <x:si>
    <x:t xml:space="preserve">G096-01</x:t>
  </x:si>
  <x:si>
    <x:t xml:space="preserve">245-265C</x:t>
  </x:si>
  <x:si>
    <x:t xml:space="preserve">P0150</x:t>
  </x:si>
  <x:si>
    <x:t xml:space="preserve">V001603; V001605; V001606</x:t>
  </x:si>
  <x:si>
    <x:t xml:space="preserve">V001610</x:t>
  </x:si>
  <x:si>
    <x:t xml:space="preserve">Polyvinylidene Fluoride</x:t>
  </x:si>
  <x:si>
    <x:t xml:space="preserve">M097</x:t>
  </x:si>
  <x:si>
    <x:t xml:space="preserve">PEEK</x:t>
  </x:si>
  <x:si>
    <x:t xml:space="preserve">Industrial High-Temperature - Outside H2C Practical Envelope</x:t>
  </x:si>
  <x:si>
    <x:t xml:space="preserve">Excluded</x:t>
  </x:si>
  <x:si>
    <x:t xml:space="preserve">G097-01</x:t>
  </x:si>
  <x:si>
    <x:t xml:space="preserve">400-480C</x:t>
  </x:si>
  <x:si>
    <x:t xml:space="preserve">140-180C</x:t>
  </x:si>
  <x:si>
    <x:t xml:space="preserve">Recommended 70-140C if possible</x:t>
  </x:si>
  <x:si>
    <x:t xml:space="preserve">P0151</x:t>
  </x:si>
  <x:si>
    <x:t xml:space="preserve">V001611; V001613; V001612; V001614</x:t>
  </x:si>
  <x:si>
    <x:t xml:space="preserve">V001618</x:t>
  </x:si>
  <x:si>
    <x:t xml:space="preserve">Industrial heat-resistant technical parts; printer and end-use qualification required. This entry remains excluded from H2C printing.</x:t>
  </x:si>
  <x:si>
    <x:t xml:space="preserve">Excluded from H2C. Industrial printing profile only.</x:t>
  </x:si>
  <x:si>
    <x:t xml:space="preserve">Polyether Ether Ketone</x:t>
  </x:si>
  <x:si>
    <x:t xml:space="preserve">G097-01; G097-02</x:t>
  </x:si>
  <x:si>
    <x:t xml:space="preserve">Q00335</x:t>
  </x:si>
  <x:si>
    <x:t xml:space="preserve">Q00336</x:t>
  </x:si>
  <x:si>
    <x:t xml:space="preserve">M098</x:t>
  </x:si>
  <x:si>
    <x:t xml:space="preserve">PEKK</x:t>
  </x:si>
  <x:si>
    <x:t xml:space="preserve">G098-01</x:t>
  </x:si>
  <x:si>
    <x:t xml:space="preserve">345-375C</x:t>
  </x:si>
  <x:si>
    <x:t xml:space="preserve">120-140C</x:t>
  </x:si>
  <x:si>
    <x:t xml:space="preserve">Recommended 70-150C if possible</x:t>
  </x:si>
  <x:si>
    <x:t xml:space="preserve">P0152</x:t>
  </x:si>
  <x:si>
    <x:t xml:space="preserve">V001619; V001621; V001620; V001622</x:t>
  </x:si>
  <x:si>
    <x:t xml:space="preserve">V001626</x:t>
  </x:si>
  <x:si>
    <x:t xml:space="preserve">Polyether Ketone Ketone</x:t>
  </x:si>
  <x:si>
    <x:t xml:space="preserve">G098-01; G098-02</x:t>
  </x:si>
  <x:si>
    <x:t xml:space="preserve">Q00337</x:t>
  </x:si>
  <x:si>
    <x:t xml:space="preserve">M099</x:t>
  </x:si>
  <x:si>
    <x:t xml:space="preserve">PEI / ULTEM</x:t>
  </x:si>
  <x:si>
    <x:t xml:space="preserve">G099-01</x:t>
  </x:si>
  <x:si>
    <x:t xml:space="preserve">370-390C</x:t>
  </x:si>
  <x:si>
    <x:t xml:space="preserve">120-160C</x:t>
  </x:si>
  <x:si>
    <x:t xml:space="preserve">P0153</x:t>
  </x:si>
  <x:si>
    <x:t xml:space="preserve">V001635; V001637; V001636; V001638</x:t>
  </x:si>
  <x:si>
    <x:t xml:space="preserve">V001642</x:t>
  </x:si>
  <x:si>
    <x:t xml:space="preserve">Polyetherimide</x:t>
  </x:si>
  <x:si>
    <x:t xml:space="preserve">PEI</x:t>
  </x:si>
  <x:si>
    <x:t xml:space="preserve">G099-01; G099-02</x:t>
  </x:si>
  <x:si>
    <x:t xml:space="preserve">Q00338</x:t>
  </x:si>
  <x:si>
    <x:t xml:space="preserve">Q00339</x:t>
  </x:si>
  <x:si>
    <x:t xml:space="preserve">M100</x:t>
  </x:si>
  <x:si>
    <x:t xml:space="preserve">PSU</x:t>
  </x:si>
  <x:si>
    <x:t xml:space="preserve">G100-01</x:t>
  </x:si>
  <x:si>
    <x:t xml:space="preserve">350-380C</x:t>
  </x:si>
  <x:si>
    <x:t xml:space="preserve">140-160C</x:t>
  </x:si>
  <x:si>
    <x:t xml:space="preserve">P0154</x:t>
  </x:si>
  <x:si>
    <x:t xml:space="preserve">V001643; V001645; V001644; V001646</x:t>
  </x:si>
  <x:si>
    <x:t xml:space="preserve">V001650</x:t>
  </x:si>
  <x:si>
    <x:t xml:space="preserve">Polysulfone</x:t>
  </x:si>
  <x:si>
    <x:t xml:space="preserve">Q00340</x:t>
  </x:si>
  <x:si>
    <x:t xml:space="preserve">Q00341</x:t>
  </x:si>
  <x:si>
    <x:t xml:space="preserve">M101</x:t>
  </x:si>
  <x:si>
    <x:t xml:space="preserve">PESU / PES</x:t>
  </x:si>
  <x:si>
    <x:t xml:space="preserve">G101-01</x:t>
  </x:si>
  <x:si>
    <x:t xml:space="preserve">340-390C</x:t>
  </x:si>
  <x:si>
    <x:t xml:space="preserve">P0155</x:t>
  </x:si>
  <x:si>
    <x:t xml:space="preserve">V001651</x:t>
  </x:si>
  <x:si>
    <x:t xml:space="preserve">Polyethersulfone</x:t>
  </x:si>
  <x:si>
    <x:t xml:space="preserve">PESU</x:t>
  </x:si>
  <x:si>
    <x:t xml:space="preserve">Q00342</x:t>
  </x:si>
  <x:si>
    <x:t xml:space="preserve">M102</x:t>
  </x:si>
  <x:si>
    <x:t xml:space="preserve">PPSU</x:t>
  </x:si>
  <x:si>
    <x:t xml:space="preserve">G102-01</x:t>
  </x:si>
  <x:si>
    <x:t xml:space="preserve">360-390C</x:t>
  </x:si>
  <x:si>
    <x:t xml:space="preserve">P0156</x:t>
  </x:si>
  <x:si>
    <x:t xml:space="preserve">V001659; V001661; V001660; V001662</x:t>
  </x:si>
  <x:si>
    <x:t xml:space="preserve">V001666</x:t>
  </x:si>
  <x:si>
    <x:t xml:space="preserve">Polyphenylsulfone</x:t>
  </x:si>
  <x:si>
    <x:t xml:space="preserve">G102-01; G102-02</x:t>
  </x:si>
  <x:si>
    <x:t xml:space="preserve">Q00343</x:t>
  </x:si>
  <x:si>
    <x:t xml:space="preserve">Q00344</x:t>
  </x:si>
  <x:si>
    <x:t xml:space="preserve">Grades</x:t>
  </x:si>
  <x:si>
    <x:t xml:space="preserve">GradeID</x:t>
  </x:si>
  <x:si>
    <x:t xml:space="preserve">Manufacturer</x:t>
  </x:si>
  <x:si>
    <x:t xml:space="preserve">Product name</x:t>
  </x:si>
  <x:si>
    <x:t xml:space="preserve">Shared formulation key</x:t>
  </x:si>
  <x:si>
    <x:t xml:space="preserve">Composition / filler</x:t>
  </x:si>
  <x:si>
    <x:t xml:space="preserve">Colour caveat</x:t>
  </x:si>
  <x:si>
    <x:t xml:space="preserve">Availability</x:t>
  </x:si>
  <x:si>
    <x:t xml:space="preserve">Certification claims</x:t>
  </x:si>
  <x:si>
    <x:t xml:space="preserve">Selected-grade rationale</x:t>
  </x:si>
  <x:si>
    <x:t xml:space="preserve">SourceID</x:t>
  </x:si>
  <x:si>
    <x:t xml:space="preserve">Source locator</x:t>
  </x:si>
  <x:si>
    <x:t xml:space="preserve">Diameter compatibility</x:t>
  </x:si>
  <x:si>
    <x:t xml:space="preserve">3DXTECH</x:t>
  </x:si>
  <x:si>
    <x:t xml:space="preserve">ECOMAX PLA</x:t>
  </x:si>
  <x:si>
    <x:t xml:space="preserve">X-ECOMAX-PLA-TDS-v3</x:t>
  </x:si>
  <x:si>
    <x:t xml:space="preserve">Properties may vary by colour; use TDS scope</x:t>
  </x:si>
  <x:si>
    <x:t xml:space="preserve">Current official product listing retrieved</x:t>
  </x:si>
  <x:si>
    <x:t xml:space="preserve">Documented commercial formulation; traceable manufacturer evidence</x:t>
  </x:si>
  <x:si>
    <x:t xml:space="preserve">TDS / official product page; current product: XP-ecomax-r-pla</x:t>
  </x:si>
  <x:si>
    <x:t xml:space="preserve">Check 1.75 mm variant; diameter is not part tolerance</x:t>
  </x:si>
  <x:si>
    <x:t xml:space="preserve">G001-02</x:t>
  </x:si>
  <x:si>
    <x:t xml:space="preserve">Polymaker</x:t>
  </x:si>
  <x:si>
    <x:t xml:space="preserve">PolySonic PLA EN V5 3</x:t>
  </x:si>
  <x:si>
    <x:t xml:space="preserve">S-POLYCN-PolySonic-PLA-EN-V5-3-TDS</x:t>
  </x:si>
  <x:si>
    <x:t xml:space="preserve">TDS / official product page</x:t>
  </x:si>
  <x:si>
    <x:t xml:space="preserve">G001-03</x:t>
  </x:si>
  <x:si>
    <x:t xml:space="preserve">iSANMATE</x:t>
  </x:si>
  <x:si>
    <x:t xml:space="preserve">I-PLA-TDS</x:t>
  </x:si>
  <x:si>
    <x:t xml:space="preserve">Bambu Lab</x:t>
  </x:si>
  <x:si>
    <x:t xml:space="preserve">B-pla-basic-filament-TDS</x:t>
  </x:si>
  <x:si>
    <x:t xml:space="preserve">Flammable — verify grade, thickness and certificate; not assembly certification</x:t>
  </x:si>
  <x:si>
    <x:t xml:space="preserve">Exact Bambu product TDS</x:t>
  </x:si>
  <x:si>
    <x:t xml:space="preserve">B-pla-matte-TDS</x:t>
  </x:si>
  <x:si>
    <x:t xml:space="preserve">B-pla-basic-gradient-TDS</x:t>
  </x:si>
  <x:si>
    <x:t xml:space="preserve">Flammable and self-extinguishing in the air — verify grade, thickness and certificate; not assembly certification</x:t>
  </x:si>
  <x:si>
    <x:t xml:space="preserve">B-pla-tough-upgrade-TDS</x:t>
  </x:si>
  <x:si>
    <x:t xml:space="preserve">Polylactic acid</x:t>
  </x:si>
  <x:si>
    <x:t xml:space="preserve">B-pla-translucent-TDS</x:t>
  </x:si>
  <x:si>
    <x:t xml:space="preserve">B-pla-silk-upgrade-TDS</x:t>
  </x:si>
  <x:si>
    <x:t xml:space="preserve">B-pla-silk-dual-color-TDS</x:t>
  </x:si>
  <x:si>
    <x:t xml:space="preserve">B-pla-metal-TDS</x:t>
  </x:si>
  <x:si>
    <x:t xml:space="preserve">B-pla-marble-TDS</x:t>
  </x:si>
  <x:si>
    <x:t xml:space="preserve">B-pla-sparkle-TDS</x:t>
  </x:si>
  <x:si>
    <x:t xml:space="preserve">B-pla-wood-TDS</x:t>
  </x:si>
  <x:si>
    <x:t xml:space="preserve">B-pla-galaxy-TDS</x:t>
  </x:si>
  <x:si>
    <x:t xml:space="preserve">B-pla-glow-TDS</x:t>
  </x:si>
  <x:si>
    <x:t xml:space="preserve">B-pla-aero-TDS</x:t>
  </x:si>
  <x:si>
    <x:t xml:space="preserve">B-pla-cf-TDS</x:t>
  </x:si>
  <x:si>
    <x:t xml:space="preserve">Polylactic acid, carbon fiber</x:t>
  </x:si>
  <x:si>
    <x:t xml:space="preserve">Polymaker HT PLA GF</x:t>
  </x:si>
  <x:si>
    <x:t xml:space="preserve">S-POLYCN-Polymaker-HT-PLA-GF-TDS-EN-V1-1</x:t>
  </x:si>
  <x:si>
    <x:t xml:space="preserve">G019-02</x:t>
  </x:si>
  <x:si>
    <x:t xml:space="preserve">PLA Glass Fiber</x:t>
  </x:si>
  <x:si>
    <x:t xml:space="preserve">I-PLA-Glass-Fiber-Technical-Data-Sheet</x:t>
  </x:si>
  <x:si>
    <x:t xml:space="preserve">Conflict: GF heading, CF description</x:t>
  </x:si>
  <x:si>
    <x:t xml:space="preserve">3DXPRO LG PETG</x:t>
  </x:si>
  <x:si>
    <x:t xml:space="preserve">X-3DXPRO-LG-PETG-TDS-v3</x:t>
  </x:si>
  <x:si>
    <x:t xml:space="preserve">G020-02</x:t>
  </x:si>
  <x:si>
    <x:t xml:space="preserve">PolyLite PETG</x:t>
  </x:si>
  <x:si>
    <x:t xml:space="preserve">S-POLYCN-PolyLite-PETG-TDS-V5-3</x:t>
  </x:si>
  <x:si>
    <x:t xml:space="preserve">G020-03</x:t>
  </x:si>
  <x:si>
    <x:t xml:space="preserve">I-PETG-TDS</x:t>
  </x:si>
  <x:si>
    <x:t xml:space="preserve">B-petg-basic-TDS</x:t>
  </x:si>
  <x:si>
    <x:t xml:space="preserve">B-petg-hf-TDS</x:t>
  </x:si>
  <x:si>
    <x:t xml:space="preserve">B-petg-translucent-TDS</x:t>
  </x:si>
  <x:si>
    <x:t xml:space="preserve">B-petg-cf-TDS</x:t>
  </x:si>
  <x:si>
    <x:t xml:space="preserve">PETG, carbon fiber</x:t>
  </x:si>
  <x:si>
    <x:t xml:space="preserve">PETG Glass Fiber</x:t>
  </x:si>
  <x:si>
    <x:t xml:space="preserve">I-PETG-Glass-Fiber-Technical-Data-Sheet</x:t>
  </x:si>
  <x:si>
    <x:t xml:space="preserve">3DXSTAT ESD PETG</x:t>
  </x:si>
  <x:si>
    <x:t xml:space="preserve">X-3DXSTAT-ESD-PETG-TDS-v03</x:t>
  </x:si>
  <x:si>
    <x:t xml:space="preserve">TDS / official product page; current product: XP-3dxstat-esd-petg-1</x:t>
  </x:si>
  <x:si>
    <x:t xml:space="preserve">G026-02</x:t>
  </x:si>
  <x:si>
    <x:t xml:space="preserve">PolyMax PETG ESD</x:t>
  </x:si>
  <x:si>
    <x:t xml:space="preserve">S-POLYCN-PolyMax-PETG-ESD-TDS-V5-3</x:t>
  </x:si>
  <x:si>
    <x:t xml:space="preserve">G026-03</x:t>
  </x:si>
  <x:si>
    <x:t xml:space="preserve">Spectrum</x:t>
  </x:si>
  <x:si>
    <x:t xml:space="preserve">petg esd</x:t>
  </x:si>
  <x:si>
    <x:t xml:space="preserve">S-SPECTRUM-en-tds-spectrum-petg-esd</x:t>
  </x:si>
  <x:si>
    <x:t xml:space="preserve">B-abs-filament-TDS</x:t>
  </x:si>
  <x:si>
    <x:t xml:space="preserve">B-abs-gf-TDS</x:t>
  </x:si>
  <x:si>
    <x:t xml:space="preserve">Acrylonitrile - butadiene - styrene, glass fiber</x:t>
  </x:si>
  <x:si>
    <x:t xml:space="preserve">CarbonX CF ABS</x:t>
  </x:si>
  <x:si>
    <x:t xml:space="preserve">X-CarbonX-CF-ABS-TDS-v3</x:t>
  </x:si>
  <x:si>
    <x:t xml:space="preserve">TDS / official product page; current product: XP-carbonx-abs-cf-1</x:t>
  </x:si>
  <x:si>
    <x:t xml:space="preserve">G029-02</x:t>
  </x:si>
  <x:si>
    <x:t xml:space="preserve">CF ABS</x:t>
  </x:si>
  <x:si>
    <x:t xml:space="preserve">I-CF-ABS-TDS</x:t>
  </x:si>
  <x:si>
    <x:t xml:space="preserve">3DXSTAT ESD ABS</x:t>
  </x:si>
  <x:si>
    <x:t xml:space="preserve">X-3DXSTAT-ESD-ABS-TDS-v3</x:t>
  </x:si>
  <x:si>
    <x:t xml:space="preserve">TDS / official product page; current product: XP-3dxstat-esd-abs-1</x:t>
  </x:si>
  <x:si>
    <x:t xml:space="preserve">G030-02</x:t>
  </x:si>
  <x:si>
    <x:t xml:space="preserve">ESD ABS</x:t>
  </x:si>
  <x:si>
    <x:t xml:space="preserve">I-ESD-ABS-TDS</x:t>
  </x:si>
  <x:si>
    <x:t xml:space="preserve">B-asa-filament-TDS</x:t>
  </x:si>
  <x:si>
    <x:t xml:space="preserve">acrylonitrile - styrene - acrylate</x:t>
  </x:si>
  <x:si>
    <x:t xml:space="preserve">B-asa-aero-TDS</x:t>
  </x:si>
  <x:si>
    <x:t xml:space="preserve">B-asa-cf-TDS</x:t>
  </x:si>
  <x:si>
    <x:t xml:space="preserve">asax x gf10</x:t>
  </x:si>
  <x:si>
    <x:t xml:space="preserve">S-SPECTRUM-en-tds-spectrum-asax-x-gf10</x:t>
  </x:si>
  <x:si>
    <x:t xml:space="preserve">G034-02</x:t>
  </x:si>
  <x:si>
    <x:t xml:space="preserve">ASA Glass Fiber</x:t>
  </x:si>
  <x:si>
    <x:t xml:space="preserve">I-ASA-Glass-Fiber-Technical-Data-Sheet</x:t>
  </x:si>
  <x:si>
    <x:t xml:space="preserve">B-PC-TDS</x:t>
  </x:si>
  <x:si>
    <x:t xml:space="preserve">B-pc-fr-TDS</x:t>
  </x:si>
  <x:si>
    <x:t xml:space="preserve">CarbonX CF PC</x:t>
  </x:si>
  <x:si>
    <x:t xml:space="preserve">X-CarbonX-CF-PC-TDSv3</x:t>
  </x:si>
  <x:si>
    <x:t xml:space="preserve">TDS / official product page; current product: XP-carbonx-pc-cf-1</x:t>
  </x:si>
  <x:si>
    <x:t xml:space="preserve">G037-02</x:t>
  </x:si>
  <x:si>
    <x:t xml:space="preserve">pc cf</x:t>
  </x:si>
  <x:si>
    <x:t xml:space="preserve">S-SPECTRUM-en-tds-spectrum-pc-cf</x:t>
  </x:si>
  <x:si>
    <x:t xml:space="preserve">G037-03</x:t>
  </x:si>
  <x:si>
    <x:t xml:space="preserve">PC CF</x:t>
  </x:si>
  <x:si>
    <x:t xml:space="preserve">I-PC-CF-TDS</x:t>
  </x:si>
  <x:si>
    <x:t xml:space="preserve">SIDDAMENT</x:t>
  </x:si>
  <x:si>
    <x:t xml:space="preserve">V2 PC-GF</x:t>
  </x:si>
  <x:si>
    <x:t xml:space="preserve">S-PCGF-TDS-1</x:t>
  </x:si>
  <x:si>
    <x:t xml:space="preserve">PolyFlex TPU95</x:t>
  </x:si>
  <x:si>
    <x:t xml:space="preserve">S-POLYCN-PolyFlex-TPU95-TDS-V5-1</x:t>
  </x:si>
  <x:si>
    <x:t xml:space="preserve">G039-02</x:t>
  </x:si>
  <x:si>
    <x:t xml:space="preserve">I-TPU-TDS</x:t>
  </x:si>
  <x:si>
    <x:t xml:space="preserve">B-tpu-for-ams-TDS</x:t>
  </x:si>
  <x:si>
    <x:t xml:space="preserve">Thermoplastic polyurethane</x:t>
  </x:si>
  <x:si>
    <x:t xml:space="preserve">B-tpu-95a-hf-TDS</x:t>
  </x:si>
  <x:si>
    <x:t xml:space="preserve">B-TPU-SOFT-TDS-4</x:t>
  </x:si>
  <x:si>
    <x:t xml:space="preserve">B-TPU-SOFT-TDS-5</x:t>
  </x:si>
  <x:si>
    <x:t xml:space="preserve">BASF Forward AM</x:t>
  </x:si>
  <x:si>
    <x:t xml:space="preserve">Ultrafuse TPC 45D</x:t>
  </x:si>
  <x:si>
    <x:t xml:space="preserve">S-TPC</x:t>
  </x:si>
  <x:si>
    <x:t xml:space="preserve">G044-02</x:t>
  </x:si>
  <x:si>
    <x:t xml:space="preserve">PolyFlex TPU90</x:t>
  </x:si>
  <x:si>
    <x:t xml:space="preserve">S-POLYCN-PolyFlex-TPU90-TDS-V5-1</x:t>
  </x:si>
  <x:si>
    <x:t xml:space="preserve">eSUN</x:t>
  </x:si>
  <x:si>
    <x:t xml:space="preserve">PEBA90A</x:t>
  </x:si>
  <x:si>
    <x:t xml:space="preserve">S-PEBA-PEBA90A-TDS-en</x:t>
  </x:si>
  <x:si>
    <x:t xml:space="preserve">G045-02</x:t>
  </x:si>
  <x:si>
    <x:t xml:space="preserve">peba</x:t>
  </x:si>
  <x:si>
    <x:t xml:space="preserve">S-SPECTRUM-en-tds-spectrum-peba</x:t>
  </x:si>
  <x:si>
    <x:t xml:space="preserve">PolyMide CoPA</x:t>
  </x:si>
  <x:si>
    <x:t xml:space="preserve">S-POLYCN-PolyMide-CoPA-TDS-V5-2</x:t>
  </x:si>
  <x:si>
    <x:t xml:space="preserve">G047-02</x:t>
  </x:si>
  <x:si>
    <x:t xml:space="preserve">AMIDEX PA6 Copolymer v1 0</x:t>
  </x:si>
  <x:si>
    <x:t xml:space="preserve">X-AMIDEX-PA6-Copolymer-v1-0</x:t>
  </x:si>
  <x:si>
    <x:t xml:space="preserve">TDS / official product page; current product: XP-amidex-nylon-6-67</x:t>
  </x:si>
  <x:si>
    <x:t xml:space="preserve">G047-03</x:t>
  </x:si>
  <x:si>
    <x:t xml:space="preserve">pa6 neat bk</x:t>
  </x:si>
  <x:si>
    <x:t xml:space="preserve">S-SPECTRUM-en-tds-spectrum-pa6-neat-bk</x:t>
  </x:si>
  <x:si>
    <x:t xml:space="preserve">B-paht-cf-TDS</x:t>
  </x:si>
  <x:si>
    <x:t xml:space="preserve">PA 12 and other long-chain PA, carbon fiber</x:t>
  </x:si>
  <x:si>
    <x:t xml:space="preserve">B-pa6-cf-TDS</x:t>
  </x:si>
  <x:si>
    <x:t xml:space="preserve">Nylon 6, carbon fiber</x:t>
  </x:si>
  <x:si>
    <x:t xml:space="preserve">B-pa6-gf-TDS</x:t>
  </x:si>
  <x:si>
    <x:t xml:space="preserve">Nylon 6, glass fiber</x:t>
  </x:si>
  <x:si>
    <x:t xml:space="preserve">AMIDEX Nylon 12</x:t>
  </x:si>
  <x:si>
    <x:t xml:space="preserve">S-PA12</x:t>
  </x:si>
  <x:si>
    <x:t xml:space="preserve">TDS / official product page; current product: S-PA12</x:t>
  </x:si>
  <x:si>
    <x:t xml:space="preserve">CarbonX CF PA12</x:t>
  </x:si>
  <x:si>
    <x:t xml:space="preserve">X-CarbonX-CF-PA12-TDS-v1</x:t>
  </x:si>
  <x:si>
    <x:t xml:space="preserve">TDS / official product page; current product: XP-carbonx-nylon-12-cf-1</x:t>
  </x:si>
  <x:si>
    <x:t xml:space="preserve">G053-02</x:t>
  </x:si>
  <x:si>
    <x:t xml:space="preserve">PolyMide PA12 CF</x:t>
  </x:si>
  <x:si>
    <x:t xml:space="preserve">S-POLYCN-PolyMide-PA12-CF-TDS-V5-1-1</x:t>
  </x:si>
  <x:si>
    <x:t xml:space="preserve">G053-03</x:t>
  </x:si>
  <x:si>
    <x:t xml:space="preserve">pa12 cf15</x:t>
  </x:si>
  <x:si>
    <x:t xml:space="preserve">S-SPECTRUM-en-tds-spectrum-pa12-cf15</x:t>
  </x:si>
  <x:si>
    <x:t xml:space="preserve">FIBREX PA12 GF30</x:t>
  </x:si>
  <x:si>
    <x:t xml:space="preserve">X-FIBREX-PA12-GF30-TDS-v1-0</x:t>
  </x:si>
  <x:si>
    <x:t xml:space="preserve">TDS / official product page; current product: XP-fibrex-nylon-12-gf30-1</x:t>
  </x:si>
  <x:si>
    <x:t xml:space="preserve">G057-02</x:t>
  </x:si>
  <x:si>
    <x:t xml:space="preserve">Fiberon PA612-CF15</x:t>
  </x:si>
  <x:si>
    <x:t xml:space="preserve">S-FIBER-PA612</x:t>
  </x:si>
  <x:si>
    <x:t xml:space="preserve">G061-02</x:t>
  </x:si>
  <x:si>
    <x:t xml:space="preserve">G062-02</x:t>
  </x:si>
  <x:si>
    <x:t xml:space="preserve">G062-03</x:t>
  </x:si>
  <x:si>
    <x:t xml:space="preserve">PA6 CF</x:t>
  </x:si>
  <x:si>
    <x:t xml:space="preserve">I-PA6-CF-TDS</x:t>
  </x:si>
  <x:si>
    <x:t xml:space="preserve">AMIDEX Nylon GF30</x:t>
  </x:si>
  <x:si>
    <x:t xml:space="preserve">X-AMIDEX-Nylon-GF30-TDS-v1</x:t>
  </x:si>
  <x:si>
    <x:t xml:space="preserve">G063-02</x:t>
  </x:si>
  <x:si>
    <x:t xml:space="preserve">PolyMide PA6 GF</x:t>
  </x:si>
  <x:si>
    <x:t xml:space="preserve">S-POLYCN-PolyMide-PA6-GF-TDS-V5-1</x:t>
  </x:si>
  <x:si>
    <x:t xml:space="preserve">3DXSTAT ESD PA12</x:t>
  </x:si>
  <x:si>
    <x:t xml:space="preserve">X-3DXSTAT-ESD-PA12-TDS-v1</x:t>
  </x:si>
  <x:si>
    <x:t xml:space="preserve">G064-02</x:t>
  </x:si>
  <x:si>
    <x:t xml:space="preserve">TDS FIBERON PA612 ESD V1 0 EN 1</x:t>
  </x:si>
  <x:si>
    <x:t xml:space="preserve">S-POLYCN-TDS-FIBERON-PA612-ESD-V1-0-EN-1</x:t>
  </x:si>
  <x:si>
    <x:t xml:space="preserve">FormFutura</x:t>
  </x:si>
  <x:si>
    <x:t xml:space="preserve">High Precision PET</x:t>
  </x:si>
  <x:si>
    <x:t xml:space="preserve">S-PET-TDS</x:t>
  </x:si>
  <x:si>
    <x:t xml:space="preserve">B-pet-cf-TDS</x:t>
  </x:si>
  <x:si>
    <x:r>
      <x:rPr>
        <x:sz val="10"/>
        <x:color rgb="FF243447"/>
        <x:rFont val="Arial"/>
      </x:rPr>
      <x:t xml:space="preserve">Polyethylene terephthalate</x:t>
    </x:r>
    <x:r>
      <x:rPr>
        <x:sz val="10"/>
        <x:color rgb="FF243447"/>
        <x:rFont val="Noto Sans CJK SC"/>
        <x:family val="2"/>
      </x:rPr>
      <x:t xml:space="preserve">，</x:t>
    </x:r>
    <x:r>
      <x:rPr>
        <x:sz val="10"/>
        <x:color rgb="FF243447"/>
        <x:rFont val="Arial"/>
      </x:rPr>
      <x:t xml:space="preserve">carbon fiber</x:t>
    </x:r>
  </x:si>
  <x:si>
    <x:t xml:space="preserve">Flashforge</x:t>
  </x:si>
  <x:si>
    <x:t xml:space="preserve">D-FLASH-PETGF</x:t>
  </x:si>
  <x:si>
    <x:t xml:space="preserve">PET with30% glass fibre (manufacturer description)</x:t>
  </x:si>
  <x:si>
    <x:t xml:space="preserve">IPCON</x:t>
  </x:si>
  <x:si>
    <x:t xml:space="preserve">PPA Pure Resin</x:t>
  </x:si>
  <x:si>
    <x:t xml:space="preserve">S-PPA-TDS</x:t>
  </x:si>
  <x:si>
    <x:t xml:space="preserve">B-ppa-cf-TDS</x:t>
  </x:si>
  <x:si>
    <x:t xml:space="preserve">Semi-aromatic Nylon, carbon fiber</x:t>
  </x:si>
  <x:si>
    <x:t xml:space="preserve">D-IPCON-PPA</x:t>
  </x:si>
  <x:si>
    <x:t xml:space="preserve">THERMAX PPS</x:t>
  </x:si>
  <x:si>
    <x:t xml:space="preserve">X-THERMAX-PPS-TDS-v3</x:t>
  </x:si>
  <x:si>
    <x:t xml:space="preserve">TDS / official product page; current product: XP-thermax-pps</x:t>
  </x:si>
  <x:si>
    <x:t xml:space="preserve">G072-02</x:t>
  </x:si>
  <x:si>
    <x:t xml:space="preserve">pps am230</x:t>
  </x:si>
  <x:si>
    <x:t xml:space="preserve">S-SPECTRUM-en-tds-spectrum-pps-am230</x:t>
  </x:si>
  <x:si>
    <x:t xml:space="preserve">B-pps-cf-TDS</x:t>
  </x:si>
  <x:si>
    <x:t xml:space="preserve">Polyphenylene sulfide (PPS), carbon fiber</x:t>
  </x:si>
  <x:si>
    <x:t xml:space="preserve">S-PPSGF-TDS-0</x:t>
  </x:si>
  <x:si>
    <x:t xml:space="preserve">G074-02</x:t>
  </x:si>
  <x:si>
    <x:t xml:space="preserve">Fiberon PPS-GF20</x:t>
  </x:si>
  <x:si>
    <x:t xml:space="preserve">S-FIBER-PPSGF-TDS-2</x:t>
  </x:si>
  <x:si>
    <x:t xml:space="preserve">B-pva-TDS</x:t>
  </x:si>
  <x:si>
    <x:t xml:space="preserve">Polyvinyl alcohol</x:t>
  </x:si>
  <x:si>
    <x:t xml:space="preserve">BigRep</x:t>
  </x:si>
  <x:si>
    <x:t xml:space="preserve">S-BVOH</x:t>
  </x:si>
  <x:si>
    <x:t xml:space="preserve">B-support-for-pla-petg-TDS</x:t>
  </x:si>
  <x:si>
    <x:t xml:space="preserve">B-support-for-abs-TDS</x:t>
  </x:si>
  <x:si>
    <x:t xml:space="preserve">B-support-for-pa-pet-TDS</x:t>
  </x:si>
  <x:si>
    <x:t xml:space="preserve">Nylon</x:t>
  </x:si>
  <x:si>
    <x:t xml:space="preserve">3DXMAX HIPS</x:t>
  </x:si>
  <x:si>
    <x:t xml:space="preserve">X-3DXMAX-HIPS-TDS-v3</x:t>
  </x:si>
  <x:si>
    <x:t xml:space="preserve">TDS / official product page; current product: XP-3dxmax-hips</x:t>
  </x:si>
  <x:si>
    <x:t xml:space="preserve">G081-02</x:t>
  </x:si>
  <x:si>
    <x:t xml:space="preserve">hipsx</x:t>
  </x:si>
  <x:si>
    <x:t xml:space="preserve">S-SPECTRUM-en-tds-spectrum-hipsx</x:t>
  </x:si>
  <x:si>
    <x:t xml:space="preserve">Hyperlite PP</x:t>
  </x:si>
  <x:si>
    <x:t xml:space="preserve">X-Hyperlite-PP-TDS-v1</x:t>
  </x:si>
  <x:si>
    <x:t xml:space="preserve">G082-02</x:t>
  </x:si>
  <x:si>
    <x:t xml:space="preserve">I-PP-TDS</x:t>
  </x:si>
  <x:si>
    <x:t xml:space="preserve">CarbonX CF PP</x:t>
  </x:si>
  <x:si>
    <x:t xml:space="preserve">X-CarbonX-CF-PP-TDSv1</x:t>
  </x:si>
  <x:si>
    <x:t xml:space="preserve">TDS / official product page; current product: XP-carbonx-pp-cf-1</x:t>
  </x:si>
  <x:si>
    <x:t xml:space="preserve">FIBREX GF PP</x:t>
  </x:si>
  <x:si>
    <x:t xml:space="preserve">X-FIBREX-GF-PP-TDS-v1</x:t>
  </x:si>
  <x:si>
    <x:t xml:space="preserve">hdpe</x:t>
  </x:si>
  <x:si>
    <x:t xml:space="preserve">S-SPECTRUM-en-tds-spectrum-hdpe</x:t>
  </x:si>
  <x:si>
    <x:t xml:space="preserve">Dow</x:t>
  </x:si>
  <x:si>
    <x:t xml:space="preserve">EVOLV3D OBC</x:t>
  </x:si>
  <x:si>
    <x:t xml:space="preserve">X-EVOLV3D-OBC-TDS</x:t>
  </x:si>
  <x:si>
    <x:t xml:space="preserve">Fabru / purefil</x:t>
  </x:si>
  <x:si>
    <x:t xml:space="preserve">purefil POM</x:t>
  </x:si>
  <x:si>
    <x:t xml:space="preserve">S-POM</x:t>
  </x:si>
  <x:si>
    <x:t xml:space="preserve">MAXG PCTG</x:t>
  </x:si>
  <x:si>
    <x:t xml:space="preserve">X-MAXG-PCTG-TDS-v1-0</x:t>
  </x:si>
  <x:si>
    <x:t xml:space="preserve">TDS / official product page; current product: XP-max-g-pctg-1</x:t>
  </x:si>
  <x:si>
    <x:t xml:space="preserve">G088-02</x:t>
  </x:si>
  <x:si>
    <x:t xml:space="preserve">pctg</x:t>
  </x:si>
  <x:si>
    <x:t xml:space="preserve">S-SPECTRUM-en-tds-spectrum-pctg</x:t>
  </x:si>
  <x:si>
    <x:t xml:space="preserve">Fillamentum</x:t>
  </x:si>
  <x:si>
    <x:t xml:space="preserve">CPE HG100</x:t>
  </x:si>
  <x:si>
    <x:t xml:space="preserve">S-FILLAMENTUM</x:t>
  </x:si>
  <x:si>
    <x:t xml:space="preserve">CPE CF112 Carbon</x:t>
  </x:si>
  <x:si>
    <x:t xml:space="preserve">S-CPECF</x:t>
  </x:si>
  <x:si>
    <x:t xml:space="preserve">G090-02</x:t>
  </x:si>
  <x:si>
    <x:t xml:space="preserve">pctg cf10</x:t>
  </x:si>
  <x:si>
    <x:t xml:space="preserve">S-SPECTRUM-en-tds-spectrum-pctg-cf10</x:t>
  </x:si>
  <x:si>
    <x:t xml:space="preserve">colorFabb</x:t>
  </x:si>
  <x:si>
    <x:t xml:space="preserve">nGen Amphora AM3300</x:t>
  </x:si>
  <x:si>
    <x:t xml:space="preserve">S-NGEN2</x:t>
  </x:si>
  <x:si>
    <x:t xml:space="preserve">Prusa Research</x:t>
  </x:si>
  <x:si>
    <x:t xml:space="preserve">PVB Prusament</x:t>
  </x:si>
  <x:si>
    <x:t xml:space="preserve">S-PVB-PVB-Prusament-TDS-2021-10-EN</x:t>
  </x:si>
  <x:si>
    <x:t xml:space="preserve">3DXMAX PCABS</x:t>
  </x:si>
  <x:si>
    <x:t xml:space="preserve">X-3DXMAX-PCABS-TDS-v3</x:t>
  </x:si>
  <x:si>
    <x:t xml:space="preserve">TDS / official product page; current product: XP-3dxmaxa-r-pc-abs</x:t>
  </x:si>
  <x:si>
    <x:t xml:space="preserve">G094-02</x:t>
  </x:si>
  <x:si>
    <x:t xml:space="preserve">Polymaker PC ABS</x:t>
  </x:si>
  <x:si>
    <x:t xml:space="preserve">S-POLYCN-Polymaker-PC-ABS-TDS-V5-1</x:t>
  </x:si>
  <x:si>
    <x:t xml:space="preserve">G094-03</x:t>
  </x:si>
  <x:si>
    <x:t xml:space="preserve">pc abs fr v0</x:t>
  </x:si>
  <x:si>
    <x:t xml:space="preserve">S-SPECTRUM-en-tds-spectrum-pc-abs-fr-v0</x:t>
  </x:si>
  <x:si>
    <x:t xml:space="preserve">Polymaker PC PBT</x:t>
  </x:si>
  <x:si>
    <x:t xml:space="preserve">S-POLYCN-Polymaker-PC-PBT-TDS-V5-1</x:t>
  </x:si>
  <x:si>
    <x:t xml:space="preserve">FLUORX PVDF</x:t>
  </x:si>
  <x:si>
    <x:t xml:space="preserve">X-FLUORX-PVDF-TDS-v3</x:t>
  </x:si>
  <x:si>
    <x:t xml:space="preserve">TDS / official product page; current product: XP-fluorx-pvdf-1</x:t>
  </x:si>
  <x:si>
    <x:t xml:space="preserve">Themax PEEK</x:t>
  </x:si>
  <x:si>
    <x:t xml:space="preserve">X-Themax-PEEK-TDS-v3</x:t>
  </x:si>
  <x:si>
    <x:t xml:space="preserve">TDS / official product page; current product: XP-thermax-peek-1</x:t>
  </x:si>
  <x:si>
    <x:t xml:space="preserve">G097-02</x:t>
  </x:si>
  <x:si>
    <x:t xml:space="preserve">I-PEEK-TDS</x:t>
  </x:si>
  <x:si>
    <x:t xml:space="preserve">Thermax PEKK A</x:t>
  </x:si>
  <x:si>
    <x:t xml:space="preserve">X-Thermax-PEKK-A-TDS-v2-1</x:t>
  </x:si>
  <x:si>
    <x:t xml:space="preserve">TDS / official product page; current product: XP-pekk-a</x:t>
  </x:si>
  <x:si>
    <x:t xml:space="preserve">G098-02</x:t>
  </x:si>
  <x:si>
    <x:t xml:space="preserve">Thermax PEKK C</x:t>
  </x:si>
  <x:si>
    <x:t xml:space="preserve">X-Thermax-PEKK-C-TDS-v3-3</x:t>
  </x:si>
  <x:si>
    <x:t xml:space="preserve">THERMAX PEI 1010</x:t>
  </x:si>
  <x:si>
    <x:t xml:space="preserve">X-THERMAX-PEI-1010-TDS-v4</x:t>
  </x:si>
  <x:si>
    <x:t xml:space="preserve">TDS / official product page; current product: XP-thermax-pei-1010</x:t>
  </x:si>
  <x:si>
    <x:t xml:space="preserve">G099-02</x:t>
  </x:si>
  <x:si>
    <x:t xml:space="preserve">PEI 9085</x:t>
  </x:si>
  <x:si>
    <x:t xml:space="preserve">I-PEI-9085-TDS</x:t>
  </x:si>
  <x:si>
    <x:t xml:space="preserve">THERMAX PSU</x:t>
  </x:si>
  <x:si>
    <x:t xml:space="preserve">X-THERMAX-PSU-TDS-v3</x:t>
  </x:si>
  <x:si>
    <x:t xml:space="preserve">TDS / official product page; current product: XP-thermax-psu-1</x:t>
  </x:si>
  <x:si>
    <x:t xml:space="preserve">THERMAX PES</x:t>
  </x:si>
  <x:si>
    <x:t xml:space="preserve">S-PES-THERMAX-PES-TDS-v1-0</x:t>
  </x:si>
  <x:si>
    <x:t xml:space="preserve">TDS / official product page; current product: S-PES</x:t>
  </x:si>
  <x:si>
    <x:t xml:space="preserve">THERMAX PPSU</x:t>
  </x:si>
  <x:si>
    <x:t xml:space="preserve">X-THERMAX-PPSU-TDS-v3</x:t>
  </x:si>
  <x:si>
    <x:t xml:space="preserve">TDS / official product page; current product: XP-thermax-ppsu-1</x:t>
  </x:si>
  <x:si>
    <x:t xml:space="preserve">G102-02</x:t>
  </x:si>
  <x:si>
    <x:t xml:space="preserve">I-PPSU-TDS</x:t>
  </x:si>
  <x:si>
    <x:t xml:space="preserve">G031-R1</x:t>
  </x:si>
  <x:si>
    <x:t xml:space="preserve">Stratasys</x:t>
  </x:si>
  <x:si>
    <x:t xml:space="preserve">355-02141 (ASA)</x:t>
  </x:si>
  <x:si>
    <x:t xml:space="preserve">P-FATIGUE-355-02141</x:t>
  </x:si>
  <x:si>
    <x:t xml:space="preserve">White</x:t>
  </x:si>
  <x:si>
    <x:t xml:space="preserve">Research specimen grade; Canadian stock not sampled</x:t>
  </x:si>
  <x:si>
    <x:t xml:space="preserve">Supplemental fatigue-study grade, outside the up-to-three procurement-grade sample</x:t>
  </x:si>
  <x:si>
    <x:t xml:space="preserve">P-FATIGUE</x:t>
  </x:si>
  <x:si>
    <x:t xml:space="preserve">Table 2; §§2.2–2.3</x:t>
  </x:si>
  <x:si>
    <x:t xml:space="preserve">Research evidence only; not an H2C feeding approval</x:t>
  </x:si>
  <x:si>
    <x:t xml:space="preserve">G035-R1</x:t>
  </x:si>
  <x:si>
    <x:t xml:space="preserve">355-02210 (PC)</x:t>
  </x:si>
  <x:si>
    <x:t xml:space="preserve">P-FATIGUE-355-02210</x:t>
  </x:si>
  <x:si>
    <x:t xml:space="preserve">G052-R1</x:t>
  </x:si>
  <x:si>
    <x:t xml:space="preserve">310-21800 (PA12)</x:t>
  </x:si>
  <x:si>
    <x:t xml:space="preserve">P-FATIGUE-310-21800</x:t>
  </x:si>
  <x:si>
    <x:t xml:space="preserve">Black</x:t>
  </x:si>
  <x:si>
    <x:t xml:space="preserve">G094-R1</x:t>
  </x:si>
  <x:si>
    <x:t xml:space="preserve">310-20500 (PC-ABS)</x:t>
  </x:si>
  <x:si>
    <x:t xml:space="preserve">P-FATIGUE-310-20500</x:t>
  </x:si>
  <x:si>
    <x:t xml:space="preserve">Print setup</x:t>
  </x:si>
  <x:si>
    <x:t xml:space="preserve">ProfileID</x:t>
  </x:si>
  <x:si>
    <x:t xml:space="preserve">Profile</x:t>
  </x:si>
  <x:si>
    <x:t xml:space="preserve">Nozzle °C</x:t>
  </x:si>
  <x:si>
    <x:t xml:space="preserve">Bed °C</x:t>
  </x:si>
  <x:si>
    <x:t xml:space="preserve">Chamber °C</x:t>
  </x:si>
  <x:si>
    <x:t xml:space="preserve">Enclosure</x:t>
  </x:si>
  <x:si>
    <x:t xml:space="preserve">Plate</x:t>
  </x:si>
  <x:si>
    <x:t xml:space="preserve">Adhesion / release</x:t>
  </x:si>
  <x:si>
    <x:t xml:space="preserve">Cooling</x:t>
  </x:si>
  <x:si>
    <x:t xml:space="preserve">Speed</x:t>
  </x:si>
  <x:si>
    <x:t xml:space="preserve">Volumetric limit</x:t>
  </x:si>
  <x:si>
    <x:t xml:space="preserve">Drying</x:t>
  </x:si>
  <x:si>
    <x:t xml:space="preserve">Storage humidity</x:t>
  </x:si>
  <x:si>
    <x:t xml:space="preserve">Nozzle material</x:t>
  </x:si>
  <x:si>
    <x:t xml:space="preserve">Nozzle diameter</x:t>
  </x:si>
  <x:si>
    <x:t xml:space="preserve">Abrasion / clogging</x:t>
  </x:si>
  <x:si>
    <x:t xml:space="preserve">H2C left</x:t>
  </x:si>
  <x:si>
    <x:t xml:space="preserve">H2C right</x:t>
  </x:si>
  <x:si>
    <x:t xml:space="preserve">AMS 2 Pro</x:t>
  </x:si>
  <x:si>
    <x:t xml:space="preserve">AMS HT</x:t>
  </x:si>
  <x:si>
    <x:t xml:space="preserve">AMS published</x:t>
  </x:si>
  <x:si>
    <x:t xml:space="preserve">Temperature-group conflict</x:t>
  </x:si>
  <x:si>
    <x:t xml:space="preserve">Support pairing</x:t>
  </x:si>
  <x:si>
    <x:t xml:space="preserve">Difficulty</x:t>
  </x:si>
  <x:si>
    <x:t xml:space="preserve">Warping / shrinkage</x:t>
  </x:si>
  <x:si>
    <x:t xml:space="preserve">Stringing</x:t>
  </x:si>
  <x:si>
    <x:t xml:space="preserve">Bridging</x:t>
  </x:si>
  <x:si>
    <x:t xml:space="preserve">Overhang</x:t>
  </x:si>
  <x:si>
    <x:t xml:space="preserve">Detail / tolerance</x:t>
  </x:si>
  <x:si>
    <x:t xml:space="preserve">Surface finish</x:t>
  </x:si>
  <x:si>
    <x:t xml:space="preserve">Layer adhesion</x:t>
  </x:si>
  <x:si>
    <x:t xml:space="preserve">Odour / emissions</x:t>
  </x:si>
  <x:si>
    <x:t xml:space="preserve">Failure modes</x:t>
  </x:si>
  <x:si>
    <x:t xml:space="preserve">H2C SourceID</x:t>
  </x:si>
  <x:si>
    <x:t xml:space="preserve">Locator</x:t>
  </x:si>
  <x:si>
    <x:t xml:space="preserve">P0001</x:t>
  </x:si>
  <x:si>
    <x:t xml:space="preserve">Manufacturer published guidance</x:t>
  </x:si>
  <x:si>
    <x:t xml:space="preserve">Verify exact grade/nozzle; no blanket approval</x:t>
  </x:si>
  <x:si>
    <x:t xml:space="preserve">Not verified for every grade</x:t>
  </x:si>
  <x:si>
    <x:t xml:space="preserve">Do not combine high- and low-temperature materials; low-temperature chamber guide limit 45°C. Grade-specific verification required.</x:t>
  </x:si>
  <x:si>
    <x:t xml:space="preserve">H2C-WIKI</x:t>
  </x:si>
  <x:si>
    <x:t xml:space="preserve">Recommended printing settings</x:t>
  </x:si>
  <x:si>
    <x:t xml:space="preserve">P0002</x:t>
  </x:si>
  <x:si>
    <x:t xml:space="preserve">Classic :190-210 °C</x:t>
  </x:si>
  <x:si>
    <x:t xml:space="preserve">30 - 60 (˚C)</x:t>
  </x:si>
  <x:si>
    <x:t xml:space="preserve">Glue when needed</x:t>
  </x:si>
  <x:si>
    <x:t xml:space="preserve">100%</x:t>
  </x:si>
  <x:si>
    <x:t xml:space="preserve">Classic :50-100mm/s</x:t>
  </x:si>
  <x:si>
    <x:t xml:space="preserve">material PolySupport™ and PolyDissolve™ S1</x:t>
  </x:si>
  <x:si>
    <x:t xml:space="preserve">P0003</x:t>
  </x:si>
  <x:si>
    <x:t xml:space="preserve">190 -220 ºC</x:t>
  </x:si>
  <x:si>
    <x:t xml:space="preserve">0-50 ºC</x:t>
  </x:si>
  <x:si>
    <x:t xml:space="preserve">0-40 °C</x:t>
  </x:si>
  <x:si>
    <x:t xml:space="preserve">0- 100%</x:t>
  </x:si>
  <x:si>
    <x:t xml:space="preserve">30-70 mm/s</x:t>
  </x:si>
  <x:si>
    <x:t xml:space="preserve">Cool Plate, High Temperature Plate or</x:t>
  </x:si>
  <x:si>
    <x:t xml:space="preserve">Glue</x:t>
  </x:si>
  <x:si>
    <x:t xml:space="preserve">Turn on</x:t>
  </x:si>
  <x:si>
    <x:r>
      <x:rPr>
        <x:sz val="10"/>
        <x:color rgb="FF243447"/>
        <x:rFont val="Arial"/>
      </x:rPr>
      <x:t xml:space="preserve">Blast Drying Oven: 50 °C</x:t>
    </x:r>
    <x:r>
      <x:rPr>
        <x:sz val="10"/>
        <x:color rgb="FF243447"/>
        <x:rFont val="Noto Sans CJK SC"/>
        <x:family val="2"/>
      </x:rPr>
      <x:t xml:space="preserve">， </x:t>
    </x:r>
    <x:r>
      <x:rPr>
        <x:sz val="10"/>
        <x:color rgb="FF243447"/>
        <x:rFont val="Arial"/>
      </x:rPr>
      <x:t xml:space="preserve">8 h</x:t>
    </x:r>
  </x:si>
  <x:si>
    <x:t xml:space="preserve">&lt; 20% RH (Sealed with desiccant)</x:t>
  </x:si>
  <x:si>
    <x:t xml:space="preserve">0.2, 0.4, 0.6, 0.8 mm</x:t>
  </x:si>
  <x:si>
    <x:t xml:space="preserve">&lt; 300 mm/s</x:t>
  </x:si>
  <x:si>
    <x:t xml:space="preserve">55 °C, 8 hours</x:t>
  </x:si>
  <x:si>
    <x:t xml:space="preserve">Angle 55°</x:t>
  </x:si>
  <x:si>
    <x:t xml:space="preserve">Textured PEI Plate / Smooth PEI</x:t>
  </x:si>
  <x:si>
    <x:t xml:space="preserve">＜ 300 mm/s</x:t>
  </x:si>
  <x:si>
    <x:t xml:space="preserve">X1 Series &amp; H2D SeriesPrinter Heatbed:</x:t>
  </x:si>
  <x:si>
    <x:t xml:space="preserve">&lt; 20% RH (Sealed, with desiccant)</x:t>
  </x:si>
  <x:si>
    <x:t xml:space="preserve">0.2, 0.4,0.6, 0.8mm</x:t>
  </x:si>
  <x:si>
    <x:t xml:space="preserve">AMS, AMS 2PRO, AMS HT, AMS Lite</x:t>
  </x:si>
  <x:si>
    <x:t xml:space="preserve">Support forPLA</x:t>
  </x:si>
  <x:si>
    <x:t xml:space="preserve">Length 30 mm</x:t>
  </x:si>
  <x:si>
    <x:t xml:space="preserve">Angle 55 °</x:t>
  </x:si>
  <x:si>
    <x:t xml:space="preserve">Textured PEI Plate /Smooth PEI</x:t>
  </x:si>
  <x:si>
    <x:t xml:space="preserve">＜ 150 mm/s</x:t>
  </x:si>
  <x:si>
    <x:r>
      <x:rPr>
        <x:sz val="10"/>
        <x:color rgb="FF243447"/>
        <x:rFont val="Arial"/>
      </x:rPr>
      <x:t xml:space="preserve">BlastDrying Oven: 50 °C</x:t>
    </x:r>
    <x:r>
      <x:rPr>
        <x:sz val="10"/>
        <x:color rgb="FF243447"/>
        <x:rFont val="Noto Sans CJK SC"/>
        <x:family val="2"/>
      </x:rPr>
      <x:t xml:space="preserve">，</x:t>
    </x:r>
    <x:r>
      <x:rPr>
        <x:sz val="10"/>
        <x:color rgb="FF243447"/>
        <x:rFont val="Arial"/>
      </x:rPr>
      <x:t xml:space="preserve">8 h</x:t>
    </x:r>
  </x:si>
  <x:si>
    <x:t xml:space="preserve">&lt;20% RH (Sealed, with desiccant)</x:t>
  </x:si>
  <x:si>
    <x:t xml:space="preserve">0.2,0.4, 0.6,0.8 mm</x:t>
  </x:si>
  <x:si>
    <x:t xml:space="preserve">Cool Plate SuperTack, Smooth PEI Plate,</x:t>
  </x:si>
  <x:si>
    <x:t xml:space="preserve">&lt; 250 mm/s</x:t>
  </x:si>
  <x:si>
    <x:r>
      <x:rPr>
        <x:sz val="10"/>
        <x:color rgb="FF243447"/>
        <x:rFont val="Arial"/>
      </x:rPr>
      <x:t xml:space="preserve">Blast Drying Oven: 55 °C</x:t>
    </x:r>
    <x:r>
      <x:rPr>
        <x:sz val="10"/>
        <x:color rgb="FF243447"/>
        <x:rFont val="Noto Sans CJK SC"/>
        <x:family val="2"/>
      </x:rPr>
      <x:t xml:space="preserve">，</x:t>
    </x:r>
    <x:r>
      <x:rPr>
        <x:sz val="10"/>
        <x:color rgb="FF243447"/>
        <x:rFont val="Arial"/>
      </x:rPr>
      <x:t xml:space="preserve">8 h</x:t>
    </x:r>
  </x:si>
  <x:si>
    <x:t xml:space="preserve">0.2, 0.4,0.6, 0.8 mm</x:t>
  </x:si>
  <x:si>
    <x:r>
      <x:rPr>
        <x:sz val="10"/>
        <x:color rgb="FF243447"/>
        <x:rFont val="Arial"/>
      </x:rPr>
      <x:t xml:space="preserve">&lt; 20% RH ( Sealed</x:t>
    </x:r>
    <x:r>
      <x:rPr>
        <x:sz val="10"/>
        <x:color rgb="FF243447"/>
        <x:rFont val="Noto Sans CJK SC"/>
        <x:family val="2"/>
      </x:rPr>
      <x:t xml:space="preserve">，</x:t>
    </x:r>
    <x:r>
      <x:rPr>
        <x:sz val="10"/>
        <x:color rgb="FF243447"/>
        <x:rFont val="Arial"/>
      </x:rPr>
      <x:t xml:space="preserve">with desiccant )</x:t>
    </x:r>
  </x:si>
  <x:si>
    <x:t xml:space="preserve">0.2,0.4, 0.6, 0.8 mm</x:t>
  </x:si>
  <x:si>
    <x:t xml:space="preserve">0.4, 0.6, 0.8 mm</x:t>
  </x:si>
  <x:si>
    <x:t xml:space="preserve">PVP Glue</x:t>
  </x:si>
  <x:si>
    <x:t xml:space="preserve">Textured PEI Plate / Smooth PEI Plate</x:t>
  </x:si>
  <x:si>
    <x:t xml:space="preserve">Blast Drying Oven: 55 °C, 8 h</x:t>
  </x:si>
  <x:si>
    <x:t xml:space="preserve">Angle ~ 55 °</x:t>
  </x:si>
  <x:si>
    <x:t xml:space="preserve">&lt;250 mm/s</x:t>
  </x:si>
  <x:si>
    <x:t xml:space="preserve">&lt; 180 mm/s</x:t>
  </x:si>
  <x:si>
    <x:t xml:space="preserve">&lt;20% RH ( Sealed, with desiccant )</x:t>
  </x:si>
  <x:si>
    <x:t xml:space="preserve">&lt; 200 mm/s</x:t>
  </x:si>
  <x:si>
    <x:t xml:space="preserve">&lt; 20% RH ( Sealed, with desiccant )</x:t>
  </x:si>
  <x:si>
    <x:t xml:space="preserve">Use abrasion-resistant nozzle; verify minimum orifice. Fibre concentration and length are grade-specific.</x:t>
  </x:si>
  <x:si>
    <x:t xml:space="preserve">PC and Texture PEI (Glue when needed)</x:t>
  </x:si>
  <x:si>
    <x:t xml:space="preserve">ON</x:t>
  </x:si>
  <x:si>
    <x:t xml:space="preserve">Up to 350 (mm/s)</x:t>
  </x:si>
  <x:si>
    <x:t xml:space="preserve">material -</x:t>
  </x:si>
  <x:si>
    <x:t xml:space="preserve">P0020</x:t>
  </x:si>
  <x:si>
    <x:t xml:space="preserve">P0021</x:t>
  </x:si>
  <x:si>
    <x:t xml:space="preserve">P0022</x:t>
  </x:si>
  <x:si>
    <x:t xml:space="preserve">230 – 240 (℃)</x:t>
  </x:si>
  <x:si>
    <x:t xml:space="preserve">70 - 80 (˚C)</x:t>
  </x:si>
  <x:si>
    <x:t xml:space="preserve">BuildTak® , Glass</x:t>
  </x:si>
  <x:si>
    <x:t xml:space="preserve">OFF-20%</x:t>
  </x:si>
  <x:si>
    <x:t xml:space="preserve">30-50 (mm/s)</x:t>
  </x:si>
  <x:si>
    <x:t xml:space="preserve">material PolyDissolve™ S1</x:t>
  </x:si>
  <x:si>
    <x:t xml:space="preserve">angle 60 (˚)</x:t>
  </x:si>
  <x:si>
    <x:t xml:space="preserve">P0023</x:t>
  </x:si>
  <x:si>
    <x:t xml:space="preserve">210 -235 ºC</x:t>
  </x:si>
  <x:si>
    <x:t xml:space="preserve">50 -80 ºC</x:t>
  </x:si>
  <x:si>
    <x:t xml:space="preserve">50-70 °C</x:t>
  </x:si>
  <x:si>
    <x:t xml:space="preserve">Cool Plate Supertack / Textured PEI Plate /</x:t>
  </x:si>
  <x:si>
    <x:t xml:space="preserve">0 - 60%</x:t>
  </x:si>
  <x:si>
    <x:t xml:space="preserve">＜ 200 mm/s</x:t>
  </x:si>
  <x:si>
    <x:t xml:space="preserve">X1 Series &amp; P Series &amp; H2 Series Printer</x:t>
  </x:si>
  <x:si>
    <x:t xml:space="preserve">AMS, AMS 2 PRO, AMS HT, AMS Lite</x:t>
  </x:si>
  <x:si>
    <x:t xml:space="preserve">Smooth PEI Plate, Textured PEI Plate</x:t>
  </x:si>
  <x:si>
    <x:t xml:space="preserve">0 -60%</x:t>
  </x:si>
  <x:si>
    <x:r>
      <x:rPr>
        <x:sz val="10"/>
        <x:color rgb="FF243447"/>
        <x:rFont val="Arial"/>
      </x:rPr>
      <x:t xml:space="preserve">Blast Drying Oven: 65 °C</x:t>
    </x:r>
    <x:r>
      <x:rPr>
        <x:sz val="10"/>
        <x:color rgb="FF243447"/>
        <x:rFont val="Noto Sans CJK SC"/>
        <x:family val="2"/>
      </x:rPr>
      <x:t xml:space="preserve">，</x:t>
    </x:r>
    <x:r>
      <x:rPr>
        <x:sz val="10"/>
        <x:color rgb="FF243447"/>
        <x:rFont val="Arial"/>
      </x:rPr>
      <x:t xml:space="preserve">8 h</x:t>
    </x:r>
  </x:si>
  <x:si>
    <x:t xml:space="preserve">Engineering Plate, High Temperature</x:t>
  </x:si>
  <x:si>
    <x:t xml:space="preserve">&lt; 220 mm/s</x:t>
  </x:si>
  <x:si>
    <x:t xml:space="preserve">Blast Drying Oven: 65 °C, 8 h</x:t>
  </x:si>
  <x:si>
    <x:t xml:space="preserve">Engineering Plate, High Temperature Plate</x:t>
  </x:si>
  <x:si>
    <x:t xml:space="preserve">Container's Humidity &lt; 20% RH ( Sealed, with desiccant )</x:t>
  </x:si>
  <x:si>
    <x:t xml:space="preserve">P0029</x:t>
  </x:si>
  <x:si>
    <x:t xml:space="preserve">P0030</x:t>
  </x:si>
  <x:si>
    <x:t xml:space="preserve">250-290 (˚C)</x:t>
  </x:si>
  <x:si>
    <x:t xml:space="preserve">70-80 (˚C)</x:t>
  </x:si>
  <x:si>
    <x:t xml:space="preserve">Room temperature-50 (˚C)</x:t>
  </x:si>
  <x:si>
    <x:t xml:space="preserve">BuildTak® , PC film</x:t>
  </x:si>
  <x:si>
    <x:t xml:space="preserve">Glue, Magigoo</x:t>
  </x:si>
  <x:si>
    <x:t xml:space="preserve">material NA</x:t>
  </x:si>
  <x:si>
    <x:t xml:space="preserve">angle 70 (˚)</x:t>
  </x:si>
  <x:si>
    <x:t xml:space="preserve">P0031</x:t>
  </x:si>
  <x:si>
    <x:t xml:space="preserve">230-260°C STORAGE AND SHELF LIFE</x:t>
  </x:si>
  <x:si>
    <x:t xml:space="preserve">60-80°C Filament should be stored in a dr y room at room</x:t>
  </x:si>
  <x:si>
    <x:t xml:space="preserve">for printing not necessary</x:t>
  </x:si>
  <x:si>
    <x:t xml:space="preserve">recommended No</x:t>
  </x:si>
  <x:si>
    <x:t xml:space="preserve">P0032</x:t>
  </x:si>
  <x:si>
    <x:t xml:space="preserve">0 - 80%</x:t>
  </x:si>
  <x:si>
    <x:t xml:space="preserve">Blast Drying Oven: 80 °C, 8 h</x:t>
  </x:si>
  <x:si>
    <x:t xml:space="preserve">Engineering Plate,High Temperature Plate</x:t>
  </x:si>
  <x:si>
    <x:r>
      <x:rPr>
        <x:sz val="10"/>
        <x:color rgb="FF243447"/>
        <x:rFont val="Arial"/>
      </x:rPr>
      <x:t xml:space="preserve">Blast Drying Oven: 80 °C</x:t>
    </x:r>
    <x:r>
      <x:rPr>
        <x:sz val="10"/>
        <x:color rgb="FF243447"/>
        <x:rFont val="Noto Sans CJK SC"/>
        <x:family val="2"/>
      </x:rPr>
      <x:t xml:space="preserve">，</x:t>
    </x:r>
    <x:r>
      <x:rPr>
        <x:sz val="10"/>
        <x:color rgb="FF243447"/>
        <x:rFont val="Arial"/>
      </x:rPr>
      <x:t xml:space="preserve">8 h</x:t>
    </x:r>
  </x:si>
  <x:si>
    <x:t xml:space="preserve">0.4,0.6 ( recommended ),0.8 mm</x:t>
  </x:si>
  <x:si>
    <x:t xml:space="preserve">P0034</x:t>
  </x:si>
  <x:si>
    <x:t xml:space="preserve">P0035</x:t>
  </x:si>
  <x:si>
    <x:t xml:space="preserve">220 -240 ºC</x:t>
  </x:si>
  <x:si>
    <x:t xml:space="preserve">100- 110 ºC</x:t>
  </x:si>
  <x:si>
    <x:t xml:space="preserve">30-60 mm/s</x:t>
  </x:si>
  <x:si>
    <x:t xml:space="preserve">P0036</x:t>
  </x:si>
  <x:si>
    <x:t xml:space="preserve">P0037</x:t>
  </x:si>
  <x:si>
    <x:t xml:space="preserve">30-100mm/s, Filling Rate 100%, Filling Angle ±45°</x:t>
  </x:si>
  <x:si>
    <x:t xml:space="preserve">P0038</x:t>
  </x:si>
  <x:si>
    <x:t xml:space="preserve">Length ~ 40 mm</x:t>
  </x:si>
  <x:si>
    <x:t xml:space="preserve">Angle ~ 70°</x:t>
  </x:si>
  <x:si>
    <x:t xml:space="preserve">&lt; 150 mm/s</x:t>
  </x:si>
  <x:si>
    <x:r>
      <x:rPr>
        <x:sz val="10"/>
        <x:color rgb="FF243447"/>
        <x:rFont val="Arial"/>
      </x:rPr>
      <x:t xml:space="preserve">Blast Drying Oven: 80 °C</x:t>
    </x:r>
    <x:r>
      <x:rPr>
        <x:sz val="10"/>
        <x:color rgb="FF243447"/>
        <x:rFont val="Noto Sans CJK SC"/>
        <x:family val="2"/>
      </x:rPr>
      <x:t xml:space="preserve">， </x:t>
    </x:r>
    <x:r>
      <x:rPr>
        <x:sz val="10"/>
        <x:color rgb="FF243447"/>
        <x:rFont val="Arial"/>
      </x:rPr>
      <x:t xml:space="preserve">8 h</x:t>
    </x:r>
  </x:si>
  <x:si>
    <x:t xml:space="preserve">0.4 (Recommended) , 0.6, 0.8 mm</x:t>
  </x:si>
  <x:si>
    <x:t xml:space="preserve">Angle ~ 70 °</x:t>
  </x:si>
  <x:si>
    <x:t xml:space="preserve">not necessary</x:t>
  </x:si>
  <x:si>
    <x:t xml:space="preserve">0-20%</x:t>
  </x:si>
  <x:si>
    <x:t xml:space="preserve">** 30 - 70 mm/s</x:t>
  </x:si>
  <x:si>
    <x:t xml:space="preserve">recommended</x:t>
  </x:si>
  <x:si>
    <x:t xml:space="preserve">P0042</x:t>
  </x:si>
  <x:si>
    <x:t xml:space="preserve">P0043</x:t>
  </x:si>
  <x:si>
    <x:t xml:space="preserve">＜300 mm/s</x:t>
  </x:si>
  <x:si>
    <x:t xml:space="preserve">80 °C, 8 hours</x:t>
  </x:si>
  <x:si>
    <x:t xml:space="preserve">Smooth PEI Plate / Textured PEI Plate</x:t>
  </x:si>
  <x:si>
    <x:t xml:space="preserve">80°C, 8h</x:t>
  </x:si>
  <x:si>
    <x:t xml:space="preserve">P0045</x:t>
  </x:si>
  <x:si>
    <x:t xml:space="preserve">P0046</x:t>
  </x:si>
  <x:si>
    <x:t xml:space="preserve">- standard speed 270-290°C sunlight and direct heat. When stored properly,</x:t>
  </x:si>
  <x:si>
    <x:t xml:space="preserve">&gt;80°C product has a shelf life of 24 months.</x:t>
  </x:si>
  <x:si>
    <x:t xml:space="preserve">recommended for larger prints</x:t>
  </x:si>
  <x:si>
    <x:t xml:space="preserve">Ye s</x:t>
  </x:si>
  <x:si>
    <x:t xml:space="preserve">P0047</x:t>
  </x:si>
  <x:si>
    <x:t xml:space="preserve">P0049</x:t>
  </x:si>
  <x:si>
    <x:t xml:space="preserve">BuildTak® , Glass, Blue Tape</x:t>
  </x:si>
  <x:si>
    <x:t xml:space="preserve">PVA or PVP glue, Magigoo</x:t>
  </x:si>
  <x:si>
    <x:t xml:space="preserve">20-40 (mm/s)</x:t>
  </x:si>
  <x:si>
    <x:t xml:space="preserve">angle 35 (˚)</x:t>
  </x:si>
  <x:si>
    <x:t xml:space="preserve">P0050</x:t>
  </x:si>
  <x:si>
    <x:t xml:space="preserve">30 -500 ºC</x:t>
  </x:si>
  <x:si>
    <x:t xml:space="preserve">0-50 °C</x:t>
  </x:si>
  <x:si>
    <x:t xml:space="preserve">20-50 mm/s</x:t>
  </x:si>
  <x:si>
    <x:t xml:space="preserve">Textured PEI Plate /Smooth PEI Plate</x:t>
  </x:si>
  <x:si>
    <x:t xml:space="preserve">＜ 250 mm/s</x:t>
  </x:si>
  <x:si>
    <x:t xml:space="preserve">Blast Drying Oven: 70 °C, 8 h</x:t>
  </x:si>
  <x:si>
    <x:t xml:space="preserve">0.4, 0.6,0.8 mm</x:t>
  </x:si>
  <x:si>
    <x:t xml:space="preserve">Length 20 mm</x:t>
  </x:si>
  <x:si>
    <x:t xml:space="preserve">Cool Plate, Engineering Plate, High</x:t>
  </x:si>
  <x:si>
    <x:t xml:space="preserve">Not supported at baseline; 90A/95A HF future firmware noted</x:t>
  </x:si>
  <x:si>
    <x:t xml:space="preserve">Right only</x:t>
  </x:si>
  <x:si>
    <x:t xml:space="preserve">Not compatible</x:t>
  </x:si>
  <x:si>
    <x:t xml:space="preserve">External spool; do not infer AMS feeding from drying support</x:t>
  </x:si>
  <x:si>
    <x:t xml:space="preserve">Blast Drying Oven: 70 °C,8 h</x:t>
  </x:si>
  <x:si>
    <x:t xml:space="preserve">0.4,0.6, 0.8 mm</x:t>
  </x:si>
  <x:si>
    <x:t xml:space="preserve">&lt;200 mm/s</x:t>
  </x:si>
  <x:si>
    <x:t xml:space="preserve">0.6,0.8 mm</x:t>
  </x:si>
  <x:si>
    <x:t xml:space="preserve">Length 10 mm</x:t>
  </x:si>
  <x:si>
    <x:t xml:space="preserve">Angle ~ 40 °</x:t>
  </x:si>
  <x:si>
    <x:t xml:space="preserve">PP adhesive</x:t>
  </x:si>
  <x:si>
    <x:t xml:space="preserve">20–50 mm/s</x:t>
  </x:si>
  <x:si>
    <x:t xml:space="preserve">60°C for4–16h hot-air dryer or vacuum oven</x:t>
  </x:si>
  <x:si>
    <x:t xml:space="preserve">Keep dry; sealed15–25°C; RH not specified</x:t>
  </x:si>
  <x:si>
    <x:t xml:space="preserve">≥0.4 mm</x:t>
  </x:si>
  <x:si>
    <x:t xml:space="preserve">P0056</x:t>
  </x:si>
  <x:si>
    <x:t xml:space="preserve">30-60 (mm/s)</x:t>
  </x:si>
  <x:si>
    <x:t xml:space="preserve">10~50 %</x:t>
  </x:si>
  <x:si>
    <x:t xml:space="preserve">25~110 mm/s</x:t>
  </x:si>
  <x:si>
    <x:t xml:space="preserve">0.4 mm</x:t>
  </x:si>
  <x:si>
    <x:t xml:space="preserve">P0058</x:t>
  </x:si>
  <x:si>
    <x:t xml:space="preserve">200-240°C Filament should be stored in a dr y room at room</x:t>
  </x:si>
  <x:si>
    <x:t xml:space="preserve">0-50°C is ca. 18-25°C (64.4 -77.0°F). Keep out of moisture,</x:t>
  </x:si>
  <x:si>
    <x:t xml:space="preserve">P0060</x:t>
  </x:si>
  <x:si>
    <x:t xml:space="preserve">PA film, PI film</x:t>
  </x:si>
  <x:si>
    <x:t xml:space="preserve">OFF</x:t>
  </x:si>
  <x:si>
    <x:t xml:space="preserve">angle 55 (˚)</x:t>
  </x:si>
  <x:si>
    <x:t xml:space="preserve">P0061</x:t>
  </x:si>
  <x:si>
    <x:t xml:space="preserve">P0062</x:t>
  </x:si>
  <x:si>
    <x:t xml:space="preserve">0 - 10%</x:t>
  </x:si>
  <x:si>
    <x:t xml:space="preserve">** 30-70 mm/s</x:t>
  </x:si>
  <x:si>
    <x:t xml:space="preserve">Engineering Plate, High Temperature Plate or</x:t>
  </x:si>
  <x:si>
    <x:t xml:space="preserve">0 - 40%</x:t>
  </x:si>
  <x:si>
    <x:t xml:space="preserve">&lt; 100 mm/s</x:t>
  </x:si>
  <x:si>
    <x:t xml:space="preserve">Blast Drying Oven: 80 °C, 8 - 12 h</x:t>
  </x:si>
  <x:si>
    <x:t xml:space="preserve">0.4, 0.6(recommended), 0.8 mm</x:t>
  </x:si>
  <x:si>
    <x:t xml:space="preserve">0.4, 0.6 ( R ecommended ), 0.8 mm</x:t>
  </x:si>
  <x:si>
    <x:t xml:space="preserve">&lt; 130 mm/s</x:t>
  </x:si>
  <x:si>
    <x:t xml:space="preserve">Blast Drying Oven: 80 °C,8-12 h</x:t>
  </x:si>
  <x:si>
    <x:t xml:space="preserve">0.4, 0.6( recommended ),0.8 mm</x:t>
  </x:si>
  <x:si>
    <x:t xml:space="preserve">P0067</x:t>
  </x:si>
  <x:si>
    <x:t xml:space="preserve">80°C for 4 h</x:t>
  </x:si>
  <x:si>
    <x:t xml:space="preserve">P0068</x:t>
  </x:si>
  <x:si>
    <x:t xml:space="preserve">P0069</x:t>
  </x:si>
  <x:si>
    <x:t xml:space="preserve">260 – 300 (℃)</x:t>
  </x:si>
  <x:si>
    <x:t xml:space="preserve">material N/A</x:t>
  </x:si>
  <x:si>
    <x:t xml:space="preserve">P0070</x:t>
  </x:si>
  <x:si>
    <x:t xml:space="preserve">- standard speed 255-290°C</x:t>
  </x:si>
  <x:si>
    <x:t xml:space="preserve">&gt;80°C</x:t>
  </x:si>
  <x:si>
    <x:t xml:space="preserve">recommended for larger prints sunlight and direct heat. When stored properly,</x:t>
  </x:si>
  <x:si>
    <x:t xml:space="preserve">0-10%</x:t>
  </x:si>
  <x:si>
    <x:t xml:space="preserve">P0071</x:t>
  </x:si>
  <x:si>
    <x:t xml:space="preserve">P0073</x:t>
  </x:si>
  <x:si>
    <x:t xml:space="preserve">OFF Recommended</x:t>
  </x:si>
  <x:si>
    <x:t xml:space="preserve">P0076</x:t>
  </x:si>
  <x:si>
    <x:t xml:space="preserve">P0077</x:t>
  </x:si>
  <x:si>
    <x:t xml:space="preserve">P0078</x:t>
  </x:si>
  <x:si>
    <x:t xml:space="preserve">P0079</x:t>
  </x:si>
  <x:si>
    <x:t xml:space="preserve">P0081</x:t>
  </x:si>
  <x:si>
    <x:t xml:space="preserve">280 – 300 (℃)</x:t>
  </x:si>
  <x:si>
    <x:t xml:space="preserve">Room temperature - 50 (˚C)</x:t>
  </x:si>
  <x:si>
    <x:t xml:space="preserve">angle 50 (˚)</x:t>
  </x:si>
  <x:si>
    <x:t xml:space="preserve">P0083</x:t>
  </x:si>
  <x:si>
    <x:t xml:space="preserve">Yes</x:t>
  </x:si>
  <x:si>
    <x:t xml:space="preserve">0–50%</x:t>
  </x:si>
  <x:si>
    <x:t xml:space="preserve">45–60°C for 6 h; required</x:t>
  </x:si>
  <x:si>
    <x:t xml:space="preserve">Dry box required; RH not published</x:t>
  </x:si>
  <x:si>
    <x:t xml:space="preserve">Manufacturer promotes high detail; no part-dimensional tolerance specified</x:t>
  </x:si>
  <x:si>
    <x:t xml:space="preserve">Blast Drying Oven: 80 °C, 8 -12 h</x:t>
  </x:si>
  <x:si>
    <x:t xml:space="preserve">&lt;20% RH (Sealed with desiccant)</x:t>
  </x:si>
  <x:si>
    <x:t xml:space="preserve">0.4,0.6 (recommended), 0.8 mm</x:t>
  </x:si>
  <x:si>
    <x:t xml:space="preserve">Left only per H2C guide</x:t>
  </x:si>
  <x:si>
    <x:t xml:space="preserve">Not supported: brittle feeding path</x:t>
  </x:si>
  <x:si>
    <x:t xml:space="preserve">Check exact grade and spool; Bambu route required</x:t>
  </x:si>
  <x:si>
    <x:t xml:space="preserve">0–20%</x:t>
  </x:si>
  <x:si>
    <x:t xml:space="preserve">40–150 mm/s</x:t>
  </x:si>
  <x:si>
    <x:t xml:space="preserve">100°C for5h in convection oven</x:t>
  </x:si>
  <x:si>
    <x:t xml:space="preserve">≤20% RH; sealed with desiccant; room temperature to40°C</x:t>
  </x:si>
  <x:si>
    <x:t xml:space="preserve">0.4 /0.6 mm;0.4 recommended by manufacturer</x:t>
  </x:si>
  <x:si>
    <x:t xml:space="preserve">Self-support or HIPS per manufacturer; solvent and H2C route not validated</x:t>
  </x:si>
  <x:si>
    <x:t xml:space="preserve">Recommended layer0.12–0.30 mm; no finished-part dimensional tolerance published</x:t>
  </x:si>
  <x:si>
    <x:t xml:space="preserve">Specification section</x:t>
  </x:si>
  <x:si>
    <x:t xml:space="preserve">Apply liquid glue or PVP solid glue stick ifthe firstlayer</x:t>
  </x:si>
  <x:si>
    <x:r>
      <x:rPr>
        <x:sz val="10"/>
        <x:color rgb="FF243447"/>
        <x:rFont val="Arial"/>
      </x:rPr>
      <x:t xml:space="preserve">100 - 140 °C</x:t>
    </x:r>
    <x:r>
      <x:rPr>
        <x:sz val="10"/>
        <x:color rgb="FF243447"/>
        <x:rFont val="Noto Sans CJK SC"/>
        <x:family val="2"/>
      </x:rPr>
      <x:t xml:space="preserve">，</x:t>
    </x:r>
    <x:r>
      <x:rPr>
        <x:sz val="10"/>
        <x:color rgb="FF243447"/>
        <x:rFont val="Arial"/>
      </x:rPr>
      <x:t xml:space="preserve">6 - 8 h</x:t>
    </x:r>
  </x:si>
  <x:si>
    <x:t xml:space="preserve">Any common material</x:t>
  </x:si>
  <x:si>
    <x:t xml:space="preserve">Not compatible per table; contradictory feature text flagged</x:t>
  </x:si>
  <x:si>
    <x:t xml:space="preserve">Not compatible per table; do not infer feeding from drying</x:t>
  </x:si>
  <x:si>
    <x:t xml:space="preserve">Not Compatible</x:t>
  </x:si>
  <x:si>
    <x:t xml:space="preserve">Material Itself or support filament for PA</x:t>
  </x:si>
  <x:si>
    <x:t xml:space="preserve">Smooth PEI Plate or Textured PEI Plate</x:t>
  </x:si>
  <x:si>
    <x:t xml:space="preserve">Glue Stick</x:t>
  </x:si>
  <x:si>
    <x:t xml:space="preserve">drying result)</x:t>
  </x:si>
  <x:si>
    <x:t xml:space="preserve">0.4, 0.6 ( recommended ), 0.8 mm</x:t>
  </x:si>
  <x:si>
    <x:t xml:space="preserve">Apply liquid glue or PVP solid glue stick ifthe first layer</x:t>
  </x:si>
  <x:si>
    <x:r>
      <x:rPr>
        <x:sz val="10"/>
        <x:color rgb="FF243447"/>
        <x:rFont val="Arial"/>
      </x:rPr>
      <x:t xml:space="preserve">100 - 140 °C</x:t>
    </x:r>
    <x:r>
      <x:rPr>
        <x:sz val="10"/>
        <x:color rgb="FF243447"/>
        <x:rFont val="Noto Sans CJK SC"/>
        <x:family val="2"/>
      </x:rPr>
      <x:t xml:space="preserve">，</x:t>
    </x:r>
    <x:r>
      <x:rPr>
        <x:sz val="10"/>
        <x:color rgb="FF243447"/>
        <x:rFont val="Arial"/>
      </x:rPr>
      <x:t xml:space="preserve">6 -8 h</x:t>
    </x:r>
  </x:si>
  <x:si>
    <x:t xml:space="preserve">Hardened steel, diamond, tungsten carbide, etc</x:t>
  </x:si>
  <x:si>
    <x:t xml:space="preserve">Material Itselfor support filament for PA</x:t>
  </x:si>
  <x:si>
    <x:t xml:space="preserve">P0091</x:t>
  </x:si>
  <x:si>
    <x:t xml:space="preserve">P0092</x:t>
  </x:si>
  <x:si>
    <x:t xml:space="preserve">300-330°C Filament should be stored in a dry room at room</x:t>
  </x:si>
  <x:si>
    <x:t xml:space="preserve">100-120°C temperature. Recommended storage temperature</x:t>
  </x:si>
  <x:si>
    <x:t xml:space="preserve">active heated (60-80°C)</x:t>
  </x:si>
  <x:si>
    <x:t xml:space="preserve">0 - 10% is ca. 18-25°C (64.4 -77.0°F). Keep out of moisture,</x:t>
  </x:si>
  <x:si>
    <x:t xml:space="preserve">0 -40%</x:t>
  </x:si>
  <x:si>
    <x:t xml:space="preserve">100 -140 °C,8-12 h</x:t>
  </x:si>
  <x:si>
    <x:t xml:space="preserve">0.4, 0.6 (recommended), 0.8 mm</x:t>
  </x:si>
  <x:si>
    <x:t xml:space="preserve">0% - 40%</x:t>
  </x:si>
  <x:si>
    <x:t xml:space="preserve">100 - 140 °C, 6 - 8 h (Blast drying oven)</x:t>
  </x:si>
  <x:si>
    <x:t xml:space="preserve">Compatible</x:t>
  </x:si>
  <x:si>
    <x:t xml:space="preserve">Material Itselfor support filament for PPS</x:t>
  </x:si>
  <x:si>
    <x:t xml:space="preserve">P0095</x:t>
  </x:si>
  <x:si>
    <x:t xml:space="preserve">310-350 °C Printing speed Up to 250mm/s</x:t>
  </x:si>
  <x:si>
    <x:t xml:space="preserve">80-90 °C Drying temp. and time 100 °C/10H</x:t>
  </x:si>
  <x:si>
    <x:t xml:space="preserve">Room temp. Annealing temp. and time 130 °C/10H</x:t>
  </x:si>
  <x:si>
    <x:t xml:space="preserve">P0096</x:t>
  </x:si>
  <x:si>
    <x:t xml:space="preserve">Cool Plate,High Temperature Plate or</x:t>
  </x:si>
  <x:si>
    <x:t xml:space="preserve">Blast Drying Oven: 80 °C,8 - 12 h</x:t>
  </x:si>
  <x:si>
    <x:t xml:space="preserve">Supported; no 0.2 mm nozzle</x:t>
  </x:si>
  <x:si>
    <x:t xml:space="preserve">Dry material required; grade verification</x:t>
  </x:si>
  <x:si>
    <x:t xml:space="preserve">PLA: left/right routes supported. PETG + PVA: do not use dual-nozzle mode; right-only switching route is separately described in H2C guide.</x:t>
  </x:si>
  <x:si>
    <x:t xml:space="preserve">P0097</x:t>
  </x:si>
  <x:si>
    <x:t xml:space="preserve">0 - 30%</x:t>
  </x:si>
  <x:si>
    <x:t xml:space="preserve">&lt;100 mm/s</x:t>
  </x:si>
  <x:si>
    <x:t xml:space="preserve">Blast Drying Oven: 75 °C,8 h</x:t>
  </x:si>
  <x:si>
    <x:r>
      <x:rPr>
        <x:sz val="10"/>
        <x:color rgb="FF243447"/>
        <x:rFont val="Arial"/>
      </x:rPr>
      <x:t xml:space="preserve">Blast Drying Oven: 80 °C</x:t>
    </x:r>
    <x:r>
      <x:rPr>
        <x:sz val="10"/>
        <x:color rgb="FF243447"/>
        <x:rFont val="Noto Sans CJK SC"/>
        <x:family val="2"/>
      </x:rPr>
      <x:t xml:space="preserve">， </x:t>
    </x:r>
    <x:r>
      <x:rPr>
        <x:sz val="10"/>
        <x:color rgb="FF243447"/>
        <x:rFont val="Arial"/>
      </x:rPr>
      <x:t xml:space="preserve">4 h</x:t>
    </x:r>
  </x:si>
  <x:si>
    <x:r>
      <x:rPr>
        <x:sz val="10"/>
        <x:color rgb="FF243447"/>
        <x:rFont val="Arial"/>
      </x:rPr>
      <x:t xml:space="preserve">80 °C</x:t>
    </x:r>
    <x:r>
      <x:rPr>
        <x:sz val="10"/>
        <x:color rgb="FF243447"/>
        <x:rFont val="Noto Sans CJK SC"/>
        <x:family val="2"/>
      </x:rPr>
      <x:t xml:space="preserve">，</x:t>
    </x:r>
    <x:r>
      <x:rPr>
        <x:sz val="10"/>
        <x:color rgb="FF243447"/>
        <x:rFont val="Arial"/>
      </x:rPr>
      <x:t xml:space="preserve">8 -12 h</x:t>
    </x:r>
  </x:si>
  <x:si>
    <x:t xml:space="preserve">P0101</x:t>
  </x:si>
  <x:si>
    <x:t xml:space="preserve">P0102</x:t>
  </x:si>
  <x:si>
    <x:t xml:space="preserve">230-245°C is ca. 18-25°C (64.4 -77.0°F). Keep out of moisture,</x:t>
  </x:si>
  <x:si>
    <x:t xml:space="preserve">80-100°C product has a shelf life of 24 months.</x:t>
  </x:si>
  <x:si>
    <x:t xml:space="preserve">0 - 20%</x:t>
  </x:si>
  <x:si>
    <x:t xml:space="preserve">** 40-100 mm/s</x:t>
  </x:si>
  <x:si>
    <x:t xml:space="preserve">P0103</x:t>
  </x:si>
  <x:si>
    <x:t xml:space="preserve">P0104</x:t>
  </x:si>
  <x:si>
    <x:t xml:space="preserve">℃ 40-60</x:t>
  </x:si>
  <x:si>
    <x:t xml:space="preserve">P0105</x:t>
  </x:si>
  <x:si>
    <x:t xml:space="preserve">for printing recommended for larger prints</x:t>
  </x:si>
  <x:si>
    <x:t xml:space="preserve">Polypropylene tape</x:t>
  </x:si>
  <x:si>
    <x:t xml:space="preserve">10–40 mm/s</x:t>
  </x:si>
  <x:si>
    <x:t xml:space="preserve">0.4 mm used for recommendations</x:t>
  </x:si>
  <x:si>
    <x:t xml:space="preserve">Bed guidance extends above the H2C 120°C limit; no validated H2C profile.</x:t>
  </x:si>
  <x:si>
    <x:t xml:space="preserve">P0110</x:t>
  </x:si>
  <x:si>
    <x:t xml:space="preserve">P0111</x:t>
  </x:si>
  <x:si>
    <x:t xml:space="preserve">250-270°C</x:t>
  </x:si>
  <x:si>
    <x:t xml:space="preserve">60-100°C temperature. Recommended storage temperature</x:t>
  </x:si>
  <x:si>
    <x:t xml:space="preserve">YES (up to 100%) is ca. 18-25°C (64.4 -77.0°F). Keep out of moisture,</x:t>
  </x:si>
  <x:si>
    <x:t xml:space="preserve">** 40-110 mm/s</x:t>
  </x:si>
  <x:si>
    <x:t xml:space="preserve">Magigoo or 3Dlac necessary to prevent bed damage</x:t>
  </x:si>
  <x:si>
    <x:t xml:space="preserve">0–15%; higher for bridges/overhangs/supports only</x:t>
  </x:si>
  <x:si>
    <x:t xml:space="preserve">20–40 mm/s</x:t>
  </x:si>
  <x:si>
    <x:t xml:space="preserve">Hardened steel recommended</x:t>
  </x:si>
  <x:si>
    <x:t xml:space="preserve">Abrasive milled carbon fibre; accelerated brass wear</x:t>
  </x:si>
  <x:si>
    <x:t xml:space="preserve">Filament ±0.10 mm tolerance is not a printed-part tolerance</x:t>
  </x:si>
  <x:si>
    <x:t xml:space="preserve">P0114</x:t>
  </x:si>
  <x:si>
    <x:t xml:space="preserve">250-270°C STORAGE AND SHELF LIFE</x:t>
  </x:si>
  <x:si>
    <x:t xml:space="preserve">&gt; 50°C Filament should be stored in a dry room at room</x:t>
  </x:si>
  <x:si>
    <x:t xml:space="preserve">50-85% temperature. Recommended storage temperature</x:t>
  </x:si>
  <x:si>
    <x:t xml:space="preserve">** 30-80 mm/s</x:t>
  </x:si>
  <x:si>
    <x:t xml:space="preserve">Smooth PEI or satin sheet</x:t>
  </x:si>
  <x:si>
    <x:t xml:space="preserve">100% recommended; specimen tests used cooling off</x:t>
  </x:si>
  <x:si>
    <x:t xml:space="preserve">Up to200 mm/s</x:t>
  </x:si>
  <x:si>
    <x:t xml:space="preserve">Maximum60°C for4–8h depending on moisture</x:t>
  </x:si>
  <x:si>
    <x:t xml:space="preserve">P0118</x:t>
  </x:si>
  <x:si>
    <x:t xml:space="preserve">P0119</x:t>
  </x:si>
  <x:si>
    <x:t xml:space="preserve">90 - 105 (˚C)</x:t>
  </x:si>
  <x:si>
    <x:t xml:space="preserve">90-100 (˚C)</x:t>
  </x:si>
  <x:si>
    <x:t xml:space="preserve">Any surface</x:t>
  </x:si>
  <x:si>
    <x:t xml:space="preserve">PVA glue or MAGIGOO PC</x:t>
  </x:si>
  <x:si>
    <x:t xml:space="preserve">material PolyDissolve™ S2</x:t>
  </x:si>
  <x:si>
    <x:t xml:space="preserve">angle 45 (˚)</x:t>
  </x:si>
  <x:si>
    <x:t xml:space="preserve">P0120</x:t>
  </x:si>
  <x:si>
    <x:t xml:space="preserve">240 - 265°C PC/ABS FR V0 is a professional, halogen-free</x:t>
  </x:si>
  <x:si>
    <x:t xml:space="preserve">90 - 110°C filament for 3D printers. It is designed to meet</x:t>
  </x:si>
  <x:si>
    <x:t xml:space="preserve">recommended for larger prints • Flame-retardant (UL-94 V0)</x:t>
  </x:si>
  <x:si>
    <x:t xml:space="preserve">0 - 25% UL-94 V0 flammability standards, which means it is</x:t>
  </x:si>
  <x:si>
    <x:t xml:space="preserve">** 40 - 300 mm/s FEAUTURES</x:t>
  </x:si>
  <x:si>
    <x:t xml:space="preserve">not necessary • Excellent interlayer adhesion</x:t>
  </x:si>
  <x:si>
    <x:t xml:space="preserve">P0122</x:t>
  </x:si>
  <x:si>
    <x:t xml:space="preserve">P0123</x:t>
  </x:si>
  <x:si>
    <x:t xml:space="preserve">Not applicable — excluded</x:t>
  </x:si>
  <x:si>
    <x:t xml:space="preserve">P0124</x:t>
  </x:si>
  <x:si>
    <x:t xml:space="preserve">390 -430 ºC</x:t>
  </x:si>
  <x:si>
    <x:t xml:space="preserve">110 - 150 ºC</x:t>
  </x:si>
  <x:si>
    <x:t xml:space="preserve">90- 150 °C</x:t>
  </x:si>
  <x:si>
    <x:t xml:space="preserve">0-50%</x:t>
  </x:si>
  <x:si>
    <x:t xml:space="preserve">30-50 mm/s</x:t>
  </x:si>
  <x:si>
    <x:t xml:space="preserve">P0125</x:t>
  </x:si>
  <x:si>
    <x:t xml:space="preserve">P0126</x:t>
  </x:si>
  <x:si>
    <x:t xml:space="preserve">P0127</x:t>
  </x:si>
  <x:si>
    <x:t xml:space="preserve">P0128</x:t>
  </x:si>
  <x:si>
    <x:t xml:space="preserve">360 -390 ºC</x:t>
  </x:si>
  <x:si>
    <x:t xml:space="preserve">130 -150 ºC</x:t>
  </x:si>
  <x:si>
    <x:t xml:space="preserve">30-40 mm/s</x:t>
  </x:si>
  <x:si>
    <x:t xml:space="preserve">P0129</x:t>
  </x:si>
  <x:si>
    <x:t xml:space="preserve">P0130</x:t>
  </x:si>
  <x:si>
    <x:t xml:space="preserve">P0131</x:t>
  </x:si>
  <x:si>
    <x:t xml:space="preserve">P0132</x:t>
  </x:si>
  <x:si>
    <x:t xml:space="preserve">360 -400 ºC</x:t>
  </x:si>
  <x:si>
    <x:t xml:space="preserve">140 - 160 ºC</x:t>
  </x:si>
  <x:si>
    <x:t xml:space="preserve">P0133</x:t>
  </x:si>
  <x:si>
    <x:t xml:space="preserve">Current manufacturer product guidance</x:t>
  </x:si>
  <x:si>
    <x:t xml:space="preserve">45C for 4 hours</x:t>
  </x:si>
  <x:si>
    <x:t xml:space="preserve">No special concerns</x:t>
  </x:si>
  <x:si>
    <x:t xml:space="preserve">XP-ecomax-r-pla</x:t>
  </x:si>
  <x:si>
    <x:t xml:space="preserve">Print Recommendations</x:t>
  </x:si>
  <x:si>
    <x:t xml:space="preserve">65C for 4 hours</x:t>
  </x:si>
  <x:si>
    <x:t xml:space="preserve">XP-3dxstat-esd-petg-1</x:t>
  </x:si>
  <x:si>
    <x:t xml:space="preserve">80C for 4 hours</x:t>
  </x:si>
  <x:si>
    <x:t xml:space="preserve">Hardened Steel with .4mm diameter minimum</x:t>
  </x:si>
  <x:si>
    <x:t xml:space="preserve">0.25mm or higher</x:t>
  </x:si>
  <x:si>
    <x:t xml:space="preserve">XP-carbonx-abs-cf-1</x:t>
  </x:si>
  <x:si>
    <x:t xml:space="preserve">80°C for 4 hours</x:t>
  </x:si>
  <x:si>
    <x:t xml:space="preserve">XP-3dxstat-esd-abs-1</x:t>
  </x:si>
  <x:si>
    <x:t xml:space="preserve">120C for 4 hours</x:t>
  </x:si>
  <x:si>
    <x:t xml:space="preserve">XP-carbonx-pc-cf-1</x:t>
  </x:si>
  <x:si>
    <x:t xml:space="preserve">P0138</x:t>
  </x:si>
  <x:si>
    <x:t xml:space="preserve">255-275C</x:t>
  </x:si>
  <x:si>
    <x:t xml:space="preserve">60-70C</x:t>
  </x:si>
  <x:si>
    <x:t xml:space="preserve">90C for 4 hours</x:t>
  </x:si>
  <x:si>
    <x:t xml:space="preserve">XP-amidex-nylon-6-67</x:t>
  </x:si>
  <x:si>
    <x:t xml:space="preserve">0.4mm diameter minimum</x:t>
  </x:si>
  <x:si>
    <x:t xml:space="preserve">XP-carbonx-nylon-12-cf-1</x:t>
  </x:si>
  <x:si>
    <x:t xml:space="preserve">XP-fibrex-nylon-12-gf30-1</x:t>
  </x:si>
  <x:si>
    <x:t xml:space="preserve">P0142</x:t>
  </x:si>
  <x:si>
    <x:t xml:space="preserve">P0143</x:t>
  </x:si>
  <x:si>
    <x:t xml:space="preserve">110°C for 4 hours.</x:t>
  </x:si>
  <x:si>
    <x:t xml:space="preserve">XP-thermax-pps</x:t>
  </x:si>
  <x:si>
    <x:t xml:space="preserve">Not needed</x:t>
  </x:si>
  <x:si>
    <x:t xml:space="preserve">XP-3dxmax-hips</x:t>
  </x:si>
  <x:si>
    <x:t xml:space="preserve">XP-carbonx-pp-cf-1</x:t>
  </x:si>
  <x:si>
    <x:t xml:space="preserve">XP-max-g-pctg-1</x:t>
  </x:si>
  <x:si>
    <x:t xml:space="preserve">120C for 4+ hours</x:t>
  </x:si>
  <x:si>
    <x:t xml:space="preserve">XP-3dxmaxa-r-pc-abs</x:t>
  </x:si>
  <x:si>
    <x:t xml:space="preserve">XP-fluorx-pvdf-1</x:t>
  </x:si>
  <x:si>
    <x:t xml:space="preserve">XP-thermax-peek-1</x:t>
  </x:si>
  <x:si>
    <x:t xml:space="preserve">XP-pekk-a</x:t>
  </x:si>
  <x:si>
    <x:t xml:space="preserve">150C for 4 hours</x:t>
  </x:si>
  <x:si>
    <x:t xml:space="preserve">XP-thermax-pei-1010</x:t>
  </x:si>
  <x:si>
    <x:t xml:space="preserve">XP-thermax-psu-1</x:t>
  </x:si>
  <x:si>
    <x:t xml:space="preserve">S-PES</x:t>
  </x:si>
  <x:si>
    <x:t xml:space="preserve">XP-thermax-ppsu-1</x:t>
  </x:si>
  <x:si>
    <x:t xml:space="preserve">Properties</x:t>
  </x:si>
  <x:si>
    <x:t xml:space="preserve">MeasurementID</x:t>
  </x:si>
  <x:si>
    <x:t xml:space="preserve">Property</x:t>
  </x:si>
  <x:si>
    <x:t xml:space="preserve">Raw value</x:t>
  </x:si>
  <x:si>
    <x:t xml:space="preserve">Raw unit</x:t>
  </x:si>
  <x:si>
    <x:t xml:space="preserve">Raw numeric</x:t>
  </x:si>
  <x:si>
    <x:t xml:space="preserve">Raw uncertainty ±</x:t>
  </x:si>
  <x:si>
    <x:t xml:space="preserve">Raw upper bound</x:t>
  </x:si>
  <x:si>
    <x:t xml:space="preserve">Operator</x:t>
  </x:si>
  <x:si>
    <x:t xml:space="preserve">Conversion factor</x:t>
  </x:si>
  <x:si>
    <x:t xml:space="preserve">Normalized value</x:t>
  </x:si>
  <x:si>
    <x:t xml:space="preserve">Normalized uncertainty ±</x:t>
  </x:si>
  <x:si>
    <x:t xml:space="preserve">Normalized upper bound</x:t>
  </x:si>
  <x:si>
    <x:t xml:space="preserve">Normalized unit</x:t>
  </x:si>
  <x:si>
    <x:t xml:space="preserve">Data status</x:t>
  </x:si>
  <x:si>
    <x:t xml:space="preserve">Specimen type</x:t>
  </x:si>
  <x:si>
    <x:t xml:space="preserve">Direction</x:t>
  </x:si>
  <x:si>
    <x:t xml:space="preserve">Moisture condition</x:t>
  </x:si>
  <x:si>
    <x:t xml:space="preserve">Post-processing</x:t>
  </x:si>
  <x:si>
    <x:t xml:space="preserve">Test temperature</x:t>
  </x:si>
  <x:si>
    <x:t xml:space="preserve">Standard / load</x:t>
  </x:si>
  <x:si>
    <x:t xml:space="preserve">Notch</x:t>
  </x:si>
  <x:si>
    <x:t xml:space="preserve">Specimen / print parameters</x:t>
  </x:si>
  <x:si>
    <x:t xml:space="preserve">Notes</x:t>
  </x:si>
  <x:si>
    <x:t xml:space="preserve">Stress max MPa</x:t>
  </x:si>
  <x:si>
    <x:t xml:space="preserve">Stress min MPa</x:t>
  </x:si>
  <x:si>
    <x:t xml:space="preserve">Stress amplitude MPa</x:t>
  </x:si>
  <x:si>
    <x:t xml:space="preserve">Frequency Hz</x:t>
  </x:si>
  <x:si>
    <x:t xml:space="preserve">Load ratio R</x:t>
  </x:si>
  <x:si>
    <x:t xml:space="preserve">Run-out</x:t>
  </x:si>
  <x:si>
    <x:t xml:space="preserve">V000001</x:t>
  </x:si>
  <x:si>
    <x:t xml:space="preserve">Density</x:t>
  </x:si>
  <x:si>
    <x:t xml:space="preserve">1.24</x:t>
  </x:si>
  <x:si>
    <x:t xml:space="preserve">g/cc</x:t>
  </x:si>
  <x:si>
    <x:t xml:space="preserve">=</x:t>
  </x:si>
  <x:si>
    <x:t xml:space="preserve">kg/m³</x:t>
  </x:si>
  <x:si>
    <x:t xml:space="preserve">Published value</x:t>
  </x:si>
  <x:si>
    <x:t xml:space="preserve">Not published (density specimen form not explicitly established)</x:t>
  </x:si>
  <x:si>
    <x:t xml:space="preserve">ISO 1183</x:t>
  </x:si>
  <x:si>
    <x:t xml:space="preserve">Printed Specimen Conditions Printer: Open Source FDM/FFF Nozzle: 0.4mm Layer Height: 0.25mm Infill: 100%, +/- 45° Extrusion Temp: 210°C Bed Temp: 23°C Specimen Orientation: XY Flat</x:t>
  </x:si>
  <x:si>
    <x:t xml:space="preserve">p. 1: Density</x:t>
  </x:si>
  <x:si>
    <x:t xml:space="preserve">V000002</x:t>
  </x:si>
  <x:si>
    <x:t xml:space="preserve">Tensile break strength</x:t>
  </x:si>
  <x:si>
    <x:t xml:space="preserve">56</x:t>
  </x:si>
  <x:si>
    <x:t xml:space="preserve">MPa</x:t>
  </x:si>
  <x:si>
    <x:t xml:space="preserve">Printed specimen</x:t>
  </x:si>
  <x:si>
    <x:t xml:space="preserve">XY</x:t>
  </x:si>
  <x:si>
    <x:t xml:space="preserve">ISO 527</x:t>
  </x:si>
  <x:si>
    <x:t xml:space="preserve">p. 1: Tensile Strength, Break</x:t>
  </x:si>
  <x:si>
    <x:t xml:space="preserve">V000003</x:t>
  </x:si>
  <x:si>
    <x:t xml:space="preserve">Tensile modulus</x:t>
  </x:si>
  <x:si>
    <x:t xml:space="preserve">2865</x:t>
  </x:si>
  <x:si>
    <x:t xml:space="preserve">GPa</x:t>
  </x:si>
  <x:si>
    <x:t xml:space="preserve">p. 1: Tensile Modulus</x:t>
  </x:si>
  <x:si>
    <x:t xml:space="preserve">V000004</x:t>
  </x:si>
  <x:si>
    <x:t xml:space="preserve">Elongation at break</x:t>
  </x:si>
  <x:si>
    <x:t xml:space="preserve">8</x:t>
  </x:si>
  <x:si>
    <x:t xml:space="preserve">%</x:t>
  </x:si>
  <x:si>
    <x:t xml:space="preserve">p. 1: Tensile Elongation, Break</x:t>
  </x:si>
  <x:si>
    <x:t xml:space="preserve">V000005</x:t>
  </x:si>
  <x:si>
    <x:t xml:space="preserve">Flexural strength</x:t>
  </x:si>
  <x:si>
    <x:t xml:space="preserve">115</x:t>
  </x:si>
  <x:si>
    <x:t xml:space="preserve">ISO 178</x:t>
  </x:si>
  <x:si>
    <x:t xml:space="preserve">p. 1: Flexural Strength</x:t>
  </x:si>
  <x:si>
    <x:t xml:space="preserve">V000006</x:t>
  </x:si>
  <x:si>
    <x:t xml:space="preserve">Flexural modulus</x:t>
  </x:si>
  <x:si>
    <x:t xml:space="preserve">3185</x:t>
  </x:si>
  <x:si>
    <x:t xml:space="preserve">p. 1: Flexural Modulus</x:t>
  </x:si>
  <x:si>
    <x:t xml:space="preserve">V000007</x:t>
  </x:si>
  <x:si>
    <x:t xml:space="preserve">Glass transition temperature</x:t>
  </x:si>
  <x:si>
    <x:t xml:space="preserve">55</x:t>
  </x:si>
  <x:si>
    <x:t xml:space="preserve">°C</x:t>
  </x:si>
  <x:si>
    <x:t xml:space="preserve">DSC</x:t>
  </x:si>
  <x:si>
    <x:t xml:space="preserve">p. 1: Glass Transition Temperature (Tg)</x:t>
  </x:si>
  <x:si>
    <x:t xml:space="preserve">HDT</x:t>
  </x:si>
  <x:si>
    <x:t xml:space="preserve">80</x:t>
  </x:si>
  <x:si>
    <x:t xml:space="preserve">ISO 75</x:t>
  </x:si>
  <x:si>
    <x:t xml:space="preserve">p. 1: Deflection Temperature at 0.45</x:t>
  </x:si>
  <x:si>
    <x:t xml:space="preserve">V000009</x:t>
  </x:si>
  <x:si>
    <x:t xml:space="preserve">1.23 g/cm3</x:t>
  </x:si>
  <x:si>
    <x:t xml:space="preserve">g/cm3</x:t>
  </x:si>
  <x:si>
    <x:t xml:space="preserve">ISO1183, GB/T1033</x:t>
  </x:si>
  <x:si>
    <x:t xml:space="preserve">printing temperature = 210 °C Young’s modulus (X -Y) ISO 527, GB/T 1040 2878.3 ± 74.3 MPa Young’s modulus (Z) 2689.8 ± 92.0 MPa Tensile strength (X-Y) ISO 527, GB/T 1040 46.0 ± 0.5 MPa Tensile strength (Z) 37.3 ± 0.7 MPa Elongation at break (X-Y) ISO 527, GB/T 1040 21.5 ± 5.02 % Elongation at break (Z) 4.2 ± 2.0 % Bend</x:t>
  </x:si>
  <x:si>
    <x:t xml:space="preserve">p. 2: Density</x:t>
  </x:si>
  <x:si>
    <x:t xml:space="preserve">V000010</x:t>
  </x:si>
  <x:si>
    <x:t xml:space="preserve">59 °C</x:t>
  </x:si>
  <x:si>
    <x:t xml:space="preserve">DSC, 10°C/min</x:t>
  </x:si>
  <x:si>
    <x:t xml:space="preserve">p. 3: Glass transition temperature</x:t>
  </x:si>
  <x:si>
    <x:t xml:space="preserve">V000011</x:t>
  </x:si>
  <x:si>
    <x:t xml:space="preserve">Melting temperature</x:t>
  </x:si>
  <x:si>
    <x:t xml:space="preserve">164 °C</x:t>
  </x:si>
  <x:si>
    <x:t xml:space="preserve">p. 3: Melting temperature</x:t>
  </x:si>
  <x:si>
    <x:t xml:space="preserve">V000012</x:t>
  </x:si>
  <x:si>
    <x:t xml:space="preserve">Crystallization temperature</x:t>
  </x:si>
  <x:si>
    <x:t xml:space="preserve">96 °C</x:t>
  </x:si>
  <x:si>
    <x:t xml:space="preserve">p. 3: Crystallization temperature</x:t>
  </x:si>
  <x:si>
    <x:t xml:space="preserve">V000013</x:t>
  </x:si>
  <x:si>
    <x:t xml:space="preserve">Vicat softening temperature</x:t>
  </x:si>
  <x:si>
    <x:t xml:space="preserve">61 °C</x:t>
  </x:si>
  <x:si>
    <x:t xml:space="preserve">ISO 306, GB/T 1633</x:t>
  </x:si>
  <x:si>
    <x:t xml:space="preserve">p. 3: Vicat softening temperature</x:t>
  </x:si>
  <x:si>
    <x:t xml:space="preserve">V000014</x:t>
  </x:si>
  <x:si>
    <x:t xml:space="preserve">52 °C</x:t>
  </x:si>
  <x:si>
    <x:t xml:space="preserve">ISO 75 1.8MPa</x:t>
  </x:si>
  <x:si>
    <x:t xml:space="preserve">p. 3: Heat deflection temperature</x:t>
  </x:si>
  <x:si>
    <x:t xml:space="preserve">V000015</x:t>
  </x:si>
  <x:si>
    <x:t xml:space="preserve">53 °C</x:t>
  </x:si>
  <x:si>
    <x:t xml:space="preserve">ISO 75 0.45MPa</x:t>
  </x:si>
  <x:si>
    <x:t xml:space="preserve">V000016</x:t>
  </x:si>
  <x:si>
    <x:t xml:space="preserve">Thermal conductivity</x:t>
  </x:si>
  <x:si>
    <x:t xml:space="preserve">N/A</x:t>
  </x:si>
  <x:si>
    <x:t xml:space="preserve">p. 3: Thermal conductivity</x:t>
  </x:si>
  <x:si>
    <x:t xml:space="preserve">V000017</x:t>
  </x:si>
  <x:si>
    <x:t xml:space="preserve">2878.3 ± 74.3 MPa</x:t>
  </x:si>
  <x:si>
    <x:t xml:space="preserve">ISO 527, GB/T 1040</x:t>
  </x:si>
  <x:si>
    <x:t xml:space="preserve">p. 3: Young’s modulus (X -Y)</x:t>
  </x:si>
  <x:si>
    <x:t xml:space="preserve">V000018</x:t>
  </x:si>
  <x:si>
    <x:t xml:space="preserve">2689.8 ± 92.0 MPa</x:t>
  </x:si>
  <x:si>
    <x:t xml:space="preserve">Z</x:t>
  </x:si>
  <x:si>
    <x:t xml:space="preserve">p. 3: Young’s modulus (Z)</x:t>
  </x:si>
  <x:si>
    <x:t xml:space="preserve">V000019</x:t>
  </x:si>
  <x:si>
    <x:t xml:space="preserve">Tensile strength (endpoint unspecified)</x:t>
  </x:si>
  <x:si>
    <x:t xml:space="preserve">46.0 ± 0.5 MPa</x:t>
  </x:si>
  <x:si>
    <x:t xml:space="preserve">p. 3: Tensile strength (X-Y)</x:t>
  </x:si>
  <x:si>
    <x:t xml:space="preserve">V000020</x:t>
  </x:si>
  <x:si>
    <x:t xml:space="preserve">37.3 ± 0.7 MPa</x:t>
  </x:si>
  <x:si>
    <x:t xml:space="preserve">p. 3: Tensile strength (Z)</x:t>
  </x:si>
  <x:si>
    <x:t xml:space="preserve">V000021</x:t>
  </x:si>
  <x:si>
    <x:t xml:space="preserve">21.5 ± 5.02 %</x:t>
  </x:si>
  <x:si>
    <x:t xml:space="preserve">p. 3: Elongation at break (X-Y)</x:t>
  </x:si>
  <x:si>
    <x:t xml:space="preserve">V000022</x:t>
  </x:si>
  <x:si>
    <x:t xml:space="preserve">4.2 ± 2.0 %</x:t>
  </x:si>
  <x:si>
    <x:t xml:space="preserve">p. 3: Elongation at break (Z)</x:t>
  </x:si>
  <x:si>
    <x:t xml:space="preserve">V000023</x:t>
  </x:si>
  <x:si>
    <x:t xml:space="preserve">2868.2 ± 78.4 MPa</x:t>
  </x:si>
  <x:si>
    <x:t xml:space="preserve">ISO 178, GB/T 9341</x:t>
  </x:si>
  <x:si>
    <x:t xml:space="preserve">p. 3: Bending modulus (X-Y)</x:t>
  </x:si>
  <x:si>
    <x:t xml:space="preserve">V000024</x:t>
  </x:si>
  <x:si>
    <x:t xml:space="preserve">p. 3: Bending modulus (Z)</x:t>
  </x:si>
  <x:si>
    <x:t xml:space="preserve">V000025</x:t>
  </x:si>
  <x:si>
    <x:t xml:space="preserve">76.5 ± 0.9 MPa</x:t>
  </x:si>
  <x:si>
    <x:t xml:space="preserve">p. 3: Bending strength (X-Y)</x:t>
  </x:si>
  <x:si>
    <x:t xml:space="preserve">V000026</x:t>
  </x:si>
  <x:si>
    <x:t xml:space="preserve">p. 3: Bending strength (Z)</x:t>
  </x:si>
  <x:si>
    <x:t xml:space="preserve">V000027</x:t>
  </x:si>
  <x:si>
    <x:t xml:space="preserve">Charpy strength</x:t>
  </x:si>
  <x:si>
    <x:t xml:space="preserve">6.1 ± 0.6 kJ/m2</x:t>
  </x:si>
  <x:si>
    <x:t xml:space="preserve">kJ/m2</x:t>
  </x:si>
  <x:si>
    <x:t xml:space="preserve">kJ/m²</x:t>
  </x:si>
  <x:si>
    <x:t xml:space="preserve">p. 3: Charpy impact strength (X-Y)</x:t>
  </x:si>
  <x:si>
    <x:t xml:space="preserve">V000028</x:t>
  </x:si>
  <x:si>
    <x:t xml:space="preserve">ISO 179, GB/T 1043</x:t>
  </x:si>
  <x:si>
    <x:t xml:space="preserve">p. 3: Charpy impact strength (Z)</x:t>
  </x:si>
  <x:si>
    <x:t xml:space="preserve">V000029</x:t>
  </x:si>
  <x:si>
    <x:t xml:space="preserve">2649.7 ± 78.3 MPa</x:t>
  </x:si>
  <x:si>
    <x:t xml:space="preserve">p. 3: Young’s modulus (X-Y)</x:t>
  </x:si>
  <x:si>
    <x:t xml:space="preserve">V000030</x:t>
  </x:si>
  <x:si>
    <x:t xml:space="preserve">2433.4 ± 79.4 MPa</x:t>
  </x:si>
  <x:si>
    <x:t xml:space="preserve">V000031</x:t>
  </x:si>
  <x:si>
    <x:t xml:space="preserve">43.9 ± 0.4 MPa</x:t>
  </x:si>
  <x:si>
    <x:t xml:space="preserve">V000032</x:t>
  </x:si>
  <x:si>
    <x:t xml:space="preserve">32.4 ± 0.4 MPa</x:t>
  </x:si>
  <x:si>
    <x:t xml:space="preserve">V000033</x:t>
  </x:si>
  <x:si>
    <x:t xml:space="preserve">15.1 ± 3.9 %</x:t>
  </x:si>
  <x:si>
    <x:t xml:space="preserve">V000034</x:t>
  </x:si>
  <x:si>
    <x:t xml:space="preserve">3.3 ± 0.5 %</x:t>
  </x:si>
  <x:si>
    <x:t xml:space="preserve">V000035</x:t>
  </x:si>
  <x:si>
    <x:t xml:space="preserve">2797.9 ± 40.7 MPa</x:t>
  </x:si>
  <x:si>
    <x:t xml:space="preserve">V000036</x:t>
  </x:si>
  <x:si>
    <x:t xml:space="preserve">71.4 ± 0.6 MPa</x:t>
  </x:si>
  <x:si>
    <x:t xml:space="preserve">V000037</x:t>
  </x:si>
  <x:si>
    <x:t xml:space="preserve">5.0 ± 0.5 kJ/m2</x:t>
  </x:si>
  <x:si>
    <x:t xml:space="preserve">V000038</x:t>
  </x:si>
  <x:si>
    <x:t xml:space="preserve">1.24 g/Cm3</x:t>
  </x:si>
  <x:si>
    <x:t xml:space="preserve">g/Cm3</x:t>
  </x:si>
  <x:si>
    <x:t xml:space="preserve">ASTM D1505</x:t>
  </x:si>
  <x:si>
    <x:t xml:space="preserve">printing temperature,50ºC bed temperature (May not necessary), having excellent interlayer adhesion which greatly improve the strength and shock resistance of the prototype. PLA can print large models without a heating platform and warping will not happen easily.iT has a low shrinkage rate and performs well even when p</x:t>
  </x:si>
  <x:si>
    <x:t xml:space="preserve">V000039</x:t>
  </x:si>
  <x:si>
    <x:t xml:space="preserve">3 MPa</x:t>
  </x:si>
  <x:si>
    <x:t xml:space="preserve">Not published (do not assume printed)</x:t>
  </x:si>
  <x:si>
    <x:t xml:space="preserve">ASTM D882 110,</x:t>
  </x:si>
  <x:si>
    <x:t xml:space="preserve">p. 1: Tensile Strength MD</x:t>
  </x:si>
  <x:si>
    <x:t xml:space="preserve">V000040</x:t>
  </x:si>
  <x:si>
    <x:t xml:space="preserve">3309 MPa</x:t>
  </x:si>
  <x:si>
    <x:t xml:space="preserve">ASTM D882</x:t>
  </x:si>
  <x:si>
    <x:t xml:space="preserve">p. 1: Tensile Modulus MD</x:t>
  </x:si>
  <x:si>
    <x:t xml:space="preserve">V000041</x:t>
  </x:si>
  <x:si>
    <x:t xml:space="preserve">160 %</x:t>
  </x:si>
  <x:si>
    <x:t xml:space="preserve">p. 1: Elongation atBreak MD</x:t>
  </x:si>
  <x:si>
    <x:t xml:space="preserve">V000042</x:t>
  </x:si>
  <x:si>
    <x:t xml:space="preserve">1.24 g/cm³</x:t>
  </x:si>
  <x:si>
    <x:t xml:space="preserve">g/cm³</x:t>
  </x:si>
  <x:si>
    <x:t xml:space="preserve">Dried before testing (see preparation)</x:t>
  </x:si>
  <x:si>
    <x:t xml:space="preserve">All the specimens were annealed and dried at 55 °C for 8 h before testing</x:t>
  </x:si>
  <x:si>
    <x: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Basic is 50 to 60 °C, and the time is 6 to 12 hours. The annealing effect depends on the annea</x:t>
  </x:si>
  <x:si>
    <x:t xml:space="preserve">V000043</x:t>
  </x:si>
  <x:si>
    <x:t xml:space="preserve">160 °C</x:t>
  </x:si>
  <x:si>
    <x:t xml:space="preserve">DSC, 10 °C/min</x:t>
  </x:si>
  <x:si>
    <x:t xml:space="preserve">p. 2: Melting Temperature</x:t>
  </x:si>
  <x:si>
    <x:t xml:space="preserve">V000044</x:t>
  </x:si>
  <x:si>
    <x:t xml:space="preserve">60 °C</x:t>
  </x:si>
  <x:si>
    <x:t xml:space="preserve">p. 2: Glass Transition Temperature</x:t>
  </x:si>
  <x:si>
    <x:t xml:space="preserve">V000045</x:t>
  </x:si>
  <x:si>
    <x:t xml:space="preserve">Temperature</x:t>
  </x:si>
  <x:si>
    <x:t xml:space="preserve">p. 2: Crystallization</x:t>
  </x:si>
  <x:si>
    <x:t xml:space="preserve">V000046</x:t>
  </x:si>
  <x:si>
    <x:t xml:space="preserve">57 °C</x:t>
  </x:si>
  <x:si>
    <x:t xml:space="preserve">p. 2: Vicar Softening Temperature</x:t>
  </x:si>
  <x:si>
    <x:t xml:space="preserve">V000047</x:t>
  </x:si>
  <x:si>
    <x:t xml:space="preserve">54 °C</x:t>
  </x:si>
  <x:si>
    <x:t xml:space="preserve">ISO 75 1.8 MPa</x:t>
  </x:si>
  <x:si>
    <x:t xml:space="preserve">p. 2: Heat Deflection Temperature</x:t>
  </x:si>
  <x:si>
    <x:t xml:space="preserve">ISO 75 0.45 MPa</x:t>
  </x:si>
  <x:si>
    <x:t xml:space="preserve">V000049</x:t>
  </x:si>
  <x:si>
    <x:t xml:space="preserve">Water absorption</x:t>
  </x:si>
  <x:si>
    <x:t xml:space="preserve">0.43 %</x:t>
  </x:si>
  <x:si>
    <x:t xml:space="preserve">rated Water Absorption Rate 25 °C, 55% RH</x:t>
  </x:si>
  <x:si>
    <x:t xml:space="preserve">p. 2: Saturated</x:t>
  </x:si>
  <x:si>
    <x:t xml:space="preserve">V000050</x:t>
  </x:si>
  <x:si>
    <x:t xml:space="preserve">2580 ± 220 MPa</x:t>
  </x:si>
  <x:si>
    <x:t xml:space="preserve">p. 2: Young's Modulus (X-Y)</x:t>
  </x:si>
  <x:si>
    <x:t xml:space="preserve">V000051</x:t>
  </x:si>
  <x:si>
    <x:t xml:space="preserve">2060 ± 170 MPa</x:t>
  </x:si>
  <x:si>
    <x:t xml:space="preserve">p. 2: Young's Modulus (Z)</x:t>
  </x:si>
  <x:si>
    <x:t xml:space="preserve">V000052</x:t>
  </x:si>
  <x:si>
    <x:t xml:space="preserve">35 ± 4 MPa</x:t>
  </x:si>
  <x:si>
    <x:t xml:space="preserve">p. 2: Tensile Strength (X-Y)</x:t>
  </x:si>
  <x:si>
    <x:t xml:space="preserve">V000053</x:t>
  </x:si>
  <x:si>
    <x:t xml:space="preserve">31 ± 3 MPa</x:t>
  </x:si>
  <x:si>
    <x:t xml:space="preserve">p. 2: Tensile Strength (Z)</x:t>
  </x:si>
  <x:si>
    <x:t xml:space="preserve">V000054</x:t>
  </x:si>
  <x:si>
    <x:t xml:space="preserve">12.2 ± 1.8 %</x:t>
  </x:si>
  <x:si>
    <x:t xml:space="preserve">p. 2: Breaking Elongation Rate (X-Y)</x:t>
  </x:si>
  <x:si>
    <x:t xml:space="preserve">V000055</x:t>
  </x:si>
  <x:si>
    <x:t xml:space="preserve">7.5 ± 1.3 %</x:t>
  </x:si>
  <x:si>
    <x:t xml:space="preserve">p. 2: Breaking Elongation Rate (Z)</x:t>
  </x:si>
  <x:si>
    <x:t xml:space="preserve">V000056</x:t>
  </x:si>
  <x:si>
    <x:t xml:space="preserve">2750 ± 160 MPa</x:t>
  </x:si>
  <x:si>
    <x:t xml:space="preserve">p. 2: Bending Modulus (X-Y)</x:t>
  </x:si>
  <x:si>
    <x:t xml:space="preserve">V000057</x:t>
  </x:si>
  <x:si>
    <x:t xml:space="preserve">2370 ± 150 MPa</x:t>
  </x:si>
  <x:si>
    <x:t xml:space="preserve">p. 3: Bending Modulus (Z)</x:t>
  </x:si>
  <x:si>
    <x:t xml:space="preserve">V000058</x:t>
  </x:si>
  <x:si>
    <x:t xml:space="preserve">76 ± 5 MPa</x:t>
  </x:si>
  <x:si>
    <x:t xml:space="preserve">p. 3: Bending Strength (X-Y)</x:t>
  </x:si>
  <x:si>
    <x:t xml:space="preserve">V000059</x:t>
  </x:si>
  <x:si>
    <x:t xml:space="preserve">59 ± 6 MPa</x:t>
  </x:si>
  <x:si>
    <x:t xml:space="preserve">p. 3: Bending Strength (Z)</x:t>
  </x:si>
  <x:si>
    <x:t xml:space="preserve">V000060</x:t>
  </x:si>
  <x:si>
    <x:t xml:space="preserve">26.6 ± 2.8 kJ/m²;</x:t>
  </x:si>
  <x:si>
    <x:t xml:space="preserve">Unnotched</x:t>
  </x:si>
  <x:si>
    <x:t xml:space="preserve">p. 3: Impact Strength (X-Y) — unnotched</x:t>
  </x:si>
  <x:si>
    <x:t xml:space="preserve">V000061</x:t>
  </x:si>
  <x:si>
    <x:t xml:space="preserve">7.9 ± 1.2 kJ/m²</x:t>
  </x:si>
  <x:si>
    <x:t xml:space="preserve">Notched</x:t>
  </x:si>
  <x:si>
    <x:t xml:space="preserve">p. 3: Impact Strength (X-Y) — notched</x:t>
  </x:si>
  <x:si>
    <x:t xml:space="preserve">V000062</x:t>
  </x:si>
  <x:si>
    <x:t xml:space="preserve">13.8 ± 0.9 kJ/m²</x:t>
  </x:si>
  <x:si>
    <x:t xml:space="preserve">p. 3: Impact Strength (Z)</x:t>
  </x:si>
  <x:si>
    <x:t xml:space="preserve">V000063</x:t>
  </x:si>
  <x:si>
    <x:t xml:space="preserve">1.31 g/cm³</x:t>
  </x:si>
  <x:si>
    <x: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Matte is 50 to 60 °C, and the time is 6 to 12 hours. The annealing effect depends on the annea</x:t>
  </x:si>
  <x:si>
    <x:t xml:space="preserve">V000064</x:t>
  </x:si>
  <x:si>
    <x:t xml:space="preserve">163 °C</x:t>
  </x:si>
  <x:si>
    <x:t xml:space="preserve">V000065</x:t>
  </x:si>
  <x:si>
    <x:t xml:space="preserve">V000066</x:t>
  </x:si>
  <x:si>
    <x:t xml:space="preserve">V000067</x:t>
  </x:si>
  <x:si>
    <x:t xml:space="preserve">63 °C</x:t>
  </x:si>
  <x:si>
    <x:t xml:space="preserve">V000068</x:t>
  </x:si>
  <x:si>
    <x:t xml:space="preserve">58 °C</x:t>
  </x:si>
  <x:si>
    <x:t xml:space="preserve">V000070</x:t>
  </x:si>
  <x:si>
    <x:t xml:space="preserve">0.40 %</x:t>
  </x:si>
  <x:si>
    <x:t xml:space="preserve">V000071</x:t>
  </x:si>
  <x:si>
    <x:t xml:space="preserve">1960 ± 180 MPa</x:t>
  </x:si>
  <x:si>
    <x:t xml:space="preserve">V000072</x:t>
  </x:si>
  <x:si>
    <x:t xml:space="preserve">1670 ± 140 MPa</x:t>
  </x:si>
  <x:si>
    <x:t xml:space="preserve">V000073</x:t>
  </x:si>
  <x:si>
    <x:t xml:space="preserve">30 ± 5 MPa</x:t>
  </x:si>
  <x:si>
    <x:t xml:space="preserve">V000074</x:t>
  </x:si>
  <x:si>
    <x:t xml:space="preserve">22 ± 4 MPa</x:t>
  </x:si>
  <x:si>
    <x:t xml:space="preserve">V000075</x:t>
  </x:si>
  <x:si>
    <x:t xml:space="preserve">14.8 ± 4.2 %</x:t>
  </x:si>
  <x:si>
    <x:t xml:space="preserve">V000076</x:t>
  </x:si>
  <x:si>
    <x:t xml:space="preserve">4.8 ±1.7 %</x:t>
  </x:si>
  <x:si>
    <x:t xml:space="preserve">V000077</x:t>
  </x:si>
  <x:si>
    <x:t xml:space="preserve">2360 ± 250 MPa</x:t>
  </x:si>
  <x:si>
    <x:t xml:space="preserve">V000078</x:t>
  </x:si>
  <x:si>
    <x:t xml:space="preserve">1770 ± 210 MPa</x:t>
  </x:si>
  <x:si>
    <x:t xml:space="preserve">V000079</x:t>
  </x:si>
  <x:si>
    <x:t xml:space="preserve">53 ± 6 MPa</x:t>
  </x:si>
  <x:si>
    <x:t xml:space="preserve">V000080</x:t>
  </x:si>
  <x:si>
    <x:t xml:space="preserve">29 ± 5 MPa</x:t>
  </x:si>
  <x:si>
    <x:t xml:space="preserve">V000081</x:t>
  </x:si>
  <x:si>
    <x:t xml:space="preserve">19.2 ± 3.7 kJ/m²</x:t>
  </x:si>
  <x:si>
    <x:t xml:space="preserve">p. 3: Impact Strength (X-Y)</x:t>
  </x:si>
  <x:si>
    <x:t xml:space="preserve">V000082</x:t>
  </x:si>
  <x:si>
    <x:t xml:space="preserve">6.6 ± 1.1 kJ/m²</x:t>
  </x:si>
  <x:si>
    <x:t xml:space="preserve">V000083</x:t>
  </x:si>
  <x:si>
    <x:t xml:space="preserve">All the specimens were annealed and dried at 55 °C for 8 h ours before testing</x:t>
  </x:si>
  <x:si>
    <x:t xml:space="preserve">Specimen Printing Conditions Subjects Data Nozzle Temperature 220 °C Bed Temperature 35 °C Printing Speed 200 mm/s Infill Density 100% *All the specimens were annealed and dried at 55 °C for 8 h ours before testing. 1. Tensile Testing 2. Bending Testing 3. Impact Testing • Disclaimer The performance values are tested by standard samples at Bambu Lab, and the values are for de</x:t>
  </x:si>
  <x:si>
    <x:t xml:space="preserve">V000084</x:t>
  </x:si>
  <x:si>
    <x:t xml:space="preserve">V000085</x:t>
  </x:si>
  <x:si>
    <x:t xml:space="preserve">V000086</x:t>
  </x:si>
  <x:si>
    <x:t xml:space="preserve">p. 2: Crystallization Temperature</x:t>
  </x:si>
  <x:si>
    <x:t xml:space="preserve">V000087</x:t>
  </x:si>
  <x:si>
    <x:t xml:space="preserve">V000088</x:t>
  </x:si>
  <x:si>
    <x:t xml:space="preserve">V000090</x:t>
  </x:si>
  <x:si>
    <x:t xml:space="preserve">te 25 °C, 55% RH</x:t>
  </x:si>
  <x:si>
    <x:t xml:space="preserve">p. 2: Saturated Water Absorption Rate</x:t>
  </x:si>
  <x:si>
    <x:t xml:space="preserve">V000091</x:t>
  </x:si>
  <x:si>
    <x:t xml:space="preserve">2580 ± 150 MPa</x:t>
  </x:si>
  <x:si>
    <x:t xml:space="preserve">V000092</x:t>
  </x:si>
  <x:si>
    <x:t xml:space="preserve">1980 ± 100 MPa</x:t>
  </x:si>
  <x:si>
    <x:t xml:space="preserve">V000093</x:t>
  </x:si>
  <x:si>
    <x:t xml:space="preserve">36 ± 2 MPa</x:t>
  </x:si>
  <x:si>
    <x:t xml:space="preserve">V000094</x:t>
  </x:si>
  <x:si>
    <x:t xml:space="preserve">32 ± 5 MPa</x:t>
  </x:si>
  <x:si>
    <x:t xml:space="preserve">V000095</x:t>
  </x:si>
  <x:si>
    <x:t xml:space="preserve">15.2 ± 0.5 %</x:t>
  </x:si>
  <x:si>
    <x:t xml:space="preserve">V000096</x:t>
  </x:si>
  <x:si>
    <x:t xml:space="preserve">8.3 ± 0.3 %</x:t>
  </x:si>
  <x:si>
    <x:t xml:space="preserve">V000097</x:t>
  </x:si>
  <x:si>
    <x:t xml:space="preserve">2270 ± 60 MPa</x:t>
  </x:si>
  <x:si>
    <x:t xml:space="preserve">V000098</x:t>
  </x:si>
  <x:si>
    <x:t xml:space="preserve">1990 ± 50 MPa</x:t>
  </x:si>
  <x:si>
    <x:t xml:space="preserve">p. 2: Bending Modulus (Z)</x:t>
  </x:si>
  <x:si>
    <x:t xml:space="preserve">V000099</x:t>
  </x:si>
  <x:si>
    <x:t xml:space="preserve">73 ± 3 MPa</x:t>
  </x:si>
  <x:si>
    <x:t xml:space="preserve">p. 2: Bending Strength (X-Y)</x:t>
  </x:si>
  <x:si>
    <x:t xml:space="preserve">V000100</x:t>
  </x:si>
  <x:si>
    <x:t xml:space="preserve">68 ± 5 MPa</x:t>
  </x:si>
  <x:si>
    <x:t xml:space="preserve">p. 2: Bending Strength (Z)</x:t>
  </x:si>
  <x:si>
    <x:t xml:space="preserve">V000101</x:t>
  </x:si>
  <x:si>
    <x:t xml:space="preserve">61.2 ± 2.8 kJ/m² *;</x:t>
  </x:si>
  <x:si>
    <x:t xml:space="preserve">p. 2: Impact Strength (X-Y) — unnotched</x:t>
  </x:si>
  <x:si>
    <x:t xml:space="preserve">V000102</x:t>
  </x:si>
  <x:si>
    <x:t xml:space="preserve">20.3 ± 1.2 kJ/m²</x:t>
  </x:si>
  <x:si>
    <x:t xml:space="preserve">p. 2: Impact Strength (X-Y) — notched</x:t>
  </x:si>
  <x:si>
    <x:t xml:space="preserve">V000103</x:t>
  </x:si>
  <x:si>
    <x:t xml:space="preserve">23.8 ± 0.9 kJ/m²</x:t>
  </x:si>
  <x:si>
    <x:t xml:space="preserve">p. 2: Impact Strength (Z)</x:t>
  </x:si>
  <x:si>
    <x:t xml:space="preserve">V000104</x:t>
  </x:si>
  <x:si>
    <x:t xml:space="preserve">1.21 g/cm³</x:t>
  </x:si>
  <x:si>
    <x:t xml:space="preserve">Specimen Printing Conditions Subjects Data Nozzle Temperature 245 °C Bed Temperature 55 °C Printing Speed 150 mm/s InfillDensity 100% Allthe specimens were annealed and dried at 50 °C for8 h before testing. And the suggested annealing temperature of models printed with Bambu PLA Tough+ is50 to 60 °C, and the time is6 to 12 hours. The annealing effect depends on the annealing</x:t>
  </x:si>
  <x:si>
    <x:t xml:space="preserve">V000105</x:t>
  </x:si>
  <x:si>
    <x:t xml:space="preserve">151 °C</x:t>
  </x:si>
  <x:si>
    <x:t xml:space="preserve">V000106</x:t>
  </x:si>
  <x:si>
    <x:t xml:space="preserve">V000107</x:t>
  </x:si>
  <x:si>
    <x:t xml:space="preserve">62 °C</x:t>
  </x:si>
  <x:si>
    <x:t xml:space="preserve">p. 2: Vicat Softening Temperature</x:t>
  </x:si>
  <x:si>
    <x:t xml:space="preserve">V000108</x:t>
  </x:si>
  <x:si>
    <x:t xml:space="preserve">V000110</x:t>
  </x:si>
  <x:si>
    <x:t xml:space="preserve">0.27 %</x:t>
  </x:si>
  <x:si>
    <x:t xml:space="preserve">ter Absorption Rate 25 °C, 55% RH</x:t>
  </x:si>
  <x:si>
    <x:t xml:space="preserve">p. 2: Saturated Water</x:t>
  </x:si>
  <x:si>
    <x:t xml:space="preserve">V000111</x:t>
  </x:si>
  <x:si>
    <x:t xml:space="preserve">1860 ± 70 MPa</x:t>
  </x:si>
  <x:si>
    <x:t xml:space="preserve">V000112</x:t>
  </x:si>
  <x:si>
    <x:t xml:space="preserve">1920 ± 20 MPa</x:t>
  </x:si>
  <x:si>
    <x:t xml:space="preserve">V000113</x:t>
  </x:si>
  <x:si>
    <x:t xml:space="preserve">34.9 ± 1 MPa</x:t>
  </x:si>
  <x:si>
    <x:t xml:space="preserve">V000114</x:t>
  </x:si>
  <x:si>
    <x:t xml:space="preserve">20.9 ± 1 MPa</x:t>
  </x:si>
  <x:si>
    <x:t xml:space="preserve">V000115</x:t>
  </x:si>
  <x:si>
    <x:t xml:space="preserve">9.4 ± 2.3 %</x:t>
  </x:si>
  <x:si>
    <x:t xml:space="preserve">V000116</x:t>
  </x:si>
  <x:si>
    <x:t xml:space="preserve">9.3 ± 3 %</x:t>
  </x:si>
  <x:si>
    <x:t xml:space="preserve">V000117</x:t>
  </x:si>
  <x:si>
    <x:t xml:space="preserve">2140 ± 80 MPa</x:t>
  </x:si>
  <x:si>
    <x:t xml:space="preserve">V000118</x:t>
  </x:si>
  <x:si>
    <x:t xml:space="preserve">2066 ± 100 MPa</x:t>
  </x:si>
  <x:si>
    <x:t xml:space="preserve">V000119</x:t>
  </x:si>
  <x:si>
    <x:t xml:space="preserve">65 ± 1 MPa</x:t>
  </x:si>
  <x:si>
    <x:t xml:space="preserve">V000120</x:t>
  </x:si>
  <x:si>
    <x:t xml:space="preserve">54 ± 4 MPa</x:t>
  </x:si>
  <x:si>
    <x:t xml:space="preserve">V000121</x:t>
  </x:si>
  <x:si>
    <x:r>
      <x:rPr>
        <x:sz val="10"/>
        <x:color rgb="FF243447"/>
        <x:rFont val="Arial"/>
      </x:rPr>
      <x:t xml:space="preserve">80.6 ± 9.5 kJ/m²</x:t>
    </x:r>
    <x:r>
      <x:rPr>
        <x:sz val="10"/>
        <x:color rgb="FF243447"/>
        <x:rFont val="Noto Sans CJK SC"/>
        <x:family val="2"/>
      </x:rPr>
      <x:t xml:space="preserve">；</x:t>
    </x:r>
  </x:si>
  <x:si>
    <x:t xml:space="preserve">V000122</x:t>
  </x:si>
  <x:si>
    <x:t xml:space="preserve">72.3 ± 6.1 kJ/m²</x:t>
  </x:si>
  <x:si>
    <x:t xml:space="preserve">V000123</x:t>
  </x:si>
  <x:si>
    <x:t xml:space="preserve">18.6 ± 2.3 kJ/m²</x:t>
  </x:si>
  <x:si>
    <x:t xml:space="preserve">V000124</x:t>
  </x:si>
  <x:si>
    <x:t xml:space="preserve">1.22 g/cm³</x:t>
  </x:si>
  <x:si>
    <x:t xml:space="preserve">Specimen Printing Conditions Subjects Data Nozzle Temperature 220 °C Bed Temperature 35 °C Printing Speed 150 mm/s InfillDensity 100% Allthe specimens were annealed and dried at 50 °C for 8 h before testing.And the suggested annealing temperature ofmodels printed with Bambu PLA Translucent is50 to 60 °C, and the time is 6 to 12 hours. The annealing effect depends on the annea</x:t>
  </x:si>
  <x:si>
    <x:t xml:space="preserve">V000125</x:t>
  </x:si>
  <x:si>
    <x:t xml:space="preserve">156 °C</x:t>
  </x:si>
  <x:si>
    <x:t xml:space="preserve">V000126</x:t>
  </x:si>
  <x:si>
    <x:t xml:space="preserve">54 ℃</x:t>
  </x:si>
  <x:si>
    <x:t xml:space="preserve">℃</x:t>
  </x:si>
  <x:si>
    <x:t xml:space="preserve">V000127</x:t>
  </x:si>
  <x:si>
    <x:t xml:space="preserve">61 ℃</x:t>
  </x:si>
  <x:si>
    <x:t xml:space="preserve">V000128</x:t>
  </x:si>
  <x:si>
    <x:t xml:space="preserve">55 ℃</x:t>
  </x:si>
  <x:si>
    <x:t xml:space="preserve">60 ℃</x:t>
  </x:si>
  <x:si>
    <x:t xml:space="preserve">V000130</x:t>
  </x:si>
  <x:si>
    <x:t xml:space="preserve">0.34 %</x:t>
  </x:si>
  <x:si>
    <x:t xml:space="preserve">V000131</x:t>
  </x:si>
  <x:si>
    <x:t xml:space="preserve">2880 ± 190 MPa</x:t>
  </x:si>
  <x:si>
    <x:t xml:space="preserve">V000132</x:t>
  </x:si>
  <x:si>
    <x:t xml:space="preserve">2550 ± 150 MPa</x:t>
  </x:si>
  <x:si>
    <x:t xml:space="preserve">V000133</x:t>
  </x:si>
  <x:si>
    <x:t xml:space="preserve">55.4 ± 5 MPa</x:t>
  </x:si>
  <x:si>
    <x:t xml:space="preserve">V000134</x:t>
  </x:si>
  <x:si>
    <x:t xml:space="preserve">28.9 ± 4 MPa</x:t>
  </x:si>
  <x:si>
    <x:t xml:space="preserve">V000135</x:t>
  </x:si>
  <x:si>
    <x:t xml:space="preserve">11 ± 3.1 %</x:t>
  </x:si>
  <x:si>
    <x:t xml:space="preserve">V000136</x:t>
  </x:si>
  <x:si>
    <x:t xml:space="preserve">9.6 ± 1.7 %</x:t>
  </x:si>
  <x:si>
    <x:t xml:space="preserve">V000137</x:t>
  </x:si>
  <x:si>
    <x:t xml:space="preserve">3000 ± 120 MPa</x:t>
  </x:si>
  <x:si>
    <x:t xml:space="preserve">V000138</x:t>
  </x:si>
  <x:si>
    <x:t xml:space="preserve">2650 ± 140 MPa</x:t>
  </x:si>
  <x:si>
    <x:t xml:space="preserve">V000139</x:t>
  </x:si>
  <x:si>
    <x:t xml:space="preserve">85 ± 3 MPa</x:t>
  </x:si>
  <x:si>
    <x:t xml:space="preserve">V000140</x:t>
  </x:si>
  <x:si>
    <x:t xml:space="preserve">42 ± 4 MPa</x:t>
  </x:si>
  <x:si>
    <x:t xml:space="preserve">V000141</x:t>
  </x:si>
  <x:si>
    <x:r>
      <x:rPr>
        <x:sz val="10"/>
        <x:color rgb="FF243447"/>
        <x:rFont val="Arial"/>
      </x:rPr>
      <x:t xml:space="preserve">18.5 ± 3.7 kJ/m²</x:t>
    </x:r>
    <x:r>
      <x:rPr>
        <x:sz val="10"/>
        <x:color rgb="FF243447"/>
        <x:rFont val="Noto Sans CJK SC"/>
        <x:family val="2"/>
      </x:rPr>
      <x:t xml:space="preserve">；</x:t>
    </x:r>
  </x:si>
  <x:si>
    <x:t xml:space="preserve">V000142</x:t>
  </x:si>
  <x:si>
    <x:t xml:space="preserve">6.7 ± 2.2 kJ/m²</x:t>
  </x:si>
  <x:si>
    <x:t xml:space="preserve">V000143</x:t>
  </x:si>
  <x:si>
    <x:t xml:space="preserve">8.5 ± 1.2 kJ/m²</x:t>
  </x:si>
  <x:si>
    <x:t xml:space="preserve">V000144</x:t>
  </x:si>
  <x:si>
    <x:t xml:space="preserve">1.27 g/cm³</x:t>
  </x:si>
  <x:si>
    <x:t xml:space="preserve">Specimen Printing Conditions Subjects Data Nozzle Temperature 230 °C Bed Temperature 35 °C Printing Speed 200 mm/s InfillDensity 100% * All the specimens were printed at the following settings: Nozzle Temperature = 230 °C, Printing Speed = 200 mm/s, Bed Temperature = 35 °C, InfillDensity = 100%. All the specimens were annealed and dried at 55 °C for 8 h before testing. And th</x:t>
  </x:si>
  <x:si>
    <x:t xml:space="preserve">V000145</x:t>
  </x:si>
  <x:si>
    <x:t xml:space="preserve">158 °C</x:t>
  </x:si>
  <x:si>
    <x:t xml:space="preserve">V000146</x:t>
  </x:si>
  <x:si>
    <x:t xml:space="preserve">V000147</x:t>
  </x:si>
  <x:si>
    <x:t xml:space="preserve">66 °C</x:t>
  </x:si>
  <x:si>
    <x:t xml:space="preserve">V000148</x:t>
  </x:si>
  <x:si>
    <x:t xml:space="preserve">56 °C</x:t>
  </x:si>
  <x:si>
    <x:t xml:space="preserve">V000150</x:t>
  </x:si>
  <x:si>
    <x:t xml:space="preserve">V000151</x:t>
  </x:si>
  <x:si>
    <x:t xml:space="preserve">2130 ± 210 MPa</x:t>
  </x:si>
  <x:si>
    <x:t xml:space="preserve">V000152</x:t>
  </x:si>
  <x:si>
    <x:t xml:space="preserve">1850 ± 140 MPa</x:t>
  </x:si>
  <x:si>
    <x:t xml:space="preserve">V000153</x:t>
  </x:si>
  <x:si>
    <x:t xml:space="preserve">33 ± 4 MPa</x:t>
  </x:si>
  <x:si>
    <x:t xml:space="preserve">V000154</x:t>
  </x:si>
  <x:si>
    <x:t xml:space="preserve">25 ± 4 MPa</x:t>
  </x:si>
  <x:si>
    <x:t xml:space="preserve">V000155</x:t>
  </x:si>
  <x:si>
    <x:t xml:space="preserve">2.8 ± 0.6 %</x:t>
  </x:si>
  <x:si>
    <x:t xml:space="preserve">V000156</x:t>
  </x:si>
  <x:si>
    <x:t xml:space="preserve">1.5 ± 0.2 %</x:t>
  </x:si>
  <x:si>
    <x:t xml:space="preserve">V000157</x:t>
  </x:si>
  <x:si>
    <x:t xml:space="preserve">2460 ± 150 MPa</x:t>
  </x:si>
  <x:si>
    <x:t xml:space="preserve">V000158</x:t>
  </x:si>
  <x:si>
    <x:t xml:space="preserve">2150 ± 160 MPa</x:t>
  </x:si>
  <x:si>
    <x:t xml:space="preserve">V000159</x:t>
  </x:si>
  <x:si>
    <x:t xml:space="preserve">75 ± 4 MPa</x:t>
  </x:si>
  <x:si>
    <x:t xml:space="preserve">V000160</x:t>
  </x:si>
  <x:si>
    <x:t xml:space="preserve">V000161</x:t>
  </x:si>
  <x:si>
    <x:r>
      <x:rPr>
        <x:sz val="10"/>
        <x:color rgb="FF243447"/>
        <x:rFont val="Arial"/>
      </x:rPr>
      <x:t xml:space="preserve">18.5 ± 1.6 kJ/m²</x:t>
    </x:r>
    <x:r>
      <x:rPr>
        <x:sz val="10"/>
        <x:color rgb="FF243447"/>
        <x:rFont val="Noto Sans CJK SC"/>
        <x:family val="2"/>
      </x:rPr>
      <x:t xml:space="preserve">；</x:t>
    </x:r>
  </x:si>
  <x:si>
    <x:t xml:space="preserve">V000162</x:t>
  </x:si>
  <x:si>
    <x:t xml:space="preserve">10.3 ± 0.5 kJ/m²</x:t>
  </x:si>
  <x:si>
    <x:t xml:space="preserve">V000163</x:t>
  </x:si>
  <x:si>
    <x:t xml:space="preserve">8.5 ± 1.1 kJ/m²</x:t>
  </x:si>
  <x:si>
    <x:r>
      <x:rPr>
        <x:sz val="10"/>
        <x:color rgb="FF243447"/>
        <x:rFont val="Arial"/>
      </x:rPr>
      <x:t xml:space="preserve">ISO 179</x:t>
    </x:r>
    <x:r>
      <x:rPr>
        <x:sz val="10"/>
        <x:color rgb="FF243447"/>
        <x:rFont val="Noto Sans CJK SC"/>
        <x:family val="2"/>
      </x:rPr>
      <x:t xml:space="preserve">，</x:t>
    </x:r>
    <x:r>
      <x:rPr>
        <x:sz val="10"/>
        <x:color rgb="FF243447"/>
        <x:rFont val="Arial"/>
      </x:rPr>
      <x:t xml:space="preserve">GB/T 1043</x:t>
    </x:r>
  </x:si>
  <x:si>
    <x:t xml:space="preserve">V000164</x:t>
  </x:si>
  <x:si>
    <x:t xml:space="preserve">1.32 g/cm³</x:t>
  </x:si>
  <x:si>
    <x:t xml:space="preserve">Specimen Printing Conditions Subjects Data Nozzle Temperature 230 °C Bed Temperature 35 °C Printing Speed 200 mm/s InfillDensity 100% * All the specimens were annealed and dried at 55 °C for 8 h before testing. And the suggested annealing temperature of models printed with Bambu PLA Silkis50 to 55 °C, and the time is6 to 12 hours. The annealing effect depends on the annealing</x:t>
  </x:si>
  <x:si>
    <x:t xml:space="preserve">V000165</x:t>
  </x:si>
  <x:si>
    <x:t xml:space="preserve">152 °C</x:t>
  </x:si>
  <x:si>
    <x:t xml:space="preserve">V000166</x:t>
  </x:si>
  <x:si>
    <x:t xml:space="preserve">V000167</x:t>
  </x:si>
  <x:si>
    <x:t xml:space="preserve">DSC,</x:t>
  </x:si>
  <x:si>
    <x:t xml:space="preserve">V000168</x:t>
  </x:si>
  <x:si>
    <x:t xml:space="preserve">V000169</x:t>
  </x:si>
  <x:si>
    <x:t xml:space="preserve">50 °C</x:t>
  </x:si>
  <x:si>
    <x:t xml:space="preserve">V000171</x:t>
  </x:si>
  <x:si>
    <x:t xml:space="preserve">0.52 %</x:t>
  </x:si>
  <x:si>
    <x:t xml:space="preserve">V000172</x:t>
  </x:si>
  <x:si>
    <x:t xml:space="preserve">1830 ± 210 MPa</x:t>
  </x:si>
  <x:si>
    <x:t xml:space="preserve">V000173</x:t>
  </x:si>
  <x:si>
    <x:t xml:space="preserve">1250 ± 140 MPa</x:t>
  </x:si>
  <x:si>
    <x:t xml:space="preserve">V000174</x:t>
  </x:si>
  <x:si>
    <x:t xml:space="preserve">27 ± 4 MPa</x:t>
  </x:si>
  <x:si>
    <x:t xml:space="preserve">V000175</x:t>
  </x:si>
  <x:si>
    <x:t xml:space="preserve">18 ± 4 MPa</x:t>
  </x:si>
  <x:si>
    <x:t xml:space="preserve">V000176</x:t>
  </x:si>
  <x:si>
    <x:t xml:space="preserve">3.5 ± 0.6 %</x:t>
  </x:si>
  <x:si>
    <x:t xml:space="preserve">V000177</x:t>
  </x:si>
  <x:si>
    <x:t xml:space="preserve">1.7 ± 0.2 %</x:t>
  </x:si>
  <x:si>
    <x:t xml:space="preserve">V000178</x:t>
  </x:si>
  <x:si>
    <x:t xml:space="preserve">V000179</x:t>
  </x:si>
  <x:si>
    <x:t xml:space="preserve">1840 ± 160 MPa</x:t>
  </x:si>
  <x:si>
    <x:t xml:space="preserve">V000180</x:t>
  </x:si>
  <x:si>
    <x:t xml:space="preserve">66 ± 4 MPa</x:t>
  </x:si>
  <x:si>
    <x:t xml:space="preserve">V000181</x:t>
  </x:si>
  <x:si>
    <x:t xml:space="preserve">21 ± 5 MPa</x:t>
  </x:si>
  <x:si>
    <x:t xml:space="preserve">V000182</x:t>
  </x:si>
  <x:si>
    <x:t xml:space="preserve">24.5 ± 1.7 kJ/m²</x:t>
  </x:si>
  <x:si>
    <x:t xml:space="preserve">p. 2: Impact Strength (X-Y)</x:t>
  </x:si>
  <x:si>
    <x:t xml:space="preserve">V000183</x:t>
  </x:si>
  <x:si>
    <x:t xml:space="preserve">4.6 ±1.1 kJ/m²</x:t>
  </x:si>
  <x:si>
    <x:t xml:space="preserve">V000184</x:t>
  </x:si>
  <x:si>
    <x:t xml:space="preserve">1.25 g/cm³</x:t>
  </x:si>
  <x:si>
    <x: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Metal is 50 to 60 °C, and the time is 6 to 12 hours. The annealing effect depends on the annea</x:t>
  </x:si>
  <x:si>
    <x:t xml:space="preserve">V000185</x:t>
  </x:si>
  <x:si>
    <x:t xml:space="preserve">V000186</x:t>
  </x:si>
  <x:si>
    <x:t xml:space="preserve">V000187</x:t>
  </x:si>
  <x:si>
    <x:t xml:space="preserve">V000188</x:t>
  </x:si>
  <x:si>
    <x:t xml:space="preserve">V000190</x:t>
  </x:si>
  <x:si>
    <x:t xml:space="preserve">V000191</x:t>
  </x:si>
  <x:si>
    <x:t xml:space="preserve">2010 ± 220 MPa</x:t>
  </x:si>
  <x:si>
    <x:t xml:space="preserve">V000192</x:t>
  </x:si>
  <x:si>
    <x:t xml:space="preserve">1710 ± 150 MPa</x:t>
  </x:si>
  <x:si>
    <x:t xml:space="preserve">V000193</x:t>
  </x:si>
  <x:si>
    <x:t xml:space="preserve">34 ± 4 MPa</x:t>
  </x:si>
  <x:si>
    <x:t xml:space="preserve">V000194</x:t>
  </x:si>
  <x:si>
    <x:t xml:space="preserve">V000195</x:t>
  </x:si>
  <x:si>
    <x:t xml:space="preserve">14.7 ± 1.5 %</x:t>
  </x:si>
  <x:si>
    <x:t xml:space="preserve">V000196</x:t>
  </x:si>
  <x:si>
    <x:t xml:space="preserve">4.5 ± 1.3 %</x:t>
  </x:si>
  <x:si>
    <x:t xml:space="preserve">V000197</x:t>
  </x:si>
  <x:si>
    <x:t xml:space="preserve">2290 ± 210 MPa</x:t>
  </x:si>
  <x:si>
    <x:t xml:space="preserve">V000198</x:t>
  </x:si>
  <x:si>
    <x:t xml:space="preserve">2150 ± 180 MPa</x:t>
  </x:si>
  <x:si>
    <x:t xml:space="preserve">V000199</x:t>
  </x:si>
  <x:si>
    <x:t xml:space="preserve">66 ± 3 MPa</x:t>
  </x:si>
  <x:si>
    <x:t xml:space="preserve">V000200</x:t>
  </x:si>
  <x:si>
    <x:t xml:space="preserve">51 ± 5 MPa</x:t>
  </x:si>
  <x:si>
    <x:t xml:space="preserve">V000201</x:t>
  </x:si>
  <x:si>
    <x:t xml:space="preserve">58.9 ± 3.4 kJ/m²;</x:t>
  </x:si>
  <x:si>
    <x:t xml:space="preserve">V000202</x:t>
  </x:si>
  <x:si>
    <x:t xml:space="preserve">22.3 ± 0.9 kJ/m²</x:t>
  </x:si>
  <x:si>
    <x:t xml:space="preserve">V000203</x:t>
  </x:si>
  <x:si>
    <x:t xml:space="preserve">16.8 ± 1.2 kJ/m²</x:t>
  </x:si>
  <x:si>
    <x:t xml:space="preserve">V000204</x:t>
  </x:si>
  <x:si>
    <x:t xml:space="preserve">Specimen Printing Conditions Subjects Data Nozzle Temperature 220 °C Bed Temperature 35 °C Printing Speed 200 mm/s Infill Density 100% *All the specimens were annealed and dried at 55 °C for 8 h before testing. And the suggested annealing temperature of models printed with Bambu PLA Marble is 50 to 60 °C, and the time is 6 to 12 hours. The annealing effect depends on the anne</x:t>
  </x:si>
  <x:si>
    <x:t xml:space="preserve">V000205</x:t>
  </x:si>
  <x:si>
    <x:t xml:space="preserve">V000206</x:t>
  </x:si>
  <x:si>
    <x:t xml:space="preserve">V000207</x:t>
  </x:si>
  <x:si>
    <x:t xml:space="preserve">V000208</x:t>
  </x:si>
  <x:si>
    <x:t xml:space="preserve">V000210</x:t>
  </x:si>
  <x:si>
    <x:t xml:space="preserve">0.44 %</x:t>
  </x:si>
  <x:si>
    <x:t xml:space="preserve">V000211</x:t>
  </x:si>
  <x:si>
    <x:t xml:space="preserve">2330 ± 240 MPa</x:t>
  </x:si>
  <x:si>
    <x:t xml:space="preserve">V000212</x:t>
  </x:si>
  <x:si>
    <x:t xml:space="preserve">1970 ± 210 MPa</x:t>
  </x:si>
  <x:si>
    <x:t xml:space="preserve">V000213</x:t>
  </x:si>
  <x:si>
    <x:t xml:space="preserve">V000214</x:t>
  </x:si>
  <x:si>
    <x:t xml:space="preserve">30 ± 4 MPa</x:t>
  </x:si>
  <x:si>
    <x:t xml:space="preserve">V000215</x:t>
  </x:si>
  <x:si>
    <x:t xml:space="preserve">6.7 ± 0.5 %</x:t>
  </x:si>
  <x:si>
    <x:t xml:space="preserve">V000216</x:t>
  </x:si>
  <x:si>
    <x:t xml:space="preserve">5.3 ± 0.4 %</x:t>
  </x:si>
  <x:si>
    <x:t xml:space="preserve">V000217</x:t>
  </x:si>
  <x:si>
    <x:t xml:space="preserve">2920 ± 180 MPa</x:t>
  </x:si>
  <x:si>
    <x:t xml:space="preserve">V000218</x:t>
  </x:si>
  <x:si>
    <x:t xml:space="preserve">2560 ± 170 MPa</x:t>
  </x:si>
  <x:si>
    <x:t xml:space="preserve">V000219</x:t>
  </x:si>
  <x:si>
    <x:t xml:space="preserve">75 ± 5 MPa</x:t>
  </x:si>
  <x:si>
    <x:t xml:space="preserve">V000220</x:t>
  </x:si>
  <x:si>
    <x:t xml:space="preserve">55 ± 4 MPa</x:t>
  </x:si>
  <x:si>
    <x:t xml:space="preserve">V000221</x:t>
  </x:si>
  <x:si>
    <x:t xml:space="preserve">24.0 ± 2.5 kJ/m²;</x:t>
  </x:si>
  <x:si>
    <x:t xml:space="preserve">V000222</x:t>
  </x:si>
  <x:si>
    <x:t xml:space="preserve">9.5 ± 2.6 kJ/m²</x:t>
  </x:si>
  <x:si>
    <x:t xml:space="preserve">V000223</x:t>
  </x:si>
  <x:si>
    <x:t xml:space="preserve">6.5 ± 0.8 kJ/m²</x:t>
  </x:si>
  <x:si>
    <x:t xml:space="preserve">V000224</x:t>
  </x:si>
  <x:si>
    <x:t xml:space="preserve">1.26 g/cm³</x:t>
  </x:si>
  <x:si>
    <x:t xml:space="preserve">Specimen Printing Conditions Subjects Data Nozzle Temperature 220 °C Bed Temperature 35 °C Printing Speed 200 mm/s InfillDensity 100% *Allthe specimens were annealed and dried at 55 °C for8 hours before testing. 1. Tensile Testing 2. Bending Testing 3. Impact Testing • Disclaimer The performance values are tested by standard samples at Bambu Lab, and the values are for design</x:t>
  </x:si>
  <x:si>
    <x:t xml:space="preserve">V000225</x:t>
  </x:si>
  <x:si>
    <x:t xml:space="preserve">V000226</x:t>
  </x:si>
  <x:si>
    <x:t xml:space="preserve">V000227</x:t>
  </x:si>
  <x:si>
    <x:t xml:space="preserve">p. 2: CrystallizationTemperature</x:t>
  </x:si>
  <x:si>
    <x:t xml:space="preserve">V000228</x:t>
  </x:si>
  <x:si>
    <x:t xml:space="preserve">V000229</x:t>
  </x:si>
  <x:si>
    <x:t xml:space="preserve">55 °C</x:t>
  </x:si>
  <x:si>
    <x:t xml:space="preserve">V000231</x:t>
  </x:si>
  <x:si>
    <x:t xml:space="preserve">ption 25 °C, 55% RH</x:t>
  </x:si>
  <x:si>
    <x:t xml:space="preserve">p. 2: Saturated Water Absorption</x:t>
  </x:si>
  <x:si>
    <x:t xml:space="preserve">V000232</x:t>
  </x:si>
  <x:si>
    <x:t xml:space="preserve">1940 ± 230 MPa</x:t>
  </x:si>
  <x:si>
    <x:t xml:space="preserve">V000233</x:t>
  </x:si>
  <x:si>
    <x:t xml:space="preserve">1660 ± 210 MPa</x:t>
  </x:si>
  <x:si>
    <x:t xml:space="preserve">V000234</x:t>
  </x:si>
  <x:si>
    <x:t xml:space="preserve">39 ± 3 MPa</x:t>
  </x:si>
  <x:si>
    <x:t xml:space="preserve">V000235</x:t>
  </x:si>
  <x:si>
    <x:t xml:space="preserve">32 ± 2 MPa</x:t>
  </x:si>
  <x:si>
    <x:t xml:space="preserve">V000236</x:t>
  </x:si>
  <x:si>
    <x:t xml:space="preserve">11.7 ± 0.7 %</x:t>
  </x:si>
  <x:si>
    <x:t xml:space="preserve">V000237</x:t>
  </x:si>
  <x:si>
    <x:t xml:space="preserve">6.8 ± 0.6 %</x:t>
  </x:si>
  <x:si>
    <x:t xml:space="preserve">V000238</x:t>
  </x:si>
  <x:si>
    <x:t xml:space="preserve">2350 ± 140 MPa</x:t>
  </x:si>
  <x:si>
    <x:t xml:space="preserve">V000239</x:t>
  </x:si>
  <x:si>
    <x:t xml:space="preserve">V000240</x:t>
  </x:si>
  <x:si>
    <x:t xml:space="preserve">51 ± 2 MPa</x:t>
  </x:si>
  <x:si>
    <x:t xml:space="preserve">V000241</x:t>
  </x:si>
  <x:si>
    <x:r>
      <x:rPr>
        <x:sz val="10"/>
        <x:color rgb="FF243447"/>
        <x:rFont val="Arial"/>
      </x:rPr>
      <x:t xml:space="preserve">66.5 ± 3.6 kJ/m²</x:t>
    </x:r>
    <x:r>
      <x:rPr>
        <x:sz val="10"/>
        <x:color rgb="FF243447"/>
        <x:rFont val="Noto Sans CJK SC"/>
        <x:family val="2"/>
      </x:rPr>
      <x:t xml:space="preserve">；</x:t>
    </x:r>
  </x:si>
  <x:si>
    <x:t xml:space="preserve">V000242</x:t>
  </x:si>
  <x:si>
    <x:t xml:space="preserve">23.2 ± 2.4 kJ/m²</x:t>
  </x:si>
  <x:si>
    <x:t xml:space="preserve">V000243</x:t>
  </x:si>
  <x:si>
    <x:t xml:space="preserve">10.3 ± 0.7 kJ/m²</x:t>
  </x:si>
  <x:si>
    <x:t xml:space="preserve">V000244</x:t>
  </x:si>
  <x:si>
    <x:t xml:space="preserve">Specimen Printing Conditions Subjects Data Nozzle Temperature 220 °C Bed Temperature 35 °C Printing Speed 200 mm/s Infill Density 100% * All the specimens were printed at the following settings: Nozzle Temperature = 220 °C, Printing Speed = 200 mm/s, Bed Temperature = 35 °C, Infill Density = 100%. All the specimens were annealed and dried at 55 °C for 8 h before testing. And</x:t>
  </x:si>
  <x:si>
    <x:t xml:space="preserve">V000245</x:t>
  </x:si>
  <x:si>
    <x:t xml:space="preserve">V000246</x:t>
  </x:si>
  <x:si>
    <x:t xml:space="preserve">V000247</x:t>
  </x:si>
  <x:si>
    <x:t xml:space="preserve">64 °C</x:t>
  </x:si>
  <x:si>
    <x:t xml:space="preserve">V000248</x:t>
  </x:si>
  <x:si>
    <x:t xml:space="preserve">V000250</x:t>
  </x:si>
  <x:si>
    <x:t xml:space="preserve">1.25 %</x:t>
  </x:si>
  <x:si>
    <x:t xml:space="preserve">V000251</x:t>
  </x:si>
  <x:si>
    <x:t xml:space="preserve">2360 ± 190 MPa</x:t>
  </x:si>
  <x:si>
    <x:t xml:space="preserve">V000252</x:t>
  </x:si>
  <x:si>
    <x:t xml:space="preserve">1770 ± 150 MPa</x:t>
  </x:si>
  <x:si>
    <x:t xml:space="preserve">V000253</x:t>
  </x:si>
  <x:si>
    <x:t xml:space="preserve">26 ± 5 MPa</x:t>
  </x:si>
  <x:si>
    <x:t xml:space="preserve">V000254</x:t>
  </x:si>
  <x:si>
    <x:t xml:space="preserve">15 ± 4 MPa</x:t>
  </x:si>
  <x:si>
    <x:t xml:space="preserve">V000255</x:t>
  </x:si>
  <x:si>
    <x:t xml:space="preserve">15.3 ± 3.1 %</x:t>
  </x:si>
  <x:si>
    <x:t xml:space="preserve">V000256</x:t>
  </x:si>
  <x:si>
    <x:t xml:space="preserve">4.5 ± 1.7 %</x:t>
  </x:si>
  <x:si>
    <x:t xml:space="preserve">V000257</x:t>
  </x:si>
  <x:si>
    <x:t xml:space="preserve">2780 ± 120 MPa</x:t>
  </x:si>
  <x:si>
    <x:t xml:space="preserve">V000258</x:t>
  </x:si>
  <x:si>
    <x:t xml:space="preserve">1975 ± 140 MPa</x:t>
  </x:si>
  <x:si>
    <x:t xml:space="preserve">V000259</x:t>
  </x:si>
  <x:si>
    <x:t xml:space="preserve">V000260</x:t>
  </x:si>
  <x:si>
    <x:t xml:space="preserve">28 ± 4 MPa</x:t>
  </x:si>
  <x:si>
    <x:t xml:space="preserve">V000261</x:t>
  </x:si>
  <x:si>
    <x:r>
      <x:rPr>
        <x:sz val="10"/>
        <x:color rgb="FF243447"/>
        <x:rFont val="Arial"/>
      </x:rPr>
      <x:t xml:space="preserve">15.7 ± 3.7 kJ/m²</x:t>
    </x:r>
    <x:r>
      <x:rPr>
        <x:sz val="10"/>
        <x:color rgb="FF243447"/>
        <x:rFont val="Noto Sans CJK SC"/>
        <x:family val="2"/>
      </x:rPr>
      <x:t xml:space="preserve">；</x:t>
    </x:r>
  </x:si>
  <x:si>
    <x:t xml:space="preserve">V000262</x:t>
  </x:si>
  <x:si>
    <x:t xml:space="preserve">6.3 ± 2.2 kJ/m²</x:t>
  </x:si>
  <x:si>
    <x:t xml:space="preserve">V000263</x:t>
  </x:si>
  <x:si>
    <x:t xml:space="preserve">5.6 ± 1.2 kJ/m²</x:t>
  </x:si>
  <x:si>
    <x:t xml:space="preserve">V000264</x:t>
  </x:si>
  <x:si>
    <x:t xml:space="preserve">1.19 g/cm³</x:t>
  </x:si>
  <x:si>
    <x:t xml:space="preserve">Specimen Printing Conditions Subjects Data Nozzle Temperature 220 °C Bed Temperature 35 °C Printing Speed 200 mm/s InfillDensity 100% * All the specimens were printed at the following settings: Nozzle Temperature = 220 °C, Printing Speed = 200 mm/s, Bed Temperature = 35 °C,InfillDensity = 100%. All the specimens were annealed and dried at 55 °C for 8 h before testing. And the</x:t>
  </x:si>
  <x:si>
    <x:t xml:space="preserve">V000265</x:t>
  </x:si>
  <x:si>
    <x:t xml:space="preserve">V000266</x:t>
  </x:si>
  <x:si>
    <x:t xml:space="preserve">V000267</x:t>
  </x:si>
  <x:si>
    <x:t xml:space="preserve">V000268</x:t>
  </x:si>
  <x:si>
    <x:t xml:space="preserve">V000270</x:t>
  </x:si>
  <x:si>
    <x:t xml:space="preserve">0.45 %</x:t>
  </x:si>
  <x:si>
    <x:t xml:space="preserve">V000271</x:t>
  </x:si>
  <x:si>
    <x:t xml:space="preserve">1540 ± 190 MPa</x:t>
  </x:si>
  <x:si>
    <x:t xml:space="preserve">V000272</x:t>
  </x:si>
  <x:si>
    <x:t xml:space="preserve">1320 ± 150 MPa</x:t>
  </x:si>
  <x:si>
    <x:t xml:space="preserve">V000273</x:t>
  </x:si>
  <x:si>
    <x:t xml:space="preserve">26 ± 3 MPa</x:t>
  </x:si>
  <x:si>
    <x:t xml:space="preserve">V000274</x:t>
  </x:si>
  <x:si>
    <x:t xml:space="preserve">21 ± 4 MPa</x:t>
  </x:si>
  <x:si>
    <x:t xml:space="preserve">V000275</x:t>
  </x:si>
  <x:si>
    <x:t xml:space="preserve">9.3 ±1.1 %</x:t>
  </x:si>
  <x:si>
    <x:t xml:space="preserve">V000276</x:t>
  </x:si>
  <x:si>
    <x:t xml:space="preserve">7.1 ±0.9 %</x:t>
  </x:si>
  <x:si>
    <x:t xml:space="preserve">V000277</x:t>
  </x:si>
  <x:si>
    <x:t xml:space="preserve">2200 ± 120 MPa</x:t>
  </x:si>
  <x:si>
    <x:t xml:space="preserve">V000278</x:t>
  </x:si>
  <x:si>
    <x:t xml:space="preserve">V000279</x:t>
  </x:si>
  <x:si>
    <x:t xml:space="preserve">58 ± 3 MPa</x:t>
  </x:si>
  <x:si>
    <x:t xml:space="preserve">V000280</x:t>
  </x:si>
  <x:si>
    <x:t xml:space="preserve">37 ± 3 MPa</x:t>
  </x:si>
  <x:si>
    <x:t xml:space="preserve">V000281</x:t>
  </x:si>
  <x:si>
    <x:t xml:space="preserve">55.4 ± 3.7 kJ/m²</x:t>
  </x:si>
  <x:si>
    <x:t xml:space="preserve">V000282</x:t>
  </x:si>
  <x:si>
    <x:t xml:space="preserve">5.8 ± 1.2 kJ/m²</x:t>
  </x:si>
  <x:si>
    <x:t xml:space="preserve">V000283</x:t>
  </x:si>
  <x:si>
    <x:t xml:space="preserve">Specimen Printing Conditions Subjects Data Nozzle Temperature 220 °C Bed Temperature 35 °C Printing Speed 200 mm/s Infill Density 100% * All the specimens were annealed and dried at 55 °C for 8 h before testing. And the suggested annealing temperature of models printed with Bambu PLA Glow is 50 to 60 °C, and the time is 6 to 12 hours. The annealing effect depends on the annea</x:t>
  </x:si>
  <x:si>
    <x:t xml:space="preserve">V000284</x:t>
  </x:si>
  <x:si>
    <x:t xml:space="preserve">155 °C</x:t>
  </x:si>
  <x:si>
    <x:t xml:space="preserve">V000285</x:t>
  </x:si>
  <x:si>
    <x:t xml:space="preserve">V000286</x:t>
  </x:si>
  <x:si>
    <x:t xml:space="preserve">V000287</x:t>
  </x:si>
  <x:si>
    <x:t xml:space="preserve">V000289</x:t>
  </x:si>
  <x:si>
    <x:t xml:space="preserve">0.46 %</x:t>
  </x:si>
  <x:si>
    <x:t xml:space="preserve">V000290</x:t>
  </x:si>
  <x:si>
    <x:t xml:space="preserve">2030 ± 210 MPa</x:t>
  </x:si>
  <x:si>
    <x:t xml:space="preserve">V000291</x:t>
  </x:si>
  <x:si>
    <x:t xml:space="preserve">1750 ± 180 MPa</x:t>
  </x:si>
  <x:si>
    <x:t xml:space="preserve">V000292</x:t>
  </x:si>
  <x:si>
    <x:t xml:space="preserve">32 ± 3 MPa</x:t>
  </x:si>
  <x:si>
    <x:t xml:space="preserve">V000293</x:t>
  </x:si>
  <x:si>
    <x:t xml:space="preserve">V000294</x:t>
  </x:si>
  <x:si>
    <x:t xml:space="preserve">8.6 ± 1.2 %</x:t>
  </x:si>
  <x:si>
    <x:t xml:space="preserve">V000295</x:t>
  </x:si>
  <x:si>
    <x:t xml:space="preserve">6.5 ± 0.8 %</x:t>
  </x:si>
  <x:si>
    <x:t xml:space="preserve">V000296</x:t>
  </x:si>
  <x:si>
    <x:t xml:space="preserve">2640 ± 130 MPa</x:t>
  </x:si>
  <x:si>
    <x:t xml:space="preserve">V000297</x:t>
  </x:si>
  <x:si>
    <x:t xml:space="preserve">2230 ± 110 MPa</x:t>
  </x:si>
  <x:si>
    <x:t xml:space="preserve">V000298</x:t>
  </x:si>
  <x:si>
    <x:t xml:space="preserve">76 ± 4 MPa</x:t>
  </x:si>
  <x:si>
    <x:t xml:space="preserve">V000299</x:t>
  </x:si>
  <x:si>
    <x:t xml:space="preserve">55 ± 3 MPa</x:t>
  </x:si>
  <x:si>
    <x:t xml:space="preserve">V000300</x:t>
  </x:si>
  <x:si>
    <x:r>
      <x:rPr>
        <x:sz val="10"/>
        <x:color rgb="FF243447"/>
        <x:rFont val="Arial"/>
      </x:rPr>
      <x:t xml:space="preserve">27.3 ± 2.2 kJ/m²</x:t>
    </x:r>
    <x:r>
      <x:rPr>
        <x:sz val="10"/>
        <x:color rgb="FF243447"/>
        <x:rFont val="Noto Sans CJK SC"/>
        <x:family val="2"/>
      </x:rPr>
      <x:t xml:space="preserve">；</x:t>
    </x:r>
  </x:si>
  <x:si>
    <x:t xml:space="preserve">V000301</x:t>
  </x:si>
  <x:si>
    <x:t xml:space="preserve">8.8 ± 1.7 kJ/m²</x:t>
  </x:si>
  <x:si>
    <x:t xml:space="preserve">V000302</x:t>
  </x:si>
  <x:si>
    <x:t xml:space="preserve">19.8 ± 1.8 kJ/m²</x:t>
  </x:si>
  <x:si>
    <x:t xml:space="preserve">V000303</x:t>
  </x:si>
  <x:si>
    <x:t xml:space="preserve">All the specimens were annealed and dried at 55 °C for8 h before testing</x:t>
  </x:si>
  <x:si>
    <x:t xml:space="preserve">Specimen Printing Conditions Subjects Data Nozzle Temperature 210 °C Bed Temperature 35 °C Printing Speed 150 mm/s InfillDensity 100% *All the specimens were annealed and dried at 55 °C for8 h before testing. And the suggested annealing temperature of models printed with Bambu PLA Aero is50 to 55 °C, and the time is6 to 12 hours. The annealing effect depends on the annealing</x:t>
  </x:si>
  <x:si>
    <x:t xml:space="preserve">V000304</x:t>
  </x:si>
  <x:si>
    <x:t xml:space="preserve">153 °C</x:t>
  </x:si>
  <x:si>
    <x:t xml:space="preserve">V000305</x:t>
  </x:si>
  <x:si>
    <x:t xml:space="preserve">V000306</x:t>
  </x:si>
  <x:si>
    <x:t xml:space="preserve">V000307</x:t>
  </x:si>
  <x:si>
    <x:t xml:space="preserve">48 °C</x:t>
  </x:si>
  <x:si>
    <x:t xml:space="preserve">V000309</x:t>
  </x:si>
  <x:si>
    <x:t xml:space="preserve">V000310</x:t>
  </x:si>
  <x:si>
    <x:t xml:space="preserve">1350 ± 250 MPa</x:t>
  </x:si>
  <x:si>
    <x:t xml:space="preserve">V000311</x:t>
  </x:si>
  <x:si>
    <x:t xml:space="preserve">1240 ± 180 MPa</x:t>
  </x:si>
  <x:si>
    <x:t xml:space="preserve">V000312</x:t>
  </x:si>
  <x:si>
    <x:t xml:space="preserve">24 ± 2 MPa</x:t>
  </x:si>
  <x:si>
    <x:t xml:space="preserve">V000313</x:t>
  </x:si>
  <x:si>
    <x:t xml:space="preserve">18 ± 3 MPa</x:t>
  </x:si>
  <x:si>
    <x:t xml:space="preserve">V000314</x:t>
  </x:si>
  <x:si>
    <x:t xml:space="preserve">2.6 ± 0.7 %</x:t>
  </x:si>
  <x:si>
    <x:t xml:space="preserve">V000315</x:t>
  </x:si>
  <x:si>
    <x:t xml:space="preserve">1.2 ± 0.4 %</x:t>
  </x:si>
  <x:si>
    <x:t xml:space="preserve">V000316</x:t>
  </x:si>
  <x:si>
    <x:t xml:space="preserve">1690 ± 120 MPa</x:t>
  </x:si>
  <x:si>
    <x:t xml:space="preserve">V000317</x:t>
  </x:si>
  <x:si>
    <x:t xml:space="preserve">1410 ± 80 MPa</x:t>
  </x:si>
  <x:si>
    <x:t xml:space="preserve">V000318</x:t>
  </x:si>
  <x:si>
    <x:t xml:space="preserve">45 ± 4 MPa</x:t>
  </x:si>
  <x:si>
    <x:t xml:space="preserve">V000319</x:t>
  </x:si>
  <x:si>
    <x:t xml:space="preserve">17 ± 3 MPa</x:t>
  </x:si>
  <x:si>
    <x:t xml:space="preserve">V000320</x:t>
  </x:si>
  <x:si>
    <x:t xml:space="preserve">28.8 ± 1.3 kJ/m²;</x:t>
  </x:si>
  <x:si>
    <x:t xml:space="preserve">V000321</x:t>
  </x:si>
  <x:si>
    <x:t xml:space="preserve">8.2 ± 0.7 kJ/m²</x:t>
  </x:si>
  <x:si>
    <x:t xml:space="preserve">V000322</x:t>
  </x:si>
  <x:si>
    <x:t xml:space="preserve">3.1 ± 0.7 kJ/m²</x:t>
  </x:si>
  <x:si>
    <x:t xml:space="preserve">V000323</x:t>
  </x:si>
  <x:si>
    <x:t xml:space="preserve">Specimen Printing Conditions Subjects Data Nozzle Temperature 230 °C Bed Temperature 35 °C Printing Speed 180 mm/s Infill Density 100% * All the specimens were printed at the following settings: Nozzle Temperature = 230 °C, Printing Speed = 180 mm/s, Bed Temperature = 35 °C, Infill Density = 100%. All the specimens were annealed and dried at 55 °C for 8 h before testing. And</x:t>
  </x:si>
  <x:si>
    <x:t xml:space="preserve">V000324</x:t>
  </x:si>
  <x:si>
    <x:t xml:space="preserve">165 °C</x:t>
  </x:si>
  <x:si>
    <x:t xml:space="preserve">V000325</x:t>
  </x:si>
  <x:si>
    <x:t xml:space="preserve">V000326</x:t>
  </x:si>
  <x:si>
    <x:t xml:space="preserve">V000327</x:t>
  </x:si>
  <x:si>
    <x:t xml:space="preserve">69 °C</x:t>
  </x:si>
  <x:si>
    <x:t xml:space="preserve">V000328</x:t>
  </x:si>
  <x:si>
    <x:t xml:space="preserve">V000330</x:t>
  </x:si>
  <x:si>
    <x:t xml:space="preserve">0.42 %</x:t>
  </x:si>
  <x:si>
    <x:t xml:space="preserve">V000331</x:t>
  </x:si>
  <x:si>
    <x:t xml:space="preserve">2790 ± 120 MPa</x:t>
  </x:si>
  <x:si>
    <x:t xml:space="preserve">V000332</x:t>
  </x:si>
  <x:si>
    <x:t xml:space="preserve">2160 ± 90 MPa</x:t>
  </x:si>
  <x:si>
    <x:t xml:space="preserve">V000333</x:t>
  </x:si>
  <x:si>
    <x:t xml:space="preserve">38 ± 4 MPa</x:t>
  </x:si>
  <x:si>
    <x:t xml:space="preserve">V000334</x:t>
  </x:si>
  <x:si>
    <x:t xml:space="preserve">26 ± 2 MPa</x:t>
  </x:si>
  <x:si>
    <x:t xml:space="preserve">V000335</x:t>
  </x:si>
  <x:si>
    <x:t xml:space="preserve">8.4 ± 3.2 %</x:t>
  </x:si>
  <x:si>
    <x:t xml:space="preserve">V000336</x:t>
  </x:si>
  <x:si>
    <x:t xml:space="preserve">3.6 ± 0.7 %</x:t>
  </x:si>
  <x:si>
    <x:t xml:space="preserve">V000337</x:t>
  </x:si>
  <x:si>
    <x:t xml:space="preserve">3950 ± 190 MPa</x:t>
  </x:si>
  <x:si>
    <x:t xml:space="preserve">V000338</x:t>
  </x:si>
  <x:si>
    <x:t xml:space="preserve">2260 ± 180 MPa</x:t>
  </x:si>
  <x:si>
    <x:t xml:space="preserve">V000339</x:t>
  </x:si>
  <x:si>
    <x:t xml:space="preserve">89 ± 4 MPa</x:t>
  </x:si>
  <x:si>
    <x:t xml:space="preserve">V000340</x:t>
  </x:si>
  <x:si>
    <x:t xml:space="preserve">49 ± 3 MPa</x:t>
  </x:si>
  <x:si>
    <x:t xml:space="preserve">V000341</x:t>
  </x:si>
  <x:si>
    <x:t xml:space="preserve">23.2 ± 3.7 kJ/m²</x:t>
  </x:si>
  <x:si>
    <x:t xml:space="preserve">V000342</x:t>
  </x:si>
  <x:si>
    <x:t xml:space="preserve">7.6 ± 2.6 kJ/m²(notched)</x:t>
  </x:si>
  <x:si>
    <x:t xml:space="preserve">V000343</x:t>
  </x:si>
  <x:si>
    <x:t xml:space="preserve">7.8 ± 0.7 kJ/m²</x:t>
  </x:si>
  <x:si>
    <x:t xml:space="preserve">V000344</x:t>
  </x:si>
  <x:si>
    <x:t xml:space="preserve">1.337 g/cm3</x:t>
  </x:si>
  <x:si>
    <x:t xml:space="preserve">Printing temperature 230°C Bed temperature 50°C Shell 2 Top &amp; bottom layer 3 Infill 100% Environmental temperature Ambient temperature Cooling fan ON</x:t>
  </x:si>
  <x:si>
    <x:t xml:space="preserve">V000345</x:t>
  </x:si>
  <x:si>
    <x:t xml:space="preserve">59.76 °C</x:t>
  </x:si>
  <x:si>
    <x:t xml:space="preserve">V000346</x:t>
  </x:si>
  <x:si>
    <x:t xml:space="preserve">174.87 °C</x:t>
  </x:si>
  <x:si>
    <x:t xml:space="preserve">V000347</x:t>
  </x:si>
  <x:si>
    <x:t xml:space="preserve">81.56 °C</x:t>
  </x:si>
  <x:si>
    <x:t xml:space="preserve">V000348</x:t>
  </x:si>
  <x:si>
    <x:t xml:space="preserve">148.9 °C</x:t>
  </x:si>
  <x:si>
    <x:t xml:space="preserve">V000349</x:t>
  </x:si>
  <x:si>
    <x:t xml:space="preserve">59.7 °C</x:t>
  </x:si>
  <x:si>
    <x:t xml:space="preserve">75.5 °C</x:t>
  </x:si>
  <x:si>
    <x:t xml:space="preserve">V000351</x:t>
  </x:si>
  <x:si>
    <x:t xml:space="preserve">148.3 °C</x:t>
  </x:si>
  <x:si>
    <x:t xml:space="preserve">V000352</x:t>
  </x:si>
  <x:si>
    <x:t xml:space="preserve">84 °C</x:t>
  </x:si>
  <x:si>
    <x:t xml:space="preserve">V000353</x:t>
  </x:si>
  <x:si>
    <x:t xml:space="preserve">114.7 °C</x:t>
  </x:si>
  <x:si>
    <x:t xml:space="preserve">V000354</x:t>
  </x:si>
  <x:si>
    <x:t xml:space="preserve">3793.85±129.17 MPa</x:t>
  </x:si>
  <x:si>
    <x:t xml:space="preserve">p. 4: Young's modulus (X-Y)</x:t>
  </x:si>
  <x:si>
    <x:t xml:space="preserve">V000355</x:t>
  </x:si>
  <x:si>
    <x:t xml:space="preserve">3018.1±83.42 MPa</x:t>
  </x:si>
  <x:si>
    <x:t xml:space="preserve">p. 4: Young's modulus (Z)</x:t>
  </x:si>
  <x:si>
    <x:t xml:space="preserve">V000356</x:t>
  </x:si>
  <x:si>
    <x:t xml:space="preserve">50.09±0.73 MPa</x:t>
  </x:si>
  <x:si>
    <x:t xml:space="preserve">p. 4: Tensile strength (X-Y)</x:t>
  </x:si>
  <x:si>
    <x:t xml:space="preserve">V000357</x:t>
  </x:si>
  <x:si>
    <x:t xml:space="preserve">23.68±1.28 MPa</x:t>
  </x:si>
  <x:si>
    <x:t xml:space="preserve">p. 4: Tensile strength (Z)</x:t>
  </x:si>
  <x:si>
    <x:t xml:space="preserve">V000358</x:t>
  </x:si>
  <x:si>
    <x:t xml:space="preserve">2.77±0.45 %</x:t>
  </x:si>
  <x:si>
    <x:t xml:space="preserve">p. 4: Elongation at break (X-Y)</x:t>
  </x:si>
  <x:si>
    <x:t xml:space="preserve">V000359</x:t>
  </x:si>
  <x:si>
    <x:t xml:space="preserve">0.85±0.05 %</x:t>
  </x:si>
  <x:si>
    <x:t xml:space="preserve">p. 4: Elongation at break (Z)</x:t>
  </x:si>
  <x:si>
    <x:t xml:space="preserve">V000360</x:t>
  </x:si>
  <x:si>
    <x:t xml:space="preserve">3684.87±115.49 MPa</x:t>
  </x:si>
  <x:si>
    <x:t xml:space="preserve">p. 4: Bending modulus (X-Y)</x:t>
  </x:si>
  <x:si>
    <x:t xml:space="preserve">V000361</x:t>
  </x:si>
  <x:si>
    <x:t xml:space="preserve">2197.76±269.42 MPa</x:t>
  </x:si>
  <x:si>
    <x:t xml:space="preserve">p. 4: Bending modulus (Z)</x:t>
  </x:si>
  <x:si>
    <x:t xml:space="preserve">V000362</x:t>
  </x:si>
  <x:si>
    <x:t xml:space="preserve">86.41±1.38 MPa</x:t>
  </x:si>
  <x:si>
    <x:t xml:space="preserve">p. 4: Bending strength (X-Y)</x:t>
  </x:si>
  <x:si>
    <x:t xml:space="preserve">V000363</x:t>
  </x:si>
  <x:si>
    <x:t xml:space="preserve">29.21±1.42 MPa</x:t>
  </x:si>
  <x:si>
    <x:t xml:space="preserve">p. 4: Bending strength (Z)</x:t>
  </x:si>
  <x:si>
    <x:t xml:space="preserve">V000364</x:t>
  </x:si>
  <x:si>
    <x:t xml:space="preserve">5.31±0.46 kJ/m2</x:t>
  </x:si>
  <x:si>
    <x:t xml:space="preserve">p. 4: Notched Charpy impact</x:t>
  </x:si>
  <x:si>
    <x:t xml:space="preserve">V000365</x:t>
  </x:si>
  <x:si>
    <x:t xml:space="preserve">4206.91±182.01 MPa</x:t>
  </x:si>
  <x:si>
    <x:t xml:space="preserve">V000366</x:t>
  </x:si>
  <x:si>
    <x:t xml:space="preserve">3052.15±101.57 MPa</x:t>
  </x:si>
  <x:si>
    <x:t xml:space="preserve">V000367</x:t>
  </x:si>
  <x:si>
    <x:t xml:space="preserve">50.2±0.93 MPa</x:t>
  </x:si>
  <x:si>
    <x:t xml:space="preserve">V000368</x:t>
  </x:si>
  <x:si>
    <x:t xml:space="preserve">22.46±1.54 Mpa</x:t>
  </x:si>
  <x:si>
    <x:t xml:space="preserve">Mpa</x:t>
  </x:si>
  <x:si>
    <x:t xml:space="preserve">V000369</x:t>
  </x:si>
  <x:si>
    <x:t xml:space="preserve">2.3±0.2 %</x:t>
  </x:si>
  <x:si>
    <x:t xml:space="preserve">V000370</x:t>
  </x:si>
  <x:si>
    <x:t xml:space="preserve">0.79±0.07 %</x:t>
  </x:si>
  <x:si>
    <x:t xml:space="preserve">V000371</x:t>
  </x:si>
  <x:si>
    <x:t xml:space="preserve">3948.4±67.03 MPa</x:t>
  </x:si>
  <x:si>
    <x:t xml:space="preserve">V000372</x:t>
  </x:si>
  <x:si>
    <x:t xml:space="preserve">1953.62±260.81 Mpa</x:t>
  </x:si>
  <x:si>
    <x:t xml:space="preserve">V000373</x:t>
  </x:si>
  <x:si>
    <x:t xml:space="preserve">87.76±1.96 MPa</x:t>
  </x:si>
  <x:si>
    <x:t xml:space="preserve">V000374</x:t>
  </x:si>
  <x:si>
    <x:t xml:space="preserve">29.17±2.69 MPa</x:t>
  </x:si>
  <x:si>
    <x:t xml:space="preserve">V000375</x:t>
  </x:si>
  <x:si>
    <x:t xml:space="preserve">4.92+/-0.5 kJ/m2</x:t>
  </x:si>
  <x:si>
    <x:t xml:space="preserve">Published value (transcription corrected)</x:t>
  </x:si>
  <x:si>
    <x:t xml:space="preserve">Annealed (per TDS annealed block)</x:t>
  </x:si>
  <x:si>
    <x:t xml:space="preserve">Unit corrected MPa -&gt; kJ/m2. Polymaker HT-PLA-GF TDS v1.1 lists the as-printed notched Charpy rows as kJ/m2 (X-Y 5.31+/-0.46; Z 4.28+/-0.18) and the annealed rows for the same ISO 179 property as MPa; MPa is dimensionally impossible for impact strength. Confirmed against the Polymaker Wiki HT-PLA-GF TDS page (R-POLYMAKER-WIKI-HTPLAGF), which shows the same two pairs. These two rows are the ANNEALED values. Resolved 2026-09-11.</x:t>
  </x:si>
  <x:si>
    <x:t xml:space="preserve">V000376</x:t>
  </x:si>
  <x:si>
    <x:t xml:space="preserve">4.37+/-0.27 kJ/m2</x:t>
  </x:si>
  <x:si>
    <x:t xml:space="preserve">V000377</x:t>
  </x:si>
  <x:si>
    <x:t xml:space="preserve">1.25-1.30</x:t>
  </x:si>
  <x:si>
    <x:t xml:space="preserve">ASTM</x:t>
  </x:si>
  <x:si>
    <x:t xml:space="preserve">V000378</x:t>
  </x:si>
  <x:si>
    <x:t xml:space="preserve">2-6</x:t>
  </x:si>
  <x:si>
    <x:t xml:space="preserve">ISO</x:t>
  </x:si>
  <x:si>
    <x:t xml:space="preserve">p. 1: Elongation</x:t>
  </x:si>
  <x:si>
    <x:t xml:space="preserve">V000379</x:t>
  </x:si>
  <x:si>
    <x:t xml:space="preserve">42-52</x:t>
  </x:si>
  <x:si>
    <x:t xml:space="preserve">p. 1: Bending</x:t>
  </x:si>
  <x:si>
    <x:t xml:space="preserve">V000380</x:t>
  </x:si>
  <x:si>
    <x:t xml:space="preserve">2300-2600</x:t>
  </x:si>
  <x:si>
    <x:t xml:space="preserve">p. 1: Flexural modulus</x:t>
  </x:si>
  <x:si>
    <x:t xml:space="preserve">V000381</x:t>
  </x:si>
  <x:si>
    <x:t xml:space="preserve">＜0.8</x:t>
  </x:si>
  <x:si>
    <x:t xml:space="preserve">&lt;</x:t>
  </x:si>
  <x:si>
    <x:t xml:space="preserve">p. 1: Water</x:t>
  </x:si>
  <x:si>
    <x:t xml:space="preserve">V000382</x:t>
  </x:si>
  <x:si>
    <x:t xml:space="preserve">1.28</x:t>
  </x:si>
  <x:si>
    <x:t xml:space="preserve">Printed Specimen Conditions Printer: Open Source FDM/FFF Nozzle: 0.4mm Layer Height: 0.25mm Infill: 100%, +/- 45° Extrusion Temp: 255°C Bed Temp: 70°C Specimen Orientation: XY Flat</x:t>
  </x:si>
  <x:si>
    <x:t xml:space="preserve">V000383</x:t>
  </x:si>
  <x:si>
    <x:t xml:space="preserve">47</x:t>
  </x:si>
  <x:si>
    <x:t xml:space="preserve">V000384</x:t>
  </x:si>
  <x:si>
    <x:t xml:space="preserve">1400</x:t>
  </x:si>
  <x:si>
    <x:t xml:space="preserve">V000385</x:t>
  </x:si>
  <x:si>
    <x:t xml:space="preserve">V000386</x:t>
  </x:si>
  <x:si>
    <x:t xml:space="preserve">75</x:t>
  </x:si>
  <x:si>
    <x:t xml:space="preserve">V000387</x:t>
  </x:si>
  <x:si>
    <x:t xml:space="preserve">1645</x:t>
  </x:si>
  <x:si>
    <x:t xml:space="preserve">V000388</x:t>
  </x:si>
  <x:si>
    <x:t xml:space="preserve">70</x:t>
  </x:si>
  <x:si>
    <x:t xml:space="preserve">V000390</x:t>
  </x:si>
  <x:si>
    <x:t xml:space="preserve">1.25 g/cm3</x:t>
  </x:si>
  <x:si>
    <x:t xml:space="preserve">Printing temperature 240 °C Bed temperature 80 °C Shell 2 Top &amp; bottom layer 4 Infill 100% Environmental temperature 25 °C Cooling fan OFF DISCLAIMER: The typical values presented in this data sheet are intended for reference and comparison purposes only. They should not be used for design specifications or quality con</x:t>
  </x:si>
  <x:si>
    <x:t xml:space="preserve">V000391</x:t>
  </x:si>
  <x:si>
    <x:t xml:space="preserve">81 °C</x:t>
  </x:si>
  <x:si>
    <x:t xml:space="preserve">V000392</x:t>
  </x:si>
  <x:si>
    <x:t xml:space="preserve">V000393</x:t>
  </x:si>
  <x:si>
    <x:t xml:space="preserve">V000394</x:t>
  </x:si>
  <x:si>
    <x:t xml:space="preserve">ISO 306 , GB/T 1633</x:t>
  </x:si>
  <x:si>
    <x:t xml:space="preserve">V000395</x:t>
  </x:si>
  <x:si>
    <x:t xml:space="preserve">74.8 °C</x:t>
  </x:si>
  <x:si>
    <x:t xml:space="preserve">V000396</x:t>
  </x:si>
  <x:si>
    <x:t xml:space="preserve">78.4 °C</x:t>
  </x:si>
  <x:si>
    <x:t xml:space="preserve">V000397</x:t>
  </x:si>
  <x:si>
    <x:t xml:space="preserve">V000398</x:t>
  </x:si>
  <x:si>
    <x:t xml:space="preserve">2116.8 ± 68.1 MPa</x:t>
  </x:si>
  <x:si>
    <x:t xml:space="preserve">p. 4: Young’s modulus (X-Y)</x:t>
  </x:si>
  <x:si>
    <x:t xml:space="preserve">V000399</x:t>
  </x:si>
  <x:si>
    <x:t xml:space="preserve">1898.7 ± 98.5 MPa</x:t>
  </x:si>
  <x:si>
    <x:t xml:space="preserve">p. 4: Young’s modulus (Z)</x:t>
  </x:si>
  <x:si>
    <x:t xml:space="preserve">V000400</x:t>
  </x:si>
  <x:si>
    <x:t xml:space="preserve">50.8 ± 0.9 MPa</x:t>
  </x:si>
  <x:si>
    <x:t xml:space="preserve">V000401</x:t>
  </x:si>
  <x:si>
    <x:t xml:space="preserve">42.8 ± 2.8 MPa</x:t>
  </x:si>
  <x:si>
    <x:t xml:space="preserve">V000402</x:t>
  </x:si>
  <x:si>
    <x:t xml:space="preserve">8.4 ± 1.7 %</x:t>
  </x:si>
  <x:si>
    <x:t xml:space="preserve">V000403</x:t>
  </x:si>
  <x:si>
    <x:t xml:space="preserve">3.3 ± 0.2 %</x:t>
  </x:si>
  <x:si>
    <x:t xml:space="preserve">V000404</x:t>
  </x:si>
  <x:si>
    <x:t xml:space="preserve">1898.5 ± 35.5 MPa</x:t>
  </x:si>
  <x:si>
    <x:t xml:space="preserve">V000405</x:t>
  </x:si>
  <x:si>
    <x:t xml:space="preserve">V000406</x:t>
  </x:si>
  <x:si>
    <x:t xml:space="preserve">69.6 ± 0.8 MPa</x:t>
  </x:si>
  <x:si>
    <x:t xml:space="preserve">V000407</x:t>
  </x:si>
  <x:si>
    <x:t xml:space="preserve">V000408</x:t>
  </x:si>
  <x:si>
    <x:t xml:space="preserve">2.6 ± 0.2 kJ/m2</x:t>
  </x:si>
  <x:si>
    <x:t xml:space="preserve">p. 4: Charpy impact strength (X-Y)</x:t>
  </x:si>
  <x:si>
    <x:t xml:space="preserve">V000409</x:t>
  </x:si>
  <x:si>
    <x:t xml:space="preserve">ISO 179,</x:t>
  </x:si>
  <x:si>
    <x:t xml:space="preserve">p. 4: Charpy impact strength (Z)</x:t>
  </x:si>
  <x:si>
    <x:t xml:space="preserve">V000410</x:t>
  </x:si>
  <x:si>
    <x:t xml:space="preserve">1.29 g/Cm3</x:t>
  </x:si>
  <x:si>
    <x:t xml:space="preserve">ASTM D792</x:t>
  </x:si>
  <x:si>
    <x:t xml:space="preserve">printing temperature, 50-80 ºC bed temperature, having excellent interlayer adhesion which greatly improve the strength and shock resistance of the prototype. PETG is a very waterproof material which make it become an excellent choice for outdoor activity. Italso has excellent chemical resistance, which can be well-use</x:t>
  </x:si>
  <x:si>
    <x:t xml:space="preserve">V000411</x:t>
  </x:si>
  <x:si>
    <x:t xml:space="preserve">0.12 %</x:t>
  </x:si>
  <x:si>
    <x:t xml:space="preserve">on ASTM D570</x:t>
  </x:si>
  <x:si>
    <x:t xml:space="preserve">p. 1: Water Absorption</x:t>
  </x:si>
  <x:si>
    <x:t xml:space="preserve">V000412</x:t>
  </x:si>
  <x:si>
    <x:t xml:space="preserve">3000 MPa</x:t>
  </x:si>
  <x:si>
    <x:t xml:space="preserve">ISO 527-2</x:t>
  </x:si>
  <x:si>
    <x:t xml:space="preserve">V000413</x:t>
  </x:si>
  <x:si>
    <x:t xml:space="preserve">Elongation at yield</x:t>
  </x:si>
  <x:si>
    <x:t xml:space="preserve">4 %</x:t>
  </x:si>
  <x:si>
    <x:t xml:space="preserve">p. 1: Elongation at Yield</x:t>
  </x:si>
  <x:si>
    <x:t xml:space="preserve">V000414</x:t>
  </x:si>
  <x:si>
    <x:t xml:space="preserve">53 MPa</x:t>
  </x:si>
  <x:si>
    <x:t xml:space="preserve">p. 1: Tensile Strength</x:t>
  </x:si>
  <x:si>
    <x:t xml:space="preserve">V000415</x:t>
  </x:si>
  <x:si>
    <x:t xml:space="preserve">p. 1: Elongation at Stress</x:t>
  </x:si>
  <x:si>
    <x:t xml:space="preserve">V000416</x:t>
  </x:si>
  <x:si>
    <x:t xml:space="preserve">2040 MPa</x:t>
  </x:si>
  <x:si>
    <x:t xml:space="preserve">V000417</x:t>
  </x:si>
  <x:si>
    <x:t xml:space="preserve">171 MPa</x:t>
  </x:si>
  <x:si>
    <x:t xml:space="preserve">p. 1: Flexural Stress</x:t>
  </x:si>
  <x:si>
    <x:t xml:space="preserve">V000418</x:t>
  </x:si>
  <x:si>
    <x:t xml:space="preserve">Izod strength</x:t>
  </x:si>
  <x:si>
    <x:t xml:space="preserve">4.5 kJ/m2</x:t>
  </x:si>
  <x:si>
    <x:t xml:space="preserve">ISO 180</x:t>
  </x:si>
  <x:si>
    <x:t xml:space="preserve">p. 1: Notched Izod Impact Strength 23ºC, 50 % RH</x:t>
  </x:si>
  <x:si>
    <x:t xml:space="preserve">V000419</x:t>
  </x:si>
  <x:si>
    <x:t xml:space="preserve">No Break</x:t>
  </x:si>
  <x:si>
    <x:t xml:space="preserve">Qualitative (no fracture)</x:t>
  </x:si>
  <x:si>
    <x:t xml:space="preserve">50% RH</x:t>
  </x:si>
  <x:si>
    <x:t xml:space="preserve">23°C</x:t>
  </x:si>
  <x:si>
    <x:t xml:space="preserve">p. 2: Unnotched</x:t>
  </x:si>
  <x:si>
    <x:t xml:space="preserve">"50" was the relative-humidity test condition (23C, 50% RH), not the impact value; the actual reported outcome is qualitative - "No Break". Re-read from iSANMATE PETG_TDS.pdf (SHA256 confirmed identical to the file already cited as I-PETG-TDS): "Unnotched Izod Impact Strength | 23C, 50% RH | ISO 180 | No Break". This is a genuine non-numeric result (the specimen did not fracture), not a missing value - no numeric normalization is expected or needed. Resolved 2026-09-11.</x:t>
  </x:si>
  <x:si>
    <x:t xml:space="preserve">V000420</x:t>
  </x:si>
  <x:si>
    <x:t xml:space="preserve">Hardness</x:t>
  </x:si>
  <x:si>
    <x:t xml:space="preserve">Shore (scale not specified by source)</x:t>
  </x:si>
  <x:si>
    <x:t xml:space="preserve">Unresolved unit / layout</x:t>
  </x:si>
  <x:si>
    <x:t xml:space="preserve">ASTM D2240</x:t>
  </x:si>
  <x:si>
    <x:t xml:space="preserve">p. 2: Shore Hardness</x:t>
  </x:si>
  <x:si>
    <x:t xml:space="preserve">Partially resolved: re-read from iSANMATE PETG_TDS.pdf (SHA256 confirmed identical to the file already cited as I-PETG-TDS) confirms this is a Shore-family hardness per ASTM D2240, ruling out Rockwell. However the source row itself reads "Shore Hardness ... 70" without specifying the A or D durometer - Shore A 70 and Shore D 70 are very different hardnesses and neither can be assumed. Value and standard captured; scale remains unconfirmed pending manufacturer clarification. Still quarantined 2026-09-11.</x:t>
  </x:si>
  <x:si>
    <x:t xml:space="preserve">V000421</x:t>
  </x:si>
  <x:si>
    <x:t xml:space="preserve">78ºC</x:t>
  </x:si>
  <x:si>
    <x:t xml:space="preserve">ISO 306</x:t>
  </x:si>
  <x:si>
    <x:t xml:space="preserve">V000422</x:t>
  </x:si>
  <x:si>
    <x:t xml:space="preserve">80ºC</x:t>
  </x:si>
  <x:si>
    <x:t xml:space="preserve">V000423</x:t>
  </x:si>
  <x:si>
    <x:r>
      <x:rPr>
        <x:sz val="10"/>
        <x:color rgb="FF243447"/>
        <x:rFont val="Arial"/>
      </x:rPr>
      <x:t xml:space="preserve">Specimen Printing Conditions Subjects Data Nozzle Temperature 255 °C Bed Temperature 70 °C Printing Speed 150 mm/s Infill Density 100% All the specimens were printed at the following settings: X1-Carbon</x:t>
    </x:r>
    <x:r>
      <x:rPr>
        <x:sz val="10"/>
        <x:color rgb="FF243447"/>
        <x:rFont val="Noto Sans CJK SC"/>
        <x:family val="2"/>
      </x:rPr>
      <x:t xml:space="preserve">，</x:t>
    </x:r>
    <x:r>
      <x:rPr>
        <x:sz val="10"/>
        <x:color rgb="FF243447"/>
        <x:rFont val="Arial"/>
      </x:rPr>
      <x:t xml:space="preserve">Nozzle Temperature = 255 °C, Printing Speed = 150 mm/s, Bed Temperature = 70 °C, Infill Density = 100%. It's not recommended to anneal prints of PETG Basic, because only very</x:t>
    </x:r>
  </x:si>
  <x:si>
    <x:t xml:space="preserve">V000424</x:t>
  </x:si>
  <x:si>
    <x:t xml:space="preserve">V000425</x:t>
  </x:si>
  <x:si>
    <x:t xml:space="preserve">V000426</x:t>
  </x:si>
  <x:si>
    <x:t xml:space="preserve">V000427</x:t>
  </x:si>
  <x:si>
    <x:t xml:space="preserve">V000428</x:t>
  </x:si>
  <x:si>
    <x:t xml:space="preserve">68 °C</x:t>
  </x:si>
  <x:si>
    <x:t xml:space="preserve">71 °C</x:t>
  </x:si>
  <x:si>
    <x:t xml:space="preserve">V000430</x:t>
  </x:si>
  <x:si>
    <x:t xml:space="preserve">ate 25 °C, 55% RH</x:t>
  </x:si>
  <x:si>
    <x:t xml:space="preserve">V000431</x:t>
  </x:si>
  <x:si>
    <x:t xml:space="preserve">2780 ± 65 MPa</x:t>
  </x:si>
  <x:si>
    <x:t xml:space="preserve">V000432</x:t>
  </x:si>
  <x:si>
    <x:t xml:space="preserve">2550 ± 100 MPa</x:t>
  </x:si>
  <x:si>
    <x:t xml:space="preserve">V000433</x:t>
  </x:si>
  <x:si>
    <x:t xml:space="preserve">51 ± 1 MPa</x:t>
  </x:si>
  <x:si>
    <x:t xml:space="preserve">V000434</x:t>
  </x:si>
  <x:si>
    <x:t xml:space="preserve">35 ± 6 MPa</x:t>
  </x:si>
  <x:si>
    <x:t xml:space="preserve">V000435</x:t>
  </x:si>
  <x:si>
    <x:t xml:space="preserve">9.5 ± 0.7 %</x:t>
  </x:si>
  <x:si>
    <x:t xml:space="preserve">V000436</x:t>
  </x:si>
  <x:si>
    <x:t xml:space="preserve">5.2 ± 1.4 %</x:t>
  </x:si>
  <x:si>
    <x:t xml:space="preserve">V000437</x:t>
  </x:si>
  <x:si>
    <x:t xml:space="preserve">1950 ± 50 MPa</x:t>
  </x:si>
  <x:si>
    <x:t xml:space="preserve">V000438</x:t>
  </x:si>
  <x:si>
    <x:t xml:space="preserve">1740 ± 40 MPa</x:t>
  </x:si>
  <x:si>
    <x:t xml:space="preserve">V000439</x:t>
  </x:si>
  <x:si>
    <x:t xml:space="preserve">75 ± 3 MPa</x:t>
  </x:si>
  <x:si>
    <x:t xml:space="preserve">V000440</x:t>
  </x:si>
  <x:si>
    <x:t xml:space="preserve">56 ± 4 MPa</x:t>
  </x:si>
  <x:si>
    <x:t xml:space="preserve">V000441</x:t>
  </x:si>
  <x:si>
    <x:t xml:space="preserve">34.2 ± 4.1 kJ/m²</x:t>
  </x:si>
  <x:si>
    <x:t xml:space="preserve">V000442</x:t>
  </x:si>
  <x:si>
    <x:t xml:space="preserve">10.5 ± 1.8 kJ/m²</x:t>
  </x:si>
  <x:si>
    <x:t xml:space="preserve">V000443</x:t>
  </x:si>
  <x:si>
    <x:t xml:space="preserve">1.28 g/cm³</x:t>
  </x:si>
  <x:si>
    <x:t xml:space="preserve">All the specimens were annealed and dried at 75 °C for 8 h before testing</x:t>
  </x:si>
  <x:si>
    <x:t xml:space="preserve">Specimen Printing Conditions Subjects Data Nozzle Temperature 255 °C Bed Temperature 70 °C Printing Speed 200 mm/s InfillDensity 100% * All the specimens were printed at the following settings: Nozzle Temperature = 255 °C, Printing Speed = 200 mm/s, Bed Temperature = 70 °C,InfillDensity = 100%. All the specimens were annealed and dried at 75 °C for 8 h before testing. It'snot</x:t>
  </x:si>
  <x:si>
    <x:t xml:space="preserve">V000444</x:t>
  </x:si>
  <x:si>
    <x:t xml:space="preserve">214 °C</x:t>
  </x:si>
  <x:si>
    <x:t xml:space="preserve">V000445</x:t>
  </x:si>
  <x:si>
    <x:t xml:space="preserve">V000446</x:t>
  </x:si>
  <x:si>
    <x:t xml:space="preserve">V000447</x:t>
  </x:si>
  <x:si>
    <x:t xml:space="preserve">70 °C</x:t>
  </x:si>
  <x:si>
    <x:t xml:space="preserve">V000448</x:t>
  </x:si>
  <x:si>
    <x:t xml:space="preserve">V000450</x:t>
  </x:si>
  <x:si>
    <x:t xml:space="preserve">V000451</x:t>
  </x:si>
  <x:si>
    <x:t xml:space="preserve">1810 ±190 MPa</x:t>
  </x:si>
  <x:si>
    <x:t xml:space="preserve">V000452</x:t>
  </x:si>
  <x:si>
    <x:t xml:space="preserve">1540 ±130 MPa</x:t>
  </x:si>
  <x:si>
    <x:t xml:space="preserve">V000453</x:t>
  </x:si>
  <x:si>
    <x:t xml:space="preserve">34 ±4 MPa</x:t>
  </x:si>
  <x:si>
    <x:t xml:space="preserve">V000454</x:t>
  </x:si>
  <x:si>
    <x:t xml:space="preserve">23 ±4 MPa</x:t>
  </x:si>
  <x:si>
    <x:t xml:space="preserve">V000455</x:t>
  </x:si>
  <x:si>
    <x:t xml:space="preserve">V000456</x:t>
  </x:si>
  <x:si>
    <x:t xml:space="preserve">5.1 ± 0.8 %</x:t>
  </x:si>
  <x:si>
    <x:t xml:space="preserve">V000457</x:t>
  </x:si>
  <x:si>
    <x:t xml:space="preserve">2050 ±120 MPa</x:t>
  </x:si>
  <x:si>
    <x:t xml:space="preserve">V000458</x:t>
  </x:si>
  <x:si>
    <x:t xml:space="preserve">1810 ±140 MPa</x:t>
  </x:si>
  <x:si>
    <x:t xml:space="preserve">V000459</x:t>
  </x:si>
  <x:si>
    <x:t xml:space="preserve">64 ±3 MPa</x:t>
  </x:si>
  <x:si>
    <x:t xml:space="preserve">V000460</x:t>
  </x:si>
  <x:si>
    <x:t xml:space="preserve">48 ±4 MPa</x:t>
  </x:si>
  <x:si>
    <x:t xml:space="preserve">V000461</x:t>
  </x:si>
  <x:si>
    <x:t xml:space="preserve">31.5 ± 2.2 kJ/m²</x:t>
  </x:si>
  <x:si>
    <x:t xml:space="preserve">V000462</x:t>
  </x:si>
  <x:si>
    <x:t xml:space="preserve">10.6 ± 1.2 kJ/m²</x:t>
  </x:si>
  <x:si>
    <x:t xml:space="preserve">V000463</x:t>
  </x:si>
  <x:si>
    <x:t xml:space="preserve">All the specimens were annealed and dried at 65 °C for 8 h before testing</x:t>
  </x:si>
  <x:si>
    <x:t xml:space="preserve">Specimen Printing Conditions Subjects Data Nozzle Temperature 255 °C Bed Temperature 70 °C Printing Speed 150 mm/s Infill Density 100% * All the specimens were printed at the following settings: Nozzle Temperature = 255 °C, Printing Speed = 150 mm/s, Bed Temperature = 70 °C, Infill Density = 100%. All the specimens were annealed and dried at 65 °C for 8 h before testing. It's</x:t>
  </x:si>
  <x:si>
    <x:t xml:space="preserve">V000464</x:t>
  </x:si>
  <x:si>
    <x:t xml:space="preserve">228 °C</x:t>
  </x:si>
  <x:si>
    <x:t xml:space="preserve">V000465</x:t>
  </x:si>
  <x:si>
    <x:t xml:space="preserve">V000466</x:t>
  </x:si>
  <x:si>
    <x:t xml:space="preserve">V000467</x:t>
  </x:si>
  <x:si>
    <x:t xml:space="preserve">79 °C</x:t>
  </x:si>
  <x:si>
    <x:t xml:space="preserve">V000468</x:t>
  </x:si>
  <x:si>
    <x:t xml:space="preserve">74 °C</x:t>
  </x:si>
  <x:si>
    <x:t xml:space="preserve">V000470</x:t>
  </x:si>
  <x:si>
    <x:t xml:space="preserve">0.30 %</x:t>
  </x:si>
  <x:si>
    <x:t xml:space="preserve">V000471</x:t>
  </x:si>
  <x:si>
    <x:t xml:space="preserve">1420 ± 160 MPa</x:t>
  </x:si>
  <x:si>
    <x:t xml:space="preserve">V000472</x:t>
  </x:si>
  <x:si>
    <x:t xml:space="preserve">1230 ± 140 MPa</x:t>
  </x:si>
  <x:si>
    <x:t xml:space="preserve">V000473</x:t>
  </x:si>
  <x:si>
    <x:t xml:space="preserve">V000474</x:t>
  </x:si>
  <x:si>
    <x:t xml:space="preserve">29 ± 3 MPa</x:t>
  </x:si>
  <x:si>
    <x:t xml:space="preserve">V000475</x:t>
  </x:si>
  <x:si>
    <x:t xml:space="preserve">8.2 ± 1.3 %</x:t>
  </x:si>
  <x:si>
    <x:t xml:space="preserve">V000476</x:t>
  </x:si>
  <x:si>
    <x:t xml:space="preserve">5.2 ± 0.9 %</x:t>
  </x:si>
  <x:si>
    <x:t xml:space="preserve">V000477</x:t>
  </x:si>
  <x:si>
    <x:t xml:space="preserve">1610 ± 130 MPa</x:t>
  </x:si>
  <x:si>
    <x:t xml:space="preserve">V000478</x:t>
  </x:si>
  <x:si>
    <x:t xml:space="preserve">1520 ± 110 MPa</x:t>
  </x:si>
  <x:si>
    <x:t xml:space="preserve">V000479</x:t>
  </x:si>
  <x:si>
    <x:t xml:space="preserve">68 ± 3 MPa</x:t>
  </x:si>
  <x:si>
    <x:t xml:space="preserve">V000480</x:t>
  </x:si>
  <x:si>
    <x:t xml:space="preserve">V000481</x:t>
  </x:si>
  <x:si>
    <x:t xml:space="preserve">37.4 ± 3.3 kJ/m²;</x:t>
  </x:si>
  <x:si>
    <x:t xml:space="preserve">V000482</x:t>
  </x:si>
  <x:si>
    <x:t xml:space="preserve">8.6 ± 2.1 kJ/m²</x:t>
  </x:si>
  <x:si>
    <x:t xml:space="preserve">V000483</x:t>
  </x:si>
  <x:si>
    <x:t xml:space="preserve">7.2 ± 1.8 kJ/m²</x:t>
  </x:si>
  <x:si>
    <x:t xml:space="preserve">V000484</x:t>
  </x:si>
  <x:si>
    <x:t xml:space="preserve">Specimen Printing Conditions Subjects Data Nozzle Temperature 255 °C Bed Temperature 70 °C Printing Speed 150 mm/s Infill Density 100% * All the specimens were printed at the following settings: Nozzle Temperature = 255 °C, Printing Speed = 150 mm/s, Bed Temperature = 70 °C, Infill Density = 100%. All the specimens were annealed and dried at 65 °C for 8 h before testing. And</x:t>
  </x:si>
  <x:si>
    <x:t xml:space="preserve">V000485</x:t>
  </x:si>
  <x:si>
    <x:t xml:space="preserve">225 °C</x:t>
  </x:si>
  <x:si>
    <x:t xml:space="preserve">V000486</x:t>
  </x:si>
  <x:si>
    <x:t xml:space="preserve">V000487</x:t>
  </x:si>
  <x:si>
    <x:t xml:space="preserve">V000488</x:t>
  </x:si>
  <x:si>
    <x:t xml:space="preserve">85 °C</x:t>
  </x:si>
  <x:si>
    <x:t xml:space="preserve">V000489</x:t>
  </x:si>
  <x:si>
    <x:t xml:space="preserve">V000491</x:t>
  </x:si>
  <x:si>
    <x:t xml:space="preserve">V000492</x:t>
  </x:si>
  <x:si>
    <x:t xml:space="preserve">2460 ± 230 MPa</x:t>
  </x:si>
  <x:si>
    <x:t xml:space="preserve">V000493</x:t>
  </x:si>
  <x:si>
    <x:t xml:space="preserve">1340 ± 150 MPa</x:t>
  </x:si>
  <x:si>
    <x:t xml:space="preserve">V000494</x:t>
  </x:si>
  <x:si>
    <x:t xml:space="preserve">35 ± 5 MPa</x:t>
  </x:si>
  <x:si>
    <x:t xml:space="preserve">V000495</x:t>
  </x:si>
  <x:si>
    <x:t xml:space="preserve">29 ± 4 MPa</x:t>
  </x:si>
  <x:si>
    <x:t xml:space="preserve">V000496</x:t>
  </x:si>
  <x:si>
    <x:t xml:space="preserve">10.4 ± 0.6 %</x:t>
  </x:si>
  <x:si>
    <x:t xml:space="preserve">V000497</x:t>
  </x:si>
  <x:si>
    <x:t xml:space="preserve">4.7 ± 0.4 %</x:t>
  </x:si>
  <x:si>
    <x:t xml:space="preserve">V000498</x:t>
  </x:si>
  <x:si>
    <x:t xml:space="preserve">2910 ± 260 MPa</x:t>
  </x:si>
  <x:si>
    <x:t xml:space="preserve">V000499</x:t>
  </x:si>
  <x:si>
    <x:t xml:space="preserve">1560 ± 180 MPa</x:t>
  </x:si>
  <x:si>
    <x:t xml:space="preserve">V000500</x:t>
  </x:si>
  <x:si>
    <x:t xml:space="preserve">70 ± 5 MPa</x:t>
  </x:si>
  <x:si>
    <x:t xml:space="preserve">V000501</x:t>
  </x:si>
  <x:si>
    <x:t xml:space="preserve">48 ± 4 MPa</x:t>
  </x:si>
  <x:si>
    <x:t xml:space="preserve">V000502</x:t>
  </x:si>
  <x:si>
    <x:t xml:space="preserve">41.2 ± 2.6 kJ/m²;</x:t>
  </x:si>
  <x:si>
    <x:t xml:space="preserve">V000503</x:t>
  </x:si>
  <x:si>
    <x:t xml:space="preserve">15.7 ±1.6 kJ/m²</x:t>
  </x:si>
  <x:si>
    <x:t xml:space="preserve">V000504</x:t>
  </x:si>
  <x:si>
    <x:t xml:space="preserve">10.7 ± 1.6 kJ/m²</x:t>
  </x:si>
  <x:si>
    <x:t xml:space="preserve">1.26-1.30</x:t>
  </x:si>
  <x:si>
    <x:t xml:space="preserve">V000506</x:t>
  </x:si>
  <x:si>
    <x:t xml:space="preserve">190--220</x:t>
  </x:si>
  <x:si>
    <x:t xml:space="preserve">p. 1: Melting point</x:t>
  </x:si>
  <x:si>
    <x:t xml:space="preserve">V000507</x:t>
  </x:si>
  <x:si>
    <x:t xml:space="preserve">120 ℃</x:t>
  </x:si>
  <x:si>
    <x:t xml:space="preserve">p. 1: Vicatsoftening point A/</x:t>
  </x:si>
  <x:si>
    <x:t xml:space="preserve">V000508</x:t>
  </x:si>
  <x:si>
    <x:t xml:space="preserve">98</x:t>
  </x:si>
  <x:si>
    <x:t xml:space="preserve">V000509</x:t>
  </x:si>
  <x:si>
    <x:t xml:space="preserve">p. 1: Water absorption</x:t>
  </x:si>
  <x:si>
    <x:t xml:space="preserve">V000510</x:t>
  </x:si>
  <x:si>
    <x:t xml:space="preserve">Printed Specimen Conditions Printer: Open Source FDM/FFF Nozzle: 0.4mm Layer Height: 0.25mm Infill: 100%, +/- 45° Extrusion Temp: 250°C Bed Temp: 70°C Specimen Orientation: XY Flat</x:t>
  </x:si>
  <x:si>
    <x:t xml:space="preserve">V000511</x:t>
  </x:si>
  <x:si>
    <x:t xml:space="preserve">50</x:t>
  </x:si>
  <x:si>
    <x:t xml:space="preserve">V000512</x:t>
  </x:si>
  <x:si>
    <x:t xml:space="preserve">1800</x:t>
  </x:si>
  <x:si>
    <x:t xml:space="preserve">V000513</x:t>
  </x:si>
  <x:si>
    <x:t xml:space="preserve">13</x:t>
  </x:si>
  <x:si>
    <x:t xml:space="preserve">V000514</x:t>
  </x:si>
  <x:si>
    <x:t xml:space="preserve">74</x:t>
  </x:si>
  <x:si>
    <x:t xml:space="preserve">V000515</x:t>
  </x:si>
  <x:si>
    <x:t xml:space="preserve">1780</x:t>
  </x:si>
  <x:si>
    <x:t xml:space="preserve">V000516</x:t>
  </x:si>
  <x:si>
    <x:t xml:space="preserve">V000518</x:t>
  </x:si>
  <x:si>
    <x:t xml:space="preserve">1.24 g/cm3</x:t>
  </x:si>
  <x:si>
    <x:t xml:space="preserve">Printing temperature 270 °C Bed temperature 80 °C Shell 2 Top &amp; bottom layer 4 Infill 100% Environmental temperature 25 °C Cooling fan OFF *All specimens were conditioned at room temperature for 24h prior to testing DISCLAIMER: The typical values presented in this data sheet are intended for reference and comparison pu</x:t>
  </x:si>
  <x:si>
    <x:t xml:space="preserve">V000519</x:t>
  </x:si>
  <x:si>
    <x:t xml:space="preserve">77 °C</x:t>
  </x:si>
  <x:si>
    <x:t xml:space="preserve">V000520</x:t>
  </x:si>
  <x:si>
    <x:t xml:space="preserve">V000521</x:t>
  </x:si>
  <x:si>
    <x:t xml:space="preserve">V000522</x:t>
  </x:si>
  <x:si>
    <x:t xml:space="preserve">86 °C</x:t>
  </x:si>
  <x:si>
    <x:t xml:space="preserve">V000523</x:t>
  </x:si>
  <x:si>
    <x:t xml:space="preserve">72 °C</x:t>
  </x:si>
  <x:si>
    <x:t xml:space="preserve">V000524</x:t>
  </x:si>
  <x:si>
    <x:t xml:space="preserve">76 °C</x:t>
  </x:si>
  <x:si>
    <x:t xml:space="preserve">V000525</x:t>
  </x:si>
  <x:si>
    <x:t xml:space="preserve">V000526</x:t>
  </x:si>
  <x:si>
    <x:t xml:space="preserve">1983 ± 66 MPa</x:t>
  </x:si>
  <x:si>
    <x:t xml:space="preserve">V000527</x:t>
  </x:si>
  <x:si>
    <x:t xml:space="preserve">1626 ± 34 MPa</x:t>
  </x:si>
  <x:si>
    <x:t xml:space="preserve">V000528</x:t>
  </x:si>
  <x:si>
    <x:t xml:space="preserve">36.1 ± 0.7 MPa</x:t>
  </x:si>
  <x:si>
    <x:t xml:space="preserve">V000529</x:t>
  </x:si>
  <x:si>
    <x:t xml:space="preserve">20.7 ± 0.6 MPa</x:t>
  </x:si>
  <x:si>
    <x:t xml:space="preserve">V000530</x:t>
  </x:si>
  <x:si>
    <x:t xml:space="preserve">7.3 ± 0.5 %</x:t>
  </x:si>
  <x:si>
    <x:t xml:space="preserve">V000531</x:t>
  </x:si>
  <x:si>
    <x:t xml:space="preserve">1.8 ± 0.1 %</x:t>
  </x:si>
  <x:si>
    <x:t xml:space="preserve">V000532</x:t>
  </x:si>
  <x:si>
    <x:t xml:space="preserve">1658 ± 164 MPa</x:t>
  </x:si>
  <x:si>
    <x:t xml:space="preserve">V000533</x:t>
  </x:si>
  <x:si>
    <x:t xml:space="preserve">54.0 ± 3.0 MPa</x:t>
  </x:si>
  <x:si>
    <x:t xml:space="preserve">V000534</x:t>
  </x:si>
  <x:si>
    <x:t xml:space="preserve">5.7 ± 0.6 kJ/m2</x:t>
  </x:si>
  <x:si>
    <x:t xml:space="preserve">p. 3: Notched charpy impact</x:t>
  </x:si>
  <x:si>
    <x:t xml:space="preserve">V000535</x:t>
  </x:si>
  <x:si>
    <x:t xml:space="preserve">D 792</x:t>
  </x:si>
  <x:si>
    <x:t xml:space="preserve">p. 1: Specific Gravity</x:t>
  </x:si>
  <x:si>
    <x:t xml:space="preserve">V000536</x:t>
  </x:si>
  <x:si>
    <x:t xml:space="preserve">Tensile yield strength</x:t>
  </x:si>
  <x:si>
    <x:t xml:space="preserve">26 MPa</x:t>
  </x:si>
  <x:si>
    <x:t xml:space="preserve">D 638</x:t>
  </x:si>
  <x:si>
    <x:t xml:space="preserve">p. 1: Tensile Stress at Yield</x:t>
  </x:si>
  <x:si>
    <x:t xml:space="preserve">V000537</x:t>
  </x:si>
  <x:si>
    <x:t xml:space="preserve">48 MPa</x:t>
  </x:si>
  <x:si>
    <x:t xml:space="preserve">p. 1: Tensile Stress at Break</x:t>
  </x:si>
  <x:si>
    <x:t xml:space="preserve">V000538</x:t>
  </x:si>
  <x:si>
    <x:t xml:space="preserve">58,00%</x:t>
  </x:si>
  <x:si>
    <x:t xml:space="preserve">p. 1: Elongation at Break</x:t>
  </x:si>
  <x:si>
    <x:t xml:space="preserve">V000539</x:t>
  </x:si>
  <x:si>
    <x:t xml:space="preserve">4,30%</x:t>
  </x:si>
  <x:si>
    <x:t xml:space="preserve">V000540</x:t>
  </x:si>
  <x:si>
    <x:t xml:space="preserve">1950 MPa</x:t>
  </x:si>
  <x:si>
    <x:t xml:space="preserve">V000541</x:t>
  </x:si>
  <x:si>
    <x:t xml:space="preserve">64 MPa</x:t>
  </x:si>
  <x:si>
    <x:t xml:space="preserve">D 790</x:t>
  </x:si>
  <x:si>
    <x:t xml:space="preserve">V000542</x:t>
  </x:si>
  <x:si>
    <x:t xml:space="preserve">1980 MPa</x:t>
  </x:si>
  <x:si>
    <x:t xml:space="preserve">V000543</x:t>
  </x:si>
  <x:si>
    <x:t xml:space="preserve">108</x:t>
  </x:si>
  <x:si>
    <x:t xml:space="preserve">Rockwell R</x:t>
  </x:si>
  <x:si>
    <x:t xml:space="preserve">ASTM D785</x:t>
  </x:si>
  <x:si>
    <x:t xml:space="preserve">p. 1: Rockwell Hardness, R Scale</x:t>
  </x:si>
  <x:si>
    <x:t xml:space="preserve">Scale recovered from the TDS row "Rockwell Hardness, R Scale 108" (ASTM D785). Verified verbatim 2026-09-11.</x:t>
  </x:si>
  <x:si>
    <x:t xml:space="preserve">V000544</x:t>
  </x:si>
  <x:si>
    <x:t xml:space="preserve">72°C</x:t>
  </x:si>
  <x:si>
    <x:t xml:space="preserve">D 648</x:t>
  </x:si>
  <x:si>
    <x:t xml:space="preserve">p. 1: Heat Deflection Temperature</x:t>
  </x:si>
  <x:si>
    <x:t xml:space="preserve">Test load not published; do not combine with specified-load HDT.</x:t>
  </x:si>
  <x:si>
    <x:t xml:space="preserve">V000545</x:t>
  </x:si>
  <x:si>
    <x:t xml:space="preserve">1.19 g/cm3</x:t>
  </x:si>
  <x:si>
    <x:t xml:space="preserve">V000546</x:t>
  </x:si>
  <x:si>
    <x:t xml:space="preserve">1.05 g/cm³</x:t>
  </x:si>
  <x:si>
    <x:t xml:space="preserve">All the specimens were annealed and dried at 80 °C for 12 h before testing</x:t>
  </x:si>
  <x:si>
    <x:t xml:space="preserve">Specimen Printing Conditions Subjects Data Nozzle Temperature 260 °C Bed Temperature 80 °C Printing Speed 200 mm/s Infill Density 100% *All the specimens were annealed and dried at 80 °C for 12 h before testing. And the suggested annealing temperature of models printed with Bambu ABS is 80 to 90 °C, and the time is 6 to 12 hours. The annealing effect depends on the annealing</x:t>
  </x:si>
  <x:si>
    <x:t xml:space="preserve">V000547</x:t>
  </x:si>
  <x:si>
    <x:t xml:space="preserve">200 °C</x:t>
  </x:si>
  <x:si>
    <x:t xml:space="preserve">V000548</x:t>
  </x:si>
  <x:si>
    <x:t xml:space="preserve">V000549</x:t>
  </x:si>
  <x:si>
    <x:t xml:space="preserve">V000550</x:t>
  </x:si>
  <x:si>
    <x:t xml:space="preserve">94 °C</x:t>
  </x:si>
  <x:si>
    <x:t xml:space="preserve">V000551</x:t>
  </x:si>
  <x:si>
    <x:t xml:space="preserve">87 °C</x:t>
  </x:si>
  <x:si>
    <x:t xml:space="preserve">V000553</x:t>
  </x:si>
  <x:si>
    <x:t xml:space="preserve">0.65 %</x:t>
  </x:si>
  <x:si>
    <x:t xml:space="preserve">V000554</x:t>
  </x:si>
  <x:si>
    <x:t xml:space="preserve">2200 ± 190 MPa</x:t>
  </x:si>
  <x:si>
    <x:t xml:space="preserve">V000555</x:t>
  </x:si>
  <x:si>
    <x:t xml:space="preserve">1960 ± 110 MPA</x:t>
  </x:si>
  <x:si>
    <x:t xml:space="preserve">MPA</x:t>
  </x:si>
  <x:si>
    <x:t xml:space="preserve">V000556</x:t>
  </x:si>
  <x:si>
    <x:t xml:space="preserve">33 ± 3 MPa</x:t>
  </x:si>
  <x:si>
    <x:t xml:space="preserve">V000557</x:t>
  </x:si>
  <x:si>
    <x:t xml:space="preserve">28 ± 2 MPa</x:t>
  </x:si>
  <x:si>
    <x:t xml:space="preserve">V000558</x:t>
  </x:si>
  <x:si>
    <x:t xml:space="preserve">10.5 ± 1.0 %</x:t>
  </x:si>
  <x:si>
    <x:t xml:space="preserve">V000559</x:t>
  </x:si>
  <x:si>
    <x:t xml:space="preserve">4.7 ± 0.8 %</x:t>
  </x:si>
  <x:si>
    <x:t xml:space="preserve">V000560</x:t>
  </x:si>
  <x:si>
    <x:t xml:space="preserve">1880 ± 110 MPa</x:t>
  </x:si>
  <x:si>
    <x:t xml:space="preserve">V000561</x:t>
  </x:si>
  <x:si>
    <x:t xml:space="preserve">1590 ± 100 MPa</x:t>
  </x:si>
  <x:si>
    <x:t xml:space="preserve">V000562</x:t>
  </x:si>
  <x:si>
    <x:t xml:space="preserve">62 ± 4 MPa</x:t>
  </x:si>
  <x:si>
    <x:t xml:space="preserve">V000563</x:t>
  </x:si>
  <x:si>
    <x:t xml:space="preserve">39 ± 4 MPa</x:t>
  </x:si>
  <x:si>
    <x:t xml:space="preserve">V000564</x:t>
  </x:si>
  <x:si>
    <x:r>
      <x:rPr>
        <x:sz val="10"/>
        <x:color rgb="FF243447"/>
        <x:rFont val="Arial"/>
      </x:rPr>
      <x:t xml:space="preserve">39.3 ± 3.6 kJ/m²</x:t>
    </x:r>
    <x:r>
      <x:rPr>
        <x:sz val="10"/>
        <x:color rgb="FF243447"/>
        <x:rFont val="Noto Sans CJK SC"/>
        <x:family val="2"/>
      </x:rPr>
      <x:t xml:space="preserve">；</x:t>
    </x:r>
  </x:si>
  <x:si>
    <x:t xml:space="preserve">V000565</x:t>
  </x:si>
  <x:si>
    <x:t xml:space="preserve">21.5 ± 2.2 kJ/m²</x:t>
  </x:si>
  <x:si>
    <x:t xml:space="preserve">V000566</x:t>
  </x:si>
  <x:si>
    <x:t xml:space="preserve">7.4 ± 1.2 kJ/m²</x:t>
  </x:si>
  <x:si>
    <x:t xml:space="preserve">V000567</x:t>
  </x:si>
  <x:si>
    <x:t xml:space="preserve">1.08 g/cm³</x:t>
  </x:si>
  <x:si>
    <x:t xml:space="preserve">Specimen Printing Conditions Subjects Data Nozzle Temperature 270 °C Bed Temperature 80 °C Printing Speed 150 mm/s InfillDensity 100% * All the specimens were annealed and dried at 80 °C for 12 h before testing. And the suggested annealing temperature ofmodels printed with Bambu ABS-GF is80 to90 °C, and the time is6 to 12 hours. The annealing effect depends on the annealing t</x:t>
  </x:si>
  <x:si>
    <x:t xml:space="preserve">V000568</x:t>
  </x:si>
  <x:si>
    <x:t xml:space="preserve">202 °C</x:t>
  </x:si>
  <x:si>
    <x:t xml:space="preserve">V000569</x:t>
  </x:si>
  <x:si>
    <x:t xml:space="preserve">Transition Temperature</x:t>
  </x:si>
  <x:si>
    <x:t xml:space="preserve">p. 2: Glass</x:t>
  </x:si>
  <x:si>
    <x:t xml:space="preserve">V000570</x:t>
  </x:si>
  <x:si>
    <x:t xml:space="preserve">V000571</x:t>
  </x:si>
  <x:si>
    <x:t xml:space="preserve">103 °C</x:t>
  </x:si>
  <x:si>
    <x:t xml:space="preserve">V000572</x:t>
  </x:si>
  <x:si>
    <x:t xml:space="preserve">88 °C</x:t>
  </x:si>
  <x:si>
    <x:t xml:space="preserve">99 °C</x:t>
  </x:si>
  <x:si>
    <x:t xml:space="preserve">V000574</x:t>
  </x:si>
  <x:si>
    <x:t xml:space="preserve">0.53 %</x:t>
  </x:si>
  <x:si>
    <x:t xml:space="preserve">V000575</x:t>
  </x:si>
  <x:si>
    <x:t xml:space="preserve">3160 ±170 MPa</x:t>
  </x:si>
  <x:si>
    <x:t xml:space="preserve">V000576</x:t>
  </x:si>
  <x:si>
    <x:t xml:space="preserve">2250 ± 130 MPA</x:t>
  </x:si>
  <x:si>
    <x:t xml:space="preserve">V000577</x:t>
  </x:si>
  <x:si>
    <x:t xml:space="preserve">36 ±3 MPa</x:t>
  </x:si>
  <x:si>
    <x:t xml:space="preserve">V000578</x:t>
  </x:si>
  <x:si>
    <x:t xml:space="preserve">29 ±3 MPa</x:t>
  </x:si>
  <x:si>
    <x:t xml:space="preserve">V000579</x:t>
  </x:si>
  <x:si>
    <x:t xml:space="preserve">1.2 %</x:t>
  </x:si>
  <x:si>
    <x:t xml:space="preserve">ISO 527, GB/T 1040 6.3% ±</x:t>
  </x:si>
  <x:si>
    <x:t xml:space="preserve">V000580</x:t>
  </x:si>
  <x:si>
    <x:t xml:space="preserve">0.8 %</x:t>
  </x:si>
  <x:si>
    <x:t xml:space="preserve">ISO 527, GB/T 1040 2.3% ±</x:t>
  </x:si>
  <x:si>
    <x:t xml:space="preserve">V000581</x:t>
  </x:si>
  <x:si>
    <x:t xml:space="preserve">2860 ±130 MPa</x:t>
  </x:si>
  <x:si>
    <x:t xml:space="preserve">V000582</x:t>
  </x:si>
  <x:si>
    <x:t xml:space="preserve">1970 ±110 MPa</x:t>
  </x:si>
  <x:si>
    <x:t xml:space="preserve">V000583</x:t>
  </x:si>
  <x:si>
    <x:t xml:space="preserve">68 ±4 MPa</x:t>
  </x:si>
  <x:si>
    <x:t xml:space="preserve">V000584</x:t>
  </x:si>
  <x:si>
    <x:t xml:space="preserve">46 ±3 MPa</x:t>
  </x:si>
  <x:si>
    <x:t xml:space="preserve">V000585</x:t>
  </x:si>
  <x:si>
    <x:t xml:space="preserve">14.5 ± 1.5 kJ/m²</x:t>
  </x:si>
  <x:si>
    <x:t xml:space="preserve">V000586</x:t>
  </x:si>
  <x:si>
    <x:t xml:space="preserve">5.3 ± 1.4 kJ/m²</x:t>
  </x:si>
  <x:si>
    <x:t xml:space="preserve">V000587</x:t>
  </x:si>
  <x:si>
    <x:t xml:space="preserve">1.11</x:t>
  </x:si>
  <x:si>
    <x:t xml:space="preserve">Printed Specimen Conditions Printer: Open Source FDM/FFF Nozzle: 0.4mm Layer Height: 0.25mm Infill: 100%, +/- 45° Extrusion Temp: 230°C Bed Temp: 110°C Specimen Orientation: XY Flat</x:t>
  </x:si>
  <x:si>
    <x:t xml:space="preserve">V000588</x:t>
  </x:si>
  <x:si>
    <x:t xml:space="preserve">46</x:t>
  </x:si>
  <x:si>
    <x:t xml:space="preserve">V000589</x:t>
  </x:si>
  <x:si>
    <x:t xml:space="preserve">5210</x:t>
  </x:si>
  <x:si>
    <x:t xml:space="preserve">V000590</x:t>
  </x:si>
  <x:si>
    <x:t xml:space="preserve">2</x:t>
  </x:si>
  <x:si>
    <x:t xml:space="preserve">V000591</x:t>
  </x:si>
  <x:si>
    <x:t xml:space="preserve">76</x:t>
  </x:si>
  <x:si>
    <x:t xml:space="preserve">V000592</x:t>
  </x:si>
  <x:si>
    <x:t xml:space="preserve">5260</x:t>
  </x:si>
  <x:si>
    <x:t xml:space="preserve">V000593</x:t>
  </x:si>
  <x:si>
    <x:t xml:space="preserve">105</x:t>
  </x:si>
  <x:si>
    <x:t xml:space="preserve">V000595</x:t>
  </x:si>
  <x:si>
    <x:t xml:space="preserve">3</x:t>
  </x:si>
  <x:si>
    <x:t xml:space="preserve">printing temperature, 100- 110 ºC bed temperature, having excellent interlayer adhesion which greatly improve the strength and shock resistance of the prototype. Physical Properties Standard Unit Typical Value Density ISO 1183 g/cc 1.10 Mechanical Properties Standard Unit Typical Value Tensile Strength, Break ISO 527 M</x:t>
  </x:si>
  <x:si>
    <x:t xml:space="preserve">p. 1: Tensile Elongation,</x:t>
  </x:si>
  <x:si>
    <x:t xml:space="preserve">Column-split error: "527" is the ISO 527 standard number, not the elongation value. Re-read from iSANMATE CF-ABS_TDS.pdf (SHA256 confirmed identical to the file already cited as I-CF-ABS-TDS): "Tensile Elongation, Break | ISO 527 | % | 3". Resolved 2026-09-11.</x:t>
  </x:si>
  <x:si>
    <x:t xml:space="preserve">V000596</x:t>
  </x:si>
  <x:si>
    <x:t xml:space="preserve">1.09</x:t>
  </x:si>
  <x:si>
    <x:t xml:space="preserve">V000597</x:t>
  </x:si>
  <x:si>
    <x:t xml:space="preserve">58</x:t>
  </x:si>
  <x:si>
    <x:t xml:space="preserve">V000598</x:t>
  </x:si>
  <x:si>
    <x:t xml:space="preserve">2130</x:t>
  </x:si>
  <x:si>
    <x:t xml:space="preserve">V000599</x:t>
  </x:si>
  <x:si>
    <x:t xml:space="preserve">4</x:t>
  </x:si>
  <x:si>
    <x:t xml:space="preserve">V000600</x:t>
  </x:si>
  <x:si>
    <x:t xml:space="preserve">V000601</x:t>
  </x:si>
  <x:si>
    <x:t xml:space="preserve">2275</x:t>
  </x:si>
  <x:si>
    <x:t xml:space="preserve">V000602</x:t>
  </x:si>
  <x:si>
    <x:t xml:space="preserve">97</x:t>
  </x:si>
  <x:si>
    <x:t xml:space="preserve">V000604</x:t>
  </x:si>
  <x:si>
    <x:t xml:space="preserve">1.05 g/cm3</x:t>
  </x:si>
  <x:si>
    <x:t xml:space="preserve">ISO1183,GB/T1033</x:t>
  </x:si>
  <x:si>
    <x:t xml:space="preserve">V000605</x:t>
  </x:si>
  <x:si>
    <x:t xml:space="preserve">1135780 °C</x:t>
  </x:si>
  <x:si>
    <x:t xml:space="preserve">ISO1135780°C ISO</x:t>
  </x:si>
  <x:si>
    <x:t xml:space="preserve">p. 1: Glass Transition Temperature</x:t>
  </x:si>
  <x:si>
    <x:t xml:space="preserve">V000606</x:t>
  </x:si>
  <x:si>
    <x:t xml:space="preserve">19.38±0.16 MPa</x:t>
  </x:si>
  <x:si>
    <x:t xml:space="preserve">ISO527,GB/T1040</x:t>
  </x:si>
  <x:si>
    <x:t xml:space="preserve">p. 1: Tensile Strength(Z)</x:t>
  </x:si>
  <x:si>
    <x:t xml:space="preserve">V000607</x:t>
  </x:si>
  <x:si>
    <x:t xml:space="preserve">2352.06±30.47 MPa</x:t>
  </x:si>
  <x:si>
    <x:t xml:space="preserve">p. 1: Tensile Modulus (X-Y)</x:t>
  </x:si>
  <x:si>
    <x:t xml:space="preserve">V000608</x:t>
  </x:si>
  <x:si>
    <x:t xml:space="preserve">2.21±0.08 %</x:t>
  </x:si>
  <x:si>
    <x:t xml:space="preserve">p. 1: Elongation At Break(X-Y)</x:t>
  </x:si>
  <x:si>
    <x:t xml:space="preserve">V000609</x:t>
  </x:si>
  <x:si>
    <x:t xml:space="preserve">2337.91±20.62 MPa</x:t>
  </x:si>
  <x:si>
    <x:t xml:space="preserve">ISO178,GB/T9341</x:t>
  </x:si>
  <x:si>
    <x:t xml:space="preserve">p. 1: Flexural Modulus(X-Y)</x:t>
  </x:si>
  <x:si>
    <x:t xml:space="preserve">V000610</x:t>
  </x:si>
  <x:si>
    <x:t xml:space="preserve">54.28±0.56 MPa</x:t>
  </x:si>
  <x:si>
    <x:t xml:space="preserve">p. 1: Bending Strength (X-Y)</x:t>
  </x:si>
  <x:si>
    <x:t xml:space="preserve">V000611</x:t>
  </x:si>
  <x:si>
    <x:r>
      <x:rPr>
        <x:sz val="10"/>
        <x:color rgb="FF243447"/>
        <x:rFont val="Arial"/>
      </x:rPr>
      <x:t xml:space="preserve">6.47±0.6KJ/</x:t>
    </x:r>
    <x:r>
      <x:rPr>
        <x:sz val="10"/>
        <x:color rgb="FF243447"/>
        <x:rFont val="Noto Sans CJK SC"/>
        <x:family val="2"/>
      </x:rPr>
      <x:t xml:space="preserve">㎡</x:t>
    </x:r>
  </x:si>
  <x:si>
    <x:r>
      <x:rPr>
        <x:sz val="10"/>
        <x:color rgb="FF243447"/>
        <x:rFont val="Arial"/>
      </x:rPr>
      <x:t xml:space="preserve">KJ/</x:t>
    </x:r>
    <x:r>
      <x:rPr>
        <x:sz val="10"/>
        <x:color rgb="FF243447"/>
        <x:rFont val="Noto Sans CJK SC"/>
        <x:family val="2"/>
      </x:rPr>
      <x:t xml:space="preserve">㎡</x:t>
    </x:r>
  </x:si>
  <x:si>
    <x:t xml:space="preserve">ISO179,GB/T9341</x:t>
  </x:si>
  <x:si>
    <x:t xml:space="preserve">p. 1: Impact Strength (Charpy) (X-Y)</x:t>
  </x:si>
  <x:si>
    <x:t xml:space="preserve">V000612</x:t>
  </x:si>
  <x:si>
    <x:t xml:space="preserve">Specimen Printing Conditions Subjects Data Nozzle Temperature 260 °C Bed Temperature 80 °C Printing Speed 200 mm/s Infill Density 100% *All the specimens were annealed and dried at 80 °C for 12 h before testing. And the suggested annealing temperature of models printed with Bambu ASA is 80 to 90 °C, and the time is 6 to 12 hours. The annealing effect depends on the annealing</x:t>
  </x:si>
  <x:si>
    <x:t xml:space="preserve">V000613</x:t>
  </x:si>
  <x:si>
    <x:t xml:space="preserve">210 °C</x:t>
  </x:si>
  <x:si>
    <x:t xml:space="preserve">V000614</x:t>
  </x:si>
  <x:si>
    <x:t xml:space="preserve">V000615</x:t>
  </x:si>
  <x:si>
    <x:t xml:space="preserve">V000616</x:t>
  </x:si>
  <x:si>
    <x:t xml:space="preserve">106 °C</x:t>
  </x:si>
  <x:si>
    <x:t xml:space="preserve">V000617</x:t>
  </x:si>
  <x:si>
    <x:t xml:space="preserve">92 °C</x:t>
  </x:si>
  <x:si>
    <x:t xml:space="preserve">100 °C</x:t>
  </x:si>
  <x:si>
    <x:t xml:space="preserve">V000619</x:t>
  </x:si>
  <x:si>
    <x:t xml:space="preserve">V000620</x:t>
  </x:si>
  <x:si>
    <x:t xml:space="preserve">2450 ± 270 MPa</x:t>
  </x:si>
  <x:si>
    <x:t xml:space="preserve">V000621</x:t>
  </x:si>
  <x:si>
    <x:t xml:space="preserve">2120 ± 260 MPA</x:t>
  </x:si>
  <x:si>
    <x:t xml:space="preserve">V000622</x:t>
  </x:si>
  <x:si>
    <x:t xml:space="preserve">V000623</x:t>
  </x:si>
  <x:si>
    <x:t xml:space="preserve">31 ± 4 MPa</x:t>
  </x:si>
  <x:si>
    <x:t xml:space="preserve">V000624</x:t>
  </x:si>
  <x:si>
    <x:t xml:space="preserve">9.2 ± 1.4 %</x:t>
  </x:si>
  <x:si>
    <x:t xml:space="preserve">V000625</x:t>
  </x:si>
  <x:si>
    <x:t xml:space="preserve">4.6 ± 0.8 %</x:t>
  </x:si>
  <x:si>
    <x:t xml:space="preserve">V000626</x:t>
  </x:si>
  <x:si>
    <x:t xml:space="preserve">1920 ± 130 MPa</x:t>
  </x:si>
  <x:si>
    <x:t xml:space="preserve">V000627</x:t>
  </x:si>
  <x:si>
    <x:t xml:space="preserve">1650 ± 120 MPa</x:t>
  </x:si>
  <x:si>
    <x:t xml:space="preserve">V000628</x:t>
  </x:si>
  <x:si>
    <x:t xml:space="preserve">65 ± 5 MPa</x:t>
  </x:si>
  <x:si>
    <x:t xml:space="preserve">V000629</x:t>
  </x:si>
  <x:si>
    <x:t xml:space="preserve">40 ± 3 MPa</x:t>
  </x:si>
  <x:si>
    <x:t xml:space="preserve">V000630</x:t>
  </x:si>
  <x:si>
    <x:r>
      <x:rPr>
        <x:sz val="10"/>
        <x:color rgb="FF243447"/>
        <x:rFont val="Arial"/>
      </x:rPr>
      <x:t xml:space="preserve">41.0 ± 2.3 kJ/m²</x:t>
    </x:r>
    <x:r>
      <x:rPr>
        <x:sz val="10"/>
        <x:color rgb="FF243447"/>
        <x:rFont val="Noto Sans CJK SC"/>
        <x:family val="2"/>
      </x:rPr>
      <x:t xml:space="preserve">；</x:t>
    </x:r>
  </x:si>
  <x:si>
    <x:t xml:space="preserve">V000631</x:t>
  </x:si>
  <x:si>
    <x:t xml:space="preserve">19.6 ± 1.8 kJ/m²</x:t>
  </x:si>
  <x:si>
    <x:t xml:space="preserve">V000632</x:t>
  </x:si>
  <x:si>
    <x:t xml:space="preserve">4.9 ± 0.6 kJ/m²</x:t>
  </x:si>
  <x:si>
    <x:t xml:space="preserve">V000633</x:t>
  </x:si>
  <x:si>
    <x:t xml:space="preserve">0.99 g/cm³</x:t>
  </x:si>
  <x:si>
    <x:t xml:space="preserve">Specimen Printing Conditions Subjects Data Nozzle Temperature 225 °C Bed Temperature 85 °C Printing Speed 100 mm/s Infill Density 100% * All the specimens were printed at the following settings: Nozzle Temperature = 225 °C, Printing Speed = 100 mm/s, Bed Temperature = 85 °C, Infill Density= 100%. All the specimens were annealed and dried at 80 °C for 12 h before testing. And</x:t>
  </x:si>
  <x:si>
    <x:t xml:space="preserve">V000634</x:t>
  </x:si>
  <x:si>
    <x:t xml:space="preserve">204 °C</x:t>
  </x:si>
  <x:si>
    <x:t xml:space="preserve">V000635</x:t>
  </x:si>
  <x:si>
    <x:t xml:space="preserve">V000636</x:t>
  </x:si>
  <x:si>
    <x:t xml:space="preserve">V000637</x:t>
  </x:si>
  <x:si>
    <x:t xml:space="preserve">80 °C</x:t>
  </x:si>
  <x:si>
    <x:t xml:space="preserve">V000638</x:t>
  </x:si>
  <x:si>
    <x:t xml:space="preserve">78 °C</x:t>
  </x:si>
  <x:si>
    <x:t xml:space="preserve">V000640</x:t>
  </x:si>
  <x:si>
    <x:t xml:space="preserve">0.80 %</x:t>
  </x:si>
  <x:si>
    <x:t xml:space="preserve">V000641</x:t>
  </x:si>
  <x:si>
    <x:t xml:space="preserve">2010 ± 260 MPa</x:t>
  </x:si>
  <x:si>
    <x:t xml:space="preserve">V000642</x:t>
  </x:si>
  <x:si>
    <x:t xml:space="preserve">1180 ± 210 MPA</x:t>
  </x:si>
  <x:si>
    <x:t xml:space="preserve">V000643</x:t>
  </x:si>
  <x:si>
    <x:t xml:space="preserve">32 ± 4 MPa</x:t>
  </x:si>
  <x:si>
    <x:t xml:space="preserve">V000644</x:t>
  </x:si>
  <x:si>
    <x:t xml:space="preserve">V000645</x:t>
  </x:si>
  <x:si>
    <x:t xml:space="preserve">1.6 %</x:t>
  </x:si>
  <x:si>
    <x:t xml:space="preserve">ISO 527, GB/T 1040 5.1% ±</x:t>
  </x:si>
  <x:si>
    <x:t xml:space="preserve">V000646</x:t>
  </x:si>
  <x:si>
    <x:t xml:space="preserve">0.9 %</x:t>
  </x:si>
  <x:si>
    <x:t xml:space="preserve">V000647</x:t>
  </x:si>
  <x:si>
    <x:t xml:space="preserve">1510 ± 120 MPa</x:t>
  </x:si>
  <x:si>
    <x:t xml:space="preserve">V000648</x:t>
  </x:si>
  <x:si>
    <x:t xml:space="preserve">1220 ± 110 MPa</x:t>
  </x:si>
  <x:si>
    <x:t xml:space="preserve">V000649</x:t>
  </x:si>
  <x:si>
    <x:t xml:space="preserve">58 ± 6 MPa</x:t>
  </x:si>
  <x:si>
    <x:t xml:space="preserve">V000650</x:t>
  </x:si>
  <x:si>
    <x:t xml:space="preserve">24 ± 3 MPa</x:t>
  </x:si>
  <x:si>
    <x:t xml:space="preserve">V000651</x:t>
  </x:si>
  <x:si>
    <x:t xml:space="preserve">32.0 ± 2.5 kJ/m²</x:t>
  </x:si>
  <x:si>
    <x:t xml:space="preserve">V000652</x:t>
  </x:si>
  <x:si>
    <x:t xml:space="preserve">3.4 ± 0.5 kJ/m²</x:t>
  </x:si>
  <x:si>
    <x:t xml:space="preserve">V000653</x:t>
  </x:si>
  <x:si>
    <x:t xml:space="preserve">1.02 g/cm³</x:t>
  </x:si>
  <x:si>
    <x:t xml:space="preserve">Specimen Printing Conditions Subjects Data Nozzle Temperature 220 °C Bed Temperature 35 °C Printing Speed 200 mm/s Infill Density 100% * All the specimens were printed at the following settings: Nozzle Temperature = 275 °C, Printing Speed = 200 mm/s, Bed Temperature = 90 °C, Infill Density= 100%. All the specimens were annealed and dried at 80 °C for 12 h before testing. And</x:t>
  </x:si>
  <x:si>
    <x:t xml:space="preserve">V000654</x:t>
  </x:si>
  <x:si>
    <x:t xml:space="preserve">V000655</x:t>
  </x:si>
  <x:si>
    <x:t xml:space="preserve">108 °C</x:t>
  </x:si>
  <x:si>
    <x:t xml:space="preserve">V000656</x:t>
  </x:si>
  <x:si>
    <x:t xml:space="preserve">102 °C</x:t>
  </x:si>
  <x:si>
    <x:t xml:space="preserve">110 °C</x:t>
  </x:si>
  <x:si>
    <x:t xml:space="preserve">V000658</x:t>
  </x:si>
  <x:si>
    <x:t xml:space="preserve">0.33 %</x:t>
  </x:si>
  <x:si>
    <x:t xml:space="preserve">V000659</x:t>
  </x:si>
  <x:si>
    <x:t xml:space="preserve">4200 ± 270 MPa</x:t>
  </x:si>
  <x:si>
    <x:t xml:space="preserve">V000660</x:t>
  </x:si>
  <x:si>
    <x:t xml:space="preserve">2290 ± 260 MPA</x:t>
  </x:si>
  <x:si>
    <x:t xml:space="preserve">V000661</x:t>
  </x:si>
  <x:si>
    <x:t xml:space="preserve">34 ± 3 MPa</x:t>
  </x:si>
  <x:si>
    <x:t xml:space="preserve">V000662</x:t>
  </x:si>
  <x:si>
    <x:t xml:space="preserve">V000663</x:t>
  </x:si>
  <x:si>
    <x:t xml:space="preserve">9.6 ± 1.4 %</x:t>
  </x:si>
  <x:si>
    <x:t xml:space="preserve">V000664</x:t>
  </x:si>
  <x:si>
    <x:t xml:space="preserve">4.4 ± 0.8 %</x:t>
  </x:si>
  <x:si>
    <x:t xml:space="preserve">V000665</x:t>
  </x:si>
  <x:si>
    <x:t xml:space="preserve">3740 ± 130 MPa</x:t>
  </x:si>
  <x:si>
    <x:t xml:space="preserve">V000666</x:t>
  </x:si>
  <x:si>
    <x:t xml:space="preserve">1350 ± 120 MPa</x:t>
  </x:si>
  <x:si>
    <x:t xml:space="preserve">V000667</x:t>
  </x:si>
  <x:si>
    <x:t xml:space="preserve">72 ± 5 MPa</x:t>
  </x:si>
  <x:si>
    <x:t xml:space="preserve">V000668</x:t>
  </x:si>
  <x:si>
    <x:t xml:space="preserve">V000669</x:t>
  </x:si>
  <x:si>
    <x:t xml:space="preserve">14.0 ± 2.2 kJ/m²</x:t>
  </x:si>
  <x:si>
    <x:t xml:space="preserve">V000670</x:t>
  </x:si>
  <x:si>
    <x:t xml:space="preserve">9.4 ± 0.6 kJ/m²</x:t>
  </x:si>
  <x:si>
    <x:t xml:space="preserve">1.11 g/cm3</x:t>
  </x:si>
  <x:si>
    <x:t xml:space="preserve">V000672</x:t>
  </x:si>
  <x:si>
    <x:t xml:space="preserve">98°C</x:t>
  </x:si>
  <x:si>
    <x:t xml:space="preserve">p. 1: VICAT Softening point</x:t>
  </x:si>
  <x:si>
    <x:t xml:space="preserve">V000673</x:t>
  </x:si>
  <x:si>
    <x:t xml:space="preserve">1.15-1.20</x:t>
  </x:si>
  <x:si>
    <x:t xml:space="preserve">V000674</x:t>
  </x:si>
  <x:si>
    <x:t xml:space="preserve">220</x:t>
  </x:si>
  <x:si>
    <x:t xml:space="preserve">V000675</x:t>
  </x:si>
  <x:si>
    <x:t xml:space="preserve">82</x:t>
  </x:si>
  <x:si>
    <x:t xml:space="preserve">p. 1: Bending stress</x:t>
  </x:si>
  <x:si>
    <x:t xml:space="preserve">V000676</x:t>
  </x:si>
  <x:si>
    <x:t xml:space="preserve">Impact strength</x:t>
  </x:si>
  <x:si>
    <x:t xml:space="preserve">9</x:t>
  </x:si>
  <x:si>
    <x:t xml:space="preserve">Kj/m2</x:t>
  </x:si>
  <x:si>
    <x:t xml:space="preserve">p. 1: Notched</x:t>
  </x:si>
  <x:si>
    <x:t xml:space="preserve">V000677</x:t>
  </x:si>
  <x:si>
    <x:t xml:space="preserve">1.20 g/cm³</x:t>
  </x:si>
  <x:si>
    <x:t xml:space="preserve">All the specimens were annealed and dried at 80 °C for 12 hours before testing</x:t>
  </x:si>
  <x:si>
    <x:t xml:space="preserve">Specimen Printing Conditions Subjects Data Nozzle Temperature 270 °C Bed Temperature 100 °C Printing Speed 200 mm/s Infill Density 100% *All the specimens were annealed and dried at 80 °C for 12 hours before testing. 1. Tensile Testing 2. Bending Testing 3. Impact Testing • Disclaimer The performance values are tested by standard samples at Bambu Lab, and the values are for d</x:t>
  </x:si>
  <x:si>
    <x:t xml:space="preserve">V000678</x:t>
  </x:si>
  <x:si>
    <x:t xml:space="preserve">V000679</x:t>
  </x:si>
  <x:si>
    <x:t xml:space="preserve">145 °C</x:t>
  </x:si>
  <x:si>
    <x:t xml:space="preserve">V000680</x:t>
  </x:si>
  <x:si>
    <x:t xml:space="preserve">V000681</x:t>
  </x:si>
  <x:si>
    <x:t xml:space="preserve">119 °C</x:t>
  </x:si>
  <x:si>
    <x:t xml:space="preserve">V000682</x:t>
  </x:si>
  <x:si>
    <x:t xml:space="preserve">117 °C</x:t>
  </x:si>
  <x:si>
    <x:t xml:space="preserve">112 °C</x:t>
  </x:si>
  <x:si>
    <x:t xml:space="preserve">V000684</x:t>
  </x:si>
  <x:si>
    <x:t xml:space="preserve">0.25 %</x:t>
  </x:si>
  <x:si>
    <x:t xml:space="preserve">V000685</x:t>
  </x:si>
  <x:si>
    <x:t xml:space="preserve">2110 ± 40 MPa</x:t>
  </x:si>
  <x:si>
    <x:t xml:space="preserve">Dry</x:t>
  </x:si>
  <x:si>
    <x:t xml:space="preserve">V000686</x:t>
  </x:si>
  <x:si>
    <x:t xml:space="preserve">1450 ± 60 MPa</x:t>
  </x:si>
  <x:si>
    <x:t xml:space="preserve">V000687</x:t>
  </x:si>
  <x:si>
    <x:t xml:space="preserve">62 ± 2 MPa</x:t>
  </x:si>
  <x:si>
    <x:t xml:space="preserve">V000688</x:t>
  </x:si>
  <x:si>
    <x:t xml:space="preserve">56 ± 2 MPa</x:t>
  </x:si>
  <x:si>
    <x:t xml:space="preserve">V000689</x:t>
  </x:si>
  <x:si>
    <x:t xml:space="preserve">3.8 ± 0.3 %</x:t>
  </x:si>
  <x:si>
    <x:t xml:space="preserve">V000690</x:t>
  </x:si>
  <x:si>
    <x:t xml:space="preserve">2.1 ± 0.4 %</x:t>
  </x:si>
  <x:si>
    <x:t xml:space="preserve">V000691</x:t>
  </x:si>
  <x:si>
    <x:t xml:space="preserve">2310 ± 70 MPa</x:t>
  </x:si>
  <x:si>
    <x:t xml:space="preserve">V000692</x:t>
  </x:si>
  <x:si>
    <x:t xml:space="preserve">1620 ± 80 MPa</x:t>
  </x:si>
  <x:si>
    <x:t xml:space="preserve">V000693</x:t>
  </x:si>
  <x:si>
    <x:t xml:space="preserve">108 ± 4 MPa</x:t>
  </x:si>
  <x:si>
    <x:t xml:space="preserve">V000694</x:t>
  </x:si>
  <x:si>
    <x:t xml:space="preserve">55 ± 2 MPa</x:t>
  </x:si>
  <x:si>
    <x:t xml:space="preserve">V000695</x:t>
  </x:si>
  <x:si>
    <x:r>
      <x:rPr>
        <x:sz val="10"/>
        <x:color rgb="FF243447"/>
        <x:rFont val="Arial"/>
      </x:rPr>
      <x:t xml:space="preserve">34.8 ± 2.1 kJ/m²</x:t>
    </x:r>
    <x:r>
      <x:rPr>
        <x:sz val="10"/>
        <x:color rgb="FF243447"/>
        <x:rFont val="Noto Sans CJK SC"/>
        <x:family val="2"/>
      </x:rPr>
      <x:t xml:space="preserve">；</x:t>
    </x:r>
  </x:si>
  <x:si>
    <x:t xml:space="preserve">V000696</x:t>
  </x:si>
  <x:si>
    <x:t xml:space="preserve">7.5 ± 1.3 kJ/m²</x:t>
  </x:si>
  <x:si>
    <x:t xml:space="preserve">V000697</x:t>
  </x:si>
  <x:si>
    <x:t xml:space="preserve">9.0 ± 0.4 kJ/m²</x:t>
  </x:si>
  <x:si>
    <x:t xml:space="preserve">V000698</x:t>
  </x:si>
  <x:si>
    <x:t xml:space="preserve">1.18 g/cm³</x:t>
  </x:si>
  <x:si>
    <x:t xml:space="preserve">Specimen Printing Conditions Subjects Data Nozzle Temperature 270 °C Bed Temperature 100 °C Printing Speed 100 mm/s InfillDensity 100% *All the specimens were printed at the following settings: Nozzle Temperature = 270 °C, Printing Speed = 100 mm/s, Bed Temperature = 100 °C,InfillDensity =100%. Allthe specimens were annealed and dried at 80 °C for 12 h before testing.And the</x:t>
  </x:si>
  <x:si>
    <x:t xml:space="preserve">V000699</x:t>
  </x:si>
  <x:si>
    <x:t xml:space="preserve">V000700</x:t>
  </x:si>
  <x:si>
    <x:t xml:space="preserve">V000701</x:t>
  </x:si>
  <x:si>
    <x:t xml:space="preserve">V000702</x:t>
  </x:si>
  <x:si>
    <x:t xml:space="preserve">114 °C</x:t>
  </x:si>
  <x:si>
    <x:t xml:space="preserve">V000703</x:t>
  </x:si>
  <x:si>
    <x:t xml:space="preserve">113 °C</x:t>
  </x:si>
  <x:si>
    <x:t xml:space="preserve">V000705</x:t>
  </x:si>
  <x:si>
    <x:t xml:space="preserve">V000706</x:t>
  </x:si>
  <x:si>
    <x:t xml:space="preserve">1670 ± 40 MPa</x:t>
  </x:si>
  <x:si>
    <x:t xml:space="preserve">V000707</x:t>
  </x:si>
  <x:si>
    <x:t xml:space="preserve">V000708</x:t>
  </x:si>
  <x:si>
    <x:t xml:space="preserve">60 ± 4 MPa</x:t>
  </x:si>
  <x:si>
    <x:t xml:space="preserve">V000709</x:t>
  </x:si>
  <x:si>
    <x:t xml:space="preserve">21 ± 3 MPa</x:t>
  </x:si>
  <x:si>
    <x:t xml:space="preserve">V000710</x:t>
  </x:si>
  <x:si>
    <x:t xml:space="preserve">2.4 ± 0.3 %</x:t>
  </x:si>
  <x:si>
    <x:t xml:space="preserve">V000711</x:t>
  </x:si>
  <x:si>
    <x:t xml:space="preserve">1.5 ± 0.4 %</x:t>
  </x:si>
  <x:si>
    <x:t xml:space="preserve">V000712</x:t>
  </x:si>
  <x:si>
    <x:t xml:space="preserve">1890 ± 70 MPa</x:t>
  </x:si>
  <x:si>
    <x:t xml:space="preserve">V000713</x:t>
  </x:si>
  <x:si>
    <x:t xml:space="preserve">1660 ± 80 MPa</x:t>
  </x:si>
  <x:si>
    <x:t xml:space="preserve">V000714</x:t>
  </x:si>
  <x:si>
    <x:t xml:space="preserve">90 ± 4 MPa</x:t>
  </x:si>
  <x:si>
    <x:t xml:space="preserve">V000715</x:t>
  </x:si>
  <x:si>
    <x:t xml:space="preserve">47 ± 2 MPa</x:t>
  </x:si>
  <x:si>
    <x:t xml:space="preserve">V000716</x:t>
  </x:si>
  <x:si>
    <x:t xml:space="preserve">55 ± 2.1 kJ/m²;</x:t>
  </x:si>
  <x:si>
    <x:t xml:space="preserve">V000717</x:t>
  </x:si>
  <x:si>
    <x:t xml:space="preserve">8.4 ± 1.3 kJ/m²</x:t>
  </x:si>
  <x:si>
    <x:t xml:space="preserve">V000718</x:t>
  </x:si>
  <x:si>
    <x:t xml:space="preserve">8.0 ± 0.4 kJ/m²</x:t>
  </x:si>
  <x:si>
    <x:t xml:space="preserve">V000719</x:t>
  </x:si>
  <x:si>
    <x:t xml:space="preserve">1.36</x:t>
  </x:si>
  <x:si>
    <x:t xml:space="preserve">Printed Specimen Conditions Printer: Open Source FDM/FFF Nozzle: 0.4mm Layer Height: 0.25mm Infill: 100%, +/- 45° Extrusion Temp: 300°C Bed Temp: 140°C Specimen Orientation: XY Flat</x:t>
  </x:si>
  <x:si>
    <x:t xml:space="preserve">V000720</x:t>
  </x:si>
  <x:si>
    <x:t xml:space="preserve">V000721</x:t>
  </x:si>
  <x:si>
    <x:t xml:space="preserve">6200</x:t>
  </x:si>
  <x:si>
    <x:t xml:space="preserve">V000722</x:t>
  </x:si>
  <x:si>
    <x:t xml:space="preserve">V000723</x:t>
  </x:si>
  <x:si>
    <x:t xml:space="preserve">90</x:t>
  </x:si>
  <x:si>
    <x:t xml:space="preserve">V000724</x:t>
  </x:si>
  <x:si>
    <x:t xml:space="preserve">5890</x:t>
  </x:si>
  <x:si>
    <x:t xml:space="preserve">V000725</x:t>
  </x:si>
  <x:si>
    <x:t xml:space="preserve">143</x:t>
  </x:si>
  <x:si>
    <x:t xml:space="preserve">135</x:t>
  </x:si>
  <x:si>
    <x:t xml:space="preserve">V000727</x:t>
  </x:si>
  <x:si>
    <x:t xml:space="preserve">1.22 g/cm3</x:t>
  </x:si>
  <x:si>
    <x:t xml:space="preserve">V000728</x:t>
  </x:si>
  <x:si>
    <x:t xml:space="preserve">76 MPa</x:t>
  </x:si>
  <x:si>
    <x:t xml:space="preserve">p. 1: Tensile Strength at Yield*</x:t>
  </x:si>
  <x:si>
    <x:t xml:space="preserve">V000729</x:t>
  </x:si>
  <x:si>
    <x:t xml:space="preserve">&gt;100 %</x:t>
  </x:si>
  <x:si>
    <x:t xml:space="preserve">&gt;</x:t>
  </x:si>
  <x:si>
    <x:t xml:space="preserve">p. 1: Tensile Elongation at Break*</x:t>
  </x:si>
  <x:si>
    <x:t xml:space="preserve">V000730</x:t>
  </x:si>
  <x:si>
    <x:t xml:space="preserve">920 kg/cm2</x:t>
  </x:si>
  <x:si>
    <x:t xml:space="preserve">kg/cm²</x:t>
  </x:si>
  <x:si>
    <x:t xml:space="preserve">ASTM D790</x:t>
  </x:si>
  <x:si>
    <x:t xml:space="preserve">p. 1: Flexural Strength**</x:t>
  </x:si>
  <x:si>
    <x:t xml:space="preserve">Unit recovered from the raw value string: Spectrum PC-CF TDS reports flexural properties in kg/cm2 (technical-atmosphere units). Converted at 1 kg/cm2 = 0.0980665 MPa -&gt; 90.2 MPa. Verified verbatim against the current TDS 2026-09-11.</x:t>
  </x:si>
  <x:si>
    <x:t xml:space="preserve">V000731</x:t>
  </x:si>
  <x:si>
    <x:t xml:space="preserve">24 000 kg/cm2 (TDS prints "24.000" with European decimal separator)</x:t>
  </x:si>
  <x:si>
    <x:t xml:space="preserve">p. 1: Flexural Modulus**</x:t>
  </x:si>
  <x:si>
    <x:t xml:space="preserve">Unit and magnitude recovered: TDS prints "24.000 kg/cm2"; the period is a European thousands separator, confirmed because 24 kg/cm2 (2.4 MPa) is physically impossible for a PC-CF flexural modulus. 24 000 kg/cm2 x 0.0980665 = 2354 MPa = 2.354 GPa, consistent with the 920 kg/cm2 (90.2 MPa) flexural strength in the same table. Verified verbatim against the current TDS 2026-09-11.</x:t>
  </x:si>
  <x:si>
    <x:t xml:space="preserve">V000732</x:t>
  </x:si>
  <x:si>
    <x:t xml:space="preserve">150°C</x:t>
  </x:si>
  <x:si>
    <x:t xml:space="preserve">D 1525</x:t>
  </x:si>
  <x:si>
    <x:t xml:space="preserve">p. 1: Vicat Softening Temperature</x:t>
  </x:si>
  <x:si>
    <x:t xml:space="preserve">V000733</x:t>
  </x:si>
  <x:si>
    <x:t xml:space="preserve">1.18</x:t>
  </x:si>
  <x:si>
    <x:t xml:space="preserve">V000734</x:t>
  </x:si>
  <x:si>
    <x:t xml:space="preserve">270 ℃</x:t>
  </x:si>
  <x:si>
    <x:t xml:space="preserve">p. 1: Melting Point(</x:t>
  </x:si>
  <x:si>
    <x:t xml:space="preserve">V000735</x:t>
  </x:si>
  <x:si>
    <x:t xml:space="preserve">p. 1: Vicat Softening</x:t>
  </x:si>
  <x:si>
    <x:t xml:space="preserve">V000736</x:t>
  </x:si>
  <x:si>
    <x:t xml:space="preserve">p. 1: Tensile</x:t>
  </x:si>
  <x:si>
    <x:t xml:space="preserve">V000737</x:t>
  </x:si>
  <x:si>
    <x:t xml:space="preserve">15</x:t>
  </x:si>
  <x:si>
    <x:t xml:space="preserve">V000738</x:t>
  </x:si>
  <x:si>
    <x:t xml:space="preserve">2650</x:t>
  </x:si>
  <x:si>
    <x:t xml:space="preserve">p. 1: Flexural</x:t>
  </x:si>
  <x:si>
    <x:t xml:space="preserve">V000739</x:t>
  </x:si>
  <x:si>
    <x:t xml:space="preserve">&lt;0.8</x:t>
  </x:si>
  <x:si>
    <x:t xml:space="preserve">V000740</x:t>
  </x:si>
  <x:si>
    <x:t xml:space="preserve">40±3 MPa</x:t>
  </x:si>
  <x:si>
    <x:t xml:space="preserve">p. 1: Tensile strength (XY)</x:t>
  </x:si>
  <x:si>
    <x:t xml:space="preserve">V000741</x:t>
  </x:si>
  <x:si>
    <x:t xml:space="preserve">30±3 MPa</x:t>
  </x:si>
  <x:si>
    <x:t xml:space="preserve">p. 1: Tensile strength (Z)</x:t>
  </x:si>
  <x:si>
    <x:t xml:space="preserve">V000742</x:t>
  </x:si>
  <x:si>
    <x:t xml:space="preserve">9.5±1.5 %</x:t>
  </x:si>
  <x:si>
    <x:t xml:space="preserve">p. 1: Elongation at break (XY)</x:t>
  </x:si>
  <x:si>
    <x:t xml:space="preserve">V000743</x:t>
  </x:si>
  <x:si>
    <x:t xml:space="preserve">7.5±1.2 %</x:t>
  </x:si>
  <x:si>
    <x:t xml:space="preserve">p. 1: Elongation at break (Z)</x:t>
  </x:si>
  <x:si>
    <x:t xml:space="preserve">V000744</x:t>
  </x:si>
  <x:si>
    <x:t xml:space="preserve">62±3 MPa</x:t>
  </x:si>
  <x:si>
    <x:t xml:space="preserve">p. 1: Flexural strength (XY)</x:t>
  </x:si>
  <x:si>
    <x:t xml:space="preserve">V000745</x:t>
  </x:si>
  <x:si>
    <x:t xml:space="preserve">50±3 MPa</x:t>
  </x:si>
  <x:si>
    <x:t xml:space="preserve">p. 1: Flexural strength (Z)</x:t>
  </x:si>
  <x:si>
    <x:t xml:space="preserve">V000746</x:t>
  </x:si>
  <x:si>
    <x:t xml:space="preserve">2100±110 MPa</x:t>
  </x:si>
  <x:si>
    <x:t xml:space="preserve">p. 1: Flexural modulus (XY)</x:t>
  </x:si>
  <x:si>
    <x:t xml:space="preserve">V000747</x:t>
  </x:si>
  <x:si>
    <x:t xml:space="preserve">1650±110 MPa</x:t>
  </x:si>
  <x:si>
    <x:t xml:space="preserve">p. 1: Flexural modulus (Z)</x:t>
  </x:si>
  <x:si>
    <x:t xml:space="preserve">V000748</x:t>
  </x:si>
  <x:si>
    <x:t xml:space="preserve">50±3 kJ/m^2</x:t>
  </x:si>
  <x:si>
    <x:t xml:space="preserve">kJ/m^2</x:t>
  </x:si>
  <x:si>
    <x:t xml:space="preserve">p. 1: Impact strength (XY)</x:t>
  </x:si>
  <x:si>
    <x:t xml:space="preserve">V000749</x:t>
  </x:si>
  <x:si>
    <x:t xml:space="preserve">15±2 kJ/m^2</x:t>
  </x:si>
  <x:si>
    <x:t xml:space="preserve">p. 1: Impact strength (Z)</x:t>
  </x:si>
  <x:si>
    <x:t xml:space="preserve">V000750</x:t>
  </x:si>
  <x:si>
    <x:t xml:space="preserve">125-140 °C</x:t>
  </x:si>
  <x:si>
    <x:t xml:space="preserve">p. 1: Heat deflection temperature (HDT)</x:t>
  </x:si>
  <x:si>
    <x:t xml:space="preserve">V000751</x:t>
  </x:si>
  <x:si>
    <x:t xml:space="preserve">240-280 °C</x:t>
  </x:si>
  <x:si>
    <x:t xml:space="preserve">V000752</x:t>
  </x:si>
  <x:si>
    <x:t xml:space="preserve">1.20-1.24 g/cm3</x:t>
  </x:si>
  <x:si>
    <x:t xml:space="preserve">Printing temperature 225 °C Bed temperature 30 °C Shell 2 Top &amp; bottom layer 4 Infill 100% Environmental temperature 25 °C Cooling fan ON The typical values presented in this data sheet are intended for reference and comparison purposes only. They should not be used for design specifications or quality control purposes</x:t>
  </x:si>
  <x:si>
    <x:t xml:space="preserve">V000753</x:t>
  </x:si>
  <x:si>
    <x:t xml:space="preserve">29 ± 2.8 MPa</x:t>
  </x:si>
  <x:si>
    <x:t xml:space="preserve">ISO 37, GB/T 528</x:t>
  </x:si>
  <x:si>
    <x:t xml:space="preserve">V000754</x:t>
  </x:si>
  <x:si>
    <x:t xml:space="preserve">330.1 ± 14 %</x:t>
  </x:si>
  <x:si>
    <x:t xml:space="preserve">V000755</x:t>
  </x:si>
  <x:si>
    <x:t xml:space="preserve">printing temperature, 50 º C bed temperature, having excellent interlayer adhesion which greatly improve the strength and shock resistance of the prototype. Itis commonly applied in field such as functional prototypes, guides, sleeves, and protective cases. Mechanical Properties Typical Value Test Method Tensile Modulu</x:t>
  </x:si>
  <x:si>
    <x:t xml:space="preserve">V000756</x:t>
  </x:si>
  <x:si>
    <x:t xml:space="preserve">8.6 MPa</x:t>
  </x:si>
  <x:si>
    <x:t xml:space="preserve">V000757</x:t>
  </x:si>
  <x:si>
    <x:t xml:space="preserve">39 MPa</x:t>
  </x:si>
  <x:si>
    <x:t xml:space="preserve">V000758</x:t>
  </x:si>
  <x:si>
    <x:t xml:space="preserve">55 %</x:t>
  </x:si>
  <x:si>
    <x:t xml:space="preserve">V000759</x:t>
  </x:si>
  <x:si>
    <x:t xml:space="preserve">580 %</x:t>
  </x:si>
  <x:si>
    <x:t xml:space="preserve">V000760</x:t>
  </x:si>
  <x:si>
    <x:t xml:space="preserve">-</x:t>
  </x:si>
  <x:si>
    <x:t xml:space="preserve">V000761</x:t>
  </x:si>
  <x:si>
    <x:t xml:space="preserve">V000762</x:t>
  </x:si>
  <x:si>
    <x:t xml:space="preserve">19.1 kJ/m2</x:t>
  </x:si>
  <x:si>
    <x:t xml:space="preserve">p. 1: Izod Impact Strength, notched (at23 C)</x:t>
  </x:si>
  <x:si>
    <x:t xml:space="preserve">V000763</x:t>
  </x:si>
  <x:si>
    <x:t xml:space="preserve">p. 1: Izod Impact</x:t>
  </x:si>
  <x:si>
    <x:t xml:space="preserve">V000764</x:t>
  </x:si>
  <x:si>
    <x:t xml:space="preserve">p. 1: Charpy</x:t>
  </x:si>
  <x:si>
    <x:t xml:space="preserve">V000765</x:t>
  </x:si>
  <x:si>
    <x:t xml:space="preserve">ASTM D648, 0.455 MPa load</x:t>
  </x:si>
  <x:si>
    <x:t xml:space="preserve">p. 1: Heat Deflection (HDT)</x:t>
  </x:si>
  <x:si>
    <x:t xml:space="preserve">Row previously captured the test LOAD (0.455 MPa) instead of the temperature. Re-read from iSANMATE TPU_TDS.pdf (SHA256 confirmed identical to the file already cited as I-TPU-TDS): "Heat Deflection (HDT) at 0.455 MPa | 74 C | ASTM D648". Resolved 2026-09-11.</x:t>
  </x:si>
  <x:si>
    <x:t xml:space="preserve">V000766</x:t>
  </x:si>
  <x:si>
    <x:t xml:space="preserve">49</x:t>
  </x:si>
  <x:si>
    <x:t xml:space="preserve">ASTM D648, 1.82 MPa load</x:t>
  </x:si>
  <x:si>
    <x:t xml:space="preserve">Row previously captured the test LOAD (1.82 MPa) instead of the temperature. Re-read from the same document: "Heat Deflection (HDT) at 1.82 MPa | 49 C | ASTM D648". Resolved 2026-09-11.</x:t>
  </x:si>
  <x:si>
    <x:t xml:space="preserve">V000767</x:t>
  </x:si>
  <x:si>
    <x:t xml:space="preserve">0.18 %</x:t>
  </x:si>
  <x:si>
    <x:t xml:space="preserve">n</x:t>
  </x:si>
  <x:si>
    <x:t xml:space="preserve">p. 2: Moisture Absorption</x:t>
  </x:si>
  <x:si>
    <x:t xml:space="preserve">V000768</x:t>
  </x:si>
  <x:si>
    <x:t xml:space="preserve">Specimen Printing Conditions Subjects Data Nozzle Temperature 230 °C Bed Temperature 35 °C Printing Speed 130 mm/s InfillDensity 100% Allthe specimens were printed at the following settings: Nozzle Temperature = 230 °C, Printing Speed = 130 mm/s, Bed Temperature = 35 °C,InfillDensity= 100%. Allthe specimens were annealed and dried at 70 °C for12 h before testing. It'snot reco</x:t>
  </x:si>
  <x:si>
    <x:t xml:space="preserve">V000769</x:t>
  </x:si>
  <x:si>
    <x:t xml:space="preserve">183 °C</x:t>
  </x:si>
  <x:si>
    <x:t xml:space="preserve">V000770</x:t>
  </x:si>
  <x:si>
    <x:t xml:space="preserve">V000771</x:t>
  </x:si>
  <x:si>
    <x:t xml:space="preserve">V000772</x:t>
  </x:si>
  <x:si>
    <x:t xml:space="preserve">p. 2: Vicat Softening</x:t>
  </x:si>
  <x:si>
    <x:t xml:space="preserve">V000773</x:t>
  </x:si>
  <x:si>
    <x:t xml:space="preserve">Deflection</x:t>
  </x:si>
  <x:si>
    <x:t xml:space="preserve">p. 2: Heat</x:t>
  </x:si>
  <x:si>
    <x:t xml:space="preserve">V000774</x:t>
  </x:si>
  <x:si>
    <x:t xml:space="preserve">1.20 %</x:t>
  </x:si>
  <x:si>
    <x:t xml:space="preserve">V000775</x:t>
  </x:si>
  <x:si>
    <x:t xml:space="preserve">1190 ± 0.4 MPa</x:t>
  </x:si>
  <x:si>
    <x:t xml:space="preserve">V000776</x:t>
  </x:si>
  <x:si>
    <x:t xml:space="preserve">600 ± 0.5 MPa</x:t>
  </x:si>
  <x:si>
    <x:t xml:space="preserve">V000777</x:t>
  </x:si>
  <x:si>
    <x:t xml:space="preserve">22.4 ± 0.6 MPa</x:t>
  </x:si>
  <x:si>
    <x:t xml:space="preserve">V000778</x:t>
  </x:si>
  <x:si>
    <x:t xml:space="preserve">11.2 ± 0.5 MPa</x:t>
  </x:si>
  <x:si>
    <x:t xml:space="preserve">V000779</x:t>
  </x:si>
  <x:si>
    <x:t xml:space="preserve">&gt; 650 %</x:t>
  </x:si>
  <x:si>
    <x:t xml:space="preserve">V000780</x:t>
  </x:si>
  <x:si>
    <x:t xml:space="preserve">31 %</x:t>
  </x:si>
  <x:si>
    <x:t xml:space="preserve">V000781</x:t>
  </x:si>
  <x:si>
    <x:t xml:space="preserve">Modulus</x:t>
  </x:si>
  <x:si>
    <x:t xml:space="preserve">p. 2: Bending</x:t>
  </x:si>
  <x:si>
    <x:t xml:space="preserve">V000782</x:t>
  </x:si>
  <x:si>
    <x:t xml:space="preserve">124.3 kJ/m²</x:t>
  </x:si>
  <x:si>
    <x:t xml:space="preserve">V000783</x:t>
  </x:si>
  <x:si>
    <x:t xml:space="preserve">9.6 ±0.3 kJ/m²</x:t>
  </x:si>
  <x:si>
    <x:t xml:space="preserve">V000784</x:t>
  </x:si>
  <x:si>
    <x:t xml:space="preserve">All the specimens were annealed and dried at 70 °C for 12 h before testing</x:t>
  </x:si>
  <x:si>
    <x:t xml:space="preserve">Specimen Printing Conditions Subjects Data Nozzle Temperature 230 °C Bed Temperature 35 °C Printing Speed 140 mm/s Infill Density 100% *All the specimens were annealed and dried at 70 °C for 12 h before testing. It's not recommended to anneal prints of TPU, or prints with not very simple shape and structure can deform obviously. When drying the filament and annealing the prin</x:t>
  </x:si>
  <x:si>
    <x:t xml:space="preserve">V000785</x:t>
  </x:si>
  <x:si>
    <x:t xml:space="preserve">V000786</x:t>
  </x:si>
  <x:si>
    <x:t xml:space="preserve">V000787</x:t>
  </x:si>
  <x:si>
    <x:t xml:space="preserve">V000788</x:t>
  </x:si>
  <x:si>
    <x:t xml:space="preserve">V000789</x:t>
  </x:si>
  <x:si>
    <x:t xml:space="preserve">V000790</x:t>
  </x:si>
  <x:si>
    <x:t xml:space="preserve">1.08 %</x:t>
  </x:si>
  <x:si>
    <x:t xml:space="preserve">V000791</x:t>
  </x:si>
  <x:si>
    <x:t xml:space="preserve">9.8 ± 0.7 MPa</x:t>
  </x:si>
  <x:si>
    <x:t xml:space="preserve">V000792</x:t>
  </x:si>
  <x:si>
    <x:t xml:space="preserve">7.4 ± 0.6 MPa</x:t>
  </x:si>
  <x:si>
    <x:t xml:space="preserve">V000793</x:t>
  </x:si>
  <x:si>
    <x:t xml:space="preserve">27.3 ± 0.8 MPa</x:t>
  </x:si>
  <x:si>
    <x:t xml:space="preserve">V000794</x:t>
  </x:si>
  <x:si>
    <x:t xml:space="preserve">22.3 ± 0.6 MPa</x:t>
  </x:si>
  <x:si>
    <x:t xml:space="preserve">V000795</x:t>
  </x:si>
  <x:si>
    <x:t xml:space="preserve">V000796</x:t>
  </x:si>
  <x:si>
    <x:t xml:space="preserve">&gt; 480 %</x:t>
  </x:si>
  <x:si>
    <x:t xml:space="preserve">V000797</x:t>
  </x:si>
  <x:si>
    <x:t xml:space="preserve">V000798</x:t>
  </x:si>
  <x:si>
    <x:t xml:space="preserve">V000799</x:t>
  </x:si>
  <x:si>
    <x:t xml:space="preserve">V000800</x:t>
  </x:si>
  <x:si>
    <x:t xml:space="preserve">V000801</x:t>
  </x:si>
  <x:si>
    <x:t xml:space="preserve">123.2 kJ/m²</x:t>
  </x:si>
  <x:si>
    <x:t xml:space="preserve">V000802</x:t>
  </x:si>
  <x:si>
    <x:t xml:space="preserve">86.3 kJ/m²</x:t>
  </x:si>
  <x:si>
    <x:t xml:space="preserve">V000803</x:t>
  </x:si>
  <x:si>
    <x:t xml:space="preserve">Specimen Printing Conditions Subjects Data Nozzle Temperature 225 °C Bed Temperature 35 °C Printing Speed 34 mm/s InfillDensity 100% * All the specimens were printed at the following settings: Nozzle Temperature = 225 °C, Printing Speed = 34 mm/s, Bed Temperature = 35 °C, InfillDensity= 100%. All the specimens were dried at 70 °C for 12 h before testing. It'snot recommended t</x:t>
  </x:si>
  <x:si>
    <x:t xml:space="preserve">V000804</x:t>
  </x:si>
  <x:si>
    <x:t xml:space="preserve">180 °C</x:t>
  </x:si>
  <x:si>
    <x:t xml:space="preserve">V000805</x:t>
  </x:si>
  <x:si>
    <x:t xml:space="preserve">V000806</x:t>
  </x:si>
  <x:si>
    <x:t xml:space="preserve">V000807</x:t>
  </x:si>
  <x:si>
    <x:t xml:space="preserve">p. 2: Vicar Softening</x:t>
  </x:si>
  <x:si>
    <x:t xml:space="preserve">V000808</x:t>
  </x:si>
  <x:si>
    <x:t xml:space="preserve">V000809</x:t>
  </x:si>
  <x:si>
    <x:t xml:space="preserve">0.61 %</x:t>
  </x:si>
  <x:si>
    <x:t xml:space="preserve">V000810</x:t>
  </x:si>
  <x:si>
    <x:t xml:space="preserve">5.3 ± 0.7 MPa</x:t>
  </x:si>
  <x:si>
    <x:t xml:space="preserve">V000811</x:t>
  </x:si>
  <x:si>
    <x:t xml:space="preserve">4.4 ± 0.6 MPa</x:t>
  </x:si>
  <x:si>
    <x:t xml:space="preserve">V000812</x:t>
  </x:si>
  <x:si>
    <x:t xml:space="preserve">12.5 ± 0.8 MPa</x:t>
  </x:si>
  <x:si>
    <x:t xml:space="preserve">V000813</x:t>
  </x:si>
  <x:si>
    <x:t xml:space="preserve">10.1 ± 0.6 MPa</x:t>
  </x:si>
  <x:si>
    <x:t xml:space="preserve">V000814</x:t>
  </x:si>
  <x:si>
    <x:t xml:space="preserve">V000815</x:t>
  </x:si>
  <x:si>
    <x:t xml:space="preserve">&gt; 350 %</x:t>
  </x:si>
  <x:si>
    <x:t xml:space="preserve">V000816</x:t>
  </x:si>
  <x:si>
    <x:t xml:space="preserve">V000817</x:t>
  </x:si>
  <x:si>
    <x:t xml:space="preserve">124.2 kJ/m²</x:t>
  </x:si>
  <x:si>
    <x:t xml:space="preserve">V000818</x:t>
  </x:si>
  <x:si>
    <x:t xml:space="preserve">87.3 kJ/m²</x:t>
  </x:si>
  <x:si>
    <x:t xml:space="preserve">V000819</x:t>
  </x:si>
  <x:si>
    <x:t xml:space="preserve">V000820</x:t>
  </x:si>
  <x:si>
    <x:t xml:space="preserve">177 °C</x:t>
  </x:si>
  <x:si>
    <x:t xml:space="preserve">V000821</x:t>
  </x:si>
  <x:si>
    <x:t xml:space="preserve">V000822</x:t>
  </x:si>
  <x:si>
    <x:t xml:space="preserve">V000823</x:t>
  </x:si>
  <x:si>
    <x:t xml:space="preserve">V000824</x:t>
  </x:si>
  <x:si>
    <x:t xml:space="preserve">V000825</x:t>
  </x:si>
  <x:si>
    <x:t xml:space="preserve">0.67 %</x:t>
  </x:si>
  <x:si>
    <x:t xml:space="preserve">V000826</x:t>
  </x:si>
  <x:si>
    <x:t xml:space="preserve">6.8 ±0.7 MPa</x:t>
  </x:si>
  <x:si>
    <x:t xml:space="preserve">V000827</x:t>
  </x:si>
  <x:si>
    <x:t xml:space="preserve">5.2 ±0.6 MPa</x:t>
  </x:si>
  <x:si>
    <x:t xml:space="preserve">V000828</x:t>
  </x:si>
  <x:si>
    <x:t xml:space="preserve">12.0 ± 0.8 MPa</x:t>
  </x:si>
  <x:si>
    <x:t xml:space="preserve">V000829</x:t>
  </x:si>
  <x:si>
    <x:t xml:space="preserve">10.5 ± 0.6 MPa</x:t>
  </x:si>
  <x:si>
    <x:t xml:space="preserve">V000830</x:t>
  </x:si>
  <x:si>
    <x:t xml:space="preserve">&gt; 700 %</x:t>
  </x:si>
  <x:si>
    <x:t xml:space="preserve">V000831</x:t>
  </x:si>
  <x:si>
    <x:t xml:space="preserve">V000832</x:t>
  </x:si>
  <x:si>
    <x:t xml:space="preserve">V000833</x:t>
  </x:si>
  <x:si>
    <x:t xml:space="preserve">V000834</x:t>
  </x:si>
  <x:si>
    <x:t xml:space="preserve">88.5 kJ/m²</x:t>
  </x:si>
  <x:si>
    <x:t xml:space="preserve">V000835</x:t>
  </x:si>
  <x:si>
    <x:t xml:space="preserve">1.12 g/cm3</x:t>
  </x:si>
  <x:si>
    <x:t xml:space="preserve">Printing temperature 220 °C Bed temperature 50 °C Shell 2 Top &amp; bottom layer 4 Infill 100% Environmental temperature 25 °C Cooling fan ON The typical values presented in this data sheet are intended for reference and comparison purposes only. They should not be used for design specifications or quality control purposes</x:t>
  </x:si>
  <x:si>
    <x:t xml:space="preserve">V000836</x:t>
  </x:si>
  <x:si>
    <x:t xml:space="preserve">30.0 ± 0.66 MPa</x:t>
  </x:si>
  <x:si>
    <x:t xml:space="preserve">V000837</x:t>
  </x:si>
  <x:si>
    <x:t xml:space="preserve">586.8 ± 15.3 %</x:t>
  </x:si>
  <x:si>
    <x:t xml:space="preserve">V000838</x:t>
  </x:si>
  <x:si>
    <x:t xml:space="preserve">1.01 g/cm3</x:t>
  </x:si>
  <x:si>
    <x:t xml:space="preserve">GB/T 1033</x:t>
  </x:si>
  <x:si>
    <x:t xml:space="preserve">V000839</x:t>
  </x:si>
  <x:si>
    <x:t xml:space="preserve">30 MPa</x:t>
  </x:si>
  <x:si>
    <x:t xml:space="preserve">GB/T 1040</x:t>
  </x:si>
  <x:si>
    <x:t xml:space="preserve">V000840</x:t>
  </x:si>
  <x:si>
    <x:t xml:space="preserve">&gt;500 %</x:t>
  </x:si>
  <x:si>
    <x:t xml:space="preserve">p. 1: Elongation atBreak</x:t>
  </x:si>
  <x:si>
    <x:t xml:space="preserve">V000841</x:t>
  </x:si>
  <x:si>
    <x:t xml:space="preserve">80 MPa</x:t>
  </x:si>
  <x:si>
    <x:t xml:space="preserve">GB/T 9341</x:t>
  </x:si>
  <x:si>
    <x:t xml:space="preserve">V000842</x:t>
  </x:si>
  <x:si>
    <x:t xml:space="preserve">110 ℃</x:t>
  </x:si>
  <x:si>
    <x:t xml:space="preserve">GB/T 1633</x:t>
  </x:si>
  <x:si>
    <x:r>
      <x:rPr>
        <x:sz val="10"/>
        <x:color rgb="FF243447"/>
        <x:rFont val="Arial"/>
      </x:rPr>
      <x:t xml:space="preserve">p. 1: Vicat Softening Point</x:t>
    </x:r>
    <x:r>
      <x:rPr>
        <x:sz val="10"/>
        <x:color rgb="FF243447"/>
        <x:rFont val="Noto Sans CJK SC"/>
        <x:family val="2"/>
      </x:rPr>
      <x:t xml:space="preserve">（</x:t>
    </x:r>
    <x:r>
      <x:rPr>
        <x:sz val="10"/>
        <x:color rgb="FF243447"/>
        <x:rFont val="Arial"/>
      </x:rPr>
      <x:t xml:space="preserve">120℃</x:t>
    </x:r>
    <x:r>
      <x:rPr>
        <x:sz val="10"/>
        <x:color rgb="FF243447"/>
        <x:rFont val="Noto Sans CJK SC"/>
        <x:family val="2"/>
      </x:rPr>
      <x:t xml:space="preserve">，</x:t>
    </x:r>
    <x:r>
      <x:rPr>
        <x:sz val="10"/>
        <x:color rgb="FF243447"/>
        <x:rFont val="Arial"/>
      </x:rPr>
      <x:t xml:space="preserve">10N</x:t>
    </x:r>
    <x:r>
      <x:rPr>
        <x:sz val="10"/>
        <x:color rgb="FF243447"/>
        <x:rFont val="Noto Sans CJK SC"/>
        <x:family val="2"/>
      </x:rPr>
      <x:t xml:space="preserve">）</x:t>
    </x:r>
  </x:si>
  <x:si>
    <x:t xml:space="preserve">V000843</x:t>
  </x:si>
  <x:si>
    <x:t xml:space="preserve">7.5 MPa</x:t>
  </x:si>
  <x:si>
    <x:t xml:space="preserve">p. 1: Tensile Strength (Z-axis)</x:t>
  </x:si>
  <x:si>
    <x:t xml:space="preserve">V000844</x:t>
  </x:si>
  <x:si>
    <x:t xml:space="preserve">150 %</x:t>
  </x:si>
  <x:si>
    <x:t xml:space="preserve">p. 1: Elongation atBreak (Z-axis)</x:t>
  </x:si>
  <x:si>
    <x:t xml:space="preserve">V000845</x:t>
  </x:si>
  <x:si>
    <x:t xml:space="preserve">&gt;520 %</x:t>
  </x:si>
  <x:si>
    <x:t xml:space="preserve">p. 1: Elongation atBreak (XY-axis)</x:t>
  </x:si>
  <x:si>
    <x:t xml:space="preserve">V000846</x:t>
  </x:si>
  <x:si>
    <x:t xml:space="preserve">1.02 g/cm3</x:t>
  </x:si>
  <x:si>
    <x:t xml:space="preserve">V000847</x:t>
  </x:si>
  <x:si>
    <x:t xml:space="preserve">43</x:t>
  </x:si>
  <x:si>
    <x:t xml:space="preserve">Shore D</x:t>
  </x:si>
  <x:si>
    <x:t xml:space="preserve">ISO 868</x:t>
  </x:si>
  <x:si>
    <x:t xml:space="preserve">p. 1: Shore D Hardness</x:t>
  </x:si>
  <x:si>
    <x:t xml:space="preserve">Scale recovered from the TDS row label "Shore D Hardness" (ISO 868). Verified verbatim 2026-09-11.</x:t>
  </x:si>
  <x:si>
    <x:t xml:space="preserve">V000848</x:t>
  </x:si>
  <x:si>
    <x:t xml:space="preserve">92</x:t>
  </x:si>
  <x:si>
    <x:t xml:space="preserve">Shore A</x:t>
  </x:si>
  <x:si>
    <x:t xml:space="preserve">p. 1: Shore A Hardness</x:t>
  </x:si>
  <x:si>
    <x:t xml:space="preserve">Scale recovered from the TDS row label "Shore A Hardness" (ISO 868). Verified verbatim 2026-09-11.</x:t>
  </x:si>
  <x:si>
    <x:t xml:space="preserve">V000849</x:t>
  </x:si>
  <x:si>
    <x:t xml:space="preserve">100 Mpa</x:t>
  </x:si>
  <x:si>
    <x:t xml:space="preserve">ISO 527-1/-2</x:t>
  </x:si>
  <x:si>
    <x:t xml:space="preserve">p. 1: Tensile modulus, 23°C, injection moulding</x:t>
  </x:si>
  <x:si>
    <x:t xml:space="preserve">V000850</x:t>
  </x:si>
  <x:si>
    <x:t xml:space="preserve">25 MPa</x:t>
  </x:si>
  <x:si>
    <x:t xml:space="preserve">p. 1: Tensile strength, 23°C, injection moulding</x:t>
  </x:si>
  <x:si>
    <x:t xml:space="preserve">V000851</x:t>
  </x:si>
  <x:si>
    <x:t xml:space="preserve">p. 1: Elongation at break, 23°C, injection moulding</x:t>
  </x:si>
  <x:si>
    <x:t xml:space="preserve">V000852</x:t>
  </x:si>
  <x:si>
    <x:t xml:space="preserve">90 Mpa</x:t>
  </x:si>
  <x:si>
    <x:t xml:space="preserve">p. 1: Flexural modulus, 23°C, injection moulding</x:t>
  </x:si>
  <x:si>
    <x:t xml:space="preserve">V000853</x:t>
  </x:si>
  <x:si>
    <x:t xml:space="preserve">5 Mpa</x:t>
  </x:si>
  <x:si>
    <x:t xml:space="preserve">p. 1: Flexural strength, 23°C, injection moulding</x:t>
  </x:si>
  <x:si>
    <x:t xml:space="preserve">V000854</x:t>
  </x:si>
  <x:si>
    <x:t xml:space="preserve">All specimens were annealed at 80˚C for 30min and dried for 48h prior to testing</x:t>
  </x:si>
  <x:si>
    <x:t xml:space="preserve">Printing temperature 265 °C Bed temperature 50 °C Shell 2 Top &amp; bottom layer 4 Infill 100% Environmental temperature 60 ˚C Cooling fan OFF The typical values presented in this data sheet are intended for reference and comparison purposes only. They should not be used for design specifications or quality control purpose</x:t>
  </x:si>
  <x:si>
    <x:t xml:space="preserve">V000855</x:t>
  </x:si>
  <x:si>
    <x:t xml:space="preserve">67 °C</x:t>
  </x:si>
  <x:si>
    <x:t xml:space="preserve">V000856</x:t>
  </x:si>
  <x:si>
    <x:t xml:space="preserve">190 °C</x:t>
  </x:si>
  <x:si>
    <x:t xml:space="preserve">V000857</x:t>
  </x:si>
  <x:si>
    <x:t xml:space="preserve">128 °C</x:t>
  </x:si>
  <x:si>
    <x:t xml:space="preserve">V000858</x:t>
  </x:si>
  <x:si>
    <x:t xml:space="preserve">V000859</x:t>
  </x:si>
  <x:si>
    <x:t xml:space="preserve">69.8 °C</x:t>
  </x:si>
  <x:si>
    <x:t xml:space="preserve">110.5 °C</x:t>
  </x:si>
  <x:si>
    <x:t xml:space="preserve">V000861</x:t>
  </x:si>
  <x:si>
    <x:t xml:space="preserve">V000862</x:t>
  </x:si>
  <x:si>
    <x:t xml:space="preserve">2223 ± 199 MPa</x:t>
  </x:si>
  <x:si>
    <x:t xml:space="preserve">Conditioned: 70% RH</x:t>
  </x:si>
  <x:si>
    <x:t xml:space="preserve">V000863</x:t>
  </x:si>
  <x:si>
    <x:t xml:space="preserve">2564 ± 97 MPa</x:t>
  </x:si>
  <x:si>
    <x:t xml:space="preserve">V000864</x:t>
  </x:si>
  <x:si>
    <x:t xml:space="preserve">66.2 ± 0.9 MPa</x:t>
  </x:si>
  <x:si>
    <x:t xml:space="preserve">V000865</x:t>
  </x:si>
  <x:si>
    <x:t xml:space="preserve">43.3 ± 9.1 MPa</x:t>
  </x:si>
  <x:si>
    <x:t xml:space="preserve">V000866</x:t>
  </x:si>
  <x:si>
    <x:t xml:space="preserve">9.9 ± 1.5 %</x:t>
  </x:si>
  <x:si>
    <x:t xml:space="preserve">V000867</x:t>
  </x:si>
  <x:si>
    <x:t xml:space="preserve">1.8 ± 0.4 %</x:t>
  </x:si>
  <x:si>
    <x:t xml:space="preserve">V000868</x:t>
  </x:si>
  <x:si>
    <x:t xml:space="preserve">1667 ± 118 MPa</x:t>
  </x:si>
  <x:si>
    <x:t xml:space="preserve">V000869</x:t>
  </x:si>
  <x:si>
    <x:t xml:space="preserve">V000870</x:t>
  </x:si>
  <x:si>
    <x:t xml:space="preserve">97 ± 1.1 MPa</x:t>
  </x:si>
  <x:si>
    <x:t xml:space="preserve">V000871</x:t>
  </x:si>
  <x:si>
    <x:t xml:space="preserve">V000872</x:t>
  </x:si>
  <x:si>
    <x:t xml:space="preserve">9.6 ± 1.4 kJ/m2</x:t>
  </x:si>
  <x:si>
    <x:t xml:space="preserve">V000873</x:t>
  </x:si>
  <x:si>
    <x:t xml:space="preserve">V000874</x:t>
  </x:si>
  <x:si>
    <x:t xml:space="preserve">1053 ± 235 MPa</x:t>
  </x:si>
  <x:si>
    <x:t xml:space="preserve">V000875</x:t>
  </x:si>
  <x:si>
    <x:t xml:space="preserve">702 ± 16 MPa</x:t>
  </x:si>
  <x:si>
    <x:t xml:space="preserve">V000876</x:t>
  </x:si>
  <x:si>
    <x:t xml:space="preserve">31.4 ± 1.5 MPa</x:t>
  </x:si>
  <x:si>
    <x:t xml:space="preserve">V000877</x:t>
  </x:si>
  <x:si>
    <x:t xml:space="preserve">V000878</x:t>
  </x:si>
  <x:si>
    <x:t xml:space="preserve">216.5 ± 12.1 %</x:t>
  </x:si>
  <x:si>
    <x:t xml:space="preserve">V000879</x:t>
  </x:si>
  <x:si>
    <x:t xml:space="preserve">4.6 ± 0.2 %</x:t>
  </x:si>
  <x:si>
    <x:t xml:space="preserve">V000880</x:t>
  </x:si>
  <x:si>
    <x:t xml:space="preserve">862.8 ± 133.3 MPa</x:t>
  </x:si>
  <x:si>
    <x:t xml:space="preserve">V000881</x:t>
  </x:si>
  <x:si>
    <x:t xml:space="preserve">41.6 ± 11.6 MPa</x:t>
  </x:si>
  <x:si>
    <x:t xml:space="preserve">V000882</x:t>
  </x:si>
  <x:si>
    <x:t xml:space="preserve">17.2 ± 1.4 kJ/m2</x:t>
  </x:si>
  <x:si>
    <x:t xml:space="preserve">p. 4: Charpy impact strength (X</x:t>
  </x:si>
  <x:si>
    <x:t xml:space="preserve">V000883</x:t>
  </x:si>
  <x:si>
    <x:t xml:space="preserve">1.12</x:t>
  </x:si>
  <x:si>
    <x:t xml:space="preserve">Printed Specimen Conditions Printer: Gearbox™ HT2 Nozzle: 0.4mm Layer Height: 0.25mm Infill: 100%, +/- 45° Extrusion Temp: 270°C Bed Temp: 80°C Specimen Orientation: XY Flat</x:t>
  </x:si>
  <x:si>
    <x:t xml:space="preserve">V000884</x:t>
  </x:si>
  <x:si>
    <x:t xml:space="preserve">V000885</x:t>
  </x:si>
  <x:si>
    <x:t xml:space="preserve">1980</x:t>
  </x:si>
  <x:si>
    <x:t xml:space="preserve">V000886</x:t>
  </x:si>
  <x:si>
    <x:t xml:space="preserve">100</x:t>
  </x:si>
  <x:si>
    <x:t xml:space="preserve">V000887</x:t>
  </x:si>
  <x:si>
    <x:t xml:space="preserve">V000888</x:t>
  </x:si>
  <x:si>
    <x:t xml:space="preserve">2050</x:t>
  </x:si>
  <x:si>
    <x:t xml:space="preserve">V000889</x:t>
  </x:si>
  <x:si>
    <x:t xml:space="preserve">V000890</x:t>
  </x:si>
  <x:si>
    <x:t xml:space="preserve">140</x:t>
  </x:si>
  <x:si>
    <x:t xml:space="preserve">V000891</x:t>
  </x:si>
  <x:si>
    <x:t xml:space="preserve">p. 1: Specific gravity</x:t>
  </x:si>
  <x:si>
    <x:t xml:space="preserve">V000892</x:t>
  </x:si>
  <x:si>
    <x:t xml:space="preserve">&lt;0.3%</x:t>
  </x:si>
  <x:si>
    <x:t xml:space="preserve">ISO 62</x:t>
  </x:si>
  <x:si>
    <x:t xml:space="preserve">p. 1: Water absorption, 23°C/24h</x:t>
  </x:si>
  <x:si>
    <x:t xml:space="preserve">V000893</x:t>
  </x:si>
  <x:si>
    <x:t xml:space="preserve">78 MPa</x:t>
  </x:si>
  <x:si>
    <x:t xml:space="preserve">p. 1: Tensile strength (dry, at 50 mm/min)</x:t>
  </x:si>
  <x:si>
    <x:t xml:space="preserve">V000894</x:t>
  </x:si>
  <x:si>
    <x:t xml:space="preserve">4,40%</x:t>
  </x:si>
  <x:si>
    <x:t xml:space="preserve">p. 1: Elongation at max. force (dry, at 50 mm/min)</x:t>
  </x:si>
  <x:si>
    <x:t xml:space="preserve">V000895</x:t>
  </x:si>
  <x:si>
    <x:t xml:space="preserve">90 kJ/m2</x:t>
  </x:si>
  <x:si>
    <x:t xml:space="preserve">ISO 179 1eU</x:t>
  </x:si>
  <x:si>
    <x:t xml:space="preserve">p. 1: Impact strength (dry, 80x10x4mm)</x:t>
  </x:si>
  <x:si>
    <x:t xml:space="preserve">V000896</x:t>
  </x:si>
  <x:si>
    <x:t xml:space="preserve">1.06 g/cm³</x:t>
  </x:si>
  <x:si>
    <x:t xml:space="preserve">Specimen Printing Conditions Subjects Data Nozzle Temperature 290 °C Bed Temperature 100 °C Printing Speed 100 mm/s Infill Density 100% * All the specimens were printed at the following settings: Nozzle Temperature = 290 °C, Printing Speed = 100 mm/s, Bed Temperature = 100 °C, Infill Density = 100%. All the specimens were annealed and dried at 80 °C for 12 h before testing. A</x:t>
  </x:si>
  <x:si>
    <x:t xml:space="preserve">V000897</x:t>
  </x:si>
  <x:si>
    <x:t xml:space="preserve">V000898</x:t>
  </x:si>
  <x:si>
    <x:t xml:space="preserve">V000899</x:t>
  </x:si>
  <x:si>
    <x:t xml:space="preserve">140 °C</x:t>
  </x:si>
  <x:si>
    <x:t xml:space="preserve">V000900</x:t>
  </x:si>
  <x:si>
    <x:t xml:space="preserve">220 °C</x:t>
  </x:si>
  <x:si>
    <x:t xml:space="preserve">V000901</x:t>
  </x:si>
  <x:si>
    <x:t xml:space="preserve">170 °C</x:t>
  </x:si>
  <x:si>
    <x:t xml:space="preserve">194 °C</x:t>
  </x:si>
  <x:si>
    <x:t xml:space="preserve">V000903</x:t>
  </x:si>
  <x:si>
    <x:t xml:space="preserve">0.88 %</x:t>
  </x:si>
  <x:si>
    <x:t xml:space="preserve">V000904</x:t>
  </x:si>
  <x:si>
    <x:t xml:space="preserve">3860 ± 230 MPa</x:t>
  </x:si>
  <x:si>
    <x:t xml:space="preserve">V000905</x:t>
  </x:si>
  <x:si>
    <x:t xml:space="preserve">2180 ± 130 MPa</x:t>
  </x:si>
  <x:si>
    <x:t xml:space="preserve">V000906</x:t>
  </x:si>
  <x:si>
    <x:t xml:space="preserve">92 ± 7 MPa</x:t>
  </x:si>
  <x:si>
    <x:t xml:space="preserve">V000907</x:t>
  </x:si>
  <x:si>
    <x:t xml:space="preserve">47 ± 5 MPa</x:t>
  </x:si>
  <x:si>
    <x:t xml:space="preserve">V000908</x:t>
  </x:si>
  <x:si>
    <x:t xml:space="preserve">8.4 ± 1.8 %</x:t>
  </x:si>
  <x:si>
    <x:t xml:space="preserve">V000909</x:t>
  </x:si>
  <x:si>
    <x:t xml:space="preserve">4.1 ± 1.2 %</x:t>
  </x:si>
  <x:si>
    <x:t xml:space="preserve">V000910</x:t>
  </x:si>
  <x:si>
    <x:t xml:space="preserve">4230 ± 210 MPa</x:t>
  </x:si>
  <x:si>
    <x:t xml:space="preserve">V000911</x:t>
  </x:si>
  <x:si>
    <x:t xml:space="preserve">1820 ± 170 MPa</x:t>
  </x:si>
  <x:si>
    <x:t xml:space="preserve">V000912</x:t>
  </x:si>
  <x:si>
    <x:t xml:space="preserve">125 ± 7 MPa</x:t>
  </x:si>
  <x:si>
    <x:t xml:space="preserve">V000913</x:t>
  </x:si>
  <x:si>
    <x:t xml:space="preserve">61 ± 5 MPa</x:t>
  </x:si>
  <x:si>
    <x:t xml:space="preserve">V000914</x:t>
  </x:si>
  <x:si>
    <x:t xml:space="preserve">57.5 ± 3.4 kJ/m²;</x:t>
  </x:si>
  <x:si>
    <x:t xml:space="preserve">V000915</x:t>
  </x:si>
  <x:si>
    <x:t xml:space="preserve">22.8 ± 1.8 kJ/m²</x:t>
  </x:si>
  <x:si>
    <x:t xml:space="preserve">V000916</x:t>
  </x:si>
  <x:si>
    <x:t xml:space="preserve">13.3 ± 0.8 kJ/m²</x:t>
  </x:si>
  <x:si>
    <x:t xml:space="preserve">V000918</x:t>
  </x:si>
  <x:si>
    <x:t xml:space="preserve">V000919</x:t>
  </x:si>
  <x:si>
    <x:t xml:space="preserve">V000920</x:t>
  </x:si>
  <x:si>
    <x:t xml:space="preserve">V000921</x:t>
  </x:si>
  <x:si>
    <x:t xml:space="preserve">V000922</x:t>
  </x:si>
  <x:si>
    <x:t xml:space="preserve">1.09 g/cm³</x:t>
  </x:si>
  <x:si>
    <x:t xml:space="preserve">Specimen Printing Conditions Subjects Data Nozzle Temperature 280 °C Bed Temperature 100 °C Printing Speed 100 mm/s Infill Density 100% * All the specimens were printed at the following settings: Nozzle Temperature = 280 °C, Printing Speed = 100 mm/s, Bed Temperature = 100 °C, Infill Density = 100%. All the specimens were annealed and dried at 80 °C for 12 h before testing. A</x:t>
  </x:si>
  <x:si>
    <x:t xml:space="preserve">V000923</x:t>
  </x:si>
  <x:si>
    <x:t xml:space="preserve">223 °C</x:t>
  </x:si>
  <x:si>
    <x:t xml:space="preserve">V000924</x:t>
  </x:si>
  <x:si>
    <x:t xml:space="preserve">V000925</x:t>
  </x:si>
  <x:si>
    <x:t xml:space="preserve">185 °C</x:t>
  </x:si>
  <x:si>
    <x:t xml:space="preserve">V000926</x:t>
  </x:si>
  <x:si>
    <x:t xml:space="preserve">212 °C</x:t>
  </x:si>
  <x:si>
    <x:t xml:space="preserve">V000927</x:t>
  </x:si>
  <x:si>
    <x:t xml:space="preserve">186 °C</x:t>
  </x:si>
  <x:si>
    <x:t xml:space="preserve">V000929</x:t>
  </x:si>
  <x:si>
    <x:t xml:space="preserve">2.35 %</x:t>
  </x:si>
  <x:si>
    <x:t xml:space="preserve">V000930</x:t>
  </x:si>
  <x:si>
    <x:t xml:space="preserve">4430 ± 310 MPa</x:t>
  </x:si>
  <x:si>
    <x:t xml:space="preserve">p. 2: Young 's Modulus (X -Y)</x:t>
  </x:si>
  <x:si>
    <x:t xml:space="preserve">V000931</x:t>
  </x:si>
  <x:si>
    <x:t xml:space="preserve">2170 ± 230 MPa</x:t>
  </x:si>
  <x:si>
    <x:t xml:space="preserve">V000932</x:t>
  </x:si>
  <x:si>
    <x:t xml:space="preserve">102 ± 7 MPa</x:t>
  </x:si>
  <x:si>
    <x:t xml:space="preserve">V000933</x:t>
  </x:si>
  <x:si>
    <x:t xml:space="preserve">48 ± 6 MPa</x:t>
  </x:si>
  <x:si>
    <x:t xml:space="preserve">V000934</x:t>
  </x:si>
  <x:si>
    <x:t xml:space="preserve">5.8 ± 1.6 %</x:t>
  </x:si>
  <x:si>
    <x:t xml:space="preserve">V000935</x:t>
  </x:si>
  <x:si>
    <x:t xml:space="preserve">3.7 ± 0.8 %</x:t>
  </x:si>
  <x:si>
    <x:t xml:space="preserve">V000936</x:t>
  </x:si>
  <x:si>
    <x:t xml:space="preserve">5460 ± 280 MPa</x:t>
  </x:si>
  <x:si>
    <x:t xml:space="preserve">V000937</x:t>
  </x:si>
  <x:si>
    <x:t xml:space="preserve">2240 ± 220 MPa</x:t>
  </x:si>
  <x:si>
    <x:t xml:space="preserve">V000938</x:t>
  </x:si>
  <x:si>
    <x:t xml:space="preserve">151 ± 8 MPa</x:t>
  </x:si>
  <x:si>
    <x:t xml:space="preserve">V000939</x:t>
  </x:si>
  <x:si>
    <x:t xml:space="preserve">80 ± 7 MPa</x:t>
  </x:si>
  <x:si>
    <x:t xml:space="preserve">V000940</x:t>
  </x:si>
  <x:si>
    <x:t xml:space="preserve">40.3 ± 2.5 kJ/m²;</x:t>
  </x:si>
  <x:si>
    <x:t xml:space="preserve">V000941</x:t>
  </x:si>
  <x:si>
    <x:t xml:space="preserve">13.4 ± 1.7 kJ/m²</x:t>
  </x:si>
  <x:si>
    <x:t xml:space="preserve">V000942</x:t>
  </x:si>
  <x:si>
    <x:t xml:space="preserve">15.5 ± 1.7 kJ/m²</x:t>
  </x:si>
  <x:si>
    <x:t xml:space="preserve">V000943</x:t>
  </x:si>
  <x:si>
    <x:t xml:space="preserve">1.14 g/cm³</x:t>
  </x:si>
  <x:si>
    <x:t xml:space="preserve">Specimen Printing Conditions Subjects Data Nozzle Temperature 265 °C Bed Temperature 100 °C Printing Speed 100 mm/s InfillDensity 100% *All the specimens were printed at the following settings: Nozzle Temperature = 265 °C, Printing Speed = 100 mm/s, Bed Temperature = 100 °C,InfillDensity =100%. Allthe specimens were annealed and dried at 80 °C for 12 h before testing.And the</x:t>
  </x:si>
  <x:si>
    <x:t xml:space="preserve">V000944</x:t>
  </x:si>
  <x:si>
    <x:t xml:space="preserve">219 °C</x:t>
  </x:si>
  <x:si>
    <x:t xml:space="preserve">V000945</x:t>
  </x:si>
  <x:si>
    <x:t xml:space="preserve">V000946</x:t>
  </x:si>
  <x:si>
    <x:t xml:space="preserve">V000947</x:t>
  </x:si>
  <x:si>
    <x:t xml:space="preserve">V000948</x:t>
  </x:si>
  <x:si>
    <x:t xml:space="preserve">182 °C</x:t>
  </x:si>
  <x:si>
    <x:t xml:space="preserve">V000950</x:t>
  </x:si>
  <x:si>
    <x:t xml:space="preserve">2.56 %</x:t>
  </x:si>
  <x:si>
    <x:t xml:space="preserve">V000951</x:t>
  </x:si>
  <x:si>
    <x:t xml:space="preserve">2850 ± 260 MPa</x:t>
  </x:si>
  <x:si>
    <x:t xml:space="preserve">V000952</x:t>
  </x:si>
  <x:si>
    <x:t xml:space="preserve">1950 ± 210 MPa</x:t>
  </x:si>
  <x:si>
    <x:t xml:space="preserve">V000953</x:t>
  </x:si>
  <x:si>
    <x:t xml:space="preserve">75 ± 6 MPa</x:t>
  </x:si>
  <x:si>
    <x:t xml:space="preserve">V000954</x:t>
  </x:si>
  <x:si>
    <x:t xml:space="preserve">27 ± 5 MPa</x:t>
  </x:si>
  <x:si>
    <x:t xml:space="preserve">V000955</x:t>
  </x:si>
  <x:si>
    <x:t xml:space="preserve">3.9 ±0.8 %</x:t>
  </x:si>
  <x:si>
    <x:t xml:space="preserve">V000956</x:t>
  </x:si>
  <x:si>
    <x:t xml:space="preserve">2.3 ±0.7 %</x:t>
  </x:si>
  <x:si>
    <x:t xml:space="preserve">V000957</x:t>
  </x:si>
  <x:si>
    <x:t xml:space="preserve">3670 ± 140 MPa</x:t>
  </x:si>
  <x:si>
    <x:t xml:space="preserve">V000958</x:t>
  </x:si>
  <x:si>
    <x:t xml:space="preserve">2300 ± 120 MPa</x:t>
  </x:si>
  <x:si>
    <x:t xml:space="preserve">V000959</x:t>
  </x:si>
  <x:si>
    <x:t xml:space="preserve">120 ± 6 MPa</x:t>
  </x:si>
  <x:si>
    <x:t xml:space="preserve">V000960</x:t>
  </x:si>
  <x:si>
    <x:t xml:space="preserve">V000961</x:t>
  </x:si>
  <x:si>
    <x:t xml:space="preserve">27.2 ± 2.2 kJ/m²;</x:t>
  </x:si>
  <x:si>
    <x:t xml:space="preserve">V000962</x:t>
  </x:si>
  <x:si>
    <x:t xml:space="preserve">7.2 ± 2.3 kJ/m²</x:t>
  </x:si>
  <x:si>
    <x:t xml:space="preserve">V000963</x:t>
  </x:si>
  <x:si>
    <x:t xml:space="preserve">4.1 ± 0.7 kJ/m²</x:t>
  </x:si>
  <x:si>
    <x:t xml:space="preserve">V000964</x:t>
  </x:si>
  <x:si>
    <x:t xml:space="preserve">1.16</x:t>
  </x:si>
  <x:si>
    <x:t xml:space="preserve">Printed Specimen Conditions Printer: Open Source FDM/FFF Nozzle: 0.4mm Layer Height: 0.25mm Infill: 100%, +/- 45° Extrusion Temp: 285°C Bed Temp: 110°C Specimen Orientation: XY Flat</x:t>
  </x:si>
  <x:si>
    <x:t xml:space="preserve">V000965</x:t>
  </x:si>
  <x:si>
    <x:t xml:space="preserve">72</x:t>
  </x:si>
  <x:si>
    <x:t xml:space="preserve">V000966</x:t>
  </x:si>
  <x:si>
    <x:t xml:space="preserve">8000</x:t>
  </x:si>
  <x:si>
    <x:t xml:space="preserve">V000967</x:t>
  </x:si>
  <x:si>
    <x:t xml:space="preserve">2.1</x:t>
  </x:si>
  <x:si>
    <x:t xml:space="preserve">V000968</x:t>
  </x:si>
  <x:si>
    <x:t xml:space="preserve">V000969</x:t>
  </x:si>
  <x:si>
    <x:t xml:space="preserve">7900</x:t>
  </x:si>
  <x:si>
    <x:t xml:space="preserve">V000970</x:t>
  </x:si>
  <x:si>
    <x:t xml:space="preserve">158</x:t>
  </x:si>
  <x:si>
    <x:t xml:space="preserve">150</x:t>
  </x:si>
  <x:si>
    <x:t xml:space="preserve">V000972</x:t>
  </x:si>
  <x:si>
    <x:t xml:space="preserve">1.06 g/cm3</x:t>
  </x:si>
  <x:si>
    <x:t xml:space="preserve">All specimens were annealed at 80˚C for 24h and dried for 48h prior to testing</x:t>
  </x:si>
  <x:si>
    <x:t xml:space="preserve">Printing temperature 300 °C Bed temperature 50 °C Shell 2 Top &amp; bottom layer 4 Infill 100% Environmental temperature 50 ˚C Cooling fan OFF The typical values presented in this data sheet are intended for reference and comparison purposes only. They should not be used for design specifications or quality control purpose</x:t>
  </x:si>
  <x:si>
    <x:t xml:space="preserve">V000973</x:t>
  </x:si>
  <x:si>
    <x:t xml:space="preserve">V000974</x:t>
  </x:si>
  <x:si>
    <x:t xml:space="preserve">V000975</x:t>
  </x:si>
  <x:si>
    <x:t xml:space="preserve">130 °C</x:t>
  </x:si>
  <x:si>
    <x:t xml:space="preserve">V000976</x:t>
  </x:si>
  <x:si>
    <x:t xml:space="preserve">V000977</x:t>
  </x:si>
  <x:si>
    <x:t xml:space="preserve">105 °C</x:t>
  </x:si>
  <x:si>
    <x:t xml:space="preserve">V000978</x:t>
  </x:si>
  <x:si>
    <x:t xml:space="preserve">131 °C</x:t>
  </x:si>
  <x:si>
    <x:t xml:space="preserve">V000979</x:t>
  </x:si>
  <x:si>
    <x:t xml:space="preserve">V000980</x:t>
  </x:si>
  <x:si>
    <x:t xml:space="preserve">3304.39 ± 145 MPa</x:t>
  </x:si>
  <x:si>
    <x:t xml:space="preserve">V000981</x:t>
  </x:si>
  <x:si>
    <x:t xml:space="preserve">1801.09 ± 80 MPa</x:t>
  </x:si>
  <x:si>
    <x:t xml:space="preserve">V000982</x:t>
  </x:si>
  <x:si>
    <x:t xml:space="preserve">71.6 ± 1.7 MPa</x:t>
  </x:si>
  <x:si>
    <x:t xml:space="preserve">V000983</x:t>
  </x:si>
  <x:si>
    <x:t xml:space="preserve">43.3 ± 3.3 MPa</x:t>
  </x:si>
  <x:si>
    <x:t xml:space="preserve">V000984</x:t>
  </x:si>
  <x:si>
    <x:t xml:space="preserve">3.57 ± 0.3 %</x:t>
  </x:si>
  <x:si>
    <x:t xml:space="preserve">V000985</x:t>
  </x:si>
  <x:si>
    <x:t xml:space="preserve">3.29 ± 0.5 %</x:t>
  </x:si>
  <x:si>
    <x:t xml:space="preserve">V000986</x:t>
  </x:si>
  <x:si>
    <x:t xml:space="preserve">3535 ± 239 MPa</x:t>
  </x:si>
  <x:si>
    <x:t xml:space="preserve">V000987</x:t>
  </x:si>
  <x:si>
    <x:t xml:space="preserve">V000988</x:t>
  </x:si>
  <x:si>
    <x:t xml:space="preserve">109.9 ± 1.4 MPa</x:t>
  </x:si>
  <x:si>
    <x:t xml:space="preserve">V000989</x:t>
  </x:si>
  <x:si>
    <x:t xml:space="preserve">V000990</x:t>
  </x:si>
  <x:si>
    <x:t xml:space="preserve">12.5 ± 0.7 kJ/m2</x:t>
  </x:si>
  <x:si>
    <x:t xml:space="preserve">V000991</x:t>
  </x:si>
  <x:si>
    <x:t xml:space="preserve">V000992</x:t>
  </x:si>
  <x:si>
    <x:t xml:space="preserve">3054 ± 149 MPa</x:t>
  </x:si>
  <x:si>
    <x:t xml:space="preserve">V000993</x:t>
  </x:si>
  <x:si>
    <x:t xml:space="preserve">1520 ± 84 MPa</x:t>
  </x:si>
  <x:si>
    <x:t xml:space="preserve">V000994</x:t>
  </x:si>
  <x:si>
    <x:t xml:space="preserve">73.4 ± 0.6 MPa</x:t>
  </x:si>
  <x:si>
    <x:t xml:space="preserve">V000995</x:t>
  </x:si>
  <x:si>
    <x:t xml:space="preserve">42.0 ± 1.5 MPa</x:t>
  </x:si>
  <x:si>
    <x:t xml:space="preserve">V000996</x:t>
  </x:si>
  <x:si>
    <x:t xml:space="preserve">6.06 ± 0.6 %</x:t>
  </x:si>
  <x:si>
    <x:t xml:space="preserve">V000997</x:t>
  </x:si>
  <x:si>
    <x:t xml:space="preserve">3.51 ± 0.3 %</x:t>
  </x:si>
  <x:si>
    <x:t xml:space="preserve">V000998</x:t>
  </x:si>
  <x:si>
    <x:t xml:space="preserve">3336 ± 292 MPa</x:t>
  </x:si>
  <x:si>
    <x:t xml:space="preserve">V000999</x:t>
  </x:si>
  <x:si>
    <x:t xml:space="preserve">100.9 ± 3.5 MPa</x:t>
  </x:si>
  <x:si>
    <x:t xml:space="preserve">V001000</x:t>
  </x:si>
  <x:si>
    <x:t xml:space="preserve">9.2 ± 0.6 kJ/m2</x:t>
  </x:si>
  <x:si>
    <x:t xml:space="preserve">V001001</x:t>
  </x:si>
  <x:si>
    <x:t xml:space="preserve">1.07 g/cm3</x:t>
  </x:si>
  <x:si>
    <x:t xml:space="preserve">V001002</x:t>
  </x:si>
  <x:si>
    <x:t xml:space="preserve">125 MPa</x:t>
  </x:si>
  <x:si>
    <x:t xml:space="preserve">ISO 527-1/2</x:t>
  </x:si>
  <x:si>
    <x:t xml:space="preserve">V001003</x:t>
  </x:si>
  <x:si>
    <x:t xml:space="preserve">5%</x:t>
  </x:si>
  <x:si>
    <x:t xml:space="preserve">p. 1: Tensile Strain at Break</x:t>
  </x:si>
  <x:si>
    <x:t xml:space="preserve">V001004</x:t>
  </x:si>
  <x:si>
    <x:t xml:space="preserve">8000 MPa</x:t>
  </x:si>
  <x:si>
    <x:t xml:space="preserve">V001005</x:t>
  </x:si>
  <x:si>
    <x:t xml:space="preserve">75 kJ/m2</x:t>
  </x:si>
  <x:si>
    <x:t xml:space="preserve">ISO 179/1eU</x:t>
  </x:si>
  <x:si>
    <x:t xml:space="preserve">p. 1: Charpy Impact Strength</x:t>
  </x:si>
  <x:si>
    <x:t xml:space="preserve">V001006</x:t>
  </x:si>
  <x:si>
    <x:t xml:space="preserve">15 kJ/m2</x:t>
  </x:si>
  <x:si>
    <x:t xml:space="preserve">p. 1: Charpy Notched Impact Strength</x:t>
  </x:si>
  <x:si>
    <x:t xml:space="preserve">V001007</x:t>
  </x:si>
  <x:si>
    <x:t xml:space="preserve">1.23</x:t>
  </x:si>
  <x:si>
    <x:t xml:space="preserve">V001008</x:t>
  </x:si>
  <x:si>
    <x:t xml:space="preserve">V001009</x:t>
  </x:si>
  <x:si>
    <x:t xml:space="preserve">7800</x:t>
  </x:si>
  <x:si>
    <x:t xml:space="preserve">V001010</x:t>
  </x:si>
  <x:si>
    <x:t xml:space="preserve">4.5</x:t>
  </x:si>
  <x:si>
    <x:t xml:space="preserve">V001011</x:t>
  </x:si>
  <x:si>
    <x:t xml:space="preserve">94</x:t>
  </x:si>
  <x:si>
    <x:t xml:space="preserve">V001012</x:t>
  </x:si>
  <x:si>
    <x:t xml:space="preserve">7550</x:t>
  </x:si>
  <x:si>
    <x:t xml:space="preserve">V001013</x:t>
  </x:si>
  <x:si>
    <x:t xml:space="preserve">V001015</x:t>
  </x:si>
  <x:si>
    <x:t xml:space="preserve">V001016</x:t>
  </x:si>
  <x:si>
    <x:t xml:space="preserve">V001017</x:t>
  </x:si>
  <x:si>
    <x:t xml:space="preserve">V001018</x:t>
  </x:si>
  <x:si>
    <x:t xml:space="preserve">V001019</x:t>
  </x:si>
  <x:si>
    <x:t xml:space="preserve">V001020</x:t>
  </x:si>
  <x:si>
    <x:t xml:space="preserve">V001022</x:t>
  </x:si>
  <x:si>
    <x:t xml:space="preserve">V001023</x:t>
  </x:si>
  <x:si>
    <x:t xml:space="preserve">V001024</x:t>
  </x:si>
  <x:si>
    <x:t xml:space="preserve">V001025</x:t>
  </x:si>
  <x:si>
    <x:t xml:space="preserve">V001026</x:t>
  </x:si>
  <x:si>
    <x:t xml:space="preserve">V001027</x:t>
  </x:si>
  <x:si>
    <x:t xml:space="preserve">V001028</x:t>
  </x:si>
  <x:si>
    <x:t xml:space="preserve">V001029</x:t>
  </x:si>
  <x:si>
    <x:t xml:space="preserve">V001030</x:t>
  </x:si>
  <x:si>
    <x:t xml:space="preserve">V001031</x:t>
  </x:si>
  <x:si>
    <x:t xml:space="preserve">V001032</x:t>
  </x:si>
  <x:si>
    <x:t xml:space="preserve">V001033</x:t>
  </x:si>
  <x:si>
    <x:t xml:space="preserve">V001034</x:t>
  </x:si>
  <x:si>
    <x:t xml:space="preserve">V001035</x:t>
  </x:si>
  <x:si>
    <x:t xml:space="preserve">V001036</x:t>
  </x:si>
  <x:si>
    <x:t xml:space="preserve">V001037</x:t>
  </x:si>
  <x:si>
    <x:t xml:space="preserve">V001038</x:t>
  </x:si>
  <x:si>
    <x:t xml:space="preserve">V001039</x:t>
  </x:si>
  <x:si>
    <x:t xml:space="preserve">V001040</x:t>
  </x:si>
  <x:si>
    <x:t xml:space="preserve">V001041</x:t>
  </x:si>
  <x:si>
    <x:t xml:space="preserve">V001042</x:t>
  </x:si>
  <x:si>
    <x:t xml:space="preserve">V001043</x:t>
  </x:si>
  <x:si>
    <x:t xml:space="preserve">V001044</x:t>
  </x:si>
  <x:si>
    <x:t xml:space="preserve">V001045</x:t>
  </x:si>
  <x:si>
    <x:t xml:space="preserve">V001046</x:t>
  </x:si>
  <x:si>
    <x:t xml:space="preserve">V001047</x:t>
  </x:si>
  <x:si>
    <x:t xml:space="preserve">V001048</x:t>
  </x:si>
  <x:si>
    <x:t xml:space="preserve">V001049</x:t>
  </x:si>
  <x:si>
    <x:t xml:space="preserve">V001050</x:t>
  </x:si>
  <x:si>
    <x:t xml:space="preserve">V001051</x:t>
  </x:si>
  <x:si>
    <x:t xml:space="preserve">V001052</x:t>
  </x:si>
  <x:si>
    <x:t xml:space="preserve">1.03 g/cm3</x:t>
  </x:si>
  <x:si>
    <x:t xml:space="preserve">All specimens were annealed at 100°C for 16h. MECHANICAL PROPERTIES - WET STATUS PROPERTY TESTING</x:t>
  </x:si>
  <x:si>
    <x:t xml:space="preserve">Printing temperature 300 °C Inﬁll 100% Bed temperature 50 °C Shell 2 Top &amp; bottom layer 3 Cooling fan OFF FLEXURAL TESTING SPECIMEN TENSILE TESTING SPECIMEN IMPACT TESTING SPECIMEN ASTM D638 (ISO 527, GB/T 1040) ASTM D638 (ISO 527, GB/T 1040) ASTM D638 (ISO 179, GB/T 1043) 150. 00 80.00 80. 00 60. 00 114.00 45. 00° 80.</x:t>
  </x:si>
  <x:si>
    <x:t xml:space="preserve">V001053</x:t>
  </x:si>
  <x:si>
    <x:t xml:space="preserve">p. 1: Crystallization temp.</x:t>
  </x:si>
  <x:si>
    <x:t xml:space="preserve">175 °C</x:t>
  </x:si>
  <x:si>
    <x:t xml:space="preserve">p. 1: Heat deflection temp.</x:t>
  </x:si>
  <x:si>
    <x:t xml:space="preserve">V001055</x:t>
  </x:si>
  <x:si>
    <x:t xml:space="preserve">5136.7 ± 192.2 MPa</x:t>
  </x:si>
  <x:si>
    <x:t xml:space="preserve">p. 1: Young’s modulus (X-Y)</x:t>
  </x:si>
  <x:si>
    <x:t xml:space="preserve">V001056</x:t>
  </x:si>
  <x:si>
    <x:t xml:space="preserve">2786.4 ± 78.4 MPa</x:t>
  </x:si>
  <x:si>
    <x:t xml:space="preserve">p. 1: Young’s modulus (Z)</x:t>
  </x:si>
  <x:si>
    <x:t xml:space="preserve">V001057</x:t>
  </x:si>
  <x:si>
    <x:t xml:space="preserve">91.9 ± 2.0 MPa</x:t>
  </x:si>
  <x:si>
    <x:t xml:space="preserve">p. 1: Tensile strength (X-Y)</x:t>
  </x:si>
  <x:si>
    <x:t xml:space="preserve">V001058</x:t>
  </x:si>
  <x:si>
    <x:t xml:space="preserve">48.3 ± 3.9 MPa</x:t>
  </x:si>
  <x:si>
    <x:t xml:space="preserve">V001059</x:t>
  </x:si>
  <x:si>
    <x:t xml:space="preserve">2.6 ± 0.2 %</x:t>
  </x:si>
  <x:si>
    <x:t xml:space="preserve">p. 1: Elongation at break (X-Y)</x:t>
  </x:si>
  <x:si>
    <x:t xml:space="preserve">V001060</x:t>
  </x:si>
  <x:si>
    <x:t xml:space="preserve">2.1 ± 0.2 %</x:t>
  </x:si>
  <x:si>
    <x:t xml:space="preserve">V001061</x:t>
  </x:si>
  <x:si>
    <x:t xml:space="preserve">4583.5 ± 62.7 MPa</x:t>
  </x:si>
  <x:si>
    <x:t xml:space="preserve">p. 1: Bending modulus (X-Y)</x:t>
  </x:si>
  <x:si>
    <x:t xml:space="preserve">V001062</x:t>
  </x:si>
  <x:si>
    <x:t xml:space="preserve">2264.8 ± 203.8 MPa</x:t>
  </x:si>
  <x:si>
    <x:t xml:space="preserve">p. 1: Bending modulus (Z)</x:t>
  </x:si>
  <x:si>
    <x:t xml:space="preserve">V001063</x:t>
  </x:si>
  <x:si>
    <x:t xml:space="preserve">138.0 ± 2.2 MPa</x:t>
  </x:si>
  <x:si>
    <x:t xml:space="preserve">p. 1: Bending strength (X-Y)</x:t>
  </x:si>
  <x:si>
    <x:t xml:space="preserve">V001064</x:t>
  </x:si>
  <x:si>
    <x:t xml:space="preserve">73.5 ± 3.9 MPa</x:t>
  </x:si>
  <x:si>
    <x:t xml:space="preserve">p. 1: Bending strength (Z)</x:t>
  </x:si>
  <x:si>
    <x:t xml:space="preserve">V001065</x:t>
  </x:si>
  <x:si>
    <x:t xml:space="preserve">8.1 ± 0.8 kJ/m2</x:t>
  </x:si>
  <x:si>
    <x:t xml:space="preserve">p. 1: Charpy impact strength (X-Y) notched</x:t>
  </x:si>
  <x:si>
    <x:t xml:space="preserve">V001066</x:t>
  </x:si>
  <x:si>
    <x:t xml:space="preserve">29.9 ± 1.6 kJ/m2</x:t>
  </x:si>
  <x:si>
    <x:t xml:space="preserve">p. 1: Charpy impact strength (X-Y)un-notched</x:t>
  </x:si>
  <x:si>
    <x:t xml:space="preserve">V001067</x:t>
  </x:si>
  <x:si>
    <x:t xml:space="preserve">12.6 ± 1.4 kJ/m2</x:t>
  </x:si>
  <x:si>
    <x:t xml:space="preserve">p. 1: Charpy impact strength (Z) un-notched</x:t>
  </x:si>
  <x:si>
    <x:t xml:space="preserve">V001068</x:t>
  </x:si>
  <x:si>
    <x:t xml:space="preserve">3990.8 ± 136.5 MPa</x:t>
  </x:si>
  <x:si>
    <x:t xml:space="preserve">Wet (conditioning specified in source)</x:t>
  </x:si>
  <x:si>
    <x:t xml:space="preserve">V001069</x:t>
  </x:si>
  <x:si>
    <x:t xml:space="preserve">2386.8 ± 150.2 MPa</x:t>
  </x:si>
  <x:si>
    <x:t xml:space="preserve">V001070</x:t>
  </x:si>
  <x:si>
    <x:t xml:space="preserve">83.1 ± 2.2 MPa</x:t>
  </x:si>
  <x:si>
    <x:t xml:space="preserve">V001071</x:t>
  </x:si>
  <x:si>
    <x:t xml:space="preserve">35.6 ± 3.0 MPa</x:t>
  </x:si>
  <x:si>
    <x:t xml:space="preserve">V001072</x:t>
  </x:si>
  <x:si>
    <x:t xml:space="preserve">4.1 ± 0.3 %</x:t>
  </x:si>
  <x:si>
    <x:t xml:space="preserve">V001073</x:t>
  </x:si>
  <x:si>
    <x:t xml:space="preserve">V001074</x:t>
  </x:si>
  <x:si>
    <x:t xml:space="preserve">3888.3 ± 56.3 MPa</x:t>
  </x:si>
  <x:si>
    <x:t xml:space="preserve">V001075</x:t>
  </x:si>
  <x:si>
    <x:t xml:space="preserve">1764.5 ± 98.9 MPa</x:t>
  </x:si>
  <x:si>
    <x:t xml:space="preserve">V001076</x:t>
  </x:si>
  <x:si>
    <x:t xml:space="preserve">118.1 ± 1.6 MPa</x:t>
  </x:si>
  <x:si>
    <x:t xml:space="preserve">V001077</x:t>
  </x:si>
  <x:si>
    <x:t xml:space="preserve">64.6 ± 2.0 MPa</x:t>
  </x:si>
  <x:si>
    <x:t xml:space="preserve">V001078</x:t>
  </x:si>
  <x:si>
    <x:t xml:space="preserve">7.7 ± 0.5 kJ/m2</x:t>
  </x:si>
  <x:si>
    <x:t xml:space="preserve">V001079</x:t>
  </x:si>
  <x:si>
    <x:t xml:space="preserve">41.0 ± 1.4 kJ/m2</x:t>
  </x:si>
  <x:si>
    <x:t xml:space="preserve">V001080</x:t>
  </x:si>
  <x:si>
    <x:t xml:space="preserve">17.6 ± 2.0 kJ/m2</x:t>
  </x:si>
  <x:si>
    <x:t xml:space="preserve">V001081</x:t>
  </x:si>
  <x:si>
    <x:t xml:space="preserve">V001082</x:t>
  </x:si>
  <x:si>
    <x:t xml:space="preserve">V001083</x:t>
  </x:si>
  <x:si>
    <x:t xml:space="preserve">V001084</x:t>
  </x:si>
  <x:si>
    <x:t xml:space="preserve">V001085</x:t>
  </x:si>
  <x:si>
    <x:t xml:space="preserve">V001086</x:t>
  </x:si>
  <x:si>
    <x:t xml:space="preserve">V001088</x:t>
  </x:si>
  <x:si>
    <x:t xml:space="preserve">V001089</x:t>
  </x:si>
  <x:si>
    <x:t xml:space="preserve">V001090</x:t>
  </x:si>
  <x:si>
    <x:t xml:space="preserve">V001091</x:t>
  </x:si>
  <x:si>
    <x:t xml:space="preserve">V001092</x:t>
  </x:si>
  <x:si>
    <x:t xml:space="preserve">V001093</x:t>
  </x:si>
  <x:si>
    <x:t xml:space="preserve">V001094</x:t>
  </x:si>
  <x:si>
    <x:t xml:space="preserve">V001095</x:t>
  </x:si>
  <x:si>
    <x:t xml:space="preserve">V001096</x:t>
  </x:si>
  <x:si>
    <x:t xml:space="preserve">V001097</x:t>
  </x:si>
  <x:si>
    <x:t xml:space="preserve">V001098</x:t>
  </x:si>
  <x:si>
    <x:t xml:space="preserve">V001099</x:t>
  </x:si>
  <x:si>
    <x:t xml:space="preserve">V001100</x:t>
  </x:si>
  <x:si>
    <x:t xml:space="preserve">V001101</x:t>
  </x:si>
  <x:si>
    <x:t xml:space="preserve">V001102</x:t>
  </x:si>
  <x:si>
    <x:t xml:space="preserve">V001103</x:t>
  </x:si>
  <x:si>
    <x:t xml:space="preserve">V001104</x:t>
  </x:si>
  <x:si>
    <x:t xml:space="preserve">V001105</x:t>
  </x:si>
  <x:si>
    <x:t xml:space="preserve">V001106</x:t>
  </x:si>
  <x:si>
    <x:t xml:space="preserve">V001107</x:t>
  </x:si>
  <x:si>
    <x:t xml:space="preserve">V001108</x:t>
  </x:si>
  <x:si>
    <x:t xml:space="preserve">V001109</x:t>
  </x:si>
  <x:si>
    <x:t xml:space="preserve">V001110</x:t>
  </x:si>
  <x:si>
    <x:t xml:space="preserve">V001111</x:t>
  </x:si>
  <x:si>
    <x:t xml:space="preserve">V001112</x:t>
  </x:si>
  <x:si>
    <x:t xml:space="preserve">V001113</x:t>
  </x:si>
  <x:si>
    <x:t xml:space="preserve">V001114</x:t>
  </x:si>
  <x:si>
    <x:t xml:space="preserve">V001115</x:t>
  </x:si>
  <x:si>
    <x:t xml:space="preserve">V001116</x:t>
  </x:si>
  <x:si>
    <x:t xml:space="preserve">V001117</x:t>
  </x:si>
  <x:si>
    <x:t xml:space="preserve">V001118</x:t>
  </x:si>
  <x:si>
    <x:t xml:space="preserve">V001119</x:t>
  </x:si>
  <x:si>
    <x:t xml:space="preserve">V001120</x:t>
  </x:si>
  <x:si>
    <x:t xml:space="preserve">V001121</x:t>
  </x:si>
  <x:si>
    <x:t xml:space="preserve">V001122</x:t>
  </x:si>
  <x:si>
    <x:t xml:space="preserve">V001123</x:t>
  </x:si>
  <x:si>
    <x:t xml:space="preserve">V001124</x:t>
  </x:si>
  <x:si>
    <x:t xml:space="preserve">V001126</x:t>
  </x:si>
  <x:si>
    <x:t xml:space="preserve">V001127</x:t>
  </x:si>
  <x:si>
    <x:t xml:space="preserve">V001128</x:t>
  </x:si>
  <x:si>
    <x:t xml:space="preserve">V001129</x:t>
  </x:si>
  <x:si>
    <x:t xml:space="preserve">V001130</x:t>
  </x:si>
  <x:si>
    <x:t xml:space="preserve">V001131</x:t>
  </x:si>
  <x:si>
    <x:t xml:space="preserve">V001132</x:t>
  </x:si>
  <x:si>
    <x:t xml:space="preserve">V001133</x:t>
  </x:si>
  <x:si>
    <x:t xml:space="preserve">V001134</x:t>
  </x:si>
  <x:si>
    <x:t xml:space="preserve">V001135</x:t>
  </x:si>
  <x:si>
    <x:t xml:space="preserve">V001136</x:t>
  </x:si>
  <x:si>
    <x:t xml:space="preserve">V001137</x:t>
  </x:si>
  <x:si>
    <x:t xml:space="preserve">V001138</x:t>
  </x:si>
  <x:si>
    <x:t xml:space="preserve">V001139</x:t>
  </x:si>
  <x:si>
    <x:t xml:space="preserve">V001140</x:t>
  </x:si>
  <x:si>
    <x:t xml:space="preserve">V001141</x:t>
  </x:si>
  <x:si>
    <x:t xml:space="preserve">V001142</x:t>
  </x:si>
  <x:si>
    <x:t xml:space="preserve">V001143</x:t>
  </x:si>
  <x:si>
    <x:t xml:space="preserve">V001144</x:t>
  </x:si>
  <x:si>
    <x:t xml:space="preserve">V001145</x:t>
  </x:si>
  <x:si>
    <x:t xml:space="preserve">V001146</x:t>
  </x:si>
  <x:si>
    <x:t xml:space="preserve">V001147</x:t>
  </x:si>
  <x:si>
    <x:t xml:space="preserve">V001148</x:t>
  </x:si>
  <x:si>
    <x:t xml:space="preserve">V001149</x:t>
  </x:si>
  <x:si>
    <x:t xml:space="preserve">V001150</x:t>
  </x:si>
  <x:si>
    <x:t xml:space="preserve">V001151</x:t>
  </x:si>
  <x:si>
    <x:t xml:space="preserve">V001152</x:t>
  </x:si>
  <x:si>
    <x:t xml:space="preserve">V001153</x:t>
  </x:si>
  <x:si>
    <x:t xml:space="preserve">V001154</x:t>
  </x:si>
  <x:si>
    <x:t xml:space="preserve">V001155</x:t>
  </x:si>
  <x:si>
    <x:t xml:space="preserve">1.17-1.20</x:t>
  </x:si>
  <x:si>
    <x:t xml:space="preserve">V001156</x:t>
  </x:si>
  <x:si>
    <x:t xml:space="preserve">220-240</x:t>
  </x:si>
  <x:si>
    <x:t xml:space="preserve">p. 1: Melting Point</x:t>
  </x:si>
  <x:si>
    <x:t xml:space="preserve">V001157</x:t>
  </x:si>
  <x:si>
    <x:t xml:space="preserve">p. 1: Vicat Softening Point A/</x:t>
  </x:si>
  <x:si>
    <x:t xml:space="preserve">V001158</x:t>
  </x:si>
  <x:si>
    <x:t xml:space="preserve">V001159</x:t>
  </x:si>
  <x:si>
    <x:t xml:space="preserve">113</x:t>
  </x:si>
  <x:si>
    <x:t xml:space="preserve">V001160</x:t>
  </x:si>
  <x:si>
    <x:t xml:space="preserve">V001161</x:t>
  </x:si>
  <x:si>
    <x:t xml:space="preserve">180-A</x:t>
  </x:si>
  <x:si>
    <x:t xml:space="preserve">Kj/m²</x:t>
  </x:si>
  <x:si>
    <x:t xml:space="preserve">V001162</x:t>
  </x:si>
  <x:si>
    <x:t xml:space="preserve">&lt;1</x:t>
  </x:si>
  <x:si>
    <x:t xml:space="preserve">V001163</x:t>
  </x:si>
  <x:si>
    <x:t xml:space="preserve">1.35</x:t>
  </x:si>
  <x:si>
    <x:t xml:space="preserve">Printed Specimen Conditions Printer: Gearbox™ HT2 Nozzle: 0.4mm Layer Height: 0.25mm Infill: 100%, +/- 45° Extrusion Temp: 265°C Bed Temp: 70°C Specimen Orientation: XY Flat</x:t>
  </x:si>
  <x:si>
    <x:t xml:space="preserve">V001164</x:t>
  </x:si>
  <x:si>
    <x:t xml:space="preserve">62.8</x:t>
  </x:si>
  <x:si>
    <x:t xml:space="preserve">V001165</x:t>
  </x:si>
  <x:si>
    <x:t xml:space="preserve">4261</x:t>
  </x:si>
  <x:si>
    <x:t xml:space="preserve">V001166</x:t>
  </x:si>
  <x:si>
    <x:t xml:space="preserve">6</x:t>
  </x:si>
  <x:si>
    <x:t xml:space="preserve">V001167</x:t>
  </x:si>
  <x:si>
    <x:t xml:space="preserve">V001168</x:t>
  </x:si>
  <x:si>
    <x:t xml:space="preserve">3600</x:t>
  </x:si>
  <x:si>
    <x:t xml:space="preserve">V001169</x:t>
  </x:si>
  <x:si>
    <x:t xml:space="preserve">186</x:t>
  </x:si>
  <x:si>
    <x:t xml:space="preserve">V001171</x:t>
  </x:si>
  <x:si>
    <x:t xml:space="preserve">1.2 g/cm3</x:t>
  </x:si>
  <x:si>
    <x:t xml:space="preserve">All specimens were annealed at 80˚C for 6h and dried for 48h prior to testing</x:t>
  </x:si>
  <x:si>
    <x:t xml:space="preserve">Printing temperature 300 °C Bed temperature 45 °C Shell 2 Top &amp; bottom layer 4 Infill 100% Environmental temperature 50 ˚C Cooling fan OFF The typical values presented in this data sheet are intended for reference and comparison purposes only. They should not be used for design specifications or quality control purpose</x:t>
  </x:si>
  <x:si>
    <x:t xml:space="preserve">V001172</x:t>
  </x:si>
  <x:si>
    <x:t xml:space="preserve">70.4 °C</x:t>
  </x:si>
  <x:si>
    <x:t xml:space="preserve">V001173</x:t>
  </x:si>
  <x:si>
    <x:t xml:space="preserve">214.5 °C</x:t>
  </x:si>
  <x:si>
    <x:t xml:space="preserve">V001174</x:t>
  </x:si>
  <x:si>
    <x:t xml:space="preserve">174.5 °C</x:t>
  </x:si>
  <x:si>
    <x:t xml:space="preserve">V001175</x:t>
  </x:si>
  <x:si>
    <x:t xml:space="preserve">V001176</x:t>
  </x:si>
  <x:si>
    <x:t xml:space="preserve">157 °C</x:t>
  </x:si>
  <x:si>
    <x:t xml:space="preserve">V001177</x:t>
  </x:si>
  <x:si>
    <x:t xml:space="preserve">191 °C</x:t>
  </x:si>
  <x:si>
    <x:t xml:space="preserve">V001178</x:t>
  </x:si>
  <x:si>
    <x:t xml:space="preserve">V001179</x:t>
  </x:si>
  <x:si>
    <x:t xml:space="preserve">4431 ± 184 MPa</x:t>
  </x:si>
  <x:si>
    <x:t xml:space="preserve">V001180</x:t>
  </x:si>
  <x:si>
    <x:t xml:space="preserve">3330 ± 145 MPa</x:t>
  </x:si>
  <x:si>
    <x:t xml:space="preserve">V001181</x:t>
  </x:si>
  <x:si>
    <x:t xml:space="preserve">84.5 ± 2.1 MPa</x:t>
  </x:si>
  <x:si>
    <x:t xml:space="preserve">V001182</x:t>
  </x:si>
  <x:si>
    <x:t xml:space="preserve">61.4 ± 3.9 MPa</x:t>
  </x:si>
  <x:si>
    <x:t xml:space="preserve">V001183</x:t>
  </x:si>
  <x:si>
    <x:t xml:space="preserve">3.4 ± 0.3 %</x:t>
  </x:si>
  <x:si>
    <x:t xml:space="preserve">V001184</x:t>
  </x:si>
  <x:si>
    <x:t xml:space="preserve">2.9 ± 0.7 %</x:t>
  </x:si>
  <x:si>
    <x:t xml:space="preserve">V001185</x:t>
  </x:si>
  <x:si>
    <x:t xml:space="preserve">4637 ± 293 MPa</x:t>
  </x:si>
  <x:si>
    <x:t xml:space="preserve">V001186</x:t>
  </x:si>
  <x:si>
    <x:t xml:space="preserve">V001187</x:t>
  </x:si>
  <x:si>
    <x:t xml:space="preserve">136.4 ± 1.6 MPa</x:t>
  </x:si>
  <x:si>
    <x:t xml:space="preserve">V001188</x:t>
  </x:si>
  <x:si>
    <x:t xml:space="preserve">V001189</x:t>
  </x:si>
  <x:si>
    <x:t xml:space="preserve">16.5 ± 1.5 kJ/m2</x:t>
  </x:si>
  <x:si>
    <x:t xml:space="preserve">V001190</x:t>
  </x:si>
  <x:si>
    <x:t xml:space="preserve">V001191</x:t>
  </x:si>
  <x:si>
    <x:t xml:space="preserve">2053 ± 243 MPa</x:t>
  </x:si>
  <x:si>
    <x:t xml:space="preserve">V001192</x:t>
  </x:si>
  <x:si>
    <x:t xml:space="preserve">2593 ± 192 MPa</x:t>
  </x:si>
  <x:si>
    <x:t xml:space="preserve">V001193</x:t>
  </x:si>
  <x:si>
    <x:t xml:space="preserve">50.8 ± 4.9 MPa</x:t>
  </x:si>
  <x:si>
    <x:t xml:space="preserve">V001194</x:t>
  </x:si>
  <x:si>
    <x:t xml:space="preserve">44.4 ± 4.7 MPa</x:t>
  </x:si>
  <x:si>
    <x:t xml:space="preserve">V001195</x:t>
  </x:si>
  <x:si>
    <x:t xml:space="preserve">19.4 ± 2.2 %</x:t>
  </x:si>
  <x:si>
    <x:t xml:space="preserve">V001196</x:t>
  </x:si>
  <x:si>
    <x:t xml:space="preserve">2.9 ± 0.8 %</x:t>
  </x:si>
  <x:si>
    <x:t xml:space="preserve">V001197</x:t>
  </x:si>
  <x:si>
    <x:t xml:space="preserve">2232 ± 97 MPa</x:t>
  </x:si>
  <x:si>
    <x:t xml:space="preserve">V001198</x:t>
  </x:si>
  <x:si>
    <x:t xml:space="preserve">65.1 ± 2.2 MPa</x:t>
  </x:si>
  <x:si>
    <x:t xml:space="preserve">V001199</x:t>
  </x:si>
  <x:si>
    <x:t xml:space="preserve">21.2 ± 1.1 kJ/m2</x:t>
  </x:si>
  <x:si>
    <x:t xml:space="preserve">ISO 179, GB/T 9343</x:t>
  </x:si>
  <x:si>
    <x:t xml:space="preserve">1.14</x:t>
  </x:si>
  <x:si>
    <x:t xml:space="preserve">V001201</x:t>
  </x:si>
  <x:si>
    <x:t xml:space="preserve">68</x:t>
  </x:si>
  <x:si>
    <x:t xml:space="preserve">V001202</x:t>
  </x:si>
  <x:si>
    <x:t xml:space="preserve">6900</x:t>
  </x:si>
  <x:si>
    <x:t xml:space="preserve">V001203</x:t>
  </x:si>
  <x:si>
    <x:t xml:space="preserve">3.8</x:t>
  </x:si>
  <x:si>
    <x:t xml:space="preserve">V001204</x:t>
  </x:si>
  <x:si>
    <x:t xml:space="preserve">81</x:t>
  </x:si>
  <x:si>
    <x:t xml:space="preserve">V001205</x:t>
  </x:si>
  <x:si>
    <x:t xml:space="preserve">6700</x:t>
  </x:si>
  <x:si>
    <x:t xml:space="preserve">V001206</x:t>
  </x:si>
  <x:si>
    <x:t xml:space="preserve">142</x:t>
  </x:si>
  <x:si>
    <x:t xml:space="preserve">V001208</x:t>
  </x:si>
  <x:si>
    <x:t xml:space="preserve">1.10 g/cm3</x:t>
  </x:si>
  <x:si>
    <x:t xml:space="preserve">Printing temperature 300 °C Inﬁll 100% Bed temperature 50 °C Shell 2 Top &amp; bottom layer 3 Cooling fan OFF(X-Y), 80%(Z) FLEXURAL TESTING SPECIMEN TENSILE TESTING SPECIMEN IMPACT TESTING SPECIMEN ASTM D638 (ISO 527, GB/T 1040) ASTM D638 (ISO 527, GB/T 1040) ASTM D638 (ISO 179, GB/T 1043) 150. 00 80.00 80. 00 114.00 60. 0</x:t>
  </x:si>
  <x:si>
    <x:t xml:space="preserve">V001209</x:t>
  </x:si>
  <x:si>
    <x:t xml:space="preserve">180.3 °C</x:t>
  </x:si>
  <x:si>
    <x:t xml:space="preserve">V001210</x:t>
  </x:si>
  <x:si>
    <x:t xml:space="preserve">4293.7 ± 116.4 MPa</x:t>
  </x:si>
  <x:si>
    <x:t xml:space="preserve">V001211</x:t>
  </x:si>
  <x:si>
    <x:t xml:space="preserve">1784.4 ± 102.8 MPa</x:t>
  </x:si>
  <x:si>
    <x:t xml:space="preserve">V001212</x:t>
  </x:si>
  <x:si>
    <x:t xml:space="preserve">84.3 ± 2.3 MPa</x:t>
  </x:si>
  <x:si>
    <x:t xml:space="preserve">V001213</x:t>
  </x:si>
  <x:si>
    <x:t xml:space="preserve">21.5 ± 2.7 MPa</x:t>
  </x:si>
  <x:si>
    <x:t xml:space="preserve">V001214</x:t>
  </x:si>
  <x:si>
    <x:t xml:space="preserve">3.0 ± 0.1 %</x:t>
  </x:si>
  <x:si>
    <x:t xml:space="preserve">V001215</x:t>
  </x:si>
  <x:si>
    <x:t xml:space="preserve">1.4 ± 0.1 %</x:t>
  </x:si>
  <x:si>
    <x:t xml:space="preserve">V001216</x:t>
  </x:si>
  <x:si>
    <x:t xml:space="preserve">3745.5 ± 292.6 MPa</x:t>
  </x:si>
  <x:si>
    <x:t xml:space="preserve">V001217</x:t>
  </x:si>
  <x:si>
    <x:t xml:space="preserve">1362.3 ± 111.7 MPa</x:t>
  </x:si>
  <x:si>
    <x:t xml:space="preserve">V001218</x:t>
  </x:si>
  <x:si>
    <x:t xml:space="preserve">116.2 ± 5.9 MPa</x:t>
  </x:si>
  <x:si>
    <x:t xml:space="preserve">V001219</x:t>
  </x:si>
  <x:si>
    <x:t xml:space="preserve">39.5 ± 1.5 MPa</x:t>
  </x:si>
  <x:si>
    <x:t xml:space="preserve">V001220</x:t>
  </x:si>
  <x:si>
    <x:t xml:space="preserve">5.9 ± 0.4 kJ/m2</x:t>
  </x:si>
  <x:si>
    <x:t xml:space="preserve">V001221</x:t>
  </x:si>
  <x:si>
    <x:t xml:space="preserve">24.1 ± 2.4 kJ/m2</x:t>
  </x:si>
  <x:si>
    <x:t xml:space="preserve">V001222</x:t>
  </x:si>
  <x:si>
    <x:t xml:space="preserve">4.5 ± 0.2 kJ/m2</x:t>
  </x:si>
  <x:si>
    <x:t xml:space="preserve">V001223</x:t>
  </x:si>
  <x:si>
    <x:t xml:space="preserve">3730.8 ± 156.2 MPa</x:t>
  </x:si>
  <x:si>
    <x:t xml:space="preserve">V001224</x:t>
  </x:si>
  <x:si>
    <x:t xml:space="preserve">1343.9 ± 99.5 MPa</x:t>
  </x:si>
  <x:si>
    <x:t xml:space="preserve">V001225</x:t>
  </x:si>
  <x:si>
    <x:t xml:space="preserve">73.6 ± 2.3 MPa</x:t>
  </x:si>
  <x:si>
    <x:t xml:space="preserve">V001226</x:t>
  </x:si>
  <x:si>
    <x:t xml:space="preserve">19.2 ± 1.6 MPa</x:t>
  </x:si>
  <x:si>
    <x:t xml:space="preserve">V001227</x:t>
  </x:si>
  <x:si>
    <x:t xml:space="preserve">4.2 ± 0.4 %</x:t>
  </x:si>
  <x:si>
    <x:t xml:space="preserve">V001228</x:t>
  </x:si>
  <x:si>
    <x:t xml:space="preserve">1.9 ± 0.2 %</x:t>
  </x:si>
  <x:si>
    <x:t xml:space="preserve">V001229</x:t>
  </x:si>
  <x:si>
    <x:t xml:space="preserve">3056.1 ± 175.5 MPa</x:t>
  </x:si>
  <x:si>
    <x:t xml:space="preserve">V001230</x:t>
  </x:si>
  <x:si>
    <x:t xml:space="preserve">1420.1 ± 114.0 MPa</x:t>
  </x:si>
  <x:si>
    <x:t xml:space="preserve">V001231</x:t>
  </x:si>
  <x:si>
    <x:t xml:space="preserve">102.6 ± 4.8 MPa</x:t>
  </x:si>
  <x:si>
    <x:t xml:space="preserve">V001232</x:t>
  </x:si>
  <x:si>
    <x:t xml:space="preserve">40.5 ± 1.3 MPa</x:t>
  </x:si>
  <x:si>
    <x:t xml:space="preserve">V001233</x:t>
  </x:si>
  <x:si>
    <x:t xml:space="preserve">4.9 ± 0.3 kJ/m2</x:t>
  </x:si>
  <x:si>
    <x:t xml:space="preserve">V001234</x:t>
  </x:si>
  <x:si>
    <x:t xml:space="preserve">33.6 ± 2.0 kJ/m2</x:t>
  </x:si>
  <x:si>
    <x:t xml:space="preserve">V001235</x:t>
  </x:si>
  <x:si>
    <x:t xml:space="preserve">3.6 ± 0.1 kJ/m2</x:t>
  </x:si>
  <x:si>
    <x:t xml:space="preserve">V001236</x:t>
  </x:si>
  <x:si>
    <x:t xml:space="preserve">V001237</x:t>
  </x:si>
  <x:si>
    <x:t xml:space="preserve">V001238</x:t>
  </x:si>
  <x:si>
    <x:t xml:space="preserve">V001239</x:t>
  </x:si>
  <x:si>
    <x:t xml:space="preserve">V001240</x:t>
  </x:si>
  <x:si>
    <x:t xml:space="preserve">V001241</x:t>
  </x:si>
  <x:si>
    <x:t xml:space="preserve">V001242</x:t>
  </x:si>
  <x:si>
    <x:t xml:space="preserve">V001243</x:t>
  </x:si>
  <x:si>
    <x:t xml:space="preserve">V001244</x:t>
  </x:si>
  <x:si>
    <x:t xml:space="preserve">V001245</x:t>
  </x:si>
  <x:si>
    <x:t xml:space="preserve">V001246</x:t>
  </x:si>
  <x:si>
    <x:t xml:space="preserve">V001247</x:t>
  </x:si>
  <x:si>
    <x:t xml:space="preserve">V001248</x:t>
  </x:si>
  <x:si>
    <x:t xml:space="preserve">V001249</x:t>
  </x:si>
  <x:si>
    <x:t xml:space="preserve">V001250</x:t>
  </x:si>
  <x:si>
    <x:t xml:space="preserve">V001251</x:t>
  </x:si>
  <x:si>
    <x:t xml:space="preserve">V001252</x:t>
  </x:si>
  <x:si>
    <x:t xml:space="preserve">V001253</x:t>
  </x:si>
  <x:si>
    <x:t xml:space="preserve">V001254</x:t>
  </x:si>
  <x:si>
    <x:t xml:space="preserve">V001255</x:t>
  </x:si>
  <x:si>
    <x:t xml:space="preserve">V001256</x:t>
  </x:si>
  <x:si>
    <x:t xml:space="preserve">V001257</x:t>
  </x:si>
  <x:si>
    <x:t xml:space="preserve">V001258</x:t>
  </x:si>
  <x:si>
    <x:t xml:space="preserve">V001259</x:t>
  </x:si>
  <x:si>
    <x:t xml:space="preserve">V001260</x:t>
  </x:si>
  <x:si>
    <x:t xml:space="preserve">V001261</x:t>
  </x:si>
  <x:si>
    <x:t xml:space="preserve">V001262</x:t>
  </x:si>
  <x:si>
    <x:t xml:space="preserve">V001263</x:t>
  </x:si>
  <x:si>
    <x:t xml:space="preserve">V001264</x:t>
  </x:si>
  <x:si>
    <x:t xml:space="preserve">1.29 g/cm³</x:t>
  </x:si>
  <x:si>
    <x:t xml:space="preserve">Specimen Printing Conditions Subjects Data Nozzle Temperature 270 °C Bed Temperature 80 °C Printing Speed 100 mm/s InfillDensity 100% * Allthe specimens were printed at the following settings: Nozzle Temperature = 270 °C, Printing Speed = 100 mm/s, Bed Temperature = 80 °C, InfillDensity = 100%. Allthe specimens were annealed and dried at 80 °C for 12 h before testing. And the</x:t>
  </x:si>
  <x:si>
    <x:t xml:space="preserve">V001265</x:t>
  </x:si>
  <x:si>
    <x:t xml:space="preserve">250 °C</x:t>
  </x:si>
  <x:si>
    <x:t xml:space="preserve">V001266</x:t>
  </x:si>
  <x:si>
    <x:t xml:space="preserve">75 °C</x:t>
  </x:si>
  <x:si>
    <x:t xml:space="preserve">V001267</x:t>
  </x:si>
  <x:si>
    <x:t xml:space="preserve">V001268</x:t>
  </x:si>
  <x:si>
    <x:t xml:space="preserve">226 °C</x:t>
  </x:si>
  <x:si>
    <x:t xml:space="preserve">V001269</x:t>
  </x:si>
  <x:si>
    <x:t xml:space="preserve">205 °C</x:t>
  </x:si>
  <x:si>
    <x:t xml:space="preserve">V001271</x:t>
  </x:si>
  <x:si>
    <x:t xml:space="preserve">0.37 %</x:t>
  </x:si>
  <x:si>
    <x:t xml:space="preserve">V001272</x:t>
  </x:si>
  <x:si>
    <x:t xml:space="preserve">4730 ± 260 MPa</x:t>
  </x:si>
  <x:si>
    <x:t xml:space="preserve">V001273</x:t>
  </x:si>
  <x:si>
    <x:t xml:space="preserve">2160 ± 170 MPa</x:t>
  </x:si>
  <x:si>
    <x:t xml:space="preserve">V001274</x:t>
  </x:si>
  <x:si>
    <x:t xml:space="preserve">74 ± 6 MPa</x:t>
  </x:si>
  <x:si>
    <x:t xml:space="preserve">V001275</x:t>
  </x:si>
  <x:si>
    <x:t xml:space="preserve">V001276</x:t>
  </x:si>
  <x:si>
    <x:t xml:space="preserve">4.5 ± 1.2 %</x:t>
  </x:si>
  <x:si>
    <x:t xml:space="preserve">V001277</x:t>
  </x:si>
  <x:si>
    <x:t xml:space="preserve">2.4 ± 0.8 %</x:t>
  </x:si>
  <x:si>
    <x:t xml:space="preserve">V001278</x:t>
  </x:si>
  <x:si>
    <x:t xml:space="preserve">5320 ± 270 MPa</x:t>
  </x:si>
  <x:si>
    <x:t xml:space="preserve">V001279</x:t>
  </x:si>
  <x:si>
    <x:t xml:space="preserve">2210 ± 180 MPa</x:t>
  </x:si>
  <x:si>
    <x:t xml:space="preserve">V001280</x:t>
  </x:si>
  <x:si>
    <x:t xml:space="preserve">131 ± 6 MPa</x:t>
  </x:si>
  <x:si>
    <x:t xml:space="preserve">V001281</x:t>
  </x:si>
  <x:si>
    <x:t xml:space="preserve">49 ± 5 MPa</x:t>
  </x:si>
  <x:si>
    <x:t xml:space="preserve">V001282</x:t>
  </x:si>
  <x:si>
    <x:t xml:space="preserve">36.0 ± 2.7 kJ/m²;</x:t>
  </x:si>
  <x:si>
    <x:t xml:space="preserve">V001283</x:t>
  </x:si>
  <x:si>
    <x:t xml:space="preserve">8.6 ± 0.5 kJ/m²</x:t>
  </x:si>
  <x:si>
    <x:t xml:space="preserve">V001284</x:t>
  </x:si>
  <x:si>
    <x:t xml:space="preserve">4.5 ± 0.6 kJ/m²</x:t>
  </x:si>
  <x:si>
    <x:t xml:space="preserve">V001285</x:t>
  </x:si>
  <x:si>
    <x:t xml:space="preserve">ISO 1183-3</x:t>
  </x:si>
  <x:si>
    <x:r>
      <x:rPr>
        <x:sz val="10"/>
        <x:color rgb="FF243447"/>
        <x:rFont val="Arial"/>
      </x:rPr>
      <x:t xml:space="preserve">Printing Temperature and Humidity ≤ 100 ℃, ≤ 20% RH (Sealed with desiccant) Storage Temperature and Humidity ≤ 35 ℃</x:t>
    </x:r>
    <x:r>
      <x:rPr>
        <x:sz val="10"/>
        <x:color rgb="FF243447"/>
        <x:rFont val="Noto Sans CJK SC"/>
        <x:family val="2"/>
      </x:rPr>
      <x:t xml:space="preserve">，≤ </x:t>
    </x:r>
    <x:r>
      <x:rPr>
        <x:sz val="10"/>
        <x:color rgb="FF243447"/>
        <x:rFont val="Arial"/>
      </x:rPr>
      <x:t xml:space="preserve">20% RH (Sealed with desiccant) Compatible Support Material Itself or support filament for PA Compatible Printer Type Enclosed-frame (recommended), open-frame, AMS or CFS Not Compatible Compatible Nozzle</x:t>
    </x:r>
  </x:si>
  <x:si>
    <x:t xml:space="preserve">V001286</x:t>
  </x:si>
  <x:si>
    <x:t xml:space="preserve">1.32 %</x:t>
  </x:si>
  <x:si>
    <x:r>
      <x:rPr>
        <x:sz val="10"/>
        <x:color rgb="FF243447"/>
        <x:rFont val="Arial"/>
      </x:rPr>
      <x:t xml:space="preserve">tion Rate 25 °C</x:t>
    </x:r>
    <x:r>
      <x:rPr>
        <x:sz val="10"/>
        <x:color rgb="FF243447"/>
        <x:rFont val="Noto Sans CJK SC"/>
        <x:family val="2"/>
      </x:rPr>
      <x:t xml:space="preserve">，</x:t>
    </x:r>
    <x:r>
      <x:rPr>
        <x:sz val="10"/>
        <x:color rgb="FF243447"/>
        <x:rFont val="Arial"/>
      </x:rPr>
      <x:t xml:space="preserve">55% RH</x:t>
    </x:r>
    <x:r>
      <x:rPr>
        <x:sz val="10"/>
        <x:color rgb="FF243447"/>
        <x:rFont val="Noto Sans CJK SC"/>
        <x:family val="2"/>
      </x:rPr>
      <x:t xml:space="preserve">，</x:t>
    </x:r>
    <x:r>
      <x:rPr>
        <x:sz val="10"/>
        <x:color rgb="FF243447"/>
        <x:rFont val="Arial"/>
      </x:rPr>
      <x:t xml:space="preserve">room air</x:t>
    </x:r>
  </x:si>
  <x:si>
    <x:t xml:space="preserve">p. 1: Saturated Water Absorption Rate</x:t>
  </x:si>
  <x:si>
    <x:t xml:space="preserve">V001287</x:t>
  </x:si>
  <x:si>
    <x:t xml:space="preserve">246 °C</x:t>
  </x:si>
  <x:si>
    <x:r>
      <x:rPr>
        <x:sz val="10"/>
        <x:color rgb="FF243447"/>
        <x:rFont val="Arial"/>
      </x:rPr>
      <x:t xml:space="preserve">DSC</x:t>
    </x:r>
    <x:r>
      <x:rPr>
        <x:sz val="10"/>
        <x:color rgb="FF243447"/>
        <x:rFont val="Noto Sans CJK SC"/>
        <x:family val="2"/>
      </x:rPr>
      <x:t xml:space="preserve">，</x:t>
    </x:r>
    <x:r>
      <x:rPr>
        <x:sz val="10"/>
        <x:color rgb="FF243447"/>
        <x:rFont val="Arial"/>
      </x:rPr>
      <x:t xml:space="preserve">10 °C/min</x:t>
    </x:r>
  </x:si>
  <x:si>
    <x:t xml:space="preserve">p. 1: Melting Temperature</x:t>
  </x:si>
  <x:si>
    <x:t xml:space="preserve">V001288</x:t>
  </x:si>
  <x:si>
    <x:t xml:space="preserve">133 °C</x:t>
  </x:si>
  <x:si>
    <x:r>
      <x:rPr>
        <x:sz val="10"/>
        <x:color rgb="FF243447"/>
        <x:rFont val="Arial"/>
      </x:rPr>
      <x:t xml:space="preserve">ISO 306</x:t>
    </x:r>
    <x:r>
      <x:rPr>
        <x:sz val="10"/>
        <x:color rgb="FF243447"/>
        <x:rFont val="Noto Sans CJK SC"/>
        <x:family val="2"/>
      </x:rPr>
      <x:t xml:space="preserve">，</x:t>
    </x:r>
    <x:r>
      <x:rPr>
        <x:sz val="10"/>
        <x:color rgb="FF243447"/>
        <x:rFont val="Arial"/>
      </x:rPr>
      <x:t xml:space="preserve">GB/T 1633 106 °C</x:t>
    </x:r>
    <x:r>
      <x:rPr>
        <x:sz val="10"/>
        <x:color rgb="FF243447"/>
        <x:rFont val="Noto Sans CJK SC"/>
        <x:family val="2"/>
      </x:rPr>
      <x:t xml:space="preserve">；</x:t>
    </x:r>
  </x:si>
  <x:si>
    <x:t xml:space="preserve">p. 1: Vicar Softening Temperature</x:t>
  </x:si>
  <x:si>
    <x:r>
      <x:rPr>
        <x:sz val="10"/>
        <x:color rgb="FF243447"/>
        <x:rFont val="Arial"/>
      </x:rPr>
      <x:t xml:space="preserve">ISO 75</x:t>
    </x:r>
    <x:r>
      <x:rPr>
        <x:sz val="10"/>
        <x:color rgb="FF243447"/>
        <x:rFont val="Noto Sans CJK SC"/>
        <x:family val="2"/>
      </x:rPr>
      <x:t xml:space="preserve">，</x:t>
    </x:r>
    <x:r>
      <x:rPr>
        <x:sz val="10"/>
        <x:color rgb="FF243447"/>
        <x:rFont val="Arial"/>
      </x:rPr>
      <x:t xml:space="preserve">0.45 MPa 103 °C</x:t>
    </x:r>
    <x:r>
      <x:rPr>
        <x:sz val="10"/>
        <x:color rgb="FF243447"/>
        <x:rFont val="Noto Sans CJK SC"/>
        <x:family val="2"/>
      </x:rPr>
      <x:t xml:space="preserve">；</x:t>
    </x:r>
  </x:si>
  <x:si>
    <x:t xml:space="preserve">V001290</x:t>
  </x:si>
  <x:si>
    <x:r>
      <x:rPr>
        <x:sz val="10"/>
        <x:color rgb="FF243447"/>
        <x:rFont val="Arial"/>
      </x:rPr>
      <x:t xml:space="preserve">ISO 527</x:t>
    </x:r>
    <x:r>
      <x:rPr>
        <x:sz val="10"/>
        <x:color rgb="FF243447"/>
        <x:rFont val="Noto Sans CJK SC"/>
        <x:family val="2"/>
      </x:rPr>
      <x:t xml:space="preserve">，</x:t>
    </x:r>
    <x:r>
      <x:rPr>
        <x:sz val="10"/>
        <x:color rgb="FF243447"/>
        <x:rFont val="Arial"/>
      </x:rPr>
      <x:t xml:space="preserve">GB/T 1040</x:t>
    </x:r>
  </x:si>
  <x:si>
    <x:t xml:space="preserve">p. 1: Tensile Strength XY</x:t>
  </x:si>
  <x:si>
    <x:t xml:space="preserve">V001291</x:t>
  </x:si>
  <x:si>
    <x:t xml:space="preserve">40 MPa</x:t>
  </x:si>
  <x:si>
    <x:t xml:space="preserve">p. 1: Tensile Strength Z</x:t>
  </x:si>
  <x:si>
    <x:t xml:space="preserve">V001292</x:t>
  </x:si>
  <x:si>
    <x:t xml:space="preserve">2863 MPa</x:t>
  </x:si>
  <x:si>
    <x:t xml:space="preserve">p. 1: Young's Modulus XY</x:t>
  </x:si>
  <x:si>
    <x:t xml:space="preserve">V001293</x:t>
  </x:si>
  <x:si>
    <x:t xml:space="preserve">2677 MPa</x:t>
  </x:si>
  <x:si>
    <x:t xml:space="preserve">p. 1: Young's Modulus Z</x:t>
  </x:si>
  <x:si>
    <x:t xml:space="preserve">V001294</x:t>
  </x:si>
  <x:si>
    <x:t xml:space="preserve">3.4 %</x:t>
  </x:si>
  <x:si>
    <x:t xml:space="preserve">p. 1: Breaking Elongation Rate XY</x:t>
  </x:si>
  <x:si>
    <x:t xml:space="preserve">V001295</x:t>
  </x:si>
  <x:si>
    <x:t xml:space="preserve">p. 1: Breaking Elongation Rate Z</x:t>
  </x:si>
  <x:si>
    <x:t xml:space="preserve">V001296</x:t>
  </x:si>
  <x:si>
    <x:t xml:space="preserve">123 MPa</x:t>
  </x:si>
  <x:si>
    <x:r>
      <x:rPr>
        <x:sz val="10"/>
        <x:color rgb="FF243447"/>
        <x:rFont val="Arial"/>
      </x:rPr>
      <x:t xml:space="preserve">ISO 178</x:t>
    </x:r>
    <x:r>
      <x:rPr>
        <x:sz val="10"/>
        <x:color rgb="FF243447"/>
        <x:rFont val="Noto Sans CJK SC"/>
        <x:family val="2"/>
      </x:rPr>
      <x:t xml:space="preserve">，</x:t>
    </x:r>
    <x:r>
      <x:rPr>
        <x:sz val="10"/>
        <x:color rgb="FF243447"/>
        <x:rFont val="Arial"/>
      </x:rPr>
      <x:t xml:space="preserve">GB/T 9341</x:t>
    </x:r>
  </x:si>
  <x:si>
    <x:t xml:space="preserve">p. 1: Flexural Strength XY</x:t>
  </x:si>
  <x:si>
    <x:t xml:space="preserve">V001297</x:t>
  </x:si>
  <x:si>
    <x:t xml:space="preserve">62 MPa</x:t>
  </x:si>
  <x:si>
    <x:t xml:space="preserve">p. 1: Flexural Strength Z</x:t>
  </x:si>
  <x:si>
    <x:t xml:space="preserve">V001298</x:t>
  </x:si>
  <x:si>
    <x:t xml:space="preserve">2672 MPa</x:t>
  </x:si>
  <x:si>
    <x:t xml:space="preserve">p. 1: Flexural Modulus XY</x:t>
  </x:si>
  <x:si>
    <x:t xml:space="preserve">V001299</x:t>
  </x:si>
  <x:si>
    <x:t xml:space="preserve">2576 MPa</x:t>
  </x:si>
  <x:si>
    <x:t xml:space="preserve">p. 1: Flexural Modulus Z</x:t>
  </x:si>
  <x:si>
    <x:t xml:space="preserve">V001300</x:t>
  </x:si>
  <x:si>
    <x:t xml:space="preserve">32.8 kJ/m²</x:t>
  </x:si>
  <x:si>
    <x:t xml:space="preserve">p. 1: Impact Strength XY</x:t>
  </x:si>
  <x:si>
    <x:t xml:space="preserve">V001301</x:t>
  </x:si>
  <x:si>
    <x:t xml:space="preserve">5.4 kJ/m²</x:t>
  </x:si>
  <x:si>
    <x:t xml:space="preserve">p. 1: Impact Strength Z</x:t>
  </x:si>
  <x:si>
    <x:t xml:space="preserve">V001302</x:t>
  </x:si>
  <x:si>
    <x:t xml:space="preserve">All the specimens were not annealed before testing</x:t>
  </x:si>
  <x:si>
    <x:t xml:space="preserve">Specimen Printing Conditions Subjects Data Nozzle Temperature 290 °C Bed Temperature 110 °C Printing Speed 80 mm/s Infill Density 100% * All the specimens were printed at the following settings: Printer = X1C, Chamber Temperature = 52 °C, Nozzle Temperature = 290 °C, Printing Speed = 80 mm/s, Bed Temperature = 110 °C, Infill Density = 100%. If higher chamber temperature were</x:t>
  </x:si>
  <x:si>
    <x:t xml:space="preserve">V001303</x:t>
  </x:si>
  <x:si>
    <x:t xml:space="preserve">258 °C</x:t>
  </x:si>
  <x:si>
    <x:t xml:space="preserve">V001304</x:t>
  </x:si>
  <x:si>
    <x:t xml:space="preserve">DSC , 10 °C/min</x:t>
  </x:si>
  <x:si>
    <x:t xml:space="preserve">V001305</x:t>
  </x:si>
  <x:si>
    <x:t xml:space="preserve">178 °C</x:t>
  </x:si>
  <x:si>
    <x:t xml:space="preserve">V001306</x:t>
  </x:si>
  <x:si>
    <x:t xml:space="preserve">232 °C</x:t>
  </x:si>
  <x:si>
    <x:t xml:space="preserve">V001307</x:t>
  </x:si>
  <x:si>
    <x:t xml:space="preserve">196 °C</x:t>
  </x:si>
  <x:si>
    <x:t xml:space="preserve">227 °C</x:t>
  </x:si>
  <x:si>
    <x:t xml:space="preserve">V001309</x:t>
  </x:si>
  <x:si>
    <x:t xml:space="preserve">1.30 %</x:t>
  </x:si>
  <x:si>
    <x:t xml:space="preserve">V001310</x:t>
  </x:si>
  <x:si>
    <x:t xml:space="preserve">11800 ± 670 MPa</x:t>
  </x:si>
  <x:si>
    <x:t xml:space="preserve">V001311</x:t>
  </x:si>
  <x:si>
    <x:t xml:space="preserve">4300 ± 340 MPa</x:t>
  </x:si>
  <x:si>
    <x:t xml:space="preserve">V001312</x:t>
  </x:si>
  <x:si>
    <x:t xml:space="preserve">168 ± 4 MPa</x:t>
  </x:si>
  <x:si>
    <x:t xml:space="preserve">V001313</x:t>
  </x:si>
  <x:si>
    <x:t xml:space="preserve">57 ± 5 MPa</x:t>
  </x:si>
  <x:si>
    <x:t xml:space="preserve">V001314</x:t>
  </x:si>
  <x:si>
    <x:t xml:space="preserve">3.2 ± 0.4 %</x:t>
  </x:si>
  <x:si>
    <x:t xml:space="preserve">V001315</x:t>
  </x:si>
  <x:si>
    <x:t xml:space="preserve">0.9 ± 0.2 %</x:t>
  </x:si>
  <x:si>
    <x:t xml:space="preserve">V001316</x:t>
  </x:si>
  <x:si>
    <x:t xml:space="preserve">9860 ± 480 MPa</x:t>
  </x:si>
  <x:si>
    <x:t xml:space="preserve">V001317</x:t>
  </x:si>
  <x:si>
    <x:t xml:space="preserve">3240 ± 360 MPa</x:t>
  </x:si>
  <x:si>
    <x:t xml:space="preserve">V001318</x:t>
  </x:si>
  <x:si>
    <x:t xml:space="preserve">208 ± 6 MPa</x:t>
  </x:si>
  <x:si>
    <x:t xml:space="preserve">V001319</x:t>
  </x:si>
  <x:si>
    <x:t xml:space="preserve">63 ± 4 MPa</x:t>
  </x:si>
  <x:si>
    <x:t xml:space="preserve">V001320</x:t>
  </x:si>
  <x:si>
    <x:t xml:space="preserve">41.7 ± 2.8 kJ/m²</x:t>
  </x:si>
  <x:si>
    <x:t xml:space="preserve">V001321</x:t>
  </x:si>
  <x:si>
    <x:t xml:space="preserve">4.3 ± 0.4 kJ/m²</x:t>
  </x:si>
  <x:si>
    <x:t xml:space="preserve">V001322</x:t>
  </x:si>
  <x:si>
    <x:r>
      <x:rPr>
        <x:sz val="10"/>
        <x:color rgb="FF243447"/>
        <x:rFont val="Arial"/>
      </x:rPr>
      <x:t xml:space="preserve">Printing Temperature and Humidity ≤ 120 ℃, ≤ 20% RH (Sealed with desiccant) Storage Temperature and Humidity ≤ 35 ℃</x:t>
    </x:r>
    <x:r>
      <x:rPr>
        <x:sz val="10"/>
        <x:color rgb="FF243447"/>
        <x:rFont val="Noto Sans CJK SC"/>
        <x:family val="2"/>
      </x:rPr>
      <x:t xml:space="preserve">，≤ </x:t>
    </x:r>
    <x:r>
      <x:rPr>
        <x:sz val="10"/>
        <x:color rgb="FF243447"/>
        <x:rFont val="Arial"/>
      </x:rPr>
      <x:t xml:space="preserve">20% RH (Sealed with desiccant) Compatible Support Material Itselfor support filament for PA Compatible Printer Type Enclosed-frame (recommended), open-frame, AMS or CFS Not Compatible Compatible Nozzle</x:t>
    </x:r>
  </x:si>
  <x:si>
    <x:t xml:space="preserve">V001323</x:t>
  </x:si>
  <x:si>
    <x:t xml:space="preserve">1.29 %</x:t>
  </x:si>
  <x:si>
    <x:t xml:space="preserve">V001324</x:t>
  </x:si>
  <x:si>
    <x:t xml:space="preserve">256 °C</x:t>
  </x:si>
  <x:si>
    <x:t xml:space="preserve">V001325</x:t>
  </x:si>
  <x:si>
    <x:t xml:space="preserve">231 °C</x:t>
  </x:si>
  <x:si>
    <x:r>
      <x:rPr>
        <x:sz val="10"/>
        <x:color rgb="FF243447"/>
        <x:rFont val="Arial"/>
      </x:rPr>
      <x:t xml:space="preserve">ISO 306</x:t>
    </x:r>
    <x:r>
      <x:rPr>
        <x:sz val="10"/>
        <x:color rgb="FF243447"/>
        <x:rFont val="Noto Sans CJK SC"/>
        <x:family val="2"/>
      </x:rPr>
      <x:t xml:space="preserve">，</x:t>
    </x:r>
    <x:r>
      <x:rPr>
        <x:sz val="10"/>
        <x:color rgb="FF243447"/>
        <x:rFont val="Arial"/>
      </x:rPr>
      <x:t xml:space="preserve">GB/T 1633</x:t>
    </x:r>
  </x:si>
  <x:si>
    <x:r>
      <x:rPr>
        <x:sz val="10"/>
        <x:color rgb="FF243447"/>
        <x:rFont val="Arial"/>
      </x:rPr>
      <x:t xml:space="preserve">ISO 75</x:t>
    </x:r>
    <x:r>
      <x:rPr>
        <x:sz val="10"/>
        <x:color rgb="FF243447"/>
        <x:rFont val="Noto Sans CJK SC"/>
        <x:family val="2"/>
      </x:rPr>
      <x:t xml:space="preserve">，</x:t>
    </x:r>
    <x:r>
      <x:rPr>
        <x:sz val="10"/>
        <x:color rgb="FF243447"/>
        <x:rFont val="Arial"/>
      </x:rPr>
      <x:t xml:space="preserve">0.45 MPa</x:t>
    </x:r>
  </x:si>
  <x:si>
    <x:t xml:space="preserve">V001327</x:t>
  </x:si>
  <x:si>
    <x:t xml:space="preserve">106 MPa</x:t>
  </x:si>
  <x:si>
    <x:t xml:space="preserve">V001328</x:t>
  </x:si>
  <x:si>
    <x:t xml:space="preserve">52 MPa</x:t>
  </x:si>
  <x:si>
    <x:t xml:space="preserve">V001329</x:t>
  </x:si>
  <x:si>
    <x:t xml:space="preserve">6558 MPa</x:t>
  </x:si>
  <x:si>
    <x:t xml:space="preserve">V001330</x:t>
  </x:si>
  <x:si>
    <x:t xml:space="preserve">3472 MPa</x:t>
  </x:si>
  <x:si>
    <x:t xml:space="preserve">V001331</x:t>
  </x:si>
  <x:si>
    <x:t xml:space="preserve">2.1 %</x:t>
  </x:si>
  <x:si>
    <x:t xml:space="preserve">V001332</x:t>
  </x:si>
  <x:si>
    <x:t xml:space="preserve">1.0 %</x:t>
  </x:si>
  <x:si>
    <x:t xml:space="preserve">V001333</x:t>
  </x:si>
  <x:si>
    <x:t xml:space="preserve">159 MPa</x:t>
  </x:si>
  <x:si>
    <x:t xml:space="preserve">V001334</x:t>
  </x:si>
  <x:si>
    <x:t xml:space="preserve">75 MPa</x:t>
  </x:si>
  <x:si>
    <x:t xml:space="preserve">V001335</x:t>
  </x:si>
  <x:si>
    <x:t xml:space="preserve">5920 MPa</x:t>
  </x:si>
  <x:si>
    <x:t xml:space="preserve">V001336</x:t>
  </x:si>
  <x:si>
    <x:t xml:space="preserve">3246 MPa</x:t>
  </x:si>
  <x:si>
    <x:t xml:space="preserve">V001337</x:t>
  </x:si>
  <x:si>
    <x:t xml:space="preserve">30.2 kJ/m²</x:t>
  </x:si>
  <x:si>
    <x:t xml:space="preserve">V001338</x:t>
  </x:si>
  <x:si>
    <x:t xml:space="preserve">4.8 kJ/m²</x:t>
  </x:si>
  <x:si>
    <x:t xml:space="preserve">V001339</x:t>
  </x:si>
  <x:si>
    <x:t xml:space="preserve">Printed Specimen Conditions Printer: Open Source FDM/FFF Nozzle: 0.4mm Layer Height: 0.25mm Infill: 100%, +/- 45° Extrusion Temp: 335-345°C Bed Temp: 110 - 130°C Specimen Orientation: XY Flat</x:t>
  </x:si>
  <x:si>
    <x:t xml:space="preserve">V001340</x:t>
  </x:si>
  <x:si>
    <x:t xml:space="preserve">V001341</x:t>
  </x:si>
  <x:si>
    <x:t xml:space="preserve">V001342</x:t>
  </x:si>
  <x:si>
    <x:t xml:space="preserve">18</x:t>
  </x:si>
  <x:si>
    <x:t xml:space="preserve">V001343</x:t>
  </x:si>
  <x:si>
    <x:t xml:space="preserve">52</x:t>
  </x:si>
  <x:si>
    <x:t xml:space="preserve">V001344</x:t>
  </x:si>
  <x:si>
    <x:t xml:space="preserve">2540</x:t>
  </x:si>
  <x:si>
    <x:t xml:space="preserve">V001345</x:t>
  </x:si>
  <x:si>
    <x:t xml:space="preserve">283</x:t>
  </x:si>
  <x:si>
    <x:t xml:space="preserve">ISO 11357</x:t>
  </x:si>
  <x:si>
    <x:t xml:space="preserve">V001347</x:t>
  </x:si>
  <x:si>
    <x:t xml:space="preserve">1.33 g/cm3</x:t>
  </x:si>
  <x:si>
    <x:t xml:space="preserve">V001348</x:t>
  </x:si>
  <x:si>
    <x:t xml:space="preserve">18 kJ/m2</x:t>
  </x:si>
  <x:si>
    <x:t xml:space="preserve">ISO 179-1eU</x:t>
  </x:si>
  <x:si>
    <x:t xml:space="preserve">p. 1: Charpy impact strength, unnotched* (23°C)</x:t>
  </x:si>
  <x:si>
    <x:t xml:space="preserve">V001349</x:t>
  </x:si>
  <x:si>
    <x:t xml:space="preserve">1,3 kJ/m2</x:t>
  </x:si>
  <x:si>
    <x:t xml:space="preserve">ISO 179-1eA</x:t>
  </x:si>
  <x:si>
    <x:t xml:space="preserve">p. 1: Charpy impact strength, notched* (23°C)</x:t>
  </x:si>
  <x:si>
    <x:t xml:space="preserve">V001350</x:t>
  </x:si>
  <x:si>
    <x:t xml:space="preserve">2,00%</x:t>
  </x:si>
  <x:si>
    <x:t xml:space="preserve">ISO 527 (1)</x:t>
  </x:si>
  <x:si>
    <x:t xml:space="preserve">V001351</x:t>
  </x:si>
  <x:si>
    <x:t xml:space="preserve">65 MPa</x:t>
  </x:si>
  <x:si>
    <x:t xml:space="preserve">p. 1: Tensile Strength at Break*</x:t>
  </x:si>
  <x:si>
    <x:t xml:space="preserve">V001352</x:t>
  </x:si>
  <x:si>
    <x:t xml:space="preserve">236°C</x:t>
  </x:si>
  <x:si>
    <x:t xml:space="preserve">p. 1: VICAT Softening point* 50N</x:t>
  </x:si>
  <x:si>
    <x:t xml:space="preserve">V001353</x:t>
  </x:si>
  <x:si>
    <x:t xml:space="preserve">Specimen Printing Conditions Subjects Data Nozzle Temperature 320 °C Bed Temperature 110 °C Printing Speed 60mm/s InfillDensity 100% *All the specimens were printed at the following settings: Printer = X1E, Chamber Temperature = 60 °C, Nozzle Temperature = 320 °C, Printing Speed = 60 mm/s, Bed Temperature = 110 °C, InfillDensity = 100%. If higher chamber temperature and nozzl</x:t>
  </x:si>
  <x:si>
    <x:t xml:space="preserve">V001354</x:t>
  </x:si>
  <x:si>
    <x:t xml:space="preserve">284 °C</x:t>
  </x:si>
  <x:si>
    <x:t xml:space="preserve">V001355</x:t>
  </x:si>
  <x:si>
    <x:t xml:space="preserve">V001356</x:t>
  </x:si>
  <x:si>
    <x:t xml:space="preserve">V001357</x:t>
  </x:si>
  <x:si>
    <x:t xml:space="preserve">268 °C</x:t>
  </x:si>
  <x:si>
    <x:t xml:space="preserve">V001358</x:t>
  </x:si>
  <x:si>
    <x:t xml:space="preserve">235 °C</x:t>
  </x:si>
  <x:si>
    <x:t xml:space="preserve">264 °C</x:t>
  </x:si>
  <x:si>
    <x:t xml:space="preserve">V001360</x:t>
  </x:si>
  <x:si>
    <x:t xml:space="preserve">0.05 %</x:t>
  </x:si>
  <x:si>
    <x:t xml:space="preserve">V001361</x:t>
  </x:si>
  <x:si>
    <x:t xml:space="preserve">8230 ± 270 MPa</x:t>
  </x:si>
  <x:si>
    <x:t xml:space="preserve">V001362</x:t>
  </x:si>
  <x:si>
    <x:t xml:space="preserve">2850 ± 160 MPa</x:t>
  </x:si>
  <x:si>
    <x:t xml:space="preserve">V001363</x:t>
  </x:si>
  <x:si>
    <x:t xml:space="preserve">87 ± 5 MPa</x:t>
  </x:si>
  <x:si>
    <x:t xml:space="preserve">V001364</x:t>
  </x:si>
  <x:si>
    <x:t xml:space="preserve">V001365</x:t>
  </x:si>
  <x:si>
    <x:t xml:space="preserve">V001366</x:t>
  </x:si>
  <x:si>
    <x:t xml:space="preserve">0.7 ± 0.3 %</x:t>
  </x:si>
  <x:si>
    <x:t xml:space="preserve">V001367</x:t>
  </x:si>
  <x:si>
    <x:t xml:space="preserve">7160 ± 280 MPa</x:t>
  </x:si>
  <x:si>
    <x:t xml:space="preserve">V001368</x:t>
  </x:si>
  <x:si>
    <x:t xml:space="preserve">2460 ± 190 MPa</x:t>
  </x:si>
  <x:si>
    <x:t xml:space="preserve">V001369</x:t>
  </x:si>
  <x:si>
    <x:t xml:space="preserve">142 ± 5 MPa</x:t>
  </x:si>
  <x:si>
    <x:t xml:space="preserve">V001370</x:t>
  </x:si>
  <x:si>
    <x:t xml:space="preserve">36 ± 4 MPa</x:t>
  </x:si>
  <x:si>
    <x:t xml:space="preserve">V001371</x:t>
  </x:si>
  <x:si>
    <x:r>
      <x:rPr>
        <x:sz val="10"/>
        <x:color rgb="FF243447"/>
        <x:rFont val="Arial"/>
      </x:rPr>
      <x:t xml:space="preserve">27.8 ± 2.3 kJ/m²</x:t>
    </x:r>
    <x:r>
      <x:rPr>
        <x:sz val="10"/>
        <x:color rgb="FF243447"/>
        <x:rFont val="Noto Sans CJK SC"/>
        <x:family val="2"/>
      </x:rPr>
      <x:t xml:space="preserve">；</x:t>
    </x:r>
  </x:si>
  <x:si>
    <x:t xml:space="preserve">V001372</x:t>
  </x:si>
  <x:si>
    <x:t xml:space="preserve">6.2 ± 1.6 kJ/m²</x:t>
  </x:si>
  <x:si>
    <x:t xml:space="preserve">V001373</x:t>
  </x:si>
  <x:si>
    <x:t xml:space="preserve">2.8 ± 0.4 kJ/m²</x:t>
  </x:si>
  <x:si>
    <x:t xml:space="preserve">V001374</x:t>
  </x:si>
  <x:si>
    <x:t xml:space="preserve">1.36 g/cm³</x:t>
  </x:si>
  <x:si>
    <x:t xml:space="preserve">Printing Temperature and Humidity ≤ 120 ℃, ≤ 20% RH (Sealed with desiccant) Storage Temperature and Humidity ≤ 35 ℃, ≤ 20% RH (Sealed with desiccant) Compatible Support Material Itselfor support filament for PPS Compatible Printer Type Enclosed-frame (60 to 120 °C chamber temperature is recommended) AMS or CFS Compatib</x:t>
  </x:si>
  <x:si>
    <x:t xml:space="preserve">V001375</x:t>
  </x:si>
  <x:si>
    <x:t xml:space="preserve">tion Rate 25 °C, 55% RH, room air</x:t>
  </x:si>
  <x:si>
    <x:t xml:space="preserve">V001376</x:t>
  </x:si>
  <x:si>
    <x:t xml:space="preserve">278 °C</x:t>
  </x:si>
  <x:si>
    <x:t xml:space="preserve">V001377</x:t>
  </x:si>
  <x:si>
    <x:t xml:space="preserve">241 °C</x:t>
  </x:si>
  <x:si>
    <x:t xml:space="preserve">ISO 75, 0.45 MPa</x:t>
  </x:si>
  <x:si>
    <x:t xml:space="preserve">V001379</x:t>
  </x:si>
  <x:si>
    <x:t xml:space="preserve">72 MPa</x:t>
  </x:si>
  <x:si>
    <x:t xml:space="preserve">V001380</x:t>
  </x:si>
  <x:si>
    <x:t xml:space="preserve">42 MPa</x:t>
  </x:si>
  <x:si>
    <x:t xml:space="preserve">V001381</x:t>
  </x:si>
  <x:si>
    <x:t xml:space="preserve">5764 MPa</x:t>
  </x:si>
  <x:si>
    <x:t xml:space="preserve">V001382</x:t>
  </x:si>
  <x:si>
    <x:t xml:space="preserve">2581 MPa</x:t>
  </x:si>
  <x:si>
    <x:t xml:space="preserve">V001383</x:t>
  </x:si>
  <x:si>
    <x:t xml:space="preserve">V001384</x:t>
  </x:si>
  <x:si>
    <x:t xml:space="preserve">0.7 %</x:t>
  </x:si>
  <x:si>
    <x:t xml:space="preserve">V001385</x:t>
  </x:si>
  <x:si>
    <x:t xml:space="preserve">112 MPa</x:t>
  </x:si>
  <x:si>
    <x:t xml:space="preserve">V001386</x:t>
  </x:si>
  <x:si>
    <x:t xml:space="preserve">58 MPa</x:t>
  </x:si>
  <x:si>
    <x:t xml:space="preserve">V001387</x:t>
  </x:si>
  <x:si>
    <x:t xml:space="preserve">4530 MPa</x:t>
  </x:si>
  <x:si>
    <x:t xml:space="preserve">V001388</x:t>
  </x:si>
  <x:si>
    <x:t xml:space="preserve">2212 MPa</x:t>
  </x:si>
  <x:si>
    <x:t xml:space="preserve">V001389</x:t>
  </x:si>
  <x:si>
    <x:t xml:space="preserve">31.7 kJ/m²</x:t>
  </x:si>
  <x:si>
    <x:t xml:space="preserve">V001390</x:t>
  </x:si>
  <x:si>
    <x:t xml:space="preserve">10.6 kJ/m²</x:t>
  </x:si>
  <x:si>
    <x:t xml:space="preserve">V001391</x:t>
  </x:si>
  <x:si>
    <x:t xml:space="preserve">1.36 g/cm3</x:t>
  </x:si>
  <x:si>
    <x:t xml:space="preserve">All specimens were annealed at 130°C for 10h. ELECTRICAL PROPERTIES Z PROPERTY TESTING</x:t>
  </x:si>
  <x:si>
    <x:t xml:space="preserve">Printing temperature 330-350 °C Inﬁll 100% Bed temperature 90 °C Shell 2 Top &amp; bottom layer 3 Cooling fan OFF FLEXURAL TESTING SPECIMEN TENSILE TESTING SPECIMEN IMPACT TESTING SPECIMEN ASTM D638 (ISO 527, GB/T 1040) ASTM D638 (ISO 527, GB/T 1040) ASTM D638 (ISO 179, GB/T 1043) 150.00 80.00 80. 00 114.00 60. 00 80.00 45</x:t>
  </x:si>
  <x:si>
    <x:t xml:space="preserve">V001392</x:t>
  </x:si>
  <x:si>
    <x:t xml:space="preserve">125.8 °C</x:t>
  </x:si>
  <x:si>
    <x:t xml:space="preserve">V001393</x:t>
  </x:si>
  <x:si>
    <x:t xml:space="preserve">4552.0 ± 54.6 MPa</x:t>
  </x:si>
  <x:si>
    <x:t xml:space="preserve">V001394</x:t>
  </x:si>
  <x:si>
    <x:t xml:space="preserve">2557.2 ± 101.2 MPa</x:t>
  </x:si>
  <x:si>
    <x:t xml:space="preserve">V001395</x:t>
  </x:si>
  <x:si>
    <x:t xml:space="preserve">64.1 ± 2.1 MPa</x:t>
  </x:si>
  <x:si>
    <x:t xml:space="preserve">V001396</x:t>
  </x:si>
  <x:si>
    <x:t xml:space="preserve">22.9 ± 0.8 MPa</x:t>
  </x:si>
  <x:si>
    <x:t xml:space="preserve">V001397</x:t>
  </x:si>
  <x:si>
    <x:t xml:space="preserve">2.0 ± 0.2 %</x:t>
  </x:si>
  <x:si>
    <x:t xml:space="preserve">V001398</x:t>
  </x:si>
  <x:si>
    <x:t xml:space="preserve">1.1 ± 0.1 %</x:t>
  </x:si>
  <x:si>
    <x:t xml:space="preserve">V001399</x:t>
  </x:si>
  <x:si>
    <x:t xml:space="preserve">4110.7 ± 124.9 MPa</x:t>
  </x:si>
  <x:si>
    <x:t xml:space="preserve">V001400</x:t>
  </x:si>
  <x:si>
    <x:t xml:space="preserve">2605.7 ± 101.8 MPa</x:t>
  </x:si>
  <x:si>
    <x:t xml:space="preserve">V001401</x:t>
  </x:si>
  <x:si>
    <x:t xml:space="preserve">102.3 ± 3.7 MPa</x:t>
  </x:si>
  <x:si>
    <x:t xml:space="preserve">V001402</x:t>
  </x:si>
  <x:si>
    <x:t xml:space="preserve">45.7 ± 1.1 MPa</x:t>
  </x:si>
  <x:si>
    <x:t xml:space="preserve">V001403</x:t>
  </x:si>
  <x:si>
    <x:t xml:space="preserve">7.3 ± 0.2 kJ/m2</x:t>
  </x:si>
  <x:si>
    <x:t xml:space="preserve">V001404</x:t>
  </x:si>
  <x:si>
    <x:t xml:space="preserve">27.3 ± 1.1 kJ/m2</x:t>
  </x:si>
  <x:si>
    <x:t xml:space="preserve">V001405</x:t>
  </x:si>
  <x:si>
    <x:t xml:space="preserve">4.3 ± 0.3 kJ/m2</x:t>
  </x:si>
  <x:si>
    <x:t xml:space="preserve">V001407</x:t>
  </x:si>
  <x:si>
    <x:t xml:space="preserve">V001408</x:t>
  </x:si>
  <x:si>
    <x:t xml:space="preserve">V001409</x:t>
  </x:si>
  <x:si>
    <x:t xml:space="preserve">V001410</x:t>
  </x:si>
  <x:si>
    <x:t xml:space="preserve">V001411</x:t>
  </x:si>
  <x:si>
    <x:t xml:space="preserve">V001412</x:t>
  </x:si>
  <x:si>
    <x:t xml:space="preserve">6.25 %</x:t>
  </x:si>
  <x:si>
    <x:t xml:space="preserve">V001413</x:t>
  </x:si>
  <x:si>
    <x:t xml:space="preserve">p. 2: Young's</x:t>
  </x:si>
  <x:si>
    <x:t xml:space="preserve">V001414</x:t>
  </x:si>
  <x:si>
    <x:t xml:space="preserve">(X-Y)</x:t>
  </x:si>
  <x:si>
    <x:t xml:space="preserve">p. 2: Tensile Strength</x:t>
  </x:si>
  <x:si>
    <x:t xml:space="preserve">V001415</x:t>
  </x:si>
  <x:si>
    <x:t xml:space="preserve">Elongation</x:t>
  </x:si>
  <x:si>
    <x:t xml:space="preserve">p. 2: Breaking</x:t>
  </x:si>
  <x:si>
    <x:t xml:space="preserve">V001416</x:t>
  </x:si>
  <x:si>
    <x:t xml:space="preserve">V001417</x:t>
  </x:si>
  <x:si>
    <x:t xml:space="preserve">Strength</x:t>
  </x:si>
  <x:si>
    <x:t xml:space="preserve">p. 2: Impact</x:t>
  </x:si>
  <x:si>
    <x:t xml:space="preserve">V001419</x:t>
  </x:si>
  <x:si>
    <x:t xml:space="preserve">34 MPa</x:t>
  </x:si>
  <x:si>
    <x:t xml:space="preserve">V001420</x:t>
  </x:si>
  <x:si>
    <x:t xml:space="preserve">2400 MPa</x:t>
  </x:si>
  <x:si>
    <x:t xml:space="preserve">p. 2: Tensile Modulus</x:t>
  </x:si>
  <x:si>
    <x:t xml:space="preserve">V001421</x:t>
  </x:si>
  <x:si>
    <x:t xml:space="preserve">9 %</x:t>
  </x:si>
  <x:si>
    <x:t xml:space="preserve">p. 2: Elongation at Break</x:t>
  </x:si>
  <x:si>
    <x:t xml:space="preserve">V001422</x:t>
  </x:si>
  <x:si>
    <x:t xml:space="preserve">50 MPa</x:t>
  </x:si>
  <x:si>
    <x:t xml:space="preserve">p. 2: Flexural Strength</x:t>
  </x:si>
  <x:si>
    <x:t xml:space="preserve">V001423</x:t>
  </x:si>
  <x:si>
    <x:t xml:space="preserve">2200 MPa</x:t>
  </x:si>
  <x:si>
    <x:t xml:space="preserve">p. 2: Flexural Modulus</x:t>
  </x:si>
  <x:si>
    <x:t xml:space="preserve">V001424</x:t>
  </x:si>
  <x:si>
    <x:t xml:space="preserve">90 °C</x:t>
  </x:si>
  <x:si>
    <x:r>
      <x:rPr>
        <x:sz val="10"/>
        <x:color rgb="FF243447"/>
        <x:rFont val="Arial"/>
      </x:rPr>
      <x:t xml:space="preserve">p. 2: Vicat So</x:t>
    </x:r>
    <x:r>
      <x:rPr>
        <x:sz val="10"/>
        <x:color rgb="FF243447"/>
        <x:rFont val="Noto Sans CJK SC"/>
        <x:family val="2"/>
      </x:rPr>
      <x:t xml:space="preserve">昀琀</x:t>
    </x:r>
    <x:r>
      <x:rPr>
        <x:sz val="10"/>
        <x:color rgb="FF243447"/>
        <x:rFont val="Arial"/>
      </x:rPr>
      <x:t xml:space="preserve">ening Temperature</x:t>
    </x:r>
  </x:si>
  <x:si>
    <x:t xml:space="preserve">V001425</x:t>
  </x:si>
  <x:si>
    <x:t xml:space="preserve">p. 2: Glass Transition Temperature (Tg)</x:t>
  </x:si>
  <x:si>
    <x:t xml:space="preserve">V001426</x:t>
  </x:si>
  <x:si>
    <x:t xml:space="preserve">p. 2: Melting Temperature (Tm)</x:t>
  </x:si>
  <x:si>
    <x:t xml:space="preserve">V001428</x:t>
  </x:si>
  <x:si>
    <x:t xml:space="preserve">V001429</x:t>
  </x:si>
  <x:si>
    <x:t xml:space="preserve">V001430</x:t>
  </x:si>
  <x:si>
    <x:t xml:space="preserve">DSC, 10</x:t>
  </x:si>
  <x:si>
    <x:t xml:space="preserve">V001431</x:t>
  </x:si>
  <x:si>
    <x:t xml:space="preserve">V001432</x:t>
  </x:si>
  <x:si>
    <x:t xml:space="preserve">V001433</x:t>
  </x:si>
  <x:si>
    <x:t xml:space="preserve">1.02 %</x:t>
  </x:si>
  <x:si>
    <x:t xml:space="preserve">ter Absorption Rate 25 °C,55% RH</x:t>
  </x:si>
  <x:si>
    <x:t xml:space="preserve">V001434</x:t>
  </x:si>
  <x:si>
    <x:t xml:space="preserve">V001435</x:t>
  </x:si>
  <x:si>
    <x:t xml:space="preserve">V001436</x:t>
  </x:si>
  <x:si>
    <x:t xml:space="preserve">V001437</x:t>
  </x:si>
  <x:si>
    <x:t xml:space="preserve">V001438</x:t>
  </x:si>
  <x:si>
    <x:t xml:space="preserve">1.16 g/cm³</x:t>
  </x:si>
  <x:si>
    <x:t xml:space="preserve">V001440</x:t>
  </x:si>
  <x:si>
    <x:t xml:space="preserve">195 °C</x:t>
  </x:si>
  <x:si>
    <x:t xml:space="preserve">V001441</x:t>
  </x:si>
  <x:si>
    <x:t xml:space="preserve">V001442</x:t>
  </x:si>
  <x:si>
    <x:t xml:space="preserve">V001443</x:t>
  </x:si>
  <x:si>
    <x:t xml:space="preserve">V001444</x:t>
  </x:si>
  <x:si>
    <x:t xml:space="preserve">V001445</x:t>
  </x:si>
  <x:si>
    <x:t xml:space="preserve">0.14 %</x:t>
  </x:si>
  <x:si>
    <x:t xml:space="preserve">V001446</x:t>
  </x:si>
  <x:si>
    <x:t xml:space="preserve">V001447</x:t>
  </x:si>
  <x:si>
    <x:t xml:space="preserve">V001448</x:t>
  </x:si>
  <x:si>
    <x:t xml:space="preserve">V001449</x:t>
  </x:si>
  <x:si>
    <x:t xml:space="preserve">V001450</x:t>
  </x:si>
  <x:si>
    <x:t xml:space="preserve">V001451</x:t>
  </x:si>
  <x:si>
    <x:t xml:space="preserve">V001452</x:t>
  </x:si>
  <x:si>
    <x:t xml:space="preserve">V001453</x:t>
  </x:si>
  <x:si>
    <x:t xml:space="preserve">V001454</x:t>
  </x:si>
  <x:si>
    <x:t xml:space="preserve">V001455</x:t>
  </x:si>
  <x:si>
    <x:t xml:space="preserve">V001456</x:t>
  </x:si>
  <x:si>
    <x:t xml:space="preserve">V001457</x:t>
  </x:si>
  <x:si>
    <x:t xml:space="preserve">1.17 g/cm³</x:t>
  </x:si>
  <x:si>
    <x:t xml:space="preserve">V001459</x:t>
  </x:si>
  <x:si>
    <x:t xml:space="preserve">255 °C</x:t>
  </x:si>
  <x:si>
    <x:t xml:space="preserve">V001460</x:t>
  </x:si>
  <x:si>
    <x:t xml:space="preserve">V001461</x:t>
  </x:si>
  <x:si>
    <x:t xml:space="preserve">V001462</x:t>
  </x:si>
  <x:si>
    <x:t xml:space="preserve">V001463</x:t>
  </x:si>
  <x:si>
    <x:t xml:space="preserve">Deflection Temperature</x:t>
  </x:si>
  <x:si>
    <x:t xml:space="preserve">V001464</x:t>
  </x:si>
  <x:si>
    <x:t xml:space="preserve">1.23 %</x:t>
  </x:si>
  <x:si>
    <x:t xml:space="preserve">V001465</x:t>
  </x:si>
  <x:si>
    <x:t xml:space="preserve">V001466</x:t>
  </x:si>
  <x:si>
    <x:t xml:space="preserve">V001467</x:t>
  </x:si>
  <x:si>
    <x:t xml:space="preserve">V001468</x:t>
  </x:si>
  <x:si>
    <x:t xml:space="preserve">V001469</x:t>
  </x:si>
  <x:si>
    <x:t xml:space="preserve">V001470</x:t>
  </x:si>
  <x:si>
    <x:t xml:space="preserve">1.04</x:t>
  </x:si>
  <x:si>
    <x:t xml:space="preserve">Printed Specimen Conditions Printer: Open Source FDM/FFF Nozzle: 0.4mm Layer Height: 0.25mm Infill: 100%, +/- 45° Extrusion Temp: 225°C Bed Temp: 100°C Specimen Orientation: XY Flat</x:t>
  </x:si>
  <x:si>
    <x:t xml:space="preserve">V001471</x:t>
  </x:si>
  <x:si>
    <x:t xml:space="preserve">40</x:t>
  </x:si>
  <x:si>
    <x:t xml:space="preserve">V001472</x:t>
  </x:si>
  <x:si>
    <x:t xml:space="preserve">1350</x:t>
  </x:si>
  <x:si>
    <x:t xml:space="preserve">V001473</x:t>
  </x:si>
  <x:si>
    <x:t xml:space="preserve">V001474</x:t>
  </x:si>
  <x:si>
    <x:t xml:space="preserve">V001475</x:t>
  </x:si>
  <x:si>
    <x:t xml:space="preserve">1600</x:t>
  </x:si>
  <x:si>
    <x:t xml:space="preserve">V001476</x:t>
  </x:si>
  <x:si>
    <x:t xml:space="preserve">V001478</x:t>
  </x:si>
  <x:si>
    <x:t xml:space="preserve">V001479</x:t>
  </x:si>
  <x:si>
    <x:t xml:space="preserve">16 MPa</x:t>
  </x:si>
  <x:si>
    <x:t xml:space="preserve">ISO 527-2/5</x:t>
  </x:si>
  <x:si>
    <x:t xml:space="preserve">V001480</x:t>
  </x:si>
  <x:si>
    <x:t xml:space="preserve">V001481</x:t>
  </x:si>
  <x:si>
    <x:t xml:space="preserve">1.5%</x:t>
  </x:si>
  <x:si>
    <x:t xml:space="preserve">p. 1: Tensile Strain at Yield</x:t>
  </x:si>
  <x:si>
    <x:t xml:space="preserve">V001482</x:t>
  </x:si>
  <x:si>
    <x:t xml:space="preserve">50,00%</x:t>
  </x:si>
  <x:si>
    <x:t xml:space="preserve">V001483</x:t>
  </x:si>
  <x:si>
    <x:t xml:space="preserve">2000 MPa</x:t>
  </x:si>
  <x:si>
    <x:t xml:space="preserve">V001484</x:t>
  </x:si>
  <x:si>
    <x:t xml:space="preserve">V001485</x:t>
  </x:si>
  <x:si>
    <x:t xml:space="preserve">7kJ/m2</x:t>
  </x:si>
  <x:si>
    <x:t xml:space="preserve">ISO 179/2</x:t>
  </x:si>
  <x:si>
    <x:t xml:space="preserve">V001486</x:t>
  </x:si>
  <x:si>
    <x:t xml:space="preserve">90J/m</x:t>
  </x:si>
  <x:si>
    <x:t xml:space="preserve">J/m</x:t>
  </x:si>
  <x:si>
    <x:t xml:space="preserve">D 256</x:t>
  </x:si>
  <x:si>
    <x:t xml:space="preserve">p. 1: Notched Izod Impact</x:t>
  </x:si>
  <x:si>
    <x:t xml:space="preserve">V001487</x:t>
  </x:si>
  <x:si>
    <x:t xml:space="preserve">ISO 2039-2</x:t>
  </x:si>
  <x:si>
    <x:t xml:space="preserve">p. 1: Rockwell Hardness (R-Scale)</x:t>
  </x:si>
  <x:si>
    <x:t xml:space="preserve">Scale recovered from the TDS row "Rockwell Hardness (R-Scale) 55 ISO 2039-2". Verified verbatim 2026-09-11.</x:t>
  </x:si>
  <x:si>
    <x:t xml:space="preserve">V001488</x:t>
  </x:si>
  <x:si>
    <x:t xml:space="preserve">87°C</x:t>
  </x:si>
  <x:si>
    <x:t xml:space="preserve">ISO 306/B50</x:t>
  </x:si>
  <x:si>
    <x:t xml:space="preserve">V001489</x:t>
  </x:si>
  <x:si>
    <x:t xml:space="preserve">88°C</x:t>
  </x:si>
  <x:si>
    <x:t xml:space="preserve">ISO 75-2/B</x:t>
  </x:si>
  <x:si>
    <x:t xml:space="preserve">V001490</x:t>
  </x:si>
  <x:si>
    <x:t xml:space="preserve">0.81</x:t>
  </x:si>
  <x:si>
    <x:t xml:space="preserve">Printed Specimen Conditions Printer: Open Source FDM/FFF Nozzle: 0.4mm Layer Height: 0.25mm Infill: 100%, +/- 45° Extrusion Temp: 235°C Bed Temp: 60°C Specimen Orientation: XY Flat</x:t>
  </x:si>
  <x:si>
    <x:t xml:space="preserve">V001491</x:t>
  </x:si>
  <x:si>
    <x:t xml:space="preserve">38</x:t>
  </x:si>
  <x:si>
    <x:t xml:space="preserve">V001492</x:t>
  </x:si>
  <x:si>
    <x:t xml:space="preserve">1650</x:t>
  </x:si>
  <x:si>
    <x:t xml:space="preserve">V001493</x:t>
  </x:si>
  <x:si>
    <x:t xml:space="preserve">V001494</x:t>
  </x:si>
  <x:si>
    <x:t xml:space="preserve">41</x:t>
  </x:si>
  <x:si>
    <x:t xml:space="preserve">V001495</x:t>
  </x:si>
  <x:si>
    <x:t xml:space="preserve">1532</x:t>
  </x:si>
  <x:si>
    <x:t xml:space="preserve">V001497</x:t>
  </x:si>
  <x:si>
    <x:t xml:space="preserve">460</x:t>
  </x:si>
  <x:si>
    <x:t xml:space="preserve">ISO527</x:t>
  </x:si>
  <x:si>
    <x:t xml:space="preserve">p. 1: ElongationAtBreak</x:t>
  </x:si>
  <x:si>
    <x:t xml:space="preserve">V001498</x:t>
  </x:si>
  <x:si>
    <x:t xml:space="preserve">13.9</x:t>
  </x:si>
  <x:si>
    <x:t xml:space="preserve">ISO178</x:t>
  </x:si>
  <x:si>
    <x:t xml:space="preserve">V001499</x:t>
  </x:si>
  <x:si>
    <x:t xml:space="preserve">390</x:t>
  </x:si>
  <x:si>
    <x:t xml:space="preserve">V001500</x:t>
  </x:si>
  <x:si>
    <x:t xml:space="preserve">169.4</x:t>
  </x:si>
  <x:si>
    <x:t xml:space="preserve">p. 1: MeltingTemperature</x:t>
  </x:si>
  <x:si>
    <x:t xml:space="preserve">V001501</x:t>
  </x:si>
  <x:si>
    <x:t xml:space="preserve">p. 1: HeatDeflectionTemperature</x:t>
  </x:si>
  <x:si>
    <x:t xml:space="preserve">V001502</x:t>
  </x:si>
  <x:si>
    <x:t xml:space="preserve">1.1</x:t>
  </x:si>
  <x:si>
    <x:t xml:space="preserve">Printed Specimen Conditions Printer: Open Source FDM/FFF Nozzle: 0.4mm Layer Height: 0.25mm Infill: 100%, +/- 45° Extrusion Temp: 265°C Bed Temp: 85°C Specimen Orientation: XY Flat</x:t>
  </x:si>
  <x:si>
    <x:t xml:space="preserve">V001503</x:t>
  </x:si>
  <x:si>
    <x:t xml:space="preserve">78</x:t>
  </x:si>
  <x:si>
    <x:t xml:space="preserve">V001504</x:t>
  </x:si>
  <x:si>
    <x:t xml:space="preserve">6150</x:t>
  </x:si>
  <x:si>
    <x:t xml:space="preserve">V001505</x:t>
  </x:si>
  <x:si>
    <x:t xml:space="preserve">1.5</x:t>
  </x:si>
  <x:si>
    <x:t xml:space="preserve">V001506</x:t>
  </x:si>
  <x:si>
    <x:t xml:space="preserve">V001507</x:t>
  </x:si>
  <x:si>
    <x:t xml:space="preserve">6100</x:t>
  </x:si>
  <x:si>
    <x:t xml:space="preserve">124</x:t>
  </x:si>
  <x:si>
    <x:t xml:space="preserve">V001509</x:t>
  </x:si>
  <x:si>
    <x:t xml:space="preserve">V001510</x:t>
  </x:si>
  <x:si>
    <x:t xml:space="preserve">65</x:t>
  </x:si>
  <x:si>
    <x:t xml:space="preserve">V001511</x:t>
  </x:si>
  <x:si>
    <x:t xml:space="preserve">6750</x:t>
  </x:si>
  <x:si>
    <x:t xml:space="preserve">V001512</x:t>
  </x:si>
  <x:si>
    <x:t xml:space="preserve">1.7</x:t>
  </x:si>
  <x:si>
    <x:t xml:space="preserve">V001513</x:t>
  </x:si>
  <x:si>
    <x:t xml:space="preserve">85</x:t>
  </x:si>
  <x:si>
    <x:t xml:space="preserve">V001514</x:t>
  </x:si>
  <x:si>
    <x:t xml:space="preserve">5320</x:t>
  </x:si>
  <x:si>
    <x:t xml:space="preserve">139</x:t>
  </x:si>
  <x:si>
    <x:t xml:space="preserve">1.1 g/cm3</x:t>
  </x:si>
  <x:si>
    <x:t xml:space="preserve">V001517</x:t>
  </x:si>
  <x:si>
    <x:t xml:space="preserve">29 Mpa</x:t>
  </x:si>
  <x:si>
    <x:t xml:space="preserve">p. 1: Tensile stress at break</x:t>
  </x:si>
  <x:si>
    <x:t xml:space="preserve">V001518</x:t>
  </x:si>
  <x:si>
    <x:t xml:space="preserve">18%</x:t>
  </x:si>
  <x:si>
    <x:t xml:space="preserve">p. 1: Elongation at break</x:t>
  </x:si>
  <x:si>
    <x:t xml:space="preserve">V001519</x:t>
  </x:si>
  <x:si>
    <x:t xml:space="preserve">3.5 GPa</x:t>
  </x:si>
  <x:si>
    <x:t xml:space="preserve">p. 1: Young’s Modulus</x:t>
  </x:si>
  <x:si>
    <x:t xml:space="preserve">V001520</x:t>
  </x:si>
  <x:si>
    <x:t xml:space="preserve">3.2 GPa</x:t>
  </x:si>
  <x:si>
    <x:t xml:space="preserve">V001521</x:t>
  </x:si>
  <x:si>
    <x:t xml:space="preserve">10 kJ/m²</x:t>
  </x:si>
  <x:si>
    <x:t xml:space="preserve">ISO 179-1</x:t>
  </x:si>
  <x:si>
    <x:t xml:space="preserve">V001522</x:t>
  </x:si>
  <x:si>
    <x:t xml:space="preserve">80 HRM</x:t>
  </x:si>
  <x:si>
    <x:t xml:space="preserve">Rockwell M</x:t>
  </x:si>
  <x:si>
    <x:t xml:space="preserve">p. 1: Rockwell Hardness</x:t>
  </x:si>
  <x:si>
    <x:t xml:space="preserve">No conversion between hardness scales.</x:t>
  </x:si>
  <x:si>
    <x:t xml:space="preserve">V001523</x:t>
  </x:si>
  <x:si>
    <x:t xml:space="preserve">Printed Specimen Conditions Printer: Open Source FDM/FFF Nozzle: 0.4mm Layer Height: 0.25mm Infill: 100%, +/- 45° Extrusion Temp: 275°C Bed Temp: 90°C Specimen Orientation: XY Flat</x:t>
  </x:si>
  <x:si>
    <x:t xml:space="preserve">V001524</x:t>
  </x:si>
  <x:si>
    <x:t xml:space="preserve">45</x:t>
  </x:si>
  <x:si>
    <x:t xml:space="preserve">V001525</x:t>
  </x:si>
  <x:si>
    <x:t xml:space="preserve">1755</x:t>
  </x:si>
  <x:si>
    <x:t xml:space="preserve">V001526</x:t>
  </x:si>
  <x:si>
    <x:t xml:space="preserve">24</x:t>
  </x:si>
  <x:si>
    <x:t xml:space="preserve">V001527</x:t>
  </x:si>
  <x:si>
    <x:t xml:space="preserve">V001528</x:t>
  </x:si>
  <x:si>
    <x:t xml:space="preserve">V001529</x:t>
  </x:si>
  <x:si>
    <x:t xml:space="preserve">ISO 180/A</x:t>
  </x:si>
  <x:si>
    <x:t xml:space="preserve">p. 1: Izod Impact Stregth</x:t>
  </x:si>
  <x:si>
    <x:t xml:space="preserve">Column-split error corrected. The TDS row reads "Izod Impact Stregth | ISO 180/A | kJ/M2 | 8": the previous transcription captured the "2" from the unit string "kJ/M2" as the value and dropped the real value 8. Corrected to 8 kJ/m2. Verified verbatim against the current TDS 2026-09-11.</x:t>
  </x:si>
  <x:si>
    <x:t xml:space="preserve">V001530</x:t>
  </x:si>
  <x:si>
    <x:t xml:space="preserve">V001532</x:t>
  </x:si>
  <x:si>
    <x:t xml:space="preserve">V001533</x:t>
  </x:si>
  <x:si>
    <x:t xml:space="preserve">105 R-scale</x:t>
  </x:si>
  <x:si>
    <x:t xml:space="preserve">V001534</x:t>
  </x:si>
  <x:si>
    <x:t xml:space="preserve">44 MPa</x:t>
  </x:si>
  <x:si>
    <x:t xml:space="preserve">p. 1: Tensile Strength at Yield</x:t>
  </x:si>
  <x:si>
    <x:t xml:space="preserve">V001535</x:t>
  </x:si>
  <x:si>
    <x:t xml:space="preserve">46 Mpa</x:t>
  </x:si>
  <x:si>
    <x:t xml:space="preserve">p. 1: Tensile Strength at Break</x:t>
  </x:si>
  <x:si>
    <x:t xml:space="preserve">V001536</x:t>
  </x:si>
  <x:si>
    <x:t xml:space="preserve">4.4 %</x:t>
  </x:si>
  <x:si>
    <x:t xml:space="preserve">V001537</x:t>
  </x:si>
  <x:si>
    <x:t xml:space="preserve">220%</x:t>
  </x:si>
  <x:si>
    <x:t xml:space="preserve">V001538</x:t>
  </x:si>
  <x:si>
    <x:t xml:space="preserve">60 Mpa</x:t>
  </x:si>
  <x:si>
    <x:t xml:space="preserve">V001539</x:t>
  </x:si>
  <x:si>
    <x:t xml:space="preserve">1600 Mpa</x:t>
  </x:si>
  <x:si>
    <x:t xml:space="preserve">V001540</x:t>
  </x:si>
  <x:si>
    <x:t xml:space="preserve">93°C KJ/m2</x:t>
  </x:si>
  <x:si>
    <x:t xml:space="preserve">p. 1: Izod Impact Strength Notched @ 23°C</x:t>
  </x:si>
  <x:si>
    <x:t xml:space="preserve">Unit does not match the property dimension; excluded from summaries pending source resolution.</x:t>
  </x:si>
  <x:si>
    <x:t xml:space="preserve">V001541</x:t>
  </x:si>
  <x:si>
    <x:t xml:space="preserve">p. 1: VICAT Softening Temperature</x:t>
  </x:si>
  <x:si>
    <x:t xml:space="preserve">V001542</x:t>
  </x:si>
  <x:si>
    <x:t xml:space="preserve">1.28 g/cm3</x:t>
  </x:si>
  <x:si>
    <x:t xml:space="preserve">V001543</x:t>
  </x:si>
  <x:si>
    <x:t xml:space="preserve">5,00%</x:t>
  </x:si>
  <x:si>
    <x:t xml:space="preserve">V001544</x:t>
  </x:si>
  <x:si>
    <x:t xml:space="preserve">70 MPa</x:t>
  </x:si>
  <x:si>
    <x:t xml:space="preserve">V001545</x:t>
  </x:si>
  <x:si>
    <x:t xml:space="preserve">V001546</x:t>
  </x:si>
  <x:si>
    <x:t xml:space="preserve">77°C</x:t>
  </x:si>
  <x:si>
    <x:t xml:space="preserve">•</x:t>
  </x:si>
  <x:si>
    <x:t xml:space="preserve">V001547</x:t>
  </x:si>
  <x:si>
    <x:t xml:space="preserve">Printed Specimen Conditions Printer: Open Source FDM/FFF Nozzle: 0.4mm Layer Height: 0.25mm Infill: 100%, +/- 45° Extrusion Temp: 275°C Bed Temp: 110°C Specimen Orientation: XY Flat</x:t>
  </x:si>
  <x:si>
    <x:t xml:space="preserve">V001548</x:t>
  </x:si>
  <x:si>
    <x:t xml:space="preserve">59</x:t>
  </x:si>
  <x:si>
    <x:t xml:space="preserve">V001549</x:t>
  </x:si>
  <x:si>
    <x:t xml:space="preserve">2200</x:t>
  </x:si>
  <x:si>
    <x:t xml:space="preserve">V001550</x:t>
  </x:si>
  <x:si>
    <x:t xml:space="preserve">V001551</x:t>
  </x:si>
  <x:si>
    <x:t xml:space="preserve">86</x:t>
  </x:si>
  <x:si>
    <x:t xml:space="preserve">V001552</x:t>
  </x:si>
  <x:si>
    <x:t xml:space="preserve">2370</x:t>
  </x:si>
  <x:si>
    <x:t xml:space="preserve">V001553</x:t>
  </x:si>
  <x:si>
    <x:t xml:space="preserve">137</x:t>
  </x:si>
  <x:si>
    <x:t xml:space="preserve">126</x:t>
  </x:si>
  <x:si>
    <x:t xml:space="preserve">V001555</x:t>
  </x:si>
  <x:si>
    <x:t xml:space="preserve">Printing temperature 260 °C Bed temperature 105 °C Shell 2 Top &amp; bottom layer 4 Infill 100% Environmental temperature 90˚C Cooling fan OFF The typical values presented in this data sheet are intended for reference and comparison purposes only. They should not be used for design specifications or quality control purpose</x:t>
  </x:si>
  <x:si>
    <x:t xml:space="preserve">V001556</x:t>
  </x:si>
  <x:si>
    <x:t xml:space="preserve">109 °C</x:t>
  </x:si>
  <x:si>
    <x:t xml:space="preserve">V001557</x:t>
  </x:si>
  <x:si>
    <x:t xml:space="preserve">V001558</x:t>
  </x:si>
  <x:si>
    <x:t xml:space="preserve">V001559</x:t>
  </x:si>
  <x:si>
    <x:t xml:space="preserve">135 °C</x:t>
  </x:si>
  <x:si>
    <x:t xml:space="preserve">V001560</x:t>
  </x:si>
  <x:si>
    <x:t xml:space="preserve">106.4 °C</x:t>
  </x:si>
  <x:si>
    <x:t xml:space="preserve">V001561</x:t>
  </x:si>
  <x:si>
    <x:t xml:space="preserve">111.7 °C</x:t>
  </x:si>
  <x:si>
    <x:t xml:space="preserve">V001562</x:t>
  </x:si>
  <x:si>
    <x:t xml:space="preserve">V001563</x:t>
  </x:si>
  <x:si>
    <x:t xml:space="preserve">1835 ± 65 MPa</x:t>
  </x:si>
  <x:si>
    <x:t xml:space="preserve">V001564</x:t>
  </x:si>
  <x:si>
    <x:t xml:space="preserve">1677 ± 94 MPa</x:t>
  </x:si>
  <x:si>
    <x:t xml:space="preserve">V001565</x:t>
  </x:si>
  <x:si>
    <x:t xml:space="preserve">39.9 ± 1.0 MPa</x:t>
  </x:si>
  <x:si>
    <x:t xml:space="preserve">V001566</x:t>
  </x:si>
  <x:si>
    <x:t xml:space="preserve">22.9 ± 1.2 MPa</x:t>
  </x:si>
  <x:si>
    <x:t xml:space="preserve">V001567</x:t>
  </x:si>
  <x:si>
    <x:t xml:space="preserve">4.2 ± 0.3 %</x:t>
  </x:si>
  <x:si>
    <x:t xml:space="preserve">V001568</x:t>
  </x:si>
  <x:si>
    <x:t xml:space="preserve">1.5 ± 0.1 %</x:t>
  </x:si>
  <x:si>
    <x:t xml:space="preserve">V001569</x:t>
  </x:si>
  <x:si>
    <x:t xml:space="preserve">2081 ± 106 MPa</x:t>
  </x:si>
  <x:si>
    <x:t xml:space="preserve">V001570</x:t>
  </x:si>
  <x:si>
    <x:t xml:space="preserve">V001571</x:t>
  </x:si>
  <x:si>
    <x:t xml:space="preserve">66.3 ± 0.9 MPa</x:t>
  </x:si>
  <x:si>
    <x:t xml:space="preserve">V001572</x:t>
  </x:si>
  <x:si>
    <x:t xml:space="preserve">V001573</x:t>
  </x:si>
  <x:si>
    <x:t xml:space="preserve">25.8 ± 1.3 kJ/m2</x:t>
  </x:si>
  <x:si>
    <x:t xml:space="preserve">V001574</x:t>
  </x:si>
  <x:si>
    <x:t xml:space="preserve">V001575</x:t>
  </x:si>
  <x:si>
    <x:t xml:space="preserve">1.17 g/cm3</x:t>
  </x:si>
  <x:si>
    <x:t xml:space="preserve">V001576</x:t>
  </x:si>
  <x:si>
    <x:t xml:space="preserve">35 kJ/m2</x:t>
  </x:si>
  <x:si>
    <x:t xml:space="preserve">ISO 180/4A</x:t>
  </x:si>
  <x:si>
    <x:t xml:space="preserve">p. 1: Notched Izod Impact Strength (23°C)</x:t>
  </x:si>
  <x:si>
    <x:t xml:space="preserve">V001577</x:t>
  </x:si>
  <x:si>
    <x:t xml:space="preserve">4%</x:t>
  </x:si>
  <x:si>
    <x:t xml:space="preserve">ISO 527-2/50</x:t>
  </x:si>
  <x:si>
    <x:t xml:space="preserve">p. 1: Tensile Strain (Yield)</x:t>
  </x:si>
  <x:si>
    <x:t xml:space="preserve">V001578</x:t>
  </x:si>
  <x:si>
    <x:t xml:space="preserve">&gt;50%</x:t>
  </x:si>
  <x:si>
    <x:t xml:space="preserve">p. 1: Tensile Strain (Break)</x:t>
  </x:si>
  <x:si>
    <x:t xml:space="preserve">V001579</x:t>
  </x:si>
  <x:si>
    <x:t xml:space="preserve">2850 MPa</x:t>
  </x:si>
  <x:si>
    <x:t xml:space="preserve">ISO 527-2/1</x:t>
  </x:si>
  <x:si>
    <x:t xml:space="preserve">V001580</x:t>
  </x:si>
  <x:si>
    <x:t xml:space="preserve">60 MPa</x:t>
  </x:si>
  <x:si>
    <x:t xml:space="preserve">p. 1: Tensile Stress (Yield)</x:t>
  </x:si>
  <x:si>
    <x:t xml:space="preserve">V001581</x:t>
  </x:si>
  <x:si>
    <x:t xml:space="preserve">110 MPa</x:t>
  </x:si>
  <x:si>
    <x:t xml:space="preserve">V001582</x:t>
  </x:si>
  <x:si>
    <x:t xml:space="preserve">104°C</x:t>
  </x:si>
  <x:si>
    <x:t xml:space="preserve">V001583</x:t>
  </x:si>
  <x:si>
    <x:t xml:space="preserve">Printing temperature 260 °C Bed temperature 110 °C Shell 2 Top &amp; bottom layer 4 Infill 100% Environmental temperature 100˚C Cooling fan OFF The typical values presented in this data sheet are intended for reference and comparison purposes only. They should not be used for design specifications or quality control purpos</x:t>
  </x:si>
  <x:si>
    <x:t xml:space="preserve">V001584</x:t>
  </x:si>
  <x:si>
    <x:t xml:space="preserve">V001585</x:t>
  </x:si>
  <x:si>
    <x:t xml:space="preserve">V001586</x:t>
  </x:si>
  <x:si>
    <x:t xml:space="preserve">V001587</x:t>
  </x:si>
  <x:si>
    <x:t xml:space="preserve">139 °C</x:t>
  </x:si>
  <x:si>
    <x:t xml:space="preserve">V001588</x:t>
  </x:si>
  <x:si>
    <x:t xml:space="preserve">90.8 °C</x:t>
  </x:si>
  <x:si>
    <x:t xml:space="preserve">107.4 °C</x:t>
  </x:si>
  <x:si>
    <x:t xml:space="preserve">V001590</x:t>
  </x:si>
  <x:si>
    <x:t xml:space="preserve">V001591</x:t>
  </x:si>
  <x:si>
    <x:t xml:space="preserve">1849 ± 103 MPa</x:t>
  </x:si>
  <x:si>
    <x:t xml:space="preserve">V001592</x:t>
  </x:si>
  <x:si>
    <x:t xml:space="preserve">1659 ± 66 MPa</x:t>
  </x:si>
  <x:si>
    <x:t xml:space="preserve">V001593</x:t>
  </x:si>
  <x:si>
    <x:t xml:space="preserve">43.2 ± 0.5 MPa</x:t>
  </x:si>
  <x:si>
    <x:t xml:space="preserve">V001594</x:t>
  </x:si>
  <x:si>
    <x:t xml:space="preserve">28.6 ± 0.4 MPa</x:t>
  </x:si>
  <x:si>
    <x:t xml:space="preserve">V001595</x:t>
  </x:si>
  <x:si>
    <x:t xml:space="preserve">4.6 ± 0.7 %</x:t>
  </x:si>
  <x:si>
    <x:t xml:space="preserve">V001596</x:t>
  </x:si>
  <x:si>
    <x:t xml:space="preserve">1.8 ± 0.3 %</x:t>
  </x:si>
  <x:si>
    <x:t xml:space="preserve">V001597</x:t>
  </x:si>
  <x:si>
    <x:t xml:space="preserve">1933 ± 83 MPa</x:t>
  </x:si>
  <x:si>
    <x:t xml:space="preserve">V001598</x:t>
  </x:si>
  <x:si>
    <x:t xml:space="preserve">V001599</x:t>
  </x:si>
  <x:si>
    <x:t xml:space="preserve">66.4 ± 0.3 MPa</x:t>
  </x:si>
  <x:si>
    <x:t xml:space="preserve">V001600</x:t>
  </x:si>
  <x:si>
    <x:t xml:space="preserve">V001601</x:t>
  </x:si>
  <x:si>
    <x:t xml:space="preserve">21.4 ± 0.3 kJ/m2</x:t>
  </x:si>
  <x:si>
    <x:t xml:space="preserve">V001602</x:t>
  </x:si>
  <x:si>
    <x:t xml:space="preserve">V001603</x:t>
  </x:si>
  <x:si>
    <x:t xml:space="preserve">1.71</x:t>
  </x:si>
  <x:si>
    <x:t xml:space="preserve">Printed Specimen Conditions Printer: Open Source FDM/FFF Nozzle: 0.4mm Layer Height: 0.25mm Infill: 100%, +/- 45° Extrusion Temp: 255-275°C Bed Temp: 70-110 °C Specimen Orientation: XY Flat</x:t>
  </x:si>
  <x:si>
    <x:t xml:space="preserve">V001604</x:t>
  </x:si>
  <x:si>
    <x:t xml:space="preserve">51</x:t>
  </x:si>
  <x:si>
    <x:t xml:space="preserve">V001605</x:t>
  </x:si>
  <x:si>
    <x:t xml:space="preserve">2450</x:t>
  </x:si>
  <x:si>
    <x:t xml:space="preserve">V001606</x:t>
  </x:si>
  <x:si>
    <x:t xml:space="preserve">25</x:t>
  </x:si>
  <x:si>
    <x:t xml:space="preserve">V001607</x:t>
  </x:si>
  <x:si>
    <x:t xml:space="preserve">V001608</x:t>
  </x:si>
  <x:si>
    <x:t xml:space="preserve">V001609</x:t>
  </x:si>
  <x:si>
    <x:t xml:space="preserve">170</x:t>
  </x:si>
  <x:si>
    <x:t xml:space="preserve">V001611</x:t>
  </x:si>
  <x:si>
    <x:t xml:space="preserve">1.30</x:t>
  </x:si>
  <x:si>
    <x:t xml:space="preserve">Printed Specimen Conditions Printer: Open Source FDM/FFF Nozzle: 0.4mm Layer Height: 0.25mm Infill: 100%, +/- 45° Extrusion Temp: 380-400°C Bed Temp: 130-140°C Specimen Orientation: XY Flat</x:t>
  </x:si>
  <x:si>
    <x:t xml:space="preserve">V001612</x:t>
  </x:si>
  <x:si>
    <x:t xml:space="preserve">V001613</x:t>
  </x:si>
  <x:si>
    <x:t xml:space="preserve">3720</x:t>
  </x:si>
  <x:si>
    <x:t xml:space="preserve">V001614</x:t>
  </x:si>
  <x:si>
    <x:t xml:space="preserve">28</x:t>
  </x:si>
  <x:si>
    <x:t xml:space="preserve">p. 1: Tensile Elongation</x:t>
  </x:si>
  <x:si>
    <x:t xml:space="preserve">V001615</x:t>
  </x:si>
  <x:si>
    <x:t xml:space="preserve">130</x:t>
  </x:si>
  <x:si>
    <x:t xml:space="preserve">V001616</x:t>
  </x:si>
  <x:si>
    <x:t xml:space="preserve">2700</x:t>
  </x:si>
  <x:si>
    <x:t xml:space="preserve">V001617</x:t>
  </x:si>
  <x:si>
    <x:t xml:space="preserve">V001619</x:t>
  </x:si>
  <x:si>
    <x:t xml:space="preserve">1.27</x:t>
  </x:si>
  <x:si>
    <x:t xml:space="preserve">Printed Specimen Conditions Printer: Gearbox™ HT2 Nozzle: 0.4mm Layer Height: 0.25mm Infill: 100%, +/- 45°, 3 Perimeter Walls Extrusion Temp: 350°C Chamber Temp: 140°C Specimen Orientation: XY Flat</x:t>
  </x:si>
  <x:si>
    <x:t xml:space="preserve">V001620</x:t>
  </x:si>
  <x:si>
    <x:t xml:space="preserve">V001621</x:t>
  </x:si>
  <x:si>
    <x:t xml:space="preserve">2750</x:t>
  </x:si>
  <x:si>
    <x:t xml:space="preserve">V001622</x:t>
  </x:si>
  <x:si>
    <x:t xml:space="preserve">5</x:t>
  </x:si>
  <x:si>
    <x:t xml:space="preserve">V001623</x:t>
  </x:si>
  <x:si>
    <x:t xml:space="preserve">95</x:t>
  </x:si>
  <x:si>
    <x:t xml:space="preserve">V001624</x:t>
  </x:si>
  <x:si>
    <x:t xml:space="preserve">2680</x:t>
  </x:si>
  <x:si>
    <x:t xml:space="preserve">V001625</x:t>
  </x:si>
  <x:si>
    <x:t xml:space="preserve">162</x:t>
  </x:si>
  <x:si>
    <x:t xml:space="preserve">V001627</x:t>
  </x:si>
  <x:si>
    <x:t xml:space="preserve">1.29</x:t>
  </x:si>
  <x:si>
    <x:t xml:space="preserve">Printed Specimen Conditions Printer: Gearbox™ HT2 Nozzle: 0.4mm Layer Height: 0.25mm Infill: 100%, +/- 45°, 3 Perimeter Walls Extrusion Temp: 370°C Chamber Temp: 160°C Specimen Orientation: XY Flat</x:t>
  </x:si>
  <x:si>
    <x:t xml:space="preserve">V001628</x:t>
  </x:si>
  <x:si>
    <x:t xml:space="preserve">V001629</x:t>
  </x:si>
  <x:si>
    <x:t xml:space="preserve">3200</x:t>
  </x:si>
  <x:si>
    <x:t xml:space="preserve">V001630</x:t>
  </x:si>
  <x:si>
    <x:t xml:space="preserve">10</x:t>
  </x:si>
  <x:si>
    <x:t xml:space="preserve">V001631</x:t>
  </x:si>
  <x:si>
    <x:t xml:space="preserve">134</x:t>
  </x:si>
  <x:si>
    <x:t xml:space="preserve">V001632</x:t>
  </x:si>
  <x:si>
    <x:t xml:space="preserve">2900</x:t>
  </x:si>
  <x:si>
    <x:t xml:space="preserve">V001633</x:t>
  </x:si>
  <x:si>
    <x:t xml:space="preserve">165</x:t>
  </x:si>
  <x:si>
    <x:t xml:space="preserve">V001634</x:t>
  </x:si>
  <x:si>
    <x:t xml:space="preserve">182</x:t>
  </x:si>
  <x:si>
    <x:t xml:space="preserve">V001635</x:t>
  </x:si>
  <x:si>
    <x:t xml:space="preserve">V001636</x:t>
  </x:si>
  <x:si>
    <x:t xml:space="preserve">V001637</x:t>
  </x:si>
  <x:si>
    <x:t xml:space="preserve">2500</x:t>
  </x:si>
  <x:si>
    <x:t xml:space="preserve">V001638</x:t>
  </x:si>
  <x:si>
    <x:t xml:space="preserve">V001639</x:t>
  </x:si>
  <x:si>
    <x:t xml:space="preserve">110</x:t>
  </x:si>
  <x:si>
    <x:t xml:space="preserve">V001640</x:t>
  </x:si>
  <x:si>
    <x:t xml:space="preserve">2510</x:t>
  </x:si>
  <x:si>
    <x:t xml:space="preserve">V001641</x:t>
  </x:si>
  <x:si>
    <x:t xml:space="preserve">217</x:t>
  </x:si>
  <x:si>
    <x:t xml:space="preserve">208</x:t>
  </x:si>
  <x:si>
    <x:t xml:space="preserve">V001643</x:t>
  </x:si>
  <x:si>
    <x:t xml:space="preserve">Printed Specimen Conditions Printer: Open Source FDM/FFF Nozzle: 0.4mm Layer Height: 0.25mm Infill: 100%, +/- 45° Extrusion Temp: 360-375°C Bed Temp: 120-140°C Specimen Orientation: XY Flat</x:t>
  </x:si>
  <x:si>
    <x:t xml:space="preserve">V001644</x:t>
  </x:si>
  <x:si>
    <x:t xml:space="preserve">V001645</x:t>
  </x:si>
  <x:si>
    <x:t xml:space="preserve">2100</x:t>
  </x:si>
  <x:si>
    <x:t xml:space="preserve">V001646</x:t>
  </x:si>
  <x:si>
    <x:t xml:space="preserve">V001647</x:t>
  </x:si>
  <x:si>
    <x:t xml:space="preserve">87</x:t>
  </x:si>
  <x:si>
    <x:t xml:space="preserve">V001648</x:t>
  </x:si>
  <x:si>
    <x:t xml:space="preserve">V001649</x:t>
  </x:si>
  <x:si>
    <x:t xml:space="preserve">187</x:t>
  </x:si>
  <x:si>
    <x:t xml:space="preserve">172</x:t>
  </x:si>
  <x:si>
    <x:t xml:space="preserve">1.37</x:t>
  </x:si>
  <x:si>
    <x:t xml:space="preserve">V001652</x:t>
  </x:si>
  <x:si>
    <x:t xml:space="preserve">p. 1: Tensile Strength, Yield</x:t>
  </x:si>
  <x:si>
    <x:t xml:space="preserve">V001653</x:t>
  </x:si>
  <x:si>
    <x:t xml:space="preserve">2640</x:t>
  </x:si>
  <x:si>
    <x:t xml:space="preserve">V001654</x:t>
  </x:si>
  <x:si>
    <x:t xml:space="preserve">6.9</x:t>
  </x:si>
  <x:si>
    <x:t xml:space="preserve">p. 1: Tensile Elongation, Yield</x:t>
  </x:si>
  <x:si>
    <x:t xml:space="preserve">V001655</x:t>
  </x:si>
  <x:si>
    <x:t xml:space="preserve">V001656</x:t>
  </x:si>
  <x:si>
    <x:t xml:space="preserve">V001657</x:t>
  </x:si>
  <x:si>
    <x:t xml:space="preserve">225</x:t>
  </x:si>
  <x:si>
    <x:t xml:space="preserve">V001658</x:t>
  </x:si>
  <x:si>
    <x:t xml:space="preserve">205</x:t>
  </x:si>
  <x:si>
    <x:t xml:space="preserve">p. 1: Deflection Temperature at 1.80</x:t>
  </x:si>
  <x:si>
    <x:t xml:space="preserve">V001659</x:t>
  </x:si>
  <x:si>
    <x:t xml:space="preserve">Printed Specimen Conditions Printer: Open Source FDM/FFF Nozzle: 0.4mm Layer Height: 0.25mm Infill: 100%, +/- 45° Extrusion Temp: 390-410°C Bed Temp: 130-150°C Specimen Orientation: XY Flat</x:t>
  </x:si>
  <x:si>
    <x:t xml:space="preserve">V001660</x:t>
  </x:si>
  <x:si>
    <x:t xml:space="preserve">V001661</x:t>
  </x:si>
  <x:si>
    <x:t xml:space="preserve">2310</x:t>
  </x:si>
  <x:si>
    <x:t xml:space="preserve">V001662</x:t>
  </x:si>
  <x:si>
    <x:t xml:space="preserve">V001663</x:t>
  </x:si>
  <x:si>
    <x:t xml:space="preserve">V001664</x:t>
  </x:si>
  <x:si>
    <x:t xml:space="preserve">2215</x:t>
  </x:si>
  <x:si>
    <x:t xml:space="preserve">V001665</x:t>
  </x:si>
  <x:si>
    <x:t xml:space="preserve">230</x:t>
  </x:si>
  <x:si>
    <x:t xml:space="preserve">190</x:t>
  </x:si>
  <x:si>
    <x:t xml:space="preserve">V001667</x:t>
  </x:si>
  <x:si>
    <x:t xml:space="preserve">V001668</x:t>
  </x:si>
  <x:si>
    <x:t xml:space="preserve">24 h ASTM D570</x:t>
  </x:si>
  <x:si>
    <x:t xml:space="preserve">p. 1: Water Absorption 24 h</x:t>
  </x:si>
  <x:si>
    <x:t xml:space="preserve">V001669</x:t>
  </x:si>
  <x:si>
    <x:t xml:space="preserve">2340 Mpa</x:t>
  </x:si>
  <x:si>
    <x:t xml:space="preserve">ASTM D638</x:t>
  </x:si>
  <x:si>
    <x:t xml:space="preserve">p. 1: Tensile modulus 3.18 mm</x:t>
  </x:si>
  <x:si>
    <x:t xml:space="preserve">V001670</x:t>
  </x:si>
  <x:si>
    <x:t xml:space="preserve">69.6 Mpa</x:t>
  </x:si>
  <x:si>
    <x:t xml:space="preserve">p. 1: Tensile Strength 3.18 mm</x:t>
  </x:si>
  <x:si>
    <x:t xml:space="preserve">V001671</x:t>
  </x:si>
  <x:si>
    <x:t xml:space="preserve">2410 Mpa</x:t>
  </x:si>
  <x:si>
    <x:t xml:space="preserve">p. 1: Flexural Modulus 3.18 mm</x:t>
  </x:si>
  <x:si>
    <x:t xml:space="preserve">V001672</x:t>
  </x:si>
  <x:si>
    <x:t xml:space="preserve">91.0 Mpa</x:t>
  </x:si>
  <x:si>
    <x:t xml:space="preserve">p. 1: Flexural Strength 50% Strain, 3.18</x:t>
  </x:si>
  <x:si>
    <x:t xml:space="preserve">V001673</x:t>
  </x:si>
  <x:si>
    <x:t xml:space="preserve">690 J/m</x:t>
  </x:si>
  <x:si>
    <x:t xml:space="preserve">V001674</x:t>
  </x:si>
  <x:si>
    <x:t xml:space="preserve">207ºC</x:t>
  </x:si>
  <x:si>
    <x:t xml:space="preserve">V001675</x:t>
  </x:si>
  <x:si>
    <x:t xml:space="preserve">220ºC</x:t>
  </x:si>
  <x:si>
    <x:t xml:space="preserve">Manually reviewed source table; decimal comma normalized. Raw text uses comma decimal separator.</x:t>
  </x:si>
  <x:si>
    <x:t xml:space="preserve">V001677</x:t>
  </x:si>
  <x:si>
    <x:t xml:space="preserve">52.4</x:t>
  </x:si>
  <x:si>
    <x:t xml:space="preserve">ISO 527; 50 mm/min</x:t>
  </x:si>
  <x:si>
    <x:t xml:space="preserve">p. 1: Tensile yield strength</x:t>
  </x:si>
  <x:si>
    <x:t xml:space="preserve">V001678</x:t>
  </x:si>
  <x:si>
    <x:t xml:space="preserve">37.7</x:t>
  </x:si>
  <x:si>
    <x:t xml:space="preserve">p. 1: Tensile break strength</x:t>
  </x:si>
  <x:si>
    <x:t xml:space="preserve">V001679</x:t>
  </x:si>
  <x:si>
    <x:t xml:space="preserve">8.0</x:t>
  </x:si>
  <x:si>
    <x:t xml:space="preserve">V001680</x:t>
  </x:si>
  <x:si>
    <x:t xml:space="preserve">ISO 527; 0.15 mm/min</x:t>
  </x:si>
  <x:si>
    <x:t xml:space="preserve">p. 1: Tensile modulus</x:t>
  </x:si>
  <x:si>
    <x:t xml:space="preserve">V001681</x:t>
  </x:si>
  <x:si>
    <x:t xml:space="preserve">105.9</x:t>
  </x:si>
  <x:si>
    <x:t xml:space="preserve">25°C</x:t>
  </x:si>
  <x:si>
    <x:t xml:space="preserve">ISO 179; unnotched</x:t>
  </x:si>
  <x:si>
    <x:t xml:space="preserve">p. 1: Charpy strength unnotched</x:t>
  </x:si>
  <x:si>
    <x:t xml:space="preserve">V001682</x:t>
  </x:si>
  <x:si>
    <x:t xml:space="preserve">77</x:t>
  </x:si>
  <x:si>
    <x:t xml:space="preserve">ISO 7619</x:t>
  </x:si>
  <x:si>
    <x:t xml:space="preserve">p. 1: Hardness</x:t>
  </x:si>
  <x:si>
    <x:t xml:space="preserve">Manually reviewed source table; decimal comma normalized. Raw text uses comma decimal separator. No conversion between hardness scales.</x:t>
  </x:si>
  <x:si>
    <x:t xml:space="preserve">0.905</x:t>
  </x:si>
  <x:si>
    <x:t xml:space="preserve">Manually reviewed source table.</x:t>
  </x:si>
  <x:si>
    <x:t xml:space="preserve">V001684</x:t>
  </x:si>
  <x:si>
    <x:t xml:space="preserve">p. 1: Melting temperature</x:t>
  </x:si>
  <x:si>
    <x:t xml:space="preserve">V001685</x:t>
  </x:si>
  <x:si>
    <x:t xml:space="preserve">14</x:t>
  </x:si>
  <x:si>
    <x:t xml:space="preserve">ASTM D1708</x:t>
  </x:si>
  <x:si>
    <x:t xml:space="preserve">V001686</x:t>
  </x:si>
  <x:si>
    <x:t xml:space="preserve">p. 1: Elongation at yield</x:t>
  </x:si>
  <x:si>
    <x:t xml:space="preserve">V001687</x:t>
  </x:si>
  <x:si>
    <x:t xml:space="preserve">V001688</x:t>
  </x:si>
  <x:si>
    <x:t xml:space="preserve">&gt;700</x:t>
  </x:si>
  <x:si>
    <x:t xml:space="preserve">1150</x:t>
  </x:si>
  <x:si>
    <x:t xml:space="preserve">ISO 1183-1</x:t>
  </x:si>
  <x:si>
    <x:t xml:space="preserve">V001691</x:t>
  </x:si>
  <x:si>
    <x:t xml:space="preserve">-35</x:t>
  </x:si>
  <x:si>
    <x:t xml:space="preserve">ISO 11357-2</x:t>
  </x:si>
  <x:si>
    <x:t xml:space="preserve">p. 2: Glass transition temperature</x:t>
  </x:si>
  <x:si>
    <x:t xml:space="preserve">V001692</x:t>
  </x:si>
  <x:si>
    <x:t xml:space="preserve">V001693</x:t>
  </x:si>
  <x:si>
    <x:t xml:space="preserve">180</x:t>
  </x:si>
  <x:si>
    <x:t xml:space="preserve">ISO 11357-3</x:t>
  </x:si>
  <x:si>
    <x:t xml:space="preserve">p. 2: Melting temperature</x:t>
  </x:si>
  <x:si>
    <x:t xml:space="preserve">V001694</x:t>
  </x:si>
  <x:si>
    <x:t xml:space="preserve">1.10</x:t>
  </x:si>
  <x:si>
    <x:t xml:space="preserve">Prusa Polymers</x:t>
  </x:si>
  <x:si>
    <x:t xml:space="preserve">V001696</x:t>
  </x:si>
  <x:si>
    <x:t xml:space="preserve">0.18</x:t>
  </x:si>
  <x:si>
    <x:t xml:space="preserve">24 h at 24°C, 22% RH</x:t>
  </x:si>
  <x:si>
    <x:t xml:space="preserve">p. 2: Water absorption</x:t>
  </x:si>
  <x:si>
    <x:t xml:space="preserve">V001697</x:t>
  </x:si>
  <x:si>
    <x:t xml:space="preserve">0.35</x:t>
  </x:si>
  <x:si>
    <x:t xml:space="preserve">7 days at 24°C, 22% RH</x:t>
  </x:si>
  <x:si>
    <x:t xml:space="preserve">63</x:t>
  </x:si>
  <x:si>
    <x:t xml:space="preserve">ISO 75; 0.45 MPa</x:t>
  </x:si>
  <x:si>
    <x:t xml:space="preserve">p. 2: HDT</x:t>
  </x:si>
  <x:si>
    <x:t xml:space="preserve">V001699</x:t>
  </x:si>
  <x:si>
    <x:t xml:space="preserve">ISO 75; 1.80 MPa</x:t>
  </x:si>
  <x:si>
    <x:t xml:space="preserve">V001700</x:t>
  </x:si>
  <x:si>
    <x:t xml:space="preserve">57 ± 1</x:t>
  </x:si>
  <x:si>
    <x:t xml:space="preserve">Filament</x:t>
  </x:si>
  <x:si>
    <x:t xml:space="preserve">p. 2: Tensile yield strength</x:t>
  </x:si>
  <x:si>
    <x:t xml:space="preserve">V001701</x:t>
  </x:si>
  <x:si>
    <x:t xml:space="preserve">p. 2: Hardness</x:t>
  </x:si>
  <x:si>
    <x:t xml:space="preserve">Manually reviewed source table. No conversion between hardness scales.</x:t>
  </x:si>
  <x:si>
    <x:t xml:space="preserve">V001702</x:t>
  </x:si>
  <x:si>
    <x:t xml:space="preserve">Interlayer adhesion strength</x:t>
  </x:si>
  <x:si>
    <x:t xml:space="preserve">9 ± 1</x:t>
  </x:si>
  <x:si>
    <x:t xml:space="preserve">p. 2: Interlayer adhesion strength</x:t>
  </x:si>
  <x:si>
    <x:t xml:space="preserve">V001703</x:t>
  </x:si>
  <x:si>
    <x:t xml:space="preserve">50 ± 5</x:t>
  </x:si>
  <x:si>
    <x:t xml:space="preserve">Horizontal (source label)</x:t>
  </x:si>
  <x:si>
    <x:t xml:space="preserve">ISO 527-1</x:t>
  </x:si>
  <x:si>
    <x:t xml:space="preserve">Prusa i3 MK3S; PrusaSlicer 2.2.0; 0.20 mm FAST; top/bottom 0; 2 perimeters; 100% rectilinear; 200 mm/s; nozzle215°C, bed75°C; extrusion multiplier1.05; print cooling off. Filament dried60°C for8h before printing.</x:t>
  </x:si>
  <x:si>
    <x:t xml:space="preserve">p. 2: Tensile yield strength </x:t>
  </x:si>
  <x:si>
    <x:t xml:space="preserve">V001704</x:t>
  </x:si>
  <x:si>
    <x:t xml:space="preserve">49 ± 5</x:t>
  </x:si>
  <x:si>
    <x:t xml:space="preserve">Vertical XZ (source label)</x:t>
  </x:si>
  <x:si>
    <x:t xml:space="preserve">V001705</x:t>
  </x:si>
  <x:si>
    <x:t xml:space="preserve">1.7 ± 0.1</x:t>
  </x:si>
  <x:si>
    <x:t xml:space="preserve">p. 2: Tensile modulus </x:t>
  </x:si>
  <x:si>
    <x:t xml:space="preserve">V001706</x:t>
  </x:si>
  <x:si>
    <x:t xml:space="preserve">V001707</x:t>
  </x:si>
  <x:si>
    <x:t xml:space="preserve">4.6 ± 0.7</x:t>
  </x:si>
  <x:si>
    <x:t xml:space="preserve">p. 2: Elongation at yield </x:t>
  </x:si>
  <x:si>
    <x:t xml:space="preserve">V001708</x:t>
  </x:si>
  <x:si>
    <x:t xml:space="preserve">4.4 ± 0.7</x:t>
  </x:si>
  <x:si>
    <x:t xml:space="preserve">V001709</x:t>
  </x:si>
  <x:si>
    <x:t xml:space="preserve">72 ± 1</x:t>
  </x:si>
  <x:si>
    <x:t xml:space="preserve">p. 2: Flexural strength </x:t>
  </x:si>
  <x:si>
    <x:t xml:space="preserve">V001710</x:t>
  </x:si>
  <x:si>
    <x:t xml:space="preserve">73 ± 3</x:t>
  </x:si>
  <x:si>
    <x:t xml:space="preserve">V001711</x:t>
  </x:si>
  <x:si>
    <x:t xml:space="preserve">2.2 ± 0.1</x:t>
  </x:si>
  <x:si>
    <x:t xml:space="preserve">p. 2: Flexural modulus </x:t>
  </x:si>
  <x:si>
    <x:t xml:space="preserve">V001712</x:t>
  </x:si>
  <x:si>
    <x:t xml:space="preserve">2.3 ± 0.1</x:t>
  </x:si>
  <x:si>
    <x:t xml:space="preserve">V001713</x:t>
  </x:si>
  <x:si>
    <x:t xml:space="preserve">55 ± 7</x:t>
  </x:si>
  <x:si>
    <x:t xml:space="preserve">ISO 179-1; unnotched; edgewise</x:t>
  </x:si>
  <x:si>
    <x:t xml:space="preserve">p. 2: Charpy strength unnotched</x:t>
  </x:si>
  <x:si>
    <x:t xml:space="preserve">V001714</x:t>
  </x:si>
  <x:si>
    <x:t xml:space="preserve">59 ± 12</x:t>
  </x:si>
  <x:si>
    <x:t xml:space="preserve">V001715</x:t>
  </x:si>
  <x:si>
    <x:t xml:space="preserve">7 ± 1</x:t>
  </x:si>
  <x:si>
    <x:t xml:space="preserve">ISO 179-1; notched; edgewise</x:t>
  </x:si>
  <x:si>
    <x:t xml:space="preserve">p. 2: Charpy strength notched</x:t>
  </x:si>
  <x:si>
    <x:t xml:space="preserve">V001716</x:t>
  </x:si>
  <x:si>
    <x:t xml:space="preserve">10 ± 1</x:t>
  </x:si>
  <x:si>
    <x:t xml:space="preserve">V001717</x:t>
  </x:si>
  <x:si>
    <x:t xml:space="preserve">2176</x:t>
  </x:si>
  <x:si>
    <x:t xml:space="preserve">p. 1: Tensile modulus </x:t>
  </x:si>
  <x:si>
    <x:t xml:space="preserve">V001718</x:t>
  </x:si>
  <x:si>
    <x:t xml:space="preserve">2555</x:t>
  </x:si>
  <x:si>
    <x:t xml:space="preserve">XZ</x:t>
  </x:si>
  <x:si>
    <x:t xml:space="preserve">V001719</x:t>
  </x:si>
  <x:si>
    <x:t xml:space="preserve">2439</x:t>
  </x:si>
  <x:si>
    <x:t xml:space="preserve">ZX</x:t>
  </x:si>
  <x:si>
    <x:t xml:space="preserve">V001720</x:t>
  </x:si>
  <x:si>
    <x:t xml:space="preserve">62</x:t>
  </x:si>
  <x:si>
    <x:t xml:space="preserve">ASTM D638; Type I; 5 mm/min</x:t>
  </x:si>
  <x:si>
    <x:t xml:space="preserve">p. 1: Tensile break strength </x:t>
  </x:si>
  <x:si>
    <x:t xml:space="preserve">V001721</x:t>
  </x:si>
  <x:si>
    <x:t xml:space="preserve">V001722</x:t>
  </x:si>
  <x:si>
    <x:t xml:space="preserve">V001723</x:t>
  </x:si>
  <x:si>
    <x:t xml:space="preserve">5.1</x:t>
  </x:si>
  <x:si>
    <x:t xml:space="preserve">p. 1: Elongation at break </x:t>
  </x:si>
  <x:si>
    <x:t xml:space="preserve">V001724</x:t>
  </x:si>
  <x:si>
    <x:t xml:space="preserve">5.8</x:t>
  </x:si>
  <x:si>
    <x:t xml:space="preserve">V001725</x:t>
  </x:si>
  <x:si>
    <x:t xml:space="preserve">2.3</x:t>
  </x:si>
  <x:si>
    <x:t xml:space="preserve">V001726</x:t>
  </x:si>
  <x:si>
    <x:t xml:space="preserve">2126</x:t>
  </x:si>
  <x:si>
    <x:t xml:space="preserve">ASTM D790; 1.3 mm/min</x:t>
  </x:si>
  <x:si>
    <x:t xml:space="preserve">p. 1: Flexural modulus </x:t>
  </x:si>
  <x:si>
    <x:t xml:space="preserve">V001727</x:t>
  </x:si>
  <x:si>
    <x:t xml:space="preserve">2550</x:t>
  </x:si>
  <x:si>
    <x:t xml:space="preserve">V001728</x:t>
  </x:si>
  <x:si>
    <x:t xml:space="preserve">2070</x:t>
  </x:si>
  <x:si>
    <x:t xml:space="preserve">V001729</x:t>
  </x:si>
  <x:si>
    <x:t xml:space="preserve">104</x:t>
  </x:si>
  <x:si>
    <x:t xml:space="preserve">ASTM D256</x:t>
  </x:si>
  <x:si>
    <x:t xml:space="preserve">p. 1: Izod strength notched</x:t>
  </x:si>
  <x:si>
    <x:t xml:space="preserve">V001730</x:t>
  </x:si>
  <x:si>
    <x:t xml:space="preserve">V001731</x:t>
  </x:si>
  <x:si>
    <x:t xml:space="preserve">33</x:t>
  </x:si>
  <x:si>
    <x:t xml:space="preserve">V001732</x:t>
  </x:si>
  <x:si>
    <x:t xml:space="preserve">763</x:t>
  </x:si>
  <x:si>
    <x:t xml:space="preserve">p. 2: Izod strength unnotched</x:t>
  </x:si>
  <x:si>
    <x:t xml:space="preserve">V001733</x:t>
  </x:si>
  <x:si>
    <x:t xml:space="preserve">1003</x:t>
  </x:si>
  <x:si>
    <x:t xml:space="preserve">V001734</x:t>
  </x:si>
  <x:si>
    <x:t xml:space="preserve">131</x:t>
  </x:si>
  <x:si>
    <x:t xml:space="preserve">V001735</x:t>
  </x:si>
  <x:si>
    <x:t xml:space="preserve">175</x:t>
  </x:si>
  <x:si>
    <x:t xml:space="preserve">Unannealed</x:t>
  </x:si>
  <x:si>
    <x:t xml:space="preserve">ASTM D648; 1.82 MPa; 3.2 mm; unannealed</x:t>
  </x:si>
  <x:si>
    <x:t xml:space="preserve">p. 2: HDT </x:t>
  </x:si>
  <x:si>
    <x:t xml:space="preserve">V001736</x:t>
  </x:si>
  <x:si>
    <x:t xml:space="preserve">V001737</x:t>
  </x:si>
  <x:si>
    <x:t xml:space="preserve">V001738</x:t>
  </x:si>
  <x:si>
    <x:t xml:space="preserve">1.275</x:t>
  </x:si>
  <x:si>
    <x:t xml:space="preserve">V001739</x:t>
  </x:si>
  <x:si>
    <x:t xml:space="preserve">V001740</x:t>
  </x:si>
  <x:si>
    <x:t xml:space="preserve">V001741</x:t>
  </x:si>
  <x:si>
    <x:t xml:space="preserve">ISO 178; yield</x:t>
  </x:si>
  <x:si>
    <x:t xml:space="preserve">p. 1: Flexural strength</x:t>
  </x:si>
  <x:si>
    <x:t xml:space="preserve">V001742</x:t>
  </x:si>
  <x:si>
    <x:t xml:space="preserve">4.2</x:t>
  </x:si>
  <x:si>
    <x:t xml:space="preserve">V001743</x:t>
  </x:si>
  <x:si>
    <x:t xml:space="preserve">Compression strength</x:t>
  </x:si>
  <x:si>
    <x:t xml:space="preserve">125</x:t>
  </x:si>
  <x:si>
    <x:t xml:space="preserve">ISO 604</x:t>
  </x:si>
  <x:si>
    <x:t xml:space="preserve">p. 1: Compression strength</x:t>
  </x:si>
  <x:si>
    <x:t xml:space="preserve">V001744</x:t>
  </x:si>
  <x:si>
    <x:t xml:space="preserve">ISO 179/1eA</x:t>
  </x:si>
  <x:si>
    <x:t xml:space="preserve">p. 1: Charpy strength notched</x:t>
  </x:si>
  <x:si>
    <x:t xml:space="preserve">V001745</x:t>
  </x:si>
  <x:si>
    <x:t xml:space="preserve">V001746</x:t>
  </x:si>
  <x:si>
    <x:t xml:space="preserve">343</x:t>
  </x:si>
  <x:si>
    <x:t xml:space="preserve">V001747</x:t>
  </x:si>
  <x:si>
    <x:t xml:space="preserve">ISO 11357; onset</x:t>
  </x:si>
  <x:si>
    <x:t xml:space="preserve">p. 1: Glass transition temperature</x:t>
  </x:si>
  <x:si>
    <x:t xml:space="preserve">V001748</x:t>
  </x:si>
  <x:si>
    <x:t xml:space="preserve">Coefficient of thermal expansion</x:t>
  </x:si>
  <x:si>
    <x:t xml:space="preserve">ppm/K</x:t>
  </x:si>
  <x:si>
    <x:t xml:space="preserve">µm/m/K</x:t>
  </x:si>
  <x:si>
    <x:t xml:space="preserve">Along flow</x:t>
  </x:si>
  <x:si>
    <x:t xml:space="preserve">ISO 11359</x:t>
  </x:si>
  <x:si>
    <x:t xml:space="preserve">p. 1: Coefficient of thermal expansion</x:t>
  </x:si>
  <x:si>
    <x:t xml:space="preserve">V001749</x:t>
  </x:si>
  <x:si>
    <x:t xml:space="preserve">152</x:t>
  </x:si>
  <x:si>
    <x:t xml:space="preserve">ISO 75-f; 1.8 MPa</x:t>
  </x:si>
  <x:si>
    <x:t xml:space="preserve">p. 1: HDT</x:t>
  </x:si>
  <x:si>
    <x:t xml:space="preserve">V001750</x:t>
  </x:si>
  <x:si>
    <x:t xml:space="preserve">ISO 1183; crystalline</x:t>
  </x:si>
  <x:si>
    <x:t xml:space="preserve">V001751</x:t>
  </x:si>
  <x:si>
    <x:t xml:space="preserve">ISO 868; saturation</x:t>
  </x:si>
  <x:si>
    <x:t xml:space="preserve">V001752</x:t>
  </x:si>
  <x:si>
    <x:t xml:space="preserve">0.40</x:t>
  </x:si>
  <x:si>
    <x:t xml:space="preserve">ISO 62-1; immersion</x:t>
  </x:si>
  <x:si>
    <x:t xml:space="preserve">1.34</x:t>
  </x:si>
  <x:si>
    <x:t xml:space="preserve">Visually transcribed scanned TDS. Decimal comma normalized.</x:t>
  </x:si>
  <x:si>
    <x:t xml:space="preserve">V001754</x:t>
  </x:si>
  <x:si>
    <x:t xml:space="preserve">ISO 179-1, Charpy notched, 23°C</x:t>
  </x:si>
  <x:si>
    <x:t xml:space="preserve">V001755</x:t>
  </x:si>
  <x:si>
    <x:t xml:space="preserve">59.4</x:t>
  </x:si>
  <x:si>
    <x:t xml:space="preserve">V001756</x:t>
  </x:si>
  <x:si>
    <x:t xml:space="preserve">54.3</x:t>
  </x:si>
  <x:si>
    <x:t xml:space="preserve">V001757</x:t>
  </x:si>
  <x:si>
    <x:t xml:space="preserve">2564</x:t>
  </x:si>
  <x:si>
    <x:t xml:space="preserve">V001758</x:t>
  </x:si>
  <x:si>
    <x:t xml:space="preserve">2.9</x:t>
  </x:si>
  <x:si>
    <x:t xml:space="preserve">V001759</x:t>
  </x:si>
  <x:si>
    <x:t xml:space="preserve">5.2</x:t>
  </x:si>
  <x:si>
    <x:t xml:space="preserve">V001760</x:t>
  </x:si>
  <x:si>
    <x:t xml:space="preserve">87.5</x:t>
  </x:si>
  <x:si>
    <x:t xml:space="preserve">V001761</x:t>
  </x:si>
  <x:si>
    <x:t xml:space="preserve">2621</x:t>
  </x:si>
  <x:si>
    <x:t xml:space="preserve">V001762</x:t>
  </x:si>
  <x:si>
    <x:t xml:space="preserve">65.7</x:t>
  </x:si>
  <x:si>
    <x:t xml:space="preserve">ISO 75-2, HDT A</x:t>
  </x:si>
  <x:si>
    <x:t xml:space="preserve">V001763</x:t>
  </x:si>
  <x:si>
    <x:t xml:space="preserve">65.9</x:t>
  </x:si>
  <x:si>
    <x:t xml:space="preserve">p. 1: Vicat softening temperature</x:t>
  </x:si>
  <x:si>
    <x:t xml:space="preserve">V001764</x:t>
  </x:si>
  <x:si>
    <x:t xml:space="preserve">DSC 10°C/min</x:t>
  </x:si>
  <x:si>
    <x:t xml:space="preserve">V001765</x:t>
  </x:si>
  <x:si>
    <x:t xml:space="preserve">Fatigue life</x:t>
  </x:si>
  <x:si>
    <x:t xml:space="preserve">308</x:t>
  </x:si>
  <x:si>
    <x:t xml:space="preserve">cycles</x:t>
  </x:si>
  <x:si>
    <x:t xml:space="preserve">Study staircase method; run-out 1,000,000 cycles</x:t>
  </x:si>
  <x:si>
    <x:t xml:space="preserve">Stratasys Fortus 450; XY; 0.254 mm layer; 100% infill; ±45° raster; nozzle 250°C, bed 100°C; ASTM D638-03 specimen ~5.2 mm thick; sinusoidal tension, 10 Hz, R=0.05; sigma_max=28.63 MPa, sigma_min=1.43 MPa, amplitude=13.6 MPa.</x:t>
  </x:si>
  <x:si>
    <x:t xml:space="preserve">p. 5: Fatigue table specimen 1</x:t>
  </x:si>
  <x:si>
    <x:t xml:space="preserve">Run-out is not proof of infinite life; specimen-specific result, not a design allowable.</x:t>
  </x:si>
  <x:si>
    <x:t xml:space="preserve">V001766</x:t>
  </x:si>
  <x:si>
    <x:t xml:space="preserve">1519</x:t>
  </x:si>
  <x:si>
    <x:t xml:space="preserve">Stratasys Fortus 450; XY; 0.254 mm layer; 100% infill; ±45° raster; nozzle 250°C, bed 100°C; ASTM D638-03 specimen ~5.2 mm thick; sinusoidal tension, 10 Hz, R=0.05; sigma_max=21.89 MPa, sigma_min=1.09 MPa, amplitude=10.4 MPa.</x:t>
  </x:si>
  <x:si>
    <x:t xml:space="preserve">p. 5: Fatigue table specimen 2</x:t>
  </x:si>
  <x:si>
    <x:t xml:space="preserve">V001767</x:t>
  </x:si>
  <x:si>
    <x:t xml:space="preserve">123,460</x:t>
  </x:si>
  <x:si>
    <x:t xml:space="preserve">Stratasys Fortus 450; XY; 0.254 mm layer; 100% infill; ±45° raster; nozzle 250°C, bed 100°C; ASTM D638-03 specimen ~5.2 mm thick; sinusoidal tension, 10 Hz, R=0.05; sigma_max=10.11 MPa, sigma_min=0.51 MPa, amplitude=4.8 MPa.</x:t>
  </x:si>
  <x:si>
    <x:t xml:space="preserve">p. 5: Fatigue table specimen 3</x:t>
  </x:si>
  <x:si>
    <x:t xml:space="preserve">V001768</x:t>
  </x:si>
  <x:si>
    <x:t xml:space="preserve">1,000,000</x:t>
  </x:si>
  <x:si>
    <x:t xml:space="preserve">Stratasys Fortus 450; XY; 0.254 mm layer; 100% infill; ±45° raster; nozzle 250°C, bed 100°C; ASTM D638-03 specimen ~5.2 mm thick; sinusoidal tension, 10 Hz, R=0.05; sigma_max=6.74 MPa, sigma_min=0.34 MPa, amplitude=3.2 MPa.</x:t>
  </x:si>
  <x:si>
    <x:t xml:space="preserve">p. 5: Fatigue table specimen 4</x:t>
  </x:si>
  <x:si>
    <x:t xml:space="preserve">V001769</x:t>
  </x:si>
  <x:si>
    <x:t xml:space="preserve">Stratasys Fortus 450; XY; 0.254 mm layer; 100% infill; ±45° raster; nozzle 250°C, bed 100°C; ASTM D638-03 specimen ~5.2 mm thick; sinusoidal tension, 10 Hz, R=0.05; sigma_max=8.42 MPa, sigma_min=0.42 MPa, amplitude=4 MPa.</x:t>
  </x:si>
  <x:si>
    <x:t xml:space="preserve">p. 5: Fatigue table specimen 5</x:t>
  </x:si>
  <x:si>
    <x:t xml:space="preserve">V001770</x:t>
  </x:si>
  <x:si>
    <x:t xml:space="preserve">29,658</x:t>
  </x:si>
  <x:si>
    <x:t xml:space="preserve">Stratasys Fortus 450; XY; 0.254 mm layer; 100% infill; ±45° raster; nozzle 250°C, bed 100°C; ASTM D638-03 specimen ~5.2 mm thick; sinusoidal tension, 10 Hz, R=0.05; sigma_max=13.47 MPa, sigma_min=0.67 MPa, amplitude=6.4 MPa.</x:t>
  </x:si>
  <x:si>
    <x:t xml:space="preserve">p. 5: Fatigue table specimen 6</x:t>
  </x:si>
  <x:si>
    <x:t xml:space="preserve">V001771</x:t>
  </x:si>
  <x:si>
    <x:t xml:space="preserve">320,571</x:t>
  </x:si>
  <x:si>
    <x:t xml:space="preserve">Stratasys Fortus 450; XY; 0.254 mm layer; 100% infill; ±45° raster; nozzle 250°C, bed 100°C; ASTM D638-03 specimen ~5.2 mm thick; sinusoidal tension, 10 Hz, R=0.05; sigma_max=9.09 MPa, sigma_min=0.45 MPa, amplitude=4.32 MPa.</x:t>
  </x:si>
  <x:si>
    <x:t xml:space="preserve">p. 5: Fatigue table specimen 7</x:t>
  </x:si>
  <x:si>
    <x:t xml:space="preserve">V001772</x:t>
  </x:si>
  <x:si>
    <x:t xml:space="preserve">47,978</x:t>
  </x:si>
  <x:si>
    <x:t xml:space="preserve">Stratasys Fortus 450; XY; 0.254 mm layer; 100% infill; ±45° raster; nozzle 250°C, bed 100°C; ASTM D638-03 specimen ~5.2 mm thick; sinusoidal tension, 10 Hz, R=0.05; sigma_max=11.79 MPa, sigma_min=0.59 MPa, amplitude=5.6 MPa.</x:t>
  </x:si>
  <x:si>
    <x:t xml:space="preserve">p. 5: Fatigue table specimen 8</x:t>
  </x:si>
  <x:si>
    <x:t xml:space="preserve">V001773</x:t>
  </x:si>
  <x:si>
    <x:t xml:space="preserve">192,376</x:t>
  </x:si>
  <x:si>
    <x:t xml:space="preserve">p. 5: Fatigue table specimen 9</x:t>
  </x:si>
  <x:si>
    <x:t xml:space="preserve">V001774</x:t>
  </x:si>
  <x:si>
    <x:t xml:space="preserve">90,640</x:t>
  </x:si>
  <x:si>
    <x:t xml:space="preserve">p. 5: Fatigue table specimen 10</x:t>
  </x:si>
  <x:si>
    <x:t xml:space="preserve">V001775</x:t>
  </x:si>
  <x:si>
    <x:t xml:space="preserve">3368</x:t>
  </x:si>
  <x:si>
    <x:t xml:space="preserve">Stratasys Fortus 450; XY; 0.254 mm layer; 100% infill; ±45° raster; nozzle 275°C, bed 110°C; ASTM D638-03 specimen ~5.2 mm thick; sinusoidal tension, 10 Hz, R=0.05; sigma_max=21.35 MPa, sigma_min=1.07 MPa, amplitude=10.14 MPa.</x:t>
  </x:si>
  <x:si>
    <x:t xml:space="preserve">p. 6: Fatigue table specimen 1</x:t>
  </x:si>
  <x:si>
    <x:t xml:space="preserve">V001776</x:t>
  </x:si>
  <x:si>
    <x:t xml:space="preserve">11,269</x:t>
  </x:si>
  <x:si>
    <x:t xml:space="preserve">Stratasys Fortus 450; XY; 0.254 mm layer; 100% infill; ±45° raster; nozzle 275°C, bed 110°C; ASTM D638-03 specimen ~5.2 mm thick; sinusoidal tension, 10 Hz, R=0.05; sigma_max=13.35 MPa, sigma_min=0.67 MPa, amplitude=6.34 MPa.</x:t>
  </x:si>
  <x:si>
    <x:t xml:space="preserve">p. 6: Fatigue table specimen 2</x:t>
  </x:si>
  <x:si>
    <x:t xml:space="preserve">V001777</x:t>
  </x:si>
  <x:si>
    <x:t xml:space="preserve">182,224</x:t>
  </x:si>
  <x:si>
    <x:t xml:space="preserve">Stratasys Fortus 450; XY; 0.254 mm layer; 100% infill; ±45° raster; nozzle 275°C, bed 110°C; ASTM D638-03 specimen ~5.2 mm thick; sinusoidal tension, 10 Hz, R=0.05; sigma_max=5.34 MPa, sigma_min=0.27 MPa, amplitude=2.54 MPa.</x:t>
  </x:si>
  <x:si>
    <x:t xml:space="preserve">p. 6: Fatigue table specimen 3</x:t>
  </x:si>
  <x:si>
    <x:t xml:space="preserve">V001778</x:t>
  </x:si>
  <x:si>
    <x:t xml:space="preserve">Stratasys Fortus 450; XY; 0.254 mm layer; 100% infill; ±45° raster; nozzle 275°C, bed 110°C; ASTM D638-03 specimen ~5.2 mm thick; sinusoidal tension, 10 Hz, R=0.05; sigma_max=2.67 MPa, sigma_min=0.13 MPa, amplitude=1.27 MPa.</x:t>
  </x:si>
  <x:si>
    <x:t xml:space="preserve">p. 6: Fatigue table specimen 4</x:t>
  </x:si>
  <x:si>
    <x:t xml:space="preserve">V001779</x:t>
  </x:si>
  <x:si>
    <x:t xml:space="preserve">Stratasys Fortus 450; XY; 0.254 mm layer; 100% infill; ±45° raster; nozzle 275°C, bed 110°C; ASTM D638-03 specimen ~5.2 mm thick; sinusoidal tension, 10 Hz, R=0.05; sigma_max=3.74 MPa, sigma_min=0.19 MPa, amplitude=1.78 MPa.</x:t>
  </x:si>
  <x:si>
    <x:t xml:space="preserve">p. 6: Fatigue table specimen 5</x:t>
  </x:si>
  <x:si>
    <x:t xml:space="preserve">V001780</x:t>
  </x:si>
  <x:si>
    <x:t xml:space="preserve">220,112</x:t>
  </x:si>
  <x:si>
    <x:t xml:space="preserve">Stratasys Fortus 450; XY; 0.254 mm layer; 100% infill; ±45° raster; nozzle 275°C, bed 110°C; ASTM D638-03 specimen ~5.2 mm thick; sinusoidal tension, 10 Hz, R=0.05; sigma_max=4.80 MPa, sigma_min=0.24 MPa, amplitude=2.28 MPa.</x:t>
  </x:si>
  <x:si>
    <x:t xml:space="preserve">p. 6: Fatigue table specimen 6</x:t>
  </x:si>
  <x:si>
    <x:t xml:space="preserve">V001781</x:t>
  </x:si>
  <x:si>
    <x:t xml:space="preserve">834,070</x:t>
  </x:si>
  <x:si>
    <x:t xml:space="preserve">Stratasys Fortus 450; XY; 0.254 mm layer; 100% infill; ±45° raster; nozzle 275°C, bed 110°C; ASTM D638-03 specimen ~5.2 mm thick; sinusoidal tension, 10 Hz, R=0.05; sigma_max=4.27 MPa, sigma_min=0.21 MPa, amplitude=2.03 MPa.</x:t>
  </x:si>
  <x:si>
    <x:t xml:space="preserve">p. 6: Fatigue table specimen 7</x:t>
  </x:si>
  <x:si>
    <x:t xml:space="preserve">V001782</x:t>
  </x:si>
  <x:si>
    <x:t xml:space="preserve">520,942</x:t>
  </x:si>
  <x:si>
    <x:t xml:space="preserve">p. 6: Fatigue table specimen 8</x:t>
  </x:si>
  <x:si>
    <x:t xml:space="preserve">V001783</x:t>
  </x:si>
  <x:si>
    <x:t xml:space="preserve">299,132</x:t>
  </x:si>
  <x:si>
    <x:t xml:space="preserve">p. 6: Fatigue table specimen 9</x:t>
  </x:si>
  <x:si>
    <x:t xml:space="preserve">V001784</x:t>
  </x:si>
  <x:si>
    <x:t xml:space="preserve">600,516</x:t>
  </x:si>
  <x:si>
    <x:t xml:space="preserve">Stratasys Fortus 450; XY; 0.254 mm layer; 100% infill; ±45° raster; nozzle 275°C, bed 110°C; ASTM D638-03 specimen ~5.2 mm thick; sinusoidal tension, 10 Hz, R=0.05; sigma_max=4.54 MPa, sigma_min=0.23 MPa, amplitude=2.16 MPa.</x:t>
  </x:si>
  <x:si>
    <x:t xml:space="preserve">p. 6: Fatigue table specimen 10</x:t>
  </x:si>
  <x:si>
    <x:t xml:space="preserve">V001785</x:t>
  </x:si>
  <x:si>
    <x:t xml:space="preserve">1121</x:t>
  </x:si>
  <x:si>
    <x:t xml:space="preserve">Stratasys Fortus 450; XY; 0.254 mm layer; 100% infill; ±45° raster; nozzle 255°C, bed 85°C; ASTM D638-03 specimen ~5.2 mm thick; sinusoidal tension, 10 Hz, R=0.05; sigma_max=39.18 MPa, sigma_min=1.96 MPa, amplitude=18.61 MPa.</x:t>
  </x:si>
  <x:si>
    <x:t xml:space="preserve">p. 7: Fatigue table specimen 1</x:t>
  </x:si>
  <x:si>
    <x:t xml:space="preserve">V001786</x:t>
  </x:si>
  <x:si>
    <x:t xml:space="preserve">29,657</x:t>
  </x:si>
  <x:si>
    <x:t xml:space="preserve">Stratasys Fortus 450; XY; 0.254 mm layer; 100% infill; ±45° raster; nozzle 255°C, bed 85°C; ASTM D638-03 specimen ~5.2 mm thick; sinusoidal tension, 10 Hz, R=0.05; sigma_max=18.44 MPa, sigma_min=0.92 MPa, amplitude=8.76 MPa.</x:t>
  </x:si>
  <x:si>
    <x:t xml:space="preserve">p. 7: Fatigue table specimen 2</x:t>
  </x:si>
  <x:si>
    <x:t xml:space="preserve">V001787</x:t>
  </x:si>
  <x:si>
    <x:t xml:space="preserve">429,098</x:t>
  </x:si>
  <x:si>
    <x:t xml:space="preserve">Stratasys Fortus 450; XY; 0.254 mm layer; 100% infill; ±45° raster; nozzle 255°C, bed 85°C; ASTM D638-03 specimen ~5.2 mm thick; sinusoidal tension, 10 Hz, R=0.05; sigma_max=9.22 MPa, sigma_min=0.46 MPa, amplitude=4.38 MPa.</x:t>
  </x:si>
  <x:si>
    <x:t xml:space="preserve">p. 7: Fatigue table specimen 3</x:t>
  </x:si>
  <x:si>
    <x:t xml:space="preserve">V001788</x:t>
  </x:si>
  <x:si>
    <x:t xml:space="preserve">Stratasys Fortus 450; XY; 0.254 mm layer; 100% infill; ±45° raster; nozzle 255°C, bed 85°C; ASTM D638-03 specimen ~5.2 mm thick; sinusoidal tension, 10 Hz, R=0.05; sigma_max=4.61 MPa, sigma_min=0.23 MPa, amplitude=2.19 MPa.</x:t>
  </x:si>
  <x:si>
    <x:t xml:space="preserve">p. 7: Fatigue table specimen 4</x:t>
  </x:si>
  <x:si>
    <x:t xml:space="preserve">V001789</x:t>
  </x:si>
  <x:si>
    <x:t xml:space="preserve">Stratasys Fortus 450; XY; 0.254 mm layer; 100% infill; ±45° raster; nozzle 255°C, bed 85°C; ASTM D638-03 specimen ~5.2 mm thick; sinusoidal tension, 10 Hz, R=0.05; sigma_max=6.91 MPa, sigma_min=0.35 MPa, amplitude=3.28 MPa.</x:t>
  </x:si>
  <x:si>
    <x:t xml:space="preserve">p. 7: Fatigue table specimen 5</x:t>
  </x:si>
  <x:si>
    <x:t xml:space="preserve">V001790</x:t>
  </x:si>
  <x:si>
    <x:t xml:space="preserve">Stratasys Fortus 450; XY; 0.254 mm layer; 100% infill; ±45° raster; nozzle 255°C, bed 85°C; ASTM D638-03 specimen ~5.2 mm thick; sinusoidal tension, 10 Hz, R=0.05; sigma_max=7.84 MPa, sigma_min=0.39 MPa, amplitude=3.72 MPa.</x:t>
  </x:si>
  <x:si>
    <x:t xml:space="preserve">p. 7: Fatigue table specimen 6</x:t>
  </x:si>
  <x:si>
    <x:t xml:space="preserve">V001791</x:t>
  </x:si>
  <x:si>
    <x:t xml:space="preserve">658,938</x:t>
  </x:si>
  <x:si>
    <x:t xml:space="preserve">Stratasys Fortus 450; XY; 0.254 mm layer; 100% infill; ±45° raster; nozzle 255°C, bed 85°C; ASTM D638-03 specimen ~5.2 mm thick; sinusoidal tension, 10 Hz, R=0.05; sigma_max=8.76 MPa, sigma_min=0.44 MPa, amplitude=4.16 MPa.</x:t>
  </x:si>
  <x:si>
    <x:t xml:space="preserve">p. 7: Fatigue table specimen 7</x:t>
  </x:si>
  <x:si>
    <x:t xml:space="preserve">V001792</x:t>
  </x:si>
  <x:si>
    <x:t xml:space="preserve">951,076</x:t>
  </x:si>
  <x:si>
    <x:t xml:space="preserve">Stratasys Fortus 450; XY; 0.254 mm layer; 100% infill; ±45° raster; nozzle 255°C, bed 85°C; ASTM D638-03 specimen ~5.2 mm thick; sinusoidal tension, 10 Hz, R=0.05; sigma_max=8.29 MPa, sigma_min=0.42 MPa, amplitude=3.94 MPa.</x:t>
  </x:si>
  <x:si>
    <x:t xml:space="preserve">p. 7: Fatigue table specimen 8</x:t>
  </x:si>
  <x:si>
    <x:t xml:space="preserve">V001793</x:t>
  </x:si>
  <x:si>
    <x:t xml:space="preserve">647,745</x:t>
  </x:si>
  <x:si>
    <x:t xml:space="preserve">p. 7: Fatigue table specimen 9</x:t>
  </x:si>
  <x:si>
    <x:t xml:space="preserve">V001794</x:t>
  </x:si>
  <x:si>
    <x:t xml:space="preserve">395,066</x:t>
  </x:si>
  <x:si>
    <x:t xml:space="preserve">p. 7: Fatigue table specimen 10</x:t>
  </x:si>
  <x:si>
    <x:t xml:space="preserve">V001795</x:t>
  </x:si>
  <x:si>
    <x:t xml:space="preserve">73,546</x:t>
  </x:si>
  <x:si>
    <x:t xml:space="preserve">Stratasys Fortus 450; XY; 0.254 mm layer; 100% infill; ±45° raster; nozzle 255°C, bed 85°C; ASTM D638-03 specimen ~5.2 mm thick; sinusoidal tension, 10 Hz, R=0.05; sigma_max=13.83 MPa, sigma_min=0.69 MPa, amplitude=6.57 MPa.</x:t>
  </x:si>
  <x:si>
    <x:t xml:space="preserve">p. 7: Fatigue table specimen 11</x:t>
  </x:si>
  <x:si>
    <x:t xml:space="preserve">V001796</x:t>
  </x:si>
  <x:si>
    <x:t xml:space="preserve">2551</x:t>
  </x:si>
  <x:si>
    <x:t xml:space="preserve">Stratasys Fortus 450; XY; 0.254 mm layer; 100% infill; ±45° raster; nozzle 255°C, bed 85°C; ASTM D638-03 specimen ~5.2 mm thick; sinusoidal tension, 10 Hz, R=0.05; sigma_max=29.96 MPa, sigma_min=1.49 MPa, amplitude=14.23 MPa.</x:t>
  </x:si>
  <x:si>
    <x:t xml:space="preserve">p. 7: Fatigue table specimen 12</x:t>
  </x:si>
  <x:si>
    <x:t xml:space="preserve">V001797</x:t>
  </x:si>
  <x:si>
    <x:t xml:space="preserve">455</x:t>
  </x:si>
  <x:si>
    <x:t xml:space="preserve">Stratasys Fortus 450; XY; 0.254 mm layer; 100% infill; ±45° raster; nozzle 265°C, bed 110°C; ASTM D638-03 specimen ~5.2 mm thick; sinusoidal tension, 10 Hz, R=0.05; sigma_max=28.18 MPa, sigma_min=1.41 MPa, amplitude=13.39 MPa.</x:t>
  </x:si>
  <x:si>
    <x:t xml:space="preserve">p. 8: Fatigue table specimen 1</x:t>
  </x:si>
  <x:si>
    <x:t xml:space="preserve">V001798</x:t>
  </x:si>
  <x:si>
    <x:t xml:space="preserve">13,927</x:t>
  </x:si>
  <x:si>
    <x:t xml:space="preserve">Stratasys Fortus 450; XY; 0.254 mm layer; 100% infill; ±45° raster; nozzle 265°C, bed 110°C; ASTM D638-03 specimen ~5.2 mm thick; sinusoidal tension, 10 Hz, R=0.05; sigma_max=13.26 MPa, sigma_min=0.66 MPa, amplitude=6.3 MPa.</x:t>
  </x:si>
  <x:si>
    <x:t xml:space="preserve">p. 8: Fatigue table specimen 2</x:t>
  </x:si>
  <x:si>
    <x:t xml:space="preserve">V001799</x:t>
  </x:si>
  <x:si>
    <x:t xml:space="preserve">Stratasys Fortus 450; XY; 0.254 mm layer; 100% infill; ±45° raster; nozzle 265°C, bed 110°C; ASTM D638-03 specimen ~5.2 mm thick; sinusoidal tension, 10 Hz, R=0.05; sigma_max=4.97 MPa, sigma_min=0.25 MPa, amplitude=2.36 MPa.</x:t>
  </x:si>
  <x:si>
    <x:t xml:space="preserve">p. 8: Fatigue table specimen 3</x:t>
  </x:si>
  <x:si>
    <x:t xml:space="preserve">V001800</x:t>
  </x:si>
  <x:si>
    <x:t xml:space="preserve">256,682</x:t>
  </x:si>
  <x:si>
    <x:t xml:space="preserve">Stratasys Fortus 450; XY; 0.254 mm layer; 100% infill; ±45° raster; nozzle 265°C, bed 110°C; ASTM D638-03 specimen ~5.2 mm thick; sinusoidal tension, 10 Hz, R=0.05; sigma_max=6.63 MPa, sigma_min=0.33 MPa, amplitude=3.15 MPa.</x:t>
  </x:si>
  <x:si>
    <x:t xml:space="preserve">p. 8: Fatigue table specimen 4</x:t>
  </x:si>
  <x:si>
    <x:t xml:space="preserve">V001801</x:t>
  </x:si>
  <x:si>
    <x:t xml:space="preserve">688,867</x:t>
  </x:si>
  <x:si>
    <x:t xml:space="preserve">Stratasys Fortus 450; XY; 0.254 mm layer; 100% infill; ±45° raster; nozzle 265°C, bed 110°C; ASTM D638-03 specimen ~5.2 mm thick; sinusoidal tension, 10 Hz, R=0.05; sigma_max=5.64 MPa, sigma_min=0.28 MPa, amplitude=2.68 MPa.</x:t>
  </x:si>
  <x:si>
    <x:t xml:space="preserve">p. 8: Fatigue table specimen 5</x:t>
  </x:si>
  <x:si>
    <x:t xml:space="preserve">V001802</x:t>
  </x:si>
  <x:si>
    <x:t xml:space="preserve">964,381</x:t>
  </x:si>
  <x:si>
    <x:t xml:space="preserve">Stratasys Fortus 450; XY; 0.254 mm layer; 100% infill; ±45° raster; nozzle 265°C, bed 110°C; ASTM D638-03 specimen ~5.2 mm thick; sinusoidal tension, 10 Hz, R=0.05; sigma_max=5.31 MPa, sigma_min=0.27 MPa, amplitude=2.52 MPa.</x:t>
  </x:si>
  <x:si>
    <x:t xml:space="preserve">p. 8: Fatigue table specimen 6</x:t>
  </x:si>
  <x:si>
    <x:t xml:space="preserve">V001803</x:t>
  </x:si>
  <x:si>
    <x:t xml:space="preserve">583,107</x:t>
  </x:si>
  <x:si>
    <x:t xml:space="preserve">p. 8: Fatigue table specimen 7</x:t>
  </x:si>
  <x:si>
    <x:t xml:space="preserve">V001804</x:t>
  </x:si>
  <x:si>
    <x:t xml:space="preserve">441,289</x:t>
  </x:si>
  <x:si>
    <x:t xml:space="preserve">Stratasys Fortus 450; XY; 0.254 mm layer; 100% infill; ±45° raster; nozzle 265°C, bed 110°C; ASTM D638-03 specimen ~5.2 mm thick; sinusoidal tension, 10 Hz, R=0.05; sigma_max=5.97 MPa, sigma_min=0.30 MPa, amplitude=2.84 MPa.</x:t>
  </x:si>
  <x:si>
    <x:t xml:space="preserve">p. 8: Fatigue table specimen 8</x:t>
  </x:si>
  <x:si>
    <x:t xml:space="preserve">V001805</x:t>
  </x:si>
  <x:si>
    <x:t xml:space="preserve">83,566</x:t>
  </x:si>
  <x:si>
    <x:t xml:space="preserve">Stratasys Fortus 450; XY; 0.254 mm layer; 100% infill; ±45° raster; nozzle 265°C, bed 110°C; ASTM D638-03 specimen ~5.2 mm thick; sinusoidal tension, 10 Hz, R=0.05; sigma_max=8.29 MPa, sigma_min=0.42 MPa, amplitude=3.94 MPa.</x:t>
  </x:si>
  <x:si>
    <x:t xml:space="preserve">p. 8: Fatigue table specimen 9</x:t>
  </x:si>
  <x:si>
    <x:t xml:space="preserve">V001806</x:t>
  </x:si>
  <x:si>
    <x:t xml:space="preserve">35,769</x:t>
  </x:si>
  <x:si>
    <x:t xml:space="preserve">Stratasys Fortus 450; XY; 0.254 mm layer; 100% infill; ±45° raster; nozzle 265°C, bed 110°C; ASTM D638-03 specimen ~5.2 mm thick; sinusoidal tension, 10 Hz, R=0.05; sigma_max=9.95 MPa, sigma_min=0.50 MPa, amplitude=4.73 MPa.</x:t>
  </x:si>
  <x:si>
    <x:t xml:space="preserve">p. 8: Fatigue table specimen 10</x:t>
  </x:si>
  <x:si>
    <x:t xml:space="preserve">V001807</x:t>
  </x:si>
  <x:si>
    <x:t xml:space="preserve">75.3 Shore D</x:t>
  </x:si>
  <x:si>
    <x:t xml:space="preserve">Not published (blank in this row of the source table)</x:t>
  </x:si>
  <x:si>
    <x:t xml:space="preserve">p. 1: "Rockwell hardness" row (mislabeled in source - value carries a Shore D unit)</x:t>
  </x:si>
  <x:si>
    <x:t xml:space="preserve">Conflict C00058 resolved. The FormFutura High Precision PET TDS itself mislabels this row: the left-hand column reads "Rockwell hardness" but the value cell reads "75,3 Shore D". This is a genuine defect in the manufacturer document, not a transcription error - confirmed by direct visual read of the source PDF (SHA256 confirmed identical to the file already cited as S-PET-TDS; the file is image-only and has no extractable text layer). No test method is stated for this specific row. Value transcribed as Shore D 75.3. Resolved 2026-09-11.</x:t>
  </x:si>
  <x:si>
    <x:t xml:space="preserve">Use &amp; durability</x:t>
  </x:si>
  <x:si>
    <x:t xml:space="preserve">EvidenceID</x:t>
  </x:si>
  <x:si>
    <x:t xml:space="preserve">Domain</x:t>
  </x:si>
  <x:si>
    <x:t xml:space="preserve">Topic</x:t>
  </x:si>
  <x:si>
    <x:t xml:space="preserve">Finding</x:t>
  </x:si>
  <x:si>
    <x:t xml:space="preserve">Exposure / conditions</x:t>
  </x:si>
  <x:si>
    <x:t xml:space="preserve">Rating 1–5</x:t>
  </x:si>
  <x:si>
    <x:t xml:space="preserve">RubricID</x:t>
  </x:si>
  <x:si>
    <x:t xml:space="preserve">Evidence type</x:t>
  </x:si>
  <x:si>
    <x:t xml:space="preserve">Q00001</x:t>
  </x:si>
  <x:si>
    <x:t xml:space="preserve">Chemical exposure</x:t>
  </x:si>
  <x:si>
    <x:t xml:space="preserve">Effect of weak acids</x:t>
  </x:si>
  <x:si>
    <x:t xml:space="preserve">Not resistant</x:t>
  </x:si>
  <x:si>
    <x:t xml:space="preserve">p. 2; concentration, duration and temperature not specified unless stated. Not a chemical design limit.</x:t>
  </x:si>
  <x:si>
    <x:t xml:space="preserve">Manufacturer statement</x:t>
  </x:si>
  <x:si>
    <x:t xml:space="preserve">Q00002</x:t>
  </x:si>
  <x:si>
    <x:t xml:space="preserve">Effect of strong acids</x:t>
  </x:si>
  <x:si>
    <x:t xml:space="preserve">Q00003</x:t>
  </x:si>
  <x:si>
    <x:t xml:space="preserve">Effect of weak alkalis</x:t>
  </x:si>
  <x:si>
    <x:t xml:space="preserve">Q00004</x:t>
  </x:si>
  <x:si>
    <x:t xml:space="preserve">Effect of strong alkalis</x:t>
  </x:si>
  <x:si>
    <x:t xml:space="preserve">Q00005</x:t>
  </x:si>
  <x:si>
    <x:t xml:space="preserve">Effect of organic solvent</x:t>
  </x:si>
  <x:si>
    <x:t xml:space="preserve">No data available</x:t>
  </x:si>
  <x:si>
    <x:t xml:space="preserve">Q00006</x:t>
  </x:si>
  <x:si>
    <x:t xml:space="preserve">Effect of oils and grease</x:t>
  </x:si>
  <x:si>
    <x:t xml:space="preserve">Q00007</x:t>
  </x:si>
  <x:si>
    <x:t xml:space="preserve">Support / solubility</x:t>
  </x:si>
  <x:si>
    <x:t xml:space="preserve">Solubility</x:t>
  </x:si>
  <x:si>
    <x:t xml:space="preserve">Insoluble in water</x:t>
  </x:si>
  <x:si>
    <x:t xml:space="preserve">p. 3; concentration, duration and temperature not specified unless stated. Not a chemical design limit.</x:t>
  </x:si>
  <x:si>
    <x:t xml:space="preserve">Q00008</x:t>
  </x:si>
  <x:si>
    <x:t xml:space="preserve">Resistance to Acid</x:t>
  </x:si>
  <x:si>
    <x:t xml:space="preserve">Q00009</x:t>
  </x:si>
  <x:si>
    <x:t xml:space="preserve">Resistance to Alkali</x:t>
  </x:si>
  <x:si>
    <x:t xml:space="preserve">Q00010</x:t>
  </x:si>
  <x:si>
    <x:t xml:space="preserve">Resistance to Organic Solvent</x:t>
  </x:si>
  <x:si>
    <x:t xml:space="preserve">Not resistant to some organic solvents</x:t>
  </x:si>
  <x:si>
    <x:t xml:space="preserve">Q00011</x:t>
  </x:si>
  <x:si>
    <x:t xml:space="preserve">Resistance to Oil and Grease</x:t>
  </x:si>
  <x:si>
    <x:t xml:space="preserve">Resistant to most kinds of oil and grease</x:t>
  </x:si>
  <x:si>
    <x:t xml:space="preserve">Q00012</x:t>
  </x:si>
  <x:si>
    <x:t xml:space="preserve">Flammability</x:t>
  </x:si>
  <x:si>
    <x:t xml:space="preserve">Flammable</x:t>
  </x:si>
  <x:si>
    <x:t xml:space="preserve">Test specimen preparation</x:t>
  </x:si>
  <x:si>
    <x:t xml:space="preserve">TDS specimen conditioning. Do not confuse with a general annealing schedule.</x:t>
  </x:si>
  <x:si>
    <x:t xml:space="preserve">Q00014</x:t>
  </x:si>
  <x:si>
    <x:t xml:space="preserve">Q00015</x:t>
  </x:si>
  <x:si>
    <x:t xml:space="preserve">Q00016</x:t>
  </x:si>
  <x:si>
    <x:t xml:space="preserve">Q00017</x:t>
  </x:si>
  <x:si>
    <x:t xml:space="preserve">Q00018</x:t>
  </x:si>
  <x:si>
    <x:t xml:space="preserve">Q00019</x:t>
  </x:si>
  <x:si>
    <x:t xml:space="preserve">Q00021</x:t>
  </x:si>
  <x:si>
    <x:t xml:space="preserve">Q00022</x:t>
  </x:si>
  <x:si>
    <x:t xml:space="preserve">Q00023</x:t>
  </x:si>
  <x:si>
    <x:t xml:space="preserve">Q00024</x:t>
  </x:si>
  <x:si>
    <x:t xml:space="preserve">Q00025</x:t>
  </x:si>
  <x:si>
    <x:t xml:space="preserve">Q00026</x:t>
  </x:si>
  <x:si>
    <x:t xml:space="preserve">Flammable and self-extinguishing in the air</x:t>
  </x:si>
  <x:si>
    <x:t xml:space="preserve">Q00028</x:t>
  </x:si>
  <x:si>
    <x:t xml:space="preserve">Q00029</x:t>
  </x:si>
  <x:si>
    <x:t xml:space="preserve">Q00030</x:t>
  </x:si>
  <x:si>
    <x:t xml:space="preserve">Q00032</x:t>
  </x:si>
  <x:si>
    <x:t xml:space="preserve">Q00034</x:t>
  </x:si>
  <x:si>
    <x:t xml:space="preserve">Q00035</x:t>
  </x:si>
  <x:si>
    <x:t xml:space="preserve">Q00036</x:t>
  </x:si>
  <x:si>
    <x:t xml:space="preserve">Q00037</x:t>
  </x:si>
  <x:si>
    <x:t xml:space="preserve">Q00038</x:t>
  </x:si>
  <x:si>
    <x:t xml:space="preserve">Q00039</x:t>
  </x:si>
  <x:si>
    <x:t xml:space="preserve">Q00041</x:t>
  </x:si>
  <x:si>
    <x:t xml:space="preserve">Q00042</x:t>
  </x:si>
  <x:si>
    <x:t xml:space="preserve">Q00043</x:t>
  </x:si>
  <x:si>
    <x:t xml:space="preserve">Q00044</x:t>
  </x:si>
  <x:si>
    <x:t xml:space="preserve">Q00045</x:t>
  </x:si>
  <x:si>
    <x:t xml:space="preserve">Q00046</x:t>
  </x:si>
  <x:si>
    <x:t xml:space="preserve">Q00048</x:t>
  </x:si>
  <x:si>
    <x:t xml:space="preserve">Q00049</x:t>
  </x:si>
  <x:si>
    <x:t xml:space="preserve">Q00050</x:t>
  </x:si>
  <x:si>
    <x:t xml:space="preserve">Q00051</x:t>
  </x:si>
  <x:si>
    <x:t xml:space="preserve">Q00052</x:t>
  </x:si>
  <x:si>
    <x:t xml:space="preserve">Q00053</x:t>
  </x:si>
  <x:si>
    <x:t xml:space="preserve">Q00054</x:t>
  </x:si>
  <x:si>
    <x:t xml:space="preserve">Q00056</x:t>
  </x:si>
  <x:si>
    <x:t xml:space="preserve">Q00058</x:t>
  </x:si>
  <x:si>
    <x:t xml:space="preserve">Q00059</x:t>
  </x:si>
  <x:si>
    <x:t xml:space="preserve">Q00060</x:t>
  </x:si>
  <x:si>
    <x:t xml:space="preserve">Q00061</x:t>
  </x:si>
  <x:si>
    <x:t xml:space="preserve">Q00062</x:t>
  </x:si>
  <x:si>
    <x:t xml:space="preserve">Q00063</x:t>
  </x:si>
  <x:si>
    <x:t xml:space="preserve">Q00065</x:t>
  </x:si>
  <x:si>
    <x:t xml:space="preserve">Q00067</x:t>
  </x:si>
  <x:si>
    <x:t xml:space="preserve">Q00068</x:t>
  </x:si>
  <x:si>
    <x:t xml:space="preserve">Q00069</x:t>
  </x:si>
  <x:si>
    <x:t xml:space="preserve">Q00070</x:t>
  </x:si>
  <x:si>
    <x:t xml:space="preserve">Q00071</x:t>
  </x:si>
  <x:si>
    <x:t xml:space="preserve">Q00072</x:t>
  </x:si>
  <x:si>
    <x:t xml:space="preserve">Q00074</x:t>
  </x:si>
  <x:si>
    <x:t xml:space="preserve">Good</x:t>
  </x:si>
  <x:si>
    <x:t xml:space="preserve">Q00075</x:t>
  </x:si>
  <x:si>
    <x:t xml:space="preserve">Poor</x:t>
  </x:si>
  <x:si>
    <x:t xml:space="preserve">Q00076</x:t>
  </x:si>
  <x:si>
    <x:t xml:space="preserve">Fair</x:t>
  </x:si>
  <x:si>
    <x:t xml:space="preserve">Q00077</x:t>
  </x:si>
  <x:si>
    <x:t xml:space="preserve">Q00078</x:t>
  </x:si>
  <x:si>
    <x:t xml:space="preserve">Q00079</x:t>
  </x:si>
  <x:si>
    <x:t xml:space="preserve">Q00080</x:t>
  </x:si>
  <x:si>
    <x:t xml:space="preserve">Q00081</x:t>
  </x:si>
  <x:si>
    <x:t xml:space="preserve">Q00082</x:t>
  </x:si>
  <x:si>
    <x:t xml:space="preserve">Q00083</x:t>
  </x:si>
  <x:si>
    <x:t xml:space="preserve">Resistant most</x:t>
  </x:si>
  <x:si>
    <x:t xml:space="preserve">Q00084</x:t>
  </x:si>
  <x:si>
    <x:t xml:space="preserve">Q00085</x:t>
  </x:si>
  <x:si>
    <x:t xml:space="preserve">Q00086</x:t>
  </x:si>
  <x:si>
    <x:t xml:space="preserve">Q00087</x:t>
  </x:si>
  <x:si>
    <x:t xml:space="preserve">Q00088</x:t>
  </x:si>
  <x:si>
    <x:t xml:space="preserve">Q00089</x:t>
  </x:si>
  <x:si>
    <x:t xml:space="preserve">Q00090</x:t>
  </x:si>
  <x:si>
    <x:t xml:space="preserve">Q00091</x:t>
  </x:si>
  <x:si>
    <x:t xml:space="preserve">Q00093</x:t>
  </x:si>
  <x:si>
    <x:t xml:space="preserve">Q00094</x:t>
  </x:si>
  <x:si>
    <x:t xml:space="preserve">Q00095</x:t>
  </x:si>
  <x:si>
    <x:t xml:space="preserve">Q00096</x:t>
  </x:si>
  <x:si>
    <x:t xml:space="preserve">Q00097</x:t>
  </x:si>
  <x:si>
    <x:t xml:space="preserve">Q00098</x:t>
  </x:si>
  <x:si>
    <x:t xml:space="preserve">Q00100</x:t>
  </x:si>
  <x:si>
    <x:t xml:space="preserve">Q00101</x:t>
  </x:si>
  <x:si>
    <x:t xml:space="preserve">Q00102</x:t>
  </x:si>
  <x:si>
    <x:t xml:space="preserve">Q00103</x:t>
  </x:si>
  <x:si>
    <x:t xml:space="preserve">Q00104</x:t>
  </x:si>
  <x:si>
    <x:t xml:space="preserve">Q00105</x:t>
  </x:si>
  <x:si>
    <x:t xml:space="preserve">Q00107</x:t>
  </x:si>
  <x:si>
    <x:t xml:space="preserve">Q00108</x:t>
  </x:si>
  <x:si>
    <x:t xml:space="preserve">Fair-Poor</x:t>
  </x:si>
  <x:si>
    <x:t xml:space="preserve">Q00109</x:t>
  </x:si>
  <x:si>
    <x:t xml:space="preserve">Q00110</x:t>
  </x:si>
  <x:si>
    <x:t xml:space="preserve">Q00111</x:t>
  </x:si>
  <x:si>
    <x:t xml:space="preserve">Q00112</x:t>
  </x:si>
  <x:si>
    <x:t xml:space="preserve">Q00113</x:t>
  </x:si>
  <x:si>
    <x:t xml:space="preserve">Resistant</x:t>
  </x:si>
  <x:si>
    <x:t xml:space="preserve">Q00114</x:t>
  </x:si>
  <x:si>
    <x:t xml:space="preserve">Q00115</x:t>
  </x:si>
  <x:si>
    <x:t xml:space="preserve">Q00116</x:t>
  </x:si>
  <x:si>
    <x:t xml:space="preserve">Not resistant to some kinds of oil and grease</x:t>
  </x:si>
  <x:si>
    <x:t xml:space="preserve">Q00117</x:t>
  </x:si>
  <x:si>
    <x:t xml:space="preserve">Q00118</x:t>
  </x:si>
  <x:si>
    <x:t xml:space="preserve">Q00119</x:t>
  </x:si>
  <x:si>
    <x:t xml:space="preserve">Q00121</x:t>
  </x:si>
  <x:si>
    <x:t xml:space="preserve">Q00122</x:t>
  </x:si>
  <x:si>
    <x:t xml:space="preserve">Q00123</x:t>
  </x:si>
  <x:si>
    <x:t xml:space="preserve">Q00124</x:t>
  </x:si>
  <x:si>
    <x:t xml:space="preserve">Q00125</x:t>
  </x:si>
  <x:si>
    <x:t xml:space="preserve">Q00126</x:t>
  </x:si>
  <x:si>
    <x:t xml:space="preserve">Q00127</x:t>
  </x:si>
  <x:si>
    <x:t xml:space="preserve">Q00128</x:t>
  </x:si>
  <x:si>
    <x:t xml:space="preserve">Q00129</x:t>
  </x:si>
  <x:si>
    <x:t xml:space="preserve">Q00130</x:t>
  </x:si>
  <x:si>
    <x:t xml:space="preserve">Q00131</x:t>
  </x:si>
  <x:si>
    <x:t xml:space="preserve">Q00132</x:t>
  </x:si>
  <x:si>
    <x:t xml:space="preserve">Q00133</x:t>
  </x:si>
  <x:si>
    <x:t xml:space="preserve">Q00135</x:t>
  </x:si>
  <x:si>
    <x:t xml:space="preserve">Q00136</x:t>
  </x:si>
  <x:si>
    <x:t xml:space="preserve">Q00137</x:t>
  </x:si>
  <x:si>
    <x:t xml:space="preserve">Q00138</x:t>
  </x:si>
  <x:si>
    <x:t xml:space="preserve">Q00139</x:t>
  </x:si>
  <x:si>
    <x:t xml:space="preserve">Q00140</x:t>
  </x:si>
  <x:si>
    <x:t xml:space="preserve">Q00142</x:t>
  </x:si>
  <x:si>
    <x:t xml:space="preserve">Q00143</x:t>
  </x:si>
  <x:si>
    <x:t xml:space="preserve">Q00144</x:t>
  </x:si>
  <x:si>
    <x:t xml:space="preserve">Q00145</x:t>
  </x:si>
  <x:si>
    <x:t xml:space="preserve">Q00146</x:t>
  </x:si>
  <x:si>
    <x:t xml:space="preserve">Q00147</x:t>
  </x:si>
  <x:si>
    <x:t xml:space="preserve">Q00148</x:t>
  </x:si>
  <x:si>
    <x:t xml:space="preserve">Q00149</x:t>
  </x:si>
  <x:si>
    <x:t xml:space="preserve">Q00150</x:t>
  </x:si>
  <x:si>
    <x:t xml:space="preserve">Q00151</x:t>
  </x:si>
  <x:si>
    <x:t xml:space="preserve">Q00152</x:t>
  </x:si>
  <x:si>
    <x:t xml:space="preserve">Q00153</x:t>
  </x:si>
  <x:si>
    <x:t xml:space="preserve">Q00154</x:t>
  </x:si>
  <x:si>
    <x:t xml:space="preserve">Q00155</x:t>
  </x:si>
  <x:si>
    <x:t xml:space="preserve">Q00156</x:t>
  </x:si>
  <x:si>
    <x:t xml:space="preserve">Q00157</x:t>
  </x:si>
  <x:si>
    <x:t xml:space="preserve">Q00158</x:t>
  </x:si>
  <x:si>
    <x:t xml:space="preserve">Q00159</x:t>
  </x:si>
  <x:si>
    <x:t xml:space="preserve">Q00160</x:t>
  </x:si>
  <x:si>
    <x:t xml:space="preserve">Q00161</x:t>
  </x:si>
  <x:si>
    <x:t xml:space="preserve">Q00163</x:t>
  </x:si>
  <x:si>
    <x:t xml:space="preserve">Q00164</x:t>
  </x:si>
  <x:si>
    <x:t xml:space="preserve">Q00165</x:t>
  </x:si>
  <x:si>
    <x:t xml:space="preserve">Q00166</x:t>
  </x:si>
  <x:si>
    <x:t xml:space="preserve">Q00167</x:t>
  </x:si>
  <x:si>
    <x:t xml:space="preserve">Q00168</x:t>
  </x:si>
  <x:si>
    <x:t xml:space="preserve">Q00169</x:t>
  </x:si>
  <x:si>
    <x:t xml:space="preserve">Q00170</x:t>
  </x:si>
  <x:si>
    <x:t xml:space="preserve">Q00171</x:t>
  </x:si>
  <x:si>
    <x:t xml:space="preserve">Q00172</x:t>
  </x:si>
  <x:si>
    <x:t xml:space="preserve">Q00173</x:t>
  </x:si>
  <x:si>
    <x:t xml:space="preserve">Slight resistant</x:t>
  </x:si>
  <x:si>
    <x:t xml:space="preserve">Q00174</x:t>
  </x:si>
  <x:si>
    <x:t xml:space="preserve">Q00175</x:t>
  </x:si>
  <x:si>
    <x:t xml:space="preserve">Q00176</x:t>
  </x:si>
  <x:si>
    <x:t xml:space="preserve">Q00177</x:t>
  </x:si>
  <x:si>
    <x:t xml:space="preserve">Q00178</x:t>
  </x:si>
  <x:si>
    <x:t xml:space="preserve">Q00179</x:t>
  </x:si>
  <x:si>
    <x:t xml:space="preserve">Q00180</x:t>
  </x:si>
  <x:si>
    <x:t xml:space="preserve">Q00181</x:t>
  </x:si>
  <x:si>
    <x:t xml:space="preserve">Q00182</x:t>
  </x:si>
  <x:si>
    <x:t xml:space="preserve">Q00183</x:t>
  </x:si>
  <x:si>
    <x:t xml:space="preserve">Q00185</x:t>
  </x:si>
  <x:si>
    <x:t xml:space="preserve">Q00186</x:t>
  </x:si>
  <x:si>
    <x:t xml:space="preserve">Q00187</x:t>
  </x:si>
  <x:si>
    <x:t xml:space="preserve">Q00188</x:t>
  </x:si>
  <x:si>
    <x:t xml:space="preserve">Q00189</x:t>
  </x:si>
  <x:si>
    <x:t xml:space="preserve">Q00190</x:t>
  </x:si>
  <x:si>
    <x:t xml:space="preserve">Q00192</x:t>
  </x:si>
  <x:si>
    <x:t xml:space="preserve">Q00193</x:t>
  </x:si>
  <x:si>
    <x:t xml:space="preserve">Q00194</x:t>
  </x:si>
  <x:si>
    <x:t xml:space="preserve">Q00195</x:t>
  </x:si>
  <x:si>
    <x:t xml:space="preserve">Q00196</x:t>
  </x:si>
  <x:si>
    <x:t xml:space="preserve">Q00197</x:t>
  </x:si>
  <x:si>
    <x:t xml:space="preserve">Q00198</x:t>
  </x:si>
  <x:si>
    <x:t xml:space="preserve">Q00200</x:t>
  </x:si>
  <x:si>
    <x:t xml:space="preserve">Q00201</x:t>
  </x:si>
  <x:si>
    <x:t xml:space="preserve">Q00202</x:t>
  </x:si>
  <x:si>
    <x:t xml:space="preserve">Q00203</x:t>
  </x:si>
  <x:si>
    <x:t xml:space="preserve">Q00204</x:t>
  </x:si>
  <x:si>
    <x:t xml:space="preserve">Q00205</x:t>
  </x:si>
  <x:si>
    <x:t xml:space="preserve">All specimens were annealed at 100°C for 16h, and immerged in water at 60°C for 48h prior to testing</x:t>
  </x:si>
  <x:si>
    <x:t xml:space="preserve">Q00208</x:t>
  </x:si>
  <x:si>
    <x:t xml:space="preserve">Q00209</x:t>
  </x:si>
  <x:si>
    <x:t xml:space="preserve">Q00210</x:t>
  </x:si>
  <x:si>
    <x:t xml:space="preserve">Q00211</x:t>
  </x:si>
  <x:si>
    <x:t xml:space="preserve">Q00212</x:t>
  </x:si>
  <x:si>
    <x:t xml:space="preserve">Q00213</x:t>
  </x:si>
  <x:si>
    <x:t xml:space="preserve">Q00216</x:t>
  </x:si>
  <x:si>
    <x:t xml:space="preserve">Q00217</x:t>
  </x:si>
  <x:si>
    <x:t xml:space="preserve">Q00218</x:t>
  </x:si>
  <x:si>
    <x:t xml:space="preserve">Q00219</x:t>
  </x:si>
  <x:si>
    <x:t xml:space="preserve">Q00220</x:t>
  </x:si>
  <x:si>
    <x:t xml:space="preserve">Q00221</x:t>
  </x:si>
  <x:si>
    <x:t xml:space="preserve">Q00225</x:t>
  </x:si>
  <x:si>
    <x:t xml:space="preserve">Q00226</x:t>
  </x:si>
  <x:si>
    <x:t xml:space="preserve">Q00227</x:t>
  </x:si>
  <x:si>
    <x:t xml:space="preserve">Better than general Nylon; resistant to weak acids, but</x:t>
  </x:si>
  <x:si>
    <x:t xml:space="preserve">Q00228</x:t>
  </x:si>
  <x:si>
    <x:t xml:space="preserve">Better than general Nylon; resistant to weak alkalis, but</x:t>
  </x:si>
  <x:si>
    <x:t xml:space="preserve">Q00229</x:t>
  </x:si>
  <x:si>
    <x:t xml:space="preserve">Better than general Nylon; resistant to most kinds of</x:t>
  </x:si>
  <x:si>
    <x:t xml:space="preserve">Q00230</x:t>
  </x:si>
  <x:si>
    <x:t xml:space="preserve">Better than general Nylon; resistant to most kinds of oil</x:t>
  </x:si>
  <x:si>
    <x:t xml:space="preserve">Q00231</x:t>
  </x:si>
  <x:si>
    <x:t xml:space="preserve">Q00234</x:t>
  </x:si>
  <x:si>
    <x:t xml:space="preserve">Q00235</x:t>
  </x:si>
  <x:si>
    <x:t xml:space="preserve">Q00236</x:t>
  </x:si>
  <x:si>
    <x:t xml:space="preserve">Q00237</x:t>
  </x:si>
  <x:si>
    <x:t xml:space="preserve">Q00238</x:t>
  </x:si>
  <x:si>
    <x:t xml:space="preserve">Q00239</x:t>
  </x:si>
  <x:si>
    <x:t xml:space="preserve">Q00240</x:t>
  </x:si>
  <x:si>
    <x:t xml:space="preserve">Q00241</x:t>
  </x:si>
  <x:si>
    <x:t xml:space="preserve">Q00242</x:t>
  </x:si>
  <x:si>
    <x:t xml:space="preserve">Q00243</x:t>
  </x:si>
  <x:si>
    <x:t xml:space="preserve">Q00244</x:t>
  </x:si>
  <x:si>
    <x:t xml:space="preserve">Q00245</x:t>
  </x:si>
  <x:si>
    <x:t xml:space="preserve">Q00246</x:t>
  </x:si>
  <x:si>
    <x:t xml:space="preserve">Q00247</x:t>
  </x:si>
  <x:si>
    <x:t xml:space="preserve">Q00248</x:t>
  </x:si>
  <x:si>
    <x:t xml:space="preserve">Resistance</x:t>
  </x:si>
  <x:si>
    <x:t xml:space="preserve">Q00249</x:t>
  </x:si>
  <x:si>
    <x:t xml:space="preserve">Q00250</x:t>
  </x:si>
  <x:si>
    <x:t xml:space="preserve">Q00251</x:t>
  </x:si>
  <x:si>
    <x:t xml:space="preserve">Q00252</x:t>
  </x:si>
  <x:si>
    <x:t xml:space="preserve">Q00253</x:t>
  </x:si>
  <x:si>
    <x:t xml:space="preserve">Application</x:t>
  </x:si>
  <x:si>
    <x:t xml:space="preserve">Industrial uses</x:t>
  </x:si>
  <x:si>
    <x:t xml:space="preserve">Exact PET-GF grade; product description</x:t>
  </x:si>
  <x:si>
    <x:t xml:space="preserve">Q00256</x:t>
  </x:si>
  <x:si>
    <x:t xml:space="preserve">Certification</x:t>
  </x:si>
  <x:si>
    <x:t xml:space="preserve">Food contact</x:t>
  </x:si>
  <x:si>
    <x:t xml:space="preserve">Manufacturer does not recommend food-contact use.</x:t>
  </x:si>
  <x:si>
    <x:t xml:space="preserve">Acids, alkalis and alcohols: good resistance at25°C. Water, acetone, oils, greases, car fluids and ozone: medium to low at25°C. Concentrations and durations not specified.</x:t>
  </x:si>
  <x:si>
    <x:t xml:space="preserve">Q00258</x:t>
  </x:si>
  <x:si>
    <x:t xml:space="preserve">Acetone</x:t>
  </x:si>
  <x:si>
    <x:t xml:space="preserve">No appearance change; mechanical properties retained. Source rating ++.</x:t>
  </x:si>
  <x:si>
    <x:t xml:space="preserve">24h immersion; temperature unspecified except ethanol60°C. No numerical retention percentage.</x:t>
  </x:si>
  <x:si>
    <x:t xml:space="preserve">Q00259</x:t>
  </x:si>
  <x:si>
    <x:t xml:space="preserve">Ethanol</x:t>
  </x:si>
  <x:si>
    <x:t xml:space="preserve">Q00260</x:t>
  </x:si>
  <x:si>
    <x:t xml:space="preserve">Ethanol (60°C)</x:t>
  </x:si>
  <x:si>
    <x:t xml:space="preserve">Q00261</x:t>
  </x:si>
  <x:si>
    <x:t xml:space="preserve">Isopropanol</x:t>
  </x:si>
  <x:si>
    <x:t xml:space="preserve">Q00262</x:t>
  </x:si>
  <x:si>
    <x:t xml:space="preserve">Limonene</x:t>
  </x:si>
  <x:si>
    <x:t xml:space="preserve">Little/no appearance change; slight mechanical-property decrease. Source rating +.</x:t>
  </x:si>
  <x:si>
    <x:t xml:space="preserve">Q00263</x:t>
  </x:si>
  <x:si>
    <x:t xml:space="preserve">Methanol</x:t>
  </x:si>
  <x:si>
    <x:t xml:space="preserve">Q00264</x:t>
  </x:si>
  <x:si>
    <x:t xml:space="preserve">Methyl ethyl ketone</x:t>
  </x:si>
  <x:si>
    <x:t xml:space="preserve">Q00265</x:t>
  </x:si>
  <x:si>
    <x:t xml:space="preserve">Petroleum</x:t>
  </x:si>
  <x:si>
    <x:t xml:space="preserve">Q00266</x:t>
  </x:si>
  <x:si>
    <x:t xml:space="preserve">Propylene glycol</x:t>
  </x:si>
  <x:si>
    <x:t xml:space="preserve">Q00267</x:t>
  </x:si>
  <x:si>
    <x:t xml:space="preserve">Acetic acid80%</x:t>
  </x:si>
  <x:si>
    <x:t xml:space="preserve">Q00268</x:t>
  </x:si>
  <x:si>
    <x:t xml:space="preserve">Nitric acid10%</x:t>
  </x:si>
  <x:si>
    <x:t xml:space="preserve">Q00269</x:t>
  </x:si>
  <x:si>
    <x:t xml:space="preserve">Phosphoric acid40%</x:t>
  </x:si>
  <x:si>
    <x:t xml:space="preserve">Q00270</x:t>
  </x:si>
  <x:si>
    <x:t xml:space="preserve">Sulfuric acid70%</x:t>
  </x:si>
  <x:si>
    <x:t xml:space="preserve">Q00271</x:t>
  </x:si>
  <x:si>
    <x:t xml:space="preserve">Family-level printer guidance, not a grade-specific measured property.</x:t>
  </x:si>
  <x:si>
    <x:t xml:space="preserve">PR-pla</x:t>
  </x:si>
  <x:si>
    <x:t xml:space="preserve">Q00272</x:t>
  </x:si>
  <x:si>
    <x:t xml:space="preserve">Avoid when</x:t>
  </x:si>
  <x:si>
    <x:t xml:space="preserve">Repeated impact, outdoor exposure or elevated service temperature governs.</x:t>
  </x:si>
  <x:si>
    <x:t xml:space="preserve">Q00273</x:t>
  </x:si>
  <x:si>
    <x:t xml:space="preserve">Print quality</x:t>
  </x:si>
  <x:si>
    <x:t xml:space="preserve">Low printing difficulty; limited warping and good small-feature reproduction.</x:t>
  </x:si>
  <x:si>
    <x:t xml:space="preserve">Q00274</x:t>
  </x:si>
  <x:si>
    <x:t xml:space="preserve">Sanding / bonding</x:t>
  </x:si>
  <x:si>
    <x:t xml:space="preserve">Wet sanding reduces heat damage. Cyanoacrylate bonding is feasible; routine solvent smoothing is unsuitable.</x:t>
  </x:si>
  <x:si>
    <x:t xml:space="preserve">Q00275</x:t>
  </x:si>
  <x:si>
    <x:t xml:space="preserve">Environmental</x:t>
  </x:si>
  <x:si>
    <x:t xml:space="preserve">UV / heat</x:t>
  </x:si>
  <x:si>
    <x:t xml:space="preserve">UV exposure and heat can degrade performance; unmodified PLA is not a weathering-grade default.</x:t>
  </x:si>
  <x:si>
    <x:t xml:space="preserve">Q00276</x:t>
  </x:si>
  <x:si>
    <x:t xml:space="preserve">Circularity</x:t>
  </x:si>
  <x:si>
    <x:t xml:space="preserve">Disposal</x:t>
  </x:si>
  <x:si>
    <x:t xml:space="preserve">Industrial compostability does not imply breakdown in home compost.</x:t>
  </x:si>
  <x:si>
    <x:t xml:space="preserve">Q00277</x:t>
  </x:si>
  <x:si>
    <x:t xml:space="preserve">Polymer-level food-contact statements do not certify a printed article or its cleanability.</x:t>
  </x:si>
  <x:si>
    <x:t xml:space="preserve">Q00278</x:t>
  </x:si>
  <x:si>
    <x:t xml:space="preserve">PR-petg</x:t>
  </x:si>
  <x:si>
    <x:t xml:space="preserve">Q00279</x:t>
  </x:si>
  <x:si>
    <x:t xml:space="preserve">Finish / detail</x:t>
  </x:si>
  <x:si>
    <x:t xml:space="preserve">Glossy appearance and low warping; fine detail and support release are less favourable than PLA.</x:t>
  </x:si>
  <x:si>
    <x:t xml:space="preserve">Q00280</x:t>
  </x:si>
  <x:si>
    <x:t xml:space="preserve">Support / adhesion</x:t>
  </x:si>
  <x:si>
    <x:t xml:space="preserve">Use a release layer where recommended to protect smooth PEI. Strong self-support adhesion complicates removal.</x:t>
  </x:si>
  <x:si>
    <x:t xml:space="preserve">Q00281</x:t>
  </x:si>
  <x:si>
    <x:t xml:space="preserve">Cooling / stringing</x:t>
  </x:si>
  <x:si>
    <x:t xml:space="preserve">Tune cooling and retraction for stringing and detail; cooling can trade against interlayer bonding.</x:t>
  </x:si>
  <x:si>
    <x:t xml:space="preserve">Q00282</x:t>
  </x:si>
  <x:si>
    <x:t xml:space="preserve">PR-abs</x:t>
  </x:si>
  <x:si>
    <x:t xml:space="preserve">Q00283</x:t>
  </x:si>
  <x:si>
    <x:t xml:space="preserve">UV</x:t>
  </x:si>
  <x:si>
    <x:t xml:space="preserve">Long outdoor exposure can cause yellowing and embrittlement.</x:t>
  </x:si>
  <x:si>
    <x:t xml:space="preserve">Q00284</x:t>
  </x:si>
  <x:si>
    <x:t xml:space="preserve">Warping / emissions</x:t>
  </x:si>
  <x:si>
    <x:t xml:space="preserve">Large thermal gradients cause warping; heated enclosure and emission control matter.</x:t>
  </x:si>
  <x:si>
    <x:t xml:space="preserve">Q00285</x:t>
  </x:si>
  <x:si>
    <x:t xml:space="preserve">Vapour smoothing</x:t>
  </x:si>
  <x:si>
    <x:t xml:space="preserve">Acetone smoothing is possible; solvent handling and dimensional changes require control.</x:t>
  </x:si>
  <x:si>
    <x:t xml:space="preserve">Q00286</x:t>
  </x:si>
  <x:si>
    <x:t xml:space="preserve">PR-asa</x:t>
  </x:si>
  <x:si>
    <x:t xml:space="preserve">Q00287</x:t>
  </x:si>
  <x:si>
    <x:t xml:space="preserve">UV / weather</x:t>
  </x:si>
  <x:si>
    <x:t xml:space="preserve">Better UV durability than ABS; no universal outdoor service-life guarantee.</x:t>
  </x:si>
  <x:si>
    <x:t xml:space="preserve">Q00288</x:t>
  </x:si>
  <x:si>
    <x:t xml:space="preserve">Warping / detail</x:t>
  </x:si>
  <x:si>
    <x:t xml:space="preserve">Enclosure helps warping; source describes good detail and little stringing.</x:t>
  </x:si>
  <x:si>
    <x:t xml:space="preserve">Q00289</x:t>
  </x:si>
  <x:si>
    <x:t xml:space="preserve">Machining / finishing</x:t>
  </x:si>
  <x:si>
    <x:t xml:space="preserve">Sanding, cutting and acetone bonding are feasible. Vapour smoothing rounds edges and loses detail.</x:t>
  </x:si>
  <x:si>
    <x:t xml:space="preserve">Q00290</x:t>
  </x:si>
  <x:si>
    <x:t xml:space="preserve">PR-polycarbonate-pc</x:t>
  </x:si>
  <x:si>
    <x:t xml:space="preserve">Q00291</x:t>
  </x:si>
  <x:si>
    <x:t xml:space="preserve">Moisture</x:t>
  </x:si>
  <x:si>
    <x:t xml:space="preserve">Pure PC is moisture-sensitive; modified grades can behave differently.</x:t>
  </x:si>
  <x:si>
    <x:t xml:space="preserve">Q00292</x:t>
  </x:si>
  <x:si>
    <x:t xml:space="preserve">Warping / bed</x:t>
  </x:si>
  <x:si>
    <x:t xml:space="preserve">Warping increases with large, dense geometries. Confirm surface and glue-release requirements.</x:t>
  </x:si>
  <x:si>
    <x:t xml:space="preserve">Q00293</x:t>
  </x:si>
  <x:si>
    <x:t xml:space="preserve">Grade distinction</x:t>
  </x:si>
  <x:si>
    <x:t xml:space="preserve">PC blends are not equivalent to pure PC. Do not transfer a blend profile to another formulation.</x:t>
  </x:si>
  <x:si>
    <x:t xml:space="preserve">Q00294</x:t>
  </x:si>
  <x:si>
    <x:t xml:space="preserve">PR-flexible-materials</x:t>
  </x:si>
  <x:si>
    <x:t xml:space="preserve">Q00295</x:t>
  </x:si>
  <x:si>
    <x:t xml:space="preserve">Feed / overhangs</x:t>
  </x:si>
  <x:si>
    <x:t xml:space="preserve">Soft filament is difficult to feed; overhangs and bridges are weak points.</x:t>
  </x:si>
  <x:si>
    <x:t xml:space="preserve">Q00296</x:t>
  </x:si>
  <x:si>
    <x:t xml:space="preserve">Support removal</x:t>
  </x:si>
  <x:si>
    <x:t xml:space="preserve">Self-supports can bond strongly and become difficult to remove.</x:t>
  </x:si>
  <x:si>
    <x:t xml:space="preserve">Q00297</x:t>
  </x:si>
  <x:si>
    <x:t xml:space="preserve">Dry before and during printing as required; wet filament degrades print quality.</x:t>
  </x:si>
  <x:si>
    <x:t xml:space="preserve">Q00298</x:t>
  </x:si>
  <x:si>
    <x:t xml:space="preserve">PR-polyamide-nylon</x:t>
  </x:si>
  <x:si>
    <x:t xml:space="preserve">Q00299</x:t>
  </x:si>
  <x:si>
    <x:t xml:space="preserve">Moisture / dimensions</x:t>
  </x:si>
  <x:si>
    <x:t xml:space="preserve">Moisture uptake affects printing and service behaviour; qualify at the intended conditioning state.</x:t>
  </x:si>
  <x:si>
    <x:t xml:space="preserve">Q00300</x:t>
  </x:si>
  <x:si>
    <x:t xml:space="preserve">Warping</x:t>
  </x:si>
  <x:si>
    <x:t xml:space="preserve">Unfilled nylon can warp substantially; filled grades require separate processing validation.</x:t>
  </x:si>
  <x:si>
    <x:t xml:space="preserve">PR-cpe</x:t>
  </x:si>
  <x:si>
    <x:t xml:space="preserve">Q00302</x:t>
  </x:si>
  <x:si>
    <x:t xml:space="preserve">Bed / warping</x:t>
  </x:si>
  <x:si>
    <x:t xml:space="preserve">Lower warping than ABS. Smooth PEI can need a release layer.</x:t>
  </x:si>
  <x:si>
    <x:t xml:space="preserve">Hygroscopic; drying and storage remain important.</x:t>
  </x:si>
  <x:si>
    <x:t xml:space="preserve">Q00304</x:t>
  </x:si>
  <x:si>
    <x:t xml:space="preserve">PR-polypropylene-pp</x:t>
  </x:si>
  <x:si>
    <x:t xml:space="preserve">Q00305</x:t>
  </x:si>
  <x:si>
    <x:t xml:space="preserve">Warping / adhesion</x:t>
  </x:si>
  <x:si>
    <x:t xml:space="preserve">Unfilled PP has difficult bed adhesion and substantial warping, especially in large prints.</x:t>
  </x:si>
  <x:si>
    <x:t xml:space="preserve">Q00306</x:t>
  </x:si>
  <x:si>
    <x:t xml:space="preserve">Filled grades</x:t>
  </x:si>
  <x:si>
    <x:t xml:space="preserve">Fibre filling may reduce warping, but does not establish universal strength or fatigue improvement.</x:t>
  </x:si>
  <x:si>
    <x:t xml:space="preserve">Q00307</x:t>
  </x:si>
  <x:si>
    <x:t xml:space="preserve">Limonene support</x:t>
  </x:si>
  <x:si>
    <x:t xml:space="preserve">HIPS dissolves in d-limonene. Long solvent exposure can also attack ABS/ASA models.</x:t>
  </x:si>
  <x:si>
    <x:t xml:space="preserve">PR-hips</x:t>
  </x:si>
  <x:si>
    <x:t xml:space="preserve">Q00308</x:t>
  </x:si>
  <x:si>
    <x:t xml:space="preserve">Q00309</x:t>
  </x:si>
  <x:si>
    <x:t xml:space="preserve">Support conflict</x:t>
  </x:si>
  <x:si>
    <x:t xml:space="preserve">Do not assume the common ABS/HIPS pairing permits unlimited soaking; test short exposures and mechanical removal.</x:t>
  </x:si>
  <x:si>
    <x:t xml:space="preserve">Q00310</x:t>
  </x:si>
  <x:si>
    <x:t xml:space="preserve">Water removal</x:t>
  </x:si>
  <x:si>
    <x:t xml:space="preserve">Water-soluble supports allow access to complex internal geometries.</x:t>
  </x:si>
  <x:si>
    <x:t xml:space="preserve">PR-water-soluble-bvoh-pva</x:t>
  </x:si>
  <x:si>
    <x:t xml:space="preserve">Very hygroscopic; moisture control and drying are essential.</x:t>
  </x:si>
  <x:si>
    <x:t xml:space="preserve">Contamination</x:t>
  </x:si>
  <x:si>
    <x:t xml:space="preserve">Residual model polymer can prevent complete dissolution. H2C route rules take precedence over generic printer advice.</x:t>
  </x:si>
  <x:si>
    <x:t xml:space="preserve">Q00313</x:t>
  </x:si>
  <x:si>
    <x:t xml:space="preserve">PR-pvb</x:t>
  </x:si>
  <x:si>
    <x:t xml:space="preserve">Q00314</x:t>
  </x:si>
  <x:si>
    <x:t xml:space="preserve">Smoothing</x:t>
  </x:si>
  <x:si>
    <x:t xml:space="preserve">Alcohol-based smoothing is possible; validate dimensional loss and solvent handling.</x:t>
  </x:si>
  <x:si>
    <x:t xml:space="preserve">Highly moisture-sensitive filament; keep dry.</x:t>
  </x:si>
  <x:si>
    <x:t xml:space="preserve">PR-ngen</x:t>
  </x:si>
  <x:si>
    <x:t xml:space="preserve">Q00317</x:t>
  </x:si>
  <x:si>
    <x:t xml:space="preserve">Bed</x:t>
  </x:si>
  <x:si>
    <x:t xml:space="preserve">Use a suitable sheet or separation layer; do not equate filament diameter tolerance with part accuracy.</x:t>
  </x:si>
  <x:si>
    <x:t xml:space="preserve">Creep</x:t>
  </x:si>
  <x:si>
    <x:t xml:space="preserve">Shared selection principle</x:t>
  </x:si>
  <x:si>
    <x:t xml:space="preserve">Short-term modulus is not a long-term design modulus. Use time-, temperature- and stress-dependent creep or relaxation data for the intended fabrication and conditioning state.</x:t>
  </x:si>
  <x:si>
    <x:t xml:space="preserve">Applies to all polymer entries; qualitative design context only.</x:t>
  </x:si>
  <x:si>
    <x:t xml:space="preserve">Selection interpretation</x:t>
  </x:si>
  <x:si>
    <x:t xml:space="preserve">LOCAL-CREEP</x:t>
  </x:si>
  <x:si>
    <x:t xml:space="preserve">Fatigue</x:t>
  </x:si>
  <x:si>
    <x:t xml:space="preserve">Shared reinforced-polymer principle</x:t>
  </x:si>
  <x:si>
    <x:t xml:space="preserve">Fibre reinforcement does not guarantee improved fatigue life. Matrix damage, fibre alignment, moisture and cyclic heating can govern endurance.</x:t>
  </x:si>
  <x:si>
    <x:t xml:space="preserve">Applies to reinforced entries; not an FDM fatigue allowable.</x:t>
  </x:si>
  <x:si>
    <x:t xml:space="preserve">LOCAL-FATIGUE</x:t>
  </x:si>
  <x:si>
    <x:t xml:space="preserve">Safety</x:t>
  </x:si>
  <x:si>
    <x:t xml:space="preserve">Shared emissions precaution</x:t>
  </x:si>
  <x:si>
    <x:t xml:space="preserve">Material extrusion can release particles and volatile compounds. Assess ventilation and source capture; low odour does not establish low exposure. Protect against hot surfaces and machining dust.</x:t>
  </x:si>
  <x:si>
    <x:t xml:space="preserve">All entries. Consult the exact grade SDS and workplace assessment.</x:t>
  </x:si>
  <x:si>
    <x:t xml:space="preserve">NIOSH-2019</x:t>
  </x:si>
  <x:si>
    <x:t xml:space="preserve">Q00322</x:t>
  </x:si>
  <x:si>
    <x:t xml:space="preserve">Low moisture uptake, but poor weathering durability is stated.</x:t>
  </x:si>
  <x:si>
    <x:t xml:space="preserve">Q00323</x:t>
  </x:si>
  <x:si>
    <x:t xml:space="preserve">Dilute acids above pH 4, dilute bases, oils and alcohols are described as resistant; concentrated acids, hydrofluoric acid and oxidizers are not. Exposure duration and temperature are unspecified.</x:t>
  </x:si>
  <x:si>
    <x:t xml:space="preserve">Q00324</x:t>
  </x:si>
  <x:si>
    <x:t xml:space="preserve">Manufacturer describes lower water uptake than PA6 and good dimensional stability.</x:t>
  </x:si>
  <x:si>
    <x:t xml:space="preserve">Q00325</x:t>
  </x:si>
  <x:si>
    <x:t xml:space="preserve">Resistance to ethers, esters and many bases is claimed without exposure conditions.</x:t>
  </x:si>
  <x:si>
    <x:t xml:space="preserve">Q00327</x:t>
  </x:si>
  <x:si>
    <x:t xml:space="preserve">Q00328</x:t>
  </x:si>
  <x:si>
    <x:t xml:space="preserve">Long-term heat claim of 120°C is tied to annealing, not a universal as-printed limit.</x:t>
  </x:si>
  <x:si>
    <x:t xml:space="preserve">Creep resistance is qualitative; no creep curve or specified long-term allowable supplied.</x:t>
  </x:si>
  <x:si>
    <x:t xml:space="preserve">Store sealed; source specifies drying at 90–100°C for 6–8 h when wet.</x:t>
  </x:si>
  <x:si>
    <x:t xml:space="preserve">Q00332</x:t>
  </x:si>
  <x:si>
    <x:t xml:space="preserve">Hardened nozzle recommended. Reduced warping is a vendor claim, not a calibrated part tolerance.</x:t>
  </x:si>
  <x:si>
    <x:t xml:space="preserve">Q00334</x:t>
  </x:si>
  <x:si>
    <x:t xml:space="preserve">Spool-specific filament certificate does not certify the printed part tolerance.</x:t>
  </x:si>
  <x:si>
    <x:t xml:space="preserve">Industrial use</x:t>
  </x:si>
  <x:si>
    <x:t xml:space="preserve">Manufacturer high-temperature grade, not H2C validation.</x:t>
  </x:si>
  <x:si>
    <x:t xml:space="preserve">Hydrolysis / dimensional stability</x:t>
  </x:si>
  <x:si>
    <x:t xml:space="preserve">Manufacturer describes hydrolytic stability and dimensional retention; no universal lifetime or sustained-load allowable is established.</x:t>
  </x:si>
  <x:si>
    <x:t xml:space="preserve">Product qualitative claims; verify medium, temperature, load and duration.</x:t>
  </x:si>
  <x:si>
    <x:t xml:space="preserve">S–N evidence</x:t>
  </x:si>
  <x:si>
    <x:t xml:space="preserve">Grade-specific fatigue observations are recorded in Properties. They use a Fortus 450, XY raster and room-temperature loading; they are not transferable to Bambu grades without validation.</x:t>
  </x:si>
  <x:si>
    <x:t xml:space="preserve">Tables 5–8; 10 Hz, R=0.05, 1,000,000-cycle run-out.</x:t>
  </x:si>
  <x:si>
    <x:t xml:space="preserve">Published observation</x:t>
  </x:si>
  <x:si>
    <x:t xml:space="preserve">Q00349</x:t>
  </x:si>
  <x:si>
    <x:t xml:space="preserve">Mineral oil and cyclic loading</x:t>
  </x:si>
  <x:si>
    <x:t xml:space="preserve">Original study examines mineral-oil exposure coupled with low-cycle loading. The exposure and loading protocol must be matched; a generic oil-resistance label is insufficient.</x:t>
  </x:si>
  <x:si>
    <x:t xml:space="preserve">Study-specific printed specimens; do not transfer a global chemical-resistance rating.</x:t>
  </x:si>
  <x:si>
    <x:t xml:space="preserve">P-CHEM</x:t>
  </x:si>
  <x:si>
    <x:t xml:space="preserve">Q00350</x:t>
  </x:si>
  <x:si>
    <x:t xml:space="preserve">Q00352</x:t>
  </x:si>
  <x:si>
    <x:t xml:space="preserve">Q00353</x:t>
  </x:si>
  <x:si>
    <x:t xml:space="preserve">Researcher classification from published processing cautions: 1/5. Higher means more process control, not lower material quality.</x:t>
  </x:si>
  <x:si>
    <x:t xml:space="preserve">Family-level rubric R-PRINT; no direct H2C test.</x:t>
  </x:si>
  <x:si>
    <x:t xml:space="preserve">Q00354</x:t>
  </x:si>
  <x:si>
    <x:t xml:space="preserve">Researcher classification from published processing cautions: 2/5. Higher means more process control, not lower material quality.</x:t>
  </x:si>
  <x:si>
    <x:t xml:space="preserve">Q00355</x:t>
  </x:si>
  <x:si>
    <x:t xml:space="preserve">Researcher classification from published processing cautions: 4/5. Higher means more process control, not lower material quality.</x:t>
  </x:si>
  <x:si>
    <x:t xml:space="preserve">Q00356</x:t>
  </x:si>
  <x:si>
    <x:t xml:space="preserve">Q00357</x:t>
  </x:si>
  <x:si>
    <x:t xml:space="preserve">Q00358</x:t>
  </x:si>
  <x:si>
    <x:t xml:space="preserve">Q00359</x:t>
  </x:si>
  <x:si>
    <x:t xml:space="preserve">Q00360</x:t>
  </x:si>
  <x:si>
    <x:t xml:space="preserve">Researcher classification from published processing cautions: 5/5. Higher means more process control, not lower material quality.</x:t>
  </x:si>
  <x:si>
    <x:t xml:space="preserve">Q00361</x:t>
  </x:si>
  <x:si>
    <x:t xml:space="preserve">Q00362</x:t>
  </x:si>
  <x:si>
    <x:t xml:space="preserve">Prices CA</x:t>
  </x:si>
  <x:si>
    <x:t xml:space="preserve">PriceID</x:t>
  </x:si>
  <x:si>
    <x:t xml:space="preserve">Retailer</x:t>
  </x:si>
  <x:si>
    <x:t xml:space="preserve">Variant / SKU</x:t>
  </x:si>
  <x:si>
    <x:t xml:space="preserve">Packaging</x:t>
  </x:si>
  <x:si>
    <x:t xml:space="preserve">Net mass kg</x:t>
  </x:si>
  <x:si>
    <x:t xml:space="preserve">List price CAD</x:t>
  </x:si>
  <x:si>
    <x:t xml:space="preserve">Sale price CAD</x:t>
  </x:si>
  <x:si>
    <x:t xml:space="preserve">Regular CAD/kg</x:t>
  </x:si>
  <x:si>
    <x:t xml:space="preserve">Stock</x:t>
  </x:si>
  <x:si>
    <x:t xml:space="preserve">Eligible for median</x:t>
  </x:si>
  <x:si>
    <x:t xml:space="preserve">Headline sample</x:t>
  </x:si>
  <x:si>
    <x:t xml:space="preserve">Displayed price CAD</x:t>
  </x:si>
  <x:si>
    <x:t xml:space="preserve">Currency</x:t>
  </x:si>
  <x:si>
    <x:t xml:space="preserve">Market</x:t>
  </x:si>
  <x:si>
    <x:t xml:space="preserve">Tax / shipping</x:t>
  </x:si>
  <x:si>
    <x:t xml:space="preserve">Regular price basis</x:t>
  </x:si>
  <x:si>
    <x:t xml:space="preserve">URL</x:t>
  </x:si>
  <x:si>
    <x:t xml:space="preserve">Access date</x:t>
  </x:si>
  <x:si>
    <x:t xml:space="preserve">CA0001</x:t>
  </x:si>
  <x:si>
    <x:t xml:space="preserve">Bambu Lab Canada</x:t>
  </x:si>
  <x:si>
    <x:t xml:space="preserve">PLA Basic - Jade White (10100) / Refill / 1kg</x:t>
  </x:si>
  <x:si>
    <x:t xml:space="preserve">Refill</x:t>
  </x:si>
  <x:si>
    <x:t xml:space="preserve">In stock</x:t>
  </x:si>
  <x:si>
    <x:t xml:space="preserve">CAD</x:t>
  </x:si>
  <x:si>
    <x:t xml:space="preserve">Canadian storefront</x:t>
  </x:si>
  <x:si>
    <x:t xml:space="preserve">Excluded; shipping calculated at checkout</x:t>
  </x:si>
  <x:si>
    <x:t xml:space="preserve">MSRP in current page matches variant offer</x:t>
  </x:si>
  <x:si>
    <x:t xml:space="preserve">https://ca.store.bambulab.com/products/pla-basic-filament?id=43115681841392</x:t>
  </x:si>
  <x:si>
    <x:t xml:space="preserve">B-pla-basic-filament</x:t>
  </x:si>
  <x:si>
    <x:t xml:space="preserve">Mass is filament only, not shipping/spool weight. </x:t>
  </x:si>
  <x:si>
    <x:t xml:space="preserve">CA0002</x:t>
  </x:si>
  <x:si>
    <x:t xml:space="preserve">PLA Basic - Jade White (10100) / Filament with spool / 1kg</x:t>
  </x:si>
  <x:si>
    <x:t xml:space="preserve">Spool</x:t>
  </x:si>
  <x:si>
    <x:t xml:space="preserve">Current offer; variant-specific regular price not independently resolved</x:t>
  </x:si>
  <x:si>
    <x:t xml:space="preserve">https://ca.store.bambulab.com/products/pla-basic-filament?id=43886297678064</x:t>
  </x:si>
  <x:si>
    <x:t xml:space="preserve">Mass is filament only, not shipping/spool weight. Bulk or unresolved regular price excluded.</x:t>
  </x:si>
  <x:si>
    <x:t xml:space="preserve">CA0003</x:t>
  </x:si>
  <x:si>
    <x:t xml:space="preserve">PLA Matte - Ivory White (11100) / Refill / 1kg</x:t>
  </x:si>
  <x:si>
    <x:t xml:space="preserve">https://ca.store.bambulab.com/products/pla-matte?id=43135539839216</x:t>
  </x:si>
  <x:si>
    <x:t xml:space="preserve">B-pla-matte</x:t>
  </x:si>
  <x:si>
    <x:t xml:space="preserve">CA0004</x:t>
  </x:si>
  <x:si>
    <x:t xml:space="preserve">PLA Matte - Marine Blue (11600) / Filament with spool / 1kg</x:t>
  </x:si>
  <x:si>
    <x:t xml:space="preserve">https://ca.store.bambulab.com/products/pla-matte?id=43887138439408</x:t>
  </x:si>
  <x:si>
    <x:t xml:space="preserve">CA0005</x:t>
  </x:si>
  <x:si>
    <x:t xml:space="preserve">PLA Matte - Bone White (11103) / Refill / 1kg</x:t>
  </x:si>
  <x:si>
    <x:t xml:space="preserve">Out of stock</x:t>
  </x:si>
  <x:si>
    <x:t xml:space="preserve">https://ca.store.bambulab.com/products/pla-matte?id=563882858931896329</x:t>
  </x:si>
  <x:si>
    <x:t xml:space="preserve">CA0006</x:t>
  </x:si>
  <x:si>
    <x:t xml:space="preserve">PLA Basic Gradient - Arctic Whisper (10900) / Filament with spool / 1kg</x:t>
  </x:si>
  <x:si>
    <x:t xml:space="preserve">Official single-unit CAD price; no promotion in price block</x:t>
  </x:si>
  <x:si>
    <x:t xml:space="preserve">https://ca.store.bambulab.com/products/pla-basic-gradient?id=44159419810032</x:t>
  </x:si>
  <x:si>
    <x:t xml:space="preserve">B-pla-basic-gradient</x:t>
  </x:si>
  <x:si>
    <x:t xml:space="preserve">CA0007</x:t>
  </x:si>
  <x:si>
    <x:t xml:space="preserve">PLA Tough+ - White (12107) / Filament with Spool / 1kg</x:t>
  </x:si>
  <x:si>
    <x:t xml:space="preserve">https://ca.store.bambulab.com/products/pla-tough-upgrade?id=624467991622688768</x:t>
  </x:si>
  <x:si>
    <x:t xml:space="preserve">B-pla-tough-upgrade</x:t>
  </x:si>
  <x:si>
    <x:t xml:space="preserve">PLA Tough+ - White (12107) / Refill / 1kg</x:t>
  </x:si>
  <x:si>
    <x:t xml:space="preserve">https://ca.store.bambulab.com/products/pla-tough-upgrade?id=659539854443044866</x:t>
  </x:si>
  <x:si>
    <x:t xml:space="preserve">PLA Translucent - Teal (13612) / Filament with spool / 1 kg</x:t>
  </x:si>
  <x:si>
    <x:t xml:space="preserve">https://ca.store.bambulab.com/products/pla-translucent?id=594048155633315855</x:t>
  </x:si>
  <x:si>
    <x:t xml:space="preserve">B-pla-translucent</x:t>
  </x:si>
  <x:si>
    <x:t xml:space="preserve">CA0010</x:t>
  </x:si>
  <x:si>
    <x:t xml:space="preserve">PLA Silk+ - Gold (13405) / Filament with spool / 1 kg</x:t>
  </x:si>
  <x:si>
    <x:t xml:space="preserve">https://ca.store.bambulab.com/products/pla-silk-upgrade?id=542547831280766994</x:t>
  </x:si>
  <x:si>
    <x:t xml:space="preserve">B-pla-silk-upgrade</x:t>
  </x:si>
  <x:si>
    <x:t xml:space="preserve">CA0011</x:t>
  </x:si>
  <x:si>
    <x:t xml:space="preserve">PLA Silk+ - Gold (13405) / Refill / 1 kg</x:t>
  </x:si>
  <x:si>
    <x:t xml:space="preserve">https://ca.store.bambulab.com/products/pla-silk-upgrade?id=669699832095612930</x:t>
  </x:si>
  <x:si>
    <x:t xml:space="preserve">CA0012</x:t>
  </x:si>
  <x:si>
    <x:t xml:space="preserve">PLA Silk Multi-Color - Gilded Rose (13901) / Filament with spool / 1 kg</x:t>
  </x:si>
  <x:si>
    <x:t xml:space="preserve">https://ca.store.bambulab.com/products/pla-silk-multi-color?id=44852088176880</x:t>
  </x:si>
  <x:si>
    <x:t xml:space="preserve">B-pla-silk-dual-color</x:t>
  </x:si>
  <x:si>
    <x:t xml:space="preserve">PLA Metal - Oxide Green Metallic (13500) / Filament with spool / 1 kg</x:t>
  </x:si>
  <x:si>
    <x:t xml:space="preserve">https://ca.store.bambulab.com/products/pla-metal?id=43809123172592</x:t>
  </x:si>
  <x:si>
    <x:t xml:space="preserve">B-pla-metal</x:t>
  </x:si>
  <x:si>
    <x:t xml:space="preserve">CA0014</x:t>
  </x:si>
  <x:si>
    <x:t xml:space="preserve">PLA Metal - Iron Gray Metallic (13100) / Filament with spool / 1 kg</x:t>
  </x:si>
  <x:si>
    <x:t xml:space="preserve">https://ca.store.bambulab.com/products/pla-metal?id=44106847584496</x:t>
  </x:si>
  <x:si>
    <x:t xml:space="preserve">PLA Marble - White Marble (13103) / Filament with spool / 1 kg</x:t>
  </x:si>
  <x:si>
    <x:t xml:space="preserve">https://ca.store.bambulab.com/products/pla-marble?id=43867392868592</x:t>
  </x:si>
  <x:si>
    <x:t xml:space="preserve">B-pla-marble</x:t>
  </x:si>
  <x:si>
    <x:t xml:space="preserve">PLA Sparkle - Alpine Green Sparkle (13501) / Filament with spool / 1 kg</x:t>
  </x:si>
  <x:si>
    <x:t xml:space="preserve">https://ca.store.bambulab.com/products/pla-sparkle?id=43809130086640</x:t>
  </x:si>
  <x:si>
    <x:t xml:space="preserve">B-pla-sparkle</x:t>
  </x:si>
  <x:si>
    <x:t xml:space="preserve">CA0017</x:t>
  </x:si>
  <x:si>
    <x:t xml:space="preserve">PLA Sparkle - Crimson Red Sparkle (13200) / Filament with spool / 1 kg</x:t>
  </x:si>
  <x:si>
    <x:t xml:space="preserve">https://ca.store.bambulab.com/products/pla-sparkle?id=43809130119408</x:t>
  </x:si>
  <x:si>
    <x:t xml:space="preserve">PLA Wood - Black Walnut (13107) / Filament with spool / 1 kg</x:t>
  </x:si>
  <x:si>
    <x:t xml:space="preserve">https://ca.store.bambulab.com/products/pla-wood?id=46788372824304</x:t>
  </x:si>
  <x:si>
    <x:t xml:space="preserve">B-pla-wood</x:t>
  </x:si>
  <x:si>
    <x:t xml:space="preserve">CA0019</x:t>
  </x:si>
  <x:si>
    <x:t xml:space="preserve">PLA Galaxy - Brown (13203) / Filament with spool / 1 kg</x:t>
  </x:si>
  <x:si>
    <x:t xml:space="preserve">https://ca.store.bambulab.com/products/pla-galaxy?id=45164872859888</x:t>
  </x:si>
  <x:si>
    <x:t xml:space="preserve">B-pla-galaxy</x:t>
  </x:si>
  <x:si>
    <x:t xml:space="preserve">PLA Glow - Glow Orange (15300) / Filament with spool / 1 kg</x:t>
  </x:si>
  <x:si>
    <x:t xml:space="preserve">https://ca.store.bambulab.com/products/pla-glow?id=44604961161456</x:t>
  </x:si>
  <x:si>
    <x:t xml:space="preserve">B-pla-glow</x:t>
  </x:si>
  <x:si>
    <x:t xml:space="preserve">PLA Aero - White (14102) / Filament with spool / 1kg</x:t>
  </x:si>
  <x:si>
    <x:t xml:space="preserve">https://ca.store.bambulab.com/products/pla-aero?id=44189333061872</x:t>
  </x:si>
  <x:si>
    <x:t xml:space="preserve">B-pla-aero</x:t>
  </x:si>
  <x:si>
    <x:t xml:space="preserve">CA0022</x:t>
  </x:si>
  <x:si>
    <x:t xml:space="preserve">PLA Aero - Black (14103) / Filament with spool / 1kg</x:t>
  </x:si>
  <x:si>
    <x:t xml:space="preserve">https://ca.store.bambulab.com/products/pla-aero?id=44189333094640</x:t>
  </x:si>
  <x:si>
    <x:t xml:space="preserve">CA0023</x:t>
  </x:si>
  <x:si>
    <x:t xml:space="preserve">PLA-CF - Black (14100) / Filament with spool / 1 kg</x:t>
  </x:si>
  <x:si>
    <x:t xml:space="preserve">https://ca.store.bambulab.com/products/pla-cf?id=43845906235632</x:t>
  </x:si>
  <x:si>
    <x:t xml:space="preserve">B-pla-cf</x:t>
  </x:si>
  <x:si>
    <x:t xml:space="preserve">CA0024</x:t>
  </x:si>
  <x:si>
    <x:t xml:space="preserve">PLA-CF - Burgundy Red (14200) / Filament with spool / 1 kg</x:t>
  </x:si>
  <x:si>
    <x:t xml:space="preserve">https://ca.store.bambulab.com/products/pla-cf?id=44083777536240</x:t>
  </x:si>
  <x:si>
    <x:t xml:space="preserve">PLA-CF - Black (14100) / Refill / 1 kg</x:t>
  </x:si>
  <x:si>
    <x:t xml:space="preserve">https://ca.store.bambulab.com/products/pla-cf?id=46474926129392</x:t>
  </x:si>
  <x:si>
    <x:t xml:space="preserve">CA0026</x:t>
  </x:si>
  <x:si>
    <x:t xml:space="preserve">PLA-CF - Lava Gray (14101) / Refill / 1 kg</x:t>
  </x:si>
  <x:si>
    <x:t xml:space="preserve">https://ca.store.bambulab.com/products/pla-cf?id=46474926555376</x:t>
  </x:si>
  <x:si>
    <x:t xml:space="preserve">PETG Basic - Black(30105) / Refill / 1kg</x:t>
  </x:si>
  <x:si>
    <x:t xml:space="preserve">https://ca.store.bambulab.com/products/petg-basic?id=703075596700733453</x:t>
  </x:si>
  <x:si>
    <x:t xml:space="preserve">B-petg-basic</x:t>
  </x:si>
  <x:si>
    <x:t xml:space="preserve">CA0028</x:t>
  </x:si>
  <x:si>
    <x:t xml:space="preserve">PETG Basic - Black(30105) / Filament with spool / 1kg</x:t>
  </x:si>
  <x:si>
    <x:t xml:space="preserve">https://ca.store.bambulab.com/products/petg-basic?id=703075596704927749</x:t>
  </x:si>
  <x:si>
    <x:t xml:space="preserve">CA0029</x:t>
  </x:si>
  <x:si>
    <x:t xml:space="preserve">PETG HF - Red (33200) / Filament with spool / 1 kg</x:t>
  </x:si>
  <x:si>
    <x:t xml:space="preserve">https://ca.store.bambulab.com/products/petg-hf?id=46336540770544</x:t>
  </x:si>
  <x:si>
    <x:t xml:space="preserve">B-petg-hf</x:t>
  </x:si>
  <x:si>
    <x:t xml:space="preserve">CA0030</x:t>
  </x:si>
  <x:si>
    <x:t xml:space="preserve">PETG HF - Black (33102) / Refill / 1 kg</x:t>
  </x:si>
  <x:si>
    <x:t xml:space="preserve">https://ca.store.bambulab.com/products/petg-hf?id=46336540803312</x:t>
  </x:si>
  <x:si>
    <x:t xml:space="preserve">CA0031</x:t>
  </x:si>
  <x:si>
    <x:t xml:space="preserve">PETG HF - Gray (33101) / Filament with spool / 1 kg</x:t>
  </x:si>
  <x:si>
    <x:t xml:space="preserve">https://ca.store.bambulab.com/products/petg-hf?id=46336541032688</x:t>
  </x:si>
  <x:si>
    <x:t xml:space="preserve">CA0032</x:t>
  </x:si>
  <x:si>
    <x:t xml:space="preserve">PETG Translucent - Light Blue (32600) / Filament with spool / 1 kg</x:t>
  </x:si>
  <x:si>
    <x:t xml:space="preserve">https://ca.store.bambulab.com/products/petg-translucent?id=44862523146480</x:t>
  </x:si>
  <x:si>
    <x:t xml:space="preserve">B-petg-translucent</x:t>
  </x:si>
  <x:si>
    <x:t xml:space="preserve">PETG Translucent - Clear (32101) / Refill / 1 kg</x:t>
  </x:si>
  <x:si>
    <x:t xml:space="preserve">https://ca.store.bambulab.com/products/petg-translucent?id=46081462337776</x:t>
  </x:si>
  <x:si>
    <x:t xml:space="preserve">CA0034</x:t>
  </x:si>
  <x:si>
    <x:t xml:space="preserve">PETG-CF - Black (31100) / Filament with spool / 1 kg</x:t>
  </x:si>
  <x:si>
    <x:t xml:space="preserve">https://ca.store.bambulab.com/products/petg-cf?id=43887125266672</x:t>
  </x:si>
  <x:si>
    <x:t xml:space="preserve">B-petg-cf</x:t>
  </x:si>
  <x:si>
    <x:t xml:space="preserve">CA0035</x:t>
  </x:si>
  <x:si>
    <x:t xml:space="preserve">PETG-CF - Brick Red (31200) / Filament with spool / 1 kg</x:t>
  </x:si>
  <x:si>
    <x:t xml:space="preserve">https://ca.store.bambulab.com/products/petg-cf?id=44180162117872</x:t>
  </x:si>
  <x:si>
    <x:t xml:space="preserve">PETG-CF - Black (31100) / Refill / 1 kg</x:t>
  </x:si>
  <x:si>
    <x:t xml:space="preserve">https://ca.store.bambulab.com/products/petg-cf?id=46475013193968</x:t>
  </x:si>
  <x:si>
    <x:t xml:space="preserve">CA0037</x:t>
  </x:si>
  <x:si>
    <x:t xml:space="preserve">ABS - Black (40101) / Refill / 1kg</x:t>
  </x:si>
  <x:si>
    <x:t xml:space="preserve">https://ca.store.bambulab.com/products/abs-filament?id=43115678859504</x:t>
  </x:si>
  <x:si>
    <x:t xml:space="preserve">B-abs-filament</x:t>
  </x:si>
  <x:si>
    <x:t xml:space="preserve">CA0038</x:t>
  </x:si>
  <x:si>
    <x:t xml:space="preserve">ABS - Silver (40102) / Filament with spool / 1kg</x:t>
  </x:si>
  <x:si>
    <x:t xml:space="preserve">https://ca.store.bambulab.com/products/abs-filament?id=44118341681392</x:t>
  </x:si>
  <x:si>
    <x:t xml:space="preserve">CA0039</x:t>
  </x:si>
  <x:si>
    <x:t xml:space="preserve">ABS - Black (40101) / Filament with spool / 1kg</x:t>
  </x:si>
  <x:si>
    <x:t xml:space="preserve">https://ca.store.bambulab.com/products/abs-filament?id=44183939580144</x:t>
  </x:si>
  <x:si>
    <x:t xml:space="preserve">ABS-GF - White (41100) / Filament with spool / 1 kg</x:t>
  </x:si>
  <x:si>
    <x:t xml:space="preserve">https://ca.store.bambulab.com/products/abs-gf?id=45758386438384</x:t>
  </x:si>
  <x:si>
    <x:t xml:space="preserve">B-abs-gf</x:t>
  </x:si>
  <x:si>
    <x:t xml:space="preserve">CA0041</x:t>
  </x:si>
  <x:si>
    <x:t xml:space="preserve">ASA - Red (45200) / Filament with spool / 1kg</x:t>
  </x:si>
  <x:si>
    <x:t xml:space="preserve">https://ca.store.bambulab.com/products/asa-filament?id=44173925613808</x:t>
  </x:si>
  <x:si>
    <x:t xml:space="preserve">B-asa-filament</x:t>
  </x:si>
  <x:si>
    <x:t xml:space="preserve">CA0042</x:t>
  </x:si>
  <x:si>
    <x:t xml:space="preserve">ASA - Green (45500) / Filament with spool / 1kg</x:t>
  </x:si>
  <x:si>
    <x:t xml:space="preserve">https://ca.store.bambulab.com/products/asa-filament?id=44173925646576</x:t>
  </x:si>
  <x:si>
    <x:t xml:space="preserve">ASA Aero - White (46100) / Filament with spool / 1 kg</x:t>
  </x:si>
  <x:si>
    <x:t xml:space="preserve">https://ca.store.bambulab.com/products/asa-aero?id=45647640101104</x:t>
  </x:si>
  <x:si>
    <x:t xml:space="preserve">B-asa-aero</x:t>
  </x:si>
  <x:si>
    <x:t xml:space="preserve">CA0044</x:t>
  </x:si>
  <x:si>
    <x:t xml:space="preserve">ASA-CF - Black (46101) / Filament with spool / 1 kg</x:t>
  </x:si>
  <x:si>
    <x:t xml:space="preserve">https://ca.store.bambulab.com/products/asa-cf?id=46611883360496</x:t>
  </x:si>
  <x:si>
    <x:t xml:space="preserve">B-asa-cf</x:t>
  </x:si>
  <x:si>
    <x:t xml:space="preserve">PC - Black (60101) / Filament with spool / 1 kg</x:t>
  </x:si>
  <x:si>
    <x:t xml:space="preserve">https://ca.store.bambulab.com/products/pc-filament?id=43584501842160</x:t>
  </x:si>
  <x:si>
    <x:t xml:space="preserve">B-PC</x:t>
  </x:si>
  <x:si>
    <x:t xml:space="preserve">CA0046</x:t>
  </x:si>
  <x:si>
    <x:t xml:space="preserve">PC - Clear Black (60102) / Filament with spool / 1 kg</x:t>
  </x:si>
  <x:si>
    <x:t xml:space="preserve">https://ca.store.bambulab.com/products/pc-filament?id=44080188588272</x:t>
  </x:si>
  <x:si>
    <x:t xml:space="preserve">PC FR - Black (63100) / Filament with spool / 1 kg</x:t>
  </x:si>
  <x:si>
    <x:t xml:space="preserve">https://ca.store.bambulab.com/products/pc-fr?id=546460344590610440</x:t>
  </x:si>
  <x:si>
    <x:t xml:space="preserve">B-pc-fr</x:t>
  </x:si>
  <x:si>
    <x:t xml:space="preserve">CA0048</x:t>
  </x:si>
  <x:si>
    <x:t xml:space="preserve">TPU for AMS - Red (53200) / Filament with spool / 1 kg</x:t>
  </x:si>
  <x:si>
    <x:t xml:space="preserve">https://ca.store.bambulab.com/products/tpu-for-ams?id=46779647295728</x:t>
  </x:si>
  <x:si>
    <x:t xml:space="preserve">B-tpu-for-ams</x:t>
  </x:si>
  <x:si>
    <x:t xml:space="preserve">CA0049</x:t>
  </x:si>
  <x:si>
    <x:t xml:space="preserve">TPU for AMS - Black (53101) / Refill / 1 kg</x:t>
  </x:si>
  <x:si>
    <x:t xml:space="preserve">https://ca.store.bambulab.com/products/tpu-for-ams?id=669699832674201600</x:t>
  </x:si>
  <x:si>
    <x:t xml:space="preserve">CA0050</x:t>
  </x:si>
  <x:si>
    <x:t xml:space="preserve">TPU 95A HF - Black (51100) / Filament with spool / 1 kg</x:t>
  </x:si>
  <x:si>
    <x:t xml:space="preserve">https://ca.store.bambulab.com/products/tpu-95a-hf?id=44405012201712</x:t>
  </x:si>
  <x:si>
    <x:t xml:space="preserve">B-tpu-95a-hf</x:t>
  </x:si>
  <x:si>
    <x:t xml:space="preserve">CA0051</x:t>
  </x:si>
  <x:si>
    <x:t xml:space="preserve">TPU 85A / TPU 90A - TPU 90A / Frozen (51900) / 1 kg</x:t>
  </x:si>
  <x:si>
    <x:t xml:space="preserve">https://ca.store.bambulab.com/products/tpu-85a-tpu-90a?id=573761482377510924</x:t>
  </x:si>
  <x:si>
    <x:t xml:space="preserve">B-TPU-SOFT</x:t>
  </x:si>
  <x:si>
    <x:t xml:space="preserve">TPU 85A / TPU 90A - TPU 90A / Black (51103) / 1 kg</x:t>
  </x:si>
  <x:si>
    <x:t xml:space="preserve">https://ca.store.bambulab.com/products/tpu-85a-tpu-90a?id=573761482377510942</x:t>
  </x:si>
  <x:si>
    <x:t xml:space="preserve">CA0053</x:t>
  </x:si>
  <x:si>
    <x:t xml:space="preserve">TPU 85A / TPU 90A - TPU 85A / Light Cyan (51500) / 1 kg</x:t>
  </x:si>
  <x:si>
    <x:t xml:space="preserve">https://ca.store.bambulab.com/products/tpu-85a-tpu-90a?id=573761482377510954</x:t>
  </x:si>
  <x:si>
    <x:t xml:space="preserve">CA0054</x:t>
  </x:si>
  <x:si>
    <x:t xml:space="preserve">PAHT-CF - Black (70100) / Filament with spool / 0.5 kg</x:t>
  </x:si>
  <x:si>
    <x:t xml:space="preserve">https://ca.store.bambulab.com/products/paht-cf?id=43808720716016</x:t>
  </x:si>
  <x:si>
    <x:t xml:space="preserve">B-paht-cf</x:t>
  </x:si>
  <x:si>
    <x:t xml:space="preserve">CA0055</x:t>
  </x:si>
  <x:si>
    <x:t xml:space="preserve">PAHT-CF - Black (70100) / Filament with spool / 1 kg</x:t>
  </x:si>
  <x:si>
    <x:t xml:space="preserve">https://ca.store.bambulab.com/products/paht-cf?id=43808720748784</x:t>
  </x:si>
  <x:si>
    <x:t xml:space="preserve">CA0056</x:t>
  </x:si>
  <x:si>
    <x:t xml:space="preserve">PA6-CF - Black (72100) / Filament with spool / 0.5kg</x:t>
  </x:si>
  <x:si>
    <x:t xml:space="preserve">https://ca.store.bambulab.com/products/pa6-cf?id=44217735315696</x:t>
  </x:si>
  <x:si>
    <x:t xml:space="preserve">B-pa6-cf</x:t>
  </x:si>
  <x:si>
    <x:t xml:space="preserve">CA0057</x:t>
  </x:si>
  <x:si>
    <x:t xml:space="preserve">PA6-CF - Black (72100) / Filament with spool / 1kg</x:t>
  </x:si>
  <x:si>
    <x:t xml:space="preserve">https://ca.store.bambulab.com/products/pa6-cf?id=44217735348464</x:t>
  </x:si>
  <x:si>
    <x:t xml:space="preserve">PA6-GF - Blue (72600) / Filament with spool / 1 kg</x:t>
  </x:si>
  <x:si>
    <x:t xml:space="preserve">https://ca.store.bambulab.com/products/pa6-gf?id=45444547805424</x:t>
  </x:si>
  <x:si>
    <x:t xml:space="preserve">B-pa6-gf</x:t>
  </x:si>
  <x:si>
    <x:t xml:space="preserve">CA0059</x:t>
  </x:si>
  <x:si>
    <x:t xml:space="preserve">PET-CF - Black (71100) / Filament with spool / 1 kg</x:t>
  </x:si>
  <x:si>
    <x:t xml:space="preserve">https://ca.store.bambulab.com/products/pet-cf?id=44029327671536</x:t>
  </x:si>
  <x:si>
    <x:t xml:space="preserve">B-pet-cf</x:t>
  </x:si>
  <x:si>
    <x:t xml:space="preserve">PET-CF - Black (71100) / Filament with spool / 0.5 kg</x:t>
  </x:si>
  <x:si>
    <x:t xml:space="preserve">https://ca.store.bambulab.com/products/pet-cf?id=44090206290160</x:t>
  </x:si>
  <x:si>
    <x:t xml:space="preserve">CA0061</x:t>
  </x:si>
  <x:si>
    <x:t xml:space="preserve">PPA-CF - Black (73100) / Filament with spool / 0.75 kg</x:t>
  </x:si>
  <x:si>
    <x:t xml:space="preserve">https://ca.store.bambulab.com/products/ppa-cf?id=46498167718128</x:t>
  </x:si>
  <x:si>
    <x:t xml:space="preserve">B-ppa-cf</x:t>
  </x:si>
  <x:si>
    <x:t xml:space="preserve">CA0062</x:t>
  </x:si>
  <x:si>
    <x:t xml:space="preserve">PPS-CF - Black (76100) / Filament with spool / 0.75kg</x:t>
  </x:si>
  <x:si>
    <x:t xml:space="preserve">https://ca.store.bambulab.com/products/pps-cf?id=46512619127024</x:t>
  </x:si>
  <x:si>
    <x:t xml:space="preserve">B-pps-cf</x:t>
  </x:si>
  <x:si>
    <x:t xml:space="preserve">PVA - Clear (66400) / Filament with spool / 0.5 kg</x:t>
  </x:si>
  <x:si>
    <x:t xml:space="preserve">https://ca.store.bambulab.com/products/pva?id=45303868227824</x:t>
  </x:si>
  <x:si>
    <x:t xml:space="preserve">B-pva</x:t>
  </x:si>
  <x:si>
    <x:t xml:space="preserve">CA0064</x:t>
  </x:si>
  <x:si>
    <x:t xml:space="preserve">Support for PLA/PETG - Nature (65102) / Filament with spool / 0.5 kg</x:t>
  </x:si>
  <x:si>
    <x:t xml:space="preserve">https://ca.store.bambulab.com/products/support-for-pla-petg?id=46214534594800</x:t>
  </x:si>
  <x:si>
    <x:t xml:space="preserve">B-support-for-pla-petg</x:t>
  </x:si>
  <x:si>
    <x:t xml:space="preserve">Support for ABS - White (66100) / Filament with spool / 0.5 kg</x:t>
  </x:si>
  <x:si>
    <x:t xml:space="preserve">https://ca.store.bambulab.com/products/support-for-abs?id=46333844160752</x:t>
  </x:si>
  <x:si>
    <x:t xml:space="preserve">B-support-for-abs</x:t>
  </x:si>
  <x:si>
    <x:t xml:space="preserve">CA0066</x:t>
  </x:si>
  <x:si>
    <x:t xml:space="preserve">Support for PA/PET - Green (65500) / Filament with spool / 0.5kg</x:t>
  </x:si>
  <x:si>
    <x:t xml:space="preserve">https://ca.store.bambulab.com/products/support-for-pa-pet?id=43181727580400</x:t>
  </x:si>
  <x:si>
    <x:t xml:space="preserve">B-support-for-pa-pet</x:t>
  </x:si>
  <x:si>
    <x:t xml:space="preserve">CA0067</x:t>
  </x:si>
  <x:si>
    <x:t xml:space="preserve">3D Printing Canada</x:t>
  </x:si>
  <x:si>
    <x:t xml:space="preserve">Cocoa Brown - Bambu Lab PLA Basic Filament - 1.75mm, 1kg / Refill</x:t>
  </x:si>
  <x:si>
    <x:t xml:space="preserve">Single-unit catalogue price; no higher compare-at price</x:t>
  </x:si>
  <x:si>
    <x:t xml:space="preserve">https://3dprintingcanada.com/products/cocoa-brown-bambu-lab-pla-basic-filament-1-75mm-1kg?variant=45471567315013</x:t>
  </x:si>
  <x:si>
    <x:t xml:space="preserve">CA-3DPC1</x:t>
  </x:si>
  <x:si>
    <x:t xml:space="preserve">Clear - Spectrum Premium PCTG Filament - 1.75mm, 1kg / Default Title</x:t>
  </x:si>
  <x:si>
    <x:t xml:space="preserve">Retailer compare-at price</x:t>
  </x:si>
  <x:si>
    <x:t xml:space="preserve">https://3dprintingcanada.com/products/clear-spectrum-premium-pctg-filament-1-75mm-1kg?variant=45429353480261</x:t>
  </x:si>
  <x:si>
    <x:t xml:space="preserve">CA0069</x:t>
  </x:si>
  <x:si>
    <x:t xml:space="preserve">Absolute Black - Bambu Lab PLA PURE Filament with Spool - 1.75mm, 1kg / Default Title</x:t>
  </x:si>
  <x:si>
    <x:t xml:space="preserve">https://3dprintingcanada.com/products/absolute-black-bambu-lab-pla-pure-1-75mm-1kg?variant=45180368748613</x:t>
  </x:si>
  <x:si>
    <x:t xml:space="preserve">CA0070</x:t>
  </x:si>
  <x:si>
    <x:t xml:space="preserve">Neon Green - Bambu Lab TPU for AMS Filament - 1.75mm, 1kg / Filament with spool</x:t>
  </x:si>
  <x:si>
    <x:t xml:space="preserve">https://3dprintingcanada.com/products/neon-green-bambu-lab-tpu-for-ams-filament-1-75mm-1kg?variant=42660729290821</x:t>
  </x:si>
  <x:si>
    <x:t xml:space="preserve">CA-3DPC3</x:t>
  </x:si>
  <x:si>
    <x:t xml:space="preserve">CA0071</x:t>
  </x:si>
  <x:si>
    <x:t xml:space="preserve">Black - Bambu Lab PPA-CF Filament - 1.75mm, 0.75kg / Default Title</x:t>
  </x:si>
  <x:si>
    <x:t xml:space="preserve">https://3dprintingcanada.com/products/black-bambu-lab-ppa-cf-filament-1-75mm-0-75kg?variant=42593521303621</x:t>
  </x:si>
  <x:si>
    <x:t xml:space="preserve">CA0072</x:t>
  </x:si>
  <x:si>
    <x:t xml:space="preserve">White - Bambu Lab PETG HF Filament - 1.75mm,1kg / Filament with spool</x:t>
  </x:si>
  <x:si>
    <x:t xml:space="preserve">https://3dprintingcanada.com/products/white-bambu-lab-petg-hf-filament-1-75mm-1-kg-copy?variant=42509031505989</x:t>
  </x:si>
  <x:si>
    <x:t xml:space="preserve">CA0073</x:t>
  </x:si>
  <x:si>
    <x:t xml:space="preserve">Black - Bambu Lab PC-FR Filament - 1.75mm, 1kg / Filament with spool</x:t>
  </x:si>
  <x:si>
    <x:t xml:space="preserve">https://3dprintingcanada.com/products/black-bambu-lab-pc-fr-filament-1-75mm-1kg?variant=42508620562501</x:t>
  </x:si>
  <x:si>
    <x:t xml:space="preserve">CA-3DPC4</x:t>
  </x:si>
  <x:si>
    <x:t xml:space="preserve">CA0074</x:t>
  </x:si>
  <x:si>
    <x:t xml:space="preserve">Candy Red - Bambu Lab PLA Silk+ Filament - 1.75mm, 1kg / Filament with spool</x:t>
  </x:si>
  <x:si>
    <x:t xml:space="preserve">https://3dprintingcanada.com/products/candy-red-bambu-lab-pla-silk-filament-1-75mm-1-kg?variant=42378270539845</x:t>
  </x:si>
  <x:si>
    <x:t xml:space="preserve">CA0075</x:t>
  </x:si>
  <x:si>
    <x:t xml:space="preserve">Velvet Eclipse (Black-Red) - Bambu Lab PLA Silk Dual Color Filament - 1.75mm, 1kg / Filament with spool</x:t>
  </x:si>
  <x:si>
    <x:t xml:space="preserve">https://3dprintingcanada.com/products/velvet-eclipse-black-red-bambu-lab-pla-silk-dual-color-filament-1-75mm-1-kg?variant=42377680912453</x:t>
  </x:si>
  <x:si>
    <x:t xml:space="preserve">CA0076</x:t>
  </x:si>
  <x:si>
    <x:t xml:space="preserve">Natural - Bambu Lab Support for PLA/PETG Filament - 1.75mm, 0.5 kg / Filament with spool</x:t>
  </x:si>
  <x:si>
    <x:t xml:space="preserve">https://3dprintingcanada.com/products/bambu-lab-support-for-pla-petg-filament-1-75mm?variant=42373338366021</x:t>
  </x:si>
  <x:si>
    <x:t xml:space="preserve">CA0077</x:t>
  </x:si>
  <x:si>
    <x:t xml:space="preserve">Red - Bambu Lab PLA Basic Filament - 1.75mm, 1kg / Filament with spool</x:t>
  </x:si>
  <x:si>
    <x:t xml:space="preserve">https://3dprintingcanada.com/products/red-bambu-lab-pla-basic-filament-175mm-1kg?variant=42126974025797</x:t>
  </x:si>
  <x:si>
    <x:t xml:space="preserve">CA0078</x:t>
  </x:si>
  <x:si>
    <x:t xml:space="preserve">Matte Scarlet Red - Bambu Lab PLA Matte Filament - 1.75mm, 1kg / Refill</x:t>
  </x:si>
  <x:si>
    <x:t xml:space="preserve">https://3dprintingcanada.com/products/scarlett-red-bambu-lab-pla-matte-filament-175mm-1kg?variant=42126977269829</x:t>
  </x:si>
  <x:si>
    <x:t xml:space="preserve">CA0079</x:t>
  </x:si>
  <x:si>
    <x:t xml:space="preserve">Matte Scarlet Red - Bambu Lab PLA Matte Filament - 1.75mm, 1kg / Filament with spool</x:t>
  </x:si>
  <x:si>
    <x:t xml:space="preserve">https://3dprintingcanada.com/products/scarlett-red-bambu-lab-pla-matte-filament-175mm-1kg?variant=42126977302597</x:t>
  </x:si>
  <x:si>
    <x:t xml:space="preserve">CA0080</x:t>
  </x:si>
  <x:si>
    <x:t xml:space="preserve">Matte Marine Blue - Bambu Lab PLA Matte Filament - 1.75mm, 1kg / Refill</x:t>
  </x:si>
  <x:si>
    <x:t xml:space="preserve">https://3dprintingcanada.com/products/marine-blue-bambu-lab-pla-matte-filament-175mm-1kg?variant=42126977138757</x:t>
  </x:si>
  <x:si>
    <x:t xml:space="preserve">CA0081</x:t>
  </x:si>
  <x:si>
    <x:t xml:space="preserve">Gray - Bambu Lab PLA Basic Filament - 1.75mm, 1kg / Refill - 2 Pack</x:t>
  </x:si>
  <x:si>
    <x:t xml:space="preserve">https://3dprintingcanada.com/products/gray-bambu-lab-pla-basic-filament-175mm-1kg?variant=43233513734213</x:t>
  </x:si>
  <x:si>
    <x:t xml:space="preserve">CA0082</x:t>
  </x:si>
  <x:si>
    <x:t xml:space="preserve">Black - Bambu Lab PAHT-CF Filament - 1.75mm / 0.5 KG</x:t>
  </x:si>
  <x:si>
    <x:t xml:space="preserve">https://3dprintingcanada.com/products/black-bambu-lab-paht-cf-filament-175mm-1kg?variant=42126979203141</x:t>
  </x:si>
  <x:si>
    <x:t xml:space="preserve">CA0083</x:t>
  </x:si>
  <x:si>
    <x:t xml:space="preserve">Black - Bambu Lab PAHT-CF Filament - 1.75mm / 1 KG</x:t>
  </x:si>
  <x:si>
    <x:t xml:space="preserve">https://3dprintingcanada.com/products/black-bambu-lab-paht-cf-filament-175mm-1kg?variant=42126979235909</x:t>
  </x:si>
  <x:si>
    <x:t xml:space="preserve">CA0084</x:t>
  </x:si>
  <x:si>
    <x:t xml:space="preserve">Black - Bambu Lab PA6-CF Filament - 1.75mm / 0.5 KG</x:t>
  </x:si>
  <x:si>
    <x:t xml:space="preserve">https://3dprintingcanada.com/products/black-bambu-lab-pa6-cf-filament-175mm?variant=42126979137605</x:t>
  </x:si>
  <x:si>
    <x:t xml:space="preserve">CA0085</x:t>
  </x:si>
  <x:si>
    <x:t xml:space="preserve">Black - Bambu Lab PA6-CF Filament - 1.75mm / 1 KG</x:t>
  </x:si>
  <x:si>
    <x:t xml:space="preserve">https://3dprintingcanada.com/products/black-bambu-lab-pa6-cf-filament-175mm?variant=42126979170373</x:t>
  </x:si>
  <x:si>
    <x:t xml:space="preserve">CA0086</x:t>
  </x:si>
  <x:si>
    <x:t xml:space="preserve">Black - Bambu Lab PETG-CF Filament - 1.75mm,1kg / Filament with spool</x:t>
  </x:si>
  <x:si>
    <x:t xml:space="preserve">https://3dprintingcanada.com/products/black-bambu-lab-petg-cf-filament-175mm-1kg?variant=42126979268677</x:t>
  </x:si>
  <x:si>
    <x:t xml:space="preserve">CA0087</x:t>
  </x:si>
  <x:si>
    <x:t xml:space="preserve">Brown - Bambu Lab PLA Galaxy Filament - 1.75mm, 1kg / Filament with spool</x:t>
  </x:si>
  <x:si>
    <x:t xml:space="preserve">https://3dprintingcanada.com/products/brown-bambu-lab-pla-galaxy-filament-175mm-1kg?variant=42126978580549</x:t>
  </x:si>
  <x:si>
    <x:t xml:space="preserve">CA0088</x:t>
  </x:si>
  <x:si>
    <x:t xml:space="preserve">Blue - Bambu Lab TPU 95A HF Filament - 1.75mm, 1kg / Filament with spool</x:t>
  </x:si>
  <x:si>
    <x:t xml:space="preserve">https://3dprintingcanada.com/products/blue-bambu-lab-tpu-95a-hf-filament-175mm-1kg?variant=42126978908229</x:t>
  </x:si>
  <x:si>
    <x:t xml:space="preserve">CA0089</x:t>
  </x:si>
  <x:si>
    <x:t xml:space="preserve">Yellow - Bambu Lab TPU 95A HF Filament - 1.75mm, 1kg / Filament with spool</x:t>
  </x:si>
  <x:si>
    <x:t xml:space="preserve">https://3dprintingcanada.com/products/yellow-bambu-lab-tpu-95a-hf-filament-175mm-1kg?variant=42126978940997</x:t>
  </x:si>
  <x:si>
    <x:t xml:space="preserve">CA0090</x:t>
  </x:si>
  <x:si>
    <x:t xml:space="preserve">White - Bambu Lab ASA Filament - 1.75mm, 1kg / Filament with spool</x:t>
  </x:si>
  <x:si>
    <x:t xml:space="preserve">https://3dprintingcanada.com/products/white-bambu-lab-asa-filament-175mm-1kg?variant=42126978646085</x:t>
  </x:si>
  <x:si>
    <x:t xml:space="preserve">CA0091</x:t>
  </x:si>
  <x:si>
    <x:t xml:space="preserve">White - Bambu Lab ABS Filament - 1.75mm, 1kg / Filament with spool</x:t>
  </x:si>
  <x:si>
    <x:t xml:space="preserve">https://3dprintingcanada.com/products/white-bambu-lab-abs-filament-175mm-1kg?variant=42126978744389</x:t>
  </x:si>
  <x:si>
    <x:t xml:space="preserve">CA0092</x:t>
  </x:si>
  <x:si>
    <x:t xml:space="preserve">Black - Bambu Lab ABS Filament - 1.75mm, 1kg / Refill</x:t>
  </x:si>
  <x:si>
    <x:t xml:space="preserve">https://3dprintingcanada.com/products/black-bambu-lab-abs-filament-175mm-1kg?variant=44538967556165</x:t>
  </x:si>
  <x:si>
    <x:t xml:space="preserve">CA0093</x:t>
  </x:si>
  <x:si>
    <x:t xml:space="preserve">Black - Bambu Lab PPS-CF Filament - 1.75mm, 0.75kg / Default Title</x:t>
  </x:si>
  <x:si>
    <x:t xml:space="preserve">https://3dprintingcanada.com/products/black-bambu-lab-pps-cf-filament-1-75mm?variant=42117851611205</x:t>
  </x:si>
  <x:si>
    <x:t xml:space="preserve">CA0094</x:t>
  </x:si>
  <x:si>
    <x:t xml:space="preserve">Pure Orange - Spectrum Premium PCTG Filament - 1.75mm, 1kg / Default Title</x:t>
  </x:si>
  <x:si>
    <x:t xml:space="preserve">https://3dprintingcanada.com/products/a316?variant=39990483910725</x:t>
  </x:si>
  <x:si>
    <x:t xml:space="preserve">CA-ADVANCED</x:t>
  </x:si>
  <x:si>
    <x:t xml:space="preserve">Black - 1.75mm 3DXTech FibreX™ PA6+GF30 Nylon Filament - 0.75 kg / Default Title</x:t>
  </x:si>
  <x:si>
    <x:t xml:space="preserve">https://3dprintingcanada.com/products/black-1-75mm-3dxtech-fibrex™-pa6-gf30-nylon-filament-0-75kg?variant=39898906198085</x:t>
  </x:si>
  <x:si>
    <x:t xml:space="preserve">CA0096</x:t>
  </x:si>
  <x:si>
    <x:t xml:space="preserve">Carbon Fiber CF10 - Spectrum Premium PCTG Filament - 1.75mm, 0.5kg / Default Title</x:t>
  </x:si>
  <x:si>
    <x:t xml:space="preserve">https://3dprintingcanada.com/products/carbon-fiber-cf10-1-75mm-spectrum-premium-pctg-filament-0-5-kg?variant=40564683767877</x:t>
  </x:si>
  <x:si>
    <x:t xml:space="preserve">CA0097</x:t>
  </x:si>
  <x:si>
    <x:t xml:space="preserve">Deep Black - Spectrum HIPS-X Filament - 1.75mm, 1kg / Default Title</x:t>
  </x:si>
  <x:si>
    <x:t xml:space="preserve">https://3dprintingcanada.com/products/a22?variant=39990417358917</x:t>
  </x:si>
  <x:si>
    <x:t xml:space="preserve">Black - Spectrum PA6 Neat Filament - 1.75mm, 0.75kg / Default Title</x:t>
  </x:si>
  <x:si>
    <x:t xml:space="preserve">https://3dprintingcanada.com/products/a298?variant=39990481158213</x:t>
  </x:si>
  <x:si>
    <x:t xml:space="preserve">Gypsum White - Spectrum HIPS-X Filament - 1.75mm, 1kg / Default Title</x:t>
  </x:si>
  <x:si>
    <x:t xml:space="preserve">https://3dprintingcanada.com/products/a19?variant=39990416736325</x:t>
  </x:si>
  <x:si>
    <x:t xml:space="preserve">CA0101</x:t>
  </x:si>
  <x:si>
    <x:t xml:space="preserve">Black - 1.75mm 3DXTech FibreX™ PA6+GF30 Nylon Filament - 0.5 kg / Default Title</x:t>
  </x:si>
  <x:si>
    <x:t xml:space="preserve">https://3dprintingcanada.com/products/black-1-75mm-3dxtech-fibrex™-pa6-gf30-nylon-filament-0-5-kg?variant=40669954998341</x:t>
  </x:si>
  <x:si>
    <x:t xml:space="preserve">CA0102</x:t>
  </x:si>
  <x:si>
    <x:t xml:space="preserve">Natural - Spectrum PPS AM230 Filament - 1.75mm, 0.75kg / Default Title</x:t>
  </x:si>
  <x:si>
    <x:t xml:space="preserve">https://3dprintingcanada.com/products/natural-1-75mm-spectrum-pps-am230-filament-0-75-kg?variant=40561727963205</x:t>
  </x:si>
  <x:si>
    <x:t xml:space="preserve">CA0103</x:t>
  </x:si>
  <x:si>
    <x:t xml:space="preserve">Natural - 1.75mm 3DXTech ThermaX™ PEI Using Ultem 1010 Filament - 0.5 kg / Default Title</x:t>
  </x:si>
  <x:si>
    <x:t xml:space="preserve">https://3dprintingcanada.com/products/natural-1-75mm-3dxtech-thermax™-pei-using-ultem-1010-filament-0-5-kg?variant=40977359667269</x:t>
  </x:si>
  <x:si>
    <x:t xml:space="preserve">CA0104</x:t>
  </x:si>
  <x:si>
    <x:t xml:space="preserve">Shop3D.ca</x:t>
  </x:si>
  <x:si>
    <x:t xml:space="preserve">Bambu Lab - ASA Filament (1.75mm) 1kg / Black</x:t>
  </x:si>
  <x:si>
    <x:t xml:space="preserve">https://shop3d.ca/products/bambu-lab-asa-filament-1-75mm-1kg-1?variant=47618587689174</x:t>
  </x:si>
  <x:si>
    <x:t xml:space="preserve">CA-SHOP3D1</x:t>
  </x:si>
  <x:si>
    <x:t xml:space="preserve">Sources</x:t>
  </x:si>
  <x:si>
    <x:t xml:space="preserve">Publisher</x:t>
  </x:si>
  <x:si>
    <x:t xml:space="preserve">Title</x:t>
  </x:si>
  <x:si>
    <x:t xml:space="preserve">Revision</x:t>
  </x:si>
  <x:si>
    <x:t xml:space="preserve">Publication date</x:t>
  </x:si>
  <x:si>
    <x:t xml:space="preserve">Source class</x:t>
  </x:si>
  <x:si>
    <x:t xml:space="preserve">Applicable grades</x:t>
  </x:si>
  <x:si>
    <x:t xml:space="preserve">Access status</x:t>
  </x:si>
  <x:si>
    <x:t xml:space="preserve">SHA256</x:t>
  </x:si>
  <x:si>
    <x:t xml:space="preserve">H2C-MANUAL</x:t>
  </x:si>
  <x:si>
    <x:t xml:space="preserve">Bambu Lab H2C 3D Printing User Manual</x:t>
  </x:si>
  <x:si>
    <x:t xml:space="preserve">V1.0</x:t>
  </x:si>
  <x:si>
    <x:t xml:space="preserve">2026-01</x:t>
  </x:si>
  <x:si>
    <x:t xml:space="preserve">Official printer documentation</x:t>
  </x:si>
  <x:si>
    <x:t xml:space="preserve">https://csm.bblcdn.com/hub/eff78da43720461787dc8bbe5fa0372d.pdf</x:t>
  </x:si>
  <x:si>
    <x:t xml:space="preserve">Chapter8 Filament; pp123–139; see printed page numbering</x:t>
  </x:si>
  <x:si>
    <x:t xml:space="preserve">Family / scope guidance</x:t>
  </x:si>
  <x:si>
    <x:t xml:space="preserve">Retrieved</x:t>
  </x:si>
  <x:si>
    <x:t xml:space="preserve">7f2034156a14c4fc08cfeb8d431a23f6c2dcef03ebd56276add6858665daec30</x:t>
  </x:si>
  <x:si>
    <x:t xml:space="preserve">H2C Filamant Printing Guide | Bambu Lab Wiki</x:t>
  </x:si>
  <x:si>
    <x:t xml:space="preserve">https://wiki.bambulab.com/en/h2c/h2c-filament-printing-guide</x:t>
  </x:si>
  <x:si>
    <x:t xml:space="preserve">Document / product page</x:t>
  </x:si>
  <x:si>
    <x:t xml:space="preserve">c8204c57189a28fe724c064f1b4747c8c6486419445888df691c4dddeac81276</x:t>
  </x:si>
  <x:si>
    <x:t xml:space="preserve">B-GUIDE</x:t>
  </x:si>
  <x:si>
    <x:t xml:space="preserve">Bambu Lab Filament Guide</x:t>
  </x:si>
  <x:si>
    <x:t xml:space="preserve">Manufacturer comparison guide</x:t>
  </x:si>
  <x:si>
    <x:t xml:space="preserve">https://cdn1.bambulab.com/filament/filament-guide/250123/filament-guide-en.pdf</x:t>
  </x:si>
  <x:si>
    <x:t xml:space="preserve">Material comparison and printing requirements table</x:t>
  </x:si>
  <x:si>
    <x:t xml:space="preserve">ea799364fa4664e61632a1e87e5073c3edd0e76f93bd5524192bb018b5cfb858</x:t>
  </x:si>
  <x:si>
    <x:t xml:space="preserve">D-PRUSA</x:t>
  </x:si>
  <x:si>
    <x:t xml:space="preserve">Filament Material Guide | Prusa Knowledge Base</x:t>
  </x:si>
  <x:si>
    <x:t xml:space="preserve">Manufacturer product / guide</x:t>
  </x:si>
  <x:si>
    <x:t xml:space="preserve">https://help.prusa3d.com/filament-material-guide</x:t>
  </x:si>
  <x:si>
    <x:t xml:space="preserve">2f6315b98756678e918b954db3f8fddc36eaed7aebdabaf2930c199dfdacc389</x:t>
  </x:si>
  <x:si>
    <x:t xml:space="preserve">User-supplied reference</x:t>
  </x:si>
  <x:si>
    <x:t xml:space="preserve">Consolidated H2C material master list</x:t>
  </x:si>
  <x:si>
    <x:t xml:space="preserve">Scope register</x:t>
  </x:si>
  <x:si>
    <x:t xml:space="preserve">/Users/farid/Downloads/Misc/Bambu_H2C_Consolidated_Filament_Material_Master_List.md</x:t>
  </x:si>
  <x:si>
    <x:t xml:space="preserve">Both canonical tables</x:t>
  </x:si>
  <x:si>
    <x:t xml:space="preserve">Read only</x:t>
  </x:si>
  <x:si>
    <x:t xml:space="preserve">bae94c526f7efe4dd7780f839393330f422f7f88ed228764fa3104b2a263d9f4</x:t>
  </x:si>
  <x:si>
    <x:t xml:space="preserve">Plastics Engineering: pseudo-elastic design</x:t>
  </x:si>
  <x:si>
    <x:t xml:space="preserve">Secondary local reference</x:t>
  </x:si>
  <x:si>
    <x:t xml:space="preserve">/Users/farid/Documents/farid first Obsidian/Materials Wiki/wiki/pe4/mat-pe4-c-pseudo-elastic-design-method-for-plastics.md</x:t>
  </x:si>
  <x:si>
    <x:t xml:space="preserve">§2.5.2; raw/c2a09960a68398c3/pe4.md</x:t>
  </x:si>
  <x:si>
    <x:t xml:space="preserve">173fe3f42a9834ead307b52c9b06a6fe5936ad474c8dc46dac25decf6ea729a2</x:t>
  </x:si>
  <x:si>
    <x:t xml:space="preserve">Plastics Engineering: fatigue of reinforced plastics</x:t>
  </x:si>
  <x:si>
    <x:t xml:space="preserve">/Users/farid/Documents/farid first Obsidian/Materials Wiki/wiki/pe4/mat-pe4-c-fatigue-behaviour-of-reinforced-plastics.md</x:t>
  </x:si>
  <x:si>
    <x:t xml:space="preserve">§3.17; raw/c2a09960a68398c3/pe4.md</x:t>
  </x:si>
  <x:si>
    <x:t xml:space="preserve">bdb1b706976f9d20f3b0267c54a5318817c9fb2042d8f44fdb7e189b5f32d77a</x:t>
  </x:si>
  <x:si>
    <x:t xml:space="preserve">LOCAL-XLSM</x:t>
  </x:si>
  <x:si>
    <x:t xml:space="preserve">Legacy material-selection workbook</x:t>
  </x:si>
  <x:si>
    <x:t xml:space="preserve">/Users/farid/Documents/farid first Obsidian/Material Selection/CAE PROJECTS/Material Selection.xlsm</x:t>
  </x:si>
  <x:si>
    <x:t xml:space="preserve">Database E:T, MainUi property labels; uncited values excluded</x:t>
  </x:si>
  <x:si>
    <x:t xml:space="preserve">f4388e09431e3cb5184e84b3b363220107bef0fdc52c82092d2fb29e55f87a49</x:t>
  </x:si>
  <x:si>
    <x:t xml:space="preserve">TDS Rev 3.0</x:t>
  </x:si>
  <x:si>
    <x:t xml:space="preserve">Manufacturer TDS</x:t>
  </x:si>
  <x:si>
    <x:t xml:space="preserve">https://cdn.shopify.com/s/files/1/0625/4185/6821/files/ECOMAX_PLA_TDS_v3.pdf?v=1723942765</x:t>
  </x:si>
  <x:si>
    <x:t xml:space="preserve">d1fdff52f1293ebab12bd2e853b187522c4cc37e29f9938df7c0a51ebf5d048a</x:t>
  </x:si>
  <x:si>
    <x:t xml:space="preserve">https://cdn.polymaker.com.cn/wp-content/uploads/lana-downloads/PolySonic-PLA-EN_V5.3-TDS.pdf</x:t>
  </x:si>
  <x:si>
    <x:t xml:space="preserve">e71fac75b41e1f756b2827213885bd9f5d606a23b124cdb39f2035d04e049972</x:t>
  </x:si>
  <x:si>
    <x:t xml:space="preserve">https://www.isanmate.com/wp-content/uploads/2022/09/PLA_TDS.pdf</x:t>
  </x:si>
  <x:si>
    <x:t xml:space="preserve">c30ebe387da2a183ec1970e88f56aaea8304ceb44d9bdca2e78029dabd1e5663</x:t>
  </x:si>
  <x:si>
    <x:t xml:space="preserve">B pla basic filament</x:t>
  </x:si>
  <x:si>
    <x:t xml:space="preserve">Technical Data Sheet V3.0</x:t>
  </x:si>
  <x:si>
    <x:t xml:space="preserve">https://store.bblcdn.com/s1/default/58b85d0f3db94878854a28fdb8a0006e/Bambu_PLA_Basic_Technical_Data_Sheet.pdf</x:t>
  </x:si>
  <x:si>
    <x:t xml:space="preserve">05b504148050e17c02d2f20f1a4b718b4e35d43af1c406da34127711762ff939</x:t>
  </x:si>
  <x:si>
    <x:t xml:space="preserve">B pla matte</x:t>
  </x:si>
  <x:si>
    <x:t xml:space="preserve">https://store.bblcdn.com/s7/default/5b061f2feeac4ba88f355a33248bbda7/Bambu_PLA_Matte_Technical_Data_Sheet.pdf</x:t>
  </x:si>
  <x:si>
    <x:t xml:space="preserve">544f98056f3a142969983a97dcd75140b447bca397f99e17edeb260cd2d0d3f5</x:t>
  </x:si>
  <x:si>
    <x:t xml:space="preserve">B pla basic gradient</x:t>
  </x:si>
  <x:si>
    <x:t xml:space="preserve">Technical Data Sheet V2.0</x:t>
  </x:si>
  <x:si>
    <x:t xml:space="preserve">https://cdn.shopify.com/s/files/1/0584/7236/6216/files/Bambu_PLA_Basic_Gradient_Technical_Data_Sheet.pdf</x:t>
  </x:si>
  <x:si>
    <x:t xml:space="preserve">84f9fde455348a11c3861307bd391a8e4cebdf6f367c19506b56eee413512a50</x:t>
  </x:si>
  <x:si>
    <x:t xml:space="preserve">B pla tough upgrade</x:t>
  </x:si>
  <x:si>
    <x:t xml:space="preserve">https://store.bblcdn.com/s7/default/80a85371db2e40bda97069d283fed76c/BambuPLA_Tough_TechnicalData_Sheet_(2).pdf</x:t>
  </x:si>
  <x:si>
    <x:t xml:space="preserve">73fc789bc00aee976c7d70890bada6103fc8fadcbae50cd955872549c7603f61</x:t>
  </x:si>
  <x:si>
    <x:t xml:space="preserve">B pla translucent</x:t>
  </x:si>
  <x:si>
    <x:t xml:space="preserve">https://store.bblcdn.com/s7/default/729a8bf233e9474db25c8d5be1e64a00/Bambu_PLA_Translucent_Technical_Data_Sheet.pdf</x:t>
  </x:si>
  <x:si>
    <x:t xml:space="preserve">9a0d6356bb2c0839e1586c256e8b38b2f69dd60b86ae044607af19a72e3e379b</x:t>
  </x:si>
  <x:si>
    <x:t xml:space="preserve">B pla silk upgrade</x:t>
  </x:si>
  <x:si>
    <x:t xml:space="preserve">Technical Data Sheet V1.0</x:t>
  </x:si>
  <x:si>
    <x:t xml:space="preserve">https://cdn.shopify.com/s/files/1/0584/7236/6216/files/Bambu_PLA_Silk__Technical_Data_Sheet.pdf?v=1733472353</x:t>
  </x:si>
  <x:si>
    <x:t xml:space="preserve">336eab9b2bd1b8e1768880cc82b44da4ab16f8de4ccc434d9d47b2beebb22ea6</x:t>
  </x:si>
  <x:si>
    <x:t xml:space="preserve">B pla silk dual color</x:t>
  </x:si>
  <x:si>
    <x:t xml:space="preserve">https://cdn.shopify.com/s/files/1/0584/7236/6216/files/Bambu_PLA_Silk_Dual_Color_Technical_Data_Sheet.pdf</x:t>
  </x:si>
  <x:si>
    <x:t xml:space="preserve">ed62961c3288d08217f80cf27fdfd467f6bfe70b853ab683a40b179731227666</x:t>
  </x:si>
  <x:si>
    <x:t xml:space="preserve">B pla metal</x:t>
  </x:si>
  <x:si>
    <x:t xml:space="preserve">https://store.bblcdn.com/c6c28a13ba294c6f9fe62755ec9188fa.pdf</x:t>
  </x:si>
  <x:si>
    <x:t xml:space="preserve">89844096f35cf7a7bf44b8ac80cfd7f191b99fbcf8b839a4fa24bcb712e3f161</x:t>
  </x:si>
  <x:si>
    <x:t xml:space="preserve">B pla marble</x:t>
  </x:si>
  <x:si>
    <x:t xml:space="preserve">https://store.bblcdn.com/b81e083c7d1f4e2182ef749d48f9ec86.pdf</x:t>
  </x:si>
  <x:si>
    <x:t xml:space="preserve">5e5b81ceef7fe995c3e31e42ee6e12f79606619eabdd6d4438f00bb797bbdcf1</x:t>
  </x:si>
  <x:si>
    <x:t xml:space="preserve">B pla sparkle</x:t>
  </x:si>
  <x:si>
    <x:t xml:space="preserve">https://store.bblcdn.com/169532c9ce4d4610a9e85d92c0222bb9.pdf</x:t>
  </x:si>
  <x:si>
    <x:t xml:space="preserve">aff0134b09ee327c60a7b5a0966aad140cbaa4373952abb7a633e5f7aacd6550</x:t>
  </x:si>
  <x:si>
    <x:t xml:space="preserve">B pla wood</x:t>
  </x:si>
  <x:si>
    <x:t xml:space="preserve">https://store.bblcdn.com/s4/default/6fda0ae88e5a4e66bb5d58f2968eee42/Bambus_PLA_Wood_Technical_Data_Sheet.pdf</x:t>
  </x:si>
  <x:si>
    <x:t xml:space="preserve">0d4a7db697bb84866f7852860a81035d5329a645008844ba0f39a03d80bddf52</x:t>
  </x:si>
  <x:si>
    <x:t xml:space="preserve">B pla galaxy</x:t>
  </x:si>
  <x:si>
    <x:t xml:space="preserve">https://store.bblcdn.com/8f0b6b2741e3498689c2c7706374c482.pdf</x:t>
  </x:si>
  <x:si>
    <x:t xml:space="preserve">75cfdf621cfe629d80e0bffcad327c5088a1ddcd891cfb24cac0cc717cf63e21</x:t>
  </x:si>
  <x:si>
    <x:t xml:space="preserve">B pla glow</x:t>
  </x:si>
  <x:si>
    <x:t xml:space="preserve">https://store.bblcdn.com/cd34cf072d14484bbf027290d16abe9b.pdf</x:t>
  </x:si>
  <x:si>
    <x:t xml:space="preserve">7ebb92f0abcb8ebfe225d1fda4556454eaaf20bc27c42a06831d67d56e3ae919</x:t>
  </x:si>
  <x:si>
    <x:t xml:space="preserve">B pla aero</x:t>
  </x:si>
  <x:si>
    <x:t xml:space="preserve">Technical Data Sheet V4.0</x:t>
  </x:si>
  <x:si>
    <x:t xml:space="preserve">https://store.bblcdn.com/cbc8b808aaf84ead9bb3b0b9b43e66af.pdf</x:t>
  </x:si>
  <x:si>
    <x:t xml:space="preserve">c7730c4bac6f58d8660bbc5bd580fa00f18b956033b9768a5a543d546d15c592</x:t>
  </x:si>
  <x:si>
    <x:t xml:space="preserve">B pla cf</x:t>
  </x:si>
  <x:si>
    <x:t xml:space="preserve">https://store.bblcdn.com/842f399d4e274507953a5231126ec8c1.pdf</x:t>
  </x:si>
  <x:si>
    <x:t xml:space="preserve">1939edfb494813529cd5324854975b0248e662af8adc11045599257f08bffae3</x:t>
  </x:si>
  <x:si>
    <x:t xml:space="preserve">Polymaker HT-PLA-GF.xlsx</x:t>
  </x:si>
  <x:si>
    <x:t xml:space="preserve">https://cdn.polymaker.com.cn/wp-content/uploads/lana-downloads/Polymaker-HT-PLA-GF_TDS_EN_V1.1.pdf</x:t>
  </x:si>
  <x:si>
    <x:t xml:space="preserve">7e9fe84101b5dfbbf0c8be3a834fd19ef5522ba3635fd6a74ef0692f1e29f3fb</x:t>
  </x:si>
  <x:si>
    <x:t xml:space="preserve">https://www.isanmate.com/wp-content/uploads/2025/08/PLA-Glass-Fiber-Technical-Data-Sheet.pdf</x:t>
  </x:si>
  <x:si>
    <x:t xml:space="preserve">558f53e24e2062b3087e76a965bcb7bdfb846ae2dad7ccbb6c9a0e9fd288e422</x:t>
  </x:si>
  <x:si>
    <x:t xml:space="preserve">https://cdn.shopify.com/s/files/1/0625/4185/6821/files/3DXPRO_LG_PETG_TDS_v3.pdf?v=1723942764</x:t>
  </x:si>
  <x:si>
    <x:t xml:space="preserve">90bffa56993d09180589ba4ceb660a8505cdd7956eb8744666309cd1ecd8f853</x:t>
  </x:si>
  <x:si>
    <x:t xml:space="preserve">https://cdn.polymaker.com.cn/wp-content/uploads/lana-downloads/PolyLite_PETG_TDS_V5.3.pdf</x:t>
  </x:si>
  <x:si>
    <x:t xml:space="preserve">3e325b645b42d7547517ee7940f5fd476b48815c08342676a38777206350092f</x:t>
  </x:si>
  <x:si>
    <x:t xml:space="preserve">https://www.isanmate.com/wp-content/uploads/2025/08/PETG_TDS.pdf</x:t>
  </x:si>
  <x:si>
    <x:t xml:space="preserve">Retrieved; user-supplied local copy re-verified 2026-09-11 (SHA256 match confirms identical to originally cited document)</x:t>
  </x:si>
  <x:si>
    <x:t xml:space="preserve">f24f7e065c99fb348844ec58a80f3f5195853a620d567bc0857019c3837ed337</x:t>
  </x:si>
  <x:si>
    <x:t xml:space="preserve">B petg basic</x:t>
  </x:si>
  <x:si>
    <x:t xml:space="preserve">https://store.bblcdn.com/s1/default/cb94589bf7994fdcbfa833badefae9cd/Bambu_PETG_Basic_Technical_Data_Sheet.pdf</x:t>
  </x:si>
  <x:si>
    <x:t xml:space="preserve">fc23b725a4632bd931f28d0076461180e0ba87b7c2ddb6b1f16478ad5c5db6c6</x:t>
  </x:si>
  <x:si>
    <x:t xml:space="preserve">B petg hf</x:t>
  </x:si>
  <x:si>
    <x:t xml:space="preserve">https://store.bblcdn.com/3a230e260a3a47c2b0db0156e07eef91.pdf</x:t>
  </x:si>
  <x:si>
    <x:t xml:space="preserve">51981f734b941947f3fe696cc370c1a4b7419f4eb4cffa77ea97c3d5d4b53ab4</x:t>
  </x:si>
  <x:si>
    <x:t xml:space="preserve">B petg translucent</x:t>
  </x:si>
  <x:si>
    <x:t xml:space="preserve">https://store.bblcdn.com/s1/default/338c9cd853fd44d9b6ed354a49048e72/Bambu_PETG_Translucent_Technical_Data_Sheet.pdf</x:t>
  </x:si>
  <x:si>
    <x:t xml:space="preserve">76246afc09c01b232869072208abbace373650b5b1e661ab222b4605f67a5229</x:t>
  </x:si>
  <x:si>
    <x:t xml:space="preserve">B petg cf</x:t>
  </x:si>
  <x:si>
    <x:t xml:space="preserve">https://store.bblcdn.com/626e4f424bf345ae965ad0ddfcaf2459.pdf</x:t>
  </x:si>
  <x:si>
    <x:t xml:space="preserve">18ca4ea88470343cd76173c44e5d9e71e6d7e538a6287816a62d80660329bba6</x:t>
  </x:si>
  <x:si>
    <x:t xml:space="preserve">https://www.isanmate.com/wp-content/uploads/2025/08/PETG-Glass-Fiber-Technical-Data-Sheet.pdf</x:t>
  </x:si>
  <x:si>
    <x:t xml:space="preserve">1e41e738a6ff6ddf553e5dd6be850d40e01e51170f870e5287f2c3e7da700690</x:t>
  </x:si>
  <x:si>
    <x:t xml:space="preserve">https://cdn.shopify.com/s/files/1/0625/4185/6821/files/3DXSTAT_ESD-PETG-TDS-v03.pdf?v=1723942764</x:t>
  </x:si>
  <x:si>
    <x:t xml:space="preserve">1400595ae5526bd279645acf88f392b9e2b542a50dea27fb099e4c56b0aad86a</x:t>
  </x:si>
  <x:si>
    <x:t xml:space="preserve">PolyMax_PETG-ESD_TDS_Template_V5.3</x:t>
  </x:si>
  <x:si>
    <x:t xml:space="preserve">Technical Data Sheet  
           V5.3</x:t>
  </x:si>
  <x:si>
    <x:t xml:space="preserve">https://cdn.polymaker.com.cn/wp-content/uploads/lana-downloads/PolyMax_PETG-ESD_TDS_V5.3.pdf</x:t>
  </x:si>
  <x:si>
    <x:t xml:space="preserve">ea8f37d8be896751c9f054abaac5848adc686c42964922f95f62259261aa404e</x:t>
  </x:si>
  <x:si>
    <x:t xml:space="preserve">https://spectrumfilaments.com/wp-content/uploads/2025/11/en_tds_spectrum_petg_esd.pdf</x:t>
  </x:si>
  <x:si>
    <x:t xml:space="preserve">98da8269b06df68ecf6c84e60cf792306e82a47282d2b6088d09ed41a72e85ab</x:t>
  </x:si>
  <x:si>
    <x:t xml:space="preserve">B abs filament</x:t>
  </x:si>
  <x:si>
    <x:t xml:space="preserve">https://store.bblcdn.com/s7/default/23b4cf2b83d5470bb96d19970b5f3ae8/Bambu_ABS_Technical_Data_Sheet_V3.pdf</x:t>
  </x:si>
  <x:si>
    <x:t xml:space="preserve">371323063447db7c7c390bdcf66ef6e902a680bafa0f757b75c417c26cae3fb5</x:t>
  </x:si>
  <x:si>
    <x:t xml:space="preserve">B abs gf</x:t>
  </x:si>
  <x:si>
    <x:t xml:space="preserve">https://store.bblcdn.com/69f0758087c943f8a0a87bffa6dc901b.pdf</x:t>
  </x:si>
  <x:si>
    <x:t xml:space="preserve">0d506ed63d1c831a9cb0645ecba3fc0ec4cba09614df2d0f3a957f00cb103b44</x:t>
  </x:si>
  <x:si>
    <x:t xml:space="preserve">https://cdn.shopify.com/s/files/1/0625/4185/6821/files/CarbonX_CF_ABS_TDS_v3.pdf?v=1723942765</x:t>
  </x:si>
  <x:si>
    <x:t xml:space="preserve">1be4565728cfd6a8b19b57f4c19e764a03575e623f5262e45460f6094e590064</x:t>
  </x:si>
  <x:si>
    <x:t xml:space="preserve">https://www.isanmate.com/wp-content/uploads/2022/09/CF-ABS_TDS.pdf</x:t>
  </x:si>
  <x:si>
    <x:t xml:space="preserve">ea1795df0a5516f6b7ff66d0d1286f2956ebd0a1a099593e87fa8208f83e2921</x:t>
  </x:si>
  <x:si>
    <x:t xml:space="preserve">https://cdn.shopify.com/s/files/1/0625/4185/6821/files/3DXSTAT_ESD_ABS_TDS_v3.pdf?v=1723942764</x:t>
  </x:si>
  <x:si>
    <x:t xml:space="preserve">ed66de6ab0824f93507a6c684b1b85a565970c3b76c95f1546c419ff1dbb32f3</x:t>
  </x:si>
  <x:si>
    <x:t xml:space="preserve">https://www.isanmate.com/wp-content/uploads/2024/09/ESD-ABS_TDS.pdf</x:t>
  </x:si>
  <x:si>
    <x:t xml:space="preserve">821d1a6b61e180865743990dcc664de686fde4b3c1d37361a7a69ffc46778a9c</x:t>
  </x:si>
  <x:si>
    <x:t xml:space="preserve">B asa filament</x:t>
  </x:si>
  <x:si>
    <x:t xml:space="preserve">https://store.bblcdn.com/ad7b08230c164e72856cffbe06bb7dc9.pdf</x:t>
  </x:si>
  <x:si>
    <x:t xml:space="preserve">9927eba5def39ebb3ffe7e7d2f99aafc6784b654371adca35d55f81bea4eacf0</x:t>
  </x:si>
  <x:si>
    <x:t xml:space="preserve">B asa aero</x:t>
  </x:si>
  <x:si>
    <x:t xml:space="preserve">https://store.bblcdn.com/s1/default/02b005fdf02d450084e3128f7cf0c36f/Bambu_ASA_Aero_Technical_Data_Sheet.pdf</x:t>
  </x:si>
  <x:si>
    <x:t xml:space="preserve">c5f128401819ebcad88fbbd4818eea9b1ceda7b99e58ab43550672633dc8e851</x:t>
  </x:si>
  <x:si>
    <x:t xml:space="preserve">B asa cf</x:t>
  </x:si>
  <x:si>
    <x:t xml:space="preserve">https://store.bblcdn.com/s7/default/44b0a48ab1d84e819647c980eb179ae9/Bambus_ASA-CF_Technical_Data_Sheet.pdf</x:t>
  </x:si>
  <x:si>
    <x:t xml:space="preserve">d244e24b49638f08317eb93b941b9b55d8232f5bc957b296a4a9678c6dd03b2a</x:t>
  </x:si>
  <x:si>
    <x:t xml:space="preserve">https://spectrumfilaments.com/wp-content/uploads/2023/11/en_tds_spectrum_asax_x_gf10.pdf</x:t>
  </x:si>
  <x:si>
    <x:t xml:space="preserve">f4f34b14a45646ed848481f9f4aa287fe3c00a893d7daa6451b33b0542205bfe</x:t>
  </x:si>
  <x:si>
    <x:t xml:space="preserve">https://www.isanmate.com/wp-content/uploads/2025/08/ASA-Glass-Fiber-Technical-Data-Sheet.pdf</x:t>
  </x:si>
  <x:si>
    <x:t xml:space="preserve">6173ede40cc31227ccfeec0425635d5d10e930d78cf597ff88b89450cb5a23ac</x:t>
  </x:si>
  <x:si>
    <x:t xml:space="preserve">B PC</x:t>
  </x:si>
  <x:si>
    <x:t xml:space="preserve">https://store.bblcdn.com/a52afdccddfd448583d119587122c8c5.pdf</x:t>
  </x:si>
  <x:si>
    <x:t xml:space="preserve">578ed906bc1604e756e0d1cb5b287b2bf4377390fbf151dc6405f8d38daf551d</x:t>
  </x:si>
  <x:si>
    <x:t xml:space="preserve">B pc fr</x:t>
  </x:si>
  <x:si>
    <x:t xml:space="preserve">https://store.bblcdn.com/s1/default/4adf3c9827a0475d8777e9b8cfd11fbe.pdf</x:t>
  </x:si>
  <x:si>
    <x:t xml:space="preserve">9270695083ba583121736306b8e60fda24402a156a1883771aecd5ddc612be8f</x:t>
  </x:si>
  <x:si>
    <x:t xml:space="preserve">https://cdn.shopify.com/s/files/1/0625/4185/6821/files/CarbonX_CF_PC_TDSv3.pdf?v=1723942764</x:t>
  </x:si>
  <x:si>
    <x:t xml:space="preserve">7c382ac00a0cde95a77e55e1a18dc54dadf872fcf9fa151e516dc3e80e139579</x:t>
  </x:si>
  <x:si>
    <x:t xml:space="preserve">https://spectrumfilaments.com/wp-content/uploads/2024/11/en_tds_spectrum_pc_cf.pdf</x:t>
  </x:si>
  <x:si>
    <x:t xml:space="preserve">a9ee1709dc82eefdcceb9b6a37d919b96c74737c41fc527284a08bf00e457bac</x:t>
  </x:si>
  <x:si>
    <x:t xml:space="preserve">意可曼PHA EM40010</x:t>
  </x:si>
  <x:si>
    <x:t xml:space="preserve">https://www.isanmate.com/wp-content/uploads/2024/09/PC-CF_TDS.pdf</x:t>
  </x:si>
  <x:si>
    <x:t xml:space="preserve">a76a6fe305c4fa923e3ad3769e4d57a21d01bec96733a7828b60d766b2197446</x:t>
  </x:si>
  <x:si>
    <x:t xml:space="preserve">untitled</x:t>
  </x:si>
  <x:si>
    <x:t xml:space="preserve">Revision: 20260427</x:t>
  </x:si>
  <x:si>
    <x:t xml:space="preserve">https://cdn.shopify.com/s/files/1/0685/9168/1815/files/SIDDAMENT_V2_PC-GF_TDS.pdf?v=1779204053</x:t>
  </x:si>
  <x:si>
    <x:t xml:space="preserve">e1c9715424952ef7f09de55a2235bc2f6541a6ce8e1f848ba398079341023cf7</x:t>
  </x:si>
  <x:si>
    <x:t xml:space="preserve">https://cdn.polymaker.com.cn/wp-content/uploads/lana-downloads/PolyFlex_TPU95_TDS_V5.1.pdf</x:t>
  </x:si>
  <x:si>
    <x:t xml:space="preserve">085b92653b50d7f808fa7a162edd5aa721581c4bff6e942b316c734057450713</x:t>
  </x:si>
  <x:si>
    <x:t xml:space="preserve">https://www.isanmate.com/wp-content/uploads/2022/09/TPU_TDS.pdf</x:t>
  </x:si>
  <x:si>
    <x:t xml:space="preserve">e97956b414caf60da28b4b720f37c1366734dcc46423c0c7bb43bf1ba8a98b94</x:t>
  </x:si>
  <x:si>
    <x:t xml:space="preserve">B tpu for ams</x:t>
  </x:si>
  <x:si>
    <x:t xml:space="preserve">https://store.bblcdn.com/s5/default/0a98353dce6d486ca848b21d2b19a207.pdf</x:t>
  </x:si>
  <x:si>
    <x:t xml:space="preserve">587ca053a17fdeb1b40d5e639b178c5d980f4c440789d8c2842d67057a0b9b8c</x:t>
  </x:si>
  <x:si>
    <x:t xml:space="preserve">B tpu 95a hf</x:t>
  </x:si>
  <x:si>
    <x:t xml:space="preserve">https://store.bblcdn.com/58df32731eab4c90a7dac9b12e13ba88.pdf</x:t>
  </x:si>
  <x:si>
    <x:t xml:space="preserve">531bd68e500ca41b635584f19d637a3f48e26e31cbe560e80c8020e200f07fb9</x:t>
  </x:si>
  <x:si>
    <x:t xml:space="preserve">B TPU SOFT</x:t>
  </x:si>
  <x:si>
    <x:t xml:space="preserve">https://cdn.shopify.com/s/files/1/0645/5876/0155/files/Bambu_TPU_90A_Technical_Data_Sheet_582bf8f6-1f0a-474c-aeda-9e72af3689dc.pdf?v=1741314674</x:t>
  </x:si>
  <x:si>
    <x:t xml:space="preserve">1bd702da7bb1dd6c8b56816d2469f29f5c3d9943524b7d84b779b064203effb0</x:t>
  </x:si>
  <x:si>
    <x:t xml:space="preserve">https://cdn.shopify.com/s/files/1/0645/5876/0155/files/Bambu_TPU_85A_Technical_Data_Sheet_a7233668-497b-487f-af8a-3adb49fafaa1.pdf?v=1741314674</x:t>
  </x:si>
  <x:si>
    <x:t xml:space="preserve">70f480e450f416c4df7a0a0445c4fb356da782382c4308bddcb76ae4b401e4ae</x:t>
  </x:si>
  <x:si>
    <x:t xml:space="preserve">Version No.: 2.3</x:t>
  </x:si>
  <x:si>
    <x:t xml:space="preserve">https://move.forward-am.com/hubfs/AES%20Documentation/Flexible%20Filaments/TPC%2045D/TDS/Ultrafuse_TPC_45D_TDS_EN_v2.3.pdf</x:t>
  </x:si>
  <x:si>
    <x:t xml:space="preserve">G044-01; G046-01</x:t>
  </x:si>
  <x:si>
    <x:t xml:space="preserve">43cf570387b2fcd59372e157e61930b1b56e36bd847fce3bc2f7992083eadea6</x:t>
  </x:si>
  <x:si>
    <x:t xml:space="preserve">https://cdn.polymaker.com.cn/wp-content/uploads/lana-downloads/PolyFlex_TPU90_TDS_V5.1.pdf</x:t>
  </x:si>
  <x:si>
    <x:t xml:space="preserve">b646650211110f3466d7f40f2ea69f2f066495f4be8bcdb7b2cf2f92489bbde8</x:t>
  </x:si>
  <x:si>
    <x:t xml:space="preserve">Version 1.0</x:t>
  </x:si>
  <x:si>
    <x:t xml:space="preserve">https://www.esun3d.com/media/esun/catalog/certification/product/PEBA-90A/PEBA90A-TDS-en.pdf</x:t>
  </x:si>
  <x:si>
    <x:t xml:space="preserve">2fcbe0eaa6c09f42601d939c637f1d8e9d90f31972fbb3a03b7101ee9edf6cc2</x:t>
  </x:si>
  <x:si>
    <x:t xml:space="preserve">https://spectrumfilaments.com/wp-content/uploads/2025/11/en_tds_spectrum_peba.pdf</x:t>
  </x:si>
  <x:si>
    <x:t xml:space="preserve">3f08e318cbd082cb229b11ec21dc89a26554d019e1374add333a8c02f8762fad</x:t>
  </x:si>
  <x:si>
    <x:t xml:space="preserve">https://cdn.polymaker.com.cn/wp-content/uploads/lana-downloads/PolyMide_CoPA_TDS_V5.2.pdf</x:t>
  </x:si>
  <x:si>
    <x:t xml:space="preserve">G047-01; G057-01; G061-01</x:t>
  </x:si>
  <x:si>
    <x:t xml:space="preserve">21762b0bec3f4b2819aa00ddb6b742c0fa449b86a4d699512cd6ad456fa53aee</x:t>
  </x:si>
  <x:si>
    <x:t xml:space="preserve">UN_PA6_Copolymer_v1.0.xlsx</x:t>
  </x:si>
  <x:si>
    <x:t xml:space="preserve">TDS Rev 1.0</x:t>
  </x:si>
  <x:si>
    <x:t xml:space="preserve">https://cdn.shopify.com/s/files/1/0625/4185/6821/files/AMIDEX_PA6_Copolymer_v1.0.pdf?v=1723942767</x:t>
  </x:si>
  <x:si>
    <x:t xml:space="preserve">G047-02; G057-02; G061-02</x:t>
  </x:si>
  <x:si>
    <x:t xml:space="preserve">6752cf025a50c485ead78dc0f22a87abcc5f19517ac2f7eccba385236035aaf1</x:t>
  </x:si>
  <x:si>
    <x:t xml:space="preserve">https://spectrumfilaments.com/wp-content/uploads/2022/05/en_tds_spectrum_pa6_neat_bk.pdf</x:t>
  </x:si>
  <x:si>
    <x:t xml:space="preserve">G047-03; G049-01</x:t>
  </x:si>
  <x:si>
    <x:t xml:space="preserve">9f5bfbb42ac4e83215da49c4d4747cdd96902e17fd688b7e95f86c3426488b4a</x:t>
  </x:si>
  <x:si>
    <x:t xml:space="preserve">B paht cf</x:t>
  </x:si>
  <x:si>
    <x:t xml:space="preserve">https://store.bblcdn.com/7166b20bc68f4c87b32c972b856eeb4b.pdf</x:t>
  </x:si>
  <x:si>
    <x:t xml:space="preserve">6bacdcd4acd3f7ca650217d1c2352f5dbc3c4f676f9196a564a05f5da8ef5f11</x:t>
  </x:si>
  <x:si>
    <x:t xml:space="preserve">B pa6 cf</x:t>
  </x:si>
  <x:si>
    <x:t xml:space="preserve">https://store.bblcdn.com/b2abc59ac250492b979a52f1ce3e61b3.pdf</x:t>
  </x:si>
  <x:si>
    <x:t xml:space="preserve">9308b0da339853daae60a37c109c73a8eb75b2d630f841c3e2b72bc32b00313e</x:t>
  </x:si>
  <x:si>
    <x:t xml:space="preserve">B pa6 gf</x:t>
  </x:si>
  <x:si>
    <x:t xml:space="preserve">https://store.bblcdn.com/s5/default/f0317db8b3f44d0486553c1e214cff9d.pdf</x:t>
  </x:si>
  <x:si>
    <x:t xml:space="preserve">0e7397acf2007ff23291004bc1d38f1809dd51a512602b2b6205c23cbe14ea26</x:t>
  </x:si>
  <x:si>
    <x:t xml:space="preserve">AMIDEX™ NYLON 12 Ach Direct Debit Amazon American Express Apple Pay Diners Club Discover Google Pay Mastercard Shop Pay Visa</x:t>
  </x:si>
  <x:si>
    <x:t xml:space="preserve">https://www.3dxtech.com/products/amidex%E2%84%A2-nylon-12</x:t>
  </x:si>
  <x:si>
    <x:t xml:space="preserve">1d6825f9ff5c9e47747596704646a2ed9df298d44bf9ea3f89b9a6c83ac96361</x:t>
  </x:si>
  <x:si>
    <x:t xml:space="preserve">CF_PA12_v1.xlsx</x:t>
  </x:si>
  <x:si>
    <x:t xml:space="preserve">https://cdn.shopify.com/s/files/1/0625/4185/6821/files/CarbonX_CF_PA12_TDS_v1.pdf?v=1723942768</x:t>
  </x:si>
  <x:si>
    <x:t xml:space="preserve">G053-01; G062-01</x:t>
  </x:si>
  <x:si>
    <x:t xml:space="preserve">4dcfe502bf8f32e1dc2c62c532e9064f00e4d3e3e580659074d42f588abc8994</x:t>
  </x:si>
  <x:si>
    <x:t xml:space="preserve">https://cdn.polymaker.com.cn/wp-content/uploads/lana-downloads/PolyMide_PA12_CF_TDS_V5.1.1.pdf</x:t>
  </x:si>
  <x:si>
    <x:t xml:space="preserve">9fcb5693449b1f7cf4af84dc3a0f25753fb71476848ca24fd3b3a90c24c446db</x:t>
  </x:si>
  <x:si>
    <x:t xml:space="preserve">https://spectrumfilaments.com/wp-content/uploads/2024/11/en_tds_spectrum_pa12_cf15.pdf</x:t>
  </x:si>
  <x:si>
    <x:t xml:space="preserve">d65655d831fd9ad3f0491b7eeaefba57091d21d2a8fa8412c45756cf276b9f28</x:t>
  </x:si>
  <x:si>
    <x:t xml:space="preserve">GF30_PA12_v1.xlsx</x:t>
  </x:si>
  <x:si>
    <x:t xml:space="preserve">https://cdn.shopify.com/s/files/1/0625/4185/6821/files/FIBREX_PA12_GF30_TDS_v1.0.pdf?v=1723942768</x:t>
  </x:si>
  <x:si>
    <x:t xml:space="preserve">fde0d9e90f7f95e8490751f8c678749f90c44e664c8a2fd6411abd3b93890194</x:t>
  </x:si>
  <x:si>
    <x:t xml:space="preserve">TDS_FIBERON PA612-CF15_V1.1_EN</x:t>
  </x:si>
  <x:si>
    <x:t xml:space="preserve">https://fiberon.polymaker.com/wp-content/uploads/TDS_FIBERON-PA612-CF15_V1.1_EN.pdf</x:t>
  </x:si>
  <x:si>
    <x:t xml:space="preserve">G059-01; G062-02</x:t>
  </x:si>
  <x:si>
    <x:t xml:space="preserve">11c25587baddff2d5fada59a14c9e65944da102a1e3ab8f1522815324b74937f</x:t>
  </x:si>
  <x:si>
    <x:t xml:space="preserve">https://www.isanmate.com/wp-content/uploads/2024/09/PA6-CF_TDS.pdf</x:t>
  </x:si>
  <x:si>
    <x:t xml:space="preserve">83b6488a509bb65eed3b9f047c7ff164b942a52a71f1f56a09fa7d295d5b3dbc</x:t>
  </x:si>
  <x:si>
    <x:t xml:space="preserve">https://cdn.shopify.com/s/files/1/0625/4185/6821/files/AMIDEX_Nylon_GF30_TDS_v1.pdf?v=1723942764</x:t>
  </x:si>
  <x:si>
    <x:t xml:space="preserve">a91cf33f1b3841b7cfdcc41147f72ce9e9040174a10c599b436bdd30ba1bfaba</x:t>
  </x:si>
  <x:si>
    <x:t xml:space="preserve">https://cdn.polymaker.com.cn/wp-content/uploads/lana-downloads/PolyMide_PA6_GF_TDS_V5.1.pdf</x:t>
  </x:si>
  <x:si>
    <x:t xml:space="preserve">2852b98cdd004aad9f26893e2a4d66cdcbc6cf4c59c0b9d44973a66cc56c626c</x:t>
  </x:si>
  <x:si>
    <x:t xml:space="preserve">ESD_PA12_v1.xlsx</x:t>
  </x:si>
  <x:si>
    <x:t xml:space="preserve">https://cdn.shopify.com/s/files/1/0625/4185/6821/files/3DXSTAT_ESD_PA12_TDS_v1.pdf?v=1723942768</x:t>
  </x:si>
  <x:si>
    <x:t xml:space="preserve">1a5a0d4890826119d1df768ca9990db4b83ccbfd1635a65299d4ae6b2cfaff56</x:t>
  </x:si>
  <x:si>
    <x:t xml:space="preserve">TDS_FIBERON PA612-ESD_V1.0_EN</x:t>
  </x:si>
  <x:si>
    <x:t xml:space="preserve">https://cdn.polymaker.com.cn/wp-content/uploads/lana-downloads/TDS_FIBERON-PA612-ESD_V1.0_EN-1.pdf</x:t>
  </x:si>
  <x:si>
    <x:t xml:space="preserve">G064-02; G065-01</x:t>
  </x:si>
  <x:si>
    <x:t xml:space="preserve">02023877e005d9edb5190175dc0dc44d3567b53cd893daea36097f4c0c729a7f</x:t>
  </x:si>
  <x:si>
    <x:t xml:space="preserve">High Precision PET — technical data sheet</x:t>
  </x:si>
  <x:si>
    <x:t xml:space="preserve">https://www.formfutura.com/web/content/256571?download=true</x:t>
  </x:si>
  <x:si>
    <x:t xml:space="preserve">f04c5244e4400548198fe54348c625ec9926364e021f167ed74673b387dabd89</x:t>
  </x:si>
  <x:si>
    <x:t xml:space="preserve">B pet cf</x:t>
  </x:si>
  <x:si>
    <x:t xml:space="preserve">https://store.bblcdn.com/9690d6226f024acab2ba0dd52dabb654.pdf</x:t>
  </x:si>
  <x:si>
    <x:t xml:space="preserve">7045c5d57f9bcfab43799a6e3606ff405ae33143b3c44cf8da2520da089c2f02</x:t>
  </x:si>
  <x:si>
    <x:t xml:space="preserve">High-Strength PET-GF Filament for Industrial Applications Visa Discover Mastercard American Express PayPal Apple Pay Google Pay Klarna</x:t>
  </x:si>
  <x:si>
    <x:t xml:space="preserve">https://www.flashforge.com/products/pet-gf</x:t>
  </x:si>
  <x:si>
    <x:t xml:space="preserve">602c51559c49dc07d03be8d5c8b07a2ff15db5e70b781ea037a929fb38c6a4e4</x:t>
  </x:si>
  <x:si>
    <x:r>
      <x:rPr>
        <x:sz val="10"/>
        <x:color rgb="FF243447"/>
        <x:rFont val="Arial"/>
      </x:rPr>
      <x:t xml:space="preserve">Version</x:t>
    </x:r>
    <x:r>
      <x:rPr>
        <x:sz val="10"/>
        <x:color rgb="FF243447"/>
        <x:rFont val="Noto Sans CJK SC"/>
        <x:family val="2"/>
      </x:rPr>
      <x:t xml:space="preserve">：</x:t>
    </x:r>
    <x:r>
      <x:rPr>
        <x:sz val="10"/>
        <x:color rgb="FF243447"/>
        <x:rFont val="Arial"/>
      </x:rPr>
      <x:t xml:space="preserve">1.0</x:t>
    </x:r>
  </x:si>
  <x:si>
    <x:t xml:space="preserve">https://www.ipconpolymer.com/wp-content/uploads/2025/11/IPCON-PPA_TDS-Technical-Data-Sheet.pdf</x:t>
  </x:si>
  <x:si>
    <x:t xml:space="preserve">86d3efd1d10736233d7b8c269db8b65797001bdc647e5a7fac2147de955cf99b</x:t>
  </x:si>
  <x:si>
    <x:t xml:space="preserve">B ppa cf</x:t>
  </x:si>
  <x:si>
    <x:t xml:space="preserve">https://store.bblcdn.com/05b0e4ca5ee14a4cb378cfa48df24f91.pdf</x:t>
  </x:si>
  <x:si>
    <x:t xml:space="preserve">bfc041b0898b8d0a183e0622143d6978cfb95df12ccf51a7515b4a0934e45951</x:t>
  </x:si>
  <x:si>
    <x:t xml:space="preserve">https://www.ipconpolymer.com/wp-content/uploads/2026/03/IPCON-PPA-GF_TDS-Technical-Data-Sheet.pdf</x:t>
  </x:si>
  <x:si>
    <x:t xml:space="preserve">f9a2ccb84116a13f0a798ba200f6537472ca95b7a804f2bd750a92956abb2bf4</x:t>
  </x:si>
  <x:si>
    <x:t xml:space="preserve">https://cdn.shopify.com/s/files/1/0625/4185/6821/files/THERMAX_PPS_TDS_v3.pdf?v=1723942766</x:t>
  </x:si>
  <x:si>
    <x:t xml:space="preserve">becbd47e43bc1eeee0ad62ffd51f579b771a91f4eabf4ac0d3fc1386f12e3491</x:t>
  </x:si>
  <x:si>
    <x:t xml:space="preserve">https://spectrumfilaments.com/wp-content/uploads/2022/10/en_tds_spectrum_pps_am230.pdf</x:t>
  </x:si>
  <x:si>
    <x:t xml:space="preserve">19c8753c06673ab9b12a20205fa8bd3445832502ce665ce04ba2de9826f03190</x:t>
  </x:si>
  <x:si>
    <x:t xml:space="preserve">B pps cf</x:t>
  </x:si>
  <x:si>
    <x:t xml:space="preserve">https://store.bblcdn.com/26f4f40359484040a8660c9150a90fc0.pdf</x:t>
  </x:si>
  <x:si>
    <x:t xml:space="preserve">d0246a1d2acd61802385e8f9d8a1e3a3e6db5b426337f6c56993402d4c2f2cd0</x:t>
  </x:si>
  <x:si>
    <x:r>
      <x:rPr>
        <x:sz val="10"/>
        <x:color rgb="FF243447"/>
        <x:rFont val="Arial"/>
      </x:rPr>
      <x:t xml:space="preserve">Version</x:t>
    </x:r>
    <x:r>
      <x:rPr>
        <x:sz val="10"/>
        <x:color rgb="FF243447"/>
        <x:rFont val="Noto Sans CJK SC"/>
        <x:family val="2"/>
      </x:rPr>
      <x:t xml:space="preserve">：</x:t>
    </x:r>
    <x:r>
      <x:rPr>
        <x:sz val="10"/>
        <x:color rgb="FF243447"/>
        <x:rFont val="Arial"/>
      </x:rPr>
      <x:t xml:space="preserve">2.0</x:t>
    </x:r>
  </x:si>
  <x:si>
    <x:t xml:space="preserve">https://www.ipconpolymer.com/wp-content/uploads/2026/05/IPCON-PPS-GF_TDS-Technical-Data-Sheet-_V2.0.pdf</x:t>
  </x:si>
  <x:si>
    <x:t xml:space="preserve">9292234367318e13bd15d401b8eba9964abcc51fae445e7db62806bac45f5dfb</x:t>
  </x:si>
  <x:si>
    <x:t xml:space="preserve">TDS_FIBERON PPS-GF20_V1.1</x:t>
  </x:si>
  <x:si>
    <x:t xml:space="preserve">https://cdn.shopify.com/s/files/1/0548/7299/7945/files/TDS_FIBERON_PPS-GF20_V1.1.pdf?v=1752777698</x:t>
  </x:si>
  <x:si>
    <x:t xml:space="preserve">2a2f32e737ecae8509160bcadd33ab263c26cd8e7d6334f38e935890136b0c66</x:t>
  </x:si>
  <x:si>
    <x:t xml:space="preserve">B pva</x:t>
  </x:si>
  <x:si>
    <x:t xml:space="preserve">https://store.bblcdn.com/s7/default/868930e5a44944258586caa250cc8143/Bambu_PVA_Technical_Data_Sheet.pdf</x:t>
  </x:si>
  <x:si>
    <x:t xml:space="preserve">7ca185263fec71442794b3f34409233557bd30995613b759e810532616fe955b</x:t>
  </x:si>
  <x:si>
    <x:t xml:space="preserve">TDS-BigRep-BVOH-web</x:t>
  </x:si>
  <x:si>
    <x:t xml:space="preserve">https://bigrep.com/wp-content/uploads/2023/06/TDS-BigRep-BVOH-web.pdf</x:t>
  </x:si>
  <x:si>
    <x:t xml:space="preserve">d539e76c38536ed5276b8f349dd26fcbf80caec3a65b2b0584dca896e57d28f3</x:t>
  </x:si>
  <x:si>
    <x:t xml:space="preserve">B support for pla petg</x:t>
  </x:si>
  <x:si>
    <x:t xml:space="preserve">https://store.bblcdn.com/d09d55778d42495db121e28a3b04a4c5.pdf</x:t>
  </x:si>
  <x:si>
    <x:t xml:space="preserve">a2f6e88e520e18592333c35da3fd43b89838d14ee6934b617b326fd017e62d54</x:t>
  </x:si>
  <x:si>
    <x:t xml:space="preserve">B support for abs</x:t>
  </x:si>
  <x:si>
    <x:t xml:space="preserve">https://store.bblcdn.com/4ea7b59ca78c485f828115735ed35050.pdf</x:t>
  </x:si>
  <x:si>
    <x:t xml:space="preserve">35f3f69ae2f5097c2d9ef0d7a928a48dc25b478fb01d8b5cf0ac2a9d9904e655</x:t>
  </x:si>
  <x:si>
    <x:t xml:space="preserve">B support for pa pet</x:t>
  </x:si>
  <x:si>
    <x:t xml:space="preserve">https://store.bblcdn.com/7e83189be1eb4a3dab8ce9b9a7b2065a.pdf</x:t>
  </x:si>
  <x:si>
    <x:t xml:space="preserve">8aa9c8a2a4572bf5e15ae2b4752254b498449e55cab8bc1628f9cf9f024994b7</x:t>
  </x:si>
  <x:si>
    <x:t xml:space="preserve">https://cdn.shopify.com/s/files/1/0625/4185/6821/files/3DXMAX_HIPS_TDS_v3.pdf?v=1723942764</x:t>
  </x:si>
  <x:si>
    <x:t xml:space="preserve">ded0380fa2b323605d3df64755d61995c5bf4a15bb5d2180eda8e5c4bfcead70</x:t>
  </x:si>
  <x:si>
    <x:t xml:space="preserve">https://spectrumfilaments.com/wp-content/uploads/2022/05/en_tds_spectrum_hipsx.pdf</x:t>
  </x:si>
  <x:si>
    <x:t xml:space="preserve">14ae19e583630f59cec1e99425f0ac1cd29cf7e2251a2c2f1be589f0d4abeb9d</x:t>
  </x:si>
  <x:si>
    <x:t xml:space="preserve">Hyperlite_PP_v1.xlsx</x:t>
  </x:si>
  <x:si>
    <x:t xml:space="preserve">https://cdn.shopify.com/s/files/1/0625/4185/6821/files/Hyperlite_PP_TDS_v1.pdf?v=1723942768</x:t>
  </x:si>
  <x:si>
    <x:t xml:space="preserve">fbf9839fbe6ca6e41e74e9b5da7ead3a15416aa273cae4b3841a5a3c413c7476</x:t>
  </x:si>
  <x:si>
    <x:t xml:space="preserve">https://www.isanmate.com/wp-content/uploads/2025/08/PP_TDS.pdf</x:t>
  </x:si>
  <x:si>
    <x:t xml:space="preserve">a87bbb34447729466765245f2bd6e58387f78cd34ff67f2e60ea9f4606995d86</x:t>
  </x:si>
  <x:si>
    <x:t xml:space="preserve">CF_PP_v1.xlsx</x:t>
  </x:si>
  <x:si>
    <x:t xml:space="preserve">https://cdn.shopify.com/s/files/1/0625/4185/6821/files/CarbonX_CF_PP_TDSv1.pdf?v=1723942768</x:t>
  </x:si>
  <x:si>
    <x:t xml:space="preserve">e182faced13c5fd7fd3814028d752db177b4540fd46b5a5623c4cb141399c5d7</x:t>
  </x:si>
  <x:si>
    <x:t xml:space="preserve">GF_PP_v1.xlsx</x:t>
  </x:si>
  <x:si>
    <x:t xml:space="preserve">https://cdn.shopify.com/s/files/1/0625/4185/6821/files/FIBREX_GF_PP_TDS_v1.pdf?v=1723942768</x:t>
  </x:si>
  <x:si>
    <x:t xml:space="preserve">3777abf8d41158ed39d815cf5775dc2a952569a81122672b796ae1c033552af4</x:t>
  </x:si>
  <x:si>
    <x:t xml:space="preserve">https://spectrumfilaments.com/wp-content/uploads/2025/11/en_tds_spectrum_hdpe.pdf</x:t>
  </x:si>
  <x:si>
    <x:t xml:space="preserve">c350642ca2c9f7be57619cc577ecab1ee26363389e053f6cb0b608aa6ab7ea74</x:t>
  </x:si>
  <x:si>
    <x:t xml:space="preserve">Dow (TDS hosted by 3DXTECH)</x:t>
  </x:si>
  <x:si>
    <x:t xml:space="preserve">https://cdn.shopify.com/s/files/1/0625/4185/6821/files/EVOLV3D_OBC-TDS.pdf?v=1723942766</x:t>
  </x:si>
  <x:si>
    <x:t xml:space="preserve">89a1aa6f71753437e6d68d7b8054b0bba997fca8b77c6169815eaaeb65c00153</x:t>
  </x:si>
  <x:si>
    <x:t xml:space="preserve">purefil POM Filament | Fabru GmbH</x:t>
  </x:si>
  <x:si>
    <x:t xml:space="preserve">https://www.purefil.de/purefil-pom-filament_186_2176/</x:t>
  </x:si>
  <x:si>
    <x:t xml:space="preserve">0d15149a86b18c39154422aa95846ed3f0e1cd7a18941110cfc5d2a50ac81caf</x:t>
  </x:si>
  <x:si>
    <x:t xml:space="preserve">UN_PCTG_v1.0.xlsx</x:t>
  </x:si>
  <x:si>
    <x:t xml:space="preserve">https://cdn.shopify.com/s/files/1/0625/4185/6821/files/MAXG_PCTG_TDS_v1.0.pdf?v=1723942769</x:t>
  </x:si>
  <x:si>
    <x:t xml:space="preserve">a695fdbb4f48ad7642cbb02b43a24cd246b7c7e75f7eb4fa22f30244b5bae453</x:t>
  </x:si>
  <x:si>
    <x:t xml:space="preserve">https://spectrumfilaments.com/wp-content/uploads/2022/05/en_tds_spectrum_pctg.pdf</x:t>
  </x:si>
  <x:si>
    <x:t xml:space="preserve">9a479a8fb4f070f263959b4bc1ba2637eef4ff62a35294d21e16f8e870d238d1</x:t>
  </x:si>
  <x:si>
    <x:t xml:space="preserve">CPE HG100 | Fillamentum</x:t>
  </x:si>
  <x:si>
    <x:t xml:space="preserve">https://fillamentum.com/collections/cpe-filament/</x:t>
  </x:si>
  <x:si>
    <x:t xml:space="preserve">G089-01; G091-01</x:t>
  </x:si>
  <x:si>
    <x:t xml:space="preserve">3cf1bdbd89e9f5ccc5b4c62664d136d20229576859e292ffc0ddf87482af5162</x:t>
  </x:si>
  <x:si>
    <x:t xml:space="preserve">https://fillamentum.com/wp-content/uploads/2020/10/TDS_CPE-CF112-Carbon.pdf</x:t>
  </x:si>
  <x:si>
    <x:t xml:space="preserve">3848af4a10ac9189899dea703d30d1abf6e5b95b1c66b9f6eaa49fc5cf248dca</x:t>
  </x:si>
  <x:si>
    <x:t xml:space="preserve">https://spectrumfilaments.com/wp-content/uploads/2022/10/en_tds_spectrum_pctg_cf10.pdf</x:t>
  </x:si>
  <x:si>
    <x:t xml:space="preserve">8d45d6e26d2aca8a3320658906e6c06ecf784e442ea43e25d73d45338122b072</x:t>
  </x:si>
  <x:si>
    <x:t xml:space="preserve">nGen Filament – All-Purpose Co-Polyester for Reliable 3D Printing | colorFabb</x:t>
  </x:si>
  <x:si>
    <x:t xml:space="preserve">https://colorfabb.us/filaments/materials/co-polyester-filaments/ngen</x:t>
  </x:si>
  <x:si>
    <x:t xml:space="preserve">cf5a1e5d27b59f52e98bba5a724930202b446d04fb7d8936f2f90ed7a557f706</x:t>
  </x:si>
  <x:si>
    <x:t xml:space="preserve">https://prusament.com/wp-content/uploads/2022/10/PVB_Prusament_TDS_2021_10_EN.pdf</x:t>
  </x:si>
  <x:si>
    <x:t xml:space="preserve">35107a38ec9f13051a97d9f47aaf064f85dc1e6242334def8159923c9be9b21b</x:t>
  </x:si>
  <x:si>
    <x:t xml:space="preserve">https://cdn.shopify.com/s/files/1/0625/4185/6821/files/3DXMAX_PCABS_TDS_v3.pdf?v=1723942764</x:t>
  </x:si>
  <x:si>
    <x:t xml:space="preserve">2f1bbd6de32a6e9a4a24e1ef7c61d0ebfb39c410faf73fe7be2178a0bf39de05</x:t>
  </x:si>
  <x:si>
    <x:t xml:space="preserve">https://cdn.polymaker.com.cn/wp-content/uploads/lana-downloads/Polymaker_PC_ABS_TDS_V5.1.pdf</x:t>
  </x:si>
  <x:si>
    <x:t xml:space="preserve">b85d00a14b3a1c90afe510c4f1d58d7fab8fb69660eaee79c7420b1b7f8c4058</x:t>
  </x:si>
  <x:si>
    <x:t xml:space="preserve">https://spectrumfilaments.com/wp-content/uploads/2024/02/en_tds_spectrum_pc_abs_fr_v0.pdf</x:t>
  </x:si>
  <x:si>
    <x:t xml:space="preserve">779e8bc90e3f33dddb840adac8eff14bed684d3d23e1861053829e663443d07e</x:t>
  </x:si>
  <x:si>
    <x:t xml:space="preserve">https://cdn.polymaker.com.cn/wp-content/uploads/lana-downloads/Polymaker_PC_PBT_TDS_V5.1.pdf</x:t>
  </x:si>
  <x:si>
    <x:t xml:space="preserve">422bebbd0afd300415532d7d089877fb734d51316e877a54f4c00c806ca1570e</x:t>
  </x:si>
  <x:si>
    <x:t xml:space="preserve">https://cdn.shopify.com/s/files/1/0625/4185/6821/files/FLUORX_PVDF_TDS_v3.pdf?v=1723942766</x:t>
  </x:si>
  <x:si>
    <x:t xml:space="preserve">29ea976bfd57b0ba568d750f3db7a6a26333b202e418635ad8b38f5700866b11</x:t>
  </x:si>
  <x:si>
    <x:t xml:space="preserve">https://cdn.shopify.com/s/files/1/0625/4185/6821/files/Themax_PEEK_TDS_v3.pdf?v=1723942765</x:t>
  </x:si>
  <x:si>
    <x:t xml:space="preserve">886d4174157e908efe48506ce2a8a43c82bf51b322a52cb1f41a53c9a18b4d83</x:t>
  </x:si>
  <x:si>
    <x:t xml:space="preserve">https://www.isanmate.com/wp-content/uploads/2022/09/PEEK_TDS.pdf</x:t>
  </x:si>
  <x:si>
    <x:t xml:space="preserve">5a6f2f4bb8b575f8c3064ccddb029b5b00576451f6462e6c3955d2cccd615842</x:t>
  </x:si>
  <x:si>
    <x:t xml:space="preserve">UN_PEKK-A_v2.1.xlsx</x:t>
  </x:si>
  <x:si>
    <x:t xml:space="preserve">TDS Rev 2.1</x:t>
  </x:si>
  <x:si>
    <x:t xml:space="preserve">https://cdn.shopify.com/s/files/1/0625/4185/6821/files/Thermax_PEKK-A_TDS_v2.1.pdf?v=1723942767</x:t>
  </x:si>
  <x:si>
    <x:t xml:space="preserve">32b515322516f39f76760d372b5c8350ee6e13c2c058d88545e4daaac027378a</x:t>
  </x:si>
  <x:si>
    <x:t xml:space="preserve">UN_PEKK-C_v3.3.xlsx</x:t>
  </x:si>
  <x:si>
    <x:t xml:space="preserve">TDS Rev 3.1</x:t>
  </x:si>
  <x:si>
    <x:t xml:space="preserve">https://cdn.shopify.com/s/files/1/0625/4185/6821/files/Thermax_PEKK-C_TDS_v3.3.pdf?v=1723942768</x:t>
  </x:si>
  <x:si>
    <x:t xml:space="preserve">ad0f0fc687720da053c782e5c5cc77dcb6b9549b6a642da3bd47ffd95b7346aa</x:t>
  </x:si>
  <x:si>
    <x:t xml:space="preserve">TDS Rev 4.0</x:t>
  </x:si>
  <x:si>
    <x:t xml:space="preserve">https://cdn.shopify.com/s/files/1/0625/4185/6821/files/THERMAX_PEI_1010_TDS_v4.pdf?v=1723942766</x:t>
  </x:si>
  <x:si>
    <x:t xml:space="preserve">00e85941947b6ea3291460085798ba46e538fc73ce5722ad069dddd8d12ea90b</x:t>
  </x:si>
  <x:si>
    <x:t xml:space="preserve">https://www.isanmate.com/wp-content/uploads/2022/09/PEI-9085_TDS.pdf</x:t>
  </x:si>
  <x:si>
    <x:t xml:space="preserve">7eed1a31b7d8ba6902f9ce32af55e058d15e8a44e922543e615360196ff1b628</x:t>
  </x:si>
  <x:si>
    <x:t xml:space="preserve">https://cdn.shopify.com/s/files/1/0625/4185/6821/files/THERMAX_PSU_TDS_v3.pdf?v=1723942766</x:t>
  </x:si>
  <x:si>
    <x:t xml:space="preserve">606fb193af186280b05aff3d64642a7750d530dc92db523972007a17f7de0913</x:t>
  </x:si>
  <x:si>
    <x:t xml:space="preserve">https://cdn.shopify.com/s/files/1/0625/4185/6821/files/THERMAX_PES_TDS_v1.0.pdf?v=1739974182</x:t>
  </x:si>
  <x:si>
    <x:t xml:space="preserve">ffb3c5b57802fa85b91fc78eb99312b2054817f4026e447e73c973d66239980e</x:t>
  </x:si>
  <x:si>
    <x:t xml:space="preserve">https://cdn.shopify.com/s/files/1/0625/4185/6821/files/THERMAX_PPSU_TDS_v3.pdf?v=1723942766</x:t>
  </x:si>
  <x:si>
    <x:t xml:space="preserve">fe1fb1156f08fc7cd69d97f74d36d9412d2e81a62457809699a001a2ee90951d</x:t>
  </x:si>
  <x:si>
    <x:t xml:space="preserve">https://www.isanmate.com/wp-content/uploads/2022/09/PPSU_TDS.pdf</x:t>
  </x:si>
  <x:si>
    <x:t xml:space="preserve">2309fafe72eadfa6efa68aa4d458d82e2af46cffb4ccec9ebf4b97a5eb8d8e23</x:t>
  </x:si>
  <x:si>
    <x:t xml:space="preserve">ECOMAX® PLA Ach Direct Debit Amazon American Express Apple Pay Diners Club Discover Google Pay Mastercard Shop Pay Visa</x:t>
  </x:si>
  <x:si>
    <x:t xml:space="preserve">https://www.3dxtech.com/products/ecomax-r-pla</x:t>
  </x:si>
  <x:si>
    <x:t xml:space="preserve">6fdedd7334ab958804a0da2aca18e7192fb4f29e81389e9fcb9104e2922d54cd</x:t>
  </x:si>
  <x:si>
    <x:t xml:space="preserve">3DXSTAT™ ESD-PETG Ach Direct Debit Amazon American Express Apple Pay Diners Club Discover Google Pay Mastercard Shop Pay Visa</x:t>
  </x:si>
  <x:si>
    <x:t xml:space="preserve">https://www.3dxtech.com/products/3dxstat-esd-petg-1</x:t>
  </x:si>
  <x:si>
    <x:t xml:space="preserve">5f96006e9549765763228d1e69c6a7ed3b96dbfd1e0577fd69bdb298d1a20b8d</x:t>
  </x:si>
  <x:si>
    <x:t xml:space="preserve">CARBONX™ ABS+CF Ach Direct Debit Amazon American Express Apple Pay Diners Club Discover Google Pay Mastercard Shop Pay Visa</x:t>
  </x:si>
  <x:si>
    <x:t xml:space="preserve">https://www.3dxtech.com/products/carbonx-abs-cf-1</x:t>
  </x:si>
  <x:si>
    <x:t xml:space="preserve">fe21927a61c094b6037140ac3b3b2340c24fbfe68a64c50aef21c7f052c073e1</x:t>
  </x:si>
  <x:si>
    <x:t xml:space="preserve">3DXSTAT™ ESD-ABS Ach Direct Debit Amazon American Express Apple Pay Diners Club Discover Google Pay Mastercard Shop Pay Visa</x:t>
  </x:si>
  <x:si>
    <x:t xml:space="preserve">https://www.3dxtech.com/products/3dxstat-esd-abs-1</x:t>
  </x:si>
  <x:si>
    <x:t xml:space="preserve">97afcaaeb4862230723475cae00a8c5f890c22db2cb715d3fbf35a38ae73ec54</x:t>
  </x:si>
  <x:si>
    <x:t xml:space="preserve">CARBONX™ PC+CF Ach Direct Debit Amazon American Express Apple Pay Diners Club Discover Google Pay Mastercard Shop Pay Visa</x:t>
  </x:si>
  <x:si>
    <x:t xml:space="preserve">https://www.3dxtech.com/products/carbonx-pc-cf-1</x:t>
  </x:si>
  <x:si>
    <x:t xml:space="preserve">05ae1f022a1a2a4c9559ee0d66b801eea49bc6b45a0b258905320c7696ce4188</x:t>
  </x:si>
  <x:si>
    <x:t xml:space="preserve">AmideX Nylon 6-66 | 3DXTECH Ach Direct Debit Amazon American Express Apple Pay Diners Club Discover Google Pay Mastercard Shop Pay Visa</x:t>
  </x:si>
  <x:si>
    <x:t xml:space="preserve">https://www.3dxtech.com/products/amidex-nylon-6-67</x:t>
  </x:si>
  <x:si>
    <x:t xml:space="preserve">d21b8e739e4dcb190728e7699e49b76846c931ebe5204c730d657c4b39861a5b</x:t>
  </x:si>
  <x:si>
    <x:t xml:space="preserve">CARBONX™ NYLON 12+CF Ach Direct Debit Amazon American Express Apple Pay Diners Club Discover Google Pay Mastercard Shop Pay Visa</x:t>
  </x:si>
  <x:si>
    <x:t xml:space="preserve">https://www.3dxtech.com/products/carbonx-nylon-12-cf-1</x:t>
  </x:si>
  <x:si>
    <x:t xml:space="preserve">721a92f6c71af9e988217cbd94d5817d5b2305046bcb2d3f34dab55bf3a2cb20</x:t>
  </x:si>
  <x:si>
    <x:t xml:space="preserve">FIBREX™ NYLON 12+GF30 Ach Direct Debit Amazon American Express Apple Pay Diners Club Discover Google Pay Mastercard Shop Pay Visa</x:t>
  </x:si>
  <x:si>
    <x:t xml:space="preserve">https://www.3dxtech.com/products/fibrex-nylon-12-gf30-1</x:t>
  </x:si>
  <x:si>
    <x:t xml:space="preserve">c37c5fe2e6b48f92f66990c0f7a3632493ec9a72ddae0863c7f514a3fc5bf558</x:t>
  </x:si>
  <x:si>
    <x:t xml:space="preserve">THERMAX™ PPS Ach Direct Debit Amazon American Express Apple Pay Diners Club Discover Google Pay Mastercard Shop Pay Visa</x:t>
  </x:si>
  <x:si>
    <x:t xml:space="preserve">https://www.3dxtech.com/products/thermax-pps</x:t>
  </x:si>
  <x:si>
    <x:t xml:space="preserve">39ad51172025781779b786b50191398b2b6c0ff5feef4fb971ce75691e70d9a2</x:t>
  </x:si>
  <x:si>
    <x:t xml:space="preserve">3DXMAX® HIPS Ach Direct Debit Amazon American Express Apple Pay Diners Club Discover Google Pay Mastercard Shop Pay Visa</x:t>
  </x:si>
  <x:si>
    <x:t xml:space="preserve">https://www.3dxtech.com/products/3dxmax-hips</x:t>
  </x:si>
  <x:si>
    <x:t xml:space="preserve">091e525a0e18f115ce58766c545549b94d7b4af7693d510e4a476a476decccb3</x:t>
  </x:si>
  <x:si>
    <x:t xml:space="preserve">CARBONX™ PP+CF Ach Direct Debit Amazon American Express Apple Pay Diners Club Discover Google Pay Mastercard Shop Pay Visa</x:t>
  </x:si>
  <x:si>
    <x:t xml:space="preserve">https://www.3dxtech.com/products/carbonx-pp-cf-1</x:t>
  </x:si>
  <x:si>
    <x:t xml:space="preserve">f582ae748a63c4c0610cb118207e6a88f29e601fca2f4484cf90770ea7e1c47e</x:t>
  </x:si>
  <x:si>
    <x:t xml:space="preserve">MAX-G™ PCTG Ach Direct Debit Amazon American Express Apple Pay Diners Club Discover Google Pay Mastercard Shop Pay Visa</x:t>
  </x:si>
  <x:si>
    <x:t xml:space="preserve">https://www.3dxtech.com/products/max-g-pctg-1</x:t>
  </x:si>
  <x:si>
    <x:t xml:space="preserve">1e525352e915d9db89595e2ff9248f0d642c1c7483502497face6c9e9d991efc</x:t>
  </x:si>
  <x:si>
    <x:t xml:space="preserve">3DXMAX PC-ABS Filament | 3DXTECH Ach Direct Debit Amazon American Express Apple Pay Diners Club Discover Google Pay Mastercard Shop Pay Visa</x:t>
  </x:si>
  <x:si>
    <x:t xml:space="preserve">https://www.3dxtech.com/products/3dxmaxa-r-pc-abs</x:t>
  </x:si>
  <x:si>
    <x:t xml:space="preserve">aabba449d5a6b6f5082e0577d984ca7bde7d39c2f7f006ff5508bb4b79089a77</x:t>
  </x:si>
  <x:si>
    <x:t xml:space="preserve">FluorX PVDF Filament | 3DXTECH Ach Direct Debit Amazon American Express Apple Pay Diners Club Discover Google Pay Mastercard Shop Pay Visa</x:t>
  </x:si>
  <x:si>
    <x:t xml:space="preserve">https://www.3dxtech.com/products/fluorx-pvdf-1</x:t>
  </x:si>
  <x:si>
    <x:t xml:space="preserve">7f8742cbb0372c613573124217b5ade6bcc615b26a90c36278b4f37bb6bf38bb</x:t>
  </x:si>
  <x:si>
    <x:t xml:space="preserve">THERMAX™ PEEK Ach Direct Debit Amazon American Express Apple Pay Diners Club Discover Google Pay Mastercard Shop Pay Visa</x:t>
  </x:si>
  <x:si>
    <x:t xml:space="preserve">https://www.3dxtech.com/products/thermax-peek-1</x:t>
  </x:si>
  <x:si>
    <x:t xml:space="preserve">6b75a32cb2be1a4e6cc1789d99b3ec24398cf692807ed43bd25a46c23e7a4040</x:t>
  </x:si>
  <x:si>
    <x:t xml:space="preserve">THERMAX™ PEKK-A Ach Direct Debit Amazon American Express Apple Pay Diners Club Discover Google Pay Mastercard Shop Pay Visa</x:t>
  </x:si>
  <x:si>
    <x:t xml:space="preserve">https://www.3dxtech.com/products/pekk-a</x:t>
  </x:si>
  <x:si>
    <x:t xml:space="preserve">1809548d47e2efc84bd2d2ef33296132bdc33556d53af0f0946b6ac53168f8c4</x:t>
  </x:si>
  <x:si>
    <x:t xml:space="preserve">THERMAX™ PEI 1010 Ach Direct Debit Amazon American Express Apple Pay Diners Club Discover Google Pay Mastercard Shop Pay Visa</x:t>
  </x:si>
  <x:si>
    <x:t xml:space="preserve">https://www.3dxtech.com/products/thermax-pei-1010</x:t>
  </x:si>
  <x:si>
    <x:t xml:space="preserve">8ced7cdde39163e1af20f9c3f01bdfae1f1e22b65a971a95678a4c7d0b6c3840</x:t>
  </x:si>
  <x:si>
    <x:t xml:space="preserve">THERMAX™ PSU Ach Direct Debit Amazon American Express Apple Pay Diners Club Discover Google Pay Mastercard Shop Pay Visa</x:t>
  </x:si>
  <x:si>
    <x:t xml:space="preserve">https://www.3dxtech.com/products/thermax-psu-1</x:t>
  </x:si>
  <x:si>
    <x:t xml:space="preserve">fbc10588eeaddbaf7f0bb6d042d87ee6a66790931961b3dae95c58b9125f76ed</x:t>
  </x:si>
  <x:si>
    <x:t xml:space="preserve">THERMAX™ PES Ach Direct Debit Amazon American Express Apple Pay Diners Club Discover Google Pay Mastercard Shop Pay Visa</x:t>
  </x:si>
  <x:si>
    <x:t xml:space="preserve">https://www.3dxtech.com/products/thermax-pes-1</x:t>
  </x:si>
  <x:si>
    <x:t xml:space="preserve">2dfa974686807903fe33318150adb1633191b7cc9dc468409283e568fe953716</x:t>
  </x:si>
  <x:si>
    <x:t xml:space="preserve">THERMAX™ PPSU Ach Direct Debit Amazon American Express Apple Pay Diners Club Discover Google Pay Mastercard Shop Pay Visa</x:t>
  </x:si>
  <x:si>
    <x:t xml:space="preserve">https://www.3dxtech.com/products/thermax-ppsu-1</x:t>
  </x:si>
  <x:si>
    <x:t xml:space="preserve">e27a2733e0fc48077600d8a3681f69801620ffaa5e6d5ca09f892904a743c240</x:t>
  </x:si>
  <x:si>
    <x:t xml:space="preserve">PLA | Prusa Knowledge Base</x:t>
  </x:si>
  <x:si>
    <x:t xml:space="preserve">https://help.prusa3d.com/article/pla_2062</x:t>
  </x:si>
  <x:si>
    <x:t xml:space="preserve">1733472c25a2a70775d3558a9ac9dc8cccf1741557323b377b8ea0c5ca1dcc0c</x:t>
  </x:si>
  <x:si>
    <x:t xml:space="preserve">PETG | Prusa Knowledge Base</x:t>
  </x:si>
  <x:si>
    <x:t xml:space="preserve">https://help.prusa3d.com/article/petg_2059</x:t>
  </x:si>
  <x:si>
    <x:t xml:space="preserve">9b73f16567c07c921a1def33e6c8ca4ab8c5463f5170236d8fe8d023cc28f259</x:t>
  </x:si>
  <x:si>
    <x:t xml:space="preserve">ABS | Prusa Knowledge Base</x:t>
  </x:si>
  <x:si>
    <x:t xml:space="preserve">https://help.prusa3d.com/article/abs_2058</x:t>
  </x:si>
  <x:si>
    <x:t xml:space="preserve">ad3f3b8786cd898284d6bbcc023c01ef9a457f965312b729ca26c11d3df1ae65</x:t>
  </x:si>
  <x:si>
    <x:t xml:space="preserve">ASA | Prusa Knowledge Base</x:t>
  </x:si>
  <x:si>
    <x:t xml:space="preserve">https://help.prusa3d.com/article/asa_1809</x:t>
  </x:si>
  <x:si>
    <x:t xml:space="preserve">7747a0892a1315f9eee1d9e2733f9a1fbaf18c26f02dcd24985a276f074b7885</x:t>
  </x:si>
  <x:si>
    <x:t xml:space="preserve">Polycarbonate (PC) | Prusa Knowledge Base</x:t>
  </x:si>
  <x:si>
    <x:t xml:space="preserve">https://help.prusa3d.com/article/polycarbonate-pc_165812</x:t>
  </x:si>
  <x:si>
    <x:t xml:space="preserve">8c2dbf537b1416e5699951e1225f21d267347a9a396f1c261fb21af3bfaa5d30</x:t>
  </x:si>
  <x:si>
    <x:t xml:space="preserve">Flexible materials | Prusa Knowledge Base</x:t>
  </x:si>
  <x:si>
    <x:t xml:space="preserve">https://help.prusa3d.com/article/flexible-materials_2057</x:t>
  </x:si>
  <x:si>
    <x:t xml:space="preserve">385549a0cab7393e8b3514ccdb12ce25d39fbc693c28b9fd3cba9fe787e688a0</x:t>
  </x:si>
  <x:si>
    <x:t xml:space="preserve">Polyamide (Nylon) | Prusa Knowledge Base</x:t>
  </x:si>
  <x:si>
    <x:t xml:space="preserve">https://help.prusa3d.com/article/polyamide-nylon_167188</x:t>
  </x:si>
  <x:si>
    <x:t xml:space="preserve">79c77d9559bda72628c7ee5ee05383b65a570d6efa40ec1b9461a77f9997292b</x:t>
  </x:si>
  <x:si>
    <x:t xml:space="preserve">CPE | Prusa Knowledge Base</x:t>
  </x:si>
  <x:si>
    <x:t xml:space="preserve">https://help.prusa3d.com/article/cpe_166877</x:t>
  </x:si>
  <x:si>
    <x:t xml:space="preserve">993d7aec9fc6dfb399d90aefb7b7b4141bf2c17b68c84afe4e970cf3b0219b09</x:t>
  </x:si>
  <x:si>
    <x:t xml:space="preserve">Polypropylene (PP) | Prusa Knowledge Base</x:t>
  </x:si>
  <x:si>
    <x:t xml:space="preserve">https://help.prusa3d.com/article/polypropylene-pp_167126</x:t>
  </x:si>
  <x:si>
    <x:t xml:space="preserve">47e2604b7f8ab5035c76813856826ceb75cc8ca9c9c3f51e0f2bcd674e43d055</x:t>
  </x:si>
  <x:si>
    <x:t xml:space="preserve">HIPS | Prusa Knowledge Base</x:t>
  </x:si>
  <x:si>
    <x:t xml:space="preserve">https://help.prusa3d.com/article/hips_167118</x:t>
  </x:si>
  <x:si>
    <x:t xml:space="preserve">99d957cc7f89d79a383595bcdcdaf9ea94148463a832c092a5017fe935e0a5eb</x:t>
  </x:si>
  <x:si>
    <x:t xml:space="preserve">Water soluble (BVOH/PVA) | Prusa Knowledge Base</x:t>
  </x:si>
  <x:si>
    <x:t xml:space="preserve">https://help.prusa3d.com/article/water-soluble-bvoh-pva_167012</x:t>
  </x:si>
  <x:si>
    <x:t xml:space="preserve">7bb79cea6a1b8772888768d2be7aee4107a92d8c9afff966c8871a9906a40252</x:t>
  </x:si>
  <x:si>
    <x:t xml:space="preserve">PVB | Prusa Knowledge Base</x:t>
  </x:si>
  <x:si>
    <x:t xml:space="preserve">https://help.prusa3d.com/article/pvb_196708</x:t>
  </x:si>
  <x:si>
    <x:t xml:space="preserve">1dec08043382f7c4c1132de147eb921e7309b1c6b3df3a6498c5f34c1b5a2551</x:t>
  </x:si>
  <x:si>
    <x:t xml:space="preserve">NGEN | Prusa Knowledge Base</x:t>
  </x:si>
  <x:si>
    <x:t xml:space="preserve">https://help.prusa3d.com/article/ngen_167174</x:t>
  </x:si>
  <x:si>
    <x:t xml:space="preserve">f242f7f80a5c26b7a90b36f4f20f8061041dd9e42fb18bce0ee9448fbb65ce69</x:t>
  </x:si>
  <x:si>
    <x:t xml:space="preserve">CDC / NIOSH</x:t>
  </x:si>
  <x:si>
    <x:t xml:space="preserve">Potential Hazards of Additive Manufacturing</x:t>
  </x:si>
  <x:si>
    <x:t xml:space="preserve">Official occupational-safety guidance</x:t>
  </x:si>
  <x:si>
    <x:t xml:space="preserve">https://www.cdc.gov/niosh/bulletin/2019/additive-manufacturing.html</x:t>
  </x:si>
  <x:si>
    <x:t xml:space="preserve">Material extrusion row; Risk Management Considerations</x:t>
  </x:si>
  <x:si>
    <x:t xml:space="preserve">Retrieved with web reader</x:t>
  </x:si>
  <x:si>
    <x:t xml:space="preserve">Rodrigues et al., Polymers</x:t>
  </x:si>
  <x:si>
    <x:t xml:space="preserve">Mechanical, Fatigue, and Thermal Characterization of ASA, Nylon 12, PC, and PC-ABS Manufactured by Fused Filament Fabrication (FFF) - PMC Lock</x:t>
  </x:si>
  <x:si>
    <x:t xml:space="preserve">Peer-reviewed original research</x:t>
  </x:si>
  <x:si>
    <x:t xml:space="preserve">https://pmc.ncbi.nlm.nih.gov/articles/PMC12845617/</x:t>
  </x:si>
  <x:si>
    <x:t xml:space="preserve">G031-R1; G035-R1; G052-R1; G094-R1</x:t>
  </x:si>
  <x:si>
    <x:t xml:space="preserve">1b720815d6550ec8c649f5aa2a0bb1d64e0a4f11a8d8ce0eab3f3054d201db8b</x:t>
  </x:si>
  <x:si>
    <x:t xml:space="preserve">Głowacki et al., Polymers</x:t>
  </x:si>
  <x:si>
    <x:t xml:space="preserve">Change in the Low-Cycle Performance on the 3D-Printed Materials ABS, ASA, HIPS, and PLA Exposed to Mineral Oil - PMC Lock</x:t>
  </x:si>
  <x:si>
    <x:t xml:space="preserve">https://pmc.ncbi.nlm.nih.gov/articles/PMC11054632/</x:t>
  </x:si>
  <x:si>
    <x:t xml:space="preserve">6e642f17ba0bb72902cedba41e7a3c91262ba0da35f0a3a7a557a1c0acc59fa5</x:t>
  </x:si>
  <x:si>
    <x:t xml:space="preserve">PLA Basic | Bambu Lab CA Store</x:t>
  </x:si>
  <x:si>
    <x:t xml:space="preserve">https://ca.store.bambulab.com/products/pla-basic-filament</x:t>
  </x:si>
  <x:si>
    <x:t xml:space="preserve">2a43d29a8bd8269c8853609c3162de704e9e91b2b353f3deb0f5e7e8c28f44fd</x:t>
  </x:si>
  <x:si>
    <x:t xml:space="preserve">PLA Matte | Bambu Lab CA Store</x:t>
  </x:si>
  <x:si>
    <x:t xml:space="preserve">https://ca.store.bambulab.com/products/pla-matte</x:t>
  </x:si>
  <x:si>
    <x:t xml:space="preserve">292c5d1fa660d8500a571537f0eada519ca78ebc04db93d97d08ee3bbf416d63</x:t>
  </x:si>
  <x:si>
    <x:t xml:space="preserve">PLA Basic Gradient | Bambu Lab CA Store</x:t>
  </x:si>
  <x:si>
    <x:t xml:space="preserve">https://ca.store.bambulab.com/products/pla-basic-gradient</x:t>
  </x:si>
  <x:si>
    <x:t xml:space="preserve">3f0eeb5ae23ebff2a2ed65387207d06f4bac0c56ea4f05d216d04e744433e5c4</x:t>
  </x:si>
  <x:si>
    <x:t xml:space="preserve">PLA Tough+ | Bambu Lab CA Store</x:t>
  </x:si>
  <x:si>
    <x:t xml:space="preserve">https://ca.store.bambulab.com/products/pla-tough-upgrade</x:t>
  </x:si>
  <x:si>
    <x:t xml:space="preserve">bd93953779b7e8d7faefd540a6b2d5c7a416299d4d98d22e76168b4478b954de</x:t>
  </x:si>
  <x:si>
    <x:t xml:space="preserve">PLA Translucent | Bambu Lab CA Store</x:t>
  </x:si>
  <x:si>
    <x:t xml:space="preserve">https://ca.store.bambulab.com/products/pla-translucent</x:t>
  </x:si>
  <x:si>
    <x:t xml:space="preserve">9563e70806bb045bedbb0ff0ce6af0246c9bf004fc691b30ec2202edd9984532</x:t>
  </x:si>
  <x:si>
    <x:t xml:space="preserve">Bambu Filament - PLA Silk+ | Bambu Lab CA Store</x:t>
  </x:si>
  <x:si>
    <x:t xml:space="preserve">https://ca.store.bambulab.com/products/pla-silk-upgrade</x:t>
  </x:si>
  <x:si>
    <x:t xml:space="preserve">293d2ffa206501f7ed8adf184defb9b3b55bb848785457c53bc6785f065f713c</x:t>
  </x:si>
  <x:si>
    <x:t xml:space="preserve">PLA Silk Multi Color | Bambu Lab CA Store</x:t>
  </x:si>
  <x:si>
    <x:t xml:space="preserve">https://ca.store.bambulab.com/products/pla-silk-multi-color</x:t>
  </x:si>
  <x:si>
    <x:t xml:space="preserve">5636a79ae886fd5d24c61082bf1a966489f10591d279668d304c34862be9072e</x:t>
  </x:si>
  <x:si>
    <x:t xml:space="preserve">PLA Metal | Bambu Lab CA Store</x:t>
  </x:si>
  <x:si>
    <x:t xml:space="preserve">https://ca.store.bambulab.com/products/pla-metal</x:t>
  </x:si>
  <x:si>
    <x:t xml:space="preserve">5d4b6935d7552af102e65424aec69096596128544082f2df2f9d3543b416821f</x:t>
  </x:si>
  <x:si>
    <x:t xml:space="preserve">PLA Marble | Bambu Lab CA Store</x:t>
  </x:si>
  <x:si>
    <x:t xml:space="preserve">https://ca.store.bambulab.com/products/pla-marble</x:t>
  </x:si>
  <x:si>
    <x:t xml:space="preserve">51f4b52959c9256d50d2b6f6f4fd0c2cc47378aafaf07247a6da64a5e53322e6</x:t>
  </x:si>
  <x:si>
    <x:t xml:space="preserve">PLA Sparkle | Bambu Lab CA Store</x:t>
  </x:si>
  <x:si>
    <x:t xml:space="preserve">https://ca.store.bambulab.com/products/pla-sparkle</x:t>
  </x:si>
  <x:si>
    <x:t xml:space="preserve">4874e2a31c565ead68694dfd97d671cf8518bca7b279d50d89991f03702f120b</x:t>
  </x:si>
  <x:si>
    <x:t xml:space="preserve">PLA Wood | Bambu Lab CA Store</x:t>
  </x:si>
  <x:si>
    <x:t xml:space="preserve">https://ca.store.bambulab.com/products/pla-wood</x:t>
  </x:si>
  <x:si>
    <x:t xml:space="preserve">e07e2db1c164a8b5750f2a81a71c9d139629c35f65a66c615bc3177995b739fe</x:t>
  </x:si>
  <x:si>
    <x:t xml:space="preserve">PLA Galaxy | Bambu Lab CA Store</x:t>
  </x:si>
  <x:si>
    <x:t xml:space="preserve">https://ca.store.bambulab.com/products/pla-galaxy</x:t>
  </x:si>
  <x:si>
    <x:t xml:space="preserve">37cd80096035730aa2ce45aa202259babd0dae5da5152ac08ed14fe44bad8bbc</x:t>
  </x:si>
  <x:si>
    <x:t xml:space="preserve">PLA Glow | Bambu Lab CA Store</x:t>
  </x:si>
  <x:si>
    <x:t xml:space="preserve">https://ca.store.bambulab.com/products/pla-glow</x:t>
  </x:si>
  <x:si>
    <x:t xml:space="preserve">aea169e56d6c710ec1093a97cd1a8b5b4c962103b57ddb215fe0bb41787d1ecd</x:t>
  </x:si>
  <x:si>
    <x:t xml:space="preserve">PLA Aero | Bambu Lab CA Store</x:t>
  </x:si>
  <x:si>
    <x:t xml:space="preserve">https://ca.store.bambulab.com/products/pla-aero</x:t>
  </x:si>
  <x:si>
    <x:t xml:space="preserve">d4f2efcb892986c72b2345692626a68546c766242813c10092c839488a9198db</x:t>
  </x:si>
  <x:si>
    <x:t xml:space="preserve">PLA-CF | Bambu Lab CA Store</x:t>
  </x:si>
  <x:si>
    <x:t xml:space="preserve">https://ca.store.bambulab.com/products/pla-cf</x:t>
  </x:si>
  <x:si>
    <x:t xml:space="preserve">2295bb4df4f05db9c6304fb53657607a5332e32eb0d2eee9cdb27f12185953e3</x:t>
  </x:si>
  <x:si>
    <x:t xml:space="preserve">PETG Basic | Bambu Lab CA Store</x:t>
  </x:si>
  <x:si>
    <x:t xml:space="preserve">https://ca.store.bambulab.com/products/petg-basic</x:t>
  </x:si>
  <x:si>
    <x:t xml:space="preserve">3350a2adc747ca24b0711bcda4125ab42c1be484de21e08459033c3c06b73ad3</x:t>
  </x:si>
  <x:si>
    <x:t xml:space="preserve">PETG HF | Bambu Lab CA Store</x:t>
  </x:si>
  <x:si>
    <x:t xml:space="preserve">https://ca.store.bambulab.com/products/petg-hf</x:t>
  </x:si>
  <x:si>
    <x:t xml:space="preserve">ef9caee9ccd90241e7b895db6c3780ccd7c46b0323cfe515fb656b947c25e45c</x:t>
  </x:si>
  <x:si>
    <x:t xml:space="preserve">PETG Translucent | Bambu Lab CA Store</x:t>
  </x:si>
  <x:si>
    <x:t xml:space="preserve">https://ca.store.bambulab.com/products/petg-translucent</x:t>
  </x:si>
  <x:si>
    <x:t xml:space="preserve">b6e6fe83466e26c496afda722552580726cb8a0edc4cf89905702e01c19c127d</x:t>
  </x:si>
  <x:si>
    <x:t xml:space="preserve">PETG-CF | Bambu Lab CA Store</x:t>
  </x:si>
  <x:si>
    <x:t xml:space="preserve">https://ca.store.bambulab.com/products/petg-cf</x:t>
  </x:si>
  <x:si>
    <x:t xml:space="preserve">816927d039b606a67d85645419a12d7798c5ceb1b0bb3bc31495595b8924ace2</x:t>
  </x:si>
  <x:si>
    <x:t xml:space="preserve">ABS | Bambu Lab CA Store</x:t>
  </x:si>
  <x:si>
    <x:t xml:space="preserve">https://ca.store.bambulab.com/products/abs-filament</x:t>
  </x:si>
  <x:si>
    <x:t xml:space="preserve">feac5616b65acf62dd19a73f1d5cbd266c00bb4b55e9e934eacd1c8f7baa8bbd</x:t>
  </x:si>
  <x:si>
    <x:t xml:space="preserve">ABS-GF | Bambu Lab CA Store</x:t>
  </x:si>
  <x:si>
    <x:t xml:space="preserve">https://ca.store.bambulab.com/products/abs-gf</x:t>
  </x:si>
  <x:si>
    <x:t xml:space="preserve">f69f1eda39d24c46c0e83ea3b31d2aa564152832cbdc38ea3166876cf2918554</x:t>
  </x:si>
  <x:si>
    <x:t xml:space="preserve">ASA | Bambu Lab CA Store</x:t>
  </x:si>
  <x:si>
    <x:t xml:space="preserve">https://ca.store.bambulab.com/products/asa-filament</x:t>
  </x:si>
  <x:si>
    <x:t xml:space="preserve">1807d7f84317a3e28c07b031667e789cee72e9c46c948ff165c036e598a98995</x:t>
  </x:si>
  <x:si>
    <x:t xml:space="preserve">ASA Aero | Bambu Lab CA Store</x:t>
  </x:si>
  <x:si>
    <x:t xml:space="preserve">https://ca.store.bambulab.com/products/asa-aero</x:t>
  </x:si>
  <x:si>
    <x:t xml:space="preserve">265753247b413cf063d77109b5e27cc047673bd9340ca6de8ddd7ed0fe532f79</x:t>
  </x:si>
  <x:si>
    <x:t xml:space="preserve">ASA-CF | Bambu Lab CA Store</x:t>
  </x:si>
  <x:si>
    <x:t xml:space="preserve">https://ca.store.bambulab.com/products/asa-cf</x:t>
  </x:si>
  <x:si>
    <x:t xml:space="preserve">5fce3dad396754b6743592309955549301512bbff4cd689f19c1f6f9e40d59c6</x:t>
  </x:si>
  <x:si>
    <x:t xml:space="preserve">PC | Bambu Lab CA Store</x:t>
  </x:si>
  <x:si>
    <x:t xml:space="preserve">https://ca.store.bambulab.com/products/pc-filament</x:t>
  </x:si>
  <x:si>
    <x:t xml:space="preserve">e10e15aa9a90f4713a18d8785d376f296eda2b53671bf05a686a4b9d677523c9</x:t>
  </x:si>
  <x:si>
    <x:t xml:space="preserve">PC FR | Bambu Lab CA Store</x:t>
  </x:si>
  <x:si>
    <x:t xml:space="preserve">https://ca.store.bambulab.com/products/pc-fr</x:t>
  </x:si>
  <x:si>
    <x:t xml:space="preserve">809f9fb9ae24cb5d7a5cf22c2e9fffad3a4849b79e0b5d0e8575adb596a5008f</x:t>
  </x:si>
  <x:si>
    <x:t xml:space="preserve">TPU for AMS | Bambu Lab CA Store</x:t>
  </x:si>
  <x:si>
    <x:t xml:space="preserve">https://ca.store.bambulab.com/products/tpu-for-ams</x:t>
  </x:si>
  <x:si>
    <x:t xml:space="preserve">f76f53b345ba71d18714100b496f39546dfadf9a9abb22e74b1728754b687f70</x:t>
  </x:si>
  <x:si>
    <x:t xml:space="preserve">TPU 95A HF | Bambu Lab CA Store</x:t>
  </x:si>
  <x:si>
    <x:t xml:space="preserve">https://ca.store.bambulab.com/products/tpu-95a-hf</x:t>
  </x:si>
  <x:si>
    <x:t xml:space="preserve">e8d72a6c87679f35a2413339c5d8e7bcd421607f6369792334bf3ab058c46cca</x:t>
  </x:si>
  <x:si>
    <x:t xml:space="preserve">TPU 85A / TPU 90A | Bambu Lab CA Store</x:t>
  </x:si>
  <x:si>
    <x:t xml:space="preserve">https://ca.store.bambulab.com/products/tpu-85a-tpu-90a</x:t>
  </x:si>
  <x:si>
    <x:t xml:space="preserve">6399431f80638c739814f81368a982ca0358529982355749399097c4b4fc2f26</x:t>
  </x:si>
  <x:si>
    <x:t xml:space="preserve">PAHT-CF | Bambu Lab CA Store</x:t>
  </x:si>
  <x:si>
    <x:t xml:space="preserve">https://ca.store.bambulab.com/products/paht-cf</x:t>
  </x:si>
  <x:si>
    <x:t xml:space="preserve">c54e6d5d2d3ae10071b7586cb785aa8bb527d0ebed9889b3b49dd320950a3371</x:t>
  </x:si>
  <x:si>
    <x:t xml:space="preserve">PA6-CF | Bambu Lab CA Store</x:t>
  </x:si>
  <x:si>
    <x:t xml:space="preserve">https://ca.store.bambulab.com/products/pa6-cf</x:t>
  </x:si>
  <x:si>
    <x:t xml:space="preserve">1fe4c182422f334df2074676882cc595a64b39325a667e2c430fe05735295c57</x:t>
  </x:si>
  <x:si>
    <x:t xml:space="preserve">PA6-GF | Bambu Lab CA Store</x:t>
  </x:si>
  <x:si>
    <x:t xml:space="preserve">https://ca.store.bambulab.com/products/pa6-gf</x:t>
  </x:si>
  <x:si>
    <x:t xml:space="preserve">ae5167fcfafc4c88d6c0bc31607627aad5039dac2849926c8ab508d01b5296ef</x:t>
  </x:si>
  <x:si>
    <x:t xml:space="preserve">CF Reinforced PET Filament | Bambu Lab CA Store</x:t>
  </x:si>
  <x:si>
    <x:t xml:space="preserve">https://ca.store.bambulab.com/products/pet-cf</x:t>
  </x:si>
  <x:si>
    <x:t xml:space="preserve">7e4ce9aad103255ed5e79cb0569dc2c193e5185324daadcf1d44fa651eb23b7b</x:t>
  </x:si>
  <x:si>
    <x:t xml:space="preserve">PPA-CF | Bambu Lab CA Store</x:t>
  </x:si>
  <x:si>
    <x:t xml:space="preserve">https://ca.store.bambulab.com/products/ppa-cf</x:t>
  </x:si>
  <x:si>
    <x:t xml:space="preserve">e3c1b415302d034a09c07f976ba72a04d6e77633ab6010250a96017d6273cf3b</x:t>
  </x:si>
  <x:si>
    <x:t xml:space="preserve">CF Reinforced PPS Filament | Bambu Lab CA Store</x:t>
  </x:si>
  <x:si>
    <x:t xml:space="preserve">https://ca.store.bambulab.com/products/pps-cf</x:t>
  </x:si>
  <x:si>
    <x:t xml:space="preserve">01e589e418ebdd5359ce160ad83f0ea8f8c993e9106712073bf3dd7cea2716db</x:t>
  </x:si>
  <x:si>
    <x:t xml:space="preserve">PVA | Bambu Lab CA Store</x:t>
  </x:si>
  <x:si>
    <x:t xml:space="preserve">https://ca.store.bambulab.com/products/pva</x:t>
  </x:si>
  <x:si>
    <x:t xml:space="preserve">6250ae1e79f680c61fde568550cc86b2ed7b754a76d01e6ea46565255356ea4d</x:t>
  </x:si>
  <x:si>
    <x:t xml:space="preserve">Support for PLA/PETG | Bambu Lab CA Store</x:t>
  </x:si>
  <x:si>
    <x:t xml:space="preserve">https://ca.store.bambulab.com/products/support-for-pla-petg</x:t>
  </x:si>
  <x:si>
    <x:t xml:space="preserve">fdb541d86bac50e5cd80bb5a251219616ae5e0492ed404be11c6e48231ee228a</x:t>
  </x:si>
  <x:si>
    <x:t xml:space="preserve">Support for ABS | Bambu Lab CA Store</x:t>
  </x:si>
  <x:si>
    <x:t xml:space="preserve">https://ca.store.bambulab.com/products/support-for-abs</x:t>
  </x:si>
  <x:si>
    <x:t xml:space="preserve">656bd5b3ed1f4cb2f40074a281b1cc56dc349cbb643e52b3905d6525164e25a5</x:t>
  </x:si>
  <x:si>
    <x:t xml:space="preserve">Support for PA/PET | Bambu Lab CA Store</x:t>
  </x:si>
  <x:si>
    <x:t xml:space="preserve">https://ca.store.bambulab.com/products/support-for-pa-pet</x:t>
  </x:si>
  <x:si>
    <x:t xml:space="preserve">b9ac40056b23a2cba1bc4336077a8786fa1e3c8d8a0a4540b6aee6de780e9c0c</x:t>
  </x:si>
  <x:si>
    <x:t xml:space="preserve">CA 3DPC1</x:t>
  </x:si>
  <x:si>
    <x:t xml:space="preserve">Canadian retailer catalogue; pricing only</x:t>
  </x:si>
  <x:si>
    <x:t xml:space="preserve">https://3dprintingcanada.com/products.json?limit=250&amp;page=1</x:t>
  </x:si>
  <x:si>
    <x:t xml:space="preserve">363ec73ffc5ba644ffa0ac2b4e888d3c087e086f6f64f5841d923fd6ecea8a37</x:t>
  </x:si>
  <x:si>
    <x:t xml:space="preserve">CA 3DPC3</x:t>
  </x:si>
  <x:si>
    <x:t xml:space="preserve">https://3dprintingcanada.com/products.json?limit=250&amp;page=3</x:t>
  </x:si>
  <x:si>
    <x:t xml:space="preserve">68da294ddd563916295bcf1f2f7cd3365088f95c68c56d217159954f965d194a</x:t>
  </x:si>
  <x:si>
    <x:t xml:space="preserve">CA 3DPC4</x:t>
  </x:si>
  <x:si>
    <x:t xml:space="preserve">https://3dprintingcanada.com/products.json?limit=250&amp;page=4</x:t>
  </x:si>
  <x:si>
    <x:t xml:space="preserve">0265232350e86a4200a11d2d7b0ac2d33e273fe9ffe2add0f72b24aad65a6427</x:t>
  </x:si>
  <x:si>
    <x:t xml:space="preserve">CA ADVANCED</x:t>
  </x:si>
  <x:si>
    <x:t xml:space="preserve">https://3dprintingcanada.com/collections/advanced-filaments/products.json?limit=250</x:t>
  </x:si>
  <x:si>
    <x:t xml:space="preserve">9734f03a292beb8177f1360a6d214191a5d306ab132bb3220abe8e862af9650f</x:t>
  </x:si>
  <x:si>
    <x:t xml:space="preserve">CA SHOP3D1</x:t>
  </x:si>
  <x:si>
    <x:t xml:space="preserve">https://shop3d.ca/products.json?limit=250&amp;page=1</x:t>
  </x:si>
  <x:si>
    <x:t xml:space="preserve">4eac977e929175cc6bfb60de6a1d203fa4d949e652372ebf2b5f8f0682bdaf82</x:t>
  </x:si>
  <x:si>
    <x:t xml:space="preserve">R-POLYMAKER-WIKI-HTPLAGF</x:t>
  </x:si>
  <x:si>
    <x:t xml:space="preserve">HT-PLA-GF | Polymaker Wiki (technical data sheet page)</x:t>
  </x:si>
  <x:si>
    <x:t xml:space="preserve">2026-09-11 00:00:00</x:t>
  </x:si>
  <x:si>
    <x:t xml:space="preserve">Manufacturer TDS (web)</x:t>
  </x:si>
  <x:si>
    <x:t xml:space="preserve">https://wiki.polymaker.com/polymaker-products/more-about-our-products/documents/technical-data-sheets/pla/ht-pla-gf</x:t>
  </x:si>
  <x:si>
    <x:t xml:space="preserve">Notched Charpy impact strength, as-printed and annealed</x:t>
  </x:si>
  <x:si>
    <x:t xml:space="preserve">M019 / G019-01</x:t>
  </x:si>
  <x:si>
    <x:t xml:space="preserve">Not recorded</x:t>
  </x:si>
  <x:si>
    <x:t xml:space="preserve">R-STRATASYS-ULTEM9085</x:t>
  </x:si>
  <x:si>
    <x:t xml:space="preserve">ULTEM 9085 Resin FDM Thermoplastic Filament - data sheet</x:t>
  </x:si>
  <x:si>
    <x:t xml:space="preserve">Reference datasheet (corroboration only)</x:t>
  </x:si>
  <x:si>
    <x:t xml:space="preserve">https://paradigm-3d.com/wp-content/uploads/2024/01/ULTEM-9085-EN-Data-Sheet-FDM-Material.pdf</x:t>
  </x:si>
  <x:si>
    <x:t xml:space="preserve">Mean CTE (TAN) ASTM E831, XZ/ZX, 31.35-51.88 um/[m*C]</x:t>
  </x:si>
  <x:si>
    <x:t xml:space="preserve">M099 - unit corroboration only; not a property source</x:t>
  </x:si>
  <x:si>
    <x:t xml:space="preserve">R-H2C-SPECS</x:t>
  </x:si>
  <x:si>
    <x:t xml:space="preserve">Bambu Lab H2C - Technical Specifications</x:t>
  </x:si>
  <x:si>
    <x:t xml:space="preserve">https://bambulab.com/en/h2c/specs</x:t>
  </x:si>
  <x:si>
    <x:t xml:space="preserve">Max nozzle 350 C; max heatbed 120 C; max chamber 65 C</x:t>
  </x:si>
  <x:si>
    <x:t xml:space="preserve">R-MDPI-FATIGUE</x:t>
  </x:si>
  <x:si>
    <x:t xml:space="preserve">Rodrigues et al., Polymers 18(2), 302</x:t>
  </x:si>
  <x:si>
    <x:t xml:space="preserve">Mechanical, Fatigue, and Thermal Characterization of ASA, Nylon 12, PC, and PC-ABS Manufactured by Fused Filament Fabrication (FFF)</x:t>
  </x:si>
  <x:si>
    <x:t xml:space="preserve">Peer-reviewed study (publisher copy)</x:t>
  </x:si>
  <x:si>
    <x:t xml:space="preserve">https://www.mdpi.com/2073-4360/18/2/302</x:t>
  </x:si>
  <x:si>
    <x:t xml:space="preserve">Fatigue limits and ultimate strengths; publisher copy used because the PMC mirror returned a CAPTCHA</x:t>
  </x:si>
  <x:si>
    <x:t xml:space="preserve">M031 / M035 / M052 / M094</x:t>
  </x:si>
  <x:si>
    <x:t xml:space="preserve">Coverage</x:t>
  </x:si>
  <x:si>
    <x:t xml:space="preserve">CoverageID</x:t>
  </x:si>
  <x:si>
    <x:t xml:space="preserve">Status</x:t>
  </x:si>
  <x:si>
    <x:t xml:space="preserve">C00001</x:t>
  </x:si>
  <x:si>
    <x:t xml:space="preserve">Gap</x:t>
  </x:si>
  <x:si>
    <x:t xml:space="preserve">No exact, verified commercial-grade technical profile obtained. Identity preserved; adjacent materials not substituted.</x:t>
  </x:si>
  <x:si>
    <x:t xml:space="preserve">C00002</x:t>
  </x:si>
  <x:si>
    <x:t xml:space="preserve">C00003</x:t>
  </x:si>
  <x:si>
    <x:t xml:space="preserve">Composition</x:t>
  </x:si>
  <x:si>
    <x:t xml:space="preserve">Conflict</x:t>
  </x:si>
  <x:si>
    <x:t xml:space="preserve">Unresolved 2026-09-11. The iSANMATE source is robots-disallowed and could not be re-read; no independent composition declaration for an iSANMATE PLA-GF filament was found. The glass-fibre heading vs carbon-fibre description contradiction stands and composition is still not resolved. Action: request a composition declaration from iSANMATE, or confirm by ash / TGA on purchased filament. Note the other PLA-GF grade in this entry (Polymaker HT-PLA-GF) is unaffected. Checked 2026-09-11: the four newly supplied iSANMATE/FormFutura PDFs (PETG, CF-ABS, TPU, PET) are unrelated products and do not bear on the PLA-GF glass/carbon question. Still open.</x:t>
  </x:si>
  <x:si>
    <x:t xml:space="preserve">C00004</x:t>
  </x:si>
  <x:si>
    <x:t xml:space="preserve">2 distinct manufacturer(s) documented against target 3. Other sampled sources were missing, inaccessible, insufficiently specific, or not selected as independent formulations.</x:t>
  </x:si>
  <x:si>
    <x:t xml:space="preserve">C00005</x:t>
  </x:si>
  <x:si>
    <x:t xml:space="preserve">1 distinct manufacturer(s) documented against target 3. Other sampled sources were missing, inaccessible, insufficiently specific, or not selected as independent formulations.</x:t>
  </x:si>
  <x:si>
    <x:t xml:space="preserve">C00006</x:t>
  </x:si>
  <x:si>
    <x:t xml:space="preserve">C00007</x:t>
  </x:si>
  <x:si>
    <x:t xml:space="preserve">C00008</x:t>
  </x:si>
  <x:si>
    <x:t xml:space="preserve">C00009</x:t>
  </x:si>
  <x:si>
    <x:t xml:space="preserve">C00010</x:t>
  </x:si>
  <x:si>
    <x:t xml:space="preserve">C00011</x:t>
  </x:si>
  <x:si>
    <x:t xml:space="preserve">C00012</x:t>
  </x:si>
  <x:si>
    <x:t xml:space="preserve">C00013</x:t>
  </x:si>
  <x:si>
    <x:t xml:space="preserve">C00014</x:t>
  </x:si>
  <x:si>
    <x:t xml:space="preserve">C00015</x:t>
  </x:si>
  <x:si>
    <x:t xml:space="preserve">C00016</x:t>
  </x:si>
  <x:si>
    <x:t xml:space="preserve">C00017</x:t>
  </x:si>
  <x:si>
    <x:t xml:space="preserve">C00018</x:t>
  </x:si>
  <x:si>
    <x:t xml:space="preserve">C00019</x:t>
  </x:si>
  <x:si>
    <x:t xml:space="preserve">C00020</x:t>
  </x:si>
  <x:si>
    <x:t xml:space="preserve">C00021</x:t>
  </x:si>
  <x:si>
    <x:t xml:space="preserve">C00022</x:t>
  </x:si>
  <x:si>
    <x:t xml:space="preserve">C00023</x:t>
  </x:si>
  <x:si>
    <x:t xml:space="preserve">C00024</x:t>
  </x:si>
  <x:si>
    <x:t xml:space="preserve">C00025</x:t>
  </x:si>
  <x:si>
    <x:t xml:space="preserve">C00026</x:t>
  </x:si>
  <x:si>
    <x:t xml:space="preserve">C00027</x:t>
  </x:si>
  <x:si>
    <x:t xml:space="preserve">C00028</x:t>
  </x:si>
  <x:si>
    <x:t xml:space="preserve">C00029</x:t>
  </x:si>
  <x:si>
    <x:t xml:space="preserve">C00030</x:t>
  </x:si>
  <x:si>
    <x:t xml:space="preserve">C00031</x:t>
  </x:si>
  <x:si>
    <x:t xml:space="preserve">C00032</x:t>
  </x:si>
  <x:si>
    <x:t xml:space="preserve">C00033</x:t>
  </x:si>
  <x:si>
    <x:t xml:space="preserve">C00034</x:t>
  </x:si>
  <x:si>
    <x:t xml:space="preserve">C00035</x:t>
  </x:si>
  <x:si>
    <x:t xml:space="preserve">C00036</x:t>
  </x:si>
  <x:si>
    <x:t xml:space="preserve">C00037</x:t>
  </x:si>
  <x:si>
    <x:t xml:space="preserve">C00038</x:t>
  </x:si>
  <x:si>
    <x:t xml:space="preserve">C00039</x:t>
  </x:si>
  <x:si>
    <x:t xml:space="preserve">C00040</x:t>
  </x:si>
  <x:si>
    <x:t xml:space="preserve">C00041</x:t>
  </x:si>
  <x:si>
    <x:t xml:space="preserve">C00042</x:t>
  </x:si>
  <x:si>
    <x:t xml:space="preserve">C00043</x:t>
  </x:si>
  <x:si>
    <x:t xml:space="preserve">C00044</x:t>
  </x:si>
  <x:si>
    <x:t xml:space="preserve">C00045</x:t>
  </x:si>
  <x:si>
    <x:t xml:space="preserve">C00046</x:t>
  </x:si>
  <x:si>
    <x:t xml:space="preserve">C00047</x:t>
  </x:si>
  <x:si>
    <x:t xml:space="preserve">C00048</x:t>
  </x:si>
  <x:si>
    <x:t xml:space="preserve">C00049</x:t>
  </x:si>
  <x:si>
    <x:t xml:space="preserve">C00050</x:t>
  </x:si>
  <x:si>
    <x:t xml:space="preserve">C00051</x:t>
  </x:si>
  <x:si>
    <x:t xml:space="preserve">C00052</x:t>
  </x:si>
  <x:si>
    <x:t xml:space="preserve">C00053</x:t>
  </x:si>
  <x:si>
    <x:t xml:space="preserve">C00054</x:t>
  </x:si>
  <x:si>
    <x:t xml:space="preserve">C00055</x:t>
  </x:si>
  <x:si>
    <x:t xml:space="preserve">C00056</x:t>
  </x:si>
  <x:si>
    <x:t xml:space="preserve">Source conflict</x:t>
  </x:si>
  <x:si>
    <x:t xml:space="preserve">Partially resolved</x:t>
  </x:si>
  <x:si>
    <x:t xml:space="preserve">Partially resolved 2026-09-11. The unit "pm/(m-C)" is a rendering corruption of "um/(m-C)": the reference Stratasys ULTEM 9085 FDM datasheet reports mean CTE per ASTM E831 between 31.35 and 51.88 um/[m*C] for the same resin, and pm/(m-C) is ~6 orders of magnitude from any polymer CTE. Unit reading is therefore supported, but NOT applied: the 629.9 cross-flow ZX figure remains more than 10x any published PEI value and cannot be reconciled, so no CTE is normalized from this table. PEI is outside the H2C envelope, so this is low priority. Action: request the original ASTM E831 report.</x:t>
  </x:si>
  <x:si>
    <x:t xml:space="preserve">C00057</x:t>
  </x:si>
  <x:si>
    <x:t xml:space="preserve">Partially resolved 2026-09-11. The malformed row gives 0.29 with the W missing from the dimensional unit; 0.29 W/(m-K) is within the published range for unfilled PEEK (~0.25-0.29), so the reading is plausible - but it is an inference from the literature, not the source, so no conductivity is normalized. PEEK is outside the H2C envelope, so this is low priority. Action: request the ISO 22007 report or a corrected TDS.</x:t>
  </x:si>
  <x:si>
    <x:t xml:space="preserve">C00058</x:t>
  </x:si>
  <x:si>
    <x:t xml:space="preserve">Resolved</x:t>
  </x:si>
  <x:si>
    <x:t xml:space="preserve">Resolved 2026-09-11 by direct visual read of the FormFutura High Precision PET TDS (user-supplied copy, image-only PDF, SHA256 confirmed identical to the file already cited as S-PET-TDS; no extractable text layer, so it required manual review). The document itself mislabels the row - the row label reads "Rockwell hardness" but the value cell reads "75,3 Shore D". This is a genuine defect in the manufacturer document, not a transcription error. Value recorded as Shore D 75.3 (new row V001807); no test method is stated for this row. Note also confirmed: all other PET (M066) properties already in the workbook (density, tensile, flexural, HDT, Vicat, Tg) match this same source exactly - no other transcription issues found on this sheet.</x:t>
  </x:si>
  <x:si>
    <x:t xml:space="preserve">C00059</x:t>
  </x:si>
  <x:si>
    <x:t xml:space="preserve">AMS compatibility</x:t>
  </x:si>
  <x:si>
    <x:t xml:space="preserve">Resolved 2026-09-11 against the current IPCON PPA TDS (rev 2025-11): the internal contradiction is gone - the Main Features text says "compatible with AMS or CFS" AND the Recommended Printing Settings table lists "Enclosed-frame (recommended), open-frame, AMS or CFS". Treat this as a manufacturer claim about generic spool/feed suitability only. Official H2C routing and AMS support remain governed by H2C-WIKI / H2C-MANUAL, which are unchanged; do not upgrade the H2C routing on the strength of this TDS.</x:t>
  </x:si>
  <x:si>
    <x:t xml:space="preserve">C00060</x:t>
  </x:si>
  <x:si>
    <x:t xml:space="preserve">Printing</x:t>
  </x:si>
  <x:si>
    <x:t xml:space="preserve">Resolved as non-blocking 2026-09-11. The H2C hardware baseline is 350 C nozzle / 120 C bed / 65 C chamber (Method H2C row; confirmed on the Bambu H2C specification page). Every published 3DXTECH PEEK range exceeds it - the current TDS printed-specimen block gives 380-400 C nozzle and 130-140 C bed, and both previously recorded ranges (360-450/120-160 and 400-480/140-180) are also out of envelope. The conflict therefore cannot change the exclusion, and both ranges are retained without reconciliation.</x:t>
  </x:si>
  <x:si>
    <x:t xml:space="preserve">C00061</x:t>
  </x:si>
  <x:si>
    <x:t xml:space="preserve">Research conflict</x:t>
  </x:si>
  <x:si>
    <x:t xml:space="preserve">Confirmed as a real defect in the source, 2026-09-11, by recomputing the published percentages against the published ultimate strengths: ASA sigma_R 16.82 MPa, so the stated "25 % = 8 MPa" fatigue limit should be 4.2 MPa; PC sigma_R 61.6 MPa, so "7 % = 3.6 MPa" should be 4.3 MPa; PC-ABS sigma_R 52.7 MPa, so "15 % = 4.7 MPa" should be 7.9 MPa. Only PA12 is self-consistent (17 % x 43.4 = 7.4 MPa). The percentage-derived limits and the absolute stresses cannot both be right, so the existing conservative handling stands: retain measured stress and cycle observations only, and continue to reject the percentage-derived limits and the "infinite life" language (a 1e6-cycle run-out is right-censored). Authors should still be contacted for the raw data.</x:t>
  </x:si>
  <x:si>
    <x:t xml:space="preserve">C00062</x:t>
  </x:si>
  <x:si>
    <x:t xml:space="preserve">C00063</x:t>
  </x:si>
  <x:si>
    <x:t xml:space="preserve">C00064</x:t>
  </x:si>
  <x:si>
    <x:t xml:space="preserve">C00065</x:t>
  </x:si>
  <x:si>
    <x:t xml:space="preserve">Identity</x:t>
  </x:si>
  <x:si>
    <x:t xml:space="preserve">Evidence recorded</x:t>
  </x:si>
  <x:si>
    <x:t xml:space="preserve">Original canonical entry retained once; aliases and disputed entries are visible.</x:t>
  </x:si>
  <x:si>
    <x:t xml:space="preserve">C00066</x:t>
  </x:si>
  <x:si>
    <x:t xml:space="preserve">Status explicitly recorded; generic inclusion is not automatic grade or route approval.</x:t>
  </x:si>
  <x:si>
    <x:t xml:space="preserve">C00067</x:t>
  </x:si>
  <x:si>
    <x:t xml:space="preserve">Published nozzle and bed profile available; check other setup fields individually.</x:t>
  </x:si>
  <x:si>
    <x:t xml:space="preserve">C00068</x:t>
  </x:si>
  <x:si>
    <x:t xml:space="preserve">Mechanical</x:t>
  </x:si>
  <x:si>
    <x:t xml:space="preserve">See specimen, direction, moisture, preparation and standard before comparing.</x:t>
  </x:si>
  <x:si>
    <x:t xml:space="preserve">C00069</x:t>
  </x:si>
  <x:si>
    <x:t xml:space="preserve">Thermal</x:t>
  </x:si>
  <x:si>
    <x:t xml:space="preserve">HDT, Tg and Vicat are not continuous-service ratings.</x:t>
  </x:si>
  <x:si>
    <x:t xml:space="preserve">C00070</x:t>
  </x:si>
  <x:si>
    <x:t xml:space="preserve">Moisture / environmental</x:t>
  </x:si>
  <x:si>
    <x:t xml:space="preserve">Some exposure or moisture evidence recorded; chemical conditions may remain unspecified.</x:t>
  </x:si>
  <x:si>
    <x:t xml:space="preserve">C00071</x:t>
  </x:si>
  <x:si>
    <x:t xml:space="preserve">Post-processing / application</x:t>
  </x:si>
  <x:si>
    <x:t xml:space="preserve">Evidence-specific finishing and use notes. Missing individual methods are not inferred.</x:t>
  </x:si>
  <x:si>
    <x:t xml:space="preserve">C00072</x:t>
  </x:si>
  <x:si>
    <x:t xml:space="preserve">Canadian price</x:t>
  </x:si>
  <x:si>
    <x:t xml:space="preserve">Insufficient grade-specific evidence in sampled sources. Shared family notes may be available; no numerical substitution.</x:t>
  </x:si>
  <x:si>
    <x:t xml:space="preserve">C00073</x:t>
  </x:si>
  <x:si>
    <x:t xml:space="preserve">Sparse properties</x:t>
  </x:si>
  <x:si>
    <x:t xml:space="preserve">Not published in sampled selected-grade evidence: Compression strength, Coefficient of thermal expansion, Thermal conductivity, Fracture toughness, Fatigue life, Creep compliance, Coefficient of friction</x:t>
  </x:si>
  <x:si>
    <x:t xml:space="preserve">C00074</x:t>
  </x:si>
  <x:si>
    <x:t xml:space="preserve">Comparability</x:t>
  </x:si>
  <x:si>
    <x:t xml:space="preserve">Limited comparability</x:t>
  </x:si>
  <x:si>
    <x:t xml:space="preserve">At least one observation lacks specimen or conditioning information; no family aggregation performed.</x:t>
  </x:si>
  <x:si>
    <x:t xml:space="preserve">C00075</x:t>
  </x:si>
  <x:si>
    <x:t xml:space="preserve">C00076</x:t>
  </x:si>
  <x:si>
    <x:t xml:space="preserve">C00077</x:t>
  </x:si>
  <x:si>
    <x:t xml:space="preserve">C00078</x:t>
  </x:si>
  <x:si>
    <x:t xml:space="preserve">C00079</x:t>
  </x:si>
  <x:si>
    <x:t xml:space="preserve">C00080</x:t>
  </x:si>
  <x:si>
    <x:t xml:space="preserve">C00081</x:t>
  </x:si>
  <x:si>
    <x:t xml:space="preserve">C00082</x:t>
  </x:si>
  <x:si>
    <x:t xml:space="preserve">C00083</x:t>
  </x:si>
  <x:si>
    <x:t xml:space="preserve">C00084</x:t>
  </x:si>
  <x:si>
    <x:t xml:space="preserve">C00085</x:t>
  </x:si>
  <x:si>
    <x:t xml:space="preserve">C00086</x:t>
  </x:si>
  <x:si>
    <x:t xml:space="preserve">C00087</x:t>
  </x:si>
  <x:si>
    <x:t xml:space="preserve">C00088</x:t>
  </x:si>
  <x:si>
    <x:t xml:space="preserve">C00089</x:t>
  </x:si>
  <x:si>
    <x:t xml:space="preserve">C00090</x:t>
  </x:si>
  <x:si>
    <x:t xml:space="preserve">C00091</x:t>
  </x:si>
  <x:si>
    <x:t xml:space="preserve">C00092</x:t>
  </x:si>
  <x:si>
    <x:t xml:space="preserve">C00093</x:t>
  </x:si>
  <x:si>
    <x:t xml:space="preserve">C00094</x:t>
  </x:si>
  <x:si>
    <x:t xml:space="preserve">C00095</x:t>
  </x:si>
  <x:si>
    <x:t xml:space="preserve">C00096</x:t>
  </x:si>
  <x:si>
    <x:t xml:space="preserve">C00097</x:t>
  </x:si>
  <x:si>
    <x:t xml:space="preserve">C00098</x:t>
  </x:si>
  <x:si>
    <x:t xml:space="preserve">C00099</x:t>
  </x:si>
  <x:si>
    <x:t xml:space="preserve">C00100</x:t>
  </x:si>
  <x:si>
    <x:t xml:space="preserve">C00101</x:t>
  </x:si>
  <x:si>
    <x:t xml:space="preserve">C00102</x:t>
  </x:si>
  <x:si>
    <x:t xml:space="preserve">C00103</x:t>
  </x:si>
  <x:si>
    <x:t xml:space="preserve">C00104</x:t>
  </x:si>
  <x:si>
    <x:t xml:space="preserve">C00105</x:t>
  </x:si>
  <x:si>
    <x:t xml:space="preserve">C00106</x:t>
  </x:si>
  <x:si>
    <x:t xml:space="preserve">C00107</x:t>
  </x:si>
  <x:si>
    <x:t xml:space="preserve">C00108</x:t>
  </x:si>
  <x:si>
    <x:t xml:space="preserve">C00109</x:t>
  </x:si>
  <x:si>
    <x:t xml:space="preserve">C00110</x:t>
  </x:si>
  <x:si>
    <x:t xml:space="preserve">C00111</x:t>
  </x:si>
  <x:si>
    <x:t xml:space="preserve">C00112</x:t>
  </x:si>
  <x:si>
    <x:t xml:space="preserve">C00113</x:t>
  </x:si>
  <x:si>
    <x:t xml:space="preserve">C00114</x:t>
  </x:si>
  <x:si>
    <x:t xml:space="preserve">C00115</x:t>
  </x:si>
  <x:si>
    <x:t xml:space="preserve">C00116</x:t>
  </x:si>
  <x:si>
    <x:t xml:space="preserve">C00117</x:t>
  </x:si>
  <x:si>
    <x:t xml:space="preserve">C00118</x:t>
  </x:si>
  <x:si>
    <x:t xml:space="preserve">C00119</x:t>
  </x:si>
  <x:si>
    <x:t xml:space="preserve">C00120</x:t>
  </x:si>
  <x:si>
    <x:t xml:space="preserve">C00121</x:t>
  </x:si>
  <x:si>
    <x:t xml:space="preserve">C00122</x:t>
  </x:si>
  <x:si>
    <x:t xml:space="preserve">C00123</x:t>
  </x:si>
  <x:si>
    <x:t xml:space="preserve">C00124</x:t>
  </x:si>
  <x:si>
    <x:t xml:space="preserve">C00125</x:t>
  </x:si>
  <x:si>
    <x:t xml:space="preserve">C00126</x:t>
  </x:si>
  <x:si>
    <x:t xml:space="preserve">C00127</x:t>
  </x:si>
  <x:si>
    <x:t xml:space="preserve">C00128</x:t>
  </x:si>
  <x:si>
    <x:t xml:space="preserve">C00129</x:t>
  </x:si>
  <x:si>
    <x:t xml:space="preserve">C00130</x:t>
  </x:si>
  <x:si>
    <x:t xml:space="preserve">C00131</x:t>
  </x:si>
  <x:si>
    <x:t xml:space="preserve">C00132</x:t>
  </x:si>
  <x:si>
    <x:t xml:space="preserve">C00133</x:t>
  </x:si>
  <x:si>
    <x:t xml:space="preserve">C00134</x:t>
  </x:si>
  <x:si>
    <x:t xml:space="preserve">C00135</x:t>
  </x:si>
  <x:si>
    <x:t xml:space="preserve">C00136</x:t>
  </x:si>
  <x:si>
    <x:t xml:space="preserve">C00137</x:t>
  </x:si>
  <x:si>
    <x:t xml:space="preserve">C00138</x:t>
  </x:si>
  <x:si>
    <x:t xml:space="preserve">C00139</x:t>
  </x:si>
  <x:si>
    <x:t xml:space="preserve">C00140</x:t>
  </x:si>
  <x:si>
    <x:t xml:space="preserve">C00141</x:t>
  </x:si>
  <x:si>
    <x:t xml:space="preserve">C00142</x:t>
  </x:si>
  <x:si>
    <x:t xml:space="preserve">C00143</x:t>
  </x:si>
  <x:si>
    <x:t xml:space="preserve">C00144</x:t>
  </x:si>
  <x:si>
    <x:t xml:space="preserve">C00145</x:t>
  </x:si>
  <x:si>
    <x:t xml:space="preserve">C00146</x:t>
  </x:si>
  <x:si>
    <x:t xml:space="preserve">C00147</x:t>
  </x:si>
  <x:si>
    <x:t xml:space="preserve">C00148</x:t>
  </x:si>
  <x:si>
    <x:t xml:space="preserve">C00149</x:t>
  </x:si>
  <x:si>
    <x:t xml:space="preserve">C00150</x:t>
  </x:si>
  <x:si>
    <x:t xml:space="preserve">C00151</x:t>
  </x:si>
  <x:si>
    <x:t xml:space="preserve">C00152</x:t>
  </x:si>
  <x:si>
    <x:t xml:space="preserve">C00153</x:t>
  </x:si>
  <x:si>
    <x:t xml:space="preserve">C00154</x:t>
  </x:si>
  <x:si>
    <x:t xml:space="preserve">C00155</x:t>
  </x:si>
  <x:si>
    <x:t xml:space="preserve">C00156</x:t>
  </x:si>
  <x:si>
    <x:t xml:space="preserve">C00157</x:t>
  </x:si>
  <x:si>
    <x:t xml:space="preserve">C00158</x:t>
  </x:si>
  <x:si>
    <x:t xml:space="preserve">C00159</x:t>
  </x:si>
  <x:si>
    <x:t xml:space="preserve">C00160</x:t>
  </x:si>
  <x:si>
    <x:t xml:space="preserve">C00161</x:t>
  </x:si>
  <x:si>
    <x:t xml:space="preserve">C00162</x:t>
  </x:si>
  <x:si>
    <x:t xml:space="preserve">C00163</x:t>
  </x:si>
  <x:si>
    <x:t xml:space="preserve">C00164</x:t>
  </x:si>
  <x:si>
    <x:t xml:space="preserve">C00165</x:t>
  </x:si>
  <x:si>
    <x:t xml:space="preserve">C00166</x:t>
  </x:si>
  <x:si>
    <x:t xml:space="preserve">C00167</x:t>
  </x:si>
  <x:si>
    <x:t xml:space="preserve">C00168</x:t>
  </x:si>
  <x:si>
    <x:t xml:space="preserve">C00169</x:t>
  </x:si>
  <x:si>
    <x:t xml:space="preserve">C00170</x:t>
  </x:si>
  <x:si>
    <x:t xml:space="preserve">C00171</x:t>
  </x:si>
  <x:si>
    <x:t xml:space="preserve">C00172</x:t>
  </x:si>
  <x:si>
    <x:t xml:space="preserve">C00173</x:t>
  </x:si>
  <x:si>
    <x:t xml:space="preserve">C00174</x:t>
  </x:si>
  <x:si>
    <x:t xml:space="preserve">C00175</x:t>
  </x:si>
  <x:si>
    <x:t xml:space="preserve">C00176</x:t>
  </x:si>
  <x:si>
    <x:t xml:space="preserve">C00177</x:t>
  </x:si>
  <x:si>
    <x:t xml:space="preserve">C00178</x:t>
  </x:si>
  <x:si>
    <x:t xml:space="preserve">C00179</x:t>
  </x:si>
  <x:si>
    <x:t xml:space="preserve">C00180</x:t>
  </x:si>
  <x:si>
    <x:t xml:space="preserve">C00181</x:t>
  </x:si>
  <x:si>
    <x:t xml:space="preserve">C00182</x:t>
  </x:si>
  <x:si>
    <x:t xml:space="preserve">C00183</x:t>
  </x:si>
  <x:si>
    <x:t xml:space="preserve">C00184</x:t>
  </x:si>
  <x:si>
    <x:t xml:space="preserve">C00185</x:t>
  </x:si>
  <x:si>
    <x:t xml:space="preserve">C00186</x:t>
  </x:si>
  <x:si>
    <x:t xml:space="preserve">C00187</x:t>
  </x:si>
  <x:si>
    <x:t xml:space="preserve">C00188</x:t>
  </x:si>
  <x:si>
    <x:t xml:space="preserve">C00189</x:t>
  </x:si>
  <x:si>
    <x:t xml:space="preserve">C00190</x:t>
  </x:si>
  <x:si>
    <x:t xml:space="preserve">C00191</x:t>
  </x:si>
  <x:si>
    <x:t xml:space="preserve">C00192</x:t>
  </x:si>
  <x:si>
    <x:t xml:space="preserve">C00193</x:t>
  </x:si>
  <x:si>
    <x:t xml:space="preserve">C00194</x:t>
  </x:si>
  <x:si>
    <x:t xml:space="preserve">C00195</x:t>
  </x:si>
  <x:si>
    <x:t xml:space="preserve">C00196</x:t>
  </x:si>
  <x:si>
    <x:t xml:space="preserve">C00197</x:t>
  </x:si>
  <x:si>
    <x:t xml:space="preserve">C00198</x:t>
  </x:si>
  <x:si>
    <x:t xml:space="preserve">C00199</x:t>
  </x:si>
  <x:si>
    <x:t xml:space="preserve">C00200</x:t>
  </x:si>
  <x:si>
    <x:t xml:space="preserve">C00201</x:t>
  </x:si>
  <x:si>
    <x:t xml:space="preserve">C00202</x:t>
  </x:si>
  <x:si>
    <x:t xml:space="preserve">C00203</x:t>
  </x:si>
  <x:si>
    <x:t xml:space="preserve">C00204</x:t>
  </x:si>
  <x:si>
    <x:t xml:space="preserve">C00205</x:t>
  </x:si>
  <x:si>
    <x:t xml:space="preserve">C00206</x:t>
  </x:si>
  <x:si>
    <x:t xml:space="preserve">C00207</x:t>
  </x:si>
  <x:si>
    <x:t xml:space="preserve">C00208</x:t>
  </x:si>
  <x:si>
    <x:t xml:space="preserve">C00209</x:t>
  </x:si>
  <x:si>
    <x:t xml:space="preserve">C00210</x:t>
  </x:si>
  <x:si>
    <x:t xml:space="preserve">C00211</x:t>
  </x:si>
  <x:si>
    <x:t xml:space="preserve">C00212</x:t>
  </x:si>
  <x:si>
    <x:t xml:space="preserve">C00213</x:t>
  </x:si>
  <x:si>
    <x:t xml:space="preserve">C00214</x:t>
  </x:si>
  <x:si>
    <x:t xml:space="preserve">C00215</x:t>
  </x:si>
  <x:si>
    <x:t xml:space="preserve">C00216</x:t>
  </x:si>
  <x:si>
    <x:t xml:space="preserve">C00217</x:t>
  </x:si>
  <x:si>
    <x:t xml:space="preserve">C00218</x:t>
  </x:si>
  <x:si>
    <x:t xml:space="preserve">C00219</x:t>
  </x:si>
  <x:si>
    <x:t xml:space="preserve">C00220</x:t>
  </x:si>
  <x:si>
    <x:t xml:space="preserve">C00221</x:t>
  </x:si>
  <x:si>
    <x:t xml:space="preserve">C00222</x:t>
  </x:si>
  <x:si>
    <x:t xml:space="preserve">C00223</x:t>
  </x:si>
  <x:si>
    <x:t xml:space="preserve">C00224</x:t>
  </x:si>
  <x:si>
    <x:t xml:space="preserve">C00225</x:t>
  </x:si>
  <x:si>
    <x:t xml:space="preserve">C00226</x:t>
  </x:si>
  <x:si>
    <x:t xml:space="preserve">C00227</x:t>
  </x:si>
  <x:si>
    <x:t xml:space="preserve">C00228</x:t>
  </x:si>
  <x:si>
    <x:t xml:space="preserve">C00229</x:t>
  </x:si>
  <x:si>
    <x:t xml:space="preserve">C00230</x:t>
  </x:si>
  <x:si>
    <x:t xml:space="preserve">C00231</x:t>
  </x:si>
  <x:si>
    <x:t xml:space="preserve">C00232</x:t>
  </x:si>
  <x:si>
    <x:t xml:space="preserve">C00233</x:t>
  </x:si>
  <x:si>
    <x:t xml:space="preserve">C00234</x:t>
  </x:si>
  <x:si>
    <x:t xml:space="preserve">C00235</x:t>
  </x:si>
  <x:si>
    <x:t xml:space="preserve">C00236</x:t>
  </x:si>
  <x:si>
    <x:t xml:space="preserve">C00237</x:t>
  </x:si>
  <x:si>
    <x:t xml:space="preserve">C00238</x:t>
  </x:si>
  <x:si>
    <x:t xml:space="preserve">C00239</x:t>
  </x:si>
  <x:si>
    <x:t xml:space="preserve">C00240</x:t>
  </x:si>
  <x:si>
    <x:t xml:space="preserve">C00241</x:t>
  </x:si>
  <x:si>
    <x:t xml:space="preserve">C00242</x:t>
  </x:si>
  <x:si>
    <x:t xml:space="preserve">C00243</x:t>
  </x:si>
  <x:si>
    <x:t xml:space="preserve">C00244</x:t>
  </x:si>
  <x:si>
    <x:t xml:space="preserve">C00245</x:t>
  </x:si>
  <x:si>
    <x:t xml:space="preserve">C00246</x:t>
  </x:si>
  <x:si>
    <x:t xml:space="preserve">C00247</x:t>
  </x:si>
  <x:si>
    <x:t xml:space="preserve">C00248</x:t>
  </x:si>
  <x:si>
    <x:t xml:space="preserve">C00249</x:t>
  </x:si>
  <x:si>
    <x:t xml:space="preserve">C00250</x:t>
  </x:si>
  <x:si>
    <x:t xml:space="preserve">C00251</x:t>
  </x:si>
  <x:si>
    <x:t xml:space="preserve">C00252</x:t>
  </x:si>
  <x:si>
    <x:t xml:space="preserve">C00253</x:t>
  </x:si>
  <x:si>
    <x:t xml:space="preserve">C00254</x:t>
  </x:si>
  <x:si>
    <x:t xml:space="preserve">C00255</x:t>
  </x:si>
  <x:si>
    <x:t xml:space="preserve">C00256</x:t>
  </x:si>
  <x:si>
    <x:t xml:space="preserve">C00257</x:t>
  </x:si>
  <x:si>
    <x:t xml:space="preserve">C00258</x:t>
  </x:si>
  <x:si>
    <x:t xml:space="preserve">C00259</x:t>
  </x:si>
  <x:si>
    <x:t xml:space="preserve">C00260</x:t>
  </x:si>
  <x:si>
    <x:t xml:space="preserve">C00261</x:t>
  </x:si>
  <x:si>
    <x:t xml:space="preserve">C00262</x:t>
  </x:si>
  <x:si>
    <x:t xml:space="preserve">C00263</x:t>
  </x:si>
  <x:si>
    <x:t xml:space="preserve">C00264</x:t>
  </x:si>
  <x:si>
    <x:t xml:space="preserve">C00265</x:t>
  </x:si>
  <x:si>
    <x:t xml:space="preserve">C00266</x:t>
  </x:si>
  <x:si>
    <x:t xml:space="preserve">C00267</x:t>
  </x:si>
  <x:si>
    <x:t xml:space="preserve">C00268</x:t>
  </x:si>
  <x:si>
    <x:t xml:space="preserve">C00269</x:t>
  </x:si>
  <x:si>
    <x:t xml:space="preserve">C00270</x:t>
  </x:si>
  <x:si>
    <x:t xml:space="preserve">C00271</x:t>
  </x:si>
  <x:si>
    <x:t xml:space="preserve">C00272</x:t>
  </x:si>
  <x:si>
    <x:t xml:space="preserve">C00273</x:t>
  </x:si>
  <x:si>
    <x:t xml:space="preserve">C00274</x:t>
  </x:si>
  <x:si>
    <x:t xml:space="preserve">C00275</x:t>
  </x:si>
  <x:si>
    <x:t xml:space="preserve">C00276</x:t>
  </x:si>
  <x:si>
    <x:t xml:space="preserve">C00277</x:t>
  </x:si>
  <x:si>
    <x:t xml:space="preserve">C00278</x:t>
  </x:si>
  <x:si>
    <x:t xml:space="preserve">C00279</x:t>
  </x:si>
  <x:si>
    <x:t xml:space="preserve">C00280</x:t>
  </x:si>
  <x:si>
    <x:t xml:space="preserve">C00281</x:t>
  </x:si>
  <x:si>
    <x:t xml:space="preserve">C00282</x:t>
  </x:si>
  <x:si>
    <x:t xml:space="preserve">C00283</x:t>
  </x:si>
  <x:si>
    <x:t xml:space="preserve">C00284</x:t>
  </x:si>
  <x:si>
    <x:t xml:space="preserve">C00285</x:t>
  </x:si>
  <x:si>
    <x:t xml:space="preserve">C00286</x:t>
  </x:si>
  <x:si>
    <x:t xml:space="preserve">C00287</x:t>
  </x:si>
  <x:si>
    <x:t xml:space="preserve">C00288</x:t>
  </x:si>
  <x:si>
    <x:t xml:space="preserve">C00289</x:t>
  </x:si>
  <x:si>
    <x:t xml:space="preserve">C00290</x:t>
  </x:si>
  <x:si>
    <x:t xml:space="preserve">C00291</x:t>
  </x:si>
  <x:si>
    <x:t xml:space="preserve">C00292</x:t>
  </x:si>
  <x:si>
    <x:t xml:space="preserve">C00293</x:t>
  </x:si>
  <x:si>
    <x:t xml:space="preserve">C00294</x:t>
  </x:si>
  <x:si>
    <x:t xml:space="preserve">C00295</x:t>
  </x:si>
  <x:si>
    <x:t xml:space="preserve">C00296</x:t>
  </x:si>
  <x:si>
    <x:t xml:space="preserve">C00297</x:t>
  </x:si>
  <x:si>
    <x:t xml:space="preserve">C00298</x:t>
  </x:si>
  <x:si>
    <x:t xml:space="preserve">C00299</x:t>
  </x:si>
  <x:si>
    <x:t xml:space="preserve">C00300</x:t>
  </x:si>
  <x:si>
    <x:t xml:space="preserve">C00301</x:t>
  </x:si>
  <x:si>
    <x:t xml:space="preserve">C00302</x:t>
  </x:si>
  <x:si>
    <x:t xml:space="preserve">C00303</x:t>
  </x:si>
  <x:si>
    <x:t xml:space="preserve">C00304</x:t>
  </x:si>
  <x:si>
    <x:t xml:space="preserve">C00305</x:t>
  </x:si>
  <x:si>
    <x:t xml:space="preserve">C00306</x:t>
  </x:si>
  <x:si>
    <x:t xml:space="preserve">C00307</x:t>
  </x:si>
  <x:si>
    <x:t xml:space="preserve">C00308</x:t>
  </x:si>
  <x:si>
    <x:t xml:space="preserve">C00309</x:t>
  </x:si>
  <x:si>
    <x:t xml:space="preserve">C00310</x:t>
  </x:si>
  <x:si>
    <x:t xml:space="preserve">C00311</x:t>
  </x:si>
  <x:si>
    <x:t xml:space="preserve">C00312</x:t>
  </x:si>
  <x:si>
    <x:t xml:space="preserve">C00313</x:t>
  </x:si>
  <x:si>
    <x:t xml:space="preserve">C00314</x:t>
  </x:si>
  <x:si>
    <x:t xml:space="preserve">C00315</x:t>
  </x:si>
  <x:si>
    <x:t xml:space="preserve">C00316</x:t>
  </x:si>
  <x:si>
    <x:t xml:space="preserve">C00317</x:t>
  </x:si>
  <x:si>
    <x:t xml:space="preserve">C00318</x:t>
  </x:si>
  <x:si>
    <x:t xml:space="preserve">C00319</x:t>
  </x:si>
  <x:si>
    <x:t xml:space="preserve">C00320</x:t>
  </x:si>
  <x:si>
    <x:t xml:space="preserve">C00321</x:t>
  </x:si>
  <x:si>
    <x:t xml:space="preserve">C00322</x:t>
  </x:si>
  <x:si>
    <x:t xml:space="preserve">C00323</x:t>
  </x:si>
  <x:si>
    <x:t xml:space="preserve">C00324</x:t>
  </x:si>
  <x:si>
    <x:t xml:space="preserve">C00325</x:t>
  </x:si>
  <x:si>
    <x:t xml:space="preserve">C00326</x:t>
  </x:si>
  <x:si>
    <x:t xml:space="preserve">C00327</x:t>
  </x:si>
  <x:si>
    <x:t xml:space="preserve">C00328</x:t>
  </x:si>
  <x:si>
    <x:t xml:space="preserve">C00329</x:t>
  </x:si>
  <x:si>
    <x:t xml:space="preserve">C00330</x:t>
  </x:si>
  <x:si>
    <x:t xml:space="preserve">C00331</x:t>
  </x:si>
  <x:si>
    <x:t xml:space="preserve">C00332</x:t>
  </x:si>
  <x:si>
    <x:t xml:space="preserve">C00333</x:t>
  </x:si>
  <x:si>
    <x:t xml:space="preserve">C00334</x:t>
  </x:si>
  <x:si>
    <x:t xml:space="preserve">C00335</x:t>
  </x:si>
  <x:si>
    <x:t xml:space="preserve">C00336</x:t>
  </x:si>
  <x:si>
    <x:t xml:space="preserve">C00337</x:t>
  </x:si>
  <x:si>
    <x:t xml:space="preserve">C00338</x:t>
  </x:si>
  <x:si>
    <x:t xml:space="preserve">C00339</x:t>
  </x:si>
  <x:si>
    <x:t xml:space="preserve">C00340</x:t>
  </x:si>
  <x:si>
    <x:t xml:space="preserve">C00341</x:t>
  </x:si>
  <x:si>
    <x:t xml:space="preserve">C00342</x:t>
  </x:si>
  <x:si>
    <x:t xml:space="preserve">C00343</x:t>
  </x:si>
  <x:si>
    <x:t xml:space="preserve">C00344</x:t>
  </x:si>
  <x:si>
    <x:t xml:space="preserve">C00345</x:t>
  </x:si>
  <x:si>
    <x:t xml:space="preserve">C00346</x:t>
  </x:si>
  <x:si>
    <x:t xml:space="preserve">C00347</x:t>
  </x:si>
  <x:si>
    <x:t xml:space="preserve">C00348</x:t>
  </x:si>
  <x:si>
    <x:t xml:space="preserve">C00349</x:t>
  </x:si>
  <x:si>
    <x:t xml:space="preserve">C00350</x:t>
  </x:si>
  <x:si>
    <x:t xml:space="preserve">C00351</x:t>
  </x:si>
  <x:si>
    <x:t xml:space="preserve">C00352</x:t>
  </x:si>
  <x:si>
    <x:t xml:space="preserve">C00353</x:t>
  </x:si>
  <x:si>
    <x:t xml:space="preserve">C00354</x:t>
  </x:si>
  <x:si>
    <x:t xml:space="preserve">C00355</x:t>
  </x:si>
  <x:si>
    <x:t xml:space="preserve">C00356</x:t>
  </x:si>
  <x:si>
    <x:t xml:space="preserve">C00357</x:t>
  </x:si>
  <x:si>
    <x:t xml:space="preserve">C00358</x:t>
  </x:si>
  <x:si>
    <x:t xml:space="preserve">C00359</x:t>
  </x:si>
  <x:si>
    <x:t xml:space="preserve">C00360</x:t>
  </x:si>
  <x:si>
    <x:t xml:space="preserve">C00361</x:t>
  </x:si>
  <x:si>
    <x:t xml:space="preserve">C00362</x:t>
  </x:si>
  <x:si>
    <x:t xml:space="preserve">C00363</x:t>
  </x:si>
  <x:si>
    <x:t xml:space="preserve">C00364</x:t>
  </x:si>
  <x:si>
    <x:t xml:space="preserve">C00365</x:t>
  </x:si>
  <x:si>
    <x:t xml:space="preserve">C00366</x:t>
  </x:si>
  <x:si>
    <x:t xml:space="preserve">C00367</x:t>
  </x:si>
  <x:si>
    <x:t xml:space="preserve">C00368</x:t>
  </x:si>
  <x:si>
    <x:t xml:space="preserve">C00369</x:t>
  </x:si>
  <x:si>
    <x:t xml:space="preserve">C00370</x:t>
  </x:si>
  <x:si>
    <x:t xml:space="preserve">C00371</x:t>
  </x:si>
  <x:si>
    <x:t xml:space="preserve">C00372</x:t>
  </x:si>
  <x:si>
    <x:t xml:space="preserve">C00373</x:t>
  </x:si>
  <x:si>
    <x:t xml:space="preserve">C00374</x:t>
  </x:si>
  <x:si>
    <x:t xml:space="preserve">C00375</x:t>
  </x:si>
  <x:si>
    <x:t xml:space="preserve">C00376</x:t>
  </x:si>
  <x:si>
    <x:t xml:space="preserve">C00377</x:t>
  </x:si>
  <x:si>
    <x:t xml:space="preserve">C00378</x:t>
  </x:si>
  <x:si>
    <x:t xml:space="preserve">C00379</x:t>
  </x:si>
  <x:si>
    <x:t xml:space="preserve">C00380</x:t>
  </x:si>
  <x:si>
    <x:t xml:space="preserve">C00381</x:t>
  </x:si>
  <x:si>
    <x:t xml:space="preserve">C00382</x:t>
  </x:si>
  <x:si>
    <x:t xml:space="preserve">C00383</x:t>
  </x:si>
  <x:si>
    <x:t xml:space="preserve">C00384</x:t>
  </x:si>
  <x:si>
    <x:t xml:space="preserve">C00385</x:t>
  </x:si>
  <x:si>
    <x:t xml:space="preserve">C00386</x:t>
  </x:si>
  <x:si>
    <x:t xml:space="preserve">C00387</x:t>
  </x:si>
  <x:si>
    <x:t xml:space="preserve">C00388</x:t>
  </x:si>
  <x:si>
    <x:t xml:space="preserve">C00389</x:t>
  </x:si>
  <x:si>
    <x:t xml:space="preserve">C00390</x:t>
  </x:si>
  <x:si>
    <x:t xml:space="preserve">C00391</x:t>
  </x:si>
  <x:si>
    <x:t xml:space="preserve">C00392</x:t>
  </x:si>
  <x:si>
    <x:t xml:space="preserve">C00393</x:t>
  </x:si>
  <x:si>
    <x:t xml:space="preserve">C00394</x:t>
  </x:si>
  <x:si>
    <x:t xml:space="preserve">C00395</x:t>
  </x:si>
  <x:si>
    <x:t xml:space="preserve">C00396</x:t>
  </x:si>
  <x:si>
    <x:t xml:space="preserve">C00397</x:t>
  </x:si>
  <x:si>
    <x:t xml:space="preserve">C00398</x:t>
  </x:si>
  <x:si>
    <x:t xml:space="preserve">C00399</x:t>
  </x:si>
  <x:si>
    <x:t xml:space="preserve">C00400</x:t>
  </x:si>
  <x:si>
    <x:t xml:space="preserve">C00401</x:t>
  </x:si>
  <x:si>
    <x:t xml:space="preserve">C00402</x:t>
  </x:si>
  <x:si>
    <x:t xml:space="preserve">C00403</x:t>
  </x:si>
  <x:si>
    <x:t xml:space="preserve">C00404</x:t>
  </x:si>
  <x:si>
    <x:t xml:space="preserve">C00405</x:t>
  </x:si>
  <x:si>
    <x:t xml:space="preserve">C00406</x:t>
  </x:si>
  <x:si>
    <x:t xml:space="preserve">C00407</x:t>
  </x:si>
  <x:si>
    <x:t xml:space="preserve">C00408</x:t>
  </x:si>
  <x:si>
    <x:t xml:space="preserve">C00409</x:t>
  </x:si>
  <x:si>
    <x:t xml:space="preserve">C00410</x:t>
  </x:si>
  <x:si>
    <x:t xml:space="preserve">C00411</x:t>
  </x:si>
  <x:si>
    <x:t xml:space="preserve">C00412</x:t>
  </x:si>
  <x:si>
    <x:t xml:space="preserve">C00413</x:t>
  </x:si>
  <x:si>
    <x:t xml:space="preserve">C00414</x:t>
  </x:si>
  <x:si>
    <x:t xml:space="preserve">C00415</x:t>
  </x:si>
  <x:si>
    <x:t xml:space="preserve">C00416</x:t>
  </x:si>
  <x:si>
    <x:t xml:space="preserve">C00417</x:t>
  </x:si>
  <x:si>
    <x:t xml:space="preserve">C00418</x:t>
  </x:si>
  <x:si>
    <x:t xml:space="preserve">C00419</x:t>
  </x:si>
  <x:si>
    <x:t xml:space="preserve">C00420</x:t>
  </x:si>
  <x:si>
    <x:t xml:space="preserve">C00421</x:t>
  </x:si>
  <x:si>
    <x:t xml:space="preserve">C00422</x:t>
  </x:si>
  <x:si>
    <x:t xml:space="preserve">C00423</x:t>
  </x:si>
  <x:si>
    <x:t xml:space="preserve">C00424</x:t>
  </x:si>
  <x:si>
    <x:t xml:space="preserve">C00425</x:t>
  </x:si>
  <x:si>
    <x:t xml:space="preserve">C00426</x:t>
  </x:si>
  <x:si>
    <x:t xml:space="preserve">C00427</x:t>
  </x:si>
  <x:si>
    <x:t xml:space="preserve">C00428</x:t>
  </x:si>
  <x:si>
    <x:t xml:space="preserve">C00429</x:t>
  </x:si>
  <x:si>
    <x:t xml:space="preserve">C00430</x:t>
  </x:si>
  <x:si>
    <x:t xml:space="preserve">C00431</x:t>
  </x:si>
  <x:si>
    <x:t xml:space="preserve">C00432</x:t>
  </x:si>
  <x:si>
    <x:t xml:space="preserve">C00433</x:t>
  </x:si>
  <x:si>
    <x:t xml:space="preserve">C00434</x:t>
  </x:si>
  <x:si>
    <x:t xml:space="preserve">C00435</x:t>
  </x:si>
  <x:si>
    <x:t xml:space="preserve">C00436</x:t>
  </x:si>
  <x:si>
    <x:t xml:space="preserve">C00437</x:t>
  </x:si>
  <x:si>
    <x:t xml:space="preserve">C00438</x:t>
  </x:si>
  <x:si>
    <x:t xml:space="preserve">C00439</x:t>
  </x:si>
  <x:si>
    <x:t xml:space="preserve">C00440</x:t>
  </x:si>
  <x:si>
    <x:t xml:space="preserve">C00441</x:t>
  </x:si>
  <x:si>
    <x:t xml:space="preserve">C00442</x:t>
  </x:si>
  <x:si>
    <x:t xml:space="preserve">C00443</x:t>
  </x:si>
  <x:si>
    <x:t xml:space="preserve">C00444</x:t>
  </x:si>
  <x:si>
    <x:t xml:space="preserve">C00445</x:t>
  </x:si>
  <x:si>
    <x:t xml:space="preserve">C00446</x:t>
  </x:si>
  <x:si>
    <x:t xml:space="preserve">C00447</x:t>
  </x:si>
  <x:si>
    <x:t xml:space="preserve">C00448</x:t>
  </x:si>
  <x:si>
    <x:t xml:space="preserve">C00449</x:t>
  </x:si>
  <x:si>
    <x:t xml:space="preserve">C00450</x:t>
  </x:si>
  <x:si>
    <x:t xml:space="preserve">C00451</x:t>
  </x:si>
  <x:si>
    <x:t xml:space="preserve">C00452</x:t>
  </x:si>
  <x:si>
    <x:t xml:space="preserve">C00453</x:t>
  </x:si>
  <x:si>
    <x:t xml:space="preserve">C00454</x:t>
  </x:si>
  <x:si>
    <x:t xml:space="preserve">C00455</x:t>
  </x:si>
  <x:si>
    <x:t xml:space="preserve">C00456</x:t>
  </x:si>
  <x:si>
    <x:t xml:space="preserve">C00457</x:t>
  </x:si>
  <x:si>
    <x:t xml:space="preserve">C00458</x:t>
  </x:si>
  <x:si>
    <x:t xml:space="preserve">C00459</x:t>
  </x:si>
  <x:si>
    <x:t xml:space="preserve">C00460</x:t>
  </x:si>
  <x:si>
    <x:t xml:space="preserve">C00461</x:t>
  </x:si>
  <x:si>
    <x:t xml:space="preserve">C00462</x:t>
  </x:si>
  <x:si>
    <x:t xml:space="preserve">C00463</x:t>
  </x:si>
  <x:si>
    <x:t xml:space="preserve">C00464</x:t>
  </x:si>
  <x:si>
    <x:t xml:space="preserve">C00465</x:t>
  </x:si>
  <x:si>
    <x:t xml:space="preserve">C00466</x:t>
  </x:si>
  <x:si>
    <x:t xml:space="preserve">C00467</x:t>
  </x:si>
  <x:si>
    <x:t xml:space="preserve">C00468</x:t>
  </x:si>
  <x:si>
    <x:t xml:space="preserve">C00469</x:t>
  </x:si>
  <x:si>
    <x:t xml:space="preserve">C00470</x:t>
  </x:si>
  <x:si>
    <x:t xml:space="preserve">C00471</x:t>
  </x:si>
  <x:si>
    <x:t xml:space="preserve">C00472</x:t>
  </x:si>
  <x:si>
    <x:t xml:space="preserve">C00473</x:t>
  </x:si>
  <x:si>
    <x:t xml:space="preserve">C00474</x:t>
  </x:si>
  <x:si>
    <x:t xml:space="preserve">C00475</x:t>
  </x:si>
  <x:si>
    <x:t xml:space="preserve">C00476</x:t>
  </x:si>
  <x:si>
    <x:t xml:space="preserve">C00477</x:t>
  </x:si>
  <x:si>
    <x:t xml:space="preserve">C00478</x:t>
  </x:si>
  <x:si>
    <x:t xml:space="preserve">C00479</x:t>
  </x:si>
  <x:si>
    <x:t xml:space="preserve">C00480</x:t>
  </x:si>
  <x:si>
    <x:t xml:space="preserve">C00481</x:t>
  </x:si>
  <x:si>
    <x:t xml:space="preserve">C00482</x:t>
  </x:si>
  <x:si>
    <x:t xml:space="preserve">C00483</x:t>
  </x:si>
  <x:si>
    <x:t xml:space="preserve">C00484</x:t>
  </x:si>
  <x:si>
    <x:t xml:space="preserve">C00485</x:t>
  </x:si>
  <x:si>
    <x:t xml:space="preserve">C00486</x:t>
  </x:si>
  <x:si>
    <x:t xml:space="preserve">C00487</x:t>
  </x:si>
  <x:si>
    <x:t xml:space="preserve">C00488</x:t>
  </x:si>
  <x:si>
    <x:t xml:space="preserve">C00489</x:t>
  </x:si>
  <x:si>
    <x:t xml:space="preserve">C00490</x:t>
  </x:si>
  <x:si>
    <x:t xml:space="preserve">C00491</x:t>
  </x:si>
  <x:si>
    <x:t xml:space="preserve">C00492</x:t>
  </x:si>
  <x:si>
    <x:t xml:space="preserve">C00493</x:t>
  </x:si>
  <x:si>
    <x:t xml:space="preserve">C00494</x:t>
  </x:si>
  <x:si>
    <x:t xml:space="preserve">C00495</x:t>
  </x:si>
  <x:si>
    <x:t xml:space="preserve">C00496</x:t>
  </x:si>
  <x:si>
    <x:t xml:space="preserve">C00497</x:t>
  </x:si>
  <x:si>
    <x:t xml:space="preserve">C00498</x:t>
  </x:si>
  <x:si>
    <x:t xml:space="preserve">C00499</x:t>
  </x:si>
  <x:si>
    <x:t xml:space="preserve">C00500</x:t>
  </x:si>
  <x:si>
    <x:t xml:space="preserve">C00501</x:t>
  </x:si>
  <x:si>
    <x:t xml:space="preserve">C00502</x:t>
  </x:si>
  <x:si>
    <x:t xml:space="preserve">C00503</x:t>
  </x:si>
  <x:si>
    <x:t xml:space="preserve">C00504</x:t>
  </x:si>
  <x:si>
    <x:t xml:space="preserve">C00505</x:t>
  </x:si>
  <x:si>
    <x:t xml:space="preserve">C00506</x:t>
  </x:si>
  <x:si>
    <x:t xml:space="preserve">C00507</x:t>
  </x:si>
  <x:si>
    <x:t xml:space="preserve">C00508</x:t>
  </x:si>
  <x:si>
    <x:t xml:space="preserve">C00509</x:t>
  </x:si>
  <x:si>
    <x:t xml:space="preserve">C00510</x:t>
  </x:si>
  <x:si>
    <x:t xml:space="preserve">C00511</x:t>
  </x:si>
  <x:si>
    <x:t xml:space="preserve">C00512</x:t>
  </x:si>
  <x:si>
    <x:t xml:space="preserve">C00513</x:t>
  </x:si>
  <x:si>
    <x:t xml:space="preserve">C00514</x:t>
  </x:si>
  <x:si>
    <x:t xml:space="preserve">C00515</x:t>
  </x:si>
  <x:si>
    <x:t xml:space="preserve">C00516</x:t>
  </x:si>
  <x:si>
    <x:t xml:space="preserve">C00517</x:t>
  </x:si>
  <x:si>
    <x:t xml:space="preserve">C00518</x:t>
  </x:si>
  <x:si>
    <x:t xml:space="preserve">C00519</x:t>
  </x:si>
  <x:si>
    <x:t xml:space="preserve">C00520</x:t>
  </x:si>
  <x:si>
    <x:t xml:space="preserve">C00521</x:t>
  </x:si>
  <x:si>
    <x:t xml:space="preserve">C00522</x:t>
  </x:si>
  <x:si>
    <x:t xml:space="preserve">C00523</x:t>
  </x:si>
  <x:si>
    <x:t xml:space="preserve">C00524</x:t>
  </x:si>
  <x:si>
    <x:t xml:space="preserve">C00525</x:t>
  </x:si>
  <x:si>
    <x:t xml:space="preserve">C00526</x:t>
  </x:si>
  <x:si>
    <x:t xml:space="preserve">C00527</x:t>
  </x:si>
  <x:si>
    <x:t xml:space="preserve">C00528</x:t>
  </x:si>
  <x:si>
    <x:t xml:space="preserve">C00529</x:t>
  </x:si>
  <x:si>
    <x:t xml:space="preserve">C00530</x:t>
  </x:si>
  <x:si>
    <x:t xml:space="preserve">C00531</x:t>
  </x:si>
  <x:si>
    <x:t xml:space="preserve">C00532</x:t>
  </x:si>
  <x:si>
    <x:t xml:space="preserve">C00533</x:t>
  </x:si>
  <x:si>
    <x:t xml:space="preserve">C00534</x:t>
  </x:si>
  <x:si>
    <x:t xml:space="preserve">C00535</x:t>
  </x:si>
  <x:si>
    <x:t xml:space="preserve">C00536</x:t>
  </x:si>
  <x:si>
    <x:t xml:space="preserve">C00537</x:t>
  </x:si>
  <x:si>
    <x:t xml:space="preserve">C00538</x:t>
  </x:si>
  <x:si>
    <x:t xml:space="preserve">C00539</x:t>
  </x:si>
  <x:si>
    <x:t xml:space="preserve">C00540</x:t>
  </x:si>
  <x:si>
    <x:t xml:space="preserve">C00541</x:t>
  </x:si>
  <x:si>
    <x:t xml:space="preserve">C00542</x:t>
  </x:si>
  <x:si>
    <x:t xml:space="preserve">C00543</x:t>
  </x:si>
  <x:si>
    <x:t xml:space="preserve">C00544</x:t>
  </x:si>
  <x:si>
    <x:t xml:space="preserve">C00545</x:t>
  </x:si>
  <x:si>
    <x:t xml:space="preserve">C00546</x:t>
  </x:si>
  <x:si>
    <x:t xml:space="preserve">C00547</x:t>
  </x:si>
  <x:si>
    <x:t xml:space="preserve">C00548</x:t>
  </x:si>
  <x:si>
    <x:t xml:space="preserve">C00549</x:t>
  </x:si>
  <x:si>
    <x:t xml:space="preserve">C00550</x:t>
  </x:si>
  <x:si>
    <x:t xml:space="preserve">C00551</x:t>
  </x:si>
  <x:si>
    <x:t xml:space="preserve">C00552</x:t>
  </x:si>
  <x:si>
    <x:t xml:space="preserve">C00553</x:t>
  </x:si>
  <x:si>
    <x:t xml:space="preserve">C00554</x:t>
  </x:si>
  <x:si>
    <x:t xml:space="preserve">C00555</x:t>
  </x:si>
  <x:si>
    <x:t xml:space="preserve">C00556</x:t>
  </x:si>
  <x:si>
    <x:t xml:space="preserve">C00557</x:t>
  </x:si>
  <x:si>
    <x:t xml:space="preserve">C00558</x:t>
  </x:si>
  <x:si>
    <x:t xml:space="preserve">C00559</x:t>
  </x:si>
  <x:si>
    <x:t xml:space="preserve">C00560</x:t>
  </x:si>
  <x:si>
    <x:t xml:space="preserve">C00561</x:t>
  </x:si>
  <x:si>
    <x:t xml:space="preserve">C00562</x:t>
  </x:si>
  <x:si>
    <x:t xml:space="preserve">C00563</x:t>
  </x:si>
  <x:si>
    <x:t xml:space="preserve">C00564</x:t>
  </x:si>
  <x:si>
    <x:t xml:space="preserve">C00565</x:t>
  </x:si>
  <x:si>
    <x:t xml:space="preserve">C00566</x:t>
  </x:si>
  <x:si>
    <x:t xml:space="preserve">C00567</x:t>
  </x:si>
  <x:si>
    <x:t xml:space="preserve">C00568</x:t>
  </x:si>
  <x:si>
    <x:t xml:space="preserve">C00569</x:t>
  </x:si>
  <x:si>
    <x:t xml:space="preserve">C00570</x:t>
  </x:si>
  <x:si>
    <x:t xml:space="preserve">C00571</x:t>
  </x:si>
  <x:si>
    <x:t xml:space="preserve">C00572</x:t>
  </x:si>
  <x:si>
    <x:t xml:space="preserve">C00573</x:t>
  </x:si>
  <x:si>
    <x:t xml:space="preserve">C00574</x:t>
  </x:si>
  <x:si>
    <x:t xml:space="preserve">C00575</x:t>
  </x:si>
  <x:si>
    <x:t xml:space="preserve">C00576</x:t>
  </x:si>
  <x:si>
    <x:t xml:space="preserve">C00577</x:t>
  </x:si>
  <x:si>
    <x:t xml:space="preserve">C00578</x:t>
  </x:si>
  <x:si>
    <x:t xml:space="preserve">C00579</x:t>
  </x:si>
  <x:si>
    <x:t xml:space="preserve">C00580</x:t>
  </x:si>
  <x:si>
    <x:t xml:space="preserve">C00581</x:t>
  </x:si>
  <x:si>
    <x:t xml:space="preserve">C00582</x:t>
  </x:si>
  <x:si>
    <x:t xml:space="preserve">C00583</x:t>
  </x:si>
  <x:si>
    <x:t xml:space="preserve">C00584</x:t>
  </x:si>
  <x:si>
    <x:t xml:space="preserve">C00585</x:t>
  </x:si>
  <x:si>
    <x:t xml:space="preserve">C00586</x:t>
  </x:si>
  <x:si>
    <x:t xml:space="preserve">C00587</x:t>
  </x:si>
  <x:si>
    <x:t xml:space="preserve">C00588</x:t>
  </x:si>
  <x:si>
    <x:t xml:space="preserve">C00589</x:t>
  </x:si>
  <x:si>
    <x:t xml:space="preserve">C00590</x:t>
  </x:si>
  <x:si>
    <x:t xml:space="preserve">C00591</x:t>
  </x:si>
  <x:si>
    <x:t xml:space="preserve">C00592</x:t>
  </x:si>
  <x:si>
    <x:t xml:space="preserve">C00593</x:t>
  </x:si>
  <x:si>
    <x:t xml:space="preserve">C00594</x:t>
  </x:si>
  <x:si>
    <x:t xml:space="preserve">C00595</x:t>
  </x:si>
  <x:si>
    <x:t xml:space="preserve">C00596</x:t>
  </x:si>
  <x:si>
    <x:t xml:space="preserve">C00597</x:t>
  </x:si>
  <x:si>
    <x:t xml:space="preserve">C00598</x:t>
  </x:si>
  <x:si>
    <x:t xml:space="preserve">C00599</x:t>
  </x:si>
  <x:si>
    <x:t xml:space="preserve">C00600</x:t>
  </x:si>
  <x:si>
    <x:t xml:space="preserve">C00601</x:t>
  </x:si>
  <x:si>
    <x:t xml:space="preserve">C00602</x:t>
  </x:si>
  <x:si>
    <x:t xml:space="preserve">C00603</x:t>
  </x:si>
  <x:si>
    <x:t xml:space="preserve">C00604</x:t>
  </x:si>
  <x:si>
    <x:t xml:space="preserve">C00605</x:t>
  </x:si>
  <x:si>
    <x:t xml:space="preserve">C00606</x:t>
  </x:si>
  <x:si>
    <x:t xml:space="preserve">C00607</x:t>
  </x:si>
  <x:si>
    <x:t xml:space="preserve">C00608</x:t>
  </x:si>
  <x:si>
    <x:t xml:space="preserve">C00609</x:t>
  </x:si>
  <x:si>
    <x:t xml:space="preserve">C00610</x:t>
  </x:si>
  <x:si>
    <x:t xml:space="preserve">C00611</x:t>
  </x:si>
  <x:si>
    <x:t xml:space="preserve">Mandatory review</x:t>
  </x:si>
  <x:si>
    <x:t xml:space="preserve">Reviewed with limitations</x:t>
  </x:si>
  <x:si>
    <x:t xml:space="preserve">Reviewed for exclusion, processing boundary or support route. Unresolved conditions remain visible.</x:t>
  </x:si>
  <x:si>
    <x:t xml:space="preserve">C00612</x:t>
  </x:si>
  <x:si>
    <x:t xml:space="preserve">C00613</x:t>
  </x:si>
  <x:si>
    <x:t xml:space="preserve">C00614</x:t>
  </x:si>
  <x:si>
    <x:t xml:space="preserve">C00615</x:t>
  </x:si>
  <x:si>
    <x:t xml:space="preserve">C00616</x:t>
  </x:si>
  <x:si>
    <x:t xml:space="preserve">C00617</x:t>
  </x:si>
  <x:si>
    <x:t xml:space="preserve">C00618</x:t>
  </x:si>
  <x:si>
    <x:t xml:space="preserve">C00619</x:t>
  </x:si>
  <x:si>
    <x:t xml:space="preserve">C00620</x:t>
  </x:si>
  <x:si>
    <x:t xml:space="preserve">C00621</x:t>
  </x:si>
  <x:si>
    <x:t xml:space="preserve">C00622</x:t>
  </x:si>
  <x:si>
    <x:t xml:space="preserve">C00623</x:t>
  </x:si>
  <x:si>
    <x:t xml:space="preserve">C00624</x:t>
  </x:si>
  <x:si>
    <x:t xml:space="preserve">C00625</x:t>
  </x:si>
  <x:si>
    <x:t xml:space="preserve">C00626</x:t>
  </x:si>
  <x:si>
    <x:t xml:space="preserve">C00627</x:t>
  </x:si>
  <x:si>
    <x:t xml:space="preserve">C00628</x:t>
  </x:si>
  <x:si>
    <x:t xml:space="preserve">C00629</x:t>
  </x:si>
  <x:si>
    <x:t xml:space="preserve">C00630</x:t>
  </x:si>
  <x:si>
    <x:t xml:space="preserve">C00631</x:t>
  </x:si>
  <x:si>
    <x:t xml:space="preserve">C00632</x:t>
  </x:si>
  <x:si>
    <x:t xml:space="preserve">C00633</x:t>
  </x:si>
  <x:si>
    <x:t xml:space="preserve">C00634</x:t>
  </x:si>
  <x:si>
    <x:t xml:space="preserve">C00635</x:t>
  </x:si>
  <x:si>
    <x:t xml:space="preserve">C00636</x:t>
  </x:si>
  <x:si>
    <x:t xml:space="preserve">C00637</x:t>
  </x:si>
  <x:si>
    <x:t xml:space="preserve">C00638</x:t>
  </x:si>
  <x:si>
    <x:t xml:space="preserve">C00639</x:t>
  </x:si>
  <x:si>
    <x:t xml:space="preserve">C00640</x:t>
  </x:si>
  <x:si>
    <x:t xml:space="preserve">C00641</x:t>
  </x:si>
  <x:si>
    <x:t xml:space="preserve">C00642</x:t>
  </x:si>
  <x:si>
    <x:t xml:space="preserve">C00643</x:t>
  </x:si>
  <x:si>
    <x:t xml:space="preserve">C00644</x:t>
  </x:si>
  <x:si>
    <x:t xml:space="preserve">C00645</x:t>
  </x:si>
  <x:si>
    <x:t xml:space="preserve">C00646</x:t>
  </x:si>
  <x:si>
    <x:t xml:space="preserve">C00647</x:t>
  </x:si>
  <x:si>
    <x:t xml:space="preserve">C00648</x:t>
  </x:si>
  <x:si>
    <x:t xml:space="preserve">C00649</x:t>
  </x:si>
  <x:si>
    <x:t xml:space="preserve">C00650</x:t>
  </x:si>
  <x:si>
    <x:t xml:space="preserve">C00651</x:t>
  </x:si>
  <x:si>
    <x:t xml:space="preserve">C00652</x:t>
  </x:si>
  <x:si>
    <x:t xml:space="preserve">C00653</x:t>
  </x:si>
  <x:si>
    <x:t xml:space="preserve">C00654</x:t>
  </x:si>
  <x:si>
    <x:t xml:space="preserve">C00655</x:t>
  </x:si>
  <x:si>
    <x:t xml:space="preserve">C00656</x:t>
  </x:si>
  <x:si>
    <x:t xml:space="preserve">C00657</x:t>
  </x:si>
  <x:si>
    <x:t xml:space="preserve">C00658</x:t>
  </x:si>
  <x:si>
    <x:t xml:space="preserve">C00659</x:t>
  </x:si>
  <x:si>
    <x:t xml:space="preserve">C00660</x:t>
  </x:si>
  <x:si>
    <x:t xml:space="preserve">C00661</x:t>
  </x:si>
  <x:si>
    <x:t xml:space="preserve">C00662</x:t>
  </x:si>
  <x:si>
    <x:t xml:space="preserve">C00663</x:t>
  </x:si>
  <x:si>
    <x:t xml:space="preserve">C00664</x:t>
  </x:si>
  <x:si>
    <x:t xml:space="preserve">C00665</x:t>
  </x:si>
  <x:si>
    <x:t xml:space="preserve">C00666</x:t>
  </x:si>
  <x:si>
    <x:t xml:space="preserve">C00667</x:t>
  </x:si>
  <x:si>
    <x:t xml:space="preserve">C00668</x:t>
  </x:si>
  <x:si>
    <x:t xml:space="preserve">C00669</x:t>
  </x:si>
  <x:si>
    <x:t xml:space="preserve">C00670</x:t>
  </x:si>
  <x:si>
    <x:t xml:space="preserve">C00671</x:t>
  </x:si>
  <x:si>
    <x:t xml:space="preserve">C00672</x:t>
  </x:si>
  <x:si>
    <x:t xml:space="preserve">C00673</x:t>
  </x:si>
  <x:si>
    <x:t xml:space="preserve">C00674</x:t>
  </x:si>
  <x:si>
    <x:t xml:space="preserve">C00675</x:t>
  </x:si>
  <x:si>
    <x:t xml:space="preserve">C00676</x:t>
  </x:si>
  <x:si>
    <x:t xml:space="preserve">C00677</x:t>
  </x:si>
  <x:si>
    <x:t xml:space="preserve">C00678</x:t>
  </x:si>
  <x:si>
    <x:t xml:space="preserve">C00679</x:t>
  </x:si>
  <x:si>
    <x:t xml:space="preserve">C00680</x:t>
  </x:si>
  <x:si>
    <x:t xml:space="preserve">C00681</x:t>
  </x:si>
  <x:si>
    <x:t xml:space="preserve">C00682</x:t>
  </x:si>
  <x:si>
    <x:t xml:space="preserve">C00683</x:t>
  </x:si>
  <x:si>
    <x:t xml:space="preserve">C00684</x:t>
  </x:si>
  <x:si>
    <x:t xml:space="preserve">C00685</x:t>
  </x:si>
  <x:si>
    <x:t xml:space="preserve">C00686</x:t>
  </x:si>
  <x:si>
    <x:t xml:space="preserve">C00687</x:t>
  </x:si>
  <x:si>
    <x:t xml:space="preserve">C00688</x:t>
  </x:si>
  <x:si>
    <x:t xml:space="preserve">C00689</x:t>
  </x:si>
  <x:si>
    <x:t xml:space="preserve">C00690</x:t>
  </x:si>
  <x:si>
    <x:t xml:space="preserve">C00691</x:t>
  </x:si>
  <x:si>
    <x:t xml:space="preserve">C00692</x:t>
  </x:si>
  <x:si>
    <x:t xml:space="preserve">C00693</x:t>
  </x:si>
  <x:si>
    <x:t xml:space="preserve">C00694</x:t>
  </x:si>
  <x:si>
    <x:t xml:space="preserve">C00695</x:t>
  </x:si>
  <x:si>
    <x:t xml:space="preserve">C00696</x:t>
  </x:si>
  <x:si>
    <x:t xml:space="preserve">C00697</x:t>
  </x:si>
  <x:si>
    <x:t xml:space="preserve">C00698</x:t>
  </x:si>
  <x:si>
    <x:t xml:space="preserve">C00699</x:t>
  </x:si>
  <x:si>
    <x:t xml:space="preserve">C00700</x:t>
  </x:si>
  <x:si>
    <x:t xml:space="preserve">C00701</x:t>
  </x:si>
  <x:si>
    <x:t xml:space="preserve">C00702</x:t>
  </x:si>
  <x:si>
    <x:t xml:space="preserve">C00703</x:t>
  </x:si>
  <x:si>
    <x:t xml:space="preserve">C00704</x:t>
  </x:si>
  <x:si>
    <x:t xml:space="preserve">C00705</x:t>
  </x:si>
  <x:si>
    <x:t xml:space="preserve">C00706</x:t>
  </x:si>
  <x:si>
    <x:t xml:space="preserve">C00707</x:t>
  </x:si>
  <x:si>
    <x:t xml:space="preserve">C00708</x:t>
  </x:si>
  <x:si>
    <x:t xml:space="preserve">C00709</x:t>
  </x:si>
  <x:si>
    <x:t xml:space="preserve">C00710</x:t>
  </x:si>
  <x:si>
    <x:t xml:space="preserve">C00711</x:t>
  </x:si>
  <x:si>
    <x:t xml:space="preserve">C00712</x:t>
  </x:si>
  <x:si>
    <x:t xml:space="preserve">C00713</x:t>
  </x:si>
  <x:si>
    <x:t xml:space="preserve">C00714</x:t>
  </x:si>
  <x:si>
    <x:t xml:space="preserve">C00715</x:t>
  </x:si>
  <x:si>
    <x:t xml:space="preserve">C00716</x:t>
  </x:si>
  <x:si>
    <x:t xml:space="preserve">C00717</x:t>
  </x:si>
  <x:si>
    <x:t xml:space="preserve">C00718</x:t>
  </x:si>
  <x:si>
    <x:t xml:space="preserve">C00719</x:t>
  </x:si>
  <x:si>
    <x:t xml:space="preserve">C00720</x:t>
  </x:si>
  <x:si>
    <x:t xml:space="preserve">C00721</x:t>
  </x:si>
  <x:si>
    <x:t xml:space="preserve">C00722</x:t>
  </x:si>
  <x:si>
    <x:t xml:space="preserve">C00723</x:t>
  </x:si>
  <x:si>
    <x:t xml:space="preserve">C00724</x:t>
  </x:si>
  <x:si>
    <x:t xml:space="preserve">C00725</x:t>
  </x:si>
  <x:si>
    <x:t xml:space="preserve">C00726</x:t>
  </x:si>
  <x:si>
    <x:t xml:space="preserve">C00727</x:t>
  </x:si>
  <x:si>
    <x:t xml:space="preserve">C00728</x:t>
  </x:si>
  <x:si>
    <x:t xml:space="preserve">C00729</x:t>
  </x:si>
  <x:si>
    <x:t xml:space="preserve">C00730</x:t>
  </x:si>
  <x:si>
    <x:t xml:space="preserve">C00731</x:t>
  </x:si>
  <x:si>
    <x:t xml:space="preserve">C00732</x:t>
  </x:si>
  <x:si>
    <x:t xml:space="preserve">C00733</x:t>
  </x:si>
  <x:si>
    <x:t xml:space="preserve">C00734</x:t>
  </x:si>
  <x:si>
    <x:t xml:space="preserve">C00735</x:t>
  </x:si>
  <x:si>
    <x:t xml:space="preserve">C00736</x:t>
  </x:si>
  <x:si>
    <x:t xml:space="preserve">C00737</x:t>
  </x:si>
  <x:si>
    <x:t xml:space="preserve">C00738</x:t>
  </x:si>
  <x:si>
    <x:t xml:space="preserve">C00739</x:t>
  </x:si>
  <x:si>
    <x:t xml:space="preserve">C00740</x:t>
  </x:si>
  <x:si>
    <x:t xml:space="preserve">C00741</x:t>
  </x:si>
  <x:si>
    <x:t xml:space="preserve">C00742</x:t>
  </x:si>
  <x:si>
    <x:t xml:space="preserve">C00743</x:t>
  </x:si>
  <x:si>
    <x:t xml:space="preserve">C00744</x:t>
  </x:si>
  <x:si>
    <x:t xml:space="preserve">C00745</x:t>
  </x:si>
  <x:si>
    <x:t xml:space="preserve">C00746</x:t>
  </x:si>
  <x:si>
    <x:t xml:space="preserve">C00747</x:t>
  </x:si>
  <x:si>
    <x:t xml:space="preserve">C00748</x:t>
  </x:si>
  <x:si>
    <x:t xml:space="preserve">C00749</x:t>
  </x:si>
  <x:si>
    <x:t xml:space="preserve">C00750</x:t>
  </x:si>
  <x:si>
    <x:t xml:space="preserve">C00751</x:t>
  </x:si>
  <x:si>
    <x:t xml:space="preserve">C00752</x:t>
  </x:si>
  <x:si>
    <x:t xml:space="preserve">C00753</x:t>
  </x:si>
  <x:si>
    <x:t xml:space="preserve">C00754</x:t>
  </x:si>
  <x:si>
    <x:t xml:space="preserve">C00755</x:t>
  </x:si>
  <x:si>
    <x:t xml:space="preserve">C00756</x:t>
  </x:si>
  <x:si>
    <x:t xml:space="preserve">C00757</x:t>
  </x:si>
  <x:si>
    <x:t xml:space="preserve">C00758</x:t>
  </x:si>
  <x:si>
    <x:t xml:space="preserve">C00759</x:t>
  </x:si>
  <x:si>
    <x:t xml:space="preserve">C00760</x:t>
  </x:si>
  <x:si>
    <x:t xml:space="preserve">C00761</x:t>
  </x:si>
  <x:si>
    <x:t xml:space="preserve">C00762</x:t>
  </x:si>
  <x:si>
    <x:t xml:space="preserve">C00763</x:t>
  </x:si>
  <x:si>
    <x:t xml:space="preserve">C00764</x:t>
  </x:si>
  <x:si>
    <x:t xml:space="preserve">C00765</x:t>
  </x:si>
  <x:si>
    <x:t xml:space="preserve">C00766</x:t>
  </x:si>
  <x:si>
    <x:t xml:space="preserve">C00767</x:t>
  </x:si>
  <x:si>
    <x:t xml:space="preserve">C00768</x:t>
  </x:si>
  <x:si>
    <x:t xml:space="preserve">C00769</x:t>
  </x:si>
  <x:si>
    <x:t xml:space="preserve">C00770</x:t>
  </x:si>
  <x:si>
    <x:t xml:space="preserve">C00771</x:t>
  </x:si>
  <x:si>
    <x:t xml:space="preserve">C00772</x:t>
  </x:si>
  <x:si>
    <x:t xml:space="preserve">C00773</x:t>
  </x:si>
  <x:si>
    <x:t xml:space="preserve">C00774</x:t>
  </x:si>
  <x:si>
    <x:t xml:space="preserve">C00775</x:t>
  </x:si>
  <x:si>
    <x:t xml:space="preserve">C00776</x:t>
  </x:si>
  <x:si>
    <x:t xml:space="preserve">C00777</x:t>
  </x:si>
  <x:si>
    <x:t xml:space="preserve">C00778</x:t>
  </x:si>
  <x:si>
    <x:t xml:space="preserve">C00779</x:t>
  </x:si>
  <x:si>
    <x:t xml:space="preserve">C00780</x:t>
  </x:si>
  <x:si>
    <x:t xml:space="preserve">C00781</x:t>
  </x:si>
  <x:si>
    <x:t xml:space="preserve">C00782</x:t>
  </x:si>
  <x:si>
    <x:t xml:space="preserve">C00783</x:t>
  </x:si>
  <x:si>
    <x:t xml:space="preserve">C00784</x:t>
  </x:si>
  <x:si>
    <x:t xml:space="preserve">C00785</x:t>
  </x:si>
  <x:si>
    <x:t xml:space="preserve">C00786</x:t>
  </x:si>
  <x:si>
    <x:t xml:space="preserve">C00787</x:t>
  </x:si>
  <x:si>
    <x:t xml:space="preserve">C00788</x:t>
  </x:si>
  <x:si>
    <x:t xml:space="preserve">C00789</x:t>
  </x:si>
  <x:si>
    <x:t xml:space="preserve">C00790</x:t>
  </x:si>
  <x:si>
    <x:t xml:space="preserve">C00791</x:t>
  </x:si>
  <x:si>
    <x:t xml:space="preserve">C00792</x:t>
  </x:si>
  <x:si>
    <x:t xml:space="preserve">C00793</x:t>
  </x:si>
  <x:si>
    <x:t xml:space="preserve">C00794</x:t>
  </x:si>
  <x:si>
    <x:t xml:space="preserve">C00795</x:t>
  </x:si>
  <x:si>
    <x:t xml:space="preserve">C00796</x:t>
  </x:si>
  <x:si>
    <x:t xml:space="preserve">C00797</x:t>
  </x:si>
  <x:si>
    <x:t xml:space="preserve">C00798</x:t>
  </x:si>
  <x:si>
    <x:t xml:space="preserve">C00799</x:t>
  </x:si>
  <x:si>
    <x:t xml:space="preserve">C00800</x:t>
  </x:si>
  <x:si>
    <x:t xml:space="preserve">C00801</x:t>
  </x:si>
  <x:si>
    <x:t xml:space="preserve">C00802</x:t>
  </x:si>
  <x:si>
    <x:t xml:space="preserve">C00803</x:t>
  </x:si>
  <x:si>
    <x:t xml:space="preserve">C00804</x:t>
  </x:si>
  <x:si>
    <x:t xml:space="preserve">C00805</x:t>
  </x:si>
  <x:si>
    <x:t xml:space="preserve">C00806</x:t>
  </x:si>
  <x:si>
    <x:t xml:space="preserve">C00807</x:t>
  </x:si>
  <x:si>
    <x:t xml:space="preserve">C00808</x:t>
  </x:si>
  <x:si>
    <x:t xml:space="preserve">C00809</x:t>
  </x:si>
  <x:si>
    <x:t xml:space="preserve">C00810</x:t>
  </x:si>
  <x:si>
    <x:t xml:space="preserve">C00811</x:t>
  </x:si>
  <x:si>
    <x:t xml:space="preserve">C00812</x:t>
  </x:si>
  <x:si>
    <x:t xml:space="preserve">C00813</x:t>
  </x:si>
  <x:si>
    <x:t xml:space="preserve">C00814</x:t>
  </x:si>
  <x:si>
    <x:t xml:space="preserve">C00815</x:t>
  </x:si>
  <x:si>
    <x:t xml:space="preserve">C00816</x:t>
  </x:si>
  <x:si>
    <x:t xml:space="preserve">C00817</x:t>
  </x:si>
  <x:si>
    <x:t xml:space="preserve">C00818</x:t>
  </x:si>
  <x:si>
    <x:t xml:space="preserve">C00819</x:t>
  </x:si>
  <x:si>
    <x:t xml:space="preserve">C00820</x:t>
  </x:si>
  <x:si>
    <x:t xml:space="preserve">C00821</x:t>
  </x:si>
  <x:si>
    <x:t xml:space="preserve">C00822</x:t>
  </x:si>
  <x:si>
    <x:t xml:space="preserve">C00823</x:t>
  </x:si>
  <x:si>
    <x:t xml:space="preserve">C00824</x:t>
  </x:si>
  <x:si>
    <x:t xml:space="preserve">C00825</x:t>
  </x:si>
  <x:si>
    <x:t xml:space="preserve">C00826</x:t>
  </x:si>
  <x:si>
    <x:t xml:space="preserve">C00827</x:t>
  </x:si>
  <x:si>
    <x:t xml:space="preserve">C00828</x:t>
  </x:si>
  <x:si>
    <x:t xml:space="preserve">C00829</x:t>
  </x:si>
  <x:si>
    <x:t xml:space="preserve">C00830</x:t>
  </x:si>
  <x:si>
    <x:t xml:space="preserve">C00831</x:t>
  </x:si>
  <x:si>
    <x:t xml:space="preserve">C00832</x:t>
  </x:si>
  <x:si>
    <x:t xml:space="preserve">C00833</x:t>
  </x:si>
  <x:si>
    <x:t xml:space="preserve">C00834</x:t>
  </x:si>
  <x:si>
    <x:t xml:space="preserve">C00835</x:t>
  </x:si>
  <x:si>
    <x:t xml:space="preserve">C00836</x:t>
  </x:si>
  <x:si>
    <x:t xml:space="preserve">C00837</x:t>
  </x:si>
  <x:si>
    <x:t xml:space="preserve">C00838</x:t>
  </x:si>
  <x:si>
    <x:t xml:space="preserve">C00839</x:t>
  </x:si>
  <x:si>
    <x:t xml:space="preserve">C00840</x:t>
  </x:si>
  <x:si>
    <x:t xml:space="preserve">C00841</x:t>
  </x:si>
  <x:si>
    <x:t xml:space="preserve">C00842</x:t>
  </x:si>
  <x:si>
    <x:t xml:space="preserve">C00843</x:t>
  </x:si>
  <x:si>
    <x:t xml:space="preserve">C00844</x:t>
  </x:si>
  <x:si>
    <x:t xml:space="preserve">C00845</x:t>
  </x:si>
  <x:si>
    <x:t xml:space="preserve">C00846</x:t>
  </x:si>
  <x:si>
    <x:t xml:space="preserve">C00847</x:t>
  </x:si>
  <x:si>
    <x:t xml:space="preserve">C00848</x:t>
  </x:si>
  <x:si>
    <x:t xml:space="preserve">C00849</x:t>
  </x:si>
  <x:si>
    <x:t xml:space="preserve">C00850</x:t>
  </x:si>
  <x:si>
    <x:t xml:space="preserve">C00851</x:t>
  </x:si>
  <x:si>
    <x:t xml:space="preserve">C00852</x:t>
  </x:si>
  <x:si>
    <x:t xml:space="preserve">C00853</x:t>
  </x:si>
  <x:si>
    <x:t xml:space="preserve">C00854</x:t>
  </x:si>
  <x:si>
    <x:t xml:space="preserve">C00855</x:t>
  </x:si>
  <x:si>
    <x:t xml:space="preserve">C00856</x:t>
  </x:si>
  <x:si>
    <x:t xml:space="preserve">C00857</x:t>
  </x:si>
  <x:si>
    <x:t xml:space="preserve">C00858</x:t>
  </x:si>
  <x:si>
    <x:t xml:space="preserve">C00859</x:t>
  </x:si>
  <x:si>
    <x:t xml:space="preserve">C00860</x:t>
  </x:si>
  <x:si>
    <x:t xml:space="preserve">C00861</x:t>
  </x:si>
  <x:si>
    <x:t xml:space="preserve">C00862</x:t>
  </x:si>
  <x:si>
    <x:t xml:space="preserve">C00863</x:t>
  </x:si>
  <x:si>
    <x:t xml:space="preserve">C00864</x:t>
  </x:si>
  <x:si>
    <x:t xml:space="preserve">C00865</x:t>
  </x:si>
  <x:si>
    <x:t xml:space="preserve">C00866</x:t>
  </x:si>
  <x:si>
    <x:t xml:space="preserve">C00867</x:t>
  </x:si>
  <x:si>
    <x:t xml:space="preserve">C00868</x:t>
  </x:si>
  <x:si>
    <x:t xml:space="preserve">C00869</x:t>
  </x:si>
  <x:si>
    <x:t xml:space="preserve">C00870</x:t>
  </x:si>
  <x:si>
    <x:t xml:space="preserve">C00871</x:t>
  </x:si>
  <x:si>
    <x:t xml:space="preserve">C00872</x:t>
  </x:si>
  <x:si>
    <x:t xml:space="preserve">C00873</x:t>
  </x:si>
  <x:si>
    <x:t xml:space="preserve">C00874</x:t>
  </x:si>
  <x:si>
    <x:t xml:space="preserve">C00875</x:t>
  </x:si>
  <x:si>
    <x:t xml:space="preserve">C00876</x:t>
  </x:si>
  <x:si>
    <x:t xml:space="preserve">C00877</x:t>
  </x:si>
  <x:si>
    <x:t xml:space="preserve">C00878</x:t>
  </x:si>
  <x:si>
    <x:t xml:space="preserve">C00879</x:t>
  </x:si>
  <x:si>
    <x:t xml:space="preserve">C00880</x:t>
  </x:si>
  <x:si>
    <x:t xml:space="preserve">C00881</x:t>
  </x:si>
  <x:si>
    <x:t xml:space="preserve">C00882</x:t>
  </x:si>
  <x:si>
    <x:t xml:space="preserve">C00883</x:t>
  </x:si>
  <x:si>
    <x:t xml:space="preserve">C00884</x:t>
  </x:si>
  <x:si>
    <x:t xml:space="preserve">C00885</x:t>
  </x:si>
  <x:si>
    <x:t xml:space="preserve">C00886</x:t>
  </x:si>
  <x:si>
    <x:t xml:space="preserve">C00887</x:t>
  </x:si>
  <x:si>
    <x:t xml:space="preserve">C00888</x:t>
  </x:si>
  <x:si>
    <x:t xml:space="preserve">C00889</x:t>
  </x:si>
  <x:si>
    <x:t xml:space="preserve">C00890</x:t>
  </x:si>
  <x:si>
    <x:t xml:space="preserve">C00891</x:t>
  </x:si>
  <x:si>
    <x:t xml:space="preserve">C00892</x:t>
  </x:si>
  <x:si>
    <x:t xml:space="preserve">C00893</x:t>
  </x:si>
  <x:si>
    <x:t xml:space="preserve">C00894</x:t>
  </x:si>
  <x:si>
    <x:t xml:space="preserve">C00895</x:t>
  </x:si>
  <x:si>
    <x:t xml:space="preserve">C00896</x:t>
  </x:si>
  <x:si>
    <x:t xml:space="preserve">C00897</x:t>
  </x:si>
  <x:si>
    <x:t xml:space="preserve">C00898</x:t>
  </x:si>
  <x:si>
    <x:t xml:space="preserve">C00899</x:t>
  </x:si>
  <x:si>
    <x:t xml:space="preserve">C00900</x:t>
  </x:si>
  <x:si>
    <x:t xml:space="preserve">C00901</x:t>
  </x:si>
  <x:si>
    <x:t xml:space="preserve">C00902</x:t>
  </x:si>
  <x:si>
    <x:t xml:space="preserve">C00903</x:t>
  </x:si>
  <x:si>
    <x:t xml:space="preserve">C00904</x:t>
  </x:si>
  <x:si>
    <x:t xml:space="preserve">C00905</x:t>
  </x:si>
  <x:si>
    <x:t xml:space="preserve">C00906</x:t>
  </x:si>
  <x:si>
    <x:t xml:space="preserve">C00907</x:t>
  </x:si>
  <x:si>
    <x:t xml:space="preserve">C00908</x:t>
  </x:si>
  <x:si>
    <x:t xml:space="preserve">C00909</x:t>
  </x:si>
  <x:si>
    <x:t xml:space="preserve">C00910</x:t>
  </x:si>
  <x:si>
    <x:t xml:space="preserve">C00911</x:t>
  </x:si>
  <x:si>
    <x:t xml:space="preserve">C00912</x:t>
  </x:si>
  <x:si>
    <x:t xml:space="preserve">C00913</x:t>
  </x:si>
  <x:si>
    <x:t xml:space="preserve">C00914</x:t>
  </x:si>
  <x:si>
    <x:t xml:space="preserve">C00915</x:t>
  </x:si>
  <x:si>
    <x:t xml:space="preserve">C00916</x:t>
  </x:si>
  <x:si>
    <x:t xml:space="preserve">C00917</x:t>
  </x:si>
  <x:si>
    <x:t xml:space="preserve">C00918</x:t>
  </x:si>
  <x:si>
    <x:t xml:space="preserve">C00919</x:t>
  </x:si>
  <x:si>
    <x:t xml:space="preserve">C00920</x:t>
  </x:si>
  <x:si>
    <x:t xml:space="preserve">C00921</x:t>
  </x:si>
  <x:si>
    <x:t xml:space="preserve">C00922</x:t>
  </x:si>
  <x:si>
    <x:t xml:space="preserve">C00923</x:t>
  </x:si>
  <x:si>
    <x:t xml:space="preserve">C00924</x:t>
  </x:si>
  <x:si>
    <x:t xml:space="preserve">C00925</x:t>
  </x:si>
  <x:si>
    <x:t xml:space="preserve">C00926</x:t>
  </x:si>
  <x:si>
    <x:t xml:space="preserve">C00927</x:t>
  </x:si>
  <x:si>
    <x:t xml:space="preserve">C00928</x:t>
  </x:si>
  <x:si>
    <x:t xml:space="preserve">C00929</x:t>
  </x:si>
  <x:si>
    <x:t xml:space="preserve">C00930</x:t>
  </x:si>
  <x:si>
    <x:t xml:space="preserve">C00931</x:t>
  </x:si>
  <x:si>
    <x:t xml:space="preserve">C00932</x:t>
  </x:si>
  <x:si>
    <x:t xml:space="preserve">C00933</x:t>
  </x:si>
  <x:si>
    <x:t xml:space="preserve">C00934</x:t>
  </x:si>
  <x:si>
    <x:t xml:space="preserve">C00935</x:t>
  </x:si>
  <x:si>
    <x:t xml:space="preserve">C00936</x:t>
  </x:si>
  <x:si>
    <x:t xml:space="preserve">C00937</x:t>
  </x:si>
  <x:si>
    <x:t xml:space="preserve">C00938</x:t>
  </x:si>
  <x:si>
    <x:t xml:space="preserve">C00939</x:t>
  </x:si>
  <x:si>
    <x:t xml:space="preserve">C00940</x:t>
  </x:si>
  <x:si>
    <x:t xml:space="preserve">C00941</x:t>
  </x:si>
  <x:si>
    <x:t xml:space="preserve">C00942</x:t>
  </x:si>
  <x:si>
    <x:t xml:space="preserve">C00943</x:t>
  </x:si>
  <x:si>
    <x:t xml:space="preserve">C00944</x:t>
  </x:si>
  <x:si>
    <x:t xml:space="preserve">C00945</x:t>
  </x:si>
  <x:si>
    <x:t xml:space="preserve">C00946</x:t>
  </x:si>
  <x:si>
    <x:t xml:space="preserve">C00947</x:t>
  </x:si>
  <x:si>
    <x:t xml:space="preserve">C00948</x:t>
  </x:si>
  <x:si>
    <x:t xml:space="preserve">C00949</x:t>
  </x:si>
  <x:si>
    <x:t xml:space="preserve">C00950</x:t>
  </x:si>
  <x:si>
    <x:t xml:space="preserve">C00951</x:t>
  </x:si>
  <x:si>
    <x:t xml:space="preserve">C00952</x:t>
  </x:si>
  <x:si>
    <x:t xml:space="preserve">C00953</x:t>
  </x:si>
  <x:si>
    <x:t xml:space="preserve">C00954</x:t>
  </x:si>
  <x:si>
    <x:t xml:space="preserve">C00955</x:t>
  </x:si>
  <x:si>
    <x:t xml:space="preserve">C00956</x:t>
  </x:si>
  <x:si>
    <x:t xml:space="preserve">C00957</x:t>
  </x:si>
  <x:si>
    <x:t xml:space="preserve">C00958</x:t>
  </x:si>
  <x:si>
    <x:t xml:space="preserve">C00959</x:t>
  </x:si>
  <x:si>
    <x:t xml:space="preserve">C00960</x:t>
  </x:si>
  <x:si>
    <x:t xml:space="preserve">C00961</x:t>
  </x:si>
  <x:si>
    <x:t xml:space="preserve">C00962</x:t>
  </x:si>
  <x:si>
    <x:t xml:space="preserve">C00963</x:t>
  </x:si>
  <x:si>
    <x:t xml:space="preserve">C00964</x:t>
  </x:si>
  <x:si>
    <x:t xml:space="preserve">C00965</x:t>
  </x:si>
  <x:si>
    <x:t xml:space="preserve">C00966</x:t>
  </x:si>
  <x:si>
    <x:t xml:space="preserve">C00967</x:t>
  </x:si>
  <x:si>
    <x:t xml:space="preserve">C00968</x:t>
  </x:si>
  <x:si>
    <x:t xml:space="preserve">C00969</x:t>
  </x:si>
  <x:si>
    <x:t xml:space="preserve">C00970</x:t>
  </x:si>
  <x:si>
    <x:t xml:space="preserve">C00971</x:t>
  </x:si>
  <x:si>
    <x:t xml:space="preserve">C00972</x:t>
  </x:si>
  <x:si>
    <x:t xml:space="preserve">C00973</x:t>
  </x:si>
  <x:si>
    <x:t xml:space="preserve">C00974</x:t>
  </x:si>
  <x:si>
    <x:t xml:space="preserve">C00975</x:t>
  </x:si>
  <x:si>
    <x:t xml:space="preserve">C00976</x:t>
  </x:si>
  <x:si>
    <x:t xml:space="preserve">C00977</x:t>
  </x:si>
  <x:si>
    <x:t xml:space="preserve">C00978</x:t>
  </x:si>
  <x:si>
    <x:t xml:space="preserve">C00979</x:t>
  </x:si>
  <x:si>
    <x:t xml:space="preserve">C00980</x:t>
  </x:si>
  <x:si>
    <x:t xml:space="preserve">C00981</x:t>
  </x:si>
  <x:si>
    <x:t xml:space="preserve">C00982</x:t>
  </x:si>
  <x:si>
    <x:t xml:space="preserve">C00983</x:t>
  </x:si>
  <x:si>
    <x:t xml:space="preserve">C00984</x:t>
  </x:si>
  <x:si>
    <x:t xml:space="preserve">C00985</x:t>
  </x:si>
  <x:si>
    <x:t xml:space="preserve">C00986</x:t>
  </x:si>
  <x:si>
    <x:t xml:space="preserve">C00987</x:t>
  </x:si>
  <x:si>
    <x:t xml:space="preserve">C00988</x:t>
  </x:si>
  <x:si>
    <x:t xml:space="preserve">C00989</x:t>
  </x:si>
  <x:si>
    <x:t xml:space="preserve">C00990</x:t>
  </x:si>
  <x:si>
    <x:t xml:space="preserve">C00991</x:t>
  </x:si>
  <x:si>
    <x:t xml:space="preserve">C00992</x:t>
  </x:si>
  <x:si>
    <x:t xml:space="preserve">C00993</x:t>
  </x:si>
  <x:si>
    <x:t xml:space="preserve">C00994</x:t>
  </x:si>
  <x:si>
    <x:t xml:space="preserve">C00995</x:t>
  </x:si>
  <x:si>
    <x:t xml:space="preserve">C00996</x:t>
  </x:si>
  <x:si>
    <x:t xml:space="preserve">C00997</x:t>
  </x:si>
  <x:si>
    <x:t xml:space="preserve">C00998</x:t>
  </x:si>
  <x:si>
    <x:t xml:space="preserve">C00999</x:t>
  </x:si>
  <x:si>
    <x:t xml:space="preserve">C01000</x:t>
  </x:si>
  <x:si>
    <x:t xml:space="preserve">C01001</x:t>
  </x:si>
  <x:si>
    <x:t xml:space="preserve">C01002</x:t>
  </x:si>
  <x:si>
    <x:t xml:space="preserve">C01003</x:t>
  </x:si>
  <x:si>
    <x:t xml:space="preserve">C01004</x:t>
  </x:si>
  <x:si>
    <x:t xml:space="preserve">C01005</x:t>
  </x:si>
  <x:si>
    <x:t xml:space="preserve">C01006</x:t>
  </x:si>
  <x:si>
    <x:t xml:space="preserve">C01007</x:t>
  </x:si>
  <x:si>
    <x:t xml:space="preserve">C01008</x:t>
  </x:si>
  <x:si>
    <x:t xml:space="preserve">C01009</x:t>
  </x:si>
  <x:si>
    <x:t xml:space="preserve">C01010</x:t>
  </x:si>
  <x:si>
    <x:t xml:space="preserve">C01011</x:t>
  </x:si>
  <x:si>
    <x:t xml:space="preserve">C01012</x:t>
  </x:si>
  <x:si>
    <x:t xml:space="preserve">C01013</x:t>
  </x:si>
  <x:si>
    <x:t xml:space="preserve">C01014</x:t>
  </x:si>
  <x:si>
    <x:t xml:space="preserve">C01015</x:t>
  </x:si>
  <x:si>
    <x:t xml:space="preserve">C01016</x:t>
  </x:si>
  <x:si>
    <x:t xml:space="preserve">C01017</x:t>
  </x:si>
  <x:si>
    <x:t xml:space="preserve">C01018</x:t>
  </x:si>
  <x:si>
    <x:t xml:space="preserve">C01019</x:t>
  </x:si>
  <x:si>
    <x:t xml:space="preserve">C01020</x:t>
  </x:si>
  <x:si>
    <x:t xml:space="preserve">C01021</x:t>
  </x:si>
  <x:si>
    <x:t xml:space="preserve">C01022</x:t>
  </x:si>
  <x:si>
    <x:t xml:space="preserve">C01023</x:t>
  </x:si>
  <x:si>
    <x:t xml:space="preserve">C01024</x:t>
  </x:si>
  <x:si>
    <x:t xml:space="preserve">C01025</x:t>
  </x:si>
  <x:si>
    <x:t xml:space="preserve">C01026</x:t>
  </x:si>
  <x:si>
    <x:t xml:space="preserve">C01027</x:t>
  </x:si>
  <x:si>
    <x:t xml:space="preserve">C01028</x:t>
  </x:si>
  <x:si>
    <x:t xml:space="preserve">C01029</x:t>
  </x:si>
  <x:si>
    <x:t xml:space="preserve">C01030</x:t>
  </x:si>
  <x:si>
    <x:t xml:space="preserve">C01031</x:t>
  </x:si>
  <x:si>
    <x:t xml:space="preserve">C01032</x:t>
  </x:si>
  <x:si>
    <x:t xml:space="preserve">C01033</x:t>
  </x:si>
  <x:si>
    <x:t xml:space="preserve">C01034</x:t>
  </x:si>
  <x:si>
    <x:t xml:space="preserve">Not published in sampled selected-grade evidence: Thermal conductivity, Fracture toughness, Fatigue life, Creep compliance, Coefficient of friction</x:t>
  </x:si>
  <x:si>
    <x:t xml:space="preserve">C01035</x:t>
  </x:si>
  <x:si>
    <x:t xml:space="preserve">C01036</x:t>
  </x:si>
  <x:si>
    <x:t xml:space="preserve">C01037</x:t>
  </x:si>
  <x:si>
    <x:t xml:space="preserve">C01038</x:t>
  </x:si>
  <x:si>
    <x:t xml:space="preserve">C01039</x:t>
  </x:si>
  <x:si>
    <x:t xml:space="preserve">C01040</x:t>
  </x:si>
  <x:si>
    <x:t xml:space="preserve">C01041</x:t>
  </x:si>
  <x:si>
    <x:t xml:space="preserve">C01042</x:t>
  </x:si>
  <x:si>
    <x:t xml:space="preserve">C01043</x:t>
  </x:si>
  <x:si>
    <x:t xml:space="preserve">C01044</x:t>
  </x:si>
  <x:si>
    <x:t xml:space="preserve">C01045</x:t>
  </x:si>
  <x:si>
    <x:t xml:space="preserve">C01046</x:t>
  </x:si>
  <x:si>
    <x:t xml:space="preserve">C01047</x:t>
  </x:si>
  <x:si>
    <x:t xml:space="preserve">C01048</x:t>
  </x:si>
  <x:si>
    <x:t xml:space="preserve">C01049</x:t>
  </x:si>
  <x:si>
    <x:t xml:space="preserve">C01050</x:t>
  </x:si>
  <x:si>
    <x:t xml:space="preserve">C01051</x:t>
  </x:si>
  <x:si>
    <x:t xml:space="preserve">C01052</x:t>
  </x:si>
  <x:si>
    <x:t xml:space="preserve">C01053</x:t>
  </x:si>
  <x:si>
    <x:t xml:space="preserve">C01054</x:t>
  </x:si>
  <x:si>
    <x:t xml:space="preserve">C01055</x:t>
  </x:si>
  <x:si>
    <x:t xml:space="preserve">C01056</x:t>
  </x:si>
  <x:si>
    <x:t xml:space="preserve">C01057</x:t>
  </x:si>
  <x:si>
    <x:t xml:space="preserve">C01058</x:t>
  </x:si>
  <x:si>
    <x:t xml:space="preserve">C01059</x:t>
  </x:si>
  <x:si>
    <x:t xml:space="preserve">C01060</x:t>
  </x:si>
  <x:si>
    <x:t xml:space="preserve">C01061</x:t>
  </x:si>
  <x:si>
    <x:t xml:space="preserve">C01062</x:t>
  </x:si>
  <x:si>
    <x:t xml:space="preserve">C01063</x:t>
  </x:si>
  <x:si>
    <x:t xml:space="preserve">C01064</x:t>
  </x:si>
  <x:si>
    <x:t xml:space="preserve">C01065</x:t>
  </x:si>
  <x:si>
    <x:t xml:space="preserve">C01066</x:t>
  </x:si>
  <x:si>
    <x:t xml:space="preserve">C01067</x:t>
  </x:si>
  <x:si>
    <x:t xml:space="preserve">C01068</x:t>
  </x:si>
  <x:si>
    <x:t xml:space="preserve">C01069</x:t>
  </x:si>
  <x:si>
    <x:t xml:space="preserve">C01070</x:t>
  </x:si>
  <x:si>
    <x:t xml:space="preserve">C01071</x:t>
  </x:si>
  <x:si>
    <x:t xml:space="preserve">C01072</x:t>
  </x:si>
  <x:si>
    <x:t xml:space="preserve">C01073</x:t>
  </x:si>
  <x:si>
    <x:t xml:space="preserve">C01074</x:t>
  </x:si>
  <x:si>
    <x:t xml:space="preserve">C01075</x:t>
  </x:si>
  <x:si>
    <x:t xml:space="preserve">C01076</x:t>
  </x:si>
  <x:si>
    <x:t xml:space="preserve">C01077</x:t>
  </x:si>
  <x:si>
    <x:t xml:space="preserve">C01078</x:t>
  </x:si>
  <x:si>
    <x:t xml:space="preserve">C01079</x:t>
  </x:si>
  <x:si>
    <x:t xml:space="preserve">C01080</x:t>
  </x:si>
  <x:si>
    <x:t xml:space="preserve">C01081</x:t>
  </x:si>
  <x:si>
    <x:t xml:space="preserve">C01082</x:t>
  </x:si>
  <x:si>
    <x:t xml:space="preserve">C01083</x:t>
  </x:si>
  <x:si>
    <x:t xml:space="preserve">C01084</x:t>
  </x:si>
  <x:si>
    <x:t xml:space="preserve">C01085</x:t>
  </x:si>
  <x:si>
    <x:t xml:space="preserve">C01086</x:t>
  </x:si>
  <x:si>
    <x:t xml:space="preserve">C01087</x:t>
  </x:si>
  <x:si>
    <x:t xml:space="preserve">C01088</x:t>
  </x:si>
  <x:si>
    <x:t xml:space="preserve">C01089</x:t>
  </x:si>
  <x:si>
    <x:t xml:space="preserve">C01090</x:t>
  </x:si>
  <x:si>
    <x:t xml:space="preserve">C01091</x:t>
  </x:si>
  <x:si>
    <x:t xml:space="preserve">C01092</x:t>
  </x:si>
  <x:si>
    <x:t xml:space="preserve">Measurement parsing</x:t>
  </x:si>
  <x:si>
    <x:t xml:space="preserve">V000375 resolved 2026-09-11: unit corrected MPa -&gt; kJ/m2 (source typo in the annealed block of the Polymaker HT-PLA-GF TDS; as-printed rows for the same ISO 179 property are in kJ/m2). Value 4.92+/-0.5 kJ/m2, XY, annealed. Back in summaries.</x:t>
  </x:si>
  <x:si>
    <x:t xml:space="preserve">C01093</x:t>
  </x:si>
  <x:si>
    <x:t xml:space="preserve">V000376 resolved 2026-09-11: unit corrected MPa -&gt; kJ/m2, same source typo. Value 4.37+/-0.27 kJ/m2, Z, annealed. Back in summaries.</x:t>
  </x:si>
  <x:si>
    <x:t xml:space="preserve">C01094</x:t>
  </x:si>
  <x:si>
    <x:t xml:space="preserve">V000419 resolved 2026-09-11: iSANMATE PETG_TDS.pdf (user-supplied copy, SHA256 confirmed identical to I-PETG-TDS) shows the row is "Unnotched Izod Impact Strength, 23C/50% RH, ISO 180, No Break" - the "50" previously captured was the RH test condition, not a value. Genuine qualitative result (specimen did not fracture); no numeric value applies or is missing.</x:t>
  </x:si>
  <x:si>
    <x:t xml:space="preserve">C01095</x:t>
  </x:si>
  <x:si>
    <x:t xml:space="preserve">V000420 partially resolved 2026-09-11: same document confirms this is a Shore-family hardness per ASTM D2240 (rules out Rockwell), value 70. The source row itself does not state A or D scale, and Shore A 70 vs Shore D 70 are very different hardnesses for a rigid material like PETG - scale still requires manufacturer confirmation. This is now the only remaining hardness-scale ambiguity in the workbook.</x:t>
  </x:si>
  <x:si>
    <x:t xml:space="preserve">C01096</x:t>
  </x:si>
  <x:si>
    <x:t xml:space="preserve">V000543 resolved 2026-09-11: hardness scale recovered - Rockwell R 108, ASTM D785. Back in summaries.</x:t>
  </x:si>
  <x:si>
    <x:t xml:space="preserve">C01097</x:t>
  </x:si>
  <x:si>
    <x:t xml:space="preserve">V000595 resolved 2026-09-11: iSANMATE CF-ABS_TDS.pdf (user-supplied copy, SHA256 confirmed identical to I-CF-ABS-TDS) gives Tensile Elongation at Break = 3%, ISO 527. The "527" previously captured was the standard number. Back in summaries.</x:t>
  </x:si>
  <x:si>
    <x:t xml:space="preserve">C01098</x:t>
  </x:si>
  <x:si>
    <x:t xml:space="preserve">V000730 resolved 2026-09-11: Spectrum PC-CF flexural strength is 920 kg/cm2; converted at 0.0980665 -&gt; 90.2 MPa. Back in summaries.</x:t>
  </x:si>
  <x:si>
    <x:t xml:space="preserve">C01099</x:t>
  </x:si>
  <x:si>
    <x:t xml:space="preserve">V000731 resolved 2026-09-11: Spectrum PC-CF flexural modulus prints "24.000 kg/cm2" with a European decimal separator = 24 000 kg/cm2 -&gt; 2.354 GPa. Back in summaries.</x:t>
  </x:si>
  <x:si>
    <x:t xml:space="preserve">C01100</x:t>
  </x:si>
  <x:si>
    <x:t xml:space="preserve">V000765 resolved 2026-09-11: iSANMATE TPU_TDS.pdf (user-supplied copy, SHA256 confirmed identical to the source already cited as I-TPU-TDS) gives Heat Deflection at 0.455 MPa = 74 C, ASTM D648. Back in summaries.</x:t>
  </x:si>
  <x:si>
    <x:t xml:space="preserve">C01101</x:t>
  </x:si>
  <x:si>
    <x:t xml:space="preserve">V000766 resolved 2026-09-11: same document. Heat Deflection at 1.82 MPa = 49 C, ASTM D648. Back in summaries.</x:t>
  </x:si>
  <x:si>
    <x:t xml:space="preserve">C01102</x:t>
  </x:si>
  <x:si>
    <x:t xml:space="preserve">V000847 resolved 2026-09-11: hardness scale recovered from the TDS row label - Shore D 43, ISO 868. Back in summaries.</x:t>
  </x:si>
  <x:si>
    <x:t xml:space="preserve">C01103</x:t>
  </x:si>
  <x:si>
    <x:t xml:space="preserve">V000848 resolved 2026-09-11: hardness scale recovered from the TDS row label - Shore A 92, ISO 868. Back in summaries.</x:t>
  </x:si>
  <x:si>
    <x:t xml:space="preserve">C01104</x:t>
  </x:si>
  <x:si>
    <x:t xml:space="preserve">V001487 resolved 2026-09-11: hardness scale recovered - Rockwell R 55, ISO 2039-2. Back in summaries.</x:t>
  </x:si>
  <x:si>
    <x:t xml:space="preserve">C01105</x:t>
  </x:si>
  <x:si>
    <x:t xml:space="preserve">V001529 resolved 2026-09-11: column-split error. TDS row reads "ISO 180/A | kJ/M2 | 8"; the "2" of the unit had been captured as the value. Corrected to 8 kJ/m2. Back in summaries.</x:t>
  </x:si>
  <x:si>
    <x:t xml:space="preserve">C01106</x:t>
  </x:si>
  <x:si>
    <x:t xml:space="preserve">Quarantined</x:t>
  </x:si>
  <x:si>
    <x:t xml:space="preserve">V001540 PCTG (Spectrum) notched Izod prints "93 C KJ/m2" - verified verbatim in the current TDS 2026-09-11, so this is a genuine defect in the source, not a transcription error. 93 kJ/m2 is not credible for a notched PCTG specimen (typical 5-10 kJ/m2). Action: manufacturer clarification required; do not infer a value.</x:t>
  </x:si>
  <x:si>
    <x:t xml:space="preserve">Method</x:t>
  </x:si>
  <x:si>
    <x:t xml:space="preserve">Section</x:t>
  </x:si>
  <x:si>
    <x:t xml:space="preserve">Definition / rule</x:t>
  </x:si>
  <x:si>
    <x:t xml:space="preserve">Snapshot</x:t>
  </x:si>
  <x:si>
    <x:t xml:space="preserve">Protected references</x:t>
  </x:si>
  <x:si>
    <x:t xml:space="preserve">Materials Wiki, the legacy XLSM and synced project sources are read-only references. No workbook macros were executed or imported.</x:t>
  </x:si>
  <x:si>
    <x:t xml:space="preserve">Aliases</x:t>
  </x:si>
  <x:si>
    <x:t xml:space="preserve">CPE/CoPE, TPC/TPEE and umbrella nylon records remain separate canonical rows. Shared formulation keys identify repeated commercial evidence, not independent tests.</x:t>
  </x:si>
  <x:si>
    <x:t xml:space="preserve">Grade sample</x:t>
  </x:si>
  <x:si>
    <x:t xml:space="preserve">Up to three technical grade samples per generic entry. Exact Bambu entries use their own TDS. Supplemental study grades carry R1 suffixes and are not procurement grades. Manufacturer-count shortfalls are explicit.</x:t>
  </x:si>
  <x:si>
    <x:t xml:space="preserve">Evidence</x:t>
  </x:si>
  <x:si>
    <x:t xml:space="preserve">Priority</x:t>
  </x:si>
  <x:si>
    <x:t xml:space="preserve">Official printer documentation for H2C routes. Manufacturer TDS/SDS for exact grades. Original studies for measured behaviour. Retailer evidence is used for prices, not technical properties. Wiki for selection concepts only.</x:t>
  </x:si>
  <x:si>
    <x:t xml:space="preserve">Missing data</x:t>
  </x:si>
  <x:si>
    <x:t xml:space="preserve">Not published means absent from the sampled evidence, not proven absent from all literature. Insufficient comparable data means values cannot support the proposed comparison. Not applicable means the field does not apply. Never use zero for missing data.</x:t>
  </x:si>
  <x:si>
    <x:t xml:space="preserve">Claims</x:t>
  </x:si>
  <x:si>
    <x:t xml:space="preserve">A product description is a manufacturer claim, not independent validation. Certifications are grade-, colour-, thickness- and application-specific. No food-contact or general safety approval is implied.</x:t>
  </x:si>
  <x:si>
    <x:t xml:space="preserve">Comparison</x:t>
  </x:si>
  <x:si>
    <x:t xml:space="preserve">Headlines</x:t>
  </x:si>
  <x:si>
    <x:t xml:space="preserve">Materials shows labelled single-grade observations with measurement IDs, not cross-grade family ranges. This avoids mixing incompatible standards, moisture states, preparation, geometry, load and orientation.</x:t>
  </x:si>
  <x:si>
    <x:t xml:space="preserve">Directions</x:t>
  </x:si>
  <x:si>
    <x:t xml:space="preserve">XY and Z remain separate. Unknown direction is not XY. Printed, resin, filament and unspecified specimens cannot be treated as equivalent.</x:t>
  </x:si>
  <x:si>
    <x:t xml:space="preserve">Strength and toughness</x:t>
  </x:si>
  <x:si>
    <x:t xml:space="preserve">Tensile yield, break and unspecified-endpoint strength are separate. Flexural strength is not tensile strength. Charpy/Izod, notch state and energy-per-width versus energy-per-area are distinct. Impact does not substitute for KIC.</x:t>
  </x:si>
  <x:si>
    <x:t xml:space="preserve">Keep HDT load, Tg, Vicat, melting and continuous-service ratings distinct. A TDS test-preparation anneal is not automatically a recommended part anneal. Dimensional change must be qualified.</x:t>
  </x:si>
  <x:si>
    <x:t xml:space="preserve">Normalization</x:t>
  </x:si>
  <x:si>
    <x:t xml:space="preserve">Units</x:t>
  </x:si>
  <x:si>
    <x:t xml:space="preserve">Density g/cm³ ×1000 = kg/m³. Modulus MPa ×0.001 = GPa. Strength MPa remains MPa. Area-normalized impact remains kJ/m². No conversion from J/m without specimen geometry. CTE target is µm/m/K.</x:t>
  </x:si>
  <x:si>
    <x:t xml:space="preserve">Uncertainty</x:t>
  </x:si>
  <x:si>
    <x:t xml:space="preserve">Raw ± term and ranges are retained separately. The source may not identify whether ± is standard deviation. Values with unresolved units/layout are quarantined and excluded from numeric summaries.</x:t>
  </x:si>
  <x:si>
    <x:t xml:space="preserve">Pricing</x:t>
  </x:si>
  <x:si>
    <x:t xml:space="preserve">Eligible observations</x:t>
  </x:si>
  <x:si>
    <x:t xml:space="preserve">CAD Canadian storefronts only. In-stock, non-bulk regular prices, before tax and shipping. Net filament mass only. Promotions visible separately. Bambu variant price must match an explicit MSRP or a verified single-unit regular header price with no promotion in that price block.</x:t>
  </x:si>
  <x:si>
    <x:t xml:space="preserve">Median sample</x:t>
  </x:si>
  <x:si>
    <x:t xml:space="preserve">Up to three observations per material, prioritizing distinct retailers. One offer per retailer prevents colour-count bias. Prefer spool and mass closest to 1 kg. Refills remain explicitly labelled. Grade-matched sample is not a whole-market lowest-price search.</x:t>
  </x:si>
  <x:si>
    <x:t xml:space="preserve">Calculations</x:t>
  </x:si>
  <x:si>
    <x:t xml:space="preserve">Regular CAD/kg = regular CAD price / net filament kg. Headline = median of eligible flagged observations. A 0.5 kg spool doubles CAD/kg relative to its spool price; a 0.75 kg spool divides by 0.75. Sale, bulk, unavailable and imported offers do not enter the median.</x:t>
  </x:si>
  <x:si>
    <x:t xml:space="preserve">Refresh</x:t>
  </x:si>
  <x:si>
    <x:t xml:space="preserve">Price observations are snapshots. Stale-price threshold is 30 days from the fixed snapshot date, not a live TODAY calculation. Recheck stock and variant when buying.</x:t>
  </x:si>
  <x:si>
    <x:t xml:space="preserve">H2C</x:t>
  </x:si>
  <x:si>
    <x:t xml:space="preserve">Hardware baseline</x:t>
  </x:si>
  <x:si>
    <x:t xml:space="preserve">350°C nozzle, 120°C bed and 65°C active chamber, subject to nozzle and hotend route. A grade needing more is not approved merely because its polymer family appears in marketing material.</x:t>
  </x:si>
  <x:si>
    <x:t xml:space="preserve">Routing baseline</x:t>
  </x:si>
  <x:si>
    <x:t xml:space="preserve">H2C-WIKI controls route-specific restrictions. PET-CF/PPA-CF/PPS-CF are left-only there. Soft TPU restrictions and promised firmware support are not treated as released support.</x:t>
  </x:si>
  <x:si>
    <x:t xml:space="preserve">Temperature pairing</x:t>
  </x:si>
  <x:si>
    <x:t xml:space="preserve">Do not mix high- and low-temperature groups. Low-temperature materials can soften in a hot chamber. PVA support pairing requires H2C-specific routing verification; generic soluble support guidance is insufficient.</x:t>
  </x:si>
  <x:si>
    <x:t xml:space="preserve">Selection</x:t>
  </x:si>
  <x:si>
    <x:t xml:space="preserve">Time dependence</x:t>
  </x:si>
  <x:si>
    <x:t xml:space="preserve">For sustained loads use grade/condition/time/temperature-specific creep or relaxation data. Short-term modulus and strength alone do not predict clamp-force retention or long-term deflection. See LOCAL-CREEP.</x:t>
  </x:si>
  <x:si>
    <x:t xml:space="preserve">Study stress/cycle observations are not design allowables. A 1,000,000-cycle run-out is right-censored, not proof of infinite life. Preserve R, frequency, temperature and raster. Reinforcement does not guarantee improved fatigue. See LOCAL-FATIGUE.</x:t>
  </x:si>
  <x:si>
    <x:t xml:space="preserve">Rubric</x:t>
  </x:si>
  <x:si>
    <x:t xml:space="preserve">Analyst rubric published here, not a manufacturer-measured score. 1: straightforward profile, little warping. 2: ordinary profile plus routine tuning. 3: drying/adhesion control central. 4: several material-specific constraints or advanced handling. 5: severe adhesion/warping or industrial thermal requirements. Higher means greater processing burden.</x:t>
  </x:si>
  <x:si>
    <x:t xml:space="preserve">R-PRINT evidence</x:t>
  </x:si>
  <x:si>
    <x:t xml:space="preserve">Only mapped where manufacturer guidance supports an anchor. PLA=1; PETG=2; ABS/ASA/PC/PA/soft TPU/soluble supports=4; unfilled PP=5. Reinforced, effect, hardness and brand variants do not inherit a numeric family rating. No universal chemical score.</x:t>
  </x:si>
  <x:si>
    <x:t xml:space="preserve">Rubric limits</x:t>
  </x:si>
  <x:si>
    <x:t xml:space="preserve">Ratings are qualitative screening judgments, not H2C test results. Texture, tolerances, creep, fatigue and chemical endurance remain unscored where an anchored, grade-specific comparison is unavailable.</x:t>
  </x:si>
  <x:si>
    <x:t xml:space="preserve">Legacy crosswalk</x:t>
  </x:si>
  <x:si>
    <x:t xml:space="preserve">Density; kg/m³. MainUi D9; Database E:F. Original min/max pairs; uncited numeric values are not imported.</x:t>
  </x:si>
  <x:si>
    <x:t xml:space="preserve">Young’s modulus</x:t>
  </x:si>
  <x:si>
    <x:t xml:space="preserve">Tensile modulus with direction/condition; GPa. MainUi D28; Database G:H. Original min/max pairs; uncited numeric values are not imported.</x:t>
  </x:si>
  <x:si>
    <x:t xml:space="preserve">Yield strength</x:t>
  </x:si>
  <x:si>
    <x:t xml:space="preserve">Tensile yield strength; MPa. MainUi D46; Database I:J. Original min/max pairs; uncited numeric values are not imported.</x:t>
  </x:si>
  <x:si>
    <x:t xml:space="preserve">Tensile strength</x:t>
  </x:si>
  <x:si>
    <x:t xml:space="preserve">Tensile ultimate or source-labelled endpoint; MPa. MainUi D64; Database K:L. Original min/max pairs; uncited numeric values are not imported.</x:t>
  </x:si>
  <x:si>
    <x:t xml:space="preserve">Compressive strength</x:t>
  </x:si>
  <x:si>
    <x:t xml:space="preserve">Compression strength with failure criterion and conditioning; MPa. MainUi D82; Database M:N. Original min/max pairs; uncited numeric values are not imported.</x:t>
  </x:si>
  <x:si>
    <x:t xml:space="preserve">Elongation at break; preserve % and gauge/test method; %. MainUi D100; Database O:P. Original min/max pairs; uncited numeric values are not imported.</x:t>
  </x:si>
  <x:si>
    <x:t xml:space="preserve">Fracture toughness</x:t>
  </x:si>
  <x:si>
    <x:t xml:space="preserve">KIC or other declared fracture metric; never impact; MPa√m. MainUi D118; Database Q:R. Original min/max pairs; uncited numeric values are not imported.</x:t>
  </x:si>
  <x:si>
    <x:t xml:space="preserve">Thermal expansion</x:t>
  </x:si>
  <x:si>
    <x:t xml:space="preserve">Coefficient of thermal expansion with direction and interval; µm/m/K. MainUi D137; Database S:T. Original min/max pairs; uncited numeric values are not imported.</x:t>
  </x:si>
  <x:si>
    <x:t xml:space="preserve">Verification</x:t>
  </x:si>
  <x:si>
    <x:t xml:space="preserve">Coverage is terminal: it reports gaps and conflicts but does not drive material or price calculations. A row with evidence is not a declaration that all properties are known.</x:t>
  </x:si>
  <x:si>
    <x:t xml:space="preserve">Research limitations</x:t>
  </x:si>
  <x:si>
    <x:t xml:space="preserve">Rare PA66, PA66-CF, unfilled PA612 and PA612-GF lack verified exact-grade technical profiles in this sample. Legacy PLA Lite, PLA Silk and Support for PLA remain unresolved rather than being replaced. Full H2C routing/AMS validation is not established for every third-party grade.</x:t>
  </x:si>
  <x:si>
    <x:t xml:space="preserve">Nozzle thermal limits, ventilation, solvent handling, dust and exact-grade SDS review remain necessary. Low odour and polymer food-contact statements do not establish a safe printed article or process.</x:t>
  </x:si>
  <x:si>
    <x:t xml:space="preserve">Final compatibility recheck</x:t>
  </x:si>
  <x:si>
    <x:t xml:space="preserve">Official H2C manual V1.0 January2026 was accessible again on2026-09-10; brittle-filament route restriction confirmed. Direct wiki refresh returned402 in the web reader, so the retrieved source snapshot is retained. Firmware-sensitive soft-TPU support remains conservatively unverified; confirm installed firmware before use.</x:t>
  </x:si>
  <x:si>
    <x:t xml:space="preserve">Transcription corrections</x:t>
  </x:si>
  <x:si>
    <x:t xml:space="preserve">"Published value (transcription corrected)" marks a row whose VALUE or UNIT was recovered from the cited source after an earlier parsing error, with the reasoning recorded in the row Notes. It is a re-read of the same source, never an inference from a different grade or from the literature. Such rows re-enter numeric summaries; rows that could not be recovered stay at "Unresolved unit / layout" and stay quarantined.</x:t>
  </x:si>
  <x:si>
    <x:t xml:space="preserve">2026-09-11 conflict pass</x:t>
  </x:si>
  <x:si>
    <x:t xml:space="preserve">Nine of fifteen quarantined measurements were resolved by re-reading the cited TDS. Two conflicts were closed (IPCON PPA AMS wording, 3DXTECH PEEK temperature ranges - non-blocking because both exceed the 350/120/65 baseline). Four fatigue conflicts were confirmed as genuine source defects by recomputing the stated percentages against the stated ultimate strengths. Four items remain open: the iSANMATE rows (robots-disallowed, five measurements plus the PLA-GF composition and PEI/PEEK unit rows), the FormFutura PET hardness row (image-only PDF), and the Spectrum PCTG notched Izod row (defect verified present in the current TDS).</x:t>
  </x:si>
</x:sst>
</file>

<file path=xl/styles.xml><?xml version="1.0" encoding="utf-8"?>
<x:styleSheet xmlns:x="http://schemas.openxmlformats.org/spreadsheetml/2006/main">
  <x:numFmts count="4">
    <x:numFmt numFmtId="164" formatCode="General"/>
    <x:numFmt numFmtId="165" formatCode="0.00###\ "/>
    <x:numFmt numFmtId="166" formatCode="#,##0.00\ "/>
    <x:numFmt numFmtId="167" formatCode="yyyy\-mm\-dd"/>
  </x:numFmts>
  <x:fonts count="10">
    <x:font>
      <x:sz val="10"/>
      <x:name val="Arial"/>
    </x:font>
    <x:font>
      <x:sz val="10"/>
      <x:name val="Arial"/>
    </x:font>
    <x:font>
      <x:sz val="10"/>
      <x:name val="Arial"/>
    </x:font>
    <x:font>
      <x:sz val="10"/>
      <x:name val="Arial"/>
    </x:font>
    <x:font>
      <x:sz val="11"/>
      <x:name val="Calibri"/>
    </x:font>
    <x:font>
      <x:sz val="10"/>
      <x:color rgb="FF243447"/>
      <x:name val="Arial"/>
    </x:font>
    <x:font>
      <x:b/>
      <x:sz val="14"/>
      <x:color rgb="FF243447"/>
      <x:name val="Arial"/>
    </x:font>
    <x:font>
      <x:b/>
      <x:sz val="10"/>
      <x:color rgb="FFFFFFFF"/>
      <x:name val="Arial"/>
    </x:font>
    <x:font>
      <x:sz val="10"/>
      <x:color rgb="FF243447"/>
      <x:name val="Noto Sans CJK SC"/>
    </x:font>
    <x:font>
      <x:sz val="10"/>
      <x:color rgb="FF243447"/>
      <x:name val="Noto Sans CJK SC"/>
    </x:font>
  </x:fonts>
  <x:fills count="3">
    <x:fill>
      <x:patternFill patternType="none"/>
    </x:fill>
    <x:fill>
      <x:patternFill patternType="gray125"/>
    </x:fill>
    <x:fill>
      <x:patternFill patternType="solid">
        <x:fgColor rgb="FF2C4259"/>
      </x:patternFill>
    </x:fill>
  </x:fills>
  <x:borders count="1">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5">
    <x:xf numFmtId="164" fontId="0" fillId="0" borderId="0" xfId="0" applyFont="0" applyBorder="0" applyAlignment="0">
      <x:alignment horizontal="general" vertical="bottom" wrapText="0"/>
    </x:xf>
    <x:xf numFmtId="164" fontId="4" fillId="0" borderId="0" xfId="0" applyFont="1" applyBorder="0" applyAlignment="1">
      <x:alignment horizontal="general" vertical="bottom" wrapText="0"/>
    </x:xf>
    <x:xf numFmtId="164" fontId="5" fillId="0" borderId="0" xfId="0" applyFont="1" applyBorder="0" applyAlignment="1">
      <x:alignment horizontal="general" vertical="bottom" wrapText="0"/>
    </x:xf>
    <x:xf numFmtId="164" fontId="6" fillId="0" borderId="0" xfId="0" applyFont="1" applyBorder="0" applyAlignment="1">
      <x:alignment horizontal="general" vertical="bottom" wrapText="0"/>
    </x:xf>
    <x:xf numFmtId="164" fontId="7" fillId="2" borderId="0" xfId="0" applyFont="1" applyBorder="0" applyAlignment="1">
      <x:alignment horizontal="center" vertical="center" wrapText="1"/>
    </x:xf>
    <x:xf numFmtId="165" fontId="7" fillId="2" borderId="0" xfId="0" applyFont="1" applyBorder="0" applyAlignment="1">
      <x:alignment horizontal="center" vertical="center" wrapText="1"/>
    </x:xf>
    <x:xf numFmtId="166" fontId="7" fillId="2" borderId="0" xfId="0" applyFont="1" applyBorder="0" applyAlignment="1">
      <x:alignment horizontal="center" vertical="center" wrapText="1"/>
    </x:xf>
    <x:xf numFmtId="164" fontId="5" fillId="0" borderId="0" xfId="0" applyFont="1" applyBorder="0" applyAlignment="1">
      <x:alignment horizontal="general" vertical="top" wrapText="1"/>
    </x:xf>
    <x:xf numFmtId="165" fontId="5" fillId="0" borderId="0" xfId="0" applyFont="1" applyBorder="0" applyAlignment="1">
      <x:alignment horizontal="right" vertical="top" wrapText="1"/>
    </x:xf>
    <x:xf numFmtId="166" fontId="5" fillId="0" borderId="0" xfId="0" applyFont="1" applyBorder="0" applyAlignment="1">
      <x:alignment horizontal="right" vertical="top" wrapText="1"/>
    </x:xf>
    <x:xf numFmtId="164" fontId="9" fillId="0" borderId="0" xfId="0" applyFont="1" applyBorder="0" applyAlignment="1">
      <x:alignment horizontal="general" vertical="top" wrapText="1"/>
    </x:xf>
    <x:xf numFmtId="164" fontId="5" fillId="0" borderId="0" xfId="0" applyFont="1" applyBorder="0" applyAlignment="1">
      <x:alignment horizontal="general" vertical="top" wrapText="1"/>
    </x:xf>
    <x:xf numFmtId="167" fontId="7" fillId="2" borderId="0" xfId="0" applyFont="1" applyBorder="0" applyAlignment="1">
      <x:alignment horizontal="center" vertical="center" wrapText="1"/>
    </x:xf>
    <x:xf numFmtId="167" fontId="5" fillId="0" borderId="0" xfId="0" applyFont="1" applyBorder="0" applyAlignment="1">
      <x:alignment horizontal="general" vertical="top" wrapText="1"/>
    </x:xf>
    <x:xf numFmtId="164" fontId="5" fillId="0" borderId="0" xfId="0" applyFont="1" applyBorder="0" applyAlignment="1">
      <x:alignment horizontal="general" vertical="top" wrapText="1"/>
      <x:extLst>
        <x:ext uri="{C7286773-470A-42A8-94C5-96B5CB345126}">
          <xfpb:xfComplement xmlns:xfpb="http://schemas.microsoft.com/office/spreadsheetml/2022/featurepropertybag" i="0"/>
        </x:ext>
      </x:extLst>
    </x:xf>
  </x:cellXfs>
  <x:cellStyles count="6">
    <x:cellStyle name="Normal" xfId="0"/>
    <x:cellStyle name="Comma" xfId="15"/>
    <x:cellStyle name="Comma [0]" xfId="16"/>
    <x:cellStyle name="Currency" xfId="17"/>
    <x:cellStyle name="Currency [0]" xfId="18"/>
    <x:cellStyle name="Percent" xfId="19"/>
  </x:cellStyles>
  <x:dxfs count="7">
    <x:dxf>
      <x:fill>
        <x:patternFill>
          <x:bgColor rgb="FF2C4259"/>
        </x:patternFill>
      </x:fill>
    </x:dxf>
    <x:dxf>
      <x:fill>
        <x:patternFill>
          <x:bgColor rgb="FF000000"/>
        </x:patternFill>
      </x:fill>
    </x:dxf>
    <x:dxf>
      <x:fill>
        <x:patternFill>
          <x:bgColor rgb="FF243447"/>
        </x:patternFill>
      </x:fill>
    </x:dxf>
    <x:dxf>
      <x:fill>
        <x:patternFill>
          <x:bgColor rgb="FFFFFFFF"/>
        </x:patternFill>
      </x:fill>
    </x:dxf>
    <x:dxf>
      <x:fill>
        <x:patternFill>
          <x:bgColor rgb="FFFBE9DF"/>
        </x:patternFill>
      </x:fill>
    </x:dxf>
    <x:dxf>
      <x:fill>
        <x:patternFill>
          <x:bgColor rgb="FF9A3D21"/>
        </x:patternFill>
      </x:fill>
    </x:dxf>
    <x:dxf>
      <x:font>
        <x:b/>
        <x:color rgb="FF9A3D21"/>
      </x:font>
      <x:fill>
        <x:patternFill>
          <x:bgColor rgb="FFFBE9D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BE9DF"/>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8D9B91"/>
      <x:rgbColor rgb="FF003366"/>
      <x:rgbColor rgb="FF339966"/>
      <x:rgbColor rgb="FF003300"/>
      <x:rgbColor rgb="FF333300"/>
      <x:rgbColor rgb="FF9A3D21"/>
      <x:rgbColor rgb="FF993366"/>
      <x:rgbColor rgb="FF2C4259"/>
      <x:rgbColor rgb="FF243447"/>
    </x:indexedColors>
  </x:colors>
</x:styleSheet>
</file>

<file path=xl/_rels/workbook.xml.rels>&#65279;<?xml version="1.0" encoding="utf-8"?><Relationships xmlns="http://schemas.openxmlformats.org/package/2006/relationships"><Relationship Type="http://schemas.openxmlformats.org/officeDocument/2006/relationships/styles" Target="/xl/styles.xml" Id="R94900e0bfe4b42ed" /><Relationship Type="http://schemas.openxmlformats.org/officeDocument/2006/relationships/theme" Target="/xl/theme/theme1.xml" Id="R1289899220e54360" /><Relationship Type="http://schemas.microsoft.com/office/2022/11/relationships/FeaturePropertyBag" Target="/xl/featurePropertyBag/featurePropertyBag.xml" Id="Ref970185861d4a2a" /><Relationship Type="http://schemas.openxmlformats.org/officeDocument/2006/relationships/sharedStrings" Target="/xl/sharedStrings.xml" Id="R8d14859a71664efd" /><Relationship Type="http://schemas.openxmlformats.org/officeDocument/2006/relationships/worksheet" Target="/xl/worksheets/sheet1.xml" Id="R61bcbe3b0b9c4fe2" /><Relationship Type="http://schemas.openxmlformats.org/officeDocument/2006/relationships/worksheet" Target="/xl/worksheets/sheet2.xml" Id="R33171b376ed745f7" /><Relationship Type="http://schemas.openxmlformats.org/officeDocument/2006/relationships/worksheet" Target="/xl/worksheets/sheet3.xml" Id="Rb67729fda62f46ff" /><Relationship Type="http://schemas.openxmlformats.org/officeDocument/2006/relationships/worksheet" Target="/xl/worksheets/sheet4.xml" Id="R8b9236087c0b4bac" /><Relationship Type="http://schemas.openxmlformats.org/officeDocument/2006/relationships/worksheet" Target="/xl/worksheets/sheet5.xml" Id="R527adf95e698405a" /><Relationship Type="http://schemas.openxmlformats.org/officeDocument/2006/relationships/worksheet" Target="/xl/worksheets/sheet6.xml" Id="R13775f98623c4b5e" /><Relationship Type="http://schemas.openxmlformats.org/officeDocument/2006/relationships/worksheet" Target="/xl/worksheets/sheet7.xml" Id="R9061c2058a174195" /><Relationship Type="http://schemas.openxmlformats.org/officeDocument/2006/relationships/worksheet" Target="/xl/worksheets/sheet8.xml" Id="Readd487aa01a442b" /><Relationship Type="http://schemas.openxmlformats.org/officeDocument/2006/relationships/worksheet" Target="/xl/worksheets/sheet9.xml" Id="R8bee7089c32e40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MaterialsTable" displayName="MaterialsTable" ref="A6:AQ108" headerRowCount="1" totalsRowCount="0" totalsRowShown="0">
  <x:autoFilter ref="A6:AQ108"/>
  <x:tableColumns count="43">
    <x:tableColumn id="1" name="MaterialID"/>
    <x:tableColumn id="2" name="Original name"/>
    <x:tableColumn id="3" name="Family"/>
    <x:tableColumn id="4" name="H2C status"/>
    <x:tableColumn id="5" name="Representative grade"/>
    <x:tableColumn id="6" name="Nozzle guidance"/>
    <x:tableColumn id="7" name="Bed guidance"/>
    <x:tableColumn id="8" name="Chamber guidance"/>
    <x:tableColumn id="9" name="Printing evidence"/>
    <x:tableColumn id="10" name="Density kg/m³"/>
    <x:tableColumn id="11" name="Tensile modulus XY GPa"/>
    <x:tableColumn id="12" name="Tensile strength XY MPa"/>
    <x:tableColumn id="13" name="Elongation at break XY %"/>
    <x:tableColumn id="14" name="Mechanical evidence"/>
    <x:tableColumn id="15" name="Measurement conditions"/>
    <x:tableColumn id="16" name="HDT 0.45 MPa °C"/>
    <x:tableColumn id="17" name="Thermal evidence"/>
    <x:tableColumn id="18" name="Price CAD/kg"/>
    <x:tableColumn id="19" name="Price evidence"/>
    <x:tableColumn id="20" name="Price basis"/>
    <x:tableColumn id="21" name="Best uses"/>
    <x:tableColumn id="22" name="Limitations"/>
    <x:tableColumn id="23" name="Full name"/>
    <x:tableColumn id="24" name="Original category"/>
    <x:tableColumn id="25" name="Scope"/>
    <x:tableColumn id="26" name="Abbreviation"/>
    <x:tableColumn id="27" name="Normalized name"/>
    <x:tableColumn id="28" name="Base polymer"/>
    <x:tableColumn id="29" name="Modifier / filler"/>
    <x:tableColumn id="30" name="Role"/>
    <x:tableColumn id="31" name="Identity source"/>
    <x:tableColumn id="32" name="H2C evidence"/>
    <x:tableColumn id="33" name="Identity notes"/>
    <x:tableColumn id="34" name="GradeIDs"/>
    <x:tableColumn id="35" name="Headline basis"/>
    <x:tableColumn id="36" name="Impact / toughness"/>
    <x:tableColumn id="37" name="Use evidence"/>
    <x:tableColumn id="38" name="Environmental evidence"/>
    <x:tableColumn id="39" name="Durability evidence"/>
    <x:tableColumn id="40" name="Fatigue / creep"/>
    <x:tableColumn id="41" name="Safety evidence"/>
    <x:tableColumn id="42" name="Printability rating 1–5"/>
    <x:tableColumn id="43" name="Printability rubric"/>
  </x:tableColumns>
</x:table>
</file>

<file path=xl/tables/table2.xml><?xml version="1.0" encoding="utf-8"?>
<x:table xmlns:x="http://schemas.openxmlformats.org/spreadsheetml/2006/main" id="2" name="GradesTable" displayName="GradesTable" ref="A3:M147" headerRowCount="1" totalsRowCount="0" totalsRowShown="0">
  <x:autoFilter ref="A3:M147"/>
  <x:tableColumns count="13">
    <x:tableColumn id="1" name="GradeID"/>
    <x:tableColumn id="2" name="MaterialID"/>
    <x:tableColumn id="3" name="Manufacturer"/>
    <x:tableColumn id="4" name="Product name"/>
    <x:tableColumn id="5" name="Shared formulation key"/>
    <x:tableColumn id="6" name="Composition / filler"/>
    <x:tableColumn id="7" name="Colour caveat"/>
    <x:tableColumn id="8" name="Availability"/>
    <x:tableColumn id="9" name="Certification claims"/>
    <x:tableColumn id="10" name="Selected-grade rationale"/>
    <x:tableColumn id="11" name="SourceID"/>
    <x:tableColumn id="12" name="Source locator"/>
    <x:tableColumn id="13" name="Diameter compatibility"/>
  </x:tableColumns>
</x:table>
</file>

<file path=xl/tables/table3.xml><?xml version="1.0" encoding="utf-8"?>
<x:table xmlns:x="http://schemas.openxmlformats.org/spreadsheetml/2006/main" id="6" name="PrintsetupTable" displayName="PrintsetupTable" ref="A3:AL170" headerRowCount="1" totalsRowCount="0" totalsRowShown="0">
  <x:autoFilter ref="A3:AL170"/>
  <x:tableColumns count="38">
    <x:tableColumn id="1" name="ProfileID"/>
    <x:tableColumn id="2" name="MaterialID"/>
    <x:tableColumn id="3" name="GradeID"/>
    <x:tableColumn id="4" name="Profile"/>
    <x:tableColumn id="5" name="Nozzle °C"/>
    <x:tableColumn id="6" name="Bed °C"/>
    <x:tableColumn id="7" name="Chamber °C"/>
    <x:tableColumn id="8" name="Enclosure"/>
    <x:tableColumn id="9" name="Plate"/>
    <x:tableColumn id="10" name="Adhesion / release"/>
    <x:tableColumn id="11" name="Cooling"/>
    <x:tableColumn id="12" name="Speed"/>
    <x:tableColumn id="13" name="Volumetric limit"/>
    <x:tableColumn id="14" name="Drying"/>
    <x:tableColumn id="15" name="Storage humidity"/>
    <x:tableColumn id="16" name="Nozzle material"/>
    <x:tableColumn id="17" name="Nozzle diameter"/>
    <x:tableColumn id="18" name="Abrasion / clogging"/>
    <x:tableColumn id="19" name="H2C left"/>
    <x:tableColumn id="20" name="H2C right"/>
    <x:tableColumn id="21" name="AMS 2 Pro"/>
    <x:tableColumn id="22" name="AMS HT"/>
    <x:tableColumn id="23" name="AMS published"/>
    <x:tableColumn id="24" name="Temperature-group conflict"/>
    <x:tableColumn id="25" name="Support pairing"/>
    <x:tableColumn id="26" name="Difficulty"/>
    <x:tableColumn id="27" name="Warping / shrinkage"/>
    <x:tableColumn id="28" name="Stringing"/>
    <x:tableColumn id="29" name="Bridging"/>
    <x:tableColumn id="30" name="Overhang"/>
    <x:tableColumn id="31" name="Detail / tolerance"/>
    <x:tableColumn id="32" name="Surface finish"/>
    <x:tableColumn id="33" name="Layer adhesion"/>
    <x:tableColumn id="34" name="Odour / emissions"/>
    <x:tableColumn id="35" name="Failure modes"/>
    <x:tableColumn id="36" name="SourceID"/>
    <x:tableColumn id="37" name="H2C SourceID"/>
    <x:tableColumn id="38" name="Locator"/>
  </x:tableColumns>
</x:table>
</file>

<file path=xl/tables/table4.xml><?xml version="1.0" encoding="utf-8"?>
<x:table xmlns:x="http://schemas.openxmlformats.org/spreadsheetml/2006/main" id="7" name="PropertiesTable" displayName="PropertiesTable" ref="A3:AG1969" headerRowCount="1" totalsRowCount="0" totalsRowShown="0">
  <x:autoFilter ref="A3:AG1969"/>
  <x:tableColumns count="33">
    <x:tableColumn id="1" name="MeasurementID"/>
    <x:tableColumn id="2" name="MaterialID"/>
    <x:tableColumn id="3" name="GradeID"/>
    <x:tableColumn id="4" name="Property"/>
    <x:tableColumn id="5" name="Raw value"/>
    <x:tableColumn id="6" name="Raw unit"/>
    <x:tableColumn id="7" name="Raw numeric"/>
    <x:tableColumn id="8" name="Raw uncertainty ±"/>
    <x:tableColumn id="9" name="Raw upper bound"/>
    <x:tableColumn id="10" name="Operator"/>
    <x:tableColumn id="11" name="Conversion factor"/>
    <x:tableColumn id="12" name="Normalized value"/>
    <x:tableColumn id="13" name="Normalized uncertainty ±"/>
    <x:tableColumn id="14" name="Normalized upper bound"/>
    <x:tableColumn id="15" name="Normalized unit"/>
    <x:tableColumn id="16" name="Data status"/>
    <x:tableColumn id="17" name="Specimen type"/>
    <x:tableColumn id="18" name="Direction"/>
    <x:tableColumn id="19" name="Moisture condition"/>
    <x:tableColumn id="20" name="Post-processing"/>
    <x:tableColumn id="21" name="Test temperature"/>
    <x:tableColumn id="22" name="Standard / load"/>
    <x:tableColumn id="23" name="Notch"/>
    <x:tableColumn id="24" name="Specimen / print parameters"/>
    <x:tableColumn id="25" name="SourceID"/>
    <x:tableColumn id="26" name="Locator"/>
    <x:tableColumn id="27" name="Notes"/>
    <x:tableColumn id="28" name="Stress max MPa"/>
    <x:tableColumn id="29" name="Stress min MPa"/>
    <x:tableColumn id="30" name="Stress amplitude MPa"/>
    <x:tableColumn id="31" name="Frequency Hz"/>
    <x:tableColumn id="32" name="Load ratio R"/>
    <x:tableColumn id="33" name="Run-out"/>
  </x:tableColumns>
</x:table>
</file>

<file path=xl/tables/table5.xml><?xml version="1.0" encoding="utf-8"?>
<x:table xmlns:x="http://schemas.openxmlformats.org/spreadsheetml/2006/main" id="9" name="UsedurabilityTable" displayName="UsedurabilityTable" ref="A3:L481" headerRowCount="1" totalsRowCount="0" totalsRowShown="0">
  <x:autoFilter ref="A3:L481"/>
  <x:tableColumns count="12">
    <x:tableColumn id="1" name="EvidenceID"/>
    <x:tableColumn id="2" name="MaterialID"/>
    <x:tableColumn id="3" name="GradeID"/>
    <x:tableColumn id="4" name="Domain"/>
    <x:tableColumn id="5" name="Topic"/>
    <x:tableColumn id="6" name="Finding"/>
    <x:tableColumn id="7" name="Exposure / conditions"/>
    <x:tableColumn id="8" name="Rating 1–5"/>
    <x:tableColumn id="9" name="RubricID"/>
    <x:tableColumn id="10" name="Evidence type"/>
    <x:tableColumn id="11" name="SourceID"/>
    <x:tableColumn id="12" name="Locator"/>
  </x:tableColumns>
</x:table>
</file>

<file path=xl/tables/table6.xml><?xml version="1.0" encoding="utf-8"?>
<x:table xmlns:x="http://schemas.openxmlformats.org/spreadsheetml/2006/main" id="5" name="PricesCATable" displayName="PricesCATable" ref="A3:V107" headerRowCount="1" totalsRowCount="0" totalsRowShown="0">
  <x:autoFilter ref="A3:V107"/>
  <x:tableColumns count="22">
    <x:tableColumn id="1" name="PriceID"/>
    <x:tableColumn id="2" name="MaterialID"/>
    <x:tableColumn id="3" name="GradeID"/>
    <x:tableColumn id="4" name="Retailer"/>
    <x:tableColumn id="5" name="Variant / SKU"/>
    <x:tableColumn id="6" name="Packaging"/>
    <x:tableColumn id="7" name="Net mass kg"/>
    <x:tableColumn id="8" name="List price CAD"/>
    <x:tableColumn id="9" name="Sale price CAD"/>
    <x:tableColumn id="10" name="Regular CAD/kg"/>
    <x:tableColumn id="11" name="Stock"/>
    <x:tableColumn id="12" name="Eligible for median"/>
    <x:tableColumn id="13" name="Headline sample"/>
    <x:tableColumn id="14" name="Displayed price CAD"/>
    <x:tableColumn id="15" name="Currency"/>
    <x:tableColumn id="16" name="Market"/>
    <x:tableColumn id="17" name="Tax / shipping"/>
    <x:tableColumn id="18" name="Regular price basis"/>
    <x:tableColumn id="19" name="URL"/>
    <x:tableColumn id="20" name="SourceID"/>
    <x:tableColumn id="21" name="Access date"/>
    <x:tableColumn id="22" name="Notes"/>
  </x:tableColumns>
</x:table>
</file>

<file path=xl/tables/table7.xml><?xml version="1.0" encoding="utf-8"?>
<x:table xmlns:x="http://schemas.openxmlformats.org/spreadsheetml/2006/main" id="8" name="SourcesTable" displayName="SourcesTable" ref="A3:L238" headerRowCount="1" totalsRowCount="0" totalsRowShown="0">
  <x:autoFilter ref="A3:L238"/>
  <x:tableColumns count="12">
    <x:tableColumn id="1" name="SourceID"/>
    <x:tableColumn id="2" name="Publisher"/>
    <x:tableColumn id="3" name="Title"/>
    <x:tableColumn id="4" name="Revision"/>
    <x:tableColumn id="5" name="Publication date"/>
    <x:tableColumn id="6" name="Access date"/>
    <x:tableColumn id="7" name="Source class"/>
    <x:tableColumn id="8" name="URL"/>
    <x:tableColumn id="9" name="Locator"/>
    <x:tableColumn id="10" name="Applicable grades"/>
    <x:tableColumn id="11" name="Access status"/>
    <x:tableColumn id="12" name="SHA256"/>
  </x:tableColumns>
</x:table>
</file>

<file path=xl/tables/table8.xml><?xml version="1.0" encoding="utf-8"?>
<x:table xmlns:x="http://schemas.openxmlformats.org/spreadsheetml/2006/main" id="1" name="CoverageTable" displayName="CoverageTable" ref="A3:E1149" headerRowCount="1" totalsRowCount="0" totalsRowShown="0">
  <x:autoFilter ref="A3:E1149"/>
  <x:tableColumns count="5">
    <x:tableColumn id="1" name="CoverageID"/>
    <x:tableColumn id="2" name="MaterialID"/>
    <x:tableColumn id="3" name="Domain"/>
    <x:tableColumn id="4" name="Status"/>
    <x:tableColumn id="5" name="Finding"/>
  </x:tableColumns>
</x:table>
</file>

<file path=xl/tables/table9.xml><?xml version="1.0" encoding="utf-8"?>
<x:table xmlns:x="http://schemas.openxmlformats.org/spreadsheetml/2006/main" id="4" name="MethodTable" displayName="MethodTable" ref="A3:C47" headerRowCount="1" totalsRowCount="0" totalsRowShown="0">
  <x:autoFilter ref="A3:C47"/>
  <x:tableColumns count="3">
    <x:tableColumn id="1" name="Section"/>
    <x:tableColumn id="2" name="Topic"/>
    <x:tableColumn id="3" name="Definition / rule"/>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a7b2f643c04090" /></Relationships>
</file>

<file path=xl/worksheets/_rels/sheet2.xml.rels>&#65279;<?xml version="1.0" encoding="utf-8"?><Relationships xmlns="http://schemas.openxmlformats.org/package/2006/relationships"><Relationship Type="http://schemas.openxmlformats.org/officeDocument/2006/relationships/table" Target="/xl/tables/table2.xml" Id="Rfade10559aa24371" /></Relationships>
</file>

<file path=xl/worksheets/_rels/sheet3.xml.rels>&#65279;<?xml version="1.0" encoding="utf-8"?><Relationships xmlns="http://schemas.openxmlformats.org/package/2006/relationships"><Relationship Type="http://schemas.openxmlformats.org/officeDocument/2006/relationships/table" Target="/xl/tables/table3.xml" Id="Ra457b78637584eab" /></Relationships>
</file>

<file path=xl/worksheets/_rels/sheet4.xml.rels>&#65279;<?xml version="1.0" encoding="utf-8"?><Relationships xmlns="http://schemas.openxmlformats.org/package/2006/relationships"><Relationship Type="http://schemas.openxmlformats.org/officeDocument/2006/relationships/table" Target="/xl/tables/table4.xml" Id="R7c4f9f1c46254aea" /></Relationships>
</file>

<file path=xl/worksheets/_rels/sheet5.xml.rels>&#65279;<?xml version="1.0" encoding="utf-8"?><Relationships xmlns="http://schemas.openxmlformats.org/package/2006/relationships"><Relationship Type="http://schemas.openxmlformats.org/officeDocument/2006/relationships/table" Target="/xl/tables/table5.xml" Id="Rfd4eb8355ea641b1" /></Relationships>
</file>

<file path=xl/worksheets/_rels/sheet6.xml.rels>&#65279;<?xml version="1.0" encoding="utf-8"?><Relationships xmlns="http://schemas.openxmlformats.org/package/2006/relationships"><Relationship Type="http://schemas.openxmlformats.org/officeDocument/2006/relationships/table" Target="/xl/tables/table6.xml" Id="R1dc2446173a64754" /></Relationships>
</file>

<file path=xl/worksheets/_rels/sheet7.xml.rels>&#65279;<?xml version="1.0" encoding="utf-8"?><Relationships xmlns="http://schemas.openxmlformats.org/package/2006/relationships"><Relationship Type="http://schemas.openxmlformats.org/officeDocument/2006/relationships/table" Target="/xl/tables/table7.xml" Id="R870e864b6e98426a" /></Relationships>
</file>

<file path=xl/worksheets/_rels/sheet8.xml.rels>&#65279;<?xml version="1.0" encoding="utf-8"?><Relationships xmlns="http://schemas.openxmlformats.org/package/2006/relationships"><Relationship Type="http://schemas.openxmlformats.org/officeDocument/2006/relationships/table" Target="/xl/tables/table8.xml" Id="R5ce234de3b4544e3" /></Relationships>
</file>

<file path=xl/worksheets/_rels/sheet9.xml.rels>&#65279;<?xml version="1.0" encoding="utf-8"?><Relationships xmlns="http://schemas.openxmlformats.org/package/2006/relationships"><Relationship Type="http://schemas.openxmlformats.org/officeDocument/2006/relationships/table" Target="/xl/tables/table9.xml" Id="R27a77386b7f1416f" /></Relationships>
</file>

<file path=xl/worksheets/sheet1.xml><?xml version="1.0" encoding="utf-8"?>
<x:worksheet xmlns:x="http://schemas.openxmlformats.org/spreadsheetml/2006/main">
  <x:sheetPr>
    <x:tabColor rgb="FF2C4259"/>
  </x:sheetPr>
  <x:sheetViews>
    <x:sheetView showGridLines="0" workbookViewId="0">
      <x:pane xSplit="2" ySplit="6" topLeftCell="C7" activePane="bottomRight" state="frozen"/>
    </x:sheetView>
  </x:sheetViews>
  <x:sheetFormatPr defaultColWidth="8.6796875" defaultRowHeight="15"/>
  <x:cols>
    <x:col min="1" max="1" width="14" style="1" hidden="0" customWidth="1"/>
    <x:col min="2" max="5" width="26" style="1" hidden="0" customWidth="1"/>
    <x:col min="6" max="9" width="48" style="1" hidden="0" customWidth="1"/>
    <x:col min="10" max="13" width="26" style="1" hidden="0" customWidth="1"/>
    <x:col min="14" max="15" width="48" style="1" hidden="0" customWidth="1"/>
    <x:col min="16" max="16" width="26" style="1" hidden="0" customWidth="1"/>
    <x:col min="17" max="17" width="48" style="1" hidden="0" customWidth="1"/>
    <x:col min="18" max="18" width="26" style="1" hidden="0" customWidth="1"/>
    <x:col min="19" max="22" width="48" style="1" hidden="0" customWidth="1"/>
    <x:col min="23" max="31" width="26" style="1" hidden="0" customWidth="1"/>
    <x:col min="32" max="33" width="48" style="1" hidden="0" customWidth="1"/>
    <x:col min="34" max="34" width="26" style="1" hidden="0" customWidth="1"/>
    <x:col min="35" max="35" width="48" style="1" hidden="0" customWidth="1"/>
    <x:col min="36" max="36" width="26" style="1" hidden="0" customWidth="1"/>
    <x:col min="37" max="39" width="48" style="1" hidden="0" customWidth="1"/>
    <x:col min="40" max="40" width="26" style="1" hidden="0" customWidth="1"/>
    <x:col min="41" max="41" width="48" style="1" hidden="0" customWidth="1"/>
    <x:col min="42" max="43" width="26" style="1" hidden="0" customWidth="1"/>
  </x:cols>
  <x:sheetData>
    <x:row r="1" ht="15" hidden="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row>
    <x:row r="2" ht="24" hidden="0" customHeight="1">
      <x:c r="A2" s="3" t="s">
        <x:v>0</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row>
    <x:row r="3" ht="24" hidden="0" customHeight="1">
      <x:c r="A3" s="2" t="str">
        <x:v>2026-09-13 snapshot. 96 relevant entries + six excluded. Manufacturer evidence audit refreshed; single-grade headlines; compare test conditions.</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row>
    <x:row r="4" ht="15" hidden="0" customHeight="1">
      <x:c r="A4" s="2" t="s">
        <x:v>1</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row>
    <x:row r="5" ht="15" hidden="0"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row>
    <x:row r="6" ht="43.5" hidden="0" customHeight="1">
      <x:c r="A6" s="4" t="s">
        <x:v>2</x:v>
      </x:c>
      <x:c r="B6" s="4" t="s">
        <x:v>3</x:v>
      </x:c>
      <x:c r="C6" s="4" t="s">
        <x:v>4</x:v>
      </x:c>
      <x:c r="D6" s="4" t="s">
        <x:v>5</x:v>
      </x:c>
      <x:c r="E6" s="4" t="s">
        <x:v>6</x:v>
      </x:c>
      <x:c r="F6" s="4" t="s">
        <x:v>7</x:v>
      </x:c>
      <x:c r="G6" s="4" t="s">
        <x:v>8</x:v>
      </x:c>
      <x:c r="H6" s="4" t="s">
        <x:v>9</x:v>
      </x:c>
      <x:c r="I6" s="4" t="s">
        <x:v>10</x:v>
      </x:c>
      <x:c r="J6" s="5" t="s">
        <x:v>11</x:v>
      </x:c>
      <x:c r="K6" s="5" t="s">
        <x:v>12</x:v>
      </x:c>
      <x:c r="L6" s="5" t="s">
        <x:v>13</x:v>
      </x:c>
      <x:c r="M6" s="5" t="s">
        <x:v>14</x:v>
      </x:c>
      <x:c r="N6" s="4" t="s">
        <x:v>15</x:v>
      </x:c>
      <x:c r="O6" s="4" t="s">
        <x:v>16</x:v>
      </x:c>
      <x:c r="P6" s="5" t="s">
        <x:v>17</x:v>
      </x:c>
      <x:c r="Q6" s="4" t="s">
        <x:v>18</x:v>
      </x:c>
      <x:c r="R6" s="6" t="s">
        <x:v>19</x:v>
      </x:c>
      <x:c r="S6" s="4" t="s">
        <x:v>20</x:v>
      </x:c>
      <x:c r="T6" s="4" t="s">
        <x:v>21</x:v>
      </x:c>
      <x:c r="U6" s="4" t="s">
        <x:v>22</x:v>
      </x:c>
      <x:c r="V6" s="4" t="s">
        <x:v>23</x:v>
      </x:c>
      <x:c r="W6" s="4" t="s">
        <x:v>24</x:v>
      </x:c>
      <x:c r="X6" s="4" t="s">
        <x:v>25</x:v>
      </x:c>
      <x:c r="Y6" s="4" t="s">
        <x:v>26</x:v>
      </x:c>
      <x:c r="Z6" s="4" t="s">
        <x:v>27</x:v>
      </x:c>
      <x:c r="AA6" s="4" t="s">
        <x:v>28</x:v>
      </x:c>
      <x:c r="AB6" s="4" t="s">
        <x:v>29</x:v>
      </x:c>
      <x:c r="AC6" s="4" t="s">
        <x:v>30</x:v>
      </x:c>
      <x:c r="AD6" s="4" t="s">
        <x:v>31</x:v>
      </x:c>
      <x:c r="AE6" s="4" t="s">
        <x:v>32</x:v>
      </x:c>
      <x:c r="AF6" s="4" t="s">
        <x:v>33</x:v>
      </x:c>
      <x:c r="AG6" s="4" t="s">
        <x:v>34</x:v>
      </x:c>
      <x:c r="AH6" s="4" t="s">
        <x:v>35</x:v>
      </x:c>
      <x:c r="AI6" s="4" t="s">
        <x:v>36</x:v>
      </x:c>
      <x:c r="AJ6" s="4" t="s">
        <x:v>37</x:v>
      </x:c>
      <x:c r="AK6" s="4" t="s">
        <x:v>38</x:v>
      </x:c>
      <x:c r="AL6" s="4" t="s">
        <x:v>39</x:v>
      </x:c>
      <x:c r="AM6" s="4" t="s">
        <x:v>40</x:v>
      </x:c>
      <x:c r="AN6" s="4" t="s">
        <x:v>41</x:v>
      </x:c>
      <x:c r="AO6" s="4" t="s">
        <x:v>42</x:v>
      </x:c>
      <x:c r="AP6" s="5" t="s">
        <x:v>43</x:v>
      </x:c>
      <x:c r="AQ6" s="4" t="s">
        <x:v>44</x:v>
      </x:c>
    </x:row>
    <x:row r="7" ht="51.75" hidden="0" customHeight="1">
      <x:c r="A7" s="7" t="s">
        <x:v>45</x:v>
      </x:c>
      <x:c r="B7" s="7" t="s">
        <x:v>46</x:v>
      </x:c>
      <x:c r="C7" s="7" t="s">
        <x:v>46</x:v>
      </x:c>
      <x:c r="D7" s="7" t="s">
        <x:v>47</x:v>
      </x:c>
      <x:c r="E7" s="7" t="s">
        <x:v>48</x:v>
      </x:c>
      <x:c r="F7" s="7" t="s">
        <x:v>49</x:v>
      </x:c>
      <x:c r="G7" s="7" t="s">
        <x:v>50</x:v>
      </x:c>
      <x:c r="H7" s="7" t="s">
        <x:v>51</x:v>
      </x:c>
      <x:c r="I7" s="7" t="s">
        <x:v>52</x:v>
      </x:c>
      <x:c r="J7" s="8" t="n">
        <x:f aca="0">INDEX(Properties!$L$4:$L$1809,MATCH("V000001",Properties!$A$4:$A$1809,0))</x:f>
        <x:v>1240</x:v>
      </x:c>
      <x:c r="K7" s="8" t="n">
        <x:f aca="0">INDEX(Properties!$L$4:$L$1809,MATCH("V000003",Properties!$A$4:$A$1809,0))</x:f>
        <x:v>2.865</x:v>
      </x:c>
      <x:c r="L7" s="8" t="s">
        <x:v>53</x:v>
      </x:c>
      <x:c r="M7" s="8" t="n">
        <x:f aca="0">INDEX(Properties!$L$4:$L$1809,MATCH("V000004",Properties!$A$4:$A$1809,0))</x:f>
        <x:v>8</x:v>
      </x:c>
      <x:c r="N7" s="7" t="s">
        <x:v>54</x:v>
      </x:c>
      <x:c r="O7" s="7" t="s">
        <x:v>55</x:v>
      </x:c>
      <x:c r="P7" s="8" t="n">
        <x:f aca="0">INDEX(Properties!$L$4:$L$1809,MATCH("V000008",Properties!$A$4:$A$1809,0))</x:f>
        <x:v>80</x:v>
      </x:c>
      <x:c r="Q7" s="7" t="s">
        <x:v>56</x:v>
      </x:c>
      <x:c r="R7" s="9" t="s">
        <x:v>57</x:v>
      </x:c>
      <x:c r="S7" s="7" t="s">
        <x:v>58</x:v>
      </x:c>
      <x:c r="T7" s="7" t="s">
        <x:v>59</x:v>
      </x:c>
      <x:c r="U7" s="7" t="s">
        <x:v>60</x:v>
      </x:c>
      <x:c r="V7" s="7" t="s">
        <x:v>61</x:v>
      </x:c>
      <x:c r="W7" s="7" t="s">
        <x:v>62</x:v>
      </x:c>
      <x:c r="X7" s="7" t="s">
        <x:v>46</x:v>
      </x:c>
      <x:c r="Y7" s="7" t="s">
        <x:v>63</x:v>
      </x:c>
      <x:c r="Z7" s="7" t="s">
        <x:v>46</x:v>
      </x:c>
      <x:c r="AA7" s="7" t="s">
        <x:v>46</x:v>
      </x:c>
      <x:c r="AB7" s="7" t="s">
        <x:v>46</x:v>
      </x:c>
      <x:c r="AC7" s="7" t="s">
        <x:v>64</x:v>
      </x:c>
      <x:c r="AD7" s="7" t="s">
        <x:v>65</x:v>
      </x:c>
      <x:c r="AE7" s="7" t="s">
        <x:v>66</x:v>
      </x:c>
      <x:c r="AF7" s="7" t="s">
        <x:v>67</x:v>
      </x:c>
      <x:c r="AG7" s="7" t="s">
        <x:v>58</x:v>
      </x:c>
      <x:c r="AH7" s="7" t="s">
        <x:v>68</x:v>
      </x:c>
      <x:c r="AI7" s="7" t="s">
        <x:v>69</x:v>
      </x:c>
      <x:c r="AJ7" s="7" t="s">
        <x:v>53</x:v>
      </x:c>
      <x:c r="AK7" s="7" t="s">
        <x:v>70</x:v>
      </x:c>
      <x:c r="AL7" s="7" t="s">
        <x:v>71</x:v>
      </x:c>
      <x:c r="AM7" s="7" t="s">
        <x:v>72</x:v>
      </x:c>
      <x:c r="AN7" s="7" t="s">
        <x:v>73</x:v>
      </x:c>
      <x:c r="AO7" s="7" t="s">
        <x:v>74</x:v>
      </x:c>
      <x:c r="AP7" s="8" t="n">
        <x:v>1</x:v>
      </x:c>
      <x:c r="AQ7" s="7" t="s">
        <x:v>75</x:v>
      </x:c>
    </x:row>
    <x:row r="8" ht="51.75" hidden="0" customHeight="1">
      <x:c r="A8" s="7" t="s">
        <x:v>76</x:v>
      </x:c>
      <x:c r="B8" s="7" t="s">
        <x:v>77</x:v>
      </x:c>
      <x:c r="C8" s="7" t="s">
        <x:v>46</x:v>
      </x:c>
      <x:c r="D8" s="7" t="s">
        <x:v>78</x:v>
      </x:c>
      <x:c r="E8" s="7" t="s">
        <x:v>79</x:v>
      </x:c>
      <x:c r="F8" s="7" t="s">
        <x:v>80</x:v>
      </x:c>
      <x:c r="G8" s="7" t="s">
        <x:v>81</x:v>
      </x:c>
      <x:c r="H8" s="7" t="str">
        <x:v>25 - 45 °C</x:v>
      </x:c>
      <x:c r="I8" s="7" t="s">
        <x:v>82</x:v>
      </x:c>
      <x:c r="J8" s="8" t="n">
        <x:f aca="0">INDEX(Properties!$L$4:$L$1809,MATCH("V000042",Properties!$A$4:$A$1809,0))</x:f>
        <x:v>1240</x:v>
      </x:c>
      <x:c r="K8" s="8" t="n">
        <x:f aca="0">INDEX(Properties!$L$4:$L$1809,MATCH("V000050",Properties!$A$4:$A$1809,0))</x:f>
        <x:v>2.58</x:v>
      </x:c>
      <x:c r="L8" s="8" t="n">
        <x:f aca="0">INDEX(Properties!$L$4:$L$1809,MATCH("V000052",Properties!$A$4:$A$1809,0))</x:f>
        <x:v>35</x:v>
      </x:c>
      <x:c r="M8" s="8" t="n">
        <x:f aca="0">INDEX(Properties!$L$4:$L$1809,MATCH("V000054",Properties!$A$4:$A$1809,0))</x:f>
        <x:v>12.2</x:v>
      </x:c>
      <x:c r="N8" s="7" t="s">
        <x:v>83</x:v>
      </x:c>
      <x:c r="O8" s="7" t="s">
        <x:v>84</x:v>
      </x:c>
      <x:c r="P8" s="8" t="n">
        <x:f aca="0">INDEX(Properties!$L$4:$L$1809,MATCH("V000048",Properties!$A$4:$A$1809,0))</x:f>
        <x:v>57</x:v>
      </x:c>
      <x:c r="Q8" s="7" t="s">
        <x:v>85</x:v>
      </x:c>
      <x:c r="R8" s="9" t="n">
        <x:f aca="0">MEDIAN(INDEX('Prices CA'!$J$4:$J$107,MATCH("CA0001",'Prices CA'!$A$4:$A$107,0)),INDEX('Prices CA'!$J$4:$J$107,MATCH("CA0077",'Prices CA'!$A$4:$A$107,0)))</x:f>
        <x:v>27.99</x:v>
      </x:c>
      <x:c r="S8" s="7" t="s">
        <x:v>86</x:v>
      </x:c>
      <x:c r="T8" s="7" t="s">
        <x:v>87</x:v>
      </x:c>
      <x:c r="U8" s="7" t="s">
        <x:v>88</x:v>
      </x:c>
      <x:c r="V8" s="7" t="s">
        <x:v>61</x:v>
      </x:c>
      <x:c r="W8" s="7" t="s">
        <x:v>89</x:v>
      </x:c>
      <x:c r="X8" s="7" t="s">
        <x:v>46</x:v>
      </x:c>
      <x:c r="Y8" s="7" t="s">
        <x:v>63</x:v>
      </x:c>
      <x:c r="Z8" s="7" t="s">
        <x:v>77</x:v>
      </x:c>
      <x:c r="AA8" s="7" t="s">
        <x:v>77</x:v>
      </x:c>
      <x:c r="AB8" s="7" t="s">
        <x:v>46</x:v>
      </x:c>
      <x:c r="AC8" s="7" t="s">
        <x:v>90</x:v>
      </x:c>
      <x:c r="AD8" s="7" t="s">
        <x:v>65</x:v>
      </x:c>
      <x:c r="AE8" s="7" t="s">
        <x:v>66</x:v>
      </x:c>
      <x:c r="AF8" s="7" t="s">
        <x:v>67</x:v>
      </x:c>
      <x:c r="AG8" s="7" t="s">
        <x:v>58</x:v>
      </x:c>
      <x:c r="AH8" s="7" t="s">
        <x:v>79</x:v>
      </x:c>
      <x:c r="AI8" s="7" t="s">
        <x:v>69</x:v>
      </x:c>
      <x:c r="AJ8" s="7" t="s">
        <x:v>91</x:v>
      </x:c>
      <x:c r="AK8" s="7" t="s">
        <x:v>92</x:v>
      </x:c>
      <x:c r="AL8" s="7" t="str">
        <x:v>Q00007; Q00008; Q00009; Q00010; Q00011</x:v>
      </x:c>
      <x:c r="AM8" s="7" t="s">
        <x:v>72</x:v>
      </x:c>
      <x:c r="AN8" s="7" t="s">
        <x:v>73</x:v>
      </x:c>
      <x:c r="AO8" s="7" t="s">
        <x:v>74</x:v>
      </x:c>
      <x:c r="AP8" s="8" t="s">
        <x:v>53</x:v>
      </x:c>
      <x:c r="AQ8" s="7" t="s">
        <x:v>75</x:v>
      </x:c>
    </x:row>
    <x:row r="9" ht="51.75" hidden="0" customHeight="1">
      <x:c r="A9" s="7" t="s">
        <x:v>94</x:v>
      </x:c>
      <x:c r="B9" s="7" t="s">
        <x:v>95</x:v>
      </x:c>
      <x:c r="C9" s="7" t="s">
        <x:v>46</x:v>
      </x:c>
      <x:c r="D9" s="7" t="s">
        <x:v>78</x:v>
      </x:c>
      <x:c r="E9" s="7" t="s">
        <x:v>96</x:v>
      </x:c>
      <x:c r="F9" s="7" t="s">
        <x:v>80</x:v>
      </x:c>
      <x:c r="G9" s="7" t="s">
        <x:v>81</x:v>
      </x:c>
      <x:c r="H9" s="7" t="str">
        <x:v>25 - 45 °C</x:v>
      </x:c>
      <x:c r="I9" s="7" t="s">
        <x:v>97</x:v>
      </x:c>
      <x:c r="J9" s="8" t="n">
        <x:f aca="0">INDEX(Properties!$L$4:$L$1809,MATCH("V000063",Properties!$A$4:$A$1809,0))</x:f>
        <x:v>1310</x:v>
      </x:c>
      <x:c r="K9" s="8" t="n">
        <x:f aca="0">INDEX(Properties!$L$4:$L$1809,MATCH("V000071",Properties!$A$4:$A$1809,0))</x:f>
        <x:v>1.96</x:v>
      </x:c>
      <x:c r="L9" s="8" t="n">
        <x:f aca="0">INDEX(Properties!$L$4:$L$1809,MATCH("V000073",Properties!$A$4:$A$1809,0))</x:f>
        <x:v>30</x:v>
      </x:c>
      <x:c r="M9" s="8" t="n">
        <x:f aca="0">INDEX(Properties!$L$4:$L$1809,MATCH("V000075",Properties!$A$4:$A$1809,0))</x:f>
        <x:v>14.8</x:v>
      </x:c>
      <x:c r="N9" s="7" t="s">
        <x:v>98</x:v>
      </x:c>
      <x:c r="O9" s="7" t="s">
        <x:v>84</x:v>
      </x:c>
      <x:c r="P9" s="8" t="n">
        <x:f aca="0">INDEX(Properties!$L$4:$L$1809,MATCH("V000069",Properties!$A$4:$A$1809,0))</x:f>
        <x:v>58</x:v>
      </x:c>
      <x:c r="Q9" s="7" t="s">
        <x:v>99</x:v>
      </x:c>
      <x:c r="R9" s="9" t="n">
        <x:f aca="0">MEDIAN(INDEX('Prices CA'!$J$4:$J$107,MATCH("CA0003",'Prices CA'!$A$4:$A$107,0)),INDEX('Prices CA'!$J$4:$J$107,MATCH("CA0079",'Prices CA'!$A$4:$A$107,0)))</x:f>
        <x:v>27.99</x:v>
      </x:c>
      <x:c r="S9" s="7" t="s">
        <x:v>100</x:v>
      </x:c>
      <x:c r="T9" s="7" t="s">
        <x:v>87</x:v>
      </x:c>
      <x:c r="U9" s="7" t="s">
        <x:v>88</x:v>
      </x:c>
      <x:c r="V9" s="7" t="s">
        <x:v>61</x:v>
      </x:c>
      <x:c r="W9" s="7" t="s">
        <x:v>101</x:v>
      </x:c>
      <x:c r="X9" s="7" t="s">
        <x:v>46</x:v>
      </x:c>
      <x:c r="Y9" s="7" t="s">
        <x:v>63</x:v>
      </x:c>
      <x:c r="Z9" s="7" t="s">
        <x:v>95</x:v>
      </x:c>
      <x:c r="AA9" s="7" t="s">
        <x:v>95</x:v>
      </x:c>
      <x:c r="AB9" s="7" t="s">
        <x:v>46</x:v>
      </x:c>
      <x:c r="AC9" s="7" t="s">
        <x:v>90</x:v>
      </x:c>
      <x:c r="AD9" s="7" t="s">
        <x:v>65</x:v>
      </x:c>
      <x:c r="AE9" s="7" t="s">
        <x:v>66</x:v>
      </x:c>
      <x:c r="AF9" s="7" t="s">
        <x:v>67</x:v>
      </x:c>
      <x:c r="AG9" s="7" t="s">
        <x:v>58</x:v>
      </x:c>
      <x:c r="AH9" s="7" t="s">
        <x:v>96</x:v>
      </x:c>
      <x:c r="AI9" s="7" t="s">
        <x:v>69</x:v>
      </x:c>
      <x:c r="AJ9" s="7" t="s">
        <x:v>91</x:v>
      </x:c>
      <x:c r="AK9" s="7" t="s">
        <x:v>102</x:v>
      </x:c>
      <x:c r="AL9" s="7" t="str">
        <x:v>Q00014; Q00015; Q00016; Q00017; Q00018</x:v>
      </x:c>
      <x:c r="AM9" s="7" t="s">
        <x:v>72</x:v>
      </x:c>
      <x:c r="AN9" s="7" t="s">
        <x:v>73</x:v>
      </x:c>
      <x:c r="AO9" s="7" t="s">
        <x:v>74</x:v>
      </x:c>
      <x:c r="AP9" s="8" t="s">
        <x:v>53</x:v>
      </x:c>
      <x:c r="AQ9" s="7" t="s">
        <x:v>75</x:v>
      </x:c>
    </x:row>
    <x:row r="10" ht="51.75" hidden="0" customHeight="1">
      <x:c r="A10" s="7" t="s">
        <x:v>104</x:v>
      </x:c>
      <x:c r="B10" s="7" t="s">
        <x:v>105</x:v>
      </x:c>
      <x:c r="C10" s="7" t="s">
        <x:v>46</x:v>
      </x:c>
      <x:c r="D10" s="7" t="s">
        <x:v>106</x:v>
      </x:c>
      <x:c r="E10" s="7" t="str">
        <x:v>G004-01</x:v>
      </x:c>
      <x:c r="F10" s="7" t="str">
        <x:v>190-230 °C</x:v>
      </x:c>
      <x:c r="G10" s="7" t="str">
        <x:v>45-60 °C</x:v>
      </x:c>
      <x:c r="H10" s="7" t="str">
        <x:v>Not required (no enclosure needed)</x:v>
      </x:c>
      <x:c r="I10" s="7" t="str">
        <x:v>P0161</x:v>
      </x:c>
      <x:c r="J10" s="8" t="n">
        <x:v>1230</x:v>
      </x:c>
      <x:c r="K10" s="8" t="s">
        <x:v>53</x:v>
      </x:c>
      <x:c r="L10" s="8" t="n">
        <x:v>53.05</x:v>
      </x:c>
      <x:c r="M10" s="8" t="n">
        <x:v>3.89</x:v>
      </x:c>
      <x:c r="N10" s="7" t="str">
        <x:v>V001900; V001903; V001905</x:v>
      </x:c>
      <x:c r="O10" s="7" t="str">
        <x:v>Manufacturer product page; XY direction stated; specimen preparation and test standards not published</x:v>
      </x:c>
      <x:c r="P10" s="8" t="n">
        <x:v>53</x:v>
      </x:c>
      <x:c r="Q10" s="7" t="str">
        <x:v>V001902</x:v>
      </x:c>
      <x:c r="R10" s="9" t="s">
        <x:v>57</x:v>
      </x:c>
      <x:c r="S10" s="7" t="s">
        <x:v>58</x:v>
      </x:c>
      <x:c r="T10" s="7" t="s">
        <x:v>59</x:v>
      </x:c>
      <x:c r="U10" s="7" t="s">
        <x:v>88</x:v>
      </x:c>
      <x:c r="V10" s="7" t="s">
        <x:v>107</x:v>
      </x:c>
      <x:c r="W10" s="7" t="s">
        <x:v>108</x:v>
      </x:c>
      <x:c r="X10" s="7" t="s">
        <x:v>46</x:v>
      </x:c>
      <x:c r="Y10" s="7" t="s">
        <x:v>63</x:v>
      </x:c>
      <x:c r="Z10" s="7" t="s">
        <x:v>105</x:v>
      </x:c>
      <x:c r="AA10" s="7" t="s">
        <x:v>105</x:v>
      </x:c>
      <x:c r="AB10" s="7" t="s">
        <x:v>46</x:v>
      </x:c>
      <x:c r="AC10" s="7" t="s">
        <x:v>90</x:v>
      </x:c>
      <x:c r="AD10" s="7" t="s">
        <x:v>65</x:v>
      </x:c>
      <x:c r="AE10" s="7" t="s">
        <x:v>66</x:v>
      </x:c>
      <x:c r="AF10" s="7" t="s">
        <x:v>67</x:v>
      </x:c>
      <x:c r="AG10" s="7" t="str">
        <x:v>eSUN PLA-Lite recorded 2026-09-13 as a technical grade sample for this generic entry. The earlier PLA Pure lead remains rejected; no Bambu product is implied.</x:v>
      </x:c>
      <x:c r="AH10" s="7" t="str">
        <x:v>G004-01</x:v>
      </x:c>
      <x:c r="AI10" s="7" t="str">
        <x:v>Single-grade observations; not a polymer-family range</x:v>
      </x:c>
      <x:c r="AJ10" s="7" t="s">
        <x:v>53</x:v>
      </x:c>
      <x:c r="AK10" s="7" t="s">
        <x:v>110</x:v>
      </x:c>
      <x:c r="AL10" s="7" t="str">
        <x:v>Not published</x:v>
      </x:c>
      <x:c r="AM10" s="7" t="s">
        <x:v>72</x:v>
      </x:c>
      <x:c r="AN10" s="7" t="s">
        <x:v>73</x:v>
      </x:c>
      <x:c r="AO10" s="7" t="s">
        <x:v>74</x:v>
      </x:c>
      <x:c r="AP10" s="8" t="s">
        <x:v>53</x:v>
      </x:c>
      <x:c r="AQ10" s="7" t="s">
        <x:v>75</x:v>
      </x:c>
    </x:row>
    <x:row r="11" ht="51.75" hidden="0" customHeight="1">
      <x:c r="A11" s="7" t="s">
        <x:v>111</x:v>
      </x:c>
      <x:c r="B11" s="7" t="s">
        <x:v>112</x:v>
      </x:c>
      <x:c r="C11" s="7" t="s">
        <x:v>46</x:v>
      </x:c>
      <x:c r="D11" s="7" t="s">
        <x:v>78</x:v>
      </x:c>
      <x:c r="E11" s="7" t="s">
        <x:v>113</x:v>
      </x:c>
      <x:c r="F11" s="7" t="s">
        <x:v>80</x:v>
      </x:c>
      <x:c r="G11" s="7" t="s">
        <x:v>81</x:v>
      </x:c>
      <x:c r="H11" s="7" t="s">
        <x:v>114</x:v>
      </x:c>
      <x:c r="I11" s="7" t="s">
        <x:v>115</x:v>
      </x:c>
      <x:c r="J11" s="8" t="n">
        <x:f aca="0">INDEX(Properties!$L$4:$L$1809,MATCH("V000083",Properties!$A$4:$A$1809,0))</x:f>
        <x:v>1240</x:v>
      </x:c>
      <x:c r="K11" s="8" t="n">
        <x:f aca="0">INDEX(Properties!$L$4:$L$1809,MATCH("V000091",Properties!$A$4:$A$1809,0))</x:f>
        <x:v>2.58</x:v>
      </x:c>
      <x:c r="L11" s="8" t="n">
        <x:f aca="0">INDEX(Properties!$L$4:$L$1809,MATCH("V000093",Properties!$A$4:$A$1809,0))</x:f>
        <x:v>36</x:v>
      </x:c>
      <x:c r="M11" s="8" t="n">
        <x:f aca="0">INDEX(Properties!$L$4:$L$1809,MATCH("V000095",Properties!$A$4:$A$1809,0))</x:f>
        <x:v>15.2</x:v>
      </x:c>
      <x:c r="N11" s="7" t="s">
        <x:v>116</x:v>
      </x:c>
      <x:c r="O11" s="7" t="s">
        <x:v>117</x:v>
      </x:c>
      <x:c r="P11" s="8" t="n">
        <x:f aca="0">INDEX(Properties!$L$4:$L$1809,MATCH("V000089",Properties!$A$4:$A$1809,0))</x:f>
        <x:v>57</x:v>
      </x:c>
      <x:c r="Q11" s="7" t="s">
        <x:v>118</x:v>
      </x:c>
      <x:c r="R11" s="9" t="s">
        <x:v>57</x:v>
      </x:c>
      <x:c r="S11" s="7" t="s">
        <x:v>58</x:v>
      </x:c>
      <x:c r="T11" s="7" t="s">
        <x:v>59</x:v>
      </x:c>
      <x:c r="U11" s="7" t="s">
        <x:v>88</x:v>
      </x:c>
      <x:c r="V11" s="7" t="s">
        <x:v>61</x:v>
      </x:c>
      <x:c r="W11" s="7" t="s">
        <x:v>119</x:v>
      </x:c>
      <x:c r="X11" s="7" t="s">
        <x:v>46</x:v>
      </x:c>
      <x:c r="Y11" s="7" t="s">
        <x:v>63</x:v>
      </x:c>
      <x:c r="Z11" s="7" t="s">
        <x:v>112</x:v>
      </x:c>
      <x:c r="AA11" s="7" t="s">
        <x:v>112</x:v>
      </x:c>
      <x:c r="AB11" s="7" t="s">
        <x:v>46</x:v>
      </x:c>
      <x:c r="AC11" s="7" t="s">
        <x:v>90</x:v>
      </x:c>
      <x:c r="AD11" s="7" t="s">
        <x:v>65</x:v>
      </x:c>
      <x:c r="AE11" s="7" t="s">
        <x:v>66</x:v>
      </x:c>
      <x:c r="AF11" s="7" t="s">
        <x:v>67</x:v>
      </x:c>
      <x:c r="AG11" s="7" t="s">
        <x:v>58</x:v>
      </x:c>
      <x:c r="AH11" s="7" t="s">
        <x:v>113</x:v>
      </x:c>
      <x:c r="AI11" s="7" t="s">
        <x:v>69</x:v>
      </x:c>
      <x:c r="AJ11" s="7" t="s">
        <x:v>91</x:v>
      </x:c>
      <x:c r="AK11" s="7" t="s">
        <x:v>120</x:v>
      </x:c>
      <x:c r="AL11" s="7" t="str">
        <x:v>Q00021; Q00022; Q00023; Q00024; Q00025</x:v>
      </x:c>
      <x:c r="AM11" s="7" t="s">
        <x:v>72</x:v>
      </x:c>
      <x:c r="AN11" s="7" t="s">
        <x:v>73</x:v>
      </x:c>
      <x:c r="AO11" s="7" t="s">
        <x:v>74</x:v>
      </x:c>
      <x:c r="AP11" s="8" t="s">
        <x:v>53</x:v>
      </x:c>
      <x:c r="AQ11" s="7" t="s">
        <x:v>75</x:v>
      </x:c>
    </x:row>
    <x:row r="12" ht="51.75" hidden="0" customHeight="1">
      <x:c r="A12" s="7" t="s">
        <x:v>122</x:v>
      </x:c>
      <x:c r="B12" s="7" t="s">
        <x:v>123</x:v>
      </x:c>
      <x:c r="C12" s="7" t="s">
        <x:v>46</x:v>
      </x:c>
      <x:c r="D12" s="7" t="s">
        <x:v>78</x:v>
      </x:c>
      <x:c r="E12" s="7" t="s">
        <x:v>124</x:v>
      </x:c>
      <x:c r="F12" s="7" t="s">
        <x:v>125</x:v>
      </x:c>
      <x:c r="G12" s="7" t="s">
        <x:v>126</x:v>
      </x:c>
      <x:c r="H12" s="7" t="s">
        <x:v>127</x:v>
      </x:c>
      <x:c r="I12" s="7" t="s">
        <x:v>128</x:v>
      </x:c>
      <x:c r="J12" s="8" t="n">
        <x:f aca="0">INDEX(Properties!$L$4:$L$1809,MATCH("V000104",Properties!$A$4:$A$1809,0))</x:f>
        <x:v>1210</x:v>
      </x:c>
      <x:c r="K12" s="8" t="n">
        <x:f aca="0">INDEX(Properties!$L$4:$L$1809,MATCH("V000111",Properties!$A$4:$A$1809,0))</x:f>
        <x:v>1.86</x:v>
      </x:c>
      <x:c r="L12" s="8" t="n">
        <x:f aca="0">INDEX(Properties!$L$4:$L$1809,MATCH("V000113",Properties!$A$4:$A$1809,0))</x:f>
        <x:v>34.9</x:v>
      </x:c>
      <x:c r="M12" s="8" t="n">
        <x:f aca="0">INDEX(Properties!$L$4:$L$1809,MATCH("V000115",Properties!$A$4:$A$1809,0))</x:f>
        <x:v>9.4</x:v>
      </x:c>
      <x:c r="N12" s="7" t="s">
        <x:v>129</x:v>
      </x:c>
      <x:c r="O12" s="7" t="s">
        <x:v>55</x:v>
      </x:c>
      <x:c r="P12" s="8" t="n">
        <x:f aca="0">INDEX(Properties!$L$4:$L$1809,MATCH("V000109",Properties!$A$4:$A$1809,0))</x:f>
        <x:v>61</x:v>
      </x:c>
      <x:c r="Q12" s="7" t="s">
        <x:v>130</x:v>
      </x:c>
      <x:c r="R12" s="9" t="n">
        <x:f aca="0">MEDIAN(INDEX('Prices CA'!$J$4:$J$107,MATCH("CA0008",'Prices CA'!$A$4:$A$107,0)))</x:f>
        <x:v>26.99</x:v>
      </x:c>
      <x:c r="S12" s="7" t="s">
        <x:v>131</x:v>
      </x:c>
      <x:c r="T12" s="7" t="s">
        <x:v>132</x:v>
      </x:c>
      <x:c r="U12" s="7" t="s">
        <x:v>88</x:v>
      </x:c>
      <x:c r="V12" s="7" t="s">
        <x:v>61</x:v>
      </x:c>
      <x:c r="W12" s="7" t="s">
        <x:v>133</x:v>
      </x:c>
      <x:c r="X12" s="7" t="s">
        <x:v>46</x:v>
      </x:c>
      <x:c r="Y12" s="7" t="s">
        <x:v>63</x:v>
      </x:c>
      <x:c r="Z12" s="7" t="s">
        <x:v>123</x:v>
      </x:c>
      <x:c r="AA12" s="7" t="s">
        <x:v>123</x:v>
      </x:c>
      <x:c r="AB12" s="7" t="s">
        <x:v>46</x:v>
      </x:c>
      <x:c r="AC12" s="7" t="s">
        <x:v>90</x:v>
      </x:c>
      <x:c r="AD12" s="7" t="s">
        <x:v>65</x:v>
      </x:c>
      <x:c r="AE12" s="7" t="s">
        <x:v>66</x:v>
      </x:c>
      <x:c r="AF12" s="7" t="s">
        <x:v>67</x:v>
      </x:c>
      <x:c r="AG12" s="7" t="s">
        <x:v>58</x:v>
      </x:c>
      <x:c r="AH12" s="7" t="s">
        <x:v>124</x:v>
      </x:c>
      <x:c r="AI12" s="7" t="s">
        <x:v>69</x:v>
      </x:c>
      <x:c r="AJ12" s="7" t="s">
        <x:v>91</x:v>
      </x:c>
      <x:c r="AK12" s="7" t="s">
        <x:v>110</x:v>
      </x:c>
      <x:c r="AL12" s="7" t="str">
        <x:v>Q00381; Q00382; Q00383; Q00384; Q00385</x:v>
      </x:c>
      <x:c r="AM12" s="7" t="s">
        <x:v>72</x:v>
      </x:c>
      <x:c r="AN12" s="7" t="s">
        <x:v>73</x:v>
      </x:c>
      <x:c r="AO12" s="7" t="s">
        <x:v>74</x:v>
      </x:c>
      <x:c r="AP12" s="8" t="s">
        <x:v>53</x:v>
      </x:c>
      <x:c r="AQ12" s="7" t="s">
        <x:v>75</x:v>
      </x:c>
    </x:row>
    <x:row r="13" ht="51.75" hidden="0" customHeight="1">
      <x:c r="A13" s="7" t="s">
        <x:v>134</x:v>
      </x:c>
      <x:c r="B13" s="7" t="s">
        <x:v>135</x:v>
      </x:c>
      <x:c r="C13" s="7" t="s">
        <x:v>46</x:v>
      </x:c>
      <x:c r="D13" s="7" t="s">
        <x:v>78</x:v>
      </x:c>
      <x:c r="E13" s="7" t="s">
        <x:v>136</x:v>
      </x:c>
      <x:c r="F13" s="7" t="s">
        <x:v>137</x:v>
      </x:c>
      <x:c r="G13" s="7" t="s">
        <x:v>126</x:v>
      </x:c>
      <x:c r="H13" s="7" t="s">
        <x:v>138</x:v>
      </x:c>
      <x:c r="I13" s="7" t="s">
        <x:v>139</x:v>
      </x:c>
      <x:c r="J13" s="8" t="n">
        <x:f aca="0">INDEX(Properties!$L$4:$L$1809,MATCH("V000124",Properties!$A$4:$A$1809,0))</x:f>
        <x:v>1220</x:v>
      </x:c>
      <x:c r="K13" s="8" t="n">
        <x:f aca="0">INDEX(Properties!$L$4:$L$1809,MATCH("V000131",Properties!$A$4:$A$1809,0))</x:f>
        <x:v>2.88</x:v>
      </x:c>
      <x:c r="L13" s="8" t="n">
        <x:f aca="0">INDEX(Properties!$L$4:$L$1809,MATCH("V000133",Properties!$A$4:$A$1809,0))</x:f>
        <x:v>55.4</x:v>
      </x:c>
      <x:c r="M13" s="8" t="n">
        <x:f aca="0">INDEX(Properties!$L$4:$L$1809,MATCH("V000135",Properties!$A$4:$A$1809,0))</x:f>
        <x:v>11</x:v>
      </x:c>
      <x:c r="N13" s="7" t="s">
        <x:v>140</x:v>
      </x:c>
      <x:c r="O13" s="7" t="s">
        <x:v>55</x:v>
      </x:c>
      <x:c r="P13" s="8" t="n">
        <x:f aca="0">INDEX(Properties!$L$4:$L$1809,MATCH("V000129",Properties!$A$4:$A$1809,0))</x:f>
        <x:v>60</x:v>
      </x:c>
      <x:c r="Q13" s="7" t="s">
        <x:v>141</x:v>
      </x:c>
      <x:c r="R13" s="9" t="n">
        <x:f aca="0">MEDIAN(INDEX('Prices CA'!$J$4:$J$107,MATCH("CA0009",'Prices CA'!$A$4:$A$107,0)))</x:f>
        <x:v>29.99</x:v>
      </x:c>
      <x:c r="S13" s="7" t="s">
        <x:v>142</x:v>
      </x:c>
      <x:c r="T13" s="7" t="s">
        <x:v>132</x:v>
      </x:c>
      <x:c r="U13" s="7" t="s">
        <x:v>88</x:v>
      </x:c>
      <x:c r="V13" s="7" t="s">
        <x:v>61</x:v>
      </x:c>
      <x:c r="W13" s="7" t="s">
        <x:v>143</x:v>
      </x:c>
      <x:c r="X13" s="7" t="s">
        <x:v>46</x:v>
      </x:c>
      <x:c r="Y13" s="7" t="s">
        <x:v>63</x:v>
      </x:c>
      <x:c r="Z13" s="7" t="s">
        <x:v>135</x:v>
      </x:c>
      <x:c r="AA13" s="7" t="s">
        <x:v>135</x:v>
      </x:c>
      <x:c r="AB13" s="7" t="s">
        <x:v>46</x:v>
      </x:c>
      <x:c r="AC13" s="7" t="s">
        <x:v>90</x:v>
      </x:c>
      <x:c r="AD13" s="7" t="s">
        <x:v>65</x:v>
      </x:c>
      <x:c r="AE13" s="7" t="s">
        <x:v>66</x:v>
      </x:c>
      <x:c r="AF13" s="7" t="s">
        <x:v>67</x:v>
      </x:c>
      <x:c r="AG13" s="7" t="s">
        <x:v>58</x:v>
      </x:c>
      <x:c r="AH13" s="7" t="s">
        <x:v>136</x:v>
      </x:c>
      <x:c r="AI13" s="7" t="s">
        <x:v>69</x:v>
      </x:c>
      <x:c r="AJ13" s="7" t="s">
        <x:v>91</x:v>
      </x:c>
      <x:c r="AK13" s="7" t="s">
        <x:v>110</x:v>
      </x:c>
      <x:c r="AL13" s="7" t="str">
        <x:v>Q00386; Q00387; Q00388; Q00389; Q00390</x:v>
      </x:c>
      <x:c r="AM13" s="7" t="s">
        <x:v>72</x:v>
      </x:c>
      <x:c r="AN13" s="7" t="s">
        <x:v>73</x:v>
      </x:c>
      <x:c r="AO13" s="7" t="s">
        <x:v>74</x:v>
      </x:c>
      <x:c r="AP13" s="8" t="s">
        <x:v>53</x:v>
      </x:c>
      <x:c r="AQ13" s="7" t="s">
        <x:v>75</x:v>
      </x:c>
    </x:row>
    <x:row r="14" ht="51.75" hidden="0" customHeight="1">
      <x:c r="A14" s="7" t="s">
        <x:v>144</x:v>
      </x:c>
      <x:c r="B14" s="7" t="s">
        <x:v>145</x:v>
      </x:c>
      <x:c r="C14" s="7" t="s">
        <x:v>46</x:v>
      </x:c>
      <x:c r="D14" s="7" t="s">
        <x:v>106</x:v>
      </x:c>
      <x:c r="E14" s="7" t="str">
        <x:v>G008-01</x:v>
      </x:c>
      <x:c r="F14" s="7" t="str">
        <x:v>190-230 °C</x:v>
      </x:c>
      <x:c r="G14" s="7" t="str">
        <x:v>25-60 °C</x:v>
      </x:c>
      <x:c r="H14" s="7" t="str">
        <x:v>Not required (enclosure not needed)</x:v>
      </x:c>
      <x:c r="I14" s="7" t="str">
        <x:v>P0162</x:v>
      </x:c>
      <x:c r="J14" s="8" t="n">
        <x:v>1240</x:v>
      </x:c>
      <x:c r="K14" s="8" t="n">
        <x:v>2.403</x:v>
      </x:c>
      <x:c r="L14" s="8" t="n">
        <x:v>41.1</x:v>
      </x:c>
      <x:c r="M14" s="8" t="s">
        <x:v>53</x:v>
      </x:c>
      <x:c r="N14" s="7" t="str">
        <x:v>V001913; V001915; V001916</x:v>
      </x:c>
      <x:c r="O14" s="7" t="str">
        <x:v>Printed ISO 527 specimens, 230 °C nozzle, 100% infill; elongation and HDT not published</x:v>
      </x:c>
      <x:c r="P14" s="8" t="s">
        <x:v>53</x:v>
      </x:c>
      <x:c r="Q14" s="7" t="str">
        <x:v>V001914</x:v>
      </x:c>
      <x:c r="R14" s="9" t="s">
        <x:v>57</x:v>
      </x:c>
      <x:c r="S14" s="7" t="s">
        <x:v>58</x:v>
      </x:c>
      <x:c r="T14" s="7" t="s">
        <x:v>59</x:v>
      </x:c>
      <x:c r="U14" s="7" t="s">
        <x:v>88</x:v>
      </x:c>
      <x:c r="V14" s="7" t="s">
        <x:v>146</x:v>
      </x:c>
      <x:c r="W14" s="7" t="s">
        <x:v>147</x:v>
      </x:c>
      <x:c r="X14" s="7" t="s">
        <x:v>46</x:v>
      </x:c>
      <x:c r="Y14" s="7" t="s">
        <x:v>63</x:v>
      </x:c>
      <x:c r="Z14" s="7" t="s">
        <x:v>145</x:v>
      </x:c>
      <x:c r="AA14" s="7" t="s">
        <x:v>145</x:v>
      </x:c>
      <x:c r="AB14" s="7" t="s">
        <x:v>46</x:v>
      </x:c>
      <x:c r="AC14" s="7" t="s">
        <x:v>90</x:v>
      </x:c>
      <x:c r="AD14" s="7" t="s">
        <x:v>65</x:v>
      </x:c>
      <x:c r="AE14" s="7" t="s">
        <x:v>66</x:v>
      </x:c>
      <x:c r="AF14" s="7" t="s">
        <x:v>67</x:v>
      </x:c>
      <x:c r="AG14" s="7" t="str">
        <x:v>Polymaker Panchroma Silk PLA recorded 2026-09-13 as a technical grade sample of a silk-effect PLA. It is not the original product, and Bambu PLA Silk+ is still not substituted.</x:v>
      </x:c>
      <x:c r="AH14" s="7" t="str">
        <x:v>G008-01</x:v>
      </x:c>
      <x:c r="AI14" s="7" t="str">
        <x:v>Single-grade observations; not a polymer-family range</x:v>
      </x:c>
      <x:c r="AJ14" s="7" t="s">
        <x:v>53</x:v>
      </x:c>
      <x:c r="AK14" s="7" t="s">
        <x:v>110</x:v>
      </x:c>
      <x:c r="AL14" s="7" t="str">
        <x:v>Not published</x:v>
      </x:c>
      <x:c r="AM14" s="7" t="s">
        <x:v>72</x:v>
      </x:c>
      <x:c r="AN14" s="7" t="s">
        <x:v>73</x:v>
      </x:c>
      <x:c r="AO14" s="7" t="s">
        <x:v>74</x:v>
      </x:c>
      <x:c r="AP14" s="8" t="s">
        <x:v>53</x:v>
      </x:c>
      <x:c r="AQ14" s="7" t="s">
        <x:v>75</x:v>
      </x:c>
    </x:row>
    <x:row r="15" ht="51.75" hidden="0" customHeight="1">
      <x:c r="A15" s="7" t="s">
        <x:v>148</x:v>
      </x:c>
      <x:c r="B15" s="7" t="s">
        <x:v>149</x:v>
      </x:c>
      <x:c r="C15" s="7" t="s">
        <x:v>46</x:v>
      </x:c>
      <x:c r="D15" s="7" t="s">
        <x:v>78</x:v>
      </x:c>
      <x:c r="E15" s="7" t="s">
        <x:v>150</x:v>
      </x:c>
      <x:c r="F15" s="7" t="s">
        <x:v>151</x:v>
      </x:c>
      <x:c r="G15" s="7" t="s">
        <x:v>81</x:v>
      </x:c>
      <x:c r="H15" s="7" t="s">
        <x:v>114</x:v>
      </x:c>
      <x:c r="I15" s="7" t="s">
        <x:v>152</x:v>
      </x:c>
      <x:c r="J15" s="8" t="n">
        <x:f aca="0">INDEX(Properties!$L$4:$L$1809,MATCH("V000144",Properties!$A$4:$A$1809,0))</x:f>
        <x:v>1270</x:v>
      </x:c>
      <x:c r="K15" s="8" t="n">
        <x:f aca="0">INDEX(Properties!$L$4:$L$1809,MATCH("V000151",Properties!$A$4:$A$1809,0))</x:f>
        <x:v>2.13</x:v>
      </x:c>
      <x:c r="L15" s="8" t="n">
        <x:f aca="0">INDEX(Properties!$L$4:$L$1809,MATCH("V000153",Properties!$A$4:$A$1809,0))</x:f>
        <x:v>33</x:v>
      </x:c>
      <x:c r="M15" s="8" t="n">
        <x:f aca="0">INDEX(Properties!$L$4:$L$1809,MATCH("V000155",Properties!$A$4:$A$1809,0))</x:f>
        <x:v>2.8</x:v>
      </x:c>
      <x:c r="N15" s="7" t="s">
        <x:v>153</x:v>
      </x:c>
      <x:c r="O15" s="7" t="s">
        <x:v>84</x:v>
      </x:c>
      <x:c r="P15" s="8" t="n">
        <x:f aca="0">INDEX(Properties!$L$4:$L$1809,MATCH("V000149",Properties!$A$4:$A$1809,0))</x:f>
        <x:v>60</x:v>
      </x:c>
      <x:c r="Q15" s="7" t="s">
        <x:v>154</x:v>
      </x:c>
      <x:c r="R15" s="9" t="n">
        <x:f aca="0">MEDIAN(INDEX('Prices CA'!$J$4:$J$107,MATCH("CA0010",'Prices CA'!$A$4:$A$107,0)),INDEX('Prices CA'!$J$4:$J$107,MATCH("CA0074",'Prices CA'!$A$4:$A$107,0)))</x:f>
        <x:v>30.99</x:v>
      </x:c>
      <x:c r="S15" s="7" t="s">
        <x:v>155</x:v>
      </x:c>
      <x:c r="T15" s="7" t="s">
        <x:v>87</x:v>
      </x:c>
      <x:c r="U15" s="7" t="s">
        <x:v>88</x:v>
      </x:c>
      <x:c r="V15" s="7" t="s">
        <x:v>61</x:v>
      </x:c>
      <x:c r="W15" s="7" t="s">
        <x:v>156</x:v>
      </x:c>
      <x:c r="X15" s="7" t="s">
        <x:v>46</x:v>
      </x:c>
      <x:c r="Y15" s="7" t="s">
        <x:v>63</x:v>
      </x:c>
      <x:c r="Z15" s="7" t="s">
        <x:v>149</x:v>
      </x:c>
      <x:c r="AA15" s="7" t="s">
        <x:v>149</x:v>
      </x:c>
      <x:c r="AB15" s="7" t="s">
        <x:v>46</x:v>
      </x:c>
      <x:c r="AC15" s="7" t="s">
        <x:v>90</x:v>
      </x:c>
      <x:c r="AD15" s="7" t="s">
        <x:v>65</x:v>
      </x:c>
      <x:c r="AE15" s="7" t="s">
        <x:v>66</x:v>
      </x:c>
      <x:c r="AF15" s="7" t="s">
        <x:v>67</x:v>
      </x:c>
      <x:c r="AG15" s="7" t="s">
        <x:v>58</x:v>
      </x:c>
      <x:c r="AH15" s="7" t="s">
        <x:v>150</x:v>
      </x:c>
      <x:c r="AI15" s="7" t="s">
        <x:v>69</x:v>
      </x:c>
      <x:c r="AJ15" s="7" t="s">
        <x:v>91</x:v>
      </x:c>
      <x:c r="AK15" s="7" t="s">
        <x:v>157</x:v>
      </x:c>
      <x:c r="AL15" s="7" t="str">
        <x:v>Q00391; Q00392; Q00393; Q00394; Q00395</x:v>
      </x:c>
      <x:c r="AM15" s="7" t="s">
        <x:v>72</x:v>
      </x:c>
      <x:c r="AN15" s="7" t="s">
        <x:v>73</x:v>
      </x:c>
      <x:c r="AO15" s="7" t="s">
        <x:v>74</x:v>
      </x:c>
      <x:c r="AP15" s="8" t="s">
        <x:v>53</x:v>
      </x:c>
      <x:c r="AQ15" s="7" t="s">
        <x:v>75</x:v>
      </x:c>
    </x:row>
    <x:row r="16" ht="51.75" hidden="0" customHeight="1">
      <x:c r="A16" s="7" t="s">
        <x:v>158</x:v>
      </x:c>
      <x:c r="B16" s="7" t="s">
        <x:v>159</x:v>
      </x:c>
      <x:c r="C16" s="7" t="s">
        <x:v>46</x:v>
      </x:c>
      <x:c r="D16" s="7" t="s">
        <x:v>78</x:v>
      </x:c>
      <x:c r="E16" s="7" t="s">
        <x:v>160</x:v>
      </x:c>
      <x:c r="F16" s="7" t="s">
        <x:v>161</x:v>
      </x:c>
      <x:c r="G16" s="7" t="s">
        <x:v>162</x:v>
      </x:c>
      <x:c r="H16" s="7" t="s">
        <x:v>163</x:v>
      </x:c>
      <x:c r="I16" s="7" t="s">
        <x:v>164</x:v>
      </x:c>
      <x:c r="J16" s="8" t="n">
        <x:f aca="0">INDEX(Properties!$L$4:$L$1809,MATCH("V000164",Properties!$A$4:$A$1809,0))</x:f>
        <x:v>1320</x:v>
      </x:c>
      <x:c r="K16" s="8" t="n">
        <x:f aca="0">INDEX(Properties!$L$4:$L$1809,MATCH("V000172",Properties!$A$4:$A$1809,0))</x:f>
        <x:v>1.83</x:v>
      </x:c>
      <x:c r="L16" s="8" t="n">
        <x:f aca="0">INDEX(Properties!$L$4:$L$1809,MATCH("V000174",Properties!$A$4:$A$1809,0))</x:f>
        <x:v>27</x:v>
      </x:c>
      <x:c r="M16" s="8" t="n">
        <x:f aca="0">INDEX(Properties!$L$4:$L$1809,MATCH("V000176",Properties!$A$4:$A$1809,0))</x:f>
        <x:v>3.5</x:v>
      </x:c>
      <x:c r="N16" s="7" t="s">
        <x:v>165</x:v>
      </x:c>
      <x:c r="O16" s="7" t="s">
        <x:v>84</x:v>
      </x:c>
      <x:c r="P16" s="8" t="n">
        <x:f aca="0">INDEX(Properties!$L$4:$L$1809,MATCH("V000170",Properties!$A$4:$A$1809,0))</x:f>
        <x:v>53</x:v>
      </x:c>
      <x:c r="Q16" s="7" t="s">
        <x:v>166</x:v>
      </x:c>
      <x:c r="R16" s="9" t="n">
        <x:f aca="0">MEDIAN(INDEX('Prices CA'!$J$4:$J$107,MATCH("CA0012",'Prices CA'!$A$4:$A$107,0)),INDEX('Prices CA'!$J$4:$J$107,MATCH("CA0075",'Prices CA'!$A$4:$A$107,0)))</x:f>
        <x:v>31.99</x:v>
      </x:c>
      <x:c r="S16" s="7" t="s">
        <x:v>167</x:v>
      </x:c>
      <x:c r="T16" s="7" t="s">
        <x:v>87</x:v>
      </x:c>
      <x:c r="U16" s="7" t="s">
        <x:v>88</x:v>
      </x:c>
      <x:c r="V16" s="7" t="s">
        <x:v>168</x:v>
      </x:c>
      <x:c r="W16" s="7" t="s">
        <x:v>169</x:v>
      </x:c>
      <x:c r="X16" s="7" t="s">
        <x:v>46</x:v>
      </x:c>
      <x:c r="Y16" s="7" t="s">
        <x:v>63</x:v>
      </x:c>
      <x:c r="Z16" s="7" t="s">
        <x:v>159</x:v>
      </x:c>
      <x:c r="AA16" s="7" t="s">
        <x:v>159</x:v>
      </x:c>
      <x:c r="AB16" s="7" t="s">
        <x:v>46</x:v>
      </x:c>
      <x:c r="AC16" s="7" t="s">
        <x:v>90</x:v>
      </x:c>
      <x:c r="AD16" s="7" t="s">
        <x:v>65</x:v>
      </x:c>
      <x:c r="AE16" s="7" t="s">
        <x:v>66</x:v>
      </x:c>
      <x:c r="AF16" s="7" t="s">
        <x:v>67</x:v>
      </x:c>
      <x:c r="AG16" s="7" t="s">
        <x:v>168</x:v>
      </x:c>
      <x:c r="AH16" s="7" t="s">
        <x:v>160</x:v>
      </x:c>
      <x:c r="AI16" s="7" t="s">
        <x:v>69</x:v>
      </x:c>
      <x:c r="AJ16" s="7" t="s">
        <x:v>91</x:v>
      </x:c>
      <x:c r="AK16" s="7" t="s">
        <x:v>170</x:v>
      </x:c>
      <x:c r="AL16" s="7" t="str">
        <x:v>Q00396; Q00397; Q00398; Q00399; Q00400</x:v>
      </x:c>
      <x:c r="AM16" s="7" t="s">
        <x:v>72</x:v>
      </x:c>
      <x:c r="AN16" s="7" t="s">
        <x:v>73</x:v>
      </x:c>
      <x:c r="AO16" s="7" t="s">
        <x:v>74</x:v>
      </x:c>
      <x:c r="AP16" s="8" t="s">
        <x:v>53</x:v>
      </x:c>
      <x:c r="AQ16" s="7" t="s">
        <x:v>75</x:v>
      </x:c>
    </x:row>
    <x:row r="17" ht="51.75" hidden="0" customHeight="1">
      <x:c r="A17" s="7" t="s">
        <x:v>171</x:v>
      </x:c>
      <x:c r="B17" s="7" t="s">
        <x:v>172</x:v>
      </x:c>
      <x:c r="C17" s="7" t="s">
        <x:v>46</x:v>
      </x:c>
      <x:c r="D17" s="7" t="s">
        <x:v>78</x:v>
      </x:c>
      <x:c r="E17" s="7" t="s">
        <x:v>173</x:v>
      </x:c>
      <x:c r="F17" s="7" t="s">
        <x:v>80</x:v>
      </x:c>
      <x:c r="G17" s="7" t="s">
        <x:v>81</x:v>
      </x:c>
      <x:c r="H17" s="7" t="str">
        <x:v>25 - 45 °C</x:v>
      </x:c>
      <x:c r="I17" s="7" t="s">
        <x:v>174</x:v>
      </x:c>
      <x:c r="J17" s="8" t="n">
        <x:f aca="0">INDEX(Properties!$L$4:$L$1809,MATCH("V000184",Properties!$A$4:$A$1809,0))</x:f>
        <x:v>1250</x:v>
      </x:c>
      <x:c r="K17" s="8" t="n">
        <x:f aca="0">INDEX(Properties!$L$4:$L$1809,MATCH("V000191",Properties!$A$4:$A$1809,0))</x:f>
        <x:v>2.0100000000000002</x:v>
      </x:c>
      <x:c r="L17" s="8" t="n">
        <x:f aca="0">INDEX(Properties!$L$4:$L$1809,MATCH("V000193",Properties!$A$4:$A$1809,0))</x:f>
        <x:v>34</x:v>
      </x:c>
      <x:c r="M17" s="8" t="n">
        <x:f aca="0">INDEX(Properties!$L$4:$L$1809,MATCH("V000195",Properties!$A$4:$A$1809,0))</x:f>
        <x:v>14.7</x:v>
      </x:c>
      <x:c r="N17" s="7" t="s">
        <x:v>175</x:v>
      </x:c>
      <x:c r="O17" s="7" t="s">
        <x:v>84</x:v>
      </x:c>
      <x:c r="P17" s="8" t="n">
        <x:f aca="0">INDEX(Properties!$L$4:$L$1809,MATCH("V000189",Properties!$A$4:$A$1809,0))</x:f>
        <x:v>62</x:v>
      </x:c>
      <x:c r="Q17" s="7" t="s">
        <x:v>176</x:v>
      </x:c>
      <x:c r="R17" s="9" t="n">
        <x:f aca="0">MEDIAN(INDEX('Prices CA'!$J$4:$J$107,MATCH("CA0013",'Prices CA'!$A$4:$A$107,0)))</x:f>
        <x:v>31.99</x:v>
      </x:c>
      <x:c r="S17" s="7" t="s">
        <x:v>177</x:v>
      </x:c>
      <x:c r="T17" s="7" t="s">
        <x:v>132</x:v>
      </x:c>
      <x:c r="U17" s="7" t="s">
        <x:v>88</x:v>
      </x:c>
      <x:c r="V17" s="7" t="s">
        <x:v>61</x:v>
      </x:c>
      <x:c r="W17" s="7" t="s">
        <x:v>178</x:v>
      </x:c>
      <x:c r="X17" s="7" t="s">
        <x:v>46</x:v>
      </x:c>
      <x:c r="Y17" s="7" t="s">
        <x:v>63</x:v>
      </x:c>
      <x:c r="Z17" s="7" t="s">
        <x:v>172</x:v>
      </x:c>
      <x:c r="AA17" s="7" t="s">
        <x:v>172</x:v>
      </x:c>
      <x:c r="AB17" s="7" t="s">
        <x:v>46</x:v>
      </x:c>
      <x:c r="AC17" s="7" t="s">
        <x:v>90</x:v>
      </x:c>
      <x:c r="AD17" s="7" t="s">
        <x:v>65</x:v>
      </x:c>
      <x:c r="AE17" s="7" t="s">
        <x:v>66</x:v>
      </x:c>
      <x:c r="AF17" s="7" t="s">
        <x:v>67</x:v>
      </x:c>
      <x:c r="AG17" s="7" t="s">
        <x:v>58</x:v>
      </x:c>
      <x:c r="AH17" s="7" t="s">
        <x:v>173</x:v>
      </x:c>
      <x:c r="AI17" s="7" t="s">
        <x:v>69</x:v>
      </x:c>
      <x:c r="AJ17" s="7" t="s">
        <x:v>91</x:v>
      </x:c>
      <x:c r="AK17" s="7" t="s">
        <x:v>179</x:v>
      </x:c>
      <x:c r="AL17" s="7" t="str">
        <x:v>Q00034; Q00035; Q00036; Q00037; Q00038</x:v>
      </x:c>
      <x:c r="AM17" s="7" t="s">
        <x:v>72</x:v>
      </x:c>
      <x:c r="AN17" s="7" t="s">
        <x:v>73</x:v>
      </x:c>
      <x:c r="AO17" s="7" t="s">
        <x:v>74</x:v>
      </x:c>
      <x:c r="AP17" s="8" t="s">
        <x:v>53</x:v>
      </x:c>
      <x:c r="AQ17" s="7" t="s">
        <x:v>75</x:v>
      </x:c>
    </x:row>
    <x:row r="18" ht="51.75" hidden="0" customHeight="1">
      <x:c r="A18" s="7" t="s">
        <x:v>181</x:v>
      </x:c>
      <x:c r="B18" s="7" t="s">
        <x:v>182</x:v>
      </x:c>
      <x:c r="C18" s="7" t="s">
        <x:v>46</x:v>
      </x:c>
      <x:c r="D18" s="7" t="s">
        <x:v>78</x:v>
      </x:c>
      <x:c r="E18" s="7" t="s">
        <x:v>183</x:v>
      </x:c>
      <x:c r="F18" s="7" t="s">
        <x:v>80</x:v>
      </x:c>
      <x:c r="G18" s="7" t="s">
        <x:v>81</x:v>
      </x:c>
      <x:c r="H18" s="7" t="str">
        <x:v>25 - 45 °C</x:v>
      </x:c>
      <x:c r="I18" s="7" t="s">
        <x:v>184</x:v>
      </x:c>
      <x:c r="J18" s="8" t="n">
        <x:f aca="0">INDEX(Properties!$L$4:$L$1809,MATCH("V000204",Properties!$A$4:$A$1809,0))</x:f>
        <x:v>1220</x:v>
      </x:c>
      <x:c r="K18" s="8" t="n">
        <x:f aca="0">INDEX(Properties!$L$4:$L$1809,MATCH("V000211",Properties!$A$4:$A$1809,0))</x:f>
        <x:v>2.33</x:v>
      </x:c>
      <x:c r="L18" s="8" t="n">
        <x:f aca="0">INDEX(Properties!$L$4:$L$1809,MATCH("V000213",Properties!$A$4:$A$1809,0))</x:f>
        <x:v>33</x:v>
      </x:c>
      <x:c r="M18" s="8" t="n">
        <x:f aca="0">INDEX(Properties!$L$4:$L$1809,MATCH("V000215",Properties!$A$4:$A$1809,0))</x:f>
        <x:v>6.7</x:v>
      </x:c>
      <x:c r="N18" s="7" t="s">
        <x:v>185</x:v>
      </x:c>
      <x:c r="O18" s="7" t="s">
        <x:v>84</x:v>
      </x:c>
      <x:c r="P18" s="8" t="n">
        <x:f aca="0">INDEX(Properties!$L$4:$L$1809,MATCH("V000209",Properties!$A$4:$A$1809,0))</x:f>
        <x:v>56</x:v>
      </x:c>
      <x:c r="Q18" s="7" t="s">
        <x:v>186</x:v>
      </x:c>
      <x:c r="R18" s="9" t="n">
        <x:f aca="0">MEDIAN(INDEX('Prices CA'!$J$4:$J$107,MATCH("CA0015",'Prices CA'!$A$4:$A$107,0)))</x:f>
        <x:v>31.99</x:v>
      </x:c>
      <x:c r="S18" s="7" t="s">
        <x:v>187</x:v>
      </x:c>
      <x:c r="T18" s="7" t="s">
        <x:v>132</x:v>
      </x:c>
      <x:c r="U18" s="7" t="s">
        <x:v>88</x:v>
      </x:c>
      <x:c r="V18" s="7" t="s">
        <x:v>61</x:v>
      </x:c>
      <x:c r="W18" s="7" t="s">
        <x:v>188</x:v>
      </x:c>
      <x:c r="X18" s="7" t="s">
        <x:v>46</x:v>
      </x:c>
      <x:c r="Y18" s="7" t="s">
        <x:v>63</x:v>
      </x:c>
      <x:c r="Z18" s="7" t="s">
        <x:v>182</x:v>
      </x:c>
      <x:c r="AA18" s="7" t="s">
        <x:v>182</x:v>
      </x:c>
      <x:c r="AB18" s="7" t="s">
        <x:v>46</x:v>
      </x:c>
      <x:c r="AC18" s="7" t="s">
        <x:v>90</x:v>
      </x:c>
      <x:c r="AD18" s="7" t="s">
        <x:v>65</x:v>
      </x:c>
      <x:c r="AE18" s="7" t="s">
        <x:v>66</x:v>
      </x:c>
      <x:c r="AF18" s="7" t="s">
        <x:v>67</x:v>
      </x:c>
      <x:c r="AG18" s="7" t="s">
        <x:v>58</x:v>
      </x:c>
      <x:c r="AH18" s="7" t="s">
        <x:v>183</x:v>
      </x:c>
      <x:c r="AI18" s="7" t="s">
        <x:v>69</x:v>
      </x:c>
      <x:c r="AJ18" s="7" t="s">
        <x:v>91</x:v>
      </x:c>
      <x:c r="AK18" s="7" t="s">
        <x:v>189</x:v>
      </x:c>
      <x:c r="AL18" s="7" t="str">
        <x:v>Q00041; Q00042; Q00043; Q00044; Q00045</x:v>
      </x:c>
      <x:c r="AM18" s="7" t="s">
        <x:v>72</x:v>
      </x:c>
      <x:c r="AN18" s="7" t="s">
        <x:v>73</x:v>
      </x:c>
      <x:c r="AO18" s="7" t="s">
        <x:v>74</x:v>
      </x:c>
      <x:c r="AP18" s="8" t="s">
        <x:v>53</x:v>
      </x:c>
      <x:c r="AQ18" s="7" t="s">
        <x:v>75</x:v>
      </x:c>
    </x:row>
    <x:row r="19" ht="51.75" hidden="0" customHeight="1">
      <x:c r="A19" s="7" t="s">
        <x:v>191</x:v>
      </x:c>
      <x:c r="B19" s="7" t="s">
        <x:v>192</x:v>
      </x:c>
      <x:c r="C19" s="7" t="s">
        <x:v>46</x:v>
      </x:c>
      <x:c r="D19" s="7" t="s">
        <x:v>78</x:v>
      </x:c>
      <x:c r="E19" s="7" t="s">
        <x:v>193</x:v>
      </x:c>
      <x:c r="F19" s="7" t="s">
        <x:v>80</x:v>
      </x:c>
      <x:c r="G19" s="7" t="s">
        <x:v>81</x:v>
      </x:c>
      <x:c r="H19" s="7" t="str">
        <x:v>25-45 °C</x:v>
      </x:c>
      <x:c r="I19" s="7" t="s">
        <x:v>194</x:v>
      </x:c>
      <x:c r="J19" s="8" t="n">
        <x:f aca="0">INDEX(Properties!$L$4:$L$1809,MATCH("V000224",Properties!$A$4:$A$1809,0))</x:f>
        <x:v>1260</x:v>
      </x:c>
      <x:c r="K19" s="8" t="n">
        <x:f aca="0">INDEX(Properties!$L$4:$L$1809,MATCH("V000232",Properties!$A$4:$A$1809,0))</x:f>
        <x:v>1.94</x:v>
      </x:c>
      <x:c r="L19" s="8" t="n">
        <x:f aca="0">INDEX(Properties!$L$4:$L$1809,MATCH("V000234",Properties!$A$4:$A$1809,0))</x:f>
        <x:v>39</x:v>
      </x:c>
      <x:c r="M19" s="8" t="n">
        <x:f aca="0">INDEX(Properties!$L$4:$L$1809,MATCH("V000236",Properties!$A$4:$A$1809,0))</x:f>
        <x:v>11.7</x:v>
      </x:c>
      <x:c r="N19" s="7" t="s">
        <x:v>195</x:v>
      </x:c>
      <x:c r="O19" s="7" t="s">
        <x:v>55</x:v>
      </x:c>
      <x:c r="P19" s="8" t="n">
        <x:f aca="0">INDEX(Properties!$L$4:$L$1809,MATCH("V000230",Properties!$A$4:$A$1809,0))</x:f>
        <x:v>55</x:v>
      </x:c>
      <x:c r="Q19" s="7" t="s">
        <x:v>196</x:v>
      </x:c>
      <x:c r="R19" s="9" t="n">
        <x:f aca="0">MEDIAN(INDEX('Prices CA'!$J$4:$J$107,MATCH("CA0016",'Prices CA'!$A$4:$A$107,0)))</x:f>
        <x:v>31.99</x:v>
      </x:c>
      <x:c r="S19" s="7" t="s">
        <x:v>197</x:v>
      </x:c>
      <x:c r="T19" s="7" t="s">
        <x:v>132</x:v>
      </x:c>
      <x:c r="U19" s="7" t="s">
        <x:v>88</x:v>
      </x:c>
      <x:c r="V19" s="7" t="s">
        <x:v>61</x:v>
      </x:c>
      <x:c r="W19" s="7" t="s">
        <x:v>198</x:v>
      </x:c>
      <x:c r="X19" s="7" t="s">
        <x:v>46</x:v>
      </x:c>
      <x:c r="Y19" s="7" t="s">
        <x:v>63</x:v>
      </x:c>
      <x:c r="Z19" s="7" t="s">
        <x:v>192</x:v>
      </x:c>
      <x:c r="AA19" s="7" t="s">
        <x:v>192</x:v>
      </x:c>
      <x:c r="AB19" s="7" t="s">
        <x:v>46</x:v>
      </x:c>
      <x:c r="AC19" s="7" t="s">
        <x:v>90</x:v>
      </x:c>
      <x:c r="AD19" s="7" t="s">
        <x:v>65</x:v>
      </x:c>
      <x:c r="AE19" s="7" t="s">
        <x:v>66</x:v>
      </x:c>
      <x:c r="AF19" s="7" t="s">
        <x:v>67</x:v>
      </x:c>
      <x:c r="AG19" s="7" t="s">
        <x:v>58</x:v>
      </x:c>
      <x:c r="AH19" s="7" t="s">
        <x:v>193</x:v>
      </x:c>
      <x:c r="AI19" s="7" t="s">
        <x:v>69</x:v>
      </x:c>
      <x:c r="AJ19" s="7" t="s">
        <x:v>91</x:v>
      </x:c>
      <x:c r="AK19" s="7" t="s">
        <x:v>110</x:v>
      </x:c>
      <x:c r="AL19" s="7" t="str">
        <x:v>Q00048; Q00401; Q00402; Q00403; Q00404</x:v>
      </x:c>
      <x:c r="AM19" s="7" t="s">
        <x:v>72</x:v>
      </x:c>
      <x:c r="AN19" s="7" t="s">
        <x:v>73</x:v>
      </x:c>
      <x:c r="AO19" s="7" t="s">
        <x:v>74</x:v>
      </x:c>
      <x:c r="AP19" s="8" t="s">
        <x:v>53</x:v>
      </x:c>
      <x:c r="AQ19" s="7" t="s">
        <x:v>75</x:v>
      </x:c>
    </x:row>
    <x:row r="20" ht="51.75" hidden="0" customHeight="1">
      <x:c r="A20" s="7" t="s">
        <x:v>199</x:v>
      </x:c>
      <x:c r="B20" s="7" t="s">
        <x:v>200</x:v>
      </x:c>
      <x:c r="C20" s="7" t="s">
        <x:v>46</x:v>
      </x:c>
      <x:c r="D20" s="7" t="s">
        <x:v>78</x:v>
      </x:c>
      <x:c r="E20" s="7" t="s">
        <x:v>201</x:v>
      </x:c>
      <x:c r="F20" s="7" t="s">
        <x:v>202</x:v>
      </x:c>
      <x:c r="G20" s="7" t="s">
        <x:v>81</x:v>
      </x:c>
      <x:c r="H20" s="7" t="s">
        <x:v>114</x:v>
      </x:c>
      <x:c r="I20" s="7" t="s">
        <x:v>203</x:v>
      </x:c>
      <x:c r="J20" s="8" t="n">
        <x:f aca="0">INDEX(Properties!$L$4:$L$1809,MATCH("V000244",Properties!$A$4:$A$1809,0))</x:f>
        <x:v>1210</x:v>
      </x:c>
      <x:c r="K20" s="8" t="n">
        <x:f aca="0">INDEX(Properties!$L$4:$L$1809,MATCH("V000251",Properties!$A$4:$A$1809,0))</x:f>
        <x:v>2.36</x:v>
      </x:c>
      <x:c r="L20" s="8" t="n">
        <x:f aca="0">INDEX(Properties!$L$4:$L$1809,MATCH("V000253",Properties!$A$4:$A$1809,0))</x:f>
        <x:v>26</x:v>
      </x:c>
      <x:c r="M20" s="8" t="n">
        <x:f aca="0">INDEX(Properties!$L$4:$L$1809,MATCH("V000255",Properties!$A$4:$A$1809,0))</x:f>
        <x:v>15.3</x:v>
      </x:c>
      <x:c r="N20" s="7" t="s">
        <x:v>204</x:v>
      </x:c>
      <x:c r="O20" s="7" t="s">
        <x:v>84</x:v>
      </x:c>
      <x:c r="P20" s="8" t="n">
        <x:f aca="0">INDEX(Properties!$L$4:$L$1809,MATCH("V000249",Properties!$A$4:$A$1809,0))</x:f>
        <x:v>60</x:v>
      </x:c>
      <x:c r="Q20" s="7" t="s">
        <x:v>205</x:v>
      </x:c>
      <x:c r="R20" s="9" t="n">
        <x:f aca="0">MEDIAN(INDEX('Prices CA'!$J$4:$J$107,MATCH("CA0018",'Prices CA'!$A$4:$A$107,0)))</x:f>
        <x:v>31.99</x:v>
      </x:c>
      <x:c r="S20" s="7" t="s">
        <x:v>206</x:v>
      </x:c>
      <x:c r="T20" s="7" t="s">
        <x:v>132</x:v>
      </x:c>
      <x:c r="U20" s="7" t="s">
        <x:v>88</x:v>
      </x:c>
      <x:c r="V20" s="7" t="s">
        <x:v>61</x:v>
      </x:c>
      <x:c r="W20" s="7" t="s">
        <x:v>207</x:v>
      </x:c>
      <x:c r="X20" s="7" t="s">
        <x:v>46</x:v>
      </x:c>
      <x:c r="Y20" s="7" t="s">
        <x:v>63</x:v>
      </x:c>
      <x:c r="Z20" s="7" t="s">
        <x:v>200</x:v>
      </x:c>
      <x:c r="AA20" s="7" t="s">
        <x:v>200</x:v>
      </x:c>
      <x:c r="AB20" s="7" t="s">
        <x:v>46</x:v>
      </x:c>
      <x:c r="AC20" s="7" t="s">
        <x:v>90</x:v>
      </x:c>
      <x:c r="AD20" s="7" t="s">
        <x:v>65</x:v>
      </x:c>
      <x:c r="AE20" s="7" t="s">
        <x:v>66</x:v>
      </x:c>
      <x:c r="AF20" s="7" t="s">
        <x:v>67</x:v>
      </x:c>
      <x:c r="AG20" s="7" t="s">
        <x:v>58</x:v>
      </x:c>
      <x:c r="AH20" s="7" t="s">
        <x:v>201</x:v>
      </x:c>
      <x:c r="AI20" s="7" t="s">
        <x:v>69</x:v>
      </x:c>
      <x:c r="AJ20" s="7" t="s">
        <x:v>91</x:v>
      </x:c>
      <x:c r="AK20" s="7" t="s">
        <x:v>208</x:v>
      </x:c>
      <x:c r="AL20" s="7" t="str">
        <x:v>Q00049; Q00050; Q00051; Q00052; Q00053</x:v>
      </x:c>
      <x:c r="AM20" s="7" t="s">
        <x:v>72</x:v>
      </x:c>
      <x:c r="AN20" s="7" t="s">
        <x:v>73</x:v>
      </x:c>
      <x:c r="AO20" s="7" t="s">
        <x:v>74</x:v>
      </x:c>
      <x:c r="AP20" s="8" t="s">
        <x:v>53</x:v>
      </x:c>
      <x:c r="AQ20" s="7" t="s">
        <x:v>75</x:v>
      </x:c>
    </x:row>
    <x:row r="21" ht="51.75" hidden="0" customHeight="1">
      <x:c r="A21" s="7" t="s">
        <x:v>210</x:v>
      </x:c>
      <x:c r="B21" s="7" t="s">
        <x:v>211</x:v>
      </x:c>
      <x:c r="C21" s="7" t="s">
        <x:v>46</x:v>
      </x:c>
      <x:c r="D21" s="7" t="s">
        <x:v>78</x:v>
      </x:c>
      <x:c r="E21" s="7" t="s">
        <x:v>212</x:v>
      </x:c>
      <x:c r="F21" s="7" t="s">
        <x:v>80</x:v>
      </x:c>
      <x:c r="G21" s="7" t="s">
        <x:v>162</x:v>
      </x:c>
      <x:c r="H21" s="7" t="str">
        <x:v>25 - 45 °C</x:v>
      </x:c>
      <x:c r="I21" s="7" t="s">
        <x:v>213</x:v>
      </x:c>
      <x:c r="J21" s="8" t="n">
        <x:f aca="0">INDEX(Properties!$L$4:$L$1809,MATCH("V000264",Properties!$A$4:$A$1809,0))</x:f>
        <x:v>1190</x:v>
      </x:c>
      <x:c r="K21" s="8" t="n">
        <x:f aca="0">INDEX(Properties!$L$4:$L$1809,MATCH("V000271",Properties!$A$4:$A$1809,0))</x:f>
        <x:v>1.54</x:v>
      </x:c>
      <x:c r="L21" s="8" t="n">
        <x:f aca="0">INDEX(Properties!$L$4:$L$1809,MATCH("V000273",Properties!$A$4:$A$1809,0))</x:f>
        <x:v>26</x:v>
      </x:c>
      <x:c r="M21" s="8" t="n">
        <x:f aca="0">INDEX(Properties!$L$4:$L$1809,MATCH("V000275",Properties!$A$4:$A$1809,0))</x:f>
        <x:v>9.3</x:v>
      </x:c>
      <x:c r="N21" s="7" t="s">
        <x:v>214</x:v>
      </x:c>
      <x:c r="O21" s="7" t="s">
        <x:v>84</x:v>
      </x:c>
      <x:c r="P21" s="8" t="n">
        <x:f aca="0">INDEX(Properties!$L$4:$L$1809,MATCH("V000269",Properties!$A$4:$A$1809,0))</x:f>
        <x:v>55</x:v>
      </x:c>
      <x:c r="Q21" s="7" t="s">
        <x:v>215</x:v>
      </x:c>
      <x:c r="R21" s="9" t="n">
        <x:f aca="0">MEDIAN(INDEX('Prices CA'!$J$4:$J$107,MATCH("CA0019",'Prices CA'!$A$4:$A$107,0)),INDEX('Prices CA'!$J$4:$J$107,MATCH("CA0087",'Prices CA'!$A$4:$A$107,0)))</x:f>
        <x:v>31.99</x:v>
      </x:c>
      <x:c r="S21" s="7" t="s">
        <x:v>216</x:v>
      </x:c>
      <x:c r="T21" s="7" t="s">
        <x:v>87</x:v>
      </x:c>
      <x:c r="U21" s="7" t="s">
        <x:v>88</x:v>
      </x:c>
      <x:c r="V21" s="7" t="s">
        <x:v>61</x:v>
      </x:c>
      <x:c r="W21" s="7" t="s">
        <x:v>217</x:v>
      </x:c>
      <x:c r="X21" s="7" t="s">
        <x:v>46</x:v>
      </x:c>
      <x:c r="Y21" s="7" t="s">
        <x:v>63</x:v>
      </x:c>
      <x:c r="Z21" s="7" t="s">
        <x:v>211</x:v>
      </x:c>
      <x:c r="AA21" s="7" t="s">
        <x:v>211</x:v>
      </x:c>
      <x:c r="AB21" s="7" t="s">
        <x:v>46</x:v>
      </x:c>
      <x:c r="AC21" s="7" t="s">
        <x:v>90</x:v>
      </x:c>
      <x:c r="AD21" s="7" t="s">
        <x:v>65</x:v>
      </x:c>
      <x:c r="AE21" s="7" t="s">
        <x:v>66</x:v>
      </x:c>
      <x:c r="AF21" s="7" t="s">
        <x:v>67</x:v>
      </x:c>
      <x:c r="AG21" s="7" t="s">
        <x:v>58</x:v>
      </x:c>
      <x:c r="AH21" s="7" t="s">
        <x:v>212</x:v>
      </x:c>
      <x:c r="AI21" s="7" t="s">
        <x:v>69</x:v>
      </x:c>
      <x:c r="AJ21" s="7" t="s">
        <x:v>91</x:v>
      </x:c>
      <x:c r="AK21" s="7" t="s">
        <x:v>218</x:v>
      </x:c>
      <x:c r="AL21" s="7" t="str">
        <x:v>Q00406; Q00407; Q00408; Q00409; Q00410</x:v>
      </x:c>
      <x:c r="AM21" s="7" t="s">
        <x:v>72</x:v>
      </x:c>
      <x:c r="AN21" s="7" t="s">
        <x:v>73</x:v>
      </x:c>
      <x:c r="AO21" s="7" t="s">
        <x:v>74</x:v>
      </x:c>
      <x:c r="AP21" s="8" t="s">
        <x:v>53</x:v>
      </x:c>
      <x:c r="AQ21" s="7" t="s">
        <x:v>75</x:v>
      </x:c>
    </x:row>
    <x:row r="22" ht="51.75" hidden="0" customHeight="1">
      <x:c r="A22" s="7" t="s">
        <x:v>219</x:v>
      </x:c>
      <x:c r="B22" s="7" t="s">
        <x:v>220</x:v>
      </x:c>
      <x:c r="C22" s="7" t="s">
        <x:v>46</x:v>
      </x:c>
      <x:c r="D22" s="7" t="s">
        <x:v>78</x:v>
      </x:c>
      <x:c r="E22" s="7" t="s">
        <x:v>221</x:v>
      </x:c>
      <x:c r="F22" s="7" t="s">
        <x:v>80</x:v>
      </x:c>
      <x:c r="G22" s="7" t="s">
        <x:v>81</x:v>
      </x:c>
      <x:c r="H22" s="7" t="s">
        <x:v>114</x:v>
      </x:c>
      <x:c r="I22" s="7" t="s">
        <x:v>222</x:v>
      </x:c>
      <x:c r="J22" s="8" t="n">
        <x:f aca="0">INDEX(Properties!$L$4:$L$1809,MATCH("V000283",Properties!$A$4:$A$1809,0))</x:f>
        <x:v>1260</x:v>
      </x:c>
      <x:c r="K22" s="8" t="n">
        <x:f aca="0">INDEX(Properties!$L$4:$L$1809,MATCH("V000290",Properties!$A$4:$A$1809,0))</x:f>
        <x:v>2.0300000000000002</x:v>
      </x:c>
      <x:c r="L22" s="8" t="n">
        <x:f aca="0">INDEX(Properties!$L$4:$L$1809,MATCH("V000292",Properties!$A$4:$A$1809,0))</x:f>
        <x:v>32</x:v>
      </x:c>
      <x:c r="M22" s="8" t="n">
        <x:f aca="0">INDEX(Properties!$L$4:$L$1809,MATCH("V000294",Properties!$A$4:$A$1809,0))</x:f>
        <x:v>8.6</x:v>
      </x:c>
      <x:c r="N22" s="7" t="s">
        <x:v>223</x:v>
      </x:c>
      <x:c r="O22" s="7" t="s">
        <x:v>84</x:v>
      </x:c>
      <x:c r="P22" s="8" t="n">
        <x:f aca="0">INDEX(Properties!$L$4:$L$1809,MATCH("V000288",Properties!$A$4:$A$1809,0))</x:f>
        <x:v>55</x:v>
      </x:c>
      <x:c r="Q22" s="7" t="s">
        <x:v>224</x:v>
      </x:c>
      <x:c r="R22" s="9" t="n">
        <x:f aca="0">MEDIAN(INDEX('Prices CA'!$J$4:$J$107,MATCH("CA0020",'Prices CA'!$A$4:$A$107,0)))</x:f>
        <x:v>31.99</x:v>
      </x:c>
      <x:c r="S22" s="7" t="s">
        <x:v>225</x:v>
      </x:c>
      <x:c r="T22" s="7" t="s">
        <x:v>132</x:v>
      </x:c>
      <x:c r="U22" s="7" t="s">
        <x:v>88</x:v>
      </x:c>
      <x:c r="V22" s="7" t="s">
        <x:v>61</x:v>
      </x:c>
      <x:c r="W22" s="7" t="s">
        <x:v>226</x:v>
      </x:c>
      <x:c r="X22" s="7" t="s">
        <x:v>46</x:v>
      </x:c>
      <x:c r="Y22" s="7" t="s">
        <x:v>63</x:v>
      </x:c>
      <x:c r="Z22" s="7" t="s">
        <x:v>220</x:v>
      </x:c>
      <x:c r="AA22" s="7" t="s">
        <x:v>220</x:v>
      </x:c>
      <x:c r="AB22" s="7" t="s">
        <x:v>46</x:v>
      </x:c>
      <x:c r="AC22" s="7" t="s">
        <x:v>90</x:v>
      </x:c>
      <x:c r="AD22" s="7" t="s">
        <x:v>65</x:v>
      </x:c>
      <x:c r="AE22" s="7" t="s">
        <x:v>66</x:v>
      </x:c>
      <x:c r="AF22" s="7" t="s">
        <x:v>67</x:v>
      </x:c>
      <x:c r="AG22" s="7" t="s">
        <x:v>58</x:v>
      </x:c>
      <x:c r="AH22" s="7" t="s">
        <x:v>221</x:v>
      </x:c>
      <x:c r="AI22" s="7" t="s">
        <x:v>69</x:v>
      </x:c>
      <x:c r="AJ22" s="7" t="s">
        <x:v>91</x:v>
      </x:c>
      <x:c r="AK22" s="7" t="s">
        <x:v>227</x:v>
      </x:c>
      <x:c r="AL22" s="7" t="str">
        <x:v>Q00058; Q00059; Q00060; Q00061; Q00062</x:v>
      </x:c>
      <x:c r="AM22" s="7" t="s">
        <x:v>72</x:v>
      </x:c>
      <x:c r="AN22" s="7" t="s">
        <x:v>73</x:v>
      </x:c>
      <x:c r="AO22" s="7" t="s">
        <x:v>74</x:v>
      </x:c>
      <x:c r="AP22" s="8" t="s">
        <x:v>53</x:v>
      </x:c>
      <x:c r="AQ22" s="7" t="s">
        <x:v>75</x:v>
      </x:c>
    </x:row>
    <x:row r="23" ht="51.75" hidden="0" customHeight="1">
      <x:c r="A23" s="7" t="s">
        <x:v>229</x:v>
      </x:c>
      <x:c r="B23" s="7" t="s">
        <x:v>230</x:v>
      </x:c>
      <x:c r="C23" s="7" t="s">
        <x:v>46</x:v>
      </x:c>
      <x:c r="D23" s="7" t="s">
        <x:v>78</x:v>
      </x:c>
      <x:c r="E23" s="7" t="s">
        <x:v>231</x:v>
      </x:c>
      <x:c r="F23" s="7" t="s">
        <x:v>232</x:v>
      </x:c>
      <x:c r="G23" s="7" t="s">
        <x:v>81</x:v>
      </x:c>
      <x:c r="H23" s="7" t="s">
        <x:v>114</x:v>
      </x:c>
      <x:c r="I23" s="7" t="s">
        <x:v>233</x:v>
      </x:c>
      <x:c r="J23" s="8" t="n">
        <x:f aca="0">INDEX(Properties!$L$4:$L$1809,MATCH("V000303",Properties!$A$4:$A$1809,0))</x:f>
        <x:v>1210</x:v>
      </x:c>
      <x:c r="K23" s="8" t="n">
        <x:f aca="0">INDEX(Properties!$L$4:$L$1809,MATCH("V000310",Properties!$A$4:$A$1809,0))</x:f>
        <x:v>1.35</x:v>
      </x:c>
      <x:c r="L23" s="8" t="n">
        <x:f aca="0">INDEX(Properties!$L$4:$L$1809,MATCH("V000312",Properties!$A$4:$A$1809,0))</x:f>
        <x:v>24</x:v>
      </x:c>
      <x:c r="M23" s="8" t="n">
        <x:f aca="0">INDEX(Properties!$L$4:$L$1809,MATCH("V000314",Properties!$A$4:$A$1809,0))</x:f>
        <x:v>2.6</x:v>
      </x:c>
      <x:c r="N23" s="7" t="s">
        <x:v>234</x:v>
      </x:c>
      <x:c r="O23" s="7" t="s">
        <x:v>235</x:v>
      </x:c>
      <x:c r="P23" s="8" t="n">
        <x:f aca="0">INDEX(Properties!$L$4:$L$1809,MATCH("V000308",Properties!$A$4:$A$1809,0))</x:f>
        <x:v>53</x:v>
      </x:c>
      <x:c r="Q23" s="7" t="s">
        <x:v>236</x:v>
      </x:c>
      <x:c r="R23" s="9" t="n">
        <x:f aca="0">MEDIAN(INDEX('Prices CA'!$J$4:$J$107,MATCH("CA0021",'Prices CA'!$A$4:$A$107,0)))</x:f>
        <x:v>57.99</x:v>
      </x:c>
      <x:c r="S23" s="7" t="s">
        <x:v>237</x:v>
      </x:c>
      <x:c r="T23" s="7" t="s">
        <x:v>132</x:v>
      </x:c>
      <x:c r="U23" s="7" t="s">
        <x:v>88</x:v>
      </x:c>
      <x:c r="V23" s="7" t="s">
        <x:v>61</x:v>
      </x:c>
      <x:c r="W23" s="7" t="s">
        <x:v>238</x:v>
      </x:c>
      <x:c r="X23" s="7" t="s">
        <x:v>46</x:v>
      </x:c>
      <x:c r="Y23" s="7" t="s">
        <x:v>63</x:v>
      </x:c>
      <x:c r="Z23" s="7" t="s">
        <x:v>230</x:v>
      </x:c>
      <x:c r="AA23" s="7" t="s">
        <x:v>230</x:v>
      </x:c>
      <x:c r="AB23" s="7" t="s">
        <x:v>46</x:v>
      </x:c>
      <x:c r="AC23" s="7" t="s">
        <x:v>239</x:v>
      </x:c>
      <x:c r="AD23" s="7" t="s">
        <x:v>65</x:v>
      </x:c>
      <x:c r="AE23" s="7" t="s">
        <x:v>66</x:v>
      </x:c>
      <x:c r="AF23" s="7" t="s">
        <x:v>67</x:v>
      </x:c>
      <x:c r="AG23" s="7" t="s">
        <x:v>58</x:v>
      </x:c>
      <x:c r="AH23" s="7" t="s">
        <x:v>231</x:v>
      </x:c>
      <x:c r="AI23" s="7" t="s">
        <x:v>69</x:v>
      </x:c>
      <x:c r="AJ23" s="7" t="s">
        <x:v>91</x:v>
      </x:c>
      <x:c r="AK23" s="7" t="s">
        <x:v>240</x:v>
      </x:c>
      <x:c r="AL23" s="7" t="str">
        <x:v>Q00411; Q00412; Q00413; Q00414; Q00415</x:v>
      </x:c>
      <x:c r="AM23" s="7" t="s">
        <x:v>72</x:v>
      </x:c>
      <x:c r="AN23" s="7" t="s">
        <x:v>73</x:v>
      </x:c>
      <x:c r="AO23" s="7" t="s">
        <x:v>74</x:v>
      </x:c>
      <x:c r="AP23" s="8" t="s">
        <x:v>53</x:v>
      </x:c>
      <x:c r="AQ23" s="7" t="s">
        <x:v>75</x:v>
      </x:c>
    </x:row>
    <x:row r="24" ht="51.75" hidden="0" customHeight="1">
      <x:c r="A24" s="7" t="s">
        <x:v>241</x:v>
      </x:c>
      <x:c r="B24" s="7" t="s">
        <x:v>242</x:v>
      </x:c>
      <x:c r="C24" s="7" t="s">
        <x:v>46</x:v>
      </x:c>
      <x:c r="D24" s="7" t="s">
        <x:v>78</x:v>
      </x:c>
      <x:c r="E24" s="7" t="s">
        <x:v>243</x:v>
      </x:c>
      <x:c r="F24" s="7" t="s">
        <x:v>151</x:v>
      </x:c>
      <x:c r="G24" s="7" t="s">
        <x:v>81</x:v>
      </x:c>
      <x:c r="H24" s="7" t="s">
        <x:v>114</x:v>
      </x:c>
      <x:c r="I24" s="7" t="s">
        <x:v>244</x:v>
      </x:c>
      <x:c r="J24" s="8" t="n">
        <x:f aca="0">INDEX(Properties!$L$4:$L$1809,MATCH("V000323",Properties!$A$4:$A$1809,0))</x:f>
        <x:v>1220</x:v>
      </x:c>
      <x:c r="K24" s="8" t="n">
        <x:f aca="0">INDEX(Properties!$L$4:$L$1809,MATCH("V000331",Properties!$A$4:$A$1809,0))</x:f>
        <x:v>2.79</x:v>
      </x:c>
      <x:c r="L24" s="8" t="n">
        <x:f aca="0">INDEX(Properties!$L$4:$L$1809,MATCH("V000333",Properties!$A$4:$A$1809,0))</x:f>
        <x:v>38</x:v>
      </x:c>
      <x:c r="M24" s="8" t="n">
        <x:f aca="0">INDEX(Properties!$L$4:$L$1809,MATCH("V000335",Properties!$A$4:$A$1809,0))</x:f>
        <x:v>8.4</x:v>
      </x:c>
      <x:c r="N24" s="7" t="s">
        <x:v>245</x:v>
      </x:c>
      <x:c r="O24" s="7" t="s">
        <x:v>84</x:v>
      </x:c>
      <x:c r="P24" s="8" t="n">
        <x:f aca="0">INDEX(Properties!$L$4:$L$1809,MATCH("V000329",Properties!$A$4:$A$1809,0))</x:f>
        <x:v>55</x:v>
      </x:c>
      <x:c r="Q24" s="7" t="s">
        <x:v>246</x:v>
      </x:c>
      <x:c r="R24" s="9" t="n">
        <x:f aca="0">MEDIAN(INDEX('Prices CA'!$J$4:$J$107,MATCH("CA0025",'Prices CA'!$A$4:$A$107,0)))</x:f>
        <x:v>40.99</x:v>
      </x:c>
      <x:c r="S24" s="7" t="s">
        <x:v>247</x:v>
      </x:c>
      <x:c r="T24" s="7" t="s">
        <x:v>132</x:v>
      </x:c>
      <x:c r="U24" s="7" t="s">
        <x:v>88</x:v>
      </x:c>
      <x:c r="V24" s="7" t="s">
        <x:v>61</x:v>
      </x:c>
      <x:c r="W24" s="7" t="s">
        <x:v>248</x:v>
      </x:c>
      <x:c r="X24" s="7" t="s">
        <x:v>46</x:v>
      </x:c>
      <x:c r="Y24" s="7" t="s">
        <x:v>63</x:v>
      </x:c>
      <x:c r="Z24" s="7" t="s">
        <x:v>242</x:v>
      </x:c>
      <x:c r="AA24" s="7" t="s">
        <x:v>242</x:v>
      </x:c>
      <x:c r="AB24" s="7" t="s">
        <x:v>46</x:v>
      </x:c>
      <x:c r="AC24" s="7" t="s">
        <x:v>249</x:v>
      </x:c>
      <x:c r="AD24" s="7" t="s">
        <x:v>65</x:v>
      </x:c>
      <x:c r="AE24" s="7" t="s">
        <x:v>66</x:v>
      </x:c>
      <x:c r="AF24" s="7" t="s">
        <x:v>67</x:v>
      </x:c>
      <x:c r="AG24" s="7" t="s">
        <x:v>58</x:v>
      </x:c>
      <x:c r="AH24" s="7" t="s">
        <x:v>243</x:v>
      </x:c>
      <x:c r="AI24" s="7" t="s">
        <x:v>69</x:v>
      </x:c>
      <x:c r="AJ24" s="7" t="s">
        <x:v>91</x:v>
      </x:c>
      <x:c r="AK24" s="7" t="s">
        <x:v>250</x:v>
      </x:c>
      <x:c r="AL24" s="7" t="str">
        <x:v>Q00067; Q00068; Q00069; Q00070; Q00071</x:v>
      </x:c>
      <x:c r="AM24" s="7" t="s">
        <x:v>72</x:v>
      </x:c>
      <x:c r="AN24" s="7" t="s">
        <x:v>73</x:v>
      </x:c>
      <x:c r="AO24" s="7" t="s">
        <x:v>74</x:v>
      </x:c>
      <x:c r="AP24" s="8" t="s">
        <x:v>53</x:v>
      </x:c>
      <x:c r="AQ24" s="7" t="s">
        <x:v>75</x:v>
      </x:c>
    </x:row>
    <x:row r="25" ht="51.75" hidden="0" customHeight="1">
      <x:c r="A25" s="7" t="s">
        <x:v>252</x:v>
      </x:c>
      <x:c r="B25" s="7" t="s">
        <x:v>253</x:v>
      </x:c>
      <x:c r="C25" s="7" t="s">
        <x:v>46</x:v>
      </x:c>
      <x:c r="D25" s="7" t="s">
        <x:v>47</x:v>
      </x:c>
      <x:c r="E25" s="7" t="s">
        <x:v>254</x:v>
      </x:c>
      <x:c r="F25" s="7" t="s">
        <x:v>255</x:v>
      </x:c>
      <x:c r="G25" s="7" t="s">
        <x:v>256</x:v>
      </x:c>
      <x:c r="H25" s="7" t="s">
        <x:v>257</x:v>
      </x:c>
      <x:c r="I25" s="7" t="s">
        <x:v>258</x:v>
      </x:c>
      <x:c r="J25" s="8" t="n">
        <x:f aca="0">INDEX(Properties!$L$4:$L$1809,MATCH("V000344",Properties!$A$4:$A$1809,0))</x:f>
        <x:v>1337</x:v>
      </x:c>
      <x:c r="K25" s="8" t="n">
        <x:f aca="0">INDEX(Properties!$L$4:$L$1809,MATCH("V000354",Properties!$A$4:$A$1809,0))</x:f>
        <x:v>3.79385</x:v>
      </x:c>
      <x:c r="L25" s="8" t="n">
        <x:f aca="0">INDEX(Properties!$L$4:$L$1809,MATCH("V000356",Properties!$A$4:$A$1809,0))</x:f>
        <x:v>50.09</x:v>
      </x:c>
      <x:c r="M25" s="8" t="n">
        <x:f aca="0">INDEX(Properties!$L$4:$L$1809,MATCH("V000358",Properties!$A$4:$A$1809,0))</x:f>
        <x:v>2.77</x:v>
      </x:c>
      <x:c r="N25" s="7" t="s">
        <x:v>259</x:v>
      </x:c>
      <x:c r="O25" s="7" t="s">
        <x:v>55</x:v>
      </x:c>
      <x:c r="P25" s="8" t="n">
        <x:f aca="0">INDEX(Properties!$L$4:$L$1809,MATCH("V000350",Properties!$A$4:$A$1809,0))</x:f>
        <x:v>75.5</x:v>
      </x:c>
      <x:c r="Q25" s="7" t="s">
        <x:v>260</x:v>
      </x:c>
      <x:c r="R25" s="9" t="s">
        <x:v>57</x:v>
      </x:c>
      <x:c r="S25" s="7" t="s">
        <x:v>58</x:v>
      </x:c>
      <x:c r="T25" s="7" t="s">
        <x:v>59</x:v>
      </x:c>
      <x:c r="U25" s="7" t="s">
        <x:v>88</x:v>
      </x:c>
      <x:c r="V25" s="7" t="s">
        <x:v>61</x:v>
      </x:c>
      <x:c r="W25" s="7" t="s">
        <x:v>261</x:v>
      </x:c>
      <x:c r="X25" s="7" t="s">
        <x:v>46</x:v>
      </x:c>
      <x:c r="Y25" s="7" t="s">
        <x:v>63</x:v>
      </x:c>
      <x:c r="Z25" s="7" t="s">
        <x:v>253</x:v>
      </x:c>
      <x:c r="AA25" s="7" t="s">
        <x:v>253</x:v>
      </x:c>
      <x:c r="AB25" s="7" t="s">
        <x:v>46</x:v>
      </x:c>
      <x:c r="AC25" s="7" t="s">
        <x:v>262</x:v>
      </x:c>
      <x:c r="AD25" s="7" t="s">
        <x:v>65</x:v>
      </x:c>
      <x:c r="AE25" s="7" t="s">
        <x:v>66</x:v>
      </x:c>
      <x:c r="AF25" s="7" t="s">
        <x:v>67</x:v>
      </x:c>
      <x:c r="AG25" s="7" t="s">
        <x:v>58</x:v>
      </x:c>
      <x:c r="AH25" s="7" t="s">
        <x:v>263</x:v>
      </x:c>
      <x:c r="AI25" s="7" t="s">
        <x:v>69</x:v>
      </x:c>
      <x:c r="AJ25" s="7" t="s">
        <x:v>91</x:v>
      </x:c>
      <x:c r="AK25" s="7" t="s">
        <x:v>110</x:v>
      </x:c>
      <x:c r="AL25" s="7" t="s">
        <x:v>264</x:v>
      </x:c>
      <x:c r="AM25" s="7" t="s">
        <x:v>265</x:v>
      </x:c>
      <x:c r="AN25" s="7" t="s">
        <x:v>73</x:v>
      </x:c>
      <x:c r="AO25" s="7" t="s">
        <x:v>74</x:v>
      </x:c>
      <x:c r="AP25" s="8" t="s">
        <x:v>53</x:v>
      </x:c>
      <x:c r="AQ25" s="7" t="s">
        <x:v>75</x:v>
      </x:c>
    </x:row>
    <x:row r="26" ht="51.75" hidden="0" customHeight="1">
      <x:c r="A26" s="7" t="s">
        <x:v>266</x:v>
      </x:c>
      <x:c r="B26" s="7" t="s">
        <x:v>267</x:v>
      </x:c>
      <x:c r="C26" s="7" t="s">
        <x:v>267</x:v>
      </x:c>
      <x:c r="D26" s="7" t="s">
        <x:v>47</x:v>
      </x:c>
      <x:c r="E26" s="7" t="s">
        <x:v>268</x:v>
      </x:c>
      <x:c r="F26" s="7" t="s">
        <x:v>53</x:v>
      </x:c>
      <x:c r="G26" s="7" t="s">
        <x:v>53</x:v>
      </x:c>
      <x:c r="H26" s="7" t="s">
        <x:v>53</x:v>
      </x:c>
      <x:c r="I26" s="7" t="s">
        <x:v>269</x:v>
      </x:c>
      <x:c r="J26" s="8" t="n">
        <x:f aca="0">INDEX(Properties!$L$4:$L$1809,MATCH("V000382",Properties!$A$4:$A$1809,0))</x:f>
        <x:v>1280</x:v>
      </x:c>
      <x:c r="K26" s="8" t="n">
        <x:f aca="0">INDEX(Properties!$L$4:$L$1809,MATCH("V000384",Properties!$A$4:$A$1809,0))</x:f>
        <x:v>1.4000000000000001</x:v>
      </x:c>
      <x:c r="L26" s="8" t="s">
        <x:v>53</x:v>
      </x:c>
      <x:c r="M26" s="8" t="n">
        <x:f aca="0">INDEX(Properties!$L$4:$L$1809,MATCH("V000385",Properties!$A$4:$A$1809,0))</x:f>
        <x:v>8</x:v>
      </x:c>
      <x:c r="N26" s="7" t="s">
        <x:v>270</x:v>
      </x:c>
      <x:c r="O26" s="7" t="s">
        <x:v>55</x:v>
      </x:c>
      <x:c r="P26" s="8" t="n">
        <x:f aca="0">INDEX(Properties!$L$4:$L$1809,MATCH("V000389",Properties!$A$4:$A$1809,0))</x:f>
        <x:v>70</x:v>
      </x:c>
      <x:c r="Q26" s="7" t="s">
        <x:v>271</x:v>
      </x:c>
      <x:c r="R26" s="9" t="s">
        <x:v>57</x:v>
      </x:c>
      <x:c r="S26" s="7" t="s">
        <x:v>58</x:v>
      </x:c>
      <x:c r="T26" s="7" t="s">
        <x:v>59</x:v>
      </x:c>
      <x:c r="U26" s="7" t="s">
        <x:v>272</x:v>
      </x:c>
      <x:c r="V26" s="7" t="s">
        <x:v>61</x:v>
      </x:c>
      <x:c r="W26" s="7" t="s">
        <x:v>273</x:v>
      </x:c>
      <x:c r="X26" s="7" t="s">
        <x:v>267</x:v>
      </x:c>
      <x:c r="Y26" s="7" t="s">
        <x:v>63</x:v>
      </x:c>
      <x:c r="Z26" s="7" t="s">
        <x:v>267</x:v>
      </x:c>
      <x:c r="AA26" s="7" t="s">
        <x:v>267</x:v>
      </x:c>
      <x:c r="AB26" s="7" t="s">
        <x:v>267</x:v>
      </x:c>
      <x:c r="AC26" s="7" t="s">
        <x:v>64</x:v>
      </x:c>
      <x:c r="AD26" s="7" t="s">
        <x:v>65</x:v>
      </x:c>
      <x:c r="AE26" s="7" t="s">
        <x:v>66</x:v>
      </x:c>
      <x:c r="AF26" s="7" t="s">
        <x:v>67</x:v>
      </x:c>
      <x:c r="AG26" s="7" t="s">
        <x:v>58</x:v>
      </x:c>
      <x:c r="AH26" s="7" t="s">
        <x:v>274</x:v>
      </x:c>
      <x:c r="AI26" s="7" t="s">
        <x:v>69</x:v>
      </x:c>
      <x:c r="AJ26" s="7" t="s">
        <x:v>53</x:v>
      </x:c>
      <x:c r="AK26" s="7" t="s">
        <x:v>275</x:v>
      </x:c>
      <x:c r="AL26" s="7" t="s">
        <x:v>276</x:v>
      </x:c>
      <x:c r="AM26" s="7" t="s">
        <x:v>72</x:v>
      </x:c>
      <x:c r="AN26" s="7" t="s">
        <x:v>73</x:v>
      </x:c>
      <x:c r="AO26" s="7" t="s">
        <x:v>74</x:v>
      </x:c>
      <x:c r="AP26" s="8" t="n">
        <x:v>2</x:v>
      </x:c>
      <x:c r="AQ26" s="7" t="s">
        <x:v>75</x:v>
      </x:c>
    </x:row>
    <x:row r="27" ht="51.75" hidden="0" customHeight="1">
      <x:c r="A27" s="7" t="s">
        <x:v>277</x:v>
      </x:c>
      <x:c r="B27" s="7" t="s">
        <x:v>278</x:v>
      </x:c>
      <x:c r="C27" s="7" t="s">
        <x:v>267</x:v>
      </x:c>
      <x:c r="D27" s="7" t="s">
        <x:v>78</x:v>
      </x:c>
      <x:c r="E27" s="7" t="s">
        <x:v>279</x:v>
      </x:c>
      <x:c r="F27" s="7" t="s">
        <x:v>280</x:v>
      </x:c>
      <x:c r="G27" s="7" t="s">
        <x:v>281</x:v>
      </x:c>
      <x:c r="H27" s="7" t="str">
        <x:v>35 - 50 °C</x:v>
      </x:c>
      <x:c r="I27" s="7" t="s">
        <x:v>282</x:v>
      </x:c>
      <x:c r="J27" s="8" t="n">
        <x:f aca="0">INDEX(Properties!$L$4:$L$1809,MATCH("V000423",Properties!$A$4:$A$1809,0))</x:f>
        <x:v>1250</x:v>
      </x:c>
      <x:c r="K27" s="8" t="n">
        <x:f aca="0">INDEX(Properties!$L$4:$L$1809,MATCH("V000431",Properties!$A$4:$A$1809,0))</x:f>
        <x:v>2.7800000000000002</x:v>
      </x:c>
      <x:c r="L27" s="8" t="n">
        <x:f aca="0">INDEX(Properties!$L$4:$L$1809,MATCH("V000433",Properties!$A$4:$A$1809,0))</x:f>
        <x:v>51</x:v>
      </x:c>
      <x:c r="M27" s="8" t="n">
        <x:f aca="0">INDEX(Properties!$L$4:$L$1809,MATCH("V000435",Properties!$A$4:$A$1809,0))</x:f>
        <x:v>9.5</x:v>
      </x:c>
      <x:c r="N27" s="7" t="s">
        <x:v>283</x:v>
      </x:c>
      <x:c r="O27" s="7" t="s">
        <x:v>55</x:v>
      </x:c>
      <x:c r="P27" s="8" t="n">
        <x:f aca="0">INDEX(Properties!$L$4:$L$1809,MATCH("V000429",Properties!$A$4:$A$1809,0))</x:f>
        <x:v>71</x:v>
      </x:c>
      <x:c r="Q27" s="7" t="s">
        <x:v>284</x:v>
      </x:c>
      <x:c r="R27" s="9" t="n">
        <x:f aca="0">MEDIAN(INDEX('Prices CA'!$J$4:$J$107,MATCH("CA0027",'Prices CA'!$A$4:$A$107,0)))</x:f>
        <x:v>24.99</x:v>
      </x:c>
      <x:c r="S27" s="7" t="s">
        <x:v>285</x:v>
      </x:c>
      <x:c r="T27" s="7" t="s">
        <x:v>132</x:v>
      </x:c>
      <x:c r="U27" s="7" t="s">
        <x:v>286</x:v>
      </x:c>
      <x:c r="V27" s="7" t="s">
        <x:v>287</x:v>
      </x:c>
      <x:c r="W27" s="7" t="s">
        <x:v>288</x:v>
      </x:c>
      <x:c r="X27" s="7" t="s">
        <x:v>267</x:v>
      </x:c>
      <x:c r="Y27" s="7" t="s">
        <x:v>63</x:v>
      </x:c>
      <x:c r="Z27" s="7" t="s">
        <x:v>278</x:v>
      </x:c>
      <x:c r="AA27" s="7" t="s">
        <x:v>278</x:v>
      </x:c>
      <x:c r="AB27" s="7" t="s">
        <x:v>267</x:v>
      </x:c>
      <x:c r="AC27" s="7" t="s">
        <x:v>90</x:v>
      </x:c>
      <x:c r="AD27" s="7" t="s">
        <x:v>65</x:v>
      </x:c>
      <x:c r="AE27" s="7" t="s">
        <x:v>66</x:v>
      </x:c>
      <x:c r="AF27" s="7" t="s">
        <x:v>67</x:v>
      </x:c>
      <x:c r="AG27" s="7" t="s">
        <x:v>287</x:v>
      </x:c>
      <x:c r="AH27" s="7" t="s">
        <x:v>279</x:v>
      </x:c>
      <x:c r="AI27" s="7" t="s">
        <x:v>69</x:v>
      </x:c>
      <x:c r="AJ27" s="7" t="s">
        <x:v>91</x:v>
      </x:c>
      <x:c r="AK27" s="7" t="s">
        <x:v>289</x:v>
      </x:c>
      <x:c r="AL27" s="7" t="str">
        <x:v>Q00085; Q00086; Q00087; Q00088; Q00089</x:v>
      </x:c>
      <x:c r="AM27" s="7" t="s">
        <x:v>72</x:v>
      </x:c>
      <x:c r="AN27" s="7" t="s">
        <x:v>73</x:v>
      </x:c>
      <x:c r="AO27" s="7" t="s">
        <x:v>74</x:v>
      </x:c>
      <x:c r="AP27" s="8" t="s">
        <x:v>53</x:v>
      </x:c>
      <x:c r="AQ27" s="7" t="s">
        <x:v>75</x:v>
      </x:c>
    </x:row>
    <x:row r="28" ht="51.75" hidden="0" customHeight="1">
      <x:c r="A28" s="7" t="s">
        <x:v>291</x:v>
      </x:c>
      <x:c r="B28" s="7" t="s">
        <x:v>292</x:v>
      </x:c>
      <x:c r="C28" s="7" t="s">
        <x:v>267</x:v>
      </x:c>
      <x:c r="D28" s="7" t="s">
        <x:v>78</x:v>
      </x:c>
      <x:c r="E28" s="7" t="s">
        <x:v>293</x:v>
      </x:c>
      <x:c r="F28" s="7" t="s">
        <x:v>280</x:v>
      </x:c>
      <x:c r="G28" s="7" t="s">
        <x:v>281</x:v>
      </x:c>
      <x:c r="H28" s="7" t="str">
        <x:v>35 - 50 °C</x:v>
      </x:c>
      <x:c r="I28" s="7" t="s">
        <x:v>294</x:v>
      </x:c>
      <x:c r="J28" s="8" t="n">
        <x:f aca="0">INDEX(Properties!$L$4:$L$1809,MATCH("V000443",Properties!$A$4:$A$1809,0))</x:f>
        <x:v>1280</x:v>
      </x:c>
      <x:c r="K28" s="8" t="n">
        <x:f aca="0">INDEX(Properties!$L$4:$L$1809,MATCH("V000451",Properties!$A$4:$A$1809,0))</x:f>
        <x:v>1.81</x:v>
      </x:c>
      <x:c r="L28" s="8" t="n">
        <x:f aca="0">INDEX(Properties!$L$4:$L$1809,MATCH("V000453",Properties!$A$4:$A$1809,0))</x:f>
        <x:v>34</x:v>
      </x:c>
      <x:c r="M28" s="8" t="n">
        <x:f aca="0">INDEX(Properties!$L$4:$L$1809,MATCH("V000455",Properties!$A$4:$A$1809,0))</x:f>
        <x:v>8.6</x:v>
      </x:c>
      <x:c r="N28" s="7" t="s">
        <x:v>295</x:v>
      </x:c>
      <x:c r="O28" s="7" t="s">
        <x:v>296</x:v>
      </x:c>
      <x:c r="P28" s="8" t="n">
        <x:f aca="0">INDEX(Properties!$L$4:$L$1809,MATCH("V000449",Properties!$A$4:$A$1809,0))</x:f>
        <x:v>69</x:v>
      </x:c>
      <x:c r="Q28" s="7" t="s">
        <x:v>297</x:v>
      </x:c>
      <x:c r="R28" s="9" t="s">
        <x:v>57</x:v>
      </x:c>
      <x:c r="S28" s="7" t="s">
        <x:v>58</x:v>
      </x:c>
      <x:c r="T28" s="7" t="s">
        <x:v>59</x:v>
      </x:c>
      <x:c r="U28" s="7" t="s">
        <x:v>286</x:v>
      </x:c>
      <x:c r="V28" s="7" t="s">
        <x:v>61</x:v>
      </x:c>
      <x:c r="W28" s="7" t="s">
        <x:v>298</x:v>
      </x:c>
      <x:c r="X28" s="7" t="s">
        <x:v>267</x:v>
      </x:c>
      <x:c r="Y28" s="7" t="s">
        <x:v>63</x:v>
      </x:c>
      <x:c r="Z28" s="7" t="s">
        <x:v>292</x:v>
      </x:c>
      <x:c r="AA28" s="7" t="s">
        <x:v>292</x:v>
      </x:c>
      <x:c r="AB28" s="7" t="s">
        <x:v>267</x:v>
      </x:c>
      <x:c r="AC28" s="7" t="s">
        <x:v>90</x:v>
      </x:c>
      <x:c r="AD28" s="7" t="s">
        <x:v>65</x:v>
      </x:c>
      <x:c r="AE28" s="7" t="s">
        <x:v>66</x:v>
      </x:c>
      <x:c r="AF28" s="7" t="s">
        <x:v>67</x:v>
      </x:c>
      <x:c r="AG28" s="7" t="s">
        <x:v>58</x:v>
      </x:c>
      <x:c r="AH28" s="7" t="s">
        <x:v>293</x:v>
      </x:c>
      <x:c r="AI28" s="7" t="s">
        <x:v>69</x:v>
      </x:c>
      <x:c r="AJ28" s="7" t="s">
        <x:v>91</x:v>
      </x:c>
      <x:c r="AK28" s="7" t="s">
        <x:v>299</x:v>
      </x:c>
      <x:c r="AL28" s="7" t="str">
        <x:v>Q00416; Q00417; Q00418; Q00419; Q00420</x:v>
      </x:c>
      <x:c r="AM28" s="7" t="s">
        <x:v>72</x:v>
      </x:c>
      <x:c r="AN28" s="7" t="s">
        <x:v>73</x:v>
      </x:c>
      <x:c r="AO28" s="7" t="s">
        <x:v>74</x:v>
      </x:c>
      <x:c r="AP28" s="8" t="s">
        <x:v>53</x:v>
      </x:c>
      <x:c r="AQ28" s="7" t="s">
        <x:v>75</x:v>
      </x:c>
    </x:row>
    <x:row r="29" ht="51.75" hidden="0" customHeight="1">
      <x:c r="A29" s="7" t="s">
        <x:v>300</x:v>
      </x:c>
      <x:c r="B29" s="7" t="s">
        <x:v>301</x:v>
      </x:c>
      <x:c r="C29" s="7" t="s">
        <x:v>267</x:v>
      </x:c>
      <x:c r="D29" s="7" t="s">
        <x:v>78</x:v>
      </x:c>
      <x:c r="E29" s="7" t="s">
        <x:v>302</x:v>
      </x:c>
      <x:c r="F29" s="7" t="s">
        <x:v>303</x:v>
      </x:c>
      <x:c r="G29" s="7" t="s">
        <x:v>281</x:v>
      </x:c>
      <x:c r="H29" s="7" t="s">
        <x:v>304</x:v>
      </x:c>
      <x:c r="I29" s="7" t="s">
        <x:v>305</x:v>
      </x:c>
      <x:c r="J29" s="8" t="n">
        <x:f aca="0">INDEX(Properties!$L$4:$L$1809,MATCH("V000463",Properties!$A$4:$A$1809,0))</x:f>
        <x:v>1250</x:v>
      </x:c>
      <x:c r="K29" s="8" t="n">
        <x:f aca="0">INDEX(Properties!$L$4:$L$1809,MATCH("V000471",Properties!$A$4:$A$1809,0))</x:f>
        <x:v>1.42</x:v>
      </x:c>
      <x:c r="L29" s="8" t="n">
        <x:f aca="0">INDEX(Properties!$L$4:$L$1809,MATCH("V000473",Properties!$A$4:$A$1809,0))</x:f>
        <x:v>33</x:v>
      </x:c>
      <x:c r="M29" s="8" t="n">
        <x:f aca="0">INDEX(Properties!$L$4:$L$1809,MATCH("V000475",Properties!$A$4:$A$1809,0))</x:f>
        <x:v>8.2</x:v>
      </x:c>
      <x:c r="N29" s="7" t="s">
        <x:v>306</x:v>
      </x:c>
      <x:c r="O29" s="7" t="s">
        <x:v>307</x:v>
      </x:c>
      <x:c r="P29" s="8" t="n">
        <x:f aca="0">INDEX(Properties!$L$4:$L$1809,MATCH("V000469",Properties!$A$4:$A$1809,0))</x:f>
        <x:v>74</x:v>
      </x:c>
      <x:c r="Q29" s="7" t="s">
        <x:v>308</x:v>
      </x:c>
      <x:c r="R29" s="9" t="n">
        <x:f aca="0">MEDIAN(INDEX('Prices CA'!$J$4:$J$107,MATCH("CA0033",'Prices CA'!$A$4:$A$107,0)))</x:f>
        <x:v>25.99</x:v>
      </x:c>
      <x:c r="S29" s="7" t="s">
        <x:v>309</x:v>
      </x:c>
      <x:c r="T29" s="7" t="s">
        <x:v>132</x:v>
      </x:c>
      <x:c r="U29" s="7" t="s">
        <x:v>286</x:v>
      </x:c>
      <x:c r="V29" s="7" t="s">
        <x:v>61</x:v>
      </x:c>
      <x:c r="W29" s="7" t="s">
        <x:v>310</x:v>
      </x:c>
      <x:c r="X29" s="7" t="s">
        <x:v>267</x:v>
      </x:c>
      <x:c r="Y29" s="7" t="s">
        <x:v>63</x:v>
      </x:c>
      <x:c r="Z29" s="7" t="s">
        <x:v>301</x:v>
      </x:c>
      <x:c r="AA29" s="7" t="s">
        <x:v>301</x:v>
      </x:c>
      <x:c r="AB29" s="7" t="s">
        <x:v>267</x:v>
      </x:c>
      <x:c r="AC29" s="7" t="s">
        <x:v>90</x:v>
      </x:c>
      <x:c r="AD29" s="7" t="s">
        <x:v>65</x:v>
      </x:c>
      <x:c r="AE29" s="7" t="s">
        <x:v>66</x:v>
      </x:c>
      <x:c r="AF29" s="7" t="s">
        <x:v>67</x:v>
      </x:c>
      <x:c r="AG29" s="7" t="s">
        <x:v>58</x:v>
      </x:c>
      <x:c r="AH29" s="7" t="s">
        <x:v>302</x:v>
      </x:c>
      <x:c r="AI29" s="7" t="s">
        <x:v>69</x:v>
      </x:c>
      <x:c r="AJ29" s="7" t="s">
        <x:v>91</x:v>
      </x:c>
      <x:c r="AK29" s="7" t="s">
        <x:v>311</x:v>
      </x:c>
      <x:c r="AL29" s="7" t="str">
        <x:v>Q00093; Q00094; Q00095; Q00096; Q00097</x:v>
      </x:c>
      <x:c r="AM29" s="7" t="s">
        <x:v>72</x:v>
      </x:c>
      <x:c r="AN29" s="7" t="s">
        <x:v>73</x:v>
      </x:c>
      <x:c r="AO29" s="7" t="s">
        <x:v>74</x:v>
      </x:c>
      <x:c r="AP29" s="8" t="s">
        <x:v>53</x:v>
      </x:c>
      <x:c r="AQ29" s="7" t="s">
        <x:v>75</x:v>
      </x:c>
    </x:row>
    <x:row r="30" ht="51.75" hidden="0" customHeight="1">
      <x:c r="A30" s="7" t="s">
        <x:v>313</x:v>
      </x:c>
      <x:c r="B30" s="7" t="s">
        <x:v>314</x:v>
      </x:c>
      <x:c r="C30" s="7" t="s">
        <x:v>267</x:v>
      </x:c>
      <x:c r="D30" s="7" t="s">
        <x:v>78</x:v>
      </x:c>
      <x:c r="E30" s="7" t="s">
        <x:v>315</x:v>
      </x:c>
      <x:c r="F30" s="7" t="s">
        <x:v>316</x:v>
      </x:c>
      <x:c r="G30" s="7" t="s">
        <x:v>281</x:v>
      </x:c>
      <x:c r="H30" s="7" t="str">
        <x:v>35 - 50 °C</x:v>
      </x:c>
      <x:c r="I30" s="7" t="s">
        <x:v>317</x:v>
      </x:c>
      <x:c r="J30" s="8" t="n">
        <x:f aca="0">INDEX(Properties!$L$4:$L$1809,MATCH("V000484",Properties!$A$4:$A$1809,0))</x:f>
        <x:v>1250</x:v>
      </x:c>
      <x:c r="K30" s="8" t="n">
        <x:f aca="0">INDEX(Properties!$L$4:$L$1809,MATCH("V000492",Properties!$A$4:$A$1809,0))</x:f>
        <x:v>2.46</x:v>
      </x:c>
      <x:c r="L30" s="8" t="n">
        <x:f aca="0">INDEX(Properties!$L$4:$L$1809,MATCH("V000494",Properties!$A$4:$A$1809,0))</x:f>
        <x:v>35</x:v>
      </x:c>
      <x:c r="M30" s="8" t="n">
        <x:f aca="0">INDEX(Properties!$L$4:$L$1809,MATCH("V000496",Properties!$A$4:$A$1809,0))</x:f>
        <x:v>10.4</x:v>
      </x:c>
      <x:c r="N30" s="7" t="s">
        <x:v>318</x:v>
      </x:c>
      <x:c r="O30" s="7" t="s">
        <x:v>307</x:v>
      </x:c>
      <x:c r="P30" s="8" t="n">
        <x:f aca="0">INDEX(Properties!$L$4:$L$1809,MATCH("V000490",Properties!$A$4:$A$1809,0))</x:f>
        <x:v>74</x:v>
      </x:c>
      <x:c r="Q30" s="7" t="s">
        <x:v>319</x:v>
      </x:c>
      <x:c r="R30" s="9" t="n">
        <x:f aca="0">MEDIAN(INDEX('Prices CA'!$J$4:$J$107,MATCH("CA0036",'Prices CA'!$A$4:$A$107,0)))</x:f>
        <x:v>40.99</x:v>
      </x:c>
      <x:c r="S30" s="7" t="s">
        <x:v>320</x:v>
      </x:c>
      <x:c r="T30" s="7" t="s">
        <x:v>132</x:v>
      </x:c>
      <x:c r="U30" s="7" t="s">
        <x:v>286</x:v>
      </x:c>
      <x:c r="V30" s="7" t="s">
        <x:v>61</x:v>
      </x:c>
      <x:c r="W30" s="7" t="s">
        <x:v>321</x:v>
      </x:c>
      <x:c r="X30" s="7" t="s">
        <x:v>267</x:v>
      </x:c>
      <x:c r="Y30" s="7" t="s">
        <x:v>63</x:v>
      </x:c>
      <x:c r="Z30" s="7" t="s">
        <x:v>314</x:v>
      </x:c>
      <x:c r="AA30" s="7" t="s">
        <x:v>314</x:v>
      </x:c>
      <x:c r="AB30" s="7" t="s">
        <x:v>267</x:v>
      </x:c>
      <x:c r="AC30" s="7" t="s">
        <x:v>249</x:v>
      </x:c>
      <x:c r="AD30" s="7" t="s">
        <x:v>65</x:v>
      </x:c>
      <x:c r="AE30" s="7" t="s">
        <x:v>66</x:v>
      </x:c>
      <x:c r="AF30" s="7" t="s">
        <x:v>67</x:v>
      </x:c>
      <x:c r="AG30" s="7" t="s">
        <x:v>58</x:v>
      </x:c>
      <x:c r="AH30" s="7" t="s">
        <x:v>315</x:v>
      </x:c>
      <x:c r="AI30" s="7" t="s">
        <x:v>69</x:v>
      </x:c>
      <x:c r="AJ30" s="7" t="s">
        <x:v>91</x:v>
      </x:c>
      <x:c r="AK30" s="7" t="s">
        <x:v>322</x:v>
      </x:c>
      <x:c r="AL30" s="7" t="str">
        <x:v>Q00100; Q00101; Q00102; Q00103; Q00104</x:v>
      </x:c>
      <x:c r="AM30" s="7" t="s">
        <x:v>72</x:v>
      </x:c>
      <x:c r="AN30" s="7" t="s">
        <x:v>73</x:v>
      </x:c>
      <x:c r="AO30" s="7" t="s">
        <x:v>74</x:v>
      </x:c>
      <x:c r="AP30" s="8" t="s">
        <x:v>53</x:v>
      </x:c>
      <x:c r="AQ30" s="7" t="s">
        <x:v>75</x:v>
      </x:c>
    </x:row>
    <x:row r="31" ht="51.75" hidden="0" customHeight="1">
      <x:c r="A31" s="7" t="s">
        <x:v>324</x:v>
      </x:c>
      <x:c r="B31" s="7" t="s">
        <x:v>325</x:v>
      </x:c>
      <x:c r="C31" s="7" t="s">
        <x:v>267</x:v>
      </x:c>
      <x:c r="D31" s="7" t="s">
        <x:v>47</x:v>
      </x:c>
      <x:c r="E31" s="7" t="s">
        <x:v>326</x:v>
      </x:c>
      <x:c r="F31" s="7" t="s">
        <x:v>53</x:v>
      </x:c>
      <x:c r="G31" s="7" t="s">
        <x:v>53</x:v>
      </x:c>
      <x:c r="H31" s="7" t="s">
        <x:v>53</x:v>
      </x:c>
      <x:c r="I31" s="7" t="s">
        <x:v>327</x:v>
      </x:c>
      <x:c r="J31" s="8" t="n">
        <x:f aca="0">INDEX(Properties!$L$4:$L$1809,MATCH("V000505",Properties!$A$4:$A$1809,0))</x:f>
        <x:v>1260</x:v>
      </x:c>
      <x:c r="K31" s="8" t="s">
        <x:v>53</x:v>
      </x:c>
      <x:c r="L31" s="8" t="s">
        <x:v>53</x:v>
      </x:c>
      <x:c r="M31" s="8" t="s">
        <x:v>53</x:v>
      </x:c>
      <x:c r="N31" s="7" t="s">
        <x:v>328</x:v>
      </x:c>
      <x:c r="O31" s="7" t="s">
        <x:v>55</x:v>
      </x:c>
      <x:c r="P31" s="8" t="s">
        <x:v>53</x:v>
      </x:c>
      <x:c r="Q31" s="7" t="s">
        <x:v>58</x:v>
      </x:c>
      <x:c r="R31" s="9" t="s">
        <x:v>57</x:v>
      </x:c>
      <x:c r="S31" s="7" t="s">
        <x:v>58</x:v>
      </x:c>
      <x:c r="T31" s="7" t="s">
        <x:v>59</x:v>
      </x:c>
      <x:c r="U31" s="7" t="s">
        <x:v>286</x:v>
      </x:c>
      <x:c r="V31" s="7" t="s">
        <x:v>61</x:v>
      </x:c>
      <x:c r="W31" s="7" t="s">
        <x:v>329</x:v>
      </x:c>
      <x:c r="X31" s="7" t="s">
        <x:v>267</x:v>
      </x:c>
      <x:c r="Y31" s="7" t="s">
        <x:v>63</x:v>
      </x:c>
      <x:c r="Z31" s="7" t="s">
        <x:v>325</x:v>
      </x:c>
      <x:c r="AA31" s="7" t="s">
        <x:v>325</x:v>
      </x:c>
      <x:c r="AB31" s="7" t="s">
        <x:v>267</x:v>
      </x:c>
      <x:c r="AC31" s="7" t="s">
        <x:v>262</x:v>
      </x:c>
      <x:c r="AD31" s="7" t="s">
        <x:v>65</x:v>
      </x:c>
      <x:c r="AE31" s="7" t="s">
        <x:v>66</x:v>
      </x:c>
      <x:c r="AF31" s="7" t="s">
        <x:v>67</x:v>
      </x:c>
      <x:c r="AG31" s="7" t="s">
        <x:v>58</x:v>
      </x:c>
      <x:c r="AH31" s="7" t="s">
        <x:v>326</x:v>
      </x:c>
      <x:c r="AI31" s="7" t="s">
        <x:v>69</x:v>
      </x:c>
      <x:c r="AJ31" s="7" t="s">
        <x:v>53</x:v>
      </x:c>
      <x:c r="AK31" s="7" t="s">
        <x:v>289</x:v>
      </x:c>
      <x:c r="AL31" s="7" t="str">
        <x:v>Not published</x:v>
      </x:c>
      <x:c r="AM31" s="7" t="s">
        <x:v>72</x:v>
      </x:c>
      <x:c r="AN31" s="7" t="s">
        <x:v>73</x:v>
      </x:c>
      <x:c r="AO31" s="7" t="s">
        <x:v>74</x:v>
      </x:c>
      <x:c r="AP31" s="8" t="s">
        <x:v>53</x:v>
      </x:c>
      <x:c r="AQ31" s="7" t="s">
        <x:v>75</x:v>
      </x:c>
    </x:row>
    <x:row r="32" ht="51.75" hidden="0" customHeight="1">
      <x:c r="A32" s="7" t="s">
        <x:v>330</x:v>
      </x:c>
      <x:c r="B32" s="7" t="s">
        <x:v>331</x:v>
      </x:c>
      <x:c r="C32" s="7" t="s">
        <x:v>267</x:v>
      </x:c>
      <x:c r="D32" s="7" t="s">
        <x:v>106</x:v>
      </x:c>
      <x:c r="E32" s="7" t="s">
        <x:v>332</x:v>
      </x:c>
      <x:c r="F32" s="7" t="s">
        <x:v>333</x:v>
      </x:c>
      <x:c r="G32" s="7" t="s">
        <x:v>334</x:v>
      </x:c>
      <x:c r="H32" s="7" t="s">
        <x:v>51</x:v>
      </x:c>
      <x:c r="I32" s="7" t="s">
        <x:v>335</x:v>
      </x:c>
      <x:c r="J32" s="8" t="n">
        <x:f aca="0">INDEX(Properties!$L$4:$L$1809,MATCH("V000510",Properties!$A$4:$A$1809,0))</x:f>
        <x:v>1280</x:v>
      </x:c>
      <x:c r="K32" s="8" t="n">
        <x:f aca="0">INDEX(Properties!$L$4:$L$1809,MATCH("V000512",Properties!$A$4:$A$1809,0))</x:f>
        <x:v>1.8</x:v>
      </x:c>
      <x:c r="L32" s="8" t="s">
        <x:v>53</x:v>
      </x:c>
      <x:c r="M32" s="8" t="n">
        <x:f aca="0">INDEX(Properties!$L$4:$L$1809,MATCH("V000513",Properties!$A$4:$A$1809,0))</x:f>
        <x:v>13</x:v>
      </x:c>
      <x:c r="N32" s="7" t="s">
        <x:v>336</x:v>
      </x:c>
      <x:c r="O32" s="7" t="s">
        <x:v>55</x:v>
      </x:c>
      <x:c r="P32" s="8" t="n">
        <x:f aca="0">INDEX(Properties!$L$4:$L$1809,MATCH("V000517",Properties!$A$4:$A$1809,0))</x:f>
        <x:v>75</x:v>
      </x:c>
      <x:c r="Q32" s="7" t="s">
        <x:v>337</x:v>
      </x:c>
      <x:c r="R32" s="9" t="s">
        <x:v>57</x:v>
      </x:c>
      <x:c r="S32" s="7" t="s">
        <x:v>58</x:v>
      </x:c>
      <x:c r="T32" s="7" t="s">
        <x:v>59</x:v>
      </x:c>
      <x:c r="U32" s="7" t="s">
        <x:v>286</x:v>
      </x:c>
      <x:c r="V32" s="7" t="s">
        <x:v>61</x:v>
      </x:c>
      <x:c r="W32" s="7" t="s">
        <x:v>338</x:v>
      </x:c>
      <x:c r="X32" s="7" t="s">
        <x:v>267</x:v>
      </x:c>
      <x:c r="Y32" s="7" t="s">
        <x:v>63</x:v>
      </x:c>
      <x:c r="Z32" s="7" t="s">
        <x:v>331</x:v>
      </x:c>
      <x:c r="AA32" s="7" t="s">
        <x:v>331</x:v>
      </x:c>
      <x:c r="AB32" s="7" t="s">
        <x:v>267</x:v>
      </x:c>
      <x:c r="AC32" s="7" t="s">
        <x:v>339</x:v>
      </x:c>
      <x:c r="AD32" s="7" t="s">
        <x:v>65</x:v>
      </x:c>
      <x:c r="AE32" s="7" t="s">
        <x:v>66</x:v>
      </x:c>
      <x:c r="AF32" s="7" t="s">
        <x:v>67</x:v>
      </x:c>
      <x:c r="AG32" s="7" t="s">
        <x:v>58</x:v>
      </x:c>
      <x:c r="AH32" s="7" t="s">
        <x:v>340</x:v>
      </x:c>
      <x:c r="AI32" s="7" t="s">
        <x:v>69</x:v>
      </x:c>
      <x:c r="AJ32" s="7" t="s">
        <x:v>53</x:v>
      </x:c>
      <x:c r="AK32" s="7" t="s">
        <x:v>289</x:v>
      </x:c>
      <x:c r="AL32" s="7" t="s">
        <x:v>341</x:v>
      </x:c>
      <x:c r="AM32" s="7" t="s">
        <x:v>72</x:v>
      </x:c>
      <x:c r="AN32" s="7" t="s">
        <x:v>73</x:v>
      </x:c>
      <x:c r="AO32" s="7" t="s">
        <x:v>74</x:v>
      </x:c>
      <x:c r="AP32" s="8" t="s">
        <x:v>53</x:v>
      </x:c>
      <x:c r="AQ32" s="7" t="s">
        <x:v>75</x:v>
      </x:c>
    </x:row>
    <x:row r="33" ht="51.75" hidden="0" customHeight="1">
      <x:c r="A33" s="7" t="s">
        <x:v>342</x:v>
      </x:c>
      <x:c r="B33" s="7" t="s">
        <x:v>343</x:v>
      </x:c>
      <x:c r="C33" s="7" t="s">
        <x:v>343</x:v>
      </x:c>
      <x:c r="D33" s="7" t="s">
        <x:v>78</x:v>
      </x:c>
      <x:c r="E33" s="7" t="s">
        <x:v>344</x:v>
      </x:c>
      <x:c r="F33" s="7" t="s">
        <x:v>316</x:v>
      </x:c>
      <x:c r="G33" s="7" t="s">
        <x:v>345</x:v>
      </x:c>
      <x:c r="H33" s="7" t="s">
        <x:v>346</x:v>
      </x:c>
      <x:c r="I33" s="7" t="s">
        <x:v>347</x:v>
      </x:c>
      <x:c r="J33" s="8" t="n">
        <x:f aca="0">INDEX(Properties!$L$4:$L$1809,MATCH("V000546",Properties!$A$4:$A$1809,0))</x:f>
        <x:v>1050</x:v>
      </x:c>
      <x:c r="K33" s="8" t="n">
        <x:f aca="0">INDEX(Properties!$L$4:$L$1809,MATCH("V000554",Properties!$A$4:$A$1809,0))</x:f>
        <x:v>2.2</x:v>
      </x:c>
      <x:c r="L33" s="8" t="n">
        <x:f aca="0">INDEX(Properties!$L$4:$L$1809,MATCH("V000556",Properties!$A$4:$A$1809,0))</x:f>
        <x:v>33</x:v>
      </x:c>
      <x:c r="M33" s="8" t="n">
        <x:f aca="0">INDEX(Properties!$L$4:$L$1809,MATCH("V000558",Properties!$A$4:$A$1809,0))</x:f>
        <x:v>10.5</x:v>
      </x:c>
      <x:c r="N33" s="7" t="s">
        <x:v>348</x:v>
      </x:c>
      <x:c r="O33" s="7" t="s">
        <x:v>349</x:v>
      </x:c>
      <x:c r="P33" s="8" t="n">
        <x:f aca="0">INDEX(Properties!$L$4:$L$1809,MATCH("V000552",Properties!$A$4:$A$1809,0))</x:f>
        <x:v>87</x:v>
      </x:c>
      <x:c r="Q33" s="7" t="s">
        <x:v>350</x:v>
      </x:c>
      <x:c r="R33" s="9" t="n">
        <x:f aca="0">MEDIAN(INDEX('Prices CA'!$J$4:$J$107,MATCH("CA0037",'Prices CA'!$A$4:$A$107,0)))</x:f>
        <x:v>25.99</x:v>
      </x:c>
      <x:c r="S33" s="7" t="s">
        <x:v>6225</x:v>
      </x:c>
      <x:c r="T33" s="7" t="s">
        <x:v>132</x:v>
      </x:c>
      <x:c r="U33" s="7" t="s">
        <x:v>352</x:v>
      </x:c>
      <x:c r="V33" s="7" t="s">
        <x:v>61</x:v>
      </x:c>
      <x:c r="W33" s="7" t="s">
        <x:v>353</x:v>
      </x:c>
      <x:c r="X33" s="7" t="s">
        <x:v>343</x:v>
      </x:c>
      <x:c r="Y33" s="7" t="s">
        <x:v>63</x:v>
      </x:c>
      <x:c r="Z33" s="7" t="s">
        <x:v>343</x:v>
      </x:c>
      <x:c r="AA33" s="7" t="s">
        <x:v>343</x:v>
      </x:c>
      <x:c r="AB33" s="7" t="s">
        <x:v>343</x:v>
      </x:c>
      <x:c r="AC33" s="7" t="s">
        <x:v>64</x:v>
      </x:c>
      <x:c r="AD33" s="7" t="s">
        <x:v>65</x:v>
      </x:c>
      <x:c r="AE33" s="7" t="s">
        <x:v>66</x:v>
      </x:c>
      <x:c r="AF33" s="7" t="s">
        <x:v>67</x:v>
      </x:c>
      <x:c r="AG33" s="7" t="s">
        <x:v>58</x:v>
      </x:c>
      <x:c r="AH33" s="7" t="s">
        <x:v>344</x:v>
      </x:c>
      <x:c r="AI33" s="7" t="s">
        <x:v>69</x:v>
      </x:c>
      <x:c r="AJ33" s="7" t="s">
        <x:v>91</x:v>
      </x:c>
      <x:c r="AK33" s="7" t="s">
        <x:v>354</x:v>
      </x:c>
      <x:c r="AL33" s="7" t="str">
        <x:v>Q00112; Q00113; Q00114; Q00115; Q00116; Q00283; Q00349</x:v>
      </x:c>
      <x:c r="AM33" s="7" t="s">
        <x:v>72</x:v>
      </x:c>
      <x:c r="AN33" s="7" t="s">
        <x:v>73</x:v>
      </x:c>
      <x:c r="AO33" s="7" t="s">
        <x:v>74</x:v>
      </x:c>
      <x:c r="AP33" s="8" t="n">
        <x:v>4</x:v>
      </x:c>
      <x:c r="AQ33" s="7" t="s">
        <x:v>75</x:v>
      </x:c>
    </x:row>
    <x:row r="34" ht="51.75" hidden="0" customHeight="1">
      <x:c r="A34" s="7" t="s">
        <x:v>356</x:v>
      </x:c>
      <x:c r="B34" s="7" t="s">
        <x:v>357</x:v>
      </x:c>
      <x:c r="C34" s="7" t="s">
        <x:v>343</x:v>
      </x:c>
      <x:c r="D34" s="7" t="s">
        <x:v>78</x:v>
      </x:c>
      <x:c r="E34" s="7" t="s">
        <x:v>358</x:v>
      </x:c>
      <x:c r="F34" s="7" t="s">
        <x:v>359</x:v>
      </x:c>
      <x:c r="G34" s="7" t="s">
        <x:v>360</x:v>
      </x:c>
      <x:c r="H34" s="7" t="s">
        <x:v>346</x:v>
      </x:c>
      <x:c r="I34" s="7" t="s">
        <x:v>361</x:v>
      </x:c>
      <x:c r="J34" s="8" t="n">
        <x:f aca="0">INDEX(Properties!$L$4:$L$1809,MATCH("V000567",Properties!$A$4:$A$1809,0))</x:f>
        <x:v>1080</x:v>
      </x:c>
      <x:c r="K34" s="8" t="n">
        <x:f aca="0">INDEX(Properties!$L$4:$L$1809,MATCH("V000575",Properties!$A$4:$A$1809,0))</x:f>
        <x:v>3.16</x:v>
      </x:c>
      <x:c r="L34" s="8" t="n">
        <x:f aca="0">INDEX(Properties!$L$4:$L$1809,MATCH("V000577",Properties!$A$4:$A$1809,0))</x:f>
        <x:v>36</x:v>
      </x:c>
      <x:c r="M34" s="8" t="n">
        <x:f aca="0">INDEX(Properties!$L$4:$L$1809,MATCH("V000579",Properties!$A$4:$A$1809,0))</x:f>
        <x:v>1.2</x:v>
      </x:c>
      <x:c r="N34" s="7" t="s">
        <x:v>362</x:v>
      </x:c>
      <x:c r="O34" s="7" t="s">
        <x:v>349</x:v>
      </x:c>
      <x:c r="P34" s="8" t="n">
        <x:f aca="0">INDEX(Properties!$L$4:$L$1809,MATCH("V000573",Properties!$A$4:$A$1809,0))</x:f>
        <x:v>99</x:v>
      </x:c>
      <x:c r="Q34" s="7" t="s">
        <x:v>363</x:v>
      </x:c>
      <x:c r="R34" s="9" t="n">
        <x:f aca="0">MEDIAN(INDEX('Prices CA'!$J$4:$J$107,MATCH("CA0040",'Prices CA'!$A$4:$A$107,0)))</x:f>
        <x:v>38.99</x:v>
      </x:c>
      <x:c r="S34" s="7" t="s">
        <x:v>364</x:v>
      </x:c>
      <x:c r="T34" s="7" t="s">
        <x:v>132</x:v>
      </x:c>
      <x:c r="U34" s="7" t="s">
        <x:v>365</x:v>
      </x:c>
      <x:c r="V34" s="7" t="s">
        <x:v>61</x:v>
      </x:c>
      <x:c r="W34" s="7" t="s">
        <x:v>366</x:v>
      </x:c>
      <x:c r="X34" s="7" t="s">
        <x:v>343</x:v>
      </x:c>
      <x:c r="Y34" s="7" t="s">
        <x:v>63</x:v>
      </x:c>
      <x:c r="Z34" s="7" t="s">
        <x:v>357</x:v>
      </x:c>
      <x:c r="AA34" s="7" t="s">
        <x:v>357</x:v>
      </x:c>
      <x:c r="AB34" s="7" t="s">
        <x:v>343</x:v>
      </x:c>
      <x:c r="AC34" s="7" t="s">
        <x:v>262</x:v>
      </x:c>
      <x:c r="AD34" s="7" t="s">
        <x:v>65</x:v>
      </x:c>
      <x:c r="AE34" s="7" t="s">
        <x:v>66</x:v>
      </x:c>
      <x:c r="AF34" s="7" t="s">
        <x:v>67</x:v>
      </x:c>
      <x:c r="AG34" s="7" t="s">
        <x:v>58</x:v>
      </x:c>
      <x:c r="AH34" s="7" t="s">
        <x:v>358</x:v>
      </x:c>
      <x:c r="AI34" s="7" t="s">
        <x:v>69</x:v>
      </x:c>
      <x:c r="AJ34" s="7" t="s">
        <x:v>91</x:v>
      </x:c>
      <x:c r="AK34" s="7" t="s">
        <x:v>367</x:v>
      </x:c>
      <x:c r="AL34" s="7" t="str">
        <x:v>Q00421; Q00422; Q00423; Q00424; Q00425</x:v>
      </x:c>
      <x:c r="AM34" s="7" t="s">
        <x:v>72</x:v>
      </x:c>
      <x:c r="AN34" s="7" t="s">
        <x:v>73</x:v>
      </x:c>
      <x:c r="AO34" s="7" t="s">
        <x:v>74</x:v>
      </x:c>
      <x:c r="AP34" s="8" t="s">
        <x:v>53</x:v>
      </x:c>
      <x:c r="AQ34" s="7" t="s">
        <x:v>75</x:v>
      </x:c>
    </x:row>
    <x:row r="35" ht="51.75" hidden="0" customHeight="1">
      <x:c r="A35" s="7" t="s">
        <x:v>369</x:v>
      </x:c>
      <x:c r="B35" s="7" t="s">
        <x:v>370</x:v>
      </x:c>
      <x:c r="C35" s="7" t="s">
        <x:v>343</x:v>
      </x:c>
      <x:c r="D35" s="7" t="s">
        <x:v>47</x:v>
      </x:c>
      <x:c r="E35" s="7" t="s">
        <x:v>371</x:v>
      </x:c>
      <x:c r="F35" s="7" t="s">
        <x:v>372</x:v>
      </x:c>
      <x:c r="G35" s="7" t="s">
        <x:v>373</x:v>
      </x:c>
      <x:c r="H35" s="7" t="s">
        <x:v>374</x:v>
      </x:c>
      <x:c r="I35" s="7" t="s">
        <x:v>375</x:v>
      </x:c>
      <x:c r="J35" s="8" t="n">
        <x:f aca="0">INDEX(Properties!$L$4:$L$1809,MATCH("V000587",Properties!$A$4:$A$1809,0))</x:f>
        <x:v>1110</x:v>
      </x:c>
      <x:c r="K35" s="8" t="n">
        <x:f aca="0">INDEX(Properties!$L$4:$L$1809,MATCH("V000589",Properties!$A$4:$A$1809,0))</x:f>
        <x:v>5.21</x:v>
      </x:c>
      <x:c r="L35" s="8" t="s">
        <x:v>53</x:v>
      </x:c>
      <x:c r="M35" s="8" t="n">
        <x:f aca="0">INDEX(Properties!$L$4:$L$1809,MATCH("V000590",Properties!$A$4:$A$1809,0))</x:f>
        <x:v>2</x:v>
      </x:c>
      <x:c r="N35" s="7" t="s">
        <x:v>376</x:v>
      </x:c>
      <x:c r="O35" s="7" t="s">
        <x:v>55</x:v>
      </x:c>
      <x:c r="P35" s="8" t="n">
        <x:f aca="0">INDEX(Properties!$L$4:$L$1809,MATCH("V000594",Properties!$A$4:$A$1809,0))</x:f>
        <x:v>76</x:v>
      </x:c>
      <x:c r="Q35" s="7" t="s">
        <x:v>377</x:v>
      </x:c>
      <x:c r="R35" s="9" t="s">
        <x:v>57</x:v>
      </x:c>
      <x:c r="S35" s="7" t="s">
        <x:v>58</x:v>
      </x:c>
      <x:c r="T35" s="7" t="s">
        <x:v>59</x:v>
      </x:c>
      <x:c r="U35" s="7" t="s">
        <x:v>365</x:v>
      </x:c>
      <x:c r="V35" s="7" t="s">
        <x:v>61</x:v>
      </x:c>
      <x:c r="W35" s="7" t="s">
        <x:v>378</x:v>
      </x:c>
      <x:c r="X35" s="7" t="s">
        <x:v>343</x:v>
      </x:c>
      <x:c r="Y35" s="7" t="s">
        <x:v>63</x:v>
      </x:c>
      <x:c r="Z35" s="7" t="s">
        <x:v>370</x:v>
      </x:c>
      <x:c r="AA35" s="7" t="s">
        <x:v>370</x:v>
      </x:c>
      <x:c r="AB35" s="7" t="s">
        <x:v>343</x:v>
      </x:c>
      <x:c r="AC35" s="7" t="s">
        <x:v>249</x:v>
      </x:c>
      <x:c r="AD35" s="7" t="s">
        <x:v>65</x:v>
      </x:c>
      <x:c r="AE35" s="7" t="s">
        <x:v>66</x:v>
      </x:c>
      <x:c r="AF35" s="7" t="s">
        <x:v>67</x:v>
      </x:c>
      <x:c r="AG35" s="7" t="s">
        <x:v>58</x:v>
      </x:c>
      <x:c r="AH35" s="7" t="s">
        <x:v>379</x:v>
      </x:c>
      <x:c r="AI35" s="7" t="s">
        <x:v>69</x:v>
      </x:c>
      <x:c r="AJ35" s="7" t="s">
        <x:v>53</x:v>
      </x:c>
      <x:c r="AK35" s="7" t="s">
        <x:v>368</x:v>
      </x:c>
      <x:c r="AL35" s="7" t="str">
        <x:v>Not published</x:v>
      </x:c>
      <x:c r="AM35" s="7" t="s">
        <x:v>72</x:v>
      </x:c>
      <x:c r="AN35" s="7" t="s">
        <x:v>73</x:v>
      </x:c>
      <x:c r="AO35" s="7" t="s">
        <x:v>74</x:v>
      </x:c>
      <x:c r="AP35" s="8" t="s">
        <x:v>53</x:v>
      </x:c>
      <x:c r="AQ35" s="7" t="s">
        <x:v>75</x:v>
      </x:c>
    </x:row>
    <x:row r="36" ht="51.75" hidden="0" customHeight="1">
      <x:c r="A36" s="7" t="s">
        <x:v>380</x:v>
      </x:c>
      <x:c r="B36" s="7" t="s">
        <x:v>381</x:v>
      </x:c>
      <x:c r="C36" s="7" t="s">
        <x:v>343</x:v>
      </x:c>
      <x:c r="D36" s="7" t="s">
        <x:v>106</x:v>
      </x:c>
      <x:c r="E36" s="7" t="s">
        <x:v>382</x:v>
      </x:c>
      <x:c r="F36" s="7" t="s">
        <x:v>383</x:v>
      </x:c>
      <x:c r="G36" s="7" t="s">
        <x:v>384</x:v>
      </x:c>
      <x:c r="H36" s="7" t="s">
        <x:v>374</x:v>
      </x:c>
      <x:c r="I36" s="7" t="s">
        <x:v>385</x:v>
      </x:c>
      <x:c r="J36" s="8" t="n">
        <x:f aca="0">INDEX(Properties!$L$4:$L$1809,MATCH("V000596",Properties!$A$4:$A$1809,0))</x:f>
        <x:v>1090</x:v>
      </x:c>
      <x:c r="K36" s="8" t="n">
        <x:f aca="0">INDEX(Properties!$L$4:$L$1809,MATCH("V000598",Properties!$A$4:$A$1809,0))</x:f>
        <x:v>2.13</x:v>
      </x:c>
      <x:c r="L36" s="8" t="s">
        <x:v>53</x:v>
      </x:c>
      <x:c r="M36" s="8" t="n">
        <x:f aca="0">INDEX(Properties!$L$4:$L$1809,MATCH("V000599",Properties!$A$4:$A$1809,0))</x:f>
        <x:v>4</x:v>
      </x:c>
      <x:c r="N36" s="7" t="s">
        <x:v>386</x:v>
      </x:c>
      <x:c r="O36" s="7" t="s">
        <x:v>55</x:v>
      </x:c>
      <x:c r="P36" s="8" t="n">
        <x:f aca="0">INDEX(Properties!$L$4:$L$1809,MATCH("V000603",Properties!$A$4:$A$1809,0))</x:f>
        <x:v>97</x:v>
      </x:c>
      <x:c r="Q36" s="7" t="s">
        <x:v>387</x:v>
      </x:c>
      <x:c r="R36" s="9" t="s">
        <x:v>57</x:v>
      </x:c>
      <x:c r="S36" s="7" t="s">
        <x:v>58</x:v>
      </x:c>
      <x:c r="T36" s="7" t="s">
        <x:v>59</x:v>
      </x:c>
      <x:c r="U36" s="7" t="s">
        <x:v>365</x:v>
      </x:c>
      <x:c r="V36" s="7" t="s">
        <x:v>61</x:v>
      </x:c>
      <x:c r="W36" s="7" t="s">
        <x:v>388</x:v>
      </x:c>
      <x:c r="X36" s="7" t="s">
        <x:v>343</x:v>
      </x:c>
      <x:c r="Y36" s="7" t="s">
        <x:v>63</x:v>
      </x:c>
      <x:c r="Z36" s="7" t="s">
        <x:v>381</x:v>
      </x:c>
      <x:c r="AA36" s="7" t="s">
        <x:v>381</x:v>
      </x:c>
      <x:c r="AB36" s="7" t="s">
        <x:v>343</x:v>
      </x:c>
      <x:c r="AC36" s="7" t="s">
        <x:v>339</x:v>
      </x:c>
      <x:c r="AD36" s="7" t="s">
        <x:v>65</x:v>
      </x:c>
      <x:c r="AE36" s="7" t="s">
        <x:v>66</x:v>
      </x:c>
      <x:c r="AF36" s="7" t="s">
        <x:v>67</x:v>
      </x:c>
      <x:c r="AG36" s="7" t="s">
        <x:v>58</x:v>
      </x:c>
      <x:c r="AH36" s="7" t="s">
        <x:v>389</x:v>
      </x:c>
      <x:c r="AI36" s="7" t="s">
        <x:v>69</x:v>
      </x:c>
      <x:c r="AJ36" s="7" t="s">
        <x:v>53</x:v>
      </x:c>
      <x:c r="AK36" s="7" t="s">
        <x:v>368</x:v>
      </x:c>
      <x:c r="AL36" s="7" t="str">
        <x:v>Not published</x:v>
      </x:c>
      <x:c r="AM36" s="7" t="s">
        <x:v>72</x:v>
      </x:c>
      <x:c r="AN36" s="7" t="s">
        <x:v>73</x:v>
      </x:c>
      <x:c r="AO36" s="7" t="s">
        <x:v>74</x:v>
      </x:c>
      <x:c r="AP36" s="8" t="s">
        <x:v>53</x:v>
      </x:c>
      <x:c r="AQ36" s="7" t="s">
        <x:v>75</x:v>
      </x:c>
    </x:row>
    <x:row r="37" ht="51.75" hidden="0" customHeight="1">
      <x:c r="A37" s="7" t="s">
        <x:v>390</x:v>
      </x:c>
      <x:c r="B37" s="7" t="s">
        <x:v>391</x:v>
      </x:c>
      <x:c r="C37" s="7" t="s">
        <x:v>391</x:v>
      </x:c>
      <x:c r="D37" s="7" t="s">
        <x:v>78</x:v>
      </x:c>
      <x:c r="E37" s="7" t="s">
        <x:v>392</x:v>
      </x:c>
      <x:c r="F37" s="7" t="s">
        <x:v>316</x:v>
      </x:c>
      <x:c r="G37" s="7" t="s">
        <x:v>345</x:v>
      </x:c>
      <x:c r="H37" s="7" t="s">
        <x:v>346</x:v>
      </x:c>
      <x:c r="I37" s="7" t="s">
        <x:v>393</x:v>
      </x:c>
      <x:c r="J37" s="8" t="n">
        <x:f aca="0">INDEX(Properties!$L$4:$L$1809,MATCH("V000612",Properties!$A$4:$A$1809,0))</x:f>
        <x:v>1050</x:v>
      </x:c>
      <x:c r="K37" s="8" t="n">
        <x:f aca="0">INDEX(Properties!$L$4:$L$1809,MATCH("V000620",Properties!$A$4:$A$1809,0))</x:f>
        <x:v>2.45</x:v>
      </x:c>
      <x:c r="L37" s="8" t="n">
        <x:f aca="0">INDEX(Properties!$L$4:$L$1809,MATCH("V000622",Properties!$A$4:$A$1809,0))</x:f>
        <x:v>37</x:v>
      </x:c>
      <x:c r="M37" s="8" t="n">
        <x:f aca="0">INDEX(Properties!$L$4:$L$1809,MATCH("V000624",Properties!$A$4:$A$1809,0))</x:f>
        <x:v>9.2</x:v>
      </x:c>
      <x:c r="N37" s="7" t="s">
        <x:v>394</x:v>
      </x:c>
      <x:c r="O37" s="7" t="s">
        <x:v>349</x:v>
      </x:c>
      <x:c r="P37" s="8" t="n">
        <x:f aca="0">INDEX(Properties!$L$4:$L$1809,MATCH("V000618",Properties!$A$4:$A$1809,0))</x:f>
        <x:v>100</x:v>
      </x:c>
      <x:c r="Q37" s="7" t="s">
        <x:v>395</x:v>
      </x:c>
      <x:c r="R37" s="9" t="n">
        <x:f aca="0">MEDIAN(INDEX('Prices CA'!$J$4:$J$107,MATCH("CA0041",'Prices CA'!$A$4:$A$107,0)),INDEX('Prices CA'!$J$4:$J$107,MATCH("CA0090",'Prices CA'!$A$4:$A$107,0)),INDEX('Prices CA'!$J$4:$J$107,MATCH("CA0104",'Prices CA'!$A$4:$A$107,0)))</x:f>
        <x:v>38.99</x:v>
      </x:c>
      <x:c r="S37" s="7" t="s">
        <x:v>396</x:v>
      </x:c>
      <x:c r="T37" s="7" t="s">
        <x:v>397</x:v>
      </x:c>
      <x:c r="U37" s="7" t="s">
        <x:v>398</x:v>
      </x:c>
      <x:c r="V37" s="7" t="s">
        <x:v>61</x:v>
      </x:c>
      <x:c r="W37" s="7" t="s">
        <x:v>399</x:v>
      </x:c>
      <x:c r="X37" s="7" t="s">
        <x:v>391</x:v>
      </x:c>
      <x:c r="Y37" s="7" t="s">
        <x:v>63</x:v>
      </x:c>
      <x:c r="Z37" s="7" t="s">
        <x:v>391</x:v>
      </x:c>
      <x:c r="AA37" s="7" t="s">
        <x:v>391</x:v>
      </x:c>
      <x:c r="AB37" s="7" t="s">
        <x:v>391</x:v>
      </x:c>
      <x:c r="AC37" s="7" t="s">
        <x:v>64</x:v>
      </x:c>
      <x:c r="AD37" s="7" t="s">
        <x:v>65</x:v>
      </x:c>
      <x:c r="AE37" s="7" t="s">
        <x:v>66</x:v>
      </x:c>
      <x:c r="AF37" s="7" t="s">
        <x:v>67</x:v>
      </x:c>
      <x:c r="AG37" s="7" t="s">
        <x:v>58</x:v>
      </x:c>
      <x:c r="AH37" s="7" t="s">
        <x:v>392</x:v>
      </x:c>
      <x:c r="AI37" s="7" t="s">
        <x:v>69</x:v>
      </x:c>
      <x:c r="AJ37" s="7" t="s">
        <x:v>91</x:v>
      </x:c>
      <x:c r="AK37" s="7" t="s">
        <x:v>400</x:v>
      </x:c>
      <x:c r="AL37" s="7" t="str">
        <x:v>Q00121; Q00122; Q00123; Q00124; Q00125; Q00287; Q00350</x:v>
      </x:c>
      <x:c r="AM37" s="7" t="s">
        <x:v>402</x:v>
      </x:c>
      <x:c r="AN37" s="7" t="s">
        <x:v>403</x:v>
      </x:c>
      <x:c r="AO37" s="7" t="s">
        <x:v>74</x:v>
      </x:c>
      <x:c r="AP37" s="8" t="n">
        <x:v>4</x:v>
      </x:c>
      <x:c r="AQ37" s="7" t="s">
        <x:v>75</x:v>
      </x:c>
    </x:row>
    <x:row r="38" ht="51.75" hidden="0" customHeight="1">
      <x:c r="A38" s="7" t="s">
        <x:v>404</x:v>
      </x:c>
      <x:c r="B38" s="7" t="s">
        <x:v>405</x:v>
      </x:c>
      <x:c r="C38" s="7" t="s">
        <x:v>391</x:v>
      </x:c>
      <x:c r="D38" s="7" t="s">
        <x:v>78</x:v>
      </x:c>
      <x:c r="E38" s="7" t="s">
        <x:v>406</x:v>
      </x:c>
      <x:c r="F38" s="7" t="s">
        <x:v>407</x:v>
      </x:c>
      <x:c r="G38" s="7" t="s">
        <x:v>408</x:v>
      </x:c>
      <x:c r="H38" s="7" t="s">
        <x:v>346</x:v>
      </x:c>
      <x:c r="I38" s="7" t="s">
        <x:v>409</x:v>
      </x:c>
      <x:c r="J38" s="8" t="n">
        <x:f aca="0">INDEX(Properties!$L$4:$L$1809,MATCH("V000633",Properties!$A$4:$A$1809,0))</x:f>
        <x:v>990</x:v>
      </x:c>
      <x:c r="K38" s="8" t="n">
        <x:f aca="0">INDEX(Properties!$L$4:$L$1809,MATCH("V000641",Properties!$A$4:$A$1809,0))</x:f>
        <x:v>2.0100000000000002</x:v>
      </x:c>
      <x:c r="L38" s="8" t="n">
        <x:f aca="0">INDEX(Properties!$L$4:$L$1809,MATCH("V000643",Properties!$A$4:$A$1809,0))</x:f>
        <x:v>32</x:v>
      </x:c>
      <x:c r="M38" s="8" t="n">
        <x:f aca="0">INDEX(Properties!$L$4:$L$1809,MATCH("V000645",Properties!$A$4:$A$1809,0))</x:f>
        <x:v>1.6</x:v>
      </x:c>
      <x:c r="N38" s="7" t="s">
        <x:v>410</x:v>
      </x:c>
      <x:c r="O38" s="7" t="s">
        <x:v>349</x:v>
      </x:c>
      <x:c r="P38" s="8" t="n">
        <x:f aca="0">INDEX(Properties!$L$4:$L$1809,MATCH("V000639",Properties!$A$4:$A$1809,0))</x:f>
        <x:v>85</x:v>
      </x:c>
      <x:c r="Q38" s="7" t="s">
        <x:v>411</x:v>
      </x:c>
      <x:c r="R38" s="9" t="n">
        <x:f aca="0">MEDIAN(INDEX('Prices CA'!$J$4:$J$107,MATCH("CA0043",'Prices CA'!$A$4:$A$107,0)))</x:f>
        <x:v>63.99</x:v>
      </x:c>
      <x:c r="S38" s="7" t="s">
        <x:v>412</x:v>
      </x:c>
      <x:c r="T38" s="7" t="s">
        <x:v>132</x:v>
      </x:c>
      <x:c r="U38" s="7" t="s">
        <x:v>413</x:v>
      </x:c>
      <x:c r="V38" s="7" t="s">
        <x:v>61</x:v>
      </x:c>
      <x:c r="W38" s="7" t="s">
        <x:v>414</x:v>
      </x:c>
      <x:c r="X38" s="7" t="s">
        <x:v>391</x:v>
      </x:c>
      <x:c r="Y38" s="7" t="s">
        <x:v>63</x:v>
      </x:c>
      <x:c r="Z38" s="7" t="s">
        <x:v>405</x:v>
      </x:c>
      <x:c r="AA38" s="7" t="s">
        <x:v>405</x:v>
      </x:c>
      <x:c r="AB38" s="7" t="s">
        <x:v>391</x:v>
      </x:c>
      <x:c r="AC38" s="7" t="s">
        <x:v>239</x:v>
      </x:c>
      <x:c r="AD38" s="7" t="s">
        <x:v>65</x:v>
      </x:c>
      <x:c r="AE38" s="7" t="s">
        <x:v>66</x:v>
      </x:c>
      <x:c r="AF38" s="7" t="s">
        <x:v>67</x:v>
      </x:c>
      <x:c r="AG38" s="7" t="s">
        <x:v>58</x:v>
      </x:c>
      <x:c r="AH38" s="7" t="s">
        <x:v>406</x:v>
      </x:c>
      <x:c r="AI38" s="7" t="s">
        <x:v>69</x:v>
      </x:c>
      <x:c r="AJ38" s="7" t="s">
        <x:v>91</x:v>
      </x:c>
      <x:c r="AK38" s="7" t="s">
        <x:v>415</x:v>
      </x:c>
      <x:c r="AL38" s="7" t="str">
        <x:v>Q00128; Q00129; Q00130; Q00131; Q00132</x:v>
      </x:c>
      <x:c r="AM38" s="7" t="s">
        <x:v>72</x:v>
      </x:c>
      <x:c r="AN38" s="7" t="s">
        <x:v>73</x:v>
      </x:c>
      <x:c r="AO38" s="7" t="s">
        <x:v>74</x:v>
      </x:c>
      <x:c r="AP38" s="8" t="s">
        <x:v>53</x:v>
      </x:c>
      <x:c r="AQ38" s="7" t="s">
        <x:v>75</x:v>
      </x:c>
    </x:row>
    <x:row r="39" ht="51.75" hidden="0" customHeight="1">
      <x:c r="A39" s="7" t="s">
        <x:v>417</x:v>
      </x:c>
      <x:c r="B39" s="7" t="s">
        <x:v>418</x:v>
      </x:c>
      <x:c r="C39" s="7" t="s">
        <x:v>391</x:v>
      </x:c>
      <x:c r="D39" s="7" t="s">
        <x:v>78</x:v>
      </x:c>
      <x:c r="E39" s="7" t="s">
        <x:v>419</x:v>
      </x:c>
      <x:c r="F39" s="7" t="s">
        <x:v>420</x:v>
      </x:c>
      <x:c r="G39" s="7" t="s">
        <x:v>421</x:v>
      </x:c>
      <x:c r="H39" s="7" t="s">
        <x:v>346</x:v>
      </x:c>
      <x:c r="I39" s="7" t="s">
        <x:v>422</x:v>
      </x:c>
      <x:c r="J39" s="8" t="n">
        <x:f aca="0">INDEX(Properties!$L$4:$L$1809,MATCH("V000653",Properties!$A$4:$A$1809,0))</x:f>
        <x:v>1020</x:v>
      </x:c>
      <x:c r="K39" s="8" t="n">
        <x:f aca="0">INDEX(Properties!$L$4:$L$1809,MATCH("V000659",Properties!$A$4:$A$1809,0))</x:f>
        <x:v>4.2</x:v>
      </x:c>
      <x:c r="L39" s="8" t="n">
        <x:f aca="0">INDEX(Properties!$L$4:$L$1809,MATCH("V000661",Properties!$A$4:$A$1809,0))</x:f>
        <x:v>34</x:v>
      </x:c>
      <x:c r="M39" s="8" t="n">
        <x:f aca="0">INDEX(Properties!$L$4:$L$1809,MATCH("V000663",Properties!$A$4:$A$1809,0))</x:f>
        <x:v>9.6</x:v>
      </x:c>
      <x:c r="N39" s="7" t="s">
        <x:v>423</x:v>
      </x:c>
      <x:c r="O39" s="7" t="s">
        <x:v>349</x:v>
      </x:c>
      <x:c r="P39" s="8" t="n">
        <x:f aca="0">INDEX(Properties!$L$4:$L$1809,MATCH("V000657",Properties!$A$4:$A$1809,0))</x:f>
        <x:v>110</x:v>
      </x:c>
      <x:c r="Q39" s="7" t="s">
        <x:v>424</x:v>
      </x:c>
      <x:c r="R39" s="9" t="s">
        <x:v>57</x:v>
      </x:c>
      <x:c r="S39" s="7" t="s">
        <x:v>58</x:v>
      </x:c>
      <x:c r="T39" s="7" t="s">
        <x:v>59</x:v>
      </x:c>
      <x:c r="U39" s="7" t="s">
        <x:v>413</x:v>
      </x:c>
      <x:c r="V39" s="7" t="s">
        <x:v>61</x:v>
      </x:c>
      <x:c r="W39" s="7" t="s">
        <x:v>425</x:v>
      </x:c>
      <x:c r="X39" s="7" t="s">
        <x:v>391</x:v>
      </x:c>
      <x:c r="Y39" s="7" t="s">
        <x:v>63</x:v>
      </x:c>
      <x:c r="Z39" s="7" t="s">
        <x:v>418</x:v>
      </x:c>
      <x:c r="AA39" s="7" t="s">
        <x:v>418</x:v>
      </x:c>
      <x:c r="AB39" s="7" t="s">
        <x:v>391</x:v>
      </x:c>
      <x:c r="AC39" s="7" t="s">
        <x:v>249</x:v>
      </x:c>
      <x:c r="AD39" s="7" t="s">
        <x:v>65</x:v>
      </x:c>
      <x:c r="AE39" s="7" t="s">
        <x:v>66</x:v>
      </x:c>
      <x:c r="AF39" s="7" t="s">
        <x:v>67</x:v>
      </x:c>
      <x:c r="AG39" s="7" t="s">
        <x:v>58</x:v>
      </x:c>
      <x:c r="AH39" s="7" t="s">
        <x:v>419</x:v>
      </x:c>
      <x:c r="AI39" s="7" t="s">
        <x:v>69</x:v>
      </x:c>
      <x:c r="AJ39" s="7" t="s">
        <x:v>91</x:v>
      </x:c>
      <x:c r="AK39" s="7" t="s">
        <x:v>426</x:v>
      </x:c>
      <x:c r="AL39" s="7" t="str">
        <x:v>Q00135; Q00136; Q00137; Q00138; Q00139</x:v>
      </x:c>
      <x:c r="AM39" s="7" t="s">
        <x:v>72</x:v>
      </x:c>
      <x:c r="AN39" s="7" t="s">
        <x:v>73</x:v>
      </x:c>
      <x:c r="AO39" s="7" t="s">
        <x:v>74</x:v>
      </x:c>
      <x:c r="AP39" s="8" t="s">
        <x:v>53</x:v>
      </x:c>
      <x:c r="AQ39" s="7" t="s">
        <x:v>75</x:v>
      </x:c>
    </x:row>
    <x:row r="40" ht="51.75" hidden="0" customHeight="1">
      <x:c r="A40" s="7" t="s">
        <x:v>428</x:v>
      </x:c>
      <x:c r="B40" s="7" t="s">
        <x:v>429</x:v>
      </x:c>
      <x:c r="C40" s="7" t="s">
        <x:v>391</x:v>
      </x:c>
      <x:c r="D40" s="7" t="s">
        <x:v>47</x:v>
      </x:c>
      <x:c r="E40" s="7" t="s">
        <x:v>430</x:v>
      </x:c>
      <x:c r="F40" s="7" t="s">
        <x:v>431</x:v>
      </x:c>
      <x:c r="G40" s="7" t="s">
        <x:v>421</x:v>
      </x:c>
      <x:c r="H40" s="7" t="s">
        <x:v>53</x:v>
      </x:c>
      <x:c r="I40" s="7" t="s">
        <x:v>432</x:v>
      </x:c>
      <x:c r="J40" s="8" t="n">
        <x:f aca="0">INDEX(Properties!$L$4:$L$1809,MATCH("V000671",Properties!$A$4:$A$1809,0))</x:f>
        <x:v>1110</x:v>
      </x:c>
      <x:c r="K40" s="8" t="s">
        <x:v>53</x:v>
      </x:c>
      <x:c r="L40" s="8" t="s">
        <x:v>53</x:v>
      </x:c>
      <x:c r="M40" s="8" t="s">
        <x:v>53</x:v>
      </x:c>
      <x:c r="N40" s="7" t="s">
        <x:v>433</x:v>
      </x:c>
      <x:c r="O40" s="7" t="s">
        <x:v>55</x:v>
      </x:c>
      <x:c r="P40" s="8" t="s">
        <x:v>53</x:v>
      </x:c>
      <x:c r="Q40" s="7" t="s">
        <x:v>58</x:v>
      </x:c>
      <x:c r="R40" s="9" t="s">
        <x:v>57</x:v>
      </x:c>
      <x:c r="S40" s="7" t="s">
        <x:v>58</x:v>
      </x:c>
      <x:c r="T40" s="7" t="s">
        <x:v>59</x:v>
      </x:c>
      <x:c r="U40" s="7" t="s">
        <x:v>413</x:v>
      </x:c>
      <x:c r="V40" s="7" t="s">
        <x:v>61</x:v>
      </x:c>
      <x:c r="W40" s="7" t="s">
        <x:v>434</x:v>
      </x:c>
      <x:c r="X40" s="7" t="s">
        <x:v>391</x:v>
      </x:c>
      <x:c r="Y40" s="7" t="s">
        <x:v>63</x:v>
      </x:c>
      <x:c r="Z40" s="7" t="s">
        <x:v>429</x:v>
      </x:c>
      <x:c r="AA40" s="7" t="s">
        <x:v>429</x:v>
      </x:c>
      <x:c r="AB40" s="7" t="s">
        <x:v>391</x:v>
      </x:c>
      <x:c r="AC40" s="7" t="s">
        <x:v>262</x:v>
      </x:c>
      <x:c r="AD40" s="7" t="s">
        <x:v>65</x:v>
      </x:c>
      <x:c r="AE40" s="7" t="s">
        <x:v>66</x:v>
      </x:c>
      <x:c r="AF40" s="7" t="s">
        <x:v>67</x:v>
      </x:c>
      <x:c r="AG40" s="7" t="s">
        <x:v>58</x:v>
      </x:c>
      <x:c r="AH40" s="7" t="s">
        <x:v>435</x:v>
      </x:c>
      <x:c r="AI40" s="7" t="s">
        <x:v>69</x:v>
      </x:c>
      <x:c r="AJ40" s="7" t="s">
        <x:v>53</x:v>
      </x:c>
      <x:c r="AK40" s="7" t="s">
        <x:v>436</x:v>
      </x:c>
      <x:c r="AL40" s="7" t="str">
        <x:v>Not published</x:v>
      </x:c>
      <x:c r="AM40" s="7" t="s">
        <x:v>72</x:v>
      </x:c>
      <x:c r="AN40" s="7" t="s">
        <x:v>73</x:v>
      </x:c>
      <x:c r="AO40" s="7" t="s">
        <x:v>74</x:v>
      </x:c>
      <x:c r="AP40" s="8" t="s">
        <x:v>53</x:v>
      </x:c>
      <x:c r="AQ40" s="7" t="s">
        <x:v>75</x:v>
      </x:c>
    </x:row>
    <x:row r="41" ht="79.5" hidden="0" customHeight="1">
      <x:c r="A41" s="7" t="s">
        <x:v>437</x:v>
      </x:c>
      <x:c r="B41" s="7" t="s">
        <x:v>438</x:v>
      </x:c>
      <x:c r="C41" s="7" t="s">
        <x:v>439</x:v>
      </x:c>
      <x:c r="D41" s="7" t="s">
        <x:v>78</x:v>
      </x:c>
      <x:c r="E41" s="7" t="s">
        <x:v>440</x:v>
      </x:c>
      <x:c r="F41" s="7" t="s">
        <x:v>441</x:v>
      </x:c>
      <x:c r="G41" s="7" t="s">
        <x:v>442</x:v>
      </x:c>
      <x:c r="H41" s="7" t="s">
        <x:v>346</x:v>
      </x:c>
      <x:c r="I41" s="7" t="s">
        <x:v>443</x:v>
      </x:c>
      <x:c r="J41" s="8" t="n">
        <x:f aca="0">INDEX(Properties!$L$4:$L$1809,MATCH("V000677",Properties!$A$4:$A$1809,0))</x:f>
        <x:v>1200</x:v>
      </x:c>
      <x:c r="K41" s="8" t="n">
        <x:f aca="0">INDEX(Properties!$L$4:$L$1809,MATCH("V000685",Properties!$A$4:$A$1809,0))</x:f>
        <x:v>2.11</x:v>
      </x:c>
      <x:c r="L41" s="8" t="n">
        <x:f aca="0">INDEX(Properties!$L$4:$L$1809,MATCH("V000687",Properties!$A$4:$A$1809,0))</x:f>
        <x:v>62</x:v>
      </x:c>
      <x:c r="M41" s="8" t="n">
        <x:f aca="0">INDEX(Properties!$L$4:$L$1809,MATCH("V000689",Properties!$A$4:$A$1809,0))</x:f>
        <x:v>3.8</x:v>
      </x:c>
      <x:c r="N41" s="7" t="s">
        <x:v>444</x:v>
      </x:c>
      <x:c r="O41" s="7" t="s">
        <x:v>445</x:v>
      </x:c>
      <x:c r="P41" s="8" t="n">
        <x:f aca="0">INDEX(Properties!$L$4:$L$1809,MATCH("V000683",Properties!$A$4:$A$1809,0))</x:f>
        <x:v>112</x:v>
      </x:c>
      <x:c r="Q41" s="7" t="s">
        <x:v>446</x:v>
      </x:c>
      <x:c r="R41" s="9" t="n">
        <x:f aca="0">MEDIAN(INDEX('Prices CA'!$J$4:$J$107,MATCH("CA0045",'Prices CA'!$A$4:$A$107,0)))</x:f>
        <x:v>50.99</x:v>
      </x:c>
      <x:c r="S41" s="7" t="s">
        <x:v>447</x:v>
      </x:c>
      <x:c r="T41" s="7" t="s">
        <x:v>132</x:v>
      </x:c>
      <x:c r="U41" s="7" t="s">
        <x:v>448</x:v>
      </x:c>
      <x:c r="V41" s="7" t="s">
        <x:v>61</x:v>
      </x:c>
      <x:c r="W41" s="7" t="s">
        <x:v>439</x:v>
      </x:c>
      <x:c r="X41" s="7" t="s">
        <x:v>439</x:v>
      </x:c>
      <x:c r="Y41" s="7" t="s">
        <x:v>63</x:v>
      </x:c>
      <x:c r="Z41" s="7" t="s">
        <x:v>438</x:v>
      </x:c>
      <x:c r="AA41" s="7" t="s">
        <x:v>438</x:v>
      </x:c>
      <x:c r="AB41" s="7" t="s">
        <x:v>438</x:v>
      </x:c>
      <x:c r="AC41" s="7" t="s">
        <x:v>64</x:v>
      </x:c>
      <x:c r="AD41" s="7" t="s">
        <x:v>65</x:v>
      </x:c>
      <x:c r="AE41" s="7" t="s">
        <x:v>66</x:v>
      </x:c>
      <x:c r="AF41" s="7" t="s">
        <x:v>67</x:v>
      </x:c>
      <x:c r="AG41" s="7" t="s">
        <x:v>58</x:v>
      </x:c>
      <x:c r="AH41" s="7" t="s">
        <x:v>440</x:v>
      </x:c>
      <x:c r="AI41" s="7" t="s">
        <x:v>69</x:v>
      </x:c>
      <x:c r="AJ41" s="7" t="s">
        <x:v>91</x:v>
      </x:c>
      <x:c r="AK41" s="7" t="s">
        <x:v>449</x:v>
      </x:c>
      <x:c r="AL41" s="7" t="str">
        <x:v>Q00142; Q00143; Q00144; Q00145; Q00146; Q00291</x:v>
      </x:c>
      <x:c r="AM41" s="7" t="s">
        <x:v>451</x:v>
      </x:c>
      <x:c r="AN41" s="7" t="s">
        <x:v>403</x:v>
      </x:c>
      <x:c r="AO41" s="7" t="s">
        <x:v>74</x:v>
      </x:c>
      <x:c r="AP41" s="8" t="n">
        <x:v>4</x:v>
      </x:c>
      <x:c r="AQ41" s="7" t="s">
        <x:v>75</x:v>
      </x:c>
    </x:row>
    <x:row r="42" ht="51.75" hidden="0" customHeight="1">
      <x:c r="A42" s="7" t="s">
        <x:v>452</x:v>
      </x:c>
      <x:c r="B42" s="7" t="s">
        <x:v>453</x:v>
      </x:c>
      <x:c r="C42" s="7" t="s">
        <x:v>439</x:v>
      </x:c>
      <x:c r="D42" s="7" t="s">
        <x:v>78</x:v>
      </x:c>
      <x:c r="E42" s="7" t="s">
        <x:v>454</x:v>
      </x:c>
      <x:c r="F42" s="7" t="s">
        <x:v>441</x:v>
      </x:c>
      <x:c r="G42" s="7" t="s">
        <x:v>455</x:v>
      </x:c>
      <x:c r="H42" s="7" t="str">
        <x:v>45 - 60 °C</x:v>
      </x:c>
      <x:c r="I42" s="7" t="s">
        <x:v>456</x:v>
      </x:c>
      <x:c r="J42" s="8" t="n">
        <x:f aca="0">INDEX(Properties!$L$4:$L$1809,MATCH("V000698",Properties!$A$4:$A$1809,0))</x:f>
        <x:v>1180</x:v>
      </x:c>
      <x:c r="K42" s="8" t="n">
        <x:f aca="0">INDEX(Properties!$L$4:$L$1809,MATCH("V000706",Properties!$A$4:$A$1809,0))</x:f>
        <x:v>1.67</x:v>
      </x:c>
      <x:c r="L42" s="8" t="n">
        <x:f aca="0">INDEX(Properties!$L$4:$L$1809,MATCH("V000708",Properties!$A$4:$A$1809,0))</x:f>
        <x:v>60</x:v>
      </x:c>
      <x:c r="M42" s="8" t="n">
        <x:f aca="0">INDEX(Properties!$L$4:$L$1809,MATCH("V000710",Properties!$A$4:$A$1809,0))</x:f>
        <x:v>2.4</x:v>
      </x:c>
      <x:c r="N42" s="7" t="s">
        <x:v>457</x:v>
      </x:c>
      <x:c r="O42" s="7" t="s">
        <x:v>55</x:v>
      </x:c>
      <x:c r="P42" s="8" t="n">
        <x:f aca="0">INDEX(Properties!$L$4:$L$1809,MATCH("V000704",Properties!$A$4:$A$1809,0))</x:f>
        <x:v>113</x:v>
      </x:c>
      <x:c r="Q42" s="7" t="s">
        <x:v>458</x:v>
      </x:c>
      <x:c r="R42" s="9" t="n">
        <x:f aca="0">MEDIAN(INDEX('Prices CA'!$J$4:$J$107,MATCH("CA0047",'Prices CA'!$A$4:$A$107,0)))</x:f>
        <x:v>69.99</x:v>
      </x:c>
      <x:c r="S42" s="7" t="s">
        <x:v>459</x:v>
      </x:c>
      <x:c r="T42" s="7" t="s">
        <x:v>132</x:v>
      </x:c>
      <x:c r="U42" s="7" t="s">
        <x:v>460</x:v>
      </x:c>
      <x:c r="V42" s="7" t="s">
        <x:v>61</x:v>
      </x:c>
      <x:c r="W42" s="7" t="s">
        <x:v>461</x:v>
      </x:c>
      <x:c r="X42" s="7" t="s">
        <x:v>439</x:v>
      </x:c>
      <x:c r="Y42" s="7" t="s">
        <x:v>63</x:v>
      </x:c>
      <x:c r="Z42" s="7" t="s">
        <x:v>453</x:v>
      </x:c>
      <x:c r="AA42" s="7" t="s">
        <x:v>453</x:v>
      </x:c>
      <x:c r="AB42" s="7" t="s">
        <x:v>438</x:v>
      </x:c>
      <x:c r="AC42" s="7" t="s">
        <x:v>90</x:v>
      </x:c>
      <x:c r="AD42" s="7" t="s">
        <x:v>65</x:v>
      </x:c>
      <x:c r="AE42" s="7" t="s">
        <x:v>66</x:v>
      </x:c>
      <x:c r="AF42" s="7" t="s">
        <x:v>67</x:v>
      </x:c>
      <x:c r="AG42" s="7" t="s">
        <x:v>58</x:v>
      </x:c>
      <x:c r="AH42" s="7" t="s">
        <x:v>454</x:v>
      </x:c>
      <x:c r="AI42" s="7" t="s">
        <x:v>69</x:v>
      </x:c>
      <x:c r="AJ42" s="7" t="s">
        <x:v>91</x:v>
      </x:c>
      <x:c r="AK42" s="7" t="s">
        <x:v>462</x:v>
      </x:c>
      <x:c r="AL42" s="7" t="str">
        <x:v>Q00426; Q00427; Q00428; Q00429; Q00430</x:v>
      </x:c>
      <x:c r="AM42" s="7" t="s">
        <x:v>72</x:v>
      </x:c>
      <x:c r="AN42" s="7" t="s">
        <x:v>73</x:v>
      </x:c>
      <x:c r="AO42" s="7" t="s">
        <x:v>74</x:v>
      </x:c>
      <x:c r="AP42" s="8" t="s">
        <x:v>53</x:v>
      </x:c>
      <x:c r="AQ42" s="7" t="s">
        <x:v>75</x:v>
      </x:c>
    </x:row>
    <x:row r="43" ht="51.75" hidden="0" customHeight="1">
      <x:c r="A43" s="7" t="s">
        <x:v>463</x:v>
      </x:c>
      <x:c r="B43" s="7" t="s">
        <x:v>464</x:v>
      </x:c>
      <x:c r="C43" s="7" t="s">
        <x:v>439</x:v>
      </x:c>
      <x:c r="D43" s="7" t="s">
        <x:v>47</x:v>
      </x:c>
      <x:c r="E43" s="7" t="s">
        <x:v>465</x:v>
      </x:c>
      <x:c r="F43" s="7" t="s">
        <x:v>466</x:v>
      </x:c>
      <x:c r="G43" s="7" t="s">
        <x:v>467</x:v>
      </x:c>
      <x:c r="H43" s="7" t="s">
        <x:v>374</x:v>
      </x:c>
      <x:c r="I43" s="7" t="s">
        <x:v>468</x:v>
      </x:c>
      <x:c r="J43" s="8" t="n">
        <x:f aca="0">INDEX(Properties!$L$4:$L$1809,MATCH("V000719",Properties!$A$4:$A$1809,0))</x:f>
        <x:v>1360</x:v>
      </x:c>
      <x:c r="K43" s="8" t="n">
        <x:f aca="0">INDEX(Properties!$L$4:$L$1809,MATCH("V000721",Properties!$A$4:$A$1809,0))</x:f>
        <x:v>6.2</x:v>
      </x:c>
      <x:c r="L43" s="8" t="s">
        <x:v>53</x:v>
      </x:c>
      <x:c r="M43" s="8" t="n">
        <x:f aca="0">INDEX(Properties!$L$4:$L$1809,MATCH("V000722",Properties!$A$4:$A$1809,0))</x:f>
        <x:v>2</x:v>
      </x:c>
      <x:c r="N43" s="7" t="s">
        <x:v>469</x:v>
      </x:c>
      <x:c r="O43" s="7" t="s">
        <x:v>55</x:v>
      </x:c>
      <x:c r="P43" s="8" t="n">
        <x:f aca="0">INDEX(Properties!$L$4:$L$1809,MATCH("V000726",Properties!$A$4:$A$1809,0))</x:f>
        <x:v>135</x:v>
      </x:c>
      <x:c r="Q43" s="7" t="s">
        <x:v>470</x:v>
      </x:c>
      <x:c r="R43" s="9" t="s">
        <x:v>57</x:v>
      </x:c>
      <x:c r="S43" s="7" t="s">
        <x:v>58</x:v>
      </x:c>
      <x:c r="T43" s="7" t="s">
        <x:v>59</x:v>
      </x:c>
      <x:c r="U43" s="7" t="s">
        <x:v>460</x:v>
      </x:c>
      <x:c r="V43" s="7" t="s">
        <x:v>61</x:v>
      </x:c>
      <x:c r="W43" s="7" t="s">
        <x:v>471</x:v>
      </x:c>
      <x:c r="X43" s="7" t="s">
        <x:v>439</x:v>
      </x:c>
      <x:c r="Y43" s="7" t="s">
        <x:v>63</x:v>
      </x:c>
      <x:c r="Z43" s="7" t="s">
        <x:v>464</x:v>
      </x:c>
      <x:c r="AA43" s="7" t="s">
        <x:v>464</x:v>
      </x:c>
      <x:c r="AB43" s="7" t="s">
        <x:v>438</x:v>
      </x:c>
      <x:c r="AC43" s="7" t="s">
        <x:v>249</x:v>
      </x:c>
      <x:c r="AD43" s="7" t="s">
        <x:v>65</x:v>
      </x:c>
      <x:c r="AE43" s="7" t="s">
        <x:v>66</x:v>
      </x:c>
      <x:c r="AF43" s="7" t="s">
        <x:v>67</x:v>
      </x:c>
      <x:c r="AG43" s="7" t="s">
        <x:v>58</x:v>
      </x:c>
      <x:c r="AH43" s="7" t="s">
        <x:v>472</x:v>
      </x:c>
      <x:c r="AI43" s="7" t="s">
        <x:v>69</x:v>
      </x:c>
      <x:c r="AJ43" s="7" t="s">
        <x:v>53</x:v>
      </x:c>
      <x:c r="AK43" s="7" t="s">
        <x:v>462</x:v>
      </x:c>
      <x:c r="AL43" s="7" t="str">
        <x:v>Not published</x:v>
      </x:c>
      <x:c r="AM43" s="7" t="s">
        <x:v>72</x:v>
      </x:c>
      <x:c r="AN43" s="7" t="s">
        <x:v>73</x:v>
      </x:c>
      <x:c r="AO43" s="7" t="s">
        <x:v>74</x:v>
      </x:c>
      <x:c r="AP43" s="8" t="s">
        <x:v>53</x:v>
      </x:c>
      <x:c r="AQ43" s="7" t="s">
        <x:v>75</x:v>
      </x:c>
    </x:row>
    <x:row r="44" ht="51.75" hidden="0" customHeight="1">
      <x:c r="A44" s="7" t="s">
        <x:v>473</x:v>
      </x:c>
      <x:c r="B44" s="7" t="s">
        <x:v>474</x:v>
      </x:c>
      <x:c r="C44" s="7" t="s">
        <x:v>439</x:v>
      </x:c>
      <x:c r="D44" s="7" t="s">
        <x:v>47</x:v>
      </x:c>
      <x:c r="E44" s="7" t="s">
        <x:v>475</x:v>
      </x:c>
      <x:c r="F44" s="7" t="s">
        <x:v>53</x:v>
      </x:c>
      <x:c r="G44" s="7" t="s">
        <x:v>476</x:v>
      </x:c>
      <x:c r="H44" s="7" t="s">
        <x:v>53</x:v>
      </x:c>
      <x:c r="I44" s="7" t="s">
        <x:v>477</x:v>
      </x:c>
      <x:c r="J44" s="8" t="s">
        <x:v>53</x:v>
      </x:c>
      <x:c r="K44" s="8" t="s">
        <x:v>53</x:v>
      </x:c>
      <x:c r="L44" s="8" t="n">
        <x:f aca="0">INDEX(Properties!$L$4:$L$1809,MATCH("V000740",Properties!$A$4:$A$1809,0))</x:f>
        <x:v>40</x:v>
      </x:c>
      <x:c r="M44" s="8" t="n">
        <x:f aca="0">INDEX(Properties!$L$4:$L$1809,MATCH("V000742",Properties!$A$4:$A$1809,0))</x:f>
        <x:v>9.5</x:v>
      </x:c>
      <x:c r="N44" s="7" t="s">
        <x:v>478</x:v>
      </x:c>
      <x:c r="O44" s="7" t="s">
        <x:v>55</x:v>
      </x:c>
      <x:c r="P44" s="8" t="s">
        <x:v>53</x:v>
      </x:c>
      <x:c r="Q44" s="7" t="s">
        <x:v>58</x:v>
      </x:c>
      <x:c r="R44" s="9" t="s">
        <x:v>57</x:v>
      </x:c>
      <x:c r="S44" s="7" t="s">
        <x:v>58</x:v>
      </x:c>
      <x:c r="T44" s="7" t="s">
        <x:v>59</x:v>
      </x:c>
      <x:c r="U44" s="7" t="s">
        <x:v>460</x:v>
      </x:c>
      <x:c r="V44" s="7" t="s">
        <x:v>61</x:v>
      </x:c>
      <x:c r="W44" s="7" t="s">
        <x:v>479</x:v>
      </x:c>
      <x:c r="X44" s="7" t="s">
        <x:v>439</x:v>
      </x:c>
      <x:c r="Y44" s="7" t="s">
        <x:v>63</x:v>
      </x:c>
      <x:c r="Z44" s="7" t="s">
        <x:v>474</x:v>
      </x:c>
      <x:c r="AA44" s="7" t="s">
        <x:v>474</x:v>
      </x:c>
      <x:c r="AB44" s="7" t="s">
        <x:v>438</x:v>
      </x:c>
      <x:c r="AC44" s="7" t="s">
        <x:v>262</x:v>
      </x:c>
      <x:c r="AD44" s="7" t="s">
        <x:v>65</x:v>
      </x:c>
      <x:c r="AE44" s="7" t="s">
        <x:v>66</x:v>
      </x:c>
      <x:c r="AF44" s="7" t="s">
        <x:v>67</x:v>
      </x:c>
      <x:c r="AG44" s="7" t="s">
        <x:v>58</x:v>
      </x:c>
      <x:c r="AH44" s="7" t="str">
        <x:v>G038-01; G038-02</x:v>
      </x:c>
      <x:c r="AI44" s="7" t="s">
        <x:v>69</x:v>
      </x:c>
      <x:c r="AJ44" s="7" t="s">
        <x:v>91</x:v>
      </x:c>
      <x:c r="AK44" s="7" t="s">
        <x:v>462</x:v>
      </x:c>
      <x:c r="AL44" s="7" t="str">
        <x:v>Q00331; Q00372</x:v>
      </x:c>
      <x:c r="AM44" s="7" t="s">
        <x:v>72</x:v>
      </x:c>
      <x:c r="AN44" s="7" t="s">
        <x:v>73</x:v>
      </x:c>
      <x:c r="AO44" s="7" t="s">
        <x:v>74</x:v>
      </x:c>
      <x:c r="AP44" s="8" t="s">
        <x:v>53</x:v>
      </x:c>
      <x:c r="AQ44" s="7" t="s">
        <x:v>75</x:v>
      </x:c>
    </x:row>
    <x:row r="45" ht="51.75" hidden="0" customHeight="1">
      <x:c r="A45" s="7" t="s">
        <x:v>481</x:v>
      </x:c>
      <x:c r="B45" s="7" t="s">
        <x:v>482</x:v>
      </x:c>
      <x:c r="C45" s="7" t="s">
        <x:v>483</x:v>
      </x:c>
      <x:c r="D45" s="7" t="s">
        <x:v>47</x:v>
      </x:c>
      <x:c r="E45" s="7" t="s">
        <x:v>484</x:v>
      </x:c>
      <x:c r="F45" s="7" t="s">
        <x:v>485</x:v>
      </x:c>
      <x:c r="G45" s="7" t="s">
        <x:v>486</x:v>
      </x:c>
      <x:c r="H45" s="7" t="s">
        <x:v>487</x:v>
      </x:c>
      <x:c r="I45" s="7" t="s">
        <x:v>488</x:v>
      </x:c>
      <x:c r="J45" s="8" t="n">
        <x:f aca="0">INDEX(Properties!$L$4:$L$1809,MATCH("V000752",Properties!$A$4:$A$1809,0))</x:f>
        <x:v>1200</x:v>
      </x:c>
      <x:c r="K45" s="8" t="n">
        <x:f aca="0">INDEX(Properties!$L$4:$L$1809,MATCH("V000753",Properties!$A$4:$A$1809,0))</x:f>
        <x:v>0.029</x:v>
      </x:c>
      <x:c r="L45" s="8" t="s">
        <x:v>53</x:v>
      </x:c>
      <x:c r="M45" s="8" t="n">
        <x:f aca="0">INDEX(Properties!$L$4:$L$1809,MATCH("V000754",Properties!$A$4:$A$1809,0))</x:f>
        <x:v>330.1</x:v>
      </x:c>
      <x:c r="N45" s="7" t="s">
        <x:v>489</x:v>
      </x:c>
      <x:c r="O45" s="7" t="s">
        <x:v>55</x:v>
      </x:c>
      <x:c r="P45" s="8" t="s">
        <x:v>53</x:v>
      </x:c>
      <x:c r="Q45" s="7" t="s">
        <x:v>58</x:v>
      </x:c>
      <x:c r="R45" s="9" t="s">
        <x:v>57</x:v>
      </x:c>
      <x:c r="S45" s="7" t="s">
        <x:v>58</x:v>
      </x:c>
      <x:c r="T45" s="7" t="s">
        <x:v>59</x:v>
      </x:c>
      <x:c r="U45" s="7" t="s">
        <x:v>490</x:v>
      </x:c>
      <x:c r="V45" s="7" t="s">
        <x:v>61</x:v>
      </x:c>
      <x:c r="W45" s="7" t="s">
        <x:v>491</x:v>
      </x:c>
      <x:c r="X45" s="7" t="s">
        <x:v>483</x:v>
      </x:c>
      <x:c r="Y45" s="7" t="s">
        <x:v>63</x:v>
      </x:c>
      <x:c r="Z45" s="7" t="s">
        <x:v>482</x:v>
      </x:c>
      <x:c r="AA45" s="7" t="s">
        <x:v>482</x:v>
      </x:c>
      <x:c r="AB45" s="7" t="s">
        <x:v>482</x:v>
      </x:c>
      <x:c r="AC45" s="7" t="s">
        <x:v>64</x:v>
      </x:c>
      <x:c r="AD45" s="7" t="s">
        <x:v>65</x:v>
      </x:c>
      <x:c r="AE45" s="7" t="s">
        <x:v>66</x:v>
      </x:c>
      <x:c r="AF45" s="7" t="s">
        <x:v>67</x:v>
      </x:c>
      <x:c r="AG45" s="7" t="s">
        <x:v>58</x:v>
      </x:c>
      <x:c r="AH45" s="7" t="s">
        <x:v>492</x:v>
      </x:c>
      <x:c r="AI45" s="7" t="s">
        <x:v>69</x:v>
      </x:c>
      <x:c r="AJ45" s="7" t="s">
        <x:v>53</x:v>
      </x:c>
      <x:c r="AK45" s="7" t="s">
        <x:v>493</x:v>
      </x:c>
      <x:c r="AL45" s="7" t="s">
        <x:v>494</x:v>
      </x:c>
      <x:c r="AM45" s="7" t="s">
        <x:v>72</x:v>
      </x:c>
      <x:c r="AN45" s="7" t="s">
        <x:v>73</x:v>
      </x:c>
      <x:c r="AO45" s="7" t="s">
        <x:v>74</x:v>
      </x:c>
      <x:c r="AP45" s="8" t="n">
        <x:v>4</x:v>
      </x:c>
      <x:c r="AQ45" s="7" t="s">
        <x:v>75</x:v>
      </x:c>
    </x:row>
    <x:row r="46" ht="51.75" hidden="0" customHeight="1">
      <x:c r="A46" s="7" t="s">
        <x:v>495</x:v>
      </x:c>
      <x:c r="B46" s="7" t="s">
        <x:v>496</x:v>
      </x:c>
      <x:c r="C46" s="7" t="s">
        <x:v>483</x:v>
      </x:c>
      <x:c r="D46" s="7" t="s">
        <x:v>78</x:v>
      </x:c>
      <x:c r="E46" s="7" t="s">
        <x:v>497</x:v>
      </x:c>
      <x:c r="F46" s="7" t="s">
        <x:v>498</x:v>
      </x:c>
      <x:c r="G46" s="7" t="s">
        <x:v>499</x:v>
      </x:c>
      <x:c r="H46" s="7" t="s">
        <x:v>500</x:v>
      </x:c>
      <x:c r="I46" s="7" t="s">
        <x:v>501</x:v>
      </x:c>
      <x:c r="J46" s="8" t="n">
        <x:f aca="0">INDEX(Properties!$L$4:$L$1809,MATCH("V000768",Properties!$A$4:$A$1809,0))</x:f>
        <x:v>1260</x:v>
      </x:c>
      <x:c r="K46" s="8" t="n">
        <x:f aca="0">INDEX(Properties!$L$4:$L$1809,MATCH("V000775",Properties!$A$4:$A$1809,0))</x:f>
        <x:v>1.19</x:v>
      </x:c>
      <x:c r="L46" s="8" t="n">
        <x:f aca="0">INDEX(Properties!$L$4:$L$1809,MATCH("V000777",Properties!$A$4:$A$1809,0))</x:f>
        <x:v>22.4</x:v>
      </x:c>
      <x:c r="M46" s="8" t="n">
        <x:f aca="0">INDEX(Properties!$L$4:$L$1809,MATCH("V000779",Properties!$A$4:$A$1809,0))</x:f>
        <x:v>650</x:v>
      </x:c>
      <x:c r="N46" s="7" t="s">
        <x:v>502</x:v>
      </x:c>
      <x:c r="O46" s="7" t="s">
        <x:v>55</x:v>
      </x:c>
      <x:c r="P46" s="8" t="s">
        <x:v>53</x:v>
      </x:c>
      <x:c r="Q46" s="7" t="s">
        <x:v>58</x:v>
      </x:c>
      <x:c r="R46" s="9" t="n">
        <x:f aca="0">MEDIAN(INDEX('Prices CA'!$J$4:$J$107,MATCH("CA0049",'Prices CA'!$A$4:$A$107,0)),INDEX('Prices CA'!$J$4:$J$107,MATCH("CA0070",'Prices CA'!$A$4:$A$107,0)))</x:f>
        <x:v>47.49</x:v>
      </x:c>
      <x:c r="S46" s="7" t="s">
        <x:v>503</x:v>
      </x:c>
      <x:c r="T46" s="7" t="s">
        <x:v>87</x:v>
      </x:c>
      <x:c r="U46" s="7" t="s">
        <x:v>504</x:v>
      </x:c>
      <x:c r="V46" s="7" t="s">
        <x:v>61</x:v>
      </x:c>
      <x:c r="W46" s="7" t="s">
        <x:v>505</x:v>
      </x:c>
      <x:c r="X46" s="7" t="s">
        <x:v>483</x:v>
      </x:c>
      <x:c r="Y46" s="7" t="s">
        <x:v>63</x:v>
      </x:c>
      <x:c r="Z46" s="7" t="s">
        <x:v>496</x:v>
      </x:c>
      <x:c r="AA46" s="7" t="s">
        <x:v>496</x:v>
      </x:c>
      <x:c r="AB46" s="7" t="s">
        <x:v>482</x:v>
      </x:c>
      <x:c r="AC46" s="7" t="s">
        <x:v>90</x:v>
      </x:c>
      <x:c r="AD46" s="7" t="s">
        <x:v>65</x:v>
      </x:c>
      <x:c r="AE46" s="7" t="s">
        <x:v>66</x:v>
      </x:c>
      <x:c r="AF46" s="7" t="s">
        <x:v>67</x:v>
      </x:c>
      <x:c r="AG46" s="7" t="s">
        <x:v>58</x:v>
      </x:c>
      <x:c r="AH46" s="7" t="s">
        <x:v>497</x:v>
      </x:c>
      <x:c r="AI46" s="7" t="s">
        <x:v>69</x:v>
      </x:c>
      <x:c r="AJ46" s="7" t="s">
        <x:v>91</x:v>
      </x:c>
      <x:c r="AK46" s="7" t="s">
        <x:v>506</x:v>
      </x:c>
      <x:c r="AL46" s="7" t="str">
        <x:v>Q00432; Q00433; Q00434; Q00435; Q00436</x:v>
      </x:c>
      <x:c r="AM46" s="7" t="s">
        <x:v>72</x:v>
      </x:c>
      <x:c r="AN46" s="7" t="s">
        <x:v>73</x:v>
      </x:c>
      <x:c r="AO46" s="7" t="s">
        <x:v>74</x:v>
      </x:c>
      <x:c r="AP46" s="8" t="s">
        <x:v>53</x:v>
      </x:c>
      <x:c r="AQ46" s="7" t="s">
        <x:v>75</x:v>
      </x:c>
    </x:row>
    <x:row r="47" ht="51.75" hidden="0" customHeight="1">
      <x:c r="A47" s="7" t="s">
        <x:v>507</x:v>
      </x:c>
      <x:c r="B47" s="7" t="s">
        <x:v>508</x:v>
      </x:c>
      <x:c r="C47" s="7" t="s">
        <x:v>483</x:v>
      </x:c>
      <x:c r="D47" s="7" t="s">
        <x:v>78</x:v>
      </x:c>
      <x:c r="E47" s="7" t="s">
        <x:v>509</x:v>
      </x:c>
      <x:c r="F47" s="7" t="s">
        <x:v>510</x:v>
      </x:c>
      <x:c r="G47" s="7" t="s">
        <x:v>511</x:v>
      </x:c>
      <x:c r="H47" s="7" t="s">
        <x:v>114</x:v>
      </x:c>
      <x:c r="I47" s="7" t="s">
        <x:v>512</x:v>
      </x:c>
      <x:c r="J47" s="8" t="n">
        <x:f aca="0">INDEX(Properties!$L$4:$L$1809,MATCH("V000784",Properties!$A$4:$A$1809,0))</x:f>
        <x:v>1220</x:v>
      </x:c>
      <x:c r="K47" s="8" t="n">
        <x:f aca="0">INDEX(Properties!$L$4:$L$1809,MATCH("V000791",Properties!$A$4:$A$1809,0))</x:f>
        <x:v>0.009800000000000001</x:v>
      </x:c>
      <x:c r="L47" s="8" t="n">
        <x:f aca="0">INDEX(Properties!$L$4:$L$1809,MATCH("V000793",Properties!$A$4:$A$1809,0))</x:f>
        <x:v>27.3</x:v>
      </x:c>
      <x:c r="M47" s="8" t="n">
        <x:f aca="0">INDEX(Properties!$L$4:$L$1809,MATCH("V000795",Properties!$A$4:$A$1809,0))</x:f>
        <x:v>650</x:v>
      </x:c>
      <x:c r="N47" s="7" t="s">
        <x:v>513</x:v>
      </x:c>
      <x:c r="O47" s="7" t="s">
        <x:v>514</x:v>
      </x:c>
      <x:c r="P47" s="8" t="s">
        <x:v>53</x:v>
      </x:c>
      <x:c r="Q47" s="7" t="s">
        <x:v>58</x:v>
      </x:c>
      <x:c r="R47" s="9" t="n">
        <x:f aca="0">MEDIAN(INDEX('Prices CA'!$J$4:$J$107,MATCH("CA0050",'Prices CA'!$A$4:$A$107,0)),INDEX('Prices CA'!$J$4:$J$107,MATCH("CA0088",'Prices CA'!$A$4:$A$107,0)))</x:f>
        <x:v>53.99</x:v>
      </x:c>
      <x:c r="S47" s="7" t="s">
        <x:v>515</x:v>
      </x:c>
      <x:c r="T47" s="7" t="s">
        <x:v>87</x:v>
      </x:c>
      <x:c r="U47" s="7" t="s">
        <x:v>504</x:v>
      </x:c>
      <x:c r="V47" s="7" t="s">
        <x:v>61</x:v>
      </x:c>
      <x:c r="W47" s="7" t="s">
        <x:v>516</x:v>
      </x:c>
      <x:c r="X47" s="7" t="s">
        <x:v>483</x:v>
      </x:c>
      <x:c r="Y47" s="7" t="s">
        <x:v>63</x:v>
      </x:c>
      <x:c r="Z47" s="7" t="s">
        <x:v>508</x:v>
      </x:c>
      <x:c r="AA47" s="7" t="s">
        <x:v>508</x:v>
      </x:c>
      <x:c r="AB47" s="7" t="s">
        <x:v>482</x:v>
      </x:c>
      <x:c r="AC47" s="7" t="s">
        <x:v>90</x:v>
      </x:c>
      <x:c r="AD47" s="7" t="s">
        <x:v>65</x:v>
      </x:c>
      <x:c r="AE47" s="7" t="s">
        <x:v>66</x:v>
      </x:c>
      <x:c r="AF47" s="7" t="s">
        <x:v>67</x:v>
      </x:c>
      <x:c r="AG47" s="7" t="s">
        <x:v>58</x:v>
      </x:c>
      <x:c r="AH47" s="7" t="s">
        <x:v>509</x:v>
      </x:c>
      <x:c r="AI47" s="7" t="s">
        <x:v>69</x:v>
      </x:c>
      <x:c r="AJ47" s="7" t="s">
        <x:v>91</x:v>
      </x:c>
      <x:c r="AK47" s="7" t="s">
        <x:v>517</x:v>
      </x:c>
      <x:c r="AL47" s="7" t="str">
        <x:v>Q00156; Q00157; Q00158; Q00159; Q00160</x:v>
      </x:c>
      <x:c r="AM47" s="7" t="s">
        <x:v>72</x:v>
      </x:c>
      <x:c r="AN47" s="7" t="s">
        <x:v>73</x:v>
      </x:c>
      <x:c r="AO47" s="7" t="s">
        <x:v>74</x:v>
      </x:c>
      <x:c r="AP47" s="8" t="s">
        <x:v>53</x:v>
      </x:c>
      <x:c r="AQ47" s="7" t="s">
        <x:v>75</x:v>
      </x:c>
    </x:row>
    <x:row r="48" ht="51.75" hidden="0" customHeight="1">
      <x:c r="A48" s="7" t="s">
        <x:v>519</x:v>
      </x:c>
      <x:c r="B48" s="7" t="s">
        <x:v>520</x:v>
      </x:c>
      <x:c r="C48" s="7" t="s">
        <x:v>483</x:v>
      </x:c>
      <x:c r="D48" s="7" t="s">
        <x:v>78</x:v>
      </x:c>
      <x:c r="E48" s="7" t="s">
        <x:v>521</x:v>
      </x:c>
      <x:c r="F48" s="7" t="s">
        <x:v>522</x:v>
      </x:c>
      <x:c r="G48" s="7" t="s">
        <x:v>499</x:v>
      </x:c>
      <x:c r="H48" s="7" t="s">
        <x:v>163</x:v>
      </x:c>
      <x:c r="I48" s="7" t="s">
        <x:v>523</x:v>
      </x:c>
      <x:c r="J48" s="8" t="n">
        <x:f aca="0">INDEX(Properties!$L$4:$L$1809,MATCH("V000803",Properties!$A$4:$A$1809,0))</x:f>
        <x:v>1240</x:v>
      </x:c>
      <x:c r="K48" s="8" t="n">
        <x:f aca="0">INDEX(Properties!$L$4:$L$1809,MATCH("V000810",Properties!$A$4:$A$1809,0))</x:f>
        <x:v>0.0053</x:v>
      </x:c>
      <x:c r="L48" s="8" t="n">
        <x:f aca="0">INDEX(Properties!$L$4:$L$1809,MATCH("V000812",Properties!$A$4:$A$1809,0))</x:f>
        <x:v>12.5</x:v>
      </x:c>
      <x:c r="M48" s="8" t="n">
        <x:f aca="0">INDEX(Properties!$L$4:$L$1809,MATCH("V000814",Properties!$A$4:$A$1809,0))</x:f>
        <x:v>650</x:v>
      </x:c>
      <x:c r="N48" s="7" t="s">
        <x:v>524</x:v>
      </x:c>
      <x:c r="O48" s="7" t="s">
        <x:v>55</x:v>
      </x:c>
      <x:c r="P48" s="8" t="s">
        <x:v>53</x:v>
      </x:c>
      <x:c r="Q48" s="7" t="s">
        <x:v>58</x:v>
      </x:c>
      <x:c r="R48" s="9" t="n">
        <x:f aca="0">MEDIAN(INDEX('Prices CA'!$J$4:$J$107,MATCH("CA0052",'Prices CA'!$A$4:$A$107,0)))</x:f>
        <x:v>53.99</x:v>
      </x:c>
      <x:c r="S48" s="7" t="s">
        <x:v>525</x:v>
      </x:c>
      <x:c r="T48" s="7" t="s">
        <x:v>132</x:v>
      </x:c>
      <x:c r="U48" s="7" t="s">
        <x:v>504</x:v>
      </x:c>
      <x:c r="V48" s="7" t="s">
        <x:v>61</x:v>
      </x:c>
      <x:c r="W48" s="7" t="s">
        <x:v>526</x:v>
      </x:c>
      <x:c r="X48" s="7" t="s">
        <x:v>483</x:v>
      </x:c>
      <x:c r="Y48" s="7" t="s">
        <x:v>63</x:v>
      </x:c>
      <x:c r="Z48" s="7" t="s">
        <x:v>520</x:v>
      </x:c>
      <x:c r="AA48" s="7" t="s">
        <x:v>520</x:v>
      </x:c>
      <x:c r="AB48" s="7" t="s">
        <x:v>482</x:v>
      </x:c>
      <x:c r="AC48" s="7" t="s">
        <x:v>90</x:v>
      </x:c>
      <x:c r="AD48" s="7" t="s">
        <x:v>65</x:v>
      </x:c>
      <x:c r="AE48" s="7" t="s">
        <x:v>66</x:v>
      </x:c>
      <x:c r="AF48" s="7" t="s">
        <x:v>67</x:v>
      </x:c>
      <x:c r="AG48" s="7" t="s">
        <x:v>58</x:v>
      </x:c>
      <x:c r="AH48" s="7" t="s">
        <x:v>521</x:v>
      </x:c>
      <x:c r="AI48" s="7" t="s">
        <x:v>69</x:v>
      </x:c>
      <x:c r="AJ48" s="7" t="s">
        <x:v>91</x:v>
      </x:c>
      <x:c r="AK48" s="7" t="s">
        <x:v>506</x:v>
      </x:c>
      <x:c r="AL48" s="7" t="str">
        <x:v>Q00437; Q00438; Q00439; Q00440; Q00441</x:v>
      </x:c>
      <x:c r="AM48" s="7" t="s">
        <x:v>72</x:v>
      </x:c>
      <x:c r="AN48" s="7" t="s">
        <x:v>73</x:v>
      </x:c>
      <x:c r="AO48" s="7" t="s">
        <x:v>74</x:v>
      </x:c>
      <x:c r="AP48" s="8" t="s">
        <x:v>53</x:v>
      </x:c>
      <x:c r="AQ48" s="7" t="s">
        <x:v>75</x:v>
      </x:c>
    </x:row>
    <x:row r="49" ht="51.75" hidden="0" customHeight="1">
      <x:c r="A49" s="7" t="s">
        <x:v>527</x:v>
      </x:c>
      <x:c r="B49" s="7" t="s">
        <x:v>528</x:v>
      </x:c>
      <x:c r="C49" s="7" t="s">
        <x:v>483</x:v>
      </x:c>
      <x:c r="D49" s="7" t="s">
        <x:v>78</x:v>
      </x:c>
      <x:c r="E49" s="7" t="s">
        <x:v>529</x:v>
      </x:c>
      <x:c r="F49" s="7" t="s">
        <x:v>522</x:v>
      </x:c>
      <x:c r="G49" s="7" t="s">
        <x:v>499</x:v>
      </x:c>
      <x:c r="H49" s="7" t="s">
        <x:v>163</x:v>
      </x:c>
      <x:c r="I49" s="7" t="s">
        <x:v>530</x:v>
      </x:c>
      <x:c r="J49" s="8" t="n">
        <x:f aca="0">INDEX(Properties!$L$4:$L$1809,MATCH("V000819",Properties!$A$4:$A$1809,0))</x:f>
        <x:v>1180</x:v>
      </x:c>
      <x:c r="K49" s="8" t="n">
        <x:f aca="0">INDEX(Properties!$L$4:$L$1809,MATCH("V000826",Properties!$A$4:$A$1809,0))</x:f>
        <x:v>0.0068</x:v>
      </x:c>
      <x:c r="L49" s="8" t="n">
        <x:f aca="0">INDEX(Properties!$L$4:$L$1809,MATCH("V000828",Properties!$A$4:$A$1809,0))</x:f>
        <x:v>12</x:v>
      </x:c>
      <x:c r="M49" s="8" t="n">
        <x:f aca="0">INDEX(Properties!$L$4:$L$1809,MATCH("V000830",Properties!$A$4:$A$1809,0))</x:f>
        <x:v>700</x:v>
      </x:c>
      <x:c r="N49" s="7" t="s">
        <x:v>531</x:v>
      </x:c>
      <x:c r="O49" s="7" t="s">
        <x:v>55</x:v>
      </x:c>
      <x:c r="P49" s="8" t="s">
        <x:v>53</x:v>
      </x:c>
      <x:c r="Q49" s="7" t="s">
        <x:v>58</x:v>
      </x:c>
      <x:c r="R49" s="9" t="s">
        <x:v>57</x:v>
      </x:c>
      <x:c r="S49" s="7" t="s">
        <x:v>58</x:v>
      </x:c>
      <x:c r="T49" s="7" t="s">
        <x:v>59</x:v>
      </x:c>
      <x:c r="U49" s="7" t="s">
        <x:v>504</x:v>
      </x:c>
      <x:c r="V49" s="7" t="s">
        <x:v>61</x:v>
      </x:c>
      <x:c r="W49" s="7" t="s">
        <x:v>532</x:v>
      </x:c>
      <x:c r="X49" s="7" t="s">
        <x:v>483</x:v>
      </x:c>
      <x:c r="Y49" s="7" t="s">
        <x:v>63</x:v>
      </x:c>
      <x:c r="Z49" s="7" t="s">
        <x:v>528</x:v>
      </x:c>
      <x:c r="AA49" s="7" t="s">
        <x:v>528</x:v>
      </x:c>
      <x:c r="AB49" s="7" t="s">
        <x:v>482</x:v>
      </x:c>
      <x:c r="AC49" s="7" t="s">
        <x:v>90</x:v>
      </x:c>
      <x:c r="AD49" s="7" t="s">
        <x:v>65</x:v>
      </x:c>
      <x:c r="AE49" s="7" t="s">
        <x:v>66</x:v>
      </x:c>
      <x:c r="AF49" s="7" t="s">
        <x:v>67</x:v>
      </x:c>
      <x:c r="AG49" s="7" t="s">
        <x:v>58</x:v>
      </x:c>
      <x:c r="AH49" s="7" t="s">
        <x:v>529</x:v>
      </x:c>
      <x:c r="AI49" s="7" t="s">
        <x:v>69</x:v>
      </x:c>
      <x:c r="AJ49" s="7" t="s">
        <x:v>91</x:v>
      </x:c>
      <x:c r="AK49" s="7" t="s">
        <x:v>506</x:v>
      </x:c>
      <x:c r="AL49" s="7" t="str">
        <x:v>Q00442; Q00443; Q00444; Q00445; Q00446</x:v>
      </x:c>
      <x:c r="AM49" s="7" t="s">
        <x:v>72</x:v>
      </x:c>
      <x:c r="AN49" s="7" t="s">
        <x:v>73</x:v>
      </x:c>
      <x:c r="AO49" s="7" t="s">
        <x:v>74</x:v>
      </x:c>
      <x:c r="AP49" s="8" t="s">
        <x:v>53</x:v>
      </x:c>
      <x:c r="AQ49" s="7" t="s">
        <x:v>75</x:v>
      </x:c>
    </x:row>
    <x:row r="50" ht="51.75" hidden="0" customHeight="1">
      <x:c r="A50" s="7" t="s">
        <x:v>533</x:v>
      </x:c>
      <x:c r="B50" s="7" t="s">
        <x:v>534</x:v>
      </x:c>
      <x:c r="C50" s="7" t="s">
        <x:v>483</x:v>
      </x:c>
      <x:c r="D50" s="7" t="s">
        <x:v>106</x:v>
      </x:c>
      <x:c r="E50" s="7" t="s">
        <x:v>535</x:v>
      </x:c>
      <x:c r="F50" s="7" t="s">
        <x:v>536</x:v>
      </x:c>
      <x:c r="G50" s="7" t="s">
        <x:v>537</x:v>
      </x:c>
      <x:c r="H50" s="7" t="str">
        <x:v>No setpoint published ('-' in TDS)</x:v>
      </x:c>
      <x:c r="I50" s="7" t="s">
        <x:v>538</x:v>
      </x:c>
      <x:c r="J50" s="8" t="n">
        <x:f aca="0">INDEX(Properties!$L$4:$L$1809,MATCH("V001689",Properties!$A$4:$A$1809,0))</x:f>
        <x:v>1150</x:v>
      </x:c>
      <x:c r="K50" s="8" t="s">
        <x:v>53</x:v>
      </x:c>
      <x:c r="L50" s="8" t="s">
        <x:v>53</x:v>
      </x:c>
      <x:c r="M50" s="8" t="s">
        <x:v>53</x:v>
      </x:c>
      <x:c r="N50" s="7" t="s">
        <x:v>539</x:v>
      </x:c>
      <x:c r="O50" s="7" t="s">
        <x:v>55</x:v>
      </x:c>
      <x:c r="P50" s="8" t="s">
        <x:v>53</x:v>
      </x:c>
      <x:c r="Q50" s="7" t="s">
        <x:v>58</x:v>
      </x:c>
      <x:c r="R50" s="9" t="s">
        <x:v>57</x:v>
      </x:c>
      <x:c r="S50" s="7" t="s">
        <x:v>58</x:v>
      </x:c>
      <x:c r="T50" s="7" t="s">
        <x:v>59</x:v>
      </x:c>
      <x:c r="U50" s="7" t="s">
        <x:v>504</x:v>
      </x:c>
      <x:c r="V50" s="7" t="s">
        <x:v>61</x:v>
      </x:c>
      <x:c r="W50" s="7" t="s">
        <x:v>540</x:v>
      </x:c>
      <x:c r="X50" s="7" t="s">
        <x:v>483</x:v>
      </x:c>
      <x:c r="Y50" s="7" t="s">
        <x:v>63</x:v>
      </x:c>
      <x:c r="Z50" s="7" t="s">
        <x:v>534</x:v>
      </x:c>
      <x:c r="AA50" s="7" t="s">
        <x:v>534</x:v>
      </x:c>
      <x:c r="AB50" s="7" t="s">
        <x:v>534</x:v>
      </x:c>
      <x:c r="AC50" s="7" t="s">
        <x:v>64</x:v>
      </x:c>
      <x:c r="AD50" s="7" t="s">
        <x:v>65</x:v>
      </x:c>
      <x:c r="AE50" s="7" t="s">
        <x:v>66</x:v>
      </x:c>
      <x:c r="AF50" s="7" t="s">
        <x:v>67</x:v>
      </x:c>
      <x:c r="AG50" s="7" t="s">
        <x:v>58</x:v>
      </x:c>
      <x:c r="AH50" s="7" t="s">
        <x:v>541</x:v>
      </x:c>
      <x:c r="AI50" s="7" t="s">
        <x:v>69</x:v>
      </x:c>
      <x:c r="AJ50" s="7" t="s">
        <x:v>53</x:v>
      </x:c>
      <x:c r="AK50" s="7" t="s">
        <x:v>506</x:v>
      </x:c>
      <x:c r="AL50" s="7" t="s">
        <x:v>542</x:v>
      </x:c>
      <x:c r="AM50" s="7" t="s">
        <x:v>72</x:v>
      </x:c>
      <x:c r="AN50" s="7" t="s">
        <x:v>73</x:v>
      </x:c>
      <x:c r="AO50" s="7" t="s">
        <x:v>74</x:v>
      </x:c>
      <x:c r="AP50" s="8" t="s">
        <x:v>53</x:v>
      </x:c>
      <x:c r="AQ50" s="7" t="s">
        <x:v>75</x:v>
      </x:c>
    </x:row>
    <x:row r="51" ht="51.75" hidden="0" customHeight="1">
      <x:c r="A51" s="7" t="s">
        <x:v>543</x:v>
      </x:c>
      <x:c r="B51" s="7" t="s">
        <x:v>544</x:v>
      </x:c>
      <x:c r="C51" s="7" t="s">
        <x:v>483</x:v>
      </x:c>
      <x:c r="D51" s="7" t="s">
        <x:v>106</x:v>
      </x:c>
      <x:c r="E51" s="7" t="s">
        <x:v>545</x:v>
      </x:c>
      <x:c r="F51" s="7" t="s">
        <x:v>546</x:v>
      </x:c>
      <x:c r="G51" s="7" t="s">
        <x:v>547</x:v>
      </x:c>
      <x:c r="H51" s="7" t="s">
        <x:v>53</x:v>
      </x:c>
      <x:c r="I51" s="7" t="s">
        <x:v>548</x:v>
      </x:c>
      <x:c r="J51" s="8" t="n">
        <x:f aca="0">INDEX(Properties!$L$4:$L$1809,MATCH("V000838",Properties!$A$4:$A$1809,0))</x:f>
        <x:v>1010</x:v>
      </x:c>
      <x:c r="K51" s="8" t="s">
        <x:v>53</x:v>
      </x:c>
      <x:c r="L51" s="8" t="s">
        <x:v>53</x:v>
      </x:c>
      <x:c r="M51" s="8" t="n">
        <x:f aca="0">INDEX(Properties!$L$4:$L$1809,MATCH("V000845",Properties!$A$4:$A$1809,0))</x:f>
        <x:v>520</x:v>
      </x:c>
      <x:c r="N51" s="7" t="s">
        <x:v>549</x:v>
      </x:c>
      <x:c r="O51" s="7" t="s">
        <x:v>55</x:v>
      </x:c>
      <x:c r="P51" s="8" t="s">
        <x:v>53</x:v>
      </x:c>
      <x:c r="Q51" s="7" t="s">
        <x:v>58</x:v>
      </x:c>
      <x:c r="R51" s="9" t="s">
        <x:v>57</x:v>
      </x:c>
      <x:c r="S51" s="7" t="s">
        <x:v>58</x:v>
      </x:c>
      <x:c r="T51" s="7" t="s">
        <x:v>59</x:v>
      </x:c>
      <x:c r="U51" s="7" t="s">
        <x:v>504</x:v>
      </x:c>
      <x:c r="V51" s="7" t="s">
        <x:v>61</x:v>
      </x:c>
      <x:c r="W51" s="7" t="s">
        <x:v>550</x:v>
      </x:c>
      <x:c r="X51" s="7" t="s">
        <x:v>483</x:v>
      </x:c>
      <x:c r="Y51" s="7" t="s">
        <x:v>63</x:v>
      </x:c>
      <x:c r="Z51" s="7" t="s">
        <x:v>544</x:v>
      </x:c>
      <x:c r="AA51" s="7" t="s">
        <x:v>544</x:v>
      </x:c>
      <x:c r="AB51" s="7" t="s">
        <x:v>544</x:v>
      </x:c>
      <x:c r="AC51" s="7" t="s">
        <x:v>64</x:v>
      </x:c>
      <x:c r="AD51" s="7" t="s">
        <x:v>65</x:v>
      </x:c>
      <x:c r="AE51" s="7" t="s">
        <x:v>66</x:v>
      </x:c>
      <x:c r="AF51" s="7" t="s">
        <x:v>67</x:v>
      </x:c>
      <x:c r="AG51" s="7" t="s">
        <x:v>58</x:v>
      </x:c>
      <x:c r="AH51" s="7" t="str">
        <x:v>G045-01; G045-02; G045-03</x:v>
      </x:c>
      <x:c r="AI51" s="7" t="s">
        <x:v>69</x:v>
      </x:c>
      <x:c r="AJ51" s="7" t="s">
        <x:v>53</x:v>
      </x:c>
      <x:c r="AK51" s="7" t="s">
        <x:v>506</x:v>
      </x:c>
      <x:c r="AL51" s="7" t="str">
        <x:v>Not published</x:v>
      </x:c>
      <x:c r="AM51" s="7" t="s">
        <x:v>72</x:v>
      </x:c>
      <x:c r="AN51" s="7" t="s">
        <x:v>73</x:v>
      </x:c>
      <x:c r="AO51" s="7" t="s">
        <x:v>74</x:v>
      </x:c>
      <x:c r="AP51" s="8" t="s">
        <x:v>53</x:v>
      </x:c>
      <x:c r="AQ51" s="7" t="s">
        <x:v>75</x:v>
      </x:c>
    </x:row>
    <x:row r="52" ht="51.75" hidden="0" customHeight="1">
      <x:c r="A52" s="7" t="s">
        <x:v>551</x:v>
      </x:c>
      <x:c r="B52" s="7" t="s">
        <x:v>552</x:v>
      </x:c>
      <x:c r="C52" s="7" t="s">
        <x:v>483</x:v>
      </x:c>
      <x:c r="D52" s="7" t="s">
        <x:v>106</x:v>
      </x:c>
      <x:c r="E52" s="7" t="s">
        <x:v>553</x:v>
      </x:c>
      <x:c r="F52" s="7" t="s">
        <x:v>536</x:v>
      </x:c>
      <x:c r="G52" s="7" t="s">
        <x:v>537</x:v>
      </x:c>
      <x:c r="H52" s="7" t="str">
        <x:v>No setpoint published ('-' in TDS)</x:v>
      </x:c>
      <x:c r="I52" s="7" t="s">
        <x:v>554</x:v>
      </x:c>
      <x:c r="J52" s="8" t="n">
        <x:f aca="0">INDEX(Properties!$L$4:$L$1809,MATCH("V001690",Properties!$A$4:$A$1809,0))</x:f>
        <x:v>1150</x:v>
      </x:c>
      <x:c r="K52" s="8" t="s">
        <x:v>53</x:v>
      </x:c>
      <x:c r="L52" s="8" t="s">
        <x:v>53</x:v>
      </x:c>
      <x:c r="M52" s="8" t="s">
        <x:v>53</x:v>
      </x:c>
      <x:c r="N52" s="7" t="s">
        <x:v>555</x:v>
      </x:c>
      <x:c r="O52" s="7" t="s">
        <x:v>55</x:v>
      </x:c>
      <x:c r="P52" s="8" t="s">
        <x:v>53</x:v>
      </x:c>
      <x:c r="Q52" s="7" t="s">
        <x:v>58</x:v>
      </x:c>
      <x:c r="R52" s="9" t="s">
        <x:v>57</x:v>
      </x:c>
      <x:c r="S52" s="7" t="s">
        <x:v>58</x:v>
      </x:c>
      <x:c r="T52" s="7" t="s">
        <x:v>59</x:v>
      </x:c>
      <x:c r="U52" s="7" t="s">
        <x:v>504</x:v>
      </x:c>
      <x:c r="V52" s="7" t="s">
        <x:v>556</x:v>
      </x:c>
      <x:c r="W52" s="7" t="s">
        <x:v>557</x:v>
      </x:c>
      <x:c r="X52" s="7" t="s">
        <x:v>483</x:v>
      </x:c>
      <x:c r="Y52" s="7" t="s">
        <x:v>63</x:v>
      </x:c>
      <x:c r="Z52" s="7" t="s">
        <x:v>552</x:v>
      </x:c>
      <x:c r="AA52" s="7" t="s">
        <x:v>552</x:v>
      </x:c>
      <x:c r="AB52" s="7" t="s">
        <x:v>558</x:v>
      </x:c>
      <x:c r="AC52" s="7" t="s">
        <x:v>90</x:v>
      </x:c>
      <x:c r="AD52" s="7" t="s">
        <x:v>65</x:v>
      </x:c>
      <x:c r="AE52" s="7" t="s">
        <x:v>66</x:v>
      </x:c>
      <x:c r="AF52" s="7" t="s">
        <x:v>67</x:v>
      </x:c>
      <x:c r="AG52" s="7" t="s">
        <x:v>556</x:v>
      </x:c>
      <x:c r="AH52" s="7" t="s">
        <x:v>553</x:v>
      </x:c>
      <x:c r="AI52" s="7" t="s">
        <x:v>69</x:v>
      </x:c>
      <x:c r="AJ52" s="7" t="s">
        <x:v>53</x:v>
      </x:c>
      <x:c r="AK52" s="7" t="s">
        <x:v>506</x:v>
      </x:c>
      <x:c r="AL52" s="7" t="str">
        <x:v>Not published</x:v>
      </x:c>
      <x:c r="AM52" s="7" t="s">
        <x:v>72</x:v>
      </x:c>
      <x:c r="AN52" s="7" t="s">
        <x:v>73</x:v>
      </x:c>
      <x:c r="AO52" s="7" t="s">
        <x:v>74</x:v>
      </x:c>
      <x:c r="AP52" s="8" t="s">
        <x:v>53</x:v>
      </x:c>
      <x:c r="AQ52" s="7" t="s">
        <x:v>75</x:v>
      </x:c>
    </x:row>
    <x:row r="53" ht="79.5" hidden="0" customHeight="1">
      <x:c r="A53" s="7" t="s">
        <x:v>559</x:v>
      </x:c>
      <x:c r="B53" s="7" t="s">
        <x:v>560</x:v>
      </x:c>
      <x:c r="C53" s="7" t="s">
        <x:v>561</x:v>
      </x:c>
      <x:c r="D53" s="7" t="s">
        <x:v>47</x:v>
      </x:c>
      <x:c r="E53" s="7" t="s">
        <x:v>562</x:v>
      </x:c>
      <x:c r="F53" s="7" t="s">
        <x:v>563</x:v>
      </x:c>
      <x:c r="G53" s="7" t="s">
        <x:v>564</x:v>
      </x:c>
      <x:c r="H53" s="7" t="s">
        <x:v>565</x:v>
      </x:c>
      <x:c r="I53" s="7" t="s">
        <x:v>566</x:v>
      </x:c>
      <x:c r="J53" s="8" t="n">
        <x:f aca="0">INDEX(Properties!$L$4:$L$1809,MATCH("V000854",Properties!$A$4:$A$1809,0))</x:f>
        <x:v>1120</x:v>
      </x:c>
      <x:c r="K53" s="8" t="n">
        <x:f aca="0">INDEX(Properties!$L$4:$L$1809,MATCH("V000862",Properties!$A$4:$A$1809,0))</x:f>
        <x:v>2.223</x:v>
      </x:c>
      <x:c r="L53" s="8" t="n">
        <x:f aca="0">INDEX(Properties!$L$4:$L$1809,MATCH("V000864",Properties!$A$4:$A$1809,0))</x:f>
        <x:v>66.2</x:v>
      </x:c>
      <x:c r="M53" s="8" t="n">
        <x:f aca="0">INDEX(Properties!$L$4:$L$1809,MATCH("V000866",Properties!$A$4:$A$1809,0))</x:f>
        <x:v>9.9</x:v>
      </x:c>
      <x:c r="N53" s="7" t="s">
        <x:v>567</x:v>
      </x:c>
      <x:c r="O53" s="7" t="s">
        <x:v>568</x:v>
      </x:c>
      <x:c r="P53" s="8" t="n">
        <x:f aca="0">INDEX(Properties!$L$4:$L$1809,MATCH("V000860",Properties!$A$4:$A$1809,0))</x:f>
        <x:v>110.5</x:v>
      </x:c>
      <x:c r="Q53" s="7" t="s">
        <x:v>569</x:v>
      </x:c>
      <x:c r="R53" s="9" t="n">
        <x:f aca="0">MEDIAN(INDEX('Prices CA'!$J$4:$J$107,MATCH("CA0098",'Prices CA'!$A$4:$A$107,0)))</x:f>
        <x:v>162.65333333333334</x:v>
      </x:c>
      <x:c r="S53" s="7" t="s">
        <x:v>570</x:v>
      </x:c>
      <x:c r="T53" s="7" t="s">
        <x:v>132</x:v>
      </x:c>
      <x:c r="U53" s="7" t="s">
        <x:v>571</x:v>
      </x:c>
      <x:c r="V53" s="7" t="s">
        <x:v>61</x:v>
      </x:c>
      <x:c r="W53" s="7" t="s">
        <x:v>572</x:v>
      </x:c>
      <x:c r="X53" s="7" t="s">
        <x:v>561</x:v>
      </x:c>
      <x:c r="Y53" s="7" t="s">
        <x:v>63</x:v>
      </x:c>
      <x:c r="Z53" s="7" t="s">
        <x:v>560</x:v>
      </x:c>
      <x:c r="AA53" s="7" t="s">
        <x:v>560</x:v>
      </x:c>
      <x:c r="AB53" s="7" t="s">
        <x:v>560</x:v>
      </x:c>
      <x:c r="AC53" s="7" t="s">
        <x:v>64</x:v>
      </x:c>
      <x:c r="AD53" s="7" t="s">
        <x:v>65</x:v>
      </x:c>
      <x:c r="AE53" s="7" t="s">
        <x:v>66</x:v>
      </x:c>
      <x:c r="AF53" s="7" t="s">
        <x:v>67</x:v>
      </x:c>
      <x:c r="AG53" s="7" t="s">
        <x:v>58</x:v>
      </x:c>
      <x:c r="AH53" s="7" t="s">
        <x:v>573</x:v>
      </x:c>
      <x:c r="AI53" s="7" t="s">
        <x:v>69</x:v>
      </x:c>
      <x:c r="AJ53" s="7" t="s">
        <x:v>91</x:v>
      </x:c>
      <x:c r="AK53" s="7" t="s">
        <x:v>574</x:v>
      </x:c>
      <x:c r="AL53" s="7" t="s">
        <x:v>575</x:v>
      </x:c>
      <x:c r="AM53" s="7" t="s">
        <x:v>72</x:v>
      </x:c>
      <x:c r="AN53" s="7" t="s">
        <x:v>73</x:v>
      </x:c>
      <x:c r="AO53" s="7" t="s">
        <x:v>74</x:v>
      </x:c>
      <x:c r="AP53" s="8" t="n">
        <x:v>4</x:v>
      </x:c>
      <x:c r="AQ53" s="7" t="s">
        <x:v>75</x:v>
      </x:c>
    </x:row>
    <x:row r="54" ht="79.5" hidden="0" customHeight="1">
      <x:c r="A54" s="7" t="s">
        <x:v>576</x:v>
      </x:c>
      <x:c r="B54" s="7" t="s">
        <x:v>577</x:v>
      </x:c>
      <x:c r="C54" s="7" t="s">
        <x:v>561</x:v>
      </x:c>
      <x:c r="D54" s="7" t="s">
        <x:v>78</x:v>
      </x:c>
      <x:c r="E54" s="7" t="s">
        <x:v>578</x:v>
      </x:c>
      <x:c r="F54" s="7" t="s">
        <x:v>579</x:v>
      </x:c>
      <x:c r="G54" s="7" t="s">
        <x:v>345</x:v>
      </x:c>
      <x:c r="H54" s="7" t="str">
        <x:v>45 - 60 °C</x:v>
      </x:c>
      <x:c r="I54" s="7" t="s">
        <x:v>580</x:v>
      </x:c>
      <x:c r="J54" s="8" t="n">
        <x:f aca="0">INDEX(Properties!$L$4:$L$1809,MATCH("V000896",Properties!$A$4:$A$1809,0))</x:f>
        <x:v>1060</x:v>
      </x:c>
      <x:c r="K54" s="8" t="n">
        <x:f aca="0">INDEX(Properties!$L$4:$L$1809,MATCH("V000904",Properties!$A$4:$A$1809,0))</x:f>
        <x:v>3.86</x:v>
      </x:c>
      <x:c r="L54" s="8" t="n">
        <x:f aca="0">INDEX(Properties!$L$4:$L$1809,MATCH("V000906",Properties!$A$4:$A$1809,0))</x:f>
        <x:v>92</x:v>
      </x:c>
      <x:c r="M54" s="8" t="n">
        <x:f aca="0">INDEX(Properties!$L$4:$L$1809,MATCH("V000908",Properties!$A$4:$A$1809,0))</x:f>
        <x:v>8.4</x:v>
      </x:c>
      <x:c r="N54" s="7" t="s">
        <x:v>581</x:v>
      </x:c>
      <x:c r="O54" s="7" t="s">
        <x:v>582</x:v>
      </x:c>
      <x:c r="P54" s="8" t="n">
        <x:f aca="0">INDEX(Properties!$L$4:$L$1809,MATCH("V000902",Properties!$A$4:$A$1809,0))</x:f>
        <x:v>194</x:v>
      </x:c>
      <x:c r="Q54" s="7" t="s">
        <x:v>583</x:v>
      </x:c>
      <x:c r="R54" s="9" t="n">
        <x:f aca="0">MEDIAN(INDEX('Prices CA'!$J$4:$J$107,MATCH("CA0054",'Prices CA'!$A$4:$A$107,0)),INDEX('Prices CA'!$J$4:$J$107,MATCH("CA0083",'Prices CA'!$A$4:$A$107,0)))</x:f>
        <x:v>124.485</x:v>
      </x:c>
      <x:c r="S54" s="7" t="s">
        <x:v>584</x:v>
      </x:c>
      <x:c r="T54" s="7" t="s">
        <x:v>87</x:v>
      </x:c>
      <x:c r="U54" s="7" t="s">
        <x:v>53</x:v>
      </x:c>
      <x:c r="V54" s="7" t="s">
        <x:v>61</x:v>
      </x:c>
      <x:c r="W54" s="7" t="s">
        <x:v>585</x:v>
      </x:c>
      <x:c r="X54" s="7" t="s">
        <x:v>561</x:v>
      </x:c>
      <x:c r="Y54" s="7" t="s">
        <x:v>63</x:v>
      </x:c>
      <x:c r="Z54" s="7" t="s">
        <x:v>577</x:v>
      </x:c>
      <x:c r="AA54" s="7" t="s">
        <x:v>577</x:v>
      </x:c>
      <x:c r="AB54" s="7" t="s">
        <x:v>586</x:v>
      </x:c>
      <x:c r="AC54" s="7" t="s">
        <x:v>249</x:v>
      </x:c>
      <x:c r="AD54" s="7" t="s">
        <x:v>65</x:v>
      </x:c>
      <x:c r="AE54" s="7" t="s">
        <x:v>66</x:v>
      </x:c>
      <x:c r="AF54" s="7" t="s">
        <x:v>67</x:v>
      </x:c>
      <x:c r="AG54" s="7" t="s">
        <x:v>58</x:v>
      </x:c>
      <x:c r="AH54" s="7" t="s">
        <x:v>578</x:v>
      </x:c>
      <x:c r="AI54" s="7" t="s">
        <x:v>69</x:v>
      </x:c>
      <x:c r="AJ54" s="7" t="s">
        <x:v>91</x:v>
      </x:c>
      <x:c r="AK54" s="7" t="s">
        <x:v>587</x:v>
      </x:c>
      <x:c r="AL54" s="7" t="str">
        <x:v>Q00178; Q00179; Q00180; Q00181; Q00182</x:v>
      </x:c>
      <x:c r="AM54" s="7" t="s">
        <x:v>72</x:v>
      </x:c>
      <x:c r="AN54" s="7" t="s">
        <x:v>73</x:v>
      </x:c>
      <x:c r="AO54" s="7" t="s">
        <x:v>74</x:v>
      </x:c>
      <x:c r="AP54" s="8" t="s">
        <x:v>53</x:v>
      </x:c>
      <x:c r="AQ54" s="7" t="s">
        <x:v>75</x:v>
      </x:c>
    </x:row>
    <x:row r="55" ht="51.75" hidden="0" customHeight="1">
      <x:c r="A55" s="7" t="s">
        <x:v>589</x:v>
      </x:c>
      <x:c r="B55" s="7" t="s">
        <x:v>590</x:v>
      </x:c>
      <x:c r="C55" s="7" t="s">
        <x:v>561</x:v>
      </x:c>
      <x:c r="D55" s="7" t="s">
        <x:v>106</x:v>
      </x:c>
      <x:c r="E55" s="7" t="s">
        <x:v>591</x:v>
      </x:c>
      <x:c r="F55" s="7" t="s">
        <x:v>592</x:v>
      </x:c>
      <x:c r="G55" s="7" t="s">
        <x:v>593</x:v>
      </x:c>
      <x:c r="H55" s="7" t="s">
        <x:v>53</x:v>
      </x:c>
      <x:c r="I55" s="7" t="s">
        <x:v>594</x:v>
      </x:c>
      <x:c r="J55" s="8" t="n">
        <x:f aca="0">INDEX(Properties!$L$4:$L$1809,MATCH("V000917",Properties!$A$4:$A$1809,0))</x:f>
        <x:v>1250</x:v>
      </x:c>
      <x:c r="K55" s="8" t="s">
        <x:v>53</x:v>
      </x:c>
      <x:c r="L55" s="8" t="s">
        <x:v>53</x:v>
      </x:c>
      <x:c r="M55" s="8" t="s">
        <x:v>53</x:v>
      </x:c>
      <x:c r="N55" s="7" t="s">
        <x:v>595</x:v>
      </x:c>
      <x:c r="O55" s="7" t="s">
        <x:v>55</x:v>
      </x:c>
      <x:c r="P55" s="8" t="s">
        <x:v>53</x:v>
      </x:c>
      <x:c r="Q55" s="7" t="s">
        <x:v>58</x:v>
      </x:c>
      <x:c r="R55" s="9" t="n">
        <x:f aca="0">MEDIAN(INDEX('Prices CA'!$J$4:$J$107,MATCH("CA0099",'Prices CA'!$A$4:$A$107,0)))</x:f>
        <x:v>162.65333333333334</x:v>
      </x:c>
      <x:c r="S55" s="7" t="s">
        <x:v>596</x:v>
      </x:c>
      <x:c r="T55" s="7" t="s">
        <x:v>132</x:v>
      </x:c>
      <x:c r="U55" s="7" t="s">
        <x:v>53</x:v>
      </x:c>
      <x:c r="V55" s="7" t="s">
        <x:v>61</x:v>
      </x:c>
      <x:c r="W55" s="7" t="s">
        <x:v>597</x:v>
      </x:c>
      <x:c r="X55" s="7" t="s">
        <x:v>561</x:v>
      </x:c>
      <x:c r="Y55" s="7" t="s">
        <x:v>63</x:v>
      </x:c>
      <x:c r="Z55" s="7" t="s">
        <x:v>590</x:v>
      </x:c>
      <x:c r="AA55" s="7" t="s">
        <x:v>590</x:v>
      </x:c>
      <x:c r="AB55" s="7" t="s">
        <x:v>590</x:v>
      </x:c>
      <x:c r="AC55" s="7" t="s">
        <x:v>64</x:v>
      </x:c>
      <x:c r="AD55" s="7" t="s">
        <x:v>65</x:v>
      </x:c>
      <x:c r="AE55" s="7" t="s">
        <x:v>66</x:v>
      </x:c>
      <x:c r="AF55" s="7" t="s">
        <x:v>67</x:v>
      </x:c>
      <x:c r="AG55" s="7" t="s">
        <x:v>58</x:v>
      </x:c>
      <x:c r="AH55" s="7" t="s">
        <x:v>591</x:v>
      </x:c>
      <x:c r="AI55" s="7" t="s">
        <x:v>69</x:v>
      </x:c>
      <x:c r="AJ55" s="7" t="s">
        <x:v>91</x:v>
      </x:c>
      <x:c r="AK55" s="7" t="s">
        <x:v>58</x:v>
      </x:c>
      <x:c r="AL55" s="7" t="s">
        <x:v>58</x:v>
      </x:c>
      <x:c r="AM55" s="7" t="s">
        <x:v>72</x:v>
      </x:c>
      <x:c r="AN55" s="7" t="s">
        <x:v>73</x:v>
      </x:c>
      <x:c r="AO55" s="7" t="s">
        <x:v>74</x:v>
      </x:c>
      <x:c r="AP55" s="8" t="s">
        <x:v>53</x:v>
      </x:c>
      <x:c r="AQ55" s="7" t="s">
        <x:v>75</x:v>
      </x:c>
    </x:row>
    <x:row r="56" ht="51.75" hidden="0" customHeight="1">
      <x:c r="A56" s="7" t="s">
        <x:v>598</x:v>
      </x:c>
      <x:c r="B56" s="7" t="s">
        <x:v>599</x:v>
      </x:c>
      <x:c r="C56" s="7" t="s">
        <x:v>561</x:v>
      </x:c>
      <x:c r="D56" s="7" t="s">
        <x:v>78</x:v>
      </x:c>
      <x:c r="E56" s="7" t="s">
        <x:v>600</x:v>
      </x:c>
      <x:c r="F56" s="7" t="s">
        <x:v>579</x:v>
      </x:c>
      <x:c r="G56" s="7" t="s">
        <x:v>345</x:v>
      </x:c>
      <x:c r="H56" s="7" t="s">
        <x:v>346</x:v>
      </x:c>
      <x:c r="I56" s="7" t="s">
        <x:v>601</x:v>
      </x:c>
      <x:c r="J56" s="8" t="n">
        <x:f aca="0">INDEX(Properties!$L$4:$L$1809,MATCH("V000922",Properties!$A$4:$A$1809,0))</x:f>
        <x:v>1090</x:v>
      </x:c>
      <x:c r="K56" s="8" t="n">
        <x:f aca="0">INDEX(Properties!$L$4:$L$1809,MATCH("V000930",Properties!$A$4:$A$1809,0))</x:f>
        <x:v>4.43</x:v>
      </x:c>
      <x:c r="L56" s="8" t="n">
        <x:f aca="0">INDEX(Properties!$L$4:$L$1809,MATCH("V000932",Properties!$A$4:$A$1809,0))</x:f>
        <x:v>102</x:v>
      </x:c>
      <x:c r="M56" s="8" t="n">
        <x:f aca="0">INDEX(Properties!$L$4:$L$1809,MATCH("V000934",Properties!$A$4:$A$1809,0))</x:f>
        <x:v>5.8</x:v>
      </x:c>
      <x:c r="N56" s="7" t="s">
        <x:v>602</x:v>
      </x:c>
      <x:c r="O56" s="7" t="s">
        <x:v>349</x:v>
      </x:c>
      <x:c r="P56" s="8" t="n">
        <x:f aca="0">INDEX(Properties!$L$4:$L$1809,MATCH("V000928",Properties!$A$4:$A$1809,0))</x:f>
        <x:v>186</x:v>
      </x:c>
      <x:c r="Q56" s="7" t="s">
        <x:v>603</x:v>
      </x:c>
      <x:c r="R56" s="9" t="n">
        <x:f aca="0">MEDIAN(INDEX('Prices CA'!$J$4:$J$107,MATCH("CA0056",'Prices CA'!$A$4:$A$107,0)),INDEX('Prices CA'!$J$4:$J$107,MATCH("CA0084",'Prices CA'!$A$4:$A$107,0)))</x:f>
        <x:v>109.98</x:v>
      </x:c>
      <x:c r="S56" s="7" t="s">
        <x:v>604</x:v>
      </x:c>
      <x:c r="T56" s="7" t="s">
        <x:v>87</x:v>
      </x:c>
      <x:c r="U56" s="7" t="s">
        <x:v>53</x:v>
      </x:c>
      <x:c r="V56" s="7" t="s">
        <x:v>61</x:v>
      </x:c>
      <x:c r="W56" s="7" t="s">
        <x:v>605</x:v>
      </x:c>
      <x:c r="X56" s="7" t="s">
        <x:v>561</x:v>
      </x:c>
      <x:c r="Y56" s="7" t="s">
        <x:v>63</x:v>
      </x:c>
      <x:c r="Z56" s="7" t="s">
        <x:v>599</x:v>
      </x:c>
      <x:c r="AA56" s="7" t="s">
        <x:v>599</x:v>
      </x:c>
      <x:c r="AB56" s="7" t="s">
        <x:v>590</x:v>
      </x:c>
      <x:c r="AC56" s="7" t="s">
        <x:v>249</x:v>
      </x:c>
      <x:c r="AD56" s="7" t="s">
        <x:v>65</x:v>
      </x:c>
      <x:c r="AE56" s="7" t="s">
        <x:v>66</x:v>
      </x:c>
      <x:c r="AF56" s="7" t="s">
        <x:v>67</x:v>
      </x:c>
      <x:c r="AG56" s="7" t="s">
        <x:v>58</x:v>
      </x:c>
      <x:c r="AH56" s="7" t="s">
        <x:v>600</x:v>
      </x:c>
      <x:c r="AI56" s="7" t="s">
        <x:v>69</x:v>
      </x:c>
      <x:c r="AJ56" s="7" t="s">
        <x:v>91</x:v>
      </x:c>
      <x:c r="AK56" s="7" t="s">
        <x:v>606</x:v>
      </x:c>
      <x:c r="AL56" s="7" t="str">
        <x:v>Q00185; Q00186; Q00187; Q00188; Q00189</x:v>
      </x:c>
      <x:c r="AM56" s="7" t="s">
        <x:v>72</x:v>
      </x:c>
      <x:c r="AN56" s="7" t="s">
        <x:v>73</x:v>
      </x:c>
      <x:c r="AO56" s="7" t="s">
        <x:v>74</x:v>
      </x:c>
      <x:c r="AP56" s="8" t="s">
        <x:v>53</x:v>
      </x:c>
      <x:c r="AQ56" s="7" t="s">
        <x:v>75</x:v>
      </x:c>
    </x:row>
    <x:row r="57" ht="51.75" hidden="0" customHeight="1">
      <x:c r="A57" s="7" t="s">
        <x:v>608</x:v>
      </x:c>
      <x:c r="B57" s="7" t="s">
        <x:v>609</x:v>
      </x:c>
      <x:c r="C57" s="7" t="s">
        <x:v>561</x:v>
      </x:c>
      <x:c r="D57" s="7" t="s">
        <x:v>78</x:v>
      </x:c>
      <x:c r="E57" s="7" t="s">
        <x:v>610</x:v>
      </x:c>
      <x:c r="F57" s="7" t="s">
        <x:v>579</x:v>
      </x:c>
      <x:c r="G57" s="7" t="s">
        <x:v>360</x:v>
      </x:c>
      <x:c r="H57" s="7" t="s">
        <x:v>346</x:v>
      </x:c>
      <x:c r="I57" s="7" t="s">
        <x:v>611</x:v>
      </x:c>
      <x:c r="J57" s="8" t="n">
        <x:f aca="0">INDEX(Properties!$L$4:$L$1809,MATCH("V000943",Properties!$A$4:$A$1809,0))</x:f>
        <x:v>1140</x:v>
      </x:c>
      <x:c r="K57" s="8" t="n">
        <x:f aca="0">INDEX(Properties!$L$4:$L$1809,MATCH("V000951",Properties!$A$4:$A$1809,0))</x:f>
        <x:v>2.85</x:v>
      </x:c>
      <x:c r="L57" s="8" t="n">
        <x:f aca="0">INDEX(Properties!$L$4:$L$1809,MATCH("V000953",Properties!$A$4:$A$1809,0))</x:f>
        <x:v>75</x:v>
      </x:c>
      <x:c r="M57" s="8" t="n">
        <x:f aca="0">INDEX(Properties!$L$4:$L$1809,MATCH("V000955",Properties!$A$4:$A$1809,0))</x:f>
        <x:v>3.9</x:v>
      </x:c>
      <x:c r="N57" s="7" t="s">
        <x:v>612</x:v>
      </x:c>
      <x:c r="O57" s="7" t="s">
        <x:v>55</x:v>
      </x:c>
      <x:c r="P57" s="8" t="n">
        <x:f aca="0">INDEX(Properties!$L$4:$L$1809,MATCH("V000949",Properties!$A$4:$A$1809,0))</x:f>
        <x:v>182</x:v>
      </x:c>
      <x:c r="Q57" s="7" t="s">
        <x:v>613</x:v>
      </x:c>
      <x:c r="R57" s="9" t="n">
        <x:f aca="0">MEDIAN(INDEX('Prices CA'!$J$4:$J$107,MATCH("CA0058",'Prices CA'!$A$4:$A$107,0)))</x:f>
        <x:v>76.99</x:v>
      </x:c>
      <x:c r="S57" s="7" t="s">
        <x:v>614</x:v>
      </x:c>
      <x:c r="T57" s="7" t="s">
        <x:v>132</x:v>
      </x:c>
      <x:c r="U57" s="7" t="s">
        <x:v>53</x:v>
      </x:c>
      <x:c r="V57" s="7" t="s">
        <x:v>61</x:v>
      </x:c>
      <x:c r="W57" s="7" t="s">
        <x:v>615</x:v>
      </x:c>
      <x:c r="X57" s="7" t="s">
        <x:v>561</x:v>
      </x:c>
      <x:c r="Y57" s="7" t="s">
        <x:v>63</x:v>
      </x:c>
      <x:c r="Z57" s="7" t="s">
        <x:v>609</x:v>
      </x:c>
      <x:c r="AA57" s="7" t="s">
        <x:v>609</x:v>
      </x:c>
      <x:c r="AB57" s="7" t="s">
        <x:v>590</x:v>
      </x:c>
      <x:c r="AC57" s="7" t="s">
        <x:v>262</x:v>
      </x:c>
      <x:c r="AD57" s="7" t="s">
        <x:v>65</x:v>
      </x:c>
      <x:c r="AE57" s="7" t="s">
        <x:v>66</x:v>
      </x:c>
      <x:c r="AF57" s="7" t="s">
        <x:v>67</x:v>
      </x:c>
      <x:c r="AG57" s="7" t="s">
        <x:v>58</x:v>
      </x:c>
      <x:c r="AH57" s="7" t="s">
        <x:v>610</x:v>
      </x:c>
      <x:c r="AI57" s="7" t="s">
        <x:v>69</x:v>
      </x:c>
      <x:c r="AJ57" s="7" t="s">
        <x:v>91</x:v>
      </x:c>
      <x:c r="AK57" s="7" t="s">
        <x:v>58</x:v>
      </x:c>
      <x:c r="AL57" s="7" t="str">
        <x:v>Q00447; Q00448; Q00449; Q00450; Q00451</x:v>
      </x:c>
      <x:c r="AM57" s="7" t="s">
        <x:v>72</x:v>
      </x:c>
      <x:c r="AN57" s="7" t="s">
        <x:v>73</x:v>
      </x:c>
      <x:c r="AO57" s="7" t="s">
        <x:v>74</x:v>
      </x:c>
      <x:c r="AP57" s="8" t="s">
        <x:v>53</x:v>
      </x:c>
      <x:c r="AQ57" s="7" t="s">
        <x:v>75</x:v>
      </x:c>
    </x:row>
    <x:row r="58" ht="51.75" hidden="0" customHeight="1">
      <x:c r="A58" s="7" t="s">
        <x:v>616</x:v>
      </x:c>
      <x:c r="B58" s="7" t="s">
        <x:v>617</x:v>
      </x:c>
      <x:c r="C58" s="7" t="s">
        <x:v>561</x:v>
      </x:c>
      <x:c r="D58" s="7" t="s">
        <x:v>106</x:v>
      </x:c>
      <x:c r="E58" s="7" t="s">
        <x:v>618</x:v>
      </x:c>
      <x:c r="F58" s="7" t="s">
        <x:v>619</x:v>
      </x:c>
      <x:c r="G58" s="7" t="s">
        <x:v>620</x:v>
      </x:c>
      <x:c r="H58" s="7" t="s">
        <x:v>51</x:v>
      </x:c>
      <x:c r="I58" s="7" t="s">
        <x:v>621</x:v>
      </x:c>
      <x:c r="J58" s="8" t="s">
        <x:v>53</x:v>
      </x:c>
      <x:c r="K58" s="8" t="s">
        <x:v>53</x:v>
      </x:c>
      <x:c r="L58" s="8" t="s">
        <x:v>53</x:v>
      </x:c>
      <x:c r="M58" s="8" t="s">
        <x:v>53</x:v>
      </x:c>
      <x:c r="N58" s="7" t="s">
        <x:v>58</x:v>
      </x:c>
      <x:c r="O58" s="7" t="s">
        <x:v>53</x:v>
      </x:c>
      <x:c r="P58" s="8" t="s">
        <x:v>53</x:v>
      </x:c>
      <x:c r="Q58" s="7" t="s">
        <x:v>58</x:v>
      </x:c>
      <x:c r="R58" s="9" t="s">
        <x:v>57</x:v>
      </x:c>
      <x:c r="S58" s="7" t="s">
        <x:v>58</x:v>
      </x:c>
      <x:c r="T58" s="7" t="s">
        <x:v>59</x:v>
      </x:c>
      <x:c r="U58" s="7" t="s">
        <x:v>622</x:v>
      </x:c>
      <x:c r="V58" s="7" t="s">
        <x:v>61</x:v>
      </x:c>
      <x:c r="W58" s="7" t="s">
        <x:v>623</x:v>
      </x:c>
      <x:c r="X58" s="7" t="s">
        <x:v>561</x:v>
      </x:c>
      <x:c r="Y58" s="7" t="s">
        <x:v>63</x:v>
      </x:c>
      <x:c r="Z58" s="7" t="s">
        <x:v>617</x:v>
      </x:c>
      <x:c r="AA58" s="7" t="s">
        <x:v>617</x:v>
      </x:c>
      <x:c r="AB58" s="7" t="s">
        <x:v>617</x:v>
      </x:c>
      <x:c r="AC58" s="7" t="s">
        <x:v>64</x:v>
      </x:c>
      <x:c r="AD58" s="7" t="s">
        <x:v>65</x:v>
      </x:c>
      <x:c r="AE58" s="7" t="s">
        <x:v>66</x:v>
      </x:c>
      <x:c r="AF58" s="7" t="s">
        <x:v>67</x:v>
      </x:c>
      <x:c r="AG58" s="7" t="s">
        <x:v>58</x:v>
      </x:c>
      <x:c r="AH58" s="7" t="s">
        <x:v>618</x:v>
      </x:c>
      <x:c r="AI58" s="7" t="s">
        <x:v>69</x:v>
      </x:c>
      <x:c r="AJ58" s="7" t="s">
        <x:v>53</x:v>
      </x:c>
      <x:c r="AK58" s="7" t="s">
        <x:v>624</x:v>
      </x:c>
      <x:c r="AL58" s="7" t="s">
        <x:v>625</x:v>
      </x:c>
      <x:c r="AM58" s="7" t="s">
        <x:v>626</x:v>
      </x:c>
      <x:c r="AN58" s="7" t="s">
        <x:v>403</x:v>
      </x:c>
      <x:c r="AO58" s="7" t="s">
        <x:v>74</x:v>
      </x:c>
      <x:c r="AP58" s="8" t="s">
        <x:v>53</x:v>
      </x:c>
      <x:c r="AQ58" s="7" t="s">
        <x:v>75</x:v>
      </x:c>
    </x:row>
    <x:row r="59" ht="51.75" hidden="0" customHeight="1">
      <x:c r="A59" s="7" t="s">
        <x:v>627</x:v>
      </x:c>
      <x:c r="B59" s="7" t="s">
        <x:v>628</x:v>
      </x:c>
      <x:c r="C59" s="7" t="s">
        <x:v>561</x:v>
      </x:c>
      <x:c r="D59" s="7" t="s">
        <x:v>106</x:v>
      </x:c>
      <x:c r="E59" s="7" t="s">
        <x:v>629</x:v>
      </x:c>
      <x:c r="F59" s="7" t="s">
        <x:v>630</x:v>
      </x:c>
      <x:c r="G59" s="7" t="s">
        <x:v>631</x:v>
      </x:c>
      <x:c r="H59" s="7" t="s">
        <x:v>374</x:v>
      </x:c>
      <x:c r="I59" s="7" t="s">
        <x:v>632</x:v>
      </x:c>
      <x:c r="J59" s="8" t="n">
        <x:f aca="0">INDEX(Properties!$L$4:$L$1809,MATCH("V000964",Properties!$A$4:$A$1809,0))</x:f>
        <x:v>1160</x:v>
      </x:c>
      <x:c r="K59" s="8" t="n">
        <x:f aca="0">INDEX(Properties!$L$4:$L$1809,MATCH("V000966",Properties!$A$4:$A$1809,0))</x:f>
        <x:v>8</x:v>
      </x:c>
      <x:c r="L59" s="8" t="s">
        <x:v>53</x:v>
      </x:c>
      <x:c r="M59" s="8" t="n">
        <x:f aca="0">INDEX(Properties!$L$4:$L$1809,MATCH("V000967",Properties!$A$4:$A$1809,0))</x:f>
        <x:v>2.1</x:v>
      </x:c>
      <x:c r="N59" s="7" t="s">
        <x:v>633</x:v>
      </x:c>
      <x:c r="O59" s="7" t="s">
        <x:v>55</x:v>
      </x:c>
      <x:c r="P59" s="8" t="n">
        <x:f aca="0">INDEX(Properties!$L$4:$L$1809,MATCH("V000971",Properties!$A$4:$A$1809,0))</x:f>
        <x:v>150</x:v>
      </x:c>
      <x:c r="Q59" s="7" t="s">
        <x:v>634</x:v>
      </x:c>
      <x:c r="R59" s="9" t="s">
        <x:v>57</x:v>
      </x:c>
      <x:c r="S59" s="7" t="s">
        <x:v>58</x:v>
      </x:c>
      <x:c r="T59" s="7" t="s">
        <x:v>59</x:v>
      </x:c>
      <x:c r="U59" s="7" t="s">
        <x:v>53</x:v>
      </x:c>
      <x:c r="V59" s="7" t="s">
        <x:v>61</x:v>
      </x:c>
      <x:c r="W59" s="7" t="s">
        <x:v>635</x:v>
      </x:c>
      <x:c r="X59" s="7" t="s">
        <x:v>561</x:v>
      </x:c>
      <x:c r="Y59" s="7" t="s">
        <x:v>63</x:v>
      </x:c>
      <x:c r="Z59" s="7" t="s">
        <x:v>628</x:v>
      </x:c>
      <x:c r="AA59" s="7" t="s">
        <x:v>628</x:v>
      </x:c>
      <x:c r="AB59" s="7" t="s">
        <x:v>617</x:v>
      </x:c>
      <x:c r="AC59" s="7" t="s">
        <x:v>249</x:v>
      </x:c>
      <x:c r="AD59" s="7" t="s">
        <x:v>65</x:v>
      </x:c>
      <x:c r="AE59" s="7" t="s">
        <x:v>66</x:v>
      </x:c>
      <x:c r="AF59" s="7" t="s">
        <x:v>67</x:v>
      </x:c>
      <x:c r="AG59" s="7" t="s">
        <x:v>58</x:v>
      </x:c>
      <x:c r="AH59" s="7" t="s">
        <x:v>636</x:v>
      </x:c>
      <x:c r="AI59" s="7" t="s">
        <x:v>69</x:v>
      </x:c>
      <x:c r="AJ59" s="7" t="s">
        <x:v>53</x:v>
      </x:c>
      <x:c r="AK59" s="7" t="s">
        <x:v>637</x:v>
      </x:c>
      <x:c r="AL59" s="7" t="s">
        <x:v>638</x:v>
      </x:c>
      <x:c r="AM59" s="7" t="s">
        <x:v>72</x:v>
      </x:c>
      <x:c r="AN59" s="7" t="s">
        <x:v>73</x:v>
      </x:c>
      <x:c r="AO59" s="7" t="s">
        <x:v>74</x:v>
      </x:c>
      <x:c r="AP59" s="8" t="s">
        <x:v>53</x:v>
      </x:c>
      <x:c r="AQ59" s="7" t="s">
        <x:v>75</x:v>
      </x:c>
    </x:row>
    <x:row r="60" ht="51.75" hidden="0" customHeight="1">
      <x:c r="A60" s="7" t="s">
        <x:v>639</x:v>
      </x:c>
      <x:c r="B60" s="7" t="s">
        <x:v>640</x:v>
      </x:c>
      <x:c r="C60" s="7" t="s">
        <x:v>561</x:v>
      </x:c>
      <x:c r="D60" s="7" t="s">
        <x:v>106</x:v>
      </x:c>
      <x:c r="E60" s="7" t="s">
        <x:v>641</x:v>
      </x:c>
      <x:c r="F60" s="7" t="s">
        <x:v>630</x:v>
      </x:c>
      <x:c r="G60" s="7" t="s">
        <x:v>631</x:v>
      </x:c>
      <x:c r="H60" s="7" t="s">
        <x:v>642</x:v>
      </x:c>
      <x:c r="I60" s="7" t="s">
        <x:v>643</x:v>
      </x:c>
      <x:c r="J60" s="8" t="n">
        <x:f aca="0">INDEX(Properties!$L$4:$L$1809,MATCH("V001007",Properties!$A$4:$A$1809,0))</x:f>
        <x:v>1230</x:v>
      </x:c>
      <x:c r="K60" s="8" t="n">
        <x:f aca="0">INDEX(Properties!$L$4:$L$1809,MATCH("V001009",Properties!$A$4:$A$1809,0))</x:f>
        <x:v>7.8</x:v>
      </x:c>
      <x:c r="L60" s="8" t="s">
        <x:v>53</x:v>
      </x:c>
      <x:c r="M60" s="8" t="n">
        <x:f aca="0">INDEX(Properties!$L$4:$L$1809,MATCH("V001010",Properties!$A$4:$A$1809,0))</x:f>
        <x:v>4.5</x:v>
      </x:c>
      <x:c r="N60" s="7" t="s">
        <x:v>644</x:v>
      </x:c>
      <x:c r="O60" s="7" t="s">
        <x:v>55</x:v>
      </x:c>
      <x:c r="P60" s="8" t="n">
        <x:f aca="0">INDEX(Properties!$L$4:$L$1809,MATCH("V001014",Properties!$A$4:$A$1809,0))</x:f>
        <x:v>150</x:v>
      </x:c>
      <x:c r="Q60" s="7" t="s">
        <x:v>645</x:v>
      </x:c>
      <x:c r="R60" s="9" t="s">
        <x:v>57</x:v>
      </x:c>
      <x:c r="S60" s="7" t="s">
        <x:v>58</x:v>
      </x:c>
      <x:c r="T60" s="7" t="s">
        <x:v>59</x:v>
      </x:c>
      <x:c r="U60" s="7" t="s">
        <x:v>53</x:v>
      </x:c>
      <x:c r="V60" s="7" t="s">
        <x:v>61</x:v>
      </x:c>
      <x:c r="W60" s="7" t="s">
        <x:v>646</x:v>
      </x:c>
      <x:c r="X60" s="7" t="s">
        <x:v>561</x:v>
      </x:c>
      <x:c r="Y60" s="7" t="s">
        <x:v>63</x:v>
      </x:c>
      <x:c r="Z60" s="7" t="s">
        <x:v>640</x:v>
      </x:c>
      <x:c r="AA60" s="7" t="s">
        <x:v>640</x:v>
      </x:c>
      <x:c r="AB60" s="7" t="s">
        <x:v>617</x:v>
      </x:c>
      <x:c r="AC60" s="7" t="s">
        <x:v>262</x:v>
      </x:c>
      <x:c r="AD60" s="7" t="s">
        <x:v>65</x:v>
      </x:c>
      <x:c r="AE60" s="7" t="s">
        <x:v>66</x:v>
      </x:c>
      <x:c r="AF60" s="7" t="s">
        <x:v>67</x:v>
      </x:c>
      <x:c r="AG60" s="7" t="s">
        <x:v>58</x:v>
      </x:c>
      <x:c r="AH60" s="7" t="s">
        <x:v>641</x:v>
      </x:c>
      <x:c r="AI60" s="7" t="s">
        <x:v>69</x:v>
      </x:c>
      <x:c r="AJ60" s="7" t="s">
        <x:v>53</x:v>
      </x:c>
      <x:c r="AK60" s="7" t="s">
        <x:v>58</x:v>
      </x:c>
      <x:c r="AL60" s="7" t="s">
        <x:v>58</x:v>
      </x:c>
      <x:c r="AM60" s="7" t="s">
        <x:v>72</x:v>
      </x:c>
      <x:c r="AN60" s="7" t="s">
        <x:v>73</x:v>
      </x:c>
      <x:c r="AO60" s="7" t="s">
        <x:v>74</x:v>
      </x:c>
      <x:c r="AP60" s="8" t="s">
        <x:v>53</x:v>
      </x:c>
      <x:c r="AQ60" s="7" t="s">
        <x:v>75</x:v>
      </x:c>
    </x:row>
    <x:row r="61" ht="51.75" hidden="0" customHeight="1">
      <x:c r="A61" s="7" t="s">
        <x:v>647</x:v>
      </x:c>
      <x:c r="B61" s="7" t="s">
        <x:v>648</x:v>
      </x:c>
      <x:c r="C61" s="7" t="s">
        <x:v>561</x:v>
      </x:c>
      <x:c r="D61" s="7" t="s">
        <x:v>649</x:v>
      </x:c>
      <x:c r="E61" s="7" t="s">
        <x:v>53</x:v>
      </x:c>
      <x:c r="F61" s="7" t="s">
        <x:v>53</x:v>
      </x:c>
      <x:c r="G61" s="7" t="s">
        <x:v>53</x:v>
      </x:c>
      <x:c r="H61" s="7" t="s">
        <x:v>53</x:v>
      </x:c>
      <x:c r="I61" s="7" t="s">
        <x:v>58</x:v>
      </x:c>
      <x:c r="J61" s="8" t="s">
        <x:v>53</x:v>
      </x:c>
      <x:c r="K61" s="8" t="s">
        <x:v>53</x:v>
      </x:c>
      <x:c r="L61" s="8" t="s">
        <x:v>53</x:v>
      </x:c>
      <x:c r="M61" s="8" t="s">
        <x:v>53</x:v>
      </x:c>
      <x:c r="N61" s="7" t="s">
        <x:v>58</x:v>
      </x:c>
      <x:c r="O61" s="7" t="s">
        <x:v>53</x:v>
      </x:c>
      <x:c r="P61" s="8" t="s">
        <x:v>53</x:v>
      </x:c>
      <x:c r="Q61" s="7" t="s">
        <x:v>58</x:v>
      </x:c>
      <x:c r="R61" s="9" t="s">
        <x:v>57</x:v>
      </x:c>
      <x:c r="S61" s="7" t="s">
        <x:v>58</x:v>
      </x:c>
      <x:c r="T61" s="7" t="s">
        <x:v>59</x:v>
      </x:c>
      <x:c r="U61" s="7" t="s">
        <x:v>53</x:v>
      </x:c>
      <x:c r="V61" s="7" t="s">
        <x:v>650</x:v>
      </x:c>
      <x:c r="W61" s="7" t="s">
        <x:v>651</x:v>
      </x:c>
      <x:c r="X61" s="7" t="s">
        <x:v>561</x:v>
      </x:c>
      <x:c r="Y61" s="7" t="s">
        <x:v>63</x:v>
      </x:c>
      <x:c r="Z61" s="7" t="s">
        <x:v>648</x:v>
      </x:c>
      <x:c r="AA61" s="7" t="s">
        <x:v>648</x:v>
      </x:c>
      <x:c r="AB61" s="7" t="s">
        <x:v>648</x:v>
      </x:c>
      <x:c r="AC61" s="7" t="s">
        <x:v>64</x:v>
      </x:c>
      <x:c r="AD61" s="7" t="s">
        <x:v>65</x:v>
      </x:c>
      <x:c r="AE61" s="7" t="s">
        <x:v>66</x:v>
      </x:c>
      <x:c r="AF61" s="7" t="s">
        <x:v>67</x:v>
      </x:c>
      <x:c r="AG61" s="7" t="s">
        <x:v>650</x:v>
      </x:c>
      <x:c r="AH61" s="7" t="s">
        <x:v>53</x:v>
      </x:c>
      <x:c r="AI61" s="7" t="s">
        <x:v>109</x:v>
      </x:c>
      <x:c r="AJ61" s="7" t="s">
        <x:v>53</x:v>
      </x:c>
      <x:c r="AK61" s="7" t="s">
        <x:v>58</x:v>
      </x:c>
      <x:c r="AL61" s="7" t="s">
        <x:v>58</x:v>
      </x:c>
      <x:c r="AM61" s="7" t="s">
        <x:v>72</x:v>
      </x:c>
      <x:c r="AN61" s="7" t="s">
        <x:v>73</x:v>
      </x:c>
      <x:c r="AO61" s="7" t="s">
        <x:v>74</x:v>
      </x:c>
      <x:c r="AP61" s="8" t="s">
        <x:v>53</x:v>
      </x:c>
      <x:c r="AQ61" s="7" t="s">
        <x:v>75</x:v>
      </x:c>
    </x:row>
    <x:row r="62" ht="51.75" hidden="0" customHeight="1">
      <x:c r="A62" s="7" t="s">
        <x:v>652</x:v>
      </x:c>
      <x:c r="B62" s="7" t="s">
        <x:v>653</x:v>
      </x:c>
      <x:c r="C62" s="7" t="s">
        <x:v>561</x:v>
      </x:c>
      <x:c r="D62" s="7" t="s">
        <x:v>649</x:v>
      </x:c>
      <x:c r="E62" s="7" t="s">
        <x:v>53</x:v>
      </x:c>
      <x:c r="F62" s="7" t="s">
        <x:v>53</x:v>
      </x:c>
      <x:c r="G62" s="7" t="s">
        <x:v>53</x:v>
      </x:c>
      <x:c r="H62" s="7" t="s">
        <x:v>53</x:v>
      </x:c>
      <x:c r="I62" s="7" t="s">
        <x:v>58</x:v>
      </x:c>
      <x:c r="J62" s="8" t="s">
        <x:v>53</x:v>
      </x:c>
      <x:c r="K62" s="8" t="s">
        <x:v>53</x:v>
      </x:c>
      <x:c r="L62" s="8" t="s">
        <x:v>53</x:v>
      </x:c>
      <x:c r="M62" s="8" t="s">
        <x:v>53</x:v>
      </x:c>
      <x:c r="N62" s="7" t="s">
        <x:v>58</x:v>
      </x:c>
      <x:c r="O62" s="7" t="s">
        <x:v>53</x:v>
      </x:c>
      <x:c r="P62" s="8" t="s">
        <x:v>53</x:v>
      </x:c>
      <x:c r="Q62" s="7" t="s">
        <x:v>58</x:v>
      </x:c>
      <x:c r="R62" s="9" t="s">
        <x:v>57</x:v>
      </x:c>
      <x:c r="S62" s="7" t="s">
        <x:v>58</x:v>
      </x:c>
      <x:c r="T62" s="7" t="s">
        <x:v>59</x:v>
      </x:c>
      <x:c r="U62" s="7" t="s">
        <x:v>53</x:v>
      </x:c>
      <x:c r="V62" s="7" t="s">
        <x:v>654</x:v>
      </x:c>
      <x:c r="W62" s="7" t="s">
        <x:v>655</x:v>
      </x:c>
      <x:c r="X62" s="7" t="s">
        <x:v>561</x:v>
      </x:c>
      <x:c r="Y62" s="7" t="s">
        <x:v>63</x:v>
      </x:c>
      <x:c r="Z62" s="7" t="s">
        <x:v>653</x:v>
      </x:c>
      <x:c r="AA62" s="7" t="s">
        <x:v>653</x:v>
      </x:c>
      <x:c r="AB62" s="7" t="s">
        <x:v>648</x:v>
      </x:c>
      <x:c r="AC62" s="7" t="s">
        <x:v>249</x:v>
      </x:c>
      <x:c r="AD62" s="7" t="s">
        <x:v>65</x:v>
      </x:c>
      <x:c r="AE62" s="7" t="s">
        <x:v>66</x:v>
      </x:c>
      <x:c r="AF62" s="7" t="s">
        <x:v>67</x:v>
      </x:c>
      <x:c r="AG62" s="7" t="s">
        <x:v>654</x:v>
      </x:c>
      <x:c r="AH62" s="7" t="s">
        <x:v>53</x:v>
      </x:c>
      <x:c r="AI62" s="7" t="s">
        <x:v>109</x:v>
      </x:c>
      <x:c r="AJ62" s="7" t="s">
        <x:v>53</x:v>
      </x:c>
      <x:c r="AK62" s="7" t="s">
        <x:v>58</x:v>
      </x:c>
      <x:c r="AL62" s="7" t="s">
        <x:v>58</x:v>
      </x:c>
      <x:c r="AM62" s="7" t="s">
        <x:v>72</x:v>
      </x:c>
      <x:c r="AN62" s="7" t="s">
        <x:v>73</x:v>
      </x:c>
      <x:c r="AO62" s="7" t="s">
        <x:v>74</x:v>
      </x:c>
      <x:c r="AP62" s="8" t="s">
        <x:v>53</x:v>
      </x:c>
      <x:c r="AQ62" s="7" t="s">
        <x:v>75</x:v>
      </x:c>
    </x:row>
    <x:row r="63" ht="79.5" hidden="0" customHeight="1">
      <x:c r="A63" s="7" t="s">
        <x:v>656</x:v>
      </x:c>
      <x:c r="B63" s="7" t="s">
        <x:v>657</x:v>
      </x:c>
      <x:c r="C63" s="7" t="s">
        <x:v>561</x:v>
      </x:c>
      <x:c r="D63" s="7" t="s">
        <x:v>106</x:v>
      </x:c>
      <x:c r="E63" s="7" t="s">
        <x:v>658</x:v>
      </x:c>
      <x:c r="F63" s="7" t="s">
        <x:v>563</x:v>
      </x:c>
      <x:c r="G63" s="7" t="s">
        <x:v>564</x:v>
      </x:c>
      <x:c r="H63" s="7" t="s">
        <x:v>565</x:v>
      </x:c>
      <x:c r="I63" s="7" t="s">
        <x:v>659</x:v>
      </x:c>
      <x:c r="J63" s="8" t="n">
        <x:f aca="0">INDEX(Properties!$L$4:$L$1809,MATCH("V001015",Properties!$A$4:$A$1809,0))</x:f>
        <x:v>1120</x:v>
      </x:c>
      <x:c r="K63" s="8" t="n">
        <x:f aca="0">INDEX(Properties!$L$4:$L$1809,MATCH("V001023",Properties!$A$4:$A$1809,0))</x:f>
        <x:v>2.223</x:v>
      </x:c>
      <x:c r="L63" s="8" t="n">
        <x:f aca="0">INDEX(Properties!$L$4:$L$1809,MATCH("V001025",Properties!$A$4:$A$1809,0))</x:f>
        <x:v>66.2</x:v>
      </x:c>
      <x:c r="M63" s="8" t="n">
        <x:f aca="0">INDEX(Properties!$L$4:$L$1809,MATCH("V001027",Properties!$A$4:$A$1809,0))</x:f>
        <x:v>9.9</x:v>
      </x:c>
      <x:c r="N63" s="7" t="s">
        <x:v>660</x:v>
      </x:c>
      <x:c r="O63" s="7" t="s">
        <x:v>568</x:v>
      </x:c>
      <x:c r="P63" s="8" t="n">
        <x:f aca="0">INDEX(Properties!$L$4:$L$1809,MATCH("V001021",Properties!$A$4:$A$1809,0))</x:f>
        <x:v>110.5</x:v>
      </x:c>
      <x:c r="Q63" s="7" t="s">
        <x:v>661</x:v>
      </x:c>
      <x:c r="R63" s="9" t="s">
        <x:v>57</x:v>
      </x:c>
      <x:c r="S63" s="7" t="s">
        <x:v>58</x:v>
      </x:c>
      <x:c r="T63" s="7" t="s">
        <x:v>59</x:v>
      </x:c>
      <x:c r="U63" s="7" t="s">
        <x:v>53</x:v>
      </x:c>
      <x:c r="V63" s="7" t="s">
        <x:v>662</x:v>
      </x:c>
      <x:c r="W63" s="7" t="s">
        <x:v>663</x:v>
      </x:c>
      <x:c r="X63" s="7" t="s">
        <x:v>561</x:v>
      </x:c>
      <x:c r="Y63" s="7" t="s">
        <x:v>63</x:v>
      </x:c>
      <x:c r="Z63" s="7" t="s">
        <x:v>657</x:v>
      </x:c>
      <x:c r="AA63" s="7" t="s">
        <x:v>657</x:v>
      </x:c>
      <x:c r="AB63" s="7" t="s">
        <x:v>657</x:v>
      </x:c>
      <x:c r="AC63" s="7" t="s">
        <x:v>64</x:v>
      </x:c>
      <x:c r="AD63" s="7" t="s">
        <x:v>65</x:v>
      </x:c>
      <x:c r="AE63" s="7" t="s">
        <x:v>66</x:v>
      </x:c>
      <x:c r="AF63" s="7" t="s">
        <x:v>67</x:v>
      </x:c>
      <x:c r="AG63" s="7" t="s">
        <x:v>662</x:v>
      </x:c>
      <x:c r="AH63" s="7" t="s">
        <x:v>664</x:v>
      </x:c>
      <x:c r="AI63" s="7" t="s">
        <x:v>69</x:v>
      </x:c>
      <x:c r="AJ63" s="7" t="s">
        <x:v>91</x:v>
      </x:c>
      <x:c r="AK63" s="7" t="s">
        <x:v>665</x:v>
      </x:c>
      <x:c r="AL63" s="7" t="s">
        <x:v>666</x:v>
      </x:c>
      <x:c r="AM63" s="7" t="s">
        <x:v>72</x:v>
      </x:c>
      <x:c r="AN63" s="7" t="s">
        <x:v>73</x:v>
      </x:c>
      <x:c r="AO63" s="7" t="s">
        <x:v>74</x:v>
      </x:c>
      <x:c r="AP63" s="8" t="s">
        <x:v>53</x:v>
      </x:c>
      <x:c r="AQ63" s="7" t="s">
        <x:v>75</x:v>
      </x:c>
    </x:row>
    <x:row r="64" ht="51.75" hidden="0" customHeight="1">
      <x:c r="A64" s="7" t="s">
        <x:v>667</x:v>
      </x:c>
      <x:c r="B64" s="7" t="s">
        <x:v>668</x:v>
      </x:c>
      <x:c r="C64" s="7" t="s">
        <x:v>561</x:v>
      </x:c>
      <x:c r="D64" s="7" t="s">
        <x:v>649</x:v>
      </x:c>
      <x:c r="E64" s="7" t="s">
        <x:v>53</x:v>
      </x:c>
      <x:c r="F64" s="7" t="s">
        <x:v>53</x:v>
      </x:c>
      <x:c r="G64" s="7" t="s">
        <x:v>53</x:v>
      </x:c>
      <x:c r="H64" s="7" t="s">
        <x:v>53</x:v>
      </x:c>
      <x:c r="I64" s="7" t="s">
        <x:v>58</x:v>
      </x:c>
      <x:c r="J64" s="8" t="s">
        <x:v>53</x:v>
      </x:c>
      <x:c r="K64" s="8" t="s">
        <x:v>53</x:v>
      </x:c>
      <x:c r="L64" s="8" t="s">
        <x:v>53</x:v>
      </x:c>
      <x:c r="M64" s="8" t="s">
        <x:v>53</x:v>
      </x:c>
      <x:c r="N64" s="7" t="s">
        <x:v>58</x:v>
      </x:c>
      <x:c r="O64" s="7" t="s">
        <x:v>53</x:v>
      </x:c>
      <x:c r="P64" s="8" t="s">
        <x:v>53</x:v>
      </x:c>
      <x:c r="Q64" s="7" t="s">
        <x:v>58</x:v>
      </x:c>
      <x:c r="R64" s="9" t="s">
        <x:v>57</x:v>
      </x:c>
      <x:c r="S64" s="7" t="s">
        <x:v>58</x:v>
      </x:c>
      <x:c r="T64" s="7" t="s">
        <x:v>59</x:v>
      </x:c>
      <x:c r="U64" s="7" t="s">
        <x:v>53</x:v>
      </x:c>
      <x:c r="V64" s="7" t="s">
        <x:v>669</x:v>
      </x:c>
      <x:c r="W64" s="7" t="s">
        <x:v>670</x:v>
      </x:c>
      <x:c r="X64" s="7" t="s">
        <x:v>561</x:v>
      </x:c>
      <x:c r="Y64" s="7" t="s">
        <x:v>63</x:v>
      </x:c>
      <x:c r="Z64" s="7" t="s">
        <x:v>668</x:v>
      </x:c>
      <x:c r="AA64" s="7" t="s">
        <x:v>668</x:v>
      </x:c>
      <x:c r="AB64" s="7" t="s">
        <x:v>668</x:v>
      </x:c>
      <x:c r="AC64" s="7" t="s">
        <x:v>64</x:v>
      </x:c>
      <x:c r="AD64" s="7" t="s">
        <x:v>65</x:v>
      </x:c>
      <x:c r="AE64" s="7" t="s">
        <x:v>66</x:v>
      </x:c>
      <x:c r="AF64" s="7" t="s">
        <x:v>67</x:v>
      </x:c>
      <x:c r="AG64" s="7" t="s">
        <x:v>669</x:v>
      </x:c>
      <x:c r="AH64" s="7" t="s">
        <x:v>53</x:v>
      </x:c>
      <x:c r="AI64" s="7" t="s">
        <x:v>109</x:v>
      </x:c>
      <x:c r="AJ64" s="7" t="s">
        <x:v>53</x:v>
      </x:c>
      <x:c r="AK64" s="7" t="s">
        <x:v>58</x:v>
      </x:c>
      <x:c r="AL64" s="7" t="s">
        <x:v>58</x:v>
      </x:c>
      <x:c r="AM64" s="7" t="s">
        <x:v>72</x:v>
      </x:c>
      <x:c r="AN64" s="7" t="s">
        <x:v>73</x:v>
      </x:c>
      <x:c r="AO64" s="7" t="s">
        <x:v>74</x:v>
      </x:c>
      <x:c r="AP64" s="8" t="s">
        <x:v>53</x:v>
      </x:c>
      <x:c r="AQ64" s="7" t="s">
        <x:v>75</x:v>
      </x:c>
    </x:row>
    <x:row r="65" ht="79.5" hidden="0" customHeight="1">
      <x:c r="A65" s="7" t="s">
        <x:v>671</x:v>
      </x:c>
      <x:c r="B65" s="7" t="s">
        <x:v>672</x:v>
      </x:c>
      <x:c r="C65" s="7" t="s">
        <x:v>561</x:v>
      </x:c>
      <x:c r="D65" s="7" t="s">
        <x:v>106</x:v>
      </x:c>
      <x:c r="E65" s="7" t="s">
        <x:v>673</x:v>
      </x:c>
      <x:c r="F65" s="7" t="s">
        <x:v>674</x:v>
      </x:c>
      <x:c r="G65" s="7" t="s">
        <x:v>675</x:v>
      </x:c>
      <x:c r="H65" s="7" t="s">
        <x:v>676</x:v>
      </x:c>
      <x:c r="I65" s="7" t="s">
        <x:v>677</x:v>
      </x:c>
      <x:c r="J65" s="8" t="n">
        <x:f aca="0">INDEX(Properties!$L$4:$L$1809,MATCH("V001052",Properties!$A$4:$A$1809,0))</x:f>
        <x:v>1030</x:v>
      </x:c>
      <x:c r="K65" s="8" t="n">
        <x:f aca="0">INDEX(Properties!$L$4:$L$1809,MATCH("V001055",Properties!$A$4:$A$1809,0))</x:f>
        <x:v>5.1367</x:v>
      </x:c>
      <x:c r="L65" s="8" t="n">
        <x:f aca="0">INDEX(Properties!$L$4:$L$1809,MATCH("V001057",Properties!$A$4:$A$1809,0))</x:f>
        <x:v>91.9</x:v>
      </x:c>
      <x:c r="M65" s="8" t="n">
        <x:f aca="0">INDEX(Properties!$L$4:$L$1809,MATCH("V001059",Properties!$A$4:$A$1809,0))</x:f>
        <x:v>2.6</x:v>
      </x:c>
      <x:c r="N65" s="7" t="s">
        <x:v>678</x:v>
      </x:c>
      <x:c r="O65" s="7" t="s">
        <x:v>679</x:v>
      </x:c>
      <x:c r="P65" s="8" t="n">
        <x:f aca="0">INDEX(Properties!$L$4:$L$1809,MATCH("V001054",Properties!$A$4:$A$1809,0))</x:f>
        <x:v>175</x:v>
      </x:c>
      <x:c r="Q65" s="7" t="s">
        <x:v>680</x:v>
      </x:c>
      <x:c r="R65" s="9" t="s">
        <x:v>57</x:v>
      </x:c>
      <x:c r="S65" s="7" t="s">
        <x:v>58</x:v>
      </x:c>
      <x:c r="T65" s="7" t="s">
        <x:v>59</x:v>
      </x:c>
      <x:c r="U65" s="7" t="s">
        <x:v>53</x:v>
      </x:c>
      <x:c r="V65" s="7" t="s">
        <x:v>61</x:v>
      </x:c>
      <x:c r="W65" s="7" t="s">
        <x:v>681</x:v>
      </x:c>
      <x:c r="X65" s="7" t="s">
        <x:v>561</x:v>
      </x:c>
      <x:c r="Y65" s="7" t="s">
        <x:v>63</x:v>
      </x:c>
      <x:c r="Z65" s="7" t="s">
        <x:v>672</x:v>
      </x:c>
      <x:c r="AA65" s="7" t="s">
        <x:v>672</x:v>
      </x:c>
      <x:c r="AB65" s="7" t="s">
        <x:v>668</x:v>
      </x:c>
      <x:c r="AC65" s="7" t="s">
        <x:v>249</x:v>
      </x:c>
      <x:c r="AD65" s="7" t="s">
        <x:v>65</x:v>
      </x:c>
      <x:c r="AE65" s="7" t="s">
        <x:v>66</x:v>
      </x:c>
      <x:c r="AF65" s="7" t="s">
        <x:v>67</x:v>
      </x:c>
      <x:c r="AG65" s="7" t="s">
        <x:v>58</x:v>
      </x:c>
      <x:c r="AH65" s="7" t="s">
        <x:v>673</x:v>
      </x:c>
      <x:c r="AI65" s="7" t="s">
        <x:v>69</x:v>
      </x:c>
      <x:c r="AJ65" s="7" t="s">
        <x:v>91</x:v>
      </x:c>
      <x:c r="AK65" s="7" t="s">
        <x:v>682</x:v>
      </x:c>
      <x:c r="AL65" s="7" t="s">
        <x:v>58</x:v>
      </x:c>
      <x:c r="AM65" s="7" t="s">
        <x:v>72</x:v>
      </x:c>
      <x:c r="AN65" s="7" t="s">
        <x:v>73</x:v>
      </x:c>
      <x:c r="AO65" s="7" t="s">
        <x:v>74</x:v>
      </x:c>
      <x:c r="AP65" s="8" t="s">
        <x:v>53</x:v>
      </x:c>
      <x:c r="AQ65" s="7" t="s">
        <x:v>75</x:v>
      </x:c>
    </x:row>
    <x:row r="66" ht="51.75" hidden="0" customHeight="1">
      <x:c r="A66" s="7" t="s">
        <x:v>683</x:v>
      </x:c>
      <x:c r="B66" s="7" t="s">
        <x:v>684</x:v>
      </x:c>
      <x:c r="C66" s="7" t="s">
        <x:v>561</x:v>
      </x:c>
      <x:c r="D66" s="7" t="s">
        <x:v>649</x:v>
      </x:c>
      <x:c r="E66" s="7" t="s">
        <x:v>53</x:v>
      </x:c>
      <x:c r="F66" s="7" t="s">
        <x:v>53</x:v>
      </x:c>
      <x:c r="G66" s="7" t="s">
        <x:v>53</x:v>
      </x:c>
      <x:c r="H66" s="7" t="s">
        <x:v>53</x:v>
      </x:c>
      <x:c r="I66" s="7" t="s">
        <x:v>58</x:v>
      </x:c>
      <x:c r="J66" s="8" t="s">
        <x:v>53</x:v>
      </x:c>
      <x:c r="K66" s="8" t="s">
        <x:v>53</x:v>
      </x:c>
      <x:c r="L66" s="8" t="s">
        <x:v>53</x:v>
      </x:c>
      <x:c r="M66" s="8" t="s">
        <x:v>53</x:v>
      </x:c>
      <x:c r="N66" s="7" t="s">
        <x:v>58</x:v>
      </x:c>
      <x:c r="O66" s="7" t="s">
        <x:v>53</x:v>
      </x:c>
      <x:c r="P66" s="8" t="s">
        <x:v>53</x:v>
      </x:c>
      <x:c r="Q66" s="7" t="s">
        <x:v>58</x:v>
      </x:c>
      <x:c r="R66" s="9" t="s">
        <x:v>57</x:v>
      </x:c>
      <x:c r="S66" s="7" t="s">
        <x:v>58</x:v>
      </x:c>
      <x:c r="T66" s="7" t="s">
        <x:v>59</x:v>
      </x:c>
      <x:c r="U66" s="7" t="s">
        <x:v>53</x:v>
      </x:c>
      <x:c r="V66" s="7" t="s">
        <x:v>685</x:v>
      </x:c>
      <x:c r="W66" s="7" t="s">
        <x:v>686</x:v>
      </x:c>
      <x:c r="X66" s="7" t="s">
        <x:v>561</x:v>
      </x:c>
      <x:c r="Y66" s="7" t="s">
        <x:v>63</x:v>
      </x:c>
      <x:c r="Z66" s="7" t="s">
        <x:v>684</x:v>
      </x:c>
      <x:c r="AA66" s="7" t="s">
        <x:v>684</x:v>
      </x:c>
      <x:c r="AB66" s="7" t="s">
        <x:v>668</x:v>
      </x:c>
      <x:c r="AC66" s="7" t="s">
        <x:v>262</x:v>
      </x:c>
      <x:c r="AD66" s="7" t="s">
        <x:v>65</x:v>
      </x:c>
      <x:c r="AE66" s="7" t="s">
        <x:v>66</x:v>
      </x:c>
      <x:c r="AF66" s="7" t="s">
        <x:v>67</x:v>
      </x:c>
      <x:c r="AG66" s="7" t="s">
        <x:v>685</x:v>
      </x:c>
      <x:c r="AH66" s="7" t="s">
        <x:v>53</x:v>
      </x:c>
      <x:c r="AI66" s="7" t="s">
        <x:v>109</x:v>
      </x:c>
      <x:c r="AJ66" s="7" t="s">
        <x:v>53</x:v>
      </x:c>
      <x:c r="AK66" s="7" t="s">
        <x:v>58</x:v>
      </x:c>
      <x:c r="AL66" s="7" t="s">
        <x:v>58</x:v>
      </x:c>
      <x:c r="AM66" s="7" t="s">
        <x:v>72</x:v>
      </x:c>
      <x:c r="AN66" s="7" t="s">
        <x:v>73</x:v>
      </x:c>
      <x:c r="AO66" s="7" t="s">
        <x:v>74</x:v>
      </x:c>
      <x:c r="AP66" s="8" t="s">
        <x:v>53</x:v>
      </x:c>
      <x:c r="AQ66" s="7" t="s">
        <x:v>75</x:v>
      </x:c>
    </x:row>
    <x:row r="67" ht="79.5" hidden="0" customHeight="1">
      <x:c r="A67" s="7" t="s">
        <x:v>687</x:v>
      </x:c>
      <x:c r="B67" s="7" t="s">
        <x:v>688</x:v>
      </x:c>
      <x:c r="C67" s="7" t="s">
        <x:v>561</x:v>
      </x:c>
      <x:c r="D67" s="7" t="s">
        <x:v>106</x:v>
      </x:c>
      <x:c r="E67" s="7" t="s">
        <x:v>689</x:v>
      </x:c>
      <x:c r="F67" s="7" t="s">
        <x:v>563</x:v>
      </x:c>
      <x:c r="G67" s="7" t="s">
        <x:v>564</x:v>
      </x:c>
      <x:c r="H67" s="7" t="s">
        <x:v>565</x:v>
      </x:c>
      <x:c r="I67" s="7" t="s">
        <x:v>690</x:v>
      </x:c>
      <x:c r="J67" s="8" t="n">
        <x:f aca="0">INDEX(Properties!$L$4:$L$1809,MATCH("V001081",Properties!$A$4:$A$1809,0))</x:f>
        <x:v>1120</x:v>
      </x:c>
      <x:c r="K67" s="8" t="n">
        <x:f aca="0">INDEX(Properties!$L$4:$L$1809,MATCH("V001089",Properties!$A$4:$A$1809,0))</x:f>
        <x:v>2.223</x:v>
      </x:c>
      <x:c r="L67" s="8" t="n">
        <x:f aca="0">INDEX(Properties!$L$4:$L$1809,MATCH("V001091",Properties!$A$4:$A$1809,0))</x:f>
        <x:v>66.2</x:v>
      </x:c>
      <x:c r="M67" s="8" t="n">
        <x:f aca="0">INDEX(Properties!$L$4:$L$1809,MATCH("V001093",Properties!$A$4:$A$1809,0))</x:f>
        <x:v>9.9</x:v>
      </x:c>
      <x:c r="N67" s="7" t="s">
        <x:v>691</x:v>
      </x:c>
      <x:c r="O67" s="7" t="s">
        <x:v>568</x:v>
      </x:c>
      <x:c r="P67" s="8" t="n">
        <x:f aca="0">INDEX(Properties!$L$4:$L$1809,MATCH("V001087",Properties!$A$4:$A$1809,0))</x:f>
        <x:v>110.5</x:v>
      </x:c>
      <x:c r="Q67" s="7" t="s">
        <x:v>692</x:v>
      </x:c>
      <x:c r="R67" s="9" t="s">
        <x:v>57</x:v>
      </x:c>
      <x:c r="S67" s="7" t="s">
        <x:v>58</x:v>
      </x:c>
      <x:c r="T67" s="7" t="s">
        <x:v>59</x:v>
      </x:c>
      <x:c r="U67" s="7" t="s">
        <x:v>53</x:v>
      </x:c>
      <x:c r="V67" s="7" t="s">
        <x:v>61</x:v>
      </x:c>
      <x:c r="W67" s="7" t="s">
        <x:v>693</x:v>
      </x:c>
      <x:c r="X67" s="7" t="s">
        <x:v>561</x:v>
      </x:c>
      <x:c r="Y67" s="7" t="s">
        <x:v>63</x:v>
      </x:c>
      <x:c r="Z67" s="7" t="s">
        <x:v>688</x:v>
      </x:c>
      <x:c r="AA67" s="7" t="s">
        <x:v>688</x:v>
      </x:c>
      <x:c r="AB67" s="7" t="s">
        <x:v>688</x:v>
      </x:c>
      <x:c r="AC67" s="7" t="s">
        <x:v>64</x:v>
      </x:c>
      <x:c r="AD67" s="7" t="s">
        <x:v>65</x:v>
      </x:c>
      <x:c r="AE67" s="7" t="s">
        <x:v>66</x:v>
      </x:c>
      <x:c r="AF67" s="7" t="s">
        <x:v>67</x:v>
      </x:c>
      <x:c r="AG67" s="7" t="s">
        <x:v>58</x:v>
      </x:c>
      <x:c r="AH67" s="7" t="s">
        <x:v>694</x:v>
      </x:c>
      <x:c r="AI67" s="7" t="s">
        <x:v>69</x:v>
      </x:c>
      <x:c r="AJ67" s="7" t="s">
        <x:v>91</x:v>
      </x:c>
      <x:c r="AK67" s="7" t="s">
        <x:v>695</x:v>
      </x:c>
      <x:c r="AL67" s="7" t="s">
        <x:v>696</x:v>
      </x:c>
      <x:c r="AM67" s="7" t="s">
        <x:v>72</x:v>
      </x:c>
      <x:c r="AN67" s="7" t="s">
        <x:v>73</x:v>
      </x:c>
      <x:c r="AO67" s="7" t="s">
        <x:v>74</x:v>
      </x:c>
      <x:c r="AP67" s="8" t="s">
        <x:v>53</x:v>
      </x:c>
      <x:c r="AQ67" s="7" t="s">
        <x:v>75</x:v>
      </x:c>
    </x:row>
    <x:row r="68" ht="51.75" hidden="0" customHeight="1">
      <x:c r="A68" s="7" t="s">
        <x:v>697</x:v>
      </x:c>
      <x:c r="B68" s="7" t="s">
        <x:v>698</x:v>
      </x:c>
      <x:c r="C68" s="7" t="s">
        <x:v>561</x:v>
      </x:c>
      <x:c r="D68" s="7" t="s">
        <x:v>47</x:v>
      </x:c>
      <x:c r="E68" s="7" t="s">
        <x:v>699</x:v>
      </x:c>
      <x:c r="F68" s="7" t="s">
        <x:v>630</x:v>
      </x:c>
      <x:c r="G68" s="7" t="s">
        <x:v>631</x:v>
      </x:c>
      <x:c r="H68" s="7" t="s">
        <x:v>374</x:v>
      </x:c>
      <x:c r="I68" s="7" t="s">
        <x:v>700</x:v>
      </x:c>
      <x:c r="J68" s="8" t="n">
        <x:f aca="0">INDEX(Properties!$L$4:$L$1809,MATCH("V001118",Properties!$A$4:$A$1809,0))</x:f>
        <x:v>1160</x:v>
      </x:c>
      <x:c r="K68" s="8" t="n">
        <x:f aca="0">INDEX(Properties!$L$4:$L$1809,MATCH("V001120",Properties!$A$4:$A$1809,0))</x:f>
        <x:v>8</x:v>
      </x:c>
      <x:c r="L68" s="8" t="s">
        <x:v>53</x:v>
      </x:c>
      <x:c r="M68" s="8" t="n">
        <x:f aca="0">INDEX(Properties!$L$4:$L$1809,MATCH("V001121",Properties!$A$4:$A$1809,0))</x:f>
        <x:v>2.1</x:v>
      </x:c>
      <x:c r="N68" s="7" t="s">
        <x:v>701</x:v>
      </x:c>
      <x:c r="O68" s="7" t="s">
        <x:v>55</x:v>
      </x:c>
      <x:c r="P68" s="8" t="n">
        <x:f aca="0">INDEX(Properties!$L$4:$L$1809,MATCH("V001125",Properties!$A$4:$A$1809,0))</x:f>
        <x:v>150</x:v>
      </x:c>
      <x:c r="Q68" s="7" t="s">
        <x:v>702</x:v>
      </x:c>
      <x:c r="R68" s="9" t="s">
        <x:v>57</x:v>
      </x:c>
      <x:c r="S68" s="7" t="s">
        <x:v>58</x:v>
      </x:c>
      <x:c r="T68" s="7" t="s">
        <x:v>59</x:v>
      </x:c>
      <x:c r="U68" s="7" t="s">
        <x:v>703</x:v>
      </x:c>
      <x:c r="V68" s="7" t="s">
        <x:v>61</x:v>
      </x:c>
      <x:c r="W68" s="7" t="s">
        <x:v>704</x:v>
      </x:c>
      <x:c r="X68" s="7" t="s">
        <x:v>561</x:v>
      </x:c>
      <x:c r="Y68" s="7" t="s">
        <x:v>63</x:v>
      </x:c>
      <x:c r="Z68" s="7" t="s">
        <x:v>698</x:v>
      </x:c>
      <x:c r="AA68" s="7" t="s">
        <x:v>698</x:v>
      </x:c>
      <x:c r="AB68" s="7" t="s">
        <x:v>560</x:v>
      </x:c>
      <x:c r="AC68" s="7" t="s">
        <x:v>249</x:v>
      </x:c>
      <x:c r="AD68" s="7" t="s">
        <x:v>65</x:v>
      </x:c>
      <x:c r="AE68" s="7" t="s">
        <x:v>66</x:v>
      </x:c>
      <x:c r="AF68" s="7" t="s">
        <x:v>67</x:v>
      </x:c>
      <x:c r="AG68" s="7" t="s">
        <x:v>58</x:v>
      </x:c>
      <x:c r="AH68" s="7" t="s">
        <x:v>705</x:v>
      </x:c>
      <x:c r="AI68" s="7" t="s">
        <x:v>69</x:v>
      </x:c>
      <x:c r="AJ68" s="7" t="s">
        <x:v>53</x:v>
      </x:c>
      <x:c r="AK68" s="7" t="s">
        <x:v>706</x:v>
      </x:c>
      <x:c r="AL68" s="7" t="str">
        <x:v>Not published</x:v>
      </x:c>
      <x:c r="AM68" s="7" t="s">
        <x:v>72</x:v>
      </x:c>
      <x:c r="AN68" s="7" t="s">
        <x:v>73</x:v>
      </x:c>
      <x:c r="AO68" s="7" t="s">
        <x:v>74</x:v>
      </x:c>
      <x:c r="AP68" s="8" t="s">
        <x:v>53</x:v>
      </x:c>
      <x:c r="AQ68" s="7" t="s">
        <x:v>75</x:v>
      </x:c>
    </x:row>
    <x:row r="69" ht="51.75" hidden="0" customHeight="1">
      <x:c r="A69" s="7" t="s">
        <x:v>708</x:v>
      </x:c>
      <x:c r="B69" s="7" t="s">
        <x:v>709</x:v>
      </x:c>
      <x:c r="C69" s="7" t="s">
        <x:v>561</x:v>
      </x:c>
      <x:c r="D69" s="7" t="s">
        <x:v>47</x:v>
      </x:c>
      <x:c r="E69" s="7" t="s">
        <x:v>710</x:v>
      </x:c>
      <x:c r="F69" s="7" t="s">
        <x:v>53</x:v>
      </x:c>
      <x:c r="G69" s="7" t="s">
        <x:v>53</x:v>
      </x:c>
      <x:c r="H69" s="7" t="s">
        <x:v>53</x:v>
      </x:c>
      <x:c r="I69" s="7" t="s">
        <x:v>711</x:v>
      </x:c>
      <x:c r="J69" s="8" t="n">
        <x:f aca="0">INDEX(Properties!$L$4:$L$1809,MATCH("V001163",Properties!$A$4:$A$1809,0))</x:f>
        <x:v>1350</x:v>
      </x:c>
      <x:c r="K69" s="8" t="n">
        <x:f aca="0">INDEX(Properties!$L$4:$L$1809,MATCH("V001165",Properties!$A$4:$A$1809,0))</x:f>
        <x:v>4.261</x:v>
      </x:c>
      <x:c r="L69" s="8" t="s">
        <x:v>53</x:v>
      </x:c>
      <x:c r="M69" s="8" t="n">
        <x:f aca="0">INDEX(Properties!$L$4:$L$1809,MATCH("V001166",Properties!$A$4:$A$1809,0))</x:f>
        <x:v>6</x:v>
      </x:c>
      <x:c r="N69" s="7" t="s">
        <x:v>712</x:v>
      </x:c>
      <x:c r="O69" s="7" t="s">
        <x:v>55</x:v>
      </x:c>
      <x:c r="P69" s="8" t="n">
        <x:f aca="0">INDEX(Properties!$L$4:$L$1809,MATCH("V001170",Properties!$A$4:$A$1809,0))</x:f>
        <x:v>186</x:v>
      </x:c>
      <x:c r="Q69" s="7" t="s">
        <x:v>713</x:v>
      </x:c>
      <x:c r="R69" s="9" t="n">
        <x:f aca="0">MEDIAN(INDEX('Prices CA'!$J$4:$J$107,MATCH("CA0095",'Prices CA'!$A$4:$A$107,0)))</x:f>
        <x:v>162.65333333333334</x:v>
      </x:c>
      <x:c r="S69" s="7" t="s">
        <x:v>714</x:v>
      </x:c>
      <x:c r="T69" s="7" t="s">
        <x:v>132</x:v>
      </x:c>
      <x:c r="U69" s="7" t="s">
        <x:v>703</x:v>
      </x:c>
      <x:c r="V69" s="7" t="s">
        <x:v>61</x:v>
      </x:c>
      <x:c r="W69" s="7" t="s">
        <x:v>715</x:v>
      </x:c>
      <x:c r="X69" s="7" t="s">
        <x:v>561</x:v>
      </x:c>
      <x:c r="Y69" s="7" t="s">
        <x:v>63</x:v>
      </x:c>
      <x:c r="Z69" s="7" t="s">
        <x:v>709</x:v>
      </x:c>
      <x:c r="AA69" s="7" t="s">
        <x:v>709</x:v>
      </x:c>
      <x:c r="AB69" s="7" t="s">
        <x:v>560</x:v>
      </x:c>
      <x:c r="AC69" s="7" t="s">
        <x:v>262</x:v>
      </x:c>
      <x:c r="AD69" s="7" t="s">
        <x:v>65</x:v>
      </x:c>
      <x:c r="AE69" s="7" t="s">
        <x:v>66</x:v>
      </x:c>
      <x:c r="AF69" s="7" t="s">
        <x:v>67</x:v>
      </x:c>
      <x:c r="AG69" s="7" t="s">
        <x:v>58</x:v>
      </x:c>
      <x:c r="AH69" s="7" t="s">
        <x:v>716</x:v>
      </x:c>
      <x:c r="AI69" s="7" t="s">
        <x:v>69</x:v>
      </x:c>
      <x:c r="AJ69" s="7" t="s">
        <x:v>53</x:v>
      </x:c>
      <x:c r="AK69" s="7" t="s">
        <x:v>717</x:v>
      </x:c>
      <x:c r="AL69" s="7" t="s">
        <x:v>718</x:v>
      </x:c>
      <x:c r="AM69" s="7" t="s">
        <x:v>72</x:v>
      </x:c>
      <x:c r="AN69" s="7" t="s">
        <x:v>73</x:v>
      </x:c>
      <x:c r="AO69" s="7" t="s">
        <x:v>74</x:v>
      </x:c>
      <x:c r="AP69" s="8" t="s">
        <x:v>53</x:v>
      </x:c>
      <x:c r="AQ69" s="7" t="s">
        <x:v>75</x:v>
      </x:c>
    </x:row>
    <x:row r="70" ht="51.75" hidden="0" customHeight="1">
      <x:c r="A70" s="7" t="s">
        <x:v>719</x:v>
      </x:c>
      <x:c r="B70" s="7" t="s">
        <x:v>720</x:v>
      </x:c>
      <x:c r="C70" s="7" t="s">
        <x:v>561</x:v>
      </x:c>
      <x:c r="D70" s="7" t="s">
        <x:v>106</x:v>
      </x:c>
      <x:c r="E70" s="7" t="s">
        <x:v>721</x:v>
      </x:c>
      <x:c r="F70" s="7" t="s">
        <x:v>53</x:v>
      </x:c>
      <x:c r="G70" s="7" t="s">
        <x:v>53</x:v>
      </x:c>
      <x:c r="H70" s="7" t="s">
        <x:v>53</x:v>
      </x:c>
      <x:c r="I70" s="7" t="s">
        <x:v>722</x:v>
      </x:c>
      <x:c r="J70" s="8" t="n">
        <x:f aca="0">INDEX(Properties!$L$4:$L$1809,MATCH("V001200",Properties!$A$4:$A$1809,0))</x:f>
        <x:v>1140</x:v>
      </x:c>
      <x:c r="K70" s="8" t="s">
        <x:v>53</x:v>
      </x:c>
      <x:c r="L70" s="8" t="s">
        <x:v>53</x:v>
      </x:c>
      <x:c r="M70" s="8" t="s">
        <x:v>53</x:v>
      </x:c>
      <x:c r="N70" s="7" t="s">
        <x:v>723</x:v>
      </x:c>
      <x:c r="O70" s="7" t="s">
        <x:v>55</x:v>
      </x:c>
      <x:c r="P70" s="8" t="n">
        <x:f aca="0">INDEX(Properties!$L$4:$L$1809,MATCH("V001207",Properties!$A$4:$A$1809,0))</x:f>
        <x:v>142</x:v>
      </x:c>
      <x:c r="Q70" s="7" t="s">
        <x:v>724</x:v>
      </x:c>
      <x:c r="R70" s="9" t="s">
        <x:v>57</x:v>
      </x:c>
      <x:c r="S70" s="7" t="s">
        <x:v>58</x:v>
      </x:c>
      <x:c r="T70" s="7" t="s">
        <x:v>59</x:v>
      </x:c>
      <x:c r="U70" s="7" t="s">
        <x:v>703</x:v>
      </x:c>
      <x:c r="V70" s="7" t="s">
        <x:v>61</x:v>
      </x:c>
      <x:c r="W70" s="7" t="s">
        <x:v>725</x:v>
      </x:c>
      <x:c r="X70" s="7" t="s">
        <x:v>561</x:v>
      </x:c>
      <x:c r="Y70" s="7" t="s">
        <x:v>63</x:v>
      </x:c>
      <x:c r="Z70" s="7" t="s">
        <x:v>720</x:v>
      </x:c>
      <x:c r="AA70" s="7" t="s">
        <x:v>720</x:v>
      </x:c>
      <x:c r="AB70" s="7" t="s">
        <x:v>560</x:v>
      </x:c>
      <x:c r="AC70" s="7" t="s">
        <x:v>339</x:v>
      </x:c>
      <x:c r="AD70" s="7" t="s">
        <x:v>65</x:v>
      </x:c>
      <x:c r="AE70" s="7" t="s">
        <x:v>66</x:v>
      </x:c>
      <x:c r="AF70" s="7" t="s">
        <x:v>67</x:v>
      </x:c>
      <x:c r="AG70" s="7" t="s">
        <x:v>58</x:v>
      </x:c>
      <x:c r="AH70" s="7" t="s">
        <x:v>726</x:v>
      </x:c>
      <x:c r="AI70" s="7" t="s">
        <x:v>69</x:v>
      </x:c>
      <x:c r="AJ70" s="7" t="s">
        <x:v>53</x:v>
      </x:c>
      <x:c r="AK70" s="7" t="s">
        <x:v>727</x:v>
      </x:c>
      <x:c r="AL70" s="7" t="str">
        <x:v>Not published</x:v>
      </x:c>
      <x:c r="AM70" s="7" t="s">
        <x:v>72</x:v>
      </x:c>
      <x:c r="AN70" s="7" t="s">
        <x:v>73</x:v>
      </x:c>
      <x:c r="AO70" s="7" t="s">
        <x:v>74</x:v>
      </x:c>
      <x:c r="AP70" s="8" t="s">
        <x:v>53</x:v>
      </x:c>
      <x:c r="AQ70" s="7" t="s">
        <x:v>75</x:v>
      </x:c>
    </x:row>
    <x:row r="71" ht="79.5" hidden="0" customHeight="1">
      <x:c r="A71" s="7" t="s">
        <x:v>728</x:v>
      </x:c>
      <x:c r="B71" s="7" t="s">
        <x:v>729</x:v>
      </x:c>
      <x:c r="C71" s="7" t="s">
        <x:v>561</x:v>
      </x:c>
      <x:c r="D71" s="7" t="s">
        <x:v>106</x:v>
      </x:c>
      <x:c r="E71" s="7" t="s">
        <x:v>730</x:v>
      </x:c>
      <x:c r="F71" s="7" t="s">
        <x:v>731</x:v>
      </x:c>
      <x:c r="G71" s="7" t="s">
        <x:v>732</x:v>
      </x:c>
      <x:c r="H71" s="7" t="s">
        <x:v>733</x:v>
      </x:c>
      <x:c r="I71" s="7" t="s">
        <x:v>734</x:v>
      </x:c>
      <x:c r="J71" s="8" t="n">
        <x:f aca="0">INDEX(Properties!$L$4:$L$1809,MATCH("V001236",Properties!$A$4:$A$1809,0))</x:f>
        <x:v>1100</x:v>
      </x:c>
      <x:c r="K71" s="8" t="n">
        <x:f aca="0">INDEX(Properties!$L$4:$L$1809,MATCH("V001238",Properties!$A$4:$A$1809,0))</x:f>
        <x:v>4.2937</x:v>
      </x:c>
      <x:c r="L71" s="8" t="n">
        <x:f aca="0">INDEX(Properties!$L$4:$L$1809,MATCH("V001240",Properties!$A$4:$A$1809,0))</x:f>
        <x:v>84.3</x:v>
      </x:c>
      <x:c r="M71" s="8" t="n">
        <x:f aca="0">INDEX(Properties!$L$4:$L$1809,MATCH("V001242",Properties!$A$4:$A$1809,0))</x:f>
        <x:v>3</x:v>
      </x:c>
      <x:c r="N71" s="7" t="s">
        <x:v>735</x:v>
      </x:c>
      <x:c r="O71" s="7" t="s">
        <x:v>679</x:v>
      </x:c>
      <x:c r="P71" s="8" t="s">
        <x:v>53</x:v>
      </x:c>
      <x:c r="Q71" s="7" t="s">
        <x:v>58</x:v>
      </x:c>
      <x:c r="R71" s="9" t="s">
        <x:v>57</x:v>
      </x:c>
      <x:c r="S71" s="7" t="s">
        <x:v>58</x:v>
      </x:c>
      <x:c r="T71" s="7" t="s">
        <x:v>59</x:v>
      </x:c>
      <x:c r="U71" s="7" t="s">
        <x:v>53</x:v>
      </x:c>
      <x:c r="V71" s="7" t="s">
        <x:v>61</x:v>
      </x:c>
      <x:c r="W71" s="7" t="s">
        <x:v>736</x:v>
      </x:c>
      <x:c r="X71" s="7" t="s">
        <x:v>561</x:v>
      </x:c>
      <x:c r="Y71" s="7" t="s">
        <x:v>63</x:v>
      </x:c>
      <x:c r="Z71" s="7" t="s">
        <x:v>729</x:v>
      </x:c>
      <x:c r="AA71" s="7" t="s">
        <x:v>729</x:v>
      </x:c>
      <x:c r="AB71" s="7" t="s">
        <x:v>668</x:v>
      </x:c>
      <x:c r="AC71" s="7" t="s">
        <x:v>339</x:v>
      </x:c>
      <x:c r="AD71" s="7" t="s">
        <x:v>65</x:v>
      </x:c>
      <x:c r="AE71" s="7" t="s">
        <x:v>66</x:v>
      </x:c>
      <x:c r="AF71" s="7" t="s">
        <x:v>67</x:v>
      </x:c>
      <x:c r="AG71" s="7" t="s">
        <x:v>58</x:v>
      </x:c>
      <x:c r="AH71" s="7" t="s">
        <x:v>730</x:v>
      </x:c>
      <x:c r="AI71" s="7" t="s">
        <x:v>69</x:v>
      </x:c>
      <x:c r="AJ71" s="7" t="s">
        <x:v>91</x:v>
      </x:c>
      <x:c r="AK71" s="7" t="s">
        <x:v>737</x:v>
      </x:c>
      <x:c r="AL71" s="7" t="s">
        <x:v>58</x:v>
      </x:c>
      <x:c r="AM71" s="7" t="s">
        <x:v>72</x:v>
      </x:c>
      <x:c r="AN71" s="7" t="s">
        <x:v>73</x:v>
      </x:c>
      <x:c r="AO71" s="7" t="s">
        <x:v>74</x:v>
      </x:c>
      <x:c r="AP71" s="8" t="s">
        <x:v>53</x:v>
      </x:c>
      <x:c r="AQ71" s="7" t="s">
        <x:v>75</x:v>
      </x:c>
    </x:row>
    <x:row r="72" ht="51.75" hidden="0" customHeight="1">
      <x:c r="A72" s="7" t="s">
        <x:v>738</x:v>
      </x:c>
      <x:c r="B72" s="7" t="s">
        <x:v>739</x:v>
      </x:c>
      <x:c r="C72" s="7" t="s">
        <x:v>740</x:v>
      </x:c>
      <x:c r="D72" s="7" t="s">
        <x:v>47</x:v>
      </x:c>
      <x:c r="E72" s="7" t="s">
        <x:v>741</x:v>
      </x:c>
      <x:c r="F72" s="7" t="s">
        <x:v>742</x:v>
      </x:c>
      <x:c r="G72" s="7" t="s">
        <x:v>743</x:v>
      </x:c>
      <x:c r="H72" s="7" t="s">
        <x:v>53</x:v>
      </x:c>
      <x:c r="I72" s="7" t="s">
        <x:v>744</x:v>
      </x:c>
      <x:c r="J72" s="8" t="n">
        <x:f aca="0">INDEX(Properties!$L$4:$L$1809,MATCH("V001753",Properties!$A$4:$A$1809,0))</x:f>
        <x:v>1340</x:v>
      </x:c>
      <x:c r="K72" s="8" t="s">
        <x:v>53</x:v>
      </x:c>
      <x:c r="L72" s="8" t="s">
        <x:v>53</x:v>
      </x:c>
      <x:c r="M72" s="8" t="s">
        <x:v>53</x:v>
      </x:c>
      <x:c r="N72" s="7" t="s">
        <x:v>745</x:v>
      </x:c>
      <x:c r="O72" s="7" t="s">
        <x:v>55</x:v>
      </x:c>
      <x:c r="P72" s="8" t="s">
        <x:v>53</x:v>
      </x:c>
      <x:c r="Q72" s="7" t="s">
        <x:v>58</x:v>
      </x:c>
      <x:c r="R72" s="9" t="s">
        <x:v>57</x:v>
      </x:c>
      <x:c r="S72" s="7" t="s">
        <x:v>58</x:v>
      </x:c>
      <x:c r="T72" s="7" t="s">
        <x:v>59</x:v>
      </x:c>
      <x:c r="U72" s="7" t="s">
        <x:v>746</x:v>
      </x:c>
      <x:c r="V72" s="7" t="s">
        <x:v>61</x:v>
      </x:c>
      <x:c r="W72" s="7" t="s">
        <x:v>747</x:v>
      </x:c>
      <x:c r="X72" s="7" t="s">
        <x:v>740</x:v>
      </x:c>
      <x:c r="Y72" s="7" t="s">
        <x:v>63</x:v>
      </x:c>
      <x:c r="Z72" s="7" t="s">
        <x:v>739</x:v>
      </x:c>
      <x:c r="AA72" s="7" t="s">
        <x:v>739</x:v>
      </x:c>
      <x:c r="AB72" s="7" t="s">
        <x:v>739</x:v>
      </x:c>
      <x:c r="AC72" s="7" t="s">
        <x:v>64</x:v>
      </x:c>
      <x:c r="AD72" s="7" t="s">
        <x:v>65</x:v>
      </x:c>
      <x:c r="AE72" s="7" t="s">
        <x:v>66</x:v>
      </x:c>
      <x:c r="AF72" s="7" t="s">
        <x:v>67</x:v>
      </x:c>
      <x:c r="AG72" s="7" t="s">
        <x:v>58</x:v>
      </x:c>
      <x:c r="AH72" s="7" t="s">
        <x:v>741</x:v>
      </x:c>
      <x:c r="AI72" s="7" t="s">
        <x:v>69</x:v>
      </x:c>
      <x:c r="AJ72" s="7" t="s">
        <x:v>91</x:v>
      </x:c>
      <x:c r="AK72" s="7" t="s">
        <x:v>748</x:v>
      </x:c>
      <x:c r="AL72" s="7" t="s">
        <x:v>58</x:v>
      </x:c>
      <x:c r="AM72" s="7" t="s">
        <x:v>72</x:v>
      </x:c>
      <x:c r="AN72" s="7" t="s">
        <x:v>73</x:v>
      </x:c>
      <x:c r="AO72" s="7" t="s">
        <x:v>74</x:v>
      </x:c>
      <x:c r="AP72" s="8" t="s">
        <x:v>53</x:v>
      </x:c>
      <x:c r="AQ72" s="7" t="s">
        <x:v>75</x:v>
      </x:c>
    </x:row>
    <x:row r="73" ht="51.75" hidden="0" customHeight="1">
      <x:c r="A73" s="7" t="s">
        <x:v>749</x:v>
      </x:c>
      <x:c r="B73" s="7" t="s">
        <x:v>750</x:v>
      </x:c>
      <x:c r="C73" s="7" t="s">
        <x:v>740</x:v>
      </x:c>
      <x:c r="D73" s="7" t="s">
        <x:v>78</x:v>
      </x:c>
      <x:c r="E73" s="7" t="s">
        <x:v>751</x:v>
      </x:c>
      <x:c r="F73" s="7" t="s">
        <x:v>752</x:v>
      </x:c>
      <x:c r="G73" s="7" t="s">
        <x:v>360</x:v>
      </x:c>
      <x:c r="H73" s="7" t="s">
        <x:v>753</x:v>
      </x:c>
      <x:c r="I73" s="7" t="s">
        <x:v>754</x:v>
      </x:c>
      <x:c r="J73" s="8" t="n">
        <x:f aca="0">INDEX(Properties!$L$4:$L$1809,MATCH("V001264",Properties!$A$4:$A$1809,0))</x:f>
        <x:v>1290</x:v>
      </x:c>
      <x:c r="K73" s="8" t="n">
        <x:f aca="0">INDEX(Properties!$L$4:$L$1809,MATCH("V001272",Properties!$A$4:$A$1809,0))</x:f>
        <x:v>4.73</x:v>
      </x:c>
      <x:c r="L73" s="8" t="n">
        <x:f aca="0">INDEX(Properties!$L$4:$L$1809,MATCH("V001274",Properties!$A$4:$A$1809,0))</x:f>
        <x:v>74</x:v>
      </x:c>
      <x:c r="M73" s="8" t="n">
        <x:f aca="0">INDEX(Properties!$L$4:$L$1809,MATCH("V001276",Properties!$A$4:$A$1809,0))</x:f>
        <x:v>4.5</x:v>
      </x:c>
      <x:c r="N73" s="7" t="s">
        <x:v>755</x:v>
      </x:c>
      <x:c r="O73" s="7" t="s">
        <x:v>55</x:v>
      </x:c>
      <x:c r="P73" s="8" t="n">
        <x:f aca="0">INDEX(Properties!$L$4:$L$1809,MATCH("V001270",Properties!$A$4:$A$1809,0))</x:f>
        <x:v>205</x:v>
      </x:c>
      <x:c r="Q73" s="7" t="s">
        <x:v>756</x:v>
      </x:c>
      <x:c r="R73" s="9" t="n">
        <x:f aca="0">MEDIAN(INDEX('Prices CA'!$J$4:$J$107,MATCH("CA0060",'Prices CA'!$A$4:$A$107,0)))</x:f>
        <x:v>115.98</x:v>
      </x:c>
      <x:c r="S73" s="7" t="s">
        <x:v>757</x:v>
      </x:c>
      <x:c r="T73" s="7" t="s">
        <x:v>132</x:v>
      </x:c>
      <x:c r="U73" s="7" t="s">
        <x:v>53</x:v>
      </x:c>
      <x:c r="V73" s="7" t="s">
        <x:v>61</x:v>
      </x:c>
      <x:c r="W73" s="7" t="s">
        <x:v>758</x:v>
      </x:c>
      <x:c r="X73" s="7" t="s">
        <x:v>740</x:v>
      </x:c>
      <x:c r="Y73" s="7" t="s">
        <x:v>63</x:v>
      </x:c>
      <x:c r="Z73" s="7" t="s">
        <x:v>750</x:v>
      </x:c>
      <x:c r="AA73" s="7" t="s">
        <x:v>750</x:v>
      </x:c>
      <x:c r="AB73" s="7" t="s">
        <x:v>739</x:v>
      </x:c>
      <x:c r="AC73" s="7" t="s">
        <x:v>249</x:v>
      </x:c>
      <x:c r="AD73" s="7" t="s">
        <x:v>65</x:v>
      </x:c>
      <x:c r="AE73" s="7" t="s">
        <x:v>66</x:v>
      </x:c>
      <x:c r="AF73" s="7" t="s">
        <x:v>67</x:v>
      </x:c>
      <x:c r="AG73" s="7" t="s">
        <x:v>58</x:v>
      </x:c>
      <x:c r="AH73" s="7" t="s">
        <x:v>751</x:v>
      </x:c>
      <x:c r="AI73" s="7" t="s">
        <x:v>69</x:v>
      </x:c>
      <x:c r="AJ73" s="7" t="s">
        <x:v>91</x:v>
      </x:c>
      <x:c r="AK73" s="7" t="s">
        <x:v>58</x:v>
      </x:c>
      <x:c r="AL73" s="7" t="str">
        <x:v>Q00452; Q00453; Q00454; Q00455; Q00456</x:v>
      </x:c>
      <x:c r="AM73" s="7" t="s">
        <x:v>72</x:v>
      </x:c>
      <x:c r="AN73" s="7" t="s">
        <x:v>73</x:v>
      </x:c>
      <x:c r="AO73" s="7" t="s">
        <x:v>74</x:v>
      </x:c>
      <x:c r="AP73" s="8" t="s">
        <x:v>53</x:v>
      </x:c>
      <x:c r="AQ73" s="7" t="s">
        <x:v>75</x:v>
      </x:c>
    </x:row>
    <x:row r="74" ht="51.75" hidden="0" customHeight="1">
      <x:c r="A74" s="7" t="s">
        <x:v>759</x:v>
      </x:c>
      <x:c r="B74" s="7" t="s">
        <x:v>760</x:v>
      </x:c>
      <x:c r="C74" s="7" t="s">
        <x:v>740</x:v>
      </x:c>
      <x:c r="D74" s="7" t="s">
        <x:v>47</x:v>
      </x:c>
      <x:c r="E74" s="7" t="str">
        <x:v>G068-02</x:v>
      </x:c>
      <x:c r="F74" s="7" t="str">
        <x:v>280-310 °C</x:v>
      </x:c>
      <x:c r="G74" s="7" t="str">
        <x:v>70-80 °C</x:v>
      </x:c>
      <x:c r="H74" s="7" t="str">
        <x:v>Room temp.</x:v>
      </x:c>
      <x:c r="I74" s="7" t="str">
        <x:v>P0164</x:v>
      </x:c>
      <x:c r="J74" s="8" t="n">
        <x:v>1430</x:v>
      </x:c>
      <x:c r="K74" s="8" t="n">
        <x:v>4.1442</x:v>
      </x:c>
      <x:c r="L74" s="8" t="n">
        <x:v>59.9</x:v>
      </x:c>
      <x:c r="M74" s="8" t="n">
        <x:v>4</x:v>
      </x:c>
      <x:c r="N74" s="7" t="str">
        <x:v>V001925; V001934; V001936; V001938</x:v>
      </x:c>
      <x:c r="O74" s="7" t="str">
        <x:v>Printed specimens (300 °C nozzle, 100% infill), annealed 120 °C for 16 h before mechanical tests; HDT as printed</x:v>
      </x:c>
      <x:c r="P74" s="8" t="n">
        <x:v>81.6</x:v>
      </x:c>
      <x:c r="Q74" s="7" t="str">
        <x:v>V001931</x:v>
      </x:c>
      <x:c r="R74" s="9" t="s">
        <x:v>57</x:v>
      </x:c>
      <x:c r="S74" s="7" t="s">
        <x:v>58</x:v>
      </x:c>
      <x:c r="T74" s="7" t="s">
        <x:v>59</x:v>
      </x:c>
      <x:c r="U74" s="7" t="s">
        <x:v>765</x:v>
      </x:c>
      <x:c r="V74" s="7" t="s">
        <x:v>61</x:v>
      </x:c>
      <x:c r="W74" s="7" t="s">
        <x:v>766</x:v>
      </x:c>
      <x:c r="X74" s="7" t="s">
        <x:v>740</x:v>
      </x:c>
      <x:c r="Y74" s="7" t="s">
        <x:v>63</x:v>
      </x:c>
      <x:c r="Z74" s="7" t="s">
        <x:v>760</x:v>
      </x:c>
      <x:c r="AA74" s="7" t="s">
        <x:v>760</x:v>
      </x:c>
      <x:c r="AB74" s="7" t="s">
        <x:v>739</x:v>
      </x:c>
      <x:c r="AC74" s="7" t="s">
        <x:v>262</x:v>
      </x:c>
      <x:c r="AD74" s="7" t="s">
        <x:v>65</x:v>
      </x:c>
      <x:c r="AE74" s="7" t="s">
        <x:v>66</x:v>
      </x:c>
      <x:c r="AF74" s="7" t="s">
        <x:v>67</x:v>
      </x:c>
      <x:c r="AG74" s="7" t="str">
        <x:v>Representative grade changed 2026-09-13 from Flashforge PET-GF (G068-01, no published properties) to Fiberon PET-GF15 (G068-02), which publishes printed test data. Flashforge was not overwritten. The annealed HDT of 133.7 °C is on record and is not the headline.</x:v>
      </x:c>
      <x:c r="AH74" s="7" t="str">
        <x:v>G068-01; G068-02</x:v>
      </x:c>
      <x:c r="AI74" s="7" t="s">
        <x:v>69</x:v>
      </x:c>
      <x:c r="AJ74" s="7" t="s">
        <x:v>53</x:v>
      </x:c>
      <x:c r="AK74" s="7" t="s">
        <x:v>767</x:v>
      </x:c>
      <x:c r="AL74" s="7" t="s">
        <x:v>58</x:v>
      </x:c>
      <x:c r="AM74" s="7" t="s">
        <x:v>72</x:v>
      </x:c>
      <x:c r="AN74" s="7" t="s">
        <x:v>73</x:v>
      </x:c>
      <x:c r="AO74" s="7" t="s">
        <x:v>74</x:v>
      </x:c>
      <x:c r="AP74" s="8" t="s">
        <x:v>53</x:v>
      </x:c>
      <x:c r="AQ74" s="7" t="s">
        <x:v>75</x:v>
      </x:c>
    </x:row>
    <x:row r="75" ht="51.75" hidden="0" customHeight="1">
      <x:c r="A75" s="7" t="s">
        <x:v>768</x:v>
      </x:c>
      <x:c r="B75" s="7" t="s">
        <x:v>769</x:v>
      </x:c>
      <x:c r="C75" s="7" t="s">
        <x:v>770</x:v>
      </x:c>
      <x:c r="D75" s="7" t="s">
        <x:v>649</x:v>
      </x:c>
      <x:c r="E75" s="7" t="s">
        <x:v>771</x:v>
      </x:c>
      <x:c r="F75" s="7" t="s">
        <x:v>772</x:v>
      </x:c>
      <x:c r="G75" s="7" t="s">
        <x:v>773</x:v>
      </x:c>
      <x:c r="H75" s="7" t="s">
        <x:v>53</x:v>
      </x:c>
      <x:c r="I75" s="7" t="s">
        <x:v>774</x:v>
      </x:c>
      <x:c r="J75" s="8" t="n">
        <x:f aca="0">INDEX(Properties!$L$4:$L$1809,MATCH("V001285",Properties!$A$4:$A$1809,0))</x:f>
        <x:v>1140</x:v>
      </x:c>
      <x:c r="K75" s="8" t="n">
        <x:f aca="0">INDEX(Properties!$L$4:$L$1809,MATCH("V001292",Properties!$A$4:$A$1809,0))</x:f>
        <x:v>2.863</x:v>
      </x:c>
      <x:c r="L75" s="8" t="n">
        <x:f aca="0">INDEX(Properties!$L$4:$L$1809,MATCH("V001290",Properties!$A$4:$A$1809,0))</x:f>
        <x:v>76</x:v>
      </x:c>
      <x:c r="M75" s="8" t="n">
        <x:f aca="0">INDEX(Properties!$L$4:$L$1809,MATCH("V001294",Properties!$A$4:$A$1809,0))</x:f>
        <x:v>3.4</x:v>
      </x:c>
      <x:c r="N75" s="7" t="s">
        <x:v>775</x:v>
      </x:c>
      <x:c r="O75" s="7" t="s">
        <x:v>55</x:v>
      </x:c>
      <x:c r="P75" s="8" t="n">
        <x:f aca="0">INDEX(Properties!$L$4:$L$1809,MATCH("V001289",Properties!$A$4:$A$1809,0))</x:f>
        <x:v>131</x:v>
      </x:c>
      <x:c r="Q75" s="7" t="s">
        <x:v>776</x:v>
      </x:c>
      <x:c r="R75" s="9" t="s">
        <x:v>57</x:v>
      </x:c>
      <x:c r="S75" s="7" t="s">
        <x:v>58</x:v>
      </x:c>
      <x:c r="T75" s="7" t="s">
        <x:v>59</x:v>
      </x:c>
      <x:c r="U75" s="7" t="s">
        <x:v>777</x:v>
      </x:c>
      <x:c r="V75" s="7" t="s">
        <x:v>61</x:v>
      </x:c>
      <x:c r="W75" s="7" t="s">
        <x:v>778</x:v>
      </x:c>
      <x:c r="X75" s="7" t="s">
        <x:v>770</x:v>
      </x:c>
      <x:c r="Y75" s="7" t="s">
        <x:v>63</x:v>
      </x:c>
      <x:c r="Z75" s="7" t="s">
        <x:v>769</x:v>
      </x:c>
      <x:c r="AA75" s="7" t="s">
        <x:v>769</x:v>
      </x:c>
      <x:c r="AB75" s="7" t="s">
        <x:v>769</x:v>
      </x:c>
      <x:c r="AC75" s="7" t="s">
        <x:v>64</x:v>
      </x:c>
      <x:c r="AD75" s="7" t="s">
        <x:v>65</x:v>
      </x:c>
      <x:c r="AE75" s="7" t="s">
        <x:v>66</x:v>
      </x:c>
      <x:c r="AF75" s="7" t="s">
        <x:v>67</x:v>
      </x:c>
      <x:c r="AG75" s="7" t="s">
        <x:v>58</x:v>
      </x:c>
      <x:c r="AH75" s="7" t="s">
        <x:v>771</x:v>
      </x:c>
      <x:c r="AI75" s="7" t="s">
        <x:v>69</x:v>
      </x:c>
      <x:c r="AJ75" s="7" t="s">
        <x:v>91</x:v>
      </x:c>
      <x:c r="AK75" s="7" t="s">
        <x:v>779</x:v>
      </x:c>
      <x:c r="AL75" s="7" t="s">
        <x:v>58</x:v>
      </x:c>
      <x:c r="AM75" s="7" t="s">
        <x:v>72</x:v>
      </x:c>
      <x:c r="AN75" s="7" t="s">
        <x:v>73</x:v>
      </x:c>
      <x:c r="AO75" s="7" t="s">
        <x:v>74</x:v>
      </x:c>
      <x:c r="AP75" s="8" t="s">
        <x:v>53</x:v>
      </x:c>
      <x:c r="AQ75" s="7" t="s">
        <x:v>75</x:v>
      </x:c>
    </x:row>
    <x:row r="76" ht="51.75" hidden="0" customHeight="1">
      <x:c r="A76" s="7" t="s">
        <x:v>780</x:v>
      </x:c>
      <x:c r="B76" s="7" t="s">
        <x:v>781</x:v>
      </x:c>
      <x:c r="C76" s="7" t="s">
        <x:v>770</x:v>
      </x:c>
      <x:c r="D76" s="7" t="s">
        <x:v>78</x:v>
      </x:c>
      <x:c r="E76" s="7" t="s">
        <x:v>782</x:v>
      </x:c>
      <x:c r="F76" s="7" t="s">
        <x:v>772</x:v>
      </x:c>
      <x:c r="G76" s="7" t="s">
        <x:v>783</x:v>
      </x:c>
      <x:c r="H76" s="7" t="str">
        <x:v>50 - 80 °C</x:v>
      </x:c>
      <x:c r="I76" s="7" t="s">
        <x:v>784</x:v>
      </x:c>
      <x:c r="J76" s="8" t="n">
        <x:f aca="0">INDEX(Properties!$L$4:$L$1809,MATCH("V001302",Properties!$A$4:$A$1809,0))</x:f>
        <x:v>1250</x:v>
      </x:c>
      <x:c r="K76" s="8" t="n">
        <x:f aca="0">INDEX(Properties!$L$4:$L$1809,MATCH("V001310",Properties!$A$4:$A$1809,0))</x:f>
        <x:v>11.8</x:v>
      </x:c>
      <x:c r="L76" s="8" t="n">
        <x:f aca="0">INDEX(Properties!$L$4:$L$1809,MATCH("V001312",Properties!$A$4:$A$1809,0))</x:f>
        <x:v>168</x:v>
      </x:c>
      <x:c r="M76" s="8" t="n">
        <x:f aca="0">INDEX(Properties!$L$4:$L$1809,MATCH("V001314",Properties!$A$4:$A$1809,0))</x:f>
        <x:v>3.2</x:v>
      </x:c>
      <x:c r="N76" s="7" t="s">
        <x:v>785</x:v>
      </x:c>
      <x:c r="O76" s="7" t="s">
        <x:v>786</x:v>
      </x:c>
      <x:c r="P76" s="8" t="n">
        <x:f aca="0">INDEX(Properties!$L$4:$L$1809,MATCH("V001308",Properties!$A$4:$A$1809,0))</x:f>
        <x:v>227</x:v>
      </x:c>
      <x:c r="Q76" s="7" t="s">
        <x:v>787</x:v>
      </x:c>
      <x:c r="R76" s="9" t="n">
        <x:f aca="0">MEDIAN(INDEX('Prices CA'!$J$4:$J$107,MATCH("CA0061",'Prices CA'!$A$4:$A$107,0)),INDEX('Prices CA'!$J$4:$J$107,MATCH("CA0071",'Prices CA'!$A$4:$A$107,0)))</x:f>
        <x:v>254.65333333333334</x:v>
      </x:c>
      <x:c r="S76" s="7" t="s">
        <x:v>788</x:v>
      </x:c>
      <x:c r="T76" s="7" t="s">
        <x:v>87</x:v>
      </x:c>
      <x:c r="U76" s="7" t="s">
        <x:v>53</x:v>
      </x:c>
      <x:c r="V76" s="7" t="s">
        <x:v>61</x:v>
      </x:c>
      <x:c r="W76" s="7" t="s">
        <x:v>789</x:v>
      </x:c>
      <x:c r="X76" s="7" t="s">
        <x:v>770</x:v>
      </x:c>
      <x:c r="Y76" s="7" t="s">
        <x:v>63</x:v>
      </x:c>
      <x:c r="Z76" s="7" t="s">
        <x:v>781</x:v>
      </x:c>
      <x:c r="AA76" s="7" t="s">
        <x:v>781</x:v>
      </x:c>
      <x:c r="AB76" s="7" t="s">
        <x:v>769</x:v>
      </x:c>
      <x:c r="AC76" s="7" t="s">
        <x:v>249</x:v>
      </x:c>
      <x:c r="AD76" s="7" t="s">
        <x:v>65</x:v>
      </x:c>
      <x:c r="AE76" s="7" t="s">
        <x:v>66</x:v>
      </x:c>
      <x:c r="AF76" s="7" t="s">
        <x:v>67</x:v>
      </x:c>
      <x:c r="AG76" s="7" t="s">
        <x:v>58</x:v>
      </x:c>
      <x:c r="AH76" s="7" t="s">
        <x:v>782</x:v>
      </x:c>
      <x:c r="AI76" s="7" t="s">
        <x:v>69</x:v>
      </x:c>
      <x:c r="AJ76" s="7" t="s">
        <x:v>91</x:v>
      </x:c>
      <x:c r="AK76" s="7" t="s">
        <x:v>790</x:v>
      </x:c>
      <x:c r="AL76" s="7" t="str">
        <x:v>Q00226; Q00227; Q00228; Q00229; Q00230</x:v>
      </x:c>
      <x:c r="AM76" s="7" t="s">
        <x:v>72</x:v>
      </x:c>
      <x:c r="AN76" s="7" t="s">
        <x:v>73</x:v>
      </x:c>
      <x:c r="AO76" s="7" t="s">
        <x:v>74</x:v>
      </x:c>
      <x:c r="AP76" s="8" t="s">
        <x:v>53</x:v>
      </x:c>
      <x:c r="AQ76" s="7" t="s">
        <x:v>75</x:v>
      </x:c>
    </x:row>
    <x:row r="77" ht="51.75" hidden="0" customHeight="1">
      <x:c r="A77" s="7" t="s">
        <x:v>792</x:v>
      </x:c>
      <x:c r="B77" s="7" t="s">
        <x:v>793</x:v>
      </x:c>
      <x:c r="C77" s="7" t="s">
        <x:v>770</x:v>
      </x:c>
      <x:c r="D77" s="7" t="s">
        <x:v>47</x:v>
      </x:c>
      <x:c r="E77" s="7" t="s">
        <x:v>794</x:v>
      </x:c>
      <x:c r="F77" s="7" t="s">
        <x:v>772</x:v>
      </x:c>
      <x:c r="G77" s="7" t="s">
        <x:v>773</x:v>
      </x:c>
      <x:c r="H77" s="7" t="s">
        <x:v>53</x:v>
      </x:c>
      <x:c r="I77" s="7" t="s">
        <x:v>795</x:v>
      </x:c>
      <x:c r="J77" s="8" t="n">
        <x:f aca="0">INDEX(Properties!$L$4:$L$1809,MATCH("V001322",Properties!$A$4:$A$1809,0))</x:f>
        <x:v>1280</x:v>
      </x:c>
      <x:c r="K77" s="8" t="n">
        <x:f aca="0">INDEX(Properties!$L$4:$L$1809,MATCH("V001329",Properties!$A$4:$A$1809,0))</x:f>
        <x:v>6.558</x:v>
      </x:c>
      <x:c r="L77" s="8" t="n">
        <x:f aca="0">INDEX(Properties!$L$4:$L$1809,MATCH("V001327",Properties!$A$4:$A$1809,0))</x:f>
        <x:v>106</x:v>
      </x:c>
      <x:c r="M77" s="8" t="n">
        <x:f aca="0">INDEX(Properties!$L$4:$L$1809,MATCH("V001331",Properties!$A$4:$A$1809,0))</x:f>
        <x:v>2.1</x:v>
      </x:c>
      <x:c r="N77" s="7" t="s">
        <x:v>796</x:v>
      </x:c>
      <x:c r="O77" s="7" t="s">
        <x:v>55</x:v>
      </x:c>
      <x:c r="P77" s="8" t="n">
        <x:f aca="0">INDEX(Properties!$L$4:$L$1809,MATCH("V001326",Properties!$A$4:$A$1809,0))</x:f>
        <x:v>227</x:v>
      </x:c>
      <x:c r="Q77" s="7" t="s">
        <x:v>797</x:v>
      </x:c>
      <x:c r="R77" s="9" t="s">
        <x:v>57</x:v>
      </x:c>
      <x:c r="S77" s="7" t="s">
        <x:v>58</x:v>
      </x:c>
      <x:c r="T77" s="7" t="s">
        <x:v>59</x:v>
      </x:c>
      <x:c r="U77" s="7" t="s">
        <x:v>798</x:v>
      </x:c>
      <x:c r="V77" s="7" t="s">
        <x:v>61</x:v>
      </x:c>
      <x:c r="W77" s="7" t="s">
        <x:v>799</x:v>
      </x:c>
      <x:c r="X77" s="7" t="s">
        <x:v>770</x:v>
      </x:c>
      <x:c r="Y77" s="7" t="s">
        <x:v>63</x:v>
      </x:c>
      <x:c r="Z77" s="7" t="s">
        <x:v>793</x:v>
      </x:c>
      <x:c r="AA77" s="7" t="s">
        <x:v>793</x:v>
      </x:c>
      <x:c r="AB77" s="7" t="s">
        <x:v>769</x:v>
      </x:c>
      <x:c r="AC77" s="7" t="s">
        <x:v>262</x:v>
      </x:c>
      <x:c r="AD77" s="7" t="s">
        <x:v>65</x:v>
      </x:c>
      <x:c r="AE77" s="7" t="s">
        <x:v>66</x:v>
      </x:c>
      <x:c r="AF77" s="7" t="s">
        <x:v>67</x:v>
      </x:c>
      <x:c r="AG77" s="7" t="s">
        <x:v>58</x:v>
      </x:c>
      <x:c r="AH77" s="7" t="s">
        <x:v>794</x:v>
      </x:c>
      <x:c r="AI77" s="7" t="s">
        <x:v>69</x:v>
      </x:c>
      <x:c r="AJ77" s="7" t="s">
        <x:v>91</x:v>
      </x:c>
      <x:c r="AK77" s="7" t="s">
        <x:v>800</x:v>
      </x:c>
      <x:c r="AL77" s="7" t="s">
        <x:v>58</x:v>
      </x:c>
      <x:c r="AM77" s="7" t="s">
        <x:v>801</x:v>
      </x:c>
      <x:c r="AN77" s="7" t="s">
        <x:v>73</x:v>
      </x:c>
      <x:c r="AO77" s="7" t="s">
        <x:v>74</x:v>
      </x:c>
      <x:c r="AP77" s="8" t="s">
        <x:v>53</x:v>
      </x:c>
      <x:c r="AQ77" s="7" t="s">
        <x:v>75</x:v>
      </x:c>
    </x:row>
    <x:row r="78" ht="51.75" hidden="0" customHeight="1">
      <x:c r="A78" s="7" t="s">
        <x:v>802</x:v>
      </x:c>
      <x:c r="B78" s="7" t="s">
        <x:v>803</x:v>
      </x:c>
      <x:c r="C78" s="7" t="s">
        <x:v>770</x:v>
      </x:c>
      <x:c r="D78" s="7" t="s">
        <x:v>47</x:v>
      </x:c>
      <x:c r="E78" s="7" t="s">
        <x:v>804</x:v>
      </x:c>
      <x:c r="F78" s="7" t="s">
        <x:v>805</x:v>
      </x:c>
      <x:c r="G78" s="7" t="s">
        <x:v>806</x:v>
      </x:c>
      <x:c r="H78" s="7" t="s">
        <x:v>807</x:v>
      </x:c>
      <x:c r="I78" s="7" t="s">
        <x:v>808</x:v>
      </x:c>
      <x:c r="J78" s="8" t="n">
        <x:f aca="0">INDEX(Properties!$L$4:$L$1809,MATCH("V001339",Properties!$A$4:$A$1809,0))</x:f>
        <x:v>1280</x:v>
      </x:c>
      <x:c r="K78" s="8" t="n">
        <x:f aca="0">INDEX(Properties!$L$4:$L$1809,MATCH("V001341",Properties!$A$4:$A$1809,0))</x:f>
        <x:v>2.65</x:v>
      </x:c>
      <x:c r="L78" s="8" t="s">
        <x:v>53</x:v>
      </x:c>
      <x:c r="M78" s="8" t="n">
        <x:f aca="0">INDEX(Properties!$L$4:$L$1809,MATCH("V001342",Properties!$A$4:$A$1809,0))</x:f>
        <x:v>18</x:v>
      </x:c>
      <x:c r="N78" s="7" t="s">
        <x:v>809</x:v>
      </x:c>
      <x:c r="O78" s="7" t="s">
        <x:v>55</x:v>
      </x:c>
      <x:c r="P78" s="8" t="n">
        <x:f aca="0">INDEX(Properties!$L$4:$L$1809,MATCH("V001346",Properties!$A$4:$A$1809,0))</x:f>
        <x:v>90</x:v>
      </x:c>
      <x:c r="Q78" s="7" t="s">
        <x:v>810</x:v>
      </x:c>
      <x:c r="R78" s="9" t="s">
        <x:v>57</x:v>
      </x:c>
      <x:c r="S78" s="7" t="s">
        <x:v>58</x:v>
      </x:c>
      <x:c r="T78" s="7" t="s">
        <x:v>59</x:v>
      </x:c>
      <x:c r="U78" s="7" t="s">
        <x:v>53</x:v>
      </x:c>
      <x:c r="V78" s="7" t="s">
        <x:v>61</x:v>
      </x:c>
      <x:c r="W78" s="7" t="s">
        <x:v>811</x:v>
      </x:c>
      <x:c r="X78" s="7" t="s">
        <x:v>770</x:v>
      </x:c>
      <x:c r="Y78" s="7" t="s">
        <x:v>63</x:v>
      </x:c>
      <x:c r="Z78" s="7" t="s">
        <x:v>803</x:v>
      </x:c>
      <x:c r="AA78" s="7" t="s">
        <x:v>803</x:v>
      </x:c>
      <x:c r="AB78" s="7" t="s">
        <x:v>803</x:v>
      </x:c>
      <x:c r="AC78" s="7" t="s">
        <x:v>64</x:v>
      </x:c>
      <x:c r="AD78" s="7" t="s">
        <x:v>65</x:v>
      </x:c>
      <x:c r="AE78" s="7" t="s">
        <x:v>66</x:v>
      </x:c>
      <x:c r="AF78" s="7" t="s">
        <x:v>67</x:v>
      </x:c>
      <x:c r="AG78" s="7" t="s">
        <x:v>58</x:v>
      </x:c>
      <x:c r="AH78" s="7" t="s">
        <x:v>812</x:v>
      </x:c>
      <x:c r="AI78" s="7" t="s">
        <x:v>69</x:v>
      </x:c>
      <x:c r="AJ78" s="7" t="s">
        <x:v>53</x:v>
      </x:c>
      <x:c r="AK78" s="7" t="s">
        <x:v>58</x:v>
      </x:c>
      <x:c r="AL78" s="7" t="s">
        <x:v>58</x:v>
      </x:c>
      <x:c r="AM78" s="7" t="s">
        <x:v>72</x:v>
      </x:c>
      <x:c r="AN78" s="7" t="s">
        <x:v>73</x:v>
      </x:c>
      <x:c r="AO78" s="7" t="s">
        <x:v>74</x:v>
      </x:c>
      <x:c r="AP78" s="8" t="s">
        <x:v>53</x:v>
      </x:c>
      <x:c r="AQ78" s="7" t="s">
        <x:v>75</x:v>
      </x:c>
    </x:row>
    <x:row r="79" ht="51.75" hidden="0" customHeight="1">
      <x:c r="A79" s="7" t="s">
        <x:v>813</x:v>
      </x:c>
      <x:c r="B79" s="7" t="s">
        <x:v>814</x:v>
      </x:c>
      <x:c r="C79" s="7" t="s">
        <x:v>770</x:v>
      </x:c>
      <x:c r="D79" s="7" t="s">
        <x:v>78</x:v>
      </x:c>
      <x:c r="E79" s="7" t="s">
        <x:v>815</x:v>
      </x:c>
      <x:c r="F79" s="7" t="s">
        <x:v>816</x:v>
      </x:c>
      <x:c r="G79" s="7" t="s">
        <x:v>817</x:v>
      </x:c>
      <x:c r="H79" s="7" t="str">
        <x:v>60 - 90 °C</x:v>
      </x:c>
      <x:c r="I79" s="7" t="s">
        <x:v>818</x:v>
      </x:c>
      <x:c r="J79" s="8" t="n">
        <x:f aca="0">INDEX(Properties!$L$4:$L$1809,MATCH("V001353",Properties!$A$4:$A$1809,0))</x:f>
        <x:v>1260</x:v>
      </x:c>
      <x:c r="K79" s="8" t="n">
        <x:f aca="0">INDEX(Properties!$L$4:$L$1809,MATCH("V001361",Properties!$A$4:$A$1809,0))</x:f>
        <x:v>8.23</x:v>
      </x:c>
      <x:c r="L79" s="8" t="n">
        <x:f aca="0">INDEX(Properties!$L$4:$L$1809,MATCH("V001363",Properties!$A$4:$A$1809,0))</x:f>
        <x:v>87</x:v>
      </x:c>
      <x:c r="M79" s="8" t="n">
        <x:f aca="0">INDEX(Properties!$L$4:$L$1809,MATCH("V001365",Properties!$A$4:$A$1809,0))</x:f>
        <x:v>1.2</x:v>
      </x:c>
      <x:c r="N79" s="7" t="s">
        <x:v>819</x:v>
      </x:c>
      <x:c r="O79" s="7" t="s">
        <x:v>786</x:v>
      </x:c>
      <x:c r="P79" s="8" t="n">
        <x:f aca="0">INDEX(Properties!$L$4:$L$1809,MATCH("V001359",Properties!$A$4:$A$1809,0))</x:f>
        <x:v>264</x:v>
      </x:c>
      <x:c r="Q79" s="7" t="s">
        <x:v>820</x:v>
      </x:c>
      <x:c r="R79" s="9" t="n">
        <x:f aca="0">MEDIAN(INDEX('Prices CA'!$J$4:$J$107,MATCH("CA0062",'Prices CA'!$A$4:$A$107,0)),INDEX('Prices CA'!$J$4:$J$107,MATCH("CA0093",'Prices CA'!$A$4:$A$107,0)))</x:f>
        <x:v>221.32000000000002</x:v>
      </x:c>
      <x:c r="S79" s="7" t="s">
        <x:v>821</x:v>
      </x:c>
      <x:c r="T79" s="7" t="s">
        <x:v>87</x:v>
      </x:c>
      <x:c r="U79" s="7" t="s">
        <x:v>53</x:v>
      </x:c>
      <x:c r="V79" s="7" t="s">
        <x:v>61</x:v>
      </x:c>
      <x:c r="W79" s="7" t="s">
        <x:v>822</x:v>
      </x:c>
      <x:c r="X79" s="7" t="s">
        <x:v>770</x:v>
      </x:c>
      <x:c r="Y79" s="7" t="s">
        <x:v>63</x:v>
      </x:c>
      <x:c r="Z79" s="7" t="s">
        <x:v>814</x:v>
      </x:c>
      <x:c r="AA79" s="7" t="s">
        <x:v>814</x:v>
      </x:c>
      <x:c r="AB79" s="7" t="s">
        <x:v>803</x:v>
      </x:c>
      <x:c r="AC79" s="7" t="s">
        <x:v>249</x:v>
      </x:c>
      <x:c r="AD79" s="7" t="s">
        <x:v>65</x:v>
      </x:c>
      <x:c r="AE79" s="7" t="s">
        <x:v>66</x:v>
      </x:c>
      <x:c r="AF79" s="7" t="s">
        <x:v>67</x:v>
      </x:c>
      <x:c r="AG79" s="7" t="s">
        <x:v>58</x:v>
      </x:c>
      <x:c r="AH79" s="7" t="str">
        <x:v>G073-01; G073-02</x:v>
      </x:c>
      <x:c r="AI79" s="7" t="s">
        <x:v>69</x:v>
      </x:c>
      <x:c r="AJ79" s="7" t="s">
        <x:v>91</x:v>
      </x:c>
      <x:c r="AK79" s="7" t="s">
        <x:v>823</x:v>
      </x:c>
      <x:c r="AL79" s="7" t="str">
        <x:v>Q00379; Q00380; Q00457; Q00458; Q00459; Q00460; Q00461</x:v>
      </x:c>
      <x:c r="AM79" s="7" t="s">
        <x:v>72</x:v>
      </x:c>
      <x:c r="AN79" s="7" t="s">
        <x:v>73</x:v>
      </x:c>
      <x:c r="AO79" s="7" t="s">
        <x:v>74</x:v>
      </x:c>
      <x:c r="AP79" s="8" t="s">
        <x:v>53</x:v>
      </x:c>
      <x:c r="AQ79" s="7" t="s">
        <x:v>75</x:v>
      </x:c>
    </x:row>
    <x:row r="80" ht="51.75" hidden="0" customHeight="1">
      <x:c r="A80" s="7" t="s">
        <x:v>824</x:v>
      </x:c>
      <x:c r="B80" s="7" t="s">
        <x:v>825</x:v>
      </x:c>
      <x:c r="C80" s="7" t="s">
        <x:v>770</x:v>
      </x:c>
      <x:c r="D80" s="7" t="s">
        <x:v>47</x:v>
      </x:c>
      <x:c r="E80" s="7" t="s">
        <x:v>826</x:v>
      </x:c>
      <x:c r="F80" s="7" t="s">
        <x:v>827</x:v>
      </x:c>
      <x:c r="G80" s="7" t="s">
        <x:v>817</x:v>
      </x:c>
      <x:c r="H80" s="7" t="s">
        <x:v>828</x:v>
      </x:c>
      <x:c r="I80" s="7" t="s">
        <x:v>829</x:v>
      </x:c>
      <x:c r="J80" s="8" t="n">
        <x:f aca="0">INDEX(Properties!$L$4:$L$1809,MATCH("V001374",Properties!$A$4:$A$1809,0))</x:f>
        <x:v>1360</x:v>
      </x:c>
      <x:c r="K80" s="8" t="n">
        <x:f aca="0">INDEX(Properties!$L$4:$L$1809,MATCH("V001381",Properties!$A$4:$A$1809,0))</x:f>
        <x:v>5.764</x:v>
      </x:c>
      <x:c r="L80" s="8" t="n">
        <x:f aca="0">INDEX(Properties!$L$4:$L$1809,MATCH("V001379",Properties!$A$4:$A$1809,0))</x:f>
        <x:v>72</x:v>
      </x:c>
      <x:c r="M80" s="8" t="n">
        <x:f aca="0">INDEX(Properties!$L$4:$L$1809,MATCH("V001383",Properties!$A$4:$A$1809,0))</x:f>
        <x:v>1.6</x:v>
      </x:c>
      <x:c r="N80" s="7" t="s">
        <x:v>830</x:v>
      </x:c>
      <x:c r="O80" s="7" t="s">
        <x:v>55</x:v>
      </x:c>
      <x:c r="P80" s="8" t="n">
        <x:f aca="0">INDEX(Properties!$L$4:$L$1809,MATCH("V001378",Properties!$A$4:$A$1809,0))</x:f>
        <x:v>241</x:v>
      </x:c>
      <x:c r="Q80" s="7" t="s">
        <x:v>831</x:v>
      </x:c>
      <x:c r="R80" s="9" t="s">
        <x:v>57</x:v>
      </x:c>
      <x:c r="S80" s="7" t="s">
        <x:v>58</x:v>
      </x:c>
      <x:c r="T80" s="7" t="s">
        <x:v>59</x:v>
      </x:c>
      <x:c r="U80" s="7" t="s">
        <x:v>53</x:v>
      </x:c>
      <x:c r="V80" s="7" t="s">
        <x:v>61</x:v>
      </x:c>
      <x:c r="W80" s="7" t="s">
        <x:v>832</x:v>
      </x:c>
      <x:c r="X80" s="7" t="s">
        <x:v>770</x:v>
      </x:c>
      <x:c r="Y80" s="7" t="s">
        <x:v>63</x:v>
      </x:c>
      <x:c r="Z80" s="7" t="s">
        <x:v>825</x:v>
      </x:c>
      <x:c r="AA80" s="7" t="s">
        <x:v>825</x:v>
      </x:c>
      <x:c r="AB80" s="7" t="s">
        <x:v>803</x:v>
      </x:c>
      <x:c r="AC80" s="7" t="s">
        <x:v>262</x:v>
      </x:c>
      <x:c r="AD80" s="7" t="s">
        <x:v>65</x:v>
      </x:c>
      <x:c r="AE80" s="7" t="s">
        <x:v>66</x:v>
      </x:c>
      <x:c r="AF80" s="7" t="s">
        <x:v>67</x:v>
      </x:c>
      <x:c r="AG80" s="7" t="s">
        <x:v>58</x:v>
      </x:c>
      <x:c r="AH80" s="7" t="s">
        <x:v>833</x:v>
      </x:c>
      <x:c r="AI80" s="7" t="s">
        <x:v>69</x:v>
      </x:c>
      <x:c r="AJ80" s="7" t="s">
        <x:v>91</x:v>
      </x:c>
      <x:c r="AK80" s="7" t="s">
        <x:v>58</x:v>
      </x:c>
      <x:c r="AL80" s="7" t="s">
        <x:v>58</x:v>
      </x:c>
      <x:c r="AM80" s="7" t="s">
        <x:v>72</x:v>
      </x:c>
      <x:c r="AN80" s="7" t="s">
        <x:v>73</x:v>
      </x:c>
      <x:c r="AO80" s="7" t="s">
        <x:v>74</x:v>
      </x:c>
      <x:c r="AP80" s="8" t="s">
        <x:v>53</x:v>
      </x:c>
      <x:c r="AQ80" s="7" t="s">
        <x:v>75</x:v>
      </x:c>
    </x:row>
    <x:row r="81" ht="51.75" hidden="0" customHeight="1">
      <x:c r="A81" s="7" t="s">
        <x:v>834</x:v>
      </x:c>
      <x:c r="B81" s="7" t="s">
        <x:v>835</x:v>
      </x:c>
      <x:c r="C81" s="7" t="s">
        <x:v>836</x:v>
      </x:c>
      <x:c r="D81" s="7" t="s">
        <x:v>78</x:v>
      </x:c>
      <x:c r="E81" s="7" t="s">
        <x:v>837</x:v>
      </x:c>
      <x:c r="F81" s="7" t="s">
        <x:v>125</x:v>
      </x:c>
      <x:c r="G81" s="7" t="s">
        <x:v>838</x:v>
      </x:c>
      <x:c r="H81" s="7" t="s">
        <x:v>163</x:v>
      </x:c>
      <x:c r="I81" s="7" t="s">
        <x:v>839</x:v>
      </x:c>
      <x:c r="J81" s="8" t="n">
        <x:f aca="0">INDEX(Properties!$L$4:$L$1809,MATCH("V001406",Properties!$A$4:$A$1809,0))</x:f>
        <x:v>1270</x:v>
      </x:c>
      <x:c r="K81" s="8" t="s">
        <x:v>53</x:v>
      </x:c>
      <x:c r="L81" s="8" t="s">
        <x:v>53</x:v>
      </x:c>
      <x:c r="M81" s="8" t="s">
        <x:v>53</x:v>
      </x:c>
      <x:c r="N81" s="7" t="s">
        <x:v>840</x:v>
      </x:c>
      <x:c r="O81" s="7" t="s">
        <x:v>55</x:v>
      </x:c>
      <x:c r="P81" s="8" t="s">
        <x:v>53</x:v>
      </x:c>
      <x:c r="Q81" s="7" t="s">
        <x:v>58</x:v>
      </x:c>
      <x:c r="R81" s="9" t="n">
        <x:f aca="0">MEDIAN(INDEX('Prices CA'!$J$4:$J$107,MATCH("CA0063",'Prices CA'!$A$4:$A$107,0)))</x:f>
        <x:v>101.98</x:v>
      </x:c>
      <x:c r="S81" s="7" t="s">
        <x:v>841</x:v>
      </x:c>
      <x:c r="T81" s="7" t="s">
        <x:v>132</x:v>
      </x:c>
      <x:c r="U81" s="7" t="s">
        <x:v>842</x:v>
      </x:c>
      <x:c r="V81" s="7" t="s">
        <x:v>61</x:v>
      </x:c>
      <x:c r="W81" s="7" t="s">
        <x:v>843</x:v>
      </x:c>
      <x:c r="X81" s="7" t="s">
        <x:v>836</x:v>
      </x:c>
      <x:c r="Y81" s="7" t="s">
        <x:v>63</x:v>
      </x:c>
      <x:c r="Z81" s="7" t="s">
        <x:v>835</x:v>
      </x:c>
      <x:c r="AA81" s="7" t="s">
        <x:v>835</x:v>
      </x:c>
      <x:c r="AB81" s="7" t="s">
        <x:v>835</x:v>
      </x:c>
      <x:c r="AC81" s="7" t="s">
        <x:v>64</x:v>
      </x:c>
      <x:c r="AD81" s="7" t="s">
        <x:v>844</x:v>
      </x:c>
      <x:c r="AE81" s="7" t="s">
        <x:v>66</x:v>
      </x:c>
      <x:c r="AF81" s="7" t="s">
        <x:v>67</x:v>
      </x:c>
      <x:c r="AG81" s="7" t="s">
        <x:v>58</x:v>
      </x:c>
      <x:c r="AH81" s="7" t="s">
        <x:v>837</x:v>
      </x:c>
      <x:c r="AI81" s="7" t="s">
        <x:v>69</x:v>
      </x:c>
      <x:c r="AJ81" s="7" t="s">
        <x:v>53</x:v>
      </x:c>
      <x:c r="AK81" s="7" t="s">
        <x:v>845</x:v>
      </x:c>
      <x:c r="AL81" s="7" t="str">
        <x:v>Q00310; Q00311; Q00463; Q00464; Q00465; Q00466; Q00467</x:v>
      </x:c>
      <x:c r="AM81" s="7" t="s">
        <x:v>72</x:v>
      </x:c>
      <x:c r="AN81" s="7" t="s">
        <x:v>73</x:v>
      </x:c>
      <x:c r="AO81" s="7" t="s">
        <x:v>74</x:v>
      </x:c>
      <x:c r="AP81" s="8" t="n">
        <x:v>4</x:v>
      </x:c>
      <x:c r="AQ81" s="7" t="s">
        <x:v>75</x:v>
      </x:c>
    </x:row>
    <x:row r="82" ht="51.75" hidden="0" customHeight="1">
      <x:c r="A82" s="7" t="s">
        <x:v>847</x:v>
      </x:c>
      <x:c r="B82" s="7" t="s">
        <x:v>848</x:v>
      </x:c>
      <x:c r="C82" s="7" t="s">
        <x:v>836</x:v>
      </x:c>
      <x:c r="D82" s="7" t="s">
        <x:v>47</x:v>
      </x:c>
      <x:c r="E82" s="7" t="s">
        <x:v>849</x:v>
      </x:c>
      <x:c r="F82" s="7" t="s">
        <x:v>850</x:v>
      </x:c>
      <x:c r="G82" s="7" t="s">
        <x:v>851</x:v>
      </x:c>
      <x:c r="H82" s="7" t="s">
        <x:v>53</x:v>
      </x:c>
      <x:c r="I82" s="7" t="s">
        <x:v>852</x:v>
      </x:c>
      <x:c r="J82" s="8" t="n">
        <x:f aca="0">INDEX(Properties!$L$4:$L$1809,MATCH("V001418",Properties!$A$4:$A$1809,0))</x:f>
        <x:v>1140</x:v>
      </x:c>
      <x:c r="K82" s="8" t="s">
        <x:v>53</x:v>
      </x:c>
      <x:c r="L82" s="8" t="s">
        <x:v>53</x:v>
      </x:c>
      <x:c r="M82" s="8" t="s">
        <x:v>53</x:v>
      </x:c>
      <x:c r="N82" s="7" t="s">
        <x:v>853</x:v>
      </x:c>
      <x:c r="O82" s="7" t="s">
        <x:v>55</x:v>
      </x:c>
      <x:c r="P82" s="8" t="s">
        <x:v>53</x:v>
      </x:c>
      <x:c r="Q82" s="7" t="s">
        <x:v>58</x:v>
      </x:c>
      <x:c r="R82" s="9" t="s">
        <x:v>57</x:v>
      </x:c>
      <x:c r="S82" s="7" t="s">
        <x:v>58</x:v>
      </x:c>
      <x:c r="T82" s="7" t="s">
        <x:v>59</x:v>
      </x:c>
      <x:c r="U82" s="7" t="s">
        <x:v>842</x:v>
      </x:c>
      <x:c r="V82" s="7" t="s">
        <x:v>61</x:v>
      </x:c>
      <x:c r="W82" s="7" t="s">
        <x:v>854</x:v>
      </x:c>
      <x:c r="X82" s="7" t="s">
        <x:v>836</x:v>
      </x:c>
      <x:c r="Y82" s="7" t="s">
        <x:v>63</x:v>
      </x:c>
      <x:c r="Z82" s="7" t="s">
        <x:v>848</x:v>
      </x:c>
      <x:c r="AA82" s="7" t="s">
        <x:v>848</x:v>
      </x:c>
      <x:c r="AB82" s="7" t="s">
        <x:v>848</x:v>
      </x:c>
      <x:c r="AC82" s="7" t="s">
        <x:v>64</x:v>
      </x:c>
      <x:c r="AD82" s="7" t="s">
        <x:v>844</x:v>
      </x:c>
      <x:c r="AE82" s="7" t="s">
        <x:v>66</x:v>
      </x:c>
      <x:c r="AF82" s="7" t="s">
        <x:v>67</x:v>
      </x:c>
      <x:c r="AG82" s="7" t="s">
        <x:v>58</x:v>
      </x:c>
      <x:c r="AH82" s="7" t="s">
        <x:v>849</x:v>
      </x:c>
      <x:c r="AI82" s="7" t="s">
        <x:v>69</x:v>
      </x:c>
      <x:c r="AJ82" s="7" t="s">
        <x:v>53</x:v>
      </x:c>
      <x:c r="AK82" s="7" t="s">
        <x:v>855</x:v>
      </x:c>
      <x:c r="AL82" s="7" t="str">
        <x:v>Not published</x:v>
      </x:c>
      <x:c r="AM82" s="7" t="s">
        <x:v>72</x:v>
      </x:c>
      <x:c r="AN82" s="7" t="s">
        <x:v>73</x:v>
      </x:c>
      <x:c r="AO82" s="7" t="s">
        <x:v>74</x:v>
      </x:c>
      <x:c r="AP82" s="8" t="n">
        <x:v>4</x:v>
      </x:c>
      <x:c r="AQ82" s="7" t="s">
        <x:v>75</x:v>
      </x:c>
    </x:row>
    <x:row r="83" ht="51.75" hidden="0" customHeight="1">
      <x:c r="A83" s="7" t="s">
        <x:v>856</x:v>
      </x:c>
      <x:c r="B83" s="7" t="s">
        <x:v>857</x:v>
      </x:c>
      <x:c r="C83" s="7" t="s">
        <x:v>858</x:v>
      </x:c>
      <x:c r="D83" s="7" t="str">
        <x:v>Official Bambu product</x:v>
      </x:c>
      <x:c r="E83" s="7" t="str">
        <x:v>G077-01</x:v>
      </x:c>
      <x:c r="F83" s="7" t="str">
        <x:v>220-230 °C</x:v>
      </x:c>
      <x:c r="G83" s="7" t="str">
        <x:v>35-45 °C</x:v>
      </x:c>
      <x:c r="H83" s="7" t="str">
        <x:v>25-45 °C</x:v>
      </x:c>
      <x:c r="I83" s="7" t="str">
        <x:v>P0157</x:v>
      </x:c>
      <x:c r="J83" s="8" t="n">
        <x:v>1330</x:v>
      </x:c>
      <x:c r="K83" s="8" t="s">
        <x:v>53</x:v>
      </x:c>
      <x:c r="L83" s="8" t="s">
        <x:v>53</x:v>
      </x:c>
      <x:c r="M83" s="8" t="s">
        <x:v>53</x:v>
      </x:c>
      <x:c r="N83" s="7" t="str">
        <x:v>V001808</x:v>
      </x:c>
      <x:c r="O83" s="7" t="str">
        <x:v>Mechanical properties explicitly N/A in exact TDS</x:v>
      </x:c>
      <x:c r="P83" s="8" t="s">
        <x:v>53</x:v>
      </x:c>
      <x:c r="Q83" s="7" t="str">
        <x:v>V001810</x:v>
      </x:c>
      <x:c r="R83" s="9" t="s">
        <x:v>57</x:v>
      </x:c>
      <x:c r="S83" s="7" t="s">
        <x:v>58</x:v>
      </x:c>
      <x:c r="T83" s="7" t="s">
        <x:v>59</x:v>
      </x:c>
      <x:c r="U83" s="7" t="str">
        <x:v>Support interface for Bambu Lab PLA filaments</x:v>
      </x:c>
      <x:c r="V83" s="7" t="str">
        <x:v>Support interface only; not intended as a stand-alone model material. H2C route assignment still requires guide verification.</x:v>
      </x:c>
      <x:c r="W83" s="7" t="s">
        <x:v>859</x:v>
      </x:c>
      <x:c r="X83" s="7" t="s">
        <x:v>858</x:v>
      </x:c>
      <x:c r="Y83" s="7" t="s">
        <x:v>63</x:v>
      </x:c>
      <x:c r="Z83" s="7" t="s">
        <x:v>857</x:v>
      </x:c>
      <x:c r="AA83" s="7" t="s">
        <x:v>857</x:v>
      </x:c>
      <x:c r="AB83" s="7" t="s">
        <x:v>860</x:v>
      </x:c>
      <x:c r="AC83" s="7" t="s">
        <x:v>90</x:v>
      </x:c>
      <x:c r="AD83" s="7" t="s">
        <x:v>844</x:v>
      </x:c>
      <x:c r="AE83" s="7" t="s">
        <x:v>66</x:v>
      </x:c>
      <x:c r="AF83" s="7" t="s">
        <x:v>67</x:v>
      </x:c>
      <x:c r="AG83" s="7" t="str">
        <x:v>Exact current Support for PLA (New Version) recorded; current Support for PLA/PETG remains a different product.</x:v>
      </x:c>
      <x:c r="AH83" s="7" t="str">
        <x:v>G077-01</x:v>
      </x:c>
      <x:c r="AI83" s="7" t="str">
        <x:v>Single-grade observations; mechanical values not published</x:v>
      </x:c>
      <x:c r="AJ83" s="7" t="s">
        <x:v>53</x:v>
      </x:c>
      <x:c r="AK83" s="7" t="str">
        <x:v>Q00363</x:v>
      </x:c>
      <x:c r="AL83" s="7" t="str">
        <x:v>Q00365; Q00366; Q00367; Q00368; Q00369</x:v>
      </x:c>
      <x:c r="AM83" s="7" t="s">
        <x:v>72</x:v>
      </x:c>
      <x:c r="AN83" s="7" t="s">
        <x:v>73</x:v>
      </x:c>
      <x:c r="AO83" s="7" t="s">
        <x:v>74</x:v>
      </x:c>
      <x:c r="AP83" s="8" t="s">
        <x:v>53</x:v>
      </x:c>
      <x:c r="AQ83" s="7" t="s">
        <x:v>75</x:v>
      </x:c>
    </x:row>
    <x:row r="84" ht="51.75" hidden="0" customHeight="1">
      <x:c r="A84" s="7" t="s">
        <x:v>861</x:v>
      </x:c>
      <x:c r="B84" s="7" t="s">
        <x:v>862</x:v>
      </x:c>
      <x:c r="C84" s="7" t="s">
        <x:v>858</x:v>
      </x:c>
      <x:c r="D84" s="7" t="s">
        <x:v>78</x:v>
      </x:c>
      <x:c r="E84" s="7" t="s">
        <x:v>863</x:v>
      </x:c>
      <x:c r="F84" s="7" t="s">
        <x:v>864</x:v>
      </x:c>
      <x:c r="G84" s="7" t="s">
        <x:v>865</x:v>
      </x:c>
      <x:c r="H84" s="7" t="s">
        <x:v>500</x:v>
      </x:c>
      <x:c r="I84" s="7" t="s">
        <x:v>866</x:v>
      </x:c>
      <x:c r="J84" s="8" t="n">
        <x:f aca="0">INDEX(Properties!$L$4:$L$1809,MATCH("V001427",Properties!$A$4:$A$1809,0))</x:f>
        <x:v>1280</x:v>
      </x:c>
      <x:c r="K84" s="8" t="s">
        <x:v>53</x:v>
      </x:c>
      <x:c r="L84" s="8" t="s">
        <x:v>53</x:v>
      </x:c>
      <x:c r="M84" s="8" t="s">
        <x:v>53</x:v>
      </x:c>
      <x:c r="N84" s="7" t="s">
        <x:v>867</x:v>
      </x:c>
      <x:c r="O84" s="7" t="s">
        <x:v>55</x:v>
      </x:c>
      <x:c r="P84" s="8" t="s">
        <x:v>53</x:v>
      </x:c>
      <x:c r="Q84" s="7" t="s">
        <x:v>58</x:v>
      </x:c>
      <x:c r="R84" s="9" t="n">
        <x:f aca="0">MEDIAN(INDEX('Prices CA'!$J$4:$J$107,MATCH("CA0064",'Prices CA'!$A$4:$A$107,0)),INDEX('Prices CA'!$J$4:$J$107,MATCH("CA0076",'Prices CA'!$A$4:$A$107,0)))</x:f>
        <x:v>89.98</x:v>
      </x:c>
      <x:c r="S84" s="7" t="s">
        <x:v>868</x:v>
      </x:c>
      <x:c r="T84" s="7" t="s">
        <x:v>87</x:v>
      </x:c>
      <x:c r="U84" s="7" t="s">
        <x:v>53</x:v>
      </x:c>
      <x:c r="V84" s="7" t="s">
        <x:v>61</x:v>
      </x:c>
      <x:c r="W84" s="7" t="s">
        <x:v>869</x:v>
      </x:c>
      <x:c r="X84" s="7" t="s">
        <x:v>858</x:v>
      </x:c>
      <x:c r="Y84" s="7" t="s">
        <x:v>63</x:v>
      </x:c>
      <x:c r="Z84" s="7" t="s">
        <x:v>862</x:v>
      </x:c>
      <x:c r="AA84" s="7" t="s">
        <x:v>862</x:v>
      </x:c>
      <x:c r="AB84" s="7" t="s">
        <x:v>860</x:v>
      </x:c>
      <x:c r="AC84" s="7" t="s">
        <x:v>90</x:v>
      </x:c>
      <x:c r="AD84" s="7" t="s">
        <x:v>844</x:v>
      </x:c>
      <x:c r="AE84" s="7" t="s">
        <x:v>66</x:v>
      </x:c>
      <x:c r="AF84" s="7" t="s">
        <x:v>67</x:v>
      </x:c>
      <x:c r="AG84" s="7" t="s">
        <x:v>58</x:v>
      </x:c>
      <x:c r="AH84" s="7" t="s">
        <x:v>863</x:v>
      </x:c>
      <x:c r="AI84" s="7" t="s">
        <x:v>69</x:v>
      </x:c>
      <x:c r="AJ84" s="7" t="s">
        <x:v>53</x:v>
      </x:c>
      <x:c r="AK84" s="7" t="s">
        <x:v>58</x:v>
      </x:c>
      <x:c r="AL84" s="7" t="str">
        <x:v>Q00468; Q00469; Q00470; Q00471; Q00472</x:v>
      </x:c>
      <x:c r="AM84" s="7" t="s">
        <x:v>72</x:v>
      </x:c>
      <x:c r="AN84" s="7" t="s">
        <x:v>73</x:v>
      </x:c>
      <x:c r="AO84" s="7" t="s">
        <x:v>74</x:v>
      </x:c>
      <x:c r="AP84" s="8" t="s">
        <x:v>53</x:v>
      </x:c>
      <x:c r="AQ84" s="7" t="s">
        <x:v>75</x:v>
      </x:c>
    </x:row>
    <x:row r="85" ht="51.75" hidden="0" customHeight="1">
      <x:c r="A85" s="7" t="s">
        <x:v>870</x:v>
      </x:c>
      <x:c r="B85" s="7" t="s">
        <x:v>871</x:v>
      </x:c>
      <x:c r="C85" s="7" t="s">
        <x:v>858</x:v>
      </x:c>
      <x:c r="D85" s="7" t="s">
        <x:v>78</x:v>
      </x:c>
      <x:c r="E85" s="7" t="s">
        <x:v>872</x:v>
      </x:c>
      <x:c r="F85" s="7" t="s">
        <x:v>316</x:v>
      </x:c>
      <x:c r="G85" s="7" t="s">
        <x:v>421</x:v>
      </x:c>
      <x:c r="H85" s="7" t="s">
        <x:v>114</x:v>
      </x:c>
      <x:c r="I85" s="7" t="s">
        <x:v>873</x:v>
      </x:c>
      <x:c r="J85" s="8" t="n">
        <x:f aca="0">INDEX(Properties!$L$4:$L$1809,MATCH("V001439",Properties!$A$4:$A$1809,0))</x:f>
        <x:v>1160</x:v>
      </x:c>
      <x:c r="K85" s="8" t="s">
        <x:v>53</x:v>
      </x:c>
      <x:c r="L85" s="8" t="s">
        <x:v>53</x:v>
      </x:c>
      <x:c r="M85" s="8" t="s">
        <x:v>53</x:v>
      </x:c>
      <x:c r="N85" s="7" t="s">
        <x:v>874</x:v>
      </x:c>
      <x:c r="O85" s="7" t="s">
        <x:v>55</x:v>
      </x:c>
      <x:c r="P85" s="8" t="s">
        <x:v>53</x:v>
      </x:c>
      <x:c r="Q85" s="7" t="s">
        <x:v>58</x:v>
      </x:c>
      <x:c r="R85" s="9" t="n">
        <x:f aca="0">MEDIAN(INDEX('Prices CA'!$J$4:$J$107,MATCH("CA0065",'Prices CA'!$A$4:$A$107,0)))</x:f>
        <x:v>39.98</x:v>
      </x:c>
      <x:c r="S85" s="7" t="s">
        <x:v>875</x:v>
      </x:c>
      <x:c r="T85" s="7" t="s">
        <x:v>132</x:v>
      </x:c>
      <x:c r="U85" s="7" t="s">
        <x:v>53</x:v>
      </x:c>
      <x:c r="V85" s="7" t="s">
        <x:v>61</x:v>
      </x:c>
      <x:c r="W85" s="7" t="s">
        <x:v>876</x:v>
      </x:c>
      <x:c r="X85" s="7" t="s">
        <x:v>858</x:v>
      </x:c>
      <x:c r="Y85" s="7" t="s">
        <x:v>63</x:v>
      </x:c>
      <x:c r="Z85" s="7" t="s">
        <x:v>871</x:v>
      </x:c>
      <x:c r="AA85" s="7" t="s">
        <x:v>871</x:v>
      </x:c>
      <x:c r="AB85" s="7" t="s">
        <x:v>860</x:v>
      </x:c>
      <x:c r="AC85" s="7" t="s">
        <x:v>90</x:v>
      </x:c>
      <x:c r="AD85" s="7" t="s">
        <x:v>844</x:v>
      </x:c>
      <x:c r="AE85" s="7" t="s">
        <x:v>66</x:v>
      </x:c>
      <x:c r="AF85" s="7" t="s">
        <x:v>67</x:v>
      </x:c>
      <x:c r="AG85" s="7" t="s">
        <x:v>58</x:v>
      </x:c>
      <x:c r="AH85" s="7" t="s">
        <x:v>872</x:v>
      </x:c>
      <x:c r="AI85" s="7" t="s">
        <x:v>69</x:v>
      </x:c>
      <x:c r="AJ85" s="7" t="s">
        <x:v>53</x:v>
      </x:c>
      <x:c r="AK85" s="7" t="s">
        <x:v>58</x:v>
      </x:c>
      <x:c r="AL85" s="7" t="str">
        <x:v>Q00236; Q00237; Q00238; Q00239; Q00240</x:v>
      </x:c>
      <x:c r="AM85" s="7" t="s">
        <x:v>72</x:v>
      </x:c>
      <x:c r="AN85" s="7" t="s">
        <x:v>73</x:v>
      </x:c>
      <x:c r="AO85" s="7" t="s">
        <x:v>74</x:v>
      </x:c>
      <x:c r="AP85" s="8" t="s">
        <x:v>53</x:v>
      </x:c>
      <x:c r="AQ85" s="7" t="s">
        <x:v>75</x:v>
      </x:c>
    </x:row>
    <x:row r="86" ht="51.75" hidden="0" customHeight="1">
      <x:c r="A86" s="7" t="s">
        <x:v>878</x:v>
      </x:c>
      <x:c r="B86" s="7" t="s">
        <x:v>879</x:v>
      </x:c>
      <x:c r="C86" s="7" t="s">
        <x:v>858</x:v>
      </x:c>
      <x:c r="D86" s="7" t="s">
        <x:v>78</x:v>
      </x:c>
      <x:c r="E86" s="7" t="s">
        <x:v>880</x:v>
      </x:c>
      <x:c r="F86" s="7" t="s">
        <x:v>752</x:v>
      </x:c>
      <x:c r="G86" s="7" t="s">
        <x:v>360</x:v>
      </x:c>
      <x:c r="H86" s="7" t="str">
        <x:v>45-60 °C</x:v>
      </x:c>
      <x:c r="I86" s="7" t="s">
        <x:v>881</x:v>
      </x:c>
      <x:c r="J86" s="8" t="n">
        <x:f aca="0">INDEX(Properties!$L$4:$L$1809,MATCH("V001458",Properties!$A$4:$A$1809,0))</x:f>
        <x:v>1170</x:v>
      </x:c>
      <x:c r="K86" s="8" t="s">
        <x:v>53</x:v>
      </x:c>
      <x:c r="L86" s="8" t="s">
        <x:v>53</x:v>
      </x:c>
      <x:c r="M86" s="8" t="s">
        <x:v>53</x:v>
      </x:c>
      <x:c r="N86" s="7" t="s">
        <x:v>882</x:v>
      </x:c>
      <x:c r="O86" s="7" t="s">
        <x:v>55</x:v>
      </x:c>
      <x:c r="P86" s="8" t="s">
        <x:v>53</x:v>
      </x:c>
      <x:c r="Q86" s="7" t="s">
        <x:v>58</x:v>
      </x:c>
      <x:c r="R86" s="9" t="s">
        <x:v>57</x:v>
      </x:c>
      <x:c r="S86" s="7" t="s">
        <x:v>58</x:v>
      </x:c>
      <x:c r="T86" s="7" t="s">
        <x:v>59</x:v>
      </x:c>
      <x:c r="U86" s="7" t="s">
        <x:v>53</x:v>
      </x:c>
      <x:c r="V86" s="7" t="s">
        <x:v>61</x:v>
      </x:c>
      <x:c r="W86" s="7" t="s">
        <x:v>883</x:v>
      </x:c>
      <x:c r="X86" s="7" t="s">
        <x:v>858</x:v>
      </x:c>
      <x:c r="Y86" s="7" t="s">
        <x:v>63</x:v>
      </x:c>
      <x:c r="Z86" s="7" t="s">
        <x:v>879</x:v>
      </x:c>
      <x:c r="AA86" s="7" t="s">
        <x:v>879</x:v>
      </x:c>
      <x:c r="AB86" s="7" t="s">
        <x:v>860</x:v>
      </x:c>
      <x:c r="AC86" s="7" t="s">
        <x:v>90</x:v>
      </x:c>
      <x:c r="AD86" s="7" t="s">
        <x:v>844</x:v>
      </x:c>
      <x:c r="AE86" s="7" t="s">
        <x:v>66</x:v>
      </x:c>
      <x:c r="AF86" s="7" t="s">
        <x:v>67</x:v>
      </x:c>
      <x:c r="AG86" s="7" t="s">
        <x:v>58</x:v>
      </x:c>
      <x:c r="AH86" s="7" t="s">
        <x:v>880</x:v>
      </x:c>
      <x:c r="AI86" s="7" t="s">
        <x:v>69</x:v>
      </x:c>
      <x:c r="AJ86" s="7" t="s">
        <x:v>53</x:v>
      </x:c>
      <x:c r="AK86" s="7" t="s">
        <x:v>58</x:v>
      </x:c>
      <x:c r="AL86" s="7" t="str">
        <x:v>Q00473; Q00474; Q00475; Q00476; Q00477</x:v>
      </x:c>
      <x:c r="AM86" s="7" t="s">
        <x:v>72</x:v>
      </x:c>
      <x:c r="AN86" s="7" t="s">
        <x:v>73</x:v>
      </x:c>
      <x:c r="AO86" s="7" t="s">
        <x:v>74</x:v>
      </x:c>
      <x:c r="AP86" s="8" t="s">
        <x:v>53</x:v>
      </x:c>
      <x:c r="AQ86" s="7" t="s">
        <x:v>75</x:v>
      </x:c>
    </x:row>
    <x:row r="87" ht="51.75" hidden="0" customHeight="1">
      <x:c r="A87" s="7" t="s">
        <x:v>884</x:v>
      </x:c>
      <x:c r="B87" s="7" t="s">
        <x:v>885</x:v>
      </x:c>
      <x:c r="C87" s="7" t="s">
        <x:v>886</x:v>
      </x:c>
      <x:c r="D87" s="7" t="s">
        <x:v>106</x:v>
      </x:c>
      <x:c r="E87" s="7" t="s">
        <x:v>887</x:v>
      </x:c>
      <x:c r="F87" s="7" t="s">
        <x:v>888</x:v>
      </x:c>
      <x:c r="G87" s="7" t="s">
        <x:v>373</x:v>
      </x:c>
      <x:c r="H87" s="7" t="s">
        <x:v>51</x:v>
      </x:c>
      <x:c r="I87" s="7" t="s">
        <x:v>889</x:v>
      </x:c>
      <x:c r="J87" s="8" t="n">
        <x:f aca="0">INDEX(Properties!$L$4:$L$1809,MATCH("V001470",Properties!$A$4:$A$1809,0))</x:f>
        <x:v>1040</x:v>
      </x:c>
      <x:c r="K87" s="8" t="n">
        <x:f aca="0">INDEX(Properties!$L$4:$L$1809,MATCH("V001472",Properties!$A$4:$A$1809,0))</x:f>
        <x:v>1.35</x:v>
      </x:c>
      <x:c r="L87" s="8" t="s">
        <x:v>53</x:v>
      </x:c>
      <x:c r="M87" s="8" t="n">
        <x:f aca="0">INDEX(Properties!$L$4:$L$1809,MATCH("V001473",Properties!$A$4:$A$1809,0))</x:f>
        <x:v>18</x:v>
      </x:c>
      <x:c r="N87" s="7" t="s">
        <x:v>890</x:v>
      </x:c>
      <x:c r="O87" s="7" t="s">
        <x:v>55</x:v>
      </x:c>
      <x:c r="P87" s="8" t="n">
        <x:f aca="0">INDEX(Properties!$L$4:$L$1809,MATCH("V001477",Properties!$A$4:$A$1809,0))</x:f>
        <x:v>80</x:v>
      </x:c>
      <x:c r="Q87" s="7" t="s">
        <x:v>891</x:v>
      </x:c>
      <x:c r="R87" s="9" t="n">
        <x:f aca="0">MEDIAN(INDEX('Prices CA'!$J$4:$J$107,MATCH("CA0100",'Prices CA'!$A$4:$A$107,0)))</x:f>
        <x:v>42.99</x:v>
      </x:c>
      <x:c r="S87" s="7" t="s">
        <x:v>892</x:v>
      </x:c>
      <x:c r="T87" s="7" t="s">
        <x:v>132</x:v>
      </x:c>
      <x:c r="U87" s="7" t="s">
        <x:v>893</x:v>
      </x:c>
      <x:c r="V87" s="7" t="s">
        <x:v>61</x:v>
      </x:c>
      <x:c r="W87" s="7" t="s">
        <x:v>894</x:v>
      </x:c>
      <x:c r="X87" s="7" t="s">
        <x:v>886</x:v>
      </x:c>
      <x:c r="Y87" s="7" t="s">
        <x:v>63</x:v>
      </x:c>
      <x:c r="Z87" s="7" t="s">
        <x:v>885</x:v>
      </x:c>
      <x:c r="AA87" s="7" t="s">
        <x:v>885</x:v>
      </x:c>
      <x:c r="AB87" s="7" t="s">
        <x:v>885</x:v>
      </x:c>
      <x:c r="AC87" s="7" t="s">
        <x:v>64</x:v>
      </x:c>
      <x:c r="AD87" s="7" t="s">
        <x:v>65</x:v>
      </x:c>
      <x:c r="AE87" s="7" t="s">
        <x:v>66</x:v>
      </x:c>
      <x:c r="AF87" s="7" t="s">
        <x:v>67</x:v>
      </x:c>
      <x:c r="AG87" s="7" t="s">
        <x:v>58</x:v>
      </x:c>
      <x:c r="AH87" s="7" t="s">
        <x:v>895</x:v>
      </x:c>
      <x:c r="AI87" s="7" t="s">
        <x:v>69</x:v>
      </x:c>
      <x:c r="AJ87" s="7" t="s">
        <x:v>53</x:v>
      </x:c>
      <x:c r="AK87" s="7" t="s">
        <x:v>896</x:v>
      </x:c>
      <x:c r="AL87" s="7" t="str">
        <x:v>Q00307; Q00351</x:v>
      </x:c>
      <x:c r="AM87" s="7" t="s">
        <x:v>72</x:v>
      </x:c>
      <x:c r="AN87" s="7" t="s">
        <x:v>73</x:v>
      </x:c>
      <x:c r="AO87" s="7" t="s">
        <x:v>74</x:v>
      </x:c>
      <x:c r="AP87" s="8" t="s">
        <x:v>53</x:v>
      </x:c>
      <x:c r="AQ87" s="7" t="s">
        <x:v>75</x:v>
      </x:c>
    </x:row>
    <x:row r="88" ht="51.75" hidden="0" customHeight="1">
      <x:c r="A88" s="7" t="s">
        <x:v>898</x:v>
      </x:c>
      <x:c r="B88" s="7" t="s">
        <x:v>899</x:v>
      </x:c>
      <x:c r="C88" s="7" t="s">
        <x:v>900</x:v>
      </x:c>
      <x:c r="D88" s="7" t="s">
        <x:v>106</x:v>
      </x:c>
      <x:c r="E88" s="7" t="s">
        <x:v>901</x:v>
      </x:c>
      <x:c r="F88" s="7" t="s">
        <x:v>53</x:v>
      </x:c>
      <x:c r="G88" s="7" t="s">
        <x:v>53</x:v>
      </x:c>
      <x:c r="H88" s="7" t="s">
        <x:v>53</x:v>
      </x:c>
      <x:c r="I88" s="7" t="s">
        <x:v>902</x:v>
      </x:c>
      <x:c r="J88" s="8" t="n">
        <x:f aca="0">INDEX(Properties!$L$4:$L$1809,MATCH("V001490",Properties!$A$4:$A$1809,0))</x:f>
        <x:v>810</x:v>
      </x:c>
      <x:c r="K88" s="8" t="n">
        <x:f aca="0">INDEX(Properties!$L$4:$L$1809,MATCH("V001492",Properties!$A$4:$A$1809,0))</x:f>
        <x:v>1.6500000000000001</x:v>
      </x:c>
      <x:c r="L88" s="8" t="s">
        <x:v>53</x:v>
      </x:c>
      <x:c r="M88" s="8" t="n">
        <x:f aca="0">INDEX(Properties!$L$4:$L$1809,MATCH("V001493",Properties!$A$4:$A$1809,0))</x:f>
        <x:v>13</x:v>
      </x:c>
      <x:c r="N88" s="7" t="s">
        <x:v>903</x:v>
      </x:c>
      <x:c r="O88" s="7" t="s">
        <x:v>55</x:v>
      </x:c>
      <x:c r="P88" s="8" t="n">
        <x:f aca="0">INDEX(Properties!$L$4:$L$1809,MATCH("V001496",Properties!$A$4:$A$1809,0))</x:f>
        <x:v>94</x:v>
      </x:c>
      <x:c r="Q88" s="7" t="s">
        <x:v>904</x:v>
      </x:c>
      <x:c r="R88" s="9" t="s">
        <x:v>57</x:v>
      </x:c>
      <x:c r="S88" s="7" t="s">
        <x:v>58</x:v>
      </x:c>
      <x:c r="T88" s="7" t="s">
        <x:v>59</x:v>
      </x:c>
      <x:c r="U88" s="7" t="s">
        <x:v>905</x:v>
      </x:c>
      <x:c r="V88" s="7" t="s">
        <x:v>61</x:v>
      </x:c>
      <x:c r="W88" s="7" t="s">
        <x:v>906</x:v>
      </x:c>
      <x:c r="X88" s="7" t="s">
        <x:v>900</x:v>
      </x:c>
      <x:c r="Y88" s="7" t="s">
        <x:v>63</x:v>
      </x:c>
      <x:c r="Z88" s="7" t="s">
        <x:v>899</x:v>
      </x:c>
      <x:c r="AA88" s="7" t="s">
        <x:v>899</x:v>
      </x:c>
      <x:c r="AB88" s="7" t="s">
        <x:v>899</x:v>
      </x:c>
      <x:c r="AC88" s="7" t="s">
        <x:v>64</x:v>
      </x:c>
      <x:c r="AD88" s="7" t="s">
        <x:v>65</x:v>
      </x:c>
      <x:c r="AE88" s="7" t="s">
        <x:v>66</x:v>
      </x:c>
      <x:c r="AF88" s="7" t="s">
        <x:v>67</x:v>
      </x:c>
      <x:c r="AG88" s="7" t="s">
        <x:v>58</x:v>
      </x:c>
      <x:c r="AH88" s="7" t="s">
        <x:v>907</x:v>
      </x:c>
      <x:c r="AI88" s="7" t="s">
        <x:v>69</x:v>
      </x:c>
      <x:c r="AJ88" s="7" t="s">
        <x:v>53</x:v>
      </x:c>
      <x:c r="AK88" s="7" t="s">
        <x:v>908</x:v>
      </x:c>
      <x:c r="AL88" s="7" t="str">
        <x:v>Not published</x:v>
      </x:c>
      <x:c r="AM88" s="7" t="s">
        <x:v>72</x:v>
      </x:c>
      <x:c r="AN88" s="7" t="s">
        <x:v>73</x:v>
      </x:c>
      <x:c r="AO88" s="7" t="s">
        <x:v>74</x:v>
      </x:c>
      <x:c r="AP88" s="8" t="n">
        <x:v>5</x:v>
      </x:c>
      <x:c r="AQ88" s="7" t="s">
        <x:v>75</x:v>
      </x:c>
    </x:row>
    <x:row r="89" ht="51.75" hidden="0" customHeight="1">
      <x:c r="A89" s="7" t="s">
        <x:v>910</x:v>
      </x:c>
      <x:c r="B89" s="7" t="s">
        <x:v>911</x:v>
      </x:c>
      <x:c r="C89" s="7" t="s">
        <x:v>900</x:v>
      </x:c>
      <x:c r="D89" s="7" t="s">
        <x:v>106</x:v>
      </x:c>
      <x:c r="E89" s="7" t="s">
        <x:v>912</x:v>
      </x:c>
      <x:c r="F89" s="7" t="s">
        <x:v>913</x:v>
      </x:c>
      <x:c r="G89" s="7" t="s">
        <x:v>914</x:v>
      </x:c>
      <x:c r="H89" s="7" t="s">
        <x:v>915</x:v>
      </x:c>
      <x:c r="I89" s="7" t="s">
        <x:v>916</x:v>
      </x:c>
      <x:c r="J89" s="8" t="n">
        <x:f aca="0">INDEX(Properties!$L$4:$L$1809,MATCH("V001502",Properties!$A$4:$A$1809,0))</x:f>
        <x:v>1100</x:v>
      </x:c>
      <x:c r="K89" s="8" t="n">
        <x:f aca="0">INDEX(Properties!$L$4:$L$1809,MATCH("V001504",Properties!$A$4:$A$1809,0))</x:f>
        <x:v>6.15</x:v>
      </x:c>
      <x:c r="L89" s="8" t="s">
        <x:v>53</x:v>
      </x:c>
      <x:c r="M89" s="8" t="n">
        <x:f aca="0">INDEX(Properties!$L$4:$L$1809,MATCH("V001505",Properties!$A$4:$A$1809,0))</x:f>
        <x:v>1.5</x:v>
      </x:c>
      <x:c r="N89" s="7" t="s">
        <x:v>917</x:v>
      </x:c>
      <x:c r="O89" s="7" t="s">
        <x:v>55</x:v>
      </x:c>
      <x:c r="P89" s="8" t="n">
        <x:f aca="0">INDEX(Properties!$L$4:$L$1809,MATCH("V001508",Properties!$A$4:$A$1809,0))</x:f>
        <x:v>124</x:v>
      </x:c>
      <x:c r="Q89" s="7" t="s">
        <x:v>918</x:v>
      </x:c>
      <x:c r="R89" s="9" t="s">
        <x:v>57</x:v>
      </x:c>
      <x:c r="S89" s="7" t="s">
        <x:v>58</x:v>
      </x:c>
      <x:c r="T89" s="7" t="s">
        <x:v>59</x:v>
      </x:c>
      <x:c r="U89" s="7" t="s">
        <x:v>919</x:v>
      </x:c>
      <x:c r="V89" s="7" t="s">
        <x:v>61</x:v>
      </x:c>
      <x:c r="W89" s="7" t="s">
        <x:v>920</x:v>
      </x:c>
      <x:c r="X89" s="7" t="s">
        <x:v>900</x:v>
      </x:c>
      <x:c r="Y89" s="7" t="s">
        <x:v>63</x:v>
      </x:c>
      <x:c r="Z89" s="7" t="s">
        <x:v>911</x:v>
      </x:c>
      <x:c r="AA89" s="7" t="s">
        <x:v>911</x:v>
      </x:c>
      <x:c r="AB89" s="7" t="s">
        <x:v>899</x:v>
      </x:c>
      <x:c r="AC89" s="7" t="s">
        <x:v>249</x:v>
      </x:c>
      <x:c r="AD89" s="7" t="s">
        <x:v>65</x:v>
      </x:c>
      <x:c r="AE89" s="7" t="s">
        <x:v>66</x:v>
      </x:c>
      <x:c r="AF89" s="7" t="s">
        <x:v>67</x:v>
      </x:c>
      <x:c r="AG89" s="7" t="s">
        <x:v>58</x:v>
      </x:c>
      <x:c r="AH89" s="7" t="s">
        <x:v>912</x:v>
      </x:c>
      <x:c r="AI89" s="7" t="s">
        <x:v>69</x:v>
      </x:c>
      <x:c r="AJ89" s="7" t="s">
        <x:v>53</x:v>
      </x:c>
      <x:c r="AK89" s="7" t="s">
        <x:v>909</x:v>
      </x:c>
      <x:c r="AL89" s="7" t="str">
        <x:v>Not published</x:v>
      </x:c>
      <x:c r="AM89" s="7" t="s">
        <x:v>72</x:v>
      </x:c>
      <x:c r="AN89" s="7" t="s">
        <x:v>73</x:v>
      </x:c>
      <x:c r="AO89" s="7" t="s">
        <x:v>74</x:v>
      </x:c>
      <x:c r="AP89" s="8" t="s">
        <x:v>53</x:v>
      </x:c>
      <x:c r="AQ89" s="7" t="s">
        <x:v>75</x:v>
      </x:c>
    </x:row>
    <x:row r="90" ht="51.75" hidden="0" customHeight="1">
      <x:c r="A90" s="7" t="s">
        <x:v>921</x:v>
      </x:c>
      <x:c r="B90" s="7" t="s">
        <x:v>922</x:v>
      </x:c>
      <x:c r="C90" s="7" t="s">
        <x:v>900</x:v>
      </x:c>
      <x:c r="D90" s="7" t="s">
        <x:v>106</x:v>
      </x:c>
      <x:c r="E90" s="7" t="s">
        <x:v>923</x:v>
      </x:c>
      <x:c r="F90" s="7" t="s">
        <x:v>53</x:v>
      </x:c>
      <x:c r="G90" s="7" t="s">
        <x:v>53</x:v>
      </x:c>
      <x:c r="H90" s="7" t="s">
        <x:v>53</x:v>
      </x:c>
      <x:c r="I90" s="7" t="s">
        <x:v>924</x:v>
      </x:c>
      <x:c r="J90" s="8" t="n">
        <x:f aca="0">INDEX(Properties!$L$4:$L$1809,MATCH("V001509",Properties!$A$4:$A$1809,0))</x:f>
        <x:v>1120</x:v>
      </x:c>
      <x:c r="K90" s="8" t="n">
        <x:f aca="0">INDEX(Properties!$L$4:$L$1809,MATCH("V001511",Properties!$A$4:$A$1809,0))</x:f>
        <x:v>6.75</x:v>
      </x:c>
      <x:c r="L90" s="8" t="s">
        <x:v>53</x:v>
      </x:c>
      <x:c r="M90" s="8" t="n">
        <x:f aca="0">INDEX(Properties!$L$4:$L$1809,MATCH("V001512",Properties!$A$4:$A$1809,0))</x:f>
        <x:v>1.7</x:v>
      </x:c>
      <x:c r="N90" s="7" t="s">
        <x:v>925</x:v>
      </x:c>
      <x:c r="O90" s="7" t="s">
        <x:v>55</x:v>
      </x:c>
      <x:c r="P90" s="8" t="n">
        <x:f aca="0">INDEX(Properties!$L$4:$L$1809,MATCH("V001515",Properties!$A$4:$A$1809,0))</x:f>
        <x:v>139</x:v>
      </x:c>
      <x:c r="Q90" s="7" t="s">
        <x:v>926</x:v>
      </x:c>
      <x:c r="R90" s="9" t="s">
        <x:v>57</x:v>
      </x:c>
      <x:c r="S90" s="7" t="s">
        <x:v>58</x:v>
      </x:c>
      <x:c r="T90" s="7" t="s">
        <x:v>59</x:v>
      </x:c>
      <x:c r="U90" s="7" t="s">
        <x:v>919</x:v>
      </x:c>
      <x:c r="V90" s="7" t="s">
        <x:v>61</x:v>
      </x:c>
      <x:c r="W90" s="7" t="s">
        <x:v>927</x:v>
      </x:c>
      <x:c r="X90" s="7" t="s">
        <x:v>900</x:v>
      </x:c>
      <x:c r="Y90" s="7" t="s">
        <x:v>63</x:v>
      </x:c>
      <x:c r="Z90" s="7" t="s">
        <x:v>922</x:v>
      </x:c>
      <x:c r="AA90" s="7" t="s">
        <x:v>922</x:v>
      </x:c>
      <x:c r="AB90" s="7" t="s">
        <x:v>899</x:v>
      </x:c>
      <x:c r="AC90" s="7" t="s">
        <x:v>262</x:v>
      </x:c>
      <x:c r="AD90" s="7" t="s">
        <x:v>65</x:v>
      </x:c>
      <x:c r="AE90" s="7" t="s">
        <x:v>66</x:v>
      </x:c>
      <x:c r="AF90" s="7" t="s">
        <x:v>67</x:v>
      </x:c>
      <x:c r="AG90" s="7" t="s">
        <x:v>58</x:v>
      </x:c>
      <x:c r="AH90" s="7" t="s">
        <x:v>923</x:v>
      </x:c>
      <x:c r="AI90" s="7" t="s">
        <x:v>69</x:v>
      </x:c>
      <x:c r="AJ90" s="7" t="s">
        <x:v>53</x:v>
      </x:c>
      <x:c r="AK90" s="7" t="s">
        <x:v>909</x:v>
      </x:c>
      <x:c r="AL90" s="7" t="str">
        <x:v>Not published</x:v>
      </x:c>
      <x:c r="AM90" s="7" t="s">
        <x:v>72</x:v>
      </x:c>
      <x:c r="AN90" s="7" t="s">
        <x:v>73</x:v>
      </x:c>
      <x:c r="AO90" s="7" t="s">
        <x:v>74</x:v>
      </x:c>
      <x:c r="AP90" s="8" t="s">
        <x:v>53</x:v>
      </x:c>
      <x:c r="AQ90" s="7" t="s">
        <x:v>75</x:v>
      </x:c>
    </x:row>
    <x:row r="91" ht="51.75" hidden="0" customHeight="1">
      <x:c r="A91" s="7" t="s">
        <x:v>928</x:v>
      </x:c>
      <x:c r="B91" s="7" t="s">
        <x:v>929</x:v>
      </x:c>
      <x:c r="C91" s="7" t="s">
        <x:v>900</x:v>
      </x:c>
      <x:c r="D91" s="7" t="s">
        <x:v>649</x:v>
      </x:c>
      <x:c r="E91" s="7" t="s">
        <x:v>930</x:v>
      </x:c>
      <x:c r="F91" s="7" t="s">
        <x:v>931</x:v>
      </x:c>
      <x:c r="G91" s="7" t="s">
        <x:v>932</x:v>
      </x:c>
      <x:c r="H91" s="7" t="s">
        <x:v>53</x:v>
      </x:c>
      <x:c r="I91" s="7" t="s">
        <x:v>933</x:v>
      </x:c>
      <x:c r="J91" s="8" t="n">
        <x:f aca="0">INDEX(Properties!$L$4:$L$1809,MATCH("V001516",Properties!$A$4:$A$1809,0))</x:f>
        <x:v>1100</x:v>
      </x:c>
      <x:c r="K91" s="8" t="s">
        <x:v>53</x:v>
      </x:c>
      <x:c r="L91" s="8" t="s">
        <x:v>53</x:v>
      </x:c>
      <x:c r="M91" s="8" t="s">
        <x:v>53</x:v>
      </x:c>
      <x:c r="N91" s="7" t="s">
        <x:v>934</x:v>
      </x:c>
      <x:c r="O91" s="7" t="s">
        <x:v>55</x:v>
      </x:c>
      <x:c r="P91" s="8" t="s">
        <x:v>53</x:v>
      </x:c>
      <x:c r="Q91" s="7" t="s">
        <x:v>58</x:v>
      </x:c>
      <x:c r="R91" s="9" t="s">
        <x:v>57</x:v>
      </x:c>
      <x:c r="S91" s="7" t="s">
        <x:v>58</x:v>
      </x:c>
      <x:c r="T91" s="7" t="s">
        <x:v>59</x:v>
      </x:c>
      <x:c r="U91" s="7" t="s">
        <x:v>53</x:v>
      </x:c>
      <x:c r="V91" s="7" t="s">
        <x:v>61</x:v>
      </x:c>
      <x:c r="W91" s="7" t="s">
        <x:v>935</x:v>
      </x:c>
      <x:c r="X91" s="7" t="s">
        <x:v>900</x:v>
      </x:c>
      <x:c r="Y91" s="7" t="s">
        <x:v>63</x:v>
      </x:c>
      <x:c r="Z91" s="7" t="s">
        <x:v>929</x:v>
      </x:c>
      <x:c r="AA91" s="7" t="s">
        <x:v>929</x:v>
      </x:c>
      <x:c r="AB91" s="7" t="s">
        <x:v>929</x:v>
      </x:c>
      <x:c r="AC91" s="7" t="s">
        <x:v>64</x:v>
      </x:c>
      <x:c r="AD91" s="7" t="s">
        <x:v>65</x:v>
      </x:c>
      <x:c r="AE91" s="7" t="s">
        <x:v>66</x:v>
      </x:c>
      <x:c r="AF91" s="7" t="s">
        <x:v>67</x:v>
      </x:c>
      <x:c r="AG91" s="7" t="s">
        <x:v>58</x:v>
      </x:c>
      <x:c r="AH91" s="7" t="s">
        <x:v>930</x:v>
      </x:c>
      <x:c r="AI91" s="7" t="s">
        <x:v>69</x:v>
      </x:c>
      <x:c r="AJ91" s="7" t="s">
        <x:v>91</x:v>
      </x:c>
      <x:c r="AK91" s="7" t="s">
        <x:v>58</x:v>
      </x:c>
      <x:c r="AL91" s="7" t="s">
        <x:v>58</x:v>
      </x:c>
      <x:c r="AM91" s="7" t="s">
        <x:v>72</x:v>
      </x:c>
      <x:c r="AN91" s="7" t="s">
        <x:v>73</x:v>
      </x:c>
      <x:c r="AO91" s="7" t="s">
        <x:v>74</x:v>
      </x:c>
      <x:c r="AP91" s="8" t="s">
        <x:v>53</x:v>
      </x:c>
      <x:c r="AQ91" s="7" t="s">
        <x:v>75</x:v>
      </x:c>
    </x:row>
    <x:row r="92" ht="51.75" hidden="0" customHeight="1">
      <x:c r="A92" s="7" t="s">
        <x:v>936</x:v>
      </x:c>
      <x:c r="B92" s="7" t="s">
        <x:v>937</x:v>
      </x:c>
      <x:c r="C92" s="7" t="s">
        <x:v>900</x:v>
      </x:c>
      <x:c r="D92" s="7" t="s">
        <x:v>106</x:v>
      </x:c>
      <x:c r="E92" s="7" t="s">
        <x:v>938</x:v>
      </x:c>
      <x:c r="F92" s="7" t="s">
        <x:v>939</x:v>
      </x:c>
      <x:c r="G92" s="7" t="s">
        <x:v>620</x:v>
      </x:c>
      <x:c r="H92" s="7" t="s">
        <x:v>53</x:v>
      </x:c>
      <x:c r="I92" s="7" t="s">
        <x:v>940</x:v>
      </x:c>
      <x:c r="J92" s="8" t="n">
        <x:f aca="0">INDEX(Properties!$L$4:$L$1809,MATCH("V001683",Properties!$A$4:$A$1809,0))</x:f>
        <x:v>905</x:v>
      </x:c>
      <x:c r="K92" s="8" t="s">
        <x:v>53</x:v>
      </x:c>
      <x:c r="L92" s="8" t="s">
        <x:v>53</x:v>
      </x:c>
      <x:c r="M92" s="8" t="s">
        <x:v>53</x:v>
      </x:c>
      <x:c r="N92" s="7" t="s">
        <x:v>941</x:v>
      </x:c>
      <x:c r="O92" s="7" t="s">
        <x:v>55</x:v>
      </x:c>
      <x:c r="P92" s="8" t="s">
        <x:v>53</x:v>
      </x:c>
      <x:c r="Q92" s="7" t="s">
        <x:v>58</x:v>
      </x:c>
      <x:c r="R92" s="9" t="s">
        <x:v>57</x:v>
      </x:c>
      <x:c r="S92" s="7" t="s">
        <x:v>58</x:v>
      </x:c>
      <x:c r="T92" s="7" t="s">
        <x:v>59</x:v>
      </x:c>
      <x:c r="U92" s="7" t="s">
        <x:v>53</x:v>
      </x:c>
      <x:c r="V92" s="7" t="s">
        <x:v>61</x:v>
      </x:c>
      <x:c r="W92" s="7" t="s">
        <x:v>942</x:v>
      </x:c>
      <x:c r="X92" s="7" t="s">
        <x:v>900</x:v>
      </x:c>
      <x:c r="Y92" s="7" t="s">
        <x:v>63</x:v>
      </x:c>
      <x:c r="Z92" s="7" t="s">
        <x:v>937</x:v>
      </x:c>
      <x:c r="AA92" s="7" t="s">
        <x:v>937</x:v>
      </x:c>
      <x:c r="AB92" s="7" t="s">
        <x:v>937</x:v>
      </x:c>
      <x:c r="AC92" s="7" t="s">
        <x:v>64</x:v>
      </x:c>
      <x:c r="AD92" s="7" t="s">
        <x:v>65</x:v>
      </x:c>
      <x:c r="AE92" s="7" t="s">
        <x:v>66</x:v>
      </x:c>
      <x:c r="AF92" s="7" t="s">
        <x:v>67</x:v>
      </x:c>
      <x:c r="AG92" s="7" t="s">
        <x:v>58</x:v>
      </x:c>
      <x:c r="AH92" s="7" t="s">
        <x:v>938</x:v>
      </x:c>
      <x:c r="AI92" s="7" t="s">
        <x:v>69</x:v>
      </x:c>
      <x:c r="AJ92" s="7" t="s">
        <x:v>53</x:v>
      </x:c>
      <x:c r="AK92" s="7" t="s">
        <x:v>58</x:v>
      </x:c>
      <x:c r="AL92" s="7" t="s">
        <x:v>943</x:v>
      </x:c>
      <x:c r="AM92" s="7" t="s">
        <x:v>72</x:v>
      </x:c>
      <x:c r="AN92" s="7" t="s">
        <x:v>73</x:v>
      </x:c>
      <x:c r="AO92" s="7" t="s">
        <x:v>74</x:v>
      </x:c>
      <x:c r="AP92" s="8" t="s">
        <x:v>53</x:v>
      </x:c>
      <x:c r="AQ92" s="7" t="s">
        <x:v>75</x:v>
      </x:c>
    </x:row>
    <x:row r="93" ht="51.75" hidden="0" customHeight="1">
      <x:c r="A93" s="7" t="s">
        <x:v>944</x:v>
      </x:c>
      <x:c r="B93" s="7" t="s">
        <x:v>945</x:v>
      </x:c>
      <x:c r="C93" s="7" t="s">
        <x:v>946</x:v>
      </x:c>
      <x:c r="D93" s="7" t="s">
        <x:v>649</x:v>
      </x:c>
      <x:c r="E93" s="7" t="s">
        <x:v>947</x:v>
      </x:c>
      <x:c r="F93" s="7" t="s">
        <x:v>948</x:v>
      </x:c>
      <x:c r="G93" s="7" t="s">
        <x:v>949</x:v>
      </x:c>
      <x:c r="H93" s="7" t="s">
        <x:v>53</x:v>
      </x:c>
      <x:c r="I93" s="7" t="s">
        <x:v>950</x:v>
      </x:c>
      <x:c r="J93" s="8" t="s">
        <x:v>53</x:v>
      </x:c>
      <x:c r="K93" s="8" t="s">
        <x:v>53</x:v>
      </x:c>
      <x:c r="L93" s="8" t="s">
        <x:v>53</x:v>
      </x:c>
      <x:c r="M93" s="8" t="s">
        <x:v>53</x:v>
      </x:c>
      <x:c r="N93" s="7" t="s">
        <x:v>58</x:v>
      </x:c>
      <x:c r="O93" s="7" t="s">
        <x:v>53</x:v>
      </x:c>
      <x:c r="P93" s="8" t="s">
        <x:v>53</x:v>
      </x:c>
      <x:c r="Q93" s="7" t="s">
        <x:v>58</x:v>
      </x:c>
      <x:c r="R93" s="9" t="s">
        <x:v>57</x:v>
      </x:c>
      <x:c r="S93" s="7" t="s">
        <x:v>58</x:v>
      </x:c>
      <x:c r="T93" s="7" t="s">
        <x:v>59</x:v>
      </x:c>
      <x:c r="U93" s="7" t="s">
        <x:v>951</x:v>
      </x:c>
      <x:c r="V93" s="7" t="s">
        <x:v>952</x:v>
      </x:c>
      <x:c r="W93" s="7" t="s">
        <x:v>953</x:v>
      </x:c>
      <x:c r="X93" s="7" t="s">
        <x:v>946</x:v>
      </x:c>
      <x:c r="Y93" s="7" t="s">
        <x:v>63</x:v>
      </x:c>
      <x:c r="Z93" s="7" t="s">
        <x:v>945</x:v>
      </x:c>
      <x:c r="AA93" s="7" t="s">
        <x:v>945</x:v>
      </x:c>
      <x:c r="AB93" s="7" t="s">
        <x:v>954</x:v>
      </x:c>
      <x:c r="AC93" s="7" t="s">
        <x:v>90</x:v>
      </x:c>
      <x:c r="AD93" s="7" t="s">
        <x:v>65</x:v>
      </x:c>
      <x:c r="AE93" s="7" t="s">
        <x:v>66</x:v>
      </x:c>
      <x:c r="AF93" s="7" t="s">
        <x:v>67</x:v>
      </x:c>
      <x:c r="AG93" s="7" t="s">
        <x:v>952</x:v>
      </x:c>
      <x:c r="AH93" s="7" t="s">
        <x:v>947</x:v>
      </x:c>
      <x:c r="AI93" s="7" t="s">
        <x:v>69</x:v>
      </x:c>
      <x:c r="AJ93" s="7" t="s">
        <x:v>53</x:v>
      </x:c>
      <x:c r="AK93" s="7" t="s">
        <x:v>955</x:v>
      </x:c>
      <x:c r="AL93" s="7" t="s">
        <x:v>956</x:v>
      </x:c>
      <x:c r="AM93" s="7" t="s">
        <x:v>72</x:v>
      </x:c>
      <x:c r="AN93" s="7" t="s">
        <x:v>73</x:v>
      </x:c>
      <x:c r="AO93" s="7" t="s">
        <x:v>74</x:v>
      </x:c>
      <x:c r="AP93" s="8" t="s">
        <x:v>53</x:v>
      </x:c>
      <x:c r="AQ93" s="7" t="s">
        <x:v>75</x:v>
      </x:c>
    </x:row>
    <x:row r="94" ht="51.75" hidden="0" customHeight="1">
      <x:c r="A94" s="7" t="s">
        <x:v>957</x:v>
      </x:c>
      <x:c r="B94" s="7" t="s">
        <x:v>958</x:v>
      </x:c>
      <x:c r="C94" s="7" t="s">
        <x:v>959</x:v>
      </x:c>
      <x:c r="D94" s="7" t="s">
        <x:v>106</x:v>
      </x:c>
      <x:c r="E94" s="7" t="s">
        <x:v>960</x:v>
      </x:c>
      <x:c r="F94" s="7" t="s">
        <x:v>961</x:v>
      </x:c>
      <x:c r="G94" s="7" t="s">
        <x:v>962</x:v>
      </x:c>
      <x:c r="H94" s="7" t="s">
        <x:v>51</x:v>
      </x:c>
      <x:c r="I94" s="7" t="s">
        <x:v>963</x:v>
      </x:c>
      <x:c r="J94" s="8" t="n">
        <x:f aca="0">INDEX(Properties!$L$4:$L$1809,MATCH("V001523",Properties!$A$4:$A$1809,0))</x:f>
        <x:v>1230</x:v>
      </x:c>
      <x:c r="K94" s="8" t="n">
        <x:f aca="0">INDEX(Properties!$L$4:$L$1809,MATCH("V001525",Properties!$A$4:$A$1809,0))</x:f>
        <x:v>1.7550000000000001</x:v>
      </x:c>
      <x:c r="L94" s="8" t="s">
        <x:v>53</x:v>
      </x:c>
      <x:c r="M94" s="8" t="n">
        <x:f aca="0">INDEX(Properties!$L$4:$L$1809,MATCH("V001526",Properties!$A$4:$A$1809,0))</x:f>
        <x:v>24</x:v>
      </x:c>
      <x:c r="N94" s="7" t="s">
        <x:v>964</x:v>
      </x:c>
      <x:c r="O94" s="7" t="s">
        <x:v>55</x:v>
      </x:c>
      <x:c r="P94" s="8" t="n">
        <x:f aca="0">INDEX(Properties!$L$4:$L$1809,MATCH("V001531",Properties!$A$4:$A$1809,0))</x:f>
        <x:v>76</x:v>
      </x:c>
      <x:c r="Q94" s="7" t="s">
        <x:v>965</x:v>
      </x:c>
      <x:c r="R94" s="9" t="n">
        <x:f aca="0">MEDIAN(INDEX('Prices CA'!$J$4:$J$107,MATCH("CA0068",'Prices CA'!$A$4:$A$107,0)))</x:f>
        <x:v>47.99</x:v>
      </x:c>
      <x:c r="S94" s="7" t="s">
        <x:v>966</x:v>
      </x:c>
      <x:c r="T94" s="7" t="s">
        <x:v>132</x:v>
      </x:c>
      <x:c r="U94" s="7" t="s">
        <x:v>53</x:v>
      </x:c>
      <x:c r="V94" s="7" t="s">
        <x:v>61</x:v>
      </x:c>
      <x:c r="W94" s="7" t="s">
        <x:v>967</x:v>
      </x:c>
      <x:c r="X94" s="7" t="s">
        <x:v>959</x:v>
      </x:c>
      <x:c r="Y94" s="7" t="s">
        <x:v>63</x:v>
      </x:c>
      <x:c r="Z94" s="7" t="s">
        <x:v>958</x:v>
      </x:c>
      <x:c r="AA94" s="7" t="s">
        <x:v>958</x:v>
      </x:c>
      <x:c r="AB94" s="7" t="s">
        <x:v>958</x:v>
      </x:c>
      <x:c r="AC94" s="7" t="s">
        <x:v>64</x:v>
      </x:c>
      <x:c r="AD94" s="7" t="s">
        <x:v>65</x:v>
      </x:c>
      <x:c r="AE94" s="7" t="s">
        <x:v>66</x:v>
      </x:c>
      <x:c r="AF94" s="7" t="s">
        <x:v>67</x:v>
      </x:c>
      <x:c r="AG94" s="7" t="s">
        <x:v>58</x:v>
      </x:c>
      <x:c r="AH94" s="7" t="s">
        <x:v>968</x:v>
      </x:c>
      <x:c r="AI94" s="7" t="s">
        <x:v>69</x:v>
      </x:c>
      <x:c r="AJ94" s="7" t="s">
        <x:v>53</x:v>
      </x:c>
      <x:c r="AK94" s="7" t="s">
        <x:v>58</x:v>
      </x:c>
      <x:c r="AL94" s="7" t="s">
        <x:v>58</x:v>
      </x:c>
      <x:c r="AM94" s="7" t="s">
        <x:v>72</x:v>
      </x:c>
      <x:c r="AN94" s="7" t="s">
        <x:v>73</x:v>
      </x:c>
      <x:c r="AO94" s="7" t="s">
        <x:v>74</x:v>
      </x:c>
      <x:c r="AP94" s="8" t="s">
        <x:v>53</x:v>
      </x:c>
      <x:c r="AQ94" s="7" t="s">
        <x:v>75</x:v>
      </x:c>
    </x:row>
    <x:row r="95" ht="51.75" hidden="0" customHeight="1">
      <x:c r="A95" s="7" t="s">
        <x:v>969</x:v>
      </x:c>
      <x:c r="B95" s="7" t="s">
        <x:v>970</x:v>
      </x:c>
      <x:c r="C95" s="7" t="s">
        <x:v>959</x:v>
      </x:c>
      <x:c r="D95" s="7" t="s">
        <x:v>106</x:v>
      </x:c>
      <x:c r="E95" s="7" t="s">
        <x:v>971</x:v>
      </x:c>
      <x:c r="F95" s="7" t="str">
        <x:v>255-275 °C</x:v>
      </x:c>
      <x:c r="G95" s="7" t="str">
        <x:v>70-85 °C</x:v>
      </x:c>
      <x:c r="H95" s="7" t="str">
        <x:v>Not required (heated chamber / enclosure not needed)</x:v>
      </x:c>
      <x:c r="I95" s="7" t="str">
        <x:v>P0165</x:v>
      </x:c>
      <x:c r="J95" s="8" t="n">
        <x:v>1250</x:v>
      </x:c>
      <x:c r="K95" s="8" t="s">
        <x:v>53</x:v>
      </x:c>
      <x:c r="L95" s="8" t="s">
        <x:v>53</x:v>
      </x:c>
      <x:c r="M95" s="8" t="s">
        <x:v>53</x:v>
      </x:c>
      <x:c r="N95" s="7" t="str">
        <x:v>V001947</x:v>
      </x:c>
      <x:c r="O95" s="7" t="str">
        <x:v>Manufacturer TDS; specimen form and orientation not published, so tensile values are related evidence, not headlines</x:v>
      </x:c>
      <x:c r="P95" s="8" t="n">
        <x:v>80</x:v>
      </x:c>
      <x:c r="Q95" s="7" t="str">
        <x:v>V001954</x:v>
      </x:c>
      <x:c r="R95" s="9" t="s">
        <x:v>57</x:v>
      </x:c>
      <x:c r="S95" s="7" t="s">
        <x:v>58</x:v>
      </x:c>
      <x:c r="T95" s="7" t="s">
        <x:v>59</x:v>
      </x:c>
      <x:c r="U95" s="7" t="s">
        <x:v>973</x:v>
      </x:c>
      <x:c r="V95" s="7" t="s">
        <x:v>974</x:v>
      </x:c>
      <x:c r="W95" s="7" t="s">
        <x:v>975</x:v>
      </x:c>
      <x:c r="X95" s="7" t="s">
        <x:v>959</x:v>
      </x:c>
      <x:c r="Y95" s="7" t="s">
        <x:v>63</x:v>
      </x:c>
      <x:c r="Z95" s="7" t="s">
        <x:v>970</x:v>
      </x:c>
      <x:c r="AA95" s="7" t="s">
        <x:v>970</x:v>
      </x:c>
      <x:c r="AB95" s="7" t="s">
        <x:v>970</x:v>
      </x:c>
      <x:c r="AC95" s="7" t="s">
        <x:v>64</x:v>
      </x:c>
      <x:c r="AD95" s="7" t="s">
        <x:v>65</x:v>
      </x:c>
      <x:c r="AE95" s="7" t="s">
        <x:v>66</x:v>
      </x:c>
      <x:c r="AF95" s="7" t="s">
        <x:v>67</x:v>
      </x:c>
      <x:c r="AG95" s="7" t="s">
        <x:v>974</x:v>
      </x:c>
      <x:c r="AH95" s="7" t="s">
        <x:v>971</x:v>
      </x:c>
      <x:c r="AI95" s="7" t="s">
        <x:v>69</x:v>
      </x:c>
      <x:c r="AJ95" s="7" t="s">
        <x:v>53</x:v>
      </x:c>
      <x:c r="AK95" s="7" t="s">
        <x:v>976</x:v>
      </x:c>
      <x:c r="AL95" s="7" t="s">
        <x:v>977</x:v>
      </x:c>
      <x:c r="AM95" s="7" t="s">
        <x:v>72</x:v>
      </x:c>
      <x:c r="AN95" s="7" t="s">
        <x:v>73</x:v>
      </x:c>
      <x:c r="AO95" s="7" t="s">
        <x:v>74</x:v>
      </x:c>
      <x:c r="AP95" s="8" t="s">
        <x:v>53</x:v>
      </x:c>
      <x:c r="AQ95" s="7" t="s">
        <x:v>75</x:v>
      </x:c>
    </x:row>
    <x:row r="96" ht="51.75" hidden="0" customHeight="1">
      <x:c r="A96" s="7" t="s">
        <x:v>978</x:v>
      </x:c>
      <x:c r="B96" s="7" t="s">
        <x:v>979</x:v>
      </x:c>
      <x:c r="C96" s="7" t="s">
        <x:v>959</x:v>
      </x:c>
      <x:c r="D96" s="7" t="s">
        <x:v>106</x:v>
      </x:c>
      <x:c r="E96" s="7" t="s">
        <x:v>980</x:v>
      </x:c>
      <x:c r="F96" s="7" t="s">
        <x:v>981</x:v>
      </x:c>
      <x:c r="G96" s="7" t="s">
        <x:v>982</x:v>
      </x:c>
      <x:c r="H96" s="7" t="s">
        <x:v>53</x:v>
      </x:c>
      <x:c r="I96" s="7" t="s">
        <x:v>983</x:v>
      </x:c>
      <x:c r="J96" s="8" t="n">
        <x:f aca="0">INDEX(Properties!$L$4:$L$1809,MATCH("V001676",Properties!$A$4:$A$1809,0))</x:f>
        <x:v>1160</x:v>
      </x:c>
      <x:c r="K96" s="8" t="s">
        <x:v>53</x:v>
      </x:c>
      <x:c r="L96" s="8" t="s">
        <x:v>53</x:v>
      </x:c>
      <x:c r="M96" s="8" t="s">
        <x:v>53</x:v>
      </x:c>
      <x:c r="N96" s="7" t="s">
        <x:v>984</x:v>
      </x:c>
      <x:c r="O96" s="7" t="s">
        <x:v>55</x:v>
      </x:c>
      <x:c r="P96" s="8" t="s">
        <x:v>53</x:v>
      </x:c>
      <x:c r="Q96" s="7" t="s">
        <x:v>58</x:v>
      </x:c>
      <x:c r="R96" s="9" t="s">
        <x:v>57</x:v>
      </x:c>
      <x:c r="S96" s="7" t="s">
        <x:v>58</x:v>
      </x:c>
      <x:c r="T96" s="7" t="s">
        <x:v>59</x:v>
      </x:c>
      <x:c r="U96" s="7" t="s">
        <x:v>985</x:v>
      </x:c>
      <x:c r="V96" s="7" t="s">
        <x:v>61</x:v>
      </x:c>
      <x:c r="W96" s="7" t="s">
        <x:v>986</x:v>
      </x:c>
      <x:c r="X96" s="7" t="s">
        <x:v>959</x:v>
      </x:c>
      <x:c r="Y96" s="7" t="s">
        <x:v>63</x:v>
      </x:c>
      <x:c r="Z96" s="7" t="s">
        <x:v>979</x:v>
      </x:c>
      <x:c r="AA96" s="7" t="s">
        <x:v>979</x:v>
      </x:c>
      <x:c r="AB96" s="7" t="s">
        <x:v>970</x:v>
      </x:c>
      <x:c r="AC96" s="7" t="s">
        <x:v>249</x:v>
      </x:c>
      <x:c r="AD96" s="7" t="s">
        <x:v>65</x:v>
      </x:c>
      <x:c r="AE96" s="7" t="s">
        <x:v>66</x:v>
      </x:c>
      <x:c r="AF96" s="7" t="s">
        <x:v>67</x:v>
      </x:c>
      <x:c r="AG96" s="7" t="s">
        <x:v>58</x:v>
      </x:c>
      <x:c r="AH96" s="7" t="s">
        <x:v>987</x:v>
      </x:c>
      <x:c r="AI96" s="7" t="s">
        <x:v>69</x:v>
      </x:c>
      <x:c r="AJ96" s="7" t="s">
        <x:v>91</x:v>
      </x:c>
      <x:c r="AK96" s="7" t="s">
        <x:v>988</x:v>
      </x:c>
      <x:c r="AL96" s="7" t="s">
        <x:v>989</x:v>
      </x:c>
      <x:c r="AM96" s="7" t="s">
        <x:v>72</x:v>
      </x:c>
      <x:c r="AN96" s="7" t="s">
        <x:v>73</x:v>
      </x:c>
      <x:c r="AO96" s="7" t="s">
        <x:v>74</x:v>
      </x:c>
      <x:c r="AP96" s="8" t="s">
        <x:v>53</x:v>
      </x:c>
      <x:c r="AQ96" s="7" t="s">
        <x:v>75</x:v>
      </x:c>
    </x:row>
    <x:row r="97" ht="51.75" hidden="0" customHeight="1">
      <x:c r="A97" s="7" t="s">
        <x:v>990</x:v>
      </x:c>
      <x:c r="B97" s="7" t="s">
        <x:v>991</x:v>
      </x:c>
      <x:c r="C97" s="7" t="s">
        <x:v>959</x:v>
      </x:c>
      <x:c r="D97" s="7" t="s">
        <x:v>106</x:v>
      </x:c>
      <x:c r="E97" s="7" t="str">
        <x:v>G091-02</x:v>
      </x:c>
      <x:c r="F97" s="7" t="str">
        <x:v>190-230 °C</x:v>
      </x:c>
      <x:c r="G97" s="7" t="str">
        <x:v>25-60 °C</x:v>
      </x:c>
      <x:c r="H97" s="7" t="str">
        <x:v>Not required (closure chamber not needed)</x:v>
      </x:c>
      <x:c r="I97" s="7" t="str">
        <x:v>P0163</x:v>
      </x:c>
      <x:c r="J97" s="8" t="n">
        <x:v>1300</x:v>
      </x:c>
      <x:c r="K97" s="8" t="n">
        <x:v>2.515</x:v>
      </x:c>
      <x:c r="L97" s="8" t="n">
        <x:v>51.6</x:v>
      </x:c>
      <x:c r="M97" s="8" t="s">
        <x:v>53</x:v>
      </x:c>
      <x:c r="N97" s="7" t="str">
        <x:v>V001919; V001921; V001922</x:v>
      </x:c>
      <x:c r="O97" s="7" t="str">
        <x:v>Printed ISO 527 specimens, 230 °C nozzle, 100% infill; elongation and HDT not verified</x:v>
      </x:c>
      <x:c r="P97" s="8" t="s">
        <x:v>53</x:v>
      </x:c>
      <x:c r="Q97" s="7" t="str">
        <x:v>V001920</x:v>
      </x:c>
      <x:c r="R97" s="9" t="s">
        <x:v>57</x:v>
      </x:c>
      <x:c r="S97" s="7" t="s">
        <x:v>58</x:v>
      </x:c>
      <x:c r="T97" s="7" t="s">
        <x:v>59</x:v>
      </x:c>
      <x:c r="U97" s="7" t="s">
        <x:v>994</x:v>
      </x:c>
      <x:c r="V97" s="7" t="s">
        <x:v>995</x:v>
      </x:c>
      <x:c r="W97" s="7" t="s">
        <x:v>975</x:v>
      </x:c>
      <x:c r="X97" s="7" t="s">
        <x:v>959</x:v>
      </x:c>
      <x:c r="Y97" s="7" t="s">
        <x:v>63</x:v>
      </x:c>
      <x:c r="Z97" s="7" t="s">
        <x:v>991</x:v>
      </x:c>
      <x:c r="AA97" s="7" t="s">
        <x:v>991</x:v>
      </x:c>
      <x:c r="AB97" s="7" t="s">
        <x:v>991</x:v>
      </x:c>
      <x:c r="AC97" s="7" t="s">
        <x:v>64</x:v>
      </x:c>
      <x:c r="AD97" s="7" t="s">
        <x:v>65</x:v>
      </x:c>
      <x:c r="AE97" s="7" t="s">
        <x:v>66</x:v>
      </x:c>
      <x:c r="AF97" s="7" t="s">
        <x:v>67</x:v>
      </x:c>
      <x:c r="AG97" s="7" t="str">
        <x:v>Until 2026-09-13 this row pointed at Fillamentum CPE HG100 (G091-01), the same grade as CPE. Polymaker Panchroma CoPE (G091-02) is now the exact CoPE identity and representative grade; G091-01 is kept as an audit trail.</x:v>
      </x:c>
      <x:c r="AH97" s="7" t="str">
        <x:v>G091-02</x:v>
      </x:c>
      <x:c r="AI97" s="7" t="s">
        <x:v>69</x:v>
      </x:c>
      <x:c r="AJ97" s="7" t="s">
        <x:v>53</x:v>
      </x:c>
      <x:c r="AK97" s="7" t="s">
        <x:v>996</x:v>
      </x:c>
      <x:c r="AL97" s="7" t="str">
        <x:v>Not published</x:v>
      </x:c>
      <x:c r="AM97" s="7" t="s">
        <x:v>72</x:v>
      </x:c>
      <x:c r="AN97" s="7" t="s">
        <x:v>73</x:v>
      </x:c>
      <x:c r="AO97" s="7" t="s">
        <x:v>74</x:v>
      </x:c>
      <x:c r="AP97" s="8" t="s">
        <x:v>53</x:v>
      </x:c>
      <x:c r="AQ97" s="7" t="s">
        <x:v>75</x:v>
      </x:c>
    </x:row>
    <x:row r="98" ht="51.75" hidden="0" customHeight="1">
      <x:c r="A98" s="7" t="s">
        <x:v>997</x:v>
      </x:c>
      <x:c r="B98" s="7" t="s">
        <x:v>998</x:v>
      </x:c>
      <x:c r="C98" s="7" t="s">
        <x:v>959</x:v>
      </x:c>
      <x:c r="D98" s="7" t="s">
        <x:v>106</x:v>
      </x:c>
      <x:c r="E98" s="7" t="s">
        <x:v>999</x:v>
      </x:c>
      <x:c r="F98" s="7" t="str">
        <x:v>220-240 °C</x:v>
      </x:c>
      <x:c r="G98" s="7" t="str">
        <x:v>75-85 °C</x:v>
      </x:c>
      <x:c r="H98" s="7" t="s">
        <x:v>53</x:v>
      </x:c>
      <x:c r="I98" s="7" t="str">
        <x:v>P0167</x:v>
      </x:c>
      <x:c r="J98" s="8" t="s">
        <x:v>53</x:v>
      </x:c>
      <x:c r="K98" s="8" t="n">
        <x:v>1.7</x:v>
      </x:c>
      <x:c r="L98" s="8" t="n">
        <x:v>54</x:v>
      </x:c>
      <x:c r="M98" s="8" t="n">
        <x:v>11</x:v>
      </x:c>
      <x:c r="N98" s="7" t="str">
        <x:v>V001956; V001957; V001958</x:v>
      </x:c>
      <x:c r="O98" s="7" t="str">
        <x:v>Printed in the XY plane, ISO 527-1A, 100% infill, 230 °C nozzle, 80 °C bed. Density and HDT in the TDS are raw-material supplier values and are not headlines</x:v>
      </x:c>
      <x:c r="P98" s="8" t="s">
        <x:v>53</x:v>
      </x:c>
      <x:c r="Q98" s="7" t="str">
        <x:v>V001965</x:v>
      </x:c>
      <x:c r="R98" s="9" t="s">
        <x:v>57</x:v>
      </x:c>
      <x:c r="S98" s="7" t="s">
        <x:v>58</x:v>
      </x:c>
      <x:c r="T98" s="7" t="s">
        <x:v>59</x:v>
      </x:c>
      <x:c r="U98" s="7" t="s">
        <x:v>1001</x:v>
      </x:c>
      <x:c r="V98" s="7" t="s">
        <x:v>1002</x:v>
      </x:c>
      <x:c r="W98" s="7" t="s">
        <x:v>1003</x:v>
      </x:c>
      <x:c r="X98" s="7" t="s">
        <x:v>959</x:v>
      </x:c>
      <x:c r="Y98" s="7" t="s">
        <x:v>63</x:v>
      </x:c>
      <x:c r="Z98" s="7" t="s">
        <x:v>998</x:v>
      </x:c>
      <x:c r="AA98" s="7" t="s">
        <x:v>998</x:v>
      </x:c>
      <x:c r="AB98" s="7" t="s">
        <x:v>1004</x:v>
      </x:c>
      <x:c r="AC98" s="7" t="s">
        <x:v>90</x:v>
      </x:c>
      <x:c r="AD98" s="7" t="s">
        <x:v>65</x:v>
      </x:c>
      <x:c r="AE98" s="7" t="s">
        <x:v>66</x:v>
      </x:c>
      <x:c r="AF98" s="7" t="s">
        <x:v>67</x:v>
      </x:c>
      <x:c r="AG98" s="7" t="str">
        <x:v>nGen uses Eastman Amphora AM3300 per the original record. Not synonymous with all Amphora formulations. The current colorFabb TDS v2.0 names Amphora HT3300; recorded as an open identity conflict 2026-09-13.</x:v>
      </x:c>
      <x:c r="AH98" s="7" t="s">
        <x:v>999</x:v>
      </x:c>
      <x:c r="AI98" s="7" t="s">
        <x:v>69</x:v>
      </x:c>
      <x:c r="AJ98" s="7" t="s">
        <x:v>53</x:v>
      </x:c>
      <x:c r="AK98" s="7" t="s">
        <x:v>1005</x:v>
      </x:c>
      <x:c r="AL98" s="7" t="str">
        <x:v>Not published</x:v>
      </x:c>
      <x:c r="AM98" s="7" t="s">
        <x:v>72</x:v>
      </x:c>
      <x:c r="AN98" s="7" t="s">
        <x:v>73</x:v>
      </x:c>
      <x:c r="AO98" s="7" t="s">
        <x:v>74</x:v>
      </x:c>
      <x:c r="AP98" s="8" t="s">
        <x:v>53</x:v>
      </x:c>
      <x:c r="AQ98" s="7" t="s">
        <x:v>75</x:v>
      </x:c>
    </x:row>
    <x:row r="99" ht="51.75" hidden="0" customHeight="1">
      <x:c r="A99" s="7" t="s">
        <x:v>1007</x:v>
      </x:c>
      <x:c r="B99" s="7" t="s">
        <x:v>1008</x:v>
      </x:c>
      <x:c r="C99" s="7" t="s">
        <x:v>1009</x:v>
      </x:c>
      <x:c r="D99" s="7" t="s">
        <x:v>106</x:v>
      </x:c>
      <x:c r="E99" s="7" t="s">
        <x:v>1010</x:v>
      </x:c>
      <x:c r="F99" s="7" t="s">
        <x:v>1011</x:v>
      </x:c>
      <x:c r="G99" s="7" t="s">
        <x:v>1012</x:v>
      </x:c>
      <x:c r="H99" s="7" t="s">
        <x:v>53</x:v>
      </x:c>
      <x:c r="I99" s="7" t="s">
        <x:v>1013</x:v>
      </x:c>
      <x:c r="J99" s="8" t="n">
        <x:f aca="0">INDEX(Properties!$L$4:$L$1809,MATCH("V001695",Properties!$A$4:$A$1809,0))</x:f>
        <x:v>1100</x:v>
      </x:c>
      <x:c r="K99" s="8" t="s">
        <x:v>53</x:v>
      </x:c>
      <x:c r="L99" s="8" t="s">
        <x:v>53</x:v>
      </x:c>
      <x:c r="M99" s="8" t="s">
        <x:v>53</x:v>
      </x:c>
      <x:c r="N99" s="7" t="s">
        <x:v>1014</x:v>
      </x:c>
      <x:c r="O99" s="7" t="s">
        <x:v>55</x:v>
      </x:c>
      <x:c r="P99" s="8" t="n">
        <x:f aca="0">INDEX(Properties!$L$4:$L$1809,MATCH("V001698",Properties!$A$4:$A$1809,0))</x:f>
        <x:v>63</x:v>
      </x:c>
      <x:c r="Q99" s="7" t="s">
        <x:v>1015</x:v>
      </x:c>
      <x:c r="R99" s="9" t="s">
        <x:v>57</x:v>
      </x:c>
      <x:c r="S99" s="7" t="s">
        <x:v>58</x:v>
      </x:c>
      <x:c r="T99" s="7" t="s">
        <x:v>59</x:v>
      </x:c>
      <x:c r="U99" s="7" t="s">
        <x:v>1016</x:v>
      </x:c>
      <x:c r="V99" s="7" t="s">
        <x:v>61</x:v>
      </x:c>
      <x:c r="W99" s="7" t="s">
        <x:v>1017</x:v>
      </x:c>
      <x:c r="X99" s="7" t="s">
        <x:v>1009</x:v>
      </x:c>
      <x:c r="Y99" s="7" t="s">
        <x:v>63</x:v>
      </x:c>
      <x:c r="Z99" s="7" t="s">
        <x:v>1008</x:v>
      </x:c>
      <x:c r="AA99" s="7" t="s">
        <x:v>1008</x:v>
      </x:c>
      <x:c r="AB99" s="7" t="s">
        <x:v>1008</x:v>
      </x:c>
      <x:c r="AC99" s="7" t="s">
        <x:v>64</x:v>
      </x:c>
      <x:c r="AD99" s="7" t="s">
        <x:v>65</x:v>
      </x:c>
      <x:c r="AE99" s="7" t="s">
        <x:v>66</x:v>
      </x:c>
      <x:c r="AF99" s="7" t="s">
        <x:v>67</x:v>
      </x:c>
      <x:c r="AG99" s="7" t="s">
        <x:v>58</x:v>
      </x:c>
      <x:c r="AH99" s="7" t="s">
        <x:v>1010</x:v>
      </x:c>
      <x:c r="AI99" s="7" t="s">
        <x:v>69</x:v>
      </x:c>
      <x:c r="AJ99" s="7" t="s">
        <x:v>91</x:v>
      </x:c>
      <x:c r="AK99" s="7" t="s">
        <x:v>1018</x:v>
      </x:c>
      <x:c r="AL99" s="7" t="s">
        <x:v>1019</x:v>
      </x:c>
      <x:c r="AM99" s="7" t="s">
        <x:v>72</x:v>
      </x:c>
      <x:c r="AN99" s="7" t="s">
        <x:v>73</x:v>
      </x:c>
      <x:c r="AO99" s="7" t="s">
        <x:v>74</x:v>
      </x:c>
      <x:c r="AP99" s="8" t="s">
        <x:v>53</x:v>
      </x:c>
      <x:c r="AQ99" s="7" t="s">
        <x:v>75</x:v>
      </x:c>
    </x:row>
    <x:row r="100" ht="51.75" hidden="0" customHeight="1">
      <x:c r="A100" s="7" t="s">
        <x:v>1020</x:v>
      </x:c>
      <x:c r="B100" s="7" t="s">
        <x:v>1021</x:v>
      </x:c>
      <x:c r="C100" s="7" t="s">
        <x:v>1022</x:v>
      </x:c>
      <x:c r="D100" s="7" t="s">
        <x:v>106</x:v>
      </x:c>
      <x:c r="E100" s="7" t="s">
        <x:v>1023</x:v>
      </x:c>
      <x:c r="F100" s="7" t="s">
        <x:v>466</x:v>
      </x:c>
      <x:c r="G100" s="7" t="s">
        <x:v>467</x:v>
      </x:c>
      <x:c r="H100" s="7" t="s">
        <x:v>51</x:v>
      </x:c>
      <x:c r="I100" s="7" t="s">
        <x:v>1024</x:v>
      </x:c>
      <x:c r="J100" s="8" t="n">
        <x:f aca="0">INDEX(Properties!$L$4:$L$1809,MATCH("V001547",Properties!$A$4:$A$1809,0))</x:f>
        <x:v>1140</x:v>
      </x:c>
      <x:c r="K100" s="8" t="n">
        <x:f aca="0">INDEX(Properties!$L$4:$L$1809,MATCH("V001549",Properties!$A$4:$A$1809,0))</x:f>
        <x:v>2.2</x:v>
      </x:c>
      <x:c r="L100" s="8" t="s">
        <x:v>53</x:v>
      </x:c>
      <x:c r="M100" s="8" t="n">
        <x:f aca="0">INDEX(Properties!$L$4:$L$1809,MATCH("V001550",Properties!$A$4:$A$1809,0))</x:f>
        <x:v>75</x:v>
      </x:c>
      <x:c r="N100" s="7" t="s">
        <x:v>1025</x:v>
      </x:c>
      <x:c r="O100" s="7" t="s">
        <x:v>55</x:v>
      </x:c>
      <x:c r="P100" s="8" t="n">
        <x:f aca="0">INDEX(Properties!$L$4:$L$1809,MATCH("V001554",Properties!$A$4:$A$1809,0))</x:f>
        <x:v>126</x:v>
      </x:c>
      <x:c r="Q100" s="7" t="s">
        <x:v>1026</x:v>
      </x:c>
      <x:c r="R100" s="9" t="s">
        <x:v>57</x:v>
      </x:c>
      <x:c r="S100" s="7" t="s">
        <x:v>58</x:v>
      </x:c>
      <x:c r="T100" s="7" t="s">
        <x:v>59</x:v>
      </x:c>
      <x:c r="U100" s="7" t="s">
        <x:v>460</x:v>
      </x:c>
      <x:c r="V100" s="7" t="s">
        <x:v>61</x:v>
      </x:c>
      <x:c r="W100" s="7" t="s">
        <x:v>1027</x:v>
      </x:c>
      <x:c r="X100" s="7" t="s">
        <x:v>1022</x:v>
      </x:c>
      <x:c r="Y100" s="7" t="s">
        <x:v>63</x:v>
      </x:c>
      <x:c r="Z100" s="7" t="s">
        <x:v>1021</x:v>
      </x:c>
      <x:c r="AA100" s="7" t="s">
        <x:v>1021</x:v>
      </x:c>
      <x:c r="AB100" s="7" t="s">
        <x:v>438</x:v>
      </x:c>
      <x:c r="AC100" s="7" t="s">
        <x:v>64</x:v>
      </x:c>
      <x:c r="AD100" s="7" t="s">
        <x:v>65</x:v>
      </x:c>
      <x:c r="AE100" s="7" t="s">
        <x:v>66</x:v>
      </x:c>
      <x:c r="AF100" s="7" t="s">
        <x:v>67</x:v>
      </x:c>
      <x:c r="AG100" s="7" t="s">
        <x:v>58</x:v>
      </x:c>
      <x:c r="AH100" s="7" t="s">
        <x:v>1028</x:v>
      </x:c>
      <x:c r="AI100" s="7" t="s">
        <x:v>69</x:v>
      </x:c>
      <x:c r="AJ100" s="7" t="s">
        <x:v>53</x:v>
      </x:c>
      <x:c r="AK100" s="7" t="s">
        <x:v>462</x:v>
      </x:c>
      <x:c r="AL100" s="7" t="s">
        <x:v>1029</x:v>
      </x:c>
      <x:c r="AM100" s="7" t="s">
        <x:v>1030</x:v>
      </x:c>
      <x:c r="AN100" s="7" t="s">
        <x:v>403</x:v>
      </x:c>
      <x:c r="AO100" s="7" t="s">
        <x:v>74</x:v>
      </x:c>
      <x:c r="AP100" s="8" t="s">
        <x:v>53</x:v>
      </x:c>
      <x:c r="AQ100" s="7" t="s">
        <x:v>75</x:v>
      </x:c>
    </x:row>
    <x:row r="101" ht="51.75" hidden="0" customHeight="1">
      <x:c r="A101" s="7" t="s">
        <x:v>1031</x:v>
      </x:c>
      <x:c r="B101" s="7" t="s">
        <x:v>1032</x:v>
      </x:c>
      <x:c r="C101" s="7" t="s">
        <x:v>1022</x:v>
      </x:c>
      <x:c r="D101" s="7" t="s">
        <x:v>106</x:v>
      </x:c>
      <x:c r="E101" s="7" t="s">
        <x:v>1033</x:v>
      </x:c>
      <x:c r="F101" s="7" t="s">
        <x:v>1034</x:v>
      </x:c>
      <x:c r="G101" s="7" t="s">
        <x:v>1035</x:v>
      </x:c>
      <x:c r="H101" s="7" t="s">
        <x:v>1036</x:v>
      </x:c>
      <x:c r="I101" s="7" t="s">
        <x:v>1037</x:v>
      </x:c>
      <x:c r="J101" s="8" t="n">
        <x:f aca="0">INDEX(Properties!$L$4:$L$1809,MATCH("V001583",Properties!$A$4:$A$1809,0))</x:f>
        <x:v>1200</x:v>
      </x:c>
      <x:c r="K101" s="8" t="n">
        <x:f aca="0">INDEX(Properties!$L$4:$L$1809,MATCH("V001591",Properties!$A$4:$A$1809,0))</x:f>
        <x:v>1.849</x:v>
      </x:c>
      <x:c r="L101" s="8" t="n">
        <x:f aca="0">INDEX(Properties!$L$4:$L$1809,MATCH("V001593",Properties!$A$4:$A$1809,0))</x:f>
        <x:v>43.2</x:v>
      </x:c>
      <x:c r="M101" s="8" t="n">
        <x:f aca="0">INDEX(Properties!$L$4:$L$1809,MATCH("V001595",Properties!$A$4:$A$1809,0))</x:f>
        <x:v>4.6</x:v>
      </x:c>
      <x:c r="N101" s="7" t="s">
        <x:v>1038</x:v>
      </x:c>
      <x:c r="O101" s="7" t="s">
        <x:v>55</x:v>
      </x:c>
      <x:c r="P101" s="8" t="n">
        <x:f aca="0">INDEX(Properties!$L$4:$L$1809,MATCH("V001589",Properties!$A$4:$A$1809,0))</x:f>
        <x:v>107.4</x:v>
      </x:c>
      <x:c r="Q101" s="7" t="s">
        <x:v>1039</x:v>
      </x:c>
      <x:c r="R101" s="9" t="s">
        <x:v>57</x:v>
      </x:c>
      <x:c r="S101" s="7" t="s">
        <x:v>58</x:v>
      </x:c>
      <x:c r="T101" s="7" t="s">
        <x:v>59</x:v>
      </x:c>
      <x:c r="U101" s="7" t="s">
        <x:v>460</x:v>
      </x:c>
      <x:c r="V101" s="7" t="s">
        <x:v>61</x:v>
      </x:c>
      <x:c r="W101" s="7" t="s">
        <x:v>1040</x:v>
      </x:c>
      <x:c r="X101" s="7" t="s">
        <x:v>1022</x:v>
      </x:c>
      <x:c r="Y101" s="7" t="s">
        <x:v>63</x:v>
      </x:c>
      <x:c r="Z101" s="7" t="s">
        <x:v>1032</x:v>
      </x:c>
      <x:c r="AA101" s="7" t="s">
        <x:v>1032</x:v>
      </x:c>
      <x:c r="AB101" s="7" t="s">
        <x:v>438</x:v>
      </x:c>
      <x:c r="AC101" s="7" t="s">
        <x:v>64</x:v>
      </x:c>
      <x:c r="AD101" s="7" t="s">
        <x:v>65</x:v>
      </x:c>
      <x:c r="AE101" s="7" t="s">
        <x:v>66</x:v>
      </x:c>
      <x:c r="AF101" s="7" t="s">
        <x:v>67</x:v>
      </x:c>
      <x:c r="AG101" s="7" t="s">
        <x:v>58</x:v>
      </x:c>
      <x:c r="AH101" s="7" t="s">
        <x:v>1033</x:v>
      </x:c>
      <x:c r="AI101" s="7" t="s">
        <x:v>69</x:v>
      </x:c>
      <x:c r="AJ101" s="7" t="s">
        <x:v>91</x:v>
      </x:c>
      <x:c r="AK101" s="7" t="s">
        <x:v>462</x:v>
      </x:c>
      <x:c r="AL101" s="7" t="s">
        <x:v>1041</x:v>
      </x:c>
      <x:c r="AM101" s="7" t="s">
        <x:v>72</x:v>
      </x:c>
      <x:c r="AN101" s="7" t="s">
        <x:v>73</x:v>
      </x:c>
      <x:c r="AO101" s="7" t="s">
        <x:v>74</x:v>
      </x:c>
      <x:c r="AP101" s="8" t="s">
        <x:v>53</x:v>
      </x:c>
      <x:c r="AQ101" s="7" t="s">
        <x:v>75</x:v>
      </x:c>
    </x:row>
    <x:row r="102" ht="51.75" hidden="0" customHeight="1">
      <x:c r="A102" s="7" t="s">
        <x:v>1042</x:v>
      </x:c>
      <x:c r="B102" s="7" t="s">
        <x:v>1043</x:v>
      </x:c>
      <x:c r="C102" s="7" t="s">
        <x:v>1044</x:v>
      </x:c>
      <x:c r="D102" s="7" t="s">
        <x:v>649</x:v>
      </x:c>
      <x:c r="E102" s="7" t="s">
        <x:v>1045</x:v>
      </x:c>
      <x:c r="F102" s="7" t="s">
        <x:v>1046</x:v>
      </x:c>
      <x:c r="G102" s="7" t="s">
        <x:v>631</x:v>
      </x:c>
      <x:c r="H102" s="7" t="s">
        <x:v>374</x:v>
      </x:c>
      <x:c r="I102" s="7" t="s">
        <x:v>1047</x:v>
      </x:c>
      <x:c r="J102" s="8" t="n">
        <x:f aca="0">INDEX(Properties!$L$4:$L$1809,MATCH("V001603",Properties!$A$4:$A$1809,0))</x:f>
        <x:v>1710</x:v>
      </x:c>
      <x:c r="K102" s="8" t="n">
        <x:f aca="0">INDEX(Properties!$L$4:$L$1809,MATCH("V001605",Properties!$A$4:$A$1809,0))</x:f>
        <x:v>2.45</x:v>
      </x:c>
      <x:c r="L102" s="8" t="s">
        <x:v>53</x:v>
      </x:c>
      <x:c r="M102" s="8" t="n">
        <x:f aca="0">INDEX(Properties!$L$4:$L$1809,MATCH("V001606",Properties!$A$4:$A$1809,0))</x:f>
        <x:v>25</x:v>
      </x:c>
      <x:c r="N102" s="7" t="s">
        <x:v>1048</x:v>
      </x:c>
      <x:c r="O102" s="7" t="s">
        <x:v>55</x:v>
      </x:c>
      <x:c r="P102" s="8" t="n">
        <x:f aca="0">INDEX(Properties!$L$4:$L$1809,MATCH("V001610",Properties!$A$4:$A$1809,0))</x:f>
        <x:v>158</x:v>
      </x:c>
      <x:c r="Q102" s="7" t="s">
        <x:v>1049</x:v>
      </x:c>
      <x:c r="R102" s="9" t="s">
        <x:v>57</x:v>
      </x:c>
      <x:c r="S102" s="7" t="s">
        <x:v>58</x:v>
      </x:c>
      <x:c r="T102" s="7" t="s">
        <x:v>59</x:v>
      </x:c>
      <x:c r="U102" s="7" t="s">
        <x:v>53</x:v>
      </x:c>
      <x:c r="V102" s="7" t="s">
        <x:v>61</x:v>
      </x:c>
      <x:c r="W102" s="7" t="s">
        <x:v>1050</x:v>
      </x:c>
      <x:c r="X102" s="7" t="s">
        <x:v>1044</x:v>
      </x:c>
      <x:c r="Y102" s="7" t="s">
        <x:v>63</x:v>
      </x:c>
      <x:c r="Z102" s="7" t="s">
        <x:v>1043</x:v>
      </x:c>
      <x:c r="AA102" s="7" t="s">
        <x:v>1043</x:v>
      </x:c>
      <x:c r="AB102" s="7" t="s">
        <x:v>1043</x:v>
      </x:c>
      <x:c r="AC102" s="7" t="s">
        <x:v>64</x:v>
      </x:c>
      <x:c r="AD102" s="7" t="s">
        <x:v>65</x:v>
      </x:c>
      <x:c r="AE102" s="7" t="s">
        <x:v>66</x:v>
      </x:c>
      <x:c r="AF102" s="7" t="s">
        <x:v>67</x:v>
      </x:c>
      <x:c r="AG102" s="7" t="s">
        <x:v>58</x:v>
      </x:c>
      <x:c r="AH102" s="7" t="s">
        <x:v>1045</x:v>
      </x:c>
      <x:c r="AI102" s="7" t="s">
        <x:v>69</x:v>
      </x:c>
      <x:c r="AJ102" s="7" t="s">
        <x:v>53</x:v>
      </x:c>
      <x:c r="AK102" s="7" t="s">
        <x:v>58</x:v>
      </x:c>
      <x:c r="AL102" s="7" t="s">
        <x:v>58</x:v>
      </x:c>
      <x:c r="AM102" s="7" t="s">
        <x:v>72</x:v>
      </x:c>
      <x:c r="AN102" s="7" t="s">
        <x:v>73</x:v>
      </x:c>
      <x:c r="AO102" s="7" t="s">
        <x:v>74</x:v>
      </x:c>
      <x:c r="AP102" s="8" t="s">
        <x:v>53</x:v>
      </x:c>
      <x:c r="AQ102" s="7" t="s">
        <x:v>75</x:v>
      </x:c>
    </x:row>
    <x:row r="103" ht="51.75" hidden="0" customHeight="1">
      <x:c r="A103" s="7" t="s">
        <x:v>1051</x:v>
      </x:c>
      <x:c r="B103" s="7" t="s">
        <x:v>1052</x:v>
      </x:c>
      <x:c r="C103" s="7" t="s">
        <x:v>1053</x:v>
      </x:c>
      <x:c r="D103" s="7" t="s">
        <x:v>1054</x:v>
      </x:c>
      <x:c r="E103" s="7" t="s">
        <x:v>1055</x:v>
      </x:c>
      <x:c r="F103" s="7" t="s">
        <x:v>1056</x:v>
      </x:c>
      <x:c r="G103" s="7" t="s">
        <x:v>1057</x:v>
      </x:c>
      <x:c r="H103" s="7" t="s">
        <x:v>1058</x:v>
      </x:c>
      <x:c r="I103" s="7" t="s">
        <x:v>1059</x:v>
      </x:c>
      <x:c r="J103" s="8" t="n">
        <x:f aca="0">INDEX(Properties!$L$4:$L$1809,MATCH("V001611",Properties!$A$4:$A$1809,0))</x:f>
        <x:v>1300</x:v>
      </x:c>
      <x:c r="K103" s="8" t="n">
        <x:f aca="0">INDEX(Properties!$L$4:$L$1809,MATCH("V001613",Properties!$A$4:$A$1809,0))</x:f>
        <x:v>3.72</x:v>
      </x:c>
      <x:c r="L103" s="8" t="n">
        <x:f aca="0">INDEX(Properties!$L$4:$L$1809,MATCH("V001612",Properties!$A$4:$A$1809,0))</x:f>
        <x:v>100</x:v>
      </x:c>
      <x:c r="M103" s="8" t="n">
        <x:f aca="0">INDEX(Properties!$L$4:$L$1809,MATCH("V001614",Properties!$A$4:$A$1809,0))</x:f>
        <x:v>28</x:v>
      </x:c>
      <x:c r="N103" s="7" t="s">
        <x:v>1060</x:v>
      </x:c>
      <x:c r="O103" s="7" t="s">
        <x:v>55</x:v>
      </x:c>
      <x:c r="P103" s="8" t="n">
        <x:f aca="0">INDEX(Properties!$L$4:$L$1809,MATCH("V001618",Properties!$A$4:$A$1809,0))</x:f>
        <x:v>140</x:v>
      </x:c>
      <x:c r="Q103" s="7" t="s">
        <x:v>1061</x:v>
      </x:c>
      <x:c r="R103" s="9" t="s">
        <x:v>57</x:v>
      </x:c>
      <x:c r="S103" s="7" t="s">
        <x:v>58</x:v>
      </x:c>
      <x:c r="T103" s="7" t="s">
        <x:v>59</x:v>
      </x:c>
      <x:c r="U103" s="7" t="s">
        <x:v>1062</x:v>
      </x:c>
      <x:c r="V103" s="7" t="s">
        <x:v>1063</x:v>
      </x:c>
      <x:c r="W103" s="7" t="s">
        <x:v>1064</x:v>
      </x:c>
      <x:c r="X103" s="7" t="s">
        <x:v>1053</x:v>
      </x:c>
      <x:c r="Y103" s="7" t="s">
        <x:v>1054</x:v>
      </x:c>
      <x:c r="Z103" s="7" t="s">
        <x:v>1052</x:v>
      </x:c>
      <x:c r="AA103" s="7" t="s">
        <x:v>1052</x:v>
      </x:c>
      <x:c r="AB103" s="7" t="s">
        <x:v>1052</x:v>
      </x:c>
      <x:c r="AC103" s="7" t="s">
        <x:v>64</x:v>
      </x:c>
      <x:c r="AD103" s="7" t="s">
        <x:v>65</x:v>
      </x:c>
      <x:c r="AE103" s="7" t="s">
        <x:v>66</x:v>
      </x:c>
      <x:c r="AF103" s="7" t="s">
        <x:v>67</x:v>
      </x:c>
      <x:c r="AG103" s="7" t="s">
        <x:v>58</x:v>
      </x:c>
      <x:c r="AH103" s="7" t="s">
        <x:v>1065</x:v>
      </x:c>
      <x:c r="AI103" s="7" t="s">
        <x:v>69</x:v>
      </x:c>
      <x:c r="AJ103" s="7" t="s">
        <x:v>53</x:v>
      </x:c>
      <x:c r="AK103" s="7" t="s">
        <x:v>1066</x:v>
      </x:c>
      <x:c r="AL103" s="7" t="s">
        <x:v>1067</x:v>
      </x:c>
      <x:c r="AM103" s="7" t="s">
        <x:v>72</x:v>
      </x:c>
      <x:c r="AN103" s="7" t="s">
        <x:v>73</x:v>
      </x:c>
      <x:c r="AO103" s="7" t="s">
        <x:v>74</x:v>
      </x:c>
      <x:c r="AP103" s="8" t="s">
        <x:v>53</x:v>
      </x:c>
      <x:c r="AQ103" s="7" t="s">
        <x:v>75</x:v>
      </x:c>
    </x:row>
    <x:row r="104" ht="51.75" hidden="0" customHeight="1">
      <x:c r="A104" s="7" t="s">
        <x:v>1068</x:v>
      </x:c>
      <x:c r="B104" s="7" t="s">
        <x:v>1069</x:v>
      </x:c>
      <x:c r="C104" s="7" t="s">
        <x:v>1053</x:v>
      </x:c>
      <x:c r="D104" s="7" t="s">
        <x:v>1054</x:v>
      </x:c>
      <x:c r="E104" s="7" t="s">
        <x:v>1070</x:v>
      </x:c>
      <x:c r="F104" s="7" t="s">
        <x:v>1071</x:v>
      </x:c>
      <x:c r="G104" s="7" t="s">
        <x:v>1072</x:v>
      </x:c>
      <x:c r="H104" s="7" t="s">
        <x:v>1073</x:v>
      </x:c>
      <x:c r="I104" s="7" t="s">
        <x:v>1074</x:v>
      </x:c>
      <x:c r="J104" s="8" t="n">
        <x:f aca="0">INDEX(Properties!$L$4:$L$1809,MATCH("V001619",Properties!$A$4:$A$1809,0))</x:f>
        <x:v>1270</x:v>
      </x:c>
      <x:c r="K104" s="8" t="n">
        <x:f aca="0">INDEX(Properties!$L$4:$L$1809,MATCH("V001621",Properties!$A$4:$A$1809,0))</x:f>
        <x:v>2.75</x:v>
      </x:c>
      <x:c r="L104" s="8" t="n">
        <x:f aca="0">INDEX(Properties!$L$4:$L$1809,MATCH("V001620",Properties!$A$4:$A$1809,0))</x:f>
        <x:v>105</x:v>
      </x:c>
      <x:c r="M104" s="8" t="n">
        <x:f aca="0">INDEX(Properties!$L$4:$L$1809,MATCH("V001622",Properties!$A$4:$A$1809,0))</x:f>
        <x:v>5</x:v>
      </x:c>
      <x:c r="N104" s="7" t="s">
        <x:v>1075</x:v>
      </x:c>
      <x:c r="O104" s="7" t="s">
        <x:v>55</x:v>
      </x:c>
      <x:c r="P104" s="8" t="n">
        <x:f aca="0">INDEX(Properties!$L$4:$L$1809,MATCH("V001626",Properties!$A$4:$A$1809,0))</x:f>
        <x:v>150</x:v>
      </x:c>
      <x:c r="Q104" s="7" t="s">
        <x:v>1076</x:v>
      </x:c>
      <x:c r="R104" s="9" t="s">
        <x:v>57</x:v>
      </x:c>
      <x:c r="S104" s="7" t="s">
        <x:v>58</x:v>
      </x:c>
      <x:c r="T104" s="7" t="s">
        <x:v>59</x:v>
      </x:c>
      <x:c r="U104" s="7" t="s">
        <x:v>1062</x:v>
      </x:c>
      <x:c r="V104" s="7" t="s">
        <x:v>1063</x:v>
      </x:c>
      <x:c r="W104" s="7" t="s">
        <x:v>1077</x:v>
      </x:c>
      <x:c r="X104" s="7" t="s">
        <x:v>1053</x:v>
      </x:c>
      <x:c r="Y104" s="7" t="s">
        <x:v>1054</x:v>
      </x:c>
      <x:c r="Z104" s="7" t="s">
        <x:v>1069</x:v>
      </x:c>
      <x:c r="AA104" s="7" t="s">
        <x:v>1069</x:v>
      </x:c>
      <x:c r="AB104" s="7" t="s">
        <x:v>1069</x:v>
      </x:c>
      <x:c r="AC104" s="7" t="s">
        <x:v>64</x:v>
      </x:c>
      <x:c r="AD104" s="7" t="s">
        <x:v>65</x:v>
      </x:c>
      <x:c r="AE104" s="7" t="s">
        <x:v>66</x:v>
      </x:c>
      <x:c r="AF104" s="7" t="s">
        <x:v>67</x:v>
      </x:c>
      <x:c r="AG104" s="7" t="s">
        <x:v>58</x:v>
      </x:c>
      <x:c r="AH104" s="7" t="s">
        <x:v>1078</x:v>
      </x:c>
      <x:c r="AI104" s="7" t="s">
        <x:v>69</x:v>
      </x:c>
      <x:c r="AJ104" s="7" t="s">
        <x:v>53</x:v>
      </x:c>
      <x:c r="AK104" s="7" t="s">
        <x:v>1079</x:v>
      </x:c>
      <x:c r="AL104" s="7" t="s">
        <x:v>58</x:v>
      </x:c>
      <x:c r="AM104" s="7" t="s">
        <x:v>72</x:v>
      </x:c>
      <x:c r="AN104" s="7" t="s">
        <x:v>73</x:v>
      </x:c>
      <x:c r="AO104" s="7" t="s">
        <x:v>74</x:v>
      </x:c>
      <x:c r="AP104" s="8" t="s">
        <x:v>53</x:v>
      </x:c>
      <x:c r="AQ104" s="7" t="s">
        <x:v>75</x:v>
      </x:c>
    </x:row>
    <x:row r="105" ht="51.75" hidden="0" customHeight="1">
      <x:c r="A105" s="7" t="s">
        <x:v>1080</x:v>
      </x:c>
      <x:c r="B105" s="7" t="s">
        <x:v>1081</x:v>
      </x:c>
      <x:c r="C105" s="7" t="s">
        <x:v>1053</x:v>
      </x:c>
      <x:c r="D105" s="7" t="s">
        <x:v>1054</x:v>
      </x:c>
      <x:c r="E105" s="7" t="s">
        <x:v>1082</x:v>
      </x:c>
      <x:c r="F105" s="7" t="s">
        <x:v>1083</x:v>
      </x:c>
      <x:c r="G105" s="7" t="s">
        <x:v>1084</x:v>
      </x:c>
      <x:c r="H105" s="7" t="s">
        <x:v>374</x:v>
      </x:c>
      <x:c r="I105" s="7" t="s">
        <x:v>1085</x:v>
      </x:c>
      <x:c r="J105" s="8" t="n">
        <x:f aca="0">INDEX(Properties!$L$4:$L$1809,MATCH("V001635",Properties!$A$4:$A$1809,0))</x:f>
        <x:v>1270</x:v>
      </x:c>
      <x:c r="K105" s="8" t="n">
        <x:f aca="0">INDEX(Properties!$L$4:$L$1809,MATCH("V001637",Properties!$A$4:$A$1809,0))</x:f>
        <x:v>2.5</x:v>
      </x:c>
      <x:c r="L105" s="8" t="n">
        <x:f aca="0">INDEX(Properties!$L$4:$L$1809,MATCH("V001636",Properties!$A$4:$A$1809,0))</x:f>
        <x:v>56</x:v>
      </x:c>
      <x:c r="M105" s="8" t="n">
        <x:f aca="0">INDEX(Properties!$L$4:$L$1809,MATCH("V001638",Properties!$A$4:$A$1809,0))</x:f>
        <x:v>3</x:v>
      </x:c>
      <x:c r="N105" s="7" t="s">
        <x:v>1086</x:v>
      </x:c>
      <x:c r="O105" s="7" t="s">
        <x:v>55</x:v>
      </x:c>
      <x:c r="P105" s="8" t="n">
        <x:f aca="0">INDEX(Properties!$L$4:$L$1809,MATCH("V001642",Properties!$A$4:$A$1809,0))</x:f>
        <x:v>208</x:v>
      </x:c>
      <x:c r="Q105" s="7" t="s">
        <x:v>1087</x:v>
      </x:c>
      <x:c r="R105" s="9" t="s">
        <x:v>57</x:v>
      </x:c>
      <x:c r="S105" s="7" t="s">
        <x:v>58</x:v>
      </x:c>
      <x:c r="T105" s="7" t="s">
        <x:v>59</x:v>
      </x:c>
      <x:c r="U105" s="7" t="s">
        <x:v>1062</x:v>
      </x:c>
      <x:c r="V105" s="7" t="s">
        <x:v>1063</x:v>
      </x:c>
      <x:c r="W105" s="7" t="s">
        <x:v>1088</x:v>
      </x:c>
      <x:c r="X105" s="7" t="s">
        <x:v>1053</x:v>
      </x:c>
      <x:c r="Y105" s="7" t="s">
        <x:v>1054</x:v>
      </x:c>
      <x:c r="Z105" s="7" t="s">
        <x:v>1081</x:v>
      </x:c>
      <x:c r="AA105" s="7" t="s">
        <x:v>1081</x:v>
      </x:c>
      <x:c r="AB105" s="7" t="s">
        <x:v>1089</x:v>
      </x:c>
      <x:c r="AC105" s="7" t="s">
        <x:v>90</x:v>
      </x:c>
      <x:c r="AD105" s="7" t="s">
        <x:v>65</x:v>
      </x:c>
      <x:c r="AE105" s="7" t="s">
        <x:v>66</x:v>
      </x:c>
      <x:c r="AF105" s="7" t="s">
        <x:v>67</x:v>
      </x:c>
      <x:c r="AG105" s="7" t="s">
        <x:v>58</x:v>
      </x:c>
      <x:c r="AH105" s="7" t="s">
        <x:v>1090</x:v>
      </x:c>
      <x:c r="AI105" s="7" t="s">
        <x:v>69</x:v>
      </x:c>
      <x:c r="AJ105" s="7" t="s">
        <x:v>53</x:v>
      </x:c>
      <x:c r="AK105" s="7" t="s">
        <x:v>1091</x:v>
      </x:c>
      <x:c r="AL105" s="7" t="s">
        <x:v>1092</x:v>
      </x:c>
      <x:c r="AM105" s="7" t="s">
        <x:v>72</x:v>
      </x:c>
      <x:c r="AN105" s="7" t="s">
        <x:v>73</x:v>
      </x:c>
      <x:c r="AO105" s="7" t="s">
        <x:v>74</x:v>
      </x:c>
      <x:c r="AP105" s="8" t="s">
        <x:v>53</x:v>
      </x:c>
      <x:c r="AQ105" s="7" t="s">
        <x:v>75</x:v>
      </x:c>
    </x:row>
    <x:row r="106" ht="51.75" hidden="0" customHeight="1">
      <x:c r="A106" s="7" t="s">
        <x:v>1093</x:v>
      </x:c>
      <x:c r="B106" s="7" t="s">
        <x:v>1094</x:v>
      </x:c>
      <x:c r="C106" s="7" t="s">
        <x:v>1053</x:v>
      </x:c>
      <x:c r="D106" s="7" t="s">
        <x:v>1054</x:v>
      </x:c>
      <x:c r="E106" s="7" t="s">
        <x:v>1095</x:v>
      </x:c>
      <x:c r="F106" s="7" t="s">
        <x:v>1096</x:v>
      </x:c>
      <x:c r="G106" s="7" t="s">
        <x:v>1097</x:v>
      </x:c>
      <x:c r="H106" s="7" t="s">
        <x:v>374</x:v>
      </x:c>
      <x:c r="I106" s="7" t="s">
        <x:v>1098</x:v>
      </x:c>
      <x:c r="J106" s="8" t="n">
        <x:f aca="0">INDEX(Properties!$L$4:$L$1809,MATCH("V001643",Properties!$A$4:$A$1809,0))</x:f>
        <x:v>1240</x:v>
      </x:c>
      <x:c r="K106" s="8" t="n">
        <x:f aca="0">INDEX(Properties!$L$4:$L$1809,MATCH("V001645",Properties!$A$4:$A$1809,0))</x:f>
        <x:v>2.1</x:v>
      </x:c>
      <x:c r="L106" s="8" t="n">
        <x:f aca="0">INDEX(Properties!$L$4:$L$1809,MATCH("V001644",Properties!$A$4:$A$1809,0))</x:f>
        <x:v>52</x:v>
      </x:c>
      <x:c r="M106" s="8" t="n">
        <x:f aca="0">INDEX(Properties!$L$4:$L$1809,MATCH("V001646",Properties!$A$4:$A$1809,0))</x:f>
        <x:v>8</x:v>
      </x:c>
      <x:c r="N106" s="7" t="s">
        <x:v>1099</x:v>
      </x:c>
      <x:c r="O106" s="7" t="s">
        <x:v>55</x:v>
      </x:c>
      <x:c r="P106" s="8" t="n">
        <x:f aca="0">INDEX(Properties!$L$4:$L$1809,MATCH("V001650",Properties!$A$4:$A$1809,0))</x:f>
        <x:v>172</x:v>
      </x:c>
      <x:c r="Q106" s="7" t="s">
        <x:v>1100</x:v>
      </x:c>
      <x:c r="R106" s="9" t="s">
        <x:v>57</x:v>
      </x:c>
      <x:c r="S106" s="7" t="s">
        <x:v>58</x:v>
      </x:c>
      <x:c r="T106" s="7" t="s">
        <x:v>59</x:v>
      </x:c>
      <x:c r="U106" s="7" t="s">
        <x:v>1062</x:v>
      </x:c>
      <x:c r="V106" s="7" t="s">
        <x:v>1063</x:v>
      </x:c>
      <x:c r="W106" s="7" t="s">
        <x:v>1101</x:v>
      </x:c>
      <x:c r="X106" s="7" t="s">
        <x:v>1053</x:v>
      </x:c>
      <x:c r="Y106" s="7" t="s">
        <x:v>1054</x:v>
      </x:c>
      <x:c r="Z106" s="7" t="s">
        <x:v>1094</x:v>
      </x:c>
      <x:c r="AA106" s="7" t="s">
        <x:v>1094</x:v>
      </x:c>
      <x:c r="AB106" s="7" t="s">
        <x:v>1094</x:v>
      </x:c>
      <x:c r="AC106" s="7" t="s">
        <x:v>64</x:v>
      </x:c>
      <x:c r="AD106" s="7" t="s">
        <x:v>65</x:v>
      </x:c>
      <x:c r="AE106" s="7" t="s">
        <x:v>66</x:v>
      </x:c>
      <x:c r="AF106" s="7" t="s">
        <x:v>67</x:v>
      </x:c>
      <x:c r="AG106" s="7" t="s">
        <x:v>58</x:v>
      </x:c>
      <x:c r="AH106" s="7" t="s">
        <x:v>1095</x:v>
      </x:c>
      <x:c r="AI106" s="7" t="s">
        <x:v>69</x:v>
      </x:c>
      <x:c r="AJ106" s="7" t="s">
        <x:v>53</x:v>
      </x:c>
      <x:c r="AK106" s="7" t="s">
        <x:v>1102</x:v>
      </x:c>
      <x:c r="AL106" s="7" t="s">
        <x:v>1103</x:v>
      </x:c>
      <x:c r="AM106" s="7" t="s">
        <x:v>72</x:v>
      </x:c>
      <x:c r="AN106" s="7" t="s">
        <x:v>73</x:v>
      </x:c>
      <x:c r="AO106" s="7" t="s">
        <x:v>74</x:v>
      </x:c>
      <x:c r="AP106" s="8" t="s">
        <x:v>53</x:v>
      </x:c>
      <x:c r="AQ106" s="7" t="s">
        <x:v>75</x:v>
      </x:c>
    </x:row>
    <x:row r="107" ht="51.75" hidden="0" customHeight="1">
      <x:c r="A107" s="7" t="s">
        <x:v>1104</x:v>
      </x:c>
      <x:c r="B107" s="7" t="s">
        <x:v>1105</x:v>
      </x:c>
      <x:c r="C107" s="7" t="s">
        <x:v>1053</x:v>
      </x:c>
      <x:c r="D107" s="7" t="s">
        <x:v>1054</x:v>
      </x:c>
      <x:c r="E107" s="7" t="s">
        <x:v>1106</x:v>
      </x:c>
      <x:c r="F107" s="7" t="s">
        <x:v>1107</x:v>
      </x:c>
      <x:c r="G107" s="7" t="s">
        <x:v>1097</x:v>
      </x:c>
      <x:c r="H107" s="7" t="s">
        <x:v>374</x:v>
      </x:c>
      <x:c r="I107" s="7" t="s">
        <x:v>1108</x:v>
      </x:c>
      <x:c r="J107" s="8" t="n">
        <x:f aca="0">INDEX(Properties!$L$4:$L$1809,MATCH("V001651",Properties!$A$4:$A$1809,0))</x:f>
        <x:v>1370</x:v>
      </x:c>
      <x:c r="K107" s="8" t="s">
        <x:v>53</x:v>
      </x:c>
      <x:c r="L107" s="8" t="s">
        <x:v>53</x:v>
      </x:c>
      <x:c r="M107" s="8" t="s">
        <x:v>53</x:v>
      </x:c>
      <x:c r="N107" s="7" t="s">
        <x:v>1109</x:v>
      </x:c>
      <x:c r="O107" s="7" t="s">
        <x:v>55</x:v>
      </x:c>
      <x:c r="P107" s="8" t="s">
        <x:v>53</x:v>
      </x:c>
      <x:c r="Q107" s="7" t="s">
        <x:v>58</x:v>
      </x:c>
      <x:c r="R107" s="9" t="s">
        <x:v>57</x:v>
      </x:c>
      <x:c r="S107" s="7" t="s">
        <x:v>58</x:v>
      </x:c>
      <x:c r="T107" s="7" t="s">
        <x:v>59</x:v>
      </x:c>
      <x:c r="U107" s="7" t="s">
        <x:v>1062</x:v>
      </x:c>
      <x:c r="V107" s="7" t="s">
        <x:v>1063</x:v>
      </x:c>
      <x:c r="W107" s="7" t="s">
        <x:v>1110</x:v>
      </x:c>
      <x:c r="X107" s="7" t="s">
        <x:v>1053</x:v>
      </x:c>
      <x:c r="Y107" s="7" t="s">
        <x:v>1054</x:v>
      </x:c>
      <x:c r="Z107" s="7" t="s">
        <x:v>1105</x:v>
      </x:c>
      <x:c r="AA107" s="7" t="s">
        <x:v>1105</x:v>
      </x:c>
      <x:c r="AB107" s="7" t="s">
        <x:v>1111</x:v>
      </x:c>
      <x:c r="AC107" s="7" t="s">
        <x:v>90</x:v>
      </x:c>
      <x:c r="AD107" s="7" t="s">
        <x:v>65</x:v>
      </x:c>
      <x:c r="AE107" s="7" t="s">
        <x:v>66</x:v>
      </x:c>
      <x:c r="AF107" s="7" t="s">
        <x:v>67</x:v>
      </x:c>
      <x:c r="AG107" s="7" t="s">
        <x:v>58</x:v>
      </x:c>
      <x:c r="AH107" s="7" t="s">
        <x:v>1106</x:v>
      </x:c>
      <x:c r="AI107" s="7" t="s">
        <x:v>69</x:v>
      </x:c>
      <x:c r="AJ107" s="7" t="s">
        <x:v>53</x:v>
      </x:c>
      <x:c r="AK107" s="7" t="s">
        <x:v>1112</x:v>
      </x:c>
      <x:c r="AL107" s="7" t="s">
        <x:v>58</x:v>
      </x:c>
      <x:c r="AM107" s="7" t="s">
        <x:v>72</x:v>
      </x:c>
      <x:c r="AN107" s="7" t="s">
        <x:v>73</x:v>
      </x:c>
      <x:c r="AO107" s="7" t="s">
        <x:v>74</x:v>
      </x:c>
      <x:c r="AP107" s="8" t="s">
        <x:v>53</x:v>
      </x:c>
      <x:c r="AQ107" s="7" t="s">
        <x:v>75</x:v>
      </x:c>
    </x:row>
    <x:row r="108" ht="51.75" hidden="0" customHeight="1">
      <x:c r="A108" s="7" t="s">
        <x:v>1113</x:v>
      </x:c>
      <x:c r="B108" s="7" t="s">
        <x:v>1114</x:v>
      </x:c>
      <x:c r="C108" s="7" t="s">
        <x:v>1053</x:v>
      </x:c>
      <x:c r="D108" s="7" t="s">
        <x:v>1054</x:v>
      </x:c>
      <x:c r="E108" s="7" t="s">
        <x:v>1115</x:v>
      </x:c>
      <x:c r="F108" s="7" t="s">
        <x:v>1116</x:v>
      </x:c>
      <x:c r="G108" s="7" t="s">
        <x:v>1097</x:v>
      </x:c>
      <x:c r="H108" s="7" t="s">
        <x:v>374</x:v>
      </x:c>
      <x:c r="I108" s="7" t="s">
        <x:v>1117</x:v>
      </x:c>
      <x:c r="J108" s="8" t="n">
        <x:f aca="0">INDEX(Properties!$L$4:$L$1809,MATCH("V001659",Properties!$A$4:$A$1809,0))</x:f>
        <x:v>1280</x:v>
      </x:c>
      <x:c r="K108" s="8" t="n">
        <x:f aca="0">INDEX(Properties!$L$4:$L$1809,MATCH("V001661",Properties!$A$4:$A$1809,0))</x:f>
        <x:v>2.31</x:v>
      </x:c>
      <x:c r="L108" s="8" t="n">
        <x:f aca="0">INDEX(Properties!$L$4:$L$1809,MATCH("V001660",Properties!$A$4:$A$1809,0))</x:f>
        <x:v>55</x:v>
      </x:c>
      <x:c r="M108" s="8" t="n">
        <x:f aca="0">INDEX(Properties!$L$4:$L$1809,MATCH("V001662",Properties!$A$4:$A$1809,0))</x:f>
        <x:v>3</x:v>
      </x:c>
      <x:c r="N108" s="7" t="s">
        <x:v>1118</x:v>
      </x:c>
      <x:c r="O108" s="7" t="s">
        <x:v>55</x:v>
      </x:c>
      <x:c r="P108" s="8" t="n">
        <x:f aca="0">INDEX(Properties!$L$4:$L$1809,MATCH("V001666",Properties!$A$4:$A$1809,0))</x:f>
        <x:v>190</x:v>
      </x:c>
      <x:c r="Q108" s="7" t="s">
        <x:v>1119</x:v>
      </x:c>
      <x:c r="R108" s="9" t="s">
        <x:v>57</x:v>
      </x:c>
      <x:c r="S108" s="7" t="s">
        <x:v>58</x:v>
      </x:c>
      <x:c r="T108" s="7" t="s">
        <x:v>59</x:v>
      </x:c>
      <x:c r="U108" s="7" t="s">
        <x:v>1062</x:v>
      </x:c>
      <x:c r="V108" s="7" t="s">
        <x:v>1063</x:v>
      </x:c>
      <x:c r="W108" s="7" t="s">
        <x:v>1120</x:v>
      </x:c>
      <x:c r="X108" s="7" t="s">
        <x:v>1053</x:v>
      </x:c>
      <x:c r="Y108" s="7" t="s">
        <x:v>1054</x:v>
      </x:c>
      <x:c r="Z108" s="7" t="s">
        <x:v>1114</x:v>
      </x:c>
      <x:c r="AA108" s="7" t="s">
        <x:v>1114</x:v>
      </x:c>
      <x:c r="AB108" s="7" t="s">
        <x:v>1114</x:v>
      </x:c>
      <x:c r="AC108" s="7" t="s">
        <x:v>64</x:v>
      </x:c>
      <x:c r="AD108" s="7" t="s">
        <x:v>65</x:v>
      </x:c>
      <x:c r="AE108" s="7" t="s">
        <x:v>66</x:v>
      </x:c>
      <x:c r="AF108" s="7" t="s">
        <x:v>67</x:v>
      </x:c>
      <x:c r="AG108" s="7" t="s">
        <x:v>58</x:v>
      </x:c>
      <x:c r="AH108" s="7" t="s">
        <x:v>1121</x:v>
      </x:c>
      <x:c r="AI108" s="7" t="s">
        <x:v>69</x:v>
      </x:c>
      <x:c r="AJ108" s="7" t="s">
        <x:v>53</x:v>
      </x:c>
      <x:c r="AK108" s="7" t="s">
        <x:v>1122</x:v>
      </x:c>
      <x:c r="AL108" s="7" t="s">
        <x:v>1123</x:v>
      </x:c>
      <x:c r="AM108" s="7" t="s">
        <x:v>72</x:v>
      </x:c>
      <x:c r="AN108" s="7" t="s">
        <x:v>73</x:v>
      </x:c>
      <x:c r="AO108" s="7" t="s">
        <x:v>74</x:v>
      </x:c>
      <x:c r="AP108" s="8" t="s">
        <x:v>53</x:v>
      </x:c>
      <x:c r="AQ108" s="7" t="s">
        <x:v>75</x:v>
      </x:c>
    </x:row>
  </x:sheetData>
  <x:conditionalFormatting sqref="D7:D108">
    <x:cfRule type="containsText" dxfId="6" priority="2" aboveAverage="0" percent="0" bottom="0" operator="containsText" text="Excluded" rank="0" equalAverage="0">
      <x:formula>NOT(ISERROR(SEARCH("Excluded",D7)))</x:formula>
    </x:cfRule>
  </x:conditionalFormatting>
  <x:pageMargins left="0.7" right="0.7" top="0.75" bottom="0.75" header="0.3" footer="0.3"/>
  <x:tableParts count="1">
    <x:tablePart xmlns:r="http://schemas.openxmlformats.org/officeDocument/2006/relationships" r:id="R5ca7b2f643c04090"/>
  </x:tableParts>
</x:worksheet>
</file>

<file path=xl/worksheets/sheet2.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2" width="14" style="1" hidden="0" customWidth="1"/>
    <x:col min="3" max="3" width="26" style="1" hidden="0" customWidth="1"/>
    <x:col min="4" max="4" width="38" style="1" hidden="0" customWidth="1"/>
    <x:col min="5" max="5" width="42" style="1" hidden="0" customWidth="1"/>
    <x:col min="6" max="6" width="26" style="1" hidden="0" customWidth="1"/>
    <x:col min="7" max="7" width="48" style="1" hidden="0" customWidth="1"/>
    <x:col min="8" max="8" width="26" style="1" hidden="0" customWidth="1"/>
    <x:col min="9" max="10" width="48" style="1" hidden="0" customWidth="1"/>
    <x:col min="11" max="11" width="42" style="1" hidden="0" customWidth="1"/>
    <x:col min="12" max="12" width="26" style="1" hidden="0" customWidth="1"/>
    <x:col min="13" max="13" width="48" style="1" hidden="0" customWidth="1"/>
  </x:cols>
  <x:sheetData>
    <x:row r="1" ht="24" hidden="0" customHeight="1">
      <x:c r="A1" s="3" t="s">
        <x:v>1124</x:v>
      </x:c>
      <x:c r="B1" s="2"/>
      <x:c r="C1" s="2"/>
      <x:c r="D1" s="2"/>
      <x:c r="E1" s="2"/>
      <x:c r="F1" s="2"/>
      <x:c r="G1" s="2"/>
      <x:c r="H1" s="2"/>
      <x:c r="I1" s="2"/>
      <x:c r="J1" s="2"/>
      <x:c r="K1" s="2"/>
      <x:c r="L1" s="2"/>
      <x:c r="M1" s="2"/>
    </x:row>
    <x:row r="2" ht="15" hidden="0" customHeight="1">
      <x:c r="A2" s="2"/>
      <x:c r="B2" s="2"/>
      <x:c r="C2" s="2"/>
      <x:c r="D2" s="2"/>
      <x:c r="E2" s="2"/>
      <x:c r="F2" s="2"/>
      <x:c r="G2" s="2"/>
      <x:c r="H2" s="2"/>
      <x:c r="I2" s="2"/>
      <x:c r="J2" s="2"/>
      <x:c r="K2" s="2"/>
      <x:c r="L2" s="2"/>
      <x:c r="M2" s="2"/>
    </x:row>
    <x:row r="3" ht="43.5" hidden="0" customHeight="1">
      <x:c r="A3" s="4" t="s">
        <x:v>1125</x:v>
      </x:c>
      <x:c r="B3" s="4" t="s">
        <x:v>2</x:v>
      </x:c>
      <x:c r="C3" s="4" t="s">
        <x:v>1126</x:v>
      </x:c>
      <x:c r="D3" s="4" t="s">
        <x:v>1127</x:v>
      </x:c>
      <x:c r="E3" s="4" t="s">
        <x:v>1128</x:v>
      </x:c>
      <x:c r="F3" s="4" t="s">
        <x:v>1129</x:v>
      </x:c>
      <x:c r="G3" s="4" t="s">
        <x:v>1130</x:v>
      </x:c>
      <x:c r="H3" s="4" t="s">
        <x:v>1131</x:v>
      </x:c>
      <x:c r="I3" s="4" t="s">
        <x:v>1132</x:v>
      </x:c>
      <x:c r="J3" s="4" t="s">
        <x:v>1133</x:v>
      </x:c>
      <x:c r="K3" s="4" t="s">
        <x:v>1134</x:v>
      </x:c>
      <x:c r="L3" s="4" t="s">
        <x:v>1135</x:v>
      </x:c>
      <x:c r="M3" s="4" t="s">
        <x:v>1136</x:v>
      </x:c>
    </x:row>
    <x:row r="4" ht="51.75" hidden="0" customHeight="1">
      <x:c r="A4" s="7" t="s">
        <x:v>48</x:v>
      </x:c>
      <x:c r="B4" s="7" t="s">
        <x:v>45</x:v>
      </x:c>
      <x:c r="C4" s="7" t="s">
        <x:v>1137</x:v>
      </x:c>
      <x:c r="D4" s="7" t="s">
        <x:v>1138</x:v>
      </x:c>
      <x:c r="E4" s="7" t="s">
        <x:v>1139</x:v>
      </x:c>
      <x:c r="F4" s="7" t="s">
        <x:v>53</x:v>
      </x:c>
      <x:c r="G4" s="7" t="s">
        <x:v>1140</x:v>
      </x:c>
      <x:c r="H4" s="7" t="s">
        <x:v>1141</x:v>
      </x:c>
      <x:c r="I4" s="7" t="s">
        <x:v>53</x:v>
      </x:c>
      <x:c r="J4" s="7" t="s">
        <x:v>1142</x:v>
      </x:c>
      <x:c r="K4" s="7" t="s">
        <x:v>1139</x:v>
      </x:c>
      <x:c r="L4" s="7" t="s">
        <x:v>1143</x:v>
      </x:c>
      <x:c r="M4" s="7" t="s">
        <x:v>1144</x:v>
      </x:c>
    </x:row>
    <x:row r="5" ht="37.5" hidden="0" customHeight="1">
      <x:c r="A5" s="7" t="s">
        <x:v>1145</x:v>
      </x:c>
      <x:c r="B5" s="7" t="s">
        <x:v>45</x:v>
      </x:c>
      <x:c r="C5" s="7" t="s">
        <x:v>1146</x:v>
      </x:c>
      <x:c r="D5" s="7" t="s">
        <x:v>1147</x:v>
      </x:c>
      <x:c r="E5" s="7" t="s">
        <x:v>1148</x:v>
      </x:c>
      <x:c r="F5" s="7" t="s">
        <x:v>53</x:v>
      </x:c>
      <x:c r="G5" s="7" t="s">
        <x:v>1140</x:v>
      </x:c>
      <x:c r="H5" s="7" t="s">
        <x:v>53</x:v>
      </x:c>
      <x:c r="I5" s="7" t="s">
        <x:v>53</x:v>
      </x:c>
      <x:c r="J5" s="7" t="s">
        <x:v>1142</x:v>
      </x:c>
      <x:c r="K5" s="7" t="s">
        <x:v>1148</x:v>
      </x:c>
      <x:c r="L5" s="7" t="s">
        <x:v>1149</x:v>
      </x:c>
      <x:c r="M5" s="7" t="s">
        <x:v>1144</x:v>
      </x:c>
    </x:row>
    <x:row r="6" ht="37.5" hidden="0" customHeight="1">
      <x:c r="A6" s="7" t="s">
        <x:v>1150</x:v>
      </x:c>
      <x:c r="B6" s="7" t="s">
        <x:v>45</x:v>
      </x:c>
      <x:c r="C6" s="7" t="s">
        <x:v>1151</x:v>
      </x:c>
      <x:c r="D6" s="7" t="s">
        <x:v>46</x:v>
      </x:c>
      <x:c r="E6" s="7" t="s">
        <x:v>1152</x:v>
      </x:c>
      <x:c r="F6" s="7" t="s">
        <x:v>53</x:v>
      </x:c>
      <x:c r="G6" s="7" t="s">
        <x:v>1140</x:v>
      </x:c>
      <x:c r="H6" s="7" t="s">
        <x:v>53</x:v>
      </x:c>
      <x:c r="I6" s="7" t="s">
        <x:v>53</x:v>
      </x:c>
      <x:c r="J6" s="7" t="s">
        <x:v>1142</x:v>
      </x:c>
      <x:c r="K6" s="7" t="s">
        <x:v>1152</x:v>
      </x:c>
      <x:c r="L6" s="7" t="s">
        <x:v>1149</x:v>
      </x:c>
      <x:c r="M6" s="7" t="s">
        <x:v>1144</x:v>
      </x:c>
    </x:row>
    <x:row r="7" ht="37.5" hidden="0" customHeight="1">
      <x:c r="A7" s="7" t="s">
        <x:v>79</x:v>
      </x:c>
      <x:c r="B7" s="7" t="s">
        <x:v>76</x:v>
      </x:c>
      <x:c r="C7" s="7" t="s">
        <x:v>1153</x:v>
      </x:c>
      <x:c r="D7" s="7" t="s">
        <x:v>77</x:v>
      </x:c>
      <x:c r="E7" s="7" t="s">
        <x:v>1154</x:v>
      </x:c>
      <x:c r="F7" s="7" t="s">
        <x:v>46</x:v>
      </x:c>
      <x:c r="G7" s="7" t="s">
        <x:v>1140</x:v>
      </x:c>
      <x:c r="H7" s="7" t="s">
        <x:v>53</x:v>
      </x:c>
      <x:c r="I7" s="7" t="s">
        <x:v>1155</x:v>
      </x:c>
      <x:c r="J7" s="7" t="s">
        <x:v>1156</x:v>
      </x:c>
      <x:c r="K7" s="7" t="s">
        <x:v>1154</x:v>
      </x:c>
      <x:c r="L7" s="7" t="s">
        <x:v>1149</x:v>
      </x:c>
      <x:c r="M7" s="7" t="s">
        <x:v>1144</x:v>
      </x:c>
    </x:row>
    <x:row r="8" ht="37.5" hidden="0" customHeight="1">
      <x:c r="A8" s="7" t="s">
        <x:v>96</x:v>
      </x:c>
      <x:c r="B8" s="7" t="s">
        <x:v>94</x:v>
      </x:c>
      <x:c r="C8" s="7" t="s">
        <x:v>1153</x:v>
      </x:c>
      <x:c r="D8" s="7" t="s">
        <x:v>95</x:v>
      </x:c>
      <x:c r="E8" s="7" t="s">
        <x:v>1157</x:v>
      </x:c>
      <x:c r="F8" s="7" t="s">
        <x:v>46</x:v>
      </x:c>
      <x:c r="G8" s="7" t="s">
        <x:v>1140</x:v>
      </x:c>
      <x:c r="H8" s="7" t="s">
        <x:v>53</x:v>
      </x:c>
      <x:c r="I8" s="7" t="s">
        <x:v>1155</x:v>
      </x:c>
      <x:c r="J8" s="7" t="s">
        <x:v>1156</x:v>
      </x:c>
      <x:c r="K8" s="7" t="s">
        <x:v>1157</x:v>
      </x:c>
      <x:c r="L8" s="7" t="s">
        <x:v>1149</x:v>
      </x:c>
      <x:c r="M8" s="7" t="s">
        <x:v>1144</x:v>
      </x:c>
    </x:row>
    <x:row r="9" ht="51.75" hidden="0" customHeight="1">
      <x:c r="A9" s="7" t="s">
        <x:v>113</x:v>
      </x:c>
      <x:c r="B9" s="7" t="s">
        <x:v>111</x:v>
      </x:c>
      <x:c r="C9" s="7" t="s">
        <x:v>1153</x:v>
      </x:c>
      <x:c r="D9" s="7" t="s">
        <x:v>112</x:v>
      </x:c>
      <x:c r="E9" s="7" t="s">
        <x:v>1158</x:v>
      </x:c>
      <x:c r="F9" s="7" t="s">
        <x:v>46</x:v>
      </x:c>
      <x:c r="G9" s="7" t="s">
        <x:v>1140</x:v>
      </x:c>
      <x:c r="H9" s="7" t="s">
        <x:v>53</x:v>
      </x:c>
      <x:c r="I9" s="7" t="s">
        <x:v>1159</x:v>
      </x:c>
      <x:c r="J9" s="7" t="s">
        <x:v>1156</x:v>
      </x:c>
      <x:c r="K9" s="7" t="s">
        <x:v>1158</x:v>
      </x:c>
      <x:c r="L9" s="7" t="s">
        <x:v>1149</x:v>
      </x:c>
      <x:c r="M9" s="7" t="s">
        <x:v>1144</x:v>
      </x:c>
    </x:row>
    <x:row r="10" ht="37.5" hidden="0" customHeight="1">
      <x:c r="A10" s="7" t="s">
        <x:v>124</x:v>
      </x:c>
      <x:c r="B10" s="7" t="s">
        <x:v>122</x:v>
      </x:c>
      <x:c r="C10" s="7" t="s">
        <x:v>1153</x:v>
      </x:c>
      <x:c r="D10" s="7" t="s">
        <x:v>123</x:v>
      </x:c>
      <x:c r="E10" s="7" t="s">
        <x:v>1160</x:v>
      </x:c>
      <x:c r="F10" s="7" t="s">
        <x:v>1161</x:v>
      </x:c>
      <x:c r="G10" s="7" t="s">
        <x:v>1140</x:v>
      </x:c>
      <x:c r="H10" s="7" t="s">
        <x:v>53</x:v>
      </x:c>
      <x:c r="I10" s="7" t="s">
        <x:v>1155</x:v>
      </x:c>
      <x:c r="J10" s="7" t="s">
        <x:v>1156</x:v>
      </x:c>
      <x:c r="K10" s="7" t="s">
        <x:v>1160</x:v>
      </x:c>
      <x:c r="L10" s="7" t="s">
        <x:v>1149</x:v>
      </x:c>
      <x:c r="M10" s="7" t="s">
        <x:v>1144</x:v>
      </x:c>
    </x:row>
    <x:row r="11" ht="37.5" hidden="0" customHeight="1">
      <x:c r="A11" s="7" t="s">
        <x:v>136</x:v>
      </x:c>
      <x:c r="B11" s="7" t="s">
        <x:v>134</x:v>
      </x:c>
      <x:c r="C11" s="7" t="s">
        <x:v>1153</x:v>
      </x:c>
      <x:c r="D11" s="7" t="s">
        <x:v>135</x:v>
      </x:c>
      <x:c r="E11" s="7" t="s">
        <x:v>1162</x:v>
      </x:c>
      <x:c r="F11" s="7" t="s">
        <x:v>1161</x:v>
      </x:c>
      <x:c r="G11" s="7" t="s">
        <x:v>1140</x:v>
      </x:c>
      <x:c r="H11" s="7" t="s">
        <x:v>53</x:v>
      </x:c>
      <x:c r="I11" s="7" t="s">
        <x:v>1155</x:v>
      </x:c>
      <x:c r="J11" s="7" t="s">
        <x:v>1156</x:v>
      </x:c>
      <x:c r="K11" s="7" t="s">
        <x:v>1162</x:v>
      </x:c>
      <x:c r="L11" s="7" t="s">
        <x:v>1149</x:v>
      </x:c>
      <x:c r="M11" s="7" t="s">
        <x:v>1144</x:v>
      </x:c>
    </x:row>
    <x:row r="12" ht="37.5" hidden="0" customHeight="1">
      <x:c r="A12" s="7" t="s">
        <x:v>150</x:v>
      </x:c>
      <x:c r="B12" s="7" t="s">
        <x:v>148</x:v>
      </x:c>
      <x:c r="C12" s="7" t="s">
        <x:v>1153</x:v>
      </x:c>
      <x:c r="D12" s="7" t="s">
        <x:v>149</x:v>
      </x:c>
      <x:c r="E12" s="7" t="s">
        <x:v>1163</x:v>
      </x:c>
      <x:c r="F12" s="7" t="s">
        <x:v>1161</x:v>
      </x:c>
      <x:c r="G12" s="7" t="s">
        <x:v>1140</x:v>
      </x:c>
      <x:c r="H12" s="7" t="s">
        <x:v>53</x:v>
      </x:c>
      <x:c r="I12" s="7" t="s">
        <x:v>1155</x:v>
      </x:c>
      <x:c r="J12" s="7" t="s">
        <x:v>1156</x:v>
      </x:c>
      <x:c r="K12" s="7" t="s">
        <x:v>1163</x:v>
      </x:c>
      <x:c r="L12" s="7" t="s">
        <x:v>1149</x:v>
      </x:c>
      <x:c r="M12" s="7" t="s">
        <x:v>1144</x:v>
      </x:c>
    </x:row>
    <x:row r="13" ht="37.5" hidden="0" customHeight="1">
      <x:c r="A13" s="7" t="s">
        <x:v>160</x:v>
      </x:c>
      <x:c r="B13" s="7" t="s">
        <x:v>158</x:v>
      </x:c>
      <x:c r="C13" s="7" t="s">
        <x:v>1153</x:v>
      </x:c>
      <x:c r="D13" s="7" t="s">
        <x:v>159</x:v>
      </x:c>
      <x:c r="E13" s="7" t="s">
        <x:v>1164</x:v>
      </x:c>
      <x:c r="F13" s="7" t="s">
        <x:v>1161</x:v>
      </x:c>
      <x:c r="G13" s="7" t="s">
        <x:v>1140</x:v>
      </x:c>
      <x:c r="H13" s="7" t="s">
        <x:v>53</x:v>
      </x:c>
      <x:c r="I13" s="7" t="s">
        <x:v>1155</x:v>
      </x:c>
      <x:c r="J13" s="7" t="s">
        <x:v>1156</x:v>
      </x:c>
      <x:c r="K13" s="7" t="s">
        <x:v>1164</x:v>
      </x:c>
      <x:c r="L13" s="7" t="s">
        <x:v>1149</x:v>
      </x:c>
      <x:c r="M13" s="7" t="s">
        <x:v>1144</x:v>
      </x:c>
    </x:row>
    <x:row r="14" ht="37.5" hidden="0" customHeight="1">
      <x:c r="A14" s="7" t="s">
        <x:v>173</x:v>
      </x:c>
      <x:c r="B14" s="7" t="s">
        <x:v>171</x:v>
      </x:c>
      <x:c r="C14" s="7" t="s">
        <x:v>1153</x:v>
      </x:c>
      <x:c r="D14" s="7" t="s">
        <x:v>172</x:v>
      </x:c>
      <x:c r="E14" s="7" t="s">
        <x:v>1165</x:v>
      </x:c>
      <x:c r="F14" s="7" t="s">
        <x:v>46</x:v>
      </x:c>
      <x:c r="G14" s="7" t="s">
        <x:v>1140</x:v>
      </x:c>
      <x:c r="H14" s="7" t="s">
        <x:v>53</x:v>
      </x:c>
      <x:c r="I14" s="7" t="s">
        <x:v>1155</x:v>
      </x:c>
      <x:c r="J14" s="7" t="s">
        <x:v>1156</x:v>
      </x:c>
      <x:c r="K14" s="7" t="s">
        <x:v>1165</x:v>
      </x:c>
      <x:c r="L14" s="7" t="s">
        <x:v>1149</x:v>
      </x:c>
      <x:c r="M14" s="7" t="s">
        <x:v>1144</x:v>
      </x:c>
    </x:row>
    <x:row r="15" ht="37.5" hidden="0" customHeight="1">
      <x:c r="A15" s="7" t="s">
        <x:v>183</x:v>
      </x:c>
      <x:c r="B15" s="7" t="s">
        <x:v>181</x:v>
      </x:c>
      <x:c r="C15" s="7" t="s">
        <x:v>1153</x:v>
      </x:c>
      <x:c r="D15" s="7" t="s">
        <x:v>182</x:v>
      </x:c>
      <x:c r="E15" s="7" t="s">
        <x:v>1166</x:v>
      </x:c>
      <x:c r="F15" s="7" t="s">
        <x:v>46</x:v>
      </x:c>
      <x:c r="G15" s="7" t="s">
        <x:v>1140</x:v>
      </x:c>
      <x:c r="H15" s="7" t="s">
        <x:v>53</x:v>
      </x:c>
      <x:c r="I15" s="7" t="s">
        <x:v>1155</x:v>
      </x:c>
      <x:c r="J15" s="7" t="s">
        <x:v>1156</x:v>
      </x:c>
      <x:c r="K15" s="7" t="s">
        <x:v>1166</x:v>
      </x:c>
      <x:c r="L15" s="7" t="s">
        <x:v>1149</x:v>
      </x:c>
      <x:c r="M15" s="7" t="s">
        <x:v>1144</x:v>
      </x:c>
    </x:row>
    <x:row r="16" ht="37.5" hidden="0" customHeight="1">
      <x:c r="A16" s="7" t="s">
        <x:v>193</x:v>
      </x:c>
      <x:c r="B16" s="7" t="s">
        <x:v>191</x:v>
      </x:c>
      <x:c r="C16" s="7" t="s">
        <x:v>1153</x:v>
      </x:c>
      <x:c r="D16" s="7" t="s">
        <x:v>192</x:v>
      </x:c>
      <x:c r="E16" s="7" t="s">
        <x:v>1167</x:v>
      </x:c>
      <x:c r="F16" s="7" t="s">
        <x:v>46</x:v>
      </x:c>
      <x:c r="G16" s="7" t="s">
        <x:v>1140</x:v>
      </x:c>
      <x:c r="H16" s="7" t="s">
        <x:v>53</x:v>
      </x:c>
      <x:c r="I16" s="7" t="s">
        <x:v>53</x:v>
      </x:c>
      <x:c r="J16" s="7" t="s">
        <x:v>1156</x:v>
      </x:c>
      <x:c r="K16" s="7" t="s">
        <x:v>1167</x:v>
      </x:c>
      <x:c r="L16" s="7" t="s">
        <x:v>1149</x:v>
      </x:c>
      <x:c r="M16" s="7" t="s">
        <x:v>1144</x:v>
      </x:c>
    </x:row>
    <x:row r="17" ht="37.5" hidden="0" customHeight="1">
      <x:c r="A17" s="7" t="s">
        <x:v>201</x:v>
      </x:c>
      <x:c r="B17" s="7" t="s">
        <x:v>199</x:v>
      </x:c>
      <x:c r="C17" s="7" t="s">
        <x:v>1153</x:v>
      </x:c>
      <x:c r="D17" s="7" t="s">
        <x:v>200</x:v>
      </x:c>
      <x:c r="E17" s="7" t="s">
        <x:v>1168</x:v>
      </x:c>
      <x:c r="F17" s="7" t="s">
        <x:v>1161</x:v>
      </x:c>
      <x:c r="G17" s="7" t="s">
        <x:v>1140</x:v>
      </x:c>
      <x:c r="H17" s="7" t="s">
        <x:v>53</x:v>
      </x:c>
      <x:c r="I17" s="7" t="s">
        <x:v>1155</x:v>
      </x:c>
      <x:c r="J17" s="7" t="s">
        <x:v>1156</x:v>
      </x:c>
      <x:c r="K17" s="7" t="s">
        <x:v>1168</x:v>
      </x:c>
      <x:c r="L17" s="7" t="s">
        <x:v>1149</x:v>
      </x:c>
      <x:c r="M17" s="7" t="s">
        <x:v>1144</x:v>
      </x:c>
    </x:row>
    <x:row r="18" ht="37.5" hidden="0" customHeight="1">
      <x:c r="A18" s="7" t="s">
        <x:v>212</x:v>
      </x:c>
      <x:c r="B18" s="7" t="s">
        <x:v>210</x:v>
      </x:c>
      <x:c r="C18" s="7" t="s">
        <x:v>1153</x:v>
      </x:c>
      <x:c r="D18" s="7" t="s">
        <x:v>211</x:v>
      </x:c>
      <x:c r="E18" s="7" t="s">
        <x:v>1169</x:v>
      </x:c>
      <x:c r="F18" s="7" t="s">
        <x:v>1161</x:v>
      </x:c>
      <x:c r="G18" s="7" t="s">
        <x:v>1140</x:v>
      </x:c>
      <x:c r="H18" s="7" t="s">
        <x:v>53</x:v>
      </x:c>
      <x:c r="I18" s="7" t="s">
        <x:v>1155</x:v>
      </x:c>
      <x:c r="J18" s="7" t="s">
        <x:v>1156</x:v>
      </x:c>
      <x:c r="K18" s="7" t="s">
        <x:v>1169</x:v>
      </x:c>
      <x:c r="L18" s="7" t="s">
        <x:v>1149</x:v>
      </x:c>
      <x:c r="M18" s="7" t="s">
        <x:v>1144</x:v>
      </x:c>
    </x:row>
    <x:row r="19" ht="37.5" hidden="0" customHeight="1">
      <x:c r="A19" s="7" t="s">
        <x:v>221</x:v>
      </x:c>
      <x:c r="B19" s="7" t="s">
        <x:v>219</x:v>
      </x:c>
      <x:c r="C19" s="7" t="s">
        <x:v>1153</x:v>
      </x:c>
      <x:c r="D19" s="7" t="s">
        <x:v>220</x:v>
      </x:c>
      <x:c r="E19" s="7" t="s">
        <x:v>1170</x:v>
      </x:c>
      <x:c r="F19" s="7" t="s">
        <x:v>1161</x:v>
      </x:c>
      <x:c r="G19" s="7" t="s">
        <x:v>1140</x:v>
      </x:c>
      <x:c r="H19" s="7" t="s">
        <x:v>53</x:v>
      </x:c>
      <x:c r="I19" s="7" t="s">
        <x:v>1155</x:v>
      </x:c>
      <x:c r="J19" s="7" t="s">
        <x:v>1156</x:v>
      </x:c>
      <x:c r="K19" s="7" t="s">
        <x:v>1170</x:v>
      </x:c>
      <x:c r="L19" s="7" t="s">
        <x:v>1149</x:v>
      </x:c>
      <x:c r="M19" s="7" t="s">
        <x:v>1144</x:v>
      </x:c>
    </x:row>
    <x:row r="20" ht="37.5" hidden="0" customHeight="1">
      <x:c r="A20" s="7" t="s">
        <x:v>231</x:v>
      </x:c>
      <x:c r="B20" s="7" t="s">
        <x:v>229</x:v>
      </x:c>
      <x:c r="C20" s="7" t="s">
        <x:v>1153</x:v>
      </x:c>
      <x:c r="D20" s="7" t="s">
        <x:v>230</x:v>
      </x:c>
      <x:c r="E20" s="7" t="s">
        <x:v>1171</x:v>
      </x:c>
      <x:c r="F20" s="7" t="s">
        <x:v>1161</x:v>
      </x:c>
      <x:c r="G20" s="7" t="s">
        <x:v>1140</x:v>
      </x:c>
      <x:c r="H20" s="7" t="s">
        <x:v>53</x:v>
      </x:c>
      <x:c r="I20" s="7" t="s">
        <x:v>1155</x:v>
      </x:c>
      <x:c r="J20" s="7" t="s">
        <x:v>1156</x:v>
      </x:c>
      <x:c r="K20" s="7" t="s">
        <x:v>1171</x:v>
      </x:c>
      <x:c r="L20" s="7" t="s">
        <x:v>1149</x:v>
      </x:c>
      <x:c r="M20" s="7" t="s">
        <x:v>1144</x:v>
      </x:c>
    </x:row>
    <x:row r="21" ht="37.5" hidden="0" customHeight="1">
      <x:c r="A21" s="7" t="s">
        <x:v>243</x:v>
      </x:c>
      <x:c r="B21" s="7" t="s">
        <x:v>241</x:v>
      </x:c>
      <x:c r="C21" s="7" t="s">
        <x:v>1153</x:v>
      </x:c>
      <x:c r="D21" s="7" t="s">
        <x:v>242</x:v>
      </x:c>
      <x:c r="E21" s="7" t="s">
        <x:v>1172</x:v>
      </x:c>
      <x:c r="F21" s="7" t="s">
        <x:v>1173</x:v>
      </x:c>
      <x:c r="G21" s="7" t="s">
        <x:v>1140</x:v>
      </x:c>
      <x:c r="H21" s="7" t="s">
        <x:v>53</x:v>
      </x:c>
      <x:c r="I21" s="7" t="s">
        <x:v>1155</x:v>
      </x:c>
      <x:c r="J21" s="7" t="s">
        <x:v>1156</x:v>
      </x:c>
      <x:c r="K21" s="7" t="s">
        <x:v>1172</x:v>
      </x:c>
      <x:c r="L21" s="7" t="s">
        <x:v>1149</x:v>
      </x:c>
      <x:c r="M21" s="7" t="s">
        <x:v>1144</x:v>
      </x:c>
    </x:row>
    <x:row r="22" ht="37.5" hidden="0" customHeight="1">
      <x:c r="A22" s="7" t="s">
        <x:v>254</x:v>
      </x:c>
      <x:c r="B22" s="7" t="s">
        <x:v>252</x:v>
      </x:c>
      <x:c r="C22" s="7" t="s">
        <x:v>1146</x:v>
      </x:c>
      <x:c r="D22" s="7" t="s">
        <x:v>1174</x:v>
      </x:c>
      <x:c r="E22" s="7" t="s">
        <x:v>1175</x:v>
      </x:c>
      <x:c r="F22" s="7" t="s">
        <x:v>53</x:v>
      </x:c>
      <x:c r="G22" s="7" t="s">
        <x:v>1140</x:v>
      </x:c>
      <x:c r="H22" s="7" t="s">
        <x:v>53</x:v>
      </x:c>
      <x:c r="I22" s="7" t="s">
        <x:v>53</x:v>
      </x:c>
      <x:c r="J22" s="7" t="s">
        <x:v>1142</x:v>
      </x:c>
      <x:c r="K22" s="7" t="s">
        <x:v>1175</x:v>
      </x:c>
      <x:c r="L22" s="7" t="s">
        <x:v>1149</x:v>
      </x:c>
      <x:c r="M22" s="7" t="s">
        <x:v>1144</x:v>
      </x:c>
    </x:row>
    <x:row r="23" ht="37.5" hidden="0" customHeight="1">
      <x:c r="A23" s="7" t="s">
        <x:v>1176</x:v>
      </x:c>
      <x:c r="B23" s="7" t="s">
        <x:v>252</x:v>
      </x:c>
      <x:c r="C23" s="7" t="s">
        <x:v>1151</x:v>
      </x:c>
      <x:c r="D23" s="7" t="s">
        <x:v>1177</x:v>
      </x:c>
      <x:c r="E23" s="7" t="s">
        <x:v>1178</x:v>
      </x:c>
      <x:c r="F23" s="7" t="s">
        <x:v>1179</x:v>
      </x:c>
      <x:c r="G23" s="7" t="s">
        <x:v>1140</x:v>
      </x:c>
      <x:c r="H23" s="7" t="s">
        <x:v>53</x:v>
      </x:c>
      <x:c r="I23" s="7" t="s">
        <x:v>53</x:v>
      </x:c>
      <x:c r="J23" s="7" t="s">
        <x:v>1142</x:v>
      </x:c>
      <x:c r="K23" s="7" t="s">
        <x:v>1178</x:v>
      </x:c>
      <x:c r="L23" s="7" t="s">
        <x:v>1149</x:v>
      </x:c>
      <x:c r="M23" s="7" t="s">
        <x:v>1144</x:v>
      </x:c>
    </x:row>
    <x:row r="24" ht="37.5" hidden="0" customHeight="1">
      <x:c r="A24" s="7" t="s">
        <x:v>268</x:v>
      </x:c>
      <x:c r="B24" s="7" t="s">
        <x:v>266</x:v>
      </x:c>
      <x:c r="C24" s="7" t="s">
        <x:v>1137</x:v>
      </x:c>
      <x:c r="D24" s="7" t="s">
        <x:v>1180</x:v>
      </x:c>
      <x:c r="E24" s="7" t="s">
        <x:v>1181</x:v>
      </x:c>
      <x:c r="F24" s="7" t="s">
        <x:v>53</x:v>
      </x:c>
      <x:c r="G24" s="7" t="s">
        <x:v>1140</x:v>
      </x:c>
      <x:c r="H24" s="7" t="s">
        <x:v>53</x:v>
      </x:c>
      <x:c r="I24" s="7" t="s">
        <x:v>53</x:v>
      </x:c>
      <x:c r="J24" s="7" t="s">
        <x:v>1142</x:v>
      </x:c>
      <x:c r="K24" s="7" t="s">
        <x:v>1181</x:v>
      </x:c>
      <x:c r="L24" s="7" t="s">
        <x:v>1149</x:v>
      </x:c>
      <x:c r="M24" s="7" t="s">
        <x:v>1144</x:v>
      </x:c>
    </x:row>
    <x:row r="25" ht="37.5" hidden="0" customHeight="1">
      <x:c r="A25" s="7" t="s">
        <x:v>1182</x:v>
      </x:c>
      <x:c r="B25" s="7" t="s">
        <x:v>266</x:v>
      </x:c>
      <x:c r="C25" s="7" t="s">
        <x:v>1146</x:v>
      </x:c>
      <x:c r="D25" s="7" t="s">
        <x:v>1183</x:v>
      </x:c>
      <x:c r="E25" s="7" t="s">
        <x:v>1184</x:v>
      </x:c>
      <x:c r="F25" s="7" t="s">
        <x:v>53</x:v>
      </x:c>
      <x:c r="G25" s="7" t="s">
        <x:v>1140</x:v>
      </x:c>
      <x:c r="H25" s="7" t="s">
        <x:v>53</x:v>
      </x:c>
      <x:c r="I25" s="7" t="s">
        <x:v>53</x:v>
      </x:c>
      <x:c r="J25" s="7" t="s">
        <x:v>1142</x:v>
      </x:c>
      <x:c r="K25" s="7" t="s">
        <x:v>1184</x:v>
      </x:c>
      <x:c r="L25" s="7" t="s">
        <x:v>1149</x:v>
      </x:c>
      <x:c r="M25" s="7" t="s">
        <x:v>1144</x:v>
      </x:c>
    </x:row>
    <x:row r="26" ht="37.5" hidden="0" customHeight="1">
      <x:c r="A26" s="7" t="s">
        <x:v>1185</x:v>
      </x:c>
      <x:c r="B26" s="7" t="s">
        <x:v>266</x:v>
      </x:c>
      <x:c r="C26" s="7" t="s">
        <x:v>1151</x:v>
      </x:c>
      <x:c r="D26" s="7" t="s">
        <x:v>267</x:v>
      </x:c>
      <x:c r="E26" s="7" t="s">
        <x:v>1186</x:v>
      </x:c>
      <x:c r="F26" s="7" t="s">
        <x:v>53</x:v>
      </x:c>
      <x:c r="G26" s="7" t="s">
        <x:v>1140</x:v>
      </x:c>
      <x:c r="H26" s="7" t="s">
        <x:v>53</x:v>
      </x:c>
      <x:c r="I26" s="7" t="s">
        <x:v>53</x:v>
      </x:c>
      <x:c r="J26" s="7" t="s">
        <x:v>1142</x:v>
      </x:c>
      <x:c r="K26" s="7" t="s">
        <x:v>1186</x:v>
      </x:c>
      <x:c r="L26" s="7" t="s">
        <x:v>1149</x:v>
      </x:c>
      <x:c r="M26" s="7" t="s">
        <x:v>1144</x:v>
      </x:c>
    </x:row>
    <x:row r="27" ht="37.5" hidden="0" customHeight="1">
      <x:c r="A27" s="7" t="s">
        <x:v>279</x:v>
      </x:c>
      <x:c r="B27" s="7" t="s">
        <x:v>277</x:v>
      </x:c>
      <x:c r="C27" s="7" t="s">
        <x:v>1153</x:v>
      </x:c>
      <x:c r="D27" s="7" t="s">
        <x:v>278</x:v>
      </x:c>
      <x:c r="E27" s="7" t="s">
        <x:v>1187</x:v>
      </x:c>
      <x:c r="F27" s="7" t="s">
        <x:v>267</x:v>
      </x:c>
      <x:c r="G27" s="7" t="s">
        <x:v>1140</x:v>
      </x:c>
      <x:c r="H27" s="7" t="s">
        <x:v>53</x:v>
      </x:c>
      <x:c r="I27" s="7" t="s">
        <x:v>1155</x:v>
      </x:c>
      <x:c r="J27" s="7" t="s">
        <x:v>1156</x:v>
      </x:c>
      <x:c r="K27" s="7" t="s">
        <x:v>1187</x:v>
      </x:c>
      <x:c r="L27" s="7" t="s">
        <x:v>1149</x:v>
      </x:c>
      <x:c r="M27" s="7" t="s">
        <x:v>1144</x:v>
      </x:c>
    </x:row>
    <x:row r="28" ht="37.5" hidden="0" customHeight="1">
      <x:c r="A28" s="7" t="s">
        <x:v>293</x:v>
      </x:c>
      <x:c r="B28" s="7" t="s">
        <x:v>291</x:v>
      </x:c>
      <x:c r="C28" s="7" t="s">
        <x:v>1153</x:v>
      </x:c>
      <x:c r="D28" s="7" t="s">
        <x:v>292</x:v>
      </x:c>
      <x:c r="E28" s="7" t="s">
        <x:v>1188</x:v>
      </x:c>
      <x:c r="F28" s="7" t="s">
        <x:v>267</x:v>
      </x:c>
      <x:c r="G28" s="7" t="s">
        <x:v>1140</x:v>
      </x:c>
      <x:c r="H28" s="7" t="s">
        <x:v>53</x:v>
      </x:c>
      <x:c r="I28" s="7" t="s">
        <x:v>1155</x:v>
      </x:c>
      <x:c r="J28" s="7" t="s">
        <x:v>1156</x:v>
      </x:c>
      <x:c r="K28" s="7" t="s">
        <x:v>1188</x:v>
      </x:c>
      <x:c r="L28" s="7" t="s">
        <x:v>1149</x:v>
      </x:c>
      <x:c r="M28" s="7" t="s">
        <x:v>1144</x:v>
      </x:c>
    </x:row>
    <x:row r="29" ht="37.5" hidden="0" customHeight="1">
      <x:c r="A29" s="7" t="s">
        <x:v>302</x:v>
      </x:c>
      <x:c r="B29" s="7" t="s">
        <x:v>300</x:v>
      </x:c>
      <x:c r="C29" s="7" t="s">
        <x:v>1153</x:v>
      </x:c>
      <x:c r="D29" s="7" t="s">
        <x:v>301</x:v>
      </x:c>
      <x:c r="E29" s="7" t="s">
        <x:v>1189</x:v>
      </x:c>
      <x:c r="F29" s="7" t="s">
        <x:v>267</x:v>
      </x:c>
      <x:c r="G29" s="7" t="s">
        <x:v>1140</x:v>
      </x:c>
      <x:c r="H29" s="7" t="s">
        <x:v>53</x:v>
      </x:c>
      <x:c r="I29" s="7" t="s">
        <x:v>1155</x:v>
      </x:c>
      <x:c r="J29" s="7" t="s">
        <x:v>1156</x:v>
      </x:c>
      <x:c r="K29" s="7" t="s">
        <x:v>1189</x:v>
      </x:c>
      <x:c r="L29" s="7" t="s">
        <x:v>1149</x:v>
      </x:c>
      <x:c r="M29" s="7" t="s">
        <x:v>1144</x:v>
      </x:c>
    </x:row>
    <x:row r="30" ht="37.5" hidden="0" customHeight="1">
      <x:c r="A30" s="7" t="s">
        <x:v>315</x:v>
      </x:c>
      <x:c r="B30" s="7" t="s">
        <x:v>313</x:v>
      </x:c>
      <x:c r="C30" s="7" t="s">
        <x:v>1153</x:v>
      </x:c>
      <x:c r="D30" s="7" t="s">
        <x:v>314</x:v>
      </x:c>
      <x:c r="E30" s="7" t="s">
        <x:v>1190</x:v>
      </x:c>
      <x:c r="F30" s="7" t="s">
        <x:v>1191</x:v>
      </x:c>
      <x:c r="G30" s="7" t="s">
        <x:v>1140</x:v>
      </x:c>
      <x:c r="H30" s="7" t="s">
        <x:v>53</x:v>
      </x:c>
      <x:c r="I30" s="7" t="s">
        <x:v>1155</x:v>
      </x:c>
      <x:c r="J30" s="7" t="s">
        <x:v>1156</x:v>
      </x:c>
      <x:c r="K30" s="7" t="s">
        <x:v>1190</x:v>
      </x:c>
      <x:c r="L30" s="7" t="s">
        <x:v>1149</x:v>
      </x:c>
      <x:c r="M30" s="7" t="s">
        <x:v>1144</x:v>
      </x:c>
    </x:row>
    <x:row r="31" ht="37.5" hidden="0" customHeight="1">
      <x:c r="A31" s="7" t="s">
        <x:v>326</x:v>
      </x:c>
      <x:c r="B31" s="7" t="s">
        <x:v>324</x:v>
      </x:c>
      <x:c r="C31" s="7" t="s">
        <x:v>1151</x:v>
      </x:c>
      <x:c r="D31" s="7" t="s">
        <x:v>1192</x:v>
      </x:c>
      <x:c r="E31" s="7" t="s">
        <x:v>1193</x:v>
      </x:c>
      <x:c r="F31" s="7" t="s">
        <x:v>53</x:v>
      </x:c>
      <x:c r="G31" s="7" t="s">
        <x:v>1140</x:v>
      </x:c>
      <x:c r="H31" s="7" t="s">
        <x:v>53</x:v>
      </x:c>
      <x:c r="I31" s="7" t="s">
        <x:v>53</x:v>
      </x:c>
      <x:c r="J31" s="7" t="s">
        <x:v>1142</x:v>
      </x:c>
      <x:c r="K31" s="7" t="s">
        <x:v>1193</x:v>
      </x:c>
      <x:c r="L31" s="7" t="s">
        <x:v>1149</x:v>
      </x:c>
      <x:c r="M31" s="7" t="s">
        <x:v>1144</x:v>
      </x:c>
    </x:row>
    <x:row r="32" ht="51.75" hidden="0" customHeight="1">
      <x:c r="A32" s="7" t="s">
        <x:v>332</x:v>
      </x:c>
      <x:c r="B32" s="7" t="s">
        <x:v>330</x:v>
      </x:c>
      <x:c r="C32" s="7" t="s">
        <x:v>1137</x:v>
      </x:c>
      <x:c r="D32" s="7" t="s">
        <x:v>1194</x:v>
      </x:c>
      <x:c r="E32" s="7" t="s">
        <x:v>1195</x:v>
      </x:c>
      <x:c r="F32" s="7" t="s">
        <x:v>53</x:v>
      </x:c>
      <x:c r="G32" s="7" t="s">
        <x:v>1140</x:v>
      </x:c>
      <x:c r="H32" s="7" t="s">
        <x:v>1141</x:v>
      </x:c>
      <x:c r="I32" s="7" t="s">
        <x:v>53</x:v>
      </x:c>
      <x:c r="J32" s="7" t="s">
        <x:v>1142</x:v>
      </x:c>
      <x:c r="K32" s="7" t="s">
        <x:v>1195</x:v>
      </x:c>
      <x:c r="L32" s="7" t="s">
        <x:v>1196</x:v>
      </x:c>
      <x:c r="M32" s="7" t="s">
        <x:v>1144</x:v>
      </x:c>
    </x:row>
    <x:row r="33" ht="37.5" hidden="0" customHeight="1">
      <x:c r="A33" s="7" t="s">
        <x:v>1197</x:v>
      </x:c>
      <x:c r="B33" s="7" t="s">
        <x:v>330</x:v>
      </x:c>
      <x:c r="C33" s="7" t="s">
        <x:v>1146</x:v>
      </x:c>
      <x:c r="D33" s="7" t="s">
        <x:v>1198</x:v>
      </x:c>
      <x:c r="E33" s="7" t="s">
        <x:v>1199</x:v>
      </x:c>
      <x:c r="F33" s="7" t="s">
        <x:v>53</x:v>
      </x:c>
      <x:c r="G33" s="7" t="s">
        <x:v>1140</x:v>
      </x:c>
      <x:c r="H33" s="7" t="s">
        <x:v>53</x:v>
      </x:c>
      <x:c r="I33" s="7" t="s">
        <x:v>53</x:v>
      </x:c>
      <x:c r="J33" s="7" t="s">
        <x:v>1142</x:v>
      </x:c>
      <x:c r="K33" s="7" t="s">
        <x:v>1199</x:v>
      </x:c>
      <x:c r="L33" s="7" t="s">
        <x:v>1149</x:v>
      </x:c>
      <x:c r="M33" s="7" t="s">
        <x:v>1144</x:v>
      </x:c>
    </x:row>
    <x:row r="34" ht="37.5" hidden="0" customHeight="1">
      <x:c r="A34" s="7" t="s">
        <x:v>1200</x:v>
      </x:c>
      <x:c r="B34" s="7" t="s">
        <x:v>330</x:v>
      </x:c>
      <x:c r="C34" s="7" t="s">
        <x:v>1201</x:v>
      </x:c>
      <x:c r="D34" s="7" t="s">
        <x:v>1202</x:v>
      </x:c>
      <x:c r="E34" s="7" t="s">
        <x:v>1203</x:v>
      </x:c>
      <x:c r="F34" s="7" t="s">
        <x:v>53</x:v>
      </x:c>
      <x:c r="G34" s="7" t="s">
        <x:v>1140</x:v>
      </x:c>
      <x:c r="H34" s="7" t="s">
        <x:v>53</x:v>
      </x:c>
      <x:c r="I34" s="7" t="s">
        <x:v>53</x:v>
      </x:c>
      <x:c r="J34" s="7" t="s">
        <x:v>1142</x:v>
      </x:c>
      <x:c r="K34" s="7" t="s">
        <x:v>1203</x:v>
      </x:c>
      <x:c r="L34" s="7" t="s">
        <x:v>1149</x:v>
      </x:c>
      <x:c r="M34" s="7" t="s">
        <x:v>1144</x:v>
      </x:c>
    </x:row>
    <x:row r="35" ht="37.5" hidden="0" customHeight="1">
      <x:c r="A35" s="7" t="s">
        <x:v>344</x:v>
      </x:c>
      <x:c r="B35" s="7" t="s">
        <x:v>342</x:v>
      </x:c>
      <x:c r="C35" s="7" t="s">
        <x:v>1153</x:v>
      </x:c>
      <x:c r="D35" s="7" t="s">
        <x:v>343</x:v>
      </x:c>
      <x:c r="E35" s="7" t="s">
        <x:v>1204</x:v>
      </x:c>
      <x:c r="F35" s="7" t="s">
        <x:v>343</x:v>
      </x:c>
      <x:c r="G35" s="7" t="s">
        <x:v>1140</x:v>
      </x:c>
      <x:c r="H35" s="7" t="s">
        <x:v>53</x:v>
      </x:c>
      <x:c r="I35" s="7" t="s">
        <x:v>1155</x:v>
      </x:c>
      <x:c r="J35" s="7" t="s">
        <x:v>1156</x:v>
      </x:c>
      <x:c r="K35" s="7" t="s">
        <x:v>1204</x:v>
      </x:c>
      <x:c r="L35" s="7" t="s">
        <x:v>1149</x:v>
      </x:c>
      <x:c r="M35" s="7" t="s">
        <x:v>1144</x:v>
      </x:c>
    </x:row>
    <x:row r="36" ht="37.5" hidden="0" customHeight="1">
      <x:c r="A36" s="7" t="s">
        <x:v>358</x:v>
      </x:c>
      <x:c r="B36" s="7" t="s">
        <x:v>356</x:v>
      </x:c>
      <x:c r="C36" s="7" t="s">
        <x:v>1153</x:v>
      </x:c>
      <x:c r="D36" s="7" t="s">
        <x:v>357</x:v>
      </x:c>
      <x:c r="E36" s="7" t="s">
        <x:v>1205</x:v>
      </x:c>
      <x:c r="F36" s="7" t="s">
        <x:v>1206</x:v>
      </x:c>
      <x:c r="G36" s="7" t="s">
        <x:v>1140</x:v>
      </x:c>
      <x:c r="H36" s="7" t="s">
        <x:v>53</x:v>
      </x:c>
      <x:c r="I36" s="7" t="s">
        <x:v>1155</x:v>
      </x:c>
      <x:c r="J36" s="7" t="s">
        <x:v>1156</x:v>
      </x:c>
      <x:c r="K36" s="7" t="s">
        <x:v>1205</x:v>
      </x:c>
      <x:c r="L36" s="7" t="s">
        <x:v>1149</x:v>
      </x:c>
      <x:c r="M36" s="7" t="s">
        <x:v>1144</x:v>
      </x:c>
    </x:row>
    <x:row r="37" ht="51.75" hidden="0" customHeight="1">
      <x:c r="A37" s="7" t="s">
        <x:v>371</x:v>
      </x:c>
      <x:c r="B37" s="7" t="s">
        <x:v>369</x:v>
      </x:c>
      <x:c r="C37" s="7" t="s">
        <x:v>1137</x:v>
      </x:c>
      <x:c r="D37" s="7" t="s">
        <x:v>1207</x:v>
      </x:c>
      <x:c r="E37" s="7" t="s">
        <x:v>1208</x:v>
      </x:c>
      <x:c r="F37" s="7" t="s">
        <x:v>53</x:v>
      </x:c>
      <x:c r="G37" s="7" t="s">
        <x:v>1140</x:v>
      </x:c>
      <x:c r="H37" s="7" t="s">
        <x:v>1141</x:v>
      </x:c>
      <x:c r="I37" s="7" t="s">
        <x:v>53</x:v>
      </x:c>
      <x:c r="J37" s="7" t="s">
        <x:v>1142</x:v>
      </x:c>
      <x:c r="K37" s="7" t="s">
        <x:v>1208</x:v>
      </x:c>
      <x:c r="L37" s="7" t="s">
        <x:v>1209</x:v>
      </x:c>
      <x:c r="M37" s="7" t="s">
        <x:v>1144</x:v>
      </x:c>
    </x:row>
    <x:row r="38" ht="37.5" hidden="0" customHeight="1">
      <x:c r="A38" s="7" t="s">
        <x:v>1210</x:v>
      </x:c>
      <x:c r="B38" s="7" t="s">
        <x:v>369</x:v>
      </x:c>
      <x:c r="C38" s="7" t="s">
        <x:v>1151</x:v>
      </x:c>
      <x:c r="D38" s="7" t="s">
        <x:v>1211</x:v>
      </x:c>
      <x:c r="E38" s="7" t="s">
        <x:v>1212</x:v>
      </x:c>
      <x:c r="F38" s="7" t="s">
        <x:v>53</x:v>
      </x:c>
      <x:c r="G38" s="7" t="s">
        <x:v>1140</x:v>
      </x:c>
      <x:c r="H38" s="7" t="s">
        <x:v>53</x:v>
      </x:c>
      <x:c r="I38" s="7" t="s">
        <x:v>53</x:v>
      </x:c>
      <x:c r="J38" s="7" t="s">
        <x:v>1142</x:v>
      </x:c>
      <x:c r="K38" s="7" t="s">
        <x:v>1212</x:v>
      </x:c>
      <x:c r="L38" s="7" t="s">
        <x:v>1149</x:v>
      </x:c>
      <x:c r="M38" s="7" t="s">
        <x:v>1144</x:v>
      </x:c>
    </x:row>
    <x:row r="39" ht="51.75" hidden="0" customHeight="1">
      <x:c r="A39" s="7" t="s">
        <x:v>382</x:v>
      </x:c>
      <x:c r="B39" s="7" t="s">
        <x:v>380</x:v>
      </x:c>
      <x:c r="C39" s="7" t="s">
        <x:v>1137</x:v>
      </x:c>
      <x:c r="D39" s="7" t="s">
        <x:v>1213</x:v>
      </x:c>
      <x:c r="E39" s="7" t="s">
        <x:v>1214</x:v>
      </x:c>
      <x:c r="F39" s="7" t="s">
        <x:v>53</x:v>
      </x:c>
      <x:c r="G39" s="7" t="s">
        <x:v>1140</x:v>
      </x:c>
      <x:c r="H39" s="7" t="s">
        <x:v>1141</x:v>
      </x:c>
      <x:c r="I39" s="7" t="s">
        <x:v>53</x:v>
      </x:c>
      <x:c r="J39" s="7" t="s">
        <x:v>1142</x:v>
      </x:c>
      <x:c r="K39" s="7" t="s">
        <x:v>1214</x:v>
      </x:c>
      <x:c r="L39" s="7" t="s">
        <x:v>1215</x:v>
      </x:c>
      <x:c r="M39" s="7" t="s">
        <x:v>1144</x:v>
      </x:c>
    </x:row>
    <x:row r="40" ht="37.5" hidden="0" customHeight="1">
      <x:c r="A40" s="7" t="s">
        <x:v>1216</x:v>
      </x:c>
      <x:c r="B40" s="7" t="s">
        <x:v>380</x:v>
      </x:c>
      <x:c r="C40" s="7" t="s">
        <x:v>1151</x:v>
      </x:c>
      <x:c r="D40" s="7" t="s">
        <x:v>1217</x:v>
      </x:c>
      <x:c r="E40" s="7" t="s">
        <x:v>1218</x:v>
      </x:c>
      <x:c r="F40" s="7" t="s">
        <x:v>53</x:v>
      </x:c>
      <x:c r="G40" s="7" t="s">
        <x:v>1140</x:v>
      </x:c>
      <x:c r="H40" s="7" t="s">
        <x:v>53</x:v>
      </x:c>
      <x:c r="I40" s="7" t="s">
        <x:v>53</x:v>
      </x:c>
      <x:c r="J40" s="7" t="s">
        <x:v>1142</x:v>
      </x:c>
      <x:c r="K40" s="7" t="s">
        <x:v>1218</x:v>
      </x:c>
      <x:c r="L40" s="7" t="s">
        <x:v>1149</x:v>
      </x:c>
      <x:c r="M40" s="7" t="s">
        <x:v>1144</x:v>
      </x:c>
    </x:row>
    <x:row r="41" ht="37.5" hidden="0" customHeight="1">
      <x:c r="A41" s="7" t="s">
        <x:v>392</x:v>
      </x:c>
      <x:c r="B41" s="7" t="s">
        <x:v>390</x:v>
      </x:c>
      <x:c r="C41" s="7" t="s">
        <x:v>1153</x:v>
      </x:c>
      <x:c r="D41" s="7" t="s">
        <x:v>391</x:v>
      </x:c>
      <x:c r="E41" s="7" t="s">
        <x:v>1219</x:v>
      </x:c>
      <x:c r="F41" s="7" t="s">
        <x:v>1220</x:v>
      </x:c>
      <x:c r="G41" s="7" t="s">
        <x:v>1140</x:v>
      </x:c>
      <x:c r="H41" s="7" t="s">
        <x:v>53</x:v>
      </x:c>
      <x:c r="I41" s="7" t="s">
        <x:v>1155</x:v>
      </x:c>
      <x:c r="J41" s="7" t="s">
        <x:v>1156</x:v>
      </x:c>
      <x:c r="K41" s="7" t="s">
        <x:v>1219</x:v>
      </x:c>
      <x:c r="L41" s="7" t="s">
        <x:v>1149</x:v>
      </x:c>
      <x:c r="M41" s="7" t="s">
        <x:v>1144</x:v>
      </x:c>
    </x:row>
    <x:row r="42" ht="37.5" hidden="0" customHeight="1">
      <x:c r="A42" s="7" t="s">
        <x:v>406</x:v>
      </x:c>
      <x:c r="B42" s="7" t="s">
        <x:v>404</x:v>
      </x:c>
      <x:c r="C42" s="7" t="s">
        <x:v>1153</x:v>
      </x:c>
      <x:c r="D42" s="7" t="s">
        <x:v>405</x:v>
      </x:c>
      <x:c r="E42" s="7" t="s">
        <x:v>1221</x:v>
      </x:c>
      <x:c r="F42" s="7" t="s">
        <x:v>1220</x:v>
      </x:c>
      <x:c r="G42" s="7" t="s">
        <x:v>1140</x:v>
      </x:c>
      <x:c r="H42" s="7" t="s">
        <x:v>53</x:v>
      </x:c>
      <x:c r="I42" s="7" t="s">
        <x:v>1155</x:v>
      </x:c>
      <x:c r="J42" s="7" t="s">
        <x:v>1156</x:v>
      </x:c>
      <x:c r="K42" s="7" t="s">
        <x:v>1221</x:v>
      </x:c>
      <x:c r="L42" s="7" t="s">
        <x:v>1149</x:v>
      </x:c>
      <x:c r="M42" s="7" t="s">
        <x:v>1144</x:v>
      </x:c>
    </x:row>
    <x:row r="43" ht="37.5" hidden="0" customHeight="1">
      <x:c r="A43" s="7" t="s">
        <x:v>419</x:v>
      </x:c>
      <x:c r="B43" s="7" t="s">
        <x:v>417</x:v>
      </x:c>
      <x:c r="C43" s="7" t="s">
        <x:v>1153</x:v>
      </x:c>
      <x:c r="D43" s="7" t="s">
        <x:v>418</x:v>
      </x:c>
      <x:c r="E43" s="7" t="s">
        <x:v>1222</x:v>
      </x:c>
      <x:c r="F43" s="7" t="s">
        <x:v>1220</x:v>
      </x:c>
      <x:c r="G43" s="7" t="s">
        <x:v>1140</x:v>
      </x:c>
      <x:c r="H43" s="7" t="s">
        <x:v>53</x:v>
      </x:c>
      <x:c r="I43" s="7" t="s">
        <x:v>1155</x:v>
      </x:c>
      <x:c r="J43" s="7" t="s">
        <x:v>1156</x:v>
      </x:c>
      <x:c r="K43" s="7" t="s">
        <x:v>1222</x:v>
      </x:c>
      <x:c r="L43" s="7" t="s">
        <x:v>1149</x:v>
      </x:c>
      <x:c r="M43" s="7" t="s">
        <x:v>1144</x:v>
      </x:c>
    </x:row>
    <x:row r="44" ht="37.5" hidden="0" customHeight="1">
      <x:c r="A44" s="7" t="s">
        <x:v>430</x:v>
      </x:c>
      <x:c r="B44" s="7" t="s">
        <x:v>428</x:v>
      </x:c>
      <x:c r="C44" s="7" t="s">
        <x:v>1201</x:v>
      </x:c>
      <x:c r="D44" s="7" t="s">
        <x:v>1223</x:v>
      </x:c>
      <x:c r="E44" s="7" t="s">
        <x:v>1224</x:v>
      </x:c>
      <x:c r="F44" s="7" t="s">
        <x:v>53</x:v>
      </x:c>
      <x:c r="G44" s="7" t="s">
        <x:v>1140</x:v>
      </x:c>
      <x:c r="H44" s="7" t="s">
        <x:v>53</x:v>
      </x:c>
      <x:c r="I44" s="7" t="s">
        <x:v>53</x:v>
      </x:c>
      <x:c r="J44" s="7" t="s">
        <x:v>1142</x:v>
      </x:c>
      <x:c r="K44" s="7" t="s">
        <x:v>1224</x:v>
      </x:c>
      <x:c r="L44" s="7" t="s">
        <x:v>1149</x:v>
      </x:c>
      <x:c r="M44" s="7" t="s">
        <x:v>1144</x:v>
      </x:c>
    </x:row>
    <x:row r="45" ht="37.5" hidden="0" customHeight="1">
      <x:c r="A45" s="7" t="s">
        <x:v>1225</x:v>
      </x:c>
      <x:c r="B45" s="7" t="s">
        <x:v>428</x:v>
      </x:c>
      <x:c r="C45" s="7" t="s">
        <x:v>1151</x:v>
      </x:c>
      <x:c r="D45" s="7" t="s">
        <x:v>1226</x:v>
      </x:c>
      <x:c r="E45" s="7" t="s">
        <x:v>1227</x:v>
      </x:c>
      <x:c r="F45" s="7" t="s">
        <x:v>53</x:v>
      </x:c>
      <x:c r="G45" s="7" t="s">
        <x:v>1140</x:v>
      </x:c>
      <x:c r="H45" s="7" t="s">
        <x:v>53</x:v>
      </x:c>
      <x:c r="I45" s="7" t="s">
        <x:v>53</x:v>
      </x:c>
      <x:c r="J45" s="7" t="s">
        <x:v>1142</x:v>
      </x:c>
      <x:c r="K45" s="7" t="s">
        <x:v>1227</x:v>
      </x:c>
      <x:c r="L45" s="7" t="s">
        <x:v>1149</x:v>
      </x:c>
      <x:c r="M45" s="7" t="s">
        <x:v>1144</x:v>
      </x:c>
    </x:row>
    <x:row r="46" ht="51.75" hidden="0" customHeight="1">
      <x:c r="A46" s="7" t="s">
        <x:v>440</x:v>
      </x:c>
      <x:c r="B46" s="7" t="s">
        <x:v>437</x:v>
      </x:c>
      <x:c r="C46" s="7" t="s">
        <x:v>1153</x:v>
      </x:c>
      <x:c r="D46" s="7" t="s">
        <x:v>438</x:v>
      </x:c>
      <x:c r="E46" s="7" t="s">
        <x:v>1228</x:v>
      </x:c>
      <x:c r="F46" s="7" t="s">
        <x:v>438</x:v>
      </x:c>
      <x:c r="G46" s="7" t="s">
        <x:v>1140</x:v>
      </x:c>
      <x:c r="H46" s="7" t="s">
        <x:v>53</x:v>
      </x:c>
      <x:c r="I46" s="7" t="s">
        <x:v>1159</x:v>
      </x:c>
      <x:c r="J46" s="7" t="s">
        <x:v>1156</x:v>
      </x:c>
      <x:c r="K46" s="7" t="s">
        <x:v>1228</x:v>
      </x:c>
      <x:c r="L46" s="7" t="s">
        <x:v>1149</x:v>
      </x:c>
      <x:c r="M46" s="7" t="s">
        <x:v>1144</x:v>
      </x:c>
    </x:row>
    <x:row r="47" ht="37.5" hidden="0" customHeight="1">
      <x:c r="A47" s="7" t="s">
        <x:v>454</x:v>
      </x:c>
      <x:c r="B47" s="7" t="s">
        <x:v>452</x:v>
      </x:c>
      <x:c r="C47" s="7" t="s">
        <x:v>1153</x:v>
      </x:c>
      <x:c r="D47" s="7" t="s">
        <x:v>453</x:v>
      </x:c>
      <x:c r="E47" s="7" t="s">
        <x:v>1229</x:v>
      </x:c>
      <x:c r="F47" s="7" t="s">
        <x:v>439</x:v>
      </x:c>
      <x:c r="G47" s="7" t="s">
        <x:v>1140</x:v>
      </x:c>
      <x:c r="H47" s="7" t="s">
        <x:v>53</x:v>
      </x:c>
      <x:c r="I47" s="7" t="s">
        <x:v>53</x:v>
      </x:c>
      <x:c r="J47" s="7" t="s">
        <x:v>1156</x:v>
      </x:c>
      <x:c r="K47" s="7" t="s">
        <x:v>1229</x:v>
      </x:c>
      <x:c r="L47" s="7" t="s">
        <x:v>1149</x:v>
      </x:c>
      <x:c r="M47" s="7" t="s">
        <x:v>1144</x:v>
      </x:c>
    </x:row>
    <x:row r="48" ht="51.75" hidden="0" customHeight="1">
      <x:c r="A48" s="7" t="s">
        <x:v>465</x:v>
      </x:c>
      <x:c r="B48" s="7" t="s">
        <x:v>463</x:v>
      </x:c>
      <x:c r="C48" s="7" t="s">
        <x:v>1137</x:v>
      </x:c>
      <x:c r="D48" s="7" t="s">
        <x:v>1230</x:v>
      </x:c>
      <x:c r="E48" s="7" t="s">
        <x:v>1231</x:v>
      </x:c>
      <x:c r="F48" s="7" t="s">
        <x:v>53</x:v>
      </x:c>
      <x:c r="G48" s="7" t="s">
        <x:v>1140</x:v>
      </x:c>
      <x:c r="H48" s="7" t="s">
        <x:v>1141</x:v>
      </x:c>
      <x:c r="I48" s="7" t="s">
        <x:v>53</x:v>
      </x:c>
      <x:c r="J48" s="7" t="s">
        <x:v>1142</x:v>
      </x:c>
      <x:c r="K48" s="7" t="s">
        <x:v>1231</x:v>
      </x:c>
      <x:c r="L48" s="7" t="s">
        <x:v>1232</x:v>
      </x:c>
      <x:c r="M48" s="7" t="s">
        <x:v>1144</x:v>
      </x:c>
    </x:row>
    <x:row r="49" ht="37.5" hidden="0" customHeight="1">
      <x:c r="A49" s="7" t="s">
        <x:v>1233</x:v>
      </x:c>
      <x:c r="B49" s="7" t="s">
        <x:v>463</x:v>
      </x:c>
      <x:c r="C49" s="7" t="s">
        <x:v>1201</x:v>
      </x:c>
      <x:c r="D49" s="7" t="s">
        <x:v>1234</x:v>
      </x:c>
      <x:c r="E49" s="7" t="s">
        <x:v>1235</x:v>
      </x:c>
      <x:c r="F49" s="7" t="s">
        <x:v>53</x:v>
      </x:c>
      <x:c r="G49" s="7" t="s">
        <x:v>1140</x:v>
      </x:c>
      <x:c r="H49" s="7" t="s">
        <x:v>53</x:v>
      </x:c>
      <x:c r="I49" s="7" t="s">
        <x:v>53</x:v>
      </x:c>
      <x:c r="J49" s="7" t="s">
        <x:v>1142</x:v>
      </x:c>
      <x:c r="K49" s="7" t="s">
        <x:v>1235</x:v>
      </x:c>
      <x:c r="L49" s="7" t="s">
        <x:v>1149</x:v>
      </x:c>
      <x:c r="M49" s="7" t="s">
        <x:v>1144</x:v>
      </x:c>
    </x:row>
    <x:row r="50" ht="37.5" hidden="0" customHeight="1">
      <x:c r="A50" s="7" t="s">
        <x:v>1236</x:v>
      </x:c>
      <x:c r="B50" s="7" t="s">
        <x:v>463</x:v>
      </x:c>
      <x:c r="C50" s="7" t="s">
        <x:v>1151</x:v>
      </x:c>
      <x:c r="D50" s="7" t="s">
        <x:v>1237</x:v>
      </x:c>
      <x:c r="E50" s="7" t="s">
        <x:v>1238</x:v>
      </x:c>
      <x:c r="F50" s="7" t="s">
        <x:v>53</x:v>
      </x:c>
      <x:c r="G50" s="7" t="s">
        <x:v>1140</x:v>
      </x:c>
      <x:c r="H50" s="7" t="s">
        <x:v>53</x:v>
      </x:c>
      <x:c r="I50" s="7" t="s">
        <x:v>53</x:v>
      </x:c>
      <x:c r="J50" s="7" t="s">
        <x:v>1142</x:v>
      </x:c>
      <x:c r="K50" s="7" t="s">
        <x:v>1238</x:v>
      </x:c>
      <x:c r="L50" s="7" t="s">
        <x:v>1149</x:v>
      </x:c>
      <x:c r="M50" s="7" t="s">
        <x:v>1144</x:v>
      </x:c>
    </x:row>
    <x:row r="51" ht="37.5" hidden="0" customHeight="1">
      <x:c r="A51" s="7" t="s">
        <x:v>475</x:v>
      </x:c>
      <x:c r="B51" s="7" t="s">
        <x:v>473</x:v>
      </x:c>
      <x:c r="C51" s="7" t="s">
        <x:v>1239</x:v>
      </x:c>
      <x:c r="D51" s="7" t="s">
        <x:v>1240</x:v>
      </x:c>
      <x:c r="E51" s="7" t="s">
        <x:v>1241</x:v>
      </x:c>
      <x:c r="F51" s="7" t="s">
        <x:v>53</x:v>
      </x:c>
      <x:c r="G51" s="7" t="s">
        <x:v>1140</x:v>
      </x:c>
      <x:c r="H51" s="7" t="s">
        <x:v>53</x:v>
      </x:c>
      <x:c r="I51" s="7" t="s">
        <x:v>53</x:v>
      </x:c>
      <x:c r="J51" s="7" t="s">
        <x:v>1142</x:v>
      </x:c>
      <x:c r="K51" s="7" t="s">
        <x:v>1241</x:v>
      </x:c>
      <x:c r="L51" s="7" t="s">
        <x:v>1149</x:v>
      </x:c>
      <x:c r="M51" s="7" t="s">
        <x:v>1144</x:v>
      </x:c>
    </x:row>
    <x:row r="52" ht="37.5" hidden="0" customHeight="1">
      <x:c r="A52" s="7" t="s">
        <x:v>484</x:v>
      </x:c>
      <x:c r="B52" s="7" t="s">
        <x:v>481</x:v>
      </x:c>
      <x:c r="C52" s="7" t="s">
        <x:v>1146</x:v>
      </x:c>
      <x:c r="D52" s="7" t="s">
        <x:v>1242</x:v>
      </x:c>
      <x:c r="E52" s="7" t="s">
        <x:v>1243</x:v>
      </x:c>
      <x:c r="F52" s="7" t="s">
        <x:v>53</x:v>
      </x:c>
      <x:c r="G52" s="7" t="s">
        <x:v>1140</x:v>
      </x:c>
      <x:c r="H52" s="7" t="s">
        <x:v>53</x:v>
      </x:c>
      <x:c r="I52" s="7" t="s">
        <x:v>53</x:v>
      </x:c>
      <x:c r="J52" s="7" t="s">
        <x:v>1142</x:v>
      </x:c>
      <x:c r="K52" s="7" t="s">
        <x:v>1243</x:v>
      </x:c>
      <x:c r="L52" s="7" t="s">
        <x:v>1149</x:v>
      </x:c>
      <x:c r="M52" s="7" t="s">
        <x:v>1144</x:v>
      </x:c>
    </x:row>
    <x:row r="53" ht="37.5" hidden="0" customHeight="1">
      <x:c r="A53" s="7" t="s">
        <x:v>1244</x:v>
      </x:c>
      <x:c r="B53" s="7" t="s">
        <x:v>481</x:v>
      </x:c>
      <x:c r="C53" s="7" t="s">
        <x:v>1151</x:v>
      </x:c>
      <x:c r="D53" s="7" t="s">
        <x:v>482</x:v>
      </x:c>
      <x:c r="E53" s="7" t="s">
        <x:v>1245</x:v>
      </x:c>
      <x:c r="F53" s="7" t="s">
        <x:v>53</x:v>
      </x:c>
      <x:c r="G53" s="7" t="s">
        <x:v>1140</x:v>
      </x:c>
      <x:c r="H53" s="7" t="s">
        <x:v>53</x:v>
      </x:c>
      <x:c r="I53" s="7" t="s">
        <x:v>53</x:v>
      </x:c>
      <x:c r="J53" s="7" t="s">
        <x:v>1142</x:v>
      </x:c>
      <x:c r="K53" s="7" t="s">
        <x:v>1245</x:v>
      </x:c>
      <x:c r="L53" s="7" t="s">
        <x:v>1149</x:v>
      </x:c>
      <x:c r="M53" s="7" t="s">
        <x:v>1144</x:v>
      </x:c>
    </x:row>
    <x:row r="54" ht="37.5" hidden="0" customHeight="1">
      <x:c r="A54" s="7" t="s">
        <x:v>497</x:v>
      </x:c>
      <x:c r="B54" s="7" t="s">
        <x:v>495</x:v>
      </x:c>
      <x:c r="C54" s="7" t="s">
        <x:v>1153</x:v>
      </x:c>
      <x:c r="D54" s="7" t="s">
        <x:v>496</x:v>
      </x:c>
      <x:c r="E54" s="7" t="s">
        <x:v>1246</x:v>
      </x:c>
      <x:c r="F54" s="7" t="s">
        <x:v>1247</x:v>
      </x:c>
      <x:c r="G54" s="7" t="s">
        <x:v>1140</x:v>
      </x:c>
      <x:c r="H54" s="7" t="s">
        <x:v>53</x:v>
      </x:c>
      <x:c r="I54" s="7" t="s">
        <x:v>1155</x:v>
      </x:c>
      <x:c r="J54" s="7" t="s">
        <x:v>1156</x:v>
      </x:c>
      <x:c r="K54" s="7" t="s">
        <x:v>1246</x:v>
      </x:c>
      <x:c r="L54" s="7" t="s">
        <x:v>1149</x:v>
      </x:c>
      <x:c r="M54" s="7" t="s">
        <x:v>1144</x:v>
      </x:c>
    </x:row>
    <x:row r="55" ht="37.5" hidden="0" customHeight="1">
      <x:c r="A55" s="7" t="s">
        <x:v>509</x:v>
      </x:c>
      <x:c r="B55" s="7" t="s">
        <x:v>507</x:v>
      </x:c>
      <x:c r="C55" s="7" t="s">
        <x:v>1153</x:v>
      </x:c>
      <x:c r="D55" s="7" t="s">
        <x:v>508</x:v>
      </x:c>
      <x:c r="E55" s="7" t="s">
        <x:v>1248</x:v>
      </x:c>
      <x:c r="F55" s="7" t="s">
        <x:v>1247</x:v>
      </x:c>
      <x:c r="G55" s="7" t="s">
        <x:v>1140</x:v>
      </x:c>
      <x:c r="H55" s="7" t="s">
        <x:v>53</x:v>
      </x:c>
      <x:c r="I55" s="7" t="s">
        <x:v>1155</x:v>
      </x:c>
      <x:c r="J55" s="7" t="s">
        <x:v>1156</x:v>
      </x:c>
      <x:c r="K55" s="7" t="s">
        <x:v>1248</x:v>
      </x:c>
      <x:c r="L55" s="7" t="s">
        <x:v>1149</x:v>
      </x:c>
      <x:c r="M55" s="7" t="s">
        <x:v>1144</x:v>
      </x:c>
    </x:row>
    <x:row r="56" ht="37.5" hidden="0" customHeight="1">
      <x:c r="A56" s="7" t="s">
        <x:v>521</x:v>
      </x:c>
      <x:c r="B56" s="7" t="s">
        <x:v>519</x:v>
      </x:c>
      <x:c r="C56" s="7" t="s">
        <x:v>1153</x:v>
      </x:c>
      <x:c r="D56" s="7" t="s">
        <x:v>520</x:v>
      </x:c>
      <x:c r="E56" s="7" t="s">
        <x:v>1249</x:v>
      </x:c>
      <x:c r="F56" s="7" t="s">
        <x:v>1247</x:v>
      </x:c>
      <x:c r="G56" s="7" t="s">
        <x:v>1140</x:v>
      </x:c>
      <x:c r="H56" s="7" t="s">
        <x:v>53</x:v>
      </x:c>
      <x:c r="I56" s="7" t="s">
        <x:v>1155</x:v>
      </x:c>
      <x:c r="J56" s="7" t="s">
        <x:v>1156</x:v>
      </x:c>
      <x:c r="K56" s="7" t="s">
        <x:v>1249</x:v>
      </x:c>
      <x:c r="L56" s="7" t="s">
        <x:v>1149</x:v>
      </x:c>
      <x:c r="M56" s="7" t="s">
        <x:v>1144</x:v>
      </x:c>
    </x:row>
    <x:row r="57" ht="37.5" hidden="0" customHeight="1">
      <x:c r="A57" s="7" t="s">
        <x:v>529</x:v>
      </x:c>
      <x:c r="B57" s="7" t="s">
        <x:v>527</x:v>
      </x:c>
      <x:c r="C57" s="7" t="s">
        <x:v>1153</x:v>
      </x:c>
      <x:c r="D57" s="7" t="s">
        <x:v>528</x:v>
      </x:c>
      <x:c r="E57" s="7" t="s">
        <x:v>1250</x:v>
      </x:c>
      <x:c r="F57" s="7" t="s">
        <x:v>1247</x:v>
      </x:c>
      <x:c r="G57" s="7" t="s">
        <x:v>1140</x:v>
      </x:c>
      <x:c r="H57" s="7" t="s">
        <x:v>53</x:v>
      </x:c>
      <x:c r="I57" s="7" t="s">
        <x:v>1155</x:v>
      </x:c>
      <x:c r="J57" s="7" t="s">
        <x:v>1156</x:v>
      </x:c>
      <x:c r="K57" s="7" t="s">
        <x:v>1250</x:v>
      </x:c>
      <x:c r="L57" s="7" t="s">
        <x:v>1149</x:v>
      </x:c>
      <x:c r="M57" s="7" t="s">
        <x:v>1144</x:v>
      </x:c>
    </x:row>
    <x:row r="58" ht="37.5" hidden="0" customHeight="1">
      <x:c r="A58" s="7" t="s">
        <x:v>535</x:v>
      </x:c>
      <x:c r="B58" s="7" t="s">
        <x:v>533</x:v>
      </x:c>
      <x:c r="C58" s="7" t="s">
        <x:v>1251</x:v>
      </x:c>
      <x:c r="D58" s="7" t="s">
        <x:v>1252</x:v>
      </x:c>
      <x:c r="E58" s="7" t="s">
        <x:v>1253</x:v>
      </x:c>
      <x:c r="F58" s="7" t="s">
        <x:v>53</x:v>
      </x:c>
      <x:c r="G58" s="7" t="s">
        <x:v>1140</x:v>
      </x:c>
      <x:c r="H58" s="7" t="s">
        <x:v>53</x:v>
      </x:c>
      <x:c r="I58" s="7" t="s">
        <x:v>53</x:v>
      </x:c>
      <x:c r="J58" s="7" t="s">
        <x:v>1142</x:v>
      </x:c>
      <x:c r="K58" s="7" t="s">
        <x:v>1253</x:v>
      </x:c>
      <x:c r="L58" s="7" t="s">
        <x:v>1149</x:v>
      </x:c>
      <x:c r="M58" s="7" t="s">
        <x:v>1144</x:v>
      </x:c>
    </x:row>
    <x:row r="59" ht="37.5" hidden="0" customHeight="1">
      <x:c r="A59" s="7" t="s">
        <x:v>1254</x:v>
      </x:c>
      <x:c r="B59" s="7" t="s">
        <x:v>533</x:v>
      </x:c>
      <x:c r="C59" s="7" t="s">
        <x:v>1146</x:v>
      </x:c>
      <x:c r="D59" s="7" t="s">
        <x:v>1255</x:v>
      </x:c>
      <x:c r="E59" s="7" t="s">
        <x:v>1256</x:v>
      </x:c>
      <x:c r="F59" s="7" t="s">
        <x:v>53</x:v>
      </x:c>
      <x:c r="G59" s="7" t="s">
        <x:v>1140</x:v>
      </x:c>
      <x:c r="H59" s="7" t="s">
        <x:v>53</x:v>
      </x:c>
      <x:c r="I59" s="7" t="s">
        <x:v>53</x:v>
      </x:c>
      <x:c r="J59" s="7" t="s">
        <x:v>1142</x:v>
      </x:c>
      <x:c r="K59" s="7" t="s">
        <x:v>1256</x:v>
      </x:c>
      <x:c r="L59" s="7" t="s">
        <x:v>1149</x:v>
      </x:c>
      <x:c r="M59" s="7" t="s">
        <x:v>1144</x:v>
      </x:c>
    </x:row>
    <x:row r="60" ht="37.5" hidden="0" customHeight="1">
      <x:c r="A60" s="7" t="s">
        <x:v>545</x:v>
      </x:c>
      <x:c r="B60" s="7" t="s">
        <x:v>543</x:v>
      </x:c>
      <x:c r="C60" s="7" t="s">
        <x:v>1257</x:v>
      </x:c>
      <x:c r="D60" s="7" t="s">
        <x:v>1258</x:v>
      </x:c>
      <x:c r="E60" s="7" t="s">
        <x:v>1259</x:v>
      </x:c>
      <x:c r="F60" s="7" t="s">
        <x:v>53</x:v>
      </x:c>
      <x:c r="G60" s="7" t="s">
        <x:v>1140</x:v>
      </x:c>
      <x:c r="H60" s="7" t="s">
        <x:v>53</x:v>
      </x:c>
      <x:c r="I60" s="7" t="s">
        <x:v>53</x:v>
      </x:c>
      <x:c r="J60" s="7" t="s">
        <x:v>1142</x:v>
      </x:c>
      <x:c r="K60" s="7" t="s">
        <x:v>1259</x:v>
      </x:c>
      <x:c r="L60" s="7" t="s">
        <x:v>1149</x:v>
      </x:c>
      <x:c r="M60" s="7" t="s">
        <x:v>1144</x:v>
      </x:c>
    </x:row>
    <x:row r="61" ht="37.5" hidden="0" customHeight="1">
      <x:c r="A61" s="7" t="s">
        <x:v>1260</x:v>
      </x:c>
      <x:c r="B61" s="7" t="s">
        <x:v>543</x:v>
      </x:c>
      <x:c r="C61" s="7" t="s">
        <x:v>1201</x:v>
      </x:c>
      <x:c r="D61" s="7" t="s">
        <x:v>1261</x:v>
      </x:c>
      <x:c r="E61" s="7" t="s">
        <x:v>1262</x:v>
      </x:c>
      <x:c r="F61" s="7" t="s">
        <x:v>53</x:v>
      </x:c>
      <x:c r="G61" s="7" t="s">
        <x:v>1140</x:v>
      </x:c>
      <x:c r="H61" s="7" t="s">
        <x:v>53</x:v>
      </x:c>
      <x:c r="I61" s="7" t="s">
        <x:v>53</x:v>
      </x:c>
      <x:c r="J61" s="7" t="s">
        <x:v>1142</x:v>
      </x:c>
      <x:c r="K61" s="7" t="s">
        <x:v>1262</x:v>
      </x:c>
      <x:c r="L61" s="7" t="s">
        <x:v>1149</x:v>
      </x:c>
      <x:c r="M61" s="7" t="s">
        <x:v>1144</x:v>
      </x:c>
    </x:row>
    <x:row r="62" ht="37.5" hidden="0" customHeight="1">
      <x:c r="A62" s="7" t="s">
        <x:v>553</x:v>
      </x:c>
      <x:c r="B62" s="7" t="s">
        <x:v>551</x:v>
      </x:c>
      <x:c r="C62" s="7" t="s">
        <x:v>1251</x:v>
      </x:c>
      <x:c r="D62" s="7" t="s">
        <x:v>1252</x:v>
      </x:c>
      <x:c r="E62" s="7" t="s">
        <x:v>1253</x:v>
      </x:c>
      <x:c r="F62" s="7" t="s">
        <x:v>53</x:v>
      </x:c>
      <x:c r="G62" s="7" t="s">
        <x:v>1140</x:v>
      </x:c>
      <x:c r="H62" s="7" t="s">
        <x:v>53</x:v>
      </x:c>
      <x:c r="I62" s="7" t="s">
        <x:v>53</x:v>
      </x:c>
      <x:c r="J62" s="7" t="s">
        <x:v>1142</x:v>
      </x:c>
      <x:c r="K62" s="7" t="s">
        <x:v>1253</x:v>
      </x:c>
      <x:c r="L62" s="7" t="s">
        <x:v>1149</x:v>
      </x:c>
      <x:c r="M62" s="7" t="s">
        <x:v>1144</x:v>
      </x:c>
    </x:row>
    <x:row r="63" ht="37.5" hidden="0" customHeight="1">
      <x:c r="A63" s="7" t="s">
        <x:v>562</x:v>
      </x:c>
      <x:c r="B63" s="7" t="s">
        <x:v>559</x:v>
      </x:c>
      <x:c r="C63" s="7" t="s">
        <x:v>1146</x:v>
      </x:c>
      <x:c r="D63" s="7" t="s">
        <x:v>1263</x:v>
      </x:c>
      <x:c r="E63" s="7" t="s">
        <x:v>1264</x:v>
      </x:c>
      <x:c r="F63" s="7" t="s">
        <x:v>53</x:v>
      </x:c>
      <x:c r="G63" s="7" t="s">
        <x:v>1140</x:v>
      </x:c>
      <x:c r="H63" s="7" t="s">
        <x:v>53</x:v>
      </x:c>
      <x:c r="I63" s="7" t="s">
        <x:v>53</x:v>
      </x:c>
      <x:c r="J63" s="7" t="s">
        <x:v>1142</x:v>
      </x:c>
      <x:c r="K63" s="7" t="s">
        <x:v>1264</x:v>
      </x:c>
      <x:c r="L63" s="7" t="s">
        <x:v>1149</x:v>
      </x:c>
      <x:c r="M63" s="7" t="s">
        <x:v>1144</x:v>
      </x:c>
    </x:row>
    <x:row r="64" ht="51.75" hidden="0" customHeight="1">
      <x:c r="A64" s="7" t="s">
        <x:v>1265</x:v>
      </x:c>
      <x:c r="B64" s="7" t="s">
        <x:v>559</x:v>
      </x:c>
      <x:c r="C64" s="7" t="s">
        <x:v>1137</x:v>
      </x:c>
      <x:c r="D64" s="7" t="s">
        <x:v>1266</x:v>
      </x:c>
      <x:c r="E64" s="7" t="s">
        <x:v>1267</x:v>
      </x:c>
      <x:c r="F64" s="7" t="s">
        <x:v>53</x:v>
      </x:c>
      <x:c r="G64" s="7" t="s">
        <x:v>1140</x:v>
      </x:c>
      <x:c r="H64" s="7" t="s">
        <x:v>1141</x:v>
      </x:c>
      <x:c r="I64" s="7" t="s">
        <x:v>53</x:v>
      </x:c>
      <x:c r="J64" s="7" t="s">
        <x:v>1142</x:v>
      </x:c>
      <x:c r="K64" s="7" t="s">
        <x:v>1267</x:v>
      </x:c>
      <x:c r="L64" s="7" t="s">
        <x:v>1268</x:v>
      </x:c>
      <x:c r="M64" s="7" t="s">
        <x:v>1144</x:v>
      </x:c>
    </x:row>
    <x:row r="65" ht="37.5" hidden="0" customHeight="1">
      <x:c r="A65" s="7" t="s">
        <x:v>1269</x:v>
      </x:c>
      <x:c r="B65" s="7" t="s">
        <x:v>559</x:v>
      </x:c>
      <x:c r="C65" s="7" t="s">
        <x:v>1201</x:v>
      </x:c>
      <x:c r="D65" s="7" t="s">
        <x:v>1270</x:v>
      </x:c>
      <x:c r="E65" s="7" t="s">
        <x:v>1271</x:v>
      </x:c>
      <x:c r="F65" s="7" t="s">
        <x:v>53</x:v>
      </x:c>
      <x:c r="G65" s="7" t="s">
        <x:v>1140</x:v>
      </x:c>
      <x:c r="H65" s="7" t="s">
        <x:v>53</x:v>
      </x:c>
      <x:c r="I65" s="7" t="s">
        <x:v>53</x:v>
      </x:c>
      <x:c r="J65" s="7" t="s">
        <x:v>1142</x:v>
      </x:c>
      <x:c r="K65" s="7" t="s">
        <x:v>1271</x:v>
      </x:c>
      <x:c r="L65" s="7" t="s">
        <x:v>1149</x:v>
      </x:c>
      <x:c r="M65" s="7" t="s">
        <x:v>1144</x:v>
      </x:c>
    </x:row>
    <x:row r="66" ht="37.5" hidden="0" customHeight="1">
      <x:c r="A66" s="7" t="s">
        <x:v>578</x:v>
      </x:c>
      <x:c r="B66" s="7" t="s">
        <x:v>576</x:v>
      </x:c>
      <x:c r="C66" s="7" t="s">
        <x:v>1153</x:v>
      </x:c>
      <x:c r="D66" s="7" t="s">
        <x:v>577</x:v>
      </x:c>
      <x:c r="E66" s="7" t="s">
        <x:v>1272</x:v>
      </x:c>
      <x:c r="F66" s="7" t="s">
        <x:v>1273</x:v>
      </x:c>
      <x:c r="G66" s="7" t="s">
        <x:v>1140</x:v>
      </x:c>
      <x:c r="H66" s="7" t="s">
        <x:v>53</x:v>
      </x:c>
      <x:c r="I66" s="7" t="s">
        <x:v>1155</x:v>
      </x:c>
      <x:c r="J66" s="7" t="s">
        <x:v>1156</x:v>
      </x:c>
      <x:c r="K66" s="7" t="s">
        <x:v>1272</x:v>
      </x:c>
      <x:c r="L66" s="7" t="s">
        <x:v>1149</x:v>
      </x:c>
      <x:c r="M66" s="7" t="s">
        <x:v>1144</x:v>
      </x:c>
    </x:row>
    <x:row r="67" ht="37.5" hidden="0" customHeight="1">
      <x:c r="A67" s="7" t="s">
        <x:v>591</x:v>
      </x:c>
      <x:c r="B67" s="7" t="s">
        <x:v>589</x:v>
      </x:c>
      <x:c r="C67" s="7" t="s">
        <x:v>1201</x:v>
      </x:c>
      <x:c r="D67" s="7" t="s">
        <x:v>1270</x:v>
      </x:c>
      <x:c r="E67" s="7" t="s">
        <x:v>1271</x:v>
      </x:c>
      <x:c r="F67" s="7" t="s">
        <x:v>53</x:v>
      </x:c>
      <x:c r="G67" s="7" t="s">
        <x:v>1140</x:v>
      </x:c>
      <x:c r="H67" s="7" t="s">
        <x:v>53</x:v>
      </x:c>
      <x:c r="I67" s="7" t="s">
        <x:v>53</x:v>
      </x:c>
      <x:c r="J67" s="7" t="s">
        <x:v>1142</x:v>
      </x:c>
      <x:c r="K67" s="7" t="s">
        <x:v>1271</x:v>
      </x:c>
      <x:c r="L67" s="7" t="s">
        <x:v>1149</x:v>
      </x:c>
      <x:c r="M67" s="7" t="s">
        <x:v>1144</x:v>
      </x:c>
    </x:row>
    <x:row r="68" ht="37.5" hidden="0" customHeight="1">
      <x:c r="A68" s="7" t="s">
        <x:v>600</x:v>
      </x:c>
      <x:c r="B68" s="7" t="s">
        <x:v>598</x:v>
      </x:c>
      <x:c r="C68" s="7" t="s">
        <x:v>1153</x:v>
      </x:c>
      <x:c r="D68" s="7" t="s">
        <x:v>599</x:v>
      </x:c>
      <x:c r="E68" s="7" t="s">
        <x:v>1274</x:v>
      </x:c>
      <x:c r="F68" s="7" t="s">
        <x:v>1275</x:v>
      </x:c>
      <x:c r="G68" s="7" t="s">
        <x:v>1140</x:v>
      </x:c>
      <x:c r="H68" s="7" t="s">
        <x:v>53</x:v>
      </x:c>
      <x:c r="I68" s="7" t="s">
        <x:v>1155</x:v>
      </x:c>
      <x:c r="J68" s="7" t="s">
        <x:v>1156</x:v>
      </x:c>
      <x:c r="K68" s="7" t="s">
        <x:v>1274</x:v>
      </x:c>
      <x:c r="L68" s="7" t="s">
        <x:v>1149</x:v>
      </x:c>
      <x:c r="M68" s="7" t="s">
        <x:v>1144</x:v>
      </x:c>
    </x:row>
    <x:row r="69" ht="37.5" hidden="0" customHeight="1">
      <x:c r="A69" s="7" t="s">
        <x:v>610</x:v>
      </x:c>
      <x:c r="B69" s="7" t="s">
        <x:v>608</x:v>
      </x:c>
      <x:c r="C69" s="7" t="s">
        <x:v>1153</x:v>
      </x:c>
      <x:c r="D69" s="7" t="s">
        <x:v>609</x:v>
      </x:c>
      <x:c r="E69" s="7" t="s">
        <x:v>1276</x:v>
      </x:c>
      <x:c r="F69" s="7" t="s">
        <x:v>1277</x:v>
      </x:c>
      <x:c r="G69" s="7" t="s">
        <x:v>1140</x:v>
      </x:c>
      <x:c r="H69" s="7" t="s">
        <x:v>53</x:v>
      </x:c>
      <x:c r="I69" s="7" t="s">
        <x:v>1155</x:v>
      </x:c>
      <x:c r="J69" s="7" t="s">
        <x:v>1156</x:v>
      </x:c>
      <x:c r="K69" s="7" t="s">
        <x:v>1276</x:v>
      </x:c>
      <x:c r="L69" s="7" t="s">
        <x:v>1149</x:v>
      </x:c>
      <x:c r="M69" s="7" t="s">
        <x:v>1144</x:v>
      </x:c>
    </x:row>
    <x:row r="70" ht="51.75" hidden="0" customHeight="1">
      <x:c r="A70" s="7" t="s">
        <x:v>618</x:v>
      </x:c>
      <x:c r="B70" s="7" t="s">
        <x:v>616</x:v>
      </x:c>
      <x:c r="C70" s="7" t="s">
        <x:v>1137</x:v>
      </x:c>
      <x:c r="D70" s="7" t="s">
        <x:v>1278</x:v>
      </x:c>
      <x:c r="E70" s="7" t="s">
        <x:v>1279</x:v>
      </x:c>
      <x:c r="F70" s="7" t="s">
        <x:v>53</x:v>
      </x:c>
      <x:c r="G70" s="7" t="s">
        <x:v>1140</x:v>
      </x:c>
      <x:c r="H70" s="7" t="s">
        <x:v>1141</x:v>
      </x:c>
      <x:c r="I70" s="7" t="s">
        <x:v>53</x:v>
      </x:c>
      <x:c r="J70" s="7" t="s">
        <x:v>1142</x:v>
      </x:c>
      <x:c r="K70" s="7" t="s">
        <x:v>1279</x:v>
      </x:c>
      <x:c r="L70" s="7" t="s">
        <x:v>1280</x:v>
      </x:c>
      <x:c r="M70" s="7" t="s">
        <x:v>1144</x:v>
      </x:c>
    </x:row>
    <x:row r="71" ht="51.75" hidden="0" customHeight="1">
      <x:c r="A71" s="7" t="s">
        <x:v>629</x:v>
      </x:c>
      <x:c r="B71" s="7" t="s">
        <x:v>627</x:v>
      </x:c>
      <x:c r="C71" s="7" t="s">
        <x:v>1137</x:v>
      </x:c>
      <x:c r="D71" s="7" t="s">
        <x:v>1281</x:v>
      </x:c>
      <x:c r="E71" s="7" t="s">
        <x:v>1282</x:v>
      </x:c>
      <x:c r="F71" s="7" t="s">
        <x:v>53</x:v>
      </x:c>
      <x:c r="G71" s="7" t="s">
        <x:v>1140</x:v>
      </x:c>
      <x:c r="H71" s="7" t="s">
        <x:v>1141</x:v>
      </x:c>
      <x:c r="I71" s="7" t="s">
        <x:v>53</x:v>
      </x:c>
      <x:c r="J71" s="7" t="s">
        <x:v>1142</x:v>
      </x:c>
      <x:c r="K71" s="7" t="s">
        <x:v>1282</x:v>
      </x:c>
      <x:c r="L71" s="7" t="s">
        <x:v>1283</x:v>
      </x:c>
      <x:c r="M71" s="7" t="s">
        <x:v>1144</x:v>
      </x:c>
    </x:row>
    <x:row r="72" ht="37.5" hidden="0" customHeight="1">
      <x:c r="A72" s="7" t="s">
        <x:v>1284</x:v>
      </x:c>
      <x:c r="B72" s="7" t="s">
        <x:v>627</x:v>
      </x:c>
      <x:c r="C72" s="7" t="s">
        <x:v>1146</x:v>
      </x:c>
      <x:c r="D72" s="7" t="s">
        <x:v>1285</x:v>
      </x:c>
      <x:c r="E72" s="7" t="s">
        <x:v>1286</x:v>
      </x:c>
      <x:c r="F72" s="7" t="s">
        <x:v>53</x:v>
      </x:c>
      <x:c r="G72" s="7" t="s">
        <x:v>1140</x:v>
      </x:c>
      <x:c r="H72" s="7" t="s">
        <x:v>53</x:v>
      </x:c>
      <x:c r="I72" s="7" t="s">
        <x:v>53</x:v>
      </x:c>
      <x:c r="J72" s="7" t="s">
        <x:v>1142</x:v>
      </x:c>
      <x:c r="K72" s="7" t="s">
        <x:v>1286</x:v>
      </x:c>
      <x:c r="L72" s="7" t="s">
        <x:v>1149</x:v>
      </x:c>
      <x:c r="M72" s="7" t="s">
        <x:v>1144</x:v>
      </x:c>
    </x:row>
    <x:row r="73" ht="37.5" hidden="0" customHeight="1">
      <x:c r="A73" s="7" t="s">
        <x:v>1287</x:v>
      </x:c>
      <x:c r="B73" s="7" t="s">
        <x:v>627</x:v>
      </x:c>
      <x:c r="C73" s="7" t="s">
        <x:v>1201</x:v>
      </x:c>
      <x:c r="D73" s="7" t="s">
        <x:v>1288</x:v>
      </x:c>
      <x:c r="E73" s="7" t="s">
        <x:v>1289</x:v>
      </x:c>
      <x:c r="F73" s="7" t="s">
        <x:v>53</x:v>
      </x:c>
      <x:c r="G73" s="7" t="s">
        <x:v>1140</x:v>
      </x:c>
      <x:c r="H73" s="7" t="s">
        <x:v>53</x:v>
      </x:c>
      <x:c r="I73" s="7" t="s">
        <x:v>53</x:v>
      </x:c>
      <x:c r="J73" s="7" t="s">
        <x:v>1142</x:v>
      </x:c>
      <x:c r="K73" s="7" t="s">
        <x:v>1289</x:v>
      </x:c>
      <x:c r="L73" s="7" t="s">
        <x:v>1149</x:v>
      </x:c>
      <x:c r="M73" s="7" t="s">
        <x:v>1144</x:v>
      </x:c>
    </x:row>
    <x:row r="74" ht="51.75" hidden="0" customHeight="1">
      <x:c r="A74" s="7" t="s">
        <x:v>641</x:v>
      </x:c>
      <x:c r="B74" s="7" t="s">
        <x:v>639</x:v>
      </x:c>
      <x:c r="C74" s="7" t="s">
        <x:v>1137</x:v>
      </x:c>
      <x:c r="D74" s="7" t="s">
        <x:v>1290</x:v>
      </x:c>
      <x:c r="E74" s="7" t="s">
        <x:v>1291</x:v>
      </x:c>
      <x:c r="F74" s="7" t="s">
        <x:v>53</x:v>
      </x:c>
      <x:c r="G74" s="7" t="s">
        <x:v>1140</x:v>
      </x:c>
      <x:c r="H74" s="7" t="s">
        <x:v>1141</x:v>
      </x:c>
      <x:c r="I74" s="7" t="s">
        <x:v>53</x:v>
      </x:c>
      <x:c r="J74" s="7" t="s">
        <x:v>1142</x:v>
      </x:c>
      <x:c r="K74" s="7" t="s">
        <x:v>1291</x:v>
      </x:c>
      <x:c r="L74" s="7" t="s">
        <x:v>1292</x:v>
      </x:c>
      <x:c r="M74" s="7" t="s">
        <x:v>1144</x:v>
      </x:c>
    </x:row>
    <x:row r="75" ht="37.5" hidden="0" customHeight="1">
      <x:c r="A75" s="7" t="s">
        <x:v>658</x:v>
      </x:c>
      <x:c r="B75" s="7" t="s">
        <x:v>656</x:v>
      </x:c>
      <x:c r="C75" s="7" t="s">
        <x:v>1146</x:v>
      </x:c>
      <x:c r="D75" s="7" t="s">
        <x:v>1263</x:v>
      </x:c>
      <x:c r="E75" s="7" t="s">
        <x:v>1264</x:v>
      </x:c>
      <x:c r="F75" s="7" t="s">
        <x:v>53</x:v>
      </x:c>
      <x:c r="G75" s="7" t="s">
        <x:v>1140</x:v>
      </x:c>
      <x:c r="H75" s="7" t="s">
        <x:v>53</x:v>
      </x:c>
      <x:c r="I75" s="7" t="s">
        <x:v>53</x:v>
      </x:c>
      <x:c r="J75" s="7" t="s">
        <x:v>1142</x:v>
      </x:c>
      <x:c r="K75" s="7" t="s">
        <x:v>1264</x:v>
      </x:c>
      <x:c r="L75" s="7" t="s">
        <x:v>1149</x:v>
      </x:c>
      <x:c r="M75" s="7" t="s">
        <x:v>1144</x:v>
      </x:c>
    </x:row>
    <x:row r="76" ht="51.75" hidden="0" customHeight="1">
      <x:c r="A76" s="7" t="s">
        <x:v>1293</x:v>
      </x:c>
      <x:c r="B76" s="7" t="s">
        <x:v>656</x:v>
      </x:c>
      <x:c r="C76" s="7" t="s">
        <x:v>1137</x:v>
      </x:c>
      <x:c r="D76" s="7" t="s">
        <x:v>1266</x:v>
      </x:c>
      <x:c r="E76" s="7" t="s">
        <x:v>1267</x:v>
      </x:c>
      <x:c r="F76" s="7" t="s">
        <x:v>53</x:v>
      </x:c>
      <x:c r="G76" s="7" t="s">
        <x:v>1140</x:v>
      </x:c>
      <x:c r="H76" s="7" t="s">
        <x:v>1141</x:v>
      </x:c>
      <x:c r="I76" s="7" t="s">
        <x:v>53</x:v>
      </x:c>
      <x:c r="J76" s="7" t="s">
        <x:v>1142</x:v>
      </x:c>
      <x:c r="K76" s="7" t="s">
        <x:v>1267</x:v>
      </x:c>
      <x:c r="L76" s="7" t="s">
        <x:v>1268</x:v>
      </x:c>
      <x:c r="M76" s="7" t="s">
        <x:v>1144</x:v>
      </x:c>
    </x:row>
    <x:row r="77" ht="37.5" hidden="0" customHeight="1">
      <x:c r="A77" s="7" t="s">
        <x:v>673</x:v>
      </x:c>
      <x:c r="B77" s="7" t="s">
        <x:v>671</x:v>
      </x:c>
      <x:c r="C77" s="7" t="s">
        <x:v>1146</x:v>
      </x:c>
      <x:c r="D77" s="7" t="s">
        <x:v>1294</x:v>
      </x:c>
      <x:c r="E77" s="7" t="s">
        <x:v>1295</x:v>
      </x:c>
      <x:c r="F77" s="7" t="s">
        <x:v>53</x:v>
      </x:c>
      <x:c r="G77" s="7" t="s">
        <x:v>1140</x:v>
      </x:c>
      <x:c r="H77" s="7" t="s">
        <x:v>53</x:v>
      </x:c>
      <x:c r="I77" s="7" t="s">
        <x:v>53</x:v>
      </x:c>
      <x:c r="J77" s="7" t="s">
        <x:v>1142</x:v>
      </x:c>
      <x:c r="K77" s="7" t="s">
        <x:v>1295</x:v>
      </x:c>
      <x:c r="L77" s="7" t="s">
        <x:v>1149</x:v>
      </x:c>
      <x:c r="M77" s="7" t="s">
        <x:v>1144</x:v>
      </x:c>
    </x:row>
    <x:row r="78" ht="37.5" hidden="0" customHeight="1">
      <x:c r="A78" s="7" t="s">
        <x:v>689</x:v>
      </x:c>
      <x:c r="B78" s="7" t="s">
        <x:v>687</x:v>
      </x:c>
      <x:c r="C78" s="7" t="s">
        <x:v>1146</x:v>
      </x:c>
      <x:c r="D78" s="7" t="s">
        <x:v>1263</x:v>
      </x:c>
      <x:c r="E78" s="7" t="s">
        <x:v>1264</x:v>
      </x:c>
      <x:c r="F78" s="7" t="s">
        <x:v>53</x:v>
      </x:c>
      <x:c r="G78" s="7" t="s">
        <x:v>1140</x:v>
      </x:c>
      <x:c r="H78" s="7" t="s">
        <x:v>53</x:v>
      </x:c>
      <x:c r="I78" s="7" t="s">
        <x:v>53</x:v>
      </x:c>
      <x:c r="J78" s="7" t="s">
        <x:v>1142</x:v>
      </x:c>
      <x:c r="K78" s="7" t="s">
        <x:v>1264</x:v>
      </x:c>
      <x:c r="L78" s="7" t="s">
        <x:v>1149</x:v>
      </x:c>
      <x:c r="M78" s="7" t="s">
        <x:v>1144</x:v>
      </x:c>
    </x:row>
    <x:row r="79" ht="51.75" hidden="0" customHeight="1">
      <x:c r="A79" s="7" t="s">
        <x:v>1296</x:v>
      </x:c>
      <x:c r="B79" s="7" t="s">
        <x:v>687</x:v>
      </x:c>
      <x:c r="C79" s="7" t="s">
        <x:v>1137</x:v>
      </x:c>
      <x:c r="D79" s="7" t="s">
        <x:v>1266</x:v>
      </x:c>
      <x:c r="E79" s="7" t="s">
        <x:v>1267</x:v>
      </x:c>
      <x:c r="F79" s="7" t="s">
        <x:v>53</x:v>
      </x:c>
      <x:c r="G79" s="7" t="s">
        <x:v>1140</x:v>
      </x:c>
      <x:c r="H79" s="7" t="s">
        <x:v>1141</x:v>
      </x:c>
      <x:c r="I79" s="7" t="s">
        <x:v>53</x:v>
      </x:c>
      <x:c r="J79" s="7" t="s">
        <x:v>1142</x:v>
      </x:c>
      <x:c r="K79" s="7" t="s">
        <x:v>1267</x:v>
      </x:c>
      <x:c r="L79" s="7" t="s">
        <x:v>1268</x:v>
      </x:c>
      <x:c r="M79" s="7" t="s">
        <x:v>1144</x:v>
      </x:c>
    </x:row>
    <x:row r="80" ht="51.75" hidden="0" customHeight="1">
      <x:c r="A80" s="7" t="s">
        <x:v>699</x:v>
      </x:c>
      <x:c r="B80" s="7" t="s">
        <x:v>697</x:v>
      </x:c>
      <x:c r="C80" s="7" t="s">
        <x:v>1137</x:v>
      </x:c>
      <x:c r="D80" s="7" t="s">
        <x:v>1281</x:v>
      </x:c>
      <x:c r="E80" s="7" t="s">
        <x:v>1282</x:v>
      </x:c>
      <x:c r="F80" s="7" t="s">
        <x:v>53</x:v>
      </x:c>
      <x:c r="G80" s="7" t="s">
        <x:v>1140</x:v>
      </x:c>
      <x:c r="H80" s="7" t="s">
        <x:v>1141</x:v>
      </x:c>
      <x:c r="I80" s="7" t="s">
        <x:v>53</x:v>
      </x:c>
      <x:c r="J80" s="7" t="s">
        <x:v>1142</x:v>
      </x:c>
      <x:c r="K80" s="7" t="s">
        <x:v>1282</x:v>
      </x:c>
      <x:c r="L80" s="7" t="s">
        <x:v>1283</x:v>
      </x:c>
      <x:c r="M80" s="7" t="s">
        <x:v>1144</x:v>
      </x:c>
    </x:row>
    <x:row r="81" ht="37.5" hidden="0" customHeight="1">
      <x:c r="A81" s="7" t="s">
        <x:v>1297</x:v>
      </x:c>
      <x:c r="B81" s="7" t="s">
        <x:v>697</x:v>
      </x:c>
      <x:c r="C81" s="7" t="s">
        <x:v>1146</x:v>
      </x:c>
      <x:c r="D81" s="7" t="s">
        <x:v>1294</x:v>
      </x:c>
      <x:c r="E81" s="7" t="s">
        <x:v>1295</x:v>
      </x:c>
      <x:c r="F81" s="7" t="s">
        <x:v>53</x:v>
      </x:c>
      <x:c r="G81" s="7" t="s">
        <x:v>1140</x:v>
      </x:c>
      <x:c r="H81" s="7" t="s">
        <x:v>53</x:v>
      </x:c>
      <x:c r="I81" s="7" t="s">
        <x:v>53</x:v>
      </x:c>
      <x:c r="J81" s="7" t="s">
        <x:v>1142</x:v>
      </x:c>
      <x:c r="K81" s="7" t="s">
        <x:v>1295</x:v>
      </x:c>
      <x:c r="L81" s="7" t="s">
        <x:v>1149</x:v>
      </x:c>
      <x:c r="M81" s="7" t="s">
        <x:v>1144</x:v>
      </x:c>
    </x:row>
    <x:row r="82" ht="37.5" hidden="0" customHeight="1">
      <x:c r="A82" s="7" t="s">
        <x:v>1298</x:v>
      </x:c>
      <x:c r="B82" s="7" t="s">
        <x:v>697</x:v>
      </x:c>
      <x:c r="C82" s="7" t="s">
        <x:v>1151</x:v>
      </x:c>
      <x:c r="D82" s="7" t="s">
        <x:v>1299</x:v>
      </x:c>
      <x:c r="E82" s="7" t="s">
        <x:v>1300</x:v>
      </x:c>
      <x:c r="F82" s="7" t="s">
        <x:v>53</x:v>
      </x:c>
      <x:c r="G82" s="7" t="s">
        <x:v>1140</x:v>
      </x:c>
      <x:c r="H82" s="7" t="s">
        <x:v>53</x:v>
      </x:c>
      <x:c r="I82" s="7" t="s">
        <x:v>53</x:v>
      </x:c>
      <x:c r="J82" s="7" t="s">
        <x:v>1142</x:v>
      </x:c>
      <x:c r="K82" s="7" t="s">
        <x:v>1300</x:v>
      </x:c>
      <x:c r="L82" s="7" t="s">
        <x:v>1149</x:v>
      </x:c>
      <x:c r="M82" s="7" t="s">
        <x:v>1144</x:v>
      </x:c>
    </x:row>
    <x:row r="83" ht="37.5" hidden="0" customHeight="1">
      <x:c r="A83" s="7" t="s">
        <x:v>710</x:v>
      </x:c>
      <x:c r="B83" s="7" t="s">
        <x:v>708</x:v>
      </x:c>
      <x:c r="C83" s="7" t="s">
        <x:v>1137</x:v>
      </x:c>
      <x:c r="D83" s="7" t="s">
        <x:v>1301</x:v>
      </x:c>
      <x:c r="E83" s="7" t="s">
        <x:v>1302</x:v>
      </x:c>
      <x:c r="F83" s="7" t="s">
        <x:v>53</x:v>
      </x:c>
      <x:c r="G83" s="7" t="s">
        <x:v>1140</x:v>
      </x:c>
      <x:c r="H83" s="7" t="s">
        <x:v>53</x:v>
      </x:c>
      <x:c r="I83" s="7" t="s">
        <x:v>53</x:v>
      </x:c>
      <x:c r="J83" s="7" t="s">
        <x:v>1142</x:v>
      </x:c>
      <x:c r="K83" s="7" t="s">
        <x:v>1302</x:v>
      </x:c>
      <x:c r="L83" s="7" t="s">
        <x:v>1149</x:v>
      </x:c>
      <x:c r="M83" s="7" t="s">
        <x:v>1144</x:v>
      </x:c>
    </x:row>
    <x:row r="84" ht="37.5" hidden="0" customHeight="1">
      <x:c r="A84" s="7" t="s">
        <x:v>1303</x:v>
      </x:c>
      <x:c r="B84" s="7" t="s">
        <x:v>708</x:v>
      </x:c>
      <x:c r="C84" s="7" t="s">
        <x:v>1146</x:v>
      </x:c>
      <x:c r="D84" s="7" t="s">
        <x:v>1304</x:v>
      </x:c>
      <x:c r="E84" s="7" t="s">
        <x:v>1305</x:v>
      </x:c>
      <x:c r="F84" s="7" t="s">
        <x:v>53</x:v>
      </x:c>
      <x:c r="G84" s="7" t="s">
        <x:v>1140</x:v>
      </x:c>
      <x:c r="H84" s="7" t="s">
        <x:v>53</x:v>
      </x:c>
      <x:c r="I84" s="7" t="s">
        <x:v>53</x:v>
      </x:c>
      <x:c r="J84" s="7" t="s">
        <x:v>1142</x:v>
      </x:c>
      <x:c r="K84" s="7" t="s">
        <x:v>1305</x:v>
      </x:c>
      <x:c r="L84" s="7" t="s">
        <x:v>1149</x:v>
      </x:c>
      <x:c r="M84" s="7" t="s">
        <x:v>1144</x:v>
      </x:c>
    </x:row>
    <x:row r="85" ht="37.5" hidden="0" customHeight="1">
      <x:c r="A85" s="7" t="s">
        <x:v>721</x:v>
      </x:c>
      <x:c r="B85" s="7" t="s">
        <x:v>719</x:v>
      </x:c>
      <x:c r="C85" s="7" t="s">
        <x:v>1137</x:v>
      </x:c>
      <x:c r="D85" s="7" t="s">
        <x:v>1306</x:v>
      </x:c>
      <x:c r="E85" s="7" t="s">
        <x:v>1307</x:v>
      </x:c>
      <x:c r="F85" s="7" t="s">
        <x:v>53</x:v>
      </x:c>
      <x:c r="G85" s="7" t="s">
        <x:v>1140</x:v>
      </x:c>
      <x:c r="H85" s="7" t="s">
        <x:v>53</x:v>
      </x:c>
      <x:c r="I85" s="7" t="s">
        <x:v>53</x:v>
      </x:c>
      <x:c r="J85" s="7" t="s">
        <x:v>1142</x:v>
      </x:c>
      <x:c r="K85" s="7" t="s">
        <x:v>1307</x:v>
      </x:c>
      <x:c r="L85" s="7" t="s">
        <x:v>1149</x:v>
      </x:c>
      <x:c r="M85" s="7" t="s">
        <x:v>1144</x:v>
      </x:c>
    </x:row>
    <x:row r="86" ht="37.5" hidden="0" customHeight="1">
      <x:c r="A86" s="7" t="s">
        <x:v>1308</x:v>
      </x:c>
      <x:c r="B86" s="7" t="s">
        <x:v>719</x:v>
      </x:c>
      <x:c r="C86" s="7" t="s">
        <x:v>1146</x:v>
      </x:c>
      <x:c r="D86" s="7" t="s">
        <x:v>1309</x:v>
      </x:c>
      <x:c r="E86" s="7" t="s">
        <x:v>1310</x:v>
      </x:c>
      <x:c r="F86" s="7" t="s">
        <x:v>53</x:v>
      </x:c>
      <x:c r="G86" s="7" t="s">
        <x:v>1140</x:v>
      </x:c>
      <x:c r="H86" s="7" t="s">
        <x:v>53</x:v>
      </x:c>
      <x:c r="I86" s="7" t="s">
        <x:v>53</x:v>
      </x:c>
      <x:c r="J86" s="7" t="s">
        <x:v>1142</x:v>
      </x:c>
      <x:c r="K86" s="7" t="s">
        <x:v>1310</x:v>
      </x:c>
      <x:c r="L86" s="7" t="s">
        <x:v>1149</x:v>
      </x:c>
      <x:c r="M86" s="7" t="s">
        <x:v>1144</x:v>
      </x:c>
    </x:row>
    <x:row r="87" ht="37.5" hidden="0" customHeight="1">
      <x:c r="A87" s="7" t="s">
        <x:v>730</x:v>
      </x:c>
      <x:c r="B87" s="7" t="s">
        <x:v>728</x:v>
      </x:c>
      <x:c r="C87" s="7" t="s">
        <x:v>1146</x:v>
      </x:c>
      <x:c r="D87" s="7" t="s">
        <x:v>1309</x:v>
      </x:c>
      <x:c r="E87" s="7" t="s">
        <x:v>1310</x:v>
      </x:c>
      <x:c r="F87" s="7" t="s">
        <x:v>53</x:v>
      </x:c>
      <x:c r="G87" s="7" t="s">
        <x:v>1140</x:v>
      </x:c>
      <x:c r="H87" s="7" t="s">
        <x:v>53</x:v>
      </x:c>
      <x:c r="I87" s="7" t="s">
        <x:v>53</x:v>
      </x:c>
      <x:c r="J87" s="7" t="s">
        <x:v>1142</x:v>
      </x:c>
      <x:c r="K87" s="7" t="s">
        <x:v>1310</x:v>
      </x:c>
      <x:c r="L87" s="7" t="s">
        <x:v>1149</x:v>
      </x:c>
      <x:c r="M87" s="7" t="s">
        <x:v>1144</x:v>
      </x:c>
    </x:row>
    <x:row r="88" ht="37.5" hidden="0" customHeight="1">
      <x:c r="A88" s="7" t="s">
        <x:v>741</x:v>
      </x:c>
      <x:c r="B88" s="7" t="s">
        <x:v>738</x:v>
      </x:c>
      <x:c r="C88" s="7" t="s">
        <x:v>1311</x:v>
      </x:c>
      <x:c r="D88" s="7" t="s">
        <x:v>1312</x:v>
      </x:c>
      <x:c r="E88" s="7" t="s">
        <x:v>1313</x:v>
      </x:c>
      <x:c r="F88" s="7" t="s">
        <x:v>53</x:v>
      </x:c>
      <x:c r="G88" s="7" t="s">
        <x:v>1140</x:v>
      </x:c>
      <x:c r="H88" s="7" t="s">
        <x:v>53</x:v>
      </x:c>
      <x:c r="I88" s="7" t="s">
        <x:v>53</x:v>
      </x:c>
      <x:c r="J88" s="7" t="s">
        <x:v>1142</x:v>
      </x:c>
      <x:c r="K88" s="7" t="s">
        <x:v>1313</x:v>
      </x:c>
      <x:c r="L88" s="7" t="s">
        <x:v>1149</x:v>
      </x:c>
      <x:c r="M88" s="7" t="s">
        <x:v>1144</x:v>
      </x:c>
    </x:row>
    <x:row r="89" ht="37.5" hidden="0" customHeight="1">
      <x:c r="A89" s="7" t="s">
        <x:v>751</x:v>
      </x:c>
      <x:c r="B89" s="7" t="s">
        <x:v>749</x:v>
      </x:c>
      <x:c r="C89" s="7" t="s">
        <x:v>1153</x:v>
      </x:c>
      <x:c r="D89" s="7" t="s">
        <x:v>750</x:v>
      </x:c>
      <x:c r="E89" s="7" t="s">
        <x:v>1314</x:v>
      </x:c>
      <x:c r="F89" s="7" t="s">
        <x:v>1315</x:v>
      </x:c>
      <x:c r="G89" s="7" t="s">
        <x:v>1140</x:v>
      </x:c>
      <x:c r="H89" s="7" t="s">
        <x:v>53</x:v>
      </x:c>
      <x:c r="I89" s="7" t="s">
        <x:v>1155</x:v>
      </x:c>
      <x:c r="J89" s="7" t="s">
        <x:v>1156</x:v>
      </x:c>
      <x:c r="K89" s="7" t="s">
        <x:v>1314</x:v>
      </x:c>
      <x:c r="L89" s="7" t="s">
        <x:v>1149</x:v>
      </x:c>
      <x:c r="M89" s="7" t="s">
        <x:v>1144</x:v>
      </x:c>
    </x:row>
    <x:row r="90" ht="37.5" hidden="0" customHeight="1">
      <x:c r="A90" s="7" t="s">
        <x:v>761</x:v>
      </x:c>
      <x:c r="B90" s="7" t="s">
        <x:v>759</x:v>
      </x:c>
      <x:c r="C90" s="7" t="s">
        <x:v>1316</x:v>
      </x:c>
      <x:c r="D90" s="7" t="s">
        <x:v>760</x:v>
      </x:c>
      <x:c r="E90" s="7" t="s">
        <x:v>1317</x:v>
      </x:c>
      <x:c r="F90" s="7" t="s">
        <x:v>1318</x:v>
      </x:c>
      <x:c r="G90" s="7" t="s">
        <x:v>1140</x:v>
      </x:c>
      <x:c r="H90" s="7" t="s">
        <x:v>53</x:v>
      </x:c>
      <x:c r="I90" s="7" t="s">
        <x:v>53</x:v>
      </x:c>
      <x:c r="J90" s="7" t="s">
        <x:v>1142</x:v>
      </x:c>
      <x:c r="K90" s="7" t="s">
        <x:v>1317</x:v>
      </x:c>
      <x:c r="L90" s="7" t="s">
        <x:v>1149</x:v>
      </x:c>
      <x:c r="M90" s="7" t="s">
        <x:v>1144</x:v>
      </x:c>
    </x:row>
    <x:row r="91" ht="37.5" hidden="0" customHeight="1">
      <x:c r="A91" s="7" t="s">
        <x:v>771</x:v>
      </x:c>
      <x:c r="B91" s="7" t="s">
        <x:v>768</x:v>
      </x:c>
      <x:c r="C91" s="7" t="s">
        <x:v>1319</x:v>
      </x:c>
      <x:c r="D91" s="7" t="s">
        <x:v>1320</x:v>
      </x:c>
      <x:c r="E91" s="7" t="s">
        <x:v>1321</x:v>
      </x:c>
      <x:c r="F91" s="7" t="s">
        <x:v>53</x:v>
      </x:c>
      <x:c r="G91" s="7" t="s">
        <x:v>1140</x:v>
      </x:c>
      <x:c r="H91" s="7" t="s">
        <x:v>53</x:v>
      </x:c>
      <x:c r="I91" s="7" t="s">
        <x:v>53</x:v>
      </x:c>
      <x:c r="J91" s="7" t="s">
        <x:v>1142</x:v>
      </x:c>
      <x:c r="K91" s="7" t="s">
        <x:v>1321</x:v>
      </x:c>
      <x:c r="L91" s="7" t="s">
        <x:v>1149</x:v>
      </x:c>
      <x:c r="M91" s="7" t="s">
        <x:v>1144</x:v>
      </x:c>
    </x:row>
    <x:row r="92" ht="37.5" hidden="0" customHeight="1">
      <x:c r="A92" s="7" t="s">
        <x:v>782</x:v>
      </x:c>
      <x:c r="B92" s="7" t="s">
        <x:v>780</x:v>
      </x:c>
      <x:c r="C92" s="7" t="s">
        <x:v>1153</x:v>
      </x:c>
      <x:c r="D92" s="7" t="s">
        <x:v>781</x:v>
      </x:c>
      <x:c r="E92" s="7" t="s">
        <x:v>1322</x:v>
      </x:c>
      <x:c r="F92" s="7" t="s">
        <x:v>1323</x:v>
      </x:c>
      <x:c r="G92" s="7" t="s">
        <x:v>1140</x:v>
      </x:c>
      <x:c r="H92" s="7" t="s">
        <x:v>53</x:v>
      </x:c>
      <x:c r="I92" s="7" t="s">
        <x:v>1155</x:v>
      </x:c>
      <x:c r="J92" s="7" t="s">
        <x:v>1156</x:v>
      </x:c>
      <x:c r="K92" s="7" t="s">
        <x:v>1322</x:v>
      </x:c>
      <x:c r="L92" s="7" t="s">
        <x:v>1149</x:v>
      </x:c>
      <x:c r="M92" s="7" t="s">
        <x:v>1144</x:v>
      </x:c>
    </x:row>
    <x:row r="93" ht="37.5" hidden="0" customHeight="1">
      <x:c r="A93" s="7" t="s">
        <x:v>794</x:v>
      </x:c>
      <x:c r="B93" s="7" t="s">
        <x:v>792</x:v>
      </x:c>
      <x:c r="C93" s="7" t="s">
        <x:v>1319</x:v>
      </x:c>
      <x:c r="D93" s="7" t="s">
        <x:v>793</x:v>
      </x:c>
      <x:c r="E93" s="7" t="s">
        <x:v>1324</x:v>
      </x:c>
      <x:c r="F93" s="7" t="s">
        <x:v>53</x:v>
      </x:c>
      <x:c r="G93" s="7" t="s">
        <x:v>1140</x:v>
      </x:c>
      <x:c r="H93" s="7" t="s">
        <x:v>53</x:v>
      </x:c>
      <x:c r="I93" s="7" t="s">
        <x:v>53</x:v>
      </x:c>
      <x:c r="J93" s="7" t="s">
        <x:v>1142</x:v>
      </x:c>
      <x:c r="K93" s="7" t="s">
        <x:v>1324</x:v>
      </x:c>
      <x:c r="L93" s="7" t="s">
        <x:v>1149</x:v>
      </x:c>
      <x:c r="M93" s="7" t="s">
        <x:v>1144</x:v>
      </x:c>
    </x:row>
    <x:row r="94" ht="51.75" hidden="0" customHeight="1">
      <x:c r="A94" s="7" t="s">
        <x:v>804</x:v>
      </x:c>
      <x:c r="B94" s="7" t="s">
        <x:v>802</x:v>
      </x:c>
      <x:c r="C94" s="7" t="s">
        <x:v>1137</x:v>
      </x:c>
      <x:c r="D94" s="7" t="s">
        <x:v>1325</x:v>
      </x:c>
      <x:c r="E94" s="7" t="s">
        <x:v>1326</x:v>
      </x:c>
      <x:c r="F94" s="7" t="s">
        <x:v>53</x:v>
      </x:c>
      <x:c r="G94" s="7" t="s">
        <x:v>1140</x:v>
      </x:c>
      <x:c r="H94" s="7" t="s">
        <x:v>1141</x:v>
      </x:c>
      <x:c r="I94" s="7" t="s">
        <x:v>53</x:v>
      </x:c>
      <x:c r="J94" s="7" t="s">
        <x:v>1142</x:v>
      </x:c>
      <x:c r="K94" s="7" t="s">
        <x:v>1326</x:v>
      </x:c>
      <x:c r="L94" s="7" t="s">
        <x:v>1327</x:v>
      </x:c>
      <x:c r="M94" s="7" t="s">
        <x:v>1144</x:v>
      </x:c>
    </x:row>
    <x:row r="95" ht="37.5" hidden="0" customHeight="1">
      <x:c r="A95" s="7" t="s">
        <x:v>1328</x:v>
      </x:c>
      <x:c r="B95" s="7" t="s">
        <x:v>802</x:v>
      </x:c>
      <x:c r="C95" s="7" t="s">
        <x:v>1201</x:v>
      </x:c>
      <x:c r="D95" s="7" t="s">
        <x:v>1329</x:v>
      </x:c>
      <x:c r="E95" s="7" t="s">
        <x:v>1330</x:v>
      </x:c>
      <x:c r="F95" s="7" t="s">
        <x:v>53</x:v>
      </x:c>
      <x:c r="G95" s="7" t="s">
        <x:v>1140</x:v>
      </x:c>
      <x:c r="H95" s="7" t="s">
        <x:v>53</x:v>
      </x:c>
      <x:c r="I95" s="7" t="s">
        <x:v>53</x:v>
      </x:c>
      <x:c r="J95" s="7" t="s">
        <x:v>1142</x:v>
      </x:c>
      <x:c r="K95" s="7" t="s">
        <x:v>1330</x:v>
      </x:c>
      <x:c r="L95" s="7" t="s">
        <x:v>1149</x:v>
      </x:c>
      <x:c r="M95" s="7" t="s">
        <x:v>1144</x:v>
      </x:c>
    </x:row>
    <x:row r="96" ht="37.5" hidden="0" customHeight="1">
      <x:c r="A96" s="7" t="s">
        <x:v>815</x:v>
      </x:c>
      <x:c r="B96" s="7" t="s">
        <x:v>813</x:v>
      </x:c>
      <x:c r="C96" s="7" t="s">
        <x:v>1153</x:v>
      </x:c>
      <x:c r="D96" s="7" t="s">
        <x:v>814</x:v>
      </x:c>
      <x:c r="E96" s="7" t="s">
        <x:v>1331</x:v>
      </x:c>
      <x:c r="F96" s="7" t="s">
        <x:v>1332</x:v>
      </x:c>
      <x:c r="G96" s="7" t="s">
        <x:v>1140</x:v>
      </x:c>
      <x:c r="H96" s="7" t="s">
        <x:v>53</x:v>
      </x:c>
      <x:c r="I96" s="7" t="s">
        <x:v>53</x:v>
      </x:c>
      <x:c r="J96" s="7" t="s">
        <x:v>1156</x:v>
      </x:c>
      <x:c r="K96" s="7" t="s">
        <x:v>1331</x:v>
      </x:c>
      <x:c r="L96" s="7" t="s">
        <x:v>1149</x:v>
      </x:c>
      <x:c r="M96" s="7" t="s">
        <x:v>1144</x:v>
      </x:c>
    </x:row>
    <x:row r="97" ht="37.5" hidden="0" customHeight="1">
      <x:c r="A97" s="7" t="s">
        <x:v>826</x:v>
      </x:c>
      <x:c r="B97" s="7" t="s">
        <x:v>824</x:v>
      </x:c>
      <x:c r="C97" s="7" t="s">
        <x:v>1319</x:v>
      </x:c>
      <x:c r="D97" s="7" t="s">
        <x:v>825</x:v>
      </x:c>
      <x:c r="E97" s="7" t="s">
        <x:v>1333</x:v>
      </x:c>
      <x:c r="F97" s="7" t="s">
        <x:v>53</x:v>
      </x:c>
      <x:c r="G97" s="7" t="s">
        <x:v>1140</x:v>
      </x:c>
      <x:c r="H97" s="7" t="s">
        <x:v>53</x:v>
      </x:c>
      <x:c r="I97" s="7" t="s">
        <x:v>53</x:v>
      </x:c>
      <x:c r="J97" s="7" t="s">
        <x:v>1142</x:v>
      </x:c>
      <x:c r="K97" s="7" t="s">
        <x:v>1333</x:v>
      </x:c>
      <x:c r="L97" s="7" t="s">
        <x:v>1149</x:v>
      </x:c>
      <x:c r="M97" s="7" t="s">
        <x:v>1144</x:v>
      </x:c>
    </x:row>
    <x:row r="98" ht="37.5" hidden="0" customHeight="1">
      <x:c r="A98" s="7" t="s">
        <x:v>1334</x:v>
      </x:c>
      <x:c r="B98" s="7" t="s">
        <x:v>824</x:v>
      </x:c>
      <x:c r="C98" s="7" t="s">
        <x:v>1146</x:v>
      </x:c>
      <x:c r="D98" s="7" t="s">
        <x:v>1335</x:v>
      </x:c>
      <x:c r="E98" s="7" t="s">
        <x:v>1336</x:v>
      </x:c>
      <x:c r="F98" s="7" t="s">
        <x:v>53</x:v>
      </x:c>
      <x:c r="G98" s="7" t="s">
        <x:v>1140</x:v>
      </x:c>
      <x:c r="H98" s="7" t="s">
        <x:v>53</x:v>
      </x:c>
      <x:c r="I98" s="7" t="s">
        <x:v>53</x:v>
      </x:c>
      <x:c r="J98" s="7" t="s">
        <x:v>1142</x:v>
      </x:c>
      <x:c r="K98" s="7" t="s">
        <x:v>1336</x:v>
      </x:c>
      <x:c r="L98" s="7" t="s">
        <x:v>1149</x:v>
      </x:c>
      <x:c r="M98" s="7" t="s">
        <x:v>1144</x:v>
      </x:c>
    </x:row>
    <x:row r="99" ht="37.5" hidden="0" customHeight="1">
      <x:c r="A99" s="7" t="s">
        <x:v>837</x:v>
      </x:c>
      <x:c r="B99" s="7" t="s">
        <x:v>834</x:v>
      </x:c>
      <x:c r="C99" s="7" t="s">
        <x:v>1153</x:v>
      </x:c>
      <x:c r="D99" s="7" t="s">
        <x:v>835</x:v>
      </x:c>
      <x:c r="E99" s="7" t="s">
        <x:v>1337</x:v>
      </x:c>
      <x:c r="F99" s="7" t="s">
        <x:v>1338</x:v>
      </x:c>
      <x:c r="G99" s="7" t="s">
        <x:v>1140</x:v>
      </x:c>
      <x:c r="H99" s="7" t="s">
        <x:v>53</x:v>
      </x:c>
      <x:c r="I99" s="7" t="s">
        <x:v>1155</x:v>
      </x:c>
      <x:c r="J99" s="7" t="s">
        <x:v>1156</x:v>
      </x:c>
      <x:c r="K99" s="7" t="s">
        <x:v>1337</x:v>
      </x:c>
      <x:c r="L99" s="7" t="s">
        <x:v>1149</x:v>
      </x:c>
      <x:c r="M99" s="7" t="s">
        <x:v>1144</x:v>
      </x:c>
    </x:row>
    <x:row r="100" ht="37.5" hidden="0" customHeight="1">
      <x:c r="A100" s="7" t="s">
        <x:v>849</x:v>
      </x:c>
      <x:c r="B100" s="7" t="s">
        <x:v>847</x:v>
      </x:c>
      <x:c r="C100" s="7" t="s">
        <x:v>1339</x:v>
      </x:c>
      <x:c r="D100" s="7" t="s">
        <x:v>848</x:v>
      </x:c>
      <x:c r="E100" s="7" t="s">
        <x:v>1340</x:v>
      </x:c>
      <x:c r="F100" s="7" t="s">
        <x:v>53</x:v>
      </x:c>
      <x:c r="G100" s="7" t="s">
        <x:v>1140</x:v>
      </x:c>
      <x:c r="H100" s="7" t="s">
        <x:v>53</x:v>
      </x:c>
      <x:c r="I100" s="7" t="s">
        <x:v>53</x:v>
      </x:c>
      <x:c r="J100" s="7" t="s">
        <x:v>1142</x:v>
      </x:c>
      <x:c r="K100" s="7" t="s">
        <x:v>1340</x:v>
      </x:c>
      <x:c r="L100" s="7" t="s">
        <x:v>1149</x:v>
      </x:c>
      <x:c r="M100" s="7" t="s">
        <x:v>1144</x:v>
      </x:c>
    </x:row>
    <x:row r="101" ht="37.5" hidden="0" customHeight="1">
      <x:c r="A101" s="7" t="s">
        <x:v>863</x:v>
      </x:c>
      <x:c r="B101" s="7" t="s">
        <x:v>861</x:v>
      </x:c>
      <x:c r="C101" s="7" t="s">
        <x:v>1153</x:v>
      </x:c>
      <x:c r="D101" s="7" t="s">
        <x:v>862</x:v>
      </x:c>
      <x:c r="E101" s="7" t="s">
        <x:v>1341</x:v>
      </x:c>
      <x:c r="F101" s="7" t="s">
        <x:v>1161</x:v>
      </x:c>
      <x:c r="G101" s="7" t="s">
        <x:v>1140</x:v>
      </x:c>
      <x:c r="H101" s="7" t="s">
        <x:v>53</x:v>
      </x:c>
      <x:c r="I101" s="7" t="s">
        <x:v>1155</x:v>
      </x:c>
      <x:c r="J101" s="7" t="s">
        <x:v>1156</x:v>
      </x:c>
      <x:c r="K101" s="7" t="s">
        <x:v>1341</x:v>
      </x:c>
      <x:c r="L101" s="7" t="s">
        <x:v>1149</x:v>
      </x:c>
      <x:c r="M101" s="7" t="s">
        <x:v>1144</x:v>
      </x:c>
    </x:row>
    <x:row r="102" ht="37.5" hidden="0" customHeight="1">
      <x:c r="A102" s="7" t="s">
        <x:v>872</x:v>
      </x:c>
      <x:c r="B102" s="7" t="s">
        <x:v>870</x:v>
      </x:c>
      <x:c r="C102" s="7" t="s">
        <x:v>1153</x:v>
      </x:c>
      <x:c r="D102" s="7" t="s">
        <x:v>871</x:v>
      </x:c>
      <x:c r="E102" s="7" t="s">
        <x:v>1342</x:v>
      </x:c>
      <x:c r="F102" s="7" t="s">
        <x:v>885</x:v>
      </x:c>
      <x:c r="G102" s="7" t="s">
        <x:v>1140</x:v>
      </x:c>
      <x:c r="H102" s="7" t="s">
        <x:v>53</x:v>
      </x:c>
      <x:c r="I102" s="7" t="s">
        <x:v>1155</x:v>
      </x:c>
      <x:c r="J102" s="7" t="s">
        <x:v>1156</x:v>
      </x:c>
      <x:c r="K102" s="7" t="s">
        <x:v>1342</x:v>
      </x:c>
      <x:c r="L102" s="7" t="s">
        <x:v>1149</x:v>
      </x:c>
      <x:c r="M102" s="7" t="s">
        <x:v>1144</x:v>
      </x:c>
    </x:row>
    <x:row r="103" ht="37.5" hidden="0" customHeight="1">
      <x:c r="A103" s="7" t="s">
        <x:v>880</x:v>
      </x:c>
      <x:c r="B103" s="7" t="s">
        <x:v>878</x:v>
      </x:c>
      <x:c r="C103" s="7" t="s">
        <x:v>1153</x:v>
      </x:c>
      <x:c r="D103" s="7" t="s">
        <x:v>879</x:v>
      </x:c>
      <x:c r="E103" s="7" t="s">
        <x:v>1343</x:v>
      </x:c>
      <x:c r="F103" s="7" t="s">
        <x:v>1344</x:v>
      </x:c>
      <x:c r="G103" s="7" t="s">
        <x:v>1140</x:v>
      </x:c>
      <x:c r="H103" s="7" t="s">
        <x:v>53</x:v>
      </x:c>
      <x:c r="I103" s="7" t="s">
        <x:v>53</x:v>
      </x:c>
      <x:c r="J103" s="7" t="s">
        <x:v>1156</x:v>
      </x:c>
      <x:c r="K103" s="7" t="s">
        <x:v>1343</x:v>
      </x:c>
      <x:c r="L103" s="7" t="s">
        <x:v>1149</x:v>
      </x:c>
      <x:c r="M103" s="7" t="s">
        <x:v>1144</x:v>
      </x:c>
    </x:row>
    <x:row r="104" ht="51.75" hidden="0" customHeight="1">
      <x:c r="A104" s="7" t="s">
        <x:v>887</x:v>
      </x:c>
      <x:c r="B104" s="7" t="s">
        <x:v>884</x:v>
      </x:c>
      <x:c r="C104" s="7" t="s">
        <x:v>1137</x:v>
      </x:c>
      <x:c r="D104" s="7" t="s">
        <x:v>1345</x:v>
      </x:c>
      <x:c r="E104" s="7" t="s">
        <x:v>1346</x:v>
      </x:c>
      <x:c r="F104" s="7" t="s">
        <x:v>53</x:v>
      </x:c>
      <x:c r="G104" s="7" t="s">
        <x:v>1140</x:v>
      </x:c>
      <x:c r="H104" s="7" t="s">
        <x:v>1141</x:v>
      </x:c>
      <x:c r="I104" s="7" t="s">
        <x:v>53</x:v>
      </x:c>
      <x:c r="J104" s="7" t="s">
        <x:v>1142</x:v>
      </x:c>
      <x:c r="K104" s="7" t="s">
        <x:v>1346</x:v>
      </x:c>
      <x:c r="L104" s="7" t="s">
        <x:v>1347</x:v>
      </x:c>
      <x:c r="M104" s="7" t="s">
        <x:v>1144</x:v>
      </x:c>
    </x:row>
    <x:row r="105" ht="37.5" hidden="0" customHeight="1">
      <x:c r="A105" s="7" t="s">
        <x:v>1348</x:v>
      </x:c>
      <x:c r="B105" s="7" t="s">
        <x:v>884</x:v>
      </x:c>
      <x:c r="C105" s="7" t="s">
        <x:v>1201</x:v>
      </x:c>
      <x:c r="D105" s="7" t="s">
        <x:v>1349</x:v>
      </x:c>
      <x:c r="E105" s="7" t="s">
        <x:v>1350</x:v>
      </x:c>
      <x:c r="F105" s="7" t="s">
        <x:v>53</x:v>
      </x:c>
      <x:c r="G105" s="7" t="s">
        <x:v>1140</x:v>
      </x:c>
      <x:c r="H105" s="7" t="s">
        <x:v>53</x:v>
      </x:c>
      <x:c r="I105" s="7" t="s">
        <x:v>53</x:v>
      </x:c>
      <x:c r="J105" s="7" t="s">
        <x:v>1142</x:v>
      </x:c>
      <x:c r="K105" s="7" t="s">
        <x:v>1350</x:v>
      </x:c>
      <x:c r="L105" s="7" t="s">
        <x:v>1149</x:v>
      </x:c>
      <x:c r="M105" s="7" t="s">
        <x:v>1144</x:v>
      </x:c>
    </x:row>
    <x:row r="106" ht="37.5" hidden="0" customHeight="1">
      <x:c r="A106" s="7" t="s">
        <x:v>901</x:v>
      </x:c>
      <x:c r="B106" s="7" t="s">
        <x:v>898</x:v>
      </x:c>
      <x:c r="C106" s="7" t="s">
        <x:v>1137</x:v>
      </x:c>
      <x:c r="D106" s="7" t="s">
        <x:v>1351</x:v>
      </x:c>
      <x:c r="E106" s="7" t="s">
        <x:v>1352</x:v>
      </x:c>
      <x:c r="F106" s="7" t="s">
        <x:v>53</x:v>
      </x:c>
      <x:c r="G106" s="7" t="s">
        <x:v>1140</x:v>
      </x:c>
      <x:c r="H106" s="7" t="s">
        <x:v>53</x:v>
      </x:c>
      <x:c r="I106" s="7" t="s">
        <x:v>53</x:v>
      </x:c>
      <x:c r="J106" s="7" t="s">
        <x:v>1142</x:v>
      </x:c>
      <x:c r="K106" s="7" t="s">
        <x:v>1352</x:v>
      </x:c>
      <x:c r="L106" s="7" t="s">
        <x:v>1149</x:v>
      </x:c>
      <x:c r="M106" s="7" t="s">
        <x:v>1144</x:v>
      </x:c>
    </x:row>
    <x:row r="107" ht="37.5" hidden="0" customHeight="1">
      <x:c r="A107" s="7" t="s">
        <x:v>1353</x:v>
      </x:c>
      <x:c r="B107" s="7" t="s">
        <x:v>898</x:v>
      </x:c>
      <x:c r="C107" s="7" t="s">
        <x:v>1151</x:v>
      </x:c>
      <x:c r="D107" s="7" t="s">
        <x:v>899</x:v>
      </x:c>
      <x:c r="E107" s="7" t="s">
        <x:v>1354</x:v>
      </x:c>
      <x:c r="F107" s="7" t="s">
        <x:v>53</x:v>
      </x:c>
      <x:c r="G107" s="7" t="s">
        <x:v>1140</x:v>
      </x:c>
      <x:c r="H107" s="7" t="s">
        <x:v>53</x:v>
      </x:c>
      <x:c r="I107" s="7" t="s">
        <x:v>53</x:v>
      </x:c>
      <x:c r="J107" s="7" t="s">
        <x:v>1142</x:v>
      </x:c>
      <x:c r="K107" s="7" t="s">
        <x:v>1354</x:v>
      </x:c>
      <x:c r="L107" s="7" t="s">
        <x:v>1149</x:v>
      </x:c>
      <x:c r="M107" s="7" t="s">
        <x:v>1144</x:v>
      </x:c>
    </x:row>
    <x:row r="108" ht="51.75" hidden="0" customHeight="1">
      <x:c r="A108" s="7" t="s">
        <x:v>912</x:v>
      </x:c>
      <x:c r="B108" s="7" t="s">
        <x:v>910</x:v>
      </x:c>
      <x:c r="C108" s="7" t="s">
        <x:v>1137</x:v>
      </x:c>
      <x:c r="D108" s="7" t="s">
        <x:v>1355</x:v>
      </x:c>
      <x:c r="E108" s="7" t="s">
        <x:v>1356</x:v>
      </x:c>
      <x:c r="F108" s="7" t="s">
        <x:v>53</x:v>
      </x:c>
      <x:c r="G108" s="7" t="s">
        <x:v>1140</x:v>
      </x:c>
      <x:c r="H108" s="7" t="s">
        <x:v>1141</x:v>
      </x:c>
      <x:c r="I108" s="7" t="s">
        <x:v>53</x:v>
      </x:c>
      <x:c r="J108" s="7" t="s">
        <x:v>1142</x:v>
      </x:c>
      <x:c r="K108" s="7" t="s">
        <x:v>1356</x:v>
      </x:c>
      <x:c r="L108" s="7" t="s">
        <x:v>1357</x:v>
      </x:c>
      <x:c r="M108" s="7" t="s">
        <x:v>1144</x:v>
      </x:c>
    </x:row>
    <x:row r="109" ht="37.5" hidden="0" customHeight="1">
      <x:c r="A109" s="7" t="s">
        <x:v>923</x:v>
      </x:c>
      <x:c r="B109" s="7" t="s">
        <x:v>921</x:v>
      </x:c>
      <x:c r="C109" s="7" t="s">
        <x:v>1137</x:v>
      </x:c>
      <x:c r="D109" s="7" t="s">
        <x:v>1358</x:v>
      </x:c>
      <x:c r="E109" s="7" t="s">
        <x:v>1359</x:v>
      </x:c>
      <x:c r="F109" s="7" t="s">
        <x:v>53</x:v>
      </x:c>
      <x:c r="G109" s="7" t="s">
        <x:v>1140</x:v>
      </x:c>
      <x:c r="H109" s="7" t="s">
        <x:v>53</x:v>
      </x:c>
      <x:c r="I109" s="7" t="s">
        <x:v>53</x:v>
      </x:c>
      <x:c r="J109" s="7" t="s">
        <x:v>1142</x:v>
      </x:c>
      <x:c r="K109" s="7" t="s">
        <x:v>1359</x:v>
      </x:c>
      <x:c r="L109" s="7" t="s">
        <x:v>1149</x:v>
      </x:c>
      <x:c r="M109" s="7" t="s">
        <x:v>1144</x:v>
      </x:c>
    </x:row>
    <x:row r="110" ht="37.5" hidden="0" customHeight="1">
      <x:c r="A110" s="7" t="s">
        <x:v>930</x:v>
      </x:c>
      <x:c r="B110" s="7" t="s">
        <x:v>928</x:v>
      </x:c>
      <x:c r="C110" s="7" t="s">
        <x:v>1201</x:v>
      </x:c>
      <x:c r="D110" s="7" t="s">
        <x:v>1360</x:v>
      </x:c>
      <x:c r="E110" s="7" t="s">
        <x:v>1361</x:v>
      </x:c>
      <x:c r="F110" s="7" t="s">
        <x:v>53</x:v>
      </x:c>
      <x:c r="G110" s="7" t="s">
        <x:v>1140</x:v>
      </x:c>
      <x:c r="H110" s="7" t="s">
        <x:v>53</x:v>
      </x:c>
      <x:c r="I110" s="7" t="s">
        <x:v>53</x:v>
      </x:c>
      <x:c r="J110" s="7" t="s">
        <x:v>1142</x:v>
      </x:c>
      <x:c r="K110" s="7" t="s">
        <x:v>1361</x:v>
      </x:c>
      <x:c r="L110" s="7" t="s">
        <x:v>1149</x:v>
      </x:c>
      <x:c r="M110" s="7" t="s">
        <x:v>1144</x:v>
      </x:c>
    </x:row>
    <x:row r="111" ht="37.5" hidden="0" customHeight="1">
      <x:c r="A111" s="7" t="s">
        <x:v>938</x:v>
      </x:c>
      <x:c r="B111" s="7" t="s">
        <x:v>936</x:v>
      </x:c>
      <x:c r="C111" s="7" t="s">
        <x:v>1362</x:v>
      </x:c>
      <x:c r="D111" s="7" t="s">
        <x:v>1363</x:v>
      </x:c>
      <x:c r="E111" s="7" t="s">
        <x:v>1364</x:v>
      </x:c>
      <x:c r="F111" s="7" t="s">
        <x:v>53</x:v>
      </x:c>
      <x:c r="G111" s="7" t="s">
        <x:v>1140</x:v>
      </x:c>
      <x:c r="H111" s="7" t="s">
        <x:v>53</x:v>
      </x:c>
      <x:c r="I111" s="7" t="s">
        <x:v>53</x:v>
      </x:c>
      <x:c r="J111" s="7" t="s">
        <x:v>1142</x:v>
      </x:c>
      <x:c r="K111" s="7" t="s">
        <x:v>1364</x:v>
      </x:c>
      <x:c r="L111" s="7" t="s">
        <x:v>1149</x:v>
      </x:c>
      <x:c r="M111" s="7" t="s">
        <x:v>1144</x:v>
      </x:c>
    </x:row>
    <x:row r="112" ht="37.5" hidden="0" customHeight="1">
      <x:c r="A112" s="7" t="s">
        <x:v>947</x:v>
      </x:c>
      <x:c r="B112" s="7" t="s">
        <x:v>944</x:v>
      </x:c>
      <x:c r="C112" s="7" t="s">
        <x:v>1365</x:v>
      </x:c>
      <x:c r="D112" s="7" t="s">
        <x:v>1366</x:v>
      </x:c>
      <x:c r="E112" s="7" t="s">
        <x:v>1367</x:v>
      </x:c>
      <x:c r="F112" s="7" t="s">
        <x:v>53</x:v>
      </x:c>
      <x:c r="G112" s="7" t="s">
        <x:v>1140</x:v>
      </x:c>
      <x:c r="H112" s="7" t="s">
        <x:v>53</x:v>
      </x:c>
      <x:c r="I112" s="7" t="s">
        <x:v>53</x:v>
      </x:c>
      <x:c r="J112" s="7" t="s">
        <x:v>1142</x:v>
      </x:c>
      <x:c r="K112" s="7" t="s">
        <x:v>1367</x:v>
      </x:c>
      <x:c r="L112" s="7" t="s">
        <x:v>1149</x:v>
      </x:c>
      <x:c r="M112" s="7" t="s">
        <x:v>1144</x:v>
      </x:c>
    </x:row>
    <x:row r="113" ht="51.75" hidden="0" customHeight="1">
      <x:c r="A113" s="7" t="s">
        <x:v>960</x:v>
      </x:c>
      <x:c r="B113" s="7" t="s">
        <x:v>957</x:v>
      </x:c>
      <x:c r="C113" s="7" t="s">
        <x:v>1137</x:v>
      </x:c>
      <x:c r="D113" s="7" t="s">
        <x:v>1368</x:v>
      </x:c>
      <x:c r="E113" s="7" t="s">
        <x:v>1369</x:v>
      </x:c>
      <x:c r="F113" s="7" t="s">
        <x:v>53</x:v>
      </x:c>
      <x:c r="G113" s="7" t="s">
        <x:v>1140</x:v>
      </x:c>
      <x:c r="H113" s="7" t="s">
        <x:v>1141</x:v>
      </x:c>
      <x:c r="I113" s="7" t="s">
        <x:v>53</x:v>
      </x:c>
      <x:c r="J113" s="7" t="s">
        <x:v>1142</x:v>
      </x:c>
      <x:c r="K113" s="7" t="s">
        <x:v>1369</x:v>
      </x:c>
      <x:c r="L113" s="7" t="s">
        <x:v>1370</x:v>
      </x:c>
      <x:c r="M113" s="7" t="s">
        <x:v>1144</x:v>
      </x:c>
    </x:row>
    <x:row r="114" ht="37.5" hidden="0" customHeight="1">
      <x:c r="A114" s="7" t="s">
        <x:v>1371</x:v>
      </x:c>
      <x:c r="B114" s="7" t="s">
        <x:v>957</x:v>
      </x:c>
      <x:c r="C114" s="7" t="s">
        <x:v>1201</x:v>
      </x:c>
      <x:c r="D114" s="7" t="s">
        <x:v>1372</x:v>
      </x:c>
      <x:c r="E114" s="7" t="s">
        <x:v>1373</x:v>
      </x:c>
      <x:c r="F114" s="7" t="s">
        <x:v>53</x:v>
      </x:c>
      <x:c r="G114" s="7" t="s">
        <x:v>1140</x:v>
      </x:c>
      <x:c r="H114" s="7" t="s">
        <x:v>53</x:v>
      </x:c>
      <x:c r="I114" s="7" t="s">
        <x:v>53</x:v>
      </x:c>
      <x:c r="J114" s="7" t="s">
        <x:v>1142</x:v>
      </x:c>
      <x:c r="K114" s="7" t="s">
        <x:v>1373</x:v>
      </x:c>
      <x:c r="L114" s="7" t="s">
        <x:v>1149</x:v>
      </x:c>
      <x:c r="M114" s="7" t="s">
        <x:v>1144</x:v>
      </x:c>
    </x:row>
    <x:row r="115" ht="37.5" hidden="0" customHeight="1">
      <x:c r="A115" s="7" t="s">
        <x:v>971</x:v>
      </x:c>
      <x:c r="B115" s="7" t="s">
        <x:v>969</x:v>
      </x:c>
      <x:c r="C115" s="7" t="s">
        <x:v>1374</x:v>
      </x:c>
      <x:c r="D115" s="7" t="s">
        <x:v>1375</x:v>
      </x:c>
      <x:c r="E115" s="7" t="s">
        <x:v>1376</x:v>
      </x:c>
      <x:c r="F115" s="7" t="s">
        <x:v>53</x:v>
      </x:c>
      <x:c r="G115" s="7" t="s">
        <x:v>1140</x:v>
      </x:c>
      <x:c r="H115" s="7" t="s">
        <x:v>53</x:v>
      </x:c>
      <x:c r="I115" s="7" t="s">
        <x:v>53</x:v>
      </x:c>
      <x:c r="J115" s="7" t="s">
        <x:v>1142</x:v>
      </x:c>
      <x:c r="K115" s="7" t="s">
        <x:v>1376</x:v>
      </x:c>
      <x:c r="L115" s="7" t="s">
        <x:v>1149</x:v>
      </x:c>
      <x:c r="M115" s="7" t="s">
        <x:v>1144</x:v>
      </x:c>
    </x:row>
    <x:row r="116" ht="37.5" hidden="0" customHeight="1">
      <x:c r="A116" s="7" t="s">
        <x:v>980</x:v>
      </x:c>
      <x:c r="B116" s="7" t="s">
        <x:v>978</x:v>
      </x:c>
      <x:c r="C116" s="7" t="s">
        <x:v>1374</x:v>
      </x:c>
      <x:c r="D116" s="7" t="s">
        <x:v>1377</x:v>
      </x:c>
      <x:c r="E116" s="7" t="s">
        <x:v>1378</x:v>
      </x:c>
      <x:c r="F116" s="7" t="s">
        <x:v>53</x:v>
      </x:c>
      <x:c r="G116" s="7" t="s">
        <x:v>1140</x:v>
      </x:c>
      <x:c r="H116" s="7" t="s">
        <x:v>53</x:v>
      </x:c>
      <x:c r="I116" s="7" t="s">
        <x:v>53</x:v>
      </x:c>
      <x:c r="J116" s="7" t="s">
        <x:v>1142</x:v>
      </x:c>
      <x:c r="K116" s="7" t="s">
        <x:v>1378</x:v>
      </x:c>
      <x:c r="L116" s="7" t="s">
        <x:v>1149</x:v>
      </x:c>
      <x:c r="M116" s="7" t="s">
        <x:v>1144</x:v>
      </x:c>
    </x:row>
    <x:row r="117" ht="37.5" hidden="0" customHeight="1">
      <x:c r="A117" s="7" t="s">
        <x:v>1379</x:v>
      </x:c>
      <x:c r="B117" s="7" t="s">
        <x:v>978</x:v>
      </x:c>
      <x:c r="C117" s="7" t="s">
        <x:v>1201</x:v>
      </x:c>
      <x:c r="D117" s="7" t="s">
        <x:v>1380</x:v>
      </x:c>
      <x:c r="E117" s="7" t="s">
        <x:v>1381</x:v>
      </x:c>
      <x:c r="F117" s="7" t="s">
        <x:v>53</x:v>
      </x:c>
      <x:c r="G117" s="7" t="s">
        <x:v>1140</x:v>
      </x:c>
      <x:c r="H117" s="7" t="s">
        <x:v>53</x:v>
      </x:c>
      <x:c r="I117" s="7" t="s">
        <x:v>53</x:v>
      </x:c>
      <x:c r="J117" s="7" t="s">
        <x:v>1142</x:v>
      </x:c>
      <x:c r="K117" s="7" t="s">
        <x:v>1381</x:v>
      </x:c>
      <x:c r="L117" s="7" t="s">
        <x:v>1149</x:v>
      </x:c>
      <x:c r="M117" s="7" t="s">
        <x:v>1144</x:v>
      </x:c>
    </x:row>
    <x:row r="118" ht="37.5" hidden="0" customHeight="1">
      <x:c r="A118" s="7" t="s">
        <x:v>992</x:v>
      </x:c>
      <x:c r="B118" s="7" t="s">
        <x:v>990</x:v>
      </x:c>
      <x:c r="C118" s="7" t="s">
        <x:v>1374</x:v>
      </x:c>
      <x:c r="D118" s="7" t="s">
        <x:v>1375</x:v>
      </x:c>
      <x:c r="E118" s="7" t="s">
        <x:v>1376</x:v>
      </x:c>
      <x:c r="F118" s="7" t="s">
        <x:v>53</x:v>
      </x:c>
      <x:c r="G118" s="7" t="s">
        <x:v>1140</x:v>
      </x:c>
      <x:c r="H118" s="7" t="str">
        <x:v>Retired mapping; audit trail only</x:v>
      </x:c>
      <x:c r="I118" s="7" t="s">
        <x:v>53</x:v>
      </x:c>
      <x:c r="J118" s="7" t="str">
        <x:v>Superseded 2026-09-13. This row duplicates Fillamentum CPE HG100, the CPE grade G089-01, and is not a CoPE identity. Retained as an audit trail; G091-02 is the representative CoPE grade</x:v>
      </x:c>
      <x:c r="K118" s="7" t="s">
        <x:v>1376</x:v>
      </x:c>
      <x:c r="L118" s="7" t="s">
        <x:v>1149</x:v>
      </x:c>
      <x:c r="M118" s="7" t="s">
        <x:v>1144</x:v>
      </x:c>
    </x:row>
    <x:row r="119" ht="37.5" hidden="0" customHeight="1">
      <x:c r="A119" s="7" t="s">
        <x:v>999</x:v>
      </x:c>
      <x:c r="B119" s="7" t="s">
        <x:v>997</x:v>
      </x:c>
      <x:c r="C119" s="7" t="s">
        <x:v>1382</x:v>
      </x:c>
      <x:c r="D119" s="7" t="s">
        <x:v>1383</x:v>
      </x:c>
      <x:c r="E119" s="7" t="s">
        <x:v>1384</x:v>
      </x:c>
      <x:c r="F119" s="7" t="s">
        <x:v>53</x:v>
      </x:c>
      <x:c r="G119" s="7" t="s">
        <x:v>1140</x:v>
      </x:c>
      <x:c r="H119" s="7" t="s">
        <x:v>53</x:v>
      </x:c>
      <x:c r="I119" s="7" t="s">
        <x:v>53</x:v>
      </x:c>
      <x:c r="J119" s="7" t="s">
        <x:v>1142</x:v>
      </x:c>
      <x:c r="K119" s="7" t="s">
        <x:v>1384</x:v>
      </x:c>
      <x:c r="L119" s="7" t="s">
        <x:v>1149</x:v>
      </x:c>
      <x:c r="M119" s="7" t="s">
        <x:v>1144</x:v>
      </x:c>
    </x:row>
    <x:row r="120" ht="37.5" hidden="0" customHeight="1">
      <x:c r="A120" s="7" t="s">
        <x:v>1010</x:v>
      </x:c>
      <x:c r="B120" s="7" t="s">
        <x:v>1007</x:v>
      </x:c>
      <x:c r="C120" s="7" t="s">
        <x:v>1385</x:v>
      </x:c>
      <x:c r="D120" s="7" t="s">
        <x:v>1386</x:v>
      </x:c>
      <x:c r="E120" s="7" t="s">
        <x:v>1387</x:v>
      </x:c>
      <x:c r="F120" s="7" t="s">
        <x:v>53</x:v>
      </x:c>
      <x:c r="G120" s="7" t="s">
        <x:v>1140</x:v>
      </x:c>
      <x:c r="H120" s="7" t="s">
        <x:v>53</x:v>
      </x:c>
      <x:c r="I120" s="7" t="s">
        <x:v>53</x:v>
      </x:c>
      <x:c r="J120" s="7" t="s">
        <x:v>1142</x:v>
      </x:c>
      <x:c r="K120" s="7" t="s">
        <x:v>1387</x:v>
      </x:c>
      <x:c r="L120" s="7" t="s">
        <x:v>1149</x:v>
      </x:c>
      <x:c r="M120" s="7" t="s">
        <x:v>1144</x:v>
      </x:c>
    </x:row>
    <x:row r="121" ht="51.75" hidden="0" customHeight="1">
      <x:c r="A121" s="7" t="s">
        <x:v>1023</x:v>
      </x:c>
      <x:c r="B121" s="7" t="s">
        <x:v>1020</x:v>
      </x:c>
      <x:c r="C121" s="7" t="s">
        <x:v>1137</x:v>
      </x:c>
      <x:c r="D121" s="7" t="s">
        <x:v>1388</x:v>
      </x:c>
      <x:c r="E121" s="7" t="s">
        <x:v>1389</x:v>
      </x:c>
      <x:c r="F121" s="7" t="s">
        <x:v>53</x:v>
      </x:c>
      <x:c r="G121" s="7" t="s">
        <x:v>1140</x:v>
      </x:c>
      <x:c r="H121" s="7" t="s">
        <x:v>1141</x:v>
      </x:c>
      <x:c r="I121" s="7" t="s">
        <x:v>53</x:v>
      </x:c>
      <x:c r="J121" s="7" t="s">
        <x:v>1142</x:v>
      </x:c>
      <x:c r="K121" s="7" t="s">
        <x:v>1389</x:v>
      </x:c>
      <x:c r="L121" s="7" t="s">
        <x:v>1390</x:v>
      </x:c>
      <x:c r="M121" s="7" t="s">
        <x:v>1144</x:v>
      </x:c>
    </x:row>
    <x:row r="122" ht="37.5" hidden="0" customHeight="1">
      <x:c r="A122" s="7" t="s">
        <x:v>1391</x:v>
      </x:c>
      <x:c r="B122" s="7" t="s">
        <x:v>1020</x:v>
      </x:c>
      <x:c r="C122" s="7" t="s">
        <x:v>1146</x:v>
      </x:c>
      <x:c r="D122" s="7" t="s">
        <x:v>1392</x:v>
      </x:c>
      <x:c r="E122" s="7" t="s">
        <x:v>1393</x:v>
      </x:c>
      <x:c r="F122" s="7" t="s">
        <x:v>53</x:v>
      </x:c>
      <x:c r="G122" s="7" t="s">
        <x:v>1140</x:v>
      </x:c>
      <x:c r="H122" s="7" t="s">
        <x:v>53</x:v>
      </x:c>
      <x:c r="I122" s="7" t="s">
        <x:v>53</x:v>
      </x:c>
      <x:c r="J122" s="7" t="s">
        <x:v>1142</x:v>
      </x:c>
      <x:c r="K122" s="7" t="s">
        <x:v>1393</x:v>
      </x:c>
      <x:c r="L122" s="7" t="s">
        <x:v>1149</x:v>
      </x:c>
      <x:c r="M122" s="7" t="s">
        <x:v>1144</x:v>
      </x:c>
    </x:row>
    <x:row r="123" ht="37.5" hidden="0" customHeight="1">
      <x:c r="A123" s="7" t="s">
        <x:v>1394</x:v>
      </x:c>
      <x:c r="B123" s="7" t="s">
        <x:v>1020</x:v>
      </x:c>
      <x:c r="C123" s="7" t="s">
        <x:v>1201</x:v>
      </x:c>
      <x:c r="D123" s="7" t="s">
        <x:v>1395</x:v>
      </x:c>
      <x:c r="E123" s="7" t="s">
        <x:v>1396</x:v>
      </x:c>
      <x:c r="F123" s="7" t="s">
        <x:v>53</x:v>
      </x:c>
      <x:c r="G123" s="7" t="s">
        <x:v>1140</x:v>
      </x:c>
      <x:c r="H123" s="7" t="s">
        <x:v>53</x:v>
      </x:c>
      <x:c r="I123" s="7" t="s">
        <x:v>53</x:v>
      </x:c>
      <x:c r="J123" s="7" t="s">
        <x:v>1142</x:v>
      </x:c>
      <x:c r="K123" s="7" t="s">
        <x:v>1396</x:v>
      </x:c>
      <x:c r="L123" s="7" t="s">
        <x:v>1149</x:v>
      </x:c>
      <x:c r="M123" s="7" t="s">
        <x:v>1144</x:v>
      </x:c>
    </x:row>
    <x:row r="124" ht="37.5" hidden="0" customHeight="1">
      <x:c r="A124" s="7" t="s">
        <x:v>1033</x:v>
      </x:c>
      <x:c r="B124" s="7" t="s">
        <x:v>1031</x:v>
      </x:c>
      <x:c r="C124" s="7" t="s">
        <x:v>1146</x:v>
      </x:c>
      <x:c r="D124" s="7" t="s">
        <x:v>1397</x:v>
      </x:c>
      <x:c r="E124" s="7" t="s">
        <x:v>1398</x:v>
      </x:c>
      <x:c r="F124" s="7" t="s">
        <x:v>53</x:v>
      </x:c>
      <x:c r="G124" s="7" t="s">
        <x:v>1140</x:v>
      </x:c>
      <x:c r="H124" s="7" t="s">
        <x:v>53</x:v>
      </x:c>
      <x:c r="I124" s="7" t="s">
        <x:v>53</x:v>
      </x:c>
      <x:c r="J124" s="7" t="s">
        <x:v>1142</x:v>
      </x:c>
      <x:c r="K124" s="7" t="s">
        <x:v>1398</x:v>
      </x:c>
      <x:c r="L124" s="7" t="s">
        <x:v>1149</x:v>
      </x:c>
      <x:c r="M124" s="7" t="s">
        <x:v>1144</x:v>
      </x:c>
    </x:row>
    <x:row r="125" ht="51.75" hidden="0" customHeight="1">
      <x:c r="A125" s="7" t="s">
        <x:v>1045</x:v>
      </x:c>
      <x:c r="B125" s="7" t="s">
        <x:v>1042</x:v>
      </x:c>
      <x:c r="C125" s="7" t="s">
        <x:v>1137</x:v>
      </x:c>
      <x:c r="D125" s="7" t="s">
        <x:v>1399</x:v>
      </x:c>
      <x:c r="E125" s="7" t="s">
        <x:v>1400</x:v>
      </x:c>
      <x:c r="F125" s="7" t="s">
        <x:v>53</x:v>
      </x:c>
      <x:c r="G125" s="7" t="s">
        <x:v>1140</x:v>
      </x:c>
      <x:c r="H125" s="7" t="s">
        <x:v>1141</x:v>
      </x:c>
      <x:c r="I125" s="7" t="s">
        <x:v>53</x:v>
      </x:c>
      <x:c r="J125" s="7" t="s">
        <x:v>1142</x:v>
      </x:c>
      <x:c r="K125" s="7" t="s">
        <x:v>1400</x:v>
      </x:c>
      <x:c r="L125" s="7" t="s">
        <x:v>1401</x:v>
      </x:c>
      <x:c r="M125" s="7" t="s">
        <x:v>1144</x:v>
      </x:c>
    </x:row>
    <x:row r="126" ht="51.75" hidden="0" customHeight="1">
      <x:c r="A126" s="7" t="s">
        <x:v>1055</x:v>
      </x:c>
      <x:c r="B126" s="7" t="s">
        <x:v>1051</x:v>
      </x:c>
      <x:c r="C126" s="7" t="s">
        <x:v>1137</x:v>
      </x:c>
      <x:c r="D126" s="7" t="s">
        <x:v>1402</x:v>
      </x:c>
      <x:c r="E126" s="7" t="s">
        <x:v>1403</x:v>
      </x:c>
      <x:c r="F126" s="7" t="s">
        <x:v>53</x:v>
      </x:c>
      <x:c r="G126" s="7" t="s">
        <x:v>1140</x:v>
      </x:c>
      <x:c r="H126" s="7" t="s">
        <x:v>1141</x:v>
      </x:c>
      <x:c r="I126" s="7" t="s">
        <x:v>53</x:v>
      </x:c>
      <x:c r="J126" s="7" t="s">
        <x:v>1142</x:v>
      </x:c>
      <x:c r="K126" s="7" t="s">
        <x:v>1403</x:v>
      </x:c>
      <x:c r="L126" s="7" t="s">
        <x:v>1404</x:v>
      </x:c>
      <x:c r="M126" s="7" t="s">
        <x:v>1144</x:v>
      </x:c>
    </x:row>
    <x:row r="127" ht="37.5" hidden="0" customHeight="1">
      <x:c r="A127" s="7" t="s">
        <x:v>1405</x:v>
      </x:c>
      <x:c r="B127" s="7" t="s">
        <x:v>1051</x:v>
      </x:c>
      <x:c r="C127" s="7" t="s">
        <x:v>1151</x:v>
      </x:c>
      <x:c r="D127" s="7" t="s">
        <x:v>1052</x:v>
      </x:c>
      <x:c r="E127" s="7" t="s">
        <x:v>1406</x:v>
      </x:c>
      <x:c r="F127" s="7" t="s">
        <x:v>53</x:v>
      </x:c>
      <x:c r="G127" s="7" t="s">
        <x:v>1140</x:v>
      </x:c>
      <x:c r="H127" s="7" t="s">
        <x:v>53</x:v>
      </x:c>
      <x:c r="I127" s="7" t="s">
        <x:v>53</x:v>
      </x:c>
      <x:c r="J127" s="7" t="s">
        <x:v>1142</x:v>
      </x:c>
      <x:c r="K127" s="7" t="s">
        <x:v>1406</x:v>
      </x:c>
      <x:c r="L127" s="7" t="s">
        <x:v>1149</x:v>
      </x:c>
      <x:c r="M127" s="7" t="s">
        <x:v>1144</x:v>
      </x:c>
    </x:row>
    <x:row r="128" ht="51.75" hidden="0" customHeight="1">
      <x:c r="A128" s="7" t="s">
        <x:v>1070</x:v>
      </x:c>
      <x:c r="B128" s="7" t="s">
        <x:v>1068</x:v>
      </x:c>
      <x:c r="C128" s="7" t="s">
        <x:v>1137</x:v>
      </x:c>
      <x:c r="D128" s="7" t="s">
        <x:v>1407</x:v>
      </x:c>
      <x:c r="E128" s="7" t="s">
        <x:v>1408</x:v>
      </x:c>
      <x:c r="F128" s="7" t="s">
        <x:v>53</x:v>
      </x:c>
      <x:c r="G128" s="7" t="s">
        <x:v>1140</x:v>
      </x:c>
      <x:c r="H128" s="7" t="s">
        <x:v>1141</x:v>
      </x:c>
      <x:c r="I128" s="7" t="s">
        <x:v>53</x:v>
      </x:c>
      <x:c r="J128" s="7" t="s">
        <x:v>1142</x:v>
      </x:c>
      <x:c r="K128" s="7" t="s">
        <x:v>1408</x:v>
      </x:c>
      <x:c r="L128" s="7" t="s">
        <x:v>1409</x:v>
      </x:c>
      <x:c r="M128" s="7" t="s">
        <x:v>1144</x:v>
      </x:c>
    </x:row>
    <x:row r="129" ht="37.5" hidden="0" customHeight="1">
      <x:c r="A129" s="7" t="s">
        <x:v>1410</x:v>
      </x:c>
      <x:c r="B129" s="7" t="s">
        <x:v>1068</x:v>
      </x:c>
      <x:c r="C129" s="7" t="s">
        <x:v>1137</x:v>
      </x:c>
      <x:c r="D129" s="7" t="s">
        <x:v>1411</x:v>
      </x:c>
      <x:c r="E129" s="7" t="s">
        <x:v>1412</x:v>
      </x:c>
      <x:c r="F129" s="7" t="s">
        <x:v>53</x:v>
      </x:c>
      <x:c r="G129" s="7" t="s">
        <x:v>1140</x:v>
      </x:c>
      <x:c r="H129" s="7" t="s">
        <x:v>53</x:v>
      </x:c>
      <x:c r="I129" s="7" t="s">
        <x:v>53</x:v>
      </x:c>
      <x:c r="J129" s="7" t="s">
        <x:v>1142</x:v>
      </x:c>
      <x:c r="K129" s="7" t="s">
        <x:v>1412</x:v>
      </x:c>
      <x:c r="L129" s="7" t="s">
        <x:v>1149</x:v>
      </x:c>
      <x:c r="M129" s="7" t="s">
        <x:v>1144</x:v>
      </x:c>
    </x:row>
    <x:row r="130" ht="51.75" hidden="0" customHeight="1">
      <x:c r="A130" s="7" t="s">
        <x:v>1082</x:v>
      </x:c>
      <x:c r="B130" s="7" t="s">
        <x:v>1080</x:v>
      </x:c>
      <x:c r="C130" s="7" t="s">
        <x:v>1137</x:v>
      </x:c>
      <x:c r="D130" s="7" t="s">
        <x:v>1413</x:v>
      </x:c>
      <x:c r="E130" s="7" t="s">
        <x:v>1414</x:v>
      </x:c>
      <x:c r="F130" s="7" t="s">
        <x:v>53</x:v>
      </x:c>
      <x:c r="G130" s="7" t="s">
        <x:v>1140</x:v>
      </x:c>
      <x:c r="H130" s="7" t="s">
        <x:v>1141</x:v>
      </x:c>
      <x:c r="I130" s="7" t="s">
        <x:v>53</x:v>
      </x:c>
      <x:c r="J130" s="7" t="s">
        <x:v>1142</x:v>
      </x:c>
      <x:c r="K130" s="7" t="s">
        <x:v>1414</x:v>
      </x:c>
      <x:c r="L130" s="7" t="s">
        <x:v>1415</x:v>
      </x:c>
      <x:c r="M130" s="7" t="s">
        <x:v>1144</x:v>
      </x:c>
    </x:row>
    <x:row r="131" ht="37.5" hidden="0" customHeight="1">
      <x:c r="A131" s="7" t="s">
        <x:v>1416</x:v>
      </x:c>
      <x:c r="B131" s="7" t="s">
        <x:v>1080</x:v>
      </x:c>
      <x:c r="C131" s="7" t="s">
        <x:v>1151</x:v>
      </x:c>
      <x:c r="D131" s="7" t="s">
        <x:v>1417</x:v>
      </x:c>
      <x:c r="E131" s="7" t="s">
        <x:v>1418</x:v>
      </x:c>
      <x:c r="F131" s="7" t="s">
        <x:v>53</x:v>
      </x:c>
      <x:c r="G131" s="7" t="s">
        <x:v>1140</x:v>
      </x:c>
      <x:c r="H131" s="7" t="s">
        <x:v>53</x:v>
      </x:c>
      <x:c r="I131" s="7" t="s">
        <x:v>53</x:v>
      </x:c>
      <x:c r="J131" s="7" t="s">
        <x:v>1142</x:v>
      </x:c>
      <x:c r="K131" s="7" t="s">
        <x:v>1418</x:v>
      </x:c>
      <x:c r="L131" s="7" t="s">
        <x:v>1149</x:v>
      </x:c>
      <x:c r="M131" s="7" t="s">
        <x:v>1144</x:v>
      </x:c>
    </x:row>
    <x:row r="132" ht="51.75" hidden="0" customHeight="1">
      <x:c r="A132" s="7" t="s">
        <x:v>1095</x:v>
      </x:c>
      <x:c r="B132" s="7" t="s">
        <x:v>1093</x:v>
      </x:c>
      <x:c r="C132" s="7" t="s">
        <x:v>1137</x:v>
      </x:c>
      <x:c r="D132" s="7" t="s">
        <x:v>1419</x:v>
      </x:c>
      <x:c r="E132" s="7" t="s">
        <x:v>1420</x:v>
      </x:c>
      <x:c r="F132" s="7" t="s">
        <x:v>53</x:v>
      </x:c>
      <x:c r="G132" s="7" t="s">
        <x:v>1140</x:v>
      </x:c>
      <x:c r="H132" s="7" t="s">
        <x:v>1141</x:v>
      </x:c>
      <x:c r="I132" s="7" t="s">
        <x:v>53</x:v>
      </x:c>
      <x:c r="J132" s="7" t="s">
        <x:v>1142</x:v>
      </x:c>
      <x:c r="K132" s="7" t="s">
        <x:v>1420</x:v>
      </x:c>
      <x:c r="L132" s="7" t="s">
        <x:v>1421</x:v>
      </x:c>
      <x:c r="M132" s="7" t="s">
        <x:v>1144</x:v>
      </x:c>
    </x:row>
    <x:row r="133" ht="51.75" hidden="0" customHeight="1">
      <x:c r="A133" s="7" t="s">
        <x:v>1106</x:v>
      </x:c>
      <x:c r="B133" s="7" t="s">
        <x:v>1104</x:v>
      </x:c>
      <x:c r="C133" s="7" t="s">
        <x:v>1137</x:v>
      </x:c>
      <x:c r="D133" s="7" t="s">
        <x:v>1422</x:v>
      </x:c>
      <x:c r="E133" s="7" t="s">
        <x:v>1423</x:v>
      </x:c>
      <x:c r="F133" s="7" t="s">
        <x:v>53</x:v>
      </x:c>
      <x:c r="G133" s="7" t="s">
        <x:v>1140</x:v>
      </x:c>
      <x:c r="H133" s="7" t="s">
        <x:v>1141</x:v>
      </x:c>
      <x:c r="I133" s="7" t="s">
        <x:v>53</x:v>
      </x:c>
      <x:c r="J133" s="7" t="s">
        <x:v>1142</x:v>
      </x:c>
      <x:c r="K133" s="7" t="s">
        <x:v>1423</x:v>
      </x:c>
      <x:c r="L133" s="7" t="s">
        <x:v>1424</x:v>
      </x:c>
      <x:c r="M133" s="7" t="s">
        <x:v>1144</x:v>
      </x:c>
    </x:row>
    <x:row r="134" ht="51.75" hidden="0" customHeight="1">
      <x:c r="A134" s="7" t="s">
        <x:v>1115</x:v>
      </x:c>
      <x:c r="B134" s="7" t="s">
        <x:v>1113</x:v>
      </x:c>
      <x:c r="C134" s="7" t="s">
        <x:v>1137</x:v>
      </x:c>
      <x:c r="D134" s="7" t="s">
        <x:v>1425</x:v>
      </x:c>
      <x:c r="E134" s="7" t="s">
        <x:v>1426</x:v>
      </x:c>
      <x:c r="F134" s="7" t="s">
        <x:v>53</x:v>
      </x:c>
      <x:c r="G134" s="7" t="s">
        <x:v>1140</x:v>
      </x:c>
      <x:c r="H134" s="7" t="s">
        <x:v>1141</x:v>
      </x:c>
      <x:c r="I134" s="7" t="s">
        <x:v>53</x:v>
      </x:c>
      <x:c r="J134" s="7" t="s">
        <x:v>1142</x:v>
      </x:c>
      <x:c r="K134" s="7" t="s">
        <x:v>1426</x:v>
      </x:c>
      <x:c r="L134" s="7" t="s">
        <x:v>1427</x:v>
      </x:c>
      <x:c r="M134" s="7" t="s">
        <x:v>1144</x:v>
      </x:c>
    </x:row>
    <x:row r="135" ht="37.5" hidden="0" customHeight="1">
      <x:c r="A135" s="7" t="s">
        <x:v>1428</x:v>
      </x:c>
      <x:c r="B135" s="7" t="s">
        <x:v>1113</x:v>
      </x:c>
      <x:c r="C135" s="7" t="s">
        <x:v>1151</x:v>
      </x:c>
      <x:c r="D135" s="7" t="s">
        <x:v>1114</x:v>
      </x:c>
      <x:c r="E135" s="7" t="s">
        <x:v>1429</x:v>
      </x:c>
      <x:c r="F135" s="7" t="s">
        <x:v>53</x:v>
      </x:c>
      <x:c r="G135" s="7" t="s">
        <x:v>1140</x:v>
      </x:c>
      <x:c r="H135" s="7" t="s">
        <x:v>53</x:v>
      </x:c>
      <x:c r="I135" s="7" t="s">
        <x:v>53</x:v>
      </x:c>
      <x:c r="J135" s="7" t="s">
        <x:v>1142</x:v>
      </x:c>
      <x:c r="K135" s="7" t="s">
        <x:v>1429</x:v>
      </x:c>
      <x:c r="L135" s="7" t="s">
        <x:v>1149</x:v>
      </x:c>
      <x:c r="M135" s="7" t="s">
        <x:v>1144</x:v>
      </x:c>
    </x:row>
    <x:row r="136" ht="51.75" hidden="0" customHeight="1">
      <x:c r="A136" s="7" t="s">
        <x:v>1430</x:v>
      </x:c>
      <x:c r="B136" s="7" t="s">
        <x:v>390</x:v>
      </x:c>
      <x:c r="C136" s="7" t="s">
        <x:v>1431</x:v>
      </x:c>
      <x:c r="D136" s="7" t="s">
        <x:v>1432</x:v>
      </x:c>
      <x:c r="E136" s="7" t="s">
        <x:v>1433</x:v>
      </x:c>
      <x:c r="F136" s="7" t="s">
        <x:v>391</x:v>
      </x:c>
      <x:c r="G136" s="7" t="s">
        <x:v>1434</x:v>
      </x:c>
      <x:c r="H136" s="7" t="s">
        <x:v>1435</x:v>
      </x:c>
      <x:c r="I136" s="7" t="s">
        <x:v>53</x:v>
      </x:c>
      <x:c r="J136" s="7" t="s">
        <x:v>1436</x:v>
      </x:c>
      <x:c r="K136" s="7" t="s">
        <x:v>1437</x:v>
      </x:c>
      <x:c r="L136" s="7" t="s">
        <x:v>1438</x:v>
      </x:c>
      <x:c r="M136" s="7" t="s">
        <x:v>1439</x:v>
      </x:c>
    </x:row>
    <x:row r="137" ht="51.75" hidden="0" customHeight="1">
      <x:c r="A137" s="7" t="s">
        <x:v>1440</x:v>
      </x:c>
      <x:c r="B137" s="7" t="s">
        <x:v>437</x:v>
      </x:c>
      <x:c r="C137" s="7" t="s">
        <x:v>1431</x:v>
      </x:c>
      <x:c r="D137" s="7" t="s">
        <x:v>1441</x:v>
      </x:c>
      <x:c r="E137" s="7" t="s">
        <x:v>1442</x:v>
      </x:c>
      <x:c r="F137" s="7" t="s">
        <x:v>438</x:v>
      </x:c>
      <x:c r="G137" s="7" t="s">
        <x:v>1434</x:v>
      </x:c>
      <x:c r="H137" s="7" t="s">
        <x:v>1435</x:v>
      </x:c>
      <x:c r="I137" s="7" t="s">
        <x:v>53</x:v>
      </x:c>
      <x:c r="J137" s="7" t="s">
        <x:v>1436</x:v>
      </x:c>
      <x:c r="K137" s="7" t="s">
        <x:v>1437</x:v>
      </x:c>
      <x:c r="L137" s="7" t="s">
        <x:v>1438</x:v>
      </x:c>
      <x:c r="M137" s="7" t="s">
        <x:v>1439</x:v>
      </x:c>
    </x:row>
    <x:row r="138" ht="51.75" hidden="0" customHeight="1">
      <x:c r="A138" s="7" t="s">
        <x:v>1443</x:v>
      </x:c>
      <x:c r="B138" s="7" t="s">
        <x:v>616</x:v>
      </x:c>
      <x:c r="C138" s="7" t="s">
        <x:v>1431</x:v>
      </x:c>
      <x:c r="D138" s="7" t="s">
        <x:v>1444</x:v>
      </x:c>
      <x:c r="E138" s="7" t="s">
        <x:v>1445</x:v>
      </x:c>
      <x:c r="F138" s="7" t="s">
        <x:v>617</x:v>
      </x:c>
      <x:c r="G138" s="7" t="s">
        <x:v>1446</x:v>
      </x:c>
      <x:c r="H138" s="7" t="s">
        <x:v>1435</x:v>
      </x:c>
      <x:c r="I138" s="7" t="s">
        <x:v>53</x:v>
      </x:c>
      <x:c r="J138" s="7" t="s">
        <x:v>1436</x:v>
      </x:c>
      <x:c r="K138" s="7" t="s">
        <x:v>1437</x:v>
      </x:c>
      <x:c r="L138" s="7" t="s">
        <x:v>1438</x:v>
      </x:c>
      <x:c r="M138" s="7" t="s">
        <x:v>1439</x:v>
      </x:c>
    </x:row>
    <x:row r="139" ht="51.75" hidden="0" customHeight="1">
      <x:c r="A139" s="7" t="s">
        <x:v>1447</x:v>
      </x:c>
      <x:c r="B139" s="7" t="s">
        <x:v>1020</x:v>
      </x:c>
      <x:c r="C139" s="7" t="s">
        <x:v>1431</x:v>
      </x:c>
      <x:c r="D139" s="7" t="s">
        <x:v>1448</x:v>
      </x:c>
      <x:c r="E139" s="7" t="s">
        <x:v>1449</x:v>
      </x:c>
      <x:c r="F139" s="7" t="s">
        <x:v>1021</x:v>
      </x:c>
      <x:c r="G139" s="7" t="s">
        <x:v>1446</x:v>
      </x:c>
      <x:c r="H139" s="7" t="s">
        <x:v>1435</x:v>
      </x:c>
      <x:c r="I139" s="7" t="s">
        <x:v>53</x:v>
      </x:c>
      <x:c r="J139" s="7" t="s">
        <x:v>1436</x:v>
      </x:c>
      <x:c r="K139" s="7" t="s">
        <x:v>1437</x:v>
      </x:c>
      <x:c r="L139" s="7" t="s">
        <x:v>1438</x:v>
      </x:c>
      <x:c r="M139" s="7" t="s">
        <x:v>1439</x:v>
      </x:c>
    </x:row>
    <x:row r="140">
      <x:c r="A140" t="str">
        <x:v>G077-01</x:v>
      </x:c>
      <x:c r="B140" t="str">
        <x:v>M077</x:v>
      </x:c>
      <x:c r="C140" t="str">
        <x:v>Bambu Lab</x:v>
      </x:c>
      <x:c r="D140" t="str">
        <x:v>Support for PLA (New Version)</x:v>
      </x:c>
      <x:c r="E140" t="str">
        <x:v>R-BAMBU-SUPPORT-PLA-NEW-TDS</x:v>
      </x:c>
      <x:c r="F140" t="str">
        <x:v>Commercial support formulation; composition not disclosed</x:v>
      </x:c>
      <x:c r="G140" t="str">
        <x:v>White; use exact product TDS scope</x:v>
      </x:c>
      <x:c r="H140" t="str">
        <x:v>Current official Bambu product page retrieved; Canadian price not verified</x:v>
      </x:c>
      <x:c r="I140" t="str">
        <x:v>Flammable; no mechanical values published in the TDS</x:v>
      </x:c>
      <x:c r="J140" t="str">
        <x:v>Exact current Bambu support product and manufacturer TDS</x:v>
      </x:c>
      <x:c r="K140" t="str">
        <x:v>R-BAMBU-SUPPORT-PLA-NEW-TDS</x:v>
      </x:c>
      <x:c r="L140" t="str">
        <x:v>pp. 1-3; official product page</x:v>
      </x:c>
      <x:c r="M140" t="str">
        <x:v>1.75 mm; 0.2, 0.4, 0.6 and 0.8 mm nozzles listed</x:v>
      </x:c>
    </x:row>
    <x:row r="141">
      <x:c r="A141" t="str">
        <x:v>G038-02</x:v>
      </x:c>
      <x:c r="B141" t="str">
        <x:v>M038</x:v>
      </x:c>
      <x:c r="C141" t="str">
        <x:v>BASF Forward AM</x:v>
      </x:c>
      <x:c r="D141" t="str">
        <x:v>Ultrafuse PC GF30</x:v>
      </x:c>
      <x:c r="E141" t="str">
        <x:v>R-BASF-PCGF30-TDS</x:v>
      </x:c>
      <x:c r="F141" t="str">
        <x:v>Polycarbonate with 30% glass fibre</x:v>
      </x:c>
      <x:c r="G141" t="str">
        <x:v>Use exact TDS and colour/SDS scope</x:v>
      </x:c>
      <x:c r="H141" t="str">
        <x:v>Current official product page retrieved</x:v>
      </x:c>
      <x:c r="I141" t="str">
        <x:v>UL 94 V0 at 1.5 mm and 3.0 mm; verify colour, thickness and certificate</x:v>
      </x:c>
      <x:c r="J141" t="str">
        <x:v>Exact 1.75 mm FFF grade from named manufacturer requested by user</x:v>
      </x:c>
      <x:c r="K141" t="str">
        <x:v>R-BASF-PCGF30-TDS</x:v>
      </x:c>
      <x:c r="L141" t="str">
        <x:v>TDS v1.2, pp. 1-3</x:v>
      </x:c>
      <x:c r="M141" t="str">
        <x:v>1.75 and 2.85 mm offered; select 1.75 mm for H2C evaluation</x:v>
      </x:c>
    </x:row>
    <x:row r="142">
      <x:c r="A142" t="str">
        <x:v>G045-03</x:v>
      </x:c>
      <x:c r="B142" t="str">
        <x:v>M045</x:v>
      </x:c>
      <x:c r="C142" t="str">
        <x:v>Kimya / Airtech Europe</x:v>
      </x:c>
      <x:c r="D142" t="str">
        <x:v>Kimya PEBA-S</x:v>
      </x:c>
      <x:c r="E142" t="str">
        <x:v>R-KIMYA-PEBA-S-TDS</x:v>
      </x:c>
      <x:c r="F142" t="str">
        <x:v>PEBA (polyether block amide), unfilled</x:v>
      </x:c>
      <x:c r="G142" t="str">
        <x:v>Use exact TDS and supplied colour scope</x:v>
      </x:c>
      <x:c r="H142" t="str">
        <x:v>Current Airtech Kimya portfolio; exact TDS indexed through authorized distributor</x:v>
      </x:c>
      <x:c r="I142" t="str">
        <x:v>Not published</x:v>
      </x:c>
      <x:c r="J142" t="str">
        <x:v>Third independent PEBA formulation from requested manufacturer</x:v>
      </x:c>
      <x:c r="K142" t="str">
        <x:v>R-KIMYA-PEBA-S-TDS</x:v>
      </x:c>
      <x:c r="L142" t="str">
        <x:v>Technical data and processing tables</x:v>
      </x:c>
      <x:c r="M142" t="str">
        <x:v>1.75 ± 0.1 mm and 2.85 ± 0.1 mm; select 1.75 mm</x:v>
      </x:c>
    </x:row>
    <x:row r="143">
      <x:c r="A143" t="str">
        <x:v>G073-02</x:v>
      </x:c>
      <x:c r="B143" t="str">
        <x:v>M073</x:v>
      </x:c>
      <x:c r="C143" t="str">
        <x:v>Essentium / Nexa3D</x:v>
      </x:c>
      <x:c r="D143" t="str">
        <x:v>Essentium PPS-CF</x:v>
      </x:c>
      <x:c r="E143" t="str">
        <x:v>R-ESSENTIUM-PPSCF-TDS</x:v>
      </x:c>
      <x:c r="F143" t="str">
        <x:v>PPS with 15% carbon fibre; LUVOCOM 3F resin</x:v>
      </x:c>
      <x:c r="G143" t="str">
        <x:v>Use exact TDS scope</x:v>
      </x:c>
      <x:c r="H143" t="str">
        <x:v>Official Nexa3D-hosted Essentium TDS retrieved</x:v>
      </x:c>
      <x:c r="I143" t="str">
        <x:v>UL 94 V0 is a raw-material value; not printed-part certification</x:v>
      </x:c>
      <x:c r="J143" t="str">
        <x:v>Independent exact PPS-CF grade from requested manufacturer</x:v>
      </x:c>
      <x:c r="K143" t="str">
        <x:v>R-ESSENTIUM-PPSCF-TDS</x:v>
      </x:c>
      <x:c r="L143" t="str">
        <x:v>TDS v1.0, pp. 1-2</x:v>
      </x:c>
      <x:c r="M143" t="str">
        <x:v>Verify 1.75 mm supply and spool geometry; TDS does not state diameter</x:v>
      </x:c>
    </x:row>
    <x:row r="144">
      <x:c r="A144" t="str">
        <x:v>G004-01</x:v>
      </x:c>
      <x:c r="B144" t="str">
        <x:v>M004</x:v>
      </x:c>
      <x:c r="C144" t="str">
        <x:v>eSUN</x:v>
      </x:c>
      <x:c r="D144" t="str">
        <x:v>PLA-Lite</x:v>
      </x:c>
      <x:c r="E144" t="str">
        <x:v>R-ESUN-PLA-LITE-PAGE</x:v>
      </x:c>
      <x:c r="F144" t="str">
        <x:v>Not published</x:v>
      </x:c>
      <x:c r="G144" t="str">
        <x:v>Properties may vary by colour; use product page scope</x:v>
      </x:c>
      <x:c r="H144" t="str">
        <x:v>Current official eSUN product page retrieved 2026-09-13</x:v>
      </x:c>
      <x:c r="I144" t="str">
        <x:v>Not published</x:v>
      </x:c>
      <x:c r="J144" t="str">
        <x:v>Technical grade sample for the generic PLA Lite entry, recorded 2026-09-13. The only exact commercial product found under this name with printed-direction data. Not a Bambu Lab product and not the rejected PLA Pure lead</x:v>
      </x:c>
      <x:c r="K144" t="str">
        <x:v>R-ESUN-PLA-LITE-PAGE</x:v>
      </x:c>
      <x:c r="L144" t="str">
        <x:v>Printing Parameter tab</x:v>
      </x:c>
      <x:c r="M144" t="str">
        <x:v>Check 1.75 mm variant; diameter is not part tolerance</x:v>
      </x:c>
    </x:row>
    <x:row r="145">
      <x:c r="A145" t="str">
        <x:v>G008-01</x:v>
      </x:c>
      <x:c r="B145" t="str">
        <x:v>M008</x:v>
      </x:c>
      <x:c r="C145" t="str">
        <x:v>Polymaker</x:v>
      </x:c>
      <x:c r="D145" t="str">
        <x:v>Panchroma Silk PLA</x:v>
      </x:c>
      <x:c r="E145" t="str">
        <x:v>R-POLYMAKER-PANCHROMA-TDS-V2-1</x:v>
      </x:c>
      <x:c r="F145" t="str">
        <x:v>Not published</x:v>
      </x:c>
      <x:c r="G145" t="str">
        <x:v>Silk colour range; use TDS column scope</x:v>
      </x:c>
      <x:c r="H145" t="str">
        <x:v>Current official Polymaker product page retrieved 2026-09-13</x:v>
      </x:c>
      <x:c r="I145" t="str">
        <x:v>Not published</x:v>
      </x:c>
      <x:c r="J145" t="str">
        <x:v>Technical grade sample of a silk-effect PLA, recorded 2026-09-13 with printed ISO 527 data. It is not the original product this entry was opened for, and Bambu PLA Silk+ is still not substituted</x:v>
      </x:c>
      <x:c r="K145" t="str">
        <x:v>R-POLYMAKER-PANCHROMA-TDS-V2-1</x:v>
      </x:c>
      <x:c r="L145" t="str">
        <x:v>Data table, Silk column</x:v>
      </x:c>
      <x:c r="M145" t="str">
        <x:v>Check 1.75 mm variant; diameter is not part tolerance</x:v>
      </x:c>
    </x:row>
    <x:row r="146">
      <x:c r="A146" t="str">
        <x:v>G068-02</x:v>
      </x:c>
      <x:c r="B146" t="str">
        <x:v>M068</x:v>
      </x:c>
      <x:c r="C146" t="str">
        <x:v>Polymaker (Fiberon)</x:v>
      </x:c>
      <x:c r="D146" t="str">
        <x:v>Fiberon PET-GF15</x:v>
      </x:c>
      <x:c r="E146" t="str">
        <x:v>R-FIBERON-PETGF15-TDS</x:v>
      </x:c>
      <x:c r="F146" t="str">
        <x:v>PET, glass fibre (GF15 product designation)</x:v>
      </x:c>
      <x:c r="G146" t="str">
        <x:v>Use exact TDS scope</x:v>
      </x:c>
      <x:c r="H146" t="str">
        <x:v>Official Fiberon TDS retrieved 2026-09-13; product page returned HTTP 403</x:v>
      </x:c>
      <x:c r="I146" t="str">
        <x:v>UL 94 HB at 1.5 mm per TDS; not printed-part certification</x:v>
      </x:c>
      <x:c r="J146" t="str">
        <x:v>Second exact PET-GF formulation, recorded 2026-09-13 because it publishes printed XY and Z test data. Flashforge PET-GF (G068-01) is retained unchanged; its values were not overwritten</x:v>
      </x:c>
      <x:c r="K146" t="str">
        <x:v>R-FIBERON-PETGF15-TDS</x:v>
      </x:c>
      <x:c r="L146" t="str">
        <x:v>TDS V1.0, p. 1</x:v>
      </x:c>
      <x:c r="M146" t="str">
        <x:v>Check 1.75 mm variant; diameter is not part tolerance</x:v>
      </x:c>
    </x:row>
    <x:row r="147">
      <x:c r="A147" t="str">
        <x:v>G091-02</x:v>
      </x:c>
      <x:c r="B147" t="str">
        <x:v>M091</x:v>
      </x:c>
      <x:c r="C147" t="str">
        <x:v>Polymaker</x:v>
      </x:c>
      <x:c r="D147" t="str">
        <x:v>Panchroma CoPE</x:v>
      </x:c>
      <x:c r="E147" t="str">
        <x:v>R-POLYMAKER-PANCHROMA-TDS-V2-1</x:v>
      </x:c>
      <x:c r="F147" t="str">
        <x:v>Co-polyester (CoPE); composition not disclosed</x:v>
      </x:c>
      <x:c r="G147" t="str">
        <x:v>CoPE colour range; use TDS column scope</x:v>
      </x:c>
      <x:c r="H147" t="str">
        <x:v>Current Polymaker wiki page retrieved 2026-09-13</x:v>
      </x:c>
      <x:c r="I147" t="str">
        <x:v>Not published</x:v>
      </x:c>
      <x:c r="J147" t="str">
        <x:v>Exact CoPE identity, recorded 2026-09-13 as the representative grade. Replaces G091-01, which duplicated Fillamentum CPE HG100 (the CPE grade G089-01)</x:v>
      </x:c>
      <x:c r="K147" t="str">
        <x:v>R-POLYMAKER-PANCHROMA-TDS-V2-1</x:v>
      </x:c>
      <x:c r="L147" t="str">
        <x:v>Data table, CoPE column</x:v>
      </x:c>
      <x:c r="M147" t="str">
        <x:v>Check 1.75 mm variant; diameter is not part tolerance</x:v>
      </x:c>
    </x:row>
  </x:sheetData>
  <x:pageMargins left="0.7" right="0.7" top="0.75" bottom="0.75" header="0.3" footer="0.3"/>
  <x:tableParts count="1">
    <x:tablePart xmlns:r="http://schemas.openxmlformats.org/officeDocument/2006/relationships" r:id="Rfade10559aa24371"/>
  </x:tableParts>
</x:worksheet>
</file>

<file path=xl/worksheets/sheet3.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3" width="14" style="1" hidden="0" customWidth="1"/>
    <x:col min="4" max="23" width="26" style="1" hidden="0" customWidth="1"/>
    <x:col min="24" max="24" width="48" style="1" hidden="0" customWidth="1"/>
    <x:col min="25" max="34" width="26" style="1" hidden="0" customWidth="1"/>
    <x:col min="35" max="35" width="48" style="1" hidden="0" customWidth="1"/>
    <x:col min="36" max="36" width="42" style="1" hidden="0" customWidth="1"/>
    <x:col min="37" max="38" width="26" style="1" hidden="0" customWidth="1"/>
  </x:cols>
  <x:sheetData>
    <x:row r="1" ht="24" hidden="0" customHeight="1">
      <x:c r="A1" s="3" t="s">
        <x:v>1450</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row>
    <x:row r="2" ht="15" hidden="0" customHeight="1">
      <x:c r="A2" s="2"/>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row>
    <x:row r="3" ht="43.5" hidden="0" customHeight="1">
      <x:c r="A3" s="4" t="s">
        <x:v>1451</x:v>
      </x:c>
      <x:c r="B3" s="4" t="s">
        <x:v>2</x:v>
      </x:c>
      <x:c r="C3" s="4" t="s">
        <x:v>1125</x:v>
      </x:c>
      <x:c r="D3" s="4" t="s">
        <x:v>1452</x:v>
      </x:c>
      <x:c r="E3" s="4" t="s">
        <x:v>1453</x:v>
      </x:c>
      <x:c r="F3" s="4" t="s">
        <x:v>1454</x:v>
      </x:c>
      <x:c r="G3" s="4" t="s">
        <x:v>1455</x:v>
      </x:c>
      <x:c r="H3" s="4" t="s">
        <x:v>1456</x:v>
      </x:c>
      <x:c r="I3" s="4" t="s">
        <x:v>1457</x:v>
      </x:c>
      <x:c r="J3" s="4" t="s">
        <x:v>1458</x:v>
      </x:c>
      <x:c r="K3" s="4" t="s">
        <x:v>1459</x:v>
      </x:c>
      <x:c r="L3" s="4" t="s">
        <x:v>1460</x:v>
      </x:c>
      <x:c r="M3" s="4" t="s">
        <x:v>1461</x:v>
      </x:c>
      <x:c r="N3" s="4" t="s">
        <x:v>1462</x:v>
      </x:c>
      <x:c r="O3" s="4" t="s">
        <x:v>1463</x:v>
      </x:c>
      <x:c r="P3" s="4" t="s">
        <x:v>1464</x:v>
      </x:c>
      <x:c r="Q3" s="4" t="s">
        <x:v>1465</x:v>
      </x:c>
      <x:c r="R3" s="4" t="s">
        <x:v>1466</x:v>
      </x:c>
      <x:c r="S3" s="4" t="s">
        <x:v>1467</x:v>
      </x:c>
      <x:c r="T3" s="4" t="s">
        <x:v>1468</x:v>
      </x:c>
      <x:c r="U3" s="4" t="s">
        <x:v>1469</x:v>
      </x:c>
      <x:c r="V3" s="4" t="s">
        <x:v>1470</x:v>
      </x:c>
      <x:c r="W3" s="4" t="s">
        <x:v>1471</x:v>
      </x:c>
      <x:c r="X3" s="4" t="s">
        <x:v>1472</x:v>
      </x:c>
      <x:c r="Y3" s="4" t="s">
        <x:v>1473</x:v>
      </x:c>
      <x:c r="Z3" s="4" t="s">
        <x:v>1474</x:v>
      </x:c>
      <x:c r="AA3" s="4" t="s">
        <x:v>1475</x:v>
      </x:c>
      <x:c r="AB3" s="4" t="s">
        <x:v>1476</x:v>
      </x:c>
      <x:c r="AC3" s="4" t="s">
        <x:v>1477</x:v>
      </x:c>
      <x:c r="AD3" s="4" t="s">
        <x:v>1478</x:v>
      </x:c>
      <x:c r="AE3" s="4" t="s">
        <x:v>1479</x:v>
      </x:c>
      <x:c r="AF3" s="4" t="s">
        <x:v>1480</x:v>
      </x:c>
      <x:c r="AG3" s="4" t="s">
        <x:v>1481</x:v>
      </x:c>
      <x:c r="AH3" s="4" t="s">
        <x:v>1482</x:v>
      </x:c>
      <x:c r="AI3" s="4" t="s">
        <x:v>1483</x:v>
      </x:c>
      <x:c r="AJ3" s="4" t="s">
        <x:v>1134</x:v>
      </x:c>
      <x:c r="AK3" s="4" t="s">
        <x:v>1484</x:v>
      </x:c>
      <x:c r="AL3" s="4" t="s">
        <x:v>1485</x:v>
      </x:c>
    </x:row>
    <x:row r="4" ht="51.75" hidden="0" customHeight="1">
      <x:c r="A4" s="7" t="s">
        <x:v>1486</x:v>
      </x:c>
      <x:c r="B4" s="7" t="s">
        <x:v>45</x:v>
      </x:c>
      <x:c r="C4" s="7" t="s">
        <x:v>48</x:v>
      </x:c>
      <x:c r="D4" s="7" t="s">
        <x:v>1487</x:v>
      </x:c>
      <x:c r="E4" s="7" t="s">
        <x:v>53</x:v>
      </x:c>
      <x:c r="F4" s="7" t="s">
        <x:v>53</x:v>
      </x:c>
      <x:c r="G4" s="7" t="s">
        <x:v>53</x:v>
      </x:c>
      <x:c r="H4" s="7" t="s">
        <x:v>53</x:v>
      </x:c>
      <x:c r="I4" s="7" t="s">
        <x:v>53</x:v>
      </x:c>
      <x:c r="J4" s="7" t="s">
        <x:v>53</x:v>
      </x:c>
      <x:c r="K4" s="7" t="s">
        <x:v>53</x:v>
      </x:c>
      <x:c r="L4" s="7" t="s">
        <x:v>53</x:v>
      </x:c>
      <x:c r="M4" s="7" t="s">
        <x:v>53</x:v>
      </x:c>
      <x:c r="N4" s="7" t="s">
        <x:v>53</x:v>
      </x:c>
      <x:c r="O4" s="7" t="s">
        <x:v>53</x:v>
      </x:c>
      <x:c r="P4" s="7" t="s">
        <x:v>53</x:v>
      </x:c>
      <x:c r="Q4" s="7" t="s">
        <x:v>53</x:v>
      </x:c>
      <x:c r="R4" s="7" t="s">
        <x:v>53</x:v>
      </x:c>
      <x:c r="S4" s="7" t="s">
        <x:v>1488</x:v>
      </x:c>
      <x:c r="T4" s="7" t="s">
        <x:v>1488</x:v>
      </x:c>
      <x:c r="U4" s="7" t="s">
        <x:v>1489</x:v>
      </x:c>
      <x:c r="V4" s="7" t="s">
        <x:v>1489</x:v>
      </x:c>
      <x:c r="W4" s="7" t="s">
        <x:v>53</x:v>
      </x:c>
      <x:c r="X4" s="7" t="s">
        <x:v>1490</x:v>
      </x:c>
      <x:c r="Y4" s="7" t="s">
        <x:v>53</x:v>
      </x:c>
      <x:c r="Z4" s="7" t="s">
        <x:v>53</x:v>
      </x:c>
      <x:c r="AA4" s="7" t="s">
        <x:v>53</x:v>
      </x:c>
      <x:c r="AB4" s="7" t="s">
        <x:v>53</x:v>
      </x:c>
      <x:c r="AC4" s="7" t="s">
        <x:v>53</x:v>
      </x:c>
      <x:c r="AD4" s="7" t="s">
        <x:v>53</x:v>
      </x:c>
      <x:c r="AE4" s="7" t="s">
        <x:v>53</x:v>
      </x:c>
      <x:c r="AF4" s="7" t="s">
        <x:v>53</x:v>
      </x:c>
      <x:c r="AG4" s="7" t="s">
        <x:v>53</x:v>
      </x:c>
      <x:c r="AH4" s="7" t="s">
        <x:v>53</x:v>
      </x:c>
      <x:c r="AI4" s="7" t="s">
        <x:v>53</x:v>
      </x:c>
      <x:c r="AJ4" s="7" t="s">
        <x:v>1139</x:v>
      </x:c>
      <x:c r="AK4" s="7" t="s">
        <x:v>1491</x:v>
      </x:c>
      <x:c r="AL4" s="7" t="s">
        <x:v>1492</x:v>
      </x:c>
    </x:row>
    <x:row r="5" ht="51.75" hidden="0" customHeight="1">
      <x:c r="A5" s="7" t="s">
        <x:v>1493</x:v>
      </x:c>
      <x:c r="B5" s="7" t="s">
        <x:v>45</x:v>
      </x:c>
      <x:c r="C5" s="7" t="s">
        <x:v>1145</x:v>
      </x:c>
      <x:c r="D5" s="7" t="s">
        <x:v>1487</x:v>
      </x:c>
      <x:c r="E5" s="7" t="s">
        <x:v>1494</x:v>
      </x:c>
      <x:c r="F5" s="7" t="s">
        <x:v>1495</x:v>
      </x:c>
      <x:c r="G5" s="7" t="str">
        <x:v>Not required (Closure Chamber: No needed)</x:v>
      </x:c>
      <x:c r="H5" s="7" t="s">
        <x:v>53</x:v>
      </x:c>
      <x:c r="I5" s="7" t="s">
        <x:v>53</x:v>
      </x:c>
      <x:c r="J5" s="7" t="s">
        <x:v>1496</x:v>
      </x:c>
      <x:c r="K5" s="7" t="s">
        <x:v>1497</x:v>
      </x:c>
      <x:c r="L5" s="7" t="s">
        <x:v>1498</x:v>
      </x:c>
      <x:c r="M5" s="7" t="s">
        <x:v>53</x:v>
      </x:c>
      <x:c r="N5" s="7" t="s">
        <x:v>53</x:v>
      </x:c>
      <x:c r="O5" s="7" t="s">
        <x:v>53</x:v>
      </x:c>
      <x:c r="P5" s="7" t="s">
        <x:v>53</x:v>
      </x:c>
      <x:c r="Q5" s="7" t="s">
        <x:v>53</x:v>
      </x:c>
      <x:c r="R5" s="7" t="s">
        <x:v>53</x:v>
      </x:c>
      <x:c r="S5" s="7" t="s">
        <x:v>1488</x:v>
      </x:c>
      <x:c r="T5" s="7" t="s">
        <x:v>1488</x:v>
      </x:c>
      <x:c r="U5" s="7" t="s">
        <x:v>1489</x:v>
      </x:c>
      <x:c r="V5" s="7" t="s">
        <x:v>1489</x:v>
      </x:c>
      <x:c r="W5" s="7" t="s">
        <x:v>53</x:v>
      </x:c>
      <x:c r="X5" s="7" t="s">
        <x:v>1490</x:v>
      </x:c>
      <x:c r="Y5" s="7" t="s">
        <x:v>1499</x:v>
      </x:c>
      <x:c r="Z5" s="7" t="s">
        <x:v>53</x:v>
      </x:c>
      <x:c r="AA5" s="7" t="s">
        <x:v>53</x:v>
      </x:c>
      <x:c r="AB5" s="7" t="s">
        <x:v>53</x:v>
      </x:c>
      <x:c r="AC5" s="7" t="s">
        <x:v>53</x:v>
      </x:c>
      <x:c r="AD5" s="7" t="s">
        <x:v>53</x:v>
      </x:c>
      <x:c r="AE5" s="7" t="s">
        <x:v>53</x:v>
      </x:c>
      <x:c r="AF5" s="7" t="s">
        <x:v>53</x:v>
      </x:c>
      <x:c r="AG5" s="7" t="s">
        <x:v>53</x:v>
      </x:c>
      <x:c r="AH5" s="7" t="s">
        <x:v>53</x:v>
      </x:c>
      <x:c r="AI5" s="7" t="s">
        <x:v>53</x:v>
      </x:c>
      <x:c r="AJ5" s="7" t="s">
        <x:v>1148</x:v>
      </x:c>
      <x:c r="AK5" s="7" t="s">
        <x:v>1491</x:v>
      </x:c>
      <x:c r="AL5" s="7" t="s">
        <x:v>1492</x:v>
      </x:c>
    </x:row>
    <x:row r="6" ht="51.75" hidden="0" customHeight="1">
      <x:c r="A6" s="7" t="s">
        <x:v>1500</x:v>
      </x:c>
      <x:c r="B6" s="7" t="s">
        <x:v>45</x:v>
      </x:c>
      <x:c r="C6" s="7" t="s">
        <x:v>1150</x:v>
      </x:c>
      <x:c r="D6" s="7" t="s">
        <x:v>1487</x:v>
      </x:c>
      <x:c r="E6" s="7" t="s">
        <x:v>1501</x:v>
      </x:c>
      <x:c r="F6" s="7" t="s">
        <x:v>1502</x:v>
      </x:c>
      <x:c r="G6" s="7" t="s">
        <x:v>1503</x:v>
      </x:c>
      <x:c r="H6" s="7" t="s">
        <x:v>53</x:v>
      </x:c>
      <x:c r="I6" s="7" t="s">
        <x:v>53</x:v>
      </x:c>
      <x:c r="J6" s="7" t="s">
        <x:v>53</x:v>
      </x:c>
      <x:c r="K6" s="7" t="s">
        <x:v>1504</x:v>
      </x:c>
      <x:c r="L6" s="7" t="s">
        <x:v>1505</x:v>
      </x:c>
      <x:c r="M6" s="7" t="s">
        <x:v>53</x:v>
      </x:c>
      <x:c r="N6" s="7" t="s">
        <x:v>53</x:v>
      </x:c>
      <x:c r="O6" s="7" t="s">
        <x:v>53</x:v>
      </x:c>
      <x:c r="P6" s="7" t="s">
        <x:v>53</x:v>
      </x:c>
      <x:c r="Q6" s="7" t="s">
        <x:v>53</x:v>
      </x:c>
      <x:c r="R6" s="7" t="s">
        <x:v>53</x:v>
      </x:c>
      <x:c r="S6" s="7" t="s">
        <x:v>1488</x:v>
      </x:c>
      <x:c r="T6" s="7" t="s">
        <x:v>1488</x:v>
      </x:c>
      <x:c r="U6" s="7" t="s">
        <x:v>1489</x:v>
      </x:c>
      <x:c r="V6" s="7" t="s">
        <x:v>1489</x:v>
      </x:c>
      <x:c r="W6" s="7" t="s">
        <x:v>53</x:v>
      </x:c>
      <x:c r="X6" s="7" t="s">
        <x:v>1490</x:v>
      </x:c>
      <x:c r="Y6" s="7" t="s">
        <x:v>53</x:v>
      </x:c>
      <x:c r="Z6" s="7" t="s">
        <x:v>53</x:v>
      </x:c>
      <x:c r="AA6" s="7" t="s">
        <x:v>53</x:v>
      </x:c>
      <x:c r="AB6" s="7" t="s">
        <x:v>53</x:v>
      </x:c>
      <x:c r="AC6" s="7" t="s">
        <x:v>53</x:v>
      </x:c>
      <x:c r="AD6" s="7" t="s">
        <x:v>53</x:v>
      </x:c>
      <x:c r="AE6" s="7" t="s">
        <x:v>53</x:v>
      </x:c>
      <x:c r="AF6" s="7" t="s">
        <x:v>53</x:v>
      </x:c>
      <x:c r="AG6" s="7" t="s">
        <x:v>53</x:v>
      </x:c>
      <x:c r="AH6" s="7" t="s">
        <x:v>53</x:v>
      </x:c>
      <x:c r="AI6" s="7" t="s">
        <x:v>53</x:v>
      </x:c>
      <x:c r="AJ6" s="7" t="s">
        <x:v>1152</x:v>
      </x:c>
      <x:c r="AK6" s="7" t="s">
        <x:v>1491</x:v>
      </x:c>
      <x:c r="AL6" s="7" t="s">
        <x:v>1492</x:v>
      </x:c>
    </x:row>
    <x:row r="7" ht="51.75" hidden="0" customHeight="1">
      <x:c r="A7" s="7" t="s">
        <x:v>82</x:v>
      </x:c>
      <x:c r="B7" s="7" t="s">
        <x:v>76</x:v>
      </x:c>
      <x:c r="C7" s="7" t="s">
        <x:v>79</x:v>
      </x:c>
      <x:c r="D7" s="7" t="s">
        <x:v>1487</x:v>
      </x:c>
      <x:c r="E7" s="7" t="s">
        <x:v>80</x:v>
      </x:c>
      <x:c r="F7" s="7" t="s">
        <x:v>81</x:v>
      </x:c>
      <x:c r="G7" s="7" t="str">
        <x:v>25 - 45 °C</x:v>
      </x:c>
      <x:c r="H7" s="7" t="s">
        <x:v>53</x:v>
      </x:c>
      <x:c r="I7" s="7" t="s">
        <x:v>1506</x:v>
      </x:c>
      <x:c r="J7" s="7" t="s">
        <x:v>1507</x:v>
      </x:c>
      <x:c r="K7" s="7" t="s">
        <x:v>1508</x:v>
      </x:c>
      <x:c r="L7" s="7" t="s">
        <x:v>53</x:v>
      </x:c>
      <x:c r="M7" s="7" t="s">
        <x:v>53</x:v>
      </x:c>
      <x:c r="N7" s="7" t="s">
        <x:v>1509</x:v>
      </x:c>
      <x:c r="O7" s="7" t="s">
        <x:v>1510</x:v>
      </x:c>
      <x:c r="P7" s="7" t="s">
        <x:v>53</x:v>
      </x:c>
      <x:c r="Q7" s="7" t="s">
        <x:v>1511</x:v>
      </x:c>
      <x:c r="R7" s="7" t="s">
        <x:v>53</x:v>
      </x:c>
      <x:c r="S7" s="7" t="s">
        <x:v>1488</x:v>
      </x:c>
      <x:c r="T7" s="7" t="s">
        <x:v>1488</x:v>
      </x:c>
      <x:c r="U7" s="7" t="s">
        <x:v>1489</x:v>
      </x:c>
      <x:c r="V7" s="7" t="s">
        <x:v>1489</x:v>
      </x:c>
      <x:c r="W7" s="7" t="s">
        <x:v>53</x:v>
      </x:c>
      <x:c r="X7" s="7" t="s">
        <x:v>1490</x:v>
      </x:c>
      <x:c r="Y7" s="7" t="s">
        <x:v>53</x:v>
      </x:c>
      <x:c r="Z7" s="7" t="s">
        <x:v>53</x:v>
      </x:c>
      <x:c r="AA7" s="7" t="s">
        <x:v>53</x:v>
      </x:c>
      <x:c r="AB7" s="7" t="s">
        <x:v>53</x:v>
      </x:c>
      <x:c r="AC7" s="7" t="s">
        <x:v>53</x:v>
      </x:c>
      <x:c r="AD7" s="7" t="s">
        <x:v>53</x:v>
      </x:c>
      <x:c r="AE7" s="7" t="s">
        <x:v>53</x:v>
      </x:c>
      <x:c r="AF7" s="7" t="s">
        <x:v>53</x:v>
      </x:c>
      <x:c r="AG7" s="7" t="s">
        <x:v>53</x:v>
      </x:c>
      <x:c r="AH7" s="7" t="s">
        <x:v>53</x:v>
      </x:c>
      <x:c r="AI7" s="7" t="s">
        <x:v>53</x:v>
      </x:c>
      <x:c r="AJ7" s="7" t="s">
        <x:v>1154</x:v>
      </x:c>
      <x:c r="AK7" s="7" t="s">
        <x:v>1491</x:v>
      </x:c>
      <x:c r="AL7" s="7" t="s">
        <x:v>1492</x:v>
      </x:c>
    </x:row>
    <x:row r="8" ht="51.75" hidden="0" customHeight="1">
      <x:c r="A8" s="7" t="s">
        <x:v>97</x:v>
      </x:c>
      <x:c r="B8" s="7" t="s">
        <x:v>94</x:v>
      </x:c>
      <x:c r="C8" s="7" t="s">
        <x:v>96</x:v>
      </x:c>
      <x:c r="D8" s="7" t="s">
        <x:v>1487</x:v>
      </x:c>
      <x:c r="E8" s="7" t="s">
        <x:v>80</x:v>
      </x:c>
      <x:c r="F8" s="7" t="s">
        <x:v>81</x:v>
      </x:c>
      <x:c r="G8" s="7" t="str">
        <x:v>25 - 45 °C</x:v>
      </x:c>
      <x:c r="H8" s="7" t="s">
        <x:v>53</x:v>
      </x:c>
      <x:c r="I8" s="7" t="s">
        <x:v>1506</x:v>
      </x:c>
      <x:c r="J8" s="7" t="s">
        <x:v>1507</x:v>
      </x:c>
      <x:c r="K8" s="7" t="s">
        <x:v>1508</x:v>
      </x:c>
      <x:c r="L8" s="7" t="s">
        <x:v>53</x:v>
      </x:c>
      <x:c r="M8" s="7" t="s">
        <x:v>53</x:v>
      </x:c>
      <x:c r="N8" s="7" t="s">
        <x:v>1509</x:v>
      </x:c>
      <x:c r="O8" s="7" t="s">
        <x:v>1510</x:v>
      </x:c>
      <x:c r="P8" s="7" t="s">
        <x:v>53</x:v>
      </x:c>
      <x:c r="Q8" s="7" t="s">
        <x:v>1511</x:v>
      </x:c>
      <x:c r="R8" s="7" t="s">
        <x:v>53</x:v>
      </x:c>
      <x:c r="S8" s="7" t="s">
        <x:v>1488</x:v>
      </x:c>
      <x:c r="T8" s="7" t="s">
        <x:v>1488</x:v>
      </x:c>
      <x:c r="U8" s="7" t="s">
        <x:v>1489</x:v>
      </x:c>
      <x:c r="V8" s="7" t="s">
        <x:v>1489</x:v>
      </x:c>
      <x:c r="W8" s="7" t="s">
        <x:v>53</x:v>
      </x:c>
      <x:c r="X8" s="7" t="s">
        <x:v>1490</x:v>
      </x:c>
      <x:c r="Y8" s="7" t="s">
        <x:v>53</x:v>
      </x:c>
      <x:c r="Z8" s="7" t="s">
        <x:v>53</x:v>
      </x:c>
      <x:c r="AA8" s="7" t="s">
        <x:v>53</x:v>
      </x:c>
      <x:c r="AB8" s="7" t="s">
        <x:v>53</x:v>
      </x:c>
      <x:c r="AC8" s="7" t="s">
        <x:v>53</x:v>
      </x:c>
      <x:c r="AD8" s="7" t="s">
        <x:v>53</x:v>
      </x:c>
      <x:c r="AE8" s="7" t="s">
        <x:v>53</x:v>
      </x:c>
      <x:c r="AF8" s="7" t="s">
        <x:v>53</x:v>
      </x:c>
      <x:c r="AG8" s="7" t="s">
        <x:v>53</x:v>
      </x:c>
      <x:c r="AH8" s="7" t="s">
        <x:v>53</x:v>
      </x:c>
      <x:c r="AI8" s="7" t="s">
        <x:v>53</x:v>
      </x:c>
      <x:c r="AJ8" s="7" t="s">
        <x:v>1157</x:v>
      </x:c>
      <x:c r="AK8" s="7" t="s">
        <x:v>1491</x:v>
      </x:c>
      <x:c r="AL8" s="7" t="s">
        <x:v>1492</x:v>
      </x:c>
    </x:row>
    <x:row r="9" ht="51.75" hidden="0" customHeight="1">
      <x:c r="A9" s="7" t="s">
        <x:v>115</x:v>
      </x:c>
      <x:c r="B9" s="7" t="s">
        <x:v>111</x:v>
      </x:c>
      <x:c r="C9" s="7" t="s">
        <x:v>113</x:v>
      </x:c>
      <x:c r="D9" s="7" t="s">
        <x:v>1487</x:v>
      </x:c>
      <x:c r="E9" s="7" t="s">
        <x:v>80</x:v>
      </x:c>
      <x:c r="F9" s="7" t="s">
        <x:v>81</x:v>
      </x:c>
      <x:c r="G9" s="7" t="s">
        <x:v>114</x:v>
      </x:c>
      <x:c r="H9" s="7" t="s">
        <x:v>53</x:v>
      </x:c>
      <x:c r="I9" s="7" t="s">
        <x:v>1506</x:v>
      </x:c>
      <x:c r="J9" s="7" t="s">
        <x:v>1507</x:v>
      </x:c>
      <x:c r="K9" s="7" t="s">
        <x:v>1497</x:v>
      </x:c>
      <x:c r="L9" s="7" t="s">
        <x:v>1512</x:v>
      </x:c>
      <x:c r="M9" s="7" t="s">
        <x:v>53</x:v>
      </x:c>
      <x:c r="N9" s="7" t="s">
        <x:v>1513</x:v>
      </x:c>
      <x:c r="O9" s="7" t="s">
        <x:v>1510</x:v>
      </x:c>
      <x:c r="P9" s="7" t="s">
        <x:v>53</x:v>
      </x:c>
      <x:c r="Q9" s="7" t="s">
        <x:v>53</x:v>
      </x:c>
      <x:c r="R9" s="7" t="s">
        <x:v>53</x:v>
      </x:c>
      <x:c r="S9" s="7" t="s">
        <x:v>1488</x:v>
      </x:c>
      <x:c r="T9" s="7" t="s">
        <x:v>1488</x:v>
      </x:c>
      <x:c r="U9" s="7" t="s">
        <x:v>1489</x:v>
      </x:c>
      <x:c r="V9" s="7" t="s">
        <x:v>1489</x:v>
      </x:c>
      <x:c r="W9" s="7" t="s">
        <x:v>53</x:v>
      </x:c>
      <x:c r="X9" s="7" t="s">
        <x:v>1490</x:v>
      </x:c>
      <x:c r="Y9" s="7" t="s">
        <x:v>53</x:v>
      </x:c>
      <x:c r="Z9" s="7" t="s">
        <x:v>53</x:v>
      </x:c>
      <x:c r="AA9" s="7" t="s">
        <x:v>53</x:v>
      </x:c>
      <x:c r="AB9" s="7" t="s">
        <x:v>53</x:v>
      </x:c>
      <x:c r="AC9" s="7" t="s">
        <x:v>53</x:v>
      </x:c>
      <x:c r="AD9" s="7" t="s">
        <x:v>1514</x:v>
      </x:c>
      <x:c r="AE9" s="7" t="s">
        <x:v>53</x:v>
      </x:c>
      <x:c r="AF9" s="7" t="s">
        <x:v>53</x:v>
      </x:c>
      <x:c r="AG9" s="7" t="s">
        <x:v>53</x:v>
      </x:c>
      <x:c r="AH9" s="7" t="s">
        <x:v>53</x:v>
      </x:c>
      <x:c r="AI9" s="7" t="s">
        <x:v>53</x:v>
      </x:c>
      <x:c r="AJ9" s="7" t="s">
        <x:v>1158</x:v>
      </x:c>
      <x:c r="AK9" s="7" t="s">
        <x:v>1491</x:v>
      </x:c>
      <x:c r="AL9" s="7" t="s">
        <x:v>1492</x:v>
      </x:c>
    </x:row>
    <x:row r="10" ht="51.75" hidden="0" customHeight="1">
      <x:c r="A10" s="7" t="s">
        <x:v>128</x:v>
      </x:c>
      <x:c r="B10" s="7" t="s">
        <x:v>122</x:v>
      </x:c>
      <x:c r="C10" s="7" t="s">
        <x:v>124</x:v>
      </x:c>
      <x:c r="D10" s="7" t="s">
        <x:v>1487</x:v>
      </x:c>
      <x:c r="E10" s="7" t="s">
        <x:v>125</x:v>
      </x:c>
      <x:c r="F10" s="7" t="s">
        <x:v>126</x:v>
      </x:c>
      <x:c r="G10" s="7" t="s">
        <x:v>127</x:v>
      </x:c>
      <x:c r="H10" s="7" t="s">
        <x:v>53</x:v>
      </x:c>
      <x:c r="I10" s="7" t="s">
        <x:v>1515</x:v>
      </x:c>
      <x:c r="J10" s="7" t="s">
        <x:v>53</x:v>
      </x:c>
      <x:c r="K10" s="7" t="s">
        <x:v>1508</x:v>
      </x:c>
      <x:c r="L10" s="10" t="s">
        <x:v>1516</x:v>
      </x:c>
      <x:c r="M10" s="7" t="s">
        <x:v>53</x:v>
      </x:c>
      <x:c r="N10" s="7" t="s">
        <x:v>1517</x:v>
      </x:c>
      <x:c r="O10" s="7" t="s">
        <x:v>1518</x:v>
      </x:c>
      <x:c r="P10" s="7" t="s">
        <x:v>53</x:v>
      </x:c>
      <x:c r="Q10" s="7" t="s">
        <x:v>1519</x:v>
      </x:c>
      <x:c r="R10" s="7" t="s">
        <x:v>53</x:v>
      </x:c>
      <x:c r="S10" s="7" t="s">
        <x:v>1488</x:v>
      </x:c>
      <x:c r="T10" s="7" t="s">
        <x:v>1488</x:v>
      </x:c>
      <x:c r="U10" s="7" t="s">
        <x:v>1489</x:v>
      </x:c>
      <x:c r="V10" s="7" t="s">
        <x:v>1489</x:v>
      </x:c>
      <x:c r="W10" s="7" t="s">
        <x:v>1520</x:v>
      </x:c>
      <x:c r="X10" s="7" t="s">
        <x:v>1490</x:v>
      </x:c>
      <x:c r="Y10" s="7" t="s">
        <x:v>1521</x:v>
      </x:c>
      <x:c r="Z10" s="7" t="s">
        <x:v>53</x:v>
      </x:c>
      <x:c r="AA10" s="7" t="s">
        <x:v>53</x:v>
      </x:c>
      <x:c r="AB10" s="7" t="s">
        <x:v>53</x:v>
      </x:c>
      <x:c r="AC10" s="7" t="s">
        <x:v>1522</x:v>
      </x:c>
      <x:c r="AD10" s="7" t="s">
        <x:v>1523</x:v>
      </x:c>
      <x:c r="AE10" s="7" t="s">
        <x:v>53</x:v>
      </x:c>
      <x:c r="AF10" s="7" t="s">
        <x:v>53</x:v>
      </x:c>
      <x:c r="AG10" s="7" t="s">
        <x:v>53</x:v>
      </x:c>
      <x:c r="AH10" s="7" t="s">
        <x:v>53</x:v>
      </x:c>
      <x:c r="AI10" s="7" t="s">
        <x:v>53</x:v>
      </x:c>
      <x:c r="AJ10" s="7" t="s">
        <x:v>1160</x:v>
      </x:c>
      <x:c r="AK10" s="7" t="s">
        <x:v>1491</x:v>
      </x:c>
      <x:c r="AL10" s="7" t="s">
        <x:v>1492</x:v>
      </x:c>
    </x:row>
    <x:row r="11" ht="51.75" hidden="0" customHeight="1">
      <x:c r="A11" s="7" t="s">
        <x:v>139</x:v>
      </x:c>
      <x:c r="B11" s="7" t="s">
        <x:v>134</x:v>
      </x:c>
      <x:c r="C11" s="7" t="s">
        <x:v>136</x:v>
      </x:c>
      <x:c r="D11" s="7" t="s">
        <x:v>1487</x:v>
      </x:c>
      <x:c r="E11" s="7" t="s">
        <x:v>137</x:v>
      </x:c>
      <x:c r="F11" s="7" t="s">
        <x:v>126</x:v>
      </x:c>
      <x:c r="G11" s="7" t="s">
        <x:v>138</x:v>
      </x:c>
      <x:c r="H11" s="7" t="s">
        <x:v>53</x:v>
      </x:c>
      <x:c r="I11" s="7" t="s">
        <x:v>1524</x:v>
      </x:c>
      <x:c r="J11" s="7" t="s">
        <x:v>1507</x:v>
      </x:c>
      <x:c r="K11" s="7" t="s">
        <x:v>1508</x:v>
      </x:c>
      <x:c r="L11" s="10" t="s">
        <x:v>1525</x:v>
      </x:c>
      <x:c r="M11" s="7" t="s">
        <x:v>53</x:v>
      </x:c>
      <x:c r="N11" s="7" t="s">
        <x:v>1526</x:v>
      </x:c>
      <x:c r="O11" s="7" t="s">
        <x:v>1527</x:v>
      </x:c>
      <x:c r="P11" s="7" t="s">
        <x:v>53</x:v>
      </x:c>
      <x:c r="Q11" s="7" t="s">
        <x:v>1528</x:v>
      </x:c>
      <x:c r="R11" s="7" t="s">
        <x:v>53</x:v>
      </x:c>
      <x:c r="S11" s="7" t="s">
        <x:v>1488</x:v>
      </x:c>
      <x:c r="T11" s="7" t="s">
        <x:v>1488</x:v>
      </x:c>
      <x:c r="U11" s="7" t="s">
        <x:v>1489</x:v>
      </x:c>
      <x:c r="V11" s="7" t="s">
        <x:v>1489</x:v>
      </x:c>
      <x:c r="W11" s="7" t="s">
        <x:v>53</x:v>
      </x:c>
      <x:c r="X11" s="7" t="s">
        <x:v>1490</x:v>
      </x:c>
      <x:c r="Y11" s="7" t="s">
        <x:v>857</x:v>
      </x:c>
      <x:c r="Z11" s="7" t="s">
        <x:v>53</x:v>
      </x:c>
      <x:c r="AA11" s="7" t="s">
        <x:v>53</x:v>
      </x:c>
      <x:c r="AB11" s="7" t="s">
        <x:v>53</x:v>
      </x:c>
      <x:c r="AC11" s="7" t="s">
        <x:v>1522</x:v>
      </x:c>
      <x:c r="AD11" s="7" t="s">
        <x:v>1523</x:v>
      </x:c>
      <x:c r="AE11" s="7" t="s">
        <x:v>53</x:v>
      </x:c>
      <x:c r="AF11" s="7" t="s">
        <x:v>53</x:v>
      </x:c>
      <x:c r="AG11" s="7" t="s">
        <x:v>53</x:v>
      </x:c>
      <x:c r="AH11" s="7" t="s">
        <x:v>53</x:v>
      </x:c>
      <x:c r="AI11" s="7" t="s">
        <x:v>53</x:v>
      </x:c>
      <x:c r="AJ11" s="7" t="s">
        <x:v>1162</x:v>
      </x:c>
      <x:c r="AK11" s="7" t="s">
        <x:v>1491</x:v>
      </x:c>
      <x:c r="AL11" s="7" t="s">
        <x:v>1492</x:v>
      </x:c>
    </x:row>
    <x:row r="12" ht="51.75" hidden="0" customHeight="1">
      <x:c r="A12" s="7" t="s">
        <x:v>152</x:v>
      </x:c>
      <x:c r="B12" s="7" t="s">
        <x:v>148</x:v>
      </x:c>
      <x:c r="C12" s="7" t="s">
        <x:v>150</x:v>
      </x:c>
      <x:c r="D12" s="7" t="s">
        <x:v>1487</x:v>
      </x:c>
      <x:c r="E12" s="7" t="s">
        <x:v>151</x:v>
      </x:c>
      <x:c r="F12" s="7" t="s">
        <x:v>81</x:v>
      </x:c>
      <x:c r="G12" s="7" t="s">
        <x:v>114</x:v>
      </x:c>
      <x:c r="H12" s="7" t="s">
        <x:v>53</x:v>
      </x:c>
      <x:c r="I12" s="7" t="s">
        <x:v>1529</x:v>
      </x:c>
      <x:c r="J12" s="7" t="s">
        <x:v>53</x:v>
      </x:c>
      <x:c r="K12" s="7" t="s">
        <x:v>1508</x:v>
      </x:c>
      <x:c r="L12" s="7" t="s">
        <x:v>1530</x:v>
      </x:c>
      <x:c r="M12" s="7" t="s">
        <x:v>53</x:v>
      </x:c>
      <x:c r="N12" s="7" t="s">
        <x:v>1531</x:v>
      </x:c>
      <x:c r="O12" s="7" t="s">
        <x:v>1518</x:v>
      </x:c>
      <x:c r="P12" s="7" t="s">
        <x:v>53</x:v>
      </x:c>
      <x:c r="Q12" s="7" t="s">
        <x:v>1532</x:v>
      </x:c>
      <x:c r="R12" s="7" t="s">
        <x:v>53</x:v>
      </x:c>
      <x:c r="S12" s="7" t="s">
        <x:v>1488</x:v>
      </x:c>
      <x:c r="T12" s="7" t="s">
        <x:v>1488</x:v>
      </x:c>
      <x:c r="U12" s="7" t="s">
        <x:v>1489</x:v>
      </x:c>
      <x:c r="V12" s="7" t="s">
        <x:v>1489</x:v>
      </x:c>
      <x:c r="W12" s="7" t="s">
        <x:v>53</x:v>
      </x:c>
      <x:c r="X12" s="7" t="s">
        <x:v>1490</x:v>
      </x:c>
      <x:c r="Y12" s="7" t="s">
        <x:v>53</x:v>
      </x:c>
      <x:c r="Z12" s="7" t="s">
        <x:v>53</x:v>
      </x:c>
      <x:c r="AA12" s="7" t="s">
        <x:v>53</x:v>
      </x:c>
      <x:c r="AB12" s="7" t="s">
        <x:v>53</x:v>
      </x:c>
      <x:c r="AC12" s="7" t="s">
        <x:v>1522</x:v>
      </x:c>
      <x:c r="AD12" s="7" t="s">
        <x:v>1523</x:v>
      </x:c>
      <x:c r="AE12" s="7" t="s">
        <x:v>53</x:v>
      </x:c>
      <x:c r="AF12" s="7" t="s">
        <x:v>53</x:v>
      </x:c>
      <x:c r="AG12" s="7" t="s">
        <x:v>53</x:v>
      </x:c>
      <x:c r="AH12" s="7" t="s">
        <x:v>53</x:v>
      </x:c>
      <x:c r="AI12" s="7" t="s">
        <x:v>53</x:v>
      </x:c>
      <x:c r="AJ12" s="7" t="s">
        <x:v>1163</x:v>
      </x:c>
      <x:c r="AK12" s="7" t="s">
        <x:v>1491</x:v>
      </x:c>
      <x:c r="AL12" s="7" t="s">
        <x:v>1492</x:v>
      </x:c>
    </x:row>
    <x:row r="13" ht="51.75" hidden="0" customHeight="1">
      <x:c r="A13" s="7" t="s">
        <x:v>164</x:v>
      </x:c>
      <x:c r="B13" s="7" t="s">
        <x:v>158</x:v>
      </x:c>
      <x:c r="C13" s="7" t="s">
        <x:v>160</x:v>
      </x:c>
      <x:c r="D13" s="7" t="s">
        <x:v>1487</x:v>
      </x:c>
      <x:c r="E13" s="7" t="s">
        <x:v>161</x:v>
      </x:c>
      <x:c r="F13" s="7" t="s">
        <x:v>162</x:v>
      </x:c>
      <x:c r="G13" s="7" t="s">
        <x:v>163</x:v>
      </x:c>
      <x:c r="H13" s="7" t="s">
        <x:v>53</x:v>
      </x:c>
      <x:c r="I13" s="7" t="s">
        <x:v>1506</x:v>
      </x:c>
      <x:c r="J13" s="7" t="s">
        <x:v>1507</x:v>
      </x:c>
      <x:c r="K13" s="7" t="s">
        <x:v>1508</x:v>
      </x:c>
      <x:c r="L13" s="7" t="s">
        <x:v>1530</x:v>
      </x:c>
      <x:c r="M13" s="7" t="s">
        <x:v>53</x:v>
      </x:c>
      <x:c r="N13" s="7" t="s">
        <x:v>1531</x:v>
      </x:c>
      <x:c r="O13" s="7" t="s">
        <x:v>1533</x:v>
      </x:c>
      <x:c r="P13" s="7" t="s">
        <x:v>53</x:v>
      </x:c>
      <x:c r="Q13" s="7" t="s">
        <x:v>1534</x:v>
      </x:c>
      <x:c r="R13" s="7" t="s">
        <x:v>53</x:v>
      </x:c>
      <x:c r="S13" s="7" t="s">
        <x:v>1488</x:v>
      </x:c>
      <x:c r="T13" s="7" t="s">
        <x:v>1488</x:v>
      </x:c>
      <x:c r="U13" s="7" t="s">
        <x:v>1489</x:v>
      </x:c>
      <x:c r="V13" s="7" t="s">
        <x:v>1489</x:v>
      </x:c>
      <x:c r="W13" s="7" t="s">
        <x:v>53</x:v>
      </x:c>
      <x:c r="X13" s="7" t="s">
        <x:v>1490</x:v>
      </x:c>
      <x:c r="Y13" s="7" t="s">
        <x:v>53</x:v>
      </x:c>
      <x:c r="Z13" s="7" t="s">
        <x:v>53</x:v>
      </x:c>
      <x:c r="AA13" s="7" t="s">
        <x:v>53</x:v>
      </x:c>
      <x:c r="AB13" s="7" t="s">
        <x:v>53</x:v>
      </x:c>
      <x:c r="AC13" s="7" t="s">
        <x:v>53</x:v>
      </x:c>
      <x:c r="AD13" s="7" t="s">
        <x:v>1523</x:v>
      </x:c>
      <x:c r="AE13" s="7" t="s">
        <x:v>53</x:v>
      </x:c>
      <x:c r="AF13" s="7" t="s">
        <x:v>53</x:v>
      </x:c>
      <x:c r="AG13" s="7" t="s">
        <x:v>53</x:v>
      </x:c>
      <x:c r="AH13" s="7" t="s">
        <x:v>53</x:v>
      </x:c>
      <x:c r="AI13" s="7" t="s">
        <x:v>53</x:v>
      </x:c>
      <x:c r="AJ13" s="7" t="s">
        <x:v>1164</x:v>
      </x:c>
      <x:c r="AK13" s="7" t="s">
        <x:v>1491</x:v>
      </x:c>
      <x:c r="AL13" s="7" t="s">
        <x:v>1492</x:v>
      </x:c>
    </x:row>
    <x:row r="14" ht="51.75" hidden="0" customHeight="1">
      <x:c r="A14" s="7" t="s">
        <x:v>174</x:v>
      </x:c>
      <x:c r="B14" s="7" t="s">
        <x:v>171</x:v>
      </x:c>
      <x:c r="C14" s="7" t="s">
        <x:v>173</x:v>
      </x:c>
      <x:c r="D14" s="7" t="s">
        <x:v>1487</x:v>
      </x:c>
      <x:c r="E14" s="7" t="s">
        <x:v>80</x:v>
      </x:c>
      <x:c r="F14" s="7" t="s">
        <x:v>81</x:v>
      </x:c>
      <x:c r="G14" s="7" t="str">
        <x:v>25 - 45 °C</x:v>
      </x:c>
      <x:c r="H14" s="7" t="s">
        <x:v>53</x:v>
      </x:c>
      <x:c r="I14" s="7" t="s">
        <x:v>1506</x:v>
      </x:c>
      <x:c r="J14" s="7" t="s">
        <x:v>1507</x:v>
      </x:c>
      <x:c r="K14" s="7" t="s">
        <x:v>1508</x:v>
      </x:c>
      <x:c r="L14" s="7" t="s">
        <x:v>1512</x:v>
      </x:c>
      <x:c r="M14" s="7" t="s">
        <x:v>53</x:v>
      </x:c>
      <x:c r="N14" s="7" t="s">
        <x:v>1531</x:v>
      </x:c>
      <x:c r="O14" s="7" t="s">
        <x:v>1510</x:v>
      </x:c>
      <x:c r="P14" s="7" t="s">
        <x:v>53</x:v>
      </x:c>
      <x:c r="Q14" s="7" t="s">
        <x:v>1511</x:v>
      </x:c>
      <x:c r="R14" s="7" t="s">
        <x:v>53</x:v>
      </x:c>
      <x:c r="S14" s="7" t="s">
        <x:v>1488</x:v>
      </x:c>
      <x:c r="T14" s="7" t="s">
        <x:v>1488</x:v>
      </x:c>
      <x:c r="U14" s="7" t="s">
        <x:v>1489</x:v>
      </x:c>
      <x:c r="V14" s="7" t="s">
        <x:v>1489</x:v>
      </x:c>
      <x:c r="W14" s="7" t="s">
        <x:v>53</x:v>
      </x:c>
      <x:c r="X14" s="7" t="s">
        <x:v>1490</x:v>
      </x:c>
      <x:c r="Y14" s="7" t="s">
        <x:v>53</x:v>
      </x:c>
      <x:c r="Z14" s="7" t="s">
        <x:v>53</x:v>
      </x:c>
      <x:c r="AA14" s="7" t="s">
        <x:v>53</x:v>
      </x:c>
      <x:c r="AB14" s="7" t="s">
        <x:v>53</x:v>
      </x:c>
      <x:c r="AC14" s="7" t="s">
        <x:v>53</x:v>
      </x:c>
      <x:c r="AD14" s="7" t="s">
        <x:v>53</x:v>
      </x:c>
      <x:c r="AE14" s="7" t="s">
        <x:v>53</x:v>
      </x:c>
      <x:c r="AF14" s="7" t="s">
        <x:v>53</x:v>
      </x:c>
      <x:c r="AG14" s="7" t="s">
        <x:v>53</x:v>
      </x:c>
      <x:c r="AH14" s="7" t="s">
        <x:v>53</x:v>
      </x:c>
      <x:c r="AI14" s="7" t="s">
        <x:v>53</x:v>
      </x:c>
      <x:c r="AJ14" s="7" t="s">
        <x:v>1165</x:v>
      </x:c>
      <x:c r="AK14" s="7" t="s">
        <x:v>1491</x:v>
      </x:c>
      <x:c r="AL14" s="7" t="s">
        <x:v>1492</x:v>
      </x:c>
    </x:row>
    <x:row r="15" ht="51.75" hidden="0" customHeight="1">
      <x:c r="A15" s="7" t="s">
        <x:v>184</x:v>
      </x:c>
      <x:c r="B15" s="7" t="s">
        <x:v>181</x:v>
      </x:c>
      <x:c r="C15" s="7" t="s">
        <x:v>183</x:v>
      </x:c>
      <x:c r="D15" s="7" t="s">
        <x:v>1487</x:v>
      </x:c>
      <x:c r="E15" s="7" t="s">
        <x:v>80</x:v>
      </x:c>
      <x:c r="F15" s="7" t="s">
        <x:v>81</x:v>
      </x:c>
      <x:c r="G15" s="7" t="str">
        <x:v>25 - 45 °C</x:v>
      </x:c>
      <x:c r="H15" s="7" t="s">
        <x:v>53</x:v>
      </x:c>
      <x:c r="I15" s="7" t="s">
        <x:v>1506</x:v>
      </x:c>
      <x:c r="J15" s="7" t="s">
        <x:v>1507</x:v>
      </x:c>
      <x:c r="K15" s="7" t="s">
        <x:v>1508</x:v>
      </x:c>
      <x:c r="L15" s="7" t="s">
        <x:v>1530</x:v>
      </x:c>
      <x:c r="M15" s="7" t="s">
        <x:v>53</x:v>
      </x:c>
      <x:c r="N15" s="7" t="s">
        <x:v>1513</x:v>
      </x:c>
      <x:c r="O15" s="7" t="s">
        <x:v>1510</x:v>
      </x:c>
      <x:c r="P15" s="7" t="s">
        <x:v>53</x:v>
      </x:c>
      <x:c r="Q15" s="7" t="s">
        <x:v>1535</x:v>
      </x:c>
      <x:c r="R15" s="7" t="s">
        <x:v>53</x:v>
      </x:c>
      <x:c r="S15" s="7" t="s">
        <x:v>1488</x:v>
      </x:c>
      <x:c r="T15" s="7" t="s">
        <x:v>1488</x:v>
      </x:c>
      <x:c r="U15" s="7" t="s">
        <x:v>1489</x:v>
      </x:c>
      <x:c r="V15" s="7" t="s">
        <x:v>1489</x:v>
      </x:c>
      <x:c r="W15" s="7" t="s">
        <x:v>53</x:v>
      </x:c>
      <x:c r="X15" s="7" t="s">
        <x:v>1490</x:v>
      </x:c>
      <x:c r="Y15" s="7" t="s">
        <x:v>53</x:v>
      </x:c>
      <x:c r="Z15" s="7" t="s">
        <x:v>53</x:v>
      </x:c>
      <x:c r="AA15" s="7" t="s">
        <x:v>53</x:v>
      </x:c>
      <x:c r="AB15" s="7" t="s">
        <x:v>53</x:v>
      </x:c>
      <x:c r="AC15" s="7" t="s">
        <x:v>53</x:v>
      </x:c>
      <x:c r="AD15" s="7" t="s">
        <x:v>53</x:v>
      </x:c>
      <x:c r="AE15" s="7" t="s">
        <x:v>53</x:v>
      </x:c>
      <x:c r="AF15" s="7" t="s">
        <x:v>53</x:v>
      </x:c>
      <x:c r="AG15" s="7" t="s">
        <x:v>53</x:v>
      </x:c>
      <x:c r="AH15" s="7" t="s">
        <x:v>53</x:v>
      </x:c>
      <x:c r="AI15" s="7" t="s">
        <x:v>53</x:v>
      </x:c>
      <x:c r="AJ15" s="7" t="s">
        <x:v>1166</x:v>
      </x:c>
      <x:c r="AK15" s="7" t="s">
        <x:v>1491</x:v>
      </x:c>
      <x:c r="AL15" s="7" t="s">
        <x:v>1492</x:v>
      </x:c>
    </x:row>
    <x:row r="16" ht="51.75" hidden="0" customHeight="1">
      <x:c r="A16" s="7" t="s">
        <x:v>194</x:v>
      </x:c>
      <x:c r="B16" s="7" t="s">
        <x:v>191</x:v>
      </x:c>
      <x:c r="C16" s="7" t="s">
        <x:v>193</x:v>
      </x:c>
      <x:c r="D16" s="7" t="s">
        <x:v>1487</x:v>
      </x:c>
      <x:c r="E16" s="7" t="s">
        <x:v>80</x:v>
      </x:c>
      <x:c r="F16" s="7" t="s">
        <x:v>81</x:v>
      </x:c>
      <x:c r="G16" s="7" t="str">
        <x:v>25-45 °C</x:v>
      </x:c>
      <x:c r="H16" s="7" t="s">
        <x:v>53</x:v>
      </x:c>
      <x:c r="I16" s="7" t="s">
        <x:v>1506</x:v>
      </x:c>
      <x:c r="J16" s="7" t="s">
        <x:v>1536</x:v>
      </x:c>
      <x:c r="K16" s="7" t="s">
        <x:v>1497</x:v>
      </x:c>
      <x:c r="L16" s="7" t="s">
        <x:v>1530</x:v>
      </x:c>
      <x:c r="M16" s="7" t="s">
        <x:v>53</x:v>
      </x:c>
      <x:c r="N16" s="7" t="s">
        <x:v>1513</x:v>
      </x:c>
      <x:c r="O16" s="7" t="s">
        <x:v>1510</x:v>
      </x:c>
      <x:c r="P16" s="7" t="s">
        <x:v>53</x:v>
      </x:c>
      <x:c r="Q16" s="7" t="s">
        <x:v>53</x:v>
      </x:c>
      <x:c r="R16" s="7" t="s">
        <x:v>53</x:v>
      </x:c>
      <x:c r="S16" s="7" t="s">
        <x:v>1488</x:v>
      </x:c>
      <x:c r="T16" s="7" t="s">
        <x:v>1488</x:v>
      </x:c>
      <x:c r="U16" s="7" t="s">
        <x:v>1489</x:v>
      </x:c>
      <x:c r="V16" s="7" t="s">
        <x:v>1489</x:v>
      </x:c>
      <x:c r="W16" s="7" t="s">
        <x:v>53</x:v>
      </x:c>
      <x:c r="X16" s="7" t="s">
        <x:v>1490</x:v>
      </x:c>
      <x:c r="Y16" s="7" t="s">
        <x:v>53</x:v>
      </x:c>
      <x:c r="Z16" s="7" t="s">
        <x:v>53</x:v>
      </x:c>
      <x:c r="AA16" s="7" t="s">
        <x:v>53</x:v>
      </x:c>
      <x:c r="AB16" s="7" t="s">
        <x:v>53</x:v>
      </x:c>
      <x:c r="AC16" s="7" t="s">
        <x:v>53</x:v>
      </x:c>
      <x:c r="AD16" s="7" t="s">
        <x:v>53</x:v>
      </x:c>
      <x:c r="AE16" s="7" t="s">
        <x:v>53</x:v>
      </x:c>
      <x:c r="AF16" s="7" t="s">
        <x:v>53</x:v>
      </x:c>
      <x:c r="AG16" s="7" t="s">
        <x:v>53</x:v>
      </x:c>
      <x:c r="AH16" s="7" t="s">
        <x:v>53</x:v>
      </x:c>
      <x:c r="AI16" s="7" t="s">
        <x:v>53</x:v>
      </x:c>
      <x:c r="AJ16" s="7" t="s">
        <x:v>1167</x:v>
      </x:c>
      <x:c r="AK16" s="7" t="s">
        <x:v>1491</x:v>
      </x:c>
      <x:c r="AL16" s="7" t="s">
        <x:v>1492</x:v>
      </x:c>
    </x:row>
    <x:row r="17" ht="51.75" hidden="0" customHeight="1">
      <x:c r="A17" s="7" t="s">
        <x:v>203</x:v>
      </x:c>
      <x:c r="B17" s="7" t="s">
        <x:v>199</x:v>
      </x:c>
      <x:c r="C17" s="7" t="s">
        <x:v>201</x:v>
      </x:c>
      <x:c r="D17" s="7" t="s">
        <x:v>1487</x:v>
      </x:c>
      <x:c r="E17" s="7" t="s">
        <x:v>202</x:v>
      </x:c>
      <x:c r="F17" s="7" t="s">
        <x:v>81</x:v>
      </x:c>
      <x:c r="G17" s="7" t="s">
        <x:v>114</x:v>
      </x:c>
      <x:c r="H17" s="7" t="s">
        <x:v>53</x:v>
      </x:c>
      <x:c r="I17" s="7" t="s">
        <x:v>1537</x:v>
      </x:c>
      <x:c r="J17" s="7" t="s">
        <x:v>1507</x:v>
      </x:c>
      <x:c r="K17" s="7" t="s">
        <x:v>1508</x:v>
      </x:c>
      <x:c r="L17" s="7" t="s">
        <x:v>1530</x:v>
      </x:c>
      <x:c r="M17" s="7" t="s">
        <x:v>53</x:v>
      </x:c>
      <x:c r="N17" s="7" t="s">
        <x:v>1538</x:v>
      </x:c>
      <x:c r="O17" s="7" t="s">
        <x:v>1518</x:v>
      </x:c>
      <x:c r="P17" s="7" t="s">
        <x:v>53</x:v>
      </x:c>
      <x:c r="Q17" s="7" t="s">
        <x:v>1535</x:v>
      </x:c>
      <x:c r="R17" s="7" t="s">
        <x:v>53</x:v>
      </x:c>
      <x:c r="S17" s="7" t="s">
        <x:v>1488</x:v>
      </x:c>
      <x:c r="T17" s="7" t="s">
        <x:v>1488</x:v>
      </x:c>
      <x:c r="U17" s="7" t="s">
        <x:v>1489</x:v>
      </x:c>
      <x:c r="V17" s="7" t="s">
        <x:v>1489</x:v>
      </x:c>
      <x:c r="W17" s="7" t="s">
        <x:v>53</x:v>
      </x:c>
      <x:c r="X17" s="7" t="s">
        <x:v>1490</x:v>
      </x:c>
      <x:c r="Y17" s="7" t="s">
        <x:v>53</x:v>
      </x:c>
      <x:c r="Z17" s="7" t="s">
        <x:v>53</x:v>
      </x:c>
      <x:c r="AA17" s="7" t="s">
        <x:v>53</x:v>
      </x:c>
      <x:c r="AB17" s="7" t="s">
        <x:v>53</x:v>
      </x:c>
      <x:c r="AC17" s="7" t="s">
        <x:v>53</x:v>
      </x:c>
      <x:c r="AD17" s="7" t="s">
        <x:v>1539</x:v>
      </x:c>
      <x:c r="AE17" s="7" t="s">
        <x:v>53</x:v>
      </x:c>
      <x:c r="AF17" s="7" t="s">
        <x:v>53</x:v>
      </x:c>
      <x:c r="AG17" s="7" t="s">
        <x:v>53</x:v>
      </x:c>
      <x:c r="AH17" s="7" t="s">
        <x:v>53</x:v>
      </x:c>
      <x:c r="AI17" s="7" t="s">
        <x:v>53</x:v>
      </x:c>
      <x:c r="AJ17" s="7" t="s">
        <x:v>1168</x:v>
      </x:c>
      <x:c r="AK17" s="7" t="s">
        <x:v>1491</x:v>
      </x:c>
      <x:c r="AL17" s="7" t="s">
        <x:v>1492</x:v>
      </x:c>
    </x:row>
    <x:row r="18" ht="51.75" hidden="0" customHeight="1">
      <x:c r="A18" s="7" t="s">
        <x:v>213</x:v>
      </x:c>
      <x:c r="B18" s="7" t="s">
        <x:v>210</x:v>
      </x:c>
      <x:c r="C18" s="7" t="s">
        <x:v>212</x:v>
      </x:c>
      <x:c r="D18" s="7" t="s">
        <x:v>1487</x:v>
      </x:c>
      <x:c r="E18" s="7" t="s">
        <x:v>80</x:v>
      </x:c>
      <x:c r="F18" s="7" t="s">
        <x:v>162</x:v>
      </x:c>
      <x:c r="G18" s="7" t="str">
        <x:v>25 - 45 °C</x:v>
      </x:c>
      <x:c r="H18" s="7" t="s">
        <x:v>53</x:v>
      </x:c>
      <x:c r="I18" s="7" t="s">
        <x:v>1506</x:v>
      </x:c>
      <x:c r="J18" s="7" t="s">
        <x:v>1507</x:v>
      </x:c>
      <x:c r="K18" s="7" t="s">
        <x:v>1508</x:v>
      </x:c>
      <x:c r="L18" s="7" t="s">
        <x:v>1540</x:v>
      </x:c>
      <x:c r="M18" s="7" t="s">
        <x:v>53</x:v>
      </x:c>
      <x:c r="N18" s="7" t="s">
        <x:v>1531</x:v>
      </x:c>
      <x:c r="O18" s="7" t="s">
        <x:v>1518</x:v>
      </x:c>
      <x:c r="P18" s="7" t="s">
        <x:v>53</x:v>
      </x:c>
      <x:c r="Q18" s="7" t="s">
        <x:v>1532</x:v>
      </x:c>
      <x:c r="R18" s="7" t="s">
        <x:v>53</x:v>
      </x:c>
      <x:c r="S18" s="7" t="s">
        <x:v>1488</x:v>
      </x:c>
      <x:c r="T18" s="7" t="s">
        <x:v>1488</x:v>
      </x:c>
      <x:c r="U18" s="7" t="s">
        <x:v>1489</x:v>
      </x:c>
      <x:c r="V18" s="7" t="s">
        <x:v>1489</x:v>
      </x:c>
      <x:c r="W18" s="7" t="s">
        <x:v>53</x:v>
      </x:c>
      <x:c r="X18" s="7" t="s">
        <x:v>1490</x:v>
      </x:c>
      <x:c r="Y18" s="7" t="s">
        <x:v>53</x:v>
      </x:c>
      <x:c r="Z18" s="7" t="s">
        <x:v>53</x:v>
      </x:c>
      <x:c r="AA18" s="7" t="s">
        <x:v>53</x:v>
      </x:c>
      <x:c r="AB18" s="7" t="s">
        <x:v>53</x:v>
      </x:c>
      <x:c r="AC18" s="7" t="s">
        <x:v>53</x:v>
      </x:c>
      <x:c r="AD18" s="7" t="s">
        <x:v>53</x:v>
      </x:c>
      <x:c r="AE18" s="7" t="s">
        <x:v>53</x:v>
      </x:c>
      <x:c r="AF18" s="7" t="s">
        <x:v>53</x:v>
      </x:c>
      <x:c r="AG18" s="7" t="s">
        <x:v>53</x:v>
      </x:c>
      <x:c r="AH18" s="7" t="s">
        <x:v>53</x:v>
      </x:c>
      <x:c r="AI18" s="7" t="s">
        <x:v>53</x:v>
      </x:c>
      <x:c r="AJ18" s="7" t="s">
        <x:v>1169</x:v>
      </x:c>
      <x:c r="AK18" s="7" t="s">
        <x:v>1491</x:v>
      </x:c>
      <x:c r="AL18" s="7" t="s">
        <x:v>1492</x:v>
      </x:c>
    </x:row>
    <x:row r="19" ht="51.75" hidden="0" customHeight="1">
      <x:c r="A19" s="7" t="s">
        <x:v>222</x:v>
      </x:c>
      <x:c r="B19" s="7" t="s">
        <x:v>219</x:v>
      </x:c>
      <x:c r="C19" s="7" t="s">
        <x:v>221</x:v>
      </x:c>
      <x:c r="D19" s="7" t="s">
        <x:v>1487</x:v>
      </x:c>
      <x:c r="E19" s="7" t="s">
        <x:v>80</x:v>
      </x:c>
      <x:c r="F19" s="7" t="s">
        <x:v>81</x:v>
      </x:c>
      <x:c r="G19" s="7" t="s">
        <x:v>114</x:v>
      </x:c>
      <x:c r="H19" s="7" t="s">
        <x:v>53</x:v>
      </x:c>
      <x:c r="I19" s="7" t="s">
        <x:v>1506</x:v>
      </x:c>
      <x:c r="J19" s="7" t="s">
        <x:v>1507</x:v>
      </x:c>
      <x:c r="K19" s="7" t="s">
        <x:v>1508</x:v>
      </x:c>
      <x:c r="L19" s="7" t="s">
        <x:v>1530</x:v>
      </x:c>
      <x:c r="M19" s="7" t="s">
        <x:v>53</x:v>
      </x:c>
      <x:c r="N19" s="7" t="s">
        <x:v>1538</x:v>
      </x:c>
      <x:c r="O19" s="7" t="s">
        <x:v>1510</x:v>
      </x:c>
      <x:c r="P19" s="7" t="s">
        <x:v>53</x:v>
      </x:c>
      <x:c r="Q19" s="7" t="s">
        <x:v>1535</x:v>
      </x:c>
      <x:c r="R19" s="7" t="s">
        <x:v>53</x:v>
      </x:c>
      <x:c r="S19" s="7" t="s">
        <x:v>1488</x:v>
      </x:c>
      <x:c r="T19" s="7" t="s">
        <x:v>1488</x:v>
      </x:c>
      <x:c r="U19" s="7" t="s">
        <x:v>1489</x:v>
      </x:c>
      <x:c r="V19" s="7" t="s">
        <x:v>1489</x:v>
      </x:c>
      <x:c r="W19" s="7" t="s">
        <x:v>53</x:v>
      </x:c>
      <x:c r="X19" s="7" t="s">
        <x:v>1490</x:v>
      </x:c>
      <x:c r="Y19" s="7" t="s">
        <x:v>53</x:v>
      </x:c>
      <x:c r="Z19" s="7" t="s">
        <x:v>53</x:v>
      </x:c>
      <x:c r="AA19" s="7" t="s">
        <x:v>53</x:v>
      </x:c>
      <x:c r="AB19" s="7" t="s">
        <x:v>53</x:v>
      </x:c>
      <x:c r="AC19" s="7" t="s">
        <x:v>53</x:v>
      </x:c>
      <x:c r="AD19" s="7" t="s">
        <x:v>53</x:v>
      </x:c>
      <x:c r="AE19" s="7" t="s">
        <x:v>53</x:v>
      </x:c>
      <x:c r="AF19" s="7" t="s">
        <x:v>53</x:v>
      </x:c>
      <x:c r="AG19" s="7" t="s">
        <x:v>53</x:v>
      </x:c>
      <x:c r="AH19" s="7" t="s">
        <x:v>53</x:v>
      </x:c>
      <x:c r="AI19" s="7" t="s">
        <x:v>53</x:v>
      </x:c>
      <x:c r="AJ19" s="7" t="s">
        <x:v>1170</x:v>
      </x:c>
      <x:c r="AK19" s="7" t="s">
        <x:v>1491</x:v>
      </x:c>
      <x:c r="AL19" s="7" t="s">
        <x:v>1492</x:v>
      </x:c>
    </x:row>
    <x:row r="20" ht="51.75" hidden="0" customHeight="1">
      <x:c r="A20" s="7" t="s">
        <x:v>233</x:v>
      </x:c>
      <x:c r="B20" s="7" t="s">
        <x:v>229</x:v>
      </x:c>
      <x:c r="C20" s="7" t="s">
        <x:v>231</x:v>
      </x:c>
      <x:c r="D20" s="7" t="s">
        <x:v>1487</x:v>
      </x:c>
      <x:c r="E20" s="7" t="s">
        <x:v>232</x:v>
      </x:c>
      <x:c r="F20" s="7" t="s">
        <x:v>81</x:v>
      </x:c>
      <x:c r="G20" s="7" t="s">
        <x:v>114</x:v>
      </x:c>
      <x:c r="H20" s="7" t="s">
        <x:v>53</x:v>
      </x:c>
      <x:c r="I20" s="7" t="s">
        <x:v>1506</x:v>
      </x:c>
      <x:c r="J20" s="7" t="s">
        <x:v>1507</x:v>
      </x:c>
      <x:c r="K20" s="7" t="s">
        <x:v>1508</x:v>
      </x:c>
      <x:c r="L20" s="7" t="s">
        <x:v>1541</x:v>
      </x:c>
      <x:c r="M20" s="7" t="s">
        <x:v>53</x:v>
      </x:c>
      <x:c r="N20" s="7" t="s">
        <x:v>1531</x:v>
      </x:c>
      <x:c r="O20" s="7" t="s">
        <x:v>1542</x:v>
      </x:c>
      <x:c r="P20" s="7" t="s">
        <x:v>53</x:v>
      </x:c>
      <x:c r="Q20" s="7" t="s">
        <x:v>1535</x:v>
      </x:c>
      <x:c r="R20" s="7" t="s">
        <x:v>53</x:v>
      </x:c>
      <x:c r="S20" s="7" t="s">
        <x:v>1488</x:v>
      </x:c>
      <x:c r="T20" s="7" t="s">
        <x:v>1488</x:v>
      </x:c>
      <x:c r="U20" s="7" t="s">
        <x:v>1489</x:v>
      </x:c>
      <x:c r="V20" s="7" t="s">
        <x:v>1489</x:v>
      </x:c>
      <x:c r="W20" s="7" t="s">
        <x:v>53</x:v>
      </x:c>
      <x:c r="X20" s="7" t="s">
        <x:v>1490</x:v>
      </x:c>
      <x:c r="Y20" s="7" t="s">
        <x:v>53</x:v>
      </x:c>
      <x:c r="Z20" s="7" t="s">
        <x:v>53</x:v>
      </x:c>
      <x:c r="AA20" s="7" t="s">
        <x:v>53</x:v>
      </x:c>
      <x:c r="AB20" s="7" t="s">
        <x:v>53</x:v>
      </x:c>
      <x:c r="AC20" s="7" t="s">
        <x:v>1522</x:v>
      </x:c>
      <x:c r="AD20" s="7" t="s">
        <x:v>1514</x:v>
      </x:c>
      <x:c r="AE20" s="7" t="s">
        <x:v>53</x:v>
      </x:c>
      <x:c r="AF20" s="7" t="s">
        <x:v>53</x:v>
      </x:c>
      <x:c r="AG20" s="7" t="s">
        <x:v>53</x:v>
      </x:c>
      <x:c r="AH20" s="7" t="s">
        <x:v>53</x:v>
      </x:c>
      <x:c r="AI20" s="7" t="s">
        <x:v>53</x:v>
      </x:c>
      <x:c r="AJ20" s="7" t="s">
        <x:v>1171</x:v>
      </x:c>
      <x:c r="AK20" s="7" t="s">
        <x:v>1491</x:v>
      </x:c>
      <x:c r="AL20" s="7" t="s">
        <x:v>1492</x:v>
      </x:c>
    </x:row>
    <x:row r="21" ht="79.5" hidden="0" customHeight="1">
      <x:c r="A21" s="7" t="s">
        <x:v>244</x:v>
      </x:c>
      <x:c r="B21" s="7" t="s">
        <x:v>241</x:v>
      </x:c>
      <x:c r="C21" s="7" t="s">
        <x:v>243</x:v>
      </x:c>
      <x:c r="D21" s="7" t="s">
        <x:v>1487</x:v>
      </x:c>
      <x:c r="E21" s="7" t="s">
        <x:v>151</x:v>
      </x:c>
      <x:c r="F21" s="7" t="s">
        <x:v>81</x:v>
      </x:c>
      <x:c r="G21" s="7" t="s">
        <x:v>114</x:v>
      </x:c>
      <x:c r="H21" s="7" t="s">
        <x:v>53</x:v>
      </x:c>
      <x:c r="I21" s="7" t="s">
        <x:v>1506</x:v>
      </x:c>
      <x:c r="J21" s="7" t="s">
        <x:v>1507</x:v>
      </x:c>
      <x:c r="K21" s="7" t="s">
        <x:v>1508</x:v>
      </x:c>
      <x:c r="L21" s="7" t="s">
        <x:v>1543</x:v>
      </x:c>
      <x:c r="M21" s="7" t="s">
        <x:v>53</x:v>
      </x:c>
      <x:c r="N21" s="7" t="s">
        <x:v>1531</x:v>
      </x:c>
      <x:c r="O21" s="7" t="s">
        <x:v>1544</x:v>
      </x:c>
      <x:c r="P21" s="7" t="s">
        <x:v>53</x:v>
      </x:c>
      <x:c r="Q21" s="7" t="s">
        <x:v>1535</x:v>
      </x:c>
      <x:c r="R21" s="7" t="s">
        <x:v>1545</x:v>
      </x:c>
      <x:c r="S21" s="7" t="s">
        <x:v>1488</x:v>
      </x:c>
      <x:c r="T21" s="7" t="s">
        <x:v>1488</x:v>
      </x:c>
      <x:c r="U21" s="7" t="s">
        <x:v>1489</x:v>
      </x:c>
      <x:c r="V21" s="7" t="s">
        <x:v>1489</x:v>
      </x:c>
      <x:c r="W21" s="7" t="s">
        <x:v>53</x:v>
      </x:c>
      <x:c r="X21" s="7" t="s">
        <x:v>1490</x:v>
      </x:c>
      <x:c r="Y21" s="7" t="s">
        <x:v>53</x:v>
      </x:c>
      <x:c r="Z21" s="7" t="s">
        <x:v>53</x:v>
      </x:c>
      <x:c r="AA21" s="7" t="s">
        <x:v>53</x:v>
      </x:c>
      <x:c r="AB21" s="7" t="s">
        <x:v>53</x:v>
      </x:c>
      <x:c r="AC21" s="7" t="s">
        <x:v>53</x:v>
      </x:c>
      <x:c r="AD21" s="7" t="s">
        <x:v>53</x:v>
      </x:c>
      <x:c r="AE21" s="7" t="s">
        <x:v>53</x:v>
      </x:c>
      <x:c r="AF21" s="7" t="s">
        <x:v>53</x:v>
      </x:c>
      <x:c r="AG21" s="7" t="s">
        <x:v>53</x:v>
      </x:c>
      <x:c r="AH21" s="7" t="s">
        <x:v>53</x:v>
      </x:c>
      <x:c r="AI21" s="7" t="s">
        <x:v>53</x:v>
      </x:c>
      <x:c r="AJ21" s="7" t="s">
        <x:v>1172</x:v>
      </x:c>
      <x:c r="AK21" s="7" t="s">
        <x:v>1491</x:v>
      </x:c>
      <x:c r="AL21" s="7" t="s">
        <x:v>1492</x:v>
      </x:c>
    </x:row>
    <x:row r="22" ht="79.5" hidden="0" customHeight="1">
      <x:c r="A22" s="7" t="s">
        <x:v>258</x:v>
      </x:c>
      <x:c r="B22" s="7" t="s">
        <x:v>252</x:v>
      </x:c>
      <x:c r="C22" s="7" t="s">
        <x:v>254</x:v>
      </x:c>
      <x:c r="D22" s="7" t="s">
        <x:v>1487</x:v>
      </x:c>
      <x:c r="E22" s="7" t="s">
        <x:v>255</x:v>
      </x:c>
      <x:c r="F22" s="7" t="s">
        <x:v>256</x:v>
      </x:c>
      <x:c r="G22" s="7" t="s">
        <x:v>257</x:v>
      </x:c>
      <x:c r="H22" s="7" t="s">
        <x:v>53</x:v>
      </x:c>
      <x:c r="I22" s="7" t="s">
        <x:v>53</x:v>
      </x:c>
      <x:c r="J22" s="7" t="s">
        <x:v>1546</x:v>
      </x:c>
      <x:c r="K22" s="7" t="s">
        <x:v>1547</x:v>
      </x:c>
      <x:c r="L22" s="7" t="s">
        <x:v>1548</x:v>
      </x:c>
      <x:c r="M22" s="7" t="s">
        <x:v>53</x:v>
      </x:c>
      <x:c r="N22" s="7" t="s">
        <x:v>53</x:v>
      </x:c>
      <x:c r="O22" s="7" t="s">
        <x:v>53</x:v>
      </x:c>
      <x:c r="P22" s="7" t="s">
        <x:v>53</x:v>
      </x:c>
      <x:c r="Q22" s="7" t="s">
        <x:v>53</x:v>
      </x:c>
      <x:c r="R22" s="7" t="s">
        <x:v>1545</x:v>
      </x:c>
      <x:c r="S22" s="7" t="s">
        <x:v>1488</x:v>
      </x:c>
      <x:c r="T22" s="7" t="s">
        <x:v>1488</x:v>
      </x:c>
      <x:c r="U22" s="7" t="s">
        <x:v>1489</x:v>
      </x:c>
      <x:c r="V22" s="7" t="s">
        <x:v>1489</x:v>
      </x:c>
      <x:c r="W22" s="7" t="s">
        <x:v>53</x:v>
      </x:c>
      <x:c r="X22" s="7" t="s">
        <x:v>1490</x:v>
      </x:c>
      <x:c r="Y22" s="7" t="s">
        <x:v>1549</x:v>
      </x:c>
      <x:c r="Z22" s="7" t="s">
        <x:v>53</x:v>
      </x:c>
      <x:c r="AA22" s="7" t="s">
        <x:v>53</x:v>
      </x:c>
      <x:c r="AB22" s="7" t="s">
        <x:v>53</x:v>
      </x:c>
      <x:c r="AC22" s="7" t="s">
        <x:v>53</x:v>
      </x:c>
      <x:c r="AD22" s="7" t="s">
        <x:v>53</x:v>
      </x:c>
      <x:c r="AE22" s="7" t="s">
        <x:v>53</x:v>
      </x:c>
      <x:c r="AF22" s="7" t="s">
        <x:v>53</x:v>
      </x:c>
      <x:c r="AG22" s="7" t="s">
        <x:v>53</x:v>
      </x:c>
      <x:c r="AH22" s="7" t="s">
        <x:v>53</x:v>
      </x:c>
      <x:c r="AI22" s="7" t="s">
        <x:v>53</x:v>
      </x:c>
      <x:c r="AJ22" s="7" t="s">
        <x:v>1175</x:v>
      </x:c>
      <x:c r="AK22" s="7" t="s">
        <x:v>1491</x:v>
      </x:c>
      <x:c r="AL22" s="7" t="s">
        <x:v>1492</x:v>
      </x:c>
    </x:row>
    <x:row r="23" ht="79.5" hidden="0" customHeight="1">
      <x:c r="A23" s="7" t="s">
        <x:v>1550</x:v>
      </x:c>
      <x:c r="B23" s="7" t="s">
        <x:v>252</x:v>
      </x:c>
      <x:c r="C23" s="7" t="s">
        <x:v>1176</x:v>
      </x:c>
      <x:c r="D23" s="7" t="s">
        <x:v>1487</x:v>
      </x:c>
      <x:c r="E23" s="7" t="s">
        <x:v>53</x:v>
      </x:c>
      <x:c r="F23" s="7" t="s">
        <x:v>53</x:v>
      </x:c>
      <x:c r="G23" s="7" t="s">
        <x:v>53</x:v>
      </x:c>
      <x:c r="H23" s="7" t="s">
        <x:v>53</x:v>
      </x:c>
      <x:c r="I23" s="7" t="s">
        <x:v>53</x:v>
      </x:c>
      <x:c r="J23" s="7" t="s">
        <x:v>53</x:v>
      </x:c>
      <x:c r="K23" s="7" t="s">
        <x:v>53</x:v>
      </x:c>
      <x:c r="L23" s="7" t="s">
        <x:v>53</x:v>
      </x:c>
      <x:c r="M23" s="7" t="s">
        <x:v>53</x:v>
      </x:c>
      <x:c r="N23" s="7" t="s">
        <x:v>53</x:v>
      </x:c>
      <x:c r="O23" s="7" t="s">
        <x:v>53</x:v>
      </x:c>
      <x:c r="P23" s="7" t="s">
        <x:v>53</x:v>
      </x:c>
      <x:c r="Q23" s="7" t="s">
        <x:v>53</x:v>
      </x:c>
      <x:c r="R23" s="7" t="s">
        <x:v>1545</x:v>
      </x:c>
      <x:c r="S23" s="7" t="s">
        <x:v>1488</x:v>
      </x:c>
      <x:c r="T23" s="7" t="s">
        <x:v>1488</x:v>
      </x:c>
      <x:c r="U23" s="7" t="s">
        <x:v>1489</x:v>
      </x:c>
      <x:c r="V23" s="7" t="s">
        <x:v>1489</x:v>
      </x:c>
      <x:c r="W23" s="7" t="s">
        <x:v>53</x:v>
      </x:c>
      <x:c r="X23" s="7" t="s">
        <x:v>1490</x:v>
      </x:c>
      <x:c r="Y23" s="7" t="s">
        <x:v>53</x:v>
      </x:c>
      <x:c r="Z23" s="7" t="s">
        <x:v>53</x:v>
      </x:c>
      <x:c r="AA23" s="7" t="s">
        <x:v>53</x:v>
      </x:c>
      <x:c r="AB23" s="7" t="s">
        <x:v>53</x:v>
      </x:c>
      <x:c r="AC23" s="7" t="s">
        <x:v>53</x:v>
      </x:c>
      <x:c r="AD23" s="7" t="s">
        <x:v>53</x:v>
      </x:c>
      <x:c r="AE23" s="7" t="s">
        <x:v>53</x:v>
      </x:c>
      <x:c r="AF23" s="7" t="s">
        <x:v>53</x:v>
      </x:c>
      <x:c r="AG23" s="7" t="s">
        <x:v>53</x:v>
      </x:c>
      <x:c r="AH23" s="7" t="s">
        <x:v>53</x:v>
      </x:c>
      <x:c r="AI23" s="7" t="s">
        <x:v>53</x:v>
      </x:c>
      <x:c r="AJ23" s="7" t="s">
        <x:v>1178</x:v>
      </x:c>
      <x:c r="AK23" s="7" t="s">
        <x:v>1491</x:v>
      </x:c>
      <x:c r="AL23" s="7" t="s">
        <x:v>1492</x:v>
      </x:c>
    </x:row>
    <x:row r="24" ht="51.75" hidden="0" customHeight="1">
      <x:c r="A24" s="7" t="s">
        <x:v>1551</x:v>
      </x:c>
      <x:c r="B24" s="7" t="s">
        <x:v>266</x:v>
      </x:c>
      <x:c r="C24" s="7" t="s">
        <x:v>268</x:v>
      </x:c>
      <x:c r="D24" s="7" t="s">
        <x:v>1487</x:v>
      </x:c>
      <x:c r="E24" s="7" t="s">
        <x:v>53</x:v>
      </x:c>
      <x:c r="F24" s="7" t="s">
        <x:v>53</x:v>
      </x:c>
      <x:c r="G24" s="7" t="s">
        <x:v>53</x:v>
      </x:c>
      <x:c r="H24" s="7" t="s">
        <x:v>53</x:v>
      </x:c>
      <x:c r="I24" s="7" t="s">
        <x:v>53</x:v>
      </x:c>
      <x:c r="J24" s="7" t="s">
        <x:v>53</x:v>
      </x:c>
      <x:c r="K24" s="7" t="s">
        <x:v>53</x:v>
      </x:c>
      <x:c r="L24" s="7" t="s">
        <x:v>53</x:v>
      </x:c>
      <x:c r="M24" s="7" t="s">
        <x:v>53</x:v>
      </x:c>
      <x:c r="N24" s="7" t="s">
        <x:v>53</x:v>
      </x:c>
      <x:c r="O24" s="7" t="s">
        <x:v>53</x:v>
      </x:c>
      <x:c r="P24" s="7" t="s">
        <x:v>53</x:v>
      </x:c>
      <x:c r="Q24" s="7" t="s">
        <x:v>53</x:v>
      </x:c>
      <x:c r="R24" s="7" t="s">
        <x:v>53</x:v>
      </x:c>
      <x:c r="S24" s="7" t="s">
        <x:v>1488</x:v>
      </x:c>
      <x:c r="T24" s="7" t="s">
        <x:v>1488</x:v>
      </x:c>
      <x:c r="U24" s="7" t="s">
        <x:v>1489</x:v>
      </x:c>
      <x:c r="V24" s="7" t="s">
        <x:v>1489</x:v>
      </x:c>
      <x:c r="W24" s="7" t="s">
        <x:v>53</x:v>
      </x:c>
      <x:c r="X24" s="7" t="s">
        <x:v>1490</x:v>
      </x:c>
      <x:c r="Y24" s="7" t="s">
        <x:v>53</x:v>
      </x:c>
      <x:c r="Z24" s="7" t="s">
        <x:v>53</x:v>
      </x:c>
      <x:c r="AA24" s="7" t="s">
        <x:v>53</x:v>
      </x:c>
      <x:c r="AB24" s="7" t="s">
        <x:v>53</x:v>
      </x:c>
      <x:c r="AC24" s="7" t="s">
        <x:v>53</x:v>
      </x:c>
      <x:c r="AD24" s="7" t="s">
        <x:v>53</x:v>
      </x:c>
      <x:c r="AE24" s="7" t="s">
        <x:v>53</x:v>
      </x:c>
      <x:c r="AF24" s="7" t="s">
        <x:v>53</x:v>
      </x:c>
      <x:c r="AG24" s="7" t="s">
        <x:v>53</x:v>
      </x:c>
      <x:c r="AH24" s="7" t="s">
        <x:v>53</x:v>
      </x:c>
      <x:c r="AI24" s="7" t="s">
        <x:v>53</x:v>
      </x:c>
      <x:c r="AJ24" s="7" t="s">
        <x:v>1181</x:v>
      </x:c>
      <x:c r="AK24" s="7" t="s">
        <x:v>1491</x:v>
      </x:c>
      <x:c r="AL24" s="7" t="s">
        <x:v>1492</x:v>
      </x:c>
    </x:row>
    <x:row r="25" ht="51.75" hidden="0" customHeight="1">
      <x:c r="A25" s="7" t="s">
        <x:v>1552</x:v>
      </x:c>
      <x:c r="B25" s="7" t="s">
        <x:v>266</x:v>
      </x:c>
      <x:c r="C25" s="7" t="s">
        <x:v>1182</x:v>
      </x:c>
      <x:c r="D25" s="7" t="s">
        <x:v>1487</x:v>
      </x:c>
      <x:c r="E25" s="7" t="s">
        <x:v>1553</x:v>
      </x:c>
      <x:c r="F25" s="7" t="s">
        <x:v>1554</x:v>
      </x:c>
      <x:c r="G25" s="7" t="s">
        <x:v>487</x:v>
      </x:c>
      <x:c r="H25" s="7" t="s">
        <x:v>53</x:v>
      </x:c>
      <x:c r="I25" s="7" t="s">
        <x:v>1555</x:v>
      </x:c>
      <x:c r="J25" s="7" t="s">
        <x:v>1507</x:v>
      </x:c>
      <x:c r="K25" s="7" t="s">
        <x:v>1556</x:v>
      </x:c>
      <x:c r="L25" s="7" t="s">
        <x:v>1557</x:v>
      </x:c>
      <x:c r="M25" s="7" t="s">
        <x:v>53</x:v>
      </x:c>
      <x:c r="N25" s="7" t="s">
        <x:v>53</x:v>
      </x:c>
      <x:c r="O25" s="7" t="s">
        <x:v>53</x:v>
      </x:c>
      <x:c r="P25" s="7" t="s">
        <x:v>53</x:v>
      </x:c>
      <x:c r="Q25" s="7" t="s">
        <x:v>53</x:v>
      </x:c>
      <x:c r="R25" s="7" t="s">
        <x:v>53</x:v>
      </x:c>
      <x:c r="S25" s="7" t="s">
        <x:v>1488</x:v>
      </x:c>
      <x:c r="T25" s="7" t="s">
        <x:v>1488</x:v>
      </x:c>
      <x:c r="U25" s="7" t="s">
        <x:v>1489</x:v>
      </x:c>
      <x:c r="V25" s="7" t="s">
        <x:v>1489</x:v>
      </x:c>
      <x:c r="W25" s="7" t="s">
        <x:v>53</x:v>
      </x:c>
      <x:c r="X25" s="7" t="s">
        <x:v>1490</x:v>
      </x:c>
      <x:c r="Y25" s="7" t="s">
        <x:v>1558</x:v>
      </x:c>
      <x:c r="Z25" s="7" t="s">
        <x:v>53</x:v>
      </x:c>
      <x:c r="AA25" s="7" t="s">
        <x:v>53</x:v>
      </x:c>
      <x:c r="AB25" s="7" t="s">
        <x:v>53</x:v>
      </x:c>
      <x:c r="AC25" s="7" t="s">
        <x:v>53</x:v>
      </x:c>
      <x:c r="AD25" s="7" t="s">
        <x:v>1559</x:v>
      </x:c>
      <x:c r="AE25" s="7" t="s">
        <x:v>53</x:v>
      </x:c>
      <x:c r="AF25" s="7" t="s">
        <x:v>53</x:v>
      </x:c>
      <x:c r="AG25" s="7" t="s">
        <x:v>53</x:v>
      </x:c>
      <x:c r="AH25" s="7" t="s">
        <x:v>53</x:v>
      </x:c>
      <x:c r="AI25" s="7" t="s">
        <x:v>53</x:v>
      </x:c>
      <x:c r="AJ25" s="7" t="s">
        <x:v>1184</x:v>
      </x:c>
      <x:c r="AK25" s="7" t="s">
        <x:v>1491</x:v>
      </x:c>
      <x:c r="AL25" s="7" t="s">
        <x:v>1492</x:v>
      </x:c>
    </x:row>
    <x:row r="26" ht="51.75" hidden="0" customHeight="1">
      <x:c r="A26" s="7" t="s">
        <x:v>1560</x:v>
      </x:c>
      <x:c r="B26" s="7" t="s">
        <x:v>266</x:v>
      </x:c>
      <x:c r="C26" s="7" t="s">
        <x:v>1185</x:v>
      </x:c>
      <x:c r="D26" s="7" t="s">
        <x:v>1487</x:v>
      </x:c>
      <x:c r="E26" s="7" t="s">
        <x:v>1561</x:v>
      </x:c>
      <x:c r="F26" s="7" t="s">
        <x:v>1562</x:v>
      </x:c>
      <x:c r="G26" s="7" t="s">
        <x:v>1563</x:v>
      </x:c>
      <x:c r="H26" s="7" t="s">
        <x:v>53</x:v>
      </x:c>
      <x:c r="I26" s="7" t="s">
        <x:v>53</x:v>
      </x:c>
      <x:c r="J26" s="7" t="s">
        <x:v>53</x:v>
      </x:c>
      <x:c r="K26" s="7" t="s">
        <x:v>1504</x:v>
      </x:c>
      <x:c r="L26" s="7" t="s">
        <x:v>1505</x:v>
      </x:c>
      <x:c r="M26" s="7" t="s">
        <x:v>53</x:v>
      </x:c>
      <x:c r="N26" s="7" t="s">
        <x:v>53</x:v>
      </x:c>
      <x:c r="O26" s="7" t="s">
        <x:v>53</x:v>
      </x:c>
      <x:c r="P26" s="7" t="s">
        <x:v>53</x:v>
      </x:c>
      <x:c r="Q26" s="7" t="s">
        <x:v>53</x:v>
      </x:c>
      <x:c r="R26" s="7" t="s">
        <x:v>53</x:v>
      </x:c>
      <x:c r="S26" s="7" t="s">
        <x:v>1488</x:v>
      </x:c>
      <x:c r="T26" s="7" t="s">
        <x:v>1488</x:v>
      </x:c>
      <x:c r="U26" s="7" t="s">
        <x:v>1489</x:v>
      </x:c>
      <x:c r="V26" s="7" t="s">
        <x:v>1489</x:v>
      </x:c>
      <x:c r="W26" s="7" t="s">
        <x:v>53</x:v>
      </x:c>
      <x:c r="X26" s="7" t="s">
        <x:v>1490</x:v>
      </x:c>
      <x:c r="Y26" s="7" t="s">
        <x:v>53</x:v>
      </x:c>
      <x:c r="Z26" s="7" t="s">
        <x:v>53</x:v>
      </x:c>
      <x:c r="AA26" s="7" t="s">
        <x:v>53</x:v>
      </x:c>
      <x:c r="AB26" s="7" t="s">
        <x:v>53</x:v>
      </x:c>
      <x:c r="AC26" s="7" t="s">
        <x:v>53</x:v>
      </x:c>
      <x:c r="AD26" s="7" t="s">
        <x:v>53</x:v>
      </x:c>
      <x:c r="AE26" s="7" t="s">
        <x:v>53</x:v>
      </x:c>
      <x:c r="AF26" s="7" t="s">
        <x:v>53</x:v>
      </x:c>
      <x:c r="AG26" s="7" t="s">
        <x:v>53</x:v>
      </x:c>
      <x:c r="AH26" s="7" t="s">
        <x:v>53</x:v>
      </x:c>
      <x:c r="AI26" s="7" t="s">
        <x:v>53</x:v>
      </x:c>
      <x:c r="AJ26" s="7" t="s">
        <x:v>1186</x:v>
      </x:c>
      <x:c r="AK26" s="7" t="s">
        <x:v>1491</x:v>
      </x:c>
      <x:c r="AL26" s="7" t="s">
        <x:v>1492</x:v>
      </x:c>
    </x:row>
    <x:row r="27" ht="51.75" hidden="0" customHeight="1">
      <x:c r="A27" s="7" t="s">
        <x:v>282</x:v>
      </x:c>
      <x:c r="B27" s="7" t="s">
        <x:v>277</x:v>
      </x:c>
      <x:c r="C27" s="7" t="s">
        <x:v>279</x:v>
      </x:c>
      <x:c r="D27" s="7" t="s">
        <x:v>1487</x:v>
      </x:c>
      <x:c r="E27" s="7" t="s">
        <x:v>280</x:v>
      </x:c>
      <x:c r="F27" s="7" t="s">
        <x:v>281</x:v>
      </x:c>
      <x:c r="G27" s="7" t="str">
        <x:v>35 - 50 °C</x:v>
      </x:c>
      <x:c r="H27" s="7" t="s">
        <x:v>53</x:v>
      </x:c>
      <x:c r="I27" s="7" t="s">
        <x:v>1564</x:v>
      </x:c>
      <x:c r="J27" s="7" t="s">
        <x:v>53</x:v>
      </x:c>
      <x:c r="K27" s="7" t="s">
        <x:v>1565</x:v>
      </x:c>
      <x:c r="L27" s="10" t="s">
        <x:v>1566</x:v>
      </x:c>
      <x:c r="M27" s="7" t="s">
        <x:v>53</x:v>
      </x:c>
      <x:c r="N27" s="7" t="s">
        <x:v>1567</x:v>
      </x:c>
      <x:c r="O27" s="7" t="s">
        <x:v>1518</x:v>
      </x:c>
      <x:c r="P27" s="7" t="s">
        <x:v>53</x:v>
      </x:c>
      <x:c r="Q27" s="7" t="s">
        <x:v>1511</x:v>
      </x:c>
      <x:c r="R27" s="7" t="s">
        <x:v>53</x:v>
      </x:c>
      <x:c r="S27" s="7" t="s">
        <x:v>1488</x:v>
      </x:c>
      <x:c r="T27" s="7" t="s">
        <x:v>1488</x:v>
      </x:c>
      <x:c r="U27" s="7" t="s">
        <x:v>1489</x:v>
      </x:c>
      <x:c r="V27" s="7" t="s">
        <x:v>1489</x:v>
      </x:c>
      <x:c r="W27" s="7" t="s">
        <x:v>1568</x:v>
      </x:c>
      <x:c r="X27" s="7" t="s">
        <x:v>1490</x:v>
      </x:c>
      <x:c r="Y27" s="7" t="s">
        <x:v>53</x:v>
      </x:c>
      <x:c r="Z27" s="7" t="s">
        <x:v>53</x:v>
      </x:c>
      <x:c r="AA27" s="7" t="s">
        <x:v>53</x:v>
      </x:c>
      <x:c r="AB27" s="7" t="s">
        <x:v>53</x:v>
      </x:c>
      <x:c r="AC27" s="7" t="s">
        <x:v>53</x:v>
      </x:c>
      <x:c r="AD27" s="7" t="s">
        <x:v>53</x:v>
      </x:c>
      <x:c r="AE27" s="7" t="s">
        <x:v>53</x:v>
      </x:c>
      <x:c r="AF27" s="7" t="s">
        <x:v>53</x:v>
      </x:c>
      <x:c r="AG27" s="7" t="s">
        <x:v>53</x:v>
      </x:c>
      <x:c r="AH27" s="7" t="s">
        <x:v>53</x:v>
      </x:c>
      <x:c r="AI27" s="7" t="s">
        <x:v>53</x:v>
      </x:c>
      <x:c r="AJ27" s="7" t="s">
        <x:v>1187</x:v>
      </x:c>
      <x:c r="AK27" s="7" t="s">
        <x:v>1491</x:v>
      </x:c>
      <x:c r="AL27" s="7" t="s">
        <x:v>1492</x:v>
      </x:c>
    </x:row>
    <x:row r="28" ht="51.75" hidden="0" customHeight="1">
      <x:c r="A28" s="7" t="s">
        <x:v>294</x:v>
      </x:c>
      <x:c r="B28" s="7" t="s">
        <x:v>291</x:v>
      </x:c>
      <x:c r="C28" s="7" t="s">
        <x:v>293</x:v>
      </x:c>
      <x:c r="D28" s="7" t="s">
        <x:v>1487</x:v>
      </x:c>
      <x:c r="E28" s="7" t="s">
        <x:v>280</x:v>
      </x:c>
      <x:c r="F28" s="7" t="s">
        <x:v>281</x:v>
      </x:c>
      <x:c r="G28" s="7" t="str">
        <x:v>35 - 50 °C</x:v>
      </x:c>
      <x:c r="H28" s="7" t="s">
        <x:v>53</x:v>
      </x:c>
      <x:c r="I28" s="7" t="s">
        <x:v>1569</x:v>
      </x:c>
      <x:c r="J28" s="7" t="s">
        <x:v>1507</x:v>
      </x:c>
      <x:c r="K28" s="7" t="s">
        <x:v>1570</x:v>
      </x:c>
      <x:c r="L28" s="7" t="s">
        <x:v>1512</x:v>
      </x:c>
      <x:c r="M28" s="7" t="s">
        <x:v>53</x:v>
      </x:c>
      <x:c r="N28" s="7" t="s">
        <x:v>1571</x:v>
      </x:c>
      <x:c r="O28" s="7" t="s">
        <x:v>1518</x:v>
      </x:c>
      <x:c r="P28" s="7" t="s">
        <x:v>53</x:v>
      </x:c>
      <x:c r="Q28" s="7" t="s">
        <x:v>1532</x:v>
      </x:c>
      <x:c r="R28" s="7" t="s">
        <x:v>53</x:v>
      </x:c>
      <x:c r="S28" s="7" t="s">
        <x:v>1488</x:v>
      </x:c>
      <x:c r="T28" s="7" t="s">
        <x:v>1488</x:v>
      </x:c>
      <x:c r="U28" s="7" t="s">
        <x:v>1489</x:v>
      </x:c>
      <x:c r="V28" s="7" t="s">
        <x:v>1489</x:v>
      </x:c>
      <x:c r="W28" s="7" t="s">
        <x:v>53</x:v>
      </x:c>
      <x:c r="X28" s="7" t="s">
        <x:v>1490</x:v>
      </x:c>
      <x:c r="Y28" s="7" t="s">
        <x:v>53</x:v>
      </x:c>
      <x:c r="Z28" s="7" t="s">
        <x:v>53</x:v>
      </x:c>
      <x:c r="AA28" s="7" t="s">
        <x:v>53</x:v>
      </x:c>
      <x:c r="AB28" s="7" t="s">
        <x:v>53</x:v>
      </x:c>
      <x:c r="AC28" s="7" t="s">
        <x:v>53</x:v>
      </x:c>
      <x:c r="AD28" s="7" t="s">
        <x:v>53</x:v>
      </x:c>
      <x:c r="AE28" s="7" t="s">
        <x:v>53</x:v>
      </x:c>
      <x:c r="AF28" s="7" t="s">
        <x:v>53</x:v>
      </x:c>
      <x:c r="AG28" s="7" t="s">
        <x:v>53</x:v>
      </x:c>
      <x:c r="AH28" s="7" t="s">
        <x:v>53</x:v>
      </x:c>
      <x:c r="AI28" s="7" t="s">
        <x:v>53</x:v>
      </x:c>
      <x:c r="AJ28" s="7" t="s">
        <x:v>1188</x:v>
      </x:c>
      <x:c r="AK28" s="7" t="s">
        <x:v>1491</x:v>
      </x:c>
      <x:c r="AL28" s="7" t="s">
        <x:v>1492</x:v>
      </x:c>
    </x:row>
    <x:row r="29" ht="51.75" hidden="0" customHeight="1">
      <x:c r="A29" s="7" t="s">
        <x:v>305</x:v>
      </x:c>
      <x:c r="B29" s="7" t="s">
        <x:v>300</x:v>
      </x:c>
      <x:c r="C29" s="7" t="s">
        <x:v>302</x:v>
      </x:c>
      <x:c r="D29" s="7" t="s">
        <x:v>1487</x:v>
      </x:c>
      <x:c r="E29" s="7" t="s">
        <x:v>303</x:v>
      </x:c>
      <x:c r="F29" s="7" t="s">
        <x:v>281</x:v>
      </x:c>
      <x:c r="G29" s="7" t="s">
        <x:v>304</x:v>
      </x:c>
      <x:c r="H29" s="7" t="s">
        <x:v>53</x:v>
      </x:c>
      <x:c r="I29" s="7" t="s">
        <x:v>1572</x:v>
      </x:c>
      <x:c r="J29" s="7" t="s">
        <x:v>1507</x:v>
      </x:c>
      <x:c r="K29" s="7" t="s">
        <x:v>1565</x:v>
      </x:c>
      <x:c r="L29" s="7" t="s">
        <x:v>1573</x:v>
      </x:c>
      <x:c r="M29" s="7" t="s">
        <x:v>53</x:v>
      </x:c>
      <x:c r="N29" s="7" t="s">
        <x:v>1574</x:v>
      </x:c>
      <x:c r="O29" s="7" t="s">
        <x:v>1510</x:v>
      </x:c>
      <x:c r="P29" s="7" t="s">
        <x:v>53</x:v>
      </x:c>
      <x:c r="Q29" s="7" t="s">
        <x:v>1511</x:v>
      </x:c>
      <x:c r="R29" s="7" t="s">
        <x:v>53</x:v>
      </x:c>
      <x:c r="S29" s="7" t="s">
        <x:v>1488</x:v>
      </x:c>
      <x:c r="T29" s="7" t="s">
        <x:v>1488</x:v>
      </x:c>
      <x:c r="U29" s="7" t="s">
        <x:v>1489</x:v>
      </x:c>
      <x:c r="V29" s="7" t="s">
        <x:v>1489</x:v>
      </x:c>
      <x:c r="W29" s="7" t="s">
        <x:v>53</x:v>
      </x:c>
      <x:c r="X29" s="7" t="s">
        <x:v>1490</x:v>
      </x:c>
      <x:c r="Y29" s="7" t="s">
        <x:v>53</x:v>
      </x:c>
      <x:c r="Z29" s="7" t="s">
        <x:v>53</x:v>
      </x:c>
      <x:c r="AA29" s="7" t="s">
        <x:v>53</x:v>
      </x:c>
      <x:c r="AB29" s="7" t="s">
        <x:v>53</x:v>
      </x:c>
      <x:c r="AC29" s="7" t="s">
        <x:v>53</x:v>
      </x:c>
      <x:c r="AD29" s="7" t="s">
        <x:v>53</x:v>
      </x:c>
      <x:c r="AE29" s="7" t="s">
        <x:v>53</x:v>
      </x:c>
      <x:c r="AF29" s="7" t="s">
        <x:v>53</x:v>
      </x:c>
      <x:c r="AG29" s="7" t="s">
        <x:v>53</x:v>
      </x:c>
      <x:c r="AH29" s="7" t="s">
        <x:v>53</x:v>
      </x:c>
      <x:c r="AI29" s="7" t="s">
        <x:v>53</x:v>
      </x:c>
      <x:c r="AJ29" s="7" t="s">
        <x:v>1189</x:v>
      </x:c>
      <x:c r="AK29" s="7" t="s">
        <x:v>1491</x:v>
      </x:c>
      <x:c r="AL29" s="7" t="s">
        <x:v>1492</x:v>
      </x:c>
    </x:row>
    <x:row r="30" ht="79.5" hidden="0" customHeight="1">
      <x:c r="A30" s="7" t="s">
        <x:v>317</x:v>
      </x:c>
      <x:c r="B30" s="7" t="s">
        <x:v>313</x:v>
      </x:c>
      <x:c r="C30" s="7" t="s">
        <x:v>315</x:v>
      </x:c>
      <x:c r="D30" s="7" t="s">
        <x:v>1487</x:v>
      </x:c>
      <x:c r="E30" s="7" t="s">
        <x:v>316</x:v>
      </x:c>
      <x:c r="F30" s="7" t="s">
        <x:v>281</x:v>
      </x:c>
      <x:c r="G30" s="7" t="str">
        <x:v>35 - 50 °C</x:v>
      </x:c>
      <x:c r="H30" s="7" t="s">
        <x:v>53</x:v>
      </x:c>
      <x:c r="I30" s="7" t="s">
        <x:v>1575</x:v>
      </x:c>
      <x:c r="J30" s="7" t="s">
        <x:v>53</x:v>
      </x:c>
      <x:c r="K30" s="7" t="s">
        <x:v>1565</x:v>
      </x:c>
      <x:c r="L30" s="7" t="s">
        <x:v>1543</x:v>
      </x:c>
      <x:c r="M30" s="7" t="s">
        <x:v>53</x:v>
      </x:c>
      <x:c r="N30" s="7" t="s">
        <x:v>1574</x:v>
      </x:c>
      <x:c r="O30" s="7" t="s">
        <x:v>1576</x:v>
      </x:c>
      <x:c r="P30" s="7" t="s">
        <x:v>53</x:v>
      </x:c>
      <x:c r="Q30" s="7" t="s">
        <x:v>1535</x:v>
      </x:c>
      <x:c r="R30" s="7" t="s">
        <x:v>1545</x:v>
      </x:c>
      <x:c r="S30" s="7" t="s">
        <x:v>1488</x:v>
      </x:c>
      <x:c r="T30" s="7" t="s">
        <x:v>1488</x:v>
      </x:c>
      <x:c r="U30" s="7" t="s">
        <x:v>1489</x:v>
      </x:c>
      <x:c r="V30" s="7" t="s">
        <x:v>1489</x:v>
      </x:c>
      <x:c r="W30" s="7" t="s">
        <x:v>53</x:v>
      </x:c>
      <x:c r="X30" s="7" t="s">
        <x:v>1490</x:v>
      </x:c>
      <x:c r="Y30" s="7" t="s">
        <x:v>53</x:v>
      </x:c>
      <x:c r="Z30" s="7" t="s">
        <x:v>53</x:v>
      </x:c>
      <x:c r="AA30" s="7" t="s">
        <x:v>53</x:v>
      </x:c>
      <x:c r="AB30" s="7" t="s">
        <x:v>53</x:v>
      </x:c>
      <x:c r="AC30" s="7" t="s">
        <x:v>53</x:v>
      </x:c>
      <x:c r="AD30" s="7" t="s">
        <x:v>53</x:v>
      </x:c>
      <x:c r="AE30" s="7" t="s">
        <x:v>53</x:v>
      </x:c>
      <x:c r="AF30" s="7" t="s">
        <x:v>53</x:v>
      </x:c>
      <x:c r="AG30" s="7" t="s">
        <x:v>53</x:v>
      </x:c>
      <x:c r="AH30" s="7" t="s">
        <x:v>53</x:v>
      </x:c>
      <x:c r="AI30" s="7" t="s">
        <x:v>53</x:v>
      </x:c>
      <x:c r="AJ30" s="7" t="s">
        <x:v>1190</x:v>
      </x:c>
      <x:c r="AK30" s="7" t="s">
        <x:v>1491</x:v>
      </x:c>
      <x:c r="AL30" s="7" t="s">
        <x:v>1492</x:v>
      </x:c>
    </x:row>
    <x:row r="31" ht="79.5" hidden="0" customHeight="1">
      <x:c r="A31" s="7" t="s">
        <x:v>327</x:v>
      </x:c>
      <x:c r="B31" s="7" t="s">
        <x:v>324</x:v>
      </x:c>
      <x:c r="C31" s="7" t="s">
        <x:v>326</x:v>
      </x:c>
      <x:c r="D31" s="7" t="s">
        <x:v>1487</x:v>
      </x:c>
      <x:c r="E31" s="7" t="s">
        <x:v>53</x:v>
      </x:c>
      <x:c r="F31" s="7" t="s">
        <x:v>53</x:v>
      </x:c>
      <x:c r="G31" s="7" t="s">
        <x:v>53</x:v>
      </x:c>
      <x:c r="H31" s="7" t="s">
        <x:v>53</x:v>
      </x:c>
      <x:c r="I31" s="7" t="s">
        <x:v>53</x:v>
      </x:c>
      <x:c r="J31" s="7" t="s">
        <x:v>53</x:v>
      </x:c>
      <x:c r="K31" s="7" t="s">
        <x:v>53</x:v>
      </x:c>
      <x:c r="L31" s="7" t="s">
        <x:v>53</x:v>
      </x:c>
      <x:c r="M31" s="7" t="s">
        <x:v>53</x:v>
      </x:c>
      <x:c r="N31" s="7" t="s">
        <x:v>53</x:v>
      </x:c>
      <x:c r="O31" s="7" t="s">
        <x:v>53</x:v>
      </x:c>
      <x:c r="P31" s="7" t="s">
        <x:v>53</x:v>
      </x:c>
      <x:c r="Q31" s="7" t="s">
        <x:v>53</x:v>
      </x:c>
      <x:c r="R31" s="7" t="s">
        <x:v>1545</x:v>
      </x:c>
      <x:c r="S31" s="7" t="s">
        <x:v>1488</x:v>
      </x:c>
      <x:c r="T31" s="7" t="s">
        <x:v>1488</x:v>
      </x:c>
      <x:c r="U31" s="7" t="s">
        <x:v>1489</x:v>
      </x:c>
      <x:c r="V31" s="7" t="s">
        <x:v>1489</x:v>
      </x:c>
      <x:c r="W31" s="7" t="s">
        <x:v>53</x:v>
      </x:c>
      <x:c r="X31" s="7" t="s">
        <x:v>1490</x:v>
      </x:c>
      <x:c r="Y31" s="7" t="s">
        <x:v>53</x:v>
      </x:c>
      <x:c r="Z31" s="7" t="s">
        <x:v>53</x:v>
      </x:c>
      <x:c r="AA31" s="7" t="s">
        <x:v>53</x:v>
      </x:c>
      <x:c r="AB31" s="7" t="s">
        <x:v>53</x:v>
      </x:c>
      <x:c r="AC31" s="7" t="s">
        <x:v>53</x:v>
      </x:c>
      <x:c r="AD31" s="7" t="s">
        <x:v>53</x:v>
      </x:c>
      <x:c r="AE31" s="7" t="s">
        <x:v>53</x:v>
      </x:c>
      <x:c r="AF31" s="7" t="s">
        <x:v>53</x:v>
      </x:c>
      <x:c r="AG31" s="7" t="s">
        <x:v>53</x:v>
      </x:c>
      <x:c r="AH31" s="7" t="s">
        <x:v>53</x:v>
      </x:c>
      <x:c r="AI31" s="7" t="s">
        <x:v>53</x:v>
      </x:c>
      <x:c r="AJ31" s="7" t="s">
        <x:v>1193</x:v>
      </x:c>
      <x:c r="AK31" s="7" t="s">
        <x:v>1491</x:v>
      </x:c>
      <x:c r="AL31" s="7" t="s">
        <x:v>1492</x:v>
      </x:c>
    </x:row>
    <x:row r="32" ht="51.75" hidden="0" customHeight="1">
      <x:c r="A32" s="7" t="s">
        <x:v>1577</x:v>
      </x:c>
      <x:c r="B32" s="7" t="s">
        <x:v>330</x:v>
      </x:c>
      <x:c r="C32" s="7" t="s">
        <x:v>332</x:v>
      </x:c>
      <x:c r="D32" s="7" t="s">
        <x:v>1487</x:v>
      </x:c>
      <x:c r="E32" s="7" t="s">
        <x:v>53</x:v>
      </x:c>
      <x:c r="F32" s="7" t="s">
        <x:v>53</x:v>
      </x:c>
      <x:c r="G32" s="7" t="s">
        <x:v>53</x:v>
      </x:c>
      <x:c r="H32" s="7" t="s">
        <x:v>53</x:v>
      </x:c>
      <x:c r="I32" s="7" t="s">
        <x:v>53</x:v>
      </x:c>
      <x:c r="J32" s="7" t="s">
        <x:v>53</x:v>
      </x:c>
      <x:c r="K32" s="7" t="s">
        <x:v>53</x:v>
      </x:c>
      <x:c r="L32" s="7" t="s">
        <x:v>53</x:v>
      </x:c>
      <x:c r="M32" s="7" t="s">
        <x:v>53</x:v>
      </x:c>
      <x:c r="N32" s="7" t="s">
        <x:v>53</x:v>
      </x:c>
      <x:c r="O32" s="7" t="s">
        <x:v>53</x:v>
      </x:c>
      <x:c r="P32" s="7" t="s">
        <x:v>53</x:v>
      </x:c>
      <x:c r="Q32" s="7" t="s">
        <x:v>53</x:v>
      </x:c>
      <x:c r="R32" s="7" t="s">
        <x:v>53</x:v>
      </x:c>
      <x:c r="S32" s="7" t="s">
        <x:v>1488</x:v>
      </x:c>
      <x:c r="T32" s="7" t="s">
        <x:v>1488</x:v>
      </x:c>
      <x:c r="U32" s="7" t="s">
        <x:v>1489</x:v>
      </x:c>
      <x:c r="V32" s="7" t="s">
        <x:v>1489</x:v>
      </x:c>
      <x:c r="W32" s="7" t="s">
        <x:v>53</x:v>
      </x:c>
      <x:c r="X32" s="7" t="s">
        <x:v>1490</x:v>
      </x:c>
      <x:c r="Y32" s="7" t="s">
        <x:v>53</x:v>
      </x:c>
      <x:c r="Z32" s="7" t="s">
        <x:v>53</x:v>
      </x:c>
      <x:c r="AA32" s="7" t="s">
        <x:v>53</x:v>
      </x:c>
      <x:c r="AB32" s="7" t="s">
        <x:v>53</x:v>
      </x:c>
      <x:c r="AC32" s="7" t="s">
        <x:v>53</x:v>
      </x:c>
      <x:c r="AD32" s="7" t="s">
        <x:v>53</x:v>
      </x:c>
      <x:c r="AE32" s="7" t="s">
        <x:v>53</x:v>
      </x:c>
      <x:c r="AF32" s="7" t="s">
        <x:v>53</x:v>
      </x:c>
      <x:c r="AG32" s="7" t="s">
        <x:v>53</x:v>
      </x:c>
      <x:c r="AH32" s="7" t="s">
        <x:v>53</x:v>
      </x:c>
      <x:c r="AI32" s="7" t="s">
        <x:v>53</x:v>
      </x:c>
      <x:c r="AJ32" s="7" t="s">
        <x:v>1195</x:v>
      </x:c>
      <x:c r="AK32" s="7" t="s">
        <x:v>1491</x:v>
      </x:c>
      <x:c r="AL32" s="7" t="s">
        <x:v>1492</x:v>
      </x:c>
    </x:row>
    <x:row r="33" ht="51.75" hidden="0" customHeight="1">
      <x:c r="A33" s="7" t="s">
        <x:v>1578</x:v>
      </x:c>
      <x:c r="B33" s="7" t="s">
        <x:v>330</x:v>
      </x:c>
      <x:c r="C33" s="7" t="s">
        <x:v>1197</x:v>
      </x:c>
      <x:c r="D33" s="7" t="s">
        <x:v>1487</x:v>
      </x:c>
      <x:c r="E33" s="7" t="s">
        <x:v>1579</x:v>
      </x:c>
      <x:c r="F33" s="7" t="s">
        <x:v>1580</x:v>
      </x:c>
      <x:c r="G33" s="7" t="s">
        <x:v>1581</x:v>
      </x:c>
      <x:c r="H33" s="7" t="s">
        <x:v>53</x:v>
      </x:c>
      <x:c r="I33" s="7" t="s">
        <x:v>1582</x:v>
      </x:c>
      <x:c r="J33" s="7" t="s">
        <x:v>1583</x:v>
      </x:c>
      <x:c r="K33" s="7" t="s">
        <x:v>1556</x:v>
      </x:c>
      <x:c r="L33" s="7" t="s">
        <x:v>1557</x:v>
      </x:c>
      <x:c r="M33" s="7" t="s">
        <x:v>53</x:v>
      </x:c>
      <x:c r="N33" s="7" t="s">
        <x:v>53</x:v>
      </x:c>
      <x:c r="O33" s="7" t="s">
        <x:v>53</x:v>
      </x:c>
      <x:c r="P33" s="7" t="s">
        <x:v>53</x:v>
      </x:c>
      <x:c r="Q33" s="7" t="s">
        <x:v>53</x:v>
      </x:c>
      <x:c r="R33" s="7" t="s">
        <x:v>53</x:v>
      </x:c>
      <x:c r="S33" s="7" t="s">
        <x:v>1488</x:v>
      </x:c>
      <x:c r="T33" s="7" t="s">
        <x:v>1488</x:v>
      </x:c>
      <x:c r="U33" s="7" t="s">
        <x:v>1489</x:v>
      </x:c>
      <x:c r="V33" s="7" t="s">
        <x:v>1489</x:v>
      </x:c>
      <x:c r="W33" s="7" t="s">
        <x:v>53</x:v>
      </x:c>
      <x:c r="X33" s="7" t="s">
        <x:v>1490</x:v>
      </x:c>
      <x:c r="Y33" s="7" t="s">
        <x:v>1584</x:v>
      </x:c>
      <x:c r="Z33" s="7" t="s">
        <x:v>53</x:v>
      </x:c>
      <x:c r="AA33" s="7" t="s">
        <x:v>53</x:v>
      </x:c>
      <x:c r="AB33" s="7" t="s">
        <x:v>53</x:v>
      </x:c>
      <x:c r="AC33" s="7" t="s">
        <x:v>53</x:v>
      </x:c>
      <x:c r="AD33" s="7" t="s">
        <x:v>1585</x:v>
      </x:c>
      <x:c r="AE33" s="7" t="s">
        <x:v>53</x:v>
      </x:c>
      <x:c r="AF33" s="7" t="s">
        <x:v>53</x:v>
      </x:c>
      <x:c r="AG33" s="7" t="s">
        <x:v>53</x:v>
      </x:c>
      <x:c r="AH33" s="7" t="s">
        <x:v>53</x:v>
      </x:c>
      <x:c r="AI33" s="7" t="s">
        <x:v>53</x:v>
      </x:c>
      <x:c r="AJ33" s="7" t="s">
        <x:v>1199</x:v>
      </x:c>
      <x:c r="AK33" s="7" t="s">
        <x:v>1491</x:v>
      </x:c>
      <x:c r="AL33" s="7" t="s">
        <x:v>1492</x:v>
      </x:c>
    </x:row>
    <x:row r="34" ht="51.75" hidden="0" customHeight="1">
      <x:c r="A34" s="7" t="s">
        <x:v>1586</x:v>
      </x:c>
      <x:c r="B34" s="7" t="s">
        <x:v>330</x:v>
      </x:c>
      <x:c r="C34" s="7" t="s">
        <x:v>1200</x:v>
      </x:c>
      <x:c r="D34" s="7" t="s">
        <x:v>1487</x:v>
      </x:c>
      <x:c r="E34" s="7" t="s">
        <x:v>1587</x:v>
      </x:c>
      <x:c r="F34" s="7" t="s">
        <x:v>1588</x:v>
      </x:c>
      <x:c r="G34" s="7" t="s">
        <x:v>53</x:v>
      </x:c>
      <x:c r="H34" s="7" t="s">
        <x:v>1589</x:v>
      </x:c>
      <x:c r="I34" s="7" t="s">
        <x:v>53</x:v>
      </x:c>
      <x:c r="J34" s="7" t="s">
        <x:v>53</x:v>
      </x:c>
      <x:c r="K34" s="7" t="s">
        <x:v>53</x:v>
      </x:c>
      <x:c r="L34" s="7" t="s">
        <x:v>53</x:v>
      </x:c>
      <x:c r="M34" s="7" t="s">
        <x:v>53</x:v>
      </x:c>
      <x:c r="N34" s="7" t="s">
        <x:v>53</x:v>
      </x:c>
      <x:c r="O34" s="7" t="s">
        <x:v>53</x:v>
      </x:c>
      <x:c r="P34" s="7" t="s">
        <x:v>1590</x:v>
      </x:c>
      <x:c r="Q34" s="7" t="s">
        <x:v>53</x:v>
      </x:c>
      <x:c r="R34" s="7" t="s">
        <x:v>53</x:v>
      </x:c>
      <x:c r="S34" s="7" t="s">
        <x:v>1488</x:v>
      </x:c>
      <x:c r="T34" s="7" t="s">
        <x:v>1488</x:v>
      </x:c>
      <x:c r="U34" s="7" t="s">
        <x:v>1489</x:v>
      </x:c>
      <x:c r="V34" s="7" t="s">
        <x:v>1489</x:v>
      </x:c>
      <x:c r="W34" s="7" t="s">
        <x:v>53</x:v>
      </x:c>
      <x:c r="X34" s="7" t="s">
        <x:v>1490</x:v>
      </x:c>
      <x:c r="Y34" s="7" t="s">
        <x:v>53</x:v>
      </x:c>
      <x:c r="Z34" s="7" t="s">
        <x:v>53</x:v>
      </x:c>
      <x:c r="AA34" s="7" t="s">
        <x:v>53</x:v>
      </x:c>
      <x:c r="AB34" s="7" t="s">
        <x:v>53</x:v>
      </x:c>
      <x:c r="AC34" s="7" t="s">
        <x:v>53</x:v>
      </x:c>
      <x:c r="AD34" s="7" t="s">
        <x:v>53</x:v>
      </x:c>
      <x:c r="AE34" s="7" t="s">
        <x:v>53</x:v>
      </x:c>
      <x:c r="AF34" s="7" t="s">
        <x:v>53</x:v>
      </x:c>
      <x:c r="AG34" s="7" t="s">
        <x:v>53</x:v>
      </x:c>
      <x:c r="AH34" s="7" t="s">
        <x:v>53</x:v>
      </x:c>
      <x:c r="AI34" s="7" t="s">
        <x:v>53</x:v>
      </x:c>
      <x:c r="AJ34" s="7" t="s">
        <x:v>1203</x:v>
      </x:c>
      <x:c r="AK34" s="7" t="s">
        <x:v>1491</x:v>
      </x:c>
      <x:c r="AL34" s="7" t="s">
        <x:v>1492</x:v>
      </x:c>
    </x:row>
    <x:row r="35" ht="51.75" hidden="0" customHeight="1">
      <x:c r="A35" s="7" t="s">
        <x:v>1591</x:v>
      </x:c>
      <x:c r="B35" s="7" t="s">
        <x:v>342</x:v>
      </x:c>
      <x:c r="C35" s="7" t="s">
        <x:v>344</x:v>
      </x:c>
      <x:c r="D35" s="7" t="s">
        <x:v>1487</x:v>
      </x:c>
      <x:c r="E35" s="7" t="s">
        <x:v>316</x:v>
      </x:c>
      <x:c r="F35" s="7" t="s">
        <x:v>345</x:v>
      </x:c>
      <x:c r="G35" s="7" t="s">
        <x:v>346</x:v>
      </x:c>
      <x:c r="H35" s="7" t="s">
        <x:v>53</x:v>
      </x:c>
      <x:c r="I35" s="7" t="s">
        <x:v>1575</x:v>
      </x:c>
      <x:c r="J35" s="7" t="s">
        <x:v>1507</x:v>
      </x:c>
      <x:c r="K35" s="7" t="s">
        <x:v>1592</x:v>
      </x:c>
      <x:c r="L35" s="7" t="s">
        <x:v>1512</x:v>
      </x:c>
      <x:c r="M35" s="7" t="s">
        <x:v>53</x:v>
      </x:c>
      <x:c r="N35" s="7" t="s">
        <x:v>1593</x:v>
      </x:c>
      <x:c r="O35" s="7" t="s">
        <x:v>1518</x:v>
      </x:c>
      <x:c r="P35" s="7" t="s">
        <x:v>53</x:v>
      </x:c>
      <x:c r="Q35" s="7" t="s">
        <x:v>1511</x:v>
      </x:c>
      <x:c r="R35" s="7" t="s">
        <x:v>53</x:v>
      </x:c>
      <x:c r="S35" s="7" t="s">
        <x:v>1488</x:v>
      </x:c>
      <x:c r="T35" s="7" t="s">
        <x:v>1488</x:v>
      </x:c>
      <x:c r="U35" s="7" t="s">
        <x:v>1489</x:v>
      </x:c>
      <x:c r="V35" s="7" t="s">
        <x:v>1489</x:v>
      </x:c>
      <x:c r="W35" s="7" t="s">
        <x:v>53</x:v>
      </x:c>
      <x:c r="X35" s="7" t="s">
        <x:v>1490</x:v>
      </x:c>
      <x:c r="Y35" s="7" t="s">
        <x:v>53</x:v>
      </x:c>
      <x:c r="Z35" s="7" t="s">
        <x:v>53</x:v>
      </x:c>
      <x:c r="AA35" s="7" t="s">
        <x:v>53</x:v>
      </x:c>
      <x:c r="AB35" s="7" t="s">
        <x:v>53</x:v>
      </x:c>
      <x:c r="AC35" s="7" t="s">
        <x:v>53</x:v>
      </x:c>
      <x:c r="AD35" s="7" t="s">
        <x:v>53</x:v>
      </x:c>
      <x:c r="AE35" s="7" t="s">
        <x:v>53</x:v>
      </x:c>
      <x:c r="AF35" s="7" t="s">
        <x:v>53</x:v>
      </x:c>
      <x:c r="AG35" s="7" t="s">
        <x:v>53</x:v>
      </x:c>
      <x:c r="AH35" s="7" t="s">
        <x:v>53</x:v>
      </x:c>
      <x:c r="AI35" s="7" t="s">
        <x:v>53</x:v>
      </x:c>
      <x:c r="AJ35" s="7" t="s">
        <x:v>1204</x:v>
      </x:c>
      <x:c r="AK35" s="7" t="s">
        <x:v>1491</x:v>
      </x:c>
      <x:c r="AL35" s="7" t="s">
        <x:v>1492</x:v>
      </x:c>
    </x:row>
    <x:row r="36" ht="79.5" hidden="0" customHeight="1">
      <x:c r="A36" s="7" t="s">
        <x:v>361</x:v>
      </x:c>
      <x:c r="B36" s="7" t="s">
        <x:v>356</x:v>
      </x:c>
      <x:c r="C36" s="7" t="s">
        <x:v>358</x:v>
      </x:c>
      <x:c r="D36" s="7" t="s">
        <x:v>1487</x:v>
      </x:c>
      <x:c r="E36" s="7" t="s">
        <x:v>359</x:v>
      </x:c>
      <x:c r="F36" s="7" t="s">
        <x:v>360</x:v>
      </x:c>
      <x:c r="G36" s="7" t="s">
        <x:v>346</x:v>
      </x:c>
      <x:c r="H36" s="7" t="s">
        <x:v>53</x:v>
      </x:c>
      <x:c r="I36" s="7" t="s">
        <x:v>1594</x:v>
      </x:c>
      <x:c r="J36" s="7" t="s">
        <x:v>1507</x:v>
      </x:c>
      <x:c r="K36" s="7" t="s">
        <x:v>1592</x:v>
      </x:c>
      <x:c r="L36" s="7" t="s">
        <x:v>1541</x:v>
      </x:c>
      <x:c r="M36" s="7" t="s">
        <x:v>53</x:v>
      </x:c>
      <x:c r="N36" s="7" t="s">
        <x:v>1595</x:v>
      </x:c>
      <x:c r="O36" s="7" t="s">
        <x:v>1518</x:v>
      </x:c>
      <x:c r="P36" s="7" t="s">
        <x:v>53</x:v>
      </x:c>
      <x:c r="Q36" s="7" t="s">
        <x:v>1596</x:v>
      </x:c>
      <x:c r="R36" s="7" t="s">
        <x:v>1545</x:v>
      </x:c>
      <x:c r="S36" s="7" t="s">
        <x:v>1488</x:v>
      </x:c>
      <x:c r="T36" s="7" t="s">
        <x:v>1488</x:v>
      </x:c>
      <x:c r="U36" s="7" t="s">
        <x:v>1489</x:v>
      </x:c>
      <x:c r="V36" s="7" t="s">
        <x:v>1489</x:v>
      </x:c>
      <x:c r="W36" s="7" t="s">
        <x:v>53</x:v>
      </x:c>
      <x:c r="X36" s="7" t="s">
        <x:v>1490</x:v>
      </x:c>
      <x:c r="Y36" s="7" t="s">
        <x:v>53</x:v>
      </x:c>
      <x:c r="Z36" s="7" t="s">
        <x:v>53</x:v>
      </x:c>
      <x:c r="AA36" s="7" t="s">
        <x:v>53</x:v>
      </x:c>
      <x:c r="AB36" s="7" t="s">
        <x:v>53</x:v>
      </x:c>
      <x:c r="AC36" s="7" t="s">
        <x:v>53</x:v>
      </x:c>
      <x:c r="AD36" s="7" t="s">
        <x:v>53</x:v>
      </x:c>
      <x:c r="AE36" s="7" t="s">
        <x:v>53</x:v>
      </x:c>
      <x:c r="AF36" s="7" t="s">
        <x:v>53</x:v>
      </x:c>
      <x:c r="AG36" s="7" t="s">
        <x:v>53</x:v>
      </x:c>
      <x:c r="AH36" s="7" t="s">
        <x:v>53</x:v>
      </x:c>
      <x:c r="AI36" s="7" t="s">
        <x:v>53</x:v>
      </x:c>
      <x:c r="AJ36" s="7" t="s">
        <x:v>1205</x:v>
      </x:c>
      <x:c r="AK36" s="7" t="s">
        <x:v>1491</x:v>
      </x:c>
      <x:c r="AL36" s="7" t="s">
        <x:v>1492</x:v>
      </x:c>
    </x:row>
    <x:row r="37" ht="79.5" hidden="0" customHeight="1">
      <x:c r="A37" s="7" t="s">
        <x:v>1597</x:v>
      </x:c>
      <x:c r="B37" s="7" t="s">
        <x:v>369</x:v>
      </x:c>
      <x:c r="C37" s="7" t="s">
        <x:v>371</x:v>
      </x:c>
      <x:c r="D37" s="7" t="s">
        <x:v>1487</x:v>
      </x:c>
      <x:c r="E37" s="7" t="s">
        <x:v>53</x:v>
      </x:c>
      <x:c r="F37" s="7" t="s">
        <x:v>53</x:v>
      </x:c>
      <x:c r="G37" s="7" t="s">
        <x:v>53</x:v>
      </x:c>
      <x:c r="H37" s="7" t="s">
        <x:v>53</x:v>
      </x:c>
      <x:c r="I37" s="7" t="s">
        <x:v>53</x:v>
      </x:c>
      <x:c r="J37" s="7" t="s">
        <x:v>53</x:v>
      </x:c>
      <x:c r="K37" s="7" t="s">
        <x:v>53</x:v>
      </x:c>
      <x:c r="L37" s="7" t="s">
        <x:v>53</x:v>
      </x:c>
      <x:c r="M37" s="7" t="s">
        <x:v>53</x:v>
      </x:c>
      <x:c r="N37" s="7" t="s">
        <x:v>53</x:v>
      </x:c>
      <x:c r="O37" s="7" t="s">
        <x:v>53</x:v>
      </x:c>
      <x:c r="P37" s="7" t="s">
        <x:v>53</x:v>
      </x:c>
      <x:c r="Q37" s="7" t="s">
        <x:v>53</x:v>
      </x:c>
      <x:c r="R37" s="7" t="s">
        <x:v>1545</x:v>
      </x:c>
      <x:c r="S37" s="7" t="s">
        <x:v>1488</x:v>
      </x:c>
      <x:c r="T37" s="7" t="s">
        <x:v>1488</x:v>
      </x:c>
      <x:c r="U37" s="7" t="s">
        <x:v>1489</x:v>
      </x:c>
      <x:c r="V37" s="7" t="s">
        <x:v>1489</x:v>
      </x:c>
      <x:c r="W37" s="7" t="s">
        <x:v>53</x:v>
      </x:c>
      <x:c r="X37" s="7" t="s">
        <x:v>1490</x:v>
      </x:c>
      <x:c r="Y37" s="7" t="s">
        <x:v>53</x:v>
      </x:c>
      <x:c r="Z37" s="7" t="s">
        <x:v>53</x:v>
      </x:c>
      <x:c r="AA37" s="7" t="s">
        <x:v>53</x:v>
      </x:c>
      <x:c r="AB37" s="7" t="s">
        <x:v>53</x:v>
      </x:c>
      <x:c r="AC37" s="7" t="s">
        <x:v>53</x:v>
      </x:c>
      <x:c r="AD37" s="7" t="s">
        <x:v>53</x:v>
      </x:c>
      <x:c r="AE37" s="7" t="s">
        <x:v>53</x:v>
      </x:c>
      <x:c r="AF37" s="7" t="s">
        <x:v>53</x:v>
      </x:c>
      <x:c r="AG37" s="7" t="s">
        <x:v>53</x:v>
      </x:c>
      <x:c r="AH37" s="7" t="s">
        <x:v>53</x:v>
      </x:c>
      <x:c r="AI37" s="7" t="s">
        <x:v>53</x:v>
      </x:c>
      <x:c r="AJ37" s="7" t="s">
        <x:v>1208</x:v>
      </x:c>
      <x:c r="AK37" s="7" t="s">
        <x:v>1491</x:v>
      </x:c>
      <x:c r="AL37" s="7" t="s">
        <x:v>1492</x:v>
      </x:c>
    </x:row>
    <x:row r="38" ht="79.5" hidden="0" customHeight="1">
      <x:c r="A38" s="7" t="s">
        <x:v>1598</x:v>
      </x:c>
      <x:c r="B38" s="7" t="s">
        <x:v>369</x:v>
      </x:c>
      <x:c r="C38" s="7" t="s">
        <x:v>1210</x:v>
      </x:c>
      <x:c r="D38" s="7" t="s">
        <x:v>1487</x:v>
      </x:c>
      <x:c r="E38" s="7" t="s">
        <x:v>1599</x:v>
      </x:c>
      <x:c r="F38" s="7" t="s">
        <x:v>1600</x:v>
      </x:c>
      <x:c r="G38" s="7" t="s">
        <x:v>1563</x:v>
      </x:c>
      <x:c r="H38" s="7" t="s">
        <x:v>53</x:v>
      </x:c>
      <x:c r="I38" s="7" t="s">
        <x:v>53</x:v>
      </x:c>
      <x:c r="J38" s="7" t="s">
        <x:v>53</x:v>
      </x:c>
      <x:c r="K38" s="7" t="s">
        <x:v>1497</x:v>
      </x:c>
      <x:c r="L38" s="7" t="s">
        <x:v>1601</x:v>
      </x:c>
      <x:c r="M38" s="7" t="s">
        <x:v>53</x:v>
      </x:c>
      <x:c r="N38" s="7" t="s">
        <x:v>53</x:v>
      </x:c>
      <x:c r="O38" s="7" t="s">
        <x:v>53</x:v>
      </x:c>
      <x:c r="P38" s="7" t="s">
        <x:v>53</x:v>
      </x:c>
      <x:c r="Q38" s="7" t="s">
        <x:v>53</x:v>
      </x:c>
      <x:c r="R38" s="7" t="s">
        <x:v>1545</x:v>
      </x:c>
      <x:c r="S38" s="7" t="s">
        <x:v>1488</x:v>
      </x:c>
      <x:c r="T38" s="7" t="s">
        <x:v>1488</x:v>
      </x:c>
      <x:c r="U38" s="7" t="s">
        <x:v>1489</x:v>
      </x:c>
      <x:c r="V38" s="7" t="s">
        <x:v>1489</x:v>
      </x:c>
      <x:c r="W38" s="7" t="s">
        <x:v>53</x:v>
      </x:c>
      <x:c r="X38" s="7" t="s">
        <x:v>1490</x:v>
      </x:c>
      <x:c r="Y38" s="7" t="s">
        <x:v>53</x:v>
      </x:c>
      <x:c r="Z38" s="7" t="s">
        <x:v>53</x:v>
      </x:c>
      <x:c r="AA38" s="7" t="s">
        <x:v>53</x:v>
      </x:c>
      <x:c r="AB38" s="7" t="s">
        <x:v>53</x:v>
      </x:c>
      <x:c r="AC38" s="7" t="s">
        <x:v>53</x:v>
      </x:c>
      <x:c r="AD38" s="7" t="s">
        <x:v>53</x:v>
      </x:c>
      <x:c r="AE38" s="7" t="s">
        <x:v>53</x:v>
      </x:c>
      <x:c r="AF38" s="7" t="s">
        <x:v>53</x:v>
      </x:c>
      <x:c r="AG38" s="7" t="s">
        <x:v>53</x:v>
      </x:c>
      <x:c r="AH38" s="7" t="s">
        <x:v>53</x:v>
      </x:c>
      <x:c r="AI38" s="7" t="s">
        <x:v>53</x:v>
      </x:c>
      <x:c r="AJ38" s="7" t="s">
        <x:v>1212</x:v>
      </x:c>
      <x:c r="AK38" s="7" t="s">
        <x:v>1491</x:v>
      </x:c>
      <x:c r="AL38" s="7" t="s">
        <x:v>1492</x:v>
      </x:c>
    </x:row>
    <x:row r="39" ht="51.75" hidden="0" customHeight="1">
      <x:c r="A39" s="7" t="s">
        <x:v>1602</x:v>
      </x:c>
      <x:c r="B39" s="7" t="s">
        <x:v>380</x:v>
      </x:c>
      <x:c r="C39" s="7" t="s">
        <x:v>382</x:v>
      </x:c>
      <x:c r="D39" s="7" t="s">
        <x:v>1487</x:v>
      </x:c>
      <x:c r="E39" s="7" t="s">
        <x:v>53</x:v>
      </x:c>
      <x:c r="F39" s="7" t="s">
        <x:v>53</x:v>
      </x:c>
      <x:c r="G39" s="7" t="s">
        <x:v>53</x:v>
      </x:c>
      <x:c r="H39" s="7" t="s">
        <x:v>53</x:v>
      </x:c>
      <x:c r="I39" s="7" t="s">
        <x:v>53</x:v>
      </x:c>
      <x:c r="J39" s="7" t="s">
        <x:v>53</x:v>
      </x:c>
      <x:c r="K39" s="7" t="s">
        <x:v>53</x:v>
      </x:c>
      <x:c r="L39" s="7" t="s">
        <x:v>53</x:v>
      </x:c>
      <x:c r="M39" s="7" t="s">
        <x:v>53</x:v>
      </x:c>
      <x:c r="N39" s="7" t="s">
        <x:v>53</x:v>
      </x:c>
      <x:c r="O39" s="7" t="s">
        <x:v>53</x:v>
      </x:c>
      <x:c r="P39" s="7" t="s">
        <x:v>53</x:v>
      </x:c>
      <x:c r="Q39" s="7" t="s">
        <x:v>53</x:v>
      </x:c>
      <x:c r="R39" s="7" t="s">
        <x:v>53</x:v>
      </x:c>
      <x:c r="S39" s="7" t="s">
        <x:v>1488</x:v>
      </x:c>
      <x:c r="T39" s="7" t="s">
        <x:v>1488</x:v>
      </x:c>
      <x:c r="U39" s="7" t="s">
        <x:v>1489</x:v>
      </x:c>
      <x:c r="V39" s="7" t="s">
        <x:v>1489</x:v>
      </x:c>
      <x:c r="W39" s="7" t="s">
        <x:v>53</x:v>
      </x:c>
      <x:c r="X39" s="7" t="s">
        <x:v>1490</x:v>
      </x:c>
      <x:c r="Y39" s="7" t="s">
        <x:v>53</x:v>
      </x:c>
      <x:c r="Z39" s="7" t="s">
        <x:v>53</x:v>
      </x:c>
      <x:c r="AA39" s="7" t="s">
        <x:v>53</x:v>
      </x:c>
      <x:c r="AB39" s="7" t="s">
        <x:v>53</x:v>
      </x:c>
      <x:c r="AC39" s="7" t="s">
        <x:v>53</x:v>
      </x:c>
      <x:c r="AD39" s="7" t="s">
        <x:v>53</x:v>
      </x:c>
      <x:c r="AE39" s="7" t="s">
        <x:v>53</x:v>
      </x:c>
      <x:c r="AF39" s="7" t="s">
        <x:v>53</x:v>
      </x:c>
      <x:c r="AG39" s="7" t="s">
        <x:v>53</x:v>
      </x:c>
      <x:c r="AH39" s="7" t="s">
        <x:v>53</x:v>
      </x:c>
      <x:c r="AI39" s="7" t="s">
        <x:v>53</x:v>
      </x:c>
      <x:c r="AJ39" s="7" t="s">
        <x:v>1214</x:v>
      </x:c>
      <x:c r="AK39" s="7" t="s">
        <x:v>1491</x:v>
      </x:c>
      <x:c r="AL39" s="7" t="s">
        <x:v>1492</x:v>
      </x:c>
    </x:row>
    <x:row r="40" ht="51.75" hidden="0" customHeight="1">
      <x:c r="A40" s="7" t="s">
        <x:v>1603</x:v>
      </x:c>
      <x:c r="B40" s="7" t="s">
        <x:v>380</x:v>
      </x:c>
      <x:c r="C40" s="7" t="s">
        <x:v>1216</x:v>
      </x:c>
      <x:c r="D40" s="7" t="s">
        <x:v>1487</x:v>
      </x:c>
      <x:c r="E40" s="7" t="s">
        <x:v>53</x:v>
      </x:c>
      <x:c r="F40" s="7" t="s">
        <x:v>53</x:v>
      </x:c>
      <x:c r="G40" s="7" t="s">
        <x:v>53</x:v>
      </x:c>
      <x:c r="H40" s="7" t="s">
        <x:v>53</x:v>
      </x:c>
      <x:c r="I40" s="7" t="s">
        <x:v>53</x:v>
      </x:c>
      <x:c r="J40" s="7" t="s">
        <x:v>53</x:v>
      </x:c>
      <x:c r="K40" s="7" t="s">
        <x:v>53</x:v>
      </x:c>
      <x:c r="L40" s="7" t="s">
        <x:v>1604</x:v>
      </x:c>
      <x:c r="M40" s="7" t="s">
        <x:v>53</x:v>
      </x:c>
      <x:c r="N40" s="7" t="s">
        <x:v>53</x:v>
      </x:c>
      <x:c r="O40" s="7" t="s">
        <x:v>53</x:v>
      </x:c>
      <x:c r="P40" s="7" t="s">
        <x:v>53</x:v>
      </x:c>
      <x:c r="Q40" s="7" t="s">
        <x:v>53</x:v>
      </x:c>
      <x:c r="R40" s="7" t="s">
        <x:v>53</x:v>
      </x:c>
      <x:c r="S40" s="7" t="s">
        <x:v>1488</x:v>
      </x:c>
      <x:c r="T40" s="7" t="s">
        <x:v>1488</x:v>
      </x:c>
      <x:c r="U40" s="7" t="s">
        <x:v>1489</x:v>
      </x:c>
      <x:c r="V40" s="7" t="s">
        <x:v>1489</x:v>
      </x:c>
      <x:c r="W40" s="7" t="s">
        <x:v>53</x:v>
      </x:c>
      <x:c r="X40" s="7" t="s">
        <x:v>1490</x:v>
      </x:c>
      <x:c r="Y40" s="7" t="s">
        <x:v>53</x:v>
      </x:c>
      <x:c r="Z40" s="7" t="s">
        <x:v>53</x:v>
      </x:c>
      <x:c r="AA40" s="7" t="s">
        <x:v>53</x:v>
      </x:c>
      <x:c r="AB40" s="7" t="s">
        <x:v>53</x:v>
      </x:c>
      <x:c r="AC40" s="7" t="s">
        <x:v>53</x:v>
      </x:c>
      <x:c r="AD40" s="7" t="s">
        <x:v>53</x:v>
      </x:c>
      <x:c r="AE40" s="7" t="s">
        <x:v>53</x:v>
      </x:c>
      <x:c r="AF40" s="7" t="s">
        <x:v>53</x:v>
      </x:c>
      <x:c r="AG40" s="7" t="s">
        <x:v>53</x:v>
      </x:c>
      <x:c r="AH40" s="7" t="s">
        <x:v>53</x:v>
      </x:c>
      <x:c r="AI40" s="7" t="s">
        <x:v>53</x:v>
      </x:c>
      <x:c r="AJ40" s="7" t="s">
        <x:v>1218</x:v>
      </x:c>
      <x:c r="AK40" s="7" t="s">
        <x:v>1491</x:v>
      </x:c>
      <x:c r="AL40" s="7" t="s">
        <x:v>1492</x:v>
      </x:c>
    </x:row>
    <x:row r="41" ht="51.75" hidden="0" customHeight="1">
      <x:c r="A41" s="7" t="s">
        <x:v>1605</x:v>
      </x:c>
      <x:c r="B41" s="7" t="s">
        <x:v>390</x:v>
      </x:c>
      <x:c r="C41" s="7" t="s">
        <x:v>392</x:v>
      </x:c>
      <x:c r="D41" s="7" t="s">
        <x:v>1487</x:v>
      </x:c>
      <x:c r="E41" s="7" t="s">
        <x:v>316</x:v>
      </x:c>
      <x:c r="F41" s="7" t="s">
        <x:v>345</x:v>
      </x:c>
      <x:c r="G41" s="7" t="s">
        <x:v>346</x:v>
      </x:c>
      <x:c r="H41" s="7" t="s">
        <x:v>53</x:v>
      </x:c>
      <x:c r="I41" s="7" t="s">
        <x:v>1575</x:v>
      </x:c>
      <x:c r="J41" s="7" t="s">
        <x:v>1507</x:v>
      </x:c>
      <x:c r="K41" s="7" t="s">
        <x:v>1592</x:v>
      </x:c>
      <x:c r="L41" s="7" t="s">
        <x:v>1530</x:v>
      </x:c>
      <x:c r="M41" s="7" t="s">
        <x:v>53</x:v>
      </x:c>
      <x:c r="N41" s="7" t="s">
        <x:v>1593</x:v>
      </x:c>
      <x:c r="O41" s="7" t="s">
        <x:v>1518</x:v>
      </x:c>
      <x:c r="P41" s="7" t="s">
        <x:v>53</x:v>
      </x:c>
      <x:c r="Q41" s="7" t="s">
        <x:v>1511</x:v>
      </x:c>
      <x:c r="R41" s="7" t="s">
        <x:v>53</x:v>
      </x:c>
      <x:c r="S41" s="7" t="s">
        <x:v>1488</x:v>
      </x:c>
      <x:c r="T41" s="7" t="s">
        <x:v>1488</x:v>
      </x:c>
      <x:c r="U41" s="7" t="s">
        <x:v>1489</x:v>
      </x:c>
      <x:c r="V41" s="7" t="s">
        <x:v>1489</x:v>
      </x:c>
      <x:c r="W41" s="7" t="s">
        <x:v>53</x:v>
      </x:c>
      <x:c r="X41" s="7" t="s">
        <x:v>1490</x:v>
      </x:c>
      <x:c r="Y41" s="7" t="s">
        <x:v>53</x:v>
      </x:c>
      <x:c r="Z41" s="7" t="s">
        <x:v>53</x:v>
      </x:c>
      <x:c r="AA41" s="7" t="s">
        <x:v>53</x:v>
      </x:c>
      <x:c r="AB41" s="7" t="s">
        <x:v>53</x:v>
      </x:c>
      <x:c r="AC41" s="7" t="s">
        <x:v>1606</x:v>
      </x:c>
      <x:c r="AD41" s="7" t="s">
        <x:v>1607</x:v>
      </x:c>
      <x:c r="AE41" s="7" t="s">
        <x:v>53</x:v>
      </x:c>
      <x:c r="AF41" s="7" t="s">
        <x:v>53</x:v>
      </x:c>
      <x:c r="AG41" s="7" t="s">
        <x:v>53</x:v>
      </x:c>
      <x:c r="AH41" s="7" t="s">
        <x:v>53</x:v>
      </x:c>
      <x:c r="AI41" s="7" t="s">
        <x:v>53</x:v>
      </x:c>
      <x:c r="AJ41" s="7" t="s">
        <x:v>1219</x:v>
      </x:c>
      <x:c r="AK41" s="7" t="s">
        <x:v>1491</x:v>
      </x:c>
      <x:c r="AL41" s="7" t="s">
        <x:v>1492</x:v>
      </x:c>
    </x:row>
    <x:row r="42" ht="51.75" hidden="0" customHeight="1">
      <x:c r="A42" s="7" t="s">
        <x:v>409</x:v>
      </x:c>
      <x:c r="B42" s="7" t="s">
        <x:v>404</x:v>
      </x:c>
      <x:c r="C42" s="7" t="s">
        <x:v>406</x:v>
      </x:c>
      <x:c r="D42" s="7" t="s">
        <x:v>1487</x:v>
      </x:c>
      <x:c r="E42" s="7" t="s">
        <x:v>407</x:v>
      </x:c>
      <x:c r="F42" s="7" t="s">
        <x:v>408</x:v>
      </x:c>
      <x:c r="G42" s="7" t="s">
        <x:v>346</x:v>
      </x:c>
      <x:c r="H42" s="7" t="s">
        <x:v>53</x:v>
      </x:c>
      <x:c r="I42" s="7" t="s">
        <x:v>1575</x:v>
      </x:c>
      <x:c r="J42" s="7" t="s">
        <x:v>1507</x:v>
      </x:c>
      <x:c r="K42" s="7" t="s">
        <x:v>1592</x:v>
      </x:c>
      <x:c r="L42" s="7" t="s">
        <x:v>1608</x:v>
      </x:c>
      <x:c r="M42" s="7" t="s">
        <x:v>53</x:v>
      </x:c>
      <x:c r="N42" s="7" t="s">
        <x:v>1609</x:v>
      </x:c>
      <x:c r="O42" s="7" t="s">
        <x:v>1518</x:v>
      </x:c>
      <x:c r="P42" s="7" t="s">
        <x:v>53</x:v>
      </x:c>
      <x:c r="Q42" s="7" t="s">
        <x:v>1610</x:v>
      </x:c>
      <x:c r="R42" s="7" t="s">
        <x:v>53</x:v>
      </x:c>
      <x:c r="S42" s="7" t="s">
        <x:v>1488</x:v>
      </x:c>
      <x:c r="T42" s="7" t="s">
        <x:v>1488</x:v>
      </x:c>
      <x:c r="U42" s="7" t="s">
        <x:v>1489</x:v>
      </x:c>
      <x:c r="V42" s="7" t="s">
        <x:v>1489</x:v>
      </x:c>
      <x:c r="W42" s="7" t="s">
        <x:v>53</x:v>
      </x:c>
      <x:c r="X42" s="7" t="s">
        <x:v>1490</x:v>
      </x:c>
      <x:c r="Y42" s="7" t="s">
        <x:v>53</x:v>
      </x:c>
      <x:c r="Z42" s="7" t="s">
        <x:v>53</x:v>
      </x:c>
      <x:c r="AA42" s="7" t="s">
        <x:v>53</x:v>
      </x:c>
      <x:c r="AB42" s="7" t="s">
        <x:v>53</x:v>
      </x:c>
      <x:c r="AC42" s="7" t="s">
        <x:v>53</x:v>
      </x:c>
      <x:c r="AD42" s="7" t="s">
        <x:v>1611</x:v>
      </x:c>
      <x:c r="AE42" s="7" t="s">
        <x:v>53</x:v>
      </x:c>
      <x:c r="AF42" s="7" t="s">
        <x:v>53</x:v>
      </x:c>
      <x:c r="AG42" s="7" t="s">
        <x:v>53</x:v>
      </x:c>
      <x:c r="AH42" s="7" t="s">
        <x:v>53</x:v>
      </x:c>
      <x:c r="AI42" s="7" t="s">
        <x:v>53</x:v>
      </x:c>
      <x:c r="AJ42" s="7" t="s">
        <x:v>1221</x:v>
      </x:c>
      <x:c r="AK42" s="7" t="s">
        <x:v>1491</x:v>
      </x:c>
      <x:c r="AL42" s="7" t="s">
        <x:v>1492</x:v>
      </x:c>
    </x:row>
    <x:row r="43" ht="79.5" hidden="0" customHeight="1">
      <x:c r="A43" s="7" t="s">
        <x:v>422</x:v>
      </x:c>
      <x:c r="B43" s="7" t="s">
        <x:v>417</x:v>
      </x:c>
      <x:c r="C43" s="7" t="s">
        <x:v>419</x:v>
      </x:c>
      <x:c r="D43" s="7" t="s">
        <x:v>1487</x:v>
      </x:c>
      <x:c r="E43" s="7" t="s">
        <x:v>420</x:v>
      </x:c>
      <x:c r="F43" s="7" t="s">
        <x:v>421</x:v>
      </x:c>
      <x:c r="G43" s="7" t="s">
        <x:v>346</x:v>
      </x:c>
      <x:c r="H43" s="7" t="s">
        <x:v>53</x:v>
      </x:c>
      <x:c r="I43" s="7" t="s">
        <x:v>1537</x:v>
      </x:c>
      <x:c r="J43" s="7" t="s">
        <x:v>53</x:v>
      </x:c>
      <x:c r="K43" s="7" t="s">
        <x:v>1508</x:v>
      </x:c>
      <x:c r="L43" s="7" t="s">
        <x:v>1530</x:v>
      </x:c>
      <x:c r="M43" s="7" t="s">
        <x:v>53</x:v>
      </x:c>
      <x:c r="N43" s="7" t="s">
        <x:v>1609</x:v>
      </x:c>
      <x:c r="O43" s="7" t="s">
        <x:v>1518</x:v>
      </x:c>
      <x:c r="P43" s="7" t="s">
        <x:v>53</x:v>
      </x:c>
      <x:c r="Q43" s="7" t="s">
        <x:v>1535</x:v>
      </x:c>
      <x:c r="R43" s="7" t="s">
        <x:v>1545</x:v>
      </x:c>
      <x:c r="S43" s="7" t="s">
        <x:v>1488</x:v>
      </x:c>
      <x:c r="T43" s="7" t="s">
        <x:v>1488</x:v>
      </x:c>
      <x:c r="U43" s="7" t="s">
        <x:v>1489</x:v>
      </x:c>
      <x:c r="V43" s="7" t="s">
        <x:v>1489</x:v>
      </x:c>
      <x:c r="W43" s="7" t="s">
        <x:v>53</x:v>
      </x:c>
      <x:c r="X43" s="7" t="s">
        <x:v>1490</x:v>
      </x:c>
      <x:c r="Y43" s="7" t="s">
        <x:v>53</x:v>
      </x:c>
      <x:c r="Z43" s="7" t="s">
        <x:v>53</x:v>
      </x:c>
      <x:c r="AA43" s="7" t="s">
        <x:v>53</x:v>
      </x:c>
      <x:c r="AB43" s="7" t="s">
        <x:v>53</x:v>
      </x:c>
      <x:c r="AC43" s="7" t="s">
        <x:v>1606</x:v>
      </x:c>
      <x:c r="AD43" s="7" t="s">
        <x:v>1611</x:v>
      </x:c>
      <x:c r="AE43" s="7" t="s">
        <x:v>53</x:v>
      </x:c>
      <x:c r="AF43" s="7" t="s">
        <x:v>53</x:v>
      </x:c>
      <x:c r="AG43" s="7" t="s">
        <x:v>53</x:v>
      </x:c>
      <x:c r="AH43" s="7" t="s">
        <x:v>53</x:v>
      </x:c>
      <x:c r="AI43" s="7" t="s">
        <x:v>53</x:v>
      </x:c>
      <x:c r="AJ43" s="7" t="s">
        <x:v>1222</x:v>
      </x:c>
      <x:c r="AK43" s="7" t="s">
        <x:v>1491</x:v>
      </x:c>
      <x:c r="AL43" s="7" t="s">
        <x:v>1492</x:v>
      </x:c>
    </x:row>
    <x:row r="44" ht="79.5" hidden="0" customHeight="1">
      <x:c r="A44" s="7" t="s">
        <x:v>432</x:v>
      </x:c>
      <x:c r="B44" s="7" t="s">
        <x:v>428</x:v>
      </x:c>
      <x:c r="C44" s="7" t="s">
        <x:v>430</x:v>
      </x:c>
      <x:c r="D44" s="7" t="s">
        <x:v>1487</x:v>
      </x:c>
      <x:c r="E44" s="7" t="s">
        <x:v>431</x:v>
      </x:c>
      <x:c r="F44" s="7" t="s">
        <x:v>421</x:v>
      </x:c>
      <x:c r="G44" s="7" t="s">
        <x:v>53</x:v>
      </x:c>
      <x:c r="H44" s="7" t="s">
        <x:v>1612</x:v>
      </x:c>
      <x:c r="I44" s="7" t="s">
        <x:v>53</x:v>
      </x:c>
      <x:c r="J44" s="7" t="s">
        <x:v>53</x:v>
      </x:c>
      <x:c r="K44" s="7" t="s">
        <x:v>1613</x:v>
      </x:c>
      <x:c r="L44" s="7" t="s">
        <x:v>1614</x:v>
      </x:c>
      <x:c r="M44" s="7" t="s">
        <x:v>53</x:v>
      </x:c>
      <x:c r="N44" s="7" t="s">
        <x:v>53</x:v>
      </x:c>
      <x:c r="O44" s="7" t="s">
        <x:v>53</x:v>
      </x:c>
      <x:c r="P44" s="7" t="s">
        <x:v>1615</x:v>
      </x:c>
      <x:c r="Q44" s="7" t="s">
        <x:v>53</x:v>
      </x:c>
      <x:c r="R44" s="7" t="s">
        <x:v>1545</x:v>
      </x:c>
      <x:c r="S44" s="7" t="s">
        <x:v>1488</x:v>
      </x:c>
      <x:c r="T44" s="7" t="s">
        <x:v>1488</x:v>
      </x:c>
      <x:c r="U44" s="7" t="s">
        <x:v>1489</x:v>
      </x:c>
      <x:c r="V44" s="7" t="s">
        <x:v>1489</x:v>
      </x:c>
      <x:c r="W44" s="7" t="s">
        <x:v>53</x:v>
      </x:c>
      <x:c r="X44" s="7" t="s">
        <x:v>1490</x:v>
      </x:c>
      <x:c r="Y44" s="7" t="s">
        <x:v>53</x:v>
      </x:c>
      <x:c r="Z44" s="7" t="s">
        <x:v>53</x:v>
      </x:c>
      <x:c r="AA44" s="7" t="s">
        <x:v>53</x:v>
      </x:c>
      <x:c r="AB44" s="7" t="s">
        <x:v>53</x:v>
      </x:c>
      <x:c r="AC44" s="7" t="s">
        <x:v>53</x:v>
      </x:c>
      <x:c r="AD44" s="7" t="s">
        <x:v>53</x:v>
      </x:c>
      <x:c r="AE44" s="7" t="s">
        <x:v>53</x:v>
      </x:c>
      <x:c r="AF44" s="7" t="s">
        <x:v>53</x:v>
      </x:c>
      <x:c r="AG44" s="7" t="s">
        <x:v>53</x:v>
      </x:c>
      <x:c r="AH44" s="7" t="s">
        <x:v>53</x:v>
      </x:c>
      <x:c r="AI44" s="7" t="s">
        <x:v>53</x:v>
      </x:c>
      <x:c r="AJ44" s="7" t="s">
        <x:v>1224</x:v>
      </x:c>
      <x:c r="AK44" s="7" t="s">
        <x:v>1491</x:v>
      </x:c>
      <x:c r="AL44" s="7" t="s">
        <x:v>1492</x:v>
      </x:c>
    </x:row>
    <x:row r="45" ht="79.5" hidden="0" customHeight="1">
      <x:c r="A45" s="7" t="s">
        <x:v>1616</x:v>
      </x:c>
      <x:c r="B45" s="7" t="s">
        <x:v>428</x:v>
      </x:c>
      <x:c r="C45" s="7" t="s">
        <x:v>1225</x:v>
      </x:c>
      <x:c r="D45" s="7" t="s">
        <x:v>1487</x:v>
      </x:c>
      <x:c r="E45" s="7" t="s">
        <x:v>53</x:v>
      </x:c>
      <x:c r="F45" s="7" t="s">
        <x:v>53</x:v>
      </x:c>
      <x:c r="G45" s="7" t="s">
        <x:v>53</x:v>
      </x:c>
      <x:c r="H45" s="7" t="s">
        <x:v>53</x:v>
      </x:c>
      <x:c r="I45" s="7" t="s">
        <x:v>53</x:v>
      </x:c>
      <x:c r="J45" s="7" t="s">
        <x:v>53</x:v>
      </x:c>
      <x:c r="K45" s="7" t="s">
        <x:v>53</x:v>
      </x:c>
      <x:c r="L45" s="7" t="s">
        <x:v>53</x:v>
      </x:c>
      <x:c r="M45" s="7" t="s">
        <x:v>53</x:v>
      </x:c>
      <x:c r="N45" s="7" t="s">
        <x:v>53</x:v>
      </x:c>
      <x:c r="O45" s="7" t="s">
        <x:v>53</x:v>
      </x:c>
      <x:c r="P45" s="7" t="s">
        <x:v>53</x:v>
      </x:c>
      <x:c r="Q45" s="7" t="s">
        <x:v>53</x:v>
      </x:c>
      <x:c r="R45" s="7" t="s">
        <x:v>1545</x:v>
      </x:c>
      <x:c r="S45" s="7" t="s">
        <x:v>1488</x:v>
      </x:c>
      <x:c r="T45" s="7" t="s">
        <x:v>1488</x:v>
      </x:c>
      <x:c r="U45" s="7" t="s">
        <x:v>1489</x:v>
      </x:c>
      <x:c r="V45" s="7" t="s">
        <x:v>1489</x:v>
      </x:c>
      <x:c r="W45" s="7" t="s">
        <x:v>53</x:v>
      </x:c>
      <x:c r="X45" s="7" t="s">
        <x:v>1490</x:v>
      </x:c>
      <x:c r="Y45" s="7" t="s">
        <x:v>53</x:v>
      </x:c>
      <x:c r="Z45" s="7" t="s">
        <x:v>53</x:v>
      </x:c>
      <x:c r="AA45" s="7" t="s">
        <x:v>53</x:v>
      </x:c>
      <x:c r="AB45" s="7" t="s">
        <x:v>53</x:v>
      </x:c>
      <x:c r="AC45" s="7" t="s">
        <x:v>53</x:v>
      </x:c>
      <x:c r="AD45" s="7" t="s">
        <x:v>53</x:v>
      </x:c>
      <x:c r="AE45" s="7" t="s">
        <x:v>53</x:v>
      </x:c>
      <x:c r="AF45" s="7" t="s">
        <x:v>53</x:v>
      </x:c>
      <x:c r="AG45" s="7" t="s">
        <x:v>53</x:v>
      </x:c>
      <x:c r="AH45" s="7" t="s">
        <x:v>53</x:v>
      </x:c>
      <x:c r="AI45" s="7" t="s">
        <x:v>53</x:v>
      </x:c>
      <x:c r="AJ45" s="7" t="s">
        <x:v>1227</x:v>
      </x:c>
      <x:c r="AK45" s="7" t="s">
        <x:v>1491</x:v>
      </x:c>
      <x:c r="AL45" s="7" t="s">
        <x:v>1492</x:v>
      </x:c>
    </x:row>
    <x:row r="46" ht="51.75" hidden="0" customHeight="1">
      <x:c r="A46" s="7" t="s">
        <x:v>1617</x:v>
      </x:c>
      <x:c r="B46" s="7" t="s">
        <x:v>437</x:v>
      </x:c>
      <x:c r="C46" s="7" t="s">
        <x:v>440</x:v>
      </x:c>
      <x:c r="D46" s="7" t="s">
        <x:v>1487</x:v>
      </x:c>
      <x:c r="E46" s="7" t="s">
        <x:v>441</x:v>
      </x:c>
      <x:c r="F46" s="7" t="s">
        <x:v>442</x:v>
      </x:c>
      <x:c r="G46" s="7" t="s">
        <x:v>346</x:v>
      </x:c>
      <x:c r="H46" s="7" t="s">
        <x:v>53</x:v>
      </x:c>
      <x:c r="I46" s="7" t="s">
        <x:v>1572</x:v>
      </x:c>
      <x:c r="J46" s="7" t="s">
        <x:v>1536</x:v>
      </x:c>
      <x:c r="K46" s="7" t="s">
        <x:v>1565</x:v>
      </x:c>
      <x:c r="L46" s="10" t="s">
        <x:v>1618</x:v>
      </x:c>
      <x:c r="M46" s="7" t="s">
        <x:v>53</x:v>
      </x:c>
      <x:c r="N46" s="7" t="s">
        <x:v>1619</x:v>
      </x:c>
      <x:c r="O46" s="7" t="s">
        <x:v>1510</x:v>
      </x:c>
      <x:c r="P46" s="7" t="s">
        <x:v>53</x:v>
      </x:c>
      <x:c r="Q46" s="7" t="s">
        <x:v>53</x:v>
      </x:c>
      <x:c r="R46" s="7" t="s">
        <x:v>53</x:v>
      </x:c>
      <x:c r="S46" s="7" t="s">
        <x:v>1488</x:v>
      </x:c>
      <x:c r="T46" s="7" t="s">
        <x:v>1488</x:v>
      </x:c>
      <x:c r="U46" s="7" t="s">
        <x:v>1489</x:v>
      </x:c>
      <x:c r="V46" s="7" t="s">
        <x:v>1489</x:v>
      </x:c>
      <x:c r="W46" s="7" t="s">
        <x:v>53</x:v>
      </x:c>
      <x:c r="X46" s="7" t="s">
        <x:v>1490</x:v>
      </x:c>
      <x:c r="Y46" s="7" t="s">
        <x:v>53</x:v>
      </x:c>
      <x:c r="Z46" s="7" t="s">
        <x:v>53</x:v>
      </x:c>
      <x:c r="AA46" s="7" t="s">
        <x:v>53</x:v>
      </x:c>
      <x:c r="AB46" s="7" t="s">
        <x:v>53</x:v>
      </x:c>
      <x:c r="AC46" s="7" t="s">
        <x:v>1606</x:v>
      </x:c>
      <x:c r="AD46" s="7" t="s">
        <x:v>1607</x:v>
      </x:c>
      <x:c r="AE46" s="7" t="s">
        <x:v>53</x:v>
      </x:c>
      <x:c r="AF46" s="7" t="s">
        <x:v>53</x:v>
      </x:c>
      <x:c r="AG46" s="7" t="s">
        <x:v>53</x:v>
      </x:c>
      <x:c r="AH46" s="7" t="s">
        <x:v>53</x:v>
      </x:c>
      <x:c r="AI46" s="7" t="s">
        <x:v>53</x:v>
      </x:c>
      <x:c r="AJ46" s="7" t="s">
        <x:v>1228</x:v>
      </x:c>
      <x:c r="AK46" s="7" t="s">
        <x:v>1491</x:v>
      </x:c>
      <x:c r="AL46" s="7" t="s">
        <x:v>1492</x:v>
      </x:c>
    </x:row>
    <x:row r="47" ht="51.75" hidden="0" customHeight="1">
      <x:c r="A47" s="7" t="s">
        <x:v>456</x:v>
      </x:c>
      <x:c r="B47" s="7" t="s">
        <x:v>452</x:v>
      </x:c>
      <x:c r="C47" s="7" t="s">
        <x:v>454</x:v>
      </x:c>
      <x:c r="D47" s="7" t="s">
        <x:v>1487</x:v>
      </x:c>
      <x:c r="E47" s="7" t="s">
        <x:v>441</x:v>
      </x:c>
      <x:c r="F47" s="7" t="s">
        <x:v>455</x:v>
      </x:c>
      <x:c r="G47" s="7" t="str">
        <x:v>45 - 60 °C</x:v>
      </x:c>
      <x:c r="H47" s="7" t="s">
        <x:v>53</x:v>
      </x:c>
      <x:c r="I47" s="7" t="s">
        <x:v>1620</x:v>
      </x:c>
      <x:c r="J47" s="7" t="s">
        <x:v>1507</x:v>
      </x:c>
      <x:c r="K47" s="7" t="s">
        <x:v>1570</x:v>
      </x:c>
      <x:c r="L47" s="7" t="s">
        <x:v>1512</x:v>
      </x:c>
      <x:c r="M47" s="7" t="s">
        <x:v>53</x:v>
      </x:c>
      <x:c r="N47" s="7" t="s">
        <x:v>1621</x:v>
      </x:c>
      <x:c r="O47" s="7" t="s">
        <x:v>1510</x:v>
      </x:c>
      <x:c r="P47" s="7" t="s">
        <x:v>53</x:v>
      </x:c>
      <x:c r="Q47" s="7" t="s">
        <x:v>1532</x:v>
      </x:c>
      <x:c r="R47" s="7" t="s">
        <x:v>53</x:v>
      </x:c>
      <x:c r="S47" s="7" t="s">
        <x:v>1488</x:v>
      </x:c>
      <x:c r="T47" s="7" t="s">
        <x:v>1488</x:v>
      </x:c>
      <x:c r="U47" s="7" t="s">
        <x:v>1489</x:v>
      </x:c>
      <x:c r="V47" s="7" t="s">
        <x:v>1489</x:v>
      </x:c>
      <x:c r="W47" s="7" t="s">
        <x:v>53</x:v>
      </x:c>
      <x:c r="X47" s="7" t="s">
        <x:v>1490</x:v>
      </x:c>
      <x:c r="Y47" s="7" t="s">
        <x:v>53</x:v>
      </x:c>
      <x:c r="Z47" s="7" t="s">
        <x:v>53</x:v>
      </x:c>
      <x:c r="AA47" s="7" t="s">
        <x:v>53</x:v>
      </x:c>
      <x:c r="AB47" s="7" t="s">
        <x:v>53</x:v>
      </x:c>
      <x:c r="AC47" s="7" t="s">
        <x:v>53</x:v>
      </x:c>
      <x:c r="AD47" s="7" t="s">
        <x:v>53</x:v>
      </x:c>
      <x:c r="AE47" s="7" t="s">
        <x:v>53</x:v>
      </x:c>
      <x:c r="AF47" s="7" t="s">
        <x:v>53</x:v>
      </x:c>
      <x:c r="AG47" s="7" t="s">
        <x:v>53</x:v>
      </x:c>
      <x:c r="AH47" s="7" t="s">
        <x:v>53</x:v>
      </x:c>
      <x:c r="AI47" s="7" t="s">
        <x:v>53</x:v>
      </x:c>
      <x:c r="AJ47" s="7" t="s">
        <x:v>1229</x:v>
      </x:c>
      <x:c r="AK47" s="7" t="s">
        <x:v>1491</x:v>
      </x:c>
      <x:c r="AL47" s="7" t="s">
        <x:v>1492</x:v>
      </x:c>
    </x:row>
    <x:row r="48" ht="79.5" hidden="0" customHeight="1">
      <x:c r="A48" s="7" t="s">
        <x:v>1622</x:v>
      </x:c>
      <x:c r="B48" s="7" t="s">
        <x:v>463</x:v>
      </x:c>
      <x:c r="C48" s="7" t="s">
        <x:v>465</x:v>
      </x:c>
      <x:c r="D48" s="7" t="s">
        <x:v>1487</x:v>
      </x:c>
      <x:c r="E48" s="7" t="s">
        <x:v>53</x:v>
      </x:c>
      <x:c r="F48" s="7" t="s">
        <x:v>53</x:v>
      </x:c>
      <x:c r="G48" s="7" t="s">
        <x:v>53</x:v>
      </x:c>
      <x:c r="H48" s="7" t="s">
        <x:v>53</x:v>
      </x:c>
      <x:c r="I48" s="7" t="s">
        <x:v>53</x:v>
      </x:c>
      <x:c r="J48" s="7" t="s">
        <x:v>53</x:v>
      </x:c>
      <x:c r="K48" s="7" t="s">
        <x:v>53</x:v>
      </x:c>
      <x:c r="L48" s="7" t="s">
        <x:v>53</x:v>
      </x:c>
      <x:c r="M48" s="7" t="s">
        <x:v>53</x:v>
      </x:c>
      <x:c r="N48" s="7" t="s">
        <x:v>53</x:v>
      </x:c>
      <x:c r="O48" s="7" t="s">
        <x:v>53</x:v>
      </x:c>
      <x:c r="P48" s="7" t="s">
        <x:v>53</x:v>
      </x:c>
      <x:c r="Q48" s="7" t="s">
        <x:v>53</x:v>
      </x:c>
      <x:c r="R48" s="7" t="s">
        <x:v>1545</x:v>
      </x:c>
      <x:c r="S48" s="7" t="s">
        <x:v>1488</x:v>
      </x:c>
      <x:c r="T48" s="7" t="s">
        <x:v>1488</x:v>
      </x:c>
      <x:c r="U48" s="7" t="s">
        <x:v>1489</x:v>
      </x:c>
      <x:c r="V48" s="7" t="s">
        <x:v>1489</x:v>
      </x:c>
      <x:c r="W48" s="7" t="s">
        <x:v>53</x:v>
      </x:c>
      <x:c r="X48" s="7" t="s">
        <x:v>1490</x:v>
      </x:c>
      <x:c r="Y48" s="7" t="s">
        <x:v>53</x:v>
      </x:c>
      <x:c r="Z48" s="7" t="s">
        <x:v>53</x:v>
      </x:c>
      <x:c r="AA48" s="7" t="s">
        <x:v>53</x:v>
      </x:c>
      <x:c r="AB48" s="7" t="s">
        <x:v>53</x:v>
      </x:c>
      <x:c r="AC48" s="7" t="s">
        <x:v>53</x:v>
      </x:c>
      <x:c r="AD48" s="7" t="s">
        <x:v>53</x:v>
      </x:c>
      <x:c r="AE48" s="7" t="s">
        <x:v>53</x:v>
      </x:c>
      <x:c r="AF48" s="7" t="s">
        <x:v>53</x:v>
      </x:c>
      <x:c r="AG48" s="7" t="s">
        <x:v>53</x:v>
      </x:c>
      <x:c r="AH48" s="7" t="s">
        <x:v>53</x:v>
      </x:c>
      <x:c r="AI48" s="7" t="s">
        <x:v>53</x:v>
      </x:c>
      <x:c r="AJ48" s="7" t="s">
        <x:v>1231</x:v>
      </x:c>
      <x:c r="AK48" s="7" t="s">
        <x:v>1491</x:v>
      </x:c>
      <x:c r="AL48" s="7" t="s">
        <x:v>1492</x:v>
      </x:c>
    </x:row>
    <x:row r="49" ht="79.5" hidden="0" customHeight="1">
      <x:c r="A49" s="7" t="s">
        <x:v>1623</x:v>
      </x:c>
      <x:c r="B49" s="7" t="s">
        <x:v>463</x:v>
      </x:c>
      <x:c r="C49" s="7" t="s">
        <x:v>1233</x:v>
      </x:c>
      <x:c r="D49" s="7" t="s">
        <x:v>1487</x:v>
      </x:c>
      <x:c r="E49" s="7" t="s">
        <x:v>1624</x:v>
      </x:c>
      <x:c r="F49" s="7" t="s">
        <x:v>1625</x:v>
      </x:c>
      <x:c r="G49" s="7" t="s">
        <x:v>53</x:v>
      </x:c>
      <x:c r="H49" s="7" t="s">
        <x:v>1626</x:v>
      </x:c>
      <x:c r="I49" s="7" t="s">
        <x:v>53</x:v>
      </x:c>
      <x:c r="J49" s="7" t="s">
        <x:v>53</x:v>
      </x:c>
      <x:c r="K49" s="7" t="s">
        <x:v>1613</x:v>
      </x:c>
      <x:c r="L49" s="7" t="s">
        <x:v>53</x:v>
      </x:c>
      <x:c r="M49" s="7" t="s">
        <x:v>53</x:v>
      </x:c>
      <x:c r="N49" s="7" t="s">
        <x:v>53</x:v>
      </x:c>
      <x:c r="O49" s="7" t="s">
        <x:v>53</x:v>
      </x:c>
      <x:c r="P49" s="7" t="s">
        <x:v>1627</x:v>
      </x:c>
      <x:c r="Q49" s="7" t="s">
        <x:v>53</x:v>
      </x:c>
      <x:c r="R49" s="7" t="s">
        <x:v>1545</x:v>
      </x:c>
      <x:c r="S49" s="7" t="s">
        <x:v>1488</x:v>
      </x:c>
      <x:c r="T49" s="7" t="s">
        <x:v>1488</x:v>
      </x:c>
      <x:c r="U49" s="7" t="s">
        <x:v>1489</x:v>
      </x:c>
      <x:c r="V49" s="7" t="s">
        <x:v>1489</x:v>
      </x:c>
      <x:c r="W49" s="7" t="s">
        <x:v>53</x:v>
      </x:c>
      <x:c r="X49" s="7" t="s">
        <x:v>1490</x:v>
      </x:c>
      <x:c r="Y49" s="7" t="s">
        <x:v>53</x:v>
      </x:c>
      <x:c r="Z49" s="7" t="s">
        <x:v>53</x:v>
      </x:c>
      <x:c r="AA49" s="7" t="s">
        <x:v>53</x:v>
      </x:c>
      <x:c r="AB49" s="7" t="s">
        <x:v>53</x:v>
      </x:c>
      <x:c r="AC49" s="7" t="s">
        <x:v>53</x:v>
      </x:c>
      <x:c r="AD49" s="7" t="s">
        <x:v>53</x:v>
      </x:c>
      <x:c r="AE49" s="7" t="s">
        <x:v>53</x:v>
      </x:c>
      <x:c r="AF49" s="7" t="s">
        <x:v>53</x:v>
      </x:c>
      <x:c r="AG49" s="7" t="s">
        <x:v>53</x:v>
      </x:c>
      <x:c r="AH49" s="7" t="s">
        <x:v>53</x:v>
      </x:c>
      <x:c r="AI49" s="7" t="s">
        <x:v>53</x:v>
      </x:c>
      <x:c r="AJ49" s="7" t="s">
        <x:v>1235</x:v>
      </x:c>
      <x:c r="AK49" s="7" t="s">
        <x:v>1491</x:v>
      </x:c>
      <x:c r="AL49" s="7" t="s">
        <x:v>1492</x:v>
      </x:c>
    </x:row>
    <x:row r="50" ht="79.5" hidden="0" customHeight="1">
      <x:c r="A50" s="7" t="s">
        <x:v>1628</x:v>
      </x:c>
      <x:c r="B50" s="7" t="s">
        <x:v>463</x:v>
      </x:c>
      <x:c r="C50" s="7" t="s">
        <x:v>1236</x:v>
      </x:c>
      <x:c r="D50" s="7" t="s">
        <x:v>1487</x:v>
      </x:c>
      <x:c r="E50" s="7" t="s">
        <x:v>53</x:v>
      </x:c>
      <x:c r="F50" s="7" t="s">
        <x:v>53</x:v>
      </x:c>
      <x:c r="G50" s="7" t="s">
        <x:v>53</x:v>
      </x:c>
      <x:c r="H50" s="7" t="s">
        <x:v>53</x:v>
      </x:c>
      <x:c r="I50" s="7" t="s">
        <x:v>53</x:v>
      </x:c>
      <x:c r="J50" s="7" t="s">
        <x:v>53</x:v>
      </x:c>
      <x:c r="K50" s="7" t="s">
        <x:v>53</x:v>
      </x:c>
      <x:c r="L50" s="7" t="s">
        <x:v>53</x:v>
      </x:c>
      <x:c r="M50" s="7" t="s">
        <x:v>53</x:v>
      </x:c>
      <x:c r="N50" s="7" t="s">
        <x:v>53</x:v>
      </x:c>
      <x:c r="O50" s="7" t="s">
        <x:v>53</x:v>
      </x:c>
      <x:c r="P50" s="7" t="s">
        <x:v>53</x:v>
      </x:c>
      <x:c r="Q50" s="7" t="s">
        <x:v>53</x:v>
      </x:c>
      <x:c r="R50" s="7" t="s">
        <x:v>1545</x:v>
      </x:c>
      <x:c r="S50" s="7" t="s">
        <x:v>1488</x:v>
      </x:c>
      <x:c r="T50" s="7" t="s">
        <x:v>1488</x:v>
      </x:c>
      <x:c r="U50" s="7" t="s">
        <x:v>1489</x:v>
      </x:c>
      <x:c r="V50" s="7" t="s">
        <x:v>1489</x:v>
      </x:c>
      <x:c r="W50" s="7" t="s">
        <x:v>53</x:v>
      </x:c>
      <x:c r="X50" s="7" t="s">
        <x:v>1490</x:v>
      </x:c>
      <x:c r="Y50" s="7" t="s">
        <x:v>53</x:v>
      </x:c>
      <x:c r="Z50" s="7" t="s">
        <x:v>53</x:v>
      </x:c>
      <x:c r="AA50" s="7" t="s">
        <x:v>53</x:v>
      </x:c>
      <x:c r="AB50" s="7" t="s">
        <x:v>53</x:v>
      </x:c>
      <x:c r="AC50" s="7" t="s">
        <x:v>53</x:v>
      </x:c>
      <x:c r="AD50" s="7" t="s">
        <x:v>53</x:v>
      </x:c>
      <x:c r="AE50" s="7" t="s">
        <x:v>53</x:v>
      </x:c>
      <x:c r="AF50" s="7" t="s">
        <x:v>53</x:v>
      </x:c>
      <x:c r="AG50" s="7" t="s">
        <x:v>53</x:v>
      </x:c>
      <x:c r="AH50" s="7" t="s">
        <x:v>53</x:v>
      </x:c>
      <x:c r="AI50" s="7" t="s">
        <x:v>53</x:v>
      </x:c>
      <x:c r="AJ50" s="7" t="s">
        <x:v>1238</x:v>
      </x:c>
      <x:c r="AK50" s="7" t="s">
        <x:v>1491</x:v>
      </x:c>
      <x:c r="AL50" s="7" t="s">
        <x:v>1492</x:v>
      </x:c>
    </x:row>
    <x:row r="51" ht="79.5" hidden="0" customHeight="1">
      <x:c r="A51" s="7" t="s">
        <x:v>477</x:v>
      </x:c>
      <x:c r="B51" s="7" t="s">
        <x:v>473</x:v>
      </x:c>
      <x:c r="C51" s="7" t="s">
        <x:v>475</x:v>
      </x:c>
      <x:c r="D51" s="7" t="s">
        <x:v>1487</x:v>
      </x:c>
      <x:c r="E51" s="7" t="s">
        <x:v>53</x:v>
      </x:c>
      <x:c r="F51" s="7" t="s">
        <x:v>476</x:v>
      </x:c>
      <x:c r="G51" s="7" t="s">
        <x:v>53</x:v>
      </x:c>
      <x:c r="H51" s="7" t="s">
        <x:v>53</x:v>
      </x:c>
      <x:c r="I51" s="7" t="s">
        <x:v>53</x:v>
      </x:c>
      <x:c r="J51" s="7" t="s">
        <x:v>53</x:v>
      </x:c>
      <x:c r="K51" s="7" t="s">
        <x:v>53</x:v>
      </x:c>
      <x:c r="L51" s="7" t="s">
        <x:v>53</x:v>
      </x:c>
      <x:c r="M51" s="7" t="s">
        <x:v>53</x:v>
      </x:c>
      <x:c r="N51" s="7" t="s">
        <x:v>53</x:v>
      </x:c>
      <x:c r="O51" s="7" t="s">
        <x:v>53</x:v>
      </x:c>
      <x:c r="P51" s="7" t="s">
        <x:v>53</x:v>
      </x:c>
      <x:c r="Q51" s="7" t="s">
        <x:v>53</x:v>
      </x:c>
      <x:c r="R51" s="7" t="s">
        <x:v>1545</x:v>
      </x:c>
      <x:c r="S51" s="7" t="s">
        <x:v>1488</x:v>
      </x:c>
      <x:c r="T51" s="7" t="s">
        <x:v>1488</x:v>
      </x:c>
      <x:c r="U51" s="7" t="s">
        <x:v>1489</x:v>
      </x:c>
      <x:c r="V51" s="7" t="s">
        <x:v>1489</x:v>
      </x:c>
      <x:c r="W51" s="7" t="s">
        <x:v>53</x:v>
      </x:c>
      <x:c r="X51" s="7" t="s">
        <x:v>1490</x:v>
      </x:c>
      <x:c r="Y51" s="7" t="s">
        <x:v>53</x:v>
      </x:c>
      <x:c r="Z51" s="7" t="s">
        <x:v>53</x:v>
      </x:c>
      <x:c r="AA51" s="7" t="s">
        <x:v>53</x:v>
      </x:c>
      <x:c r="AB51" s="7" t="s">
        <x:v>53</x:v>
      </x:c>
      <x:c r="AC51" s="7" t="s">
        <x:v>53</x:v>
      </x:c>
      <x:c r="AD51" s="7" t="s">
        <x:v>53</x:v>
      </x:c>
      <x:c r="AE51" s="7" t="s">
        <x:v>53</x:v>
      </x:c>
      <x:c r="AF51" s="7" t="s">
        <x:v>53</x:v>
      </x:c>
      <x:c r="AG51" s="7" t="s">
        <x:v>53</x:v>
      </x:c>
      <x:c r="AH51" s="7" t="s">
        <x:v>53</x:v>
      </x:c>
      <x:c r="AI51" s="7" t="s">
        <x:v>53</x:v>
      </x:c>
      <x:c r="AJ51" s="7" t="s">
        <x:v>1241</x:v>
      </x:c>
      <x:c r="AK51" s="7" t="s">
        <x:v>1491</x:v>
      </x:c>
      <x:c r="AL51" s="7" t="s">
        <x:v>1492</x:v>
      </x:c>
    </x:row>
    <x:row r="52" ht="51.75" hidden="0" customHeight="1">
      <x:c r="A52" s="7" t="s">
        <x:v>1629</x:v>
      </x:c>
      <x:c r="B52" s="7" t="s">
        <x:v>481</x:v>
      </x:c>
      <x:c r="C52" s="7" t="s">
        <x:v>484</x:v>
      </x:c>
      <x:c r="D52" s="7" t="s">
        <x:v>1487</x:v>
      </x:c>
      <x:c r="E52" s="7" t="s">
        <x:v>485</x:v>
      </x:c>
      <x:c r="F52" s="7" t="s">
        <x:v>486</x:v>
      </x:c>
      <x:c r="G52" s="7" t="s">
        <x:v>487</x:v>
      </x:c>
      <x:c r="H52" s="7" t="s">
        <x:v>53</x:v>
      </x:c>
      <x:c r="I52" s="7" t="s">
        <x:v>1630</x:v>
      </x:c>
      <x:c r="J52" s="7" t="s">
        <x:v>1631</x:v>
      </x:c>
      <x:c r="K52" s="7" t="s">
        <x:v>1547</x:v>
      </x:c>
      <x:c r="L52" s="7" t="s">
        <x:v>1632</x:v>
      </x:c>
      <x:c r="M52" s="7" t="s">
        <x:v>53</x:v>
      </x:c>
      <x:c r="N52" s="7" t="s">
        <x:v>53</x:v>
      </x:c>
      <x:c r="O52" s="7" t="s">
        <x:v>53</x:v>
      </x:c>
      <x:c r="P52" s="7" t="s">
        <x:v>53</x:v>
      </x:c>
      <x:c r="Q52" s="7" t="s">
        <x:v>53</x:v>
      </x:c>
      <x:c r="R52" s="7" t="s">
        <x:v>53</x:v>
      </x:c>
      <x:c r="S52" s="7" t="s">
        <x:v>1488</x:v>
      </x:c>
      <x:c r="T52" s="7" t="s">
        <x:v>1488</x:v>
      </x:c>
      <x:c r="U52" s="7" t="s">
        <x:v>1489</x:v>
      </x:c>
      <x:c r="V52" s="7" t="s">
        <x:v>1489</x:v>
      </x:c>
      <x:c r="W52" s="7" t="s">
        <x:v>53</x:v>
      </x:c>
      <x:c r="X52" s="7" t="s">
        <x:v>1490</x:v>
      </x:c>
      <x:c r="Y52" s="7" t="s">
        <x:v>1499</x:v>
      </x:c>
      <x:c r="Z52" s="7" t="s">
        <x:v>53</x:v>
      </x:c>
      <x:c r="AA52" s="7" t="s">
        <x:v>53</x:v>
      </x:c>
      <x:c r="AB52" s="7" t="s">
        <x:v>53</x:v>
      </x:c>
      <x:c r="AC52" s="7" t="s">
        <x:v>53</x:v>
      </x:c>
      <x:c r="AD52" s="7" t="s">
        <x:v>1633</x:v>
      </x:c>
      <x:c r="AE52" s="7" t="s">
        <x:v>53</x:v>
      </x:c>
      <x:c r="AF52" s="7" t="s">
        <x:v>53</x:v>
      </x:c>
      <x:c r="AG52" s="7" t="s">
        <x:v>53</x:v>
      </x:c>
      <x:c r="AH52" s="7" t="s">
        <x:v>53</x:v>
      </x:c>
      <x:c r="AI52" s="7" t="s">
        <x:v>53</x:v>
      </x:c>
      <x:c r="AJ52" s="7" t="s">
        <x:v>1243</x:v>
      </x:c>
      <x:c r="AK52" s="7" t="s">
        <x:v>1491</x:v>
      </x:c>
      <x:c r="AL52" s="7" t="s">
        <x:v>1492</x:v>
      </x:c>
    </x:row>
    <x:row r="53" ht="51.75" hidden="0" customHeight="1">
      <x:c r="A53" s="7" t="s">
        <x:v>1634</x:v>
      </x:c>
      <x:c r="B53" s="7" t="s">
        <x:v>481</x:v>
      </x:c>
      <x:c r="C53" s="7" t="s">
        <x:v>1244</x:v>
      </x:c>
      <x:c r="D53" s="7" t="s">
        <x:v>1487</x:v>
      </x:c>
      <x:c r="E53" s="7" t="s">
        <x:v>1599</x:v>
      </x:c>
      <x:c r="F53" s="7" t="s">
        <x:v>1635</x:v>
      </x:c>
      <x:c r="G53" s="7" t="s">
        <x:v>1636</x:v>
      </x:c>
      <x:c r="H53" s="7" t="s">
        <x:v>53</x:v>
      </x:c>
      <x:c r="I53" s="7" t="s">
        <x:v>53</x:v>
      </x:c>
      <x:c r="J53" s="7" t="s">
        <x:v>53</x:v>
      </x:c>
      <x:c r="K53" s="7" t="s">
        <x:v>1504</x:v>
      </x:c>
      <x:c r="L53" s="7" t="s">
        <x:v>1637</x:v>
      </x:c>
      <x:c r="M53" s="7" t="s">
        <x:v>53</x:v>
      </x:c>
      <x:c r="N53" s="7" t="s">
        <x:v>53</x:v>
      </x:c>
      <x:c r="O53" s="7" t="s">
        <x:v>53</x:v>
      </x:c>
      <x:c r="P53" s="7" t="s">
        <x:v>53</x:v>
      </x:c>
      <x:c r="Q53" s="7" t="s">
        <x:v>53</x:v>
      </x:c>
      <x:c r="R53" s="7" t="s">
        <x:v>53</x:v>
      </x:c>
      <x:c r="S53" s="7" t="s">
        <x:v>1488</x:v>
      </x:c>
      <x:c r="T53" s="7" t="s">
        <x:v>1488</x:v>
      </x:c>
      <x:c r="U53" s="7" t="s">
        <x:v>1489</x:v>
      </x:c>
      <x:c r="V53" s="7" t="s">
        <x:v>1489</x:v>
      </x:c>
      <x:c r="W53" s="7" t="s">
        <x:v>53</x:v>
      </x:c>
      <x:c r="X53" s="7" t="s">
        <x:v>1490</x:v>
      </x:c>
      <x:c r="Y53" s="7" t="s">
        <x:v>53</x:v>
      </x:c>
      <x:c r="Z53" s="7" t="s">
        <x:v>53</x:v>
      </x:c>
      <x:c r="AA53" s="7" t="s">
        <x:v>53</x:v>
      </x:c>
      <x:c r="AB53" s="7" t="s">
        <x:v>53</x:v>
      </x:c>
      <x:c r="AC53" s="7" t="s">
        <x:v>53</x:v>
      </x:c>
      <x:c r="AD53" s="7" t="s">
        <x:v>53</x:v>
      </x:c>
      <x:c r="AE53" s="7" t="s">
        <x:v>53</x:v>
      </x:c>
      <x:c r="AF53" s="7" t="s">
        <x:v>53</x:v>
      </x:c>
      <x:c r="AG53" s="7" t="s">
        <x:v>53</x:v>
      </x:c>
      <x:c r="AH53" s="7" t="s">
        <x:v>53</x:v>
      </x:c>
      <x:c r="AI53" s="7" t="s">
        <x:v>53</x:v>
      </x:c>
      <x:c r="AJ53" s="7" t="s">
        <x:v>1245</x:v>
      </x:c>
      <x:c r="AK53" s="7" t="s">
        <x:v>1491</x:v>
      </x:c>
      <x:c r="AL53" s="7" t="s">
        <x:v>1492</x:v>
      </x:c>
    </x:row>
    <x:row r="54" ht="51.75" hidden="0" customHeight="1">
      <x:c r="A54" s="7" t="s">
        <x:v>501</x:v>
      </x:c>
      <x:c r="B54" s="7" t="s">
        <x:v>495</x:v>
      </x:c>
      <x:c r="C54" s="7" t="s">
        <x:v>497</x:v>
      </x:c>
      <x:c r="D54" s="7" t="s">
        <x:v>1487</x:v>
      </x:c>
      <x:c r="E54" s="7" t="s">
        <x:v>498</x:v>
      </x:c>
      <x:c r="F54" s="7" t="s">
        <x:v>499</x:v>
      </x:c>
      <x:c r="G54" s="7" t="s">
        <x:v>500</x:v>
      </x:c>
      <x:c r="H54" s="7" t="s">
        <x:v>53</x:v>
      </x:c>
      <x:c r="I54" s="7" t="s">
        <x:v>1638</x:v>
      </x:c>
      <x:c r="J54" s="7" t="s">
        <x:v>1507</x:v>
      </x:c>
      <x:c r="K54" s="7" t="s">
        <x:v>1508</x:v>
      </x:c>
      <x:c r="L54" s="10" t="s">
        <x:v>1639</x:v>
      </x:c>
      <x:c r="M54" s="7" t="s">
        <x:v>53</x:v>
      </x:c>
      <x:c r="N54" s="7" t="s">
        <x:v>1640</x:v>
      </x:c>
      <x:c r="O54" s="7" t="s">
        <x:v>1518</x:v>
      </x:c>
      <x:c r="P54" s="7" t="s">
        <x:v>53</x:v>
      </x:c>
      <x:c r="Q54" s="7" t="s">
        <x:v>1641</x:v>
      </x:c>
      <x:c r="R54" s="7" t="s">
        <x:v>53</x:v>
      </x:c>
      <x:c r="S54" s="7" t="s">
        <x:v>1488</x:v>
      </x:c>
      <x:c r="T54" s="7" t="s">
        <x:v>1488</x:v>
      </x:c>
      <x:c r="U54" s="7" t="s">
        <x:v>1489</x:v>
      </x:c>
      <x:c r="V54" s="7" t="s">
        <x:v>1489</x:v>
      </x:c>
      <x:c r="W54" s="7" t="s">
        <x:v>53</x:v>
      </x:c>
      <x:c r="X54" s="7" t="s">
        <x:v>1490</x:v>
      </x:c>
      <x:c r="Y54" s="7" t="s">
        <x:v>53</x:v>
      </x:c>
      <x:c r="Z54" s="7" t="s">
        <x:v>53</x:v>
      </x:c>
      <x:c r="AA54" s="7" t="s">
        <x:v>53</x:v>
      </x:c>
      <x:c r="AB54" s="7" t="s">
        <x:v>53</x:v>
      </x:c>
      <x:c r="AC54" s="7" t="s">
        <x:v>1642</x:v>
      </x:c>
      <x:c r="AD54" s="7" t="s">
        <x:v>1611</x:v>
      </x:c>
      <x:c r="AE54" s="7" t="s">
        <x:v>53</x:v>
      </x:c>
      <x:c r="AF54" s="7" t="s">
        <x:v>53</x:v>
      </x:c>
      <x:c r="AG54" s="7" t="s">
        <x:v>53</x:v>
      </x:c>
      <x:c r="AH54" s="7" t="s">
        <x:v>53</x:v>
      </x:c>
      <x:c r="AI54" s="7" t="s">
        <x:v>53</x:v>
      </x:c>
      <x:c r="AJ54" s="7" t="s">
        <x:v>1246</x:v>
      </x:c>
      <x:c r="AK54" s="7" t="s">
        <x:v>1491</x:v>
      </x:c>
      <x:c r="AL54" s="7" t="s">
        <x:v>1492</x:v>
      </x:c>
    </x:row>
    <x:row r="55" ht="51.75" hidden="0" customHeight="1">
      <x:c r="A55" s="7" t="s">
        <x:v>512</x:v>
      </x:c>
      <x:c r="B55" s="7" t="s">
        <x:v>507</x:v>
      </x:c>
      <x:c r="C55" s="7" t="s">
        <x:v>509</x:v>
      </x:c>
      <x:c r="D55" s="7" t="s">
        <x:v>1487</x:v>
      </x:c>
      <x:c r="E55" s="7" t="s">
        <x:v>510</x:v>
      </x:c>
      <x:c r="F55" s="7" t="s">
        <x:v>511</x:v>
      </x:c>
      <x:c r="G55" s="7" t="s">
        <x:v>114</x:v>
      </x:c>
      <x:c r="H55" s="7" t="s">
        <x:v>53</x:v>
      </x:c>
      <x:c r="I55" s="7" t="s">
        <x:v>1643</x:v>
      </x:c>
      <x:c r="J55" s="7" t="s">
        <x:v>1507</x:v>
      </x:c>
      <x:c r="K55" s="7" t="s">
        <x:v>1508</x:v>
      </x:c>
      <x:c r="L55" s="7" t="s">
        <x:v>1543</x:v>
      </x:c>
      <x:c r="M55" s="7" t="s">
        <x:v>53</x:v>
      </x:c>
      <x:c r="N55" s="7" t="s">
        <x:v>1640</x:v>
      </x:c>
      <x:c r="O55" s="7" t="s">
        <x:v>1510</x:v>
      </x:c>
      <x:c r="P55" s="7" t="s">
        <x:v>53</x:v>
      </x:c>
      <x:c r="Q55" s="7" t="s">
        <x:v>1535</x:v>
      </x:c>
      <x:c r="R55" s="7" t="s">
        <x:v>53</x:v>
      </x:c>
      <x:c r="S55" s="7" t="s">
        <x:v>1644</x:v>
      </x:c>
      <x:c r="T55" s="7" t="s">
        <x:v>1645</x:v>
      </x:c>
      <x:c r="U55" s="7" t="s">
        <x:v>1646</x:v>
      </x:c>
      <x:c r="V55" s="7" t="s">
        <x:v>1647</x:v>
      </x:c>
      <x:c r="W55" s="7" t="s">
        <x:v>53</x:v>
      </x:c>
      <x:c r="X55" s="7" t="s">
        <x:v>1490</x:v>
      </x:c>
      <x:c r="Y55" s="7" t="s">
        <x:v>53</x:v>
      </x:c>
      <x:c r="Z55" s="7" t="s">
        <x:v>53</x:v>
      </x:c>
      <x:c r="AA55" s="7" t="s">
        <x:v>53</x:v>
      </x:c>
      <x:c r="AB55" s="7" t="s">
        <x:v>53</x:v>
      </x:c>
      <x:c r="AC55" s="7" t="s">
        <x:v>53</x:v>
      </x:c>
      <x:c r="AD55" s="7" t="s">
        <x:v>53</x:v>
      </x:c>
      <x:c r="AE55" s="7" t="s">
        <x:v>53</x:v>
      </x:c>
      <x:c r="AF55" s="7" t="s">
        <x:v>53</x:v>
      </x:c>
      <x:c r="AG55" s="7" t="s">
        <x:v>53</x:v>
      </x:c>
      <x:c r="AH55" s="7" t="s">
        <x:v>53</x:v>
      </x:c>
      <x:c r="AI55" s="7" t="s">
        <x:v>53</x:v>
      </x:c>
      <x:c r="AJ55" s="7" t="s">
        <x:v>1248</x:v>
      </x:c>
      <x:c r="AK55" s="7" t="s">
        <x:v>1491</x:v>
      </x:c>
      <x:c r="AL55" s="7" t="s">
        <x:v>1492</x:v>
      </x:c>
    </x:row>
    <x:row r="56" ht="51.75" hidden="0" customHeight="1">
      <x:c r="A56" s="7" t="s">
        <x:v>523</x:v>
      </x:c>
      <x:c r="B56" s="7" t="s">
        <x:v>519</x:v>
      </x:c>
      <x:c r="C56" s="7" t="s">
        <x:v>521</x:v>
      </x:c>
      <x:c r="D56" s="7" t="s">
        <x:v>1487</x:v>
      </x:c>
      <x:c r="E56" s="7" t="s">
        <x:v>522</x:v>
      </x:c>
      <x:c r="F56" s="7" t="s">
        <x:v>499</x:v>
      </x:c>
      <x:c r="G56" s="7" t="s">
        <x:v>163</x:v>
      </x:c>
      <x:c r="H56" s="7" t="s">
        <x:v>53</x:v>
      </x:c>
      <x:c r="I56" s="7" t="s">
        <x:v>1569</x:v>
      </x:c>
      <x:c r="J56" s="7" t="s">
        <x:v>53</x:v>
      </x:c>
      <x:c r="K56" s="7" t="s">
        <x:v>1508</x:v>
      </x:c>
      <x:c r="L56" s="7" t="s">
        <x:v>1543</x:v>
      </x:c>
      <x:c r="M56" s="7" t="s">
        <x:v>53</x:v>
      </x:c>
      <x:c r="N56" s="7" t="s">
        <x:v>1648</x:v>
      </x:c>
      <x:c r="O56" s="7" t="s">
        <x:v>1527</x:v>
      </x:c>
      <x:c r="P56" s="7" t="s">
        <x:v>53</x:v>
      </x:c>
      <x:c r="Q56" s="7" t="s">
        <x:v>1649</x:v>
      </x:c>
      <x:c r="R56" s="7" t="s">
        <x:v>53</x:v>
      </x:c>
      <x:c r="S56" s="7" t="s">
        <x:v>1644</x:v>
      </x:c>
      <x:c r="T56" s="7" t="s">
        <x:v>1645</x:v>
      </x:c>
      <x:c r="U56" s="7" t="s">
        <x:v>1646</x:v>
      </x:c>
      <x:c r="V56" s="7" t="s">
        <x:v>1647</x:v>
      </x:c>
      <x:c r="W56" s="7" t="s">
        <x:v>53</x:v>
      </x:c>
      <x:c r="X56" s="7" t="s">
        <x:v>1490</x:v>
      </x:c>
      <x:c r="Y56" s="7" t="s">
        <x:v>53</x:v>
      </x:c>
      <x:c r="Z56" s="7" t="s">
        <x:v>53</x:v>
      </x:c>
      <x:c r="AA56" s="7" t="s">
        <x:v>53</x:v>
      </x:c>
      <x:c r="AB56" s="7" t="s">
        <x:v>53</x:v>
      </x:c>
      <x:c r="AC56" s="7" t="s">
        <x:v>53</x:v>
      </x:c>
      <x:c r="AD56" s="7" t="s">
        <x:v>53</x:v>
      </x:c>
      <x:c r="AE56" s="7" t="s">
        <x:v>53</x:v>
      </x:c>
      <x:c r="AF56" s="7" t="s">
        <x:v>53</x:v>
      </x:c>
      <x:c r="AG56" s="7" t="s">
        <x:v>53</x:v>
      </x:c>
      <x:c r="AH56" s="7" t="s">
        <x:v>53</x:v>
      </x:c>
      <x:c r="AI56" s="7" t="s">
        <x:v>53</x:v>
      </x:c>
      <x:c r="AJ56" s="7" t="s">
        <x:v>1249</x:v>
      </x:c>
      <x:c r="AK56" s="7" t="s">
        <x:v>1491</x:v>
      </x:c>
      <x:c r="AL56" s="7" t="s">
        <x:v>1492</x:v>
      </x:c>
    </x:row>
    <x:row r="57" ht="51.75" hidden="0" customHeight="1">
      <x:c r="A57" s="7" t="s">
        <x:v>530</x:v>
      </x:c>
      <x:c r="B57" s="7" t="s">
        <x:v>527</x:v>
      </x:c>
      <x:c r="C57" s="7" t="s">
        <x:v>529</x:v>
      </x:c>
      <x:c r="D57" s="7" t="s">
        <x:v>1487</x:v>
      </x:c>
      <x:c r="E57" s="7" t="s">
        <x:v>522</x:v>
      </x:c>
      <x:c r="F57" s="7" t="s">
        <x:v>499</x:v>
      </x:c>
      <x:c r="G57" s="7" t="s">
        <x:v>163</x:v>
      </x:c>
      <x:c r="H57" s="7" t="s">
        <x:v>53</x:v>
      </x:c>
      <x:c r="I57" s="7" t="s">
        <x:v>1569</x:v>
      </x:c>
      <x:c r="J57" s="7" t="s">
        <x:v>53</x:v>
      </x:c>
      <x:c r="K57" s="7" t="s">
        <x:v>1508</x:v>
      </x:c>
      <x:c r="L57" s="7" t="s">
        <x:v>1650</x:v>
      </x:c>
      <x:c r="M57" s="7" t="s">
        <x:v>53</x:v>
      </x:c>
      <x:c r="N57" s="7" t="s">
        <x:v>1640</x:v>
      </x:c>
      <x:c r="O57" s="7" t="s">
        <x:v>1518</x:v>
      </x:c>
      <x:c r="P57" s="7" t="s">
        <x:v>53</x:v>
      </x:c>
      <x:c r="Q57" s="7" t="s">
        <x:v>1651</x:v>
      </x:c>
      <x:c r="R57" s="7" t="s">
        <x:v>53</x:v>
      </x:c>
      <x:c r="S57" s="7" t="s">
        <x:v>1644</x:v>
      </x:c>
      <x:c r="T57" s="7" t="s">
        <x:v>1645</x:v>
      </x:c>
      <x:c r="U57" s="7" t="s">
        <x:v>1646</x:v>
      </x:c>
      <x:c r="V57" s="7" t="s">
        <x:v>1647</x:v>
      </x:c>
      <x:c r="W57" s="7" t="s">
        <x:v>53</x:v>
      </x:c>
      <x:c r="X57" s="7" t="s">
        <x:v>1490</x:v>
      </x:c>
      <x:c r="Y57" s="7" t="s">
        <x:v>1508</x:v>
      </x:c>
      <x:c r="Z57" s="7" t="s">
        <x:v>53</x:v>
      </x:c>
      <x:c r="AA57" s="7" t="s">
        <x:v>53</x:v>
      </x:c>
      <x:c r="AB57" s="7" t="s">
        <x:v>53</x:v>
      </x:c>
      <x:c r="AC57" s="7" t="s">
        <x:v>1652</x:v>
      </x:c>
      <x:c r="AD57" s="7" t="s">
        <x:v>1653</x:v>
      </x:c>
      <x:c r="AE57" s="7" t="s">
        <x:v>53</x:v>
      </x:c>
      <x:c r="AF57" s="7" t="s">
        <x:v>53</x:v>
      </x:c>
      <x:c r="AG57" s="7" t="s">
        <x:v>53</x:v>
      </x:c>
      <x:c r="AH57" s="7" t="s">
        <x:v>53</x:v>
      </x:c>
      <x:c r="AI57" s="7" t="s">
        <x:v>53</x:v>
      </x:c>
      <x:c r="AJ57" s="7" t="s">
        <x:v>1250</x:v>
      </x:c>
      <x:c r="AK57" s="7" t="s">
        <x:v>1491</x:v>
      </x:c>
      <x:c r="AL57" s="7" t="s">
        <x:v>1492</x:v>
      </x:c>
    </x:row>
    <x:row r="58" ht="51.75" hidden="0" customHeight="1">
      <x:c r="A58" s="7" t="s">
        <x:v>538</x:v>
      </x:c>
      <x:c r="B58" s="7" t="s">
        <x:v>533</x:v>
      </x:c>
      <x:c r="C58" s="7" t="s">
        <x:v>535</x:v>
      </x:c>
      <x:c r="D58" s="7" t="s">
        <x:v>1487</x:v>
      </x:c>
      <x:c r="E58" s="7" t="s">
        <x:v>536</x:v>
      </x:c>
      <x:c r="F58" s="7" t="s">
        <x:v>537</x:v>
      </x:c>
      <x:c r="G58" s="7" t="str">
        <x:v>No setpoint published ('-' in TDS)</x:v>
      </x:c>
      <x:c r="H58" s="7" t="s">
        <x:v>53</x:v>
      </x:c>
      <x:c r="I58" s="7" t="s">
        <x:v>53</x:v>
      </x:c>
      <x:c r="J58" s="7" t="s">
        <x:v>1654</x:v>
      </x:c>
      <x:c r="K58" s="7" t="s">
        <x:v>53</x:v>
      </x:c>
      <x:c r="L58" s="7" t="s">
        <x:v>1655</x:v>
      </x:c>
      <x:c r="M58" s="7" t="s">
        <x:v>53</x:v>
      </x:c>
      <x:c r="N58" s="7" t="s">
        <x:v>1656</x:v>
      </x:c>
      <x:c r="O58" s="7" t="s">
        <x:v>1657</x:v>
      </x:c>
      <x:c r="P58" s="7" t="s">
        <x:v>53</x:v>
      </x:c>
      <x:c r="Q58" s="7" t="s">
        <x:v>1658</x:v>
      </x:c>
      <x:c r="R58" s="7" t="s">
        <x:v>53</x:v>
      </x:c>
      <x:c r="S58" s="7" t="s">
        <x:v>1488</x:v>
      </x:c>
      <x:c r="T58" s="7" t="s">
        <x:v>1488</x:v>
      </x:c>
      <x:c r="U58" s="7" t="s">
        <x:v>1489</x:v>
      </x:c>
      <x:c r="V58" s="7" t="s">
        <x:v>1489</x:v>
      </x:c>
      <x:c r="W58" s="7" t="s">
        <x:v>53</x:v>
      </x:c>
      <x:c r="X58" s="7" t="s">
        <x:v>1490</x:v>
      </x:c>
      <x:c r="Y58" s="7" t="s">
        <x:v>53</x:v>
      </x:c>
      <x:c r="Z58" s="7" t="s">
        <x:v>53</x:v>
      </x:c>
      <x:c r="AA58" s="7" t="s">
        <x:v>53</x:v>
      </x:c>
      <x:c r="AB58" s="7" t="s">
        <x:v>53</x:v>
      </x:c>
      <x:c r="AC58" s="7" t="s">
        <x:v>53</x:v>
      </x:c>
      <x:c r="AD58" s="7" t="s">
        <x:v>53</x:v>
      </x:c>
      <x:c r="AE58" s="7" t="s">
        <x:v>53</x:v>
      </x:c>
      <x:c r="AF58" s="7" t="s">
        <x:v>53</x:v>
      </x:c>
      <x:c r="AG58" s="7" t="s">
        <x:v>53</x:v>
      </x:c>
      <x:c r="AH58" s="7" t="s">
        <x:v>53</x:v>
      </x:c>
      <x:c r="AI58" s="7" t="s">
        <x:v>53</x:v>
      </x:c>
      <x:c r="AJ58" s="7" t="s">
        <x:v>1253</x:v>
      </x:c>
      <x:c r="AK58" s="7" t="s">
        <x:v>1491</x:v>
      </x:c>
      <x:c r="AL58" s="7" t="s">
        <x:v>1492</x:v>
      </x:c>
    </x:row>
    <x:row r="59" ht="51.75" hidden="0" customHeight="1">
      <x:c r="A59" s="7" t="s">
        <x:v>1659</x:v>
      </x:c>
      <x:c r="B59" s="7" t="s">
        <x:v>533</x:v>
      </x:c>
      <x:c r="C59" s="7" t="s">
        <x:v>1254</x:v>
      </x:c>
      <x:c r="D59" s="7" t="s">
        <x:v>1487</x:v>
      </x:c>
      <x:c r="E59" s="7" t="s">
        <x:v>485</x:v>
      </x:c>
      <x:c r="F59" s="7" t="s">
        <x:v>486</x:v>
      </x:c>
      <x:c r="G59" s="7" t="s">
        <x:v>487</x:v>
      </x:c>
      <x:c r="H59" s="7" t="s">
        <x:v>53</x:v>
      </x:c>
      <x:c r="I59" s="7" t="s">
        <x:v>1630</x:v>
      </x:c>
      <x:c r="J59" s="7" t="s">
        <x:v>1631</x:v>
      </x:c>
      <x:c r="K59" s="7" t="s">
        <x:v>1547</x:v>
      </x:c>
      <x:c r="L59" s="7" t="s">
        <x:v>1660</x:v>
      </x:c>
      <x:c r="M59" s="7" t="s">
        <x:v>53</x:v>
      </x:c>
      <x:c r="N59" s="7" t="s">
        <x:v>53</x:v>
      </x:c>
      <x:c r="O59" s="7" t="s">
        <x:v>53</x:v>
      </x:c>
      <x:c r="P59" s="7" t="s">
        <x:v>53</x:v>
      </x:c>
      <x:c r="Q59" s="7" t="s">
        <x:v>53</x:v>
      </x:c>
      <x:c r="R59" s="7" t="s">
        <x:v>53</x:v>
      </x:c>
      <x:c r="S59" s="7" t="s">
        <x:v>1488</x:v>
      </x:c>
      <x:c r="T59" s="7" t="s">
        <x:v>1488</x:v>
      </x:c>
      <x:c r="U59" s="7" t="s">
        <x:v>1489</x:v>
      </x:c>
      <x:c r="V59" s="7" t="s">
        <x:v>1489</x:v>
      </x:c>
      <x:c r="W59" s="7" t="s">
        <x:v>53</x:v>
      </x:c>
      <x:c r="X59" s="7" t="s">
        <x:v>1490</x:v>
      </x:c>
      <x:c r="Y59" s="7" t="s">
        <x:v>1499</x:v>
      </x:c>
      <x:c r="Z59" s="7" t="s">
        <x:v>53</x:v>
      </x:c>
      <x:c r="AA59" s="7" t="s">
        <x:v>53</x:v>
      </x:c>
      <x:c r="AB59" s="7" t="s">
        <x:v>53</x:v>
      </x:c>
      <x:c r="AC59" s="7" t="s">
        <x:v>53</x:v>
      </x:c>
      <x:c r="AD59" s="7" t="s">
        <x:v>1633</x:v>
      </x:c>
      <x:c r="AE59" s="7" t="s">
        <x:v>53</x:v>
      </x:c>
      <x:c r="AF59" s="7" t="s">
        <x:v>53</x:v>
      </x:c>
      <x:c r="AG59" s="7" t="s">
        <x:v>53</x:v>
      </x:c>
      <x:c r="AH59" s="7" t="s">
        <x:v>53</x:v>
      </x:c>
      <x:c r="AI59" s="7" t="s">
        <x:v>53</x:v>
      </x:c>
      <x:c r="AJ59" s="7" t="s">
        <x:v>1256</x:v>
      </x:c>
      <x:c r="AK59" s="7" t="s">
        <x:v>1491</x:v>
      </x:c>
      <x:c r="AL59" s="7" t="s">
        <x:v>1492</x:v>
      </x:c>
    </x:row>
    <x:row r="60" ht="51.75" hidden="0" customHeight="1">
      <x:c r="A60" s="7" t="s">
        <x:v>548</x:v>
      </x:c>
      <x:c r="B60" s="7" t="s">
        <x:v>543</x:v>
      </x:c>
      <x:c r="C60" s="7" t="s">
        <x:v>545</x:v>
      </x:c>
      <x:c r="D60" s="7" t="s">
        <x:v>1487</x:v>
      </x:c>
      <x:c r="E60" s="7" t="s">
        <x:v>546</x:v>
      </x:c>
      <x:c r="F60" s="7" t="s">
        <x:v>547</x:v>
      </x:c>
      <x:c r="G60" s="7" t="s">
        <x:v>53</x:v>
      </x:c>
      <x:c r="H60" s="7" t="s">
        <x:v>53</x:v>
      </x:c>
      <x:c r="I60" s="7" t="s">
        <x:v>53</x:v>
      </x:c>
      <x:c r="J60" s="7" t="s">
        <x:v>53</x:v>
      </x:c>
      <x:c r="K60" s="7" t="s">
        <x:v>1661</x:v>
      </x:c>
      <x:c r="L60" s="7" t="s">
        <x:v>1662</x:v>
      </x:c>
      <x:c r="M60" s="7" t="s">
        <x:v>53</x:v>
      </x:c>
      <x:c r="N60" s="7" t="s">
        <x:v>53</x:v>
      </x:c>
      <x:c r="O60" s="7" t="s">
        <x:v>53</x:v>
      </x:c>
      <x:c r="P60" s="7" t="s">
        <x:v>53</x:v>
      </x:c>
      <x:c r="Q60" s="7" t="s">
        <x:v>1663</x:v>
      </x:c>
      <x:c r="R60" s="7" t="s">
        <x:v>53</x:v>
      </x:c>
      <x:c r="S60" s="7" t="s">
        <x:v>1488</x:v>
      </x:c>
      <x:c r="T60" s="7" t="s">
        <x:v>1488</x:v>
      </x:c>
      <x:c r="U60" s="7" t="s">
        <x:v>1489</x:v>
      </x:c>
      <x:c r="V60" s="7" t="s">
        <x:v>1489</x:v>
      </x:c>
      <x:c r="W60" s="7" t="s">
        <x:v>53</x:v>
      </x:c>
      <x:c r="X60" s="7" t="s">
        <x:v>1490</x:v>
      </x:c>
      <x:c r="Y60" s="7" t="s">
        <x:v>53</x:v>
      </x:c>
      <x:c r="Z60" s="7" t="s">
        <x:v>53</x:v>
      </x:c>
      <x:c r="AA60" s="7" t="s">
        <x:v>53</x:v>
      </x:c>
      <x:c r="AB60" s="7" t="s">
        <x:v>53</x:v>
      </x:c>
      <x:c r="AC60" s="7" t="s">
        <x:v>53</x:v>
      </x:c>
      <x:c r="AD60" s="7" t="s">
        <x:v>53</x:v>
      </x:c>
      <x:c r="AE60" s="7" t="s">
        <x:v>53</x:v>
      </x:c>
      <x:c r="AF60" s="7" t="s">
        <x:v>53</x:v>
      </x:c>
      <x:c r="AG60" s="7" t="s">
        <x:v>53</x:v>
      </x:c>
      <x:c r="AH60" s="7" t="s">
        <x:v>53</x:v>
      </x:c>
      <x:c r="AI60" s="7" t="s">
        <x:v>53</x:v>
      </x:c>
      <x:c r="AJ60" s="7" t="s">
        <x:v>1259</x:v>
      </x:c>
      <x:c r="AK60" s="7" t="s">
        <x:v>1491</x:v>
      </x:c>
      <x:c r="AL60" s="7" t="s">
        <x:v>1492</x:v>
      </x:c>
    </x:row>
    <x:row r="61" ht="51.75" hidden="0" customHeight="1">
      <x:c r="A61" s="7" t="s">
        <x:v>1664</x:v>
      </x:c>
      <x:c r="B61" s="7" t="s">
        <x:v>543</x:v>
      </x:c>
      <x:c r="C61" s="7" t="s">
        <x:v>1260</x:v>
      </x:c>
      <x:c r="D61" s="7" t="s">
        <x:v>1487</x:v>
      </x:c>
      <x:c r="E61" s="7" t="s">
        <x:v>1665</x:v>
      </x:c>
      <x:c r="F61" s="7" t="s">
        <x:v>1666</x:v>
      </x:c>
      <x:c r="G61" s="7" t="s">
        <x:v>53</x:v>
      </x:c>
      <x:c r="H61" s="7" t="s">
        <x:v>1589</x:v>
      </x:c>
      <x:c r="I61" s="7" t="s">
        <x:v>53</x:v>
      </x:c>
      <x:c r="J61" s="7" t="s">
        <x:v>53</x:v>
      </x:c>
      <x:c r="K61" s="7" t="s">
        <x:v>53</x:v>
      </x:c>
      <x:c r="L61" s="7" t="s">
        <x:v>53</x:v>
      </x:c>
      <x:c r="M61" s="7" t="s">
        <x:v>53</x:v>
      </x:c>
      <x:c r="N61" s="7" t="s">
        <x:v>53</x:v>
      </x:c>
      <x:c r="O61" s="7" t="s">
        <x:v>53</x:v>
      </x:c>
      <x:c r="P61" s="7" t="s">
        <x:v>1590</x:v>
      </x:c>
      <x:c r="Q61" s="7" t="s">
        <x:v>53</x:v>
      </x:c>
      <x:c r="R61" s="7" t="s">
        <x:v>53</x:v>
      </x:c>
      <x:c r="S61" s="7" t="s">
        <x:v>1488</x:v>
      </x:c>
      <x:c r="T61" s="7" t="s">
        <x:v>1488</x:v>
      </x:c>
      <x:c r="U61" s="7" t="s">
        <x:v>1489</x:v>
      </x:c>
      <x:c r="V61" s="7" t="s">
        <x:v>1489</x:v>
      </x:c>
      <x:c r="W61" s="7" t="s">
        <x:v>53</x:v>
      </x:c>
      <x:c r="X61" s="7" t="s">
        <x:v>1490</x:v>
      </x:c>
      <x:c r="Y61" s="7" t="s">
        <x:v>53</x:v>
      </x:c>
      <x:c r="Z61" s="7" t="s">
        <x:v>53</x:v>
      </x:c>
      <x:c r="AA61" s="7" t="s">
        <x:v>53</x:v>
      </x:c>
      <x:c r="AB61" s="7" t="s">
        <x:v>53</x:v>
      </x:c>
      <x:c r="AC61" s="7" t="s">
        <x:v>53</x:v>
      </x:c>
      <x:c r="AD61" s="7" t="s">
        <x:v>53</x:v>
      </x:c>
      <x:c r="AE61" s="7" t="s">
        <x:v>53</x:v>
      </x:c>
      <x:c r="AF61" s="7" t="s">
        <x:v>53</x:v>
      </x:c>
      <x:c r="AG61" s="7" t="s">
        <x:v>53</x:v>
      </x:c>
      <x:c r="AH61" s="7" t="s">
        <x:v>53</x:v>
      </x:c>
      <x:c r="AI61" s="7" t="s">
        <x:v>53</x:v>
      </x:c>
      <x:c r="AJ61" s="7" t="s">
        <x:v>1262</x:v>
      </x:c>
      <x:c r="AK61" s="7" t="s">
        <x:v>1491</x:v>
      </x:c>
      <x:c r="AL61" s="7" t="s">
        <x:v>1492</x:v>
      </x:c>
    </x:row>
    <x:row r="62" ht="51.75" hidden="0" customHeight="1">
      <x:c r="A62" s="7" t="s">
        <x:v>554</x:v>
      </x:c>
      <x:c r="B62" s="7" t="s">
        <x:v>551</x:v>
      </x:c>
      <x:c r="C62" s="7" t="s">
        <x:v>553</x:v>
      </x:c>
      <x:c r="D62" s="7" t="s">
        <x:v>1487</x:v>
      </x:c>
      <x:c r="E62" s="7" t="s">
        <x:v>536</x:v>
      </x:c>
      <x:c r="F62" s="7" t="s">
        <x:v>537</x:v>
      </x:c>
      <x:c r="G62" s="7" t="str">
        <x:v>No setpoint published ('-' in TDS)</x:v>
      </x:c>
      <x:c r="H62" s="7" t="s">
        <x:v>53</x:v>
      </x:c>
      <x:c r="I62" s="7" t="s">
        <x:v>53</x:v>
      </x:c>
      <x:c r="J62" s="7" t="s">
        <x:v>1654</x:v>
      </x:c>
      <x:c r="K62" s="7" t="s">
        <x:v>53</x:v>
      </x:c>
      <x:c r="L62" s="7" t="s">
        <x:v>1655</x:v>
      </x:c>
      <x:c r="M62" s="7" t="s">
        <x:v>53</x:v>
      </x:c>
      <x:c r="N62" s="7" t="s">
        <x:v>1656</x:v>
      </x:c>
      <x:c r="O62" s="7" t="s">
        <x:v>1657</x:v>
      </x:c>
      <x:c r="P62" s="7" t="s">
        <x:v>53</x:v>
      </x:c>
      <x:c r="Q62" s="7" t="s">
        <x:v>1658</x:v>
      </x:c>
      <x:c r="R62" s="7" t="s">
        <x:v>53</x:v>
      </x:c>
      <x:c r="S62" s="7" t="s">
        <x:v>1488</x:v>
      </x:c>
      <x:c r="T62" s="7" t="s">
        <x:v>1488</x:v>
      </x:c>
      <x:c r="U62" s="7" t="s">
        <x:v>1489</x:v>
      </x:c>
      <x:c r="V62" s="7" t="s">
        <x:v>1489</x:v>
      </x:c>
      <x:c r="W62" s="7" t="s">
        <x:v>53</x:v>
      </x:c>
      <x:c r="X62" s="7" t="s">
        <x:v>1490</x:v>
      </x:c>
      <x:c r="Y62" s="7" t="s">
        <x:v>53</x:v>
      </x:c>
      <x:c r="Z62" s="7" t="s">
        <x:v>53</x:v>
      </x:c>
      <x:c r="AA62" s="7" t="s">
        <x:v>53</x:v>
      </x:c>
      <x:c r="AB62" s="7" t="s">
        <x:v>53</x:v>
      </x:c>
      <x:c r="AC62" s="7" t="s">
        <x:v>53</x:v>
      </x:c>
      <x:c r="AD62" s="7" t="s">
        <x:v>53</x:v>
      </x:c>
      <x:c r="AE62" s="7" t="s">
        <x:v>53</x:v>
      </x:c>
      <x:c r="AF62" s="7" t="s">
        <x:v>53</x:v>
      </x:c>
      <x:c r="AG62" s="7" t="s">
        <x:v>53</x:v>
      </x:c>
      <x:c r="AH62" s="7" t="s">
        <x:v>53</x:v>
      </x:c>
      <x:c r="AI62" s="7" t="s">
        <x:v>53</x:v>
      </x:c>
      <x:c r="AJ62" s="7" t="s">
        <x:v>1253</x:v>
      </x:c>
      <x:c r="AK62" s="7" t="s">
        <x:v>1491</x:v>
      </x:c>
      <x:c r="AL62" s="7" t="s">
        <x:v>1492</x:v>
      </x:c>
    </x:row>
    <x:row r="63" ht="51.75" hidden="0" customHeight="1">
      <x:c r="A63" s="7" t="s">
        <x:v>1667</x:v>
      </x:c>
      <x:c r="B63" s="7" t="s">
        <x:v>559</x:v>
      </x:c>
      <x:c r="C63" s="7" t="s">
        <x:v>562</x:v>
      </x:c>
      <x:c r="D63" s="7" t="s">
        <x:v>1487</x:v>
      </x:c>
      <x:c r="E63" s="7" t="s">
        <x:v>563</x:v>
      </x:c>
      <x:c r="F63" s="7" t="s">
        <x:v>564</x:v>
      </x:c>
      <x:c r="G63" s="7" t="s">
        <x:v>565</x:v>
      </x:c>
      <x:c r="H63" s="7" t="s">
        <x:v>53</x:v>
      </x:c>
      <x:c r="I63" s="7" t="s">
        <x:v>1668</x:v>
      </x:c>
      <x:c r="J63" s="7" t="s">
        <x:v>1507</x:v>
      </x:c>
      <x:c r="K63" s="7" t="s">
        <x:v>1669</x:v>
      </x:c>
      <x:c r="L63" s="7" t="s">
        <x:v>1660</x:v>
      </x:c>
      <x:c r="M63" s="7" t="s">
        <x:v>53</x:v>
      </x:c>
      <x:c r="N63" s="7" t="s">
        <x:v>53</x:v>
      </x:c>
      <x:c r="O63" s="7" t="s">
        <x:v>53</x:v>
      </x:c>
      <x:c r="P63" s="7" t="s">
        <x:v>53</x:v>
      </x:c>
      <x:c r="Q63" s="7" t="s">
        <x:v>53</x:v>
      </x:c>
      <x:c r="R63" s="7" t="s">
        <x:v>53</x:v>
      </x:c>
      <x:c r="S63" s="7" t="s">
        <x:v>1488</x:v>
      </x:c>
      <x:c r="T63" s="7" t="s">
        <x:v>1488</x:v>
      </x:c>
      <x:c r="U63" s="7" t="s">
        <x:v>1489</x:v>
      </x:c>
      <x:c r="V63" s="7" t="s">
        <x:v>1489</x:v>
      </x:c>
      <x:c r="W63" s="7" t="s">
        <x:v>53</x:v>
      </x:c>
      <x:c r="X63" s="7" t="s">
        <x:v>1490</x:v>
      </x:c>
      <x:c r="Y63" s="7" t="s">
        <x:v>1558</x:v>
      </x:c>
      <x:c r="Z63" s="7" t="s">
        <x:v>53</x:v>
      </x:c>
      <x:c r="AA63" s="7" t="s">
        <x:v>53</x:v>
      </x:c>
      <x:c r="AB63" s="7" t="s">
        <x:v>53</x:v>
      </x:c>
      <x:c r="AC63" s="7" t="s">
        <x:v>53</x:v>
      </x:c>
      <x:c r="AD63" s="7" t="s">
        <x:v>1670</x:v>
      </x:c>
      <x:c r="AE63" s="7" t="s">
        <x:v>53</x:v>
      </x:c>
      <x:c r="AF63" s="7" t="s">
        <x:v>53</x:v>
      </x:c>
      <x:c r="AG63" s="7" t="s">
        <x:v>53</x:v>
      </x:c>
      <x:c r="AH63" s="7" t="s">
        <x:v>53</x:v>
      </x:c>
      <x:c r="AI63" s="7" t="s">
        <x:v>53</x:v>
      </x:c>
      <x:c r="AJ63" s="7" t="s">
        <x:v>1264</x:v>
      </x:c>
      <x:c r="AK63" s="7" t="s">
        <x:v>1491</x:v>
      </x:c>
      <x:c r="AL63" s="7" t="s">
        <x:v>1492</x:v>
      </x:c>
    </x:row>
    <x:row r="64" ht="51.75" hidden="0" customHeight="1">
      <x:c r="A64" s="7" t="s">
        <x:v>1671</x:v>
      </x:c>
      <x:c r="B64" s="7" t="s">
        <x:v>559</x:v>
      </x:c>
      <x:c r="C64" s="7" t="s">
        <x:v>1265</x:v>
      </x:c>
      <x:c r="D64" s="7" t="s">
        <x:v>1487</x:v>
      </x:c>
      <x:c r="E64" s="7" t="s">
        <x:v>53</x:v>
      </x:c>
      <x:c r="F64" s="7" t="s">
        <x:v>53</x:v>
      </x:c>
      <x:c r="G64" s="7" t="s">
        <x:v>53</x:v>
      </x:c>
      <x:c r="H64" s="7" t="s">
        <x:v>53</x:v>
      </x:c>
      <x:c r="I64" s="7" t="s">
        <x:v>53</x:v>
      </x:c>
      <x:c r="J64" s="7" t="s">
        <x:v>53</x:v>
      </x:c>
      <x:c r="K64" s="7" t="s">
        <x:v>53</x:v>
      </x:c>
      <x:c r="L64" s="7" t="s">
        <x:v>53</x:v>
      </x:c>
      <x:c r="M64" s="7" t="s">
        <x:v>53</x:v>
      </x:c>
      <x:c r="N64" s="7" t="s">
        <x:v>53</x:v>
      </x:c>
      <x:c r="O64" s="7" t="s">
        <x:v>53</x:v>
      </x:c>
      <x:c r="P64" s="7" t="s">
        <x:v>53</x:v>
      </x:c>
      <x:c r="Q64" s="7" t="s">
        <x:v>53</x:v>
      </x:c>
      <x:c r="R64" s="7" t="s">
        <x:v>53</x:v>
      </x:c>
      <x:c r="S64" s="7" t="s">
        <x:v>1488</x:v>
      </x:c>
      <x:c r="T64" s="7" t="s">
        <x:v>1488</x:v>
      </x:c>
      <x:c r="U64" s="7" t="s">
        <x:v>1489</x:v>
      </x:c>
      <x:c r="V64" s="7" t="s">
        <x:v>1489</x:v>
      </x:c>
      <x:c r="W64" s="7" t="s">
        <x:v>53</x:v>
      </x:c>
      <x:c r="X64" s="7" t="s">
        <x:v>1490</x:v>
      </x:c>
      <x:c r="Y64" s="7" t="s">
        <x:v>53</x:v>
      </x:c>
      <x:c r="Z64" s="7" t="s">
        <x:v>53</x:v>
      </x:c>
      <x:c r="AA64" s="7" t="s">
        <x:v>53</x:v>
      </x:c>
      <x:c r="AB64" s="7" t="s">
        <x:v>53</x:v>
      </x:c>
      <x:c r="AC64" s="7" t="s">
        <x:v>53</x:v>
      </x:c>
      <x:c r="AD64" s="7" t="s">
        <x:v>53</x:v>
      </x:c>
      <x:c r="AE64" s="7" t="s">
        <x:v>53</x:v>
      </x:c>
      <x:c r="AF64" s="7" t="s">
        <x:v>53</x:v>
      </x:c>
      <x:c r="AG64" s="7" t="s">
        <x:v>53</x:v>
      </x:c>
      <x:c r="AH64" s="7" t="s">
        <x:v>53</x:v>
      </x:c>
      <x:c r="AI64" s="7" t="s">
        <x:v>53</x:v>
      </x:c>
      <x:c r="AJ64" s="7" t="s">
        <x:v>1267</x:v>
      </x:c>
      <x:c r="AK64" s="7" t="s">
        <x:v>1491</x:v>
      </x:c>
      <x:c r="AL64" s="7" t="s">
        <x:v>1492</x:v>
      </x:c>
    </x:row>
    <x:row r="65" ht="51.75" hidden="0" customHeight="1">
      <x:c r="A65" s="7" t="s">
        <x:v>1672</x:v>
      </x:c>
      <x:c r="B65" s="7" t="s">
        <x:v>559</x:v>
      </x:c>
      <x:c r="C65" s="7" t="s">
        <x:v>1269</x:v>
      </x:c>
      <x:c r="D65" s="7" t="s">
        <x:v>1487</x:v>
      </x:c>
      <x:c r="E65" s="7" t="s">
        <x:v>592</x:v>
      </x:c>
      <x:c r="F65" s="7" t="s">
        <x:v>593</x:v>
      </x:c>
      <x:c r="G65" s="7" t="s">
        <x:v>53</x:v>
      </x:c>
      <x:c r="H65" s="7" t="s">
        <x:v>1615</x:v>
      </x:c>
      <x:c r="I65" s="7" t="s">
        <x:v>53</x:v>
      </x:c>
      <x:c r="J65" s="7" t="s">
        <x:v>53</x:v>
      </x:c>
      <x:c r="K65" s="7" t="s">
        <x:v>1673</x:v>
      </x:c>
      <x:c r="L65" s="7" t="s">
        <x:v>1674</x:v>
      </x:c>
      <x:c r="M65" s="7" t="s">
        <x:v>53</x:v>
      </x:c>
      <x:c r="N65" s="7" t="s">
        <x:v>53</x:v>
      </x:c>
      <x:c r="O65" s="7" t="s">
        <x:v>53</x:v>
      </x:c>
      <x:c r="P65" s="7" t="s">
        <x:v>1612</x:v>
      </x:c>
      <x:c r="Q65" s="7" t="s">
        <x:v>53</x:v>
      </x:c>
      <x:c r="R65" s="7" t="s">
        <x:v>53</x:v>
      </x:c>
      <x:c r="S65" s="7" t="s">
        <x:v>1488</x:v>
      </x:c>
      <x:c r="T65" s="7" t="s">
        <x:v>1488</x:v>
      </x:c>
      <x:c r="U65" s="7" t="s">
        <x:v>1489</x:v>
      </x:c>
      <x:c r="V65" s="7" t="s">
        <x:v>1489</x:v>
      </x:c>
      <x:c r="W65" s="7" t="s">
        <x:v>53</x:v>
      </x:c>
      <x:c r="X65" s="7" t="s">
        <x:v>1490</x:v>
      </x:c>
      <x:c r="Y65" s="7" t="s">
        <x:v>53</x:v>
      </x:c>
      <x:c r="Z65" s="7" t="s">
        <x:v>53</x:v>
      </x:c>
      <x:c r="AA65" s="7" t="s">
        <x:v>53</x:v>
      </x:c>
      <x:c r="AB65" s="7" t="s">
        <x:v>53</x:v>
      </x:c>
      <x:c r="AC65" s="7" t="s">
        <x:v>53</x:v>
      </x:c>
      <x:c r="AD65" s="7" t="s">
        <x:v>53</x:v>
      </x:c>
      <x:c r="AE65" s="7" t="s">
        <x:v>53</x:v>
      </x:c>
      <x:c r="AF65" s="7" t="s">
        <x:v>53</x:v>
      </x:c>
      <x:c r="AG65" s="7" t="s">
        <x:v>53</x:v>
      </x:c>
      <x:c r="AH65" s="7" t="s">
        <x:v>53</x:v>
      </x:c>
      <x:c r="AI65" s="7" t="s">
        <x:v>53</x:v>
      </x:c>
      <x:c r="AJ65" s="7" t="s">
        <x:v>1271</x:v>
      </x:c>
      <x:c r="AK65" s="7" t="s">
        <x:v>1491</x:v>
      </x:c>
      <x:c r="AL65" s="7" t="s">
        <x:v>1492</x:v>
      </x:c>
    </x:row>
    <x:row r="66" ht="79.5" hidden="0" customHeight="1">
      <x:c r="A66" s="7" t="s">
        <x:v>580</x:v>
      </x:c>
      <x:c r="B66" s="7" t="s">
        <x:v>576</x:v>
      </x:c>
      <x:c r="C66" s="7" t="s">
        <x:v>578</x:v>
      </x:c>
      <x:c r="D66" s="7" t="s">
        <x:v>1487</x:v>
      </x:c>
      <x:c r="E66" s="7" t="s">
        <x:v>579</x:v>
      </x:c>
      <x:c r="F66" s="7" t="s">
        <x:v>345</x:v>
      </x:c>
      <x:c r="G66" s="7" t="str">
        <x:v>45 - 60 °C</x:v>
      </x:c>
      <x:c r="H66" s="7" t="s">
        <x:v>53</x:v>
      </x:c>
      <x:c r="I66" s="7" t="s">
        <x:v>1675</x:v>
      </x:c>
      <x:c r="J66" s="7" t="s">
        <x:v>1507</x:v>
      </x:c>
      <x:c r="K66" s="7" t="s">
        <x:v>1676</x:v>
      </x:c>
      <x:c r="L66" s="7" t="s">
        <x:v>1677</x:v>
      </x:c>
      <x:c r="M66" s="7" t="s">
        <x:v>53</x:v>
      </x:c>
      <x:c r="N66" s="7" t="s">
        <x:v>1678</x:v>
      </x:c>
      <x:c r="O66" s="7" t="s">
        <x:v>1510</x:v>
      </x:c>
      <x:c r="P66" s="7" t="s">
        <x:v>53</x:v>
      </x:c>
      <x:c r="Q66" s="7" t="s">
        <x:v>1679</x:v>
      </x:c>
      <x:c r="R66" s="7" t="s">
        <x:v>1545</x:v>
      </x:c>
      <x:c r="S66" s="7" t="s">
        <x:v>1488</x:v>
      </x:c>
      <x:c r="T66" s="7" t="s">
        <x:v>1488</x:v>
      </x:c>
      <x:c r="U66" s="7" t="s">
        <x:v>1489</x:v>
      </x:c>
      <x:c r="V66" s="7" t="s">
        <x:v>1489</x:v>
      </x:c>
      <x:c r="W66" s="7" t="s">
        <x:v>53</x:v>
      </x:c>
      <x:c r="X66" s="7" t="s">
        <x:v>1490</x:v>
      </x:c>
      <x:c r="Y66" s="7" t="s">
        <x:v>53</x:v>
      </x:c>
      <x:c r="Z66" s="7" t="s">
        <x:v>53</x:v>
      </x:c>
      <x:c r="AA66" s="7" t="s">
        <x:v>53</x:v>
      </x:c>
      <x:c r="AB66" s="7" t="s">
        <x:v>53</x:v>
      </x:c>
      <x:c r="AC66" s="7" t="s">
        <x:v>53</x:v>
      </x:c>
      <x:c r="AD66" s="7" t="s">
        <x:v>53</x:v>
      </x:c>
      <x:c r="AE66" s="7" t="s">
        <x:v>53</x:v>
      </x:c>
      <x:c r="AF66" s="7" t="s">
        <x:v>53</x:v>
      </x:c>
      <x:c r="AG66" s="7" t="s">
        <x:v>53</x:v>
      </x:c>
      <x:c r="AH66" s="7" t="s">
        <x:v>53</x:v>
      </x:c>
      <x:c r="AI66" s="7" t="s">
        <x:v>53</x:v>
      </x:c>
      <x:c r="AJ66" s="7" t="s">
        <x:v>1272</x:v>
      </x:c>
      <x:c r="AK66" s="7" t="s">
        <x:v>1491</x:v>
      </x:c>
      <x:c r="AL66" s="7" t="s">
        <x:v>1492</x:v>
      </x:c>
    </x:row>
    <x:row r="67" ht="51.75" hidden="0" customHeight="1">
      <x:c r="A67" s="7" t="s">
        <x:v>594</x:v>
      </x:c>
      <x:c r="B67" s="7" t="s">
        <x:v>589</x:v>
      </x:c>
      <x:c r="C67" s="7" t="s">
        <x:v>591</x:v>
      </x:c>
      <x:c r="D67" s="7" t="s">
        <x:v>1487</x:v>
      </x:c>
      <x:c r="E67" s="7" t="s">
        <x:v>592</x:v>
      </x:c>
      <x:c r="F67" s="7" t="s">
        <x:v>593</x:v>
      </x:c>
      <x:c r="G67" s="7" t="s">
        <x:v>53</x:v>
      </x:c>
      <x:c r="H67" s="7" t="s">
        <x:v>1615</x:v>
      </x:c>
      <x:c r="I67" s="7" t="s">
        <x:v>53</x:v>
      </x:c>
      <x:c r="J67" s="7" t="s">
        <x:v>53</x:v>
      </x:c>
      <x:c r="K67" s="7" t="s">
        <x:v>1673</x:v>
      </x:c>
      <x:c r="L67" s="7" t="s">
        <x:v>1674</x:v>
      </x:c>
      <x:c r="M67" s="7" t="s">
        <x:v>53</x:v>
      </x:c>
      <x:c r="N67" s="7" t="s">
        <x:v>53</x:v>
      </x:c>
      <x:c r="O67" s="7" t="s">
        <x:v>53</x:v>
      </x:c>
      <x:c r="P67" s="7" t="s">
        <x:v>1612</x:v>
      </x:c>
      <x:c r="Q67" s="7" t="s">
        <x:v>53</x:v>
      </x:c>
      <x:c r="R67" s="7" t="s">
        <x:v>53</x:v>
      </x:c>
      <x:c r="S67" s="7" t="s">
        <x:v>1488</x:v>
      </x:c>
      <x:c r="T67" s="7" t="s">
        <x:v>1488</x:v>
      </x:c>
      <x:c r="U67" s="7" t="s">
        <x:v>1489</x:v>
      </x:c>
      <x:c r="V67" s="7" t="s">
        <x:v>1489</x:v>
      </x:c>
      <x:c r="W67" s="7" t="s">
        <x:v>53</x:v>
      </x:c>
      <x:c r="X67" s="7" t="s">
        <x:v>1490</x:v>
      </x:c>
      <x:c r="Y67" s="7" t="s">
        <x:v>53</x:v>
      </x:c>
      <x:c r="Z67" s="7" t="s">
        <x:v>53</x:v>
      </x:c>
      <x:c r="AA67" s="7" t="s">
        <x:v>53</x:v>
      </x:c>
      <x:c r="AB67" s="7" t="s">
        <x:v>53</x:v>
      </x:c>
      <x:c r="AC67" s="7" t="s">
        <x:v>53</x:v>
      </x:c>
      <x:c r="AD67" s="7" t="s">
        <x:v>53</x:v>
      </x:c>
      <x:c r="AE67" s="7" t="s">
        <x:v>53</x:v>
      </x:c>
      <x:c r="AF67" s="7" t="s">
        <x:v>53</x:v>
      </x:c>
      <x:c r="AG67" s="7" t="s">
        <x:v>53</x:v>
      </x:c>
      <x:c r="AH67" s="7" t="s">
        <x:v>53</x:v>
      </x:c>
      <x:c r="AI67" s="7" t="s">
        <x:v>53</x:v>
      </x:c>
      <x:c r="AJ67" s="7" t="s">
        <x:v>1271</x:v>
      </x:c>
      <x:c r="AK67" s="7" t="s">
        <x:v>1491</x:v>
      </x:c>
      <x:c r="AL67" s="7" t="s">
        <x:v>1492</x:v>
      </x:c>
    </x:row>
    <x:row r="68" ht="79.5" hidden="0" customHeight="1">
      <x:c r="A68" s="7" t="s">
        <x:v>601</x:v>
      </x:c>
      <x:c r="B68" s="7" t="s">
        <x:v>598</x:v>
      </x:c>
      <x:c r="C68" s="7" t="s">
        <x:v>600</x:v>
      </x:c>
      <x:c r="D68" s="7" t="s">
        <x:v>1487</x:v>
      </x:c>
      <x:c r="E68" s="7" t="s">
        <x:v>579</x:v>
      </x:c>
      <x:c r="F68" s="7" t="s">
        <x:v>345</x:v>
      </x:c>
      <x:c r="G68" s="7" t="s">
        <x:v>346</x:v>
      </x:c>
      <x:c r="H68" s="7" t="s">
        <x:v>53</x:v>
      </x:c>
      <x:c r="I68" s="7" t="s">
        <x:v>1675</x:v>
      </x:c>
      <x:c r="J68" s="7" t="s">
        <x:v>53</x:v>
      </x:c>
      <x:c r="K68" s="7" t="s">
        <x:v>1565</x:v>
      </x:c>
      <x:c r="L68" s="7" t="s">
        <x:v>1677</x:v>
      </x:c>
      <x:c r="M68" s="7" t="s">
        <x:v>53</x:v>
      </x:c>
      <x:c r="N68" s="7" t="s">
        <x:v>1678</x:v>
      </x:c>
      <x:c r="O68" s="7" t="s">
        <x:v>1576</x:v>
      </x:c>
      <x:c r="P68" s="7" t="s">
        <x:v>53</x:v>
      </x:c>
      <x:c r="Q68" s="7" t="s">
        <x:v>1680</x:v>
      </x:c>
      <x:c r="R68" s="7" t="s">
        <x:v>1545</x:v>
      </x:c>
      <x:c r="S68" s="7" t="s">
        <x:v>1488</x:v>
      </x:c>
      <x:c r="T68" s="7" t="s">
        <x:v>1488</x:v>
      </x:c>
      <x:c r="U68" s="7" t="s">
        <x:v>1489</x:v>
      </x:c>
      <x:c r="V68" s="7" t="s">
        <x:v>1489</x:v>
      </x:c>
      <x:c r="W68" s="7" t="s">
        <x:v>53</x:v>
      </x:c>
      <x:c r="X68" s="7" t="s">
        <x:v>1490</x:v>
      </x:c>
      <x:c r="Y68" s="7" t="s">
        <x:v>53</x:v>
      </x:c>
      <x:c r="Z68" s="7" t="s">
        <x:v>53</x:v>
      </x:c>
      <x:c r="AA68" s="7" t="s">
        <x:v>53</x:v>
      </x:c>
      <x:c r="AB68" s="7" t="s">
        <x:v>53</x:v>
      </x:c>
      <x:c r="AC68" s="7" t="s">
        <x:v>53</x:v>
      </x:c>
      <x:c r="AD68" s="7" t="s">
        <x:v>53</x:v>
      </x:c>
      <x:c r="AE68" s="7" t="s">
        <x:v>53</x:v>
      </x:c>
      <x:c r="AF68" s="7" t="s">
        <x:v>53</x:v>
      </x:c>
      <x:c r="AG68" s="7" t="s">
        <x:v>53</x:v>
      </x:c>
      <x:c r="AH68" s="7" t="s">
        <x:v>53</x:v>
      </x:c>
      <x:c r="AI68" s="7" t="s">
        <x:v>53</x:v>
      </x:c>
      <x:c r="AJ68" s="7" t="s">
        <x:v>1274</x:v>
      </x:c>
      <x:c r="AK68" s="7" t="s">
        <x:v>1491</x:v>
      </x:c>
      <x:c r="AL68" s="7" t="s">
        <x:v>1492</x:v>
      </x:c>
    </x:row>
    <x:row r="69" ht="79.5" hidden="0" customHeight="1">
      <x:c r="A69" s="7" t="s">
        <x:v>611</x:v>
      </x:c>
      <x:c r="B69" s="7" t="s">
        <x:v>608</x:v>
      </x:c>
      <x:c r="C69" s="7" t="s">
        <x:v>610</x:v>
      </x:c>
      <x:c r="D69" s="7" t="s">
        <x:v>1487</x:v>
      </x:c>
      <x:c r="E69" s="7" t="s">
        <x:v>579</x:v>
      </x:c>
      <x:c r="F69" s="7" t="s">
        <x:v>360</x:v>
      </x:c>
      <x:c r="G69" s="7" t="s">
        <x:v>346</x:v>
      </x:c>
      <x:c r="H69" s="7" t="s">
        <x:v>53</x:v>
      </x:c>
      <x:c r="I69" s="7" t="s">
        <x:v>1594</x:v>
      </x:c>
      <x:c r="J69" s="7" t="s">
        <x:v>1507</x:v>
      </x:c>
      <x:c r="K69" s="7" t="s">
        <x:v>1565</x:v>
      </x:c>
      <x:c r="L69" s="7" t="s">
        <x:v>1681</x:v>
      </x:c>
      <x:c r="M69" s="7" t="s">
        <x:v>53</x:v>
      </x:c>
      <x:c r="N69" s="7" t="s">
        <x:v>1682</x:v>
      </x:c>
      <x:c r="O69" s="7" t="s">
        <x:v>1510</x:v>
      </x:c>
      <x:c r="P69" s="7" t="s">
        <x:v>53</x:v>
      </x:c>
      <x:c r="Q69" s="7" t="s">
        <x:v>1683</x:v>
      </x:c>
      <x:c r="R69" s="7" t="s">
        <x:v>1545</x:v>
      </x:c>
      <x:c r="S69" s="7" t="s">
        <x:v>1488</x:v>
      </x:c>
      <x:c r="T69" s="7" t="s">
        <x:v>1488</x:v>
      </x:c>
      <x:c r="U69" s="7" t="s">
        <x:v>1489</x:v>
      </x:c>
      <x:c r="V69" s="7" t="s">
        <x:v>1489</x:v>
      </x:c>
      <x:c r="W69" s="7" t="s">
        <x:v>53</x:v>
      </x:c>
      <x:c r="X69" s="7" t="s">
        <x:v>1490</x:v>
      </x:c>
      <x:c r="Y69" s="7" t="s">
        <x:v>53</x:v>
      </x:c>
      <x:c r="Z69" s="7" t="s">
        <x:v>53</x:v>
      </x:c>
      <x:c r="AA69" s="7" t="s">
        <x:v>53</x:v>
      </x:c>
      <x:c r="AB69" s="7" t="s">
        <x:v>53</x:v>
      </x:c>
      <x:c r="AC69" s="7" t="s">
        <x:v>1606</x:v>
      </x:c>
      <x:c r="AD69" s="7" t="s">
        <x:v>1607</x:v>
      </x:c>
      <x:c r="AE69" s="7" t="s">
        <x:v>53</x:v>
      </x:c>
      <x:c r="AF69" s="7" t="s">
        <x:v>53</x:v>
      </x:c>
      <x:c r="AG69" s="7" t="s">
        <x:v>53</x:v>
      </x:c>
      <x:c r="AH69" s="7" t="s">
        <x:v>53</x:v>
      </x:c>
      <x:c r="AI69" s="7" t="s">
        <x:v>53</x:v>
      </x:c>
      <x:c r="AJ69" s="7" t="s">
        <x:v>1276</x:v>
      </x:c>
      <x:c r="AK69" s="7" t="s">
        <x:v>1491</x:v>
      </x:c>
      <x:c r="AL69" s="7" t="s">
        <x:v>1492</x:v>
      </x:c>
    </x:row>
    <x:row r="70" ht="51.75" hidden="0" customHeight="1">
      <x:c r="A70" s="7" t="s">
        <x:v>1684</x:v>
      </x:c>
      <x:c r="B70" s="7" t="s">
        <x:v>616</x:v>
      </x:c>
      <x:c r="C70" s="7" t="s">
        <x:v>618</x:v>
      </x:c>
      <x:c r="D70" s="7" t="s">
        <x:v>1487</x:v>
      </x:c>
      <x:c r="E70" s="7" t="s">
        <x:v>619</x:v>
      </x:c>
      <x:c r="F70" s="7" t="s">
        <x:v>620</x:v>
      </x:c>
      <x:c r="G70" s="7" t="s">
        <x:v>51</x:v>
      </x:c>
      <x:c r="H70" s="7" t="s">
        <x:v>53</x:v>
      </x:c>
      <x:c r="I70" s="7" t="s">
        <x:v>53</x:v>
      </x:c>
      <x:c r="J70" s="7" t="s">
        <x:v>53</x:v>
      </x:c>
      <x:c r="K70" s="7" t="s">
        <x:v>53</x:v>
      </x:c>
      <x:c r="L70" s="7" t="s">
        <x:v>53</x:v>
      </x:c>
      <x:c r="M70" s="7" t="s">
        <x:v>53</x:v>
      </x:c>
      <x:c r="N70" s="7" t="s">
        <x:v>1685</x:v>
      </x:c>
      <x:c r="O70" s="7" t="s">
        <x:v>53</x:v>
      </x:c>
      <x:c r="P70" s="7" t="s">
        <x:v>53</x:v>
      </x:c>
      <x:c r="Q70" s="7" t="s">
        <x:v>53</x:v>
      </x:c>
      <x:c r="R70" s="7" t="s">
        <x:v>53</x:v>
      </x:c>
      <x:c r="S70" s="7" t="s">
        <x:v>1488</x:v>
      </x:c>
      <x:c r="T70" s="7" t="s">
        <x:v>1488</x:v>
      </x:c>
      <x:c r="U70" s="7" t="s">
        <x:v>1489</x:v>
      </x:c>
      <x:c r="V70" s="7" t="s">
        <x:v>1489</x:v>
      </x:c>
      <x:c r="W70" s="7" t="s">
        <x:v>53</x:v>
      </x:c>
      <x:c r="X70" s="7" t="s">
        <x:v>1490</x:v>
      </x:c>
      <x:c r="Y70" s="7" t="s">
        <x:v>53</x:v>
      </x:c>
      <x:c r="Z70" s="7" t="s">
        <x:v>53</x:v>
      </x:c>
      <x:c r="AA70" s="7" t="s">
        <x:v>53</x:v>
      </x:c>
      <x:c r="AB70" s="7" t="s">
        <x:v>53</x:v>
      </x:c>
      <x:c r="AC70" s="7" t="s">
        <x:v>53</x:v>
      </x:c>
      <x:c r="AD70" s="7" t="s">
        <x:v>53</x:v>
      </x:c>
      <x:c r="AE70" s="7" t="s">
        <x:v>53</x:v>
      </x:c>
      <x:c r="AF70" s="7" t="s">
        <x:v>53</x:v>
      </x:c>
      <x:c r="AG70" s="7" t="s">
        <x:v>53</x:v>
      </x:c>
      <x:c r="AH70" s="7" t="s">
        <x:v>53</x:v>
      </x:c>
      <x:c r="AI70" s="7" t="s">
        <x:v>53</x:v>
      </x:c>
      <x:c r="AJ70" s="7" t="s">
        <x:v>1279</x:v>
      </x:c>
      <x:c r="AK70" s="7" t="s">
        <x:v>1491</x:v>
      </x:c>
      <x:c r="AL70" s="7" t="s">
        <x:v>1492</x:v>
      </x:c>
    </x:row>
    <x:row r="71" ht="79.5" hidden="0" customHeight="1">
      <x:c r="A71" s="7" t="s">
        <x:v>1686</x:v>
      </x:c>
      <x:c r="B71" s="7" t="s">
        <x:v>627</x:v>
      </x:c>
      <x:c r="C71" s="7" t="s">
        <x:v>629</x:v>
      </x:c>
      <x:c r="D71" s="7" t="s">
        <x:v>1487</x:v>
      </x:c>
      <x:c r="E71" s="7" t="s">
        <x:v>53</x:v>
      </x:c>
      <x:c r="F71" s="7" t="s">
        <x:v>53</x:v>
      </x:c>
      <x:c r="G71" s="7" t="s">
        <x:v>53</x:v>
      </x:c>
      <x:c r="H71" s="7" t="s">
        <x:v>53</x:v>
      </x:c>
      <x:c r="I71" s="7" t="s">
        <x:v>53</x:v>
      </x:c>
      <x:c r="J71" s="7" t="s">
        <x:v>53</x:v>
      </x:c>
      <x:c r="K71" s="7" t="s">
        <x:v>53</x:v>
      </x:c>
      <x:c r="L71" s="7" t="s">
        <x:v>53</x:v>
      </x:c>
      <x:c r="M71" s="7" t="s">
        <x:v>53</x:v>
      </x:c>
      <x:c r="N71" s="7" t="s">
        <x:v>53</x:v>
      </x:c>
      <x:c r="O71" s="7" t="s">
        <x:v>53</x:v>
      </x:c>
      <x:c r="P71" s="7" t="s">
        <x:v>53</x:v>
      </x:c>
      <x:c r="Q71" s="7" t="s">
        <x:v>53</x:v>
      </x:c>
      <x:c r="R71" s="7" t="s">
        <x:v>1545</x:v>
      </x:c>
      <x:c r="S71" s="7" t="s">
        <x:v>1488</x:v>
      </x:c>
      <x:c r="T71" s="7" t="s">
        <x:v>1488</x:v>
      </x:c>
      <x:c r="U71" s="7" t="s">
        <x:v>1489</x:v>
      </x:c>
      <x:c r="V71" s="7" t="s">
        <x:v>1489</x:v>
      </x:c>
      <x:c r="W71" s="7" t="s">
        <x:v>53</x:v>
      </x:c>
      <x:c r="X71" s="7" t="s">
        <x:v>1490</x:v>
      </x:c>
      <x:c r="Y71" s="7" t="s">
        <x:v>53</x:v>
      </x:c>
      <x:c r="Z71" s="7" t="s">
        <x:v>53</x:v>
      </x:c>
      <x:c r="AA71" s="7" t="s">
        <x:v>53</x:v>
      </x:c>
      <x:c r="AB71" s="7" t="s">
        <x:v>53</x:v>
      </x:c>
      <x:c r="AC71" s="7" t="s">
        <x:v>53</x:v>
      </x:c>
      <x:c r="AD71" s="7" t="s">
        <x:v>53</x:v>
      </x:c>
      <x:c r="AE71" s="7" t="s">
        <x:v>53</x:v>
      </x:c>
      <x:c r="AF71" s="7" t="s">
        <x:v>53</x:v>
      </x:c>
      <x:c r="AG71" s="7" t="s">
        <x:v>53</x:v>
      </x:c>
      <x:c r="AH71" s="7" t="s">
        <x:v>53</x:v>
      </x:c>
      <x:c r="AI71" s="7" t="s">
        <x:v>53</x:v>
      </x:c>
      <x:c r="AJ71" s="7" t="s">
        <x:v>1282</x:v>
      </x:c>
      <x:c r="AK71" s="7" t="s">
        <x:v>1491</x:v>
      </x:c>
      <x:c r="AL71" s="7" t="s">
        <x:v>1492</x:v>
      </x:c>
    </x:row>
    <x:row r="72" ht="79.5" hidden="0" customHeight="1">
      <x:c r="A72" s="7" t="s">
        <x:v>1687</x:v>
      </x:c>
      <x:c r="B72" s="7" t="s">
        <x:v>627</x:v>
      </x:c>
      <x:c r="C72" s="7" t="s">
        <x:v>1284</x:v>
      </x:c>
      <x:c r="D72" s="7" t="s">
        <x:v>1487</x:v>
      </x:c>
      <x:c r="E72" s="7" t="s">
        <x:v>1688</x:v>
      </x:c>
      <x:c r="F72" s="7" t="s">
        <x:v>564</x:v>
      </x:c>
      <x:c r="G72" s="7" t="s">
        <x:v>487</x:v>
      </x:c>
      <x:c r="H72" s="7" t="s">
        <x:v>53</x:v>
      </x:c>
      <x:c r="I72" s="7" t="s">
        <x:v>1630</x:v>
      </x:c>
      <x:c r="J72" s="7" t="s">
        <x:v>1536</x:v>
      </x:c>
      <x:c r="K72" s="7" t="s">
        <x:v>1669</x:v>
      </x:c>
      <x:c r="L72" s="7" t="s">
        <x:v>1660</x:v>
      </x:c>
      <x:c r="M72" s="7" t="s">
        <x:v>53</x:v>
      </x:c>
      <x:c r="N72" s="7" t="s">
        <x:v>53</x:v>
      </x:c>
      <x:c r="O72" s="7" t="s">
        <x:v>53</x:v>
      </x:c>
      <x:c r="P72" s="7" t="s">
        <x:v>53</x:v>
      </x:c>
      <x:c r="Q72" s="7" t="s">
        <x:v>53</x:v>
      </x:c>
      <x:c r="R72" s="7" t="s">
        <x:v>1545</x:v>
      </x:c>
      <x:c r="S72" s="7" t="s">
        <x:v>1488</x:v>
      </x:c>
      <x:c r="T72" s="7" t="s">
        <x:v>1488</x:v>
      </x:c>
      <x:c r="U72" s="7" t="s">
        <x:v>1489</x:v>
      </x:c>
      <x:c r="V72" s="7" t="s">
        <x:v>1489</x:v>
      </x:c>
      <x:c r="W72" s="7" t="s">
        <x:v>53</x:v>
      </x:c>
      <x:c r="X72" s="7" t="s">
        <x:v>1490</x:v>
      </x:c>
      <x:c r="Y72" s="7" t="s">
        <x:v>1689</x:v>
      </x:c>
      <x:c r="Z72" s="7" t="s">
        <x:v>53</x:v>
      </x:c>
      <x:c r="AA72" s="7" t="s">
        <x:v>53</x:v>
      </x:c>
      <x:c r="AB72" s="7" t="s">
        <x:v>53</x:v>
      </x:c>
      <x:c r="AC72" s="7" t="s">
        <x:v>53</x:v>
      </x:c>
      <x:c r="AD72" s="7" t="s">
        <x:v>1559</x:v>
      </x:c>
      <x:c r="AE72" s="7" t="s">
        <x:v>53</x:v>
      </x:c>
      <x:c r="AF72" s="7" t="s">
        <x:v>53</x:v>
      </x:c>
      <x:c r="AG72" s="7" t="s">
        <x:v>53</x:v>
      </x:c>
      <x:c r="AH72" s="7" t="s">
        <x:v>53</x:v>
      </x:c>
      <x:c r="AI72" s="7" t="s">
        <x:v>53</x:v>
      </x:c>
      <x:c r="AJ72" s="7" t="s">
        <x:v>1286</x:v>
      </x:c>
      <x:c r="AK72" s="7" t="s">
        <x:v>1491</x:v>
      </x:c>
      <x:c r="AL72" s="7" t="s">
        <x:v>1492</x:v>
      </x:c>
    </x:row>
    <x:row r="73" ht="79.5" hidden="0" customHeight="1">
      <x:c r="A73" s="7" t="s">
        <x:v>1690</x:v>
      </x:c>
      <x:c r="B73" s="7" t="s">
        <x:v>627</x:v>
      </x:c>
      <x:c r="C73" s="7" t="s">
        <x:v>1287</x:v>
      </x:c>
      <x:c r="D73" s="7" t="s">
        <x:v>1487</x:v>
      </x:c>
      <x:c r="E73" s="7" t="s">
        <x:v>1691</x:v>
      </x:c>
      <x:c r="F73" s="7" t="s">
        <x:v>1692</x:v>
      </x:c>
      <x:c r="G73" s="7" t="s">
        <x:v>53</x:v>
      </x:c>
      <x:c r="H73" s="7" t="s">
        <x:v>1693</x:v>
      </x:c>
      <x:c r="I73" s="7" t="s">
        <x:v>53</x:v>
      </x:c>
      <x:c r="J73" s="7" t="s">
        <x:v>53</x:v>
      </x:c>
      <x:c r="K73" s="7" t="s">
        <x:v>1694</x:v>
      </x:c>
      <x:c r="L73" s="7" t="s">
        <x:v>53</x:v>
      </x:c>
      <x:c r="M73" s="7" t="s">
        <x:v>53</x:v>
      </x:c>
      <x:c r="N73" s="7" t="s">
        <x:v>53</x:v>
      </x:c>
      <x:c r="O73" s="7" t="s">
        <x:v>53</x:v>
      </x:c>
      <x:c r="P73" s="7" t="s">
        <x:v>1627</x:v>
      </x:c>
      <x:c r="Q73" s="7" t="s">
        <x:v>53</x:v>
      </x:c>
      <x:c r="R73" s="7" t="s">
        <x:v>1545</x:v>
      </x:c>
      <x:c r="S73" s="7" t="s">
        <x:v>1488</x:v>
      </x:c>
      <x:c r="T73" s="7" t="s">
        <x:v>1488</x:v>
      </x:c>
      <x:c r="U73" s="7" t="s">
        <x:v>1489</x:v>
      </x:c>
      <x:c r="V73" s="7" t="s">
        <x:v>1489</x:v>
      </x:c>
      <x:c r="W73" s="7" t="s">
        <x:v>53</x:v>
      </x:c>
      <x:c r="X73" s="7" t="s">
        <x:v>1490</x:v>
      </x:c>
      <x:c r="Y73" s="7" t="s">
        <x:v>53</x:v>
      </x:c>
      <x:c r="Z73" s="7" t="s">
        <x:v>53</x:v>
      </x:c>
      <x:c r="AA73" s="7" t="s">
        <x:v>53</x:v>
      </x:c>
      <x:c r="AB73" s="7" t="s">
        <x:v>53</x:v>
      </x:c>
      <x:c r="AC73" s="7" t="s">
        <x:v>53</x:v>
      </x:c>
      <x:c r="AD73" s="7" t="s">
        <x:v>53</x:v>
      </x:c>
      <x:c r="AE73" s="7" t="s">
        <x:v>53</x:v>
      </x:c>
      <x:c r="AF73" s="7" t="s">
        <x:v>53</x:v>
      </x:c>
      <x:c r="AG73" s="7" t="s">
        <x:v>53</x:v>
      </x:c>
      <x:c r="AH73" s="7" t="s">
        <x:v>53</x:v>
      </x:c>
      <x:c r="AI73" s="7" t="s">
        <x:v>53</x:v>
      </x:c>
      <x:c r="AJ73" s="7" t="s">
        <x:v>1289</x:v>
      </x:c>
      <x:c r="AK73" s="7" t="s">
        <x:v>1491</x:v>
      </x:c>
      <x:c r="AL73" s="7" t="s">
        <x:v>1492</x:v>
      </x:c>
    </x:row>
    <x:row r="74" ht="79.5" hidden="0" customHeight="1">
      <x:c r="A74" s="7" t="s">
        <x:v>1695</x:v>
      </x:c>
      <x:c r="B74" s="7" t="s">
        <x:v>639</x:v>
      </x:c>
      <x:c r="C74" s="7" t="s">
        <x:v>641</x:v>
      </x:c>
      <x:c r="D74" s="7" t="s">
        <x:v>1487</x:v>
      </x:c>
      <x:c r="E74" s="7" t="s">
        <x:v>53</x:v>
      </x:c>
      <x:c r="F74" s="7" t="s">
        <x:v>53</x:v>
      </x:c>
      <x:c r="G74" s="7" t="s">
        <x:v>53</x:v>
      </x:c>
      <x:c r="H74" s="7" t="s">
        <x:v>53</x:v>
      </x:c>
      <x:c r="I74" s="7" t="s">
        <x:v>53</x:v>
      </x:c>
      <x:c r="J74" s="7" t="s">
        <x:v>53</x:v>
      </x:c>
      <x:c r="K74" s="7" t="s">
        <x:v>53</x:v>
      </x:c>
      <x:c r="L74" s="7" t="s">
        <x:v>53</x:v>
      </x:c>
      <x:c r="M74" s="7" t="s">
        <x:v>53</x:v>
      </x:c>
      <x:c r="N74" s="7" t="s">
        <x:v>53</x:v>
      </x:c>
      <x:c r="O74" s="7" t="s">
        <x:v>53</x:v>
      </x:c>
      <x:c r="P74" s="7" t="s">
        <x:v>53</x:v>
      </x:c>
      <x:c r="Q74" s="7" t="s">
        <x:v>53</x:v>
      </x:c>
      <x:c r="R74" s="7" t="s">
        <x:v>1545</x:v>
      </x:c>
      <x:c r="S74" s="7" t="s">
        <x:v>1488</x:v>
      </x:c>
      <x:c r="T74" s="7" t="s">
        <x:v>1488</x:v>
      </x:c>
      <x:c r="U74" s="7" t="s">
        <x:v>1489</x:v>
      </x:c>
      <x:c r="V74" s="7" t="s">
        <x:v>1489</x:v>
      </x:c>
      <x:c r="W74" s="7" t="s">
        <x:v>53</x:v>
      </x:c>
      <x:c r="X74" s="7" t="s">
        <x:v>1490</x:v>
      </x:c>
      <x:c r="Y74" s="7" t="s">
        <x:v>53</x:v>
      </x:c>
      <x:c r="Z74" s="7" t="s">
        <x:v>53</x:v>
      </x:c>
      <x:c r="AA74" s="7" t="s">
        <x:v>53</x:v>
      </x:c>
      <x:c r="AB74" s="7" t="s">
        <x:v>53</x:v>
      </x:c>
      <x:c r="AC74" s="7" t="s">
        <x:v>53</x:v>
      </x:c>
      <x:c r="AD74" s="7" t="s">
        <x:v>53</x:v>
      </x:c>
      <x:c r="AE74" s="7" t="s">
        <x:v>53</x:v>
      </x:c>
      <x:c r="AF74" s="7" t="s">
        <x:v>53</x:v>
      </x:c>
      <x:c r="AG74" s="7" t="s">
        <x:v>53</x:v>
      </x:c>
      <x:c r="AH74" s="7" t="s">
        <x:v>53</x:v>
      </x:c>
      <x:c r="AI74" s="7" t="s">
        <x:v>53</x:v>
      </x:c>
      <x:c r="AJ74" s="7" t="s">
        <x:v>1291</x:v>
      </x:c>
      <x:c r="AK74" s="7" t="s">
        <x:v>1491</x:v>
      </x:c>
      <x:c r="AL74" s="7" t="s">
        <x:v>1492</x:v>
      </x:c>
    </x:row>
    <x:row r="75" ht="51.75" hidden="0" customHeight="1">
      <x:c r="A75" s="7" t="s">
        <x:v>659</x:v>
      </x:c>
      <x:c r="B75" s="7" t="s">
        <x:v>656</x:v>
      </x:c>
      <x:c r="C75" s="7" t="s">
        <x:v>658</x:v>
      </x:c>
      <x:c r="D75" s="7" t="s">
        <x:v>1487</x:v>
      </x:c>
      <x:c r="E75" s="7" t="s">
        <x:v>563</x:v>
      </x:c>
      <x:c r="F75" s="7" t="s">
        <x:v>564</x:v>
      </x:c>
      <x:c r="G75" s="7" t="s">
        <x:v>565</x:v>
      </x:c>
      <x:c r="H75" s="7" t="s">
        <x:v>53</x:v>
      </x:c>
      <x:c r="I75" s="7" t="s">
        <x:v>1668</x:v>
      </x:c>
      <x:c r="J75" s="7" t="s">
        <x:v>1507</x:v>
      </x:c>
      <x:c r="K75" s="7" t="s">
        <x:v>1669</x:v>
      </x:c>
      <x:c r="L75" s="7" t="s">
        <x:v>1660</x:v>
      </x:c>
      <x:c r="M75" s="7" t="s">
        <x:v>53</x:v>
      </x:c>
      <x:c r="N75" s="7" t="s">
        <x:v>53</x:v>
      </x:c>
      <x:c r="O75" s="7" t="s">
        <x:v>53</x:v>
      </x:c>
      <x:c r="P75" s="7" t="s">
        <x:v>53</x:v>
      </x:c>
      <x:c r="Q75" s="7" t="s">
        <x:v>53</x:v>
      </x:c>
      <x:c r="R75" s="7" t="s">
        <x:v>53</x:v>
      </x:c>
      <x:c r="S75" s="7" t="s">
        <x:v>1488</x:v>
      </x:c>
      <x:c r="T75" s="7" t="s">
        <x:v>1488</x:v>
      </x:c>
      <x:c r="U75" s="7" t="s">
        <x:v>1489</x:v>
      </x:c>
      <x:c r="V75" s="7" t="s">
        <x:v>1489</x:v>
      </x:c>
      <x:c r="W75" s="7" t="s">
        <x:v>53</x:v>
      </x:c>
      <x:c r="X75" s="7" t="s">
        <x:v>1490</x:v>
      </x:c>
      <x:c r="Y75" s="7" t="s">
        <x:v>1558</x:v>
      </x:c>
      <x:c r="Z75" s="7" t="s">
        <x:v>53</x:v>
      </x:c>
      <x:c r="AA75" s="7" t="s">
        <x:v>53</x:v>
      </x:c>
      <x:c r="AB75" s="7" t="s">
        <x:v>53</x:v>
      </x:c>
      <x:c r="AC75" s="7" t="s">
        <x:v>53</x:v>
      </x:c>
      <x:c r="AD75" s="7" t="s">
        <x:v>1670</x:v>
      </x:c>
      <x:c r="AE75" s="7" t="s">
        <x:v>53</x:v>
      </x:c>
      <x:c r="AF75" s="7" t="s">
        <x:v>53</x:v>
      </x:c>
      <x:c r="AG75" s="7" t="s">
        <x:v>53</x:v>
      </x:c>
      <x:c r="AH75" s="7" t="s">
        <x:v>53</x:v>
      </x:c>
      <x:c r="AI75" s="7" t="s">
        <x:v>53</x:v>
      </x:c>
      <x:c r="AJ75" s="7" t="s">
        <x:v>1264</x:v>
      </x:c>
      <x:c r="AK75" s="7" t="s">
        <x:v>1491</x:v>
      </x:c>
      <x:c r="AL75" s="7" t="s">
        <x:v>1492</x:v>
      </x:c>
    </x:row>
    <x:row r="76" ht="51.75" hidden="0" customHeight="1">
      <x:c r="A76" s="7" t="s">
        <x:v>1696</x:v>
      </x:c>
      <x:c r="B76" s="7" t="s">
        <x:v>656</x:v>
      </x:c>
      <x:c r="C76" s="7" t="s">
        <x:v>1293</x:v>
      </x:c>
      <x:c r="D76" s="7" t="s">
        <x:v>1487</x:v>
      </x:c>
      <x:c r="E76" s="7" t="s">
        <x:v>53</x:v>
      </x:c>
      <x:c r="F76" s="7" t="s">
        <x:v>53</x:v>
      </x:c>
      <x:c r="G76" s="7" t="s">
        <x:v>53</x:v>
      </x:c>
      <x:c r="H76" s="7" t="s">
        <x:v>53</x:v>
      </x:c>
      <x:c r="I76" s="7" t="s">
        <x:v>53</x:v>
      </x:c>
      <x:c r="J76" s="7" t="s">
        <x:v>53</x:v>
      </x:c>
      <x:c r="K76" s="7" t="s">
        <x:v>53</x:v>
      </x:c>
      <x:c r="L76" s="7" t="s">
        <x:v>53</x:v>
      </x:c>
      <x:c r="M76" s="7" t="s">
        <x:v>53</x:v>
      </x:c>
      <x:c r="N76" s="7" t="s">
        <x:v>53</x:v>
      </x:c>
      <x:c r="O76" s="7" t="s">
        <x:v>53</x:v>
      </x:c>
      <x:c r="P76" s="7" t="s">
        <x:v>53</x:v>
      </x:c>
      <x:c r="Q76" s="7" t="s">
        <x:v>53</x:v>
      </x:c>
      <x:c r="R76" s="7" t="s">
        <x:v>53</x:v>
      </x:c>
      <x:c r="S76" s="7" t="s">
        <x:v>1488</x:v>
      </x:c>
      <x:c r="T76" s="7" t="s">
        <x:v>1488</x:v>
      </x:c>
      <x:c r="U76" s="7" t="s">
        <x:v>1489</x:v>
      </x:c>
      <x:c r="V76" s="7" t="s">
        <x:v>1489</x:v>
      </x:c>
      <x:c r="W76" s="7" t="s">
        <x:v>53</x:v>
      </x:c>
      <x:c r="X76" s="7" t="s">
        <x:v>1490</x:v>
      </x:c>
      <x:c r="Y76" s="7" t="s">
        <x:v>53</x:v>
      </x:c>
      <x:c r="Z76" s="7" t="s">
        <x:v>53</x:v>
      </x:c>
      <x:c r="AA76" s="7" t="s">
        <x:v>53</x:v>
      </x:c>
      <x:c r="AB76" s="7" t="s">
        <x:v>53</x:v>
      </x:c>
      <x:c r="AC76" s="7" t="s">
        <x:v>53</x:v>
      </x:c>
      <x:c r="AD76" s="7" t="s">
        <x:v>53</x:v>
      </x:c>
      <x:c r="AE76" s="7" t="s">
        <x:v>53</x:v>
      </x:c>
      <x:c r="AF76" s="7" t="s">
        <x:v>53</x:v>
      </x:c>
      <x:c r="AG76" s="7" t="s">
        <x:v>53</x:v>
      </x:c>
      <x:c r="AH76" s="7" t="s">
        <x:v>53</x:v>
      </x:c>
      <x:c r="AI76" s="7" t="s">
        <x:v>53</x:v>
      </x:c>
      <x:c r="AJ76" s="7" t="s">
        <x:v>1267</x:v>
      </x:c>
      <x:c r="AK76" s="7" t="s">
        <x:v>1491</x:v>
      </x:c>
      <x:c r="AL76" s="7" t="s">
        <x:v>1492</x:v>
      </x:c>
    </x:row>
    <x:row r="77" ht="79.5" hidden="0" customHeight="1">
      <x:c r="A77" s="7" t="s">
        <x:v>677</x:v>
      </x:c>
      <x:c r="B77" s="7" t="s">
        <x:v>671</x:v>
      </x:c>
      <x:c r="C77" s="7" t="s">
        <x:v>673</x:v>
      </x:c>
      <x:c r="D77" s="7" t="s">
        <x:v>1487</x:v>
      </x:c>
      <x:c r="E77" s="7" t="s">
        <x:v>674</x:v>
      </x:c>
      <x:c r="F77" s="7" t="s">
        <x:v>675</x:v>
      </x:c>
      <x:c r="G77" s="7" t="s">
        <x:v>676</x:v>
      </x:c>
      <x:c r="H77" s="7" t="s">
        <x:v>53</x:v>
      </x:c>
      <x:c r="I77" s="7" t="s">
        <x:v>53</x:v>
      </x:c>
      <x:c r="J77" s="7" t="s">
        <x:v>53</x:v>
      </x:c>
      <x:c r="K77" s="7" t="s">
        <x:v>1697</x:v>
      </x:c>
      <x:c r="L77" s="7" t="s">
        <x:v>53</x:v>
      </x:c>
      <x:c r="M77" s="7" t="s">
        <x:v>53</x:v>
      </x:c>
      <x:c r="N77" s="7" t="s">
        <x:v>53</x:v>
      </x:c>
      <x:c r="O77" s="7" t="s">
        <x:v>53</x:v>
      </x:c>
      <x:c r="P77" s="7" t="s">
        <x:v>53</x:v>
      </x:c>
      <x:c r="Q77" s="7" t="s">
        <x:v>53</x:v>
      </x:c>
      <x:c r="R77" s="7" t="s">
        <x:v>1545</x:v>
      </x:c>
      <x:c r="S77" s="7" t="s">
        <x:v>1488</x:v>
      </x:c>
      <x:c r="T77" s="7" t="s">
        <x:v>1488</x:v>
      </x:c>
      <x:c r="U77" s="7" t="s">
        <x:v>1489</x:v>
      </x:c>
      <x:c r="V77" s="7" t="s">
        <x:v>1489</x:v>
      </x:c>
      <x:c r="W77" s="7" t="s">
        <x:v>53</x:v>
      </x:c>
      <x:c r="X77" s="7" t="s">
        <x:v>1490</x:v>
      </x:c>
      <x:c r="Y77" s="7" t="s">
        <x:v>53</x:v>
      </x:c>
      <x:c r="Z77" s="7" t="s">
        <x:v>53</x:v>
      </x:c>
      <x:c r="AA77" s="7" t="s">
        <x:v>53</x:v>
      </x:c>
      <x:c r="AB77" s="7" t="s">
        <x:v>53</x:v>
      </x:c>
      <x:c r="AC77" s="7" t="s">
        <x:v>53</x:v>
      </x:c>
      <x:c r="AD77" s="7" t="s">
        <x:v>53</x:v>
      </x:c>
      <x:c r="AE77" s="7" t="s">
        <x:v>53</x:v>
      </x:c>
      <x:c r="AF77" s="7" t="s">
        <x:v>53</x:v>
      </x:c>
      <x:c r="AG77" s="7" t="s">
        <x:v>53</x:v>
      </x:c>
      <x:c r="AH77" s="7" t="s">
        <x:v>53</x:v>
      </x:c>
      <x:c r="AI77" s="7" t="s">
        <x:v>53</x:v>
      </x:c>
      <x:c r="AJ77" s="7" t="s">
        <x:v>1295</x:v>
      </x:c>
      <x:c r="AK77" s="7" t="s">
        <x:v>1491</x:v>
      </x:c>
      <x:c r="AL77" s="7" t="s">
        <x:v>1492</x:v>
      </x:c>
    </x:row>
    <x:row r="78" ht="51.75" hidden="0" customHeight="1">
      <x:c r="A78" s="7" t="s">
        <x:v>690</x:v>
      </x:c>
      <x:c r="B78" s="7" t="s">
        <x:v>687</x:v>
      </x:c>
      <x:c r="C78" s="7" t="s">
        <x:v>689</x:v>
      </x:c>
      <x:c r="D78" s="7" t="s">
        <x:v>1487</x:v>
      </x:c>
      <x:c r="E78" s="7" t="s">
        <x:v>563</x:v>
      </x:c>
      <x:c r="F78" s="7" t="s">
        <x:v>564</x:v>
      </x:c>
      <x:c r="G78" s="7" t="s">
        <x:v>565</x:v>
      </x:c>
      <x:c r="H78" s="7" t="s">
        <x:v>53</x:v>
      </x:c>
      <x:c r="I78" s="7" t="s">
        <x:v>1668</x:v>
      </x:c>
      <x:c r="J78" s="7" t="s">
        <x:v>1507</x:v>
      </x:c>
      <x:c r="K78" s="7" t="s">
        <x:v>1669</x:v>
      </x:c>
      <x:c r="L78" s="7" t="s">
        <x:v>1660</x:v>
      </x:c>
      <x:c r="M78" s="7" t="s">
        <x:v>53</x:v>
      </x:c>
      <x:c r="N78" s="7" t="s">
        <x:v>53</x:v>
      </x:c>
      <x:c r="O78" s="7" t="s">
        <x:v>53</x:v>
      </x:c>
      <x:c r="P78" s="7" t="s">
        <x:v>53</x:v>
      </x:c>
      <x:c r="Q78" s="7" t="s">
        <x:v>53</x:v>
      </x:c>
      <x:c r="R78" s="7" t="s">
        <x:v>53</x:v>
      </x:c>
      <x:c r="S78" s="7" t="s">
        <x:v>1488</x:v>
      </x:c>
      <x:c r="T78" s="7" t="s">
        <x:v>1488</x:v>
      </x:c>
      <x:c r="U78" s="7" t="s">
        <x:v>1489</x:v>
      </x:c>
      <x:c r="V78" s="7" t="s">
        <x:v>1489</x:v>
      </x:c>
      <x:c r="W78" s="7" t="s">
        <x:v>53</x:v>
      </x:c>
      <x:c r="X78" s="7" t="s">
        <x:v>1490</x:v>
      </x:c>
      <x:c r="Y78" s="7" t="s">
        <x:v>1558</x:v>
      </x:c>
      <x:c r="Z78" s="7" t="s">
        <x:v>53</x:v>
      </x:c>
      <x:c r="AA78" s="7" t="s">
        <x:v>53</x:v>
      </x:c>
      <x:c r="AB78" s="7" t="s">
        <x:v>53</x:v>
      </x:c>
      <x:c r="AC78" s="7" t="s">
        <x:v>53</x:v>
      </x:c>
      <x:c r="AD78" s="7" t="s">
        <x:v>1670</x:v>
      </x:c>
      <x:c r="AE78" s="7" t="s">
        <x:v>53</x:v>
      </x:c>
      <x:c r="AF78" s="7" t="s">
        <x:v>53</x:v>
      </x:c>
      <x:c r="AG78" s="7" t="s">
        <x:v>53</x:v>
      </x:c>
      <x:c r="AH78" s="7" t="s">
        <x:v>53</x:v>
      </x:c>
      <x:c r="AI78" s="7" t="s">
        <x:v>53</x:v>
      </x:c>
      <x:c r="AJ78" s="7" t="s">
        <x:v>1264</x:v>
      </x:c>
      <x:c r="AK78" s="7" t="s">
        <x:v>1491</x:v>
      </x:c>
      <x:c r="AL78" s="7" t="s">
        <x:v>1492</x:v>
      </x:c>
    </x:row>
    <x:row r="79" ht="51.75" hidden="0" customHeight="1">
      <x:c r="A79" s="7" t="s">
        <x:v>1698</x:v>
      </x:c>
      <x:c r="B79" s="7" t="s">
        <x:v>687</x:v>
      </x:c>
      <x:c r="C79" s="7" t="s">
        <x:v>1296</x:v>
      </x:c>
      <x:c r="D79" s="7" t="s">
        <x:v>1487</x:v>
      </x:c>
      <x:c r="E79" s="7" t="s">
        <x:v>53</x:v>
      </x:c>
      <x:c r="F79" s="7" t="s">
        <x:v>53</x:v>
      </x:c>
      <x:c r="G79" s="7" t="s">
        <x:v>53</x:v>
      </x:c>
      <x:c r="H79" s="7" t="s">
        <x:v>53</x:v>
      </x:c>
      <x:c r="I79" s="7" t="s">
        <x:v>53</x:v>
      </x:c>
      <x:c r="J79" s="7" t="s">
        <x:v>53</x:v>
      </x:c>
      <x:c r="K79" s="7" t="s">
        <x:v>53</x:v>
      </x:c>
      <x:c r="L79" s="7" t="s">
        <x:v>53</x:v>
      </x:c>
      <x:c r="M79" s="7" t="s">
        <x:v>53</x:v>
      </x:c>
      <x:c r="N79" s="7" t="s">
        <x:v>53</x:v>
      </x:c>
      <x:c r="O79" s="7" t="s">
        <x:v>53</x:v>
      </x:c>
      <x:c r="P79" s="7" t="s">
        <x:v>53</x:v>
      </x:c>
      <x:c r="Q79" s="7" t="s">
        <x:v>53</x:v>
      </x:c>
      <x:c r="R79" s="7" t="s">
        <x:v>53</x:v>
      </x:c>
      <x:c r="S79" s="7" t="s">
        <x:v>1488</x:v>
      </x:c>
      <x:c r="T79" s="7" t="s">
        <x:v>1488</x:v>
      </x:c>
      <x:c r="U79" s="7" t="s">
        <x:v>1489</x:v>
      </x:c>
      <x:c r="V79" s="7" t="s">
        <x:v>1489</x:v>
      </x:c>
      <x:c r="W79" s="7" t="s">
        <x:v>53</x:v>
      </x:c>
      <x:c r="X79" s="7" t="s">
        <x:v>1490</x:v>
      </x:c>
      <x:c r="Y79" s="7" t="s">
        <x:v>53</x:v>
      </x:c>
      <x:c r="Z79" s="7" t="s">
        <x:v>53</x:v>
      </x:c>
      <x:c r="AA79" s="7" t="s">
        <x:v>53</x:v>
      </x:c>
      <x:c r="AB79" s="7" t="s">
        <x:v>53</x:v>
      </x:c>
      <x:c r="AC79" s="7" t="s">
        <x:v>53</x:v>
      </x:c>
      <x:c r="AD79" s="7" t="s">
        <x:v>53</x:v>
      </x:c>
      <x:c r="AE79" s="7" t="s">
        <x:v>53</x:v>
      </x:c>
      <x:c r="AF79" s="7" t="s">
        <x:v>53</x:v>
      </x:c>
      <x:c r="AG79" s="7" t="s">
        <x:v>53</x:v>
      </x:c>
      <x:c r="AH79" s="7" t="s">
        <x:v>53</x:v>
      </x:c>
      <x:c r="AI79" s="7" t="s">
        <x:v>53</x:v>
      </x:c>
      <x:c r="AJ79" s="7" t="s">
        <x:v>1267</x:v>
      </x:c>
      <x:c r="AK79" s="7" t="s">
        <x:v>1491</x:v>
      </x:c>
      <x:c r="AL79" s="7" t="s">
        <x:v>1492</x:v>
      </x:c>
    </x:row>
    <x:row r="80" ht="79.5" hidden="0" customHeight="1">
      <x:c r="A80" s="7" t="s">
        <x:v>1699</x:v>
      </x:c>
      <x:c r="B80" s="7" t="s">
        <x:v>697</x:v>
      </x:c>
      <x:c r="C80" s="7" t="s">
        <x:v>699</x:v>
      </x:c>
      <x:c r="D80" s="7" t="s">
        <x:v>1487</x:v>
      </x:c>
      <x:c r="E80" s="7" t="s">
        <x:v>53</x:v>
      </x:c>
      <x:c r="F80" s="7" t="s">
        <x:v>53</x:v>
      </x:c>
      <x:c r="G80" s="7" t="s">
        <x:v>53</x:v>
      </x:c>
      <x:c r="H80" s="7" t="s">
        <x:v>53</x:v>
      </x:c>
      <x:c r="I80" s="7" t="s">
        <x:v>53</x:v>
      </x:c>
      <x:c r="J80" s="7" t="s">
        <x:v>53</x:v>
      </x:c>
      <x:c r="K80" s="7" t="s">
        <x:v>53</x:v>
      </x:c>
      <x:c r="L80" s="7" t="s">
        <x:v>53</x:v>
      </x:c>
      <x:c r="M80" s="7" t="s">
        <x:v>53</x:v>
      </x:c>
      <x:c r="N80" s="7" t="s">
        <x:v>53</x:v>
      </x:c>
      <x:c r="O80" s="7" t="s">
        <x:v>53</x:v>
      </x:c>
      <x:c r="P80" s="7" t="s">
        <x:v>53</x:v>
      </x:c>
      <x:c r="Q80" s="7" t="s">
        <x:v>53</x:v>
      </x:c>
      <x:c r="R80" s="7" t="s">
        <x:v>1545</x:v>
      </x:c>
      <x:c r="S80" s="7" t="s">
        <x:v>1488</x:v>
      </x:c>
      <x:c r="T80" s="7" t="s">
        <x:v>1488</x:v>
      </x:c>
      <x:c r="U80" s="7" t="s">
        <x:v>1489</x:v>
      </x:c>
      <x:c r="V80" s="7" t="s">
        <x:v>1489</x:v>
      </x:c>
      <x:c r="W80" s="7" t="s">
        <x:v>53</x:v>
      </x:c>
      <x:c r="X80" s="7" t="s">
        <x:v>1490</x:v>
      </x:c>
      <x:c r="Y80" s="7" t="s">
        <x:v>53</x:v>
      </x:c>
      <x:c r="Z80" s="7" t="s">
        <x:v>53</x:v>
      </x:c>
      <x:c r="AA80" s="7" t="s">
        <x:v>53</x:v>
      </x:c>
      <x:c r="AB80" s="7" t="s">
        <x:v>53</x:v>
      </x:c>
      <x:c r="AC80" s="7" t="s">
        <x:v>53</x:v>
      </x:c>
      <x:c r="AD80" s="7" t="s">
        <x:v>53</x:v>
      </x:c>
      <x:c r="AE80" s="7" t="s">
        <x:v>53</x:v>
      </x:c>
      <x:c r="AF80" s="7" t="s">
        <x:v>53</x:v>
      </x:c>
      <x:c r="AG80" s="7" t="s">
        <x:v>53</x:v>
      </x:c>
      <x:c r="AH80" s="7" t="s">
        <x:v>53</x:v>
      </x:c>
      <x:c r="AI80" s="7" t="s">
        <x:v>53</x:v>
      </x:c>
      <x:c r="AJ80" s="7" t="s">
        <x:v>1282</x:v>
      </x:c>
      <x:c r="AK80" s="7" t="s">
        <x:v>1491</x:v>
      </x:c>
      <x:c r="AL80" s="7" t="s">
        <x:v>1492</x:v>
      </x:c>
    </x:row>
    <x:row r="81" ht="79.5" hidden="0" customHeight="1">
      <x:c r="A81" s="7" t="s">
        <x:v>1700</x:v>
      </x:c>
      <x:c r="B81" s="7" t="s">
        <x:v>697</x:v>
      </x:c>
      <x:c r="C81" s="7" t="s">
        <x:v>1297</x:v>
      </x:c>
      <x:c r="D81" s="7" t="s">
        <x:v>1487</x:v>
      </x:c>
      <x:c r="E81" s="7" t="s">
        <x:v>674</x:v>
      </x:c>
      <x:c r="F81" s="7" t="s">
        <x:v>675</x:v>
      </x:c>
      <x:c r="G81" s="7" t="s">
        <x:v>676</x:v>
      </x:c>
      <x:c r="H81" s="7" t="s">
        <x:v>53</x:v>
      </x:c>
      <x:c r="I81" s="7" t="s">
        <x:v>53</x:v>
      </x:c>
      <x:c r="J81" s="7" t="s">
        <x:v>53</x:v>
      </x:c>
      <x:c r="K81" s="7" t="s">
        <x:v>1697</x:v>
      </x:c>
      <x:c r="L81" s="7" t="s">
        <x:v>53</x:v>
      </x:c>
      <x:c r="M81" s="7" t="s">
        <x:v>53</x:v>
      </x:c>
      <x:c r="N81" s="7" t="s">
        <x:v>53</x:v>
      </x:c>
      <x:c r="O81" s="7" t="s">
        <x:v>53</x:v>
      </x:c>
      <x:c r="P81" s="7" t="s">
        <x:v>53</x:v>
      </x:c>
      <x:c r="Q81" s="7" t="s">
        <x:v>53</x:v>
      </x:c>
      <x:c r="R81" s="7" t="s">
        <x:v>1545</x:v>
      </x:c>
      <x:c r="S81" s="7" t="s">
        <x:v>1488</x:v>
      </x:c>
      <x:c r="T81" s="7" t="s">
        <x:v>1488</x:v>
      </x:c>
      <x:c r="U81" s="7" t="s">
        <x:v>1489</x:v>
      </x:c>
      <x:c r="V81" s="7" t="s">
        <x:v>1489</x:v>
      </x:c>
      <x:c r="W81" s="7" t="s">
        <x:v>53</x:v>
      </x:c>
      <x:c r="X81" s="7" t="s">
        <x:v>1490</x:v>
      </x:c>
      <x:c r="Y81" s="7" t="s">
        <x:v>53</x:v>
      </x:c>
      <x:c r="Z81" s="7" t="s">
        <x:v>53</x:v>
      </x:c>
      <x:c r="AA81" s="7" t="s">
        <x:v>53</x:v>
      </x:c>
      <x:c r="AB81" s="7" t="s">
        <x:v>53</x:v>
      </x:c>
      <x:c r="AC81" s="7" t="s">
        <x:v>53</x:v>
      </x:c>
      <x:c r="AD81" s="7" t="s">
        <x:v>53</x:v>
      </x:c>
      <x:c r="AE81" s="7" t="s">
        <x:v>53</x:v>
      </x:c>
      <x:c r="AF81" s="7" t="s">
        <x:v>53</x:v>
      </x:c>
      <x:c r="AG81" s="7" t="s">
        <x:v>53</x:v>
      </x:c>
      <x:c r="AH81" s="7" t="s">
        <x:v>53</x:v>
      </x:c>
      <x:c r="AI81" s="7" t="s">
        <x:v>53</x:v>
      </x:c>
      <x:c r="AJ81" s="7" t="s">
        <x:v>1295</x:v>
      </x:c>
      <x:c r="AK81" s="7" t="s">
        <x:v>1491</x:v>
      </x:c>
      <x:c r="AL81" s="7" t="s">
        <x:v>1492</x:v>
      </x:c>
    </x:row>
    <x:row r="82" ht="79.5" hidden="0" customHeight="1">
      <x:c r="A82" s="7" t="s">
        <x:v>1701</x:v>
      </x:c>
      <x:c r="B82" s="7" t="s">
        <x:v>697</x:v>
      </x:c>
      <x:c r="C82" s="7" t="s">
        <x:v>1298</x:v>
      </x:c>
      <x:c r="D82" s="7" t="s">
        <x:v>1487</x:v>
      </x:c>
      <x:c r="E82" s="7" t="s">
        <x:v>53</x:v>
      </x:c>
      <x:c r="F82" s="7" t="s">
        <x:v>53</x:v>
      </x:c>
      <x:c r="G82" s="7" t="s">
        <x:v>53</x:v>
      </x:c>
      <x:c r="H82" s="7" t="s">
        <x:v>53</x:v>
      </x:c>
      <x:c r="I82" s="7" t="s">
        <x:v>53</x:v>
      </x:c>
      <x:c r="J82" s="7" t="s">
        <x:v>53</x:v>
      </x:c>
      <x:c r="K82" s="7" t="s">
        <x:v>53</x:v>
      </x:c>
      <x:c r="L82" s="7" t="s">
        <x:v>53</x:v>
      </x:c>
      <x:c r="M82" s="7" t="s">
        <x:v>53</x:v>
      </x:c>
      <x:c r="N82" s="7" t="s">
        <x:v>53</x:v>
      </x:c>
      <x:c r="O82" s="7" t="s">
        <x:v>53</x:v>
      </x:c>
      <x:c r="P82" s="7" t="s">
        <x:v>53</x:v>
      </x:c>
      <x:c r="Q82" s="7" t="s">
        <x:v>53</x:v>
      </x:c>
      <x:c r="R82" s="7" t="s">
        <x:v>1545</x:v>
      </x:c>
      <x:c r="S82" s="7" t="s">
        <x:v>1488</x:v>
      </x:c>
      <x:c r="T82" s="7" t="s">
        <x:v>1488</x:v>
      </x:c>
      <x:c r="U82" s="7" t="s">
        <x:v>1489</x:v>
      </x:c>
      <x:c r="V82" s="7" t="s">
        <x:v>1489</x:v>
      </x:c>
      <x:c r="W82" s="7" t="s">
        <x:v>53</x:v>
      </x:c>
      <x:c r="X82" s="7" t="s">
        <x:v>1490</x:v>
      </x:c>
      <x:c r="Y82" s="7" t="s">
        <x:v>53</x:v>
      </x:c>
      <x:c r="Z82" s="7" t="s">
        <x:v>53</x:v>
      </x:c>
      <x:c r="AA82" s="7" t="s">
        <x:v>53</x:v>
      </x:c>
      <x:c r="AB82" s="7" t="s">
        <x:v>53</x:v>
      </x:c>
      <x:c r="AC82" s="7" t="s">
        <x:v>53</x:v>
      </x:c>
      <x:c r="AD82" s="7" t="s">
        <x:v>53</x:v>
      </x:c>
      <x:c r="AE82" s="7" t="s">
        <x:v>53</x:v>
      </x:c>
      <x:c r="AF82" s="7" t="s">
        <x:v>53</x:v>
      </x:c>
      <x:c r="AG82" s="7" t="s">
        <x:v>53</x:v>
      </x:c>
      <x:c r="AH82" s="7" t="s">
        <x:v>53</x:v>
      </x:c>
      <x:c r="AI82" s="7" t="s">
        <x:v>53</x:v>
      </x:c>
      <x:c r="AJ82" s="7" t="s">
        <x:v>1300</x:v>
      </x:c>
      <x:c r="AK82" s="7" t="s">
        <x:v>1491</x:v>
      </x:c>
      <x:c r="AL82" s="7" t="s">
        <x:v>1492</x:v>
      </x:c>
    </x:row>
    <x:row r="83" ht="79.5" hidden="0" customHeight="1">
      <x:c r="A83" s="7" t="s">
        <x:v>711</x:v>
      </x:c>
      <x:c r="B83" s="7" t="s">
        <x:v>708</x:v>
      </x:c>
      <x:c r="C83" s="7" t="s">
        <x:v>710</x:v>
      </x:c>
      <x:c r="D83" s="7" t="s">
        <x:v>1487</x:v>
      </x:c>
      <x:c r="E83" s="7" t="s">
        <x:v>53</x:v>
      </x:c>
      <x:c r="F83" s="7" t="s">
        <x:v>53</x:v>
      </x:c>
      <x:c r="G83" s="7" t="s">
        <x:v>53</x:v>
      </x:c>
      <x:c r="H83" s="7" t="s">
        <x:v>53</x:v>
      </x:c>
      <x:c r="I83" s="7" t="s">
        <x:v>53</x:v>
      </x:c>
      <x:c r="J83" s="7" t="s">
        <x:v>53</x:v>
      </x:c>
      <x:c r="K83" s="7" t="s">
        <x:v>53</x:v>
      </x:c>
      <x:c r="L83" s="7" t="s">
        <x:v>53</x:v>
      </x:c>
      <x:c r="M83" s="7" t="s">
        <x:v>53</x:v>
      </x:c>
      <x:c r="N83" s="7" t="s">
        <x:v>53</x:v>
      </x:c>
      <x:c r="O83" s="7" t="s">
        <x:v>53</x:v>
      </x:c>
      <x:c r="P83" s="7" t="s">
        <x:v>53</x:v>
      </x:c>
      <x:c r="Q83" s="7" t="s">
        <x:v>53</x:v>
      </x:c>
      <x:c r="R83" s="7" t="s">
        <x:v>1545</x:v>
      </x:c>
      <x:c r="S83" s="7" t="s">
        <x:v>1488</x:v>
      </x:c>
      <x:c r="T83" s="7" t="s">
        <x:v>1488</x:v>
      </x:c>
      <x:c r="U83" s="7" t="s">
        <x:v>1489</x:v>
      </x:c>
      <x:c r="V83" s="7" t="s">
        <x:v>1489</x:v>
      </x:c>
      <x:c r="W83" s="7" t="s">
        <x:v>53</x:v>
      </x:c>
      <x:c r="X83" s="7" t="s">
        <x:v>1490</x:v>
      </x:c>
      <x:c r="Y83" s="7" t="s">
        <x:v>53</x:v>
      </x:c>
      <x:c r="Z83" s="7" t="s">
        <x:v>53</x:v>
      </x:c>
      <x:c r="AA83" s="7" t="s">
        <x:v>53</x:v>
      </x:c>
      <x:c r="AB83" s="7" t="s">
        <x:v>53</x:v>
      </x:c>
      <x:c r="AC83" s="7" t="s">
        <x:v>53</x:v>
      </x:c>
      <x:c r="AD83" s="7" t="s">
        <x:v>53</x:v>
      </x:c>
      <x:c r="AE83" s="7" t="s">
        <x:v>53</x:v>
      </x:c>
      <x:c r="AF83" s="7" t="s">
        <x:v>53</x:v>
      </x:c>
      <x:c r="AG83" s="7" t="s">
        <x:v>53</x:v>
      </x:c>
      <x:c r="AH83" s="7" t="s">
        <x:v>53</x:v>
      </x:c>
      <x:c r="AI83" s="7" t="s">
        <x:v>53</x:v>
      </x:c>
      <x:c r="AJ83" s="7" t="s">
        <x:v>1302</x:v>
      </x:c>
      <x:c r="AK83" s="7" t="s">
        <x:v>1491</x:v>
      </x:c>
      <x:c r="AL83" s="7" t="s">
        <x:v>1492</x:v>
      </x:c>
    </x:row>
    <x:row r="84" ht="79.5" hidden="0" customHeight="1">
      <x:c r="A84" s="7" t="s">
        <x:v>1702</x:v>
      </x:c>
      <x:c r="B84" s="7" t="s">
        <x:v>708</x:v>
      </x:c>
      <x:c r="C84" s="7" t="s">
        <x:v>1303</x:v>
      </x:c>
      <x:c r="D84" s="7" t="s">
        <x:v>1487</x:v>
      </x:c>
      <x:c r="E84" s="7" t="s">
        <x:v>1703</x:v>
      </x:c>
      <x:c r="F84" s="7" t="s">
        <x:v>564</x:v>
      </x:c>
      <x:c r="G84" s="7" t="s">
        <x:v>1704</x:v>
      </x:c>
      <x:c r="H84" s="7" t="s">
        <x:v>53</x:v>
      </x:c>
      <x:c r="I84" s="7" t="s">
        <x:v>1630</x:v>
      </x:c>
      <x:c r="J84" s="7" t="s">
        <x:v>1507</x:v>
      </x:c>
      <x:c r="K84" s="7" t="s">
        <x:v>1669</x:v>
      </x:c>
      <x:c r="L84" s="7" t="s">
        <x:v>1660</x:v>
      </x:c>
      <x:c r="M84" s="7" t="s">
        <x:v>53</x:v>
      </x:c>
      <x:c r="N84" s="7" t="s">
        <x:v>53</x:v>
      </x:c>
      <x:c r="O84" s="7" t="s">
        <x:v>53</x:v>
      </x:c>
      <x:c r="P84" s="7" t="s">
        <x:v>53</x:v>
      </x:c>
      <x:c r="Q84" s="7" t="s">
        <x:v>53</x:v>
      </x:c>
      <x:c r="R84" s="7" t="s">
        <x:v>1545</x:v>
      </x:c>
      <x:c r="S84" s="7" t="s">
        <x:v>1488</x:v>
      </x:c>
      <x:c r="T84" s="7" t="s">
        <x:v>1488</x:v>
      </x:c>
      <x:c r="U84" s="7" t="s">
        <x:v>1489</x:v>
      </x:c>
      <x:c r="V84" s="7" t="s">
        <x:v>1489</x:v>
      </x:c>
      <x:c r="W84" s="7" t="s">
        <x:v>53</x:v>
      </x:c>
      <x:c r="X84" s="7" t="s">
        <x:v>1490</x:v>
      </x:c>
      <x:c r="Y84" s="7" t="s">
        <x:v>1558</x:v>
      </x:c>
      <x:c r="Z84" s="7" t="s">
        <x:v>53</x:v>
      </x:c>
      <x:c r="AA84" s="7" t="s">
        <x:v>53</x:v>
      </x:c>
      <x:c r="AB84" s="7" t="s">
        <x:v>53</x:v>
      </x:c>
      <x:c r="AC84" s="7" t="s">
        <x:v>53</x:v>
      </x:c>
      <x:c r="AD84" s="7" t="s">
        <x:v>1705</x:v>
      </x:c>
      <x:c r="AE84" s="7" t="s">
        <x:v>53</x:v>
      </x:c>
      <x:c r="AF84" s="7" t="s">
        <x:v>53</x:v>
      </x:c>
      <x:c r="AG84" s="7" t="s">
        <x:v>53</x:v>
      </x:c>
      <x:c r="AH84" s="7" t="s">
        <x:v>53</x:v>
      </x:c>
      <x:c r="AI84" s="7" t="s">
        <x:v>53</x:v>
      </x:c>
      <x:c r="AJ84" s="7" t="s">
        <x:v>1305</x:v>
      </x:c>
      <x:c r="AK84" s="7" t="s">
        <x:v>1491</x:v>
      </x:c>
      <x:c r="AL84" s="7" t="s">
        <x:v>1492</x:v>
      </x:c>
    </x:row>
    <x:row r="85" ht="51.75" hidden="0" customHeight="1">
      <x:c r="A85" s="7" t="s">
        <x:v>722</x:v>
      </x:c>
      <x:c r="B85" s="7" t="s">
        <x:v>719</x:v>
      </x:c>
      <x:c r="C85" s="7" t="s">
        <x:v>721</x:v>
      </x:c>
      <x:c r="D85" s="7" t="s">
        <x:v>1487</x:v>
      </x:c>
      <x:c r="E85" s="7" t="s">
        <x:v>53</x:v>
      </x:c>
      <x:c r="F85" s="7" t="s">
        <x:v>53</x:v>
      </x:c>
      <x:c r="G85" s="7" t="s">
        <x:v>53</x:v>
      </x:c>
      <x:c r="H85" s="7" t="s">
        <x:v>53</x:v>
      </x:c>
      <x:c r="I85" s="7" t="s">
        <x:v>53</x:v>
      </x:c>
      <x:c r="J85" s="7" t="s">
        <x:v>53</x:v>
      </x:c>
      <x:c r="K85" s="7" t="s">
        <x:v>53</x:v>
      </x:c>
      <x:c r="L85" s="7" t="s">
        <x:v>53</x:v>
      </x:c>
      <x:c r="M85" s="7" t="s">
        <x:v>53</x:v>
      </x:c>
      <x:c r="N85" s="7" t="s">
        <x:v>53</x:v>
      </x:c>
      <x:c r="O85" s="7" t="s">
        <x:v>53</x:v>
      </x:c>
      <x:c r="P85" s="7" t="s">
        <x:v>53</x:v>
      </x:c>
      <x:c r="Q85" s="7" t="s">
        <x:v>53</x:v>
      </x:c>
      <x:c r="R85" s="7" t="s">
        <x:v>53</x:v>
      </x:c>
      <x:c r="S85" s="7" t="s">
        <x:v>1488</x:v>
      </x:c>
      <x:c r="T85" s="7" t="s">
        <x:v>1488</x:v>
      </x:c>
      <x:c r="U85" s="7" t="s">
        <x:v>1489</x:v>
      </x:c>
      <x:c r="V85" s="7" t="s">
        <x:v>1489</x:v>
      </x:c>
      <x:c r="W85" s="7" t="s">
        <x:v>53</x:v>
      </x:c>
      <x:c r="X85" s="7" t="s">
        <x:v>1490</x:v>
      </x:c>
      <x:c r="Y85" s="7" t="s">
        <x:v>53</x:v>
      </x:c>
      <x:c r="Z85" s="7" t="s">
        <x:v>53</x:v>
      </x:c>
      <x:c r="AA85" s="7" t="s">
        <x:v>53</x:v>
      </x:c>
      <x:c r="AB85" s="7" t="s">
        <x:v>53</x:v>
      </x:c>
      <x:c r="AC85" s="7" t="s">
        <x:v>53</x:v>
      </x:c>
      <x:c r="AD85" s="7" t="s">
        <x:v>53</x:v>
      </x:c>
      <x:c r="AE85" s="7" t="s">
        <x:v>53</x:v>
      </x:c>
      <x:c r="AF85" s="7" t="s">
        <x:v>53</x:v>
      </x:c>
      <x:c r="AG85" s="7" t="s">
        <x:v>53</x:v>
      </x:c>
      <x:c r="AH85" s="7" t="s">
        <x:v>53</x:v>
      </x:c>
      <x:c r="AI85" s="7" t="s">
        <x:v>53</x:v>
      </x:c>
      <x:c r="AJ85" s="7" t="s">
        <x:v>1307</x:v>
      </x:c>
      <x:c r="AK85" s="7" t="s">
        <x:v>1491</x:v>
      </x:c>
      <x:c r="AL85" s="7" t="s">
        <x:v>1492</x:v>
      </x:c>
    </x:row>
    <x:row r="86" ht="51.75" hidden="0" customHeight="1">
      <x:c r="A86" s="7" t="s">
        <x:v>1706</x:v>
      </x:c>
      <x:c r="B86" s="7" t="s">
        <x:v>719</x:v>
      </x:c>
      <x:c r="C86" s="7" t="s">
        <x:v>1308</x:v>
      </x:c>
      <x:c r="D86" s="7" t="s">
        <x:v>1487</x:v>
      </x:c>
      <x:c r="E86" s="7" t="s">
        <x:v>731</x:v>
      </x:c>
      <x:c r="F86" s="7" t="s">
        <x:v>732</x:v>
      </x:c>
      <x:c r="G86" s="7" t="s">
        <x:v>733</x:v>
      </x:c>
      <x:c r="H86" s="7" t="s">
        <x:v>53</x:v>
      </x:c>
      <x:c r="I86" s="7" t="s">
        <x:v>53</x:v>
      </x:c>
      <x:c r="J86" s="7" t="s">
        <x:v>53</x:v>
      </x:c>
      <x:c r="K86" s="7" t="s">
        <x:v>1697</x:v>
      </x:c>
      <x:c r="L86" s="7" t="s">
        <x:v>53</x:v>
      </x:c>
      <x:c r="M86" s="7" t="s">
        <x:v>53</x:v>
      </x:c>
      <x:c r="N86" s="7" t="s">
        <x:v>53</x:v>
      </x:c>
      <x:c r="O86" s="7" t="s">
        <x:v>53</x:v>
      </x:c>
      <x:c r="P86" s="7" t="s">
        <x:v>53</x:v>
      </x:c>
      <x:c r="Q86" s="7" t="s">
        <x:v>53</x:v>
      </x:c>
      <x:c r="R86" s="7" t="s">
        <x:v>53</x:v>
      </x:c>
      <x:c r="S86" s="7" t="s">
        <x:v>1488</x:v>
      </x:c>
      <x:c r="T86" s="7" t="s">
        <x:v>1488</x:v>
      </x:c>
      <x:c r="U86" s="7" t="s">
        <x:v>1489</x:v>
      </x:c>
      <x:c r="V86" s="7" t="s">
        <x:v>1489</x:v>
      </x:c>
      <x:c r="W86" s="7" t="s">
        <x:v>53</x:v>
      </x:c>
      <x:c r="X86" s="7" t="s">
        <x:v>1490</x:v>
      </x:c>
      <x:c r="Y86" s="7" t="s">
        <x:v>53</x:v>
      </x:c>
      <x:c r="Z86" s="7" t="s">
        <x:v>53</x:v>
      </x:c>
      <x:c r="AA86" s="7" t="s">
        <x:v>53</x:v>
      </x:c>
      <x:c r="AB86" s="7" t="s">
        <x:v>53</x:v>
      </x:c>
      <x:c r="AC86" s="7" t="s">
        <x:v>53</x:v>
      </x:c>
      <x:c r="AD86" s="7" t="s">
        <x:v>53</x:v>
      </x:c>
      <x:c r="AE86" s="7" t="s">
        <x:v>53</x:v>
      </x:c>
      <x:c r="AF86" s="7" t="s">
        <x:v>53</x:v>
      </x:c>
      <x:c r="AG86" s="7" t="s">
        <x:v>53</x:v>
      </x:c>
      <x:c r="AH86" s="7" t="s">
        <x:v>53</x:v>
      </x:c>
      <x:c r="AI86" s="7" t="s">
        <x:v>53</x:v>
      </x:c>
      <x:c r="AJ86" s="7" t="s">
        <x:v>1310</x:v>
      </x:c>
      <x:c r="AK86" s="7" t="s">
        <x:v>1491</x:v>
      </x:c>
      <x:c r="AL86" s="7" t="s">
        <x:v>1492</x:v>
      </x:c>
    </x:row>
    <x:row r="87" ht="51.75" hidden="0" customHeight="1">
      <x:c r="A87" s="7" t="s">
        <x:v>734</x:v>
      </x:c>
      <x:c r="B87" s="7" t="s">
        <x:v>728</x:v>
      </x:c>
      <x:c r="C87" s="7" t="s">
        <x:v>730</x:v>
      </x:c>
      <x:c r="D87" s="7" t="s">
        <x:v>1487</x:v>
      </x:c>
      <x:c r="E87" s="7" t="s">
        <x:v>731</x:v>
      </x:c>
      <x:c r="F87" s="7" t="s">
        <x:v>732</x:v>
      </x:c>
      <x:c r="G87" s="7" t="s">
        <x:v>733</x:v>
      </x:c>
      <x:c r="H87" s="7" t="s">
        <x:v>53</x:v>
      </x:c>
      <x:c r="I87" s="7" t="s">
        <x:v>53</x:v>
      </x:c>
      <x:c r="J87" s="7" t="s">
        <x:v>53</x:v>
      </x:c>
      <x:c r="K87" s="7" t="s">
        <x:v>1697</x:v>
      </x:c>
      <x:c r="L87" s="7" t="s">
        <x:v>53</x:v>
      </x:c>
      <x:c r="M87" s="7" t="s">
        <x:v>53</x:v>
      </x:c>
      <x:c r="N87" s="7" t="s">
        <x:v>53</x:v>
      </x:c>
      <x:c r="O87" s="7" t="s">
        <x:v>53</x:v>
      </x:c>
      <x:c r="P87" s="7" t="s">
        <x:v>53</x:v>
      </x:c>
      <x:c r="Q87" s="7" t="s">
        <x:v>53</x:v>
      </x:c>
      <x:c r="R87" s="7" t="s">
        <x:v>53</x:v>
      </x:c>
      <x:c r="S87" s="7" t="s">
        <x:v>1488</x:v>
      </x:c>
      <x:c r="T87" s="7" t="s">
        <x:v>1488</x:v>
      </x:c>
      <x:c r="U87" s="7" t="s">
        <x:v>1489</x:v>
      </x:c>
      <x:c r="V87" s="7" t="s">
        <x:v>1489</x:v>
      </x:c>
      <x:c r="W87" s="7" t="s">
        <x:v>53</x:v>
      </x:c>
      <x:c r="X87" s="7" t="s">
        <x:v>1490</x:v>
      </x:c>
      <x:c r="Y87" s="7" t="s">
        <x:v>53</x:v>
      </x:c>
      <x:c r="Z87" s="7" t="s">
        <x:v>53</x:v>
      </x:c>
      <x:c r="AA87" s="7" t="s">
        <x:v>53</x:v>
      </x:c>
      <x:c r="AB87" s="7" t="s">
        <x:v>53</x:v>
      </x:c>
      <x:c r="AC87" s="7" t="s">
        <x:v>53</x:v>
      </x:c>
      <x:c r="AD87" s="7" t="s">
        <x:v>53</x:v>
      </x:c>
      <x:c r="AE87" s="7" t="s">
        <x:v>53</x:v>
      </x:c>
      <x:c r="AF87" s="7" t="s">
        <x:v>53</x:v>
      </x:c>
      <x:c r="AG87" s="7" t="s">
        <x:v>53</x:v>
      </x:c>
      <x:c r="AH87" s="7" t="s">
        <x:v>53</x:v>
      </x:c>
      <x:c r="AI87" s="7" t="s">
        <x:v>53</x:v>
      </x:c>
      <x:c r="AJ87" s="7" t="s">
        <x:v>1310</x:v>
      </x:c>
      <x:c r="AK87" s="7" t="s">
        <x:v>1491</x:v>
      </x:c>
      <x:c r="AL87" s="7" t="s">
        <x:v>1492</x:v>
      </x:c>
    </x:row>
    <x:row r="88" ht="51.75" hidden="0" customHeight="1">
      <x:c r="A88" s="7" t="s">
        <x:v>744</x:v>
      </x:c>
      <x:c r="B88" s="7" t="s">
        <x:v>738</x:v>
      </x:c>
      <x:c r="C88" s="7" t="s">
        <x:v>741</x:v>
      </x:c>
      <x:c r="D88" s="7" t="s">
        <x:v>1487</x:v>
      </x:c>
      <x:c r="E88" s="7" t="s">
        <x:v>742</x:v>
      </x:c>
      <x:c r="F88" s="7" t="s">
        <x:v>743</x:v>
      </x:c>
      <x:c r="G88" s="7" t="s">
        <x:v>53</x:v>
      </x:c>
      <x:c r="H88" s="7" t="s">
        <x:v>1707</x:v>
      </x:c>
      <x:c r="I88" s="7" t="s">
        <x:v>53</x:v>
      </x:c>
      <x:c r="J88" s="7" t="s">
        <x:v>53</x:v>
      </x:c>
      <x:c r="K88" s="7" t="s">
        <x:v>1708</x:v>
      </x:c>
      <x:c r="L88" s="7" t="s">
        <x:v>53</x:v>
      </x:c>
      <x:c r="M88" s="7" t="s">
        <x:v>53</x:v>
      </x:c>
      <x:c r="N88" s="7" t="s">
        <x:v>1709</x:v>
      </x:c>
      <x:c r="O88" s="7" t="s">
        <x:v>1710</x:v>
      </x:c>
      <x:c r="P88" s="7" t="s">
        <x:v>53</x:v>
      </x:c>
      <x:c r="Q88" s="7" t="s">
        <x:v>53</x:v>
      </x:c>
      <x:c r="R88" s="7" t="s">
        <x:v>53</x:v>
      </x:c>
      <x:c r="S88" s="7" t="s">
        <x:v>1488</x:v>
      </x:c>
      <x:c r="T88" s="7" t="s">
        <x:v>1488</x:v>
      </x:c>
      <x:c r="U88" s="7" t="s">
        <x:v>1489</x:v>
      </x:c>
      <x:c r="V88" s="7" t="s">
        <x:v>1489</x:v>
      </x:c>
      <x:c r="W88" s="7" t="s">
        <x:v>53</x:v>
      </x:c>
      <x:c r="X88" s="7" t="s">
        <x:v>1490</x:v>
      </x:c>
      <x:c r="Y88" s="7" t="s">
        <x:v>53</x:v>
      </x:c>
      <x:c r="Z88" s="7" t="s">
        <x:v>53</x:v>
      </x:c>
      <x:c r="AA88" s="7" t="s">
        <x:v>53</x:v>
      </x:c>
      <x:c r="AB88" s="7" t="s">
        <x:v>53</x:v>
      </x:c>
      <x:c r="AC88" s="7" t="s">
        <x:v>53</x:v>
      </x:c>
      <x:c r="AD88" s="7" t="s">
        <x:v>53</x:v>
      </x:c>
      <x:c r="AE88" s="7" t="s">
        <x:v>1711</x:v>
      </x:c>
      <x:c r="AF88" s="7" t="s">
        <x:v>53</x:v>
      </x:c>
      <x:c r="AG88" s="7" t="s">
        <x:v>53</x:v>
      </x:c>
      <x:c r="AH88" s="7" t="s">
        <x:v>53</x:v>
      </x:c>
      <x:c r="AI88" s="7" t="s">
        <x:v>53</x:v>
      </x:c>
      <x:c r="AJ88" s="7" t="s">
        <x:v>1313</x:v>
      </x:c>
      <x:c r="AK88" s="7" t="s">
        <x:v>1491</x:v>
      </x:c>
      <x:c r="AL88" s="7" t="s">
        <x:v>1492</x:v>
      </x:c>
    </x:row>
    <x:row r="89" ht="79.5" hidden="0" customHeight="1">
      <x:c r="A89" s="7" t="s">
        <x:v>754</x:v>
      </x:c>
      <x:c r="B89" s="7" t="s">
        <x:v>749</x:v>
      </x:c>
      <x:c r="C89" s="7" t="s">
        <x:v>751</x:v>
      </x:c>
      <x:c r="D89" s="7" t="s">
        <x:v>1487</x:v>
      </x:c>
      <x:c r="E89" s="7" t="s">
        <x:v>752</x:v>
      </x:c>
      <x:c r="F89" s="7" t="s">
        <x:v>360</x:v>
      </x:c>
      <x:c r="G89" s="7" t="s">
        <x:v>753</x:v>
      </x:c>
      <x:c r="H89" s="7" t="s">
        <x:v>53</x:v>
      </x:c>
      <x:c r="I89" s="7" t="s">
        <x:v>1675</x:v>
      </x:c>
      <x:c r="J89" s="7" t="s">
        <x:v>1507</x:v>
      </x:c>
      <x:c r="K89" s="7" t="s">
        <x:v>1565</x:v>
      </x:c>
      <x:c r="L89" s="7" t="s">
        <x:v>1677</x:v>
      </x:c>
      <x:c r="M89" s="7" t="s">
        <x:v>53</x:v>
      </x:c>
      <x:c r="N89" s="7" t="s">
        <x:v>1712</x:v>
      </x:c>
      <x:c r="O89" s="7" t="s">
        <x:v>1713</x:v>
      </x:c>
      <x:c r="P89" s="7" t="s">
        <x:v>53</x:v>
      </x:c>
      <x:c r="Q89" s="7" t="s">
        <x:v>1714</x:v>
      </x:c>
      <x:c r="R89" s="7" t="s">
        <x:v>1545</x:v>
      </x:c>
      <x:c r="S89" s="7" t="s">
        <x:v>1715</x:v>
      </x:c>
      <x:c r="T89" s="7" t="s">
        <x:v>1716</x:v>
      </x:c>
      <x:c r="U89" s="7" t="s">
        <x:v>1717</x:v>
      </x:c>
      <x:c r="V89" s="7" t="s">
        <x:v>1717</x:v>
      </x:c>
      <x:c r="W89" s="7" t="s">
        <x:v>53</x:v>
      </x:c>
      <x:c r="X89" s="7" t="s">
        <x:v>1490</x:v>
      </x:c>
      <x:c r="Y89" s="7" t="s">
        <x:v>53</x:v>
      </x:c>
      <x:c r="Z89" s="7" t="s">
        <x:v>53</x:v>
      </x:c>
      <x:c r="AA89" s="7" t="s">
        <x:v>53</x:v>
      </x:c>
      <x:c r="AB89" s="7" t="s">
        <x:v>53</x:v>
      </x:c>
      <x:c r="AC89" s="7" t="s">
        <x:v>53</x:v>
      </x:c>
      <x:c r="AD89" s="7" t="s">
        <x:v>53</x:v>
      </x:c>
      <x:c r="AE89" s="7" t="s">
        <x:v>53</x:v>
      </x:c>
      <x:c r="AF89" s="7" t="s">
        <x:v>53</x:v>
      </x:c>
      <x:c r="AG89" s="7" t="s">
        <x:v>53</x:v>
      </x:c>
      <x:c r="AH89" s="7" t="s">
        <x:v>53</x:v>
      </x:c>
      <x:c r="AI89" s="7" t="s">
        <x:v>53</x:v>
      </x:c>
      <x:c r="AJ89" s="7" t="s">
        <x:v>1314</x:v>
      </x:c>
      <x:c r="AK89" s="7" t="s">
        <x:v>1491</x:v>
      </x:c>
      <x:c r="AL89" s="7" t="s">
        <x:v>1492</x:v>
      </x:c>
    </x:row>
    <x:row r="90" ht="79.5" hidden="0" customHeight="1">
      <x:c r="A90" s="7" t="s">
        <x:v>764</x:v>
      </x:c>
      <x:c r="B90" s="7" t="s">
        <x:v>759</x:v>
      </x:c>
      <x:c r="C90" s="7" t="s">
        <x:v>761</x:v>
      </x:c>
      <x:c r="D90" s="7" t="s">
        <x:v>1487</x:v>
      </x:c>
      <x:c r="E90" s="7" t="s">
        <x:v>762</x:v>
      </x:c>
      <x:c r="F90" s="7" t="s">
        <x:v>763</x:v>
      </x:c>
      <x:c r="G90" s="7" t="s">
        <x:v>53</x:v>
      </x:c>
      <x:c r="H90" s="7" t="s">
        <x:v>53</x:v>
      </x:c>
      <x:c r="I90" s="7" t="s">
        <x:v>53</x:v>
      </x:c>
      <x:c r="J90" s="7" t="s">
        <x:v>53</x:v>
      </x:c>
      <x:c r="K90" s="7" t="s">
        <x:v>1718</x:v>
      </x:c>
      <x:c r="L90" s="7" t="s">
        <x:v>1719</x:v>
      </x:c>
      <x:c r="M90" s="7" t="s">
        <x:v>53</x:v>
      </x:c>
      <x:c r="N90" s="7" t="s">
        <x:v>1720</x:v>
      </x:c>
      <x:c r="O90" s="7" t="s">
        <x:v>1721</x:v>
      </x:c>
      <x:c r="P90" s="7" t="s">
        <x:v>53</x:v>
      </x:c>
      <x:c r="Q90" s="7" t="s">
        <x:v>1722</x:v>
      </x:c>
      <x:c r="R90" s="7" t="s">
        <x:v>1545</x:v>
      </x:c>
      <x:c r="S90" s="7" t="s">
        <x:v>1488</x:v>
      </x:c>
      <x:c r="T90" s="7" t="s">
        <x:v>1488</x:v>
      </x:c>
      <x:c r="U90" s="7" t="s">
        <x:v>1489</x:v>
      </x:c>
      <x:c r="V90" s="7" t="s">
        <x:v>1489</x:v>
      </x:c>
      <x:c r="W90" s="7" t="s">
        <x:v>53</x:v>
      </x:c>
      <x:c r="X90" s="7" t="s">
        <x:v>1490</x:v>
      </x:c>
      <x:c r="Y90" s="7" t="s">
        <x:v>1723</x:v>
      </x:c>
      <x:c r="Z90" s="7" t="s">
        <x:v>53</x:v>
      </x:c>
      <x:c r="AA90" s="7" t="s">
        <x:v>53</x:v>
      </x:c>
      <x:c r="AB90" s="7" t="s">
        <x:v>53</x:v>
      </x:c>
      <x:c r="AC90" s="7" t="s">
        <x:v>53</x:v>
      </x:c>
      <x:c r="AD90" s="7" t="s">
        <x:v>53</x:v>
      </x:c>
      <x:c r="AE90" s="7" t="s">
        <x:v>1724</x:v>
      </x:c>
      <x:c r="AF90" s="7" t="s">
        <x:v>53</x:v>
      </x:c>
      <x:c r="AG90" s="7" t="s">
        <x:v>53</x:v>
      </x:c>
      <x:c r="AH90" s="7" t="s">
        <x:v>53</x:v>
      </x:c>
      <x:c r="AI90" s="7" t="s">
        <x:v>53</x:v>
      </x:c>
      <x:c r="AJ90" s="7" t="s">
        <x:v>1317</x:v>
      </x:c>
      <x:c r="AK90" s="7" t="s">
        <x:v>1491</x:v>
      </x:c>
      <x:c r="AL90" s="7" t="s">
        <x:v>1725</x:v>
      </x:c>
    </x:row>
    <x:row r="91" ht="51.75" hidden="0" customHeight="1">
      <x:c r="A91" s="7" t="s">
        <x:v>774</x:v>
      </x:c>
      <x:c r="B91" s="7" t="s">
        <x:v>768</x:v>
      </x:c>
      <x:c r="C91" s="7" t="s">
        <x:v>771</x:v>
      </x:c>
      <x:c r="D91" s="7" t="s">
        <x:v>1487</x:v>
      </x:c>
      <x:c r="E91" s="7" t="s">
        <x:v>772</x:v>
      </x:c>
      <x:c r="F91" s="7" t="s">
        <x:v>773</x:v>
      </x:c>
      <x:c r="G91" s="7" t="s">
        <x:v>53</x:v>
      </x:c>
      <x:c r="H91" s="7" t="s">
        <x:v>53</x:v>
      </x:c>
      <x:c r="I91" s="7" t="s">
        <x:v>53</x:v>
      </x:c>
      <x:c r="J91" s="7" t="s">
        <x:v>1726</x:v>
      </x:c>
      <x:c r="K91" s="7" t="s">
        <x:v>1676</x:v>
      </x:c>
      <x:c r="L91" s="7" t="s">
        <x:v>53</x:v>
      </x:c>
      <x:c r="M91" s="7" t="s">
        <x:v>53</x:v>
      </x:c>
      <x:c r="N91" s="7" t="s">
        <x:v>1727</x:v>
      </x:c>
      <x:c r="O91" s="7" t="s">
        <x:v>53</x:v>
      </x:c>
      <x:c r="P91" s="7" t="s">
        <x:v>1728</x:v>
      </x:c>
      <x:c r="Q91" s="7" t="s">
        <x:v>53</x:v>
      </x:c>
      <x:c r="R91" s="7" t="s">
        <x:v>53</x:v>
      </x:c>
      <x:c r="S91" s="7" t="s">
        <x:v>1488</x:v>
      </x:c>
      <x:c r="T91" s="7" t="s">
        <x:v>1488</x:v>
      </x:c>
      <x:c r="U91" s="7" t="s">
        <x:v>1729</x:v>
      </x:c>
      <x:c r="V91" s="7" t="s">
        <x:v>1730</x:v>
      </x:c>
      <x:c r="W91" s="7" t="s">
        <x:v>1731</x:v>
      </x:c>
      <x:c r="X91" s="7" t="s">
        <x:v>1490</x:v>
      </x:c>
      <x:c r="Y91" s="7" t="s">
        <x:v>1732</x:v>
      </x:c>
      <x:c r="Z91" s="7" t="s">
        <x:v>53</x:v>
      </x:c>
      <x:c r="AA91" s="7" t="s">
        <x:v>53</x:v>
      </x:c>
      <x:c r="AB91" s="7" t="s">
        <x:v>53</x:v>
      </x:c>
      <x:c r="AC91" s="7" t="s">
        <x:v>53</x:v>
      </x:c>
      <x:c r="AD91" s="7" t="s">
        <x:v>53</x:v>
      </x:c>
      <x:c r="AE91" s="7" t="s">
        <x:v>53</x:v>
      </x:c>
      <x:c r="AF91" s="7" t="s">
        <x:v>53</x:v>
      </x:c>
      <x:c r="AG91" s="7" t="s">
        <x:v>53</x:v>
      </x:c>
      <x:c r="AH91" s="7" t="s">
        <x:v>53</x:v>
      </x:c>
      <x:c r="AI91" s="7" t="s">
        <x:v>53</x:v>
      </x:c>
      <x:c r="AJ91" s="7" t="s">
        <x:v>1321</x:v>
      </x:c>
      <x:c r="AK91" s="7" t="s">
        <x:v>1491</x:v>
      </x:c>
      <x:c r="AL91" s="7" t="s">
        <x:v>1492</x:v>
      </x:c>
    </x:row>
    <x:row r="92" ht="79.5" hidden="0" customHeight="1">
      <x:c r="A92" s="7" t="s">
        <x:v>784</x:v>
      </x:c>
      <x:c r="B92" s="7" t="s">
        <x:v>780</x:v>
      </x:c>
      <x:c r="C92" s="7" t="s">
        <x:v>782</x:v>
      </x:c>
      <x:c r="D92" s="7" t="s">
        <x:v>1487</x:v>
      </x:c>
      <x:c r="E92" s="7" t="s">
        <x:v>772</x:v>
      </x:c>
      <x:c r="F92" s="7" t="s">
        <x:v>783</x:v>
      </x:c>
      <x:c r="G92" s="7" t="str">
        <x:v>50 - 80 °C</x:v>
      </x:c>
      <x:c r="H92" s="7" t="s">
        <x:v>53</x:v>
      </x:c>
      <x:c r="I92" s="7" t="s">
        <x:v>1733</x:v>
      </x:c>
      <x:c r="J92" s="7" t="s">
        <x:v>1734</x:v>
      </x:c>
      <x:c r="K92" s="7" t="s">
        <x:v>1508</x:v>
      </x:c>
      <x:c r="L92" s="7" t="s">
        <x:v>1677</x:v>
      </x:c>
      <x:c r="M92" s="7" t="s">
        <x:v>53</x:v>
      </x:c>
      <x:c r="N92" s="7" t="s">
        <x:v>1735</x:v>
      </x:c>
      <x:c r="O92" s="7" t="s">
        <x:v>1518</x:v>
      </x:c>
      <x:c r="P92" s="7" t="s">
        <x:v>53</x:v>
      </x:c>
      <x:c r="Q92" s="7" t="s">
        <x:v>1736</x:v>
      </x:c>
      <x:c r="R92" s="7" t="s">
        <x:v>1545</x:v>
      </x:c>
      <x:c r="S92" s="7" t="s">
        <x:v>1715</x:v>
      </x:c>
      <x:c r="T92" s="7" t="s">
        <x:v>1716</x:v>
      </x:c>
      <x:c r="U92" s="7" t="s">
        <x:v>1717</x:v>
      </x:c>
      <x:c r="V92" s="7" t="s">
        <x:v>1717</x:v>
      </x:c>
      <x:c r="W92" s="7" t="s">
        <x:v>53</x:v>
      </x:c>
      <x:c r="X92" s="7" t="s">
        <x:v>1490</x:v>
      </x:c>
      <x:c r="Y92" s="7" t="s">
        <x:v>53</x:v>
      </x:c>
      <x:c r="Z92" s="7" t="s">
        <x:v>53</x:v>
      </x:c>
      <x:c r="AA92" s="7" t="s">
        <x:v>53</x:v>
      </x:c>
      <x:c r="AB92" s="7" t="s">
        <x:v>53</x:v>
      </x:c>
      <x:c r="AC92" s="7" t="s">
        <x:v>53</x:v>
      </x:c>
      <x:c r="AD92" s="7" t="s">
        <x:v>53</x:v>
      </x:c>
      <x:c r="AE92" s="7" t="s">
        <x:v>53</x:v>
      </x:c>
      <x:c r="AF92" s="7" t="s">
        <x:v>53</x:v>
      </x:c>
      <x:c r="AG92" s="7" t="s">
        <x:v>53</x:v>
      </x:c>
      <x:c r="AH92" s="7" t="s">
        <x:v>53</x:v>
      </x:c>
      <x:c r="AI92" s="7" t="s">
        <x:v>53</x:v>
      </x:c>
      <x:c r="AJ92" s="7" t="s">
        <x:v>1322</x:v>
      </x:c>
      <x:c r="AK92" s="7" t="s">
        <x:v>1491</x:v>
      </x:c>
      <x:c r="AL92" s="7" t="s">
        <x:v>1492</x:v>
      </x:c>
    </x:row>
    <x:row r="93" ht="79.5" hidden="0" customHeight="1">
      <x:c r="A93" s="7" t="s">
        <x:v>795</x:v>
      </x:c>
      <x:c r="B93" s="7" t="s">
        <x:v>792</x:v>
      </x:c>
      <x:c r="C93" s="7" t="s">
        <x:v>794</x:v>
      </x:c>
      <x:c r="D93" s="7" t="s">
        <x:v>1487</x:v>
      </x:c>
      <x:c r="E93" s="7" t="s">
        <x:v>772</x:v>
      </x:c>
      <x:c r="F93" s="7" t="s">
        <x:v>773</x:v>
      </x:c>
      <x:c r="G93" s="7" t="s">
        <x:v>53</x:v>
      </x:c>
      <x:c r="H93" s="7" t="s">
        <x:v>53</x:v>
      </x:c>
      <x:c r="I93" s="7" t="s">
        <x:v>53</x:v>
      </x:c>
      <x:c r="J93" s="7" t="s">
        <x:v>1737</x:v>
      </x:c>
      <x:c r="K93" s="7" t="s">
        <x:v>1676</x:v>
      </x:c>
      <x:c r="L93" s="7" t="s">
        <x:v>53</x:v>
      </x:c>
      <x:c r="M93" s="7" t="s">
        <x:v>53</x:v>
      </x:c>
      <x:c r="N93" s="7" t="s">
        <x:v>1738</x:v>
      </x:c>
      <x:c r="O93" s="7" t="s">
        <x:v>53</x:v>
      </x:c>
      <x:c r="P93" s="7" t="s">
        <x:v>1739</x:v>
      </x:c>
      <x:c r="Q93" s="7" t="s">
        <x:v>53</x:v>
      </x:c>
      <x:c r="R93" s="7" t="s">
        <x:v>1545</x:v>
      </x:c>
      <x:c r="S93" s="7" t="s">
        <x:v>1488</x:v>
      </x:c>
      <x:c r="T93" s="7" t="s">
        <x:v>1488</x:v>
      </x:c>
      <x:c r="U93" s="7" t="s">
        <x:v>1489</x:v>
      </x:c>
      <x:c r="V93" s="7" t="s">
        <x:v>1489</x:v>
      </x:c>
      <x:c r="W93" s="7" t="s">
        <x:v>1731</x:v>
      </x:c>
      <x:c r="X93" s="7" t="s">
        <x:v>1490</x:v>
      </x:c>
      <x:c r="Y93" s="7" t="s">
        <x:v>1740</x:v>
      </x:c>
      <x:c r="Z93" s="7" t="s">
        <x:v>53</x:v>
      </x:c>
      <x:c r="AA93" s="7" t="s">
        <x:v>53</x:v>
      </x:c>
      <x:c r="AB93" s="7" t="s">
        <x:v>53</x:v>
      </x:c>
      <x:c r="AC93" s="7" t="s">
        <x:v>53</x:v>
      </x:c>
      <x:c r="AD93" s="7" t="s">
        <x:v>53</x:v>
      </x:c>
      <x:c r="AE93" s="7" t="s">
        <x:v>53</x:v>
      </x:c>
      <x:c r="AF93" s="7" t="s">
        <x:v>53</x:v>
      </x:c>
      <x:c r="AG93" s="7" t="s">
        <x:v>53</x:v>
      </x:c>
      <x:c r="AH93" s="7" t="s">
        <x:v>53</x:v>
      </x:c>
      <x:c r="AI93" s="7" t="s">
        <x:v>53</x:v>
      </x:c>
      <x:c r="AJ93" s="7" t="s">
        <x:v>1324</x:v>
      </x:c>
      <x:c r="AK93" s="7" t="s">
        <x:v>1491</x:v>
      </x:c>
      <x:c r="AL93" s="7" t="s">
        <x:v>1492</x:v>
      </x:c>
    </x:row>
    <x:row r="94" ht="51.75" hidden="0" customHeight="1">
      <x:c r="A94" s="7" t="s">
        <x:v>1741</x:v>
      </x:c>
      <x:c r="B94" s="7" t="s">
        <x:v>802</x:v>
      </x:c>
      <x:c r="C94" s="7" t="s">
        <x:v>804</x:v>
      </x:c>
      <x:c r="D94" s="7" t="s">
        <x:v>1487</x:v>
      </x:c>
      <x:c r="E94" s="7" t="s">
        <x:v>53</x:v>
      </x:c>
      <x:c r="F94" s="7" t="s">
        <x:v>53</x:v>
      </x:c>
      <x:c r="G94" s="7" t="s">
        <x:v>53</x:v>
      </x:c>
      <x:c r="H94" s="7" t="s">
        <x:v>53</x:v>
      </x:c>
      <x:c r="I94" s="7" t="s">
        <x:v>53</x:v>
      </x:c>
      <x:c r="J94" s="7" t="s">
        <x:v>53</x:v>
      </x:c>
      <x:c r="K94" s="7" t="s">
        <x:v>53</x:v>
      </x:c>
      <x:c r="L94" s="7" t="s">
        <x:v>53</x:v>
      </x:c>
      <x:c r="M94" s="7" t="s">
        <x:v>53</x:v>
      </x:c>
      <x:c r="N94" s="7" t="s">
        <x:v>53</x:v>
      </x:c>
      <x:c r="O94" s="7" t="s">
        <x:v>53</x:v>
      </x:c>
      <x:c r="P94" s="7" t="s">
        <x:v>53</x:v>
      </x:c>
      <x:c r="Q94" s="7" t="s">
        <x:v>53</x:v>
      </x:c>
      <x:c r="R94" s="7" t="s">
        <x:v>53</x:v>
      </x:c>
      <x:c r="S94" s="7" t="s">
        <x:v>1488</x:v>
      </x:c>
      <x:c r="T94" s="7" t="s">
        <x:v>1488</x:v>
      </x:c>
      <x:c r="U94" s="7" t="s">
        <x:v>1489</x:v>
      </x:c>
      <x:c r="V94" s="7" t="s">
        <x:v>1489</x:v>
      </x:c>
      <x:c r="W94" s="7" t="s">
        <x:v>53</x:v>
      </x:c>
      <x:c r="X94" s="7" t="s">
        <x:v>1490</x:v>
      </x:c>
      <x:c r="Y94" s="7" t="s">
        <x:v>53</x:v>
      </x:c>
      <x:c r="Z94" s="7" t="s">
        <x:v>53</x:v>
      </x:c>
      <x:c r="AA94" s="7" t="s">
        <x:v>53</x:v>
      </x:c>
      <x:c r="AB94" s="7" t="s">
        <x:v>53</x:v>
      </x:c>
      <x:c r="AC94" s="7" t="s">
        <x:v>53</x:v>
      </x:c>
      <x:c r="AD94" s="7" t="s">
        <x:v>53</x:v>
      </x:c>
      <x:c r="AE94" s="7" t="s">
        <x:v>53</x:v>
      </x:c>
      <x:c r="AF94" s="7" t="s">
        <x:v>53</x:v>
      </x:c>
      <x:c r="AG94" s="7" t="s">
        <x:v>53</x:v>
      </x:c>
      <x:c r="AH94" s="7" t="s">
        <x:v>53</x:v>
      </x:c>
      <x:c r="AI94" s="7" t="s">
        <x:v>53</x:v>
      </x:c>
      <x:c r="AJ94" s="7" t="s">
        <x:v>1326</x:v>
      </x:c>
      <x:c r="AK94" s="7" t="s">
        <x:v>1491</x:v>
      </x:c>
      <x:c r="AL94" s="7" t="s">
        <x:v>1492</x:v>
      </x:c>
    </x:row>
    <x:row r="95" ht="51.75" hidden="0" customHeight="1">
      <x:c r="A95" s="7" t="s">
        <x:v>1742</x:v>
      </x:c>
      <x:c r="B95" s="7" t="s">
        <x:v>802</x:v>
      </x:c>
      <x:c r="C95" s="7" t="s">
        <x:v>1328</x:v>
      </x:c>
      <x:c r="D95" s="7" t="s">
        <x:v>1487</x:v>
      </x:c>
      <x:c r="E95" s="7" t="s">
        <x:v>1743</x:v>
      </x:c>
      <x:c r="F95" s="7" t="s">
        <x:v>1744</x:v>
      </x:c>
      <x:c r="G95" s="7" t="str">
        <x:v>Active heated 60-80 °C (Closed chamber row)</x:v>
      </x:c>
      <x:c r="H95" s="7" t="s">
        <x:v>1745</x:v>
      </x:c>
      <x:c r="I95" s="7" t="s">
        <x:v>53</x:v>
      </x:c>
      <x:c r="J95" s="7" t="s">
        <x:v>53</x:v>
      </x:c>
      <x:c r="K95" s="7" t="s">
        <x:v>1746</x:v>
      </x:c>
      <x:c r="L95" s="7" t="s">
        <x:v>1674</x:v>
      </x:c>
      <x:c r="M95" s="7" t="s">
        <x:v>53</x:v>
      </x:c>
      <x:c r="N95" s="7" t="s">
        <x:v>53</x:v>
      </x:c>
      <x:c r="O95" s="7" t="s">
        <x:v>53</x:v>
      </x:c>
      <x:c r="P95" s="7" t="s">
        <x:v>1612</x:v>
      </x:c>
      <x:c r="Q95" s="7" t="s">
        <x:v>53</x:v>
      </x:c>
      <x:c r="R95" s="7" t="s">
        <x:v>53</x:v>
      </x:c>
      <x:c r="S95" s="7" t="s">
        <x:v>1488</x:v>
      </x:c>
      <x:c r="T95" s="7" t="s">
        <x:v>1488</x:v>
      </x:c>
      <x:c r="U95" s="7" t="s">
        <x:v>1489</x:v>
      </x:c>
      <x:c r="V95" s="7" t="s">
        <x:v>1489</x:v>
      </x:c>
      <x:c r="W95" s="7" t="s">
        <x:v>53</x:v>
      </x:c>
      <x:c r="X95" s="7" t="s">
        <x:v>1490</x:v>
      </x:c>
      <x:c r="Y95" s="7" t="s">
        <x:v>53</x:v>
      </x:c>
      <x:c r="Z95" s="7" t="s">
        <x:v>53</x:v>
      </x:c>
      <x:c r="AA95" s="7" t="s">
        <x:v>53</x:v>
      </x:c>
      <x:c r="AB95" s="7" t="s">
        <x:v>53</x:v>
      </x:c>
      <x:c r="AC95" s="7" t="s">
        <x:v>53</x:v>
      </x:c>
      <x:c r="AD95" s="7" t="s">
        <x:v>53</x:v>
      </x:c>
      <x:c r="AE95" s="7" t="s">
        <x:v>53</x:v>
      </x:c>
      <x:c r="AF95" s="7" t="s">
        <x:v>53</x:v>
      </x:c>
      <x:c r="AG95" s="7" t="s">
        <x:v>53</x:v>
      </x:c>
      <x:c r="AH95" s="7" t="s">
        <x:v>53</x:v>
      </x:c>
      <x:c r="AI95" s="7" t="s">
        <x:v>53</x:v>
      </x:c>
      <x:c r="AJ95" s="7" t="s">
        <x:v>1330</x:v>
      </x:c>
      <x:c r="AK95" s="7" t="s">
        <x:v>1491</x:v>
      </x:c>
      <x:c r="AL95" s="7" t="s">
        <x:v>1492</x:v>
      </x:c>
    </x:row>
    <x:row r="96" ht="79.5" hidden="0" customHeight="1">
      <x:c r="A96" s="7" t="s">
        <x:v>818</x:v>
      </x:c>
      <x:c r="B96" s="7" t="s">
        <x:v>813</x:v>
      </x:c>
      <x:c r="C96" s="7" t="s">
        <x:v>815</x:v>
      </x:c>
      <x:c r="D96" s="7" t="s">
        <x:v>1487</x:v>
      </x:c>
      <x:c r="E96" s="7" t="s">
        <x:v>816</x:v>
      </x:c>
      <x:c r="F96" s="7" t="s">
        <x:v>817</x:v>
      </x:c>
      <x:c r="G96" s="7" t="str">
        <x:v>60 - 90 °C</x:v>
      </x:c>
      <x:c r="H96" s="7" t="s">
        <x:v>53</x:v>
      </x:c>
      <x:c r="I96" s="7" t="s">
        <x:v>1620</x:v>
      </x:c>
      <x:c r="J96" s="7" t="s">
        <x:v>1507</x:v>
      </x:c>
      <x:c r="K96" s="7" t="s">
        <x:v>1747</x:v>
      </x:c>
      <x:c r="L96" s="7" t="s">
        <x:v>1677</x:v>
      </x:c>
      <x:c r="M96" s="7" t="s">
        <x:v>53</x:v>
      </x:c>
      <x:c r="N96" s="7" t="s">
        <x:v>1748</x:v>
      </x:c>
      <x:c r="O96" s="7" t="s">
        <x:v>1713</x:v>
      </x:c>
      <x:c r="P96" s="7" t="s">
        <x:v>53</x:v>
      </x:c>
      <x:c r="Q96" s="7" t="s">
        <x:v>1749</x:v>
      </x:c>
      <x:c r="R96" s="7" t="s">
        <x:v>1545</x:v>
      </x:c>
      <x:c r="S96" s="7" t="s">
        <x:v>1715</x:v>
      </x:c>
      <x:c r="T96" s="7" t="s">
        <x:v>1716</x:v>
      </x:c>
      <x:c r="U96" s="7" t="s">
        <x:v>1717</x:v>
      </x:c>
      <x:c r="V96" s="7" t="s">
        <x:v>1717</x:v>
      </x:c>
      <x:c r="W96" s="7" t="s">
        <x:v>53</x:v>
      </x:c>
      <x:c r="X96" s="7" t="s">
        <x:v>1490</x:v>
      </x:c>
      <x:c r="Y96" s="7" t="s">
        <x:v>53</x:v>
      </x:c>
      <x:c r="Z96" s="7" t="s">
        <x:v>53</x:v>
      </x:c>
      <x:c r="AA96" s="7" t="s">
        <x:v>53</x:v>
      </x:c>
      <x:c r="AB96" s="7" t="s">
        <x:v>53</x:v>
      </x:c>
      <x:c r="AC96" s="7" t="s">
        <x:v>53</x:v>
      </x:c>
      <x:c r="AD96" s="7" t="s">
        <x:v>53</x:v>
      </x:c>
      <x:c r="AE96" s="7" t="s">
        <x:v>53</x:v>
      </x:c>
      <x:c r="AF96" s="7" t="s">
        <x:v>53</x:v>
      </x:c>
      <x:c r="AG96" s="7" t="s">
        <x:v>53</x:v>
      </x:c>
      <x:c r="AH96" s="7" t="s">
        <x:v>53</x:v>
      </x:c>
      <x:c r="AI96" s="7" t="s">
        <x:v>53</x:v>
      </x:c>
      <x:c r="AJ96" s="7" t="s">
        <x:v>1331</x:v>
      </x:c>
      <x:c r="AK96" s="7" t="s">
        <x:v>1491</x:v>
      </x:c>
      <x:c r="AL96" s="7" t="s">
        <x:v>1492</x:v>
      </x:c>
    </x:row>
    <x:row r="97" ht="79.5" hidden="0" customHeight="1">
      <x:c r="A97" s="7" t="s">
        <x:v>829</x:v>
      </x:c>
      <x:c r="B97" s="7" t="s">
        <x:v>824</x:v>
      </x:c>
      <x:c r="C97" s="7" t="s">
        <x:v>826</x:v>
      </x:c>
      <x:c r="D97" s="7" t="s">
        <x:v>1487</x:v>
      </x:c>
      <x:c r="E97" s="7" t="s">
        <x:v>827</x:v>
      </x:c>
      <x:c r="F97" s="7" t="s">
        <x:v>817</x:v>
      </x:c>
      <x:c r="G97" s="7" t="s">
        <x:v>828</x:v>
      </x:c>
      <x:c r="H97" s="7" t="s">
        <x:v>53</x:v>
      </x:c>
      <x:c r="I97" s="7" t="s">
        <x:v>53</x:v>
      </x:c>
      <x:c r="J97" s="7" t="s">
        <x:v>1737</x:v>
      </x:c>
      <x:c r="K97" s="7" t="s">
        <x:v>1750</x:v>
      </x:c>
      <x:c r="L97" s="7" t="s">
        <x:v>53</x:v>
      </x:c>
      <x:c r="M97" s="7" t="s">
        <x:v>53</x:v>
      </x:c>
      <x:c r="N97" s="7" t="s">
        <x:v>1751</x:v>
      </x:c>
      <x:c r="O97" s="7" t="s">
        <x:v>53</x:v>
      </x:c>
      <x:c r="P97" s="7" t="s">
        <x:v>1739</x:v>
      </x:c>
      <x:c r="Q97" s="7" t="s">
        <x:v>53</x:v>
      </x:c>
      <x:c r="R97" s="7" t="s">
        <x:v>1545</x:v>
      </x:c>
      <x:c r="S97" s="7" t="s">
        <x:v>1488</x:v>
      </x:c>
      <x:c r="T97" s="7" t="s">
        <x:v>1488</x:v>
      </x:c>
      <x:c r="U97" s="7" t="s">
        <x:v>1489</x:v>
      </x:c>
      <x:c r="V97" s="7" t="s">
        <x:v>1489</x:v>
      </x:c>
      <x:c r="W97" s="7" t="s">
        <x:v>1752</x:v>
      </x:c>
      <x:c r="X97" s="7" t="s">
        <x:v>1490</x:v>
      </x:c>
      <x:c r="Y97" s="7" t="s">
        <x:v>1753</x:v>
      </x:c>
      <x:c r="Z97" s="7" t="s">
        <x:v>53</x:v>
      </x:c>
      <x:c r="AA97" s="7" t="s">
        <x:v>53</x:v>
      </x:c>
      <x:c r="AB97" s="7" t="s">
        <x:v>53</x:v>
      </x:c>
      <x:c r="AC97" s="7" t="s">
        <x:v>53</x:v>
      </x:c>
      <x:c r="AD97" s="7" t="s">
        <x:v>53</x:v>
      </x:c>
      <x:c r="AE97" s="7" t="s">
        <x:v>53</x:v>
      </x:c>
      <x:c r="AF97" s="7" t="s">
        <x:v>53</x:v>
      </x:c>
      <x:c r="AG97" s="7" t="s">
        <x:v>53</x:v>
      </x:c>
      <x:c r="AH97" s="7" t="s">
        <x:v>53</x:v>
      </x:c>
      <x:c r="AI97" s="7" t="s">
        <x:v>53</x:v>
      </x:c>
      <x:c r="AJ97" s="7" t="s">
        <x:v>1333</x:v>
      </x:c>
      <x:c r="AK97" s="7" t="s">
        <x:v>1491</x:v>
      </x:c>
      <x:c r="AL97" s="7" t="s">
        <x:v>1492</x:v>
      </x:c>
    </x:row>
    <x:row r="98" ht="79.5" hidden="0" customHeight="1">
      <x:c r="A98" s="7" t="s">
        <x:v>1754</x:v>
      </x:c>
      <x:c r="B98" s="7" t="s">
        <x:v>824</x:v>
      </x:c>
      <x:c r="C98" s="7" t="s">
        <x:v>1334</x:v>
      </x:c>
      <x:c r="D98" s="7" t="s">
        <x:v>1487</x:v>
      </x:c>
      <x:c r="E98" s="7" t="s">
        <x:v>1755</x:v>
      </x:c>
      <x:c r="F98" s="7" t="s">
        <x:v>1756</x:v>
      </x:c>
      <x:c r="G98" s="7" t="s">
        <x:v>1757</x:v>
      </x:c>
      <x:c r="H98" s="7" t="s">
        <x:v>53</x:v>
      </x:c>
      <x:c r="I98" s="7" t="s">
        <x:v>53</x:v>
      </x:c>
      <x:c r="J98" s="7" t="s">
        <x:v>53</x:v>
      </x:c>
      <x:c r="K98" s="7" t="s">
        <x:v>1669</x:v>
      </x:c>
      <x:c r="L98" s="7" t="s">
        <x:v>53</x:v>
      </x:c>
      <x:c r="M98" s="7" t="s">
        <x:v>53</x:v>
      </x:c>
      <x:c r="N98" s="7" t="s">
        <x:v>53</x:v>
      </x:c>
      <x:c r="O98" s="7" t="s">
        <x:v>53</x:v>
      </x:c>
      <x:c r="P98" s="7" t="s">
        <x:v>53</x:v>
      </x:c>
      <x:c r="Q98" s="7" t="s">
        <x:v>53</x:v>
      </x:c>
      <x:c r="R98" s="7" t="s">
        <x:v>1545</x:v>
      </x:c>
      <x:c r="S98" s="7" t="s">
        <x:v>1488</x:v>
      </x:c>
      <x:c r="T98" s="7" t="s">
        <x:v>1488</x:v>
      </x:c>
      <x:c r="U98" s="7" t="s">
        <x:v>1489</x:v>
      </x:c>
      <x:c r="V98" s="7" t="s">
        <x:v>1489</x:v>
      </x:c>
      <x:c r="W98" s="7" t="s">
        <x:v>53</x:v>
      </x:c>
      <x:c r="X98" s="7" t="s">
        <x:v>1490</x:v>
      </x:c>
      <x:c r="Y98" s="7" t="s">
        <x:v>53</x:v>
      </x:c>
      <x:c r="Z98" s="7" t="s">
        <x:v>53</x:v>
      </x:c>
      <x:c r="AA98" s="7" t="s">
        <x:v>53</x:v>
      </x:c>
      <x:c r="AB98" s="7" t="s">
        <x:v>53</x:v>
      </x:c>
      <x:c r="AC98" s="7" t="s">
        <x:v>53</x:v>
      </x:c>
      <x:c r="AD98" s="7" t="s">
        <x:v>53</x:v>
      </x:c>
      <x:c r="AE98" s="7" t="s">
        <x:v>53</x:v>
      </x:c>
      <x:c r="AF98" s="7" t="s">
        <x:v>53</x:v>
      </x:c>
      <x:c r="AG98" s="7" t="s">
        <x:v>53</x:v>
      </x:c>
      <x:c r="AH98" s="7" t="s">
        <x:v>53</x:v>
      </x:c>
      <x:c r="AI98" s="7" t="s">
        <x:v>53</x:v>
      </x:c>
      <x:c r="AJ98" s="7" t="s">
        <x:v>1336</x:v>
      </x:c>
      <x:c r="AK98" s="7" t="s">
        <x:v>1491</x:v>
      </x:c>
      <x:c r="AL98" s="7" t="s">
        <x:v>1492</x:v>
      </x:c>
    </x:row>
    <x:row r="99" ht="93.75" hidden="0" customHeight="1">
      <x:c r="A99" s="7" t="s">
        <x:v>1758</x:v>
      </x:c>
      <x:c r="B99" s="7" t="s">
        <x:v>834</x:v>
      </x:c>
      <x:c r="C99" s="7" t="s">
        <x:v>837</x:v>
      </x:c>
      <x:c r="D99" s="7" t="s">
        <x:v>1487</x:v>
      </x:c>
      <x:c r="E99" s="7" t="s">
        <x:v>125</x:v>
      </x:c>
      <x:c r="F99" s="7" t="s">
        <x:v>838</x:v>
      </x:c>
      <x:c r="G99" s="7" t="s">
        <x:v>163</x:v>
      </x:c>
      <x:c r="H99" s="7" t="s">
        <x:v>53</x:v>
      </x:c>
      <x:c r="I99" s="7" t="s">
        <x:v>1759</x:v>
      </x:c>
      <x:c r="J99" s="7" t="s">
        <x:v>1507</x:v>
      </x:c>
      <x:c r="K99" s="7" t="s">
        <x:v>1508</x:v>
      </x:c>
      <x:c r="L99" s="7" t="s">
        <x:v>1543</x:v>
      </x:c>
      <x:c r="M99" s="7" t="s">
        <x:v>53</x:v>
      </x:c>
      <x:c r="N99" s="7" t="s">
        <x:v>1760</x:v>
      </x:c>
      <x:c r="O99" s="7" t="s">
        <x:v>1518</x:v>
      </x:c>
      <x:c r="P99" s="7" t="s">
        <x:v>53</x:v>
      </x:c>
      <x:c r="Q99" s="7" t="s">
        <x:v>1528</x:v>
      </x:c>
      <x:c r="R99" s="7" t="s">
        <x:v>53</x:v>
      </x:c>
      <x:c r="S99" s="7" t="s">
        <x:v>1761</x:v>
      </x:c>
      <x:c r="T99" s="7" t="s">
        <x:v>1761</x:v>
      </x:c>
      <x:c r="U99" s="7" t="s">
        <x:v>1762</x:v>
      </x:c>
      <x:c r="V99" s="7" t="s">
        <x:v>1762</x:v>
      </x:c>
      <x:c r="W99" s="7" t="s">
        <x:v>53</x:v>
      </x:c>
      <x:c r="X99" s="7" t="s">
        <x:v>1490</x:v>
      </x:c>
      <x:c r="Y99" s="7" t="s">
        <x:v>1763</x:v>
      </x:c>
      <x:c r="Z99" s="7" t="s">
        <x:v>53</x:v>
      </x:c>
      <x:c r="AA99" s="7" t="s">
        <x:v>53</x:v>
      </x:c>
      <x:c r="AB99" s="7" t="s">
        <x:v>53</x:v>
      </x:c>
      <x:c r="AC99" s="7" t="s">
        <x:v>53</x:v>
      </x:c>
      <x:c r="AD99" s="7" t="s">
        <x:v>1523</x:v>
      </x:c>
      <x:c r="AE99" s="7" t="s">
        <x:v>53</x:v>
      </x:c>
      <x:c r="AF99" s="7" t="s">
        <x:v>53</x:v>
      </x:c>
      <x:c r="AG99" s="7" t="s">
        <x:v>53</x:v>
      </x:c>
      <x:c r="AH99" s="7" t="s">
        <x:v>53</x:v>
      </x:c>
      <x:c r="AI99" s="7" t="s">
        <x:v>53</x:v>
      </x:c>
      <x:c r="AJ99" s="7" t="s">
        <x:v>1337</x:v>
      </x:c>
      <x:c r="AK99" s="7" t="s">
        <x:v>1491</x:v>
      </x:c>
      <x:c r="AL99" s="7" t="s">
        <x:v>1492</x:v>
      </x:c>
    </x:row>
    <x:row r="100" ht="51.75" hidden="0" customHeight="1">
      <x:c r="A100" s="7" t="s">
        <x:v>1764</x:v>
      </x:c>
      <x:c r="B100" s="7" t="s">
        <x:v>847</x:v>
      </x:c>
      <x:c r="C100" s="7" t="s">
        <x:v>849</x:v>
      </x:c>
      <x:c r="D100" s="7" t="s">
        <x:v>1487</x:v>
      </x:c>
      <x:c r="E100" s="7" t="s">
        <x:v>850</x:v>
      </x:c>
      <x:c r="F100" s="7" t="s">
        <x:v>851</x:v>
      </x:c>
      <x:c r="G100" s="7" t="s">
        <x:v>53</x:v>
      </x:c>
      <x:c r="H100" s="7" t="s">
        <x:v>53</x:v>
      </x:c>
      <x:c r="I100" s="7" t="s">
        <x:v>53</x:v>
      </x:c>
      <x:c r="J100" s="7" t="s">
        <x:v>53</x:v>
      </x:c>
      <x:c r="K100" s="7" t="s">
        <x:v>1765</x:v>
      </x:c>
      <x:c r="L100" s="7" t="s">
        <x:v>53</x:v>
      </x:c>
      <x:c r="M100" s="7" t="s">
        <x:v>53</x:v>
      </x:c>
      <x:c r="N100" s="7" t="s">
        <x:v>53</x:v>
      </x:c>
      <x:c r="O100" s="7" t="s">
        <x:v>53</x:v>
      </x:c>
      <x:c r="P100" s="7" t="s">
        <x:v>53</x:v>
      </x:c>
      <x:c r="Q100" s="7" t="s">
        <x:v>53</x:v>
      </x:c>
      <x:c r="R100" s="7" t="s">
        <x:v>53</x:v>
      </x:c>
      <x:c r="S100" s="7" t="s">
        <x:v>1488</x:v>
      </x:c>
      <x:c r="T100" s="7" t="s">
        <x:v>1488</x:v>
      </x:c>
      <x:c r="U100" s="7" t="s">
        <x:v>1489</x:v>
      </x:c>
      <x:c r="V100" s="7" t="s">
        <x:v>1489</x:v>
      </x:c>
      <x:c r="W100" s="7" t="s">
        <x:v>53</x:v>
      </x:c>
      <x:c r="X100" s="7" t="s">
        <x:v>1490</x:v>
      </x:c>
      <x:c r="Y100" s="7" t="s">
        <x:v>53</x:v>
      </x:c>
      <x:c r="Z100" s="7" t="s">
        <x:v>53</x:v>
      </x:c>
      <x:c r="AA100" s="7" t="s">
        <x:v>53</x:v>
      </x:c>
      <x:c r="AB100" s="7" t="s">
        <x:v>53</x:v>
      </x:c>
      <x:c r="AC100" s="7" t="s">
        <x:v>53</x:v>
      </x:c>
      <x:c r="AD100" s="7" t="s">
        <x:v>53</x:v>
      </x:c>
      <x:c r="AE100" s="7" t="s">
        <x:v>53</x:v>
      </x:c>
      <x:c r="AF100" s="7" t="s">
        <x:v>53</x:v>
      </x:c>
      <x:c r="AG100" s="7" t="s">
        <x:v>53</x:v>
      </x:c>
      <x:c r="AH100" s="7" t="s">
        <x:v>53</x:v>
      </x:c>
      <x:c r="AI100" s="7" t="s">
        <x:v>53</x:v>
      </x:c>
      <x:c r="AJ100" s="7" t="s">
        <x:v>1340</x:v>
      </x:c>
      <x:c r="AK100" s="7" t="s">
        <x:v>1491</x:v>
      </x:c>
      <x:c r="AL100" s="7" t="s">
        <x:v>1492</x:v>
      </x:c>
    </x:row>
    <x:row r="101" ht="51.75" hidden="0" customHeight="1">
      <x:c r="A101" s="7" t="s">
        <x:v>866</x:v>
      </x:c>
      <x:c r="B101" s="7" t="s">
        <x:v>861</x:v>
      </x:c>
      <x:c r="C101" s="7" t="s">
        <x:v>863</x:v>
      </x:c>
      <x:c r="D101" s="7" t="s">
        <x:v>1487</x:v>
      </x:c>
      <x:c r="E101" s="7" t="s">
        <x:v>864</x:v>
      </x:c>
      <x:c r="F101" s="7" t="s">
        <x:v>865</x:v>
      </x:c>
      <x:c r="G101" s="7" t="s">
        <x:v>500</x:v>
      </x:c>
      <x:c r="H101" s="7" t="s">
        <x:v>53</x:v>
      </x:c>
      <x:c r="I101" s="7" t="s">
        <x:v>1506</x:v>
      </x:c>
      <x:c r="J101" s="7" t="s">
        <x:v>1507</x:v>
      </x:c>
      <x:c r="K101" s="7" t="s">
        <x:v>1508</x:v>
      </x:c>
      <x:c r="L101" s="7" t="s">
        <x:v>1766</x:v>
      </x:c>
      <x:c r="M101" s="7" t="s">
        <x:v>53</x:v>
      </x:c>
      <x:c r="N101" s="7" t="s">
        <x:v>1767</x:v>
      </x:c>
      <x:c r="O101" s="7" t="s">
        <x:v>1518</x:v>
      </x:c>
      <x:c r="P101" s="7" t="s">
        <x:v>53</x:v>
      </x:c>
      <x:c r="Q101" s="7" t="s">
        <x:v>1519</x:v>
      </x:c>
      <x:c r="R101" s="7" t="s">
        <x:v>53</x:v>
      </x:c>
      <x:c r="S101" s="7" t="s">
        <x:v>1488</x:v>
      </x:c>
      <x:c r="T101" s="7" t="s">
        <x:v>1488</x:v>
      </x:c>
      <x:c r="U101" s="7" t="s">
        <x:v>1489</x:v>
      </x:c>
      <x:c r="V101" s="7" t="s">
        <x:v>1489</x:v>
      </x:c>
      <x:c r="W101" s="7" t="s">
        <x:v>53</x:v>
      </x:c>
      <x:c r="X101" s="7" t="s">
        <x:v>1490</x:v>
      </x:c>
      <x:c r="Y101" s="7" t="s">
        <x:v>53</x:v>
      </x:c>
      <x:c r="Z101" s="7" t="s">
        <x:v>53</x:v>
      </x:c>
      <x:c r="AA101" s="7" t="s">
        <x:v>53</x:v>
      </x:c>
      <x:c r="AB101" s="7" t="s">
        <x:v>53</x:v>
      </x:c>
      <x:c r="AC101" s="7" t="s">
        <x:v>1522</x:v>
      </x:c>
      <x:c r="AD101" s="7" t="s">
        <x:v>1514</x:v>
      </x:c>
      <x:c r="AE101" s="7" t="s">
        <x:v>53</x:v>
      </x:c>
      <x:c r="AF101" s="7" t="s">
        <x:v>53</x:v>
      </x:c>
      <x:c r="AG101" s="7" t="s">
        <x:v>53</x:v>
      </x:c>
      <x:c r="AH101" s="7" t="s">
        <x:v>53</x:v>
      </x:c>
      <x:c r="AI101" s="7" t="s">
        <x:v>53</x:v>
      </x:c>
      <x:c r="AJ101" s="7" t="s">
        <x:v>1341</x:v>
      </x:c>
      <x:c r="AK101" s="7" t="s">
        <x:v>1491</x:v>
      </x:c>
      <x:c r="AL101" s="7" t="s">
        <x:v>1492</x:v>
      </x:c>
    </x:row>
    <x:row r="102" ht="51.75" hidden="0" customHeight="1">
      <x:c r="A102" s="7" t="s">
        <x:v>873</x:v>
      </x:c>
      <x:c r="B102" s="7" t="s">
        <x:v>870</x:v>
      </x:c>
      <x:c r="C102" s="7" t="s">
        <x:v>872</x:v>
      </x:c>
      <x:c r="D102" s="7" t="s">
        <x:v>1487</x:v>
      </x:c>
      <x:c r="E102" s="7" t="s">
        <x:v>316</x:v>
      </x:c>
      <x:c r="F102" s="7" t="s">
        <x:v>421</x:v>
      </x:c>
      <x:c r="G102" s="7" t="s">
        <x:v>114</x:v>
      </x:c>
      <x:c r="H102" s="7" t="s">
        <x:v>53</x:v>
      </x:c>
      <x:c r="I102" s="7" t="s">
        <x:v>1506</x:v>
      </x:c>
      <x:c r="J102" s="7" t="s">
        <x:v>1507</x:v>
      </x:c>
      <x:c r="K102" s="7" t="s">
        <x:v>1508</x:v>
      </x:c>
      <x:c r="L102" s="7" t="s">
        <x:v>1677</x:v>
      </x:c>
      <x:c r="M102" s="7" t="s">
        <x:v>53</x:v>
      </x:c>
      <x:c r="N102" s="7" t="s">
        <x:v>1768</x:v>
      </x:c>
      <x:c r="O102" s="7" t="s">
        <x:v>1518</x:v>
      </x:c>
      <x:c r="P102" s="7" t="s">
        <x:v>53</x:v>
      </x:c>
      <x:c r="Q102" s="7" t="s">
        <x:v>1535</x:v>
      </x:c>
      <x:c r="R102" s="7" t="s">
        <x:v>53</x:v>
      </x:c>
      <x:c r="S102" s="7" t="s">
        <x:v>1488</x:v>
      </x:c>
      <x:c r="T102" s="7" t="s">
        <x:v>1488</x:v>
      </x:c>
      <x:c r="U102" s="7" t="s">
        <x:v>1489</x:v>
      </x:c>
      <x:c r="V102" s="7" t="s">
        <x:v>1489</x:v>
      </x:c>
      <x:c r="W102" s="7" t="s">
        <x:v>53</x:v>
      </x:c>
      <x:c r="X102" s="7" t="s">
        <x:v>1490</x:v>
      </x:c>
      <x:c r="Y102" s="7" t="s">
        <x:v>53</x:v>
      </x:c>
      <x:c r="Z102" s="7" t="s">
        <x:v>53</x:v>
      </x:c>
      <x:c r="AA102" s="7" t="s">
        <x:v>53</x:v>
      </x:c>
      <x:c r="AB102" s="7" t="s">
        <x:v>53</x:v>
      </x:c>
      <x:c r="AC102" s="7" t="s">
        <x:v>53</x:v>
      </x:c>
      <x:c r="AD102" s="7" t="s">
        <x:v>1523</x:v>
      </x:c>
      <x:c r="AE102" s="7" t="s">
        <x:v>53</x:v>
      </x:c>
      <x:c r="AF102" s="7" t="s">
        <x:v>53</x:v>
      </x:c>
      <x:c r="AG102" s="7" t="s">
        <x:v>53</x:v>
      </x:c>
      <x:c r="AH102" s="7" t="s">
        <x:v>53</x:v>
      </x:c>
      <x:c r="AI102" s="7" t="s">
        <x:v>53</x:v>
      </x:c>
      <x:c r="AJ102" s="7" t="s">
        <x:v>1342</x:v>
      </x:c>
      <x:c r="AK102" s="7" t="s">
        <x:v>1491</x:v>
      </x:c>
      <x:c r="AL102" s="7" t="s">
        <x:v>1492</x:v>
      </x:c>
    </x:row>
    <x:row r="103" ht="51.75" hidden="0" customHeight="1">
      <x:c r="A103" s="7" t="s">
        <x:v>881</x:v>
      </x:c>
      <x:c r="B103" s="7" t="s">
        <x:v>878</x:v>
      </x:c>
      <x:c r="C103" s="7" t="s">
        <x:v>880</x:v>
      </x:c>
      <x:c r="D103" s="7" t="s">
        <x:v>1487</x:v>
      </x:c>
      <x:c r="E103" s="7" t="s">
        <x:v>752</x:v>
      </x:c>
      <x:c r="F103" s="7" t="s">
        <x:v>360</x:v>
      </x:c>
      <x:c r="G103" s="7" t="str">
        <x:v>45-60 °C</x:v>
      </x:c>
      <x:c r="H103" s="7" t="s">
        <x:v>53</x:v>
      </x:c>
      <x:c r="I103" s="7" t="s">
        <x:v>1572</x:v>
      </x:c>
      <x:c r="J103" s="7" t="s">
        <x:v>1536</x:v>
      </x:c>
      <x:c r="K103" s="7" t="s">
        <x:v>1565</x:v>
      </x:c>
      <x:c r="L103" s="7" t="s">
        <x:v>1677</x:v>
      </x:c>
      <x:c r="M103" s="7" t="s">
        <x:v>53</x:v>
      </x:c>
      <x:c r="N103" s="7" t="s">
        <x:v>1769</x:v>
      </x:c>
      <x:c r="O103" s="7" t="s">
        <x:v>1518</x:v>
      </x:c>
      <x:c r="P103" s="7" t="s">
        <x:v>53</x:v>
      </x:c>
      <x:c r="Q103" s="7" t="s">
        <x:v>53</x:v>
      </x:c>
      <x:c r="R103" s="7" t="s">
        <x:v>53</x:v>
      </x:c>
      <x:c r="S103" s="7" t="s">
        <x:v>1488</x:v>
      </x:c>
      <x:c r="T103" s="7" t="s">
        <x:v>1488</x:v>
      </x:c>
      <x:c r="U103" s="7" t="s">
        <x:v>1489</x:v>
      </x:c>
      <x:c r="V103" s="7" t="s">
        <x:v>1489</x:v>
      </x:c>
      <x:c r="W103" s="7" t="s">
        <x:v>53</x:v>
      </x:c>
      <x:c r="X103" s="7" t="s">
        <x:v>1490</x:v>
      </x:c>
      <x:c r="Y103" s="7" t="s">
        <x:v>53</x:v>
      </x:c>
      <x:c r="Z103" s="7" t="s">
        <x:v>53</x:v>
      </x:c>
      <x:c r="AA103" s="7" t="s">
        <x:v>53</x:v>
      </x:c>
      <x:c r="AB103" s="7" t="s">
        <x:v>53</x:v>
      </x:c>
      <x:c r="AC103" s="7" t="s">
        <x:v>53</x:v>
      </x:c>
      <x:c r="AD103" s="7" t="s">
        <x:v>53</x:v>
      </x:c>
      <x:c r="AE103" s="7" t="s">
        <x:v>53</x:v>
      </x:c>
      <x:c r="AF103" s="7" t="s">
        <x:v>53</x:v>
      </x:c>
      <x:c r="AG103" s="7" t="s">
        <x:v>53</x:v>
      </x:c>
      <x:c r="AH103" s="7" t="s">
        <x:v>53</x:v>
      </x:c>
      <x:c r="AI103" s="7" t="s">
        <x:v>53</x:v>
      </x:c>
      <x:c r="AJ103" s="7" t="s">
        <x:v>1343</x:v>
      </x:c>
      <x:c r="AK103" s="7" t="s">
        <x:v>1491</x:v>
      </x:c>
      <x:c r="AL103" s="7" t="s">
        <x:v>1492</x:v>
      </x:c>
    </x:row>
    <x:row r="104" ht="51.75" hidden="0" customHeight="1">
      <x:c r="A104" s="7" t="s">
        <x:v>1770</x:v>
      </x:c>
      <x:c r="B104" s="7" t="s">
        <x:v>884</x:v>
      </x:c>
      <x:c r="C104" s="7" t="s">
        <x:v>887</x:v>
      </x:c>
      <x:c r="D104" s="7" t="s">
        <x:v>1487</x:v>
      </x:c>
      <x:c r="E104" s="7" t="s">
        <x:v>53</x:v>
      </x:c>
      <x:c r="F104" s="7" t="s">
        <x:v>53</x:v>
      </x:c>
      <x:c r="G104" s="7" t="s">
        <x:v>53</x:v>
      </x:c>
      <x:c r="H104" s="7" t="s">
        <x:v>53</x:v>
      </x:c>
      <x:c r="I104" s="7" t="s">
        <x:v>53</x:v>
      </x:c>
      <x:c r="J104" s="7" t="s">
        <x:v>53</x:v>
      </x:c>
      <x:c r="K104" s="7" t="s">
        <x:v>53</x:v>
      </x:c>
      <x:c r="L104" s="7" t="s">
        <x:v>53</x:v>
      </x:c>
      <x:c r="M104" s="7" t="s">
        <x:v>53</x:v>
      </x:c>
      <x:c r="N104" s="7" t="s">
        <x:v>53</x:v>
      </x:c>
      <x:c r="O104" s="7" t="s">
        <x:v>53</x:v>
      </x:c>
      <x:c r="P104" s="7" t="s">
        <x:v>53</x:v>
      </x:c>
      <x:c r="Q104" s="7" t="s">
        <x:v>53</x:v>
      </x:c>
      <x:c r="R104" s="7" t="s">
        <x:v>53</x:v>
      </x:c>
      <x:c r="S104" s="7" t="s">
        <x:v>1488</x:v>
      </x:c>
      <x:c r="T104" s="7" t="s">
        <x:v>1488</x:v>
      </x:c>
      <x:c r="U104" s="7" t="s">
        <x:v>1489</x:v>
      </x:c>
      <x:c r="V104" s="7" t="s">
        <x:v>1489</x:v>
      </x:c>
      <x:c r="W104" s="7" t="s">
        <x:v>53</x:v>
      </x:c>
      <x:c r="X104" s="7" t="s">
        <x:v>1490</x:v>
      </x:c>
      <x:c r="Y104" s="7" t="s">
        <x:v>53</x:v>
      </x:c>
      <x:c r="Z104" s="7" t="s">
        <x:v>53</x:v>
      </x:c>
      <x:c r="AA104" s="7" t="s">
        <x:v>53</x:v>
      </x:c>
      <x:c r="AB104" s="7" t="s">
        <x:v>53</x:v>
      </x:c>
      <x:c r="AC104" s="7" t="s">
        <x:v>53</x:v>
      </x:c>
      <x:c r="AD104" s="7" t="s">
        <x:v>53</x:v>
      </x:c>
      <x:c r="AE104" s="7" t="s">
        <x:v>53</x:v>
      </x:c>
      <x:c r="AF104" s="7" t="s">
        <x:v>53</x:v>
      </x:c>
      <x:c r="AG104" s="7" t="s">
        <x:v>53</x:v>
      </x:c>
      <x:c r="AH104" s="7" t="s">
        <x:v>53</x:v>
      </x:c>
      <x:c r="AI104" s="7" t="s">
        <x:v>53</x:v>
      </x:c>
      <x:c r="AJ104" s="7" t="s">
        <x:v>1346</x:v>
      </x:c>
      <x:c r="AK104" s="7" t="s">
        <x:v>1491</x:v>
      </x:c>
      <x:c r="AL104" s="7" t="s">
        <x:v>1492</x:v>
      </x:c>
    </x:row>
    <x:row r="105" ht="51.75" hidden="0" customHeight="1">
      <x:c r="A105" s="7" t="s">
        <x:v>1771</x:v>
      </x:c>
      <x:c r="B105" s="7" t="s">
        <x:v>884</x:v>
      </x:c>
      <x:c r="C105" s="7" t="s">
        <x:v>1348</x:v>
      </x:c>
      <x:c r="D105" s="7" t="s">
        <x:v>1487</x:v>
      </x:c>
      <x:c r="E105" s="7" t="s">
        <x:v>1772</x:v>
      </x:c>
      <x:c r="F105" s="7" t="s">
        <x:v>1773</x:v>
      </x:c>
      <x:c r="G105" s="7" t="s">
        <x:v>53</x:v>
      </x:c>
      <x:c r="H105" s="7" t="s">
        <x:v>1626</x:v>
      </x:c>
      <x:c r="I105" s="7" t="s">
        <x:v>53</x:v>
      </x:c>
      <x:c r="J105" s="7" t="s">
        <x:v>53</x:v>
      </x:c>
      <x:c r="K105" s="7" t="s">
        <x:v>1774</x:v>
      </x:c>
      <x:c r="L105" s="7" t="s">
        <x:v>1775</x:v>
      </x:c>
      <x:c r="M105" s="7" t="s">
        <x:v>53</x:v>
      </x:c>
      <x:c r="N105" s="7" t="s">
        <x:v>53</x:v>
      </x:c>
      <x:c r="O105" s="7" t="s">
        <x:v>53</x:v>
      </x:c>
      <x:c r="P105" s="7" t="s">
        <x:v>1612</x:v>
      </x:c>
      <x:c r="Q105" s="7" t="s">
        <x:v>53</x:v>
      </x:c>
      <x:c r="R105" s="7" t="s">
        <x:v>53</x:v>
      </x:c>
      <x:c r="S105" s="7" t="s">
        <x:v>1488</x:v>
      </x:c>
      <x:c r="T105" s="7" t="s">
        <x:v>1488</x:v>
      </x:c>
      <x:c r="U105" s="7" t="s">
        <x:v>1489</x:v>
      </x:c>
      <x:c r="V105" s="7" t="s">
        <x:v>1489</x:v>
      </x:c>
      <x:c r="W105" s="7" t="s">
        <x:v>53</x:v>
      </x:c>
      <x:c r="X105" s="7" t="s">
        <x:v>1490</x:v>
      </x:c>
      <x:c r="Y105" s="7" t="s">
        <x:v>53</x:v>
      </x:c>
      <x:c r="Z105" s="7" t="s">
        <x:v>53</x:v>
      </x:c>
      <x:c r="AA105" s="7" t="s">
        <x:v>53</x:v>
      </x:c>
      <x:c r="AB105" s="7" t="s">
        <x:v>53</x:v>
      </x:c>
      <x:c r="AC105" s="7" t="s">
        <x:v>53</x:v>
      </x:c>
      <x:c r="AD105" s="7" t="s">
        <x:v>53</x:v>
      </x:c>
      <x:c r="AE105" s="7" t="s">
        <x:v>53</x:v>
      </x:c>
      <x:c r="AF105" s="7" t="s">
        <x:v>53</x:v>
      </x:c>
      <x:c r="AG105" s="7" t="s">
        <x:v>53</x:v>
      </x:c>
      <x:c r="AH105" s="7" t="s">
        <x:v>53</x:v>
      </x:c>
      <x:c r="AI105" s="7" t="s">
        <x:v>53</x:v>
      </x:c>
      <x:c r="AJ105" s="7" t="s">
        <x:v>1350</x:v>
      </x:c>
      <x:c r="AK105" s="7" t="s">
        <x:v>1491</x:v>
      </x:c>
      <x:c r="AL105" s="7" t="s">
        <x:v>1492</x:v>
      </x:c>
    </x:row>
    <x:row r="106" ht="51.75" hidden="0" customHeight="1">
      <x:c r="A106" s="7" t="s">
        <x:v>1776</x:v>
      </x:c>
      <x:c r="B106" s="7" t="s">
        <x:v>898</x:v>
      </x:c>
      <x:c r="C106" s="7" t="s">
        <x:v>901</x:v>
      </x:c>
      <x:c r="D106" s="7" t="s">
        <x:v>1487</x:v>
      </x:c>
      <x:c r="E106" s="7" t="s">
        <x:v>53</x:v>
      </x:c>
      <x:c r="F106" s="7" t="s">
        <x:v>53</x:v>
      </x:c>
      <x:c r="G106" s="7" t="s">
        <x:v>53</x:v>
      </x:c>
      <x:c r="H106" s="7" t="s">
        <x:v>53</x:v>
      </x:c>
      <x:c r="I106" s="7" t="s">
        <x:v>53</x:v>
      </x:c>
      <x:c r="J106" s="7" t="s">
        <x:v>53</x:v>
      </x:c>
      <x:c r="K106" s="7" t="s">
        <x:v>53</x:v>
      </x:c>
      <x:c r="L106" s="7" t="s">
        <x:v>53</x:v>
      </x:c>
      <x:c r="M106" s="7" t="s">
        <x:v>53</x:v>
      </x:c>
      <x:c r="N106" s="7" t="s">
        <x:v>53</x:v>
      </x:c>
      <x:c r="O106" s="7" t="s">
        <x:v>53</x:v>
      </x:c>
      <x:c r="P106" s="7" t="s">
        <x:v>53</x:v>
      </x:c>
      <x:c r="Q106" s="7" t="s">
        <x:v>53</x:v>
      </x:c>
      <x:c r="R106" s="7" t="s">
        <x:v>53</x:v>
      </x:c>
      <x:c r="S106" s="7" t="s">
        <x:v>1488</x:v>
      </x:c>
      <x:c r="T106" s="7" t="s">
        <x:v>1488</x:v>
      </x:c>
      <x:c r="U106" s="7" t="s">
        <x:v>1489</x:v>
      </x:c>
      <x:c r="V106" s="7" t="s">
        <x:v>1489</x:v>
      </x:c>
      <x:c r="W106" s="7" t="s">
        <x:v>53</x:v>
      </x:c>
      <x:c r="X106" s="7" t="s">
        <x:v>1490</x:v>
      </x:c>
      <x:c r="Y106" s="7" t="s">
        <x:v>53</x:v>
      </x:c>
      <x:c r="Z106" s="7" t="s">
        <x:v>53</x:v>
      </x:c>
      <x:c r="AA106" s="7" t="s">
        <x:v>53</x:v>
      </x:c>
      <x:c r="AB106" s="7" t="s">
        <x:v>53</x:v>
      </x:c>
      <x:c r="AC106" s="7" t="s">
        <x:v>53</x:v>
      </x:c>
      <x:c r="AD106" s="7" t="s">
        <x:v>53</x:v>
      </x:c>
      <x:c r="AE106" s="7" t="s">
        <x:v>53</x:v>
      </x:c>
      <x:c r="AF106" s="7" t="s">
        <x:v>53</x:v>
      </x:c>
      <x:c r="AG106" s="7" t="s">
        <x:v>53</x:v>
      </x:c>
      <x:c r="AH106" s="7" t="s">
        <x:v>53</x:v>
      </x:c>
      <x:c r="AI106" s="7" t="s">
        <x:v>53</x:v>
      </x:c>
      <x:c r="AJ106" s="7" t="s">
        <x:v>1352</x:v>
      </x:c>
      <x:c r="AK106" s="7" t="s">
        <x:v>1491</x:v>
      </x:c>
      <x:c r="AL106" s="7" t="s">
        <x:v>1492</x:v>
      </x:c>
    </x:row>
    <x:row r="107" ht="51.75" hidden="0" customHeight="1">
      <x:c r="A107" s="7" t="s">
        <x:v>1777</x:v>
      </x:c>
      <x:c r="B107" s="7" t="s">
        <x:v>898</x:v>
      </x:c>
      <x:c r="C107" s="7" t="s">
        <x:v>1353</x:v>
      </x:c>
      <x:c r="D107" s="7" t="s">
        <x:v>1487</x:v>
      </x:c>
      <x:c r="E107" s="7" t="s">
        <x:v>53</x:v>
      </x:c>
      <x:c r="F107" s="7" t="s">
        <x:v>1778</x:v>
      </x:c>
      <x:c r="G107" s="7" t="s">
        <x:v>53</x:v>
      </x:c>
      <x:c r="H107" s="7" t="s">
        <x:v>53</x:v>
      </x:c>
      <x:c r="I107" s="7" t="s">
        <x:v>53</x:v>
      </x:c>
      <x:c r="J107" s="7" t="s">
        <x:v>53</x:v>
      </x:c>
      <x:c r="K107" s="7" t="s">
        <x:v>53</x:v>
      </x:c>
      <x:c r="L107" s="7" t="s">
        <x:v>53</x:v>
      </x:c>
      <x:c r="M107" s="7" t="s">
        <x:v>53</x:v>
      </x:c>
      <x:c r="N107" s="7" t="s">
        <x:v>53</x:v>
      </x:c>
      <x:c r="O107" s="7" t="s">
        <x:v>53</x:v>
      </x:c>
      <x:c r="P107" s="7" t="s">
        <x:v>53</x:v>
      </x:c>
      <x:c r="Q107" s="7" t="s">
        <x:v>53</x:v>
      </x:c>
      <x:c r="R107" s="7" t="s">
        <x:v>53</x:v>
      </x:c>
      <x:c r="S107" s="7" t="s">
        <x:v>1488</x:v>
      </x:c>
      <x:c r="T107" s="7" t="s">
        <x:v>1488</x:v>
      </x:c>
      <x:c r="U107" s="7" t="s">
        <x:v>1489</x:v>
      </x:c>
      <x:c r="V107" s="7" t="s">
        <x:v>1489</x:v>
      </x:c>
      <x:c r="W107" s="7" t="s">
        <x:v>53</x:v>
      </x:c>
      <x:c r="X107" s="7" t="s">
        <x:v>1490</x:v>
      </x:c>
      <x:c r="Y107" s="7" t="s">
        <x:v>53</x:v>
      </x:c>
      <x:c r="Z107" s="7" t="s">
        <x:v>53</x:v>
      </x:c>
      <x:c r="AA107" s="7" t="s">
        <x:v>53</x:v>
      </x:c>
      <x:c r="AB107" s="7" t="s">
        <x:v>53</x:v>
      </x:c>
      <x:c r="AC107" s="7" t="s">
        <x:v>53</x:v>
      </x:c>
      <x:c r="AD107" s="7" t="s">
        <x:v>53</x:v>
      </x:c>
      <x:c r="AE107" s="7" t="s">
        <x:v>53</x:v>
      </x:c>
      <x:c r="AF107" s="7" t="s">
        <x:v>53</x:v>
      </x:c>
      <x:c r="AG107" s="7" t="s">
        <x:v>53</x:v>
      </x:c>
      <x:c r="AH107" s="7" t="s">
        <x:v>53</x:v>
      </x:c>
      <x:c r="AI107" s="7" t="s">
        <x:v>53</x:v>
      </x:c>
      <x:c r="AJ107" s="7" t="s">
        <x:v>1354</x:v>
      </x:c>
      <x:c r="AK107" s="7" t="s">
        <x:v>1491</x:v>
      </x:c>
      <x:c r="AL107" s="7" t="s">
        <x:v>1492</x:v>
      </x:c>
    </x:row>
    <x:row r="108" ht="79.5" hidden="0" customHeight="1">
      <x:c r="A108" s="7" t="s">
        <x:v>1779</x:v>
      </x:c>
      <x:c r="B108" s="7" t="s">
        <x:v>910</x:v>
      </x:c>
      <x:c r="C108" s="7" t="s">
        <x:v>912</x:v>
      </x:c>
      <x:c r="D108" s="7" t="s">
        <x:v>1487</x:v>
      </x:c>
      <x:c r="E108" s="7" t="s">
        <x:v>53</x:v>
      </x:c>
      <x:c r="F108" s="7" t="s">
        <x:v>53</x:v>
      </x:c>
      <x:c r="G108" s="7" t="s">
        <x:v>53</x:v>
      </x:c>
      <x:c r="H108" s="7" t="s">
        <x:v>53</x:v>
      </x:c>
      <x:c r="I108" s="7" t="s">
        <x:v>53</x:v>
      </x:c>
      <x:c r="J108" s="7" t="s">
        <x:v>53</x:v>
      </x:c>
      <x:c r="K108" s="7" t="s">
        <x:v>53</x:v>
      </x:c>
      <x:c r="L108" s="7" t="s">
        <x:v>53</x:v>
      </x:c>
      <x:c r="M108" s="7" t="s">
        <x:v>53</x:v>
      </x:c>
      <x:c r="N108" s="7" t="s">
        <x:v>53</x:v>
      </x:c>
      <x:c r="O108" s="7" t="s">
        <x:v>53</x:v>
      </x:c>
      <x:c r="P108" s="7" t="s">
        <x:v>53</x:v>
      </x:c>
      <x:c r="Q108" s="7" t="s">
        <x:v>53</x:v>
      </x:c>
      <x:c r="R108" s="7" t="s">
        <x:v>1545</x:v>
      </x:c>
      <x:c r="S108" s="7" t="s">
        <x:v>1488</x:v>
      </x:c>
      <x:c r="T108" s="7" t="s">
        <x:v>1488</x:v>
      </x:c>
      <x:c r="U108" s="7" t="s">
        <x:v>1489</x:v>
      </x:c>
      <x:c r="V108" s="7" t="s">
        <x:v>1489</x:v>
      </x:c>
      <x:c r="W108" s="7" t="s">
        <x:v>53</x:v>
      </x:c>
      <x:c r="X108" s="7" t="s">
        <x:v>1490</x:v>
      </x:c>
      <x:c r="Y108" s="7" t="s">
        <x:v>53</x:v>
      </x:c>
      <x:c r="Z108" s="7" t="s">
        <x:v>53</x:v>
      </x:c>
      <x:c r="AA108" s="7" t="s">
        <x:v>53</x:v>
      </x:c>
      <x:c r="AB108" s="7" t="s">
        <x:v>53</x:v>
      </x:c>
      <x:c r="AC108" s="7" t="s">
        <x:v>53</x:v>
      </x:c>
      <x:c r="AD108" s="7" t="s">
        <x:v>53</x:v>
      </x:c>
      <x:c r="AE108" s="7" t="s">
        <x:v>53</x:v>
      </x:c>
      <x:c r="AF108" s="7" t="s">
        <x:v>53</x:v>
      </x:c>
      <x:c r="AG108" s="7" t="s">
        <x:v>53</x:v>
      </x:c>
      <x:c r="AH108" s="7" t="s">
        <x:v>53</x:v>
      </x:c>
      <x:c r="AI108" s="7" t="s">
        <x:v>53</x:v>
      </x:c>
      <x:c r="AJ108" s="7" t="s">
        <x:v>1356</x:v>
      </x:c>
      <x:c r="AK108" s="7" t="s">
        <x:v>1491</x:v>
      </x:c>
      <x:c r="AL108" s="7" t="s">
        <x:v>1492</x:v>
      </x:c>
    </x:row>
    <x:row r="109" ht="79.5" hidden="0" customHeight="1">
      <x:c r="A109" s="7" t="s">
        <x:v>924</x:v>
      </x:c>
      <x:c r="B109" s="7" t="s">
        <x:v>921</x:v>
      </x:c>
      <x:c r="C109" s="7" t="s">
        <x:v>923</x:v>
      </x:c>
      <x:c r="D109" s="7" t="s">
        <x:v>1487</x:v>
      </x:c>
      <x:c r="E109" s="7" t="s">
        <x:v>53</x:v>
      </x:c>
      <x:c r="F109" s="7" t="s">
        <x:v>53</x:v>
      </x:c>
      <x:c r="G109" s="7" t="s">
        <x:v>53</x:v>
      </x:c>
      <x:c r="H109" s="7" t="s">
        <x:v>53</x:v>
      </x:c>
      <x:c r="I109" s="7" t="s">
        <x:v>53</x:v>
      </x:c>
      <x:c r="J109" s="7" t="s">
        <x:v>53</x:v>
      </x:c>
      <x:c r="K109" s="7" t="s">
        <x:v>53</x:v>
      </x:c>
      <x:c r="L109" s="7" t="s">
        <x:v>53</x:v>
      </x:c>
      <x:c r="M109" s="7" t="s">
        <x:v>53</x:v>
      </x:c>
      <x:c r="N109" s="7" t="s">
        <x:v>53</x:v>
      </x:c>
      <x:c r="O109" s="7" t="s">
        <x:v>53</x:v>
      </x:c>
      <x:c r="P109" s="7" t="s">
        <x:v>53</x:v>
      </x:c>
      <x:c r="Q109" s="7" t="s">
        <x:v>53</x:v>
      </x:c>
      <x:c r="R109" s="7" t="s">
        <x:v>1545</x:v>
      </x:c>
      <x:c r="S109" s="7" t="s">
        <x:v>1488</x:v>
      </x:c>
      <x:c r="T109" s="7" t="s">
        <x:v>1488</x:v>
      </x:c>
      <x:c r="U109" s="7" t="s">
        <x:v>1489</x:v>
      </x:c>
      <x:c r="V109" s="7" t="s">
        <x:v>1489</x:v>
      </x:c>
      <x:c r="W109" s="7" t="s">
        <x:v>53</x:v>
      </x:c>
      <x:c r="X109" s="7" t="s">
        <x:v>1490</x:v>
      </x:c>
      <x:c r="Y109" s="7" t="s">
        <x:v>53</x:v>
      </x:c>
      <x:c r="Z109" s="7" t="s">
        <x:v>53</x:v>
      </x:c>
      <x:c r="AA109" s="7" t="s">
        <x:v>53</x:v>
      </x:c>
      <x:c r="AB109" s="7" t="s">
        <x:v>53</x:v>
      </x:c>
      <x:c r="AC109" s="7" t="s">
        <x:v>53</x:v>
      </x:c>
      <x:c r="AD109" s="7" t="s">
        <x:v>53</x:v>
      </x:c>
      <x:c r="AE109" s="7" t="s">
        <x:v>53</x:v>
      </x:c>
      <x:c r="AF109" s="7" t="s">
        <x:v>53</x:v>
      </x:c>
      <x:c r="AG109" s="7" t="s">
        <x:v>53</x:v>
      </x:c>
      <x:c r="AH109" s="7" t="s">
        <x:v>53</x:v>
      </x:c>
      <x:c r="AI109" s="7" t="s">
        <x:v>53</x:v>
      </x:c>
      <x:c r="AJ109" s="7" t="s">
        <x:v>1359</x:v>
      </x:c>
      <x:c r="AK109" s="7" t="s">
        <x:v>1491</x:v>
      </x:c>
      <x:c r="AL109" s="7" t="s">
        <x:v>1492</x:v>
      </x:c>
    </x:row>
    <x:row r="110" ht="51.75" hidden="0" customHeight="1">
      <x:c r="A110" s="7" t="s">
        <x:v>933</x:v>
      </x:c>
      <x:c r="B110" s="7" t="s">
        <x:v>928</x:v>
      </x:c>
      <x:c r="C110" s="7" t="s">
        <x:v>930</x:v>
      </x:c>
      <x:c r="D110" s="7" t="s">
        <x:v>1487</x:v>
      </x:c>
      <x:c r="E110" s="7" t="s">
        <x:v>931</x:v>
      </x:c>
      <x:c r="F110" s="7" t="s">
        <x:v>932</x:v>
      </x:c>
      <x:c r="G110" s="7" t="s">
        <x:v>53</x:v>
      </x:c>
      <x:c r="H110" s="7" t="s">
        <x:v>1780</x:v>
      </x:c>
      <x:c r="I110" s="7" t="s">
        <x:v>53</x:v>
      </x:c>
      <x:c r="J110" s="7" t="s">
        <x:v>53</x:v>
      </x:c>
      <x:c r="K110" s="7" t="s">
        <x:v>53</x:v>
      </x:c>
      <x:c r="L110" s="7" t="s">
        <x:v>53</x:v>
      </x:c>
      <x:c r="M110" s="7" t="s">
        <x:v>53</x:v>
      </x:c>
      <x:c r="N110" s="7" t="s">
        <x:v>53</x:v>
      </x:c>
      <x:c r="O110" s="7" t="s">
        <x:v>53</x:v>
      </x:c>
      <x:c r="P110" s="7" t="s">
        <x:v>1590</x:v>
      </x:c>
      <x:c r="Q110" s="7" t="s">
        <x:v>53</x:v>
      </x:c>
      <x:c r="R110" s="7" t="s">
        <x:v>53</x:v>
      </x:c>
      <x:c r="S110" s="7" t="s">
        <x:v>1488</x:v>
      </x:c>
      <x:c r="T110" s="7" t="s">
        <x:v>1488</x:v>
      </x:c>
      <x:c r="U110" s="7" t="s">
        <x:v>1489</x:v>
      </x:c>
      <x:c r="V110" s="7" t="s">
        <x:v>1489</x:v>
      </x:c>
      <x:c r="W110" s="7" t="s">
        <x:v>53</x:v>
      </x:c>
      <x:c r="X110" s="7" t="s">
        <x:v>1490</x:v>
      </x:c>
      <x:c r="Y110" s="7" t="s">
        <x:v>53</x:v>
      </x:c>
      <x:c r="Z110" s="7" t="s">
        <x:v>53</x:v>
      </x:c>
      <x:c r="AA110" s="7" t="s">
        <x:v>53</x:v>
      </x:c>
      <x:c r="AB110" s="7" t="s">
        <x:v>53</x:v>
      </x:c>
      <x:c r="AC110" s="7" t="s">
        <x:v>53</x:v>
      </x:c>
      <x:c r="AD110" s="7" t="s">
        <x:v>53</x:v>
      </x:c>
      <x:c r="AE110" s="7" t="s">
        <x:v>53</x:v>
      </x:c>
      <x:c r="AF110" s="7" t="s">
        <x:v>53</x:v>
      </x:c>
      <x:c r="AG110" s="7" t="s">
        <x:v>53</x:v>
      </x:c>
      <x:c r="AH110" s="7" t="s">
        <x:v>53</x:v>
      </x:c>
      <x:c r="AI110" s="7" t="s">
        <x:v>53</x:v>
      </x:c>
      <x:c r="AJ110" s="7" t="s">
        <x:v>1361</x:v>
      </x:c>
      <x:c r="AK110" s="7" t="s">
        <x:v>1491</x:v>
      </x:c>
      <x:c r="AL110" s="7" t="s">
        <x:v>1492</x:v>
      </x:c>
    </x:row>
    <x:row r="111" ht="51.75" hidden="0" customHeight="1">
      <x:c r="A111" s="7" t="s">
        <x:v>940</x:v>
      </x:c>
      <x:c r="B111" s="7" t="s">
        <x:v>936</x:v>
      </x:c>
      <x:c r="C111" s="7" t="s">
        <x:v>938</x:v>
      </x:c>
      <x:c r="D111" s="7" t="s">
        <x:v>1487</x:v>
      </x:c>
      <x:c r="E111" s="7" t="s">
        <x:v>939</x:v>
      </x:c>
      <x:c r="F111" s="7" t="s">
        <x:v>620</x:v>
      </x:c>
      <x:c r="G111" s="7" t="s">
        <x:v>53</x:v>
      </x:c>
      <x:c r="H111" s="7" t="s">
        <x:v>53</x:v>
      </x:c>
      <x:c r="I111" s="7" t="s">
        <x:v>1781</x:v>
      </x:c>
      <x:c r="J111" s="7" t="s">
        <x:v>53</x:v>
      </x:c>
      <x:c r="K111" s="7" t="s">
        <x:v>53</x:v>
      </x:c>
      <x:c r="L111" s="7" t="s">
        <x:v>1782</x:v>
      </x:c>
      <x:c r="M111" s="7" t="s">
        <x:v>53</x:v>
      </x:c>
      <x:c r="N111" s="7" t="s">
        <x:v>53</x:v>
      </x:c>
      <x:c r="O111" s="7" t="s">
        <x:v>53</x:v>
      </x:c>
      <x:c r="P111" s="7" t="s">
        <x:v>53</x:v>
      </x:c>
      <x:c r="Q111" s="7" t="s">
        <x:v>1783</x:v>
      </x:c>
      <x:c r="R111" s="7" t="s">
        <x:v>53</x:v>
      </x:c>
      <x:c r="S111" s="7" t="s">
        <x:v>1488</x:v>
      </x:c>
      <x:c r="T111" s="7" t="s">
        <x:v>1488</x:v>
      </x:c>
      <x:c r="U111" s="7" t="s">
        <x:v>1489</x:v>
      </x:c>
      <x:c r="V111" s="7" t="s">
        <x:v>1489</x:v>
      </x:c>
      <x:c r="W111" s="7" t="s">
        <x:v>53</x:v>
      </x:c>
      <x:c r="X111" s="7" t="s">
        <x:v>1490</x:v>
      </x:c>
      <x:c r="Y111" s="7" t="s">
        <x:v>53</x:v>
      </x:c>
      <x:c r="Z111" s="7" t="s">
        <x:v>53</x:v>
      </x:c>
      <x:c r="AA111" s="7" t="s">
        <x:v>53</x:v>
      </x:c>
      <x:c r="AB111" s="7" t="s">
        <x:v>53</x:v>
      </x:c>
      <x:c r="AC111" s="7" t="s">
        <x:v>53</x:v>
      </x:c>
      <x:c r="AD111" s="7" t="s">
        <x:v>53</x:v>
      </x:c>
      <x:c r="AE111" s="7" t="s">
        <x:v>53</x:v>
      </x:c>
      <x:c r="AF111" s="7" t="s">
        <x:v>53</x:v>
      </x:c>
      <x:c r="AG111" s="7" t="s">
        <x:v>53</x:v>
      </x:c>
      <x:c r="AH111" s="7" t="s">
        <x:v>53</x:v>
      </x:c>
      <x:c r="AI111" s="7" t="s">
        <x:v>53</x:v>
      </x:c>
      <x:c r="AJ111" s="7" t="s">
        <x:v>1364</x:v>
      </x:c>
      <x:c r="AK111" s="7" t="s">
        <x:v>1491</x:v>
      </x:c>
      <x:c r="AL111" s="7" t="s">
        <x:v>1492</x:v>
      </x:c>
    </x:row>
    <x:row r="112" ht="51.75" hidden="0" customHeight="1">
      <x:c r="A112" s="7" t="s">
        <x:v>950</x:v>
      </x:c>
      <x:c r="B112" s="7" t="s">
        <x:v>944</x:v>
      </x:c>
      <x:c r="C112" s="7" t="s">
        <x:v>947</x:v>
      </x:c>
      <x:c r="D112" s="7" t="s">
        <x:v>1487</x:v>
      </x:c>
      <x:c r="E112" s="7" t="s">
        <x:v>948</x:v>
      </x:c>
      <x:c r="F112" s="7" t="s">
        <x:v>949</x:v>
      </x:c>
      <x:c r="G112" s="7" t="s">
        <x:v>53</x:v>
      </x:c>
      <x:c r="H112" s="7" t="s">
        <x:v>53</x:v>
      </x:c>
      <x:c r="I112" s="7" t="s">
        <x:v>53</x:v>
      </x:c>
      <x:c r="J112" s="7" t="s">
        <x:v>53</x:v>
      </x:c>
      <x:c r="K112" s="7" t="s">
        <x:v>53</x:v>
      </x:c>
      <x:c r="L112" s="7" t="s">
        <x:v>53</x:v>
      </x:c>
      <x:c r="M112" s="7" t="s">
        <x:v>53</x:v>
      </x:c>
      <x:c r="N112" s="7" t="s">
        <x:v>53</x:v>
      </x:c>
      <x:c r="O112" s="7" t="s">
        <x:v>53</x:v>
      </x:c>
      <x:c r="P112" s="7" t="s">
        <x:v>53</x:v>
      </x:c>
      <x:c r="Q112" s="7" t="s">
        <x:v>53</x:v>
      </x:c>
      <x:c r="R112" s="7" t="s">
        <x:v>53</x:v>
      </x:c>
      <x:c r="S112" s="7" t="s">
        <x:v>1488</x:v>
      </x:c>
      <x:c r="T112" s="7" t="s">
        <x:v>1488</x:v>
      </x:c>
      <x:c r="U112" s="7" t="s">
        <x:v>1489</x:v>
      </x:c>
      <x:c r="V112" s="7" t="s">
        <x:v>1489</x:v>
      </x:c>
      <x:c r="W112" s="7" t="s">
        <x:v>53</x:v>
      </x:c>
      <x:c r="X112" s="7" t="s">
        <x:v>1490</x:v>
      </x:c>
      <x:c r="Y112" s="7" t="s">
        <x:v>53</x:v>
      </x:c>
      <x:c r="Z112" s="7" t="s">
        <x:v>53</x:v>
      </x:c>
      <x:c r="AA112" s="7" t="s">
        <x:v>53</x:v>
      </x:c>
      <x:c r="AB112" s="7" t="s">
        <x:v>53</x:v>
      </x:c>
      <x:c r="AC112" s="7" t="s">
        <x:v>53</x:v>
      </x:c>
      <x:c r="AD112" s="7" t="s">
        <x:v>53</x:v>
      </x:c>
      <x:c r="AE112" s="7" t="s">
        <x:v>53</x:v>
      </x:c>
      <x:c r="AF112" s="7" t="s">
        <x:v>53</x:v>
      </x:c>
      <x:c r="AG112" s="7" t="s">
        <x:v>53</x:v>
      </x:c>
      <x:c r="AH112" s="7" t="s">
        <x:v>53</x:v>
      </x:c>
      <x:c r="AI112" s="7" t="s">
        <x:v>1784</x:v>
      </x:c>
      <x:c r="AJ112" s="7" t="s">
        <x:v>1367</x:v>
      </x:c>
      <x:c r="AK112" s="7" t="s">
        <x:v>1491</x:v>
      </x:c>
      <x:c r="AL112" s="7" t="s">
        <x:v>1492</x:v>
      </x:c>
    </x:row>
    <x:row r="113" ht="51.75" hidden="0" customHeight="1">
      <x:c r="A113" s="7" t="s">
        <x:v>1785</x:v>
      </x:c>
      <x:c r="B113" s="7" t="s">
        <x:v>957</x:v>
      </x:c>
      <x:c r="C113" s="7" t="s">
        <x:v>960</x:v>
      </x:c>
      <x:c r="D113" s="7" t="s">
        <x:v>1487</x:v>
      </x:c>
      <x:c r="E113" s="7" t="s">
        <x:v>53</x:v>
      </x:c>
      <x:c r="F113" s="7" t="s">
        <x:v>53</x:v>
      </x:c>
      <x:c r="G113" s="7" t="s">
        <x:v>53</x:v>
      </x:c>
      <x:c r="H113" s="7" t="s">
        <x:v>53</x:v>
      </x:c>
      <x:c r="I113" s="7" t="s">
        <x:v>53</x:v>
      </x:c>
      <x:c r="J113" s="7" t="s">
        <x:v>53</x:v>
      </x:c>
      <x:c r="K113" s="7" t="s">
        <x:v>53</x:v>
      </x:c>
      <x:c r="L113" s="7" t="s">
        <x:v>53</x:v>
      </x:c>
      <x:c r="M113" s="7" t="s">
        <x:v>53</x:v>
      </x:c>
      <x:c r="N113" s="7" t="s">
        <x:v>53</x:v>
      </x:c>
      <x:c r="O113" s="7" t="s">
        <x:v>53</x:v>
      </x:c>
      <x:c r="P113" s="7" t="s">
        <x:v>53</x:v>
      </x:c>
      <x:c r="Q113" s="7" t="s">
        <x:v>53</x:v>
      </x:c>
      <x:c r="R113" s="7" t="s">
        <x:v>53</x:v>
      </x:c>
      <x:c r="S113" s="7" t="s">
        <x:v>1488</x:v>
      </x:c>
      <x:c r="T113" s="7" t="s">
        <x:v>1488</x:v>
      </x:c>
      <x:c r="U113" s="7" t="s">
        <x:v>1489</x:v>
      </x:c>
      <x:c r="V113" s="7" t="s">
        <x:v>1489</x:v>
      </x:c>
      <x:c r="W113" s="7" t="s">
        <x:v>53</x:v>
      </x:c>
      <x:c r="X113" s="7" t="s">
        <x:v>1490</x:v>
      </x:c>
      <x:c r="Y113" s="7" t="s">
        <x:v>53</x:v>
      </x:c>
      <x:c r="Z113" s="7" t="s">
        <x:v>53</x:v>
      </x:c>
      <x:c r="AA113" s="7" t="s">
        <x:v>53</x:v>
      </x:c>
      <x:c r="AB113" s="7" t="s">
        <x:v>53</x:v>
      </x:c>
      <x:c r="AC113" s="7" t="s">
        <x:v>53</x:v>
      </x:c>
      <x:c r="AD113" s="7" t="s">
        <x:v>53</x:v>
      </x:c>
      <x:c r="AE113" s="7" t="s">
        <x:v>53</x:v>
      </x:c>
      <x:c r="AF113" s="7" t="s">
        <x:v>53</x:v>
      </x:c>
      <x:c r="AG113" s="7" t="s">
        <x:v>53</x:v>
      </x:c>
      <x:c r="AH113" s="7" t="s">
        <x:v>53</x:v>
      </x:c>
      <x:c r="AI113" s="7" t="s">
        <x:v>53</x:v>
      </x:c>
      <x:c r="AJ113" s="7" t="s">
        <x:v>1369</x:v>
      </x:c>
      <x:c r="AK113" s="7" t="s">
        <x:v>1491</x:v>
      </x:c>
      <x:c r="AL113" s="7" t="s">
        <x:v>1492</x:v>
      </x:c>
    </x:row>
    <x:row r="114" ht="51.75" hidden="0" customHeight="1">
      <x:c r="A114" s="7" t="s">
        <x:v>1786</x:v>
      </x:c>
      <x:c r="B114" s="7" t="s">
        <x:v>957</x:v>
      </x:c>
      <x:c r="C114" s="7" t="s">
        <x:v>1371</x:v>
      </x:c>
      <x:c r="D114" s="7" t="s">
        <x:v>1487</x:v>
      </x:c>
      <x:c r="E114" s="7" t="s">
        <x:v>1787</x:v>
      </x:c>
      <x:c r="F114" s="7" t="s">
        <x:v>1788</x:v>
      </x:c>
      <x:c r="G114" s="7" t="s">
        <x:v>53</x:v>
      </x:c>
      <x:c r="H114" s="7" t="s">
        <x:v>1612</x:v>
      </x:c>
      <x:c r="I114" s="7" t="s">
        <x:v>53</x:v>
      </x:c>
      <x:c r="J114" s="7" t="s">
        <x:v>53</x:v>
      </x:c>
      <x:c r="K114" s="7" t="s">
        <x:v>1789</x:v>
      </x:c>
      <x:c r="L114" s="7" t="s">
        <x:v>1790</x:v>
      </x:c>
      <x:c r="M114" s="7" t="s">
        <x:v>53</x:v>
      </x:c>
      <x:c r="N114" s="7" t="s">
        <x:v>53</x:v>
      </x:c>
      <x:c r="O114" s="7" t="s">
        <x:v>53</x:v>
      </x:c>
      <x:c r="P114" s="7" t="s">
        <x:v>1612</x:v>
      </x:c>
      <x:c r="Q114" s="7" t="s">
        <x:v>53</x:v>
      </x:c>
      <x:c r="R114" s="7" t="s">
        <x:v>53</x:v>
      </x:c>
      <x:c r="S114" s="7" t="s">
        <x:v>1488</x:v>
      </x:c>
      <x:c r="T114" s="7" t="s">
        <x:v>1488</x:v>
      </x:c>
      <x:c r="U114" s="7" t="s">
        <x:v>1489</x:v>
      </x:c>
      <x:c r="V114" s="7" t="s">
        <x:v>1489</x:v>
      </x:c>
      <x:c r="W114" s="7" t="s">
        <x:v>53</x:v>
      </x:c>
      <x:c r="X114" s="7" t="s">
        <x:v>1490</x:v>
      </x:c>
      <x:c r="Y114" s="7" t="s">
        <x:v>53</x:v>
      </x:c>
      <x:c r="Z114" s="7" t="s">
        <x:v>53</x:v>
      </x:c>
      <x:c r="AA114" s="7" t="s">
        <x:v>53</x:v>
      </x:c>
      <x:c r="AB114" s="7" t="s">
        <x:v>53</x:v>
      </x:c>
      <x:c r="AC114" s="7" t="s">
        <x:v>53</x:v>
      </x:c>
      <x:c r="AD114" s="7" t="s">
        <x:v>53</x:v>
      </x:c>
      <x:c r="AE114" s="7" t="s">
        <x:v>53</x:v>
      </x:c>
      <x:c r="AF114" s="7" t="s">
        <x:v>53</x:v>
      </x:c>
      <x:c r="AG114" s="7" t="s">
        <x:v>53</x:v>
      </x:c>
      <x:c r="AH114" s="7" t="s">
        <x:v>53</x:v>
      </x:c>
      <x:c r="AI114" s="7" t="s">
        <x:v>53</x:v>
      </x:c>
      <x:c r="AJ114" s="7" t="s">
        <x:v>1373</x:v>
      </x:c>
      <x:c r="AK114" s="7" t="s">
        <x:v>1491</x:v>
      </x:c>
      <x:c r="AL114" s="7" t="s">
        <x:v>1492</x:v>
      </x:c>
    </x:row>
    <x:row r="115" ht="51.75" hidden="0" customHeight="1">
      <x:c r="A115" s="7" t="s">
        <x:v>972</x:v>
      </x:c>
      <x:c r="B115" s="7" t="s">
        <x:v>969</x:v>
      </x:c>
      <x:c r="C115" s="7" t="s">
        <x:v>971</x:v>
      </x:c>
      <x:c r="D115" s="7" t="s">
        <x:v>1487</x:v>
      </x:c>
      <x:c r="E115" s="7" t="s">
        <x:v>53</x:v>
      </x:c>
      <x:c r="F115" s="7" t="s">
        <x:v>53</x:v>
      </x:c>
      <x:c r="G115" s="7" t="s">
        <x:v>53</x:v>
      </x:c>
      <x:c r="H115" s="7" t="s">
        <x:v>53</x:v>
      </x:c>
      <x:c r="I115" s="7" t="s">
        <x:v>53</x:v>
      </x:c>
      <x:c r="J115" s="7" t="s">
        <x:v>53</x:v>
      </x:c>
      <x:c r="K115" s="7" t="s">
        <x:v>53</x:v>
      </x:c>
      <x:c r="L115" s="7" t="s">
        <x:v>53</x:v>
      </x:c>
      <x:c r="M115" s="7" t="s">
        <x:v>53</x:v>
      </x:c>
      <x:c r="N115" s="7" t="s">
        <x:v>53</x:v>
      </x:c>
      <x:c r="O115" s="7" t="s">
        <x:v>53</x:v>
      </x:c>
      <x:c r="P115" s="7" t="s">
        <x:v>53</x:v>
      </x:c>
      <x:c r="Q115" s="7" t="s">
        <x:v>53</x:v>
      </x:c>
      <x:c r="R115" s="7" t="s">
        <x:v>53</x:v>
      </x:c>
      <x:c r="S115" s="7" t="s">
        <x:v>1488</x:v>
      </x:c>
      <x:c r="T115" s="7" t="s">
        <x:v>1488</x:v>
      </x:c>
      <x:c r="U115" s="7" t="s">
        <x:v>1489</x:v>
      </x:c>
      <x:c r="V115" s="7" t="s">
        <x:v>1489</x:v>
      </x:c>
      <x:c r="W115" s="7" t="s">
        <x:v>53</x:v>
      </x:c>
      <x:c r="X115" s="7" t="s">
        <x:v>1490</x:v>
      </x:c>
      <x:c r="Y115" s="7" t="s">
        <x:v>53</x:v>
      </x:c>
      <x:c r="Z115" s="7" t="s">
        <x:v>53</x:v>
      </x:c>
      <x:c r="AA115" s="7" t="s">
        <x:v>53</x:v>
      </x:c>
      <x:c r="AB115" s="7" t="s">
        <x:v>53</x:v>
      </x:c>
      <x:c r="AC115" s="7" t="s">
        <x:v>53</x:v>
      </x:c>
      <x:c r="AD115" s="7" t="s">
        <x:v>53</x:v>
      </x:c>
      <x:c r="AE115" s="7" t="s">
        <x:v>53</x:v>
      </x:c>
      <x:c r="AF115" s="7" t="s">
        <x:v>53</x:v>
      </x:c>
      <x:c r="AG115" s="7" t="s">
        <x:v>53</x:v>
      </x:c>
      <x:c r="AH115" s="7" t="s">
        <x:v>53</x:v>
      </x:c>
      <x:c r="AI115" s="7" t="s">
        <x:v>53</x:v>
      </x:c>
      <x:c r="AJ115" s="7" t="s">
        <x:v>1376</x:v>
      </x:c>
      <x:c r="AK115" s="7" t="s">
        <x:v>1491</x:v>
      </x:c>
      <x:c r="AL115" s="7" t="s">
        <x:v>1492</x:v>
      </x:c>
    </x:row>
    <x:row r="116" ht="51.75" hidden="0" customHeight="1">
      <x:c r="A116" s="7" t="s">
        <x:v>983</x:v>
      </x:c>
      <x:c r="B116" s="7" t="s">
        <x:v>978</x:v>
      </x:c>
      <x:c r="C116" s="7" t="s">
        <x:v>980</x:v>
      </x:c>
      <x:c r="D116" s="7" t="s">
        <x:v>1487</x:v>
      </x:c>
      <x:c r="E116" s="7" t="s">
        <x:v>981</x:v>
      </x:c>
      <x:c r="F116" s="7" t="s">
        <x:v>982</x:v>
      </x:c>
      <x:c r="G116" s="7" t="s">
        <x:v>53</x:v>
      </x:c>
      <x:c r="H116" s="7" t="s">
        <x:v>53</x:v>
      </x:c>
      <x:c r="I116" s="7" t="s">
        <x:v>53</x:v>
      </x:c>
      <x:c r="J116" s="7" t="s">
        <x:v>1791</x:v>
      </x:c>
      <x:c r="K116" s="7" t="s">
        <x:v>1792</x:v>
      </x:c>
      <x:c r="L116" s="7" t="s">
        <x:v>1793</x:v>
      </x:c>
      <x:c r="M116" s="7" t="s">
        <x:v>53</x:v>
      </x:c>
      <x:c r="N116" s="7" t="s">
        <x:v>53</x:v>
      </x:c>
      <x:c r="O116" s="7" t="s">
        <x:v>53</x:v>
      </x:c>
      <x:c r="P116" s="7" t="s">
        <x:v>1794</x:v>
      </x:c>
      <x:c r="Q116" s="7" t="s">
        <x:v>53</x:v>
      </x:c>
      <x:c r="R116" s="7" t="s">
        <x:v>1795</x:v>
      </x:c>
      <x:c r="S116" s="7" t="s">
        <x:v>1488</x:v>
      </x:c>
      <x:c r="T116" s="7" t="s">
        <x:v>1488</x:v>
      </x:c>
      <x:c r="U116" s="7" t="s">
        <x:v>1489</x:v>
      </x:c>
      <x:c r="V116" s="7" t="s">
        <x:v>1489</x:v>
      </x:c>
      <x:c r="W116" s="7" t="s">
        <x:v>53</x:v>
      </x:c>
      <x:c r="X116" s="7" t="s">
        <x:v>1490</x:v>
      </x:c>
      <x:c r="Y116" s="7" t="s">
        <x:v>53</x:v>
      </x:c>
      <x:c r="Z116" s="7" t="s">
        <x:v>53</x:v>
      </x:c>
      <x:c r="AA116" s="7" t="s">
        <x:v>53</x:v>
      </x:c>
      <x:c r="AB116" s="7" t="s">
        <x:v>53</x:v>
      </x:c>
      <x:c r="AC116" s="7" t="s">
        <x:v>53</x:v>
      </x:c>
      <x:c r="AD116" s="7" t="s">
        <x:v>53</x:v>
      </x:c>
      <x:c r="AE116" s="7" t="s">
        <x:v>1796</x:v>
      </x:c>
      <x:c r="AF116" s="7" t="s">
        <x:v>53</x:v>
      </x:c>
      <x:c r="AG116" s="7" t="s">
        <x:v>53</x:v>
      </x:c>
      <x:c r="AH116" s="7" t="s">
        <x:v>53</x:v>
      </x:c>
      <x:c r="AI116" s="7" t="s">
        <x:v>53</x:v>
      </x:c>
      <x:c r="AJ116" s="7" t="s">
        <x:v>1378</x:v>
      </x:c>
      <x:c r="AK116" s="7" t="s">
        <x:v>1491</x:v>
      </x:c>
      <x:c r="AL116" s="7" t="s">
        <x:v>1492</x:v>
      </x:c>
    </x:row>
    <x:row r="117" ht="79.5" hidden="0" customHeight="1">
      <x:c r="A117" s="7" t="s">
        <x:v>1797</x:v>
      </x:c>
      <x:c r="B117" s="7" t="s">
        <x:v>978</x:v>
      </x:c>
      <x:c r="C117" s="7" t="s">
        <x:v>1379</x:v>
      </x:c>
      <x:c r="D117" s="7" t="s">
        <x:v>1487</x:v>
      </x:c>
      <x:c r="E117" s="7" t="s">
        <x:v>1798</x:v>
      </x:c>
      <x:c r="F117" s="7" t="s">
        <x:v>1799</x:v>
      </x:c>
      <x:c r="G117" s="7" t="s">
        <x:v>53</x:v>
      </x:c>
      <x:c r="H117" s="7" t="s">
        <x:v>1612</x:v>
      </x:c>
      <x:c r="I117" s="7" t="s">
        <x:v>53</x:v>
      </x:c>
      <x:c r="J117" s="7" t="s">
        <x:v>53</x:v>
      </x:c>
      <x:c r="K117" s="7" t="s">
        <x:v>1800</x:v>
      </x:c>
      <x:c r="L117" s="7" t="s">
        <x:v>1801</x:v>
      </x:c>
      <x:c r="M117" s="7" t="s">
        <x:v>53</x:v>
      </x:c>
      <x:c r="N117" s="7" t="s">
        <x:v>53</x:v>
      </x:c>
      <x:c r="O117" s="7" t="s">
        <x:v>53</x:v>
      </x:c>
      <x:c r="P117" s="7" t="s">
        <x:v>1615</x:v>
      </x:c>
      <x:c r="Q117" s="7" t="s">
        <x:v>53</x:v>
      </x:c>
      <x:c r="R117" s="7" t="s">
        <x:v>1545</x:v>
      </x:c>
      <x:c r="S117" s="7" t="s">
        <x:v>1488</x:v>
      </x:c>
      <x:c r="T117" s="7" t="s">
        <x:v>1488</x:v>
      </x:c>
      <x:c r="U117" s="7" t="s">
        <x:v>1489</x:v>
      </x:c>
      <x:c r="V117" s="7" t="s">
        <x:v>1489</x:v>
      </x:c>
      <x:c r="W117" s="7" t="s">
        <x:v>53</x:v>
      </x:c>
      <x:c r="X117" s="7" t="s">
        <x:v>1490</x:v>
      </x:c>
      <x:c r="Y117" s="7" t="s">
        <x:v>53</x:v>
      </x:c>
      <x:c r="Z117" s="7" t="s">
        <x:v>53</x:v>
      </x:c>
      <x:c r="AA117" s="7" t="s">
        <x:v>53</x:v>
      </x:c>
      <x:c r="AB117" s="7" t="s">
        <x:v>53</x:v>
      </x:c>
      <x:c r="AC117" s="7" t="s">
        <x:v>53</x:v>
      </x:c>
      <x:c r="AD117" s="7" t="s">
        <x:v>53</x:v>
      </x:c>
      <x:c r="AE117" s="7" t="s">
        <x:v>53</x:v>
      </x:c>
      <x:c r="AF117" s="7" t="s">
        <x:v>53</x:v>
      </x:c>
      <x:c r="AG117" s="7" t="s">
        <x:v>53</x:v>
      </x:c>
      <x:c r="AH117" s="7" t="s">
        <x:v>53</x:v>
      </x:c>
      <x:c r="AI117" s="7" t="s">
        <x:v>53</x:v>
      </x:c>
      <x:c r="AJ117" s="7" t="s">
        <x:v>1381</x:v>
      </x:c>
      <x:c r="AK117" s="7" t="s">
        <x:v>1491</x:v>
      </x:c>
      <x:c r="AL117" s="7" t="s">
        <x:v>1492</x:v>
      </x:c>
    </x:row>
    <x:row r="118" ht="51.75" hidden="0" customHeight="1">
      <x:c r="A118" s="7" t="s">
        <x:v>993</x:v>
      </x:c>
      <x:c r="B118" s="7" t="s">
        <x:v>990</x:v>
      </x:c>
      <x:c r="C118" s="7" t="s">
        <x:v>992</x:v>
      </x:c>
      <x:c r="D118" s="7" t="s">
        <x:v>1487</x:v>
      </x:c>
      <x:c r="E118" s="7" t="s">
        <x:v>53</x:v>
      </x:c>
      <x:c r="F118" s="7" t="s">
        <x:v>53</x:v>
      </x:c>
      <x:c r="G118" s="7" t="s">
        <x:v>53</x:v>
      </x:c>
      <x:c r="H118" s="7" t="s">
        <x:v>53</x:v>
      </x:c>
      <x:c r="I118" s="7" t="s">
        <x:v>53</x:v>
      </x:c>
      <x:c r="J118" s="7" t="s">
        <x:v>53</x:v>
      </x:c>
      <x:c r="K118" s="7" t="s">
        <x:v>53</x:v>
      </x:c>
      <x:c r="L118" s="7" t="s">
        <x:v>53</x:v>
      </x:c>
      <x:c r="M118" s="7" t="s">
        <x:v>53</x:v>
      </x:c>
      <x:c r="N118" s="7" t="s">
        <x:v>53</x:v>
      </x:c>
      <x:c r="O118" s="7" t="s">
        <x:v>53</x:v>
      </x:c>
      <x:c r="P118" s="7" t="s">
        <x:v>53</x:v>
      </x:c>
      <x:c r="Q118" s="7" t="s">
        <x:v>53</x:v>
      </x:c>
      <x:c r="R118" s="7" t="s">
        <x:v>53</x:v>
      </x:c>
      <x:c r="S118" s="7" t="s">
        <x:v>1488</x:v>
      </x:c>
      <x:c r="T118" s="7" t="s">
        <x:v>1488</x:v>
      </x:c>
      <x:c r="U118" s="7" t="s">
        <x:v>1489</x:v>
      </x:c>
      <x:c r="V118" s="7" t="s">
        <x:v>1489</x:v>
      </x:c>
      <x:c r="W118" s="7" t="s">
        <x:v>53</x:v>
      </x:c>
      <x:c r="X118" s="7" t="s">
        <x:v>1490</x:v>
      </x:c>
      <x:c r="Y118" s="7" t="s">
        <x:v>53</x:v>
      </x:c>
      <x:c r="Z118" s="7" t="s">
        <x:v>53</x:v>
      </x:c>
      <x:c r="AA118" s="7" t="s">
        <x:v>53</x:v>
      </x:c>
      <x:c r="AB118" s="7" t="s">
        <x:v>53</x:v>
      </x:c>
      <x:c r="AC118" s="7" t="s">
        <x:v>53</x:v>
      </x:c>
      <x:c r="AD118" s="7" t="s">
        <x:v>53</x:v>
      </x:c>
      <x:c r="AE118" s="7" t="s">
        <x:v>53</x:v>
      </x:c>
      <x:c r="AF118" s="7" t="s">
        <x:v>53</x:v>
      </x:c>
      <x:c r="AG118" s="7" t="s">
        <x:v>53</x:v>
      </x:c>
      <x:c r="AH118" s="7" t="s">
        <x:v>53</x:v>
      </x:c>
      <x:c r="AI118" s="7" t="s">
        <x:v>53</x:v>
      </x:c>
      <x:c r="AJ118" s="7" t="s">
        <x:v>1376</x:v>
      </x:c>
      <x:c r="AK118" s="7" t="s">
        <x:v>1491</x:v>
      </x:c>
      <x:c r="AL118" s="7" t="s">
        <x:v>1492</x:v>
      </x:c>
    </x:row>
    <x:row r="119" ht="51.75" hidden="0" customHeight="1">
      <x:c r="A119" s="7" t="s">
        <x:v>1000</x:v>
      </x:c>
      <x:c r="B119" s="7" t="s">
        <x:v>997</x:v>
      </x:c>
      <x:c r="C119" s="7" t="s">
        <x:v>999</x:v>
      </x:c>
      <x:c r="D119" s="7" t="s">
        <x:v>1487</x:v>
      </x:c>
      <x:c r="E119" s="7" t="s">
        <x:v>53</x:v>
      </x:c>
      <x:c r="F119" s="7" t="s">
        <x:v>53</x:v>
      </x:c>
      <x:c r="G119" s="7" t="s">
        <x:v>53</x:v>
      </x:c>
      <x:c r="H119" s="7" t="s">
        <x:v>53</x:v>
      </x:c>
      <x:c r="I119" s="7" t="s">
        <x:v>53</x:v>
      </x:c>
      <x:c r="J119" s="7" t="s">
        <x:v>53</x:v>
      </x:c>
      <x:c r="K119" s="7" t="s">
        <x:v>53</x:v>
      </x:c>
      <x:c r="L119" s="7" t="s">
        <x:v>53</x:v>
      </x:c>
      <x:c r="M119" s="7" t="s">
        <x:v>53</x:v>
      </x:c>
      <x:c r="N119" s="7" t="s">
        <x:v>53</x:v>
      </x:c>
      <x:c r="O119" s="7" t="s">
        <x:v>53</x:v>
      </x:c>
      <x:c r="P119" s="7" t="s">
        <x:v>53</x:v>
      </x:c>
      <x:c r="Q119" s="7" t="s">
        <x:v>53</x:v>
      </x:c>
      <x:c r="R119" s="7" t="s">
        <x:v>53</x:v>
      </x:c>
      <x:c r="S119" s="7" t="s">
        <x:v>1488</x:v>
      </x:c>
      <x:c r="T119" s="7" t="s">
        <x:v>1488</x:v>
      </x:c>
      <x:c r="U119" s="7" t="s">
        <x:v>1489</x:v>
      </x:c>
      <x:c r="V119" s="7" t="s">
        <x:v>1489</x:v>
      </x:c>
      <x:c r="W119" s="7" t="s">
        <x:v>53</x:v>
      </x:c>
      <x:c r="X119" s="7" t="s">
        <x:v>1490</x:v>
      </x:c>
      <x:c r="Y119" s="7" t="s">
        <x:v>53</x:v>
      </x:c>
      <x:c r="Z119" s="7" t="s">
        <x:v>53</x:v>
      </x:c>
      <x:c r="AA119" s="7" t="s">
        <x:v>53</x:v>
      </x:c>
      <x:c r="AB119" s="7" t="s">
        <x:v>53</x:v>
      </x:c>
      <x:c r="AC119" s="7" t="s">
        <x:v>53</x:v>
      </x:c>
      <x:c r="AD119" s="7" t="s">
        <x:v>53</x:v>
      </x:c>
      <x:c r="AE119" s="7" t="s">
        <x:v>53</x:v>
      </x:c>
      <x:c r="AF119" s="7" t="s">
        <x:v>53</x:v>
      </x:c>
      <x:c r="AG119" s="7" t="s">
        <x:v>53</x:v>
      </x:c>
      <x:c r="AH119" s="7" t="s">
        <x:v>53</x:v>
      </x:c>
      <x:c r="AI119" s="7" t="s">
        <x:v>53</x:v>
      </x:c>
      <x:c r="AJ119" s="7" t="s">
        <x:v>1384</x:v>
      </x:c>
      <x:c r="AK119" s="7" t="s">
        <x:v>1491</x:v>
      </x:c>
      <x:c r="AL119" s="7" t="s">
        <x:v>1492</x:v>
      </x:c>
    </x:row>
    <x:row r="120" ht="51.75" hidden="0" customHeight="1">
      <x:c r="A120" s="7" t="s">
        <x:v>1013</x:v>
      </x:c>
      <x:c r="B120" s="7" t="s">
        <x:v>1007</x:v>
      </x:c>
      <x:c r="C120" s="7" t="s">
        <x:v>1010</x:v>
      </x:c>
      <x:c r="D120" s="7" t="s">
        <x:v>1487</x:v>
      </x:c>
      <x:c r="E120" s="7" t="s">
        <x:v>1011</x:v>
      </x:c>
      <x:c r="F120" s="7" t="s">
        <x:v>1012</x:v>
      </x:c>
      <x:c r="G120" s="7" t="s">
        <x:v>53</x:v>
      </x:c>
      <x:c r="H120" s="7" t="s">
        <x:v>53</x:v>
      </x:c>
      <x:c r="I120" s="7" t="s">
        <x:v>1802</x:v>
      </x:c>
      <x:c r="J120" s="7" t="s">
        <x:v>53</x:v>
      </x:c>
      <x:c r="K120" s="7" t="s">
        <x:v>1803</x:v>
      </x:c>
      <x:c r="L120" s="7" t="s">
        <x:v>1804</x:v>
      </x:c>
      <x:c r="M120" s="7" t="s">
        <x:v>53</x:v>
      </x:c>
      <x:c r="N120" s="7" t="s">
        <x:v>1805</x:v>
      </x:c>
      <x:c r="O120" s="7" t="s">
        <x:v>53</x:v>
      </x:c>
      <x:c r="P120" s="7" t="s">
        <x:v>53</x:v>
      </x:c>
      <x:c r="Q120" s="7" t="s">
        <x:v>53</x:v>
      </x:c>
      <x:c r="R120" s="7" t="s">
        <x:v>53</x:v>
      </x:c>
      <x:c r="S120" s="7" t="s">
        <x:v>1488</x:v>
      </x:c>
      <x:c r="T120" s="7" t="s">
        <x:v>1488</x:v>
      </x:c>
      <x:c r="U120" s="7" t="s">
        <x:v>1489</x:v>
      </x:c>
      <x:c r="V120" s="7" t="s">
        <x:v>1489</x:v>
      </x:c>
      <x:c r="W120" s="7" t="s">
        <x:v>53</x:v>
      </x:c>
      <x:c r="X120" s="7" t="s">
        <x:v>1490</x:v>
      </x:c>
      <x:c r="Y120" s="7" t="s">
        <x:v>53</x:v>
      </x:c>
      <x:c r="Z120" s="7" t="s">
        <x:v>53</x:v>
      </x:c>
      <x:c r="AA120" s="7" t="s">
        <x:v>53</x:v>
      </x:c>
      <x:c r="AB120" s="7" t="s">
        <x:v>53</x:v>
      </x:c>
      <x:c r="AC120" s="7" t="s">
        <x:v>53</x:v>
      </x:c>
      <x:c r="AD120" s="7" t="s">
        <x:v>53</x:v>
      </x:c>
      <x:c r="AE120" s="7" t="s">
        <x:v>53</x:v>
      </x:c>
      <x:c r="AF120" s="7" t="s">
        <x:v>53</x:v>
      </x:c>
      <x:c r="AG120" s="7" t="s">
        <x:v>53</x:v>
      </x:c>
      <x:c r="AH120" s="7" t="s">
        <x:v>53</x:v>
      </x:c>
      <x:c r="AI120" s="7" t="s">
        <x:v>53</x:v>
      </x:c>
      <x:c r="AJ120" s="7" t="s">
        <x:v>1387</x:v>
      </x:c>
      <x:c r="AK120" s="7" t="s">
        <x:v>1491</x:v>
      </x:c>
      <x:c r="AL120" s="7" t="s">
        <x:v>1492</x:v>
      </x:c>
    </x:row>
    <x:row r="121" ht="51.75" hidden="0" customHeight="1">
      <x:c r="A121" s="7" t="s">
        <x:v>1806</x:v>
      </x:c>
      <x:c r="B121" s="7" t="s">
        <x:v>1020</x:v>
      </x:c>
      <x:c r="C121" s="7" t="s">
        <x:v>1023</x:v>
      </x:c>
      <x:c r="D121" s="7" t="s">
        <x:v>1487</x:v>
      </x:c>
      <x:c r="E121" s="7" t="s">
        <x:v>53</x:v>
      </x:c>
      <x:c r="F121" s="7" t="s">
        <x:v>53</x:v>
      </x:c>
      <x:c r="G121" s="7" t="s">
        <x:v>53</x:v>
      </x:c>
      <x:c r="H121" s="7" t="s">
        <x:v>53</x:v>
      </x:c>
      <x:c r="I121" s="7" t="s">
        <x:v>53</x:v>
      </x:c>
      <x:c r="J121" s="7" t="s">
        <x:v>53</x:v>
      </x:c>
      <x:c r="K121" s="7" t="s">
        <x:v>53</x:v>
      </x:c>
      <x:c r="L121" s="7" t="s">
        <x:v>53</x:v>
      </x:c>
      <x:c r="M121" s="7" t="s">
        <x:v>53</x:v>
      </x:c>
      <x:c r="N121" s="7" t="s">
        <x:v>53</x:v>
      </x:c>
      <x:c r="O121" s="7" t="s">
        <x:v>53</x:v>
      </x:c>
      <x:c r="P121" s="7" t="s">
        <x:v>53</x:v>
      </x:c>
      <x:c r="Q121" s="7" t="s">
        <x:v>53</x:v>
      </x:c>
      <x:c r="R121" s="7" t="s">
        <x:v>53</x:v>
      </x:c>
      <x:c r="S121" s="7" t="s">
        <x:v>1488</x:v>
      </x:c>
      <x:c r="T121" s="7" t="s">
        <x:v>1488</x:v>
      </x:c>
      <x:c r="U121" s="7" t="s">
        <x:v>1489</x:v>
      </x:c>
      <x:c r="V121" s="7" t="s">
        <x:v>1489</x:v>
      </x:c>
      <x:c r="W121" s="7" t="s">
        <x:v>53</x:v>
      </x:c>
      <x:c r="X121" s="7" t="s">
        <x:v>1490</x:v>
      </x:c>
      <x:c r="Y121" s="7" t="s">
        <x:v>53</x:v>
      </x:c>
      <x:c r="Z121" s="7" t="s">
        <x:v>53</x:v>
      </x:c>
      <x:c r="AA121" s="7" t="s">
        <x:v>53</x:v>
      </x:c>
      <x:c r="AB121" s="7" t="s">
        <x:v>53</x:v>
      </x:c>
      <x:c r="AC121" s="7" t="s">
        <x:v>53</x:v>
      </x:c>
      <x:c r="AD121" s="7" t="s">
        <x:v>53</x:v>
      </x:c>
      <x:c r="AE121" s="7" t="s">
        <x:v>53</x:v>
      </x:c>
      <x:c r="AF121" s="7" t="s">
        <x:v>53</x:v>
      </x:c>
      <x:c r="AG121" s="7" t="s">
        <x:v>53</x:v>
      </x:c>
      <x:c r="AH121" s="7" t="s">
        <x:v>53</x:v>
      </x:c>
      <x:c r="AI121" s="7" t="s">
        <x:v>53</x:v>
      </x:c>
      <x:c r="AJ121" s="7" t="s">
        <x:v>1389</x:v>
      </x:c>
      <x:c r="AK121" s="7" t="s">
        <x:v>1491</x:v>
      </x:c>
      <x:c r="AL121" s="7" t="s">
        <x:v>1492</x:v>
      </x:c>
    </x:row>
    <x:row r="122" ht="51.75" hidden="0" customHeight="1">
      <x:c r="A122" s="7" t="s">
        <x:v>1807</x:v>
      </x:c>
      <x:c r="B122" s="7" t="s">
        <x:v>1020</x:v>
      </x:c>
      <x:c r="C122" s="7" t="s">
        <x:v>1391</x:v>
      </x:c>
      <x:c r="D122" s="7" t="s">
        <x:v>1487</x:v>
      </x:c>
      <x:c r="E122" s="7" t="s">
        <x:v>563</x:v>
      </x:c>
      <x:c r="F122" s="7" t="s">
        <x:v>1808</x:v>
      </x:c>
      <x:c r="G122" s="7" t="s">
        <x:v>1809</x:v>
      </x:c>
      <x:c r="H122" s="7" t="s">
        <x:v>53</x:v>
      </x:c>
      <x:c r="I122" s="7" t="s">
        <x:v>1810</x:v>
      </x:c>
      <x:c r="J122" s="7" t="s">
        <x:v>1811</x:v>
      </x:c>
      <x:c r="K122" s="7" t="s">
        <x:v>1669</x:v>
      </x:c>
      <x:c r="L122" s="7" t="s">
        <x:v>1557</x:v>
      </x:c>
      <x:c r="M122" s="7" t="s">
        <x:v>53</x:v>
      </x:c>
      <x:c r="N122" s="7" t="s">
        <x:v>53</x:v>
      </x:c>
      <x:c r="O122" s="7" t="s">
        <x:v>53</x:v>
      </x:c>
      <x:c r="P122" s="7" t="s">
        <x:v>53</x:v>
      </x:c>
      <x:c r="Q122" s="7" t="s">
        <x:v>53</x:v>
      </x:c>
      <x:c r="R122" s="7" t="s">
        <x:v>53</x:v>
      </x:c>
      <x:c r="S122" s="7" t="s">
        <x:v>1488</x:v>
      </x:c>
      <x:c r="T122" s="7" t="s">
        <x:v>1488</x:v>
      </x:c>
      <x:c r="U122" s="7" t="s">
        <x:v>1489</x:v>
      </x:c>
      <x:c r="V122" s="7" t="s">
        <x:v>1489</x:v>
      </x:c>
      <x:c r="W122" s="7" t="s">
        <x:v>53</x:v>
      </x:c>
      <x:c r="X122" s="7" t="s">
        <x:v>1490</x:v>
      </x:c>
      <x:c r="Y122" s="7" t="s">
        <x:v>1812</x:v>
      </x:c>
      <x:c r="Z122" s="7" t="s">
        <x:v>53</x:v>
      </x:c>
      <x:c r="AA122" s="7" t="s">
        <x:v>53</x:v>
      </x:c>
      <x:c r="AB122" s="7" t="s">
        <x:v>53</x:v>
      </x:c>
      <x:c r="AC122" s="7" t="s">
        <x:v>53</x:v>
      </x:c>
      <x:c r="AD122" s="7" t="s">
        <x:v>1813</x:v>
      </x:c>
      <x:c r="AE122" s="7" t="s">
        <x:v>53</x:v>
      </x:c>
      <x:c r="AF122" s="7" t="s">
        <x:v>53</x:v>
      </x:c>
      <x:c r="AG122" s="7" t="s">
        <x:v>53</x:v>
      </x:c>
      <x:c r="AH122" s="7" t="s">
        <x:v>53</x:v>
      </x:c>
      <x:c r="AI122" s="7" t="s">
        <x:v>53</x:v>
      </x:c>
      <x:c r="AJ122" s="7" t="s">
        <x:v>1393</x:v>
      </x:c>
      <x:c r="AK122" s="7" t="s">
        <x:v>1491</x:v>
      </x:c>
      <x:c r="AL122" s="7" t="s">
        <x:v>1492</x:v>
      </x:c>
    </x:row>
    <x:row r="123" ht="51.75" hidden="0" customHeight="1">
      <x:c r="A123" s="7" t="s">
        <x:v>1814</x:v>
      </x:c>
      <x:c r="B123" s="7" t="s">
        <x:v>1020</x:v>
      </x:c>
      <x:c r="C123" s="7" t="s">
        <x:v>1394</x:v>
      </x:c>
      <x:c r="D123" s="7" t="s">
        <x:v>1487</x:v>
      </x:c>
      <x:c r="E123" s="7" t="s">
        <x:v>1815</x:v>
      </x:c>
      <x:c r="F123" s="7" t="s">
        <x:v>1816</x:v>
      </x:c>
      <x:c r="G123" s="7" t="s">
        <x:v>53</x:v>
      </x:c>
      <x:c r="H123" s="7" t="s">
        <x:v>1817</x:v>
      </x:c>
      <x:c r="I123" s="7" t="s">
        <x:v>53</x:v>
      </x:c>
      <x:c r="J123" s="7" t="s">
        <x:v>53</x:v>
      </x:c>
      <x:c r="K123" s="7" t="s">
        <x:v>1818</x:v>
      </x:c>
      <x:c r="L123" s="7" t="s">
        <x:v>1819</x:v>
      </x:c>
      <x:c r="M123" s="7" t="s">
        <x:v>53</x:v>
      </x:c>
      <x:c r="N123" s="7" t="s">
        <x:v>53</x:v>
      </x:c>
      <x:c r="O123" s="7" t="s">
        <x:v>53</x:v>
      </x:c>
      <x:c r="P123" s="7" t="s">
        <x:v>1820</x:v>
      </x:c>
      <x:c r="Q123" s="7" t="s">
        <x:v>53</x:v>
      </x:c>
      <x:c r="R123" s="7" t="s">
        <x:v>53</x:v>
      </x:c>
      <x:c r="S123" s="7" t="s">
        <x:v>1488</x:v>
      </x:c>
      <x:c r="T123" s="7" t="s">
        <x:v>1488</x:v>
      </x:c>
      <x:c r="U123" s="7" t="s">
        <x:v>1489</x:v>
      </x:c>
      <x:c r="V123" s="7" t="s">
        <x:v>1489</x:v>
      </x:c>
      <x:c r="W123" s="7" t="s">
        <x:v>53</x:v>
      </x:c>
      <x:c r="X123" s="7" t="s">
        <x:v>1490</x:v>
      </x:c>
      <x:c r="Y123" s="7" t="s">
        <x:v>53</x:v>
      </x:c>
      <x:c r="Z123" s="7" t="s">
        <x:v>53</x:v>
      </x:c>
      <x:c r="AA123" s="7" t="s">
        <x:v>53</x:v>
      </x:c>
      <x:c r="AB123" s="7" t="s">
        <x:v>53</x:v>
      </x:c>
      <x:c r="AC123" s="7" t="s">
        <x:v>53</x:v>
      </x:c>
      <x:c r="AD123" s="7" t="s">
        <x:v>53</x:v>
      </x:c>
      <x:c r="AE123" s="7" t="s">
        <x:v>53</x:v>
      </x:c>
      <x:c r="AF123" s="7" t="s">
        <x:v>53</x:v>
      </x:c>
      <x:c r="AG123" s="7" t="s">
        <x:v>53</x:v>
      </x:c>
      <x:c r="AH123" s="7" t="s">
        <x:v>53</x:v>
      </x:c>
      <x:c r="AI123" s="7" t="s">
        <x:v>53</x:v>
      </x:c>
      <x:c r="AJ123" s="7" t="s">
        <x:v>1396</x:v>
      </x:c>
      <x:c r="AK123" s="7" t="s">
        <x:v>1491</x:v>
      </x:c>
      <x:c r="AL123" s="7" t="s">
        <x:v>1492</x:v>
      </x:c>
    </x:row>
    <x:row r="124" ht="51.75" hidden="0" customHeight="1">
      <x:c r="A124" s="7" t="s">
        <x:v>1037</x:v>
      </x:c>
      <x:c r="B124" s="7" t="s">
        <x:v>1031</x:v>
      </x:c>
      <x:c r="C124" s="7" t="s">
        <x:v>1033</x:v>
      </x:c>
      <x:c r="D124" s="7" t="s">
        <x:v>1487</x:v>
      </x:c>
      <x:c r="E124" s="7" t="s">
        <x:v>1034</x:v>
      </x:c>
      <x:c r="F124" s="7" t="s">
        <x:v>1035</x:v>
      </x:c>
      <x:c r="G124" s="7" t="s">
        <x:v>1036</x:v>
      </x:c>
      <x:c r="H124" s="7" t="s">
        <x:v>53</x:v>
      </x:c>
      <x:c r="I124" s="7" t="s">
        <x:v>1810</x:v>
      </x:c>
      <x:c r="J124" s="7" t="s">
        <x:v>1811</x:v>
      </x:c>
      <x:c r="K124" s="7" t="s">
        <x:v>1669</x:v>
      </x:c>
      <x:c r="L124" s="7" t="s">
        <x:v>1557</x:v>
      </x:c>
      <x:c r="M124" s="7" t="s">
        <x:v>53</x:v>
      </x:c>
      <x:c r="N124" s="7" t="s">
        <x:v>53</x:v>
      </x:c>
      <x:c r="O124" s="7" t="s">
        <x:v>53</x:v>
      </x:c>
      <x:c r="P124" s="7" t="s">
        <x:v>53</x:v>
      </x:c>
      <x:c r="Q124" s="7" t="s">
        <x:v>53</x:v>
      </x:c>
      <x:c r="R124" s="7" t="s">
        <x:v>53</x:v>
      </x:c>
      <x:c r="S124" s="7" t="s">
        <x:v>1488</x:v>
      </x:c>
      <x:c r="T124" s="7" t="s">
        <x:v>1488</x:v>
      </x:c>
      <x:c r="U124" s="7" t="s">
        <x:v>1489</x:v>
      </x:c>
      <x:c r="V124" s="7" t="s">
        <x:v>1489</x:v>
      </x:c>
      <x:c r="W124" s="7" t="s">
        <x:v>53</x:v>
      </x:c>
      <x:c r="X124" s="7" t="s">
        <x:v>1490</x:v>
      </x:c>
      <x:c r="Y124" s="7" t="s">
        <x:v>1812</x:v>
      </x:c>
      <x:c r="Z124" s="7" t="s">
        <x:v>53</x:v>
      </x:c>
      <x:c r="AA124" s="7" t="s">
        <x:v>53</x:v>
      </x:c>
      <x:c r="AB124" s="7" t="s">
        <x:v>53</x:v>
      </x:c>
      <x:c r="AC124" s="7" t="s">
        <x:v>53</x:v>
      </x:c>
      <x:c r="AD124" s="7" t="s">
        <x:v>1813</x:v>
      </x:c>
      <x:c r="AE124" s="7" t="s">
        <x:v>53</x:v>
      </x:c>
      <x:c r="AF124" s="7" t="s">
        <x:v>53</x:v>
      </x:c>
      <x:c r="AG124" s="7" t="s">
        <x:v>53</x:v>
      </x:c>
      <x:c r="AH124" s="7" t="s">
        <x:v>53</x:v>
      </x:c>
      <x:c r="AI124" s="7" t="s">
        <x:v>53</x:v>
      </x:c>
      <x:c r="AJ124" s="7" t="s">
        <x:v>1398</x:v>
      </x:c>
      <x:c r="AK124" s="7" t="s">
        <x:v>1491</x:v>
      </x:c>
      <x:c r="AL124" s="7" t="s">
        <x:v>1492</x:v>
      </x:c>
    </x:row>
    <x:row r="125" ht="51.75" hidden="0" customHeight="1">
      <x:c r="A125" s="7" t="s">
        <x:v>1821</x:v>
      </x:c>
      <x:c r="B125" s="7" t="s">
        <x:v>1042</x:v>
      </x:c>
      <x:c r="C125" s="7" t="s">
        <x:v>1045</x:v>
      </x:c>
      <x:c r="D125" s="7" t="s">
        <x:v>1487</x:v>
      </x:c>
      <x:c r="E125" s="7" t="s">
        <x:v>53</x:v>
      </x:c>
      <x:c r="F125" s="7" t="s">
        <x:v>53</x:v>
      </x:c>
      <x:c r="G125" s="7" t="s">
        <x:v>53</x:v>
      </x:c>
      <x:c r="H125" s="7" t="s">
        <x:v>53</x:v>
      </x:c>
      <x:c r="I125" s="7" t="s">
        <x:v>53</x:v>
      </x:c>
      <x:c r="J125" s="7" t="s">
        <x:v>53</x:v>
      </x:c>
      <x:c r="K125" s="7" t="s">
        <x:v>53</x:v>
      </x:c>
      <x:c r="L125" s="7" t="s">
        <x:v>53</x:v>
      </x:c>
      <x:c r="M125" s="7" t="s">
        <x:v>53</x:v>
      </x:c>
      <x:c r="N125" s="7" t="s">
        <x:v>53</x:v>
      </x:c>
      <x:c r="O125" s="7" t="s">
        <x:v>53</x:v>
      </x:c>
      <x:c r="P125" s="7" t="s">
        <x:v>53</x:v>
      </x:c>
      <x:c r="Q125" s="7" t="s">
        <x:v>53</x:v>
      </x:c>
      <x:c r="R125" s="7" t="s">
        <x:v>53</x:v>
      </x:c>
      <x:c r="S125" s="7" t="s">
        <x:v>1488</x:v>
      </x:c>
      <x:c r="T125" s="7" t="s">
        <x:v>1488</x:v>
      </x:c>
      <x:c r="U125" s="7" t="s">
        <x:v>1489</x:v>
      </x:c>
      <x:c r="V125" s="7" t="s">
        <x:v>1489</x:v>
      </x:c>
      <x:c r="W125" s="7" t="s">
        <x:v>53</x:v>
      </x:c>
      <x:c r="X125" s="7" t="s">
        <x:v>1490</x:v>
      </x:c>
      <x:c r="Y125" s="7" t="s">
        <x:v>53</x:v>
      </x:c>
      <x:c r="Z125" s="7" t="s">
        <x:v>53</x:v>
      </x:c>
      <x:c r="AA125" s="7" t="s">
        <x:v>53</x:v>
      </x:c>
      <x:c r="AB125" s="7" t="s">
        <x:v>53</x:v>
      </x:c>
      <x:c r="AC125" s="7" t="s">
        <x:v>53</x:v>
      </x:c>
      <x:c r="AD125" s="7" t="s">
        <x:v>53</x:v>
      </x:c>
      <x:c r="AE125" s="7" t="s">
        <x:v>53</x:v>
      </x:c>
      <x:c r="AF125" s="7" t="s">
        <x:v>53</x:v>
      </x:c>
      <x:c r="AG125" s="7" t="s">
        <x:v>53</x:v>
      </x:c>
      <x:c r="AH125" s="7" t="s">
        <x:v>53</x:v>
      </x:c>
      <x:c r="AI125" s="7" t="s">
        <x:v>53</x:v>
      </x:c>
      <x:c r="AJ125" s="7" t="s">
        <x:v>1400</x:v>
      </x:c>
      <x:c r="AK125" s="7" t="s">
        <x:v>1491</x:v>
      </x:c>
      <x:c r="AL125" s="7" t="s">
        <x:v>1492</x:v>
      </x:c>
    </x:row>
    <x:row r="126" ht="51.75" hidden="0" customHeight="1">
      <x:c r="A126" s="7" t="s">
        <x:v>1822</x:v>
      </x:c>
      <x:c r="B126" s="7" t="s">
        <x:v>1051</x:v>
      </x:c>
      <x:c r="C126" s="7" t="s">
        <x:v>1055</x:v>
      </x:c>
      <x:c r="D126" s="7" t="s">
        <x:v>1487</x:v>
      </x:c>
      <x:c r="E126" s="7" t="s">
        <x:v>53</x:v>
      </x:c>
      <x:c r="F126" s="7" t="s">
        <x:v>53</x:v>
      </x:c>
      <x:c r="G126" s="7" t="s">
        <x:v>53</x:v>
      </x:c>
      <x:c r="H126" s="7" t="s">
        <x:v>53</x:v>
      </x:c>
      <x:c r="I126" s="7" t="s">
        <x:v>53</x:v>
      </x:c>
      <x:c r="J126" s="7" t="s">
        <x:v>53</x:v>
      </x:c>
      <x:c r="K126" s="7" t="s">
        <x:v>53</x:v>
      </x:c>
      <x:c r="L126" s="7" t="s">
        <x:v>53</x:v>
      </x:c>
      <x:c r="M126" s="7" t="s">
        <x:v>53</x:v>
      </x:c>
      <x:c r="N126" s="7" t="s">
        <x:v>53</x:v>
      </x:c>
      <x:c r="O126" s="7" t="s">
        <x:v>53</x:v>
      </x:c>
      <x:c r="P126" s="7" t="s">
        <x:v>53</x:v>
      </x:c>
      <x:c r="Q126" s="7" t="s">
        <x:v>53</x:v>
      </x:c>
      <x:c r="R126" s="7" t="s">
        <x:v>53</x:v>
      </x:c>
      <x:c r="S126" s="7" t="s">
        <x:v>1054</x:v>
      </x:c>
      <x:c r="T126" s="7" t="s">
        <x:v>1054</x:v>
      </x:c>
      <x:c r="U126" s="7" t="s">
        <x:v>1823</x:v>
      </x:c>
      <x:c r="V126" s="7" t="s">
        <x:v>1823</x:v>
      </x:c>
      <x:c r="W126" s="7" t="s">
        <x:v>53</x:v>
      </x:c>
      <x:c r="X126" s="7" t="s">
        <x:v>1490</x:v>
      </x:c>
      <x:c r="Y126" s="7" t="s">
        <x:v>53</x:v>
      </x:c>
      <x:c r="Z126" s="7" t="s">
        <x:v>53</x:v>
      </x:c>
      <x:c r="AA126" s="7" t="s">
        <x:v>53</x:v>
      </x:c>
      <x:c r="AB126" s="7" t="s">
        <x:v>53</x:v>
      </x:c>
      <x:c r="AC126" s="7" t="s">
        <x:v>53</x:v>
      </x:c>
      <x:c r="AD126" s="7" t="s">
        <x:v>53</x:v>
      </x:c>
      <x:c r="AE126" s="7" t="s">
        <x:v>53</x:v>
      </x:c>
      <x:c r="AF126" s="7" t="s">
        <x:v>53</x:v>
      </x:c>
      <x:c r="AG126" s="7" t="s">
        <x:v>53</x:v>
      </x:c>
      <x:c r="AH126" s="7" t="s">
        <x:v>53</x:v>
      </x:c>
      <x:c r="AI126" s="7" t="s">
        <x:v>53</x:v>
      </x:c>
      <x:c r="AJ126" s="7" t="s">
        <x:v>1403</x:v>
      </x:c>
      <x:c r="AK126" s="7" t="s">
        <x:v>1491</x:v>
      </x:c>
      <x:c r="AL126" s="7" t="s">
        <x:v>1492</x:v>
      </x:c>
    </x:row>
    <x:row r="127" ht="51.75" hidden="0" customHeight="1">
      <x:c r="A127" s="7" t="s">
        <x:v>1824</x:v>
      </x:c>
      <x:c r="B127" s="7" t="s">
        <x:v>1051</x:v>
      </x:c>
      <x:c r="C127" s="7" t="s">
        <x:v>1405</x:v>
      </x:c>
      <x:c r="D127" s="7" t="s">
        <x:v>1487</x:v>
      </x:c>
      <x:c r="E127" s="7" t="s">
        <x:v>1825</x:v>
      </x:c>
      <x:c r="F127" s="7" t="s">
        <x:v>1826</x:v>
      </x:c>
      <x:c r="G127" s="7" t="s">
        <x:v>1827</x:v>
      </x:c>
      <x:c r="H127" s="7" t="s">
        <x:v>53</x:v>
      </x:c>
      <x:c r="I127" s="7" t="s">
        <x:v>53</x:v>
      </x:c>
      <x:c r="J127" s="7" t="s">
        <x:v>53</x:v>
      </x:c>
      <x:c r="K127" s="7" t="s">
        <x:v>1828</x:v>
      </x:c>
      <x:c r="L127" s="7" t="s">
        <x:v>1829</x:v>
      </x:c>
      <x:c r="M127" s="7" t="s">
        <x:v>53</x:v>
      </x:c>
      <x:c r="N127" s="7" t="s">
        <x:v>53</x:v>
      </x:c>
      <x:c r="O127" s="7" t="s">
        <x:v>53</x:v>
      </x:c>
      <x:c r="P127" s="7" t="s">
        <x:v>53</x:v>
      </x:c>
      <x:c r="Q127" s="7" t="s">
        <x:v>53</x:v>
      </x:c>
      <x:c r="R127" s="7" t="s">
        <x:v>53</x:v>
      </x:c>
      <x:c r="S127" s="7" t="s">
        <x:v>1054</x:v>
      </x:c>
      <x:c r="T127" s="7" t="s">
        <x:v>1054</x:v>
      </x:c>
      <x:c r="U127" s="7" t="s">
        <x:v>1823</x:v>
      </x:c>
      <x:c r="V127" s="7" t="s">
        <x:v>1823</x:v>
      </x:c>
      <x:c r="W127" s="7" t="s">
        <x:v>53</x:v>
      </x:c>
      <x:c r="X127" s="7" t="s">
        <x:v>1490</x:v>
      </x:c>
      <x:c r="Y127" s="7" t="s">
        <x:v>53</x:v>
      </x:c>
      <x:c r="Z127" s="7" t="s">
        <x:v>53</x:v>
      </x:c>
      <x:c r="AA127" s="7" t="s">
        <x:v>53</x:v>
      </x:c>
      <x:c r="AB127" s="7" t="s">
        <x:v>53</x:v>
      </x:c>
      <x:c r="AC127" s="7" t="s">
        <x:v>53</x:v>
      </x:c>
      <x:c r="AD127" s="7" t="s">
        <x:v>53</x:v>
      </x:c>
      <x:c r="AE127" s="7" t="s">
        <x:v>53</x:v>
      </x:c>
      <x:c r="AF127" s="7" t="s">
        <x:v>53</x:v>
      </x:c>
      <x:c r="AG127" s="7" t="s">
        <x:v>53</x:v>
      </x:c>
      <x:c r="AH127" s="7" t="s">
        <x:v>53</x:v>
      </x:c>
      <x:c r="AI127" s="7" t="s">
        <x:v>53</x:v>
      </x:c>
      <x:c r="AJ127" s="7" t="s">
        <x:v>1406</x:v>
      </x:c>
      <x:c r="AK127" s="7" t="s">
        <x:v>1491</x:v>
      </x:c>
      <x:c r="AL127" s="7" t="s">
        <x:v>1492</x:v>
      </x:c>
    </x:row>
    <x:row r="128" ht="51.75" hidden="0" customHeight="1">
      <x:c r="A128" s="7" t="s">
        <x:v>1830</x:v>
      </x:c>
      <x:c r="B128" s="7" t="s">
        <x:v>1068</x:v>
      </x:c>
      <x:c r="C128" s="7" t="s">
        <x:v>1070</x:v>
      </x:c>
      <x:c r="D128" s="7" t="s">
        <x:v>1487</x:v>
      </x:c>
      <x:c r="E128" s="7" t="s">
        <x:v>53</x:v>
      </x:c>
      <x:c r="F128" s="7" t="s">
        <x:v>53</x:v>
      </x:c>
      <x:c r="G128" s="7" t="s">
        <x:v>53</x:v>
      </x:c>
      <x:c r="H128" s="7" t="s">
        <x:v>53</x:v>
      </x:c>
      <x:c r="I128" s="7" t="s">
        <x:v>53</x:v>
      </x:c>
      <x:c r="J128" s="7" t="s">
        <x:v>53</x:v>
      </x:c>
      <x:c r="K128" s="7" t="s">
        <x:v>53</x:v>
      </x:c>
      <x:c r="L128" s="7" t="s">
        <x:v>53</x:v>
      </x:c>
      <x:c r="M128" s="7" t="s">
        <x:v>53</x:v>
      </x:c>
      <x:c r="N128" s="7" t="s">
        <x:v>53</x:v>
      </x:c>
      <x:c r="O128" s="7" t="s">
        <x:v>53</x:v>
      </x:c>
      <x:c r="P128" s="7" t="s">
        <x:v>53</x:v>
      </x:c>
      <x:c r="Q128" s="7" t="s">
        <x:v>53</x:v>
      </x:c>
      <x:c r="R128" s="7" t="s">
        <x:v>53</x:v>
      </x:c>
      <x:c r="S128" s="7" t="s">
        <x:v>1054</x:v>
      </x:c>
      <x:c r="T128" s="7" t="s">
        <x:v>1054</x:v>
      </x:c>
      <x:c r="U128" s="7" t="s">
        <x:v>1823</x:v>
      </x:c>
      <x:c r="V128" s="7" t="s">
        <x:v>1823</x:v>
      </x:c>
      <x:c r="W128" s="7" t="s">
        <x:v>53</x:v>
      </x:c>
      <x:c r="X128" s="7" t="s">
        <x:v>1490</x:v>
      </x:c>
      <x:c r="Y128" s="7" t="s">
        <x:v>53</x:v>
      </x:c>
      <x:c r="Z128" s="7" t="s">
        <x:v>53</x:v>
      </x:c>
      <x:c r="AA128" s="7" t="s">
        <x:v>53</x:v>
      </x:c>
      <x:c r="AB128" s="7" t="s">
        <x:v>53</x:v>
      </x:c>
      <x:c r="AC128" s="7" t="s">
        <x:v>53</x:v>
      </x:c>
      <x:c r="AD128" s="7" t="s">
        <x:v>53</x:v>
      </x:c>
      <x:c r="AE128" s="7" t="s">
        <x:v>53</x:v>
      </x:c>
      <x:c r="AF128" s="7" t="s">
        <x:v>53</x:v>
      </x:c>
      <x:c r="AG128" s="7" t="s">
        <x:v>53</x:v>
      </x:c>
      <x:c r="AH128" s="7" t="s">
        <x:v>53</x:v>
      </x:c>
      <x:c r="AI128" s="7" t="s">
        <x:v>53</x:v>
      </x:c>
      <x:c r="AJ128" s="7" t="s">
        <x:v>1408</x:v>
      </x:c>
      <x:c r="AK128" s="7" t="s">
        <x:v>1491</x:v>
      </x:c>
      <x:c r="AL128" s="7" t="s">
        <x:v>1492</x:v>
      </x:c>
    </x:row>
    <x:row r="129" ht="51.75" hidden="0" customHeight="1">
      <x:c r="A129" s="7" t="s">
        <x:v>1831</x:v>
      </x:c>
      <x:c r="B129" s="7" t="s">
        <x:v>1068</x:v>
      </x:c>
      <x:c r="C129" s="7" t="s">
        <x:v>1410</x:v>
      </x:c>
      <x:c r="D129" s="7" t="s">
        <x:v>1487</x:v>
      </x:c>
      <x:c r="E129" s="7" t="s">
        <x:v>53</x:v>
      </x:c>
      <x:c r="F129" s="7" t="s">
        <x:v>53</x:v>
      </x:c>
      <x:c r="G129" s="7" t="s">
        <x:v>53</x:v>
      </x:c>
      <x:c r="H129" s="7" t="s">
        <x:v>53</x:v>
      </x:c>
      <x:c r="I129" s="7" t="s">
        <x:v>53</x:v>
      </x:c>
      <x:c r="J129" s="7" t="s">
        <x:v>53</x:v>
      </x:c>
      <x:c r="K129" s="7" t="s">
        <x:v>53</x:v>
      </x:c>
      <x:c r="L129" s="7" t="s">
        <x:v>53</x:v>
      </x:c>
      <x:c r="M129" s="7" t="s">
        <x:v>53</x:v>
      </x:c>
      <x:c r="N129" s="7" t="s">
        <x:v>53</x:v>
      </x:c>
      <x:c r="O129" s="7" t="s">
        <x:v>53</x:v>
      </x:c>
      <x:c r="P129" s="7" t="s">
        <x:v>53</x:v>
      </x:c>
      <x:c r="Q129" s="7" t="s">
        <x:v>53</x:v>
      </x:c>
      <x:c r="R129" s="7" t="s">
        <x:v>53</x:v>
      </x:c>
      <x:c r="S129" s="7" t="s">
        <x:v>1054</x:v>
      </x:c>
      <x:c r="T129" s="7" t="s">
        <x:v>1054</x:v>
      </x:c>
      <x:c r="U129" s="7" t="s">
        <x:v>1823</x:v>
      </x:c>
      <x:c r="V129" s="7" t="s">
        <x:v>1823</x:v>
      </x:c>
      <x:c r="W129" s="7" t="s">
        <x:v>53</x:v>
      </x:c>
      <x:c r="X129" s="7" t="s">
        <x:v>1490</x:v>
      </x:c>
      <x:c r="Y129" s="7" t="s">
        <x:v>53</x:v>
      </x:c>
      <x:c r="Z129" s="7" t="s">
        <x:v>53</x:v>
      </x:c>
      <x:c r="AA129" s="7" t="s">
        <x:v>53</x:v>
      </x:c>
      <x:c r="AB129" s="7" t="s">
        <x:v>53</x:v>
      </x:c>
      <x:c r="AC129" s="7" t="s">
        <x:v>53</x:v>
      </x:c>
      <x:c r="AD129" s="7" t="s">
        <x:v>53</x:v>
      </x:c>
      <x:c r="AE129" s="7" t="s">
        <x:v>53</x:v>
      </x:c>
      <x:c r="AF129" s="7" t="s">
        <x:v>53</x:v>
      </x:c>
      <x:c r="AG129" s="7" t="s">
        <x:v>53</x:v>
      </x:c>
      <x:c r="AH129" s="7" t="s">
        <x:v>53</x:v>
      </x:c>
      <x:c r="AI129" s="7" t="s">
        <x:v>53</x:v>
      </x:c>
      <x:c r="AJ129" s="7" t="s">
        <x:v>1412</x:v>
      </x:c>
      <x:c r="AK129" s="7" t="s">
        <x:v>1491</x:v>
      </x:c>
      <x:c r="AL129" s="7" t="s">
        <x:v>1492</x:v>
      </x:c>
    </x:row>
    <x:row r="130" ht="51.75" hidden="0" customHeight="1">
      <x:c r="A130" s="7" t="s">
        <x:v>1832</x:v>
      </x:c>
      <x:c r="B130" s="7" t="s">
        <x:v>1080</x:v>
      </x:c>
      <x:c r="C130" s="7" t="s">
        <x:v>1082</x:v>
      </x:c>
      <x:c r="D130" s="7" t="s">
        <x:v>1487</x:v>
      </x:c>
      <x:c r="E130" s="7" t="s">
        <x:v>53</x:v>
      </x:c>
      <x:c r="F130" s="7" t="s">
        <x:v>53</x:v>
      </x:c>
      <x:c r="G130" s="7" t="s">
        <x:v>53</x:v>
      </x:c>
      <x:c r="H130" s="7" t="s">
        <x:v>53</x:v>
      </x:c>
      <x:c r="I130" s="7" t="s">
        <x:v>53</x:v>
      </x:c>
      <x:c r="J130" s="7" t="s">
        <x:v>53</x:v>
      </x:c>
      <x:c r="K130" s="7" t="s">
        <x:v>53</x:v>
      </x:c>
      <x:c r="L130" s="7" t="s">
        <x:v>53</x:v>
      </x:c>
      <x:c r="M130" s="7" t="s">
        <x:v>53</x:v>
      </x:c>
      <x:c r="N130" s="7" t="s">
        <x:v>53</x:v>
      </x:c>
      <x:c r="O130" s="7" t="s">
        <x:v>53</x:v>
      </x:c>
      <x:c r="P130" s="7" t="s">
        <x:v>53</x:v>
      </x:c>
      <x:c r="Q130" s="7" t="s">
        <x:v>53</x:v>
      </x:c>
      <x:c r="R130" s="7" t="s">
        <x:v>53</x:v>
      </x:c>
      <x:c r="S130" s="7" t="s">
        <x:v>1054</x:v>
      </x:c>
      <x:c r="T130" s="7" t="s">
        <x:v>1054</x:v>
      </x:c>
      <x:c r="U130" s="7" t="s">
        <x:v>1823</x:v>
      </x:c>
      <x:c r="V130" s="7" t="s">
        <x:v>1823</x:v>
      </x:c>
      <x:c r="W130" s="7" t="s">
        <x:v>53</x:v>
      </x:c>
      <x:c r="X130" s="7" t="s">
        <x:v>1490</x:v>
      </x:c>
      <x:c r="Y130" s="7" t="s">
        <x:v>53</x:v>
      </x:c>
      <x:c r="Z130" s="7" t="s">
        <x:v>53</x:v>
      </x:c>
      <x:c r="AA130" s="7" t="s">
        <x:v>53</x:v>
      </x:c>
      <x:c r="AB130" s="7" t="s">
        <x:v>53</x:v>
      </x:c>
      <x:c r="AC130" s="7" t="s">
        <x:v>53</x:v>
      </x:c>
      <x:c r="AD130" s="7" t="s">
        <x:v>53</x:v>
      </x:c>
      <x:c r="AE130" s="7" t="s">
        <x:v>53</x:v>
      </x:c>
      <x:c r="AF130" s="7" t="s">
        <x:v>53</x:v>
      </x:c>
      <x:c r="AG130" s="7" t="s">
        <x:v>53</x:v>
      </x:c>
      <x:c r="AH130" s="7" t="s">
        <x:v>53</x:v>
      </x:c>
      <x:c r="AI130" s="7" t="s">
        <x:v>53</x:v>
      </x:c>
      <x:c r="AJ130" s="7" t="s">
        <x:v>1414</x:v>
      </x:c>
      <x:c r="AK130" s="7" t="s">
        <x:v>1491</x:v>
      </x:c>
      <x:c r="AL130" s="7" t="s">
        <x:v>1492</x:v>
      </x:c>
    </x:row>
    <x:row r="131" ht="51.75" hidden="0" customHeight="1">
      <x:c r="A131" s="7" t="s">
        <x:v>1833</x:v>
      </x:c>
      <x:c r="B131" s="7" t="s">
        <x:v>1080</x:v>
      </x:c>
      <x:c r="C131" s="7" t="s">
        <x:v>1416</x:v>
      </x:c>
      <x:c r="D131" s="7" t="s">
        <x:v>1487</x:v>
      </x:c>
      <x:c r="E131" s="7" t="s">
        <x:v>1834</x:v>
      </x:c>
      <x:c r="F131" s="7" t="s">
        <x:v>1835</x:v>
      </x:c>
      <x:c r="G131" s="7" t="s">
        <x:v>1827</x:v>
      </x:c>
      <x:c r="H131" s="7" t="s">
        <x:v>53</x:v>
      </x:c>
      <x:c r="I131" s="7" t="s">
        <x:v>53</x:v>
      </x:c>
      <x:c r="J131" s="7" t="s">
        <x:v>53</x:v>
      </x:c>
      <x:c r="K131" s="7" t="s">
        <x:v>1669</x:v>
      </x:c>
      <x:c r="L131" s="7" t="s">
        <x:v>1836</x:v>
      </x:c>
      <x:c r="M131" s="7" t="s">
        <x:v>53</x:v>
      </x:c>
      <x:c r="N131" s="7" t="s">
        <x:v>53</x:v>
      </x:c>
      <x:c r="O131" s="7" t="s">
        <x:v>53</x:v>
      </x:c>
      <x:c r="P131" s="7" t="s">
        <x:v>53</x:v>
      </x:c>
      <x:c r="Q131" s="7" t="s">
        <x:v>53</x:v>
      </x:c>
      <x:c r="R131" s="7" t="s">
        <x:v>53</x:v>
      </x:c>
      <x:c r="S131" s="7" t="s">
        <x:v>1054</x:v>
      </x:c>
      <x:c r="T131" s="7" t="s">
        <x:v>1054</x:v>
      </x:c>
      <x:c r="U131" s="7" t="s">
        <x:v>1823</x:v>
      </x:c>
      <x:c r="V131" s="7" t="s">
        <x:v>1823</x:v>
      </x:c>
      <x:c r="W131" s="7" t="s">
        <x:v>53</x:v>
      </x:c>
      <x:c r="X131" s="7" t="s">
        <x:v>1490</x:v>
      </x:c>
      <x:c r="Y131" s="7" t="s">
        <x:v>53</x:v>
      </x:c>
      <x:c r="Z131" s="7" t="s">
        <x:v>53</x:v>
      </x:c>
      <x:c r="AA131" s="7" t="s">
        <x:v>53</x:v>
      </x:c>
      <x:c r="AB131" s="7" t="s">
        <x:v>53</x:v>
      </x:c>
      <x:c r="AC131" s="7" t="s">
        <x:v>53</x:v>
      </x:c>
      <x:c r="AD131" s="7" t="s">
        <x:v>53</x:v>
      </x:c>
      <x:c r="AE131" s="7" t="s">
        <x:v>53</x:v>
      </x:c>
      <x:c r="AF131" s="7" t="s">
        <x:v>53</x:v>
      </x:c>
      <x:c r="AG131" s="7" t="s">
        <x:v>53</x:v>
      </x:c>
      <x:c r="AH131" s="7" t="s">
        <x:v>53</x:v>
      </x:c>
      <x:c r="AI131" s="7" t="s">
        <x:v>53</x:v>
      </x:c>
      <x:c r="AJ131" s="7" t="s">
        <x:v>1418</x:v>
      </x:c>
      <x:c r="AK131" s="7" t="s">
        <x:v>1491</x:v>
      </x:c>
      <x:c r="AL131" s="7" t="s">
        <x:v>1492</x:v>
      </x:c>
    </x:row>
    <x:row r="132" ht="51.75" hidden="0" customHeight="1">
      <x:c r="A132" s="7" t="s">
        <x:v>1837</x:v>
      </x:c>
      <x:c r="B132" s="7" t="s">
        <x:v>1093</x:v>
      </x:c>
      <x:c r="C132" s="7" t="s">
        <x:v>1095</x:v>
      </x:c>
      <x:c r="D132" s="7" t="s">
        <x:v>1487</x:v>
      </x:c>
      <x:c r="E132" s="7" t="s">
        <x:v>53</x:v>
      </x:c>
      <x:c r="F132" s="7" t="s">
        <x:v>53</x:v>
      </x:c>
      <x:c r="G132" s="7" t="s">
        <x:v>53</x:v>
      </x:c>
      <x:c r="H132" s="7" t="s">
        <x:v>53</x:v>
      </x:c>
      <x:c r="I132" s="7" t="s">
        <x:v>53</x:v>
      </x:c>
      <x:c r="J132" s="7" t="s">
        <x:v>53</x:v>
      </x:c>
      <x:c r="K132" s="7" t="s">
        <x:v>53</x:v>
      </x:c>
      <x:c r="L132" s="7" t="s">
        <x:v>53</x:v>
      </x:c>
      <x:c r="M132" s="7" t="s">
        <x:v>53</x:v>
      </x:c>
      <x:c r="N132" s="7" t="s">
        <x:v>53</x:v>
      </x:c>
      <x:c r="O132" s="7" t="s">
        <x:v>53</x:v>
      </x:c>
      <x:c r="P132" s="7" t="s">
        <x:v>53</x:v>
      </x:c>
      <x:c r="Q132" s="7" t="s">
        <x:v>53</x:v>
      </x:c>
      <x:c r="R132" s="7" t="s">
        <x:v>53</x:v>
      </x:c>
      <x:c r="S132" s="7" t="s">
        <x:v>1054</x:v>
      </x:c>
      <x:c r="T132" s="7" t="s">
        <x:v>1054</x:v>
      </x:c>
      <x:c r="U132" s="7" t="s">
        <x:v>1823</x:v>
      </x:c>
      <x:c r="V132" s="7" t="s">
        <x:v>1823</x:v>
      </x:c>
      <x:c r="W132" s="7" t="s">
        <x:v>53</x:v>
      </x:c>
      <x:c r="X132" s="7" t="s">
        <x:v>1490</x:v>
      </x:c>
      <x:c r="Y132" s="7" t="s">
        <x:v>53</x:v>
      </x:c>
      <x:c r="Z132" s="7" t="s">
        <x:v>53</x:v>
      </x:c>
      <x:c r="AA132" s="7" t="s">
        <x:v>53</x:v>
      </x:c>
      <x:c r="AB132" s="7" t="s">
        <x:v>53</x:v>
      </x:c>
      <x:c r="AC132" s="7" t="s">
        <x:v>53</x:v>
      </x:c>
      <x:c r="AD132" s="7" t="s">
        <x:v>53</x:v>
      </x:c>
      <x:c r="AE132" s="7" t="s">
        <x:v>53</x:v>
      </x:c>
      <x:c r="AF132" s="7" t="s">
        <x:v>53</x:v>
      </x:c>
      <x:c r="AG132" s="7" t="s">
        <x:v>53</x:v>
      </x:c>
      <x:c r="AH132" s="7" t="s">
        <x:v>53</x:v>
      </x:c>
      <x:c r="AI132" s="7" t="s">
        <x:v>53</x:v>
      </x:c>
      <x:c r="AJ132" s="7" t="s">
        <x:v>1420</x:v>
      </x:c>
      <x:c r="AK132" s="7" t="s">
        <x:v>1491</x:v>
      </x:c>
      <x:c r="AL132" s="7" t="s">
        <x:v>1492</x:v>
      </x:c>
    </x:row>
    <x:row r="133" ht="51.75" hidden="0" customHeight="1">
      <x:c r="A133" s="7" t="s">
        <x:v>1838</x:v>
      </x:c>
      <x:c r="B133" s="7" t="s">
        <x:v>1104</x:v>
      </x:c>
      <x:c r="C133" s="7" t="s">
        <x:v>1106</x:v>
      </x:c>
      <x:c r="D133" s="7" t="s">
        <x:v>1487</x:v>
      </x:c>
      <x:c r="E133" s="7" t="s">
        <x:v>53</x:v>
      </x:c>
      <x:c r="F133" s="7" t="s">
        <x:v>53</x:v>
      </x:c>
      <x:c r="G133" s="7" t="s">
        <x:v>53</x:v>
      </x:c>
      <x:c r="H133" s="7" t="s">
        <x:v>53</x:v>
      </x:c>
      <x:c r="I133" s="7" t="s">
        <x:v>53</x:v>
      </x:c>
      <x:c r="J133" s="7" t="s">
        <x:v>53</x:v>
      </x:c>
      <x:c r="K133" s="7" t="s">
        <x:v>53</x:v>
      </x:c>
      <x:c r="L133" s="7" t="s">
        <x:v>53</x:v>
      </x:c>
      <x:c r="M133" s="7" t="s">
        <x:v>53</x:v>
      </x:c>
      <x:c r="N133" s="7" t="s">
        <x:v>53</x:v>
      </x:c>
      <x:c r="O133" s="7" t="s">
        <x:v>53</x:v>
      </x:c>
      <x:c r="P133" s="7" t="s">
        <x:v>53</x:v>
      </x:c>
      <x:c r="Q133" s="7" t="s">
        <x:v>53</x:v>
      </x:c>
      <x:c r="R133" s="7" t="s">
        <x:v>53</x:v>
      </x:c>
      <x:c r="S133" s="7" t="s">
        <x:v>1054</x:v>
      </x:c>
      <x:c r="T133" s="7" t="s">
        <x:v>1054</x:v>
      </x:c>
      <x:c r="U133" s="7" t="s">
        <x:v>1823</x:v>
      </x:c>
      <x:c r="V133" s="7" t="s">
        <x:v>1823</x:v>
      </x:c>
      <x:c r="W133" s="7" t="s">
        <x:v>53</x:v>
      </x:c>
      <x:c r="X133" s="7" t="s">
        <x:v>1490</x:v>
      </x:c>
      <x:c r="Y133" s="7" t="s">
        <x:v>53</x:v>
      </x:c>
      <x:c r="Z133" s="7" t="s">
        <x:v>53</x:v>
      </x:c>
      <x:c r="AA133" s="7" t="s">
        <x:v>53</x:v>
      </x:c>
      <x:c r="AB133" s="7" t="s">
        <x:v>53</x:v>
      </x:c>
      <x:c r="AC133" s="7" t="s">
        <x:v>53</x:v>
      </x:c>
      <x:c r="AD133" s="7" t="s">
        <x:v>53</x:v>
      </x:c>
      <x:c r="AE133" s="7" t="s">
        <x:v>53</x:v>
      </x:c>
      <x:c r="AF133" s="7" t="s">
        <x:v>53</x:v>
      </x:c>
      <x:c r="AG133" s="7" t="s">
        <x:v>53</x:v>
      </x:c>
      <x:c r="AH133" s="7" t="s">
        <x:v>53</x:v>
      </x:c>
      <x:c r="AI133" s="7" t="s">
        <x:v>53</x:v>
      </x:c>
      <x:c r="AJ133" s="7" t="s">
        <x:v>1423</x:v>
      </x:c>
      <x:c r="AK133" s="7" t="s">
        <x:v>1491</x:v>
      </x:c>
      <x:c r="AL133" s="7" t="s">
        <x:v>1492</x:v>
      </x:c>
    </x:row>
    <x:row r="134" ht="51.75" hidden="0" customHeight="1">
      <x:c r="A134" s="7" t="s">
        <x:v>1839</x:v>
      </x:c>
      <x:c r="B134" s="7" t="s">
        <x:v>1113</x:v>
      </x:c>
      <x:c r="C134" s="7" t="s">
        <x:v>1115</x:v>
      </x:c>
      <x:c r="D134" s="7" t="s">
        <x:v>1487</x:v>
      </x:c>
      <x:c r="E134" s="7" t="s">
        <x:v>53</x:v>
      </x:c>
      <x:c r="F134" s="7" t="s">
        <x:v>53</x:v>
      </x:c>
      <x:c r="G134" s="7" t="s">
        <x:v>53</x:v>
      </x:c>
      <x:c r="H134" s="7" t="s">
        <x:v>53</x:v>
      </x:c>
      <x:c r="I134" s="7" t="s">
        <x:v>53</x:v>
      </x:c>
      <x:c r="J134" s="7" t="s">
        <x:v>53</x:v>
      </x:c>
      <x:c r="K134" s="7" t="s">
        <x:v>53</x:v>
      </x:c>
      <x:c r="L134" s="7" t="s">
        <x:v>53</x:v>
      </x:c>
      <x:c r="M134" s="7" t="s">
        <x:v>53</x:v>
      </x:c>
      <x:c r="N134" s="7" t="s">
        <x:v>53</x:v>
      </x:c>
      <x:c r="O134" s="7" t="s">
        <x:v>53</x:v>
      </x:c>
      <x:c r="P134" s="7" t="s">
        <x:v>53</x:v>
      </x:c>
      <x:c r="Q134" s="7" t="s">
        <x:v>53</x:v>
      </x:c>
      <x:c r="R134" s="7" t="s">
        <x:v>53</x:v>
      </x:c>
      <x:c r="S134" s="7" t="s">
        <x:v>1054</x:v>
      </x:c>
      <x:c r="T134" s="7" t="s">
        <x:v>1054</x:v>
      </x:c>
      <x:c r="U134" s="7" t="s">
        <x:v>1823</x:v>
      </x:c>
      <x:c r="V134" s="7" t="s">
        <x:v>1823</x:v>
      </x:c>
      <x:c r="W134" s="7" t="s">
        <x:v>53</x:v>
      </x:c>
      <x:c r="X134" s="7" t="s">
        <x:v>1490</x:v>
      </x:c>
      <x:c r="Y134" s="7" t="s">
        <x:v>53</x:v>
      </x:c>
      <x:c r="Z134" s="7" t="s">
        <x:v>53</x:v>
      </x:c>
      <x:c r="AA134" s="7" t="s">
        <x:v>53</x:v>
      </x:c>
      <x:c r="AB134" s="7" t="s">
        <x:v>53</x:v>
      </x:c>
      <x:c r="AC134" s="7" t="s">
        <x:v>53</x:v>
      </x:c>
      <x:c r="AD134" s="7" t="s">
        <x:v>53</x:v>
      </x:c>
      <x:c r="AE134" s="7" t="s">
        <x:v>53</x:v>
      </x:c>
      <x:c r="AF134" s="7" t="s">
        <x:v>53</x:v>
      </x:c>
      <x:c r="AG134" s="7" t="s">
        <x:v>53</x:v>
      </x:c>
      <x:c r="AH134" s="7" t="s">
        <x:v>53</x:v>
      </x:c>
      <x:c r="AI134" s="7" t="s">
        <x:v>53</x:v>
      </x:c>
      <x:c r="AJ134" s="7" t="s">
        <x:v>1426</x:v>
      </x:c>
      <x:c r="AK134" s="7" t="s">
        <x:v>1491</x:v>
      </x:c>
      <x:c r="AL134" s="7" t="s">
        <x:v>1492</x:v>
      </x:c>
    </x:row>
    <x:row r="135" ht="51.75" hidden="0" customHeight="1">
      <x:c r="A135" s="7" t="s">
        <x:v>1840</x:v>
      </x:c>
      <x:c r="B135" s="7" t="s">
        <x:v>1113</x:v>
      </x:c>
      <x:c r="C135" s="7" t="s">
        <x:v>1428</x:v>
      </x:c>
      <x:c r="D135" s="7" t="s">
        <x:v>1487</x:v>
      </x:c>
      <x:c r="E135" s="7" t="s">
        <x:v>1841</x:v>
      </x:c>
      <x:c r="F135" s="7" t="s">
        <x:v>1842</x:v>
      </x:c>
      <x:c r="G135" s="7" t="s">
        <x:v>1827</x:v>
      </x:c>
      <x:c r="H135" s="7" t="s">
        <x:v>53</x:v>
      </x:c>
      <x:c r="I135" s="7" t="s">
        <x:v>53</x:v>
      </x:c>
      <x:c r="J135" s="7" t="s">
        <x:v>53</x:v>
      </x:c>
      <x:c r="K135" s="7" t="s">
        <x:v>1669</x:v>
      </x:c>
      <x:c r="L135" s="7" t="s">
        <x:v>1829</x:v>
      </x:c>
      <x:c r="M135" s="7" t="s">
        <x:v>53</x:v>
      </x:c>
      <x:c r="N135" s="7" t="s">
        <x:v>53</x:v>
      </x:c>
      <x:c r="O135" s="7" t="s">
        <x:v>53</x:v>
      </x:c>
      <x:c r="P135" s="7" t="s">
        <x:v>53</x:v>
      </x:c>
      <x:c r="Q135" s="7" t="s">
        <x:v>53</x:v>
      </x:c>
      <x:c r="R135" s="7" t="s">
        <x:v>53</x:v>
      </x:c>
      <x:c r="S135" s="7" t="s">
        <x:v>1054</x:v>
      </x:c>
      <x:c r="T135" s="7" t="s">
        <x:v>1054</x:v>
      </x:c>
      <x:c r="U135" s="7" t="s">
        <x:v>1823</x:v>
      </x:c>
      <x:c r="V135" s="7" t="s">
        <x:v>1823</x:v>
      </x:c>
      <x:c r="W135" s="7" t="s">
        <x:v>53</x:v>
      </x:c>
      <x:c r="X135" s="7" t="s">
        <x:v>1490</x:v>
      </x:c>
      <x:c r="Y135" s="7" t="s">
        <x:v>53</x:v>
      </x:c>
      <x:c r="Z135" s="7" t="s">
        <x:v>53</x:v>
      </x:c>
      <x:c r="AA135" s="7" t="s">
        <x:v>53</x:v>
      </x:c>
      <x:c r="AB135" s="7" t="s">
        <x:v>53</x:v>
      </x:c>
      <x:c r="AC135" s="7" t="s">
        <x:v>53</x:v>
      </x:c>
      <x:c r="AD135" s="7" t="s">
        <x:v>53</x:v>
      </x:c>
      <x:c r="AE135" s="7" t="s">
        <x:v>53</x:v>
      </x:c>
      <x:c r="AF135" s="7" t="s">
        <x:v>53</x:v>
      </x:c>
      <x:c r="AG135" s="7" t="s">
        <x:v>53</x:v>
      </x:c>
      <x:c r="AH135" s="7" t="s">
        <x:v>53</x:v>
      </x:c>
      <x:c r="AI135" s="7" t="s">
        <x:v>53</x:v>
      </x:c>
      <x:c r="AJ135" s="7" t="s">
        <x:v>1429</x:v>
      </x:c>
      <x:c r="AK135" s="7" t="s">
        <x:v>1491</x:v>
      </x:c>
      <x:c r="AL135" s="7" t="s">
        <x:v>1492</x:v>
      </x:c>
    </x:row>
    <x:row r="136" ht="51.75" hidden="0" customHeight="1">
      <x:c r="A136" s="7" t="s">
        <x:v>1843</x:v>
      </x:c>
      <x:c r="B136" s="7" t="s">
        <x:v>45</x:v>
      </x:c>
      <x:c r="C136" s="7" t="s">
        <x:v>48</x:v>
      </x:c>
      <x:c r="D136" s="7" t="s">
        <x:v>1844</x:v>
      </x:c>
      <x:c r="E136" s="7" t="s">
        <x:v>49</x:v>
      </x:c>
      <x:c r="F136" s="7" t="s">
        <x:v>50</x:v>
      </x:c>
      <x:c r="G136" s="7" t="s">
        <x:v>51</x:v>
      </x:c>
      <x:c r="H136" s="7" t="s">
        <x:v>53</x:v>
      </x:c>
      <x:c r="I136" s="7" t="s">
        <x:v>53</x:v>
      </x:c>
      <x:c r="J136" s="7" t="s">
        <x:v>53</x:v>
      </x:c>
      <x:c r="K136" s="7" t="s">
        <x:v>53</x:v>
      </x:c>
      <x:c r="L136" s="7" t="s">
        <x:v>53</x:v>
      </x:c>
      <x:c r="M136" s="7" t="s">
        <x:v>53</x:v>
      </x:c>
      <x:c r="N136" s="7" t="s">
        <x:v>1845</x:v>
      </x:c>
      <x:c r="O136" s="7" t="s">
        <x:v>53</x:v>
      </x:c>
      <x:c r="P136" s="7" t="s">
        <x:v>1846</x:v>
      </x:c>
      <x:c r="Q136" s="7" t="s">
        <x:v>53</x:v>
      </x:c>
      <x:c r="R136" s="7" t="s">
        <x:v>53</x:v>
      </x:c>
      <x:c r="S136" s="7" t="s">
        <x:v>1488</x:v>
      </x:c>
      <x:c r="T136" s="7" t="s">
        <x:v>1488</x:v>
      </x:c>
      <x:c r="U136" s="7" t="s">
        <x:v>1489</x:v>
      </x:c>
      <x:c r="V136" s="7" t="s">
        <x:v>1489</x:v>
      </x:c>
      <x:c r="W136" s="7" t="s">
        <x:v>53</x:v>
      </x:c>
      <x:c r="X136" s="7" t="s">
        <x:v>1490</x:v>
      </x:c>
      <x:c r="Y136" s="7" t="s">
        <x:v>53</x:v>
      </x:c>
      <x:c r="Z136" s="7" t="s">
        <x:v>53</x:v>
      </x:c>
      <x:c r="AA136" s="7" t="s">
        <x:v>53</x:v>
      </x:c>
      <x:c r="AB136" s="7" t="s">
        <x:v>53</x:v>
      </x:c>
      <x:c r="AC136" s="7" t="s">
        <x:v>53</x:v>
      </x:c>
      <x:c r="AD136" s="7" t="s">
        <x:v>53</x:v>
      </x:c>
      <x:c r="AE136" s="7" t="s">
        <x:v>1846</x:v>
      </x:c>
      <x:c r="AF136" s="7" t="s">
        <x:v>53</x:v>
      </x:c>
      <x:c r="AG136" s="7" t="s">
        <x:v>53</x:v>
      </x:c>
      <x:c r="AH136" s="7" t="s">
        <x:v>53</x:v>
      </x:c>
      <x:c r="AI136" s="7" t="s">
        <x:v>53</x:v>
      </x:c>
      <x:c r="AJ136" s="7" t="s">
        <x:v>1847</x:v>
      </x:c>
      <x:c r="AK136" s="7" t="s">
        <x:v>1491</x:v>
      </x:c>
      <x:c r="AL136" s="7" t="s">
        <x:v>1848</x:v>
      </x:c>
    </x:row>
    <x:row r="137" ht="51.75" hidden="0" customHeight="1">
      <x:c r="A137" s="7" t="s">
        <x:v>335</x:v>
      </x:c>
      <x:c r="B137" s="7" t="s">
        <x:v>330</x:v>
      </x:c>
      <x:c r="C137" s="7" t="s">
        <x:v>332</x:v>
      </x:c>
      <x:c r="D137" s="7" t="s">
        <x:v>1844</x:v>
      </x:c>
      <x:c r="E137" s="7" t="s">
        <x:v>333</x:v>
      </x:c>
      <x:c r="F137" s="7" t="s">
        <x:v>334</x:v>
      </x:c>
      <x:c r="G137" s="7" t="s">
        <x:v>51</x:v>
      </x:c>
      <x:c r="H137" s="7" t="s">
        <x:v>53</x:v>
      </x:c>
      <x:c r="I137" s="7" t="s">
        <x:v>53</x:v>
      </x:c>
      <x:c r="J137" s="7" t="s">
        <x:v>53</x:v>
      </x:c>
      <x:c r="K137" s="7" t="s">
        <x:v>53</x:v>
      </x:c>
      <x:c r="L137" s="7" t="s">
        <x:v>53</x:v>
      </x:c>
      <x:c r="M137" s="7" t="s">
        <x:v>53</x:v>
      </x:c>
      <x:c r="N137" s="7" t="s">
        <x:v>1849</x:v>
      </x:c>
      <x:c r="O137" s="7" t="s">
        <x:v>53</x:v>
      </x:c>
      <x:c r="P137" s="7" t="s">
        <x:v>1846</x:v>
      </x:c>
      <x:c r="Q137" s="7" t="s">
        <x:v>53</x:v>
      </x:c>
      <x:c r="R137" s="7" t="s">
        <x:v>53</x:v>
      </x:c>
      <x:c r="S137" s="7" t="s">
        <x:v>1488</x:v>
      </x:c>
      <x:c r="T137" s="7" t="s">
        <x:v>1488</x:v>
      </x:c>
      <x:c r="U137" s="7" t="s">
        <x:v>1489</x:v>
      </x:c>
      <x:c r="V137" s="7" t="s">
        <x:v>1489</x:v>
      </x:c>
      <x:c r="W137" s="7" t="s">
        <x:v>53</x:v>
      </x:c>
      <x:c r="X137" s="7" t="s">
        <x:v>1490</x:v>
      </x:c>
      <x:c r="Y137" s="7" t="s">
        <x:v>53</x:v>
      </x:c>
      <x:c r="Z137" s="7" t="s">
        <x:v>53</x:v>
      </x:c>
      <x:c r="AA137" s="7" t="s">
        <x:v>53</x:v>
      </x:c>
      <x:c r="AB137" s="7" t="s">
        <x:v>53</x:v>
      </x:c>
      <x:c r="AC137" s="7" t="s">
        <x:v>53</x:v>
      </x:c>
      <x:c r="AD137" s="7" t="s">
        <x:v>53</x:v>
      </x:c>
      <x:c r="AE137" s="7" t="s">
        <x:v>1846</x:v>
      </x:c>
      <x:c r="AF137" s="7" t="s">
        <x:v>53</x:v>
      </x:c>
      <x:c r="AG137" s="7" t="s">
        <x:v>53</x:v>
      </x:c>
      <x:c r="AH137" s="7" t="s">
        <x:v>53</x:v>
      </x:c>
      <x:c r="AI137" s="7" t="s">
        <x:v>53</x:v>
      </x:c>
      <x:c r="AJ137" s="7" t="s">
        <x:v>1850</x:v>
      </x:c>
      <x:c r="AK137" s="7" t="s">
        <x:v>1491</x:v>
      </x:c>
      <x:c r="AL137" s="7" t="s">
        <x:v>1848</x:v>
      </x:c>
    </x:row>
    <x:row r="138" ht="79.5" hidden="0" customHeight="1">
      <x:c r="A138" s="7" t="s">
        <x:v>375</x:v>
      </x:c>
      <x:c r="B138" s="7" t="s">
        <x:v>369</x:v>
      </x:c>
      <x:c r="C138" s="7" t="s">
        <x:v>371</x:v>
      </x:c>
      <x:c r="D138" s="7" t="s">
        <x:v>1844</x:v>
      </x:c>
      <x:c r="E138" s="7" t="s">
        <x:v>372</x:v>
      </x:c>
      <x:c r="F138" s="7" t="s">
        <x:v>373</x:v>
      </x:c>
      <x:c r="G138" s="7" t="s">
        <x:v>374</x:v>
      </x:c>
      <x:c r="H138" s="7" t="s">
        <x:v>53</x:v>
      </x:c>
      <x:c r="I138" s="7" t="s">
        <x:v>53</x:v>
      </x:c>
      <x:c r="J138" s="7" t="s">
        <x:v>53</x:v>
      </x:c>
      <x:c r="K138" s="7" t="s">
        <x:v>53</x:v>
      </x:c>
      <x:c r="L138" s="7" t="s">
        <x:v>53</x:v>
      </x:c>
      <x:c r="M138" s="7" t="s">
        <x:v>53</x:v>
      </x:c>
      <x:c r="N138" s="7" t="s">
        <x:v>1851</x:v>
      </x:c>
      <x:c r="O138" s="7" t="s">
        <x:v>53</x:v>
      </x:c>
      <x:c r="P138" s="7" t="s">
        <x:v>1852</x:v>
      </x:c>
      <x:c r="Q138" s="7" t="s">
        <x:v>53</x:v>
      </x:c>
      <x:c r="R138" s="7" t="s">
        <x:v>1545</x:v>
      </x:c>
      <x:c r="S138" s="7" t="s">
        <x:v>1488</x:v>
      </x:c>
      <x:c r="T138" s="7" t="s">
        <x:v>1488</x:v>
      </x:c>
      <x:c r="U138" s="7" t="s">
        <x:v>1489</x:v>
      </x:c>
      <x:c r="V138" s="7" t="s">
        <x:v>1489</x:v>
      </x:c>
      <x:c r="W138" s="7" t="s">
        <x:v>53</x:v>
      </x:c>
      <x:c r="X138" s="7" t="s">
        <x:v>1490</x:v>
      </x:c>
      <x:c r="Y138" s="7" t="s">
        <x:v>53</x:v>
      </x:c>
      <x:c r="Z138" s="7" t="s">
        <x:v>53</x:v>
      </x:c>
      <x:c r="AA138" s="7" t="s">
        <x:v>53</x:v>
      </x:c>
      <x:c r="AB138" s="7" t="s">
        <x:v>53</x:v>
      </x:c>
      <x:c r="AC138" s="7" t="s">
        <x:v>53</x:v>
      </x:c>
      <x:c r="AD138" s="7" t="s">
        <x:v>53</x:v>
      </x:c>
      <x:c r="AE138" s="7" t="s">
        <x:v>1853</x:v>
      </x:c>
      <x:c r="AF138" s="7" t="s">
        <x:v>53</x:v>
      </x:c>
      <x:c r="AG138" s="7" t="s">
        <x:v>53</x:v>
      </x:c>
      <x:c r="AH138" s="7" t="s">
        <x:v>53</x:v>
      </x:c>
      <x:c r="AI138" s="7" t="s">
        <x:v>53</x:v>
      </x:c>
      <x:c r="AJ138" s="7" t="s">
        <x:v>1854</x:v>
      </x:c>
      <x:c r="AK138" s="7" t="s">
        <x:v>1491</x:v>
      </x:c>
      <x:c r="AL138" s="7" t="s">
        <x:v>1848</x:v>
      </x:c>
    </x:row>
    <x:row r="139" ht="51.75" hidden="0" customHeight="1">
      <x:c r="A139" s="7" t="s">
        <x:v>385</x:v>
      </x:c>
      <x:c r="B139" s="7" t="s">
        <x:v>380</x:v>
      </x:c>
      <x:c r="C139" s="7" t="s">
        <x:v>382</x:v>
      </x:c>
      <x:c r="D139" s="7" t="s">
        <x:v>1844</x:v>
      </x:c>
      <x:c r="E139" s="7" t="s">
        <x:v>383</x:v>
      </x:c>
      <x:c r="F139" s="7" t="s">
        <x:v>384</x:v>
      </x:c>
      <x:c r="G139" s="7" t="s">
        <x:v>374</x:v>
      </x:c>
      <x:c r="H139" s="7" t="s">
        <x:v>53</x:v>
      </x:c>
      <x:c r="I139" s="7" t="s">
        <x:v>53</x:v>
      </x:c>
      <x:c r="J139" s="7" t="s">
        <x:v>53</x:v>
      </x:c>
      <x:c r="K139" s="7" t="s">
        <x:v>53</x:v>
      </x:c>
      <x:c r="L139" s="7" t="s">
        <x:v>53</x:v>
      </x:c>
      <x:c r="M139" s="7" t="s">
        <x:v>53</x:v>
      </x:c>
      <x:c r="N139" s="7" t="s">
        <x:v>1855</x:v>
      </x:c>
      <x:c r="O139" s="7" t="s">
        <x:v>53</x:v>
      </x:c>
      <x:c r="P139" s="7" t="s">
        <x:v>1846</x:v>
      </x:c>
      <x:c r="Q139" s="7" t="s">
        <x:v>53</x:v>
      </x:c>
      <x:c r="R139" s="7" t="s">
        <x:v>53</x:v>
      </x:c>
      <x:c r="S139" s="7" t="s">
        <x:v>1488</x:v>
      </x:c>
      <x:c r="T139" s="7" t="s">
        <x:v>1488</x:v>
      </x:c>
      <x:c r="U139" s="7" t="s">
        <x:v>1489</x:v>
      </x:c>
      <x:c r="V139" s="7" t="s">
        <x:v>1489</x:v>
      </x:c>
      <x:c r="W139" s="7" t="s">
        <x:v>53</x:v>
      </x:c>
      <x:c r="X139" s="7" t="s">
        <x:v>1490</x:v>
      </x:c>
      <x:c r="Y139" s="7" t="s">
        <x:v>53</x:v>
      </x:c>
      <x:c r="Z139" s="7" t="s">
        <x:v>53</x:v>
      </x:c>
      <x:c r="AA139" s="7" t="s">
        <x:v>53</x:v>
      </x:c>
      <x:c r="AB139" s="7" t="s">
        <x:v>53</x:v>
      </x:c>
      <x:c r="AC139" s="7" t="s">
        <x:v>53</x:v>
      </x:c>
      <x:c r="AD139" s="7" t="s">
        <x:v>53</x:v>
      </x:c>
      <x:c r="AE139" s="7" t="s">
        <x:v>1846</x:v>
      </x:c>
      <x:c r="AF139" s="7" t="s">
        <x:v>53</x:v>
      </x:c>
      <x:c r="AG139" s="7" t="s">
        <x:v>53</x:v>
      </x:c>
      <x:c r="AH139" s="7" t="s">
        <x:v>53</x:v>
      </x:c>
      <x:c r="AI139" s="7" t="s">
        <x:v>53</x:v>
      </x:c>
      <x:c r="AJ139" s="7" t="s">
        <x:v>1856</x:v>
      </x:c>
      <x:c r="AK139" s="7" t="s">
        <x:v>1491</x:v>
      </x:c>
      <x:c r="AL139" s="7" t="s">
        <x:v>1848</x:v>
      </x:c>
    </x:row>
    <x:row r="140" ht="79.5" hidden="0" customHeight="1">
      <x:c r="A140" s="7" t="s">
        <x:v>468</x:v>
      </x:c>
      <x:c r="B140" s="7" t="s">
        <x:v>463</x:v>
      </x:c>
      <x:c r="C140" s="7" t="s">
        <x:v>465</x:v>
      </x:c>
      <x:c r="D140" s="7" t="s">
        <x:v>1844</x:v>
      </x:c>
      <x:c r="E140" s="7" t="s">
        <x:v>466</x:v>
      </x:c>
      <x:c r="F140" s="7" t="s">
        <x:v>467</x:v>
      </x:c>
      <x:c r="G140" s="7" t="s">
        <x:v>374</x:v>
      </x:c>
      <x:c r="H140" s="7" t="s">
        <x:v>53</x:v>
      </x:c>
      <x:c r="I140" s="7" t="s">
        <x:v>53</x:v>
      </x:c>
      <x:c r="J140" s="7" t="s">
        <x:v>53</x:v>
      </x:c>
      <x:c r="K140" s="7" t="s">
        <x:v>53</x:v>
      </x:c>
      <x:c r="L140" s="7" t="s">
        <x:v>53</x:v>
      </x:c>
      <x:c r="M140" s="7" t="s">
        <x:v>53</x:v>
      </x:c>
      <x:c r="N140" s="7" t="s">
        <x:v>1857</x:v>
      </x:c>
      <x:c r="O140" s="7" t="s">
        <x:v>53</x:v>
      </x:c>
      <x:c r="P140" s="7" t="s">
        <x:v>1852</x:v>
      </x:c>
      <x:c r="Q140" s="7" t="s">
        <x:v>53</x:v>
      </x:c>
      <x:c r="R140" s="7" t="s">
        <x:v>1545</x:v>
      </x:c>
      <x:c r="S140" s="7" t="s">
        <x:v>1488</x:v>
      </x:c>
      <x:c r="T140" s="7" t="s">
        <x:v>1488</x:v>
      </x:c>
      <x:c r="U140" s="7" t="s">
        <x:v>1489</x:v>
      </x:c>
      <x:c r="V140" s="7" t="s">
        <x:v>1489</x:v>
      </x:c>
      <x:c r="W140" s="7" t="s">
        <x:v>53</x:v>
      </x:c>
      <x:c r="X140" s="7" t="s">
        <x:v>1490</x:v>
      </x:c>
      <x:c r="Y140" s="7" t="s">
        <x:v>53</x:v>
      </x:c>
      <x:c r="Z140" s="7" t="s">
        <x:v>53</x:v>
      </x:c>
      <x:c r="AA140" s="7" t="s">
        <x:v>53</x:v>
      </x:c>
      <x:c r="AB140" s="7" t="s">
        <x:v>53</x:v>
      </x:c>
      <x:c r="AC140" s="7" t="s">
        <x:v>53</x:v>
      </x:c>
      <x:c r="AD140" s="7" t="s">
        <x:v>53</x:v>
      </x:c>
      <x:c r="AE140" s="7" t="s">
        <x:v>1853</x:v>
      </x:c>
      <x:c r="AF140" s="7" t="s">
        <x:v>53</x:v>
      </x:c>
      <x:c r="AG140" s="7" t="s">
        <x:v>53</x:v>
      </x:c>
      <x:c r="AH140" s="7" t="s">
        <x:v>53</x:v>
      </x:c>
      <x:c r="AI140" s="7" t="s">
        <x:v>53</x:v>
      </x:c>
      <x:c r="AJ140" s="7" t="s">
        <x:v>1858</x:v>
      </x:c>
      <x:c r="AK140" s="7" t="s">
        <x:v>1491</x:v>
      </x:c>
      <x:c r="AL140" s="7" t="s">
        <x:v>1848</x:v>
      </x:c>
    </x:row>
    <x:row r="141" ht="51.75" hidden="0" customHeight="1">
      <x:c r="A141" s="7" t="s">
        <x:v>1859</x:v>
      </x:c>
      <x:c r="B141" s="7" t="s">
        <x:v>559</x:v>
      </x:c>
      <x:c r="C141" s="7" t="s">
        <x:v>1265</x:v>
      </x:c>
      <x:c r="D141" s="7" t="s">
        <x:v>1844</x:v>
      </x:c>
      <x:c r="E141" s="7" t="s">
        <x:v>1860</x:v>
      </x:c>
      <x:c r="F141" s="7" t="s">
        <x:v>1861</x:v>
      </x:c>
      <x:c r="G141" s="7" t="s">
        <x:v>51</x:v>
      </x:c>
      <x:c r="H141" s="7" t="s">
        <x:v>53</x:v>
      </x:c>
      <x:c r="I141" s="7" t="s">
        <x:v>53</x:v>
      </x:c>
      <x:c r="J141" s="7" t="s">
        <x:v>53</x:v>
      </x:c>
      <x:c r="K141" s="7" t="s">
        <x:v>53</x:v>
      </x:c>
      <x:c r="L141" s="7" t="s">
        <x:v>53</x:v>
      </x:c>
      <x:c r="M141" s="7" t="s">
        <x:v>53</x:v>
      </x:c>
      <x:c r="N141" s="7" t="s">
        <x:v>1862</x:v>
      </x:c>
      <x:c r="O141" s="7" t="s">
        <x:v>53</x:v>
      </x:c>
      <x:c r="P141" s="7" t="s">
        <x:v>1846</x:v>
      </x:c>
      <x:c r="Q141" s="7" t="s">
        <x:v>53</x:v>
      </x:c>
      <x:c r="R141" s="7" t="s">
        <x:v>53</x:v>
      </x:c>
      <x:c r="S141" s="7" t="s">
        <x:v>1488</x:v>
      </x:c>
      <x:c r="T141" s="7" t="s">
        <x:v>1488</x:v>
      </x:c>
      <x:c r="U141" s="7" t="s">
        <x:v>1489</x:v>
      </x:c>
      <x:c r="V141" s="7" t="s">
        <x:v>1489</x:v>
      </x:c>
      <x:c r="W141" s="7" t="s">
        <x:v>53</x:v>
      </x:c>
      <x:c r="X141" s="7" t="s">
        <x:v>1490</x:v>
      </x:c>
      <x:c r="Y141" s="7" t="s">
        <x:v>53</x:v>
      </x:c>
      <x:c r="Z141" s="7" t="s">
        <x:v>53</x:v>
      </x:c>
      <x:c r="AA141" s="7" t="s">
        <x:v>53</x:v>
      </x:c>
      <x:c r="AB141" s="7" t="s">
        <x:v>53</x:v>
      </x:c>
      <x:c r="AC141" s="7" t="s">
        <x:v>53</x:v>
      </x:c>
      <x:c r="AD141" s="7" t="s">
        <x:v>53</x:v>
      </x:c>
      <x:c r="AE141" s="7" t="s">
        <x:v>1846</x:v>
      </x:c>
      <x:c r="AF141" s="7" t="s">
        <x:v>53</x:v>
      </x:c>
      <x:c r="AG141" s="7" t="s">
        <x:v>53</x:v>
      </x:c>
      <x:c r="AH141" s="7" t="s">
        <x:v>53</x:v>
      </x:c>
      <x:c r="AI141" s="7" t="s">
        <x:v>53</x:v>
      </x:c>
      <x:c r="AJ141" s="7" t="s">
        <x:v>1863</x:v>
      </x:c>
      <x:c r="AK141" s="7" t="s">
        <x:v>1491</x:v>
      </x:c>
      <x:c r="AL141" s="7" t="s">
        <x:v>1848</x:v>
      </x:c>
    </x:row>
    <x:row r="142" ht="51.75" hidden="0" customHeight="1">
      <x:c r="A142" s="7" t="s">
        <x:v>621</x:v>
      </x:c>
      <x:c r="B142" s="7" t="s">
        <x:v>616</x:v>
      </x:c>
      <x:c r="C142" s="7" t="s">
        <x:v>618</x:v>
      </x:c>
      <x:c r="D142" s="7" t="s">
        <x:v>1844</x:v>
      </x:c>
      <x:c r="E142" s="7" t="s">
        <x:v>619</x:v>
      </x:c>
      <x:c r="F142" s="7" t="s">
        <x:v>620</x:v>
      </x:c>
      <x:c r="G142" s="7" t="s">
        <x:v>51</x:v>
      </x:c>
      <x:c r="H142" s="7" t="s">
        <x:v>53</x:v>
      </x:c>
      <x:c r="I142" s="7" t="s">
        <x:v>53</x:v>
      </x:c>
      <x:c r="J142" s="7" t="s">
        <x:v>53</x:v>
      </x:c>
      <x:c r="K142" s="7" t="s">
        <x:v>53</x:v>
      </x:c>
      <x:c r="L142" s="7" t="s">
        <x:v>53</x:v>
      </x:c>
      <x:c r="M142" s="7" t="s">
        <x:v>53</x:v>
      </x:c>
      <x:c r="N142" s="7" t="s">
        <x:v>1685</x:v>
      </x:c>
      <x:c r="O142" s="7" t="s">
        <x:v>53</x:v>
      </x:c>
      <x:c r="P142" s="7" t="s">
        <x:v>1846</x:v>
      </x:c>
      <x:c r="Q142" s="7" t="s">
        <x:v>53</x:v>
      </x:c>
      <x:c r="R142" s="7" t="s">
        <x:v>53</x:v>
      </x:c>
      <x:c r="S142" s="7" t="s">
        <x:v>1488</x:v>
      </x:c>
      <x:c r="T142" s="7" t="s">
        <x:v>1488</x:v>
      </x:c>
      <x:c r="U142" s="7" t="s">
        <x:v>1489</x:v>
      </x:c>
      <x:c r="V142" s="7" t="s">
        <x:v>1489</x:v>
      </x:c>
      <x:c r="W142" s="7" t="s">
        <x:v>53</x:v>
      </x:c>
      <x:c r="X142" s="7" t="s">
        <x:v>1490</x:v>
      </x:c>
      <x:c r="Y142" s="7" t="s">
        <x:v>53</x:v>
      </x:c>
      <x:c r="Z142" s="7" t="s">
        <x:v>53</x:v>
      </x:c>
      <x:c r="AA142" s="7" t="s">
        <x:v>53</x:v>
      </x:c>
      <x:c r="AB142" s="7" t="s">
        <x:v>53</x:v>
      </x:c>
      <x:c r="AC142" s="7" t="s">
        <x:v>53</x:v>
      </x:c>
      <x:c r="AD142" s="7" t="s">
        <x:v>53</x:v>
      </x:c>
      <x:c r="AE142" s="7" t="s">
        <x:v>1846</x:v>
      </x:c>
      <x:c r="AF142" s="7" t="s">
        <x:v>53</x:v>
      </x:c>
      <x:c r="AG142" s="7" t="s">
        <x:v>53</x:v>
      </x:c>
      <x:c r="AH142" s="7" t="s">
        <x:v>53</x:v>
      </x:c>
      <x:c r="AI142" s="7" t="s">
        <x:v>53</x:v>
      </x:c>
      <x:c r="AJ142" s="7" t="s">
        <x:v>1279</x:v>
      </x:c>
      <x:c r="AK142" s="7" t="s">
        <x:v>1491</x:v>
      </x:c>
      <x:c r="AL142" s="7" t="s">
        <x:v>1848</x:v>
      </x:c>
    </x:row>
    <x:row r="143" ht="79.5" hidden="0" customHeight="1">
      <x:c r="A143" s="7" t="s">
        <x:v>632</x:v>
      </x:c>
      <x:c r="B143" s="7" t="s">
        <x:v>627</x:v>
      </x:c>
      <x:c r="C143" s="7" t="s">
        <x:v>629</x:v>
      </x:c>
      <x:c r="D143" s="7" t="s">
        <x:v>1844</x:v>
      </x:c>
      <x:c r="E143" s="7" t="s">
        <x:v>630</x:v>
      </x:c>
      <x:c r="F143" s="7" t="s">
        <x:v>631</x:v>
      </x:c>
      <x:c r="G143" s="7" t="s">
        <x:v>374</x:v>
      </x:c>
      <x:c r="H143" s="7" t="s">
        <x:v>53</x:v>
      </x:c>
      <x:c r="I143" s="7" t="s">
        <x:v>53</x:v>
      </x:c>
      <x:c r="J143" s="7" t="s">
        <x:v>53</x:v>
      </x:c>
      <x:c r="K143" s="7" t="s">
        <x:v>53</x:v>
      </x:c>
      <x:c r="L143" s="7" t="s">
        <x:v>53</x:v>
      </x:c>
      <x:c r="M143" s="7" t="s">
        <x:v>53</x:v>
      </x:c>
      <x:c r="N143" s="7" t="s">
        <x:v>1862</x:v>
      </x:c>
      <x:c r="O143" s="7" t="s">
        <x:v>53</x:v>
      </x:c>
      <x:c r="P143" s="7" t="s">
        <x:v>1864</x:v>
      </x:c>
      <x:c r="Q143" s="7" t="s">
        <x:v>53</x:v>
      </x:c>
      <x:c r="R143" s="7" t="s">
        <x:v>1545</x:v>
      </x:c>
      <x:c r="S143" s="7" t="s">
        <x:v>1488</x:v>
      </x:c>
      <x:c r="T143" s="7" t="s">
        <x:v>1488</x:v>
      </x:c>
      <x:c r="U143" s="7" t="s">
        <x:v>1489</x:v>
      </x:c>
      <x:c r="V143" s="7" t="s">
        <x:v>1489</x:v>
      </x:c>
      <x:c r="W143" s="7" t="s">
        <x:v>53</x:v>
      </x:c>
      <x:c r="X143" s="7" t="s">
        <x:v>1490</x:v>
      </x:c>
      <x:c r="Y143" s="7" t="s">
        <x:v>53</x:v>
      </x:c>
      <x:c r="Z143" s="7" t="s">
        <x:v>53</x:v>
      </x:c>
      <x:c r="AA143" s="7" t="s">
        <x:v>53</x:v>
      </x:c>
      <x:c r="AB143" s="7" t="s">
        <x:v>53</x:v>
      </x:c>
      <x:c r="AC143" s="7" t="s">
        <x:v>53</x:v>
      </x:c>
      <x:c r="AD143" s="7" t="s">
        <x:v>53</x:v>
      </x:c>
      <x:c r="AE143" s="7" t="s">
        <x:v>1853</x:v>
      </x:c>
      <x:c r="AF143" s="7" t="s">
        <x:v>53</x:v>
      </x:c>
      <x:c r="AG143" s="7" t="s">
        <x:v>53</x:v>
      </x:c>
      <x:c r="AH143" s="7" t="s">
        <x:v>53</x:v>
      </x:c>
      <x:c r="AI143" s="7" t="s">
        <x:v>53</x:v>
      </x:c>
      <x:c r="AJ143" s="7" t="s">
        <x:v>1865</x:v>
      </x:c>
      <x:c r="AK143" s="7" t="s">
        <x:v>1491</x:v>
      </x:c>
      <x:c r="AL143" s="7" t="s">
        <x:v>1848</x:v>
      </x:c>
    </x:row>
    <x:row r="144" ht="79.5" hidden="0" customHeight="1">
      <x:c r="A144" s="7" t="s">
        <x:v>643</x:v>
      </x:c>
      <x:c r="B144" s="7" t="s">
        <x:v>639</x:v>
      </x:c>
      <x:c r="C144" s="7" t="s">
        <x:v>641</x:v>
      </x:c>
      <x:c r="D144" s="7" t="s">
        <x:v>1844</x:v>
      </x:c>
      <x:c r="E144" s="7" t="s">
        <x:v>630</x:v>
      </x:c>
      <x:c r="F144" s="7" t="s">
        <x:v>631</x:v>
      </x:c>
      <x:c r="G144" s="7" t="s">
        <x:v>642</x:v>
      </x:c>
      <x:c r="H144" s="7" t="s">
        <x:v>53</x:v>
      </x:c>
      <x:c r="I144" s="7" t="s">
        <x:v>53</x:v>
      </x:c>
      <x:c r="J144" s="7" t="s">
        <x:v>53</x:v>
      </x:c>
      <x:c r="K144" s="7" t="s">
        <x:v>53</x:v>
      </x:c>
      <x:c r="L144" s="7" t="s">
        <x:v>53</x:v>
      </x:c>
      <x:c r="M144" s="7" t="s">
        <x:v>53</x:v>
      </x:c>
      <x:c r="N144" s="7" t="s">
        <x:v>1862</x:v>
      </x:c>
      <x:c r="O144" s="7" t="s">
        <x:v>53</x:v>
      </x:c>
      <x:c r="P144" s="7" t="s">
        <x:v>1852</x:v>
      </x:c>
      <x:c r="Q144" s="7" t="s">
        <x:v>53</x:v>
      </x:c>
      <x:c r="R144" s="7" t="s">
        <x:v>1545</x:v>
      </x:c>
      <x:c r="S144" s="7" t="s">
        <x:v>1488</x:v>
      </x:c>
      <x:c r="T144" s="7" t="s">
        <x:v>1488</x:v>
      </x:c>
      <x:c r="U144" s="7" t="s">
        <x:v>1489</x:v>
      </x:c>
      <x:c r="V144" s="7" t="s">
        <x:v>1489</x:v>
      </x:c>
      <x:c r="W144" s="7" t="s">
        <x:v>53</x:v>
      </x:c>
      <x:c r="X144" s="7" t="s">
        <x:v>1490</x:v>
      </x:c>
      <x:c r="Y144" s="7" t="s">
        <x:v>53</x:v>
      </x:c>
      <x:c r="Z144" s="7" t="s">
        <x:v>53</x:v>
      </x:c>
      <x:c r="AA144" s="7" t="s">
        <x:v>53</x:v>
      </x:c>
      <x:c r="AB144" s="7" t="s">
        <x:v>53</x:v>
      </x:c>
      <x:c r="AC144" s="7" t="s">
        <x:v>53</x:v>
      </x:c>
      <x:c r="AD144" s="7" t="s">
        <x:v>53</x:v>
      </x:c>
      <x:c r="AE144" s="7" t="s">
        <x:v>1853</x:v>
      </x:c>
      <x:c r="AF144" s="7" t="s">
        <x:v>53</x:v>
      </x:c>
      <x:c r="AG144" s="7" t="s">
        <x:v>53</x:v>
      </x:c>
      <x:c r="AH144" s="7" t="s">
        <x:v>53</x:v>
      </x:c>
      <x:c r="AI144" s="7" t="s">
        <x:v>53</x:v>
      </x:c>
      <x:c r="AJ144" s="7" t="s">
        <x:v>1866</x:v>
      </x:c>
      <x:c r="AK144" s="7" t="s">
        <x:v>1491</x:v>
      </x:c>
      <x:c r="AL144" s="7" t="s">
        <x:v>1848</x:v>
      </x:c>
    </x:row>
    <x:row r="145" ht="51.75" hidden="0" customHeight="1">
      <x:c r="A145" s="7" t="s">
        <x:v>1867</x:v>
      </x:c>
      <x:c r="B145" s="7" t="s">
        <x:v>656</x:v>
      </x:c>
      <x:c r="C145" s="7" t="s">
        <x:v>1293</x:v>
      </x:c>
      <x:c r="D145" s="7" t="s">
        <x:v>1844</x:v>
      </x:c>
      <x:c r="E145" s="7" t="s">
        <x:v>1860</x:v>
      </x:c>
      <x:c r="F145" s="7" t="s">
        <x:v>1861</x:v>
      </x:c>
      <x:c r="G145" s="7" t="s">
        <x:v>51</x:v>
      </x:c>
      <x:c r="H145" s="7" t="s">
        <x:v>53</x:v>
      </x:c>
      <x:c r="I145" s="7" t="s">
        <x:v>53</x:v>
      </x:c>
      <x:c r="J145" s="7" t="s">
        <x:v>53</x:v>
      </x:c>
      <x:c r="K145" s="7" t="s">
        <x:v>53</x:v>
      </x:c>
      <x:c r="L145" s="7" t="s">
        <x:v>53</x:v>
      </x:c>
      <x:c r="M145" s="7" t="s">
        <x:v>53</x:v>
      </x:c>
      <x:c r="N145" s="7" t="s">
        <x:v>1862</x:v>
      </x:c>
      <x:c r="O145" s="7" t="s">
        <x:v>53</x:v>
      </x:c>
      <x:c r="P145" s="7" t="s">
        <x:v>1846</x:v>
      </x:c>
      <x:c r="Q145" s="7" t="s">
        <x:v>53</x:v>
      </x:c>
      <x:c r="R145" s="7" t="s">
        <x:v>53</x:v>
      </x:c>
      <x:c r="S145" s="7" t="s">
        <x:v>1488</x:v>
      </x:c>
      <x:c r="T145" s="7" t="s">
        <x:v>1488</x:v>
      </x:c>
      <x:c r="U145" s="7" t="s">
        <x:v>1489</x:v>
      </x:c>
      <x:c r="V145" s="7" t="s">
        <x:v>1489</x:v>
      </x:c>
      <x:c r="W145" s="7" t="s">
        <x:v>53</x:v>
      </x:c>
      <x:c r="X145" s="7" t="s">
        <x:v>1490</x:v>
      </x:c>
      <x:c r="Y145" s="7" t="s">
        <x:v>53</x:v>
      </x:c>
      <x:c r="Z145" s="7" t="s">
        <x:v>53</x:v>
      </x:c>
      <x:c r="AA145" s="7" t="s">
        <x:v>53</x:v>
      </x:c>
      <x:c r="AB145" s="7" t="s">
        <x:v>53</x:v>
      </x:c>
      <x:c r="AC145" s="7" t="s">
        <x:v>53</x:v>
      </x:c>
      <x:c r="AD145" s="7" t="s">
        <x:v>53</x:v>
      </x:c>
      <x:c r="AE145" s="7" t="s">
        <x:v>1846</x:v>
      </x:c>
      <x:c r="AF145" s="7" t="s">
        <x:v>53</x:v>
      </x:c>
      <x:c r="AG145" s="7" t="s">
        <x:v>53</x:v>
      </x:c>
      <x:c r="AH145" s="7" t="s">
        <x:v>53</x:v>
      </x:c>
      <x:c r="AI145" s="7" t="s">
        <x:v>53</x:v>
      </x:c>
      <x:c r="AJ145" s="7" t="s">
        <x:v>1863</x:v>
      </x:c>
      <x:c r="AK145" s="7" t="s">
        <x:v>1491</x:v>
      </x:c>
      <x:c r="AL145" s="7" t="s">
        <x:v>1848</x:v>
      </x:c>
    </x:row>
    <x:row r="146" ht="51.75" hidden="0" customHeight="1">
      <x:c r="A146" s="7" t="s">
        <x:v>1868</x:v>
      </x:c>
      <x:c r="B146" s="7" t="s">
        <x:v>687</x:v>
      </x:c>
      <x:c r="C146" s="7" t="s">
        <x:v>1296</x:v>
      </x:c>
      <x:c r="D146" s="7" t="s">
        <x:v>1844</x:v>
      </x:c>
      <x:c r="E146" s="7" t="s">
        <x:v>1860</x:v>
      </x:c>
      <x:c r="F146" s="7" t="s">
        <x:v>1861</x:v>
      </x:c>
      <x:c r="G146" s="7" t="s">
        <x:v>51</x:v>
      </x:c>
      <x:c r="H146" s="7" t="s">
        <x:v>53</x:v>
      </x:c>
      <x:c r="I146" s="7" t="s">
        <x:v>53</x:v>
      </x:c>
      <x:c r="J146" s="7" t="s">
        <x:v>53</x:v>
      </x:c>
      <x:c r="K146" s="7" t="s">
        <x:v>53</x:v>
      </x:c>
      <x:c r="L146" s="7" t="s">
        <x:v>53</x:v>
      </x:c>
      <x:c r="M146" s="7" t="s">
        <x:v>53</x:v>
      </x:c>
      <x:c r="N146" s="7" t="s">
        <x:v>1862</x:v>
      </x:c>
      <x:c r="O146" s="7" t="s">
        <x:v>53</x:v>
      </x:c>
      <x:c r="P146" s="7" t="s">
        <x:v>1846</x:v>
      </x:c>
      <x:c r="Q146" s="7" t="s">
        <x:v>53</x:v>
      </x:c>
      <x:c r="R146" s="7" t="s">
        <x:v>53</x:v>
      </x:c>
      <x:c r="S146" s="7" t="s">
        <x:v>1488</x:v>
      </x:c>
      <x:c r="T146" s="7" t="s">
        <x:v>1488</x:v>
      </x:c>
      <x:c r="U146" s="7" t="s">
        <x:v>1489</x:v>
      </x:c>
      <x:c r="V146" s="7" t="s">
        <x:v>1489</x:v>
      </x:c>
      <x:c r="W146" s="7" t="s">
        <x:v>53</x:v>
      </x:c>
      <x:c r="X146" s="7" t="s">
        <x:v>1490</x:v>
      </x:c>
      <x:c r="Y146" s="7" t="s">
        <x:v>53</x:v>
      </x:c>
      <x:c r="Z146" s="7" t="s">
        <x:v>53</x:v>
      </x:c>
      <x:c r="AA146" s="7" t="s">
        <x:v>53</x:v>
      </x:c>
      <x:c r="AB146" s="7" t="s">
        <x:v>53</x:v>
      </x:c>
      <x:c r="AC146" s="7" t="s">
        <x:v>53</x:v>
      </x:c>
      <x:c r="AD146" s="7" t="s">
        <x:v>53</x:v>
      </x:c>
      <x:c r="AE146" s="7" t="s">
        <x:v>1846</x:v>
      </x:c>
      <x:c r="AF146" s="7" t="s">
        <x:v>53</x:v>
      </x:c>
      <x:c r="AG146" s="7" t="s">
        <x:v>53</x:v>
      </x:c>
      <x:c r="AH146" s="7" t="s">
        <x:v>53</x:v>
      </x:c>
      <x:c r="AI146" s="7" t="s">
        <x:v>53</x:v>
      </x:c>
      <x:c r="AJ146" s="7" t="s">
        <x:v>1863</x:v>
      </x:c>
      <x:c r="AK146" s="7" t="s">
        <x:v>1491</x:v>
      </x:c>
      <x:c r="AL146" s="7" t="s">
        <x:v>1848</x:v>
      </x:c>
    </x:row>
    <x:row r="147" ht="79.5" hidden="0" customHeight="1">
      <x:c r="A147" s="7" t="s">
        <x:v>700</x:v>
      </x:c>
      <x:c r="B147" s="7" t="s">
        <x:v>697</x:v>
      </x:c>
      <x:c r="C147" s="7" t="s">
        <x:v>699</x:v>
      </x:c>
      <x:c r="D147" s="7" t="s">
        <x:v>1844</x:v>
      </x:c>
      <x:c r="E147" s="7" t="s">
        <x:v>630</x:v>
      </x:c>
      <x:c r="F147" s="7" t="s">
        <x:v>631</x:v>
      </x:c>
      <x:c r="G147" s="7" t="s">
        <x:v>374</x:v>
      </x:c>
      <x:c r="H147" s="7" t="s">
        <x:v>53</x:v>
      </x:c>
      <x:c r="I147" s="7" t="s">
        <x:v>53</x:v>
      </x:c>
      <x:c r="J147" s="7" t="s">
        <x:v>53</x:v>
      </x:c>
      <x:c r="K147" s="7" t="s">
        <x:v>53</x:v>
      </x:c>
      <x:c r="L147" s="7" t="s">
        <x:v>53</x:v>
      </x:c>
      <x:c r="M147" s="7" t="s">
        <x:v>53</x:v>
      </x:c>
      <x:c r="N147" s="7" t="s">
        <x:v>1862</x:v>
      </x:c>
      <x:c r="O147" s="7" t="s">
        <x:v>53</x:v>
      </x:c>
      <x:c r="P147" s="7" t="s">
        <x:v>1864</x:v>
      </x:c>
      <x:c r="Q147" s="7" t="s">
        <x:v>53</x:v>
      </x:c>
      <x:c r="R147" s="7" t="s">
        <x:v>1545</x:v>
      </x:c>
      <x:c r="S147" s="7" t="s">
        <x:v>1488</x:v>
      </x:c>
      <x:c r="T147" s="7" t="s">
        <x:v>1488</x:v>
      </x:c>
      <x:c r="U147" s="7" t="s">
        <x:v>1489</x:v>
      </x:c>
      <x:c r="V147" s="7" t="s">
        <x:v>1489</x:v>
      </x:c>
      <x:c r="W147" s="7" t="s">
        <x:v>53</x:v>
      </x:c>
      <x:c r="X147" s="7" t="s">
        <x:v>1490</x:v>
      </x:c>
      <x:c r="Y147" s="7" t="s">
        <x:v>53</x:v>
      </x:c>
      <x:c r="Z147" s="7" t="s">
        <x:v>53</x:v>
      </x:c>
      <x:c r="AA147" s="7" t="s">
        <x:v>53</x:v>
      </x:c>
      <x:c r="AB147" s="7" t="s">
        <x:v>53</x:v>
      </x:c>
      <x:c r="AC147" s="7" t="s">
        <x:v>53</x:v>
      </x:c>
      <x:c r="AD147" s="7" t="s">
        <x:v>53</x:v>
      </x:c>
      <x:c r="AE147" s="7" t="s">
        <x:v>1853</x:v>
      </x:c>
      <x:c r="AF147" s="7" t="s">
        <x:v>53</x:v>
      </x:c>
      <x:c r="AG147" s="7" t="s">
        <x:v>53</x:v>
      </x:c>
      <x:c r="AH147" s="7" t="s">
        <x:v>53</x:v>
      </x:c>
      <x:c r="AI147" s="7" t="s">
        <x:v>53</x:v>
      </x:c>
      <x:c r="AJ147" s="7" t="s">
        <x:v>1865</x:v>
      </x:c>
      <x:c r="AK147" s="7" t="s">
        <x:v>1491</x:v>
      </x:c>
      <x:c r="AL147" s="7" t="s">
        <x:v>1848</x:v>
      </x:c>
    </x:row>
    <x:row r="148" ht="51.75" hidden="0" customHeight="1">
      <x:c r="A148" s="7" t="s">
        <x:v>808</x:v>
      </x:c>
      <x:c r="B148" s="7" t="s">
        <x:v>802</x:v>
      </x:c>
      <x:c r="C148" s="7" t="s">
        <x:v>804</x:v>
      </x:c>
      <x:c r="D148" s="7" t="s">
        <x:v>1844</x:v>
      </x:c>
      <x:c r="E148" s="7" t="s">
        <x:v>805</x:v>
      </x:c>
      <x:c r="F148" s="7" t="s">
        <x:v>806</x:v>
      </x:c>
      <x:c r="G148" s="7" t="s">
        <x:v>807</x:v>
      </x:c>
      <x:c r="H148" s="7" t="s">
        <x:v>53</x:v>
      </x:c>
      <x:c r="I148" s="7" t="s">
        <x:v>53</x:v>
      </x:c>
      <x:c r="J148" s="7" t="s">
        <x:v>53</x:v>
      </x:c>
      <x:c r="K148" s="7" t="s">
        <x:v>53</x:v>
      </x:c>
      <x:c r="L148" s="7" t="s">
        <x:v>53</x:v>
      </x:c>
      <x:c r="M148" s="7" t="s">
        <x:v>53</x:v>
      </x:c>
      <x:c r="N148" s="7" t="s">
        <x:v>1869</x:v>
      </x:c>
      <x:c r="O148" s="7" t="s">
        <x:v>53</x:v>
      </x:c>
      <x:c r="P148" s="7" t="s">
        <x:v>1846</x:v>
      </x:c>
      <x:c r="Q148" s="7" t="s">
        <x:v>53</x:v>
      </x:c>
      <x:c r="R148" s="7" t="s">
        <x:v>53</x:v>
      </x:c>
      <x:c r="S148" s="7" t="s">
        <x:v>1488</x:v>
      </x:c>
      <x:c r="T148" s="7" t="s">
        <x:v>1488</x:v>
      </x:c>
      <x:c r="U148" s="7" t="s">
        <x:v>1489</x:v>
      </x:c>
      <x:c r="V148" s="7" t="s">
        <x:v>1489</x:v>
      </x:c>
      <x:c r="W148" s="7" t="s">
        <x:v>53</x:v>
      </x:c>
      <x:c r="X148" s="7" t="s">
        <x:v>1490</x:v>
      </x:c>
      <x:c r="Y148" s="7" t="s">
        <x:v>53</x:v>
      </x:c>
      <x:c r="Z148" s="7" t="s">
        <x:v>53</x:v>
      </x:c>
      <x:c r="AA148" s="7" t="s">
        <x:v>53</x:v>
      </x:c>
      <x:c r="AB148" s="7" t="s">
        <x:v>53</x:v>
      </x:c>
      <x:c r="AC148" s="7" t="s">
        <x:v>53</x:v>
      </x:c>
      <x:c r="AD148" s="7" t="s">
        <x:v>53</x:v>
      </x:c>
      <x:c r="AE148" s="7" t="s">
        <x:v>1846</x:v>
      </x:c>
      <x:c r="AF148" s="7" t="s">
        <x:v>53</x:v>
      </x:c>
      <x:c r="AG148" s="7" t="s">
        <x:v>53</x:v>
      </x:c>
      <x:c r="AH148" s="7" t="s">
        <x:v>53</x:v>
      </x:c>
      <x:c r="AI148" s="7" t="s">
        <x:v>53</x:v>
      </x:c>
      <x:c r="AJ148" s="7" t="s">
        <x:v>1870</x:v>
      </x:c>
      <x:c r="AK148" s="7" t="s">
        <x:v>1491</x:v>
      </x:c>
      <x:c r="AL148" s="7" t="s">
        <x:v>1848</x:v>
      </x:c>
    </x:row>
    <x:row r="149" ht="51.75" hidden="0" customHeight="1">
      <x:c r="A149" s="7" t="s">
        <x:v>889</x:v>
      </x:c>
      <x:c r="B149" s="7" t="s">
        <x:v>884</x:v>
      </x:c>
      <x:c r="C149" s="7" t="s">
        <x:v>887</x:v>
      </x:c>
      <x:c r="D149" s="7" t="s">
        <x:v>1844</x:v>
      </x:c>
      <x:c r="E149" s="7" t="s">
        <x:v>888</x:v>
      </x:c>
      <x:c r="F149" s="7" t="s">
        <x:v>373</x:v>
      </x:c>
      <x:c r="G149" s="7" t="s">
        <x:v>51</x:v>
      </x:c>
      <x:c r="H149" s="7" t="s">
        <x:v>53</x:v>
      </x:c>
      <x:c r="I149" s="7" t="s">
        <x:v>53</x:v>
      </x:c>
      <x:c r="J149" s="7" t="s">
        <x:v>53</x:v>
      </x:c>
      <x:c r="K149" s="7" t="s">
        <x:v>53</x:v>
      </x:c>
      <x:c r="L149" s="7" t="s">
        <x:v>53</x:v>
      </x:c>
      <x:c r="M149" s="7" t="s">
        <x:v>53</x:v>
      </x:c>
      <x:c r="N149" s="7" t="s">
        <x:v>1871</x:v>
      </x:c>
      <x:c r="O149" s="7" t="s">
        <x:v>53</x:v>
      </x:c>
      <x:c r="P149" s="7" t="s">
        <x:v>53</x:v>
      </x:c>
      <x:c r="Q149" s="7" t="s">
        <x:v>53</x:v>
      </x:c>
      <x:c r="R149" s="7" t="s">
        <x:v>53</x:v>
      </x:c>
      <x:c r="S149" s="7" t="s">
        <x:v>1488</x:v>
      </x:c>
      <x:c r="T149" s="7" t="s">
        <x:v>1488</x:v>
      </x:c>
      <x:c r="U149" s="7" t="s">
        <x:v>1489</x:v>
      </x:c>
      <x:c r="V149" s="7" t="s">
        <x:v>1489</x:v>
      </x:c>
      <x:c r="W149" s="7" t="s">
        <x:v>53</x:v>
      </x:c>
      <x:c r="X149" s="7" t="s">
        <x:v>1490</x:v>
      </x:c>
      <x:c r="Y149" s="7" t="s">
        <x:v>53</x:v>
      </x:c>
      <x:c r="Z149" s="7" t="s">
        <x:v>53</x:v>
      </x:c>
      <x:c r="AA149" s="7" t="s">
        <x:v>53</x:v>
      </x:c>
      <x:c r="AB149" s="7" t="s">
        <x:v>53</x:v>
      </x:c>
      <x:c r="AC149" s="7" t="s">
        <x:v>53</x:v>
      </x:c>
      <x:c r="AD149" s="7" t="s">
        <x:v>53</x:v>
      </x:c>
      <x:c r="AE149" s="7" t="s">
        <x:v>1846</x:v>
      </x:c>
      <x:c r="AF149" s="7" t="s">
        <x:v>53</x:v>
      </x:c>
      <x:c r="AG149" s="7" t="s">
        <x:v>53</x:v>
      </x:c>
      <x:c r="AH149" s="7" t="s">
        <x:v>53</x:v>
      </x:c>
      <x:c r="AI149" s="7" t="s">
        <x:v>53</x:v>
      </x:c>
      <x:c r="AJ149" s="7" t="s">
        <x:v>1872</x:v>
      </x:c>
      <x:c r="AK149" s="7" t="s">
        <x:v>1491</x:v>
      </x:c>
      <x:c r="AL149" s="7" t="s">
        <x:v>1848</x:v>
      </x:c>
    </x:row>
    <x:row r="150" ht="79.5" hidden="0" customHeight="1">
      <x:c r="A150" s="7" t="s">
        <x:v>916</x:v>
      </x:c>
      <x:c r="B150" s="7" t="s">
        <x:v>910</x:v>
      </x:c>
      <x:c r="C150" s="7" t="s">
        <x:v>912</x:v>
      </x:c>
      <x:c r="D150" s="7" t="s">
        <x:v>1844</x:v>
      </x:c>
      <x:c r="E150" s="7" t="s">
        <x:v>913</x:v>
      </x:c>
      <x:c r="F150" s="7" t="s">
        <x:v>914</x:v>
      </x:c>
      <x:c r="G150" s="7" t="s">
        <x:v>915</x:v>
      </x:c>
      <x:c r="H150" s="7" t="s">
        <x:v>53</x:v>
      </x:c>
      <x:c r="I150" s="7" t="s">
        <x:v>53</x:v>
      </x:c>
      <x:c r="J150" s="7" t="s">
        <x:v>53</x:v>
      </x:c>
      <x:c r="K150" s="7" t="s">
        <x:v>53</x:v>
      </x:c>
      <x:c r="L150" s="7" t="s">
        <x:v>53</x:v>
      </x:c>
      <x:c r="M150" s="7" t="s">
        <x:v>53</x:v>
      </x:c>
      <x:c r="N150" s="7" t="s">
        <x:v>1849</x:v>
      </x:c>
      <x:c r="O150" s="7" t="s">
        <x:v>53</x:v>
      </x:c>
      <x:c r="P150" s="7" t="s">
        <x:v>1852</x:v>
      </x:c>
      <x:c r="Q150" s="7" t="s">
        <x:v>53</x:v>
      </x:c>
      <x:c r="R150" s="7" t="s">
        <x:v>1545</x:v>
      </x:c>
      <x:c r="S150" s="7" t="s">
        <x:v>1488</x:v>
      </x:c>
      <x:c r="T150" s="7" t="s">
        <x:v>1488</x:v>
      </x:c>
      <x:c r="U150" s="7" t="s">
        <x:v>1489</x:v>
      </x:c>
      <x:c r="V150" s="7" t="s">
        <x:v>1489</x:v>
      </x:c>
      <x:c r="W150" s="7" t="s">
        <x:v>53</x:v>
      </x:c>
      <x:c r="X150" s="7" t="s">
        <x:v>1490</x:v>
      </x:c>
      <x:c r="Y150" s="7" t="s">
        <x:v>53</x:v>
      </x:c>
      <x:c r="Z150" s="7" t="s">
        <x:v>53</x:v>
      </x:c>
      <x:c r="AA150" s="7" t="s">
        <x:v>53</x:v>
      </x:c>
      <x:c r="AB150" s="7" t="s">
        <x:v>53</x:v>
      </x:c>
      <x:c r="AC150" s="7" t="s">
        <x:v>53</x:v>
      </x:c>
      <x:c r="AD150" s="7" t="s">
        <x:v>53</x:v>
      </x:c>
      <x:c r="AE150" s="7" t="s">
        <x:v>1853</x:v>
      </x:c>
      <x:c r="AF150" s="7" t="s">
        <x:v>53</x:v>
      </x:c>
      <x:c r="AG150" s="7" t="s">
        <x:v>53</x:v>
      </x:c>
      <x:c r="AH150" s="7" t="s">
        <x:v>53</x:v>
      </x:c>
      <x:c r="AI150" s="7" t="s">
        <x:v>53</x:v>
      </x:c>
      <x:c r="AJ150" s="7" t="s">
        <x:v>1873</x:v>
      </x:c>
      <x:c r="AK150" s="7" t="s">
        <x:v>1491</x:v>
      </x:c>
      <x:c r="AL150" s="7" t="s">
        <x:v>1848</x:v>
      </x:c>
    </x:row>
    <x:row r="151" ht="51.75" hidden="0" customHeight="1">
      <x:c r="A151" s="7" t="s">
        <x:v>963</x:v>
      </x:c>
      <x:c r="B151" s="7" t="s">
        <x:v>957</x:v>
      </x:c>
      <x:c r="C151" s="7" t="s">
        <x:v>960</x:v>
      </x:c>
      <x:c r="D151" s="7" t="s">
        <x:v>1844</x:v>
      </x:c>
      <x:c r="E151" s="7" t="s">
        <x:v>961</x:v>
      </x:c>
      <x:c r="F151" s="7" t="s">
        <x:v>962</x:v>
      </x:c>
      <x:c r="G151" s="7" t="s">
        <x:v>51</x:v>
      </x:c>
      <x:c r="H151" s="7" t="s">
        <x:v>53</x:v>
      </x:c>
      <x:c r="I151" s="7" t="s">
        <x:v>53</x:v>
      </x:c>
      <x:c r="J151" s="7" t="s">
        <x:v>53</x:v>
      </x:c>
      <x:c r="K151" s="7" t="s">
        <x:v>53</x:v>
      </x:c>
      <x:c r="L151" s="7" t="s">
        <x:v>53</x:v>
      </x:c>
      <x:c r="M151" s="7" t="s">
        <x:v>53</x:v>
      </x:c>
      <x:c r="N151" s="7" t="s">
        <x:v>1849</x:v>
      </x:c>
      <x:c r="O151" s="7" t="s">
        <x:v>53</x:v>
      </x:c>
      <x:c r="P151" s="7" t="s">
        <x:v>1846</x:v>
      </x:c>
      <x:c r="Q151" s="7" t="s">
        <x:v>53</x:v>
      </x:c>
      <x:c r="R151" s="7" t="s">
        <x:v>53</x:v>
      </x:c>
      <x:c r="S151" s="7" t="s">
        <x:v>1488</x:v>
      </x:c>
      <x:c r="T151" s="7" t="s">
        <x:v>1488</x:v>
      </x:c>
      <x:c r="U151" s="7" t="s">
        <x:v>1489</x:v>
      </x:c>
      <x:c r="V151" s="7" t="s">
        <x:v>1489</x:v>
      </x:c>
      <x:c r="W151" s="7" t="s">
        <x:v>53</x:v>
      </x:c>
      <x:c r="X151" s="7" t="s">
        <x:v>1490</x:v>
      </x:c>
      <x:c r="Y151" s="7" t="s">
        <x:v>53</x:v>
      </x:c>
      <x:c r="Z151" s="7" t="s">
        <x:v>53</x:v>
      </x:c>
      <x:c r="AA151" s="7" t="s">
        <x:v>53</x:v>
      </x:c>
      <x:c r="AB151" s="7" t="s">
        <x:v>53</x:v>
      </x:c>
      <x:c r="AC151" s="7" t="s">
        <x:v>53</x:v>
      </x:c>
      <x:c r="AD151" s="7" t="s">
        <x:v>53</x:v>
      </x:c>
      <x:c r="AE151" s="7" t="s">
        <x:v>1846</x:v>
      </x:c>
      <x:c r="AF151" s="7" t="s">
        <x:v>53</x:v>
      </x:c>
      <x:c r="AG151" s="7" t="s">
        <x:v>53</x:v>
      </x:c>
      <x:c r="AH151" s="7" t="s">
        <x:v>53</x:v>
      </x:c>
      <x:c r="AI151" s="7" t="s">
        <x:v>53</x:v>
      </x:c>
      <x:c r="AJ151" s="7" t="s">
        <x:v>1874</x:v>
      </x:c>
      <x:c r="AK151" s="7" t="s">
        <x:v>1491</x:v>
      </x:c>
      <x:c r="AL151" s="7" t="s">
        <x:v>1848</x:v>
      </x:c>
    </x:row>
    <x:row r="152" ht="51.75" hidden="0" customHeight="1">
      <x:c r="A152" s="7" t="s">
        <x:v>1024</x:v>
      </x:c>
      <x:c r="B152" s="7" t="s">
        <x:v>1020</x:v>
      </x:c>
      <x:c r="C152" s="7" t="s">
        <x:v>1023</x:v>
      </x:c>
      <x:c r="D152" s="7" t="s">
        <x:v>1844</x:v>
      </x:c>
      <x:c r="E152" s="7" t="s">
        <x:v>466</x:v>
      </x:c>
      <x:c r="F152" s="7" t="s">
        <x:v>467</x:v>
      </x:c>
      <x:c r="G152" s="7" t="s">
        <x:v>51</x:v>
      </x:c>
      <x:c r="H152" s="7" t="s">
        <x:v>53</x:v>
      </x:c>
      <x:c r="I152" s="7" t="s">
        <x:v>53</x:v>
      </x:c>
      <x:c r="J152" s="7" t="s">
        <x:v>53</x:v>
      </x:c>
      <x:c r="K152" s="7" t="s">
        <x:v>53</x:v>
      </x:c>
      <x:c r="L152" s="7" t="s">
        <x:v>53</x:v>
      </x:c>
      <x:c r="M152" s="7" t="s">
        <x:v>53</x:v>
      </x:c>
      <x:c r="N152" s="7" t="s">
        <x:v>1875</x:v>
      </x:c>
      <x:c r="O152" s="7" t="s">
        <x:v>53</x:v>
      </x:c>
      <x:c r="P152" s="7" t="s">
        <x:v>1846</x:v>
      </x:c>
      <x:c r="Q152" s="7" t="s">
        <x:v>53</x:v>
      </x:c>
      <x:c r="R152" s="7" t="s">
        <x:v>53</x:v>
      </x:c>
      <x:c r="S152" s="7" t="s">
        <x:v>1488</x:v>
      </x:c>
      <x:c r="T152" s="7" t="s">
        <x:v>1488</x:v>
      </x:c>
      <x:c r="U152" s="7" t="s">
        <x:v>1489</x:v>
      </x:c>
      <x:c r="V152" s="7" t="s">
        <x:v>1489</x:v>
      </x:c>
      <x:c r="W152" s="7" t="s">
        <x:v>53</x:v>
      </x:c>
      <x:c r="X152" s="7" t="s">
        <x:v>1490</x:v>
      </x:c>
      <x:c r="Y152" s="7" t="s">
        <x:v>53</x:v>
      </x:c>
      <x:c r="Z152" s="7" t="s">
        <x:v>53</x:v>
      </x:c>
      <x:c r="AA152" s="7" t="s">
        <x:v>53</x:v>
      </x:c>
      <x:c r="AB152" s="7" t="s">
        <x:v>53</x:v>
      </x:c>
      <x:c r="AC152" s="7" t="s">
        <x:v>53</x:v>
      </x:c>
      <x:c r="AD152" s="7" t="s">
        <x:v>53</x:v>
      </x:c>
      <x:c r="AE152" s="7" t="s">
        <x:v>1846</x:v>
      </x:c>
      <x:c r="AF152" s="7" t="s">
        <x:v>53</x:v>
      </x:c>
      <x:c r="AG152" s="7" t="s">
        <x:v>53</x:v>
      </x:c>
      <x:c r="AH152" s="7" t="s">
        <x:v>53</x:v>
      </x:c>
      <x:c r="AI152" s="7" t="s">
        <x:v>53</x:v>
      </x:c>
      <x:c r="AJ152" s="7" t="s">
        <x:v>1876</x:v>
      </x:c>
      <x:c r="AK152" s="7" t="s">
        <x:v>1491</x:v>
      </x:c>
      <x:c r="AL152" s="7" t="s">
        <x:v>1848</x:v>
      </x:c>
    </x:row>
    <x:row r="153" ht="51.75" hidden="0" customHeight="1">
      <x:c r="A153" s="7" t="s">
        <x:v>1047</x:v>
      </x:c>
      <x:c r="B153" s="7" t="s">
        <x:v>1042</x:v>
      </x:c>
      <x:c r="C153" s="7" t="s">
        <x:v>1045</x:v>
      </x:c>
      <x:c r="D153" s="7" t="s">
        <x:v>1844</x:v>
      </x:c>
      <x:c r="E153" s="7" t="s">
        <x:v>1046</x:v>
      </x:c>
      <x:c r="F153" s="7" t="s">
        <x:v>631</x:v>
      </x:c>
      <x:c r="G153" s="7" t="s">
        <x:v>374</x:v>
      </x:c>
      <x:c r="H153" s="7" t="s">
        <x:v>53</x:v>
      </x:c>
      <x:c r="I153" s="7" t="s">
        <x:v>53</x:v>
      </x:c>
      <x:c r="J153" s="7" t="s">
        <x:v>53</x:v>
      </x:c>
      <x:c r="K153" s="7" t="s">
        <x:v>53</x:v>
      </x:c>
      <x:c r="L153" s="7" t="s">
        <x:v>53</x:v>
      </x:c>
      <x:c r="M153" s="7" t="s">
        <x:v>53</x:v>
      </x:c>
      <x:c r="N153" s="7" t="s">
        <x:v>51</x:v>
      </x:c>
      <x:c r="O153" s="7" t="s">
        <x:v>53</x:v>
      </x:c>
      <x:c r="P153" s="7" t="s">
        <x:v>1846</x:v>
      </x:c>
      <x:c r="Q153" s="7" t="s">
        <x:v>53</x:v>
      </x:c>
      <x:c r="R153" s="7" t="s">
        <x:v>53</x:v>
      </x:c>
      <x:c r="S153" s="7" t="s">
        <x:v>1488</x:v>
      </x:c>
      <x:c r="T153" s="7" t="s">
        <x:v>1488</x:v>
      </x:c>
      <x:c r="U153" s="7" t="s">
        <x:v>1489</x:v>
      </x:c>
      <x:c r="V153" s="7" t="s">
        <x:v>1489</x:v>
      </x:c>
      <x:c r="W153" s="7" t="s">
        <x:v>53</x:v>
      </x:c>
      <x:c r="X153" s="7" t="s">
        <x:v>1490</x:v>
      </x:c>
      <x:c r="Y153" s="7" t="s">
        <x:v>53</x:v>
      </x:c>
      <x:c r="Z153" s="7" t="s">
        <x:v>53</x:v>
      </x:c>
      <x:c r="AA153" s="7" t="s">
        <x:v>53</x:v>
      </x:c>
      <x:c r="AB153" s="7" t="s">
        <x:v>53</x:v>
      </x:c>
      <x:c r="AC153" s="7" t="s">
        <x:v>53</x:v>
      </x:c>
      <x:c r="AD153" s="7" t="s">
        <x:v>53</x:v>
      </x:c>
      <x:c r="AE153" s="7" t="s">
        <x:v>1846</x:v>
      </x:c>
      <x:c r="AF153" s="7" t="s">
        <x:v>53</x:v>
      </x:c>
      <x:c r="AG153" s="7" t="s">
        <x:v>53</x:v>
      </x:c>
      <x:c r="AH153" s="7" t="s">
        <x:v>53</x:v>
      </x:c>
      <x:c r="AI153" s="7" t="s">
        <x:v>53</x:v>
      </x:c>
      <x:c r="AJ153" s="7" t="s">
        <x:v>1877</x:v>
      </x:c>
      <x:c r="AK153" s="7" t="s">
        <x:v>1491</x:v>
      </x:c>
      <x:c r="AL153" s="7" t="s">
        <x:v>1848</x:v>
      </x:c>
    </x:row>
    <x:row r="154" ht="51.75" hidden="0" customHeight="1">
      <x:c r="A154" s="7" t="s">
        <x:v>1059</x:v>
      </x:c>
      <x:c r="B154" s="7" t="s">
        <x:v>1051</x:v>
      </x:c>
      <x:c r="C154" s="7" t="s">
        <x:v>1055</x:v>
      </x:c>
      <x:c r="D154" s="7" t="s">
        <x:v>1844</x:v>
      </x:c>
      <x:c r="E154" s="7" t="s">
        <x:v>1056</x:v>
      </x:c>
      <x:c r="F154" s="7" t="s">
        <x:v>1057</x:v>
      </x:c>
      <x:c r="G154" s="7" t="s">
        <x:v>1058</x:v>
      </x:c>
      <x:c r="H154" s="7" t="s">
        <x:v>53</x:v>
      </x:c>
      <x:c r="I154" s="7" t="s">
        <x:v>53</x:v>
      </x:c>
      <x:c r="J154" s="7" t="s">
        <x:v>53</x:v>
      </x:c>
      <x:c r="K154" s="7" t="s">
        <x:v>53</x:v>
      </x:c>
      <x:c r="L154" s="7" t="s">
        <x:v>53</x:v>
      </x:c>
      <x:c r="M154" s="7" t="s">
        <x:v>53</x:v>
      </x:c>
      <x:c r="N154" s="7" t="s">
        <x:v>1857</x:v>
      </x:c>
      <x:c r="O154" s="7" t="s">
        <x:v>53</x:v>
      </x:c>
      <x:c r="P154" s="7" t="s">
        <x:v>1846</x:v>
      </x:c>
      <x:c r="Q154" s="7" t="s">
        <x:v>53</x:v>
      </x:c>
      <x:c r="R154" s="7" t="s">
        <x:v>53</x:v>
      </x:c>
      <x:c r="S154" s="7" t="s">
        <x:v>1054</x:v>
      </x:c>
      <x:c r="T154" s="7" t="s">
        <x:v>1054</x:v>
      </x:c>
      <x:c r="U154" s="7" t="s">
        <x:v>1823</x:v>
      </x:c>
      <x:c r="V154" s="7" t="s">
        <x:v>1823</x:v>
      </x:c>
      <x:c r="W154" s="7" t="s">
        <x:v>53</x:v>
      </x:c>
      <x:c r="X154" s="7" t="s">
        <x:v>1490</x:v>
      </x:c>
      <x:c r="Y154" s="7" t="s">
        <x:v>53</x:v>
      </x:c>
      <x:c r="Z154" s="7" t="s">
        <x:v>53</x:v>
      </x:c>
      <x:c r="AA154" s="7" t="s">
        <x:v>53</x:v>
      </x:c>
      <x:c r="AB154" s="7" t="s">
        <x:v>53</x:v>
      </x:c>
      <x:c r="AC154" s="7" t="s">
        <x:v>53</x:v>
      </x:c>
      <x:c r="AD154" s="7" t="s">
        <x:v>53</x:v>
      </x:c>
      <x:c r="AE154" s="7" t="s">
        <x:v>1846</x:v>
      </x:c>
      <x:c r="AF154" s="7" t="s">
        <x:v>53</x:v>
      </x:c>
      <x:c r="AG154" s="7" t="s">
        <x:v>53</x:v>
      </x:c>
      <x:c r="AH154" s="7" t="s">
        <x:v>53</x:v>
      </x:c>
      <x:c r="AI154" s="7" t="s">
        <x:v>53</x:v>
      </x:c>
      <x:c r="AJ154" s="7" t="s">
        <x:v>1878</x:v>
      </x:c>
      <x:c r="AK154" s="7" t="s">
        <x:v>1491</x:v>
      </x:c>
      <x:c r="AL154" s="7" t="s">
        <x:v>1848</x:v>
      </x:c>
    </x:row>
    <x:row r="155" ht="51.75" hidden="0" customHeight="1">
      <x:c r="A155" s="7" t="s">
        <x:v>1074</x:v>
      </x:c>
      <x:c r="B155" s="7" t="s">
        <x:v>1068</x:v>
      </x:c>
      <x:c r="C155" s="7" t="s">
        <x:v>1070</x:v>
      </x:c>
      <x:c r="D155" s="7" t="s">
        <x:v>1844</x:v>
      </x:c>
      <x:c r="E155" s="7" t="s">
        <x:v>1071</x:v>
      </x:c>
      <x:c r="F155" s="7" t="s">
        <x:v>1072</x:v>
      </x:c>
      <x:c r="G155" s="7" t="s">
        <x:v>1073</x:v>
      </x:c>
      <x:c r="H155" s="7" t="s">
        <x:v>53</x:v>
      </x:c>
      <x:c r="I155" s="7" t="s">
        <x:v>53</x:v>
      </x:c>
      <x:c r="J155" s="7" t="s">
        <x:v>53</x:v>
      </x:c>
      <x:c r="K155" s="7" t="s">
        <x:v>53</x:v>
      </x:c>
      <x:c r="L155" s="7" t="s">
        <x:v>53</x:v>
      </x:c>
      <x:c r="M155" s="7" t="s">
        <x:v>53</x:v>
      </x:c>
      <x:c r="N155" s="7" t="s">
        <x:v>1857</x:v>
      </x:c>
      <x:c r="O155" s="7" t="s">
        <x:v>53</x:v>
      </x:c>
      <x:c r="P155" s="7" t="s">
        <x:v>1846</x:v>
      </x:c>
      <x:c r="Q155" s="7" t="s">
        <x:v>53</x:v>
      </x:c>
      <x:c r="R155" s="7" t="s">
        <x:v>53</x:v>
      </x:c>
      <x:c r="S155" s="7" t="s">
        <x:v>1054</x:v>
      </x:c>
      <x:c r="T155" s="7" t="s">
        <x:v>1054</x:v>
      </x:c>
      <x:c r="U155" s="7" t="s">
        <x:v>1823</x:v>
      </x:c>
      <x:c r="V155" s="7" t="s">
        <x:v>1823</x:v>
      </x:c>
      <x:c r="W155" s="7" t="s">
        <x:v>53</x:v>
      </x:c>
      <x:c r="X155" s="7" t="s">
        <x:v>1490</x:v>
      </x:c>
      <x:c r="Y155" s="7" t="s">
        <x:v>53</x:v>
      </x:c>
      <x:c r="Z155" s="7" t="s">
        <x:v>53</x:v>
      </x:c>
      <x:c r="AA155" s="7" t="s">
        <x:v>53</x:v>
      </x:c>
      <x:c r="AB155" s="7" t="s">
        <x:v>53</x:v>
      </x:c>
      <x:c r="AC155" s="7" t="s">
        <x:v>53</x:v>
      </x:c>
      <x:c r="AD155" s="7" t="s">
        <x:v>53</x:v>
      </x:c>
      <x:c r="AE155" s="7" t="s">
        <x:v>1846</x:v>
      </x:c>
      <x:c r="AF155" s="7" t="s">
        <x:v>53</x:v>
      </x:c>
      <x:c r="AG155" s="7" t="s">
        <x:v>53</x:v>
      </x:c>
      <x:c r="AH155" s="7" t="s">
        <x:v>53</x:v>
      </x:c>
      <x:c r="AI155" s="7" t="s">
        <x:v>53</x:v>
      </x:c>
      <x:c r="AJ155" s="7" t="s">
        <x:v>1879</x:v>
      </x:c>
      <x:c r="AK155" s="7" t="s">
        <x:v>1491</x:v>
      </x:c>
      <x:c r="AL155" s="7" t="s">
        <x:v>1848</x:v>
      </x:c>
    </x:row>
    <x:row r="156" ht="51.75" hidden="0" customHeight="1">
      <x:c r="A156" s="7" t="s">
        <x:v>1085</x:v>
      </x:c>
      <x:c r="B156" s="7" t="s">
        <x:v>1080</x:v>
      </x:c>
      <x:c r="C156" s="7" t="s">
        <x:v>1082</x:v>
      </x:c>
      <x:c r="D156" s="7" t="s">
        <x:v>1844</x:v>
      </x:c>
      <x:c r="E156" s="7" t="s">
        <x:v>1083</x:v>
      </x:c>
      <x:c r="F156" s="7" t="s">
        <x:v>1084</x:v>
      </x:c>
      <x:c r="G156" s="7" t="s">
        <x:v>374</x:v>
      </x:c>
      <x:c r="H156" s="7" t="s">
        <x:v>53</x:v>
      </x:c>
      <x:c r="I156" s="7" t="s">
        <x:v>53</x:v>
      </x:c>
      <x:c r="J156" s="7" t="s">
        <x:v>53</x:v>
      </x:c>
      <x:c r="K156" s="7" t="s">
        <x:v>53</x:v>
      </x:c>
      <x:c r="L156" s="7" t="s">
        <x:v>53</x:v>
      </x:c>
      <x:c r="M156" s="7" t="s">
        <x:v>53</x:v>
      </x:c>
      <x:c r="N156" s="7" t="s">
        <x:v>1880</x:v>
      </x:c>
      <x:c r="O156" s="7" t="s">
        <x:v>53</x:v>
      </x:c>
      <x:c r="P156" s="7" t="s">
        <x:v>1846</x:v>
      </x:c>
      <x:c r="Q156" s="7" t="s">
        <x:v>53</x:v>
      </x:c>
      <x:c r="R156" s="7" t="s">
        <x:v>53</x:v>
      </x:c>
      <x:c r="S156" s="7" t="s">
        <x:v>1054</x:v>
      </x:c>
      <x:c r="T156" s="7" t="s">
        <x:v>1054</x:v>
      </x:c>
      <x:c r="U156" s="7" t="s">
        <x:v>1823</x:v>
      </x:c>
      <x:c r="V156" s="7" t="s">
        <x:v>1823</x:v>
      </x:c>
      <x:c r="W156" s="7" t="s">
        <x:v>53</x:v>
      </x:c>
      <x:c r="X156" s="7" t="s">
        <x:v>1490</x:v>
      </x:c>
      <x:c r="Y156" s="7" t="s">
        <x:v>53</x:v>
      </x:c>
      <x:c r="Z156" s="7" t="s">
        <x:v>53</x:v>
      </x:c>
      <x:c r="AA156" s="7" t="s">
        <x:v>53</x:v>
      </x:c>
      <x:c r="AB156" s="7" t="s">
        <x:v>53</x:v>
      </x:c>
      <x:c r="AC156" s="7" t="s">
        <x:v>53</x:v>
      </x:c>
      <x:c r="AD156" s="7" t="s">
        <x:v>53</x:v>
      </x:c>
      <x:c r="AE156" s="7" t="s">
        <x:v>1846</x:v>
      </x:c>
      <x:c r="AF156" s="7" t="s">
        <x:v>53</x:v>
      </x:c>
      <x:c r="AG156" s="7" t="s">
        <x:v>53</x:v>
      </x:c>
      <x:c r="AH156" s="7" t="s">
        <x:v>53</x:v>
      </x:c>
      <x:c r="AI156" s="7" t="s">
        <x:v>53</x:v>
      </x:c>
      <x:c r="AJ156" s="7" t="s">
        <x:v>1881</x:v>
      </x:c>
      <x:c r="AK156" s="7" t="s">
        <x:v>1491</x:v>
      </x:c>
      <x:c r="AL156" s="7" t="s">
        <x:v>1848</x:v>
      </x:c>
    </x:row>
    <x:row r="157" ht="51.75" hidden="0" customHeight="1">
      <x:c r="A157" s="7" t="s">
        <x:v>1098</x:v>
      </x:c>
      <x:c r="B157" s="7" t="s">
        <x:v>1093</x:v>
      </x:c>
      <x:c r="C157" s="7" t="s">
        <x:v>1095</x:v>
      </x:c>
      <x:c r="D157" s="7" t="s">
        <x:v>1844</x:v>
      </x:c>
      <x:c r="E157" s="7" t="s">
        <x:v>1096</x:v>
      </x:c>
      <x:c r="F157" s="7" t="s">
        <x:v>1097</x:v>
      </x:c>
      <x:c r="G157" s="7" t="s">
        <x:v>374</x:v>
      </x:c>
      <x:c r="H157" s="7" t="s">
        <x:v>53</x:v>
      </x:c>
      <x:c r="I157" s="7" t="s">
        <x:v>53</x:v>
      </x:c>
      <x:c r="J157" s="7" t="s">
        <x:v>53</x:v>
      </x:c>
      <x:c r="K157" s="7" t="s">
        <x:v>53</x:v>
      </x:c>
      <x:c r="L157" s="7" t="s">
        <x:v>53</x:v>
      </x:c>
      <x:c r="M157" s="7" t="s">
        <x:v>53</x:v>
      </x:c>
      <x:c r="N157" s="7" t="s">
        <x:v>1857</x:v>
      </x:c>
      <x:c r="O157" s="7" t="s">
        <x:v>53</x:v>
      </x:c>
      <x:c r="P157" s="7" t="s">
        <x:v>1846</x:v>
      </x:c>
      <x:c r="Q157" s="7" t="s">
        <x:v>53</x:v>
      </x:c>
      <x:c r="R157" s="7" t="s">
        <x:v>53</x:v>
      </x:c>
      <x:c r="S157" s="7" t="s">
        <x:v>1054</x:v>
      </x:c>
      <x:c r="T157" s="7" t="s">
        <x:v>1054</x:v>
      </x:c>
      <x:c r="U157" s="7" t="s">
        <x:v>1823</x:v>
      </x:c>
      <x:c r="V157" s="7" t="s">
        <x:v>1823</x:v>
      </x:c>
      <x:c r="W157" s="7" t="s">
        <x:v>53</x:v>
      </x:c>
      <x:c r="X157" s="7" t="s">
        <x:v>1490</x:v>
      </x:c>
      <x:c r="Y157" s="7" t="s">
        <x:v>53</x:v>
      </x:c>
      <x:c r="Z157" s="7" t="s">
        <x:v>53</x:v>
      </x:c>
      <x:c r="AA157" s="7" t="s">
        <x:v>53</x:v>
      </x:c>
      <x:c r="AB157" s="7" t="s">
        <x:v>53</x:v>
      </x:c>
      <x:c r="AC157" s="7" t="s">
        <x:v>53</x:v>
      </x:c>
      <x:c r="AD157" s="7" t="s">
        <x:v>53</x:v>
      </x:c>
      <x:c r="AE157" s="7" t="s">
        <x:v>1846</x:v>
      </x:c>
      <x:c r="AF157" s="7" t="s">
        <x:v>53</x:v>
      </x:c>
      <x:c r="AG157" s="7" t="s">
        <x:v>53</x:v>
      </x:c>
      <x:c r="AH157" s="7" t="s">
        <x:v>53</x:v>
      </x:c>
      <x:c r="AI157" s="7" t="s">
        <x:v>53</x:v>
      </x:c>
      <x:c r="AJ157" s="7" t="s">
        <x:v>1882</x:v>
      </x:c>
      <x:c r="AK157" s="7" t="s">
        <x:v>1491</x:v>
      </x:c>
      <x:c r="AL157" s="7" t="s">
        <x:v>1848</x:v>
      </x:c>
    </x:row>
    <x:row r="158" ht="51.75" hidden="0" customHeight="1">
      <x:c r="A158" s="7" t="s">
        <x:v>1108</x:v>
      </x:c>
      <x:c r="B158" s="7" t="s">
        <x:v>1104</x:v>
      </x:c>
      <x:c r="C158" s="7" t="s">
        <x:v>1106</x:v>
      </x:c>
      <x:c r="D158" s="7" t="s">
        <x:v>1844</x:v>
      </x:c>
      <x:c r="E158" s="7" t="s">
        <x:v>1107</x:v>
      </x:c>
      <x:c r="F158" s="7" t="s">
        <x:v>1097</x:v>
      </x:c>
      <x:c r="G158" s="7" t="s">
        <x:v>374</x:v>
      </x:c>
      <x:c r="H158" s="7" t="s">
        <x:v>53</x:v>
      </x:c>
      <x:c r="I158" s="7" t="s">
        <x:v>53</x:v>
      </x:c>
      <x:c r="J158" s="7" t="s">
        <x:v>53</x:v>
      </x:c>
      <x:c r="K158" s="7" t="s">
        <x:v>53</x:v>
      </x:c>
      <x:c r="L158" s="7" t="s">
        <x:v>53</x:v>
      </x:c>
      <x:c r="M158" s="7" t="s">
        <x:v>53</x:v>
      </x:c>
      <x:c r="N158" s="7" t="s">
        <x:v>1857</x:v>
      </x:c>
      <x:c r="O158" s="7" t="s">
        <x:v>53</x:v>
      </x:c>
      <x:c r="P158" s="7" t="s">
        <x:v>1846</x:v>
      </x:c>
      <x:c r="Q158" s="7" t="s">
        <x:v>53</x:v>
      </x:c>
      <x:c r="R158" s="7" t="s">
        <x:v>53</x:v>
      </x:c>
      <x:c r="S158" s="7" t="s">
        <x:v>1054</x:v>
      </x:c>
      <x:c r="T158" s="7" t="s">
        <x:v>1054</x:v>
      </x:c>
      <x:c r="U158" s="7" t="s">
        <x:v>1823</x:v>
      </x:c>
      <x:c r="V158" s="7" t="s">
        <x:v>1823</x:v>
      </x:c>
      <x:c r="W158" s="7" t="s">
        <x:v>53</x:v>
      </x:c>
      <x:c r="X158" s="7" t="s">
        <x:v>1490</x:v>
      </x:c>
      <x:c r="Y158" s="7" t="s">
        <x:v>53</x:v>
      </x:c>
      <x:c r="Z158" s="7" t="s">
        <x:v>53</x:v>
      </x:c>
      <x:c r="AA158" s="7" t="s">
        <x:v>53</x:v>
      </x:c>
      <x:c r="AB158" s="7" t="s">
        <x:v>53</x:v>
      </x:c>
      <x:c r="AC158" s="7" t="s">
        <x:v>53</x:v>
      </x:c>
      <x:c r="AD158" s="7" t="s">
        <x:v>53</x:v>
      </x:c>
      <x:c r="AE158" s="7" t="s">
        <x:v>1846</x:v>
      </x:c>
      <x:c r="AF158" s="7" t="s">
        <x:v>53</x:v>
      </x:c>
      <x:c r="AG158" s="7" t="s">
        <x:v>53</x:v>
      </x:c>
      <x:c r="AH158" s="7" t="s">
        <x:v>53</x:v>
      </x:c>
      <x:c r="AI158" s="7" t="s">
        <x:v>53</x:v>
      </x:c>
      <x:c r="AJ158" s="7" t="s">
        <x:v>1883</x:v>
      </x:c>
      <x:c r="AK158" s="7" t="s">
        <x:v>1491</x:v>
      </x:c>
      <x:c r="AL158" s="7" t="s">
        <x:v>1848</x:v>
      </x:c>
    </x:row>
    <x:row r="159" ht="51.75" hidden="0" customHeight="1">
      <x:c r="A159" s="7" t="s">
        <x:v>1117</x:v>
      </x:c>
      <x:c r="B159" s="7" t="s">
        <x:v>1113</x:v>
      </x:c>
      <x:c r="C159" s="7" t="s">
        <x:v>1115</x:v>
      </x:c>
      <x:c r="D159" s="7" t="s">
        <x:v>1844</x:v>
      </x:c>
      <x:c r="E159" s="7" t="s">
        <x:v>1116</x:v>
      </x:c>
      <x:c r="F159" s="7" t="s">
        <x:v>1097</x:v>
      </x:c>
      <x:c r="G159" s="7" t="s">
        <x:v>374</x:v>
      </x:c>
      <x:c r="H159" s="7" t="s">
        <x:v>53</x:v>
      </x:c>
      <x:c r="I159" s="7" t="s">
        <x:v>53</x:v>
      </x:c>
      <x:c r="J159" s="7" t="s">
        <x:v>53</x:v>
      </x:c>
      <x:c r="K159" s="7" t="s">
        <x:v>53</x:v>
      </x:c>
      <x:c r="L159" s="7" t="s">
        <x:v>53</x:v>
      </x:c>
      <x:c r="M159" s="7" t="s">
        <x:v>53</x:v>
      </x:c>
      <x:c r="N159" s="7" t="s">
        <x:v>1857</x:v>
      </x:c>
      <x:c r="O159" s="7" t="s">
        <x:v>53</x:v>
      </x:c>
      <x:c r="P159" s="7" t="s">
        <x:v>1846</x:v>
      </x:c>
      <x:c r="Q159" s="7" t="s">
        <x:v>53</x:v>
      </x:c>
      <x:c r="R159" s="7" t="s">
        <x:v>53</x:v>
      </x:c>
      <x:c r="S159" s="7" t="s">
        <x:v>1054</x:v>
      </x:c>
      <x:c r="T159" s="7" t="s">
        <x:v>1054</x:v>
      </x:c>
      <x:c r="U159" s="7" t="s">
        <x:v>1823</x:v>
      </x:c>
      <x:c r="V159" s="7" t="s">
        <x:v>1823</x:v>
      </x:c>
      <x:c r="W159" s="7" t="s">
        <x:v>53</x:v>
      </x:c>
      <x:c r="X159" s="7" t="s">
        <x:v>1490</x:v>
      </x:c>
      <x:c r="Y159" s="7" t="s">
        <x:v>53</x:v>
      </x:c>
      <x:c r="Z159" s="7" t="s">
        <x:v>53</x:v>
      </x:c>
      <x:c r="AA159" s="7" t="s">
        <x:v>53</x:v>
      </x:c>
      <x:c r="AB159" s="7" t="s">
        <x:v>53</x:v>
      </x:c>
      <x:c r="AC159" s="7" t="s">
        <x:v>53</x:v>
      </x:c>
      <x:c r="AD159" s="7" t="s">
        <x:v>53</x:v>
      </x:c>
      <x:c r="AE159" s="7" t="s">
        <x:v>1846</x:v>
      </x:c>
      <x:c r="AF159" s="7" t="s">
        <x:v>53</x:v>
      </x:c>
      <x:c r="AG159" s="7" t="s">
        <x:v>53</x:v>
      </x:c>
      <x:c r="AH159" s="7" t="s">
        <x:v>53</x:v>
      </x:c>
      <x:c r="AI159" s="7" t="s">
        <x:v>53</x:v>
      </x:c>
      <x:c r="AJ159" s="7" t="s">
        <x:v>1884</x:v>
      </x:c>
      <x:c r="AK159" s="7" t="s">
        <x:v>1491</x:v>
      </x:c>
      <x:c r="AL159" s="7" t="s">
        <x:v>1848</x:v>
      </x:c>
    </x:row>
    <x:row r="160">
      <x:c r="A160" t="str">
        <x:v>P0157</x:v>
      </x:c>
      <x:c r="B160" t="str">
        <x:v>M077</x:v>
      </x:c>
      <x:c r="C160" t="str">
        <x:v>G077-01</x:v>
      </x:c>
      <x:c r="D160" t="str">
        <x:v>Manufacturer published guidance</x:v>
      </x:c>
      <x:c r="E160" t="str">
        <x:v>220-230 °C</x:v>
      </x:c>
      <x:c r="F160" t="str">
        <x:v>35-45 °C</x:v>
      </x:c>
      <x:c r="G160" t="str">
        <x:v>25-45 °C</x:v>
      </x:c>
      <x:c r="H160" t="str">
        <x:v>Not published</x:v>
      </x:c>
      <x:c r="I160" t="str">
        <x:v>Cool Plate SuperTack; Textured PEI; Smooth PEI</x:v>
      </x:c>
      <x:c r="J160" t="str">
        <x:v>Bambu Liquid Glue / Glue Stick</x:v>
      </x:c>
      <x:c r="K160" t="str">
        <x:v>Turn on</x:v>
      </x:c>
      <x:c r="L160" t="str">
        <x:v>&lt; 200 mm/s</x:v>
      </x:c>
      <x:c r="M160" t="str">
        <x:v>Not published</x:v>
      </x:c>
      <x:c r="N160" t="str">
        <x:v>Blast drying oven 55 °C, 8 h; X1 heatbed 65-75 °C, 12 h</x:v>
      </x:c>
      <x:c r="O160" t="str">
        <x:v>&lt;20% RH, sealed with desiccant</x:v>
      </x:c>
      <x:c r="P160" t="str">
        <x:v>Not published</x:v>
      </x:c>
      <x:c r="Q160" t="str">
        <x:v>0.2, 0.4, 0.6, 0.8 mm</x:v>
      </x:c>
      <x:c r="R160" t="str">
        <x:v>Not published</x:v>
      </x:c>
      <x:c r="S160" t="str">
        <x:v>Verify route in H2C guide; no blanket side assignment found</x:v>
      </x:c>
      <x:c r="T160" t="str">
        <x:v>Verify route in H2C guide; no blanket side assignment found</x:v>
      </x:c>
      <x:c r="U160" t="str">
        <x:v>AMS compatible per product page; module-specific route not explicitly stated</x:v>
      </x:c>
      <x:c r="V160" t="str">
        <x:v>AMS compatible per product page; module-specific route not explicitly stated</x:v>
      </x:c>
      <x:c r="W160" t="str">
        <x:v>AMS and AMS lite compatible</x:v>
      </x:c>
      <x:c r="X160" t="str">
        <x:v>Do not combine high- and low-temperature materials; low-temperature chamber guide limit 45°C. Grade-specific verification required.</x:v>
      </x:c>
      <x:c r="Y160" t="str">
        <x:v>Support interface for Bambu PLA; not intended as a stand-alone model material</x:v>
      </x:c>
      <x:c r="Z160" t="str">
        <x:v>Not published</x:v>
      </x:c>
      <x:c r="AA160" t="str">
        <x:v>Not published</x:v>
      </x:c>
      <x:c r="AB160" t="str">
        <x:v>Not published</x:v>
      </x:c>
      <x:c r="AC160" t="str">
        <x:v>Maximum bridge length 30 mm</x:v>
      </x:c>
      <x:c r="AD160" t="str">
        <x:v>Maximum overhang angle 55°</x:v>
      </x:c>
      <x:c r="AE160" t="str">
        <x:v>Not published</x:v>
      </x:c>
      <x:c r="AF160" t="str">
        <x:v>Smooth support interface claimed</x:v>
      </x:c>
      <x:c r="AG160" t="str">
        <x:v>Not published</x:v>
      </x:c>
      <x:c r="AH160" t="str">
        <x:v>Odorless in normal use; light pungent combustion odor</x:v>
      </x:c>
      <x:c r="AI160" t="str">
        <x:v>Use as support interface only; store dry</x:v>
      </x:c>
      <x:c r="AJ160" t="str">
        <x:v>R-BAMBU-SUPPORT-PLA-NEW-TDS</x:v>
      </x:c>
      <x:c r="AK160" t="str">
        <x:v>H2C-WIKI; R-BAMBU-SUPPORT-PLA-NEW-PRODUCT</x:v>
      </x:c>
      <x:c r="AL160" t="str">
        <x:v>p. 1: Recommended Printing Settings</x:v>
      </x:c>
    </x:row>
    <x:row r="161">
      <x:c r="A161" t="str">
        <x:v>P0158</x:v>
      </x:c>
      <x:c r="B161" t="str">
        <x:v>M038</x:v>
      </x:c>
      <x:c r="C161" t="str">
        <x:v>G038-02</x:v>
      </x:c>
      <x:c r="D161" t="str">
        <x:v>Manufacturer published guidance</x:v>
      </x:c>
      <x:c r="E161" t="str">
        <x:v>280-330 °C</x:v>
      </x:c>
      <x:c r="F161" t="str">
        <x:v>80-100 °C</x:v>
      </x:c>
      <x:c r="G161" t="str">
        <x:v>Not required / '-' in TDS</x:v>
      </x:c>
      <x:c r="H161" t="str">
        <x:v>Not published</x:v>
      </x:c>
      <x:c r="I161" t="str">
        <x:v>PC adhesive</x:v>
      </x:c>
      <x:c r="J161" t="str">
        <x:v>PC adhesive</x:v>
      </x:c>
      <x:c r="K161" t="str">
        <x:v>Not published</x:v>
      </x:c>
      <x:c r="L161" t="str">
        <x:v>30-60 mm/s</x:v>
      </x:c>
      <x:c r="M161" t="str">
        <x:v>Not published</x:v>
      </x:c>
      <x:c r="N161" t="str">
        <x:v>100 °C for 4-16 h in hot-air dryer or vacuum oven</x:v>
      </x:c>
      <x:c r="O161" t="str">
        <x:v>Keep dry; sealed storage at 15-25 °C</x:v>
      </x:c>
      <x:c r="P161" t="str">
        <x:v>Hardened steel advised</x:v>
      </x:c>
      <x:c r="Q161" t="str">
        <x:v>≥ 0.6 mm</x:v>
      </x:c>
      <x:c r="R161" t="str">
        <x:v>Glass-filled melt is abrasive; brass nozzle and drive-wheel life may be reduced</x:v>
      </x:c>
      <x:c r="S161" t="str">
        <x:v>Unverified exact grade; published temperatures are within H2C heater limits</x:v>
      </x:c>
      <x:c r="T161" t="str">
        <x:v>Unverified exact grade; published temperatures are within H2C heater limits</x:v>
      </x:c>
      <x:c r="U161" t="str">
        <x:v>Not verified for this grade</x:v>
      </x:c>
      <x:c r="V161" t="str">
        <x:v>Not verified for this grade</x:v>
      </x:c>
      <x:c r="W161" t="str">
        <x:v>Not published</x:v>
      </x:c>
      <x:c r="X161" t="str">
        <x:v>Do not combine high- and low-temperature materials; low-temperature chamber guide limit 45°C. Grade-specific verification required.</x:v>
      </x:c>
      <x:c r="Y161" t="str">
        <x:v>Not published</x:v>
      </x:c>
      <x:c r="Z161" t="str">
        <x:v>Not published</x:v>
      </x:c>
      <x:c r="AA161" t="str">
        <x:v>Good dimensional stability is a manufacturer claim</x:v>
      </x:c>
      <x:c r="AB161" t="str">
        <x:v>Not published</x:v>
      </x:c>
      <x:c r="AC161" t="str">
        <x:v>Not published</x:v>
      </x:c>
      <x:c r="AD161" t="str">
        <x:v>Not published</x:v>
      </x:c>
      <x:c r="AE161" t="str">
        <x:v>Not published</x:v>
      </x:c>
      <x:c r="AF161" t="str">
        <x:v>Not published</x:v>
      </x:c>
      <x:c r="AG161" t="str">
        <x:v>Not published</x:v>
      </x:c>
      <x:c r="AH161" t="str">
        <x:v>Process in a well-ventilated room or use professional extraction</x:v>
      </x:c>
      <x:c r="AI161" t="str">
        <x:v>Abrasive wear; moisture-sensitive processing</x:v>
      </x:c>
      <x:c r="AJ161" t="str">
        <x:v>R-BASF-PCGF30-TDS</x:v>
      </x:c>
      <x:c r="AK161" t="str">
        <x:v>R-H2C-SPECS; H2C-WIKI</x:v>
      </x:c>
      <x:c r="AL161" t="str">
        <x:v>p. 2: Recommended 3D-print processing parameters</x:v>
      </x:c>
    </x:row>
    <x:row r="162">
      <x:c r="A162" t="str">
        <x:v>P0159</x:v>
      </x:c>
      <x:c r="B162" t="str">
        <x:v>M045</x:v>
      </x:c>
      <x:c r="C162" t="str">
        <x:v>G045-03</x:v>
      </x:c>
      <x:c r="D162" t="str">
        <x:v>Manufacturer published guidance</x:v>
      </x:c>
      <x:c r="E162" t="str">
        <x:v>235-245 °C</x:v>
      </x:c>
      <x:c r="F162" t="str">
        <x:v>80-90 °C</x:v>
      </x:c>
      <x:c r="G162" t="str">
        <x:v>Not published</x:v>
      </x:c>
      <x:c r="H162" t="str">
        <x:v>Not published</x:v>
      </x:c>
      <x:c r="I162" t="str">
        <x:v>Not published</x:v>
      </x:c>
      <x:c r="J162" t="str">
        <x:v>Not published</x:v>
      </x:c>
      <x:c r="K162" t="str">
        <x:v>Not published</x:v>
      </x:c>
      <x:c r="L162" t="str">
        <x:v>44 mm/s</x:v>
      </x:c>
      <x:c r="M162" t="str">
        <x:v>Not published</x:v>
      </x:c>
      <x:c r="N162" t="str">
        <x:v>Not published</x:v>
      </x:c>
      <x:c r="O162" t="str">
        <x:v>Not published</x:v>
      </x:c>
      <x:c r="P162" t="str">
        <x:v>Not published</x:v>
      </x:c>
      <x:c r="Q162" t="str">
        <x:v>Not published</x:v>
      </x:c>
      <x:c r="R162" t="str">
        <x:v>Not published</x:v>
      </x:c>
      <x:c r="S162" t="str">
        <x:v>Unverified exact flexible grade; no blanket approval</x:v>
      </x:c>
      <x:c r="T162" t="str">
        <x:v>Unverified exact flexible grade; no blanket approval</x:v>
      </x:c>
      <x:c r="U162" t="str">
        <x:v>Not verified for this grade</x:v>
      </x:c>
      <x:c r="V162" t="str">
        <x:v>Not verified for this grade</x:v>
      </x:c>
      <x:c r="W162" t="str">
        <x:v>Not published</x:v>
      </x:c>
      <x:c r="X162" t="str">
        <x:v>Do not combine high- and low-temperature materials; low-temperature chamber guide limit 45°C. Grade-specific verification required.</x:v>
      </x:c>
      <x:c r="Y162" t="str">
        <x:v>Not published</x:v>
      </x:c>
      <x:c r="Z162" t="str">
        <x:v>Not published</x:v>
      </x:c>
      <x:c r="AA162" t="str">
        <x:v>Not published</x:v>
      </x:c>
      <x:c r="AB162" t="str">
        <x:v>Not published</x:v>
      </x:c>
      <x:c r="AC162" t="str">
        <x:v>Not published</x:v>
      </x:c>
      <x:c r="AD162" t="str">
        <x:v>Not published</x:v>
      </x:c>
      <x:c r="AE162" t="str">
        <x:v>Not published</x:v>
      </x:c>
      <x:c r="AF162" t="str">
        <x:v>Soft-touch claim</x:v>
      </x:c>
      <x:c r="AG162" t="str">
        <x:v>Good layer adhesion claim</x:v>
      </x:c>
      <x:c r="AH162" t="str">
        <x:v>Not published</x:v>
      </x:c>
      <x:c r="AI162" t="str">
        <x:v>Flexible-filament feed-path behavior must be validated on H2C</x:v>
      </x:c>
      <x:c r="AJ162" t="str">
        <x:v>R-KIMYA-PEBA-S-TDS</x:v>
      </x:c>
      <x:c r="AK162" t="str">
        <x:v>H2C-WIKI</x:v>
      </x:c>
      <x:c r="AL162" t="str">
        <x:v>Processing table</x:v>
      </x:c>
    </x:row>
    <x:row r="163">
      <x:c r="A163" t="str">
        <x:v>P0160</x:v>
      </x:c>
      <x:c r="B163" t="str">
        <x:v>M073</x:v>
      </x:c>
      <x:c r="C163" t="str">
        <x:v>G073-02</x:v>
      </x:c>
      <x:c r="D163" t="str">
        <x:v>Manufacturer published guidance</x:v>
      </x:c>
      <x:c r="E163" t="str">
        <x:v>330-400 °C</x:v>
      </x:c>
      <x:c r="F163" t="str">
        <x:v>100-120 °C</x:v>
      </x:c>
      <x:c r="G163" t="str">
        <x:v>Not published</x:v>
      </x:c>
      <x:c r="H163" t="str">
        <x:v>Not published</x:v>
      </x:c>
      <x:c r="I163" t="str">
        <x:v>G14</x:v>
      </x:c>
      <x:c r="J163" t="str">
        <x:v>Magigoo HT or VM Nano</x:v>
      </x:c>
      <x:c r="K163" t="str">
        <x:v>0-20%</x:v>
      </x:c>
      <x:c r="L163" t="str">
        <x:v>25-75 mm/s; first layer 20 mm/s</x:v>
      </x:c>
      <x:c r="M163" t="str">
        <x:v>Not published</x:v>
      </x:c>
      <x:c r="N163" t="str">
        <x:v>If moisture &gt;200 ppm: 120 °C for 3-8 h</x:v>
      </x:c>
      <x:c r="O163" t="str">
        <x:v>Vacuum-sealed / dry storage</x:v>
      </x:c>
      <x:c r="P163" t="str">
        <x:v>Not published</x:v>
      </x:c>
      <x:c r="Q163" t="str">
        <x:v>Not published</x:v>
      </x:c>
      <x:c r="R163" t="str">
        <x:v>Carbon-fibre grade; use abrasion-resistant hardware and verify orifice</x:v>
      </x:c>
      <x:c r="S163" t="str">
        <x:v>Not supported as published: profile extends above the 350 °C H2C nozzle limit</x:v>
      </x:c>
      <x:c r="T163" t="str">
        <x:v>Not supported as published: profile extends above the 350 °C H2C nozzle limit</x:v>
      </x:c>
      <x:c r="U163" t="str">
        <x:v>Not verified for this grade</x:v>
      </x:c>
      <x:c r="V163" t="str">
        <x:v>Not verified for this grade</x:v>
      </x:c>
      <x:c r="W163" t="str">
        <x:v>Not published</x:v>
      </x:c>
      <x:c r="X163" t="str">
        <x:v>Do not combine high- and low-temperature materials; low-temperature chamber guide limit 45°C. Grade-specific verification required.</x:v>
      </x:c>
      <x:c r="Y163" t="str">
        <x:v>Not published</x:v>
      </x:c>
      <x:c r="Z163" t="str">
        <x:v>Not published</x:v>
      </x:c>
      <x:c r="AA163" t="str">
        <x:v>Not published</x:v>
      </x:c>
      <x:c r="AB163" t="str">
        <x:v>Not published</x:v>
      </x:c>
      <x:c r="AC163" t="str">
        <x:v>Not published</x:v>
      </x:c>
      <x:c r="AD163" t="str">
        <x:v>Not published</x:v>
      </x:c>
      <x:c r="AE163" t="str">
        <x:v>Not published</x:v>
      </x:c>
      <x:c r="AF163" t="str">
        <x:v>Not published</x:v>
      </x:c>
      <x:c r="AG163" t="str">
        <x:v>Not published</x:v>
      </x:c>
      <x:c r="AH163" t="str">
        <x:v>Not published</x:v>
      </x:c>
      <x:c r="AI163" t="str">
        <x:v>Published nozzle range exceeds H2C maximum; moisture and abrasive wear</x:v>
      </x:c>
      <x:c r="AJ163" t="str">
        <x:v>R-ESSENTIUM-PPSCF-TDS</x:v>
      </x:c>
      <x:c r="AK163" t="str">
        <x:v>R-H2C-SPECS; H2C-WIKI</x:v>
      </x:c>
      <x:c r="AL163" t="str">
        <x:v>p. 2: Recommended FFF Print Settings and Material Handling</x:v>
      </x:c>
    </x:row>
    <x:row r="164">
      <x:c r="A164" t="str">
        <x:v>P0161</x:v>
      </x:c>
      <x:c r="B164" t="str">
        <x:v>M004</x:v>
      </x:c>
      <x:c r="C164" t="str">
        <x:v>G004-01</x:v>
      </x:c>
      <x:c r="D164" t="str">
        <x:v>Manufacturer published guidance</x:v>
      </x:c>
      <x:c r="E164" t="str">
        <x:v>190-230 °C</x:v>
      </x:c>
      <x:c r="F164" t="str">
        <x:v>45-60 °C</x:v>
      </x:c>
      <x:c r="G164" t="str">
        <x:v>Not required (no enclosure needed)</x:v>
      </x:c>
      <x:c r="H164" t="str">
        <x:v>No enclosure needed</x:v>
      </x:c>
      <x:c r="I164" t="str">
        <x:v>Not published</x:v>
      </x:c>
      <x:c r="J164" t="str">
        <x:v>Not published</x:v>
      </x:c>
      <x:c r="K164" t="str">
        <x:v>100%</x:v>
      </x:c>
      <x:c r="L164" t="str">
        <x:v>&lt;200 mm/s (high-speed parameter)</x:v>
      </x:c>
      <x:c r="M164" t="str">
        <x:v>Not published</x:v>
      </x:c>
      <x:c r="N164" t="str">
        <x:v>Not published</x:v>
      </x:c>
      <x:c r="O164" t="str">
        <x:v>Not published</x:v>
      </x:c>
      <x:c r="P164" t="str">
        <x:v>Not published</x:v>
      </x:c>
      <x:c r="Q164" t="str">
        <x:v>Not published</x:v>
      </x:c>
      <x:c r="R164" t="str">
        <x:v>Not published</x:v>
      </x:c>
      <x:c r="S164" t="str">
        <x:v>Verify exact grade/nozzle; no blanket approval</x:v>
      </x:c>
      <x:c r="T164" t="str">
        <x:v>Verify exact grade/nozzle; no blanket approval</x:v>
      </x:c>
      <x:c r="U164" t="str">
        <x:v>Not verified for every grade</x:v>
      </x:c>
      <x:c r="V164" t="str">
        <x:v>Not verified for every grade</x:v>
      </x:c>
      <x:c r="W164" t="str">
        <x:v>Not published</x:v>
      </x:c>
      <x:c r="X164" t="str">
        <x:v>Do not combine high- and low-temperature materials; low-temperature chamber guide limit 45°C. Grade-specific verification required.</x:v>
      </x:c>
      <x:c r="Y164" t="str">
        <x:v>Not published</x:v>
      </x:c>
      <x:c r="Z164" t="str">
        <x:v>Not published</x:v>
      </x:c>
      <x:c r="AA164" t="str">
        <x:v>Not published</x:v>
      </x:c>
      <x:c r="AB164" t="str">
        <x:v>Not published</x:v>
      </x:c>
      <x:c r="AC164" t="str">
        <x:v>Not published</x:v>
      </x:c>
      <x:c r="AD164" t="str">
        <x:v>Not published</x:v>
      </x:c>
      <x:c r="AE164" t="str">
        <x:v>Not published</x:v>
      </x:c>
      <x:c r="AF164" t="str">
        <x:v>Not published</x:v>
      </x:c>
      <x:c r="AG164" t="str">
        <x:v>Not published</x:v>
      </x:c>
      <x:c r="AH164" t="str">
        <x:v>Not published</x:v>
      </x:c>
      <x:c r="AI164" t="str">
        <x:v>Not published</x:v>
      </x:c>
      <x:c r="AJ164" t="str">
        <x:v>R-ESUN-PLA-LITE-PAGE</x:v>
      </x:c>
      <x:c r="AK164" t="str">
        <x:v>H2C-WIKI</x:v>
      </x:c>
      <x:c r="AL164" t="str">
        <x:v>Recommended Printing Parameters; product features</x:v>
      </x:c>
    </x:row>
    <x:row r="165">
      <x:c r="A165" t="str">
        <x:v>P0162</x:v>
      </x:c>
      <x:c r="B165" t="str">
        <x:v>M008</x:v>
      </x:c>
      <x:c r="C165" t="str">
        <x:v>G008-01</x:v>
      </x:c>
      <x:c r="D165" t="str">
        <x:v>Manufacturer published guidance</x:v>
      </x:c>
      <x:c r="E165" t="str">
        <x:v>190-230 °C</x:v>
      </x:c>
      <x:c r="F165" t="str">
        <x:v>25-60 °C</x:v>
      </x:c>
      <x:c r="G165" t="str">
        <x:v>Not required (enclosure not needed)</x:v>
      </x:c>
      <x:c r="H165" t="str">
        <x:v>Not needed</x:v>
      </x:c>
      <x:c r="I165" t="str">
        <x:v>Not published</x:v>
      </x:c>
      <x:c r="J165" t="str">
        <x:v>Not published</x:v>
      </x:c>
      <x:c r="K165" t="str">
        <x:v>Not published</x:v>
      </x:c>
      <x:c r="L165" t="str">
        <x:v>Up to 250 mm/s</x:v>
      </x:c>
      <x:c r="M165" t="str">
        <x:v>Not published</x:v>
      </x:c>
      <x:c r="N165" t="str">
        <x:v>55 °C for 6 h</x:v>
      </x:c>
      <x:c r="O165" t="str">
        <x:v>Not published</x:v>
      </x:c>
      <x:c r="P165" t="str">
        <x:v>Not published</x:v>
      </x:c>
      <x:c r="Q165" t="str">
        <x:v>Not published</x:v>
      </x:c>
      <x:c r="R165" t="str">
        <x:v>Not published</x:v>
      </x:c>
      <x:c r="S165" t="str">
        <x:v>Verify exact grade/nozzle; no blanket approval</x:v>
      </x:c>
      <x:c r="T165" t="str">
        <x:v>Verify exact grade/nozzle; no blanket approval</x:v>
      </x:c>
      <x:c r="U165" t="str">
        <x:v>Not verified for every grade</x:v>
      </x:c>
      <x:c r="V165" t="str">
        <x:v>Not verified for every grade</x:v>
      </x:c>
      <x:c r="W165" t="str">
        <x:v>Not published</x:v>
      </x:c>
      <x:c r="X165" t="str">
        <x:v>Do not combine high- and low-temperature materials; low-temperature chamber guide limit 45°C. Grade-specific verification required.</x:v>
      </x:c>
      <x:c r="Y165" t="str">
        <x:v>Not published</x:v>
      </x:c>
      <x:c r="Z165" t="str">
        <x:v>Not published</x:v>
      </x:c>
      <x:c r="AA165" t="str">
        <x:v>Not published</x:v>
      </x:c>
      <x:c r="AB165" t="str">
        <x:v>Not published</x:v>
      </x:c>
      <x:c r="AC165" t="str">
        <x:v>Not published</x:v>
      </x:c>
      <x:c r="AD165" t="str">
        <x:v>Not published</x:v>
      </x:c>
      <x:c r="AE165" t="str">
        <x:v>Not published</x:v>
      </x:c>
      <x:c r="AF165" t="str">
        <x:v>Not published</x:v>
      </x:c>
      <x:c r="AG165" t="str">
        <x:v>Not published</x:v>
      </x:c>
      <x:c r="AH165" t="str">
        <x:v>Not published</x:v>
      </x:c>
      <x:c r="AI165" t="str">
        <x:v>Not published</x:v>
      </x:c>
      <x:c r="AJ165" t="str">
        <x:v>R-POLYMAKER-SILK-PLA-PAGE</x:v>
      </x:c>
      <x:c r="AK165" t="str">
        <x:v>H2C-WIKI</x:v>
      </x:c>
      <x:c r="AL165" t="str">
        <x:v>Technical Specifications</x:v>
      </x:c>
    </x:row>
    <x:row r="166">
      <x:c r="A166" t="str">
        <x:v>P0163</x:v>
      </x:c>
      <x:c r="B166" t="str">
        <x:v>M091</x:v>
      </x:c>
      <x:c r="C166" t="str">
        <x:v>G091-02</x:v>
      </x:c>
      <x:c r="D166" t="str">
        <x:v>Manufacturer published guidance</x:v>
      </x:c>
      <x:c r="E166" t="str">
        <x:v>190-230 °C</x:v>
      </x:c>
      <x:c r="F166" t="str">
        <x:v>25-60 °C</x:v>
      </x:c>
      <x:c r="G166" t="str">
        <x:v>Not required (closure chamber not needed)</x:v>
      </x:c>
      <x:c r="H166" t="str">
        <x:v>Not needed</x:v>
      </x:c>
      <x:c r="I166" t="str">
        <x:v>Not published</x:v>
      </x:c>
      <x:c r="J166" t="str">
        <x:v>Not published</x:v>
      </x:c>
      <x:c r="K166" t="str">
        <x:v>Not published</x:v>
      </x:c>
      <x:c r="L166" t="str">
        <x:v>Up to 400 mm/s</x:v>
      </x:c>
      <x:c r="M166" t="str">
        <x:v>Not published</x:v>
      </x:c>
      <x:c r="N166" t="str">
        <x:v>55 °C for 6 h (only if moisture absorbed)</x:v>
      </x:c>
      <x:c r="O166" t="str">
        <x:v>Not published</x:v>
      </x:c>
      <x:c r="P166" t="str">
        <x:v>Not published</x:v>
      </x:c>
      <x:c r="Q166" t="str">
        <x:v>Not published</x:v>
      </x:c>
      <x:c r="R166" t="str">
        <x:v>Not published</x:v>
      </x:c>
      <x:c r="S166" t="str">
        <x:v>Verify exact grade/nozzle; no blanket approval</x:v>
      </x:c>
      <x:c r="T166" t="str">
        <x:v>Verify exact grade/nozzle; no blanket approval</x:v>
      </x:c>
      <x:c r="U166" t="str">
        <x:v>Not verified for every grade</x:v>
      </x:c>
      <x:c r="V166" t="str">
        <x:v>Not verified for every grade</x:v>
      </x:c>
      <x:c r="W166" t="str">
        <x:v>Not published</x:v>
      </x:c>
      <x:c r="X166" t="str">
        <x:v>Do not combine high- and low-temperature materials; low-temperature chamber guide limit 45°C. Grade-specific verification required.</x:v>
      </x:c>
      <x:c r="Y166" t="str">
        <x:v>PolySupport and PolyDissolve S1</x:v>
      </x:c>
      <x:c r="Z166" t="str">
        <x:v>Not published</x:v>
      </x:c>
      <x:c r="AA166" t="str">
        <x:v>Not published</x:v>
      </x:c>
      <x:c r="AB166" t="str">
        <x:v>Not published</x:v>
      </x:c>
      <x:c r="AC166" t="str">
        <x:v>Not published</x:v>
      </x:c>
      <x:c r="AD166" t="str">
        <x:v>Not published</x:v>
      </x:c>
      <x:c r="AE166" t="str">
        <x:v>Not published</x:v>
      </x:c>
      <x:c r="AF166" t="str">
        <x:v>Not published</x:v>
      </x:c>
      <x:c r="AG166" t="str">
        <x:v>Not published</x:v>
      </x:c>
      <x:c r="AH166" t="str">
        <x:v>Not published</x:v>
      </x:c>
      <x:c r="AI166" t="str">
        <x:v>Not published</x:v>
      </x:c>
      <x:c r="AJ166" t="str">
        <x:v>R-POLYMAKER-WIKI-PANCHROMA-COPE</x:v>
      </x:c>
      <x:c r="AK166" t="str">
        <x:v>H2C-WIKI</x:v>
      </x:c>
      <x:c r="AL166" t="str">
        <x:v>Recommended printing settings</x:v>
      </x:c>
    </x:row>
    <x:row r="167">
      <x:c r="A167" t="str">
        <x:v>P0164</x:v>
      </x:c>
      <x:c r="B167" t="str">
        <x:v>M068</x:v>
      </x:c>
      <x:c r="C167" t="str">
        <x:v>G068-02</x:v>
      </x:c>
      <x:c r="D167" t="str">
        <x:v>Manufacturer published guidance</x:v>
      </x:c>
      <x:c r="E167" t="str">
        <x:v>280-310 °C</x:v>
      </x:c>
      <x:c r="F167" t="str">
        <x:v>70-80 °C</x:v>
      </x:c>
      <x:c r="G167" t="str">
        <x:v>Room temp.</x:v>
      </x:c>
      <x:c r="H167" t="str">
        <x:v>Not published</x:v>
      </x:c>
      <x:c r="I167" t="str">
        <x:v>Not published</x:v>
      </x:c>
      <x:c r="J167" t="str">
        <x:v>Not published</x:v>
      </x:c>
      <x:c r="K167" t="str">
        <x:v>Off</x:v>
      </x:c>
      <x:c r="L167" t="str">
        <x:v>Up to 250 mm/s</x:v>
      </x:c>
      <x:c r="M167" t="str">
        <x:v>Not published</x:v>
      </x:c>
      <x:c r="N167" t="str">
        <x:v>100 °C for 10 h</x:v>
      </x:c>
      <x:c r="O167" t="str">
        <x:v>Below 20% RH</x:v>
      </x:c>
      <x:c r="P167" t="str">
        <x:v>Not published</x:v>
      </x:c>
      <x:c r="Q167" t="str">
        <x:v>Not published</x:v>
      </x:c>
      <x:c r="R167" t="str">
        <x:v>Wear-resistant nozzle (hardened steel or ruby) highly recommended; a brass nozzle lasts about 9 h</x:v>
      </x:c>
      <x:c r="S167" t="str">
        <x:v>Verify exact grade/nozzle; no blanket approval</x:v>
      </x:c>
      <x:c r="T167" t="str">
        <x:v>Verify exact grade/nozzle; no blanket approval</x:v>
      </x:c>
      <x:c r="U167" t="str">
        <x:v>Not verified for every grade</x:v>
      </x:c>
      <x:c r="V167" t="str">
        <x:v>Not verified for every grade</x:v>
      </x:c>
      <x:c r="W167" t="str">
        <x:v>Not published</x:v>
      </x:c>
      <x:c r="X167" t="str">
        <x:v>Do not combine high- and low-temperature materials; low-temperature chamber guide limit 45°C. Grade-specific verification required.</x:v>
      </x:c>
      <x:c r="Y167" t="str">
        <x:v>Not published</x:v>
      </x:c>
      <x:c r="Z167" t="str">
        <x:v>Not published</x:v>
      </x:c>
      <x:c r="AA167" t="str">
        <x:v>Not published</x:v>
      </x:c>
      <x:c r="AB167" t="str">
        <x:v>Not published</x:v>
      </x:c>
      <x:c r="AC167" t="str">
        <x:v>Not published</x:v>
      </x:c>
      <x:c r="AD167" t="str">
        <x:v>Not published</x:v>
      </x:c>
      <x:c r="AE167" t="str">
        <x:v>Not published</x:v>
      </x:c>
      <x:c r="AF167" t="str">
        <x:v>Not published</x:v>
      </x:c>
      <x:c r="AG167" t="str">
        <x:v>Not published</x:v>
      </x:c>
      <x:c r="AH167" t="str">
        <x:v>Not published</x:v>
      </x:c>
      <x:c r="AI167" t="str">
        <x:v>Slight surface discolouration with large layer-time differences (crystallinity), not a quality defect</x:v>
      </x:c>
      <x:c r="AJ167" t="str">
        <x:v>R-FIBERON-PETGF15-TDS</x:v>
      </x:c>
      <x:c r="AK167" t="str">
        <x:v>H2C-WIKI</x:v>
      </x:c>
      <x:c r="AL167" t="str">
        <x:v>Recommended printing conditions; note</x:v>
      </x:c>
    </x:row>
    <x:row r="168">
      <x:c r="A168" t="str">
        <x:v>P0165</x:v>
      </x:c>
      <x:c r="B168" t="str">
        <x:v>M089</x:v>
      </x:c>
      <x:c r="C168" t="str">
        <x:v>G089-01</x:v>
      </x:c>
      <x:c r="D168" t="str">
        <x:v>Manufacturer published guidance</x:v>
      </x:c>
      <x:c r="E168" t="str">
        <x:v>255-275 °C</x:v>
      </x:c>
      <x:c r="F168" t="str">
        <x:v>70-85 °C</x:v>
      </x:c>
      <x:c r="G168" t="str">
        <x:v>Not required (heated chamber / enclosure not needed)</x:v>
      </x:c>
      <x:c r="H168" t="str">
        <x:v>Not needed</x:v>
      </x:c>
      <x:c r="I168" t="str">
        <x:v>PEI, mirror / glass</x:v>
      </x:c>
      <x:c r="J168" t="str">
        <x:v>Magigoo, 3DLac, PVA glue</x:v>
      </x:c>
      <x:c r="K168" t="str">
        <x:v>0-15%</x:v>
      </x:c>
      <x:c r="L168" t="str">
        <x:v>40-60 mm/s</x:v>
      </x:c>
      <x:c r="M168" t="str">
        <x:v>Not published</x:v>
      </x:c>
      <x:c r="N168" t="str">
        <x:v>75 °C for 4 h</x:v>
      </x:c>
      <x:c r="O168" t="str">
        <x:v>Airtight bag with desiccant</x:v>
      </x:c>
      <x:c r="P168" t="str">
        <x:v>Not published</x:v>
      </x:c>
      <x:c r="Q168" t="str">
        <x:v>Not published</x:v>
      </x:c>
      <x:c r="R168" t="str">
        <x:v>Not published</x:v>
      </x:c>
      <x:c r="S168" t="str">
        <x:v>Verify exact grade/nozzle; no blanket approval</x:v>
      </x:c>
      <x:c r="T168" t="str">
        <x:v>Verify exact grade/nozzle; no blanket approval</x:v>
      </x:c>
      <x:c r="U168" t="str">
        <x:v>Not verified for every grade</x:v>
      </x:c>
      <x:c r="V168" t="str">
        <x:v>Not verified for every grade</x:v>
      </x:c>
      <x:c r="W168" t="str">
        <x:v>Not published</x:v>
      </x:c>
      <x:c r="X168" t="str">
        <x:v>Do not combine high- and low-temperature materials; low-temperature chamber guide limit 45°C. Grade-specific verification required.</x:v>
      </x:c>
      <x:c r="Y168" t="str">
        <x:v>Not published</x:v>
      </x:c>
      <x:c r="Z168" t="str">
        <x:v>Not published</x:v>
      </x:c>
      <x:c r="AA168" t="str">
        <x:v>Not published</x:v>
      </x:c>
      <x:c r="AB168" t="str">
        <x:v>Not published</x:v>
      </x:c>
      <x:c r="AC168" t="str">
        <x:v>Not published</x:v>
      </x:c>
      <x:c r="AD168" t="str">
        <x:v>Not published</x:v>
      </x:c>
      <x:c r="AE168" t="str">
        <x:v>Not published</x:v>
      </x:c>
      <x:c r="AF168" t="str">
        <x:v>Not published</x:v>
      </x:c>
      <x:c r="AG168" t="str">
        <x:v>Not published</x:v>
      </x:c>
      <x:c r="AH168" t="str">
        <x:v>Not published</x:v>
      </x:c>
      <x:c r="AI168" t="str">
        <x:v>Not published</x:v>
      </x:c>
      <x:c r="AJ168" t="str">
        <x:v>R-FILLAMENTUM-CPE-HG100-GUIDE</x:v>
      </x:c>
      <x:c r="AK168" t="str">
        <x:v>H2C-WIKI</x:v>
      </x:c>
      <x:c r="AL168" t="str">
        <x:v>Printing parameters</x:v>
      </x:c>
    </x:row>
    <x:row r="169">
      <x:c r="A169" t="str">
        <x:v>P0166</x:v>
      </x:c>
      <x:c r="B169" t="str">
        <x:v>M090</x:v>
      </x:c>
      <x:c r="C169" t="str">
        <x:v>G090-01</x:v>
      </x:c>
      <x:c r="D169" t="str">
        <x:v>Manufacturer published guidance</x:v>
      </x:c>
      <x:c r="E169" t="str">
        <x:v>250-270 °C</x:v>
      </x:c>
      <x:c r="F169" t="str">
        <x:v>70-85 °C</x:v>
      </x:c>
      <x:c r="G169" t="str">
        <x:v>Not required (heated chamber / enclosure not needed)</x:v>
      </x:c>
      <x:c r="H169" t="str">
        <x:v>Not needed</x:v>
      </x:c>
      <x:c r="I169" t="str">
        <x:v>PEI, mirror / glass</x:v>
      </x:c>
      <x:c r="J169" t="str">
        <x:v>Magigoo, 3DLac, PVA glue</x:v>
      </x:c>
      <x:c r="K169" t="str">
        <x:v>0-15%</x:v>
      </x:c>
      <x:c r="L169" t="str">
        <x:v>30-50 mm/s</x:v>
      </x:c>
      <x:c r="M169" t="str">
        <x:v>Not published</x:v>
      </x:c>
      <x:c r="N169" t="str">
        <x:v>75 °C for 3 h</x:v>
      </x:c>
      <x:c r="O169" t="str">
        <x:v>Airtight bag with desiccant</x:v>
      </x:c>
      <x:c r="P169" t="str">
        <x:v>Not published</x:v>
      </x:c>
      <x:c r="Q169" t="str">
        <x:v>Not published</x:v>
      </x:c>
      <x:c r="R169" t="str">
        <x:v>Hardened steel, ruby or other wear-resistant nozzle necessary (carbon fibre)</x:v>
      </x:c>
      <x:c r="S169" t="str">
        <x:v>Verify exact grade/nozzle; no blanket approval</x:v>
      </x:c>
      <x:c r="T169" t="str">
        <x:v>Verify exact grade/nozzle; no blanket approval</x:v>
      </x:c>
      <x:c r="U169" t="str">
        <x:v>Not verified for every grade</x:v>
      </x:c>
      <x:c r="V169" t="str">
        <x:v>Not verified for every grade</x:v>
      </x:c>
      <x:c r="W169" t="str">
        <x:v>Not published</x:v>
      </x:c>
      <x:c r="X169" t="str">
        <x:v>Do not combine high- and low-temperature materials; low-temperature chamber guide limit 45°C. Grade-specific verification required.</x:v>
      </x:c>
      <x:c r="Y169" t="str">
        <x:v>Not published</x:v>
      </x:c>
      <x:c r="Z169" t="str">
        <x:v>Not published</x:v>
      </x:c>
      <x:c r="AA169" t="str">
        <x:v>Not published</x:v>
      </x:c>
      <x:c r="AB169" t="str">
        <x:v>Not published</x:v>
      </x:c>
      <x:c r="AC169" t="str">
        <x:v>Not published</x:v>
      </x:c>
      <x:c r="AD169" t="str">
        <x:v>Not published</x:v>
      </x:c>
      <x:c r="AE169" t="str">
        <x:v>Not published</x:v>
      </x:c>
      <x:c r="AF169" t="str">
        <x:v>Not published</x:v>
      </x:c>
      <x:c r="AG169" t="str">
        <x:v>Not published</x:v>
      </x:c>
      <x:c r="AH169" t="str">
        <x:v>Not published</x:v>
      </x:c>
      <x:c r="AI169" t="str">
        <x:v>Not published</x:v>
      </x:c>
      <x:c r="AJ169" t="str">
        <x:v>R-FILLAMENTUM-CPE-CF112-GUIDE</x:v>
      </x:c>
      <x:c r="AK169" t="str">
        <x:v>H2C-WIKI</x:v>
      </x:c>
      <x:c r="AL169" t="str">
        <x:v>Printing parameters; Nozzle</x:v>
      </x:c>
    </x:row>
    <x:row r="170">
      <x:c r="A170" t="str">
        <x:v>P0167</x:v>
      </x:c>
      <x:c r="B170" t="str">
        <x:v>M092</x:v>
      </x:c>
      <x:c r="C170" t="str">
        <x:v>G092-01</x:v>
      </x:c>
      <x:c r="D170" t="str">
        <x:v>Manufacturer published guidance</x:v>
      </x:c>
      <x:c r="E170" t="str">
        <x:v>220-240 °C</x:v>
      </x:c>
      <x:c r="F170" t="str">
        <x:v>75-85 °C</x:v>
      </x:c>
      <x:c r="G170" t="str">
        <x:v>Not published</x:v>
      </x:c>
      <x:c r="H170" t="str">
        <x:v>Not published</x:v>
      </x:c>
      <x:c r="I170" t="str">
        <x:v>Not published</x:v>
      </x:c>
      <x:c r="J170" t="str">
        <x:v>Not published</x:v>
      </x:c>
      <x:c r="K170" t="str">
        <x:v>0-80%</x:v>
      </x:c>
      <x:c r="L170" t="str">
        <x:v>40-70 mm/s</x:v>
      </x:c>
      <x:c r="M170" t="str">
        <x:v>Not published</x:v>
      </x:c>
      <x:c r="N170" t="str">
        <x:v>Not published</x:v>
      </x:c>
      <x:c r="O170" t="str">
        <x:v>Not published</x:v>
      </x:c>
      <x:c r="P170" t="str">
        <x:v>Not published</x:v>
      </x:c>
      <x:c r="Q170" t="str">
        <x:v>Not published</x:v>
      </x:c>
      <x:c r="R170" t="str">
        <x:v>Not published</x:v>
      </x:c>
      <x:c r="S170" t="str">
        <x:v>Verify exact grade/nozzle; no blanket approval</x:v>
      </x:c>
      <x:c r="T170" t="str">
        <x:v>Verify exact grade/nozzle; no blanket approval</x:v>
      </x:c>
      <x:c r="U170" t="str">
        <x:v>Not verified for every grade</x:v>
      </x:c>
      <x:c r="V170" t="str">
        <x:v>Not verified for every grade</x:v>
      </x:c>
      <x:c r="W170" t="str">
        <x:v>Not published</x:v>
      </x:c>
      <x:c r="X170" t="str">
        <x:v>Do not combine high- and low-temperature materials; low-temperature chamber guide limit 45°C. Grade-specific verification required.</x:v>
      </x:c>
      <x:c r="Y170" t="str">
        <x:v>Not published</x:v>
      </x:c>
      <x:c r="Z170" t="str">
        <x:v>Not published</x:v>
      </x:c>
      <x:c r="AA170" t="str">
        <x:v>Not published</x:v>
      </x:c>
      <x:c r="AB170" t="str">
        <x:v>Not published</x:v>
      </x:c>
      <x:c r="AC170" t="str">
        <x:v>Not published</x:v>
      </x:c>
      <x:c r="AD170" t="str">
        <x:v>Not published</x:v>
      </x:c>
      <x:c r="AE170" t="str">
        <x:v>Not published</x:v>
      </x:c>
      <x:c r="AF170" t="str">
        <x:v>Not published</x:v>
      </x:c>
      <x:c r="AG170" t="str">
        <x:v>Not published</x:v>
      </x:c>
      <x:c r="AH170" t="str">
        <x:v>Not published</x:v>
      </x:c>
      <x:c r="AI170" t="str">
        <x:v>Not published</x:v>
      </x:c>
      <x:c r="AJ170" t="str">
        <x:v>R-COLORFABB-NGEN-TDS-V2</x:v>
      </x:c>
      <x:c r="AK170" t="str">
        <x:v>H2C-WIKI</x:v>
      </x:c>
      <x:c r="AL170" t="str">
        <x:v>p. 2: Guideline for print settings</x:v>
      </x:c>
    </x:row>
  </x:sheetData>
  <x:pageMargins left="0.7" right="0.7" top="0.75" bottom="0.75" header="0.3" footer="0.3"/>
  <x:tableParts count="1">
    <x:tablePart xmlns:r="http://schemas.openxmlformats.org/officeDocument/2006/relationships" r:id="Ra457b78637584eab"/>
  </x:tableParts>
</x:worksheet>
</file>

<file path=xl/worksheets/sheet4.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3" width="14" style="1" hidden="0" customWidth="1"/>
    <x:col min="4" max="4" width="38" style="1" hidden="0" customWidth="1"/>
    <x:col min="5" max="23" width="26" style="1" hidden="0" customWidth="1"/>
    <x:col min="24" max="24" width="85" style="1" hidden="0" customWidth="1"/>
    <x:col min="25" max="25" width="42" style="1" hidden="0" customWidth="1"/>
    <x:col min="26" max="26" width="26" style="1" hidden="0" customWidth="1"/>
    <x:col min="27" max="27" width="48" style="1" hidden="0" customWidth="1"/>
    <x:col min="28" max="33" width="26" style="1" hidden="0" customWidth="1"/>
  </x:cols>
  <x:sheetData>
    <x:row r="1" ht="24" hidden="0" customHeight="1">
      <x:c r="A1" s="3" t="s">
        <x:v>1885</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row>
    <x:row r="2" ht="15" hidden="0" customHeight="1">
      <x:c r="A2" s="2"/>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row>
    <x:row r="3" ht="43.5" hidden="0" customHeight="1">
      <x:c r="A3" s="4" t="s">
        <x:v>1886</x:v>
      </x:c>
      <x:c r="B3" s="4" t="s">
        <x:v>2</x:v>
      </x:c>
      <x:c r="C3" s="4" t="s">
        <x:v>1125</x:v>
      </x:c>
      <x:c r="D3" s="4" t="s">
        <x:v>1887</x:v>
      </x:c>
      <x:c r="E3" s="4" t="s">
        <x:v>1888</x:v>
      </x:c>
      <x:c r="F3" s="4" t="s">
        <x:v>1889</x:v>
      </x:c>
      <x:c r="G3" s="5" t="s">
        <x:v>1890</x:v>
      </x:c>
      <x:c r="H3" s="5" t="s">
        <x:v>1891</x:v>
      </x:c>
      <x:c r="I3" s="5" t="s">
        <x:v>1892</x:v>
      </x:c>
      <x:c r="J3" s="4" t="s">
        <x:v>1893</x:v>
      </x:c>
      <x:c r="K3" s="5" t="s">
        <x:v>1894</x:v>
      </x:c>
      <x:c r="L3" s="5" t="s">
        <x:v>1895</x:v>
      </x:c>
      <x:c r="M3" s="5" t="s">
        <x:v>1896</x:v>
      </x:c>
      <x:c r="N3" s="5" t="s">
        <x:v>1897</x:v>
      </x:c>
      <x:c r="O3" s="4" t="s">
        <x:v>1898</x:v>
      </x:c>
      <x:c r="P3" s="4" t="s">
        <x:v>1899</x:v>
      </x:c>
      <x:c r="Q3" s="4" t="s">
        <x:v>1900</x:v>
      </x:c>
      <x:c r="R3" s="4" t="s">
        <x:v>1901</x:v>
      </x:c>
      <x:c r="S3" s="4" t="s">
        <x:v>1902</x:v>
      </x:c>
      <x:c r="T3" s="4" t="s">
        <x:v>1903</x:v>
      </x:c>
      <x:c r="U3" s="4" t="s">
        <x:v>1904</x:v>
      </x:c>
      <x:c r="V3" s="4" t="s">
        <x:v>1905</x:v>
      </x:c>
      <x:c r="W3" s="4" t="s">
        <x:v>1906</x:v>
      </x:c>
      <x:c r="X3" s="4" t="s">
        <x:v>1907</x:v>
      </x:c>
      <x:c r="Y3" s="4" t="s">
        <x:v>1134</x:v>
      </x:c>
      <x:c r="Z3" s="4" t="s">
        <x:v>1485</x:v>
      </x:c>
      <x:c r="AA3" s="4" t="s">
        <x:v>1908</x:v>
      </x:c>
      <x:c r="AB3" s="5" t="s">
        <x:v>1909</x:v>
      </x:c>
      <x:c r="AC3" s="5" t="s">
        <x:v>1910</x:v>
      </x:c>
      <x:c r="AD3" s="5" t="s">
        <x:v>1911</x:v>
      </x:c>
      <x:c r="AE3" s="5" t="s">
        <x:v>1912</x:v>
      </x:c>
      <x:c r="AF3" s="5" t="s">
        <x:v>1913</x:v>
      </x:c>
      <x:c r="AG3" s="4" t="s">
        <x:v>1914</x:v>
      </x:c>
    </x:row>
    <x:row r="4" ht="51.75" hidden="0" customHeight="1">
      <x:c r="A4" s="7" t="s">
        <x:v>1915</x:v>
      </x:c>
      <x:c r="B4" s="7" t="s">
        <x:v>45</x:v>
      </x:c>
      <x:c r="C4" s="7" t="s">
        <x:v>48</x:v>
      </x:c>
      <x:c r="D4" s="7" t="s">
        <x:v>1916</x:v>
      </x:c>
      <x:c r="E4" s="7" t="s">
        <x:v>1917</x:v>
      </x:c>
      <x:c r="F4" s="7" t="s">
        <x:v>1918</x:v>
      </x:c>
      <x:c r="G4" s="8" t="n">
        <x:v>1.24</x:v>
      </x:c>
      <x:c r="H4" s="8" t="s">
        <x:v>58</x:v>
      </x:c>
      <x:c r="I4" s="8" t="s">
        <x:v>58</x:v>
      </x:c>
      <x:c r="J4" s="7" t="s">
        <x:v>1919</x:v>
      </x:c>
      <x:c r="K4" s="8" t="n">
        <x:v>1000</x:v>
      </x:c>
      <x:c r="L4" s="8" t="n">
        <x:f aca="0">IF(AND(ISNUMBER(G4),P4&lt;&gt;"Unresolved unit / layout"),G4*K4,"Not applicable")</x:f>
        <x:v>1240</x:v>
      </x:c>
      <x:c r="M4" s="8" t="str">
        <x:f aca="0">IF(AND(ISNUMBER(H4),P4&lt;&gt;"Unresolved unit / layout"),H4*K4,"Not applicable")</x:f>
        <x:v>Not applicable</x:v>
      </x:c>
      <x:c r="N4" s="8" t="str">
        <x:f aca="0">IF(AND(ISNUMBER(I4),P4&lt;&gt;"Unresolved unit / layout"),I4*K4,"Not applicable")</x:f>
        <x:v>Not applicable</x:v>
      </x:c>
      <x:c r="O4" s="7" t="s">
        <x:v>1920</x:v>
      </x:c>
      <x:c r="P4" s="7" t="s">
        <x:v>1921</x:v>
      </x:c>
      <x:c r="Q4" s="7" t="s">
        <x:v>1922</x:v>
      </x:c>
      <x:c r="R4" s="7" t="s">
        <x:v>58</x:v>
      </x:c>
      <x:c r="S4" s="7" t="s">
        <x:v>53</x:v>
      </x:c>
      <x:c r="T4" s="7" t="s">
        <x:v>53</x:v>
      </x:c>
      <x:c r="U4" s="7" t="s">
        <x:v>53</x:v>
      </x:c>
      <x:c r="V4" s="7" t="s">
        <x:v>1923</x:v>
      </x:c>
      <x:c r="W4" s="7" t="s">
        <x:v>58</x:v>
      </x:c>
      <x:c r="X4" s="7" t="s">
        <x:v>1924</x:v>
      </x:c>
      <x:c r="Y4" s="7" t="s">
        <x:v>1139</x:v>
      </x:c>
      <x:c r="Z4" s="7" t="s">
        <x:v>1925</x:v>
      </x:c>
      <x:c r="AA4" s="7" t="s">
        <x:v>58</x:v>
      </x:c>
      <x:c r="AB4" s="8" t="s">
        <x:v>58</x:v>
      </x:c>
      <x:c r="AC4" s="8" t="s">
        <x:v>58</x:v>
      </x:c>
      <x:c r="AD4" s="8" t="s">
        <x:v>58</x:v>
      </x:c>
      <x:c r="AE4" s="8" t="s">
        <x:v>58</x:v>
      </x:c>
      <x:c r="AF4" s="8" t="s">
        <x:v>58</x:v>
      </x:c>
      <x:c r="AG4" s="7" t="s">
        <x:v>58</x:v>
      </x:c>
    </x:row>
    <x:row r="5" ht="51.75" hidden="0" customHeight="1">
      <x:c r="A5" s="7" t="s">
        <x:v>1926</x:v>
      </x:c>
      <x:c r="B5" s="7" t="s">
        <x:v>45</x:v>
      </x:c>
      <x:c r="C5" s="7" t="s">
        <x:v>48</x:v>
      </x:c>
      <x:c r="D5" s="7" t="s">
        <x:v>1927</x:v>
      </x:c>
      <x:c r="E5" s="7" t="s">
        <x:v>1928</x:v>
      </x:c>
      <x:c r="F5" s="7" t="s">
        <x:v>1929</x:v>
      </x:c>
      <x:c r="G5" s="8" t="n">
        <x:v>56</x:v>
      </x:c>
      <x:c r="H5" s="8" t="s">
        <x:v>58</x:v>
      </x:c>
      <x:c r="I5" s="8" t="s">
        <x:v>58</x:v>
      </x:c>
      <x:c r="J5" s="7" t="s">
        <x:v>1919</x:v>
      </x:c>
      <x:c r="K5" s="8" t="n">
        <x:v>1</x:v>
      </x:c>
      <x:c r="L5" s="8" t="n">
        <x:f aca="0">IF(AND(ISNUMBER(G5),P5&lt;&gt;"Unresolved unit / layout"),G5*K5,"Not applicable")</x:f>
        <x:v>56</x:v>
      </x:c>
      <x:c r="M5" s="8" t="str">
        <x:f aca="0">IF(AND(ISNUMBER(H5),P5&lt;&gt;"Unresolved unit / layout"),H5*K5,"Not applicable")</x:f>
        <x:v>Not applicable</x:v>
      </x:c>
      <x:c r="N5" s="8" t="str">
        <x:f aca="0">IF(AND(ISNUMBER(I5),P5&lt;&gt;"Unresolved unit / layout"),I5*K5,"Not applicable")</x:f>
        <x:v>Not applicable</x:v>
      </x:c>
      <x:c r="O5" s="7" t="s">
        <x:v>1929</x:v>
      </x:c>
      <x:c r="P5" s="7" t="s">
        <x:v>1921</x:v>
      </x:c>
      <x:c r="Q5" s="7" t="s">
        <x:v>1930</x:v>
      </x:c>
      <x:c r="R5" s="7" t="s">
        <x:v>1931</x:v>
      </x:c>
      <x:c r="S5" s="7" t="s">
        <x:v>53</x:v>
      </x:c>
      <x:c r="T5" s="7" t="s">
        <x:v>53</x:v>
      </x:c>
      <x:c r="U5" s="7" t="s">
        <x:v>53</x:v>
      </x:c>
      <x:c r="V5" s="7" t="s">
        <x:v>1932</x:v>
      </x:c>
      <x:c r="W5" s="7" t="s">
        <x:v>58</x:v>
      </x:c>
      <x:c r="X5" s="7" t="s">
        <x:v>1924</x:v>
      </x:c>
      <x:c r="Y5" s="7" t="s">
        <x:v>1139</x:v>
      </x:c>
      <x:c r="Z5" s="7" t="s">
        <x:v>1933</x:v>
      </x:c>
      <x:c r="AA5" s="7" t="s">
        <x:v>58</x:v>
      </x:c>
      <x:c r="AB5" s="8" t="s">
        <x:v>58</x:v>
      </x:c>
      <x:c r="AC5" s="8" t="s">
        <x:v>58</x:v>
      </x:c>
      <x:c r="AD5" s="8" t="s">
        <x:v>58</x:v>
      </x:c>
      <x:c r="AE5" s="8" t="s">
        <x:v>58</x:v>
      </x:c>
      <x:c r="AF5" s="8" t="s">
        <x:v>58</x:v>
      </x:c>
      <x:c r="AG5" s="7" t="s">
        <x:v>58</x:v>
      </x:c>
    </x:row>
    <x:row r="6" ht="51.75" hidden="0" customHeight="1">
      <x:c r="A6" s="7" t="s">
        <x:v>1934</x:v>
      </x:c>
      <x:c r="B6" s="7" t="s">
        <x:v>45</x:v>
      </x:c>
      <x:c r="C6" s="7" t="s">
        <x:v>48</x:v>
      </x:c>
      <x:c r="D6" s="7" t="s">
        <x:v>1935</x:v>
      </x:c>
      <x:c r="E6" s="7" t="s">
        <x:v>1936</x:v>
      </x:c>
      <x:c r="F6" s="7" t="s">
        <x:v>1929</x:v>
      </x:c>
      <x:c r="G6" s="8" t="n">
        <x:v>2865</x:v>
      </x:c>
      <x:c r="H6" s="8" t="s">
        <x:v>58</x:v>
      </x:c>
      <x:c r="I6" s="8" t="s">
        <x:v>58</x:v>
      </x:c>
      <x:c r="J6" s="7" t="s">
        <x:v>1919</x:v>
      </x:c>
      <x:c r="K6" s="8" t="n">
        <x:v>0.001</x:v>
      </x:c>
      <x:c r="L6" s="8" t="n">
        <x:f aca="0">IF(AND(ISNUMBER(G6),P6&lt;&gt;"Unresolved unit / layout"),G6*K6,"Not applicable")</x:f>
        <x:v>2.865</x:v>
      </x:c>
      <x:c r="M6" s="8" t="str">
        <x:f aca="0">IF(AND(ISNUMBER(H6),P6&lt;&gt;"Unresolved unit / layout"),H6*K6,"Not applicable")</x:f>
        <x:v>Not applicable</x:v>
      </x:c>
      <x:c r="N6" s="8" t="str">
        <x:f aca="0">IF(AND(ISNUMBER(I6),P6&lt;&gt;"Unresolved unit / layout"),I6*K6,"Not applicable")</x:f>
        <x:v>Not applicable</x:v>
      </x:c>
      <x:c r="O6" s="7" t="s">
        <x:v>1937</x:v>
      </x:c>
      <x:c r="P6" s="7" t="s">
        <x:v>1921</x:v>
      </x:c>
      <x:c r="Q6" s="7" t="s">
        <x:v>1930</x:v>
      </x:c>
      <x:c r="R6" s="7" t="s">
        <x:v>1931</x:v>
      </x:c>
      <x:c r="S6" s="7" t="s">
        <x:v>53</x:v>
      </x:c>
      <x:c r="T6" s="7" t="s">
        <x:v>53</x:v>
      </x:c>
      <x:c r="U6" s="7" t="s">
        <x:v>53</x:v>
      </x:c>
      <x:c r="V6" s="7" t="s">
        <x:v>1932</x:v>
      </x:c>
      <x:c r="W6" s="7" t="s">
        <x:v>58</x:v>
      </x:c>
      <x:c r="X6" s="7" t="s">
        <x:v>1924</x:v>
      </x:c>
      <x:c r="Y6" s="7" t="s">
        <x:v>1139</x:v>
      </x:c>
      <x:c r="Z6" s="7" t="s">
        <x:v>1938</x:v>
      </x:c>
      <x:c r="AA6" s="7" t="s">
        <x:v>58</x:v>
      </x:c>
      <x:c r="AB6" s="8" t="s">
        <x:v>58</x:v>
      </x:c>
      <x:c r="AC6" s="8" t="s">
        <x:v>58</x:v>
      </x:c>
      <x:c r="AD6" s="8" t="s">
        <x:v>58</x:v>
      </x:c>
      <x:c r="AE6" s="8" t="s">
        <x:v>58</x:v>
      </x:c>
      <x:c r="AF6" s="8" t="s">
        <x:v>58</x:v>
      </x:c>
      <x:c r="AG6" s="7" t="s">
        <x:v>58</x:v>
      </x:c>
    </x:row>
    <x:row r="7" ht="51.75" hidden="0" customHeight="1">
      <x:c r="A7" s="7" t="s">
        <x:v>1939</x:v>
      </x:c>
      <x:c r="B7" s="7" t="s">
        <x:v>45</x:v>
      </x:c>
      <x:c r="C7" s="7" t="s">
        <x:v>48</x:v>
      </x:c>
      <x:c r="D7" s="7" t="s">
        <x:v>1940</x:v>
      </x:c>
      <x:c r="E7" s="7" t="s">
        <x:v>1941</x:v>
      </x:c>
      <x:c r="F7" s="7" t="s">
        <x:v>1942</x:v>
      </x:c>
      <x:c r="G7" s="8" t="n">
        <x:v>8</x:v>
      </x:c>
      <x:c r="H7" s="8" t="s">
        <x:v>58</x:v>
      </x:c>
      <x:c r="I7" s="8" t="s">
        <x:v>58</x:v>
      </x:c>
      <x:c r="J7" s="7" t="s">
        <x:v>1919</x:v>
      </x:c>
      <x:c r="K7" s="8" t="n">
        <x:v>1</x:v>
      </x:c>
      <x:c r="L7" s="8" t="n">
        <x:f aca="0">IF(AND(ISNUMBER(G7),P7&lt;&gt;"Unresolved unit / layout"),G7*K7,"Not applicable")</x:f>
        <x:v>8</x:v>
      </x:c>
      <x:c r="M7" s="8" t="str">
        <x:f aca="0">IF(AND(ISNUMBER(H7),P7&lt;&gt;"Unresolved unit / layout"),H7*K7,"Not applicable")</x:f>
        <x:v>Not applicable</x:v>
      </x:c>
      <x:c r="N7" s="8" t="str">
        <x:f aca="0">IF(AND(ISNUMBER(I7),P7&lt;&gt;"Unresolved unit / layout"),I7*K7,"Not applicable")</x:f>
        <x:v>Not applicable</x:v>
      </x:c>
      <x:c r="O7" s="7" t="s">
        <x:v>1942</x:v>
      </x:c>
      <x:c r="P7" s="7" t="s">
        <x:v>1921</x:v>
      </x:c>
      <x:c r="Q7" s="7" t="s">
        <x:v>1930</x:v>
      </x:c>
      <x:c r="R7" s="7" t="s">
        <x:v>1931</x:v>
      </x:c>
      <x:c r="S7" s="7" t="s">
        <x:v>53</x:v>
      </x:c>
      <x:c r="T7" s="7" t="s">
        <x:v>53</x:v>
      </x:c>
      <x:c r="U7" s="7" t="s">
        <x:v>53</x:v>
      </x:c>
      <x:c r="V7" s="7" t="s">
        <x:v>1932</x:v>
      </x:c>
      <x:c r="W7" s="7" t="s">
        <x:v>58</x:v>
      </x:c>
      <x:c r="X7" s="7" t="s">
        <x:v>1924</x:v>
      </x:c>
      <x:c r="Y7" s="7" t="s">
        <x:v>1139</x:v>
      </x:c>
      <x:c r="Z7" s="7" t="s">
        <x:v>1943</x:v>
      </x:c>
      <x:c r="AA7" s="7" t="s">
        <x:v>58</x:v>
      </x:c>
      <x:c r="AB7" s="8" t="s">
        <x:v>58</x:v>
      </x:c>
      <x:c r="AC7" s="8" t="s">
        <x:v>58</x:v>
      </x:c>
      <x:c r="AD7" s="8" t="s">
        <x:v>58</x:v>
      </x:c>
      <x:c r="AE7" s="8" t="s">
        <x:v>58</x:v>
      </x:c>
      <x:c r="AF7" s="8" t="s">
        <x:v>58</x:v>
      </x:c>
      <x:c r="AG7" s="7" t="s">
        <x:v>58</x:v>
      </x:c>
    </x:row>
    <x:row r="8" ht="51.75" hidden="0" customHeight="1">
      <x:c r="A8" s="7" t="s">
        <x:v>1944</x:v>
      </x:c>
      <x:c r="B8" s="7" t="s">
        <x:v>45</x:v>
      </x:c>
      <x:c r="C8" s="7" t="s">
        <x:v>48</x:v>
      </x:c>
      <x:c r="D8" s="7" t="s">
        <x:v>1945</x:v>
      </x:c>
      <x:c r="E8" s="7" t="s">
        <x:v>1946</x:v>
      </x:c>
      <x:c r="F8" s="7" t="s">
        <x:v>1929</x:v>
      </x:c>
      <x:c r="G8" s="8" t="n">
        <x:v>115</x:v>
      </x:c>
      <x:c r="H8" s="8" t="s">
        <x:v>58</x:v>
      </x:c>
      <x:c r="I8" s="8" t="s">
        <x:v>58</x:v>
      </x:c>
      <x:c r="J8" s="7" t="s">
        <x:v>1919</x:v>
      </x:c>
      <x:c r="K8" s="8" t="n">
        <x:v>1</x:v>
      </x:c>
      <x:c r="L8" s="8" t="n">
        <x:f aca="0">IF(AND(ISNUMBER(G8),P8&lt;&gt;"Unresolved unit / layout"),G8*K8,"Not applicable")</x:f>
        <x:v>115</x:v>
      </x:c>
      <x:c r="M8" s="8" t="str">
        <x:f aca="0">IF(AND(ISNUMBER(H8),P8&lt;&gt;"Unresolved unit / layout"),H8*K8,"Not applicable")</x:f>
        <x:v>Not applicable</x:v>
      </x:c>
      <x:c r="N8" s="8" t="str">
        <x:f aca="0">IF(AND(ISNUMBER(I8),P8&lt;&gt;"Unresolved unit / layout"),I8*K8,"Not applicable")</x:f>
        <x:v>Not applicable</x:v>
      </x:c>
      <x:c r="O8" s="7" t="s">
        <x:v>1929</x:v>
      </x:c>
      <x:c r="P8" s="7" t="s">
        <x:v>1921</x:v>
      </x:c>
      <x:c r="Q8" s="7" t="s">
        <x:v>1930</x:v>
      </x:c>
      <x:c r="R8" s="7" t="s">
        <x:v>1931</x:v>
      </x:c>
      <x:c r="S8" s="7" t="s">
        <x:v>53</x:v>
      </x:c>
      <x:c r="T8" s="7" t="s">
        <x:v>53</x:v>
      </x:c>
      <x:c r="U8" s="7" t="s">
        <x:v>53</x:v>
      </x:c>
      <x:c r="V8" s="7" t="s">
        <x:v>1947</x:v>
      </x:c>
      <x:c r="W8" s="7" t="s">
        <x:v>58</x:v>
      </x:c>
      <x:c r="X8" s="7" t="s">
        <x:v>1924</x:v>
      </x:c>
      <x:c r="Y8" s="7" t="s">
        <x:v>1139</x:v>
      </x:c>
      <x:c r="Z8" s="7" t="s">
        <x:v>1948</x:v>
      </x:c>
      <x:c r="AA8" s="7" t="s">
        <x:v>58</x:v>
      </x:c>
      <x:c r="AB8" s="8" t="s">
        <x:v>58</x:v>
      </x:c>
      <x:c r="AC8" s="8" t="s">
        <x:v>58</x:v>
      </x:c>
      <x:c r="AD8" s="8" t="s">
        <x:v>58</x:v>
      </x:c>
      <x:c r="AE8" s="8" t="s">
        <x:v>58</x:v>
      </x:c>
      <x:c r="AF8" s="8" t="s">
        <x:v>58</x:v>
      </x:c>
      <x:c r="AG8" s="7" t="s">
        <x:v>58</x:v>
      </x:c>
    </x:row>
    <x:row r="9" ht="51.75" hidden="0" customHeight="1">
      <x:c r="A9" s="7" t="s">
        <x:v>1949</x:v>
      </x:c>
      <x:c r="B9" s="7" t="s">
        <x:v>45</x:v>
      </x:c>
      <x:c r="C9" s="7" t="s">
        <x:v>48</x:v>
      </x:c>
      <x:c r="D9" s="7" t="s">
        <x:v>1950</x:v>
      </x:c>
      <x:c r="E9" s="7" t="s">
        <x:v>1951</x:v>
      </x:c>
      <x:c r="F9" s="7" t="s">
        <x:v>1929</x:v>
      </x:c>
      <x:c r="G9" s="8" t="n">
        <x:v>3185</x:v>
      </x:c>
      <x:c r="H9" s="8" t="s">
        <x:v>58</x:v>
      </x:c>
      <x:c r="I9" s="8" t="s">
        <x:v>58</x:v>
      </x:c>
      <x:c r="J9" s="7" t="s">
        <x:v>1919</x:v>
      </x:c>
      <x:c r="K9" s="8" t="n">
        <x:v>0.001</x:v>
      </x:c>
      <x:c r="L9" s="8" t="n">
        <x:f aca="0">IF(AND(ISNUMBER(G9),P9&lt;&gt;"Unresolved unit / layout"),G9*K9,"Not applicable")</x:f>
        <x:v>3.185</x:v>
      </x:c>
      <x:c r="M9" s="8" t="str">
        <x:f aca="0">IF(AND(ISNUMBER(H9),P9&lt;&gt;"Unresolved unit / layout"),H9*K9,"Not applicable")</x:f>
        <x:v>Not applicable</x:v>
      </x:c>
      <x:c r="N9" s="8" t="str">
        <x:f aca="0">IF(AND(ISNUMBER(I9),P9&lt;&gt;"Unresolved unit / layout"),I9*K9,"Not applicable")</x:f>
        <x:v>Not applicable</x:v>
      </x:c>
      <x:c r="O9" s="7" t="s">
        <x:v>1937</x:v>
      </x:c>
      <x:c r="P9" s="7" t="s">
        <x:v>1921</x:v>
      </x:c>
      <x:c r="Q9" s="7" t="s">
        <x:v>1930</x:v>
      </x:c>
      <x:c r="R9" s="7" t="s">
        <x:v>1931</x:v>
      </x:c>
      <x:c r="S9" s="7" t="s">
        <x:v>53</x:v>
      </x:c>
      <x:c r="T9" s="7" t="s">
        <x:v>53</x:v>
      </x:c>
      <x:c r="U9" s="7" t="s">
        <x:v>53</x:v>
      </x:c>
      <x:c r="V9" s="7" t="s">
        <x:v>1947</x:v>
      </x:c>
      <x:c r="W9" s="7" t="s">
        <x:v>58</x:v>
      </x:c>
      <x:c r="X9" s="7" t="s">
        <x:v>1924</x:v>
      </x:c>
      <x:c r="Y9" s="7" t="s">
        <x:v>1139</x:v>
      </x:c>
      <x:c r="Z9" s="7" t="s">
        <x:v>1952</x:v>
      </x:c>
      <x:c r="AA9" s="7" t="s">
        <x:v>58</x:v>
      </x:c>
      <x:c r="AB9" s="8" t="s">
        <x:v>58</x:v>
      </x:c>
      <x:c r="AC9" s="8" t="s">
        <x:v>58</x:v>
      </x:c>
      <x:c r="AD9" s="8" t="s">
        <x:v>58</x:v>
      </x:c>
      <x:c r="AE9" s="8" t="s">
        <x:v>58</x:v>
      </x:c>
      <x:c r="AF9" s="8" t="s">
        <x:v>58</x:v>
      </x:c>
      <x:c r="AG9" s="7" t="s">
        <x:v>58</x:v>
      </x:c>
    </x:row>
    <x:row r="10" ht="51.75" hidden="0" customHeight="1">
      <x:c r="A10" s="7" t="s">
        <x:v>1953</x:v>
      </x:c>
      <x:c r="B10" s="7" t="s">
        <x:v>45</x:v>
      </x:c>
      <x:c r="C10" s="7" t="s">
        <x:v>48</x:v>
      </x:c>
      <x:c r="D10" s="7" t="s">
        <x:v>1954</x:v>
      </x:c>
      <x:c r="E10" s="7" t="s">
        <x:v>1955</x:v>
      </x:c>
      <x:c r="F10" s="7" t="s">
        <x:v>1956</x:v>
      </x:c>
      <x:c r="G10" s="8" t="n">
        <x:v>55</x:v>
      </x:c>
      <x:c r="H10" s="8" t="s">
        <x:v>58</x:v>
      </x:c>
      <x:c r="I10" s="8" t="s">
        <x:v>58</x:v>
      </x:c>
      <x:c r="J10" s="7" t="s">
        <x:v>1919</x:v>
      </x:c>
      <x:c r="K10" s="8" t="n">
        <x:v>1</x:v>
      </x:c>
      <x:c r="L10" s="8" t="n">
        <x:f aca="0">IF(AND(ISNUMBER(G10),P10&lt;&gt;"Unresolved unit / layout"),G10*K10,"Not applicable")</x:f>
        <x:v>55</x:v>
      </x:c>
      <x:c r="M10" s="8" t="str">
        <x:f aca="0">IF(AND(ISNUMBER(H10),P10&lt;&gt;"Unresolved unit / layout"),H10*K10,"Not applicable")</x:f>
        <x:v>Not applicable</x:v>
      </x:c>
      <x:c r="N10" s="8" t="str">
        <x:f aca="0">IF(AND(ISNUMBER(I10),P10&lt;&gt;"Unresolved unit / layout"),I10*K10,"Not applicable")</x:f>
        <x:v>Not applicable</x:v>
      </x:c>
      <x:c r="O10" s="7" t="s">
        <x:v>1956</x:v>
      </x:c>
      <x:c r="P10" s="7" t="s">
        <x:v>1921</x:v>
      </x:c>
      <x:c r="Q10" s="7" t="s">
        <x:v>1930</x:v>
      </x:c>
      <x:c r="R10" s="7" t="s">
        <x:v>58</x:v>
      </x:c>
      <x:c r="S10" s="7" t="s">
        <x:v>53</x:v>
      </x:c>
      <x:c r="T10" s="7" t="s">
        <x:v>53</x:v>
      </x:c>
      <x:c r="U10" s="7" t="s">
        <x:v>53</x:v>
      </x:c>
      <x:c r="V10" s="7" t="s">
        <x:v>1957</x:v>
      </x:c>
      <x:c r="W10" s="7" t="s">
        <x:v>58</x:v>
      </x:c>
      <x:c r="X10" s="7" t="s">
        <x:v>1924</x:v>
      </x:c>
      <x:c r="Y10" s="7" t="s">
        <x:v>1139</x:v>
      </x:c>
      <x:c r="Z10" s="7" t="s">
        <x:v>1958</x:v>
      </x:c>
      <x:c r="AA10" s="7" t="s">
        <x:v>58</x:v>
      </x:c>
      <x:c r="AB10" s="8" t="s">
        <x:v>58</x:v>
      </x:c>
      <x:c r="AC10" s="8" t="s">
        <x:v>58</x:v>
      </x:c>
      <x:c r="AD10" s="8" t="s">
        <x:v>58</x:v>
      </x:c>
      <x:c r="AE10" s="8" t="s">
        <x:v>58</x:v>
      </x:c>
      <x:c r="AF10" s="8" t="s">
        <x:v>58</x:v>
      </x:c>
      <x:c r="AG10" s="7" t="s">
        <x:v>58</x:v>
      </x:c>
    </x:row>
    <x:row r="11" ht="51.75" hidden="0" customHeight="1">
      <x:c r="A11" s="7" t="s">
        <x:v>56</x:v>
      </x:c>
      <x:c r="B11" s="7" t="s">
        <x:v>45</x:v>
      </x:c>
      <x:c r="C11" s="7" t="s">
        <x:v>48</x:v>
      </x:c>
      <x:c r="D11" s="7" t="s">
        <x:v>1959</x:v>
      </x:c>
      <x:c r="E11" s="7" t="s">
        <x:v>1960</x:v>
      </x:c>
      <x:c r="F11" s="7" t="s">
        <x:v>1956</x:v>
      </x:c>
      <x:c r="G11" s="8" t="n">
        <x:v>80</x:v>
      </x:c>
      <x:c r="H11" s="8" t="s">
        <x:v>58</x:v>
      </x:c>
      <x:c r="I11" s="8" t="s">
        <x:v>58</x:v>
      </x:c>
      <x:c r="J11" s="7" t="s">
        <x:v>1919</x:v>
      </x:c>
      <x:c r="K11" s="8" t="n">
        <x:v>1</x:v>
      </x:c>
      <x:c r="L11" s="8" t="n">
        <x:f aca="0">IF(AND(ISNUMBER(G11),P11&lt;&gt;"Unresolved unit / layout"),G11*K11,"Not applicable")</x:f>
        <x:v>80</x:v>
      </x:c>
      <x:c r="M11" s="8" t="str">
        <x:f aca="0">IF(AND(ISNUMBER(H11),P11&lt;&gt;"Unresolved unit / layout"),H11*K11,"Not applicable")</x:f>
        <x:v>Not applicable</x:v>
      </x:c>
      <x:c r="N11" s="8" t="str">
        <x:f aca="0">IF(AND(ISNUMBER(I11),P11&lt;&gt;"Unresolved unit / layout"),I11*K11,"Not applicable")</x:f>
        <x:v>Not applicable</x:v>
      </x:c>
      <x:c r="O11" s="7" t="s">
        <x:v>1956</x:v>
      </x:c>
      <x:c r="P11" s="7" t="s">
        <x:v>1921</x:v>
      </x:c>
      <x:c r="Q11" s="7" t="s">
        <x:v>1930</x:v>
      </x:c>
      <x:c r="R11" s="7" t="s">
        <x:v>58</x:v>
      </x:c>
      <x:c r="S11" s="7" t="s">
        <x:v>53</x:v>
      </x:c>
      <x:c r="T11" s="7" t="s">
        <x:v>53</x:v>
      </x:c>
      <x:c r="U11" s="7" t="s">
        <x:v>53</x:v>
      </x:c>
      <x:c r="V11" s="7" t="s">
        <x:v>1961</x:v>
      </x:c>
      <x:c r="W11" s="7" t="s">
        <x:v>58</x:v>
      </x:c>
      <x:c r="X11" s="7" t="s">
        <x:v>1924</x:v>
      </x:c>
      <x:c r="Y11" s="7" t="s">
        <x:v>1139</x:v>
      </x:c>
      <x:c r="Z11" s="7" t="s">
        <x:v>1962</x:v>
      </x:c>
      <x:c r="AA11" s="7" t="s">
        <x:v>58</x:v>
      </x:c>
      <x:c r="AB11" s="8" t="s">
        <x:v>58</x:v>
      </x:c>
      <x:c r="AC11" s="8" t="s">
        <x:v>58</x:v>
      </x:c>
      <x:c r="AD11" s="8" t="s">
        <x:v>58</x:v>
      </x:c>
      <x:c r="AE11" s="8" t="s">
        <x:v>58</x:v>
      </x:c>
      <x:c r="AF11" s="8" t="s">
        <x:v>58</x:v>
      </x:c>
      <x:c r="AG11" s="7" t="s">
        <x:v>58</x:v>
      </x:c>
    </x:row>
    <x:row r="12" ht="66" hidden="0" customHeight="1">
      <x:c r="A12" s="7" t="s">
        <x:v>1963</x:v>
      </x:c>
      <x:c r="B12" s="7" t="s">
        <x:v>45</x:v>
      </x:c>
      <x:c r="C12" s="7" t="s">
        <x:v>1145</x:v>
      </x:c>
      <x:c r="D12" s="7" t="s">
        <x:v>1916</x:v>
      </x:c>
      <x:c r="E12" s="7" t="s">
        <x:v>1964</x:v>
      </x:c>
      <x:c r="F12" s="7" t="s">
        <x:v>1965</x:v>
      </x:c>
      <x:c r="G12" s="8" t="n">
        <x:v>1.23</x:v>
      </x:c>
      <x:c r="H12" s="8" t="s">
        <x:v>58</x:v>
      </x:c>
      <x:c r="I12" s="8" t="s">
        <x:v>58</x:v>
      </x:c>
      <x:c r="J12" s="7" t="s">
        <x:v>1919</x:v>
      </x:c>
      <x:c r="K12" s="8" t="n">
        <x:v>1000</x:v>
      </x:c>
      <x:c r="L12" s="8" t="n">
        <x:f aca="0">IF(AND(ISNUMBER(G12),P12&lt;&gt;"Unresolved unit / layout"),G12*K12,"Not applicable")</x:f>
        <x:v>1230</x:v>
      </x:c>
      <x:c r="M12" s="8" t="str">
        <x:f aca="0">IF(AND(ISNUMBER(H12),P12&lt;&gt;"Unresolved unit / layout"),H12*K12,"Not applicable")</x:f>
        <x:v>Not applicable</x:v>
      </x:c>
      <x:c r="N12" s="8" t="str">
        <x:f aca="0">IF(AND(ISNUMBER(I12),P12&lt;&gt;"Unresolved unit / layout"),I12*K12,"Not applicable")</x:f>
        <x:v>Not applicable</x:v>
      </x:c>
      <x:c r="O12" s="7" t="s">
        <x:v>1920</x:v>
      </x:c>
      <x:c r="P12" s="7" t="s">
        <x:v>1921</x:v>
      </x:c>
      <x:c r="Q12" s="7" t="s">
        <x:v>1922</x:v>
      </x:c>
      <x:c r="R12" s="7" t="s">
        <x:v>58</x:v>
      </x:c>
      <x:c r="S12" s="7" t="s">
        <x:v>53</x:v>
      </x:c>
      <x:c r="T12" s="7" t="s">
        <x:v>53</x:v>
      </x:c>
      <x:c r="U12" s="7" t="s">
        <x:v>53</x:v>
      </x:c>
      <x:c r="V12" s="7" t="s">
        <x:v>1966</x:v>
      </x:c>
      <x:c r="W12" s="7" t="s">
        <x:v>58</x:v>
      </x:c>
      <x:c r="X12" s="7" t="s">
        <x:v>1967</x:v>
      </x:c>
      <x:c r="Y12" s="7" t="s">
        <x:v>1148</x:v>
      </x:c>
      <x:c r="Z12" s="7" t="s">
        <x:v>1968</x:v>
      </x:c>
      <x:c r="AA12" s="7" t="s">
        <x:v>58</x:v>
      </x:c>
      <x:c r="AB12" s="8" t="s">
        <x:v>58</x:v>
      </x:c>
      <x:c r="AC12" s="8" t="s">
        <x:v>58</x:v>
      </x:c>
      <x:c r="AD12" s="8" t="s">
        <x:v>58</x:v>
      </x:c>
      <x:c r="AE12" s="8" t="s">
        <x:v>58</x:v>
      </x:c>
      <x:c r="AF12" s="8" t="s">
        <x:v>58</x:v>
      </x:c>
      <x:c r="AG12" s="7" t="s">
        <x:v>58</x:v>
      </x:c>
    </x:row>
    <x:row r="13" ht="66" hidden="0" customHeight="1">
      <x:c r="A13" s="7" t="s">
        <x:v>1969</x:v>
      </x:c>
      <x:c r="B13" s="7" t="s">
        <x:v>45</x:v>
      </x:c>
      <x:c r="C13" s="7" t="s">
        <x:v>1145</x:v>
      </x:c>
      <x:c r="D13" s="7" t="s">
        <x:v>1954</x:v>
      </x:c>
      <x:c r="E13" s="7" t="s">
        <x:v>1970</x:v>
      </x:c>
      <x:c r="F13" s="7" t="s">
        <x:v>1956</x:v>
      </x:c>
      <x:c r="G13" s="8" t="n">
        <x:v>59</x:v>
      </x:c>
      <x:c r="H13" s="8" t="s">
        <x:v>58</x:v>
      </x:c>
      <x:c r="I13" s="8" t="s">
        <x:v>58</x:v>
      </x:c>
      <x:c r="J13" s="7" t="s">
        <x:v>1919</x:v>
      </x:c>
      <x:c r="K13" s="8" t="n">
        <x:v>1</x:v>
      </x:c>
      <x:c r="L13" s="8" t="n">
        <x:f aca="0">IF(AND(ISNUMBER(G13),P13&lt;&gt;"Unresolved unit / layout"),G13*K13,"Not applicable")</x:f>
        <x:v>59</x:v>
      </x:c>
      <x:c r="M13" s="8" t="str">
        <x:f aca="0">IF(AND(ISNUMBER(H13),P13&lt;&gt;"Unresolved unit / layout"),H13*K13,"Not applicable")</x:f>
        <x:v>Not applicable</x:v>
      </x:c>
      <x:c r="N13" s="8" t="str">
        <x:f aca="0">IF(AND(ISNUMBER(I13),P13&lt;&gt;"Unresolved unit / layout"),I13*K13,"Not applicable")</x:f>
        <x:v>Not applicable</x:v>
      </x:c>
      <x:c r="O13" s="7" t="s">
        <x:v>1956</x:v>
      </x:c>
      <x:c r="P13" s="7" t="s">
        <x:v>1921</x:v>
      </x:c>
      <x:c r="Q13" s="7" t="s">
        <x:v>1930</x:v>
      </x:c>
      <x:c r="R13" s="7" t="s">
        <x:v>58</x:v>
      </x:c>
      <x:c r="S13" s="7" t="s">
        <x:v>53</x:v>
      </x:c>
      <x:c r="T13" s="7" t="s">
        <x:v>53</x:v>
      </x:c>
      <x:c r="U13" s="7" t="s">
        <x:v>53</x:v>
      </x:c>
      <x:c r="V13" s="7" t="s">
        <x:v>1971</x:v>
      </x:c>
      <x:c r="W13" s="7" t="s">
        <x:v>58</x:v>
      </x:c>
      <x:c r="X13" s="7" t="s">
        <x:v>1967</x:v>
      </x:c>
      <x:c r="Y13" s="7" t="s">
        <x:v>1148</x:v>
      </x:c>
      <x:c r="Z13" s="7" t="s">
        <x:v>1972</x:v>
      </x:c>
      <x:c r="AA13" s="7" t="s">
        <x:v>58</x:v>
      </x:c>
      <x:c r="AB13" s="8" t="s">
        <x:v>58</x:v>
      </x:c>
      <x:c r="AC13" s="8" t="s">
        <x:v>58</x:v>
      </x:c>
      <x:c r="AD13" s="8" t="s">
        <x:v>58</x:v>
      </x:c>
      <x:c r="AE13" s="8" t="s">
        <x:v>58</x:v>
      </x:c>
      <x:c r="AF13" s="8" t="s">
        <x:v>58</x:v>
      </x:c>
      <x:c r="AG13" s="7" t="s">
        <x:v>58</x:v>
      </x:c>
    </x:row>
    <x:row r="14" ht="66" hidden="0" customHeight="1">
      <x:c r="A14" s="7" t="s">
        <x:v>1973</x:v>
      </x:c>
      <x:c r="B14" s="7" t="s">
        <x:v>45</x:v>
      </x:c>
      <x:c r="C14" s="7" t="s">
        <x:v>1145</x:v>
      </x:c>
      <x:c r="D14" s="7" t="s">
        <x:v>1974</x:v>
      </x:c>
      <x:c r="E14" s="7" t="s">
        <x:v>1975</x:v>
      </x:c>
      <x:c r="F14" s="7" t="s">
        <x:v>1956</x:v>
      </x:c>
      <x:c r="G14" s="8" t="n">
        <x:v>164</x:v>
      </x:c>
      <x:c r="H14" s="8" t="s">
        <x:v>58</x:v>
      </x:c>
      <x:c r="I14" s="8" t="s">
        <x:v>58</x:v>
      </x:c>
      <x:c r="J14" s="7" t="s">
        <x:v>1919</x:v>
      </x:c>
      <x:c r="K14" s="8" t="n">
        <x:v>1</x:v>
      </x:c>
      <x:c r="L14" s="8" t="n">
        <x:f aca="0">IF(AND(ISNUMBER(G14),P14&lt;&gt;"Unresolved unit / layout"),G14*K14,"Not applicable")</x:f>
        <x:v>164</x:v>
      </x:c>
      <x:c r="M14" s="8" t="str">
        <x:f aca="0">IF(AND(ISNUMBER(H14),P14&lt;&gt;"Unresolved unit / layout"),H14*K14,"Not applicable")</x:f>
        <x:v>Not applicable</x:v>
      </x:c>
      <x:c r="N14" s="8" t="str">
        <x:f aca="0">IF(AND(ISNUMBER(I14),P14&lt;&gt;"Unresolved unit / layout"),I14*K14,"Not applicable")</x:f>
        <x:v>Not applicable</x:v>
      </x:c>
      <x:c r="O14" s="7" t="s">
        <x:v>1956</x:v>
      </x:c>
      <x:c r="P14" s="7" t="s">
        <x:v>1921</x:v>
      </x:c>
      <x:c r="Q14" s="7" t="s">
        <x:v>1930</x:v>
      </x:c>
      <x:c r="R14" s="7" t="s">
        <x:v>58</x:v>
      </x:c>
      <x:c r="S14" s="7" t="s">
        <x:v>53</x:v>
      </x:c>
      <x:c r="T14" s="7" t="s">
        <x:v>53</x:v>
      </x:c>
      <x:c r="U14" s="7" t="s">
        <x:v>53</x:v>
      </x:c>
      <x:c r="V14" s="7" t="s">
        <x:v>1971</x:v>
      </x:c>
      <x:c r="W14" s="7" t="s">
        <x:v>58</x:v>
      </x:c>
      <x:c r="X14" s="7" t="s">
        <x:v>1967</x:v>
      </x:c>
      <x:c r="Y14" s="7" t="s">
        <x:v>1148</x:v>
      </x:c>
      <x:c r="Z14" s="7" t="s">
        <x:v>1976</x:v>
      </x:c>
      <x:c r="AA14" s="7" t="s">
        <x:v>58</x:v>
      </x:c>
      <x:c r="AB14" s="8" t="s">
        <x:v>58</x:v>
      </x:c>
      <x:c r="AC14" s="8" t="s">
        <x:v>58</x:v>
      </x:c>
      <x:c r="AD14" s="8" t="s">
        <x:v>58</x:v>
      </x:c>
      <x:c r="AE14" s="8" t="s">
        <x:v>58</x:v>
      </x:c>
      <x:c r="AF14" s="8" t="s">
        <x:v>58</x:v>
      </x:c>
      <x:c r="AG14" s="7" t="s">
        <x:v>58</x:v>
      </x:c>
    </x:row>
    <x:row r="15" ht="66" hidden="0" customHeight="1">
      <x:c r="A15" s="7" t="s">
        <x:v>1977</x:v>
      </x:c>
      <x:c r="B15" s="7" t="s">
        <x:v>45</x:v>
      </x:c>
      <x:c r="C15" s="7" t="s">
        <x:v>1145</x:v>
      </x:c>
      <x:c r="D15" s="7" t="s">
        <x:v>1978</x:v>
      </x:c>
      <x:c r="E15" s="7" t="s">
        <x:v>1979</x:v>
      </x:c>
      <x:c r="F15" s="7" t="s">
        <x:v>1956</x:v>
      </x:c>
      <x:c r="G15" s="8" t="n">
        <x:v>96</x:v>
      </x:c>
      <x:c r="H15" s="8" t="s">
        <x:v>58</x:v>
      </x:c>
      <x:c r="I15" s="8" t="s">
        <x:v>58</x:v>
      </x:c>
      <x:c r="J15" s="7" t="s">
        <x:v>1919</x:v>
      </x:c>
      <x:c r="K15" s="8" t="n">
        <x:v>1</x:v>
      </x:c>
      <x:c r="L15" s="8" t="n">
        <x:f aca="0">IF(AND(ISNUMBER(G15),P15&lt;&gt;"Unresolved unit / layout"),G15*K15,"Not applicable")</x:f>
        <x:v>96</x:v>
      </x:c>
      <x:c r="M15" s="8" t="str">
        <x:f aca="0">IF(AND(ISNUMBER(H15),P15&lt;&gt;"Unresolved unit / layout"),H15*K15,"Not applicable")</x:f>
        <x:v>Not applicable</x:v>
      </x:c>
      <x:c r="N15" s="8" t="str">
        <x:f aca="0">IF(AND(ISNUMBER(I15),P15&lt;&gt;"Unresolved unit / layout"),I15*K15,"Not applicable")</x:f>
        <x:v>Not applicable</x:v>
      </x:c>
      <x:c r="O15" s="7" t="s">
        <x:v>1956</x:v>
      </x:c>
      <x:c r="P15" s="7" t="s">
        <x:v>1921</x:v>
      </x:c>
      <x:c r="Q15" s="7" t="s">
        <x:v>1930</x:v>
      </x:c>
      <x:c r="R15" s="7" t="s">
        <x:v>58</x:v>
      </x:c>
      <x:c r="S15" s="7" t="s">
        <x:v>53</x:v>
      </x:c>
      <x:c r="T15" s="7" t="s">
        <x:v>53</x:v>
      </x:c>
      <x:c r="U15" s="7" t="s">
        <x:v>53</x:v>
      </x:c>
      <x:c r="V15" s="7" t="s">
        <x:v>1971</x:v>
      </x:c>
      <x:c r="W15" s="7" t="s">
        <x:v>58</x:v>
      </x:c>
      <x:c r="X15" s="7" t="s">
        <x:v>1967</x:v>
      </x:c>
      <x:c r="Y15" s="7" t="s">
        <x:v>1148</x:v>
      </x:c>
      <x:c r="Z15" s="7" t="s">
        <x:v>1980</x:v>
      </x:c>
      <x:c r="AA15" s="7" t="s">
        <x:v>58</x:v>
      </x:c>
      <x:c r="AB15" s="8" t="s">
        <x:v>58</x:v>
      </x:c>
      <x:c r="AC15" s="8" t="s">
        <x:v>58</x:v>
      </x:c>
      <x:c r="AD15" s="8" t="s">
        <x:v>58</x:v>
      </x:c>
      <x:c r="AE15" s="8" t="s">
        <x:v>58</x:v>
      </x:c>
      <x:c r="AF15" s="8" t="s">
        <x:v>58</x:v>
      </x:c>
      <x:c r="AG15" s="7" t="s">
        <x:v>58</x:v>
      </x:c>
    </x:row>
    <x:row r="16" ht="66" hidden="0" customHeight="1">
      <x:c r="A16" s="7" t="s">
        <x:v>1981</x:v>
      </x:c>
      <x:c r="B16" s="7" t="s">
        <x:v>45</x:v>
      </x:c>
      <x:c r="C16" s="7" t="s">
        <x:v>1145</x:v>
      </x:c>
      <x:c r="D16" s="7" t="s">
        <x:v>1982</x:v>
      </x:c>
      <x:c r="E16" s="7" t="s">
        <x:v>1983</x:v>
      </x:c>
      <x:c r="F16" s="7" t="s">
        <x:v>1956</x:v>
      </x:c>
      <x:c r="G16" s="8" t="n">
        <x:v>61</x:v>
      </x:c>
      <x:c r="H16" s="8" t="s">
        <x:v>58</x:v>
      </x:c>
      <x:c r="I16" s="8" t="s">
        <x:v>58</x:v>
      </x:c>
      <x:c r="J16" s="7" t="s">
        <x:v>1919</x:v>
      </x:c>
      <x:c r="K16" s="8" t="n">
        <x:v>1</x:v>
      </x:c>
      <x:c r="L16" s="8" t="n">
        <x:f aca="0">IF(AND(ISNUMBER(G16),P16&lt;&gt;"Unresolved unit / layout"),G16*K16,"Not applicable")</x:f>
        <x:v>61</x:v>
      </x:c>
      <x:c r="M16" s="8" t="str">
        <x:f aca="0">IF(AND(ISNUMBER(H16),P16&lt;&gt;"Unresolved unit / layout"),H16*K16,"Not applicable")</x:f>
        <x:v>Not applicable</x:v>
      </x:c>
      <x:c r="N16" s="8" t="str">
        <x:f aca="0">IF(AND(ISNUMBER(I16),P16&lt;&gt;"Unresolved unit / layout"),I16*K16,"Not applicable")</x:f>
        <x:v>Not applicable</x:v>
      </x:c>
      <x:c r="O16" s="7" t="s">
        <x:v>1956</x:v>
      </x:c>
      <x:c r="P16" s="7" t="s">
        <x:v>1921</x:v>
      </x:c>
      <x:c r="Q16" s="7" t="s">
        <x:v>1930</x:v>
      </x:c>
      <x:c r="R16" s="7" t="s">
        <x:v>58</x:v>
      </x:c>
      <x:c r="S16" s="7" t="s">
        <x:v>53</x:v>
      </x:c>
      <x:c r="T16" s="7" t="s">
        <x:v>53</x:v>
      </x:c>
      <x:c r="U16" s="7" t="s">
        <x:v>53</x:v>
      </x:c>
      <x:c r="V16" s="7" t="s">
        <x:v>1984</x:v>
      </x:c>
      <x:c r="W16" s="7" t="s">
        <x:v>58</x:v>
      </x:c>
      <x:c r="X16" s="7" t="s">
        <x:v>1967</x:v>
      </x:c>
      <x:c r="Y16" s="7" t="s">
        <x:v>1148</x:v>
      </x:c>
      <x:c r="Z16" s="7" t="s">
        <x:v>1985</x:v>
      </x:c>
      <x:c r="AA16" s="7" t="s">
        <x:v>58</x:v>
      </x:c>
      <x:c r="AB16" s="8" t="s">
        <x:v>58</x:v>
      </x:c>
      <x:c r="AC16" s="8" t="s">
        <x:v>58</x:v>
      </x:c>
      <x:c r="AD16" s="8" t="s">
        <x:v>58</x:v>
      </x:c>
      <x:c r="AE16" s="8" t="s">
        <x:v>58</x:v>
      </x:c>
      <x:c r="AF16" s="8" t="s">
        <x:v>58</x:v>
      </x:c>
      <x:c r="AG16" s="7" t="s">
        <x:v>58</x:v>
      </x:c>
    </x:row>
    <x:row r="17" ht="66" hidden="0" customHeight="1">
      <x:c r="A17" s="7" t="s">
        <x:v>1986</x:v>
      </x:c>
      <x:c r="B17" s="7" t="s">
        <x:v>45</x:v>
      </x:c>
      <x:c r="C17" s="7" t="s">
        <x:v>1145</x:v>
      </x:c>
      <x:c r="D17" s="7" t="s">
        <x:v>1959</x:v>
      </x:c>
      <x:c r="E17" s="7" t="s">
        <x:v>1987</x:v>
      </x:c>
      <x:c r="F17" s="7" t="s">
        <x:v>1956</x:v>
      </x:c>
      <x:c r="G17" s="8" t="n">
        <x:v>52</x:v>
      </x:c>
      <x:c r="H17" s="8" t="s">
        <x:v>58</x:v>
      </x:c>
      <x:c r="I17" s="8" t="s">
        <x:v>58</x:v>
      </x:c>
      <x:c r="J17" s="7" t="s">
        <x:v>1919</x:v>
      </x:c>
      <x:c r="K17" s="8" t="n">
        <x:v>1</x:v>
      </x:c>
      <x:c r="L17" s="8" t="n">
        <x:f aca="0">IF(AND(ISNUMBER(G17),P17&lt;&gt;"Unresolved unit / layout"),G17*K17,"Not applicable")</x:f>
        <x:v>52</x:v>
      </x:c>
      <x:c r="M17" s="8" t="str">
        <x:f aca="0">IF(AND(ISNUMBER(H17),P17&lt;&gt;"Unresolved unit / layout"),H17*K17,"Not applicable")</x:f>
        <x:v>Not applicable</x:v>
      </x:c>
      <x:c r="N17" s="8" t="str">
        <x:f aca="0">IF(AND(ISNUMBER(I17),P17&lt;&gt;"Unresolved unit / layout"),I17*K17,"Not applicable")</x:f>
        <x:v>Not applicable</x:v>
      </x:c>
      <x:c r="O17" s="7" t="s">
        <x:v>1956</x:v>
      </x:c>
      <x:c r="P17" s="7" t="s">
        <x:v>1921</x:v>
      </x:c>
      <x:c r="Q17" s="7" t="s">
        <x:v>1930</x:v>
      </x:c>
      <x:c r="R17" s="7" t="s">
        <x:v>58</x:v>
      </x:c>
      <x:c r="S17" s="7" t="s">
        <x:v>53</x:v>
      </x:c>
      <x:c r="T17" s="7" t="s">
        <x:v>53</x:v>
      </x:c>
      <x:c r="U17" s="7" t="s">
        <x:v>53</x:v>
      </x:c>
      <x:c r="V17" s="7" t="s">
        <x:v>1988</x:v>
      </x:c>
      <x:c r="W17" s="7" t="s">
        <x:v>58</x:v>
      </x:c>
      <x:c r="X17" s="7" t="s">
        <x:v>1967</x:v>
      </x:c>
      <x:c r="Y17" s="7" t="s">
        <x:v>1148</x:v>
      </x:c>
      <x:c r="Z17" s="7" t="s">
        <x:v>1989</x:v>
      </x:c>
      <x:c r="AA17" s="7" t="s">
        <x:v>58</x:v>
      </x:c>
      <x:c r="AB17" s="8" t="s">
        <x:v>58</x:v>
      </x:c>
      <x:c r="AC17" s="8" t="s">
        <x:v>58</x:v>
      </x:c>
      <x:c r="AD17" s="8" t="s">
        <x:v>58</x:v>
      </x:c>
      <x:c r="AE17" s="8" t="s">
        <x:v>58</x:v>
      </x:c>
      <x:c r="AF17" s="8" t="s">
        <x:v>58</x:v>
      </x:c>
      <x:c r="AG17" s="7" t="s">
        <x:v>58</x:v>
      </x:c>
    </x:row>
    <x:row r="18" ht="66" hidden="0" customHeight="1">
      <x:c r="A18" s="7" t="s">
        <x:v>1990</x:v>
      </x:c>
      <x:c r="B18" s="7" t="s">
        <x:v>45</x:v>
      </x:c>
      <x:c r="C18" s="7" t="s">
        <x:v>1145</x:v>
      </x:c>
      <x:c r="D18" s="7" t="s">
        <x:v>1959</x:v>
      </x:c>
      <x:c r="E18" s="7" t="s">
        <x:v>1991</x:v>
      </x:c>
      <x:c r="F18" s="7" t="s">
        <x:v>1956</x:v>
      </x:c>
      <x:c r="G18" s="8" t="n">
        <x:v>53</x:v>
      </x:c>
      <x:c r="H18" s="8" t="s">
        <x:v>58</x:v>
      </x:c>
      <x:c r="I18" s="8" t="s">
        <x:v>58</x:v>
      </x:c>
      <x:c r="J18" s="7" t="s">
        <x:v>1919</x:v>
      </x:c>
      <x:c r="K18" s="8" t="n">
        <x:v>1</x:v>
      </x:c>
      <x:c r="L18" s="8" t="n">
        <x:f aca="0">IF(AND(ISNUMBER(G18),P18&lt;&gt;"Unresolved unit / layout"),G18*K18,"Not applicable")</x:f>
        <x:v>53</x:v>
      </x:c>
      <x:c r="M18" s="8" t="str">
        <x:f aca="0">IF(AND(ISNUMBER(H18),P18&lt;&gt;"Unresolved unit / layout"),H18*K18,"Not applicable")</x:f>
        <x:v>Not applicable</x:v>
      </x:c>
      <x:c r="N18" s="8" t="str">
        <x:f aca="0">IF(AND(ISNUMBER(I18),P18&lt;&gt;"Unresolved unit / layout"),I18*K18,"Not applicable")</x:f>
        <x:v>Not applicable</x:v>
      </x:c>
      <x:c r="O18" s="7" t="s">
        <x:v>1956</x:v>
      </x:c>
      <x:c r="P18" s="7" t="s">
        <x:v>1921</x:v>
      </x:c>
      <x:c r="Q18" s="7" t="s">
        <x:v>1930</x:v>
      </x:c>
      <x:c r="R18" s="7" t="s">
        <x:v>58</x:v>
      </x:c>
      <x:c r="S18" s="7" t="s">
        <x:v>53</x:v>
      </x:c>
      <x:c r="T18" s="7" t="s">
        <x:v>53</x:v>
      </x:c>
      <x:c r="U18" s="7" t="s">
        <x:v>53</x:v>
      </x:c>
      <x:c r="V18" s="7" t="s">
        <x:v>1992</x:v>
      </x:c>
      <x:c r="W18" s="7" t="s">
        <x:v>58</x:v>
      </x:c>
      <x:c r="X18" s="7" t="s">
        <x:v>1967</x:v>
      </x:c>
      <x:c r="Y18" s="7" t="s">
        <x:v>1148</x:v>
      </x:c>
      <x:c r="Z18" s="7" t="s">
        <x:v>1989</x:v>
      </x:c>
      <x:c r="AA18" s="7" t="s">
        <x:v>58</x:v>
      </x:c>
      <x:c r="AB18" s="8" t="s">
        <x:v>58</x:v>
      </x:c>
      <x:c r="AC18" s="8" t="s">
        <x:v>58</x:v>
      </x:c>
      <x:c r="AD18" s="8" t="s">
        <x:v>58</x:v>
      </x:c>
      <x:c r="AE18" s="8" t="s">
        <x:v>58</x:v>
      </x:c>
      <x:c r="AF18" s="8" t="s">
        <x:v>58</x:v>
      </x:c>
      <x:c r="AG18" s="7" t="s">
        <x:v>58</x:v>
      </x:c>
    </x:row>
    <x:row r="19" ht="66" hidden="0" customHeight="1">
      <x:c r="A19" s="7" t="s">
        <x:v>1993</x:v>
      </x:c>
      <x:c r="B19" s="7" t="s">
        <x:v>45</x:v>
      </x:c>
      <x:c r="C19" s="7" t="s">
        <x:v>1145</x:v>
      </x:c>
      <x:c r="D19" s="7" t="s">
        <x:v>1994</x:v>
      </x:c>
      <x:c r="E19" s="7" t="s">
        <x:v>1995</x:v>
      </x:c>
      <x:c r="F19" s="7" t="s">
        <x:v>53</x:v>
      </x:c>
      <x:c r="G19" s="8" t="s">
        <x:v>53</x:v>
      </x:c>
      <x:c r="H19" s="8" t="s">
        <x:v>58</x:v>
      </x:c>
      <x:c r="I19" s="8" t="s">
        <x:v>58</x:v>
      </x:c>
      <x:c r="J19" s="7" t="s">
        <x:v>58</x:v>
      </x:c>
      <x:c r="K19" s="8" t="n">
        <x:v>1</x:v>
      </x:c>
      <x:c r="L19" s="8" t="str">
        <x:f aca="0">IF(AND(ISNUMBER(G19),P19&lt;&gt;"Unresolved unit / layout"),G19*K19,"Not published")</x:f>
        <x:v>Not published</x:v>
      </x:c>
      <x:c r="M19" s="8" t="str">
        <x:f aca="0">IF(AND(ISNUMBER(H19),P19&lt;&gt;"Unresolved unit / layout"),H19*K19,"Not applicable")</x:f>
        <x:v>Not applicable</x:v>
      </x:c>
      <x:c r="N19" s="8" t="str">
        <x:f aca="0">IF(AND(ISNUMBER(I19),P19&lt;&gt;"Unresolved unit / layout"),I19*K19,"Not applicable")</x:f>
        <x:v>Not applicable</x:v>
      </x:c>
      <x:c r="O19" s="7" t="s">
        <x:v>53</x:v>
      </x:c>
      <x:c r="P19" s="7" t="s">
        <x:v>53</x:v>
      </x:c>
      <x:c r="Q19" s="7" t="s">
        <x:v>1930</x:v>
      </x:c>
      <x:c r="R19" s="7" t="s">
        <x:v>53</x:v>
      </x:c>
      <x:c r="S19" s="7" t="s">
        <x:v>53</x:v>
      </x:c>
      <x:c r="T19" s="7" t="s">
        <x:v>53</x:v>
      </x:c>
      <x:c r="U19" s="7" t="s">
        <x:v>53</x:v>
      </x:c>
      <x:c r="V19" s="7" t="s">
        <x:v>1995</x:v>
      </x:c>
      <x:c r="W19" s="7" t="s">
        <x:v>58</x:v>
      </x:c>
      <x:c r="X19" s="7" t="s">
        <x:v>1967</x:v>
      </x:c>
      <x:c r="Y19" s="7" t="s">
        <x:v>1148</x:v>
      </x:c>
      <x:c r="Z19" s="7" t="s">
        <x:v>1996</x:v>
      </x:c>
      <x:c r="AA19" s="7" t="s">
        <x:v>58</x:v>
      </x:c>
      <x:c r="AB19" s="8" t="s">
        <x:v>58</x:v>
      </x:c>
      <x:c r="AC19" s="8" t="s">
        <x:v>58</x:v>
      </x:c>
      <x:c r="AD19" s="8" t="s">
        <x:v>58</x:v>
      </x:c>
      <x:c r="AE19" s="8" t="s">
        <x:v>58</x:v>
      </x:c>
      <x:c r="AF19" s="8" t="s">
        <x:v>58</x:v>
      </x:c>
      <x:c r="AG19" s="7" t="s">
        <x:v>58</x:v>
      </x:c>
    </x:row>
    <x:row r="20" ht="66" hidden="0" customHeight="1">
      <x:c r="A20" s="7" t="s">
        <x:v>1997</x:v>
      </x:c>
      <x:c r="B20" s="7" t="s">
        <x:v>45</x:v>
      </x:c>
      <x:c r="C20" s="7" t="s">
        <x:v>1145</x:v>
      </x:c>
      <x:c r="D20" s="7" t="s">
        <x:v>1935</x:v>
      </x:c>
      <x:c r="E20" s="7" t="s">
        <x:v>1998</x:v>
      </x:c>
      <x:c r="F20" s="7" t="s">
        <x:v>1929</x:v>
      </x:c>
      <x:c r="G20" s="8" t="n">
        <x:v>2878.3</x:v>
      </x:c>
      <x:c r="H20" s="8" t="n">
        <x:v>74.3</x:v>
      </x:c>
      <x:c r="I20" s="8" t="s">
        <x:v>58</x:v>
      </x:c>
      <x:c r="J20" s="7" t="s">
        <x:v>1919</x:v>
      </x:c>
      <x:c r="K20" s="8" t="n">
        <x:v>0.001</x:v>
      </x:c>
      <x:c r="L20" s="8" t="n">
        <x:f aca="0">IF(AND(ISNUMBER(G20),P20&lt;&gt;"Unresolved unit / layout"),G20*K20,"Not applicable")</x:f>
        <x:v>2.8783000000000003</x:v>
      </x:c>
      <x:c r="M20" s="8" t="n">
        <x:f aca="0">IF(AND(ISNUMBER(H20),P20&lt;&gt;"Unresolved unit / layout"),H20*K20,"Not applicable")</x:f>
        <x:v>0.0743</x:v>
      </x:c>
      <x:c r="N20" s="8" t="str">
        <x:f aca="0">IF(AND(ISNUMBER(I20),P20&lt;&gt;"Unresolved unit / layout"),I20*K20,"Not applicable")</x:f>
        <x:v>Not applicable</x:v>
      </x:c>
      <x:c r="O20" s="7" t="s">
        <x:v>1937</x:v>
      </x:c>
      <x:c r="P20" s="7" t="s">
        <x:v>1921</x:v>
      </x:c>
      <x:c r="Q20" s="7" t="s">
        <x:v>1930</x:v>
      </x:c>
      <x:c r="R20" s="7" t="s">
        <x:v>1931</x:v>
      </x:c>
      <x:c r="S20" s="7" t="s">
        <x:v>53</x:v>
      </x:c>
      <x:c r="T20" s="7" t="s">
        <x:v>53</x:v>
      </x:c>
      <x:c r="U20" s="7" t="s">
        <x:v>53</x:v>
      </x:c>
      <x:c r="V20" s="7" t="s">
        <x:v>1999</x:v>
      </x:c>
      <x:c r="W20" s="7" t="s">
        <x:v>58</x:v>
      </x:c>
      <x:c r="X20" s="7" t="s">
        <x:v>1967</x:v>
      </x:c>
      <x:c r="Y20" s="7" t="s">
        <x:v>1148</x:v>
      </x:c>
      <x:c r="Z20" s="7" t="s">
        <x:v>2000</x:v>
      </x:c>
      <x:c r="AA20" s="7" t="s">
        <x:v>58</x:v>
      </x:c>
      <x:c r="AB20" s="8" t="s">
        <x:v>58</x:v>
      </x:c>
      <x:c r="AC20" s="8" t="s">
        <x:v>58</x:v>
      </x:c>
      <x:c r="AD20" s="8" t="s">
        <x:v>58</x:v>
      </x:c>
      <x:c r="AE20" s="8" t="s">
        <x:v>58</x:v>
      </x:c>
      <x:c r="AF20" s="8" t="s">
        <x:v>58</x:v>
      </x:c>
      <x:c r="AG20" s="7" t="s">
        <x:v>58</x:v>
      </x:c>
    </x:row>
    <x:row r="21" ht="66" hidden="0" customHeight="1">
      <x:c r="A21" s="7" t="s">
        <x:v>2001</x:v>
      </x:c>
      <x:c r="B21" s="7" t="s">
        <x:v>45</x:v>
      </x:c>
      <x:c r="C21" s="7" t="s">
        <x:v>1145</x:v>
      </x:c>
      <x:c r="D21" s="7" t="s">
        <x:v>1935</x:v>
      </x:c>
      <x:c r="E21" s="7" t="s">
        <x:v>2002</x:v>
      </x:c>
      <x:c r="F21" s="7" t="s">
        <x:v>1929</x:v>
      </x:c>
      <x:c r="G21" s="8" t="n">
        <x:v>2689.8</x:v>
      </x:c>
      <x:c r="H21" s="8" t="n">
        <x:v>92</x:v>
      </x:c>
      <x:c r="I21" s="8" t="s">
        <x:v>58</x:v>
      </x:c>
      <x:c r="J21" s="7" t="s">
        <x:v>1919</x:v>
      </x:c>
      <x:c r="K21" s="8" t="n">
        <x:v>0.001</x:v>
      </x:c>
      <x:c r="L21" s="8" t="n">
        <x:f aca="0">IF(AND(ISNUMBER(G21),P21&lt;&gt;"Unresolved unit / layout"),G21*K21,"Not applicable")</x:f>
        <x:v>2.6898000000000004</x:v>
      </x:c>
      <x:c r="M21" s="8" t="n">
        <x:f aca="0">IF(AND(ISNUMBER(H21),P21&lt;&gt;"Unresolved unit / layout"),H21*K21,"Not applicable")</x:f>
        <x:v>0.092</x:v>
      </x:c>
      <x:c r="N21" s="8" t="str">
        <x:f aca="0">IF(AND(ISNUMBER(I21),P21&lt;&gt;"Unresolved unit / layout"),I21*K21,"Not applicable")</x:f>
        <x:v>Not applicable</x:v>
      </x:c>
      <x:c r="O21" s="7" t="s">
        <x:v>1937</x:v>
      </x:c>
      <x:c r="P21" s="7" t="s">
        <x:v>1921</x:v>
      </x:c>
      <x:c r="Q21" s="7" t="s">
        <x:v>1930</x:v>
      </x:c>
      <x:c r="R21" s="7" t="s">
        <x:v>2003</x:v>
      </x:c>
      <x:c r="S21" s="7" t="s">
        <x:v>53</x:v>
      </x:c>
      <x:c r="T21" s="7" t="s">
        <x:v>53</x:v>
      </x:c>
      <x:c r="U21" s="7" t="s">
        <x:v>53</x:v>
      </x:c>
      <x:c r="V21" s="7" t="s">
        <x:v>1999</x:v>
      </x:c>
      <x:c r="W21" s="7" t="s">
        <x:v>58</x:v>
      </x:c>
      <x:c r="X21" s="7" t="s">
        <x:v>1967</x:v>
      </x:c>
      <x:c r="Y21" s="7" t="s">
        <x:v>1148</x:v>
      </x:c>
      <x:c r="Z21" s="7" t="s">
        <x:v>2004</x:v>
      </x:c>
      <x:c r="AA21" s="7" t="s">
        <x:v>58</x:v>
      </x:c>
      <x:c r="AB21" s="8" t="s">
        <x:v>58</x:v>
      </x:c>
      <x:c r="AC21" s="8" t="s">
        <x:v>58</x:v>
      </x:c>
      <x:c r="AD21" s="8" t="s">
        <x:v>58</x:v>
      </x:c>
      <x:c r="AE21" s="8" t="s">
        <x:v>58</x:v>
      </x:c>
      <x:c r="AF21" s="8" t="s">
        <x:v>58</x:v>
      </x:c>
      <x:c r="AG21" s="7" t="s">
        <x:v>58</x:v>
      </x:c>
    </x:row>
    <x:row r="22" ht="66" hidden="0" customHeight="1">
      <x:c r="A22" s="7" t="s">
        <x:v>2005</x:v>
      </x:c>
      <x:c r="B22" s="7" t="s">
        <x:v>45</x:v>
      </x:c>
      <x:c r="C22" s="7" t="s">
        <x:v>1145</x:v>
      </x:c>
      <x:c r="D22" s="7" t="s">
        <x:v>2006</x:v>
      </x:c>
      <x:c r="E22" s="7" t="s">
        <x:v>2007</x:v>
      </x:c>
      <x:c r="F22" s="7" t="s">
        <x:v>1929</x:v>
      </x:c>
      <x:c r="G22" s="8" t="n">
        <x:v>46</x:v>
      </x:c>
      <x:c r="H22" s="8" t="n">
        <x:v>0.5</x:v>
      </x:c>
      <x:c r="I22" s="8" t="s">
        <x:v>58</x:v>
      </x:c>
      <x:c r="J22" s="7" t="s">
        <x:v>1919</x:v>
      </x:c>
      <x:c r="K22" s="8" t="n">
        <x:v>1</x:v>
      </x:c>
      <x:c r="L22" s="8" t="n">
        <x:f aca="0">IF(AND(ISNUMBER(G22),P22&lt;&gt;"Unresolved unit / layout"),G22*K22,"Not applicable")</x:f>
        <x:v>46</x:v>
      </x:c>
      <x:c r="M22" s="8" t="n">
        <x:f aca="0">IF(AND(ISNUMBER(H22),P22&lt;&gt;"Unresolved unit / layout"),H22*K22,"Not applicable")</x:f>
        <x:v>0.5</x:v>
      </x:c>
      <x:c r="N22" s="8" t="str">
        <x:f aca="0">IF(AND(ISNUMBER(I22),P22&lt;&gt;"Unresolved unit / layout"),I22*K22,"Not applicable")</x:f>
        <x:v>Not applicable</x:v>
      </x:c>
      <x:c r="O22" s="7" t="s">
        <x:v>1929</x:v>
      </x:c>
      <x:c r="P22" s="7" t="s">
        <x:v>1921</x:v>
      </x:c>
      <x:c r="Q22" s="7" t="s">
        <x:v>1930</x:v>
      </x:c>
      <x:c r="R22" s="7" t="s">
        <x:v>1931</x:v>
      </x:c>
      <x:c r="S22" s="7" t="s">
        <x:v>53</x:v>
      </x:c>
      <x:c r="T22" s="7" t="s">
        <x:v>53</x:v>
      </x:c>
      <x:c r="U22" s="7" t="s">
        <x:v>53</x:v>
      </x:c>
      <x:c r="V22" s="7" t="s">
        <x:v>1999</x:v>
      </x:c>
      <x:c r="W22" s="7" t="s">
        <x:v>58</x:v>
      </x:c>
      <x:c r="X22" s="7" t="s">
        <x:v>1967</x:v>
      </x:c>
      <x:c r="Y22" s="7" t="s">
        <x:v>1148</x:v>
      </x:c>
      <x:c r="Z22" s="7" t="s">
        <x:v>2008</x:v>
      </x:c>
      <x:c r="AA22" s="7" t="s">
        <x:v>58</x:v>
      </x:c>
      <x:c r="AB22" s="8" t="s">
        <x:v>58</x:v>
      </x:c>
      <x:c r="AC22" s="8" t="s">
        <x:v>58</x:v>
      </x:c>
      <x:c r="AD22" s="8" t="s">
        <x:v>58</x:v>
      </x:c>
      <x:c r="AE22" s="8" t="s">
        <x:v>58</x:v>
      </x:c>
      <x:c r="AF22" s="8" t="s">
        <x:v>58</x:v>
      </x:c>
      <x:c r="AG22" s="7" t="s">
        <x:v>58</x:v>
      </x:c>
    </x:row>
    <x:row r="23" ht="66" hidden="0" customHeight="1">
      <x:c r="A23" s="7" t="s">
        <x:v>2009</x:v>
      </x:c>
      <x:c r="B23" s="7" t="s">
        <x:v>45</x:v>
      </x:c>
      <x:c r="C23" s="7" t="s">
        <x:v>1145</x:v>
      </x:c>
      <x:c r="D23" s="7" t="s">
        <x:v>2006</x:v>
      </x:c>
      <x:c r="E23" s="7" t="s">
        <x:v>2010</x:v>
      </x:c>
      <x:c r="F23" s="7" t="s">
        <x:v>1929</x:v>
      </x:c>
      <x:c r="G23" s="8" t="n">
        <x:v>37.3</x:v>
      </x:c>
      <x:c r="H23" s="8" t="n">
        <x:v>0.7</x:v>
      </x:c>
      <x:c r="I23" s="8" t="s">
        <x:v>58</x:v>
      </x:c>
      <x:c r="J23" s="7" t="s">
        <x:v>1919</x:v>
      </x:c>
      <x:c r="K23" s="8" t="n">
        <x:v>1</x:v>
      </x:c>
      <x:c r="L23" s="8" t="n">
        <x:f aca="0">IF(AND(ISNUMBER(G23),P23&lt;&gt;"Unresolved unit / layout"),G23*K23,"Not applicable")</x:f>
        <x:v>37.3</x:v>
      </x:c>
      <x:c r="M23" s="8" t="n">
        <x:f aca="0">IF(AND(ISNUMBER(H23),P23&lt;&gt;"Unresolved unit / layout"),H23*K23,"Not applicable")</x:f>
        <x:v>0.7</x:v>
      </x:c>
      <x:c r="N23" s="8" t="str">
        <x:f aca="0">IF(AND(ISNUMBER(I23),P23&lt;&gt;"Unresolved unit / layout"),I23*K23,"Not applicable")</x:f>
        <x:v>Not applicable</x:v>
      </x:c>
      <x:c r="O23" s="7" t="s">
        <x:v>1929</x:v>
      </x:c>
      <x:c r="P23" s="7" t="s">
        <x:v>1921</x:v>
      </x:c>
      <x:c r="Q23" s="7" t="s">
        <x:v>1930</x:v>
      </x:c>
      <x:c r="R23" s="7" t="s">
        <x:v>2003</x:v>
      </x:c>
      <x:c r="S23" s="7" t="s">
        <x:v>53</x:v>
      </x:c>
      <x:c r="T23" s="7" t="s">
        <x:v>53</x:v>
      </x:c>
      <x:c r="U23" s="7" t="s">
        <x:v>53</x:v>
      </x:c>
      <x:c r="V23" s="7" t="s">
        <x:v>1999</x:v>
      </x:c>
      <x:c r="W23" s="7" t="s">
        <x:v>58</x:v>
      </x:c>
      <x:c r="X23" s="7" t="s">
        <x:v>1967</x:v>
      </x:c>
      <x:c r="Y23" s="7" t="s">
        <x:v>1148</x:v>
      </x:c>
      <x:c r="Z23" s="7" t="s">
        <x:v>2011</x:v>
      </x:c>
      <x:c r="AA23" s="7" t="s">
        <x:v>58</x:v>
      </x:c>
      <x:c r="AB23" s="8" t="s">
        <x:v>58</x:v>
      </x:c>
      <x:c r="AC23" s="8" t="s">
        <x:v>58</x:v>
      </x:c>
      <x:c r="AD23" s="8" t="s">
        <x:v>58</x:v>
      </x:c>
      <x:c r="AE23" s="8" t="s">
        <x:v>58</x:v>
      </x:c>
      <x:c r="AF23" s="8" t="s">
        <x:v>58</x:v>
      </x:c>
      <x:c r="AG23" s="7" t="s">
        <x:v>58</x:v>
      </x:c>
    </x:row>
    <x:row r="24" ht="66" hidden="0" customHeight="1">
      <x:c r="A24" s="7" t="s">
        <x:v>2012</x:v>
      </x:c>
      <x:c r="B24" s="7" t="s">
        <x:v>45</x:v>
      </x:c>
      <x:c r="C24" s="7" t="s">
        <x:v>1145</x:v>
      </x:c>
      <x:c r="D24" s="7" t="s">
        <x:v>1940</x:v>
      </x:c>
      <x:c r="E24" s="7" t="s">
        <x:v>2013</x:v>
      </x:c>
      <x:c r="F24" s="7" t="s">
        <x:v>1942</x:v>
      </x:c>
      <x:c r="G24" s="8" t="n">
        <x:v>21.5</x:v>
      </x:c>
      <x:c r="H24" s="8" t="n">
        <x:v>5.02</x:v>
      </x:c>
      <x:c r="I24" s="8" t="s">
        <x:v>58</x:v>
      </x:c>
      <x:c r="J24" s="7" t="s">
        <x:v>1919</x:v>
      </x:c>
      <x:c r="K24" s="8" t="n">
        <x:v>1</x:v>
      </x:c>
      <x:c r="L24" s="8" t="n">
        <x:f aca="0">IF(AND(ISNUMBER(G24),P24&lt;&gt;"Unresolved unit / layout"),G24*K24,"Not applicable")</x:f>
        <x:v>21.5</x:v>
      </x:c>
      <x:c r="M24" s="8" t="n">
        <x:f aca="0">IF(AND(ISNUMBER(H24),P24&lt;&gt;"Unresolved unit / layout"),H24*K24,"Not applicable")</x:f>
        <x:v>5.02</x:v>
      </x:c>
      <x:c r="N24" s="8" t="str">
        <x:f aca="0">IF(AND(ISNUMBER(I24),P24&lt;&gt;"Unresolved unit / layout"),I24*K24,"Not applicable")</x:f>
        <x:v>Not applicable</x:v>
      </x:c>
      <x:c r="O24" s="7" t="s">
        <x:v>1942</x:v>
      </x:c>
      <x:c r="P24" s="7" t="s">
        <x:v>1921</x:v>
      </x:c>
      <x:c r="Q24" s="7" t="s">
        <x:v>1930</x:v>
      </x:c>
      <x:c r="R24" s="7" t="s">
        <x:v>1931</x:v>
      </x:c>
      <x:c r="S24" s="7" t="s">
        <x:v>53</x:v>
      </x:c>
      <x:c r="T24" s="7" t="s">
        <x:v>53</x:v>
      </x:c>
      <x:c r="U24" s="7" t="s">
        <x:v>53</x:v>
      </x:c>
      <x:c r="V24" s="7" t="s">
        <x:v>1999</x:v>
      </x:c>
      <x:c r="W24" s="7" t="s">
        <x:v>58</x:v>
      </x:c>
      <x:c r="X24" s="7" t="s">
        <x:v>1967</x:v>
      </x:c>
      <x:c r="Y24" s="7" t="s">
        <x:v>1148</x:v>
      </x:c>
      <x:c r="Z24" s="7" t="s">
        <x:v>2014</x:v>
      </x:c>
      <x:c r="AA24" s="7" t="s">
        <x:v>58</x:v>
      </x:c>
      <x:c r="AB24" s="8" t="s">
        <x:v>58</x:v>
      </x:c>
      <x:c r="AC24" s="8" t="s">
        <x:v>58</x:v>
      </x:c>
      <x:c r="AD24" s="8" t="s">
        <x:v>58</x:v>
      </x:c>
      <x:c r="AE24" s="8" t="s">
        <x:v>58</x:v>
      </x:c>
      <x:c r="AF24" s="8" t="s">
        <x:v>58</x:v>
      </x:c>
      <x:c r="AG24" s="7" t="s">
        <x:v>58</x:v>
      </x:c>
    </x:row>
    <x:row r="25" ht="66" hidden="0" customHeight="1">
      <x:c r="A25" s="7" t="s">
        <x:v>2015</x:v>
      </x:c>
      <x:c r="B25" s="7" t="s">
        <x:v>45</x:v>
      </x:c>
      <x:c r="C25" s="7" t="s">
        <x:v>1145</x:v>
      </x:c>
      <x:c r="D25" s="7" t="s">
        <x:v>1940</x:v>
      </x:c>
      <x:c r="E25" s="7" t="s">
        <x:v>2016</x:v>
      </x:c>
      <x:c r="F25" s="7" t="s">
        <x:v>1942</x:v>
      </x:c>
      <x:c r="G25" s="8" t="n">
        <x:v>4.2</x:v>
      </x:c>
      <x:c r="H25" s="8" t="n">
        <x:v>2</x:v>
      </x:c>
      <x:c r="I25" s="8" t="s">
        <x:v>58</x:v>
      </x:c>
      <x:c r="J25" s="7" t="s">
        <x:v>1919</x:v>
      </x:c>
      <x:c r="K25" s="8" t="n">
        <x:v>1</x:v>
      </x:c>
      <x:c r="L25" s="8" t="n">
        <x:f aca="0">IF(AND(ISNUMBER(G25),P25&lt;&gt;"Unresolved unit / layout"),G25*K25,"Not applicable")</x:f>
        <x:v>4.2</x:v>
      </x:c>
      <x:c r="M25" s="8" t="n">
        <x:f aca="0">IF(AND(ISNUMBER(H25),P25&lt;&gt;"Unresolved unit / layout"),H25*K25,"Not applicable")</x:f>
        <x:v>2</x:v>
      </x:c>
      <x:c r="N25" s="8" t="str">
        <x:f aca="0">IF(AND(ISNUMBER(I25),P25&lt;&gt;"Unresolved unit / layout"),I25*K25,"Not applicable")</x:f>
        <x:v>Not applicable</x:v>
      </x:c>
      <x:c r="O25" s="7" t="s">
        <x:v>1942</x:v>
      </x:c>
      <x:c r="P25" s="7" t="s">
        <x:v>1921</x:v>
      </x:c>
      <x:c r="Q25" s="7" t="s">
        <x:v>1930</x:v>
      </x:c>
      <x:c r="R25" s="7" t="s">
        <x:v>2003</x:v>
      </x:c>
      <x:c r="S25" s="7" t="s">
        <x:v>53</x:v>
      </x:c>
      <x:c r="T25" s="7" t="s">
        <x:v>53</x:v>
      </x:c>
      <x:c r="U25" s="7" t="s">
        <x:v>53</x:v>
      </x:c>
      <x:c r="V25" s="7" t="s">
        <x:v>1999</x:v>
      </x:c>
      <x:c r="W25" s="7" t="s">
        <x:v>58</x:v>
      </x:c>
      <x:c r="X25" s="7" t="s">
        <x:v>1967</x:v>
      </x:c>
      <x:c r="Y25" s="7" t="s">
        <x:v>1148</x:v>
      </x:c>
      <x:c r="Z25" s="7" t="s">
        <x:v>2017</x:v>
      </x:c>
      <x:c r="AA25" s="7" t="s">
        <x:v>58</x:v>
      </x:c>
      <x:c r="AB25" s="8" t="s">
        <x:v>58</x:v>
      </x:c>
      <x:c r="AC25" s="8" t="s">
        <x:v>58</x:v>
      </x:c>
      <x:c r="AD25" s="8" t="s">
        <x:v>58</x:v>
      </x:c>
      <x:c r="AE25" s="8" t="s">
        <x:v>58</x:v>
      </x:c>
      <x:c r="AF25" s="8" t="s">
        <x:v>58</x:v>
      </x:c>
      <x:c r="AG25" s="7" t="s">
        <x:v>58</x:v>
      </x:c>
    </x:row>
    <x:row r="26" ht="66" hidden="0" customHeight="1">
      <x:c r="A26" s="7" t="s">
        <x:v>2018</x:v>
      </x:c>
      <x:c r="B26" s="7" t="s">
        <x:v>45</x:v>
      </x:c>
      <x:c r="C26" s="7" t="s">
        <x:v>1145</x:v>
      </x:c>
      <x:c r="D26" s="7" t="s">
        <x:v>1950</x:v>
      </x:c>
      <x:c r="E26" s="7" t="s">
        <x:v>2019</x:v>
      </x:c>
      <x:c r="F26" s="7" t="s">
        <x:v>1929</x:v>
      </x:c>
      <x:c r="G26" s="8" t="n">
        <x:v>2868.2</x:v>
      </x:c>
      <x:c r="H26" s="8" t="n">
        <x:v>78.4</x:v>
      </x:c>
      <x:c r="I26" s="8" t="s">
        <x:v>58</x:v>
      </x:c>
      <x:c r="J26" s="7" t="s">
        <x:v>1919</x:v>
      </x:c>
      <x:c r="K26" s="8" t="n">
        <x:v>0.001</x:v>
      </x:c>
      <x:c r="L26" s="8" t="n">
        <x:f aca="0">IF(AND(ISNUMBER(G26),P26&lt;&gt;"Unresolved unit / layout"),G26*K26,"Not applicable")</x:f>
        <x:v>2.8682</x:v>
      </x:c>
      <x:c r="M26" s="8" t="n">
        <x:f aca="0">IF(AND(ISNUMBER(H26),P26&lt;&gt;"Unresolved unit / layout"),H26*K26,"Not applicable")</x:f>
        <x:v>0.07840000000000001</x:v>
      </x:c>
      <x:c r="N26" s="8" t="str">
        <x:f aca="0">IF(AND(ISNUMBER(I26),P26&lt;&gt;"Unresolved unit / layout"),I26*K26,"Not applicable")</x:f>
        <x:v>Not applicable</x:v>
      </x:c>
      <x:c r="O26" s="7" t="s">
        <x:v>1937</x:v>
      </x:c>
      <x:c r="P26" s="7" t="s">
        <x:v>1921</x:v>
      </x:c>
      <x:c r="Q26" s="7" t="s">
        <x:v>1930</x:v>
      </x:c>
      <x:c r="R26" s="7" t="s">
        <x:v>1931</x:v>
      </x:c>
      <x:c r="S26" s="7" t="s">
        <x:v>53</x:v>
      </x:c>
      <x:c r="T26" s="7" t="s">
        <x:v>53</x:v>
      </x:c>
      <x:c r="U26" s="7" t="s">
        <x:v>53</x:v>
      </x:c>
      <x:c r="V26" s="7" t="s">
        <x:v>2020</x:v>
      </x:c>
      <x:c r="W26" s="7" t="s">
        <x:v>58</x:v>
      </x:c>
      <x:c r="X26" s="7" t="s">
        <x:v>1967</x:v>
      </x:c>
      <x:c r="Y26" s="7" t="s">
        <x:v>1148</x:v>
      </x:c>
      <x:c r="Z26" s="7" t="s">
        <x:v>2021</x:v>
      </x:c>
      <x:c r="AA26" s="7" t="s">
        <x:v>58</x:v>
      </x:c>
      <x:c r="AB26" s="8" t="s">
        <x:v>58</x:v>
      </x:c>
      <x:c r="AC26" s="8" t="s">
        <x:v>58</x:v>
      </x:c>
      <x:c r="AD26" s="8" t="s">
        <x:v>58</x:v>
      </x:c>
      <x:c r="AE26" s="8" t="s">
        <x:v>58</x:v>
      </x:c>
      <x:c r="AF26" s="8" t="s">
        <x:v>58</x:v>
      </x:c>
      <x:c r="AG26" s="7" t="s">
        <x:v>58</x:v>
      </x:c>
    </x:row>
    <x:row r="27" ht="66" hidden="0" customHeight="1">
      <x:c r="A27" s="7" t="s">
        <x:v>2022</x:v>
      </x:c>
      <x:c r="B27" s="7" t="s">
        <x:v>45</x:v>
      </x:c>
      <x:c r="C27" s="7" t="s">
        <x:v>1145</x:v>
      </x:c>
      <x:c r="D27" s="7" t="s">
        <x:v>1950</x:v>
      </x:c>
      <x:c r="E27" s="7" t="s">
        <x:v>1995</x:v>
      </x:c>
      <x:c r="F27" s="7" t="s">
        <x:v>53</x:v>
      </x:c>
      <x:c r="G27" s="8" t="s">
        <x:v>53</x:v>
      </x:c>
      <x:c r="H27" s="8" t="s">
        <x:v>58</x:v>
      </x:c>
      <x:c r="I27" s="8" t="s">
        <x:v>58</x:v>
      </x:c>
      <x:c r="J27" s="7" t="s">
        <x:v>58</x:v>
      </x:c>
      <x:c r="K27" s="8" t="n">
        <x:v>1</x:v>
      </x:c>
      <x:c r="L27" s="8" t="str">
        <x:f aca="0">IF(AND(ISNUMBER(G27),P27&lt;&gt;"Unresolved unit / layout"),G27*K27,"Not published")</x:f>
        <x:v>Not published</x:v>
      </x:c>
      <x:c r="M27" s="8" t="str">
        <x:f aca="0">IF(AND(ISNUMBER(H27),P27&lt;&gt;"Unresolved unit / layout"),H27*K27,"Not applicable")</x:f>
        <x:v>Not applicable</x:v>
      </x:c>
      <x:c r="N27" s="8" t="str">
        <x:f aca="0">IF(AND(ISNUMBER(I27),P27&lt;&gt;"Unresolved unit / layout"),I27*K27,"Not applicable")</x:f>
        <x:v>Not applicable</x:v>
      </x:c>
      <x:c r="O27" s="7" t="s">
        <x:v>53</x:v>
      </x:c>
      <x:c r="P27" s="7" t="s">
        <x:v>53</x:v>
      </x:c>
      <x:c r="Q27" s="7" t="s">
        <x:v>1930</x:v>
      </x:c>
      <x:c r="R27" s="7" t="s">
        <x:v>2003</x:v>
      </x:c>
      <x:c r="S27" s="7" t="s">
        <x:v>53</x:v>
      </x:c>
      <x:c r="T27" s="7" t="s">
        <x:v>53</x:v>
      </x:c>
      <x:c r="U27" s="7" t="s">
        <x:v>53</x:v>
      </x:c>
      <x:c r="V27" s="7" t="s">
        <x:v>2020</x:v>
      </x:c>
      <x:c r="W27" s="7" t="s">
        <x:v>58</x:v>
      </x:c>
      <x:c r="X27" s="7" t="s">
        <x:v>1967</x:v>
      </x:c>
      <x:c r="Y27" s="7" t="s">
        <x:v>1148</x:v>
      </x:c>
      <x:c r="Z27" s="7" t="s">
        <x:v>2023</x:v>
      </x:c>
      <x:c r="AA27" s="7" t="s">
        <x:v>58</x:v>
      </x:c>
      <x:c r="AB27" s="8" t="s">
        <x:v>58</x:v>
      </x:c>
      <x:c r="AC27" s="8" t="s">
        <x:v>58</x:v>
      </x:c>
      <x:c r="AD27" s="8" t="s">
        <x:v>58</x:v>
      </x:c>
      <x:c r="AE27" s="8" t="s">
        <x:v>58</x:v>
      </x:c>
      <x:c r="AF27" s="8" t="s">
        <x:v>58</x:v>
      </x:c>
      <x:c r="AG27" s="7" t="s">
        <x:v>58</x:v>
      </x:c>
    </x:row>
    <x:row r="28" ht="66" hidden="0" customHeight="1">
      <x:c r="A28" s="7" t="s">
        <x:v>2024</x:v>
      </x:c>
      <x:c r="B28" s="7" t="s">
        <x:v>45</x:v>
      </x:c>
      <x:c r="C28" s="7" t="s">
        <x:v>1145</x:v>
      </x:c>
      <x:c r="D28" s="7" t="s">
        <x:v>1945</x:v>
      </x:c>
      <x:c r="E28" s="7" t="s">
        <x:v>2025</x:v>
      </x:c>
      <x:c r="F28" s="7" t="s">
        <x:v>1929</x:v>
      </x:c>
      <x:c r="G28" s="8" t="n">
        <x:v>76.5</x:v>
      </x:c>
      <x:c r="H28" s="8" t="n">
        <x:v>0.9</x:v>
      </x:c>
      <x:c r="I28" s="8" t="s">
        <x:v>58</x:v>
      </x:c>
      <x:c r="J28" s="7" t="s">
        <x:v>1919</x:v>
      </x:c>
      <x:c r="K28" s="8" t="n">
        <x:v>1</x:v>
      </x:c>
      <x:c r="L28" s="8" t="n">
        <x:f aca="0">IF(AND(ISNUMBER(G28),P28&lt;&gt;"Unresolved unit / layout"),G28*K28,"Not applicable")</x:f>
        <x:v>76.5</x:v>
      </x:c>
      <x:c r="M28" s="8" t="n">
        <x:f aca="0">IF(AND(ISNUMBER(H28),P28&lt;&gt;"Unresolved unit / layout"),H28*K28,"Not applicable")</x:f>
        <x:v>0.9</x:v>
      </x:c>
      <x:c r="N28" s="8" t="str">
        <x:f aca="0">IF(AND(ISNUMBER(I28),P28&lt;&gt;"Unresolved unit / layout"),I28*K28,"Not applicable")</x:f>
        <x:v>Not applicable</x:v>
      </x:c>
      <x:c r="O28" s="7" t="s">
        <x:v>1929</x:v>
      </x:c>
      <x:c r="P28" s="7" t="s">
        <x:v>1921</x:v>
      </x:c>
      <x:c r="Q28" s="7" t="s">
        <x:v>1930</x:v>
      </x:c>
      <x:c r="R28" s="7" t="s">
        <x:v>1931</x:v>
      </x:c>
      <x:c r="S28" s="7" t="s">
        <x:v>53</x:v>
      </x:c>
      <x:c r="T28" s="7" t="s">
        <x:v>53</x:v>
      </x:c>
      <x:c r="U28" s="7" t="s">
        <x:v>53</x:v>
      </x:c>
      <x:c r="V28" s="7" t="s">
        <x:v>2020</x:v>
      </x:c>
      <x:c r="W28" s="7" t="s">
        <x:v>58</x:v>
      </x:c>
      <x:c r="X28" s="7" t="s">
        <x:v>1967</x:v>
      </x:c>
      <x:c r="Y28" s="7" t="s">
        <x:v>1148</x:v>
      </x:c>
      <x:c r="Z28" s="7" t="s">
        <x:v>2026</x:v>
      </x:c>
      <x:c r="AA28" s="7" t="s">
        <x:v>58</x:v>
      </x:c>
      <x:c r="AB28" s="8" t="s">
        <x:v>58</x:v>
      </x:c>
      <x:c r="AC28" s="8" t="s">
        <x:v>58</x:v>
      </x:c>
      <x:c r="AD28" s="8" t="s">
        <x:v>58</x:v>
      </x:c>
      <x:c r="AE28" s="8" t="s">
        <x:v>58</x:v>
      </x:c>
      <x:c r="AF28" s="8" t="s">
        <x:v>58</x:v>
      </x:c>
      <x:c r="AG28" s="7" t="s">
        <x:v>58</x:v>
      </x:c>
    </x:row>
    <x:row r="29" ht="66" hidden="0" customHeight="1">
      <x:c r="A29" s="7" t="s">
        <x:v>2027</x:v>
      </x:c>
      <x:c r="B29" s="7" t="s">
        <x:v>45</x:v>
      </x:c>
      <x:c r="C29" s="7" t="s">
        <x:v>1145</x:v>
      </x:c>
      <x:c r="D29" s="7" t="s">
        <x:v>1945</x:v>
      </x:c>
      <x:c r="E29" s="7" t="s">
        <x:v>1995</x:v>
      </x:c>
      <x:c r="F29" s="7" t="s">
        <x:v>53</x:v>
      </x:c>
      <x:c r="G29" s="8" t="s">
        <x:v>53</x:v>
      </x:c>
      <x:c r="H29" s="8" t="s">
        <x:v>58</x:v>
      </x:c>
      <x:c r="I29" s="8" t="s">
        <x:v>58</x:v>
      </x:c>
      <x:c r="J29" s="7" t="s">
        <x:v>58</x:v>
      </x:c>
      <x:c r="K29" s="8" t="n">
        <x:v>1</x:v>
      </x:c>
      <x:c r="L29" s="8" t="str">
        <x:f aca="0">IF(AND(ISNUMBER(G29),P29&lt;&gt;"Unresolved unit / layout"),G29*K29,"Not published")</x:f>
        <x:v>Not published</x:v>
      </x:c>
      <x:c r="M29" s="8" t="str">
        <x:f aca="0">IF(AND(ISNUMBER(H29),P29&lt;&gt;"Unresolved unit / layout"),H29*K29,"Not applicable")</x:f>
        <x:v>Not applicable</x:v>
      </x:c>
      <x:c r="N29" s="8" t="str">
        <x:f aca="0">IF(AND(ISNUMBER(I29),P29&lt;&gt;"Unresolved unit / layout"),I29*K29,"Not applicable")</x:f>
        <x:v>Not applicable</x:v>
      </x:c>
      <x:c r="O29" s="7" t="s">
        <x:v>53</x:v>
      </x:c>
      <x:c r="P29" s="7" t="s">
        <x:v>53</x:v>
      </x:c>
      <x:c r="Q29" s="7" t="s">
        <x:v>1930</x:v>
      </x:c>
      <x:c r="R29" s="7" t="s">
        <x:v>2003</x:v>
      </x:c>
      <x:c r="S29" s="7" t="s">
        <x:v>53</x:v>
      </x:c>
      <x:c r="T29" s="7" t="s">
        <x:v>53</x:v>
      </x:c>
      <x:c r="U29" s="7" t="s">
        <x:v>53</x:v>
      </x:c>
      <x:c r="V29" s="7" t="s">
        <x:v>2020</x:v>
      </x:c>
      <x:c r="W29" s="7" t="s">
        <x:v>58</x:v>
      </x:c>
      <x:c r="X29" s="7" t="s">
        <x:v>1967</x:v>
      </x:c>
      <x:c r="Y29" s="7" t="s">
        <x:v>1148</x:v>
      </x:c>
      <x:c r="Z29" s="7" t="s">
        <x:v>2028</x:v>
      </x:c>
      <x:c r="AA29" s="7" t="s">
        <x:v>58</x:v>
      </x:c>
      <x:c r="AB29" s="8" t="s">
        <x:v>58</x:v>
      </x:c>
      <x:c r="AC29" s="8" t="s">
        <x:v>58</x:v>
      </x:c>
      <x:c r="AD29" s="8" t="s">
        <x:v>58</x:v>
      </x:c>
      <x:c r="AE29" s="8" t="s">
        <x:v>58</x:v>
      </x:c>
      <x:c r="AF29" s="8" t="s">
        <x:v>58</x:v>
      </x:c>
      <x:c r="AG29" s="7" t="s">
        <x:v>58</x:v>
      </x:c>
    </x:row>
    <x:row r="30" ht="66" hidden="0" customHeight="1">
      <x:c r="A30" s="7" t="s">
        <x:v>2029</x:v>
      </x:c>
      <x:c r="B30" s="7" t="s">
        <x:v>45</x:v>
      </x:c>
      <x:c r="C30" s="7" t="s">
        <x:v>1145</x:v>
      </x:c>
      <x:c r="D30" s="7" t="s">
        <x:v>2030</x:v>
      </x:c>
      <x:c r="E30" s="7" t="s">
        <x:v>2031</x:v>
      </x:c>
      <x:c r="F30" s="7" t="s">
        <x:v>2032</x:v>
      </x:c>
      <x:c r="G30" s="8" t="n">
        <x:v>6.1</x:v>
      </x:c>
      <x:c r="H30" s="8" t="n">
        <x:v>0.6</x:v>
      </x:c>
      <x:c r="I30" s="8" t="s">
        <x:v>58</x:v>
      </x:c>
      <x:c r="J30" s="7" t="s">
        <x:v>1919</x:v>
      </x:c>
      <x:c r="K30" s="8" t="n">
        <x:v>1</x:v>
      </x:c>
      <x:c r="L30" s="8" t="n">
        <x:f aca="0">IF(AND(ISNUMBER(G30),P30&lt;&gt;"Unresolved unit / layout"),G30*K30,"Not applicable")</x:f>
        <x:v>6.1</x:v>
      </x:c>
      <x:c r="M30" s="8" t="n">
        <x:f aca="0">IF(AND(ISNUMBER(H30),P30&lt;&gt;"Unresolved unit / layout"),H30*K30,"Not applicable")</x:f>
        <x:v>0.6</x:v>
      </x:c>
      <x:c r="N30" s="8" t="str">
        <x:f aca="0">IF(AND(ISNUMBER(I30),P30&lt;&gt;"Unresolved unit / layout"),I30*K30,"Not applicable")</x:f>
        <x:v>Not applicable</x:v>
      </x:c>
      <x:c r="O30" s="7" t="s">
        <x:v>2033</x:v>
      </x:c>
      <x:c r="P30" s="7" t="s">
        <x:v>1921</x:v>
      </x:c>
      <x:c r="Q30" s="7" t="s">
        <x:v>1930</x:v>
      </x:c>
      <x:c r="R30" s="7" t="s">
        <x:v>1931</x:v>
      </x:c>
      <x:c r="S30" s="7" t="s">
        <x:v>53</x:v>
      </x:c>
      <x:c r="T30" s="7" t="s">
        <x:v>53</x:v>
      </x:c>
      <x:c r="U30" s="7" t="s">
        <x:v>53</x:v>
      </x:c>
      <x:c r="V30" s="7" t="s">
        <x:v>53</x:v>
      </x:c>
      <x:c r="W30" s="7" t="s">
        <x:v>53</x:v>
      </x:c>
      <x:c r="X30" s="7" t="s">
        <x:v>1967</x:v>
      </x:c>
      <x:c r="Y30" s="7" t="s">
        <x:v>1148</x:v>
      </x:c>
      <x:c r="Z30" s="7" t="s">
        <x:v>2034</x:v>
      </x:c>
      <x:c r="AA30" s="7" t="s">
        <x:v>58</x:v>
      </x:c>
      <x:c r="AB30" s="8" t="s">
        <x:v>58</x:v>
      </x:c>
      <x:c r="AC30" s="8" t="s">
        <x:v>58</x:v>
      </x:c>
      <x:c r="AD30" s="8" t="s">
        <x:v>58</x:v>
      </x:c>
      <x:c r="AE30" s="8" t="s">
        <x:v>58</x:v>
      </x:c>
      <x:c r="AF30" s="8" t="s">
        <x:v>58</x:v>
      </x:c>
      <x:c r="AG30" s="7" t="s">
        <x:v>58</x:v>
      </x:c>
    </x:row>
    <x:row r="31" ht="66" hidden="0" customHeight="1">
      <x:c r="A31" s="7" t="s">
        <x:v>2035</x:v>
      </x:c>
      <x:c r="B31" s="7" t="s">
        <x:v>45</x:v>
      </x:c>
      <x:c r="C31" s="7" t="s">
        <x:v>1145</x:v>
      </x:c>
      <x:c r="D31" s="7" t="s">
        <x:v>2030</x:v>
      </x:c>
      <x:c r="E31" s="7" t="s">
        <x:v>1995</x:v>
      </x:c>
      <x:c r="F31" s="7" t="s">
        <x:v>53</x:v>
      </x:c>
      <x:c r="G31" s="8" t="s">
        <x:v>53</x:v>
      </x:c>
      <x:c r="H31" s="8" t="s">
        <x:v>58</x:v>
      </x:c>
      <x:c r="I31" s="8" t="s">
        <x:v>58</x:v>
      </x:c>
      <x:c r="J31" s="7" t="s">
        <x:v>58</x:v>
      </x:c>
      <x:c r="K31" s="8" t="n">
        <x:v>1</x:v>
      </x:c>
      <x:c r="L31" s="8" t="str">
        <x:f aca="0">IF(AND(ISNUMBER(G31),P31&lt;&gt;"Unresolved unit / layout"),G31*K31,"Not published")</x:f>
        <x:v>Not published</x:v>
      </x:c>
      <x:c r="M31" s="8" t="str">
        <x:f aca="0">IF(AND(ISNUMBER(H31),P31&lt;&gt;"Unresolved unit / layout"),H31*K31,"Not applicable")</x:f>
        <x:v>Not applicable</x:v>
      </x:c>
      <x:c r="N31" s="8" t="str">
        <x:f aca="0">IF(AND(ISNUMBER(I31),P31&lt;&gt;"Unresolved unit / layout"),I31*K31,"Not applicable")</x:f>
        <x:v>Not applicable</x:v>
      </x:c>
      <x:c r="O31" s="7" t="s">
        <x:v>53</x:v>
      </x:c>
      <x:c r="P31" s="7" t="s">
        <x:v>53</x:v>
      </x:c>
      <x:c r="Q31" s="7" t="s">
        <x:v>1930</x:v>
      </x:c>
      <x:c r="R31" s="7" t="s">
        <x:v>2003</x:v>
      </x:c>
      <x:c r="S31" s="7" t="s">
        <x:v>53</x:v>
      </x:c>
      <x:c r="T31" s="7" t="s">
        <x:v>53</x:v>
      </x:c>
      <x:c r="U31" s="7" t="s">
        <x:v>53</x:v>
      </x:c>
      <x:c r="V31" s="7" t="s">
        <x:v>2036</x:v>
      </x:c>
      <x:c r="W31" s="7" t="s">
        <x:v>53</x:v>
      </x:c>
      <x:c r="X31" s="7" t="s">
        <x:v>1967</x:v>
      </x:c>
      <x:c r="Y31" s="7" t="s">
        <x:v>1148</x:v>
      </x:c>
      <x:c r="Z31" s="7" t="s">
        <x:v>2037</x:v>
      </x:c>
      <x:c r="AA31" s="7" t="s">
        <x:v>58</x:v>
      </x:c>
      <x:c r="AB31" s="8" t="s">
        <x:v>58</x:v>
      </x:c>
      <x:c r="AC31" s="8" t="s">
        <x:v>58</x:v>
      </x:c>
      <x:c r="AD31" s="8" t="s">
        <x:v>58</x:v>
      </x:c>
      <x:c r="AE31" s="8" t="s">
        <x:v>58</x:v>
      </x:c>
      <x:c r="AF31" s="8" t="s">
        <x:v>58</x:v>
      </x:c>
      <x:c r="AG31" s="7" t="s">
        <x:v>58</x:v>
      </x:c>
    </x:row>
    <x:row r="32" ht="66" hidden="0" customHeight="1">
      <x:c r="A32" s="7" t="s">
        <x:v>2038</x:v>
      </x:c>
      <x:c r="B32" s="7" t="s">
        <x:v>45</x:v>
      </x:c>
      <x:c r="C32" s="7" t="s">
        <x:v>1145</x:v>
      </x:c>
      <x:c r="D32" s="7" t="s">
        <x:v>1935</x:v>
      </x:c>
      <x:c r="E32" s="7" t="s">
        <x:v>2039</x:v>
      </x:c>
      <x:c r="F32" s="7" t="s">
        <x:v>1929</x:v>
      </x:c>
      <x:c r="G32" s="8" t="n">
        <x:v>2649.7</x:v>
      </x:c>
      <x:c r="H32" s="8" t="n">
        <x:v>78.3</x:v>
      </x:c>
      <x:c r="I32" s="8" t="s">
        <x:v>58</x:v>
      </x:c>
      <x:c r="J32" s="7" t="s">
        <x:v>1919</x:v>
      </x:c>
      <x:c r="K32" s="8" t="n">
        <x:v>0.001</x:v>
      </x:c>
      <x:c r="L32" s="8" t="n">
        <x:f aca="0">IF(AND(ISNUMBER(G32),P32&lt;&gt;"Unresolved unit / layout"),G32*K32,"Not applicable")</x:f>
        <x:v>2.6496999999999997</x:v>
      </x:c>
      <x:c r="M32" s="8" t="n">
        <x:f aca="0">IF(AND(ISNUMBER(H32),P32&lt;&gt;"Unresolved unit / layout"),H32*K32,"Not applicable")</x:f>
        <x:v>0.0783</x:v>
      </x:c>
      <x:c r="N32" s="8" t="str">
        <x:f aca="0">IF(AND(ISNUMBER(I32),P32&lt;&gt;"Unresolved unit / layout"),I32*K32,"Not applicable")</x:f>
        <x:v>Not applicable</x:v>
      </x:c>
      <x:c r="O32" s="7" t="s">
        <x:v>1937</x:v>
      </x:c>
      <x:c r="P32" s="7" t="s">
        <x:v>1921</x:v>
      </x:c>
      <x:c r="Q32" s="7" t="s">
        <x:v>1930</x:v>
      </x:c>
      <x:c r="R32" s="7" t="s">
        <x:v>1931</x:v>
      </x:c>
      <x:c r="S32" s="7" t="s">
        <x:v>53</x:v>
      </x:c>
      <x:c r="T32" s="7" t="s">
        <x:v>53</x:v>
      </x:c>
      <x:c r="U32" s="7" t="s">
        <x:v>53</x:v>
      </x:c>
      <x:c r="V32" s="7" t="s">
        <x:v>1999</x:v>
      </x:c>
      <x:c r="W32" s="7" t="s">
        <x:v>58</x:v>
      </x:c>
      <x:c r="X32" s="7" t="s">
        <x:v>1967</x:v>
      </x:c>
      <x:c r="Y32" s="7" t="s">
        <x:v>1148</x:v>
      </x:c>
      <x:c r="Z32" s="7" t="s">
        <x:v>2040</x:v>
      </x:c>
      <x:c r="AA32" s="7" t="s">
        <x:v>58</x:v>
      </x:c>
      <x:c r="AB32" s="8" t="s">
        <x:v>58</x:v>
      </x:c>
      <x:c r="AC32" s="8" t="s">
        <x:v>58</x:v>
      </x:c>
      <x:c r="AD32" s="8" t="s">
        <x:v>58</x:v>
      </x:c>
      <x:c r="AE32" s="8" t="s">
        <x:v>58</x:v>
      </x:c>
      <x:c r="AF32" s="8" t="s">
        <x:v>58</x:v>
      </x:c>
      <x:c r="AG32" s="7" t="s">
        <x:v>58</x:v>
      </x:c>
    </x:row>
    <x:row r="33" ht="66" hidden="0" customHeight="1">
      <x:c r="A33" s="7" t="s">
        <x:v>2041</x:v>
      </x:c>
      <x:c r="B33" s="7" t="s">
        <x:v>45</x:v>
      </x:c>
      <x:c r="C33" s="7" t="s">
        <x:v>1145</x:v>
      </x:c>
      <x:c r="D33" s="7" t="s">
        <x:v>1935</x:v>
      </x:c>
      <x:c r="E33" s="7" t="s">
        <x:v>2042</x:v>
      </x:c>
      <x:c r="F33" s="7" t="s">
        <x:v>1929</x:v>
      </x:c>
      <x:c r="G33" s="8" t="n">
        <x:v>2433.4</x:v>
      </x:c>
      <x:c r="H33" s="8" t="n">
        <x:v>79.4</x:v>
      </x:c>
      <x:c r="I33" s="8" t="s">
        <x:v>58</x:v>
      </x:c>
      <x:c r="J33" s="7" t="s">
        <x:v>1919</x:v>
      </x:c>
      <x:c r="K33" s="8" t="n">
        <x:v>0.001</x:v>
      </x:c>
      <x:c r="L33" s="8" t="n">
        <x:f aca="0">IF(AND(ISNUMBER(G33),P33&lt;&gt;"Unresolved unit / layout"),G33*K33,"Not applicable")</x:f>
        <x:v>2.4334000000000002</x:v>
      </x:c>
      <x:c r="M33" s="8" t="n">
        <x:f aca="0">IF(AND(ISNUMBER(H33),P33&lt;&gt;"Unresolved unit / layout"),H33*K33,"Not applicable")</x:f>
        <x:v>0.07940000000000001</x:v>
      </x:c>
      <x:c r="N33" s="8" t="str">
        <x:f aca="0">IF(AND(ISNUMBER(I33),P33&lt;&gt;"Unresolved unit / layout"),I33*K33,"Not applicable")</x:f>
        <x:v>Not applicable</x:v>
      </x:c>
      <x:c r="O33" s="7" t="s">
        <x:v>1937</x:v>
      </x:c>
      <x:c r="P33" s="7" t="s">
        <x:v>1921</x:v>
      </x:c>
      <x:c r="Q33" s="7" t="s">
        <x:v>1930</x:v>
      </x:c>
      <x:c r="R33" s="7" t="s">
        <x:v>2003</x:v>
      </x:c>
      <x:c r="S33" s="7" t="s">
        <x:v>53</x:v>
      </x:c>
      <x:c r="T33" s="7" t="s">
        <x:v>53</x:v>
      </x:c>
      <x:c r="U33" s="7" t="s">
        <x:v>53</x:v>
      </x:c>
      <x:c r="V33" s="7" t="s">
        <x:v>1999</x:v>
      </x:c>
      <x:c r="W33" s="7" t="s">
        <x:v>58</x:v>
      </x:c>
      <x:c r="X33" s="7" t="s">
        <x:v>1967</x:v>
      </x:c>
      <x:c r="Y33" s="7" t="s">
        <x:v>1148</x:v>
      </x:c>
      <x:c r="Z33" s="7" t="s">
        <x:v>2004</x:v>
      </x:c>
      <x:c r="AA33" s="7" t="s">
        <x:v>58</x:v>
      </x:c>
      <x:c r="AB33" s="8" t="s">
        <x:v>58</x:v>
      </x:c>
      <x:c r="AC33" s="8" t="s">
        <x:v>58</x:v>
      </x:c>
      <x:c r="AD33" s="8" t="s">
        <x:v>58</x:v>
      </x:c>
      <x:c r="AE33" s="8" t="s">
        <x:v>58</x:v>
      </x:c>
      <x:c r="AF33" s="8" t="s">
        <x:v>58</x:v>
      </x:c>
      <x:c r="AG33" s="7" t="s">
        <x:v>58</x:v>
      </x:c>
    </x:row>
    <x:row r="34" ht="66" hidden="0" customHeight="1">
      <x:c r="A34" s="7" t="s">
        <x:v>2043</x:v>
      </x:c>
      <x:c r="B34" s="7" t="s">
        <x:v>45</x:v>
      </x:c>
      <x:c r="C34" s="7" t="s">
        <x:v>1145</x:v>
      </x:c>
      <x:c r="D34" s="7" t="s">
        <x:v>2006</x:v>
      </x:c>
      <x:c r="E34" s="7" t="s">
        <x:v>2044</x:v>
      </x:c>
      <x:c r="F34" s="7" t="s">
        <x:v>1929</x:v>
      </x:c>
      <x:c r="G34" s="8" t="n">
        <x:v>43.9</x:v>
      </x:c>
      <x:c r="H34" s="8" t="n">
        <x:v>0.4</x:v>
      </x:c>
      <x:c r="I34" s="8" t="s">
        <x:v>58</x:v>
      </x:c>
      <x:c r="J34" s="7" t="s">
        <x:v>1919</x:v>
      </x:c>
      <x:c r="K34" s="8" t="n">
        <x:v>1</x:v>
      </x:c>
      <x:c r="L34" s="8" t="n">
        <x:f aca="0">IF(AND(ISNUMBER(G34),P34&lt;&gt;"Unresolved unit / layout"),G34*K34,"Not applicable")</x:f>
        <x:v>43.9</x:v>
      </x:c>
      <x:c r="M34" s="8" t="n">
        <x:f aca="0">IF(AND(ISNUMBER(H34),P34&lt;&gt;"Unresolved unit / layout"),H34*K34,"Not applicable")</x:f>
        <x:v>0.4</x:v>
      </x:c>
      <x:c r="N34" s="8" t="str">
        <x:f aca="0">IF(AND(ISNUMBER(I34),P34&lt;&gt;"Unresolved unit / layout"),I34*K34,"Not applicable")</x:f>
        <x:v>Not applicable</x:v>
      </x:c>
      <x:c r="O34" s="7" t="s">
        <x:v>1929</x:v>
      </x:c>
      <x:c r="P34" s="7" t="s">
        <x:v>1921</x:v>
      </x:c>
      <x:c r="Q34" s="7" t="s">
        <x:v>1930</x:v>
      </x:c>
      <x:c r="R34" s="7" t="s">
        <x:v>1931</x:v>
      </x:c>
      <x:c r="S34" s="7" t="s">
        <x:v>53</x:v>
      </x:c>
      <x:c r="T34" s="7" t="s">
        <x:v>53</x:v>
      </x:c>
      <x:c r="U34" s="7" t="s">
        <x:v>53</x:v>
      </x:c>
      <x:c r="V34" s="7" t="s">
        <x:v>1999</x:v>
      </x:c>
      <x:c r="W34" s="7" t="s">
        <x:v>58</x:v>
      </x:c>
      <x:c r="X34" s="7" t="s">
        <x:v>1967</x:v>
      </x:c>
      <x:c r="Y34" s="7" t="s">
        <x:v>1148</x:v>
      </x:c>
      <x:c r="Z34" s="7" t="s">
        <x:v>2008</x:v>
      </x:c>
      <x:c r="AA34" s="7" t="s">
        <x:v>58</x:v>
      </x:c>
      <x:c r="AB34" s="8" t="s">
        <x:v>58</x:v>
      </x:c>
      <x:c r="AC34" s="8" t="s">
        <x:v>58</x:v>
      </x:c>
      <x:c r="AD34" s="8" t="s">
        <x:v>58</x:v>
      </x:c>
      <x:c r="AE34" s="8" t="s">
        <x:v>58</x:v>
      </x:c>
      <x:c r="AF34" s="8" t="s">
        <x:v>58</x:v>
      </x:c>
      <x:c r="AG34" s="7" t="s">
        <x:v>58</x:v>
      </x:c>
    </x:row>
    <x:row r="35" ht="66" hidden="0" customHeight="1">
      <x:c r="A35" s="7" t="s">
        <x:v>2045</x:v>
      </x:c>
      <x:c r="B35" s="7" t="s">
        <x:v>45</x:v>
      </x:c>
      <x:c r="C35" s="7" t="s">
        <x:v>1145</x:v>
      </x:c>
      <x:c r="D35" s="7" t="s">
        <x:v>2006</x:v>
      </x:c>
      <x:c r="E35" s="7" t="s">
        <x:v>2046</x:v>
      </x:c>
      <x:c r="F35" s="7" t="s">
        <x:v>1929</x:v>
      </x:c>
      <x:c r="G35" s="8" t="n">
        <x:v>32.4</x:v>
      </x:c>
      <x:c r="H35" s="8" t="n">
        <x:v>0.4</x:v>
      </x:c>
      <x:c r="I35" s="8" t="s">
        <x:v>58</x:v>
      </x:c>
      <x:c r="J35" s="7" t="s">
        <x:v>1919</x:v>
      </x:c>
      <x:c r="K35" s="8" t="n">
        <x:v>1</x:v>
      </x:c>
      <x:c r="L35" s="8" t="n">
        <x:f aca="0">IF(AND(ISNUMBER(G35),P35&lt;&gt;"Unresolved unit / layout"),G35*K35,"Not applicable")</x:f>
        <x:v>32.4</x:v>
      </x:c>
      <x:c r="M35" s="8" t="n">
        <x:f aca="0">IF(AND(ISNUMBER(H35),P35&lt;&gt;"Unresolved unit / layout"),H35*K35,"Not applicable")</x:f>
        <x:v>0.4</x:v>
      </x:c>
      <x:c r="N35" s="8" t="str">
        <x:f aca="0">IF(AND(ISNUMBER(I35),P35&lt;&gt;"Unresolved unit / layout"),I35*K35,"Not applicable")</x:f>
        <x:v>Not applicable</x:v>
      </x:c>
      <x:c r="O35" s="7" t="s">
        <x:v>1929</x:v>
      </x:c>
      <x:c r="P35" s="7" t="s">
        <x:v>1921</x:v>
      </x:c>
      <x:c r="Q35" s="7" t="s">
        <x:v>1930</x:v>
      </x:c>
      <x:c r="R35" s="7" t="s">
        <x:v>2003</x:v>
      </x:c>
      <x:c r="S35" s="7" t="s">
        <x:v>53</x:v>
      </x:c>
      <x:c r="T35" s="7" t="s">
        <x:v>53</x:v>
      </x:c>
      <x:c r="U35" s="7" t="s">
        <x:v>53</x:v>
      </x:c>
      <x:c r="V35" s="7" t="s">
        <x:v>1999</x:v>
      </x:c>
      <x:c r="W35" s="7" t="s">
        <x:v>58</x:v>
      </x:c>
      <x:c r="X35" s="7" t="s">
        <x:v>1967</x:v>
      </x:c>
      <x:c r="Y35" s="7" t="s">
        <x:v>1148</x:v>
      </x:c>
      <x:c r="Z35" s="7" t="s">
        <x:v>2011</x:v>
      </x:c>
      <x:c r="AA35" s="7" t="s">
        <x:v>58</x:v>
      </x:c>
      <x:c r="AB35" s="8" t="s">
        <x:v>58</x:v>
      </x:c>
      <x:c r="AC35" s="8" t="s">
        <x:v>58</x:v>
      </x:c>
      <x:c r="AD35" s="8" t="s">
        <x:v>58</x:v>
      </x:c>
      <x:c r="AE35" s="8" t="s">
        <x:v>58</x:v>
      </x:c>
      <x:c r="AF35" s="8" t="s">
        <x:v>58</x:v>
      </x:c>
      <x:c r="AG35" s="7" t="s">
        <x:v>58</x:v>
      </x:c>
    </x:row>
    <x:row r="36" ht="66" hidden="0" customHeight="1">
      <x:c r="A36" s="7" t="s">
        <x:v>2047</x:v>
      </x:c>
      <x:c r="B36" s="7" t="s">
        <x:v>45</x:v>
      </x:c>
      <x:c r="C36" s="7" t="s">
        <x:v>1145</x:v>
      </x:c>
      <x:c r="D36" s="7" t="s">
        <x:v>1940</x:v>
      </x:c>
      <x:c r="E36" s="7" t="s">
        <x:v>2048</x:v>
      </x:c>
      <x:c r="F36" s="7" t="s">
        <x:v>1942</x:v>
      </x:c>
      <x:c r="G36" s="8" t="n">
        <x:v>15.1</x:v>
      </x:c>
      <x:c r="H36" s="8" t="n">
        <x:v>3.9</x:v>
      </x:c>
      <x:c r="I36" s="8" t="s">
        <x:v>58</x:v>
      </x:c>
      <x:c r="J36" s="7" t="s">
        <x:v>1919</x:v>
      </x:c>
      <x:c r="K36" s="8" t="n">
        <x:v>1</x:v>
      </x:c>
      <x:c r="L36" s="8" t="n">
        <x:f aca="0">IF(AND(ISNUMBER(G36),P36&lt;&gt;"Unresolved unit / layout"),G36*K36,"Not applicable")</x:f>
        <x:v>15.1</x:v>
      </x:c>
      <x:c r="M36" s="8" t="n">
        <x:f aca="0">IF(AND(ISNUMBER(H36),P36&lt;&gt;"Unresolved unit / layout"),H36*K36,"Not applicable")</x:f>
        <x:v>3.9</x:v>
      </x:c>
      <x:c r="N36" s="8" t="str">
        <x:f aca="0">IF(AND(ISNUMBER(I36),P36&lt;&gt;"Unresolved unit / layout"),I36*K36,"Not applicable")</x:f>
        <x:v>Not applicable</x:v>
      </x:c>
      <x:c r="O36" s="7" t="s">
        <x:v>1942</x:v>
      </x:c>
      <x:c r="P36" s="7" t="s">
        <x:v>1921</x:v>
      </x:c>
      <x:c r="Q36" s="7" t="s">
        <x:v>1930</x:v>
      </x:c>
      <x:c r="R36" s="7" t="s">
        <x:v>1931</x:v>
      </x:c>
      <x:c r="S36" s="7" t="s">
        <x:v>53</x:v>
      </x:c>
      <x:c r="T36" s="7" t="s">
        <x:v>53</x:v>
      </x:c>
      <x:c r="U36" s="7" t="s">
        <x:v>53</x:v>
      </x:c>
      <x:c r="V36" s="7" t="s">
        <x:v>1999</x:v>
      </x:c>
      <x:c r="W36" s="7" t="s">
        <x:v>58</x:v>
      </x:c>
      <x:c r="X36" s="7" t="s">
        <x:v>1967</x:v>
      </x:c>
      <x:c r="Y36" s="7" t="s">
        <x:v>1148</x:v>
      </x:c>
      <x:c r="Z36" s="7" t="s">
        <x:v>2014</x:v>
      </x:c>
      <x:c r="AA36" s="7" t="s">
        <x:v>58</x:v>
      </x:c>
      <x:c r="AB36" s="8" t="s">
        <x:v>58</x:v>
      </x:c>
      <x:c r="AC36" s="8" t="s">
        <x:v>58</x:v>
      </x:c>
      <x:c r="AD36" s="8" t="s">
        <x:v>58</x:v>
      </x:c>
      <x:c r="AE36" s="8" t="s">
        <x:v>58</x:v>
      </x:c>
      <x:c r="AF36" s="8" t="s">
        <x:v>58</x:v>
      </x:c>
      <x:c r="AG36" s="7" t="s">
        <x:v>58</x:v>
      </x:c>
    </x:row>
    <x:row r="37" ht="66" hidden="0" customHeight="1">
      <x:c r="A37" s="7" t="s">
        <x:v>2049</x:v>
      </x:c>
      <x:c r="B37" s="7" t="s">
        <x:v>45</x:v>
      </x:c>
      <x:c r="C37" s="7" t="s">
        <x:v>1145</x:v>
      </x:c>
      <x:c r="D37" s="7" t="s">
        <x:v>1940</x:v>
      </x:c>
      <x:c r="E37" s="7" t="s">
        <x:v>2050</x:v>
      </x:c>
      <x:c r="F37" s="7" t="s">
        <x:v>1942</x:v>
      </x:c>
      <x:c r="G37" s="8" t="n">
        <x:v>3.3</x:v>
      </x:c>
      <x:c r="H37" s="8" t="n">
        <x:v>0.5</x:v>
      </x:c>
      <x:c r="I37" s="8" t="s">
        <x:v>58</x:v>
      </x:c>
      <x:c r="J37" s="7" t="s">
        <x:v>1919</x:v>
      </x:c>
      <x:c r="K37" s="8" t="n">
        <x:v>1</x:v>
      </x:c>
      <x:c r="L37" s="8" t="n">
        <x:f aca="0">IF(AND(ISNUMBER(G37),P37&lt;&gt;"Unresolved unit / layout"),G37*K37,"Not applicable")</x:f>
        <x:v>3.3</x:v>
      </x:c>
      <x:c r="M37" s="8" t="n">
        <x:f aca="0">IF(AND(ISNUMBER(H37),P37&lt;&gt;"Unresolved unit / layout"),H37*K37,"Not applicable")</x:f>
        <x:v>0.5</x:v>
      </x:c>
      <x:c r="N37" s="8" t="str">
        <x:f aca="0">IF(AND(ISNUMBER(I37),P37&lt;&gt;"Unresolved unit / layout"),I37*K37,"Not applicable")</x:f>
        <x:v>Not applicable</x:v>
      </x:c>
      <x:c r="O37" s="7" t="s">
        <x:v>1942</x:v>
      </x:c>
      <x:c r="P37" s="7" t="s">
        <x:v>1921</x:v>
      </x:c>
      <x:c r="Q37" s="7" t="s">
        <x:v>1930</x:v>
      </x:c>
      <x:c r="R37" s="7" t="s">
        <x:v>2003</x:v>
      </x:c>
      <x:c r="S37" s="7" t="s">
        <x:v>53</x:v>
      </x:c>
      <x:c r="T37" s="7" t="s">
        <x:v>53</x:v>
      </x:c>
      <x:c r="U37" s="7" t="s">
        <x:v>53</x:v>
      </x:c>
      <x:c r="V37" s="7" t="s">
        <x:v>1999</x:v>
      </x:c>
      <x:c r="W37" s="7" t="s">
        <x:v>58</x:v>
      </x:c>
      <x:c r="X37" s="7" t="s">
        <x:v>1967</x:v>
      </x:c>
      <x:c r="Y37" s="7" t="s">
        <x:v>1148</x:v>
      </x:c>
      <x:c r="Z37" s="7" t="s">
        <x:v>2017</x:v>
      </x:c>
      <x:c r="AA37" s="7" t="s">
        <x:v>58</x:v>
      </x:c>
      <x:c r="AB37" s="8" t="s">
        <x:v>58</x:v>
      </x:c>
      <x:c r="AC37" s="8" t="s">
        <x:v>58</x:v>
      </x:c>
      <x:c r="AD37" s="8" t="s">
        <x:v>58</x:v>
      </x:c>
      <x:c r="AE37" s="8" t="s">
        <x:v>58</x:v>
      </x:c>
      <x:c r="AF37" s="8" t="s">
        <x:v>58</x:v>
      </x:c>
      <x:c r="AG37" s="7" t="s">
        <x:v>58</x:v>
      </x:c>
    </x:row>
    <x:row r="38" ht="66" hidden="0" customHeight="1">
      <x:c r="A38" s="7" t="s">
        <x:v>2051</x:v>
      </x:c>
      <x:c r="B38" s="7" t="s">
        <x:v>45</x:v>
      </x:c>
      <x:c r="C38" s="7" t="s">
        <x:v>1145</x:v>
      </x:c>
      <x:c r="D38" s="7" t="s">
        <x:v>1950</x:v>
      </x:c>
      <x:c r="E38" s="7" t="s">
        <x:v>2052</x:v>
      </x:c>
      <x:c r="F38" s="7" t="s">
        <x:v>1929</x:v>
      </x:c>
      <x:c r="G38" s="8" t="n">
        <x:v>2797.9</x:v>
      </x:c>
      <x:c r="H38" s="8" t="n">
        <x:v>40.7</x:v>
      </x:c>
      <x:c r="I38" s="8" t="s">
        <x:v>58</x:v>
      </x:c>
      <x:c r="J38" s="7" t="s">
        <x:v>1919</x:v>
      </x:c>
      <x:c r="K38" s="8" t="n">
        <x:v>0.001</x:v>
      </x:c>
      <x:c r="L38" s="8" t="n">
        <x:f aca="0">IF(AND(ISNUMBER(G38),P38&lt;&gt;"Unresolved unit / layout"),G38*K38,"Not applicable")</x:f>
        <x:v>2.7979000000000003</x:v>
      </x:c>
      <x:c r="M38" s="8" t="n">
        <x:f aca="0">IF(AND(ISNUMBER(H38),P38&lt;&gt;"Unresolved unit / layout"),H38*K38,"Not applicable")</x:f>
        <x:v>0.04070000000000001</x:v>
      </x:c>
      <x:c r="N38" s="8" t="str">
        <x:f aca="0">IF(AND(ISNUMBER(I38),P38&lt;&gt;"Unresolved unit / layout"),I38*K38,"Not applicable")</x:f>
        <x:v>Not applicable</x:v>
      </x:c>
      <x:c r="O38" s="7" t="s">
        <x:v>1937</x:v>
      </x:c>
      <x:c r="P38" s="7" t="s">
        <x:v>1921</x:v>
      </x:c>
      <x:c r="Q38" s="7" t="s">
        <x:v>1930</x:v>
      </x:c>
      <x:c r="R38" s="7" t="s">
        <x:v>1931</x:v>
      </x:c>
      <x:c r="S38" s="7" t="s">
        <x:v>53</x:v>
      </x:c>
      <x:c r="T38" s="7" t="s">
        <x:v>53</x:v>
      </x:c>
      <x:c r="U38" s="7" t="s">
        <x:v>53</x:v>
      </x:c>
      <x:c r="V38" s="7" t="s">
        <x:v>2020</x:v>
      </x:c>
      <x:c r="W38" s="7" t="s">
        <x:v>58</x:v>
      </x:c>
      <x:c r="X38" s="7" t="s">
        <x:v>1967</x:v>
      </x:c>
      <x:c r="Y38" s="7" t="s">
        <x:v>1148</x:v>
      </x:c>
      <x:c r="Z38" s="7" t="s">
        <x:v>2021</x:v>
      </x:c>
      <x:c r="AA38" s="7" t="s">
        <x:v>58</x:v>
      </x:c>
      <x:c r="AB38" s="8" t="s">
        <x:v>58</x:v>
      </x:c>
      <x:c r="AC38" s="8" t="s">
        <x:v>58</x:v>
      </x:c>
      <x:c r="AD38" s="8" t="s">
        <x:v>58</x:v>
      </x:c>
      <x:c r="AE38" s="8" t="s">
        <x:v>58</x:v>
      </x:c>
      <x:c r="AF38" s="8" t="s">
        <x:v>58</x:v>
      </x:c>
      <x:c r="AG38" s="7" t="s">
        <x:v>58</x:v>
      </x:c>
    </x:row>
    <x:row r="39" ht="66" hidden="0" customHeight="1">
      <x:c r="A39" s="7" t="s">
        <x:v>2053</x:v>
      </x:c>
      <x:c r="B39" s="7" t="s">
        <x:v>45</x:v>
      </x:c>
      <x:c r="C39" s="7" t="s">
        <x:v>1145</x:v>
      </x:c>
      <x:c r="D39" s="7" t="s">
        <x:v>1945</x:v>
      </x:c>
      <x:c r="E39" s="7" t="s">
        <x:v>2054</x:v>
      </x:c>
      <x:c r="F39" s="7" t="s">
        <x:v>1929</x:v>
      </x:c>
      <x:c r="G39" s="8" t="n">
        <x:v>71.4</x:v>
      </x:c>
      <x:c r="H39" s="8" t="n">
        <x:v>0.6</x:v>
      </x:c>
      <x:c r="I39" s="8" t="s">
        <x:v>58</x:v>
      </x:c>
      <x:c r="J39" s="7" t="s">
        <x:v>1919</x:v>
      </x:c>
      <x:c r="K39" s="8" t="n">
        <x:v>1</x:v>
      </x:c>
      <x:c r="L39" s="8" t="n">
        <x:f aca="0">IF(AND(ISNUMBER(G39),P39&lt;&gt;"Unresolved unit / layout"),G39*K39,"Not applicable")</x:f>
        <x:v>71.4</x:v>
      </x:c>
      <x:c r="M39" s="8" t="n">
        <x:f aca="0">IF(AND(ISNUMBER(H39),P39&lt;&gt;"Unresolved unit / layout"),H39*K39,"Not applicable")</x:f>
        <x:v>0.6</x:v>
      </x:c>
      <x:c r="N39" s="8" t="str">
        <x:f aca="0">IF(AND(ISNUMBER(I39),P39&lt;&gt;"Unresolved unit / layout"),I39*K39,"Not applicable")</x:f>
        <x:v>Not applicable</x:v>
      </x:c>
      <x:c r="O39" s="7" t="s">
        <x:v>1929</x:v>
      </x:c>
      <x:c r="P39" s="7" t="s">
        <x:v>1921</x:v>
      </x:c>
      <x:c r="Q39" s="7" t="s">
        <x:v>1930</x:v>
      </x:c>
      <x:c r="R39" s="7" t="s">
        <x:v>1931</x:v>
      </x:c>
      <x:c r="S39" s="7" t="s">
        <x:v>53</x:v>
      </x:c>
      <x:c r="T39" s="7" t="s">
        <x:v>53</x:v>
      </x:c>
      <x:c r="U39" s="7" t="s">
        <x:v>53</x:v>
      </x:c>
      <x:c r="V39" s="7" t="s">
        <x:v>2020</x:v>
      </x:c>
      <x:c r="W39" s="7" t="s">
        <x:v>58</x:v>
      </x:c>
      <x:c r="X39" s="7" t="s">
        <x:v>1967</x:v>
      </x:c>
      <x:c r="Y39" s="7" t="s">
        <x:v>1148</x:v>
      </x:c>
      <x:c r="Z39" s="7" t="s">
        <x:v>2026</x:v>
      </x:c>
      <x:c r="AA39" s="7" t="s">
        <x:v>58</x:v>
      </x:c>
      <x:c r="AB39" s="8" t="s">
        <x:v>58</x:v>
      </x:c>
      <x:c r="AC39" s="8" t="s">
        <x:v>58</x:v>
      </x:c>
      <x:c r="AD39" s="8" t="s">
        <x:v>58</x:v>
      </x:c>
      <x:c r="AE39" s="8" t="s">
        <x:v>58</x:v>
      </x:c>
      <x:c r="AF39" s="8" t="s">
        <x:v>58</x:v>
      </x:c>
      <x:c r="AG39" s="7" t="s">
        <x:v>58</x:v>
      </x:c>
    </x:row>
    <x:row r="40" ht="66" hidden="0" customHeight="1">
      <x:c r="A40" s="7" t="s">
        <x:v>2055</x:v>
      </x:c>
      <x:c r="B40" s="7" t="s">
        <x:v>45</x:v>
      </x:c>
      <x:c r="C40" s="7" t="s">
        <x:v>1145</x:v>
      </x:c>
      <x:c r="D40" s="7" t="s">
        <x:v>2030</x:v>
      </x:c>
      <x:c r="E40" s="7" t="s">
        <x:v>2056</x:v>
      </x:c>
      <x:c r="F40" s="7" t="s">
        <x:v>2032</x:v>
      </x:c>
      <x:c r="G40" s="8" t="n">
        <x:v>5</x:v>
      </x:c>
      <x:c r="H40" s="8" t="n">
        <x:v>0.5</x:v>
      </x:c>
      <x:c r="I40" s="8" t="s">
        <x:v>58</x:v>
      </x:c>
      <x:c r="J40" s="7" t="s">
        <x:v>1919</x:v>
      </x:c>
      <x:c r="K40" s="8" t="n">
        <x:v>1</x:v>
      </x:c>
      <x:c r="L40" s="8" t="n">
        <x:f aca="0">IF(AND(ISNUMBER(G40),P40&lt;&gt;"Unresolved unit / layout"),G40*K40,"Not applicable")</x:f>
        <x:v>5</x:v>
      </x:c>
      <x:c r="M40" s="8" t="n">
        <x:f aca="0">IF(AND(ISNUMBER(H40),P40&lt;&gt;"Unresolved unit / layout"),H40*K40,"Not applicable")</x:f>
        <x:v>0.5</x:v>
      </x:c>
      <x:c r="N40" s="8" t="str">
        <x:f aca="0">IF(AND(ISNUMBER(I40),P40&lt;&gt;"Unresolved unit / layout"),I40*K40,"Not applicable")</x:f>
        <x:v>Not applicable</x:v>
      </x:c>
      <x:c r="O40" s="7" t="s">
        <x:v>2033</x:v>
      </x:c>
      <x:c r="P40" s="7" t="s">
        <x:v>1921</x:v>
      </x:c>
      <x:c r="Q40" s="7" t="s">
        <x:v>1930</x:v>
      </x:c>
      <x:c r="R40" s="7" t="s">
        <x:v>1931</x:v>
      </x:c>
      <x:c r="S40" s="7" t="s">
        <x:v>53</x:v>
      </x:c>
      <x:c r="T40" s="7" t="s">
        <x:v>53</x:v>
      </x:c>
      <x:c r="U40" s="7" t="s">
        <x:v>53</x:v>
      </x:c>
      <x:c r="V40" s="7" t="s">
        <x:v>2036</x:v>
      </x:c>
      <x:c r="W40" s="7" t="s">
        <x:v>53</x:v>
      </x:c>
      <x:c r="X40" s="7" t="s">
        <x:v>1967</x:v>
      </x:c>
      <x:c r="Y40" s="7" t="s">
        <x:v>1148</x:v>
      </x:c>
      <x:c r="Z40" s="7" t="s">
        <x:v>2034</x:v>
      </x:c>
      <x:c r="AA40" s="7" t="s">
        <x:v>58</x:v>
      </x:c>
      <x:c r="AB40" s="8" t="s">
        <x:v>58</x:v>
      </x:c>
      <x:c r="AC40" s="8" t="s">
        <x:v>58</x:v>
      </x:c>
      <x:c r="AD40" s="8" t="s">
        <x:v>58</x:v>
      </x:c>
      <x:c r="AE40" s="8" t="s">
        <x:v>58</x:v>
      </x:c>
      <x:c r="AF40" s="8" t="s">
        <x:v>58</x:v>
      </x:c>
      <x:c r="AG40" s="7" t="s">
        <x:v>58</x:v>
      </x:c>
    </x:row>
    <x:row r="41" ht="66" hidden="0" customHeight="1">
      <x:c r="A41" s="7" t="s">
        <x:v>2057</x:v>
      </x:c>
      <x:c r="B41" s="7" t="s">
        <x:v>45</x:v>
      </x:c>
      <x:c r="C41" s="7" t="s">
        <x:v>1150</x:v>
      </x:c>
      <x:c r="D41" s="7" t="s">
        <x:v>1916</x:v>
      </x:c>
      <x:c r="E41" s="7" t="s">
        <x:v>2058</x:v>
      </x:c>
      <x:c r="F41" s="7" t="s">
        <x:v>2059</x:v>
      </x:c>
      <x:c r="G41" s="8" t="n">
        <x:v>1.24</x:v>
      </x:c>
      <x:c r="H41" s="8" t="s">
        <x:v>58</x:v>
      </x:c>
      <x:c r="I41" s="8" t="s">
        <x:v>58</x:v>
      </x:c>
      <x:c r="J41" s="7" t="s">
        <x:v>1919</x:v>
      </x:c>
      <x:c r="K41" s="8" t="n">
        <x:v>1000</x:v>
      </x:c>
      <x:c r="L41" s="8" t="n">
        <x:f aca="0">IF(AND(ISNUMBER(G41),P41&lt;&gt;"Unresolved unit / layout"),G41*K41,"Not applicable")</x:f>
        <x:v>1240</x:v>
      </x:c>
      <x:c r="M41" s="8" t="str">
        <x:f aca="0">IF(AND(ISNUMBER(H41),P41&lt;&gt;"Unresolved unit / layout"),H41*K41,"Not applicable")</x:f>
        <x:v>Not applicable</x:v>
      </x:c>
      <x:c r="N41" s="8" t="str">
        <x:f aca="0">IF(AND(ISNUMBER(I41),P41&lt;&gt;"Unresolved unit / layout"),I41*K41,"Not applicable")</x:f>
        <x:v>Not applicable</x:v>
      </x:c>
      <x:c r="O41" s="7" t="s">
        <x:v>1920</x:v>
      </x:c>
      <x:c r="P41" s="7" t="s">
        <x:v>1921</x:v>
      </x:c>
      <x:c r="Q41" s="7" t="s">
        <x:v>1922</x:v>
      </x:c>
      <x:c r="R41" s="7" t="s">
        <x:v>58</x:v>
      </x:c>
      <x:c r="S41" s="7" t="s">
        <x:v>53</x:v>
      </x:c>
      <x:c r="T41" s="7" t="s">
        <x:v>53</x:v>
      </x:c>
      <x:c r="U41" s="7" t="s">
        <x:v>53</x:v>
      </x:c>
      <x:c r="V41" s="7" t="s">
        <x:v>2060</x:v>
      </x:c>
      <x:c r="W41" s="7" t="s">
        <x:v>58</x:v>
      </x:c>
      <x:c r="X41" s="7" t="s">
        <x:v>2061</x:v>
      </x:c>
      <x:c r="Y41" s="7" t="s">
        <x:v>1152</x:v>
      </x:c>
      <x:c r="Z41" s="7" t="s">
        <x:v>1925</x:v>
      </x:c>
      <x:c r="AA41" s="7" t="s">
        <x:v>58</x:v>
      </x:c>
      <x:c r="AB41" s="8" t="s">
        <x:v>58</x:v>
      </x:c>
      <x:c r="AC41" s="8" t="s">
        <x:v>58</x:v>
      </x:c>
      <x:c r="AD41" s="8" t="s">
        <x:v>58</x:v>
      </x:c>
      <x:c r="AE41" s="8" t="s">
        <x:v>58</x:v>
      </x:c>
      <x:c r="AF41" s="8" t="s">
        <x:v>58</x:v>
      </x:c>
      <x:c r="AG41" s="7" t="s">
        <x:v>58</x:v>
      </x:c>
    </x:row>
    <x:row r="42" ht="66" hidden="0" customHeight="1">
      <x:c r="A42" s="7" t="s">
        <x:v>2062</x:v>
      </x:c>
      <x:c r="B42" s="7" t="s">
        <x:v>45</x:v>
      </x:c>
      <x:c r="C42" s="7" t="s">
        <x:v>1150</x:v>
      </x:c>
      <x:c r="D42" s="7" t="s">
        <x:v>2006</x:v>
      </x:c>
      <x:c r="E42" s="7" t="s">
        <x:v>2063</x:v>
      </x:c>
      <x:c r="F42" s="7" t="s">
        <x:v>1929</x:v>
      </x:c>
      <x:c r="G42" s="8" t="n">
        <x:v>3</x:v>
      </x:c>
      <x:c r="H42" s="8" t="s">
        <x:v>58</x:v>
      </x:c>
      <x:c r="I42" s="8" t="s">
        <x:v>58</x:v>
      </x:c>
      <x:c r="J42" s="7" t="s">
        <x:v>1919</x:v>
      </x:c>
      <x:c r="K42" s="8" t="n">
        <x:v>1</x:v>
      </x:c>
      <x:c r="L42" s="8" t="n">
        <x:f aca="0">IF(AND(ISNUMBER(G42),P42&lt;&gt;"Unresolved unit / layout"),G42*K42,"Not applicable")</x:f>
        <x:v>3</x:v>
      </x:c>
      <x:c r="M42" s="8" t="str">
        <x:f aca="0">IF(AND(ISNUMBER(H42),P42&lt;&gt;"Unresolved unit / layout"),H42*K42,"Not applicable")</x:f>
        <x:v>Not applicable</x:v>
      </x:c>
      <x:c r="N42" s="8" t="str">
        <x:f aca="0">IF(AND(ISNUMBER(I42),P42&lt;&gt;"Unresolved unit / layout"),I42*K42,"Not applicable")</x:f>
        <x:v>Not applicable</x:v>
      </x:c>
      <x:c r="O42" s="7" t="s">
        <x:v>1929</x:v>
      </x:c>
      <x:c r="P42" s="7" t="s">
        <x:v>1921</x:v>
      </x:c>
      <x:c r="Q42" s="7" t="s">
        <x:v>2064</x:v>
      </x:c>
      <x:c r="R42" s="7" t="s">
        <x:v>53</x:v>
      </x:c>
      <x:c r="S42" s="7" t="s">
        <x:v>53</x:v>
      </x:c>
      <x:c r="T42" s="7" t="s">
        <x:v>53</x:v>
      </x:c>
      <x:c r="U42" s="7" t="s">
        <x:v>53</x:v>
      </x:c>
      <x:c r="V42" s="7" t="s">
        <x:v>2065</x:v>
      </x:c>
      <x:c r="W42" s="7" t="s">
        <x:v>58</x:v>
      </x:c>
      <x:c r="X42" s="7" t="s">
        <x:v>2061</x:v>
      </x:c>
      <x:c r="Y42" s="7" t="s">
        <x:v>1152</x:v>
      </x:c>
      <x:c r="Z42" s="7" t="s">
        <x:v>2066</x:v>
      </x:c>
      <x:c r="AA42" s="7" t="s">
        <x:v>58</x:v>
      </x:c>
      <x:c r="AB42" s="8" t="s">
        <x:v>58</x:v>
      </x:c>
      <x:c r="AC42" s="8" t="s">
        <x:v>58</x:v>
      </x:c>
      <x:c r="AD42" s="8" t="s">
        <x:v>58</x:v>
      </x:c>
      <x:c r="AE42" s="8" t="s">
        <x:v>58</x:v>
      </x:c>
      <x:c r="AF42" s="8" t="s">
        <x:v>58</x:v>
      </x:c>
      <x:c r="AG42" s="7" t="s">
        <x:v>58</x:v>
      </x:c>
    </x:row>
    <x:row r="43" ht="66" hidden="0" customHeight="1">
      <x:c r="A43" s="7" t="s">
        <x:v>2067</x:v>
      </x:c>
      <x:c r="B43" s="7" t="s">
        <x:v>45</x:v>
      </x:c>
      <x:c r="C43" s="7" t="s">
        <x:v>1150</x:v>
      </x:c>
      <x:c r="D43" s="7" t="s">
        <x:v>1935</x:v>
      </x:c>
      <x:c r="E43" s="7" t="s">
        <x:v>2068</x:v>
      </x:c>
      <x:c r="F43" s="7" t="s">
        <x:v>1929</x:v>
      </x:c>
      <x:c r="G43" s="8" t="n">
        <x:v>3309</x:v>
      </x:c>
      <x:c r="H43" s="8" t="s">
        <x:v>58</x:v>
      </x:c>
      <x:c r="I43" s="8" t="s">
        <x:v>58</x:v>
      </x:c>
      <x:c r="J43" s="7" t="s">
        <x:v>1919</x:v>
      </x:c>
      <x:c r="K43" s="8" t="n">
        <x:v>0.001</x:v>
      </x:c>
      <x:c r="L43" s="8" t="n">
        <x:f aca="0">IF(AND(ISNUMBER(G43),P43&lt;&gt;"Unresolved unit / layout"),G43*K43,"Not applicable")</x:f>
        <x:v>3.309</x:v>
      </x:c>
      <x:c r="M43" s="8" t="str">
        <x:f aca="0">IF(AND(ISNUMBER(H43),P43&lt;&gt;"Unresolved unit / layout"),H43*K43,"Not applicable")</x:f>
        <x:v>Not applicable</x:v>
      </x:c>
      <x:c r="N43" s="8" t="str">
        <x:f aca="0">IF(AND(ISNUMBER(I43),P43&lt;&gt;"Unresolved unit / layout"),I43*K43,"Not applicable")</x:f>
        <x:v>Not applicable</x:v>
      </x:c>
      <x:c r="O43" s="7" t="s">
        <x:v>1937</x:v>
      </x:c>
      <x:c r="P43" s="7" t="s">
        <x:v>1921</x:v>
      </x:c>
      <x:c r="Q43" s="7" t="s">
        <x:v>2064</x:v>
      </x:c>
      <x:c r="R43" s="7" t="s">
        <x:v>53</x:v>
      </x:c>
      <x:c r="S43" s="7" t="s">
        <x:v>53</x:v>
      </x:c>
      <x:c r="T43" s="7" t="s">
        <x:v>53</x:v>
      </x:c>
      <x:c r="U43" s="7" t="s">
        <x:v>53</x:v>
      </x:c>
      <x:c r="V43" s="7" t="s">
        <x:v>2069</x:v>
      </x:c>
      <x:c r="W43" s="7" t="s">
        <x:v>58</x:v>
      </x:c>
      <x:c r="X43" s="7" t="s">
        <x:v>2061</x:v>
      </x:c>
      <x:c r="Y43" s="7" t="s">
        <x:v>1152</x:v>
      </x:c>
      <x:c r="Z43" s="7" t="s">
        <x:v>2070</x:v>
      </x:c>
      <x:c r="AA43" s="7" t="s">
        <x:v>58</x:v>
      </x:c>
      <x:c r="AB43" s="8" t="s">
        <x:v>58</x:v>
      </x:c>
      <x:c r="AC43" s="8" t="s">
        <x:v>58</x:v>
      </x:c>
      <x:c r="AD43" s="8" t="s">
        <x:v>58</x:v>
      </x:c>
      <x:c r="AE43" s="8" t="s">
        <x:v>58</x:v>
      </x:c>
      <x:c r="AF43" s="8" t="s">
        <x:v>58</x:v>
      </x:c>
      <x:c r="AG43" s="7" t="s">
        <x:v>58</x:v>
      </x:c>
    </x:row>
    <x:row r="44" ht="66" hidden="0" customHeight="1">
      <x:c r="A44" s="7" t="s">
        <x:v>2071</x:v>
      </x:c>
      <x:c r="B44" s="7" t="s">
        <x:v>45</x:v>
      </x:c>
      <x:c r="C44" s="7" t="s">
        <x:v>1150</x:v>
      </x:c>
      <x:c r="D44" s="7" t="s">
        <x:v>1940</x:v>
      </x:c>
      <x:c r="E44" s="7" t="s">
        <x:v>2072</x:v>
      </x:c>
      <x:c r="F44" s="7" t="s">
        <x:v>1942</x:v>
      </x:c>
      <x:c r="G44" s="8" t="n">
        <x:v>160</x:v>
      </x:c>
      <x:c r="H44" s="8" t="s">
        <x:v>58</x:v>
      </x:c>
      <x:c r="I44" s="8" t="s">
        <x:v>58</x:v>
      </x:c>
      <x:c r="J44" s="7" t="s">
        <x:v>1919</x:v>
      </x:c>
      <x:c r="K44" s="8" t="n">
        <x:v>1</x:v>
      </x:c>
      <x:c r="L44" s="8" t="n">
        <x:f aca="0">IF(AND(ISNUMBER(G44),P44&lt;&gt;"Unresolved unit / layout"),G44*K44,"Not applicable")</x:f>
        <x:v>160</x:v>
      </x:c>
      <x:c r="M44" s="8" t="str">
        <x:f aca="0">IF(AND(ISNUMBER(H44),P44&lt;&gt;"Unresolved unit / layout"),H44*K44,"Not applicable")</x:f>
        <x:v>Not applicable</x:v>
      </x:c>
      <x:c r="N44" s="8" t="str">
        <x:f aca="0">IF(AND(ISNUMBER(I44),P44&lt;&gt;"Unresolved unit / layout"),I44*K44,"Not applicable")</x:f>
        <x:v>Not applicable</x:v>
      </x:c>
      <x:c r="O44" s="7" t="s">
        <x:v>1942</x:v>
      </x:c>
      <x:c r="P44" s="7" t="s">
        <x:v>1921</x:v>
      </x:c>
      <x:c r="Q44" s="7" t="s">
        <x:v>2064</x:v>
      </x:c>
      <x:c r="R44" s="7" t="s">
        <x:v>53</x:v>
      </x:c>
      <x:c r="S44" s="7" t="s">
        <x:v>53</x:v>
      </x:c>
      <x:c r="T44" s="7" t="s">
        <x:v>53</x:v>
      </x:c>
      <x:c r="U44" s="7" t="s">
        <x:v>53</x:v>
      </x:c>
      <x:c r="V44" s="7" t="s">
        <x:v>2069</x:v>
      </x:c>
      <x:c r="W44" s="7" t="s">
        <x:v>58</x:v>
      </x:c>
      <x:c r="X44" s="7" t="s">
        <x:v>2061</x:v>
      </x:c>
      <x:c r="Y44" s="7" t="s">
        <x:v>1152</x:v>
      </x:c>
      <x:c r="Z44" s="7" t="s">
        <x:v>2073</x:v>
      </x:c>
      <x:c r="AA44" s="7" t="s">
        <x:v>58</x:v>
      </x:c>
      <x:c r="AB44" s="8" t="s">
        <x:v>58</x:v>
      </x:c>
      <x:c r="AC44" s="8" t="s">
        <x:v>58</x:v>
      </x:c>
      <x:c r="AD44" s="8" t="s">
        <x:v>58</x:v>
      </x:c>
      <x:c r="AE44" s="8" t="s">
        <x:v>58</x:v>
      </x:c>
      <x:c r="AF44" s="8" t="s">
        <x:v>58</x:v>
      </x:c>
      <x:c r="AG44" s="7" t="s">
        <x:v>58</x:v>
      </x:c>
    </x:row>
    <x:row r="45" ht="79.5" hidden="0" customHeight="1">
      <x:c r="A45" s="7" t="s">
        <x:v>2074</x:v>
      </x:c>
      <x:c r="B45" s="7" t="s">
        <x:v>76</x:v>
      </x:c>
      <x:c r="C45" s="7" t="s">
        <x:v>79</x:v>
      </x:c>
      <x:c r="D45" s="7" t="s">
        <x:v>1916</x:v>
      </x:c>
      <x:c r="E45" s="7" t="s">
        <x:v>2075</x:v>
      </x:c>
      <x:c r="F45" s="7" t="s">
        <x:v>2076</x:v>
      </x:c>
      <x:c r="G45" s="8" t="n">
        <x:v>1.24</x:v>
      </x:c>
      <x:c r="H45" s="8" t="s">
        <x:v>58</x:v>
      </x:c>
      <x:c r="I45" s="8" t="s">
        <x:v>58</x:v>
      </x:c>
      <x:c r="J45" s="7" t="s">
        <x:v>1919</x:v>
      </x:c>
      <x:c r="K45" s="8" t="n">
        <x:v>1000</x:v>
      </x:c>
      <x:c r="L45" s="8" t="n">
        <x:f aca="0">IF(AND(ISNUMBER(G45),P45&lt;&gt;"Unresolved unit / layout"),G45*K45,"Not applicable")</x:f>
        <x:v>1240</x:v>
      </x:c>
      <x:c r="M45" s="8" t="str">
        <x:f aca="0">IF(AND(ISNUMBER(H45),P45&lt;&gt;"Unresolved unit / layout"),H45*K45,"Not applicable")</x:f>
        <x:v>Not applicable</x:v>
      </x:c>
      <x:c r="N45" s="8" t="str">
        <x:f aca="0">IF(AND(ISNUMBER(I45),P45&lt;&gt;"Unresolved unit / layout"),I45*K45,"Not applicable")</x:f>
        <x:v>Not applicable</x:v>
      </x:c>
      <x:c r="O45" s="7" t="s">
        <x:v>1920</x:v>
      </x:c>
      <x:c r="P45" s="7" t="s">
        <x:v>1921</x:v>
      </x:c>
      <x:c r="Q45" s="7" t="s">
        <x:v>1922</x:v>
      </x:c>
      <x:c r="R45" s="7" t="s">
        <x:v>58</x:v>
      </x:c>
      <x:c r="S45" s="7" t="s">
        <x:v>2077</x:v>
      </x:c>
      <x:c r="T45" s="7" t="s">
        <x:v>2078</x:v>
      </x:c>
      <x:c r="U45" s="7" t="s">
        <x:v>53</x:v>
      </x:c>
      <x:c r="V45" s="7" t="s">
        <x:v>1923</x:v>
      </x:c>
      <x:c r="W45" s="7" t="s">
        <x:v>58</x:v>
      </x:c>
      <x:c r="X45" s="7" t="s">
        <x:v>2079</x:v>
      </x:c>
      <x:c r="Y45" s="7" t="s">
        <x:v>1154</x:v>
      </x:c>
      <x:c r="Z45" s="7" t="s">
        <x:v>1968</x:v>
      </x:c>
      <x:c r="AA45" s="7" t="s">
        <x:v>58</x:v>
      </x:c>
      <x:c r="AB45" s="8" t="s">
        <x:v>58</x:v>
      </x:c>
      <x:c r="AC45" s="8" t="s">
        <x:v>58</x:v>
      </x:c>
      <x:c r="AD45" s="8" t="s">
        <x:v>58</x:v>
      </x:c>
      <x:c r="AE45" s="8" t="s">
        <x:v>58</x:v>
      </x:c>
      <x:c r="AF45" s="8" t="s">
        <x:v>58</x:v>
      </x:c>
      <x:c r="AG45" s="7" t="s">
        <x:v>58</x:v>
      </x:c>
    </x:row>
    <x:row r="46" ht="79.5" hidden="0" customHeight="1">
      <x:c r="A46" s="7" t="s">
        <x:v>2080</x:v>
      </x:c>
      <x:c r="B46" s="7" t="s">
        <x:v>76</x:v>
      </x:c>
      <x:c r="C46" s="7" t="s">
        <x:v>79</x:v>
      </x:c>
      <x:c r="D46" s="7" t="s">
        <x:v>1974</x:v>
      </x:c>
      <x:c r="E46" s="7" t="s">
        <x:v>2081</x:v>
      </x:c>
      <x:c r="F46" s="7" t="s">
        <x:v>1956</x:v>
      </x:c>
      <x:c r="G46" s="8" t="n">
        <x:v>160</x:v>
      </x:c>
      <x:c r="H46" s="8" t="s">
        <x:v>58</x:v>
      </x:c>
      <x:c r="I46" s="8" t="s">
        <x:v>58</x:v>
      </x:c>
      <x:c r="J46" s="7" t="s">
        <x:v>1919</x:v>
      </x:c>
      <x:c r="K46" s="8" t="n">
        <x:v>1</x:v>
      </x:c>
      <x:c r="L46" s="8" t="n">
        <x:f aca="0">IF(AND(ISNUMBER(G46),P46&lt;&gt;"Unresolved unit / layout"),G46*K46,"Not applicable")</x:f>
        <x:v>160</x:v>
      </x:c>
      <x:c r="M46" s="8" t="str">
        <x:f aca="0">IF(AND(ISNUMBER(H46),P46&lt;&gt;"Unresolved unit / layout"),H46*K46,"Not applicable")</x:f>
        <x:v>Not applicable</x:v>
      </x:c>
      <x:c r="N46" s="8" t="str">
        <x:f aca="0">IF(AND(ISNUMBER(I46),P46&lt;&gt;"Unresolved unit / layout"),I46*K46,"Not applicable")</x:f>
        <x:v>Not applicable</x:v>
      </x:c>
      <x:c r="O46" s="7" t="s">
        <x:v>1956</x:v>
      </x:c>
      <x:c r="P46" s="7" t="s">
        <x:v>1921</x:v>
      </x:c>
      <x:c r="Q46" s="7" t="s">
        <x:v>1930</x:v>
      </x:c>
      <x:c r="R46" s="7" t="s">
        <x:v>58</x:v>
      </x:c>
      <x:c r="S46" s="7" t="s">
        <x:v>2077</x:v>
      </x:c>
      <x:c r="T46" s="7" t="s">
        <x:v>2078</x:v>
      </x:c>
      <x:c r="U46" s="7" t="s">
        <x:v>53</x:v>
      </x:c>
      <x:c r="V46" s="7" t="s">
        <x:v>2082</x:v>
      </x:c>
      <x:c r="W46" s="7" t="s">
        <x:v>58</x:v>
      </x:c>
      <x:c r="X46" s="7" t="s">
        <x:v>2079</x:v>
      </x:c>
      <x:c r="Y46" s="7" t="s">
        <x:v>1154</x:v>
      </x:c>
      <x:c r="Z46" s="7" t="s">
        <x:v>2083</x:v>
      </x:c>
      <x:c r="AA46" s="7" t="s">
        <x:v>58</x:v>
      </x:c>
      <x:c r="AB46" s="8" t="s">
        <x:v>58</x:v>
      </x:c>
      <x:c r="AC46" s="8" t="s">
        <x:v>58</x:v>
      </x:c>
      <x:c r="AD46" s="8" t="s">
        <x:v>58</x:v>
      </x:c>
      <x:c r="AE46" s="8" t="s">
        <x:v>58</x:v>
      </x:c>
      <x:c r="AF46" s="8" t="s">
        <x:v>58</x:v>
      </x:c>
      <x:c r="AG46" s="7" t="s">
        <x:v>58</x:v>
      </x:c>
    </x:row>
    <x:row r="47" ht="79.5" hidden="0" customHeight="1">
      <x:c r="A47" s="7" t="s">
        <x:v>2084</x:v>
      </x:c>
      <x:c r="B47" s="7" t="s">
        <x:v>76</x:v>
      </x:c>
      <x:c r="C47" s="7" t="s">
        <x:v>79</x:v>
      </x:c>
      <x:c r="D47" s="7" t="s">
        <x:v>1954</x:v>
      </x:c>
      <x:c r="E47" s="7" t="s">
        <x:v>2085</x:v>
      </x:c>
      <x:c r="F47" s="7" t="s">
        <x:v>1956</x:v>
      </x:c>
      <x:c r="G47" s="8" t="n">
        <x:v>60</x:v>
      </x:c>
      <x:c r="H47" s="8" t="s">
        <x:v>58</x:v>
      </x:c>
      <x:c r="I47" s="8" t="s">
        <x:v>58</x:v>
      </x:c>
      <x:c r="J47" s="7" t="s">
        <x:v>1919</x:v>
      </x:c>
      <x:c r="K47" s="8" t="n">
        <x:v>1</x:v>
      </x:c>
      <x:c r="L47" s="8" t="n">
        <x:f aca="0">IF(AND(ISNUMBER(G47),P47&lt;&gt;"Unresolved unit / layout"),G47*K47,"Not applicable")</x:f>
        <x:v>60</x:v>
      </x:c>
      <x:c r="M47" s="8" t="str">
        <x:f aca="0">IF(AND(ISNUMBER(H47),P47&lt;&gt;"Unresolved unit / layout"),H47*K47,"Not applicable")</x:f>
        <x:v>Not applicable</x:v>
      </x:c>
      <x:c r="N47" s="8" t="str">
        <x:f aca="0">IF(AND(ISNUMBER(I47),P47&lt;&gt;"Unresolved unit / layout"),I47*K47,"Not applicable")</x:f>
        <x:v>Not applicable</x:v>
      </x:c>
      <x:c r="O47" s="7" t="s">
        <x:v>1956</x:v>
      </x:c>
      <x:c r="P47" s="7" t="s">
        <x:v>1921</x:v>
      </x:c>
      <x:c r="Q47" s="7" t="s">
        <x:v>1930</x:v>
      </x:c>
      <x:c r="R47" s="7" t="s">
        <x:v>58</x:v>
      </x:c>
      <x:c r="S47" s="7" t="s">
        <x:v>2077</x:v>
      </x:c>
      <x:c r="T47" s="7" t="s">
        <x:v>2078</x:v>
      </x:c>
      <x:c r="U47" s="7" t="s">
        <x:v>53</x:v>
      </x:c>
      <x:c r="V47" s="7" t="s">
        <x:v>2082</x:v>
      </x:c>
      <x:c r="W47" s="7" t="s">
        <x:v>58</x:v>
      </x:c>
      <x:c r="X47" s="7" t="s">
        <x:v>2079</x:v>
      </x:c>
      <x:c r="Y47" s="7" t="s">
        <x:v>1154</x:v>
      </x:c>
      <x:c r="Z47" s="7" t="s">
        <x:v>2086</x:v>
      </x:c>
      <x:c r="AA47" s="7" t="s">
        <x:v>58</x:v>
      </x:c>
      <x:c r="AB47" s="8" t="s">
        <x:v>58</x:v>
      </x:c>
      <x:c r="AC47" s="8" t="s">
        <x:v>58</x:v>
      </x:c>
      <x:c r="AD47" s="8" t="s">
        <x:v>58</x:v>
      </x:c>
      <x:c r="AE47" s="8" t="s">
        <x:v>58</x:v>
      </x:c>
      <x:c r="AF47" s="8" t="s">
        <x:v>58</x:v>
      </x:c>
      <x:c r="AG47" s="7" t="s">
        <x:v>58</x:v>
      </x:c>
    </x:row>
    <x:row r="48" ht="79.5" hidden="0" customHeight="1">
      <x:c r="A48" s="7" t="s">
        <x:v>2087</x:v>
      </x:c>
      <x:c r="B48" s="7" t="s">
        <x:v>76</x:v>
      </x:c>
      <x:c r="C48" s="7" t="s">
        <x:v>79</x:v>
      </x:c>
      <x:c r="D48" s="7" t="s">
        <x:v>1978</x:v>
      </x:c>
      <x:c r="E48" s="7" t="s">
        <x:v>1995</x:v>
      </x:c>
      <x:c r="F48" s="7" t="s">
        <x:v>1956</x:v>
      </x:c>
      <x:c r="G48" s="8" t="s">
        <x:v>53</x:v>
      </x:c>
      <x:c r="H48" s="8" t="s">
        <x:v>58</x:v>
      </x:c>
      <x:c r="I48" s="8" t="s">
        <x:v>58</x:v>
      </x:c>
      <x:c r="J48" s="7" t="s">
        <x:v>58</x:v>
      </x:c>
      <x:c r="K48" s="8" t="n">
        <x:v>1</x:v>
      </x:c>
      <x:c r="L48" s="8" t="str">
        <x:f aca="0">IF(AND(ISNUMBER(G48),P48&lt;&gt;"Unresolved unit / layout"),G48*K48,"Not published")</x:f>
        <x:v>Not published</x:v>
      </x:c>
      <x:c r="M48" s="8" t="str">
        <x:f aca="0">IF(AND(ISNUMBER(H48),P48&lt;&gt;"Unresolved unit / layout"),H48*K48,"Not applicable")</x:f>
        <x:v>Not applicable</x:v>
      </x:c>
      <x:c r="N48" s="8" t="str">
        <x:f aca="0">IF(AND(ISNUMBER(I48),P48&lt;&gt;"Unresolved unit / layout"),I48*K48,"Not applicable")</x:f>
        <x:v>Not applicable</x:v>
      </x:c>
      <x:c r="O48" s="7" t="s">
        <x:v>1956</x:v>
      </x:c>
      <x:c r="P48" s="7" t="s">
        <x:v>53</x:v>
      </x:c>
      <x:c r="Q48" s="7" t="s">
        <x:v>1930</x:v>
      </x:c>
      <x:c r="R48" s="7" t="s">
        <x:v>58</x:v>
      </x:c>
      <x:c r="S48" s="7" t="s">
        <x:v>2077</x:v>
      </x:c>
      <x:c r="T48" s="7" t="s">
        <x:v>2078</x:v>
      </x:c>
      <x:c r="U48" s="7" t="s">
        <x:v>53</x:v>
      </x:c>
      <x:c r="V48" s="7" t="s">
        <x:v>2088</x:v>
      </x:c>
      <x:c r="W48" s="7" t="s">
        <x:v>58</x:v>
      </x:c>
      <x:c r="X48" s="7" t="s">
        <x:v>2079</x:v>
      </x:c>
      <x:c r="Y48" s="7" t="s">
        <x:v>1154</x:v>
      </x:c>
      <x:c r="Z48" s="7" t="s">
        <x:v>2089</x:v>
      </x:c>
      <x:c r="AA48" s="7" t="s">
        <x:v>58</x:v>
      </x:c>
      <x:c r="AB48" s="8" t="s">
        <x:v>58</x:v>
      </x:c>
      <x:c r="AC48" s="8" t="s">
        <x:v>58</x:v>
      </x:c>
      <x:c r="AD48" s="8" t="s">
        <x:v>58</x:v>
      </x:c>
      <x:c r="AE48" s="8" t="s">
        <x:v>58</x:v>
      </x:c>
      <x:c r="AF48" s="8" t="s">
        <x:v>58</x:v>
      </x:c>
      <x:c r="AG48" s="7" t="s">
        <x:v>58</x:v>
      </x:c>
    </x:row>
    <x:row r="49" ht="79.5" hidden="0" customHeight="1">
      <x:c r="A49" s="7" t="s">
        <x:v>2090</x:v>
      </x:c>
      <x:c r="B49" s="7" t="s">
        <x:v>76</x:v>
      </x:c>
      <x:c r="C49" s="7" t="s">
        <x:v>79</x:v>
      </x:c>
      <x:c r="D49" s="7" t="s">
        <x:v>1982</x:v>
      </x:c>
      <x:c r="E49" s="7" t="s">
        <x:v>2091</x:v>
      </x:c>
      <x:c r="F49" s="7" t="s">
        <x:v>1956</x:v>
      </x:c>
      <x:c r="G49" s="8" t="n">
        <x:v>57</x:v>
      </x:c>
      <x:c r="H49" s="8" t="s">
        <x:v>58</x:v>
      </x:c>
      <x:c r="I49" s="8" t="s">
        <x:v>58</x:v>
      </x:c>
      <x:c r="J49" s="7" t="s">
        <x:v>1919</x:v>
      </x:c>
      <x:c r="K49" s="8" t="n">
        <x:v>1</x:v>
      </x:c>
      <x:c r="L49" s="8" t="n">
        <x:f aca="0">IF(AND(ISNUMBER(G49),P49&lt;&gt;"Unresolved unit / layout"),G49*K49,"Not applicable")</x:f>
        <x:v>57</x:v>
      </x:c>
      <x:c r="M49" s="8" t="str">
        <x:f aca="0">IF(AND(ISNUMBER(H49),P49&lt;&gt;"Unresolved unit / layout"),H49*K49,"Not applicable")</x:f>
        <x:v>Not applicable</x:v>
      </x:c>
      <x:c r="N49" s="8" t="str">
        <x:f aca="0">IF(AND(ISNUMBER(I49),P49&lt;&gt;"Unresolved unit / layout"),I49*K49,"Not applicable")</x:f>
        <x:v>Not applicable</x:v>
      </x:c>
      <x:c r="O49" s="7" t="s">
        <x:v>1956</x:v>
      </x:c>
      <x:c r="P49" s="7" t="s">
        <x:v>1921</x:v>
      </x:c>
      <x:c r="Q49" s="7" t="s">
        <x:v>1930</x:v>
      </x:c>
      <x:c r="R49" s="7" t="s">
        <x:v>58</x:v>
      </x:c>
      <x:c r="S49" s="7" t="s">
        <x:v>2077</x:v>
      </x:c>
      <x:c r="T49" s="7" t="s">
        <x:v>2078</x:v>
      </x:c>
      <x:c r="U49" s="7" t="s">
        <x:v>53</x:v>
      </x:c>
      <x:c r="V49" s="7" t="s">
        <x:v>1984</x:v>
      </x:c>
      <x:c r="W49" s="7" t="s">
        <x:v>58</x:v>
      </x:c>
      <x:c r="X49" s="7" t="s">
        <x:v>2079</x:v>
      </x:c>
      <x:c r="Y49" s="7" t="s">
        <x:v>1154</x:v>
      </x:c>
      <x:c r="Z49" s="7" t="s">
        <x:v>2092</x:v>
      </x:c>
      <x:c r="AA49" s="7" t="s">
        <x:v>58</x:v>
      </x:c>
      <x:c r="AB49" s="8" t="s">
        <x:v>58</x:v>
      </x:c>
      <x:c r="AC49" s="8" t="s">
        <x:v>58</x:v>
      </x:c>
      <x:c r="AD49" s="8" t="s">
        <x:v>58</x:v>
      </x:c>
      <x:c r="AE49" s="8" t="s">
        <x:v>58</x:v>
      </x:c>
      <x:c r="AF49" s="8" t="s">
        <x:v>58</x:v>
      </x:c>
      <x:c r="AG49" s="7" t="s">
        <x:v>58</x:v>
      </x:c>
    </x:row>
    <x:row r="50" ht="79.5" hidden="0" customHeight="1">
      <x:c r="A50" s="7" t="s">
        <x:v>2093</x:v>
      </x:c>
      <x:c r="B50" s="7" t="s">
        <x:v>76</x:v>
      </x:c>
      <x:c r="C50" s="7" t="s">
        <x:v>79</x:v>
      </x:c>
      <x:c r="D50" s="7" t="s">
        <x:v>1959</x:v>
      </x:c>
      <x:c r="E50" s="7" t="s">
        <x:v>2094</x:v>
      </x:c>
      <x:c r="F50" s="7" t="s">
        <x:v>1956</x:v>
      </x:c>
      <x:c r="G50" s="8" t="n">
        <x:v>54</x:v>
      </x:c>
      <x:c r="H50" s="8" t="s">
        <x:v>58</x:v>
      </x:c>
      <x:c r="I50" s="8" t="s">
        <x:v>58</x:v>
      </x:c>
      <x:c r="J50" s="7" t="s">
        <x:v>1919</x:v>
      </x:c>
      <x:c r="K50" s="8" t="n">
        <x:v>1</x:v>
      </x:c>
      <x:c r="L50" s="8" t="n">
        <x:f aca="0">IF(AND(ISNUMBER(G50),P50&lt;&gt;"Unresolved unit / layout"),G50*K50,"Not applicable")</x:f>
        <x:v>54</x:v>
      </x:c>
      <x:c r="M50" s="8" t="str">
        <x:f aca="0">IF(AND(ISNUMBER(H50),P50&lt;&gt;"Unresolved unit / layout"),H50*K50,"Not applicable")</x:f>
        <x:v>Not applicable</x:v>
      </x:c>
      <x:c r="N50" s="8" t="str">
        <x:f aca="0">IF(AND(ISNUMBER(I50),P50&lt;&gt;"Unresolved unit / layout"),I50*K50,"Not applicable")</x:f>
        <x:v>Not applicable</x:v>
      </x:c>
      <x:c r="O50" s="7" t="s">
        <x:v>1956</x:v>
      </x:c>
      <x:c r="P50" s="7" t="s">
        <x:v>1921</x:v>
      </x:c>
      <x:c r="Q50" s="7" t="s">
        <x:v>1930</x:v>
      </x:c>
      <x:c r="R50" s="7" t="s">
        <x:v>58</x:v>
      </x:c>
      <x:c r="S50" s="7" t="s">
        <x:v>2077</x:v>
      </x:c>
      <x:c r="T50" s="7" t="s">
        <x:v>2078</x:v>
      </x:c>
      <x:c r="U50" s="7" t="s">
        <x:v>53</x:v>
      </x:c>
      <x:c r="V50" s="7" t="s">
        <x:v>2095</x:v>
      </x:c>
      <x:c r="W50" s="7" t="s">
        <x:v>58</x:v>
      </x:c>
      <x:c r="X50" s="7" t="s">
        <x:v>2079</x:v>
      </x:c>
      <x:c r="Y50" s="7" t="s">
        <x:v>1154</x:v>
      </x:c>
      <x:c r="Z50" s="7" t="s">
        <x:v>2096</x:v>
      </x:c>
      <x:c r="AA50" s="7" t="s">
        <x:v>58</x:v>
      </x:c>
      <x:c r="AB50" s="8" t="s">
        <x:v>58</x:v>
      </x:c>
      <x:c r="AC50" s="8" t="s">
        <x:v>58</x:v>
      </x:c>
      <x:c r="AD50" s="8" t="s">
        <x:v>58</x:v>
      </x:c>
      <x:c r="AE50" s="8" t="s">
        <x:v>58</x:v>
      </x:c>
      <x:c r="AF50" s="8" t="s">
        <x:v>58</x:v>
      </x:c>
      <x:c r="AG50" s="7" t="s">
        <x:v>58</x:v>
      </x:c>
    </x:row>
    <x:row r="51" ht="79.5" hidden="0" customHeight="1">
      <x:c r="A51" s="7" t="s">
        <x:v>85</x:v>
      </x:c>
      <x:c r="B51" s="7" t="s">
        <x:v>76</x:v>
      </x:c>
      <x:c r="C51" s="7" t="s">
        <x:v>79</x:v>
      </x:c>
      <x:c r="D51" s="7" t="s">
        <x:v>1959</x:v>
      </x:c>
      <x:c r="E51" s="7" t="s">
        <x:v>2091</x:v>
      </x:c>
      <x:c r="F51" s="7" t="s">
        <x:v>1956</x:v>
      </x:c>
      <x:c r="G51" s="8" t="n">
        <x:v>57</x:v>
      </x:c>
      <x:c r="H51" s="8" t="s">
        <x:v>58</x:v>
      </x:c>
      <x:c r="I51" s="8" t="s">
        <x:v>58</x:v>
      </x:c>
      <x:c r="J51" s="7" t="s">
        <x:v>1919</x:v>
      </x:c>
      <x:c r="K51" s="8" t="n">
        <x:v>1</x:v>
      </x:c>
      <x:c r="L51" s="8" t="n">
        <x:f aca="0">IF(AND(ISNUMBER(G51),P51&lt;&gt;"Unresolved unit / layout"),G51*K51,"Not applicable")</x:f>
        <x:v>57</x:v>
      </x:c>
      <x:c r="M51" s="8" t="str">
        <x:f aca="0">IF(AND(ISNUMBER(H51),P51&lt;&gt;"Unresolved unit / layout"),H51*K51,"Not applicable")</x:f>
        <x:v>Not applicable</x:v>
      </x:c>
      <x:c r="N51" s="8" t="str">
        <x:f aca="0">IF(AND(ISNUMBER(I51),P51&lt;&gt;"Unresolved unit / layout"),I51*K51,"Not applicable")</x:f>
        <x:v>Not applicable</x:v>
      </x:c>
      <x:c r="O51" s="7" t="s">
        <x:v>1956</x:v>
      </x:c>
      <x:c r="P51" s="7" t="s">
        <x:v>1921</x:v>
      </x:c>
      <x:c r="Q51" s="7" t="s">
        <x:v>1930</x:v>
      </x:c>
      <x:c r="R51" s="7" t="s">
        <x:v>58</x:v>
      </x:c>
      <x:c r="S51" s="7" t="s">
        <x:v>2077</x:v>
      </x:c>
      <x:c r="T51" s="7" t="s">
        <x:v>2078</x:v>
      </x:c>
      <x:c r="U51" s="7" t="s">
        <x:v>53</x:v>
      </x:c>
      <x:c r="V51" s="7" t="s">
        <x:v>2097</x:v>
      </x:c>
      <x:c r="W51" s="7" t="s">
        <x:v>58</x:v>
      </x:c>
      <x:c r="X51" s="7" t="s">
        <x:v>2079</x:v>
      </x:c>
      <x:c r="Y51" s="7" t="s">
        <x:v>1154</x:v>
      </x:c>
      <x:c r="Z51" s="7" t="s">
        <x:v>2096</x:v>
      </x:c>
      <x:c r="AA51" s="7" t="s">
        <x:v>58</x:v>
      </x:c>
      <x:c r="AB51" s="8" t="s">
        <x:v>58</x:v>
      </x:c>
      <x:c r="AC51" s="8" t="s">
        <x:v>58</x:v>
      </x:c>
      <x:c r="AD51" s="8" t="s">
        <x:v>58</x:v>
      </x:c>
      <x:c r="AE51" s="8" t="s">
        <x:v>58</x:v>
      </x:c>
      <x:c r="AF51" s="8" t="s">
        <x:v>58</x:v>
      </x:c>
      <x:c r="AG51" s="7" t="s">
        <x:v>58</x:v>
      </x:c>
    </x:row>
    <x:row r="52" ht="79.5" hidden="0" customHeight="1">
      <x:c r="A52" s="7" t="s">
        <x:v>2098</x:v>
      </x:c>
      <x:c r="B52" s="7" t="s">
        <x:v>76</x:v>
      </x:c>
      <x:c r="C52" s="7" t="s">
        <x:v>79</x:v>
      </x:c>
      <x:c r="D52" s="7" t="s">
        <x:v>2099</x:v>
      </x:c>
      <x:c r="E52" s="7" t="s">
        <x:v>2100</x:v>
      </x:c>
      <x:c r="F52" s="7" t="s">
        <x:v>1942</x:v>
      </x:c>
      <x:c r="G52" s="8" t="n">
        <x:v>0.43</x:v>
      </x:c>
      <x:c r="H52" s="8" t="s">
        <x:v>58</x:v>
      </x:c>
      <x:c r="I52" s="8" t="s">
        <x:v>58</x:v>
      </x:c>
      <x:c r="J52" s="7" t="s">
        <x:v>1919</x:v>
      </x:c>
      <x:c r="K52" s="8" t="n">
        <x:v>1</x:v>
      </x:c>
      <x:c r="L52" s="8" t="n">
        <x:f aca="0">IF(AND(ISNUMBER(G52),P52&lt;&gt;"Unresolved unit / layout"),G52*K52,"Not applicable")</x:f>
        <x:v>0.43</x:v>
      </x:c>
      <x:c r="M52" s="8" t="str">
        <x:f aca="0">IF(AND(ISNUMBER(H52),P52&lt;&gt;"Unresolved unit / layout"),H52*K52,"Not applicable")</x:f>
        <x:v>Not applicable</x:v>
      </x:c>
      <x:c r="N52" s="8" t="str">
        <x:f aca="0">IF(AND(ISNUMBER(I52),P52&lt;&gt;"Unresolved unit / layout"),I52*K52,"Not applicable")</x:f>
        <x:v>Not applicable</x:v>
      </x:c>
      <x:c r="O52" s="7" t="s">
        <x:v>1942</x:v>
      </x:c>
      <x:c r="P52" s="7" t="s">
        <x:v>1921</x:v>
      </x:c>
      <x:c r="Q52" s="7" t="s">
        <x:v>1930</x:v>
      </x:c>
      <x:c r="R52" s="7" t="s">
        <x:v>58</x:v>
      </x:c>
      <x:c r="S52" s="7" t="s">
        <x:v>2077</x:v>
      </x:c>
      <x:c r="T52" s="7" t="s">
        <x:v>2078</x:v>
      </x:c>
      <x:c r="U52" s="7" t="s">
        <x:v>53</x:v>
      </x:c>
      <x:c r="V52" s="7" t="s">
        <x:v>2101</x:v>
      </x:c>
      <x:c r="W52" s="7" t="s">
        <x:v>58</x:v>
      </x:c>
      <x:c r="X52" s="7" t="s">
        <x:v>2079</x:v>
      </x:c>
      <x:c r="Y52" s="7" t="s">
        <x:v>1154</x:v>
      </x:c>
      <x:c r="Z52" s="7" t="s">
        <x:v>2102</x:v>
      </x:c>
      <x:c r="AA52" s="7" t="s">
        <x:v>58</x:v>
      </x:c>
      <x:c r="AB52" s="8" t="s">
        <x:v>58</x:v>
      </x:c>
      <x:c r="AC52" s="8" t="s">
        <x:v>58</x:v>
      </x:c>
      <x:c r="AD52" s="8" t="s">
        <x:v>58</x:v>
      </x:c>
      <x:c r="AE52" s="8" t="s">
        <x:v>58</x:v>
      </x:c>
      <x:c r="AF52" s="8" t="s">
        <x:v>58</x:v>
      </x:c>
      <x:c r="AG52" s="7" t="s">
        <x:v>58</x:v>
      </x:c>
    </x:row>
    <x:row r="53" ht="79.5" hidden="0" customHeight="1">
      <x:c r="A53" s="7" t="s">
        <x:v>2103</x:v>
      </x:c>
      <x:c r="B53" s="7" t="s">
        <x:v>76</x:v>
      </x:c>
      <x:c r="C53" s="7" t="s">
        <x:v>79</x:v>
      </x:c>
      <x:c r="D53" s="7" t="s">
        <x:v>1935</x:v>
      </x:c>
      <x:c r="E53" s="7" t="s">
        <x:v>2104</x:v>
      </x:c>
      <x:c r="F53" s="7" t="s">
        <x:v>1929</x:v>
      </x:c>
      <x:c r="G53" s="8" t="n">
        <x:v>2580</x:v>
      </x:c>
      <x:c r="H53" s="8" t="n">
        <x:v>220</x:v>
      </x:c>
      <x:c r="I53" s="8" t="s">
        <x:v>58</x:v>
      </x:c>
      <x:c r="J53" s="7" t="s">
        <x:v>1919</x:v>
      </x:c>
      <x:c r="K53" s="8" t="n">
        <x:v>0.001</x:v>
      </x:c>
      <x:c r="L53" s="8" t="n">
        <x:f aca="0">IF(AND(ISNUMBER(G53),P53&lt;&gt;"Unresolved unit / layout"),G53*K53,"Not applicable")</x:f>
        <x:v>2.58</x:v>
      </x:c>
      <x:c r="M53" s="8" t="n">
        <x:f aca="0">IF(AND(ISNUMBER(H53),P53&lt;&gt;"Unresolved unit / layout"),H53*K53,"Not applicable")</x:f>
        <x:v>0.22</x:v>
      </x:c>
      <x:c r="N53" s="8" t="str">
        <x:f aca="0">IF(AND(ISNUMBER(I53),P53&lt;&gt;"Unresolved unit / layout"),I53*K53,"Not applicable")</x:f>
        <x:v>Not applicable</x:v>
      </x:c>
      <x:c r="O53" s="7" t="s">
        <x:v>1937</x:v>
      </x:c>
      <x:c r="P53" s="7" t="s">
        <x:v>1921</x:v>
      </x:c>
      <x:c r="Q53" s="7" t="s">
        <x:v>1930</x:v>
      </x:c>
      <x:c r="R53" s="7" t="s">
        <x:v>1931</x:v>
      </x:c>
      <x:c r="S53" s="7" t="s">
        <x:v>2077</x:v>
      </x:c>
      <x:c r="T53" s="7" t="s">
        <x:v>2078</x:v>
      </x:c>
      <x:c r="U53" s="7" t="s">
        <x:v>53</x:v>
      </x:c>
      <x:c r="V53" s="7" t="s">
        <x:v>1999</x:v>
      </x:c>
      <x:c r="W53" s="7" t="s">
        <x:v>58</x:v>
      </x:c>
      <x:c r="X53" s="7" t="s">
        <x:v>2079</x:v>
      </x:c>
      <x:c r="Y53" s="7" t="s">
        <x:v>1154</x:v>
      </x:c>
      <x:c r="Z53" s="7" t="s">
        <x:v>2105</x:v>
      </x:c>
      <x:c r="AA53" s="7" t="s">
        <x:v>58</x:v>
      </x:c>
      <x:c r="AB53" s="8" t="s">
        <x:v>58</x:v>
      </x:c>
      <x:c r="AC53" s="8" t="s">
        <x:v>58</x:v>
      </x:c>
      <x:c r="AD53" s="8" t="s">
        <x:v>58</x:v>
      </x:c>
      <x:c r="AE53" s="8" t="s">
        <x:v>58</x:v>
      </x:c>
      <x:c r="AF53" s="8" t="s">
        <x:v>58</x:v>
      </x:c>
      <x:c r="AG53" s="7" t="s">
        <x:v>58</x:v>
      </x:c>
    </x:row>
    <x:row r="54" ht="79.5" hidden="0" customHeight="1">
      <x:c r="A54" s="7" t="s">
        <x:v>2106</x:v>
      </x:c>
      <x:c r="B54" s="7" t="s">
        <x:v>76</x:v>
      </x:c>
      <x:c r="C54" s="7" t="s">
        <x:v>79</x:v>
      </x:c>
      <x:c r="D54" s="7" t="s">
        <x:v>1935</x:v>
      </x:c>
      <x:c r="E54" s="7" t="s">
        <x:v>2107</x:v>
      </x:c>
      <x:c r="F54" s="7" t="s">
        <x:v>1929</x:v>
      </x:c>
      <x:c r="G54" s="8" t="n">
        <x:v>2060</x:v>
      </x:c>
      <x:c r="H54" s="8" t="n">
        <x:v>170</x:v>
      </x:c>
      <x:c r="I54" s="8" t="s">
        <x:v>58</x:v>
      </x:c>
      <x:c r="J54" s="7" t="s">
        <x:v>1919</x:v>
      </x:c>
      <x:c r="K54" s="8" t="n">
        <x:v>0.001</x:v>
      </x:c>
      <x:c r="L54" s="8" t="n">
        <x:f aca="0">IF(AND(ISNUMBER(G54),P54&lt;&gt;"Unresolved unit / layout"),G54*K54,"Not applicable")</x:f>
        <x:v>2.06</x:v>
      </x:c>
      <x:c r="M54" s="8" t="n">
        <x:f aca="0">IF(AND(ISNUMBER(H54),P54&lt;&gt;"Unresolved unit / layout"),H54*K54,"Not applicable")</x:f>
        <x:v>0.17</x:v>
      </x:c>
      <x:c r="N54" s="8" t="str">
        <x:f aca="0">IF(AND(ISNUMBER(I54),P54&lt;&gt;"Unresolved unit / layout"),I54*K54,"Not applicable")</x:f>
        <x:v>Not applicable</x:v>
      </x:c>
      <x:c r="O54" s="7" t="s">
        <x:v>1937</x:v>
      </x:c>
      <x:c r="P54" s="7" t="s">
        <x:v>1921</x:v>
      </x:c>
      <x:c r="Q54" s="7" t="s">
        <x:v>1930</x:v>
      </x:c>
      <x:c r="R54" s="7" t="s">
        <x:v>2003</x:v>
      </x:c>
      <x:c r="S54" s="7" t="s">
        <x:v>2077</x:v>
      </x:c>
      <x:c r="T54" s="7" t="s">
        <x:v>2078</x:v>
      </x:c>
      <x:c r="U54" s="7" t="s">
        <x:v>53</x:v>
      </x:c>
      <x:c r="V54" s="7" t="s">
        <x:v>1999</x:v>
      </x:c>
      <x:c r="W54" s="7" t="s">
        <x:v>58</x:v>
      </x:c>
      <x:c r="X54" s="7" t="s">
        <x:v>2079</x:v>
      </x:c>
      <x:c r="Y54" s="7" t="s">
        <x:v>1154</x:v>
      </x:c>
      <x:c r="Z54" s="7" t="s">
        <x:v>2108</x:v>
      </x:c>
      <x:c r="AA54" s="7" t="s">
        <x:v>58</x:v>
      </x:c>
      <x:c r="AB54" s="8" t="s">
        <x:v>58</x:v>
      </x:c>
      <x:c r="AC54" s="8" t="s">
        <x:v>58</x:v>
      </x:c>
      <x:c r="AD54" s="8" t="s">
        <x:v>58</x:v>
      </x:c>
      <x:c r="AE54" s="8" t="s">
        <x:v>58</x:v>
      </x:c>
      <x:c r="AF54" s="8" t="s">
        <x:v>58</x:v>
      </x:c>
      <x:c r="AG54" s="7" t="s">
        <x:v>58</x:v>
      </x:c>
    </x:row>
    <x:row r="55" ht="79.5" hidden="0" customHeight="1">
      <x:c r="A55" s="7" t="s">
        <x:v>2109</x:v>
      </x:c>
      <x:c r="B55" s="7" t="s">
        <x:v>76</x:v>
      </x:c>
      <x:c r="C55" s="7" t="s">
        <x:v>79</x:v>
      </x:c>
      <x:c r="D55" s="7" t="s">
        <x:v>2006</x:v>
      </x:c>
      <x:c r="E55" s="7" t="s">
        <x:v>2110</x:v>
      </x:c>
      <x:c r="F55" s="7" t="s">
        <x:v>1929</x:v>
      </x:c>
      <x:c r="G55" s="8" t="n">
        <x:v>35</x:v>
      </x:c>
      <x:c r="H55" s="8" t="n">
        <x:v>4</x:v>
      </x:c>
      <x:c r="I55" s="8" t="s">
        <x:v>58</x:v>
      </x:c>
      <x:c r="J55" s="7" t="s">
        <x:v>1919</x:v>
      </x:c>
      <x:c r="K55" s="8" t="n">
        <x:v>1</x:v>
      </x:c>
      <x:c r="L55" s="8" t="n">
        <x:f aca="0">IF(AND(ISNUMBER(G55),P55&lt;&gt;"Unresolved unit / layout"),G55*K55,"Not applicable")</x:f>
        <x:v>35</x:v>
      </x:c>
      <x:c r="M55" s="8" t="n">
        <x:f aca="0">IF(AND(ISNUMBER(H55),P55&lt;&gt;"Unresolved unit / layout"),H55*K55,"Not applicable")</x:f>
        <x:v>4</x:v>
      </x:c>
      <x:c r="N55" s="8" t="str">
        <x:f aca="0">IF(AND(ISNUMBER(I55),P55&lt;&gt;"Unresolved unit / layout"),I55*K55,"Not applicable")</x:f>
        <x:v>Not applicable</x:v>
      </x:c>
      <x:c r="O55" s="7" t="s">
        <x:v>1929</x:v>
      </x:c>
      <x:c r="P55" s="7" t="s">
        <x:v>1921</x:v>
      </x:c>
      <x:c r="Q55" s="7" t="s">
        <x:v>1930</x:v>
      </x:c>
      <x:c r="R55" s="7" t="s">
        <x:v>1931</x:v>
      </x:c>
      <x:c r="S55" s="7" t="s">
        <x:v>2077</x:v>
      </x:c>
      <x:c r="T55" s="7" t="s">
        <x:v>2078</x:v>
      </x:c>
      <x:c r="U55" s="7" t="s">
        <x:v>53</x:v>
      </x:c>
      <x:c r="V55" s="7" t="s">
        <x:v>1999</x:v>
      </x:c>
      <x:c r="W55" s="7" t="s">
        <x:v>58</x:v>
      </x:c>
      <x:c r="X55" s="7" t="s">
        <x:v>2079</x:v>
      </x:c>
      <x:c r="Y55" s="7" t="s">
        <x:v>1154</x:v>
      </x:c>
      <x:c r="Z55" s="7" t="s">
        <x:v>2111</x:v>
      </x:c>
      <x:c r="AA55" s="7" t="s">
        <x:v>58</x:v>
      </x:c>
      <x:c r="AB55" s="8" t="s">
        <x:v>58</x:v>
      </x:c>
      <x:c r="AC55" s="8" t="s">
        <x:v>58</x:v>
      </x:c>
      <x:c r="AD55" s="8" t="s">
        <x:v>58</x:v>
      </x:c>
      <x:c r="AE55" s="8" t="s">
        <x:v>58</x:v>
      </x:c>
      <x:c r="AF55" s="8" t="s">
        <x:v>58</x:v>
      </x:c>
      <x:c r="AG55" s="7" t="s">
        <x:v>58</x:v>
      </x:c>
    </x:row>
    <x:row r="56" ht="79.5" hidden="0" customHeight="1">
      <x:c r="A56" s="7" t="s">
        <x:v>2112</x:v>
      </x:c>
      <x:c r="B56" s="7" t="s">
        <x:v>76</x:v>
      </x:c>
      <x:c r="C56" s="7" t="s">
        <x:v>79</x:v>
      </x:c>
      <x:c r="D56" s="7" t="s">
        <x:v>2006</x:v>
      </x:c>
      <x:c r="E56" s="7" t="s">
        <x:v>2113</x:v>
      </x:c>
      <x:c r="F56" s="7" t="s">
        <x:v>1929</x:v>
      </x:c>
      <x:c r="G56" s="8" t="n">
        <x:v>31</x:v>
      </x:c>
      <x:c r="H56" s="8" t="n">
        <x:v>3</x:v>
      </x:c>
      <x:c r="I56" s="8" t="s">
        <x:v>58</x:v>
      </x:c>
      <x:c r="J56" s="7" t="s">
        <x:v>1919</x:v>
      </x:c>
      <x:c r="K56" s="8" t="n">
        <x:v>1</x:v>
      </x:c>
      <x:c r="L56" s="8" t="n">
        <x:f aca="0">IF(AND(ISNUMBER(G56),P56&lt;&gt;"Unresolved unit / layout"),G56*K56,"Not applicable")</x:f>
        <x:v>31</x:v>
      </x:c>
      <x:c r="M56" s="8" t="n">
        <x:f aca="0">IF(AND(ISNUMBER(H56),P56&lt;&gt;"Unresolved unit / layout"),H56*K56,"Not applicable")</x:f>
        <x:v>3</x:v>
      </x:c>
      <x:c r="N56" s="8" t="str">
        <x:f aca="0">IF(AND(ISNUMBER(I56),P56&lt;&gt;"Unresolved unit / layout"),I56*K56,"Not applicable")</x:f>
        <x:v>Not applicable</x:v>
      </x:c>
      <x:c r="O56" s="7" t="s">
        <x:v>1929</x:v>
      </x:c>
      <x:c r="P56" s="7" t="s">
        <x:v>1921</x:v>
      </x:c>
      <x:c r="Q56" s="7" t="s">
        <x:v>1930</x:v>
      </x:c>
      <x:c r="R56" s="7" t="s">
        <x:v>2003</x:v>
      </x:c>
      <x:c r="S56" s="7" t="s">
        <x:v>2077</x:v>
      </x:c>
      <x:c r="T56" s="7" t="s">
        <x:v>2078</x:v>
      </x:c>
      <x:c r="U56" s="7" t="s">
        <x:v>53</x:v>
      </x:c>
      <x:c r="V56" s="7" t="s">
        <x:v>1999</x:v>
      </x:c>
      <x:c r="W56" s="7" t="s">
        <x:v>58</x:v>
      </x:c>
      <x:c r="X56" s="7" t="s">
        <x:v>2079</x:v>
      </x:c>
      <x:c r="Y56" s="7" t="s">
        <x:v>1154</x:v>
      </x:c>
      <x:c r="Z56" s="7" t="s">
        <x:v>2114</x:v>
      </x:c>
      <x:c r="AA56" s="7" t="s">
        <x:v>58</x:v>
      </x:c>
      <x:c r="AB56" s="8" t="s">
        <x:v>58</x:v>
      </x:c>
      <x:c r="AC56" s="8" t="s">
        <x:v>58</x:v>
      </x:c>
      <x:c r="AD56" s="8" t="s">
        <x:v>58</x:v>
      </x:c>
      <x:c r="AE56" s="8" t="s">
        <x:v>58</x:v>
      </x:c>
      <x:c r="AF56" s="8" t="s">
        <x:v>58</x:v>
      </x:c>
      <x:c r="AG56" s="7" t="s">
        <x:v>58</x:v>
      </x:c>
    </x:row>
    <x:row r="57" ht="79.5" hidden="0" customHeight="1">
      <x:c r="A57" s="7" t="s">
        <x:v>2115</x:v>
      </x:c>
      <x:c r="B57" s="7" t="s">
        <x:v>76</x:v>
      </x:c>
      <x:c r="C57" s="7" t="s">
        <x:v>79</x:v>
      </x:c>
      <x:c r="D57" s="7" t="s">
        <x:v>1940</x:v>
      </x:c>
      <x:c r="E57" s="7" t="s">
        <x:v>2116</x:v>
      </x:c>
      <x:c r="F57" s="7" t="s">
        <x:v>1942</x:v>
      </x:c>
      <x:c r="G57" s="8" t="n">
        <x:v>12.2</x:v>
      </x:c>
      <x:c r="H57" s="8" t="n">
        <x:v>1.8</x:v>
      </x:c>
      <x:c r="I57" s="8" t="s">
        <x:v>58</x:v>
      </x:c>
      <x:c r="J57" s="7" t="s">
        <x:v>1919</x:v>
      </x:c>
      <x:c r="K57" s="8" t="n">
        <x:v>1</x:v>
      </x:c>
      <x:c r="L57" s="8" t="n">
        <x:f aca="0">IF(AND(ISNUMBER(G57),P57&lt;&gt;"Unresolved unit / layout"),G57*K57,"Not applicable")</x:f>
        <x:v>12.2</x:v>
      </x:c>
      <x:c r="M57" s="8" t="n">
        <x:f aca="0">IF(AND(ISNUMBER(H57),P57&lt;&gt;"Unresolved unit / layout"),H57*K57,"Not applicable")</x:f>
        <x:v>1.8</x:v>
      </x:c>
      <x:c r="N57" s="8" t="str">
        <x:f aca="0">IF(AND(ISNUMBER(I57),P57&lt;&gt;"Unresolved unit / layout"),I57*K57,"Not applicable")</x:f>
        <x:v>Not applicable</x:v>
      </x:c>
      <x:c r="O57" s="7" t="s">
        <x:v>1942</x:v>
      </x:c>
      <x:c r="P57" s="7" t="s">
        <x:v>1921</x:v>
      </x:c>
      <x:c r="Q57" s="7" t="s">
        <x:v>1930</x:v>
      </x:c>
      <x:c r="R57" s="7" t="s">
        <x:v>1931</x:v>
      </x:c>
      <x:c r="S57" s="7" t="s">
        <x:v>2077</x:v>
      </x:c>
      <x:c r="T57" s="7" t="s">
        <x:v>2078</x:v>
      </x:c>
      <x:c r="U57" s="7" t="s">
        <x:v>53</x:v>
      </x:c>
      <x:c r="V57" s="7" t="s">
        <x:v>1999</x:v>
      </x:c>
      <x:c r="W57" s="7" t="s">
        <x:v>58</x:v>
      </x:c>
      <x:c r="X57" s="7" t="s">
        <x:v>2079</x:v>
      </x:c>
      <x:c r="Y57" s="7" t="s">
        <x:v>1154</x:v>
      </x:c>
      <x:c r="Z57" s="7" t="s">
        <x:v>2117</x:v>
      </x:c>
      <x:c r="AA57" s="7" t="s">
        <x:v>58</x:v>
      </x:c>
      <x:c r="AB57" s="8" t="s">
        <x:v>58</x:v>
      </x:c>
      <x:c r="AC57" s="8" t="s">
        <x:v>58</x:v>
      </x:c>
      <x:c r="AD57" s="8" t="s">
        <x:v>58</x:v>
      </x:c>
      <x:c r="AE57" s="8" t="s">
        <x:v>58</x:v>
      </x:c>
      <x:c r="AF57" s="8" t="s">
        <x:v>58</x:v>
      </x:c>
      <x:c r="AG57" s="7" t="s">
        <x:v>58</x:v>
      </x:c>
    </x:row>
    <x:row r="58" ht="79.5" hidden="0" customHeight="1">
      <x:c r="A58" s="7" t="s">
        <x:v>2118</x:v>
      </x:c>
      <x:c r="B58" s="7" t="s">
        <x:v>76</x:v>
      </x:c>
      <x:c r="C58" s="7" t="s">
        <x:v>79</x:v>
      </x:c>
      <x:c r="D58" s="7" t="s">
        <x:v>1940</x:v>
      </x:c>
      <x:c r="E58" s="7" t="s">
        <x:v>2119</x:v>
      </x:c>
      <x:c r="F58" s="7" t="s">
        <x:v>1942</x:v>
      </x:c>
      <x:c r="G58" s="8" t="n">
        <x:v>7.5</x:v>
      </x:c>
      <x:c r="H58" s="8" t="n">
        <x:v>1.3</x:v>
      </x:c>
      <x:c r="I58" s="8" t="s">
        <x:v>58</x:v>
      </x:c>
      <x:c r="J58" s="7" t="s">
        <x:v>1919</x:v>
      </x:c>
      <x:c r="K58" s="8" t="n">
        <x:v>1</x:v>
      </x:c>
      <x:c r="L58" s="8" t="n">
        <x:f aca="0">IF(AND(ISNUMBER(G58),P58&lt;&gt;"Unresolved unit / layout"),G58*K58,"Not applicable")</x:f>
        <x:v>7.5</x:v>
      </x:c>
      <x:c r="M58" s="8" t="n">
        <x:f aca="0">IF(AND(ISNUMBER(H58),P58&lt;&gt;"Unresolved unit / layout"),H58*K58,"Not applicable")</x:f>
        <x:v>1.3</x:v>
      </x:c>
      <x:c r="N58" s="8" t="str">
        <x:f aca="0">IF(AND(ISNUMBER(I58),P58&lt;&gt;"Unresolved unit / layout"),I58*K58,"Not applicable")</x:f>
        <x:v>Not applicable</x:v>
      </x:c>
      <x:c r="O58" s="7" t="s">
        <x:v>1942</x:v>
      </x:c>
      <x:c r="P58" s="7" t="s">
        <x:v>1921</x:v>
      </x:c>
      <x:c r="Q58" s="7" t="s">
        <x:v>1930</x:v>
      </x:c>
      <x:c r="R58" s="7" t="s">
        <x:v>2003</x:v>
      </x:c>
      <x:c r="S58" s="7" t="s">
        <x:v>2077</x:v>
      </x:c>
      <x:c r="T58" s="7" t="s">
        <x:v>2078</x:v>
      </x:c>
      <x:c r="U58" s="7" t="s">
        <x:v>53</x:v>
      </x:c>
      <x:c r="V58" s="7" t="s">
        <x:v>1999</x:v>
      </x:c>
      <x:c r="W58" s="7" t="s">
        <x:v>58</x:v>
      </x:c>
      <x:c r="X58" s="7" t="s">
        <x:v>2079</x:v>
      </x:c>
      <x:c r="Y58" s="7" t="s">
        <x:v>1154</x:v>
      </x:c>
      <x:c r="Z58" s="7" t="s">
        <x:v>2120</x:v>
      </x:c>
      <x:c r="AA58" s="7" t="s">
        <x:v>58</x:v>
      </x:c>
      <x:c r="AB58" s="8" t="s">
        <x:v>58</x:v>
      </x:c>
      <x:c r="AC58" s="8" t="s">
        <x:v>58</x:v>
      </x:c>
      <x:c r="AD58" s="8" t="s">
        <x:v>58</x:v>
      </x:c>
      <x:c r="AE58" s="8" t="s">
        <x:v>58</x:v>
      </x:c>
      <x:c r="AF58" s="8" t="s">
        <x:v>58</x:v>
      </x:c>
      <x:c r="AG58" s="7" t="s">
        <x:v>58</x:v>
      </x:c>
    </x:row>
    <x:row r="59" ht="79.5" hidden="0" customHeight="1">
      <x:c r="A59" s="7" t="s">
        <x:v>2121</x:v>
      </x:c>
      <x:c r="B59" s="7" t="s">
        <x:v>76</x:v>
      </x:c>
      <x:c r="C59" s="7" t="s">
        <x:v>79</x:v>
      </x:c>
      <x:c r="D59" s="7" t="s">
        <x:v>1950</x:v>
      </x:c>
      <x:c r="E59" s="7" t="s">
        <x:v>2122</x:v>
      </x:c>
      <x:c r="F59" s="7" t="s">
        <x:v>1929</x:v>
      </x:c>
      <x:c r="G59" s="8" t="n">
        <x:v>2750</x:v>
      </x:c>
      <x:c r="H59" s="8" t="n">
        <x:v>160</x:v>
      </x:c>
      <x:c r="I59" s="8" t="s">
        <x:v>58</x:v>
      </x:c>
      <x:c r="J59" s="7" t="s">
        <x:v>1919</x:v>
      </x:c>
      <x:c r="K59" s="8" t="n">
        <x:v>0.001</x:v>
      </x:c>
      <x:c r="L59" s="8" t="n">
        <x:f aca="0">IF(AND(ISNUMBER(G59),P59&lt;&gt;"Unresolved unit / layout"),G59*K59,"Not applicable")</x:f>
        <x:v>2.75</x:v>
      </x:c>
      <x:c r="M59" s="8" t="n">
        <x:f aca="0">IF(AND(ISNUMBER(H59),P59&lt;&gt;"Unresolved unit / layout"),H59*K59,"Not applicable")</x:f>
        <x:v>0.16</x:v>
      </x:c>
      <x:c r="N59" s="8" t="str">
        <x:f aca="0">IF(AND(ISNUMBER(I59),P59&lt;&gt;"Unresolved unit / layout"),I59*K59,"Not applicable")</x:f>
        <x:v>Not applicable</x:v>
      </x:c>
      <x:c r="O59" s="7" t="s">
        <x:v>1937</x:v>
      </x:c>
      <x:c r="P59" s="7" t="s">
        <x:v>1921</x:v>
      </x:c>
      <x:c r="Q59" s="7" t="s">
        <x:v>1930</x:v>
      </x:c>
      <x:c r="R59" s="7" t="s">
        <x:v>1931</x:v>
      </x:c>
      <x:c r="S59" s="7" t="s">
        <x:v>2077</x:v>
      </x:c>
      <x:c r="T59" s="7" t="s">
        <x:v>2078</x:v>
      </x:c>
      <x:c r="U59" s="7" t="s">
        <x:v>53</x:v>
      </x:c>
      <x:c r="V59" s="7" t="s">
        <x:v>2020</x:v>
      </x:c>
      <x:c r="W59" s="7" t="s">
        <x:v>58</x:v>
      </x:c>
      <x:c r="X59" s="7" t="s">
        <x:v>2079</x:v>
      </x:c>
      <x:c r="Y59" s="7" t="s">
        <x:v>1154</x:v>
      </x:c>
      <x:c r="Z59" s="7" t="s">
        <x:v>2123</x:v>
      </x:c>
      <x:c r="AA59" s="7" t="s">
        <x:v>58</x:v>
      </x:c>
      <x:c r="AB59" s="8" t="s">
        <x:v>58</x:v>
      </x:c>
      <x:c r="AC59" s="8" t="s">
        <x:v>58</x:v>
      </x:c>
      <x:c r="AD59" s="8" t="s">
        <x:v>58</x:v>
      </x:c>
      <x:c r="AE59" s="8" t="s">
        <x:v>58</x:v>
      </x:c>
      <x:c r="AF59" s="8" t="s">
        <x:v>58</x:v>
      </x:c>
      <x:c r="AG59" s="7" t="s">
        <x:v>58</x:v>
      </x:c>
    </x:row>
    <x:row r="60" ht="79.5" hidden="0" customHeight="1">
      <x:c r="A60" s="7" t="s">
        <x:v>2124</x:v>
      </x:c>
      <x:c r="B60" s="7" t="s">
        <x:v>76</x:v>
      </x:c>
      <x:c r="C60" s="7" t="s">
        <x:v>79</x:v>
      </x:c>
      <x:c r="D60" s="7" t="s">
        <x:v>1950</x:v>
      </x:c>
      <x:c r="E60" s="7" t="s">
        <x:v>2125</x:v>
      </x:c>
      <x:c r="F60" s="7" t="s">
        <x:v>1929</x:v>
      </x:c>
      <x:c r="G60" s="8" t="n">
        <x:v>2370</x:v>
      </x:c>
      <x:c r="H60" s="8" t="n">
        <x:v>150</x:v>
      </x:c>
      <x:c r="I60" s="8" t="s">
        <x:v>58</x:v>
      </x:c>
      <x:c r="J60" s="7" t="s">
        <x:v>1919</x:v>
      </x:c>
      <x:c r="K60" s="8" t="n">
        <x:v>0.001</x:v>
      </x:c>
      <x:c r="L60" s="8" t="n">
        <x:f aca="0">IF(AND(ISNUMBER(G60),P60&lt;&gt;"Unresolved unit / layout"),G60*K60,"Not applicable")</x:f>
        <x:v>2.37</x:v>
      </x:c>
      <x:c r="M60" s="8" t="n">
        <x:f aca="0">IF(AND(ISNUMBER(H60),P60&lt;&gt;"Unresolved unit / layout"),H60*K60,"Not applicable")</x:f>
        <x:v>0.15</x:v>
      </x:c>
      <x:c r="N60" s="8" t="str">
        <x:f aca="0">IF(AND(ISNUMBER(I60),P60&lt;&gt;"Unresolved unit / layout"),I60*K60,"Not applicable")</x:f>
        <x:v>Not applicable</x:v>
      </x:c>
      <x:c r="O60" s="7" t="s">
        <x:v>1937</x:v>
      </x:c>
      <x:c r="P60" s="7" t="s">
        <x:v>1921</x:v>
      </x:c>
      <x:c r="Q60" s="7" t="s">
        <x:v>1930</x:v>
      </x:c>
      <x:c r="R60" s="7" t="s">
        <x:v>2003</x:v>
      </x:c>
      <x:c r="S60" s="7" t="s">
        <x:v>2077</x:v>
      </x:c>
      <x:c r="T60" s="7" t="s">
        <x:v>2078</x:v>
      </x:c>
      <x:c r="U60" s="7" t="s">
        <x:v>53</x:v>
      </x:c>
      <x:c r="V60" s="7" t="s">
        <x:v>2020</x:v>
      </x:c>
      <x:c r="W60" s="7" t="s">
        <x:v>58</x:v>
      </x:c>
      <x:c r="X60" s="7" t="s">
        <x:v>2079</x:v>
      </x:c>
      <x:c r="Y60" s="7" t="s">
        <x:v>1154</x:v>
      </x:c>
      <x:c r="Z60" s="7" t="s">
        <x:v>2126</x:v>
      </x:c>
      <x:c r="AA60" s="7" t="s">
        <x:v>58</x:v>
      </x:c>
      <x:c r="AB60" s="8" t="s">
        <x:v>58</x:v>
      </x:c>
      <x:c r="AC60" s="8" t="s">
        <x:v>58</x:v>
      </x:c>
      <x:c r="AD60" s="8" t="s">
        <x:v>58</x:v>
      </x:c>
      <x:c r="AE60" s="8" t="s">
        <x:v>58</x:v>
      </x:c>
      <x:c r="AF60" s="8" t="s">
        <x:v>58</x:v>
      </x:c>
      <x:c r="AG60" s="7" t="s">
        <x:v>58</x:v>
      </x:c>
    </x:row>
    <x:row r="61" ht="79.5" hidden="0" customHeight="1">
      <x:c r="A61" s="7" t="s">
        <x:v>2127</x:v>
      </x:c>
      <x:c r="B61" s="7" t="s">
        <x:v>76</x:v>
      </x:c>
      <x:c r="C61" s="7" t="s">
        <x:v>79</x:v>
      </x:c>
      <x:c r="D61" s="7" t="s">
        <x:v>1945</x:v>
      </x:c>
      <x:c r="E61" s="7" t="s">
        <x:v>2128</x:v>
      </x:c>
      <x:c r="F61" s="7" t="s">
        <x:v>1929</x:v>
      </x:c>
      <x:c r="G61" s="8" t="n">
        <x:v>76</x:v>
      </x:c>
      <x:c r="H61" s="8" t="n">
        <x:v>5</x:v>
      </x:c>
      <x:c r="I61" s="8" t="s">
        <x:v>58</x:v>
      </x:c>
      <x:c r="J61" s="7" t="s">
        <x:v>1919</x:v>
      </x:c>
      <x:c r="K61" s="8" t="n">
        <x:v>1</x:v>
      </x:c>
      <x:c r="L61" s="8" t="n">
        <x:f aca="0">IF(AND(ISNUMBER(G61),P61&lt;&gt;"Unresolved unit / layout"),G61*K61,"Not applicable")</x:f>
        <x:v>76</x:v>
      </x:c>
      <x:c r="M61" s="8" t="n">
        <x:f aca="0">IF(AND(ISNUMBER(H61),P61&lt;&gt;"Unresolved unit / layout"),H61*K61,"Not applicable")</x:f>
        <x:v>5</x:v>
      </x:c>
      <x:c r="N61" s="8" t="str">
        <x:f aca="0">IF(AND(ISNUMBER(I61),P61&lt;&gt;"Unresolved unit / layout"),I61*K61,"Not applicable")</x:f>
        <x:v>Not applicable</x:v>
      </x:c>
      <x:c r="O61" s="7" t="s">
        <x:v>1929</x:v>
      </x:c>
      <x:c r="P61" s="7" t="s">
        <x:v>1921</x:v>
      </x:c>
      <x:c r="Q61" s="7" t="s">
        <x:v>1930</x:v>
      </x:c>
      <x:c r="R61" s="7" t="s">
        <x:v>1931</x:v>
      </x:c>
      <x:c r="S61" s="7" t="s">
        <x:v>2077</x:v>
      </x:c>
      <x:c r="T61" s="7" t="s">
        <x:v>2078</x:v>
      </x:c>
      <x:c r="U61" s="7" t="s">
        <x:v>53</x:v>
      </x:c>
      <x:c r="V61" s="7" t="s">
        <x:v>2020</x:v>
      </x:c>
      <x:c r="W61" s="7" t="s">
        <x:v>58</x:v>
      </x:c>
      <x:c r="X61" s="7" t="s">
        <x:v>2079</x:v>
      </x:c>
      <x:c r="Y61" s="7" t="s">
        <x:v>1154</x:v>
      </x:c>
      <x:c r="Z61" s="7" t="s">
        <x:v>2129</x:v>
      </x:c>
      <x:c r="AA61" s="7" t="s">
        <x:v>58</x:v>
      </x:c>
      <x:c r="AB61" s="8" t="s">
        <x:v>58</x:v>
      </x:c>
      <x:c r="AC61" s="8" t="s">
        <x:v>58</x:v>
      </x:c>
      <x:c r="AD61" s="8" t="s">
        <x:v>58</x:v>
      </x:c>
      <x:c r="AE61" s="8" t="s">
        <x:v>58</x:v>
      </x:c>
      <x:c r="AF61" s="8" t="s">
        <x:v>58</x:v>
      </x:c>
      <x:c r="AG61" s="7" t="s">
        <x:v>58</x:v>
      </x:c>
    </x:row>
    <x:row r="62" ht="79.5" hidden="0" customHeight="1">
      <x:c r="A62" s="7" t="s">
        <x:v>2130</x:v>
      </x:c>
      <x:c r="B62" s="7" t="s">
        <x:v>76</x:v>
      </x:c>
      <x:c r="C62" s="7" t="s">
        <x:v>79</x:v>
      </x:c>
      <x:c r="D62" s="7" t="s">
        <x:v>1945</x:v>
      </x:c>
      <x:c r="E62" s="7" t="s">
        <x:v>2131</x:v>
      </x:c>
      <x:c r="F62" s="7" t="s">
        <x:v>1929</x:v>
      </x:c>
      <x:c r="G62" s="8" t="n">
        <x:v>59</x:v>
      </x:c>
      <x:c r="H62" s="8" t="n">
        <x:v>6</x:v>
      </x:c>
      <x:c r="I62" s="8" t="s">
        <x:v>58</x:v>
      </x:c>
      <x:c r="J62" s="7" t="s">
        <x:v>1919</x:v>
      </x:c>
      <x:c r="K62" s="8" t="n">
        <x:v>1</x:v>
      </x:c>
      <x:c r="L62" s="8" t="n">
        <x:f aca="0">IF(AND(ISNUMBER(G62),P62&lt;&gt;"Unresolved unit / layout"),G62*K62,"Not applicable")</x:f>
        <x:v>59</x:v>
      </x:c>
      <x:c r="M62" s="8" t="n">
        <x:f aca="0">IF(AND(ISNUMBER(H62),P62&lt;&gt;"Unresolved unit / layout"),H62*K62,"Not applicable")</x:f>
        <x:v>6</x:v>
      </x:c>
      <x:c r="N62" s="8" t="str">
        <x:f aca="0">IF(AND(ISNUMBER(I62),P62&lt;&gt;"Unresolved unit / layout"),I62*K62,"Not applicable")</x:f>
        <x:v>Not applicable</x:v>
      </x:c>
      <x:c r="O62" s="7" t="s">
        <x:v>1929</x:v>
      </x:c>
      <x:c r="P62" s="7" t="s">
        <x:v>1921</x:v>
      </x:c>
      <x:c r="Q62" s="7" t="s">
        <x:v>1930</x:v>
      </x:c>
      <x:c r="R62" s="7" t="s">
        <x:v>2003</x:v>
      </x:c>
      <x:c r="S62" s="7" t="s">
        <x:v>2077</x:v>
      </x:c>
      <x:c r="T62" s="7" t="s">
        <x:v>2078</x:v>
      </x:c>
      <x:c r="U62" s="7" t="s">
        <x:v>53</x:v>
      </x:c>
      <x:c r="V62" s="7" t="s">
        <x:v>2020</x:v>
      </x:c>
      <x:c r="W62" s="7" t="s">
        <x:v>58</x:v>
      </x:c>
      <x:c r="X62" s="7" t="s">
        <x:v>2079</x:v>
      </x:c>
      <x:c r="Y62" s="7" t="s">
        <x:v>1154</x:v>
      </x:c>
      <x:c r="Z62" s="7" t="s">
        <x:v>2132</x:v>
      </x:c>
      <x:c r="AA62" s="7" t="s">
        <x:v>58</x:v>
      </x:c>
      <x:c r="AB62" s="8" t="s">
        <x:v>58</x:v>
      </x:c>
      <x:c r="AC62" s="8" t="s">
        <x:v>58</x:v>
      </x:c>
      <x:c r="AD62" s="8" t="s">
        <x:v>58</x:v>
      </x:c>
      <x:c r="AE62" s="8" t="s">
        <x:v>58</x:v>
      </x:c>
      <x:c r="AF62" s="8" t="s">
        <x:v>58</x:v>
      </x:c>
      <x:c r="AG62" s="7" t="s">
        <x:v>58</x:v>
      </x:c>
    </x:row>
    <x:row r="63" ht="79.5" hidden="0" customHeight="1">
      <x:c r="A63" s="7" t="s">
        <x:v>2133</x:v>
      </x:c>
      <x:c r="B63" s="7" t="s">
        <x:v>76</x:v>
      </x:c>
      <x:c r="C63" s="7" t="s">
        <x:v>79</x:v>
      </x:c>
      <x:c r="D63" s="7" t="s">
        <x:v>2030</x:v>
      </x:c>
      <x:c r="E63" s="7" t="s">
        <x:v>2134</x:v>
      </x:c>
      <x:c r="F63" s="7" t="s">
        <x:v>2033</x:v>
      </x:c>
      <x:c r="G63" s="8" t="n">
        <x:v>26.6</x:v>
      </x:c>
      <x:c r="H63" s="8" t="n">
        <x:v>2.8</x:v>
      </x:c>
      <x:c r="I63" s="8" t="s">
        <x:v>58</x:v>
      </x:c>
      <x:c r="J63" s="7" t="s">
        <x:v>1919</x:v>
      </x:c>
      <x:c r="K63" s="8" t="n">
        <x:v>1</x:v>
      </x:c>
      <x:c r="L63" s="8" t="n">
        <x:f aca="0">IF(AND(ISNUMBER(G63),P63&lt;&gt;"Unresolved unit / layout"),G63*K63,"Not applicable")</x:f>
        <x:v>26.6</x:v>
      </x:c>
      <x:c r="M63" s="8" t="n">
        <x:f aca="0">IF(AND(ISNUMBER(H63),P63&lt;&gt;"Unresolved unit / layout"),H63*K63,"Not applicable")</x:f>
        <x:v>2.8</x:v>
      </x:c>
      <x:c r="N63" s="8" t="str">
        <x:f aca="0">IF(AND(ISNUMBER(I63),P63&lt;&gt;"Unresolved unit / layout"),I63*K63,"Not applicable")</x:f>
        <x:v>Not applicable</x:v>
      </x:c>
      <x:c r="O63" s="7" t="s">
        <x:v>2033</x:v>
      </x:c>
      <x:c r="P63" s="7" t="s">
        <x:v>1921</x:v>
      </x:c>
      <x:c r="Q63" s="7" t="s">
        <x:v>1930</x:v>
      </x:c>
      <x:c r="R63" s="7" t="s">
        <x:v>1931</x:v>
      </x:c>
      <x:c r="S63" s="7" t="s">
        <x:v>2077</x:v>
      </x:c>
      <x:c r="T63" s="7" t="s">
        <x:v>2078</x:v>
      </x:c>
      <x:c r="U63" s="7" t="s">
        <x:v>53</x:v>
      </x:c>
      <x:c r="V63" s="7" t="s">
        <x:v>2036</x:v>
      </x:c>
      <x:c r="W63" s="7" t="s">
        <x:v>2135</x:v>
      </x:c>
      <x:c r="X63" s="7" t="s">
        <x:v>2079</x:v>
      </x:c>
      <x:c r="Y63" s="7" t="s">
        <x:v>1154</x:v>
      </x:c>
      <x:c r="Z63" s="7" t="s">
        <x:v>2136</x:v>
      </x:c>
      <x:c r="AA63" s="7" t="s">
        <x:v>58</x:v>
      </x:c>
      <x:c r="AB63" s="8" t="s">
        <x:v>58</x:v>
      </x:c>
      <x:c r="AC63" s="8" t="s">
        <x:v>58</x:v>
      </x:c>
      <x:c r="AD63" s="8" t="s">
        <x:v>58</x:v>
      </x:c>
      <x:c r="AE63" s="8" t="s">
        <x:v>58</x:v>
      </x:c>
      <x:c r="AF63" s="8" t="s">
        <x:v>58</x:v>
      </x:c>
      <x:c r="AG63" s="7" t="s">
        <x:v>58</x:v>
      </x:c>
    </x:row>
    <x:row r="64" ht="79.5" hidden="0" customHeight="1">
      <x:c r="A64" s="7" t="s">
        <x:v>2137</x:v>
      </x:c>
      <x:c r="B64" s="7" t="s">
        <x:v>76</x:v>
      </x:c>
      <x:c r="C64" s="7" t="s">
        <x:v>79</x:v>
      </x:c>
      <x:c r="D64" s="7" t="s">
        <x:v>2030</x:v>
      </x:c>
      <x:c r="E64" s="7" t="s">
        <x:v>2138</x:v>
      </x:c>
      <x:c r="F64" s="7" t="s">
        <x:v>2033</x:v>
      </x:c>
      <x:c r="G64" s="8" t="n">
        <x:v>7.9</x:v>
      </x:c>
      <x:c r="H64" s="8" t="n">
        <x:v>1.2</x:v>
      </x:c>
      <x:c r="I64" s="8" t="s">
        <x:v>58</x:v>
      </x:c>
      <x:c r="J64" s="7" t="s">
        <x:v>1919</x:v>
      </x:c>
      <x:c r="K64" s="8" t="n">
        <x:v>1</x:v>
      </x:c>
      <x:c r="L64" s="8" t="n">
        <x:f aca="0">IF(AND(ISNUMBER(G64),P64&lt;&gt;"Unresolved unit / layout"),G64*K64,"Not applicable")</x:f>
        <x:v>7.9</x:v>
      </x:c>
      <x:c r="M64" s="8" t="n">
        <x:f aca="0">IF(AND(ISNUMBER(H64),P64&lt;&gt;"Unresolved unit / layout"),H64*K64,"Not applicable")</x:f>
        <x:v>1.2</x:v>
      </x:c>
      <x:c r="N64" s="8" t="str">
        <x:f aca="0">IF(AND(ISNUMBER(I64),P64&lt;&gt;"Unresolved unit / layout"),I64*K64,"Not applicable")</x:f>
        <x:v>Not applicable</x:v>
      </x:c>
      <x:c r="O64" s="7" t="s">
        <x:v>2033</x:v>
      </x:c>
      <x:c r="P64" s="7" t="s">
        <x:v>1921</x:v>
      </x:c>
      <x:c r="Q64" s="7" t="s">
        <x:v>1930</x:v>
      </x:c>
      <x:c r="R64" s="7" t="s">
        <x:v>1931</x:v>
      </x:c>
      <x:c r="S64" s="7" t="s">
        <x:v>2077</x:v>
      </x:c>
      <x:c r="T64" s="7" t="s">
        <x:v>2078</x:v>
      </x:c>
      <x:c r="U64" s="7" t="s">
        <x:v>53</x:v>
      </x:c>
      <x:c r="V64" s="7" t="s">
        <x:v>2036</x:v>
      </x:c>
      <x:c r="W64" s="7" t="s">
        <x:v>2139</x:v>
      </x:c>
      <x:c r="X64" s="7" t="s">
        <x:v>2079</x:v>
      </x:c>
      <x:c r="Y64" s="7" t="s">
        <x:v>1154</x:v>
      </x:c>
      <x:c r="Z64" s="7" t="s">
        <x:v>2140</x:v>
      </x:c>
      <x:c r="AA64" s="7" t="s">
        <x:v>58</x:v>
      </x:c>
      <x:c r="AB64" s="8" t="s">
        <x:v>58</x:v>
      </x:c>
      <x:c r="AC64" s="8" t="s">
        <x:v>58</x:v>
      </x:c>
      <x:c r="AD64" s="8" t="s">
        <x:v>58</x:v>
      </x:c>
      <x:c r="AE64" s="8" t="s">
        <x:v>58</x:v>
      </x:c>
      <x:c r="AF64" s="8" t="s">
        <x:v>58</x:v>
      </x:c>
      <x:c r="AG64" s="7" t="s">
        <x:v>58</x:v>
      </x:c>
    </x:row>
    <x:row r="65" ht="79.5" hidden="0" customHeight="1">
      <x:c r="A65" s="7" t="s">
        <x:v>2141</x:v>
      </x:c>
      <x:c r="B65" s="7" t="s">
        <x:v>76</x:v>
      </x:c>
      <x:c r="C65" s="7" t="s">
        <x:v>79</x:v>
      </x:c>
      <x:c r="D65" s="7" t="s">
        <x:v>2030</x:v>
      </x:c>
      <x:c r="E65" s="7" t="s">
        <x:v>2142</x:v>
      </x:c>
      <x:c r="F65" s="7" t="s">
        <x:v>2033</x:v>
      </x:c>
      <x:c r="G65" s="8" t="n">
        <x:v>13.8</x:v>
      </x:c>
      <x:c r="H65" s="8" t="n">
        <x:v>0.9</x:v>
      </x:c>
      <x:c r="I65" s="8" t="s">
        <x:v>58</x:v>
      </x:c>
      <x:c r="J65" s="7" t="s">
        <x:v>1919</x:v>
      </x:c>
      <x:c r="K65" s="8" t="n">
        <x:v>1</x:v>
      </x:c>
      <x:c r="L65" s="8" t="n">
        <x:f aca="0">IF(AND(ISNUMBER(G65),P65&lt;&gt;"Unresolved unit / layout"),G65*K65,"Not applicable")</x:f>
        <x:v>13.8</x:v>
      </x:c>
      <x:c r="M65" s="8" t="n">
        <x:f aca="0">IF(AND(ISNUMBER(H65),P65&lt;&gt;"Unresolved unit / layout"),H65*K65,"Not applicable")</x:f>
        <x:v>0.9</x:v>
      </x:c>
      <x:c r="N65" s="8" t="str">
        <x:f aca="0">IF(AND(ISNUMBER(I65),P65&lt;&gt;"Unresolved unit / layout"),I65*K65,"Not applicable")</x:f>
        <x:v>Not applicable</x:v>
      </x:c>
      <x:c r="O65" s="7" t="s">
        <x:v>2033</x:v>
      </x:c>
      <x:c r="P65" s="7" t="s">
        <x:v>1921</x:v>
      </x:c>
      <x:c r="Q65" s="7" t="s">
        <x:v>1930</x:v>
      </x:c>
      <x:c r="R65" s="7" t="s">
        <x:v>2003</x:v>
      </x:c>
      <x:c r="S65" s="7" t="s">
        <x:v>2077</x:v>
      </x:c>
      <x:c r="T65" s="7" t="s">
        <x:v>2078</x:v>
      </x:c>
      <x:c r="U65" s="7" t="s">
        <x:v>53</x:v>
      </x:c>
      <x:c r="V65" s="7" t="s">
        <x:v>2036</x:v>
      </x:c>
      <x:c r="W65" s="7" t="s">
        <x:v>53</x:v>
      </x:c>
      <x:c r="X65" s="7" t="s">
        <x:v>2079</x:v>
      </x:c>
      <x:c r="Y65" s="7" t="s">
        <x:v>1154</x:v>
      </x:c>
      <x:c r="Z65" s="7" t="s">
        <x:v>2143</x:v>
      </x:c>
      <x:c r="AA65" s="7" t="s">
        <x:v>58</x:v>
      </x:c>
      <x:c r="AB65" s="8" t="s">
        <x:v>58</x:v>
      </x:c>
      <x:c r="AC65" s="8" t="s">
        <x:v>58</x:v>
      </x:c>
      <x:c r="AD65" s="8" t="s">
        <x:v>58</x:v>
      </x:c>
      <x:c r="AE65" s="8" t="s">
        <x:v>58</x:v>
      </x:c>
      <x:c r="AF65" s="8" t="s">
        <x:v>58</x:v>
      </x:c>
      <x:c r="AG65" s="7" t="s">
        <x:v>58</x:v>
      </x:c>
    </x:row>
    <x:row r="66" ht="79.5" hidden="0" customHeight="1">
      <x:c r="A66" s="7" t="s">
        <x:v>2144</x:v>
      </x:c>
      <x:c r="B66" s="7" t="s">
        <x:v>94</x:v>
      </x:c>
      <x:c r="C66" s="7" t="s">
        <x:v>96</x:v>
      </x:c>
      <x:c r="D66" s="7" t="s">
        <x:v>1916</x:v>
      </x:c>
      <x:c r="E66" s="7" t="s">
        <x:v>2145</x:v>
      </x:c>
      <x:c r="F66" s="7" t="s">
        <x:v>2076</x:v>
      </x:c>
      <x:c r="G66" s="8" t="n">
        <x:v>1.31</x:v>
      </x:c>
      <x:c r="H66" s="8" t="s">
        <x:v>58</x:v>
      </x:c>
      <x:c r="I66" s="8" t="s">
        <x:v>58</x:v>
      </x:c>
      <x:c r="J66" s="7" t="s">
        <x:v>1919</x:v>
      </x:c>
      <x:c r="K66" s="8" t="n">
        <x:v>1000</x:v>
      </x:c>
      <x:c r="L66" s="8" t="n">
        <x:f aca="0">IF(AND(ISNUMBER(G66),P66&lt;&gt;"Unresolved unit / layout"),G66*K66,"Not applicable")</x:f>
        <x:v>1310</x:v>
      </x:c>
      <x:c r="M66" s="8" t="str">
        <x:f aca="0">IF(AND(ISNUMBER(H66),P66&lt;&gt;"Unresolved unit / layout"),H66*K66,"Not applicable")</x:f>
        <x:v>Not applicable</x:v>
      </x:c>
      <x:c r="N66" s="8" t="str">
        <x:f aca="0">IF(AND(ISNUMBER(I66),P66&lt;&gt;"Unresolved unit / layout"),I66*K66,"Not applicable")</x:f>
        <x:v>Not applicable</x:v>
      </x:c>
      <x:c r="O66" s="7" t="s">
        <x:v>1920</x:v>
      </x:c>
      <x:c r="P66" s="7" t="s">
        <x:v>1921</x:v>
      </x:c>
      <x:c r="Q66" s="7" t="s">
        <x:v>1922</x:v>
      </x:c>
      <x:c r="R66" s="7" t="s">
        <x:v>58</x:v>
      </x:c>
      <x:c r="S66" s="7" t="s">
        <x:v>2077</x:v>
      </x:c>
      <x:c r="T66" s="7" t="s">
        <x:v>2078</x:v>
      </x:c>
      <x:c r="U66" s="7" t="s">
        <x:v>53</x:v>
      </x:c>
      <x:c r="V66" s="7" t="s">
        <x:v>1923</x:v>
      </x:c>
      <x:c r="W66" s="7" t="s">
        <x:v>58</x:v>
      </x:c>
      <x:c r="X66" s="7" t="s">
        <x:v>2146</x:v>
      </x:c>
      <x:c r="Y66" s="7" t="s">
        <x:v>1157</x:v>
      </x:c>
      <x:c r="Z66" s="7" t="s">
        <x:v>1968</x:v>
      </x:c>
      <x:c r="AA66" s="7" t="s">
        <x:v>58</x:v>
      </x:c>
      <x:c r="AB66" s="8" t="s">
        <x:v>58</x:v>
      </x:c>
      <x:c r="AC66" s="8" t="s">
        <x:v>58</x:v>
      </x:c>
      <x:c r="AD66" s="8" t="s">
        <x:v>58</x:v>
      </x:c>
      <x:c r="AE66" s="8" t="s">
        <x:v>58</x:v>
      </x:c>
      <x:c r="AF66" s="8" t="s">
        <x:v>58</x:v>
      </x:c>
      <x:c r="AG66" s="7" t="s">
        <x:v>58</x:v>
      </x:c>
    </x:row>
    <x:row r="67" ht="79.5" hidden="0" customHeight="1">
      <x:c r="A67" s="7" t="s">
        <x:v>2147</x:v>
      </x:c>
      <x:c r="B67" s="7" t="s">
        <x:v>94</x:v>
      </x:c>
      <x:c r="C67" s="7" t="s">
        <x:v>96</x:v>
      </x:c>
      <x:c r="D67" s="7" t="s">
        <x:v>1974</x:v>
      </x:c>
      <x:c r="E67" s="7" t="s">
        <x:v>2148</x:v>
      </x:c>
      <x:c r="F67" s="7" t="s">
        <x:v>1956</x:v>
      </x:c>
      <x:c r="G67" s="8" t="n">
        <x:v>163</x:v>
      </x:c>
      <x:c r="H67" s="8" t="s">
        <x:v>58</x:v>
      </x:c>
      <x:c r="I67" s="8" t="s">
        <x:v>58</x:v>
      </x:c>
      <x:c r="J67" s="7" t="s">
        <x:v>1919</x:v>
      </x:c>
      <x:c r="K67" s="8" t="n">
        <x:v>1</x:v>
      </x:c>
      <x:c r="L67" s="8" t="n">
        <x:f aca="0">IF(AND(ISNUMBER(G67),P67&lt;&gt;"Unresolved unit / layout"),G67*K67,"Not applicable")</x:f>
        <x:v>163</x:v>
      </x:c>
      <x:c r="M67" s="8" t="str">
        <x:f aca="0">IF(AND(ISNUMBER(H67),P67&lt;&gt;"Unresolved unit / layout"),H67*K67,"Not applicable")</x:f>
        <x:v>Not applicable</x:v>
      </x:c>
      <x:c r="N67" s="8" t="str">
        <x:f aca="0">IF(AND(ISNUMBER(I67),P67&lt;&gt;"Unresolved unit / layout"),I67*K67,"Not applicable")</x:f>
        <x:v>Not applicable</x:v>
      </x:c>
      <x:c r="O67" s="7" t="s">
        <x:v>1956</x:v>
      </x:c>
      <x:c r="P67" s="7" t="s">
        <x:v>1921</x:v>
      </x:c>
      <x:c r="Q67" s="7" t="s">
        <x:v>1930</x:v>
      </x:c>
      <x:c r="R67" s="7" t="s">
        <x:v>58</x:v>
      </x:c>
      <x:c r="S67" s="7" t="s">
        <x:v>2077</x:v>
      </x:c>
      <x:c r="T67" s="7" t="s">
        <x:v>2078</x:v>
      </x:c>
      <x:c r="U67" s="7" t="s">
        <x:v>53</x:v>
      </x:c>
      <x:c r="V67" s="7" t="s">
        <x:v>2082</x:v>
      </x:c>
      <x:c r="W67" s="7" t="s">
        <x:v>58</x:v>
      </x:c>
      <x:c r="X67" s="7" t="s">
        <x:v>2146</x:v>
      </x:c>
      <x:c r="Y67" s="7" t="s">
        <x:v>1157</x:v>
      </x:c>
      <x:c r="Z67" s="7" t="s">
        <x:v>2083</x:v>
      </x:c>
      <x:c r="AA67" s="7" t="s">
        <x:v>58</x:v>
      </x:c>
      <x:c r="AB67" s="8" t="s">
        <x:v>58</x:v>
      </x:c>
      <x:c r="AC67" s="8" t="s">
        <x:v>58</x:v>
      </x:c>
      <x:c r="AD67" s="8" t="s">
        <x:v>58</x:v>
      </x:c>
      <x:c r="AE67" s="8" t="s">
        <x:v>58</x:v>
      </x:c>
      <x:c r="AF67" s="8" t="s">
        <x:v>58</x:v>
      </x:c>
      <x:c r="AG67" s="7" t="s">
        <x:v>58</x:v>
      </x:c>
    </x:row>
    <x:row r="68" ht="79.5" hidden="0" customHeight="1">
      <x:c r="A68" s="7" t="s">
        <x:v>2149</x:v>
      </x:c>
      <x:c r="B68" s="7" t="s">
        <x:v>94</x:v>
      </x:c>
      <x:c r="C68" s="7" t="s">
        <x:v>96</x:v>
      </x:c>
      <x:c r="D68" s="7" t="s">
        <x:v>1954</x:v>
      </x:c>
      <x:c r="E68" s="7" t="s">
        <x:v>1983</x:v>
      </x:c>
      <x:c r="F68" s="7" t="s">
        <x:v>1956</x:v>
      </x:c>
      <x:c r="G68" s="8" t="n">
        <x:v>61</x:v>
      </x:c>
      <x:c r="H68" s="8" t="s">
        <x:v>58</x:v>
      </x:c>
      <x:c r="I68" s="8" t="s">
        <x:v>58</x:v>
      </x:c>
      <x:c r="J68" s="7" t="s">
        <x:v>1919</x:v>
      </x:c>
      <x:c r="K68" s="8" t="n">
        <x:v>1</x:v>
      </x:c>
      <x:c r="L68" s="8" t="n">
        <x:f aca="0">IF(AND(ISNUMBER(G68),P68&lt;&gt;"Unresolved unit / layout"),G68*K68,"Not applicable")</x:f>
        <x:v>61</x:v>
      </x:c>
      <x:c r="M68" s="8" t="str">
        <x:f aca="0">IF(AND(ISNUMBER(H68),P68&lt;&gt;"Unresolved unit / layout"),H68*K68,"Not applicable")</x:f>
        <x:v>Not applicable</x:v>
      </x:c>
      <x:c r="N68" s="8" t="str">
        <x:f aca="0">IF(AND(ISNUMBER(I68),P68&lt;&gt;"Unresolved unit / layout"),I68*K68,"Not applicable")</x:f>
        <x:v>Not applicable</x:v>
      </x:c>
      <x:c r="O68" s="7" t="s">
        <x:v>1956</x:v>
      </x:c>
      <x:c r="P68" s="7" t="s">
        <x:v>1921</x:v>
      </x:c>
      <x:c r="Q68" s="7" t="s">
        <x:v>1930</x:v>
      </x:c>
      <x:c r="R68" s="7" t="s">
        <x:v>58</x:v>
      </x:c>
      <x:c r="S68" s="7" t="s">
        <x:v>2077</x:v>
      </x:c>
      <x:c r="T68" s="7" t="s">
        <x:v>2078</x:v>
      </x:c>
      <x:c r="U68" s="7" t="s">
        <x:v>53</x:v>
      </x:c>
      <x:c r="V68" s="7" t="s">
        <x:v>2082</x:v>
      </x:c>
      <x:c r="W68" s="7" t="s">
        <x:v>58</x:v>
      </x:c>
      <x:c r="X68" s="7" t="s">
        <x:v>2146</x:v>
      </x:c>
      <x:c r="Y68" s="7" t="s">
        <x:v>1157</x:v>
      </x:c>
      <x:c r="Z68" s="7" t="s">
        <x:v>2086</x:v>
      </x:c>
      <x:c r="AA68" s="7" t="s">
        <x:v>58</x:v>
      </x:c>
      <x:c r="AB68" s="8" t="s">
        <x:v>58</x:v>
      </x:c>
      <x:c r="AC68" s="8" t="s">
        <x:v>58</x:v>
      </x:c>
      <x:c r="AD68" s="8" t="s">
        <x:v>58</x:v>
      </x:c>
      <x:c r="AE68" s="8" t="s">
        <x:v>58</x:v>
      </x:c>
      <x:c r="AF68" s="8" t="s">
        <x:v>58</x:v>
      </x:c>
      <x:c r="AG68" s="7" t="s">
        <x:v>58</x:v>
      </x:c>
    </x:row>
    <x:row r="69" ht="79.5" hidden="0" customHeight="1">
      <x:c r="A69" s="7" t="s">
        <x:v>2150</x:v>
      </x:c>
      <x:c r="B69" s="7" t="s">
        <x:v>94</x:v>
      </x:c>
      <x:c r="C69" s="7" t="s">
        <x:v>96</x:v>
      </x:c>
      <x:c r="D69" s="7" t="s">
        <x:v>1978</x:v>
      </x:c>
      <x:c r="E69" s="7" t="s">
        <x:v>1995</x:v>
      </x:c>
      <x:c r="F69" s="7" t="s">
        <x:v>1956</x:v>
      </x:c>
      <x:c r="G69" s="8" t="s">
        <x:v>53</x:v>
      </x:c>
      <x:c r="H69" s="8" t="s">
        <x:v>58</x:v>
      </x:c>
      <x:c r="I69" s="8" t="s">
        <x:v>58</x:v>
      </x:c>
      <x:c r="J69" s="7" t="s">
        <x:v>58</x:v>
      </x:c>
      <x:c r="K69" s="8" t="n">
        <x:v>1</x:v>
      </x:c>
      <x:c r="L69" s="8" t="str">
        <x:f aca="0">IF(AND(ISNUMBER(G69),P69&lt;&gt;"Unresolved unit / layout"),G69*K69,"Not published")</x:f>
        <x:v>Not published</x:v>
      </x:c>
      <x:c r="M69" s="8" t="str">
        <x:f aca="0">IF(AND(ISNUMBER(H69),P69&lt;&gt;"Unresolved unit / layout"),H69*K69,"Not applicable")</x:f>
        <x:v>Not applicable</x:v>
      </x:c>
      <x:c r="N69" s="8" t="str">
        <x:f aca="0">IF(AND(ISNUMBER(I69),P69&lt;&gt;"Unresolved unit / layout"),I69*K69,"Not applicable")</x:f>
        <x:v>Not applicable</x:v>
      </x:c>
      <x:c r="O69" s="7" t="s">
        <x:v>1956</x:v>
      </x:c>
      <x:c r="P69" s="7" t="s">
        <x:v>53</x:v>
      </x:c>
      <x:c r="Q69" s="7" t="s">
        <x:v>1930</x:v>
      </x:c>
      <x:c r="R69" s="7" t="s">
        <x:v>58</x:v>
      </x:c>
      <x:c r="S69" s="7" t="s">
        <x:v>2077</x:v>
      </x:c>
      <x:c r="T69" s="7" t="s">
        <x:v>2078</x:v>
      </x:c>
      <x:c r="U69" s="7" t="s">
        <x:v>53</x:v>
      </x:c>
      <x:c r="V69" s="7" t="s">
        <x:v>2088</x:v>
      </x:c>
      <x:c r="W69" s="7" t="s">
        <x:v>58</x:v>
      </x:c>
      <x:c r="X69" s="7" t="s">
        <x:v>2146</x:v>
      </x:c>
      <x:c r="Y69" s="7" t="s">
        <x:v>1157</x:v>
      </x:c>
      <x:c r="Z69" s="7" t="s">
        <x:v>2089</x:v>
      </x:c>
      <x:c r="AA69" s="7" t="s">
        <x:v>58</x:v>
      </x:c>
      <x:c r="AB69" s="8" t="s">
        <x:v>58</x:v>
      </x:c>
      <x:c r="AC69" s="8" t="s">
        <x:v>58</x:v>
      </x:c>
      <x:c r="AD69" s="8" t="s">
        <x:v>58</x:v>
      </x:c>
      <x:c r="AE69" s="8" t="s">
        <x:v>58</x:v>
      </x:c>
      <x:c r="AF69" s="8" t="s">
        <x:v>58</x:v>
      </x:c>
      <x:c r="AG69" s="7" t="s">
        <x:v>58</x:v>
      </x:c>
    </x:row>
    <x:row r="70" ht="79.5" hidden="0" customHeight="1">
      <x:c r="A70" s="7" t="s">
        <x:v>2151</x:v>
      </x:c>
      <x:c r="B70" s="7" t="s">
        <x:v>94</x:v>
      </x:c>
      <x:c r="C70" s="7" t="s">
        <x:v>96</x:v>
      </x:c>
      <x:c r="D70" s="7" t="s">
        <x:v>1982</x:v>
      </x:c>
      <x:c r="E70" s="7" t="s">
        <x:v>2152</x:v>
      </x:c>
      <x:c r="F70" s="7" t="s">
        <x:v>1956</x:v>
      </x:c>
      <x:c r="G70" s="8" t="n">
        <x:v>63</x:v>
      </x:c>
      <x:c r="H70" s="8" t="s">
        <x:v>58</x:v>
      </x:c>
      <x:c r="I70" s="8" t="s">
        <x:v>58</x:v>
      </x:c>
      <x:c r="J70" s="7" t="s">
        <x:v>1919</x:v>
      </x:c>
      <x:c r="K70" s="8" t="n">
        <x:v>1</x:v>
      </x:c>
      <x:c r="L70" s="8" t="n">
        <x:f aca="0">IF(AND(ISNUMBER(G70),P70&lt;&gt;"Unresolved unit / layout"),G70*K70,"Not applicable")</x:f>
        <x:v>63</x:v>
      </x:c>
      <x:c r="M70" s="8" t="str">
        <x:f aca="0">IF(AND(ISNUMBER(H70),P70&lt;&gt;"Unresolved unit / layout"),H70*K70,"Not applicable")</x:f>
        <x:v>Not applicable</x:v>
      </x:c>
      <x:c r="N70" s="8" t="str">
        <x:f aca="0">IF(AND(ISNUMBER(I70),P70&lt;&gt;"Unresolved unit / layout"),I70*K70,"Not applicable")</x:f>
        <x:v>Not applicable</x:v>
      </x:c>
      <x:c r="O70" s="7" t="s">
        <x:v>1956</x:v>
      </x:c>
      <x:c r="P70" s="7" t="s">
        <x:v>1921</x:v>
      </x:c>
      <x:c r="Q70" s="7" t="s">
        <x:v>1930</x:v>
      </x:c>
      <x:c r="R70" s="7" t="s">
        <x:v>58</x:v>
      </x:c>
      <x:c r="S70" s="7" t="s">
        <x:v>2077</x:v>
      </x:c>
      <x:c r="T70" s="7" t="s">
        <x:v>2078</x:v>
      </x:c>
      <x:c r="U70" s="7" t="s">
        <x:v>53</x:v>
      </x:c>
      <x:c r="V70" s="7" t="s">
        <x:v>1984</x:v>
      </x:c>
      <x:c r="W70" s="7" t="s">
        <x:v>58</x:v>
      </x:c>
      <x:c r="X70" s="7" t="s">
        <x:v>2146</x:v>
      </x:c>
      <x:c r="Y70" s="7" t="s">
        <x:v>1157</x:v>
      </x:c>
      <x:c r="Z70" s="7" t="s">
        <x:v>2092</x:v>
      </x:c>
      <x:c r="AA70" s="7" t="s">
        <x:v>58</x:v>
      </x:c>
      <x:c r="AB70" s="8" t="s">
        <x:v>58</x:v>
      </x:c>
      <x:c r="AC70" s="8" t="s">
        <x:v>58</x:v>
      </x:c>
      <x:c r="AD70" s="8" t="s">
        <x:v>58</x:v>
      </x:c>
      <x:c r="AE70" s="8" t="s">
        <x:v>58</x:v>
      </x:c>
      <x:c r="AF70" s="8" t="s">
        <x:v>58</x:v>
      </x:c>
      <x:c r="AG70" s="7" t="s">
        <x:v>58</x:v>
      </x:c>
    </x:row>
    <x:row r="71" ht="79.5" hidden="0" customHeight="1">
      <x:c r="A71" s="7" t="s">
        <x:v>2153</x:v>
      </x:c>
      <x:c r="B71" s="7" t="s">
        <x:v>94</x:v>
      </x:c>
      <x:c r="C71" s="7" t="s">
        <x:v>96</x:v>
      </x:c>
      <x:c r="D71" s="7" t="s">
        <x:v>1959</x:v>
      </x:c>
      <x:c r="E71" s="7" t="s">
        <x:v>1987</x:v>
      </x:c>
      <x:c r="F71" s="7" t="s">
        <x:v>1956</x:v>
      </x:c>
      <x:c r="G71" s="8" t="n">
        <x:v>52</x:v>
      </x:c>
      <x:c r="H71" s="8" t="s">
        <x:v>58</x:v>
      </x:c>
      <x:c r="I71" s="8" t="s">
        <x:v>58</x:v>
      </x:c>
      <x:c r="J71" s="7" t="s">
        <x:v>1919</x:v>
      </x:c>
      <x:c r="K71" s="8" t="n">
        <x:v>1</x:v>
      </x:c>
      <x:c r="L71" s="8" t="n">
        <x:f aca="0">IF(AND(ISNUMBER(G71),P71&lt;&gt;"Unresolved unit / layout"),G71*K71,"Not applicable")</x:f>
        <x:v>52</x:v>
      </x:c>
      <x:c r="M71" s="8" t="str">
        <x:f aca="0">IF(AND(ISNUMBER(H71),P71&lt;&gt;"Unresolved unit / layout"),H71*K71,"Not applicable")</x:f>
        <x:v>Not applicable</x:v>
      </x:c>
      <x:c r="N71" s="8" t="str">
        <x:f aca="0">IF(AND(ISNUMBER(I71),P71&lt;&gt;"Unresolved unit / layout"),I71*K71,"Not applicable")</x:f>
        <x:v>Not applicable</x:v>
      </x:c>
      <x:c r="O71" s="7" t="s">
        <x:v>1956</x:v>
      </x:c>
      <x:c r="P71" s="7" t="s">
        <x:v>1921</x:v>
      </x:c>
      <x:c r="Q71" s="7" t="s">
        <x:v>1930</x:v>
      </x:c>
      <x:c r="R71" s="7" t="s">
        <x:v>58</x:v>
      </x:c>
      <x:c r="S71" s="7" t="s">
        <x:v>2077</x:v>
      </x:c>
      <x:c r="T71" s="7" t="s">
        <x:v>2078</x:v>
      </x:c>
      <x:c r="U71" s="7" t="s">
        <x:v>53</x:v>
      </x:c>
      <x:c r="V71" s="7" t="s">
        <x:v>2095</x:v>
      </x:c>
      <x:c r="W71" s="7" t="s">
        <x:v>58</x:v>
      </x:c>
      <x:c r="X71" s="7" t="s">
        <x:v>2146</x:v>
      </x:c>
      <x:c r="Y71" s="7" t="s">
        <x:v>1157</x:v>
      </x:c>
      <x:c r="Z71" s="7" t="s">
        <x:v>2096</x:v>
      </x:c>
      <x:c r="AA71" s="7" t="s">
        <x:v>58</x:v>
      </x:c>
      <x:c r="AB71" s="8" t="s">
        <x:v>58</x:v>
      </x:c>
      <x:c r="AC71" s="8" t="s">
        <x:v>58</x:v>
      </x:c>
      <x:c r="AD71" s="8" t="s">
        <x:v>58</x:v>
      </x:c>
      <x:c r="AE71" s="8" t="s">
        <x:v>58</x:v>
      </x:c>
      <x:c r="AF71" s="8" t="s">
        <x:v>58</x:v>
      </x:c>
      <x:c r="AG71" s="7" t="s">
        <x:v>58</x:v>
      </x:c>
    </x:row>
    <x:row r="72" ht="79.5" hidden="0" customHeight="1">
      <x:c r="A72" s="7" t="s">
        <x:v>99</x:v>
      </x:c>
      <x:c r="B72" s="7" t="s">
        <x:v>94</x:v>
      </x:c>
      <x:c r="C72" s="7" t="s">
        <x:v>96</x:v>
      </x:c>
      <x:c r="D72" s="7" t="s">
        <x:v>1959</x:v>
      </x:c>
      <x:c r="E72" s="7" t="s">
        <x:v>2154</x:v>
      </x:c>
      <x:c r="F72" s="7" t="s">
        <x:v>1956</x:v>
      </x:c>
      <x:c r="G72" s="8" t="n">
        <x:v>58</x:v>
      </x:c>
      <x:c r="H72" s="8" t="s">
        <x:v>58</x:v>
      </x:c>
      <x:c r="I72" s="8" t="s">
        <x:v>58</x:v>
      </x:c>
      <x:c r="J72" s="7" t="s">
        <x:v>1919</x:v>
      </x:c>
      <x:c r="K72" s="8" t="n">
        <x:v>1</x:v>
      </x:c>
      <x:c r="L72" s="8" t="n">
        <x:f aca="0">IF(AND(ISNUMBER(G72),P72&lt;&gt;"Unresolved unit / layout"),G72*K72,"Not applicable")</x:f>
        <x:v>58</x:v>
      </x:c>
      <x:c r="M72" s="8" t="str">
        <x:f aca="0">IF(AND(ISNUMBER(H72),P72&lt;&gt;"Unresolved unit / layout"),H72*K72,"Not applicable")</x:f>
        <x:v>Not applicable</x:v>
      </x:c>
      <x:c r="N72" s="8" t="str">
        <x:f aca="0">IF(AND(ISNUMBER(I72),P72&lt;&gt;"Unresolved unit / layout"),I72*K72,"Not applicable")</x:f>
        <x:v>Not applicable</x:v>
      </x:c>
      <x:c r="O72" s="7" t="s">
        <x:v>1956</x:v>
      </x:c>
      <x:c r="P72" s="7" t="s">
        <x:v>1921</x:v>
      </x:c>
      <x:c r="Q72" s="7" t="s">
        <x:v>1930</x:v>
      </x:c>
      <x:c r="R72" s="7" t="s">
        <x:v>58</x:v>
      </x:c>
      <x:c r="S72" s="7" t="s">
        <x:v>2077</x:v>
      </x:c>
      <x:c r="T72" s="7" t="s">
        <x:v>2078</x:v>
      </x:c>
      <x:c r="U72" s="7" t="s">
        <x:v>53</x:v>
      </x:c>
      <x:c r="V72" s="7" t="s">
        <x:v>2097</x:v>
      </x:c>
      <x:c r="W72" s="7" t="s">
        <x:v>58</x:v>
      </x:c>
      <x:c r="X72" s="7" t="s">
        <x:v>2146</x:v>
      </x:c>
      <x:c r="Y72" s="7" t="s">
        <x:v>1157</x:v>
      </x:c>
      <x:c r="Z72" s="7" t="s">
        <x:v>2096</x:v>
      </x:c>
      <x:c r="AA72" s="7" t="s">
        <x:v>58</x:v>
      </x:c>
      <x:c r="AB72" s="8" t="s">
        <x:v>58</x:v>
      </x:c>
      <x:c r="AC72" s="8" t="s">
        <x:v>58</x:v>
      </x:c>
      <x:c r="AD72" s="8" t="s">
        <x:v>58</x:v>
      </x:c>
      <x:c r="AE72" s="8" t="s">
        <x:v>58</x:v>
      </x:c>
      <x:c r="AF72" s="8" t="s">
        <x:v>58</x:v>
      </x:c>
      <x:c r="AG72" s="7" t="s">
        <x:v>58</x:v>
      </x:c>
    </x:row>
    <x:row r="73" ht="79.5" hidden="0" customHeight="1">
      <x:c r="A73" s="7" t="s">
        <x:v>2155</x:v>
      </x:c>
      <x:c r="B73" s="7" t="s">
        <x:v>94</x:v>
      </x:c>
      <x:c r="C73" s="7" t="s">
        <x:v>96</x:v>
      </x:c>
      <x:c r="D73" s="7" t="s">
        <x:v>2099</x:v>
      </x:c>
      <x:c r="E73" s="7" t="s">
        <x:v>2156</x:v>
      </x:c>
      <x:c r="F73" s="7" t="s">
        <x:v>1942</x:v>
      </x:c>
      <x:c r="G73" s="8" t="n">
        <x:v>0.4</x:v>
      </x:c>
      <x:c r="H73" s="8" t="s">
        <x:v>58</x:v>
      </x:c>
      <x:c r="I73" s="8" t="s">
        <x:v>58</x:v>
      </x:c>
      <x:c r="J73" s="7" t="s">
        <x:v>1919</x:v>
      </x:c>
      <x:c r="K73" s="8" t="n">
        <x:v>1</x:v>
      </x:c>
      <x:c r="L73" s="8" t="n">
        <x:f aca="0">IF(AND(ISNUMBER(G73),P73&lt;&gt;"Unresolved unit / layout"),G73*K73,"Not applicable")</x:f>
        <x:v>0.4</x:v>
      </x:c>
      <x:c r="M73" s="8" t="str">
        <x:f aca="0">IF(AND(ISNUMBER(H73),P73&lt;&gt;"Unresolved unit / layout"),H73*K73,"Not applicable")</x:f>
        <x:v>Not applicable</x:v>
      </x:c>
      <x:c r="N73" s="8" t="str">
        <x:f aca="0">IF(AND(ISNUMBER(I73),P73&lt;&gt;"Unresolved unit / layout"),I73*K73,"Not applicable")</x:f>
        <x:v>Not applicable</x:v>
      </x:c>
      <x:c r="O73" s="7" t="s">
        <x:v>1942</x:v>
      </x:c>
      <x:c r="P73" s="7" t="s">
        <x:v>1921</x:v>
      </x:c>
      <x:c r="Q73" s="7" t="s">
        <x:v>1930</x:v>
      </x:c>
      <x:c r="R73" s="7" t="s">
        <x:v>58</x:v>
      </x:c>
      <x:c r="S73" s="7" t="s">
        <x:v>2077</x:v>
      </x:c>
      <x:c r="T73" s="7" t="s">
        <x:v>2078</x:v>
      </x:c>
      <x:c r="U73" s="7" t="s">
        <x:v>53</x:v>
      </x:c>
      <x:c r="V73" s="7" t="s">
        <x:v>2101</x:v>
      </x:c>
      <x:c r="W73" s="7" t="s">
        <x:v>58</x:v>
      </x:c>
      <x:c r="X73" s="7" t="s">
        <x:v>2146</x:v>
      </x:c>
      <x:c r="Y73" s="7" t="s">
        <x:v>1157</x:v>
      </x:c>
      <x:c r="Z73" s="7" t="s">
        <x:v>2102</x:v>
      </x:c>
      <x:c r="AA73" s="7" t="s">
        <x:v>58</x:v>
      </x:c>
      <x:c r="AB73" s="8" t="s">
        <x:v>58</x:v>
      </x:c>
      <x:c r="AC73" s="8" t="s">
        <x:v>58</x:v>
      </x:c>
      <x:c r="AD73" s="8" t="s">
        <x:v>58</x:v>
      </x:c>
      <x:c r="AE73" s="8" t="s">
        <x:v>58</x:v>
      </x:c>
      <x:c r="AF73" s="8" t="s">
        <x:v>58</x:v>
      </x:c>
      <x:c r="AG73" s="7" t="s">
        <x:v>58</x:v>
      </x:c>
    </x:row>
    <x:row r="74" ht="79.5" hidden="0" customHeight="1">
      <x:c r="A74" s="7" t="s">
        <x:v>2157</x:v>
      </x:c>
      <x:c r="B74" s="7" t="s">
        <x:v>94</x:v>
      </x:c>
      <x:c r="C74" s="7" t="s">
        <x:v>96</x:v>
      </x:c>
      <x:c r="D74" s="7" t="s">
        <x:v>1935</x:v>
      </x:c>
      <x:c r="E74" s="7" t="s">
        <x:v>2158</x:v>
      </x:c>
      <x:c r="F74" s="7" t="s">
        <x:v>1929</x:v>
      </x:c>
      <x:c r="G74" s="8" t="n">
        <x:v>1960</x:v>
      </x:c>
      <x:c r="H74" s="8" t="n">
        <x:v>180</x:v>
      </x:c>
      <x:c r="I74" s="8" t="s">
        <x:v>58</x:v>
      </x:c>
      <x:c r="J74" s="7" t="s">
        <x:v>1919</x:v>
      </x:c>
      <x:c r="K74" s="8" t="n">
        <x:v>0.001</x:v>
      </x:c>
      <x:c r="L74" s="8" t="n">
        <x:f aca="0">IF(AND(ISNUMBER(G74),P74&lt;&gt;"Unresolved unit / layout"),G74*K74,"Not applicable")</x:f>
        <x:v>1.96</x:v>
      </x:c>
      <x:c r="M74" s="8" t="n">
        <x:f aca="0">IF(AND(ISNUMBER(H74),P74&lt;&gt;"Unresolved unit / layout"),H74*K74,"Not applicable")</x:f>
        <x:v>0.18</x:v>
      </x:c>
      <x:c r="N74" s="8" t="str">
        <x:f aca="0">IF(AND(ISNUMBER(I74),P74&lt;&gt;"Unresolved unit / layout"),I74*K74,"Not applicable")</x:f>
        <x:v>Not applicable</x:v>
      </x:c>
      <x:c r="O74" s="7" t="s">
        <x:v>1937</x:v>
      </x:c>
      <x:c r="P74" s="7" t="s">
        <x:v>1921</x:v>
      </x:c>
      <x:c r="Q74" s="7" t="s">
        <x:v>1930</x:v>
      </x:c>
      <x:c r="R74" s="7" t="s">
        <x:v>1931</x:v>
      </x:c>
      <x:c r="S74" s="7" t="s">
        <x:v>2077</x:v>
      </x:c>
      <x:c r="T74" s="7" t="s">
        <x:v>2078</x:v>
      </x:c>
      <x:c r="U74" s="7" t="s">
        <x:v>53</x:v>
      </x:c>
      <x:c r="V74" s="7" t="s">
        <x:v>1999</x:v>
      </x:c>
      <x:c r="W74" s="7" t="s">
        <x:v>58</x:v>
      </x:c>
      <x:c r="X74" s="7" t="s">
        <x:v>2146</x:v>
      </x:c>
      <x:c r="Y74" s="7" t="s">
        <x:v>1157</x:v>
      </x:c>
      <x:c r="Z74" s="7" t="s">
        <x:v>2105</x:v>
      </x:c>
      <x:c r="AA74" s="7" t="s">
        <x:v>58</x:v>
      </x:c>
      <x:c r="AB74" s="8" t="s">
        <x:v>58</x:v>
      </x:c>
      <x:c r="AC74" s="8" t="s">
        <x:v>58</x:v>
      </x:c>
      <x:c r="AD74" s="8" t="s">
        <x:v>58</x:v>
      </x:c>
      <x:c r="AE74" s="8" t="s">
        <x:v>58</x:v>
      </x:c>
      <x:c r="AF74" s="8" t="s">
        <x:v>58</x:v>
      </x:c>
      <x:c r="AG74" s="7" t="s">
        <x:v>58</x:v>
      </x:c>
    </x:row>
    <x:row r="75" ht="79.5" hidden="0" customHeight="1">
      <x:c r="A75" s="7" t="s">
        <x:v>2159</x:v>
      </x:c>
      <x:c r="B75" s="7" t="s">
        <x:v>94</x:v>
      </x:c>
      <x:c r="C75" s="7" t="s">
        <x:v>96</x:v>
      </x:c>
      <x:c r="D75" s="7" t="s">
        <x:v>1935</x:v>
      </x:c>
      <x:c r="E75" s="7" t="s">
        <x:v>2160</x:v>
      </x:c>
      <x:c r="F75" s="7" t="s">
        <x:v>1929</x:v>
      </x:c>
      <x:c r="G75" s="8" t="n">
        <x:v>1670</x:v>
      </x:c>
      <x:c r="H75" s="8" t="n">
        <x:v>140</x:v>
      </x:c>
      <x:c r="I75" s="8" t="s">
        <x:v>58</x:v>
      </x:c>
      <x:c r="J75" s="7" t="s">
        <x:v>1919</x:v>
      </x:c>
      <x:c r="K75" s="8" t="n">
        <x:v>0.001</x:v>
      </x:c>
      <x:c r="L75" s="8" t="n">
        <x:f aca="0">IF(AND(ISNUMBER(G75),P75&lt;&gt;"Unresolved unit / layout"),G75*K75,"Not applicable")</x:f>
        <x:v>1.67</x:v>
      </x:c>
      <x:c r="M75" s="8" t="n">
        <x:f aca="0">IF(AND(ISNUMBER(H75),P75&lt;&gt;"Unresolved unit / layout"),H75*K75,"Not applicable")</x:f>
        <x:v>0.14</x:v>
      </x:c>
      <x:c r="N75" s="8" t="str">
        <x:f aca="0">IF(AND(ISNUMBER(I75),P75&lt;&gt;"Unresolved unit / layout"),I75*K75,"Not applicable")</x:f>
        <x:v>Not applicable</x:v>
      </x:c>
      <x:c r="O75" s="7" t="s">
        <x:v>1937</x:v>
      </x:c>
      <x:c r="P75" s="7" t="s">
        <x:v>1921</x:v>
      </x:c>
      <x:c r="Q75" s="7" t="s">
        <x:v>1930</x:v>
      </x:c>
      <x:c r="R75" s="7" t="s">
        <x:v>2003</x:v>
      </x:c>
      <x:c r="S75" s="7" t="s">
        <x:v>2077</x:v>
      </x:c>
      <x:c r="T75" s="7" t="s">
        <x:v>2078</x:v>
      </x:c>
      <x:c r="U75" s="7" t="s">
        <x:v>53</x:v>
      </x:c>
      <x:c r="V75" s="7" t="s">
        <x:v>1999</x:v>
      </x:c>
      <x:c r="W75" s="7" t="s">
        <x:v>58</x:v>
      </x:c>
      <x:c r="X75" s="7" t="s">
        <x:v>2146</x:v>
      </x:c>
      <x:c r="Y75" s="7" t="s">
        <x:v>1157</x:v>
      </x:c>
      <x:c r="Z75" s="7" t="s">
        <x:v>2108</x:v>
      </x:c>
      <x:c r="AA75" s="7" t="s">
        <x:v>58</x:v>
      </x:c>
      <x:c r="AB75" s="8" t="s">
        <x:v>58</x:v>
      </x:c>
      <x:c r="AC75" s="8" t="s">
        <x:v>58</x:v>
      </x:c>
      <x:c r="AD75" s="8" t="s">
        <x:v>58</x:v>
      </x:c>
      <x:c r="AE75" s="8" t="s">
        <x:v>58</x:v>
      </x:c>
      <x:c r="AF75" s="8" t="s">
        <x:v>58</x:v>
      </x:c>
      <x:c r="AG75" s="7" t="s">
        <x:v>58</x:v>
      </x:c>
    </x:row>
    <x:row r="76" ht="79.5" hidden="0" customHeight="1">
      <x:c r="A76" s="7" t="s">
        <x:v>2161</x:v>
      </x:c>
      <x:c r="B76" s="7" t="s">
        <x:v>94</x:v>
      </x:c>
      <x:c r="C76" s="7" t="s">
        <x:v>96</x:v>
      </x:c>
      <x:c r="D76" s="7" t="s">
        <x:v>2006</x:v>
      </x:c>
      <x:c r="E76" s="7" t="s">
        <x:v>2162</x:v>
      </x:c>
      <x:c r="F76" s="7" t="s">
        <x:v>1929</x:v>
      </x:c>
      <x:c r="G76" s="8" t="n">
        <x:v>30</x:v>
      </x:c>
      <x:c r="H76" s="8" t="n">
        <x:v>5</x:v>
      </x:c>
      <x:c r="I76" s="8" t="s">
        <x:v>58</x:v>
      </x:c>
      <x:c r="J76" s="7" t="s">
        <x:v>1919</x:v>
      </x:c>
      <x:c r="K76" s="8" t="n">
        <x:v>1</x:v>
      </x:c>
      <x:c r="L76" s="8" t="n">
        <x:f aca="0">IF(AND(ISNUMBER(G76),P76&lt;&gt;"Unresolved unit / layout"),G76*K76,"Not applicable")</x:f>
        <x:v>30</x:v>
      </x:c>
      <x:c r="M76" s="8" t="n">
        <x:f aca="0">IF(AND(ISNUMBER(H76),P76&lt;&gt;"Unresolved unit / layout"),H76*K76,"Not applicable")</x:f>
        <x:v>5</x:v>
      </x:c>
      <x:c r="N76" s="8" t="str">
        <x:f aca="0">IF(AND(ISNUMBER(I76),P76&lt;&gt;"Unresolved unit / layout"),I76*K76,"Not applicable")</x:f>
        <x:v>Not applicable</x:v>
      </x:c>
      <x:c r="O76" s="7" t="s">
        <x:v>1929</x:v>
      </x:c>
      <x:c r="P76" s="7" t="s">
        <x:v>1921</x:v>
      </x:c>
      <x:c r="Q76" s="7" t="s">
        <x:v>1930</x:v>
      </x:c>
      <x:c r="R76" s="7" t="s">
        <x:v>1931</x:v>
      </x:c>
      <x:c r="S76" s="7" t="s">
        <x:v>2077</x:v>
      </x:c>
      <x:c r="T76" s="7" t="s">
        <x:v>2078</x:v>
      </x:c>
      <x:c r="U76" s="7" t="s">
        <x:v>53</x:v>
      </x:c>
      <x:c r="V76" s="7" t="s">
        <x:v>1999</x:v>
      </x:c>
      <x:c r="W76" s="7" t="s">
        <x:v>58</x:v>
      </x:c>
      <x:c r="X76" s="7" t="s">
        <x:v>2146</x:v>
      </x:c>
      <x:c r="Y76" s="7" t="s">
        <x:v>1157</x:v>
      </x:c>
      <x:c r="Z76" s="7" t="s">
        <x:v>2111</x:v>
      </x:c>
      <x:c r="AA76" s="7" t="s">
        <x:v>58</x:v>
      </x:c>
      <x:c r="AB76" s="8" t="s">
        <x:v>58</x:v>
      </x:c>
      <x:c r="AC76" s="8" t="s">
        <x:v>58</x:v>
      </x:c>
      <x:c r="AD76" s="8" t="s">
        <x:v>58</x:v>
      </x:c>
      <x:c r="AE76" s="8" t="s">
        <x:v>58</x:v>
      </x:c>
      <x:c r="AF76" s="8" t="s">
        <x:v>58</x:v>
      </x:c>
      <x:c r="AG76" s="7" t="s">
        <x:v>58</x:v>
      </x:c>
    </x:row>
    <x:row r="77" ht="79.5" hidden="0" customHeight="1">
      <x:c r="A77" s="7" t="s">
        <x:v>2163</x:v>
      </x:c>
      <x:c r="B77" s="7" t="s">
        <x:v>94</x:v>
      </x:c>
      <x:c r="C77" s="7" t="s">
        <x:v>96</x:v>
      </x:c>
      <x:c r="D77" s="7" t="s">
        <x:v>2006</x:v>
      </x:c>
      <x:c r="E77" s="7" t="s">
        <x:v>2164</x:v>
      </x:c>
      <x:c r="F77" s="7" t="s">
        <x:v>1929</x:v>
      </x:c>
      <x:c r="G77" s="8" t="n">
        <x:v>22</x:v>
      </x:c>
      <x:c r="H77" s="8" t="n">
        <x:v>4</x:v>
      </x:c>
      <x:c r="I77" s="8" t="s">
        <x:v>58</x:v>
      </x:c>
      <x:c r="J77" s="7" t="s">
        <x:v>1919</x:v>
      </x:c>
      <x:c r="K77" s="8" t="n">
        <x:v>1</x:v>
      </x:c>
      <x:c r="L77" s="8" t="n">
        <x:f aca="0">IF(AND(ISNUMBER(G77),P77&lt;&gt;"Unresolved unit / layout"),G77*K77,"Not applicable")</x:f>
        <x:v>22</x:v>
      </x:c>
      <x:c r="M77" s="8" t="n">
        <x:f aca="0">IF(AND(ISNUMBER(H77),P77&lt;&gt;"Unresolved unit / layout"),H77*K77,"Not applicable")</x:f>
        <x:v>4</x:v>
      </x:c>
      <x:c r="N77" s="8" t="str">
        <x:f aca="0">IF(AND(ISNUMBER(I77),P77&lt;&gt;"Unresolved unit / layout"),I77*K77,"Not applicable")</x:f>
        <x:v>Not applicable</x:v>
      </x:c>
      <x:c r="O77" s="7" t="s">
        <x:v>1929</x:v>
      </x:c>
      <x:c r="P77" s="7" t="s">
        <x:v>1921</x:v>
      </x:c>
      <x:c r="Q77" s="7" t="s">
        <x:v>1930</x:v>
      </x:c>
      <x:c r="R77" s="7" t="s">
        <x:v>2003</x:v>
      </x:c>
      <x:c r="S77" s="7" t="s">
        <x:v>2077</x:v>
      </x:c>
      <x:c r="T77" s="7" t="s">
        <x:v>2078</x:v>
      </x:c>
      <x:c r="U77" s="7" t="s">
        <x:v>53</x:v>
      </x:c>
      <x:c r="V77" s="7" t="s">
        <x:v>1999</x:v>
      </x:c>
      <x:c r="W77" s="7" t="s">
        <x:v>58</x:v>
      </x:c>
      <x:c r="X77" s="7" t="s">
        <x:v>2146</x:v>
      </x:c>
      <x:c r="Y77" s="7" t="s">
        <x:v>1157</x:v>
      </x:c>
      <x:c r="Z77" s="7" t="s">
        <x:v>2114</x:v>
      </x:c>
      <x:c r="AA77" s="7" t="s">
        <x:v>58</x:v>
      </x:c>
      <x:c r="AB77" s="8" t="s">
        <x:v>58</x:v>
      </x:c>
      <x:c r="AC77" s="8" t="s">
        <x:v>58</x:v>
      </x:c>
      <x:c r="AD77" s="8" t="s">
        <x:v>58</x:v>
      </x:c>
      <x:c r="AE77" s="8" t="s">
        <x:v>58</x:v>
      </x:c>
      <x:c r="AF77" s="8" t="s">
        <x:v>58</x:v>
      </x:c>
      <x:c r="AG77" s="7" t="s">
        <x:v>58</x:v>
      </x:c>
    </x:row>
    <x:row r="78" ht="79.5" hidden="0" customHeight="1">
      <x:c r="A78" s="7" t="s">
        <x:v>2165</x:v>
      </x:c>
      <x:c r="B78" s="7" t="s">
        <x:v>94</x:v>
      </x:c>
      <x:c r="C78" s="7" t="s">
        <x:v>96</x:v>
      </x:c>
      <x:c r="D78" s="7" t="s">
        <x:v>1940</x:v>
      </x:c>
      <x:c r="E78" s="7" t="s">
        <x:v>2166</x:v>
      </x:c>
      <x:c r="F78" s="7" t="s">
        <x:v>1942</x:v>
      </x:c>
      <x:c r="G78" s="8" t="n">
        <x:v>14.8</x:v>
      </x:c>
      <x:c r="H78" s="8" t="n">
        <x:v>4.2</x:v>
      </x:c>
      <x:c r="I78" s="8" t="s">
        <x:v>58</x:v>
      </x:c>
      <x:c r="J78" s="7" t="s">
        <x:v>1919</x:v>
      </x:c>
      <x:c r="K78" s="8" t="n">
        <x:v>1</x:v>
      </x:c>
      <x:c r="L78" s="8" t="n">
        <x:f aca="0">IF(AND(ISNUMBER(G78),P78&lt;&gt;"Unresolved unit / layout"),G78*K78,"Not applicable")</x:f>
        <x:v>14.8</x:v>
      </x:c>
      <x:c r="M78" s="8" t="n">
        <x:f aca="0">IF(AND(ISNUMBER(H78),P78&lt;&gt;"Unresolved unit / layout"),H78*K78,"Not applicable")</x:f>
        <x:v>4.2</x:v>
      </x:c>
      <x:c r="N78" s="8" t="str">
        <x:f aca="0">IF(AND(ISNUMBER(I78),P78&lt;&gt;"Unresolved unit / layout"),I78*K78,"Not applicable")</x:f>
        <x:v>Not applicable</x:v>
      </x:c>
      <x:c r="O78" s="7" t="s">
        <x:v>1942</x:v>
      </x:c>
      <x:c r="P78" s="7" t="s">
        <x:v>1921</x:v>
      </x:c>
      <x:c r="Q78" s="7" t="s">
        <x:v>1930</x:v>
      </x:c>
      <x:c r="R78" s="7" t="s">
        <x:v>1931</x:v>
      </x:c>
      <x:c r="S78" s="7" t="s">
        <x:v>2077</x:v>
      </x:c>
      <x:c r="T78" s="7" t="s">
        <x:v>2078</x:v>
      </x:c>
      <x:c r="U78" s="7" t="s">
        <x:v>53</x:v>
      </x:c>
      <x:c r="V78" s="7" t="s">
        <x:v>1999</x:v>
      </x:c>
      <x:c r="W78" s="7" t="s">
        <x:v>58</x:v>
      </x:c>
      <x:c r="X78" s="7" t="s">
        <x:v>2146</x:v>
      </x:c>
      <x:c r="Y78" s="7" t="s">
        <x:v>1157</x:v>
      </x:c>
      <x:c r="Z78" s="7" t="s">
        <x:v>2117</x:v>
      </x:c>
      <x:c r="AA78" s="7" t="s">
        <x:v>58</x:v>
      </x:c>
      <x:c r="AB78" s="8" t="s">
        <x:v>58</x:v>
      </x:c>
      <x:c r="AC78" s="8" t="s">
        <x:v>58</x:v>
      </x:c>
      <x:c r="AD78" s="8" t="s">
        <x:v>58</x:v>
      </x:c>
      <x:c r="AE78" s="8" t="s">
        <x:v>58</x:v>
      </x:c>
      <x:c r="AF78" s="8" t="s">
        <x:v>58</x:v>
      </x:c>
      <x:c r="AG78" s="7" t="s">
        <x:v>58</x:v>
      </x:c>
    </x:row>
    <x:row r="79" ht="79.5" hidden="0" customHeight="1">
      <x:c r="A79" s="7" t="s">
        <x:v>2167</x:v>
      </x:c>
      <x:c r="B79" s="7" t="s">
        <x:v>94</x:v>
      </x:c>
      <x:c r="C79" s="7" t="s">
        <x:v>96</x:v>
      </x:c>
      <x:c r="D79" s="7" t="s">
        <x:v>1940</x:v>
      </x:c>
      <x:c r="E79" s="7" t="s">
        <x:v>2168</x:v>
      </x:c>
      <x:c r="F79" s="7" t="s">
        <x:v>1942</x:v>
      </x:c>
      <x:c r="G79" s="8" t="n">
        <x:v>4.8</x:v>
      </x:c>
      <x:c r="H79" s="8" t="n">
        <x:v>1.7</x:v>
      </x:c>
      <x:c r="I79" s="8" t="s">
        <x:v>58</x:v>
      </x:c>
      <x:c r="J79" s="7" t="s">
        <x:v>1919</x:v>
      </x:c>
      <x:c r="K79" s="8" t="n">
        <x:v>1</x:v>
      </x:c>
      <x:c r="L79" s="8" t="n">
        <x:f aca="0">IF(AND(ISNUMBER(G79),P79&lt;&gt;"Unresolved unit / layout"),G79*K79,"Not applicable")</x:f>
        <x:v>4.8</x:v>
      </x:c>
      <x:c r="M79" s="8" t="n">
        <x:f aca="0">IF(AND(ISNUMBER(H79),P79&lt;&gt;"Unresolved unit / layout"),H79*K79,"Not applicable")</x:f>
        <x:v>1.7</x:v>
      </x:c>
      <x:c r="N79" s="8" t="str">
        <x:f aca="0">IF(AND(ISNUMBER(I79),P79&lt;&gt;"Unresolved unit / layout"),I79*K79,"Not applicable")</x:f>
        <x:v>Not applicable</x:v>
      </x:c>
      <x:c r="O79" s="7" t="s">
        <x:v>1942</x:v>
      </x:c>
      <x:c r="P79" s="7" t="s">
        <x:v>1921</x:v>
      </x:c>
      <x:c r="Q79" s="7" t="s">
        <x:v>1930</x:v>
      </x:c>
      <x:c r="R79" s="7" t="s">
        <x:v>2003</x:v>
      </x:c>
      <x:c r="S79" s="7" t="s">
        <x:v>2077</x:v>
      </x:c>
      <x:c r="T79" s="7" t="s">
        <x:v>2078</x:v>
      </x:c>
      <x:c r="U79" s="7" t="s">
        <x:v>53</x:v>
      </x:c>
      <x:c r="V79" s="7" t="s">
        <x:v>1999</x:v>
      </x:c>
      <x:c r="W79" s="7" t="s">
        <x:v>58</x:v>
      </x:c>
      <x:c r="X79" s="7" t="s">
        <x:v>2146</x:v>
      </x:c>
      <x:c r="Y79" s="7" t="s">
        <x:v>1157</x:v>
      </x:c>
      <x:c r="Z79" s="7" t="s">
        <x:v>2120</x:v>
      </x:c>
      <x:c r="AA79" s="7" t="s">
        <x:v>58</x:v>
      </x:c>
      <x:c r="AB79" s="8" t="s">
        <x:v>58</x:v>
      </x:c>
      <x:c r="AC79" s="8" t="s">
        <x:v>58</x:v>
      </x:c>
      <x:c r="AD79" s="8" t="s">
        <x:v>58</x:v>
      </x:c>
      <x:c r="AE79" s="8" t="s">
        <x:v>58</x:v>
      </x:c>
      <x:c r="AF79" s="8" t="s">
        <x:v>58</x:v>
      </x:c>
      <x:c r="AG79" s="7" t="s">
        <x:v>58</x:v>
      </x:c>
    </x:row>
    <x:row r="80" ht="79.5" hidden="0" customHeight="1">
      <x:c r="A80" s="7" t="s">
        <x:v>2169</x:v>
      </x:c>
      <x:c r="B80" s="7" t="s">
        <x:v>94</x:v>
      </x:c>
      <x:c r="C80" s="7" t="s">
        <x:v>96</x:v>
      </x:c>
      <x:c r="D80" s="7" t="s">
        <x:v>1950</x:v>
      </x:c>
      <x:c r="E80" s="7" t="s">
        <x:v>2170</x:v>
      </x:c>
      <x:c r="F80" s="7" t="s">
        <x:v>1929</x:v>
      </x:c>
      <x:c r="G80" s="8" t="n">
        <x:v>2360</x:v>
      </x:c>
      <x:c r="H80" s="8" t="n">
        <x:v>250</x:v>
      </x:c>
      <x:c r="I80" s="8" t="s">
        <x:v>58</x:v>
      </x:c>
      <x:c r="J80" s="7" t="s">
        <x:v>1919</x:v>
      </x:c>
      <x:c r="K80" s="8" t="n">
        <x:v>0.001</x:v>
      </x:c>
      <x:c r="L80" s="8" t="n">
        <x:f aca="0">IF(AND(ISNUMBER(G80),P80&lt;&gt;"Unresolved unit / layout"),G80*K80,"Not applicable")</x:f>
        <x:v>2.36</x:v>
      </x:c>
      <x:c r="M80" s="8" t="n">
        <x:f aca="0">IF(AND(ISNUMBER(H80),P80&lt;&gt;"Unresolved unit / layout"),H80*K80,"Not applicable")</x:f>
        <x:v>0.25</x:v>
      </x:c>
      <x:c r="N80" s="8" t="str">
        <x:f aca="0">IF(AND(ISNUMBER(I80),P80&lt;&gt;"Unresolved unit / layout"),I80*K80,"Not applicable")</x:f>
        <x:v>Not applicable</x:v>
      </x:c>
      <x:c r="O80" s="7" t="s">
        <x:v>1937</x:v>
      </x:c>
      <x:c r="P80" s="7" t="s">
        <x:v>1921</x:v>
      </x:c>
      <x:c r="Q80" s="7" t="s">
        <x:v>1930</x:v>
      </x:c>
      <x:c r="R80" s="7" t="s">
        <x:v>1931</x:v>
      </x:c>
      <x:c r="S80" s="7" t="s">
        <x:v>2077</x:v>
      </x:c>
      <x:c r="T80" s="7" t="s">
        <x:v>2078</x:v>
      </x:c>
      <x:c r="U80" s="7" t="s">
        <x:v>53</x:v>
      </x:c>
      <x:c r="V80" s="7" t="s">
        <x:v>2020</x:v>
      </x:c>
      <x:c r="W80" s="7" t="s">
        <x:v>58</x:v>
      </x:c>
      <x:c r="X80" s="7" t="s">
        <x:v>2146</x:v>
      </x:c>
      <x:c r="Y80" s="7" t="s">
        <x:v>1157</x:v>
      </x:c>
      <x:c r="Z80" s="7" t="s">
        <x:v>2123</x:v>
      </x:c>
      <x:c r="AA80" s="7" t="s">
        <x:v>58</x:v>
      </x:c>
      <x:c r="AB80" s="8" t="s">
        <x:v>58</x:v>
      </x:c>
      <x:c r="AC80" s="8" t="s">
        <x:v>58</x:v>
      </x:c>
      <x:c r="AD80" s="8" t="s">
        <x:v>58</x:v>
      </x:c>
      <x:c r="AE80" s="8" t="s">
        <x:v>58</x:v>
      </x:c>
      <x:c r="AF80" s="8" t="s">
        <x:v>58</x:v>
      </x:c>
      <x:c r="AG80" s="7" t="s">
        <x:v>58</x:v>
      </x:c>
    </x:row>
    <x:row r="81" ht="79.5" hidden="0" customHeight="1">
      <x:c r="A81" s="7" t="s">
        <x:v>2171</x:v>
      </x:c>
      <x:c r="B81" s="7" t="s">
        <x:v>94</x:v>
      </x:c>
      <x:c r="C81" s="7" t="s">
        <x:v>96</x:v>
      </x:c>
      <x:c r="D81" s="7" t="s">
        <x:v>1950</x:v>
      </x:c>
      <x:c r="E81" s="7" t="s">
        <x:v>2172</x:v>
      </x:c>
      <x:c r="F81" s="7" t="s">
        <x:v>1929</x:v>
      </x:c>
      <x:c r="G81" s="8" t="n">
        <x:v>1770</x:v>
      </x:c>
      <x:c r="H81" s="8" t="n">
        <x:v>210</x:v>
      </x:c>
      <x:c r="I81" s="8" t="s">
        <x:v>58</x:v>
      </x:c>
      <x:c r="J81" s="7" t="s">
        <x:v>1919</x:v>
      </x:c>
      <x:c r="K81" s="8" t="n">
        <x:v>0.001</x:v>
      </x:c>
      <x:c r="L81" s="8" t="n">
        <x:f aca="0">IF(AND(ISNUMBER(G81),P81&lt;&gt;"Unresolved unit / layout"),G81*K81,"Not applicable")</x:f>
        <x:v>1.77</x:v>
      </x:c>
      <x:c r="M81" s="8" t="n">
        <x:f aca="0">IF(AND(ISNUMBER(H81),P81&lt;&gt;"Unresolved unit / layout"),H81*K81,"Not applicable")</x:f>
        <x:v>0.21</x:v>
      </x:c>
      <x:c r="N81" s="8" t="str">
        <x:f aca="0">IF(AND(ISNUMBER(I81),P81&lt;&gt;"Unresolved unit / layout"),I81*K81,"Not applicable")</x:f>
        <x:v>Not applicable</x:v>
      </x:c>
      <x:c r="O81" s="7" t="s">
        <x:v>1937</x:v>
      </x:c>
      <x:c r="P81" s="7" t="s">
        <x:v>1921</x:v>
      </x:c>
      <x:c r="Q81" s="7" t="s">
        <x:v>1930</x:v>
      </x:c>
      <x:c r="R81" s="7" t="s">
        <x:v>2003</x:v>
      </x:c>
      <x:c r="S81" s="7" t="s">
        <x:v>2077</x:v>
      </x:c>
      <x:c r="T81" s="7" t="s">
        <x:v>2078</x:v>
      </x:c>
      <x:c r="U81" s="7" t="s">
        <x:v>53</x:v>
      </x:c>
      <x:c r="V81" s="7" t="s">
        <x:v>2020</x:v>
      </x:c>
      <x:c r="W81" s="7" t="s">
        <x:v>58</x:v>
      </x:c>
      <x:c r="X81" s="7" t="s">
        <x:v>2146</x:v>
      </x:c>
      <x:c r="Y81" s="7" t="s">
        <x:v>1157</x:v>
      </x:c>
      <x:c r="Z81" s="7" t="s">
        <x:v>2126</x:v>
      </x:c>
      <x:c r="AA81" s="7" t="s">
        <x:v>58</x:v>
      </x:c>
      <x:c r="AB81" s="8" t="s">
        <x:v>58</x:v>
      </x:c>
      <x:c r="AC81" s="8" t="s">
        <x:v>58</x:v>
      </x:c>
      <x:c r="AD81" s="8" t="s">
        <x:v>58</x:v>
      </x:c>
      <x:c r="AE81" s="8" t="s">
        <x:v>58</x:v>
      </x:c>
      <x:c r="AF81" s="8" t="s">
        <x:v>58</x:v>
      </x:c>
      <x:c r="AG81" s="7" t="s">
        <x:v>58</x:v>
      </x:c>
    </x:row>
    <x:row r="82" ht="79.5" hidden="0" customHeight="1">
      <x:c r="A82" s="7" t="s">
        <x:v>2173</x:v>
      </x:c>
      <x:c r="B82" s="7" t="s">
        <x:v>94</x:v>
      </x:c>
      <x:c r="C82" s="7" t="s">
        <x:v>96</x:v>
      </x:c>
      <x:c r="D82" s="7" t="s">
        <x:v>1945</x:v>
      </x:c>
      <x:c r="E82" s="7" t="s">
        <x:v>2174</x:v>
      </x:c>
      <x:c r="F82" s="7" t="s">
        <x:v>1929</x:v>
      </x:c>
      <x:c r="G82" s="8" t="n">
        <x:v>53</x:v>
      </x:c>
      <x:c r="H82" s="8" t="n">
        <x:v>6</x:v>
      </x:c>
      <x:c r="I82" s="8" t="s">
        <x:v>58</x:v>
      </x:c>
      <x:c r="J82" s="7" t="s">
        <x:v>1919</x:v>
      </x:c>
      <x:c r="K82" s="8" t="n">
        <x:v>1</x:v>
      </x:c>
      <x:c r="L82" s="8" t="n">
        <x:f aca="0">IF(AND(ISNUMBER(G82),P82&lt;&gt;"Unresolved unit / layout"),G82*K82,"Not applicable")</x:f>
        <x:v>53</x:v>
      </x:c>
      <x:c r="M82" s="8" t="n">
        <x:f aca="0">IF(AND(ISNUMBER(H82),P82&lt;&gt;"Unresolved unit / layout"),H82*K82,"Not applicable")</x:f>
        <x:v>6</x:v>
      </x:c>
      <x:c r="N82" s="8" t="str">
        <x:f aca="0">IF(AND(ISNUMBER(I82),P82&lt;&gt;"Unresolved unit / layout"),I82*K82,"Not applicable")</x:f>
        <x:v>Not applicable</x:v>
      </x:c>
      <x:c r="O82" s="7" t="s">
        <x:v>1929</x:v>
      </x:c>
      <x:c r="P82" s="7" t="s">
        <x:v>1921</x:v>
      </x:c>
      <x:c r="Q82" s="7" t="s">
        <x:v>1930</x:v>
      </x:c>
      <x:c r="R82" s="7" t="s">
        <x:v>1931</x:v>
      </x:c>
      <x:c r="S82" s="7" t="s">
        <x:v>2077</x:v>
      </x:c>
      <x:c r="T82" s="7" t="s">
        <x:v>2078</x:v>
      </x:c>
      <x:c r="U82" s="7" t="s">
        <x:v>53</x:v>
      </x:c>
      <x:c r="V82" s="7" t="s">
        <x:v>2020</x:v>
      </x:c>
      <x:c r="W82" s="7" t="s">
        <x:v>58</x:v>
      </x:c>
      <x:c r="X82" s="7" t="s">
        <x:v>2146</x:v>
      </x:c>
      <x:c r="Y82" s="7" t="s">
        <x:v>1157</x:v>
      </x:c>
      <x:c r="Z82" s="7" t="s">
        <x:v>2129</x:v>
      </x:c>
      <x:c r="AA82" s="7" t="s">
        <x:v>58</x:v>
      </x:c>
      <x:c r="AB82" s="8" t="s">
        <x:v>58</x:v>
      </x:c>
      <x:c r="AC82" s="8" t="s">
        <x:v>58</x:v>
      </x:c>
      <x:c r="AD82" s="8" t="s">
        <x:v>58</x:v>
      </x:c>
      <x:c r="AE82" s="8" t="s">
        <x:v>58</x:v>
      </x:c>
      <x:c r="AF82" s="8" t="s">
        <x:v>58</x:v>
      </x:c>
      <x:c r="AG82" s="7" t="s">
        <x:v>58</x:v>
      </x:c>
    </x:row>
    <x:row r="83" ht="79.5" hidden="0" customHeight="1">
      <x:c r="A83" s="7" t="s">
        <x:v>2175</x:v>
      </x:c>
      <x:c r="B83" s="7" t="s">
        <x:v>94</x:v>
      </x:c>
      <x:c r="C83" s="7" t="s">
        <x:v>96</x:v>
      </x:c>
      <x:c r="D83" s="7" t="s">
        <x:v>1945</x:v>
      </x:c>
      <x:c r="E83" s="7" t="s">
        <x:v>2176</x:v>
      </x:c>
      <x:c r="F83" s="7" t="s">
        <x:v>1929</x:v>
      </x:c>
      <x:c r="G83" s="8" t="n">
        <x:v>29</x:v>
      </x:c>
      <x:c r="H83" s="8" t="n">
        <x:v>5</x:v>
      </x:c>
      <x:c r="I83" s="8" t="s">
        <x:v>58</x:v>
      </x:c>
      <x:c r="J83" s="7" t="s">
        <x:v>1919</x:v>
      </x:c>
      <x:c r="K83" s="8" t="n">
        <x:v>1</x:v>
      </x:c>
      <x:c r="L83" s="8" t="n">
        <x:f aca="0">IF(AND(ISNUMBER(G83),P83&lt;&gt;"Unresolved unit / layout"),G83*K83,"Not applicable")</x:f>
        <x:v>29</x:v>
      </x:c>
      <x:c r="M83" s="8" t="n">
        <x:f aca="0">IF(AND(ISNUMBER(H83),P83&lt;&gt;"Unresolved unit / layout"),H83*K83,"Not applicable")</x:f>
        <x:v>5</x:v>
      </x:c>
      <x:c r="N83" s="8" t="str">
        <x:f aca="0">IF(AND(ISNUMBER(I83),P83&lt;&gt;"Unresolved unit / layout"),I83*K83,"Not applicable")</x:f>
        <x:v>Not applicable</x:v>
      </x:c>
      <x:c r="O83" s="7" t="s">
        <x:v>1929</x:v>
      </x:c>
      <x:c r="P83" s="7" t="s">
        <x:v>1921</x:v>
      </x:c>
      <x:c r="Q83" s="7" t="s">
        <x:v>1930</x:v>
      </x:c>
      <x:c r="R83" s="7" t="s">
        <x:v>2003</x:v>
      </x:c>
      <x:c r="S83" s="7" t="s">
        <x:v>2077</x:v>
      </x:c>
      <x:c r="T83" s="7" t="s">
        <x:v>2078</x:v>
      </x:c>
      <x:c r="U83" s="7" t="s">
        <x:v>53</x:v>
      </x:c>
      <x:c r="V83" s="7" t="s">
        <x:v>2020</x:v>
      </x:c>
      <x:c r="W83" s="7" t="s">
        <x:v>58</x:v>
      </x:c>
      <x:c r="X83" s="7" t="s">
        <x:v>2146</x:v>
      </x:c>
      <x:c r="Y83" s="7" t="s">
        <x:v>1157</x:v>
      </x:c>
      <x:c r="Z83" s="7" t="s">
        <x:v>2132</x:v>
      </x:c>
      <x:c r="AA83" s="7" t="s">
        <x:v>58</x:v>
      </x:c>
      <x:c r="AB83" s="8" t="s">
        <x:v>58</x:v>
      </x:c>
      <x:c r="AC83" s="8" t="s">
        <x:v>58</x:v>
      </x:c>
      <x:c r="AD83" s="8" t="s">
        <x:v>58</x:v>
      </x:c>
      <x:c r="AE83" s="8" t="s">
        <x:v>58</x:v>
      </x:c>
      <x:c r="AF83" s="8" t="s">
        <x:v>58</x:v>
      </x:c>
      <x:c r="AG83" s="7" t="s">
        <x:v>58</x:v>
      </x:c>
    </x:row>
    <x:row r="84" ht="79.5" hidden="0" customHeight="1">
      <x:c r="A84" s="7" t="s">
        <x:v>2177</x:v>
      </x:c>
      <x:c r="B84" s="7" t="s">
        <x:v>94</x:v>
      </x:c>
      <x:c r="C84" s="7" t="s">
        <x:v>96</x:v>
      </x:c>
      <x:c r="D84" s="7" t="s">
        <x:v>2030</x:v>
      </x:c>
      <x:c r="E84" s="7" t="s">
        <x:v>2178</x:v>
      </x:c>
      <x:c r="F84" s="7" t="s">
        <x:v>2033</x:v>
      </x:c>
      <x:c r="G84" s="8" t="n">
        <x:v>19.2</x:v>
      </x:c>
      <x:c r="H84" s="8" t="n">
        <x:v>3.7</x:v>
      </x:c>
      <x:c r="I84" s="8" t="s">
        <x:v>58</x:v>
      </x:c>
      <x:c r="J84" s="7" t="s">
        <x:v>1919</x:v>
      </x:c>
      <x:c r="K84" s="8" t="n">
        <x:v>1</x:v>
      </x:c>
      <x:c r="L84" s="8" t="n">
        <x:f aca="0">IF(AND(ISNUMBER(G84),P84&lt;&gt;"Unresolved unit / layout"),G84*K84,"Not applicable")</x:f>
        <x:v>19.2</x:v>
      </x:c>
      <x:c r="M84" s="8" t="n">
        <x:f aca="0">IF(AND(ISNUMBER(H84),P84&lt;&gt;"Unresolved unit / layout"),H84*K84,"Not applicable")</x:f>
        <x:v>3.7</x:v>
      </x:c>
      <x:c r="N84" s="8" t="str">
        <x:f aca="0">IF(AND(ISNUMBER(I84),P84&lt;&gt;"Unresolved unit / layout"),I84*K84,"Not applicable")</x:f>
        <x:v>Not applicable</x:v>
      </x:c>
      <x:c r="O84" s="7" t="s">
        <x:v>2033</x:v>
      </x:c>
      <x:c r="P84" s="7" t="s">
        <x:v>1921</x:v>
      </x:c>
      <x:c r="Q84" s="7" t="s">
        <x:v>1930</x:v>
      </x:c>
      <x:c r="R84" s="7" t="s">
        <x:v>1931</x:v>
      </x:c>
      <x:c r="S84" s="7" t="s">
        <x:v>2077</x:v>
      </x:c>
      <x:c r="T84" s="7" t="s">
        <x:v>2078</x:v>
      </x:c>
      <x:c r="U84" s="7" t="s">
        <x:v>53</x:v>
      </x:c>
      <x:c r="V84" s="7" t="s">
        <x:v>2036</x:v>
      </x:c>
      <x:c r="W84" s="7" t="s">
        <x:v>53</x:v>
      </x:c>
      <x:c r="X84" s="7" t="s">
        <x:v>2146</x:v>
      </x:c>
      <x:c r="Y84" s="7" t="s">
        <x:v>1157</x:v>
      </x:c>
      <x:c r="Z84" s="7" t="s">
        <x:v>2179</x:v>
      </x:c>
      <x:c r="AA84" s="7" t="s">
        <x:v>58</x:v>
      </x:c>
      <x:c r="AB84" s="8" t="s">
        <x:v>58</x:v>
      </x:c>
      <x:c r="AC84" s="8" t="s">
        <x:v>58</x:v>
      </x:c>
      <x:c r="AD84" s="8" t="s">
        <x:v>58</x:v>
      </x:c>
      <x:c r="AE84" s="8" t="s">
        <x:v>58</x:v>
      </x:c>
      <x:c r="AF84" s="8" t="s">
        <x:v>58</x:v>
      </x:c>
      <x:c r="AG84" s="7" t="s">
        <x:v>58</x:v>
      </x:c>
    </x:row>
    <x:row r="85" ht="79.5" hidden="0" customHeight="1">
      <x:c r="A85" s="7" t="s">
        <x:v>2180</x:v>
      </x:c>
      <x:c r="B85" s="7" t="s">
        <x:v>94</x:v>
      </x:c>
      <x:c r="C85" s="7" t="s">
        <x:v>96</x:v>
      </x:c>
      <x:c r="D85" s="7" t="s">
        <x:v>2030</x:v>
      </x:c>
      <x:c r="E85" s="7" t="s">
        <x:v>2181</x:v>
      </x:c>
      <x:c r="F85" s="7" t="s">
        <x:v>2033</x:v>
      </x:c>
      <x:c r="G85" s="8" t="n">
        <x:v>6.6</x:v>
      </x:c>
      <x:c r="H85" s="8" t="n">
        <x:v>1.1</x:v>
      </x:c>
      <x:c r="I85" s="8" t="s">
        <x:v>58</x:v>
      </x:c>
      <x:c r="J85" s="7" t="s">
        <x:v>1919</x:v>
      </x:c>
      <x:c r="K85" s="8" t="n">
        <x:v>1</x:v>
      </x:c>
      <x:c r="L85" s="8" t="n">
        <x:f aca="0">IF(AND(ISNUMBER(G85),P85&lt;&gt;"Unresolved unit / layout"),G85*K85,"Not applicable")</x:f>
        <x:v>6.6</x:v>
      </x:c>
      <x:c r="M85" s="8" t="n">
        <x:f aca="0">IF(AND(ISNUMBER(H85),P85&lt;&gt;"Unresolved unit / layout"),H85*K85,"Not applicable")</x:f>
        <x:v>1.1</x:v>
      </x:c>
      <x:c r="N85" s="8" t="str">
        <x:f aca="0">IF(AND(ISNUMBER(I85),P85&lt;&gt;"Unresolved unit / layout"),I85*K85,"Not applicable")</x:f>
        <x:v>Not applicable</x:v>
      </x:c>
      <x:c r="O85" s="7" t="s">
        <x:v>2033</x:v>
      </x:c>
      <x:c r="P85" s="7" t="s">
        <x:v>1921</x:v>
      </x:c>
      <x:c r="Q85" s="7" t="s">
        <x:v>1930</x:v>
      </x:c>
      <x:c r="R85" s="7" t="s">
        <x:v>2003</x:v>
      </x:c>
      <x:c r="S85" s="7" t="s">
        <x:v>2077</x:v>
      </x:c>
      <x:c r="T85" s="7" t="s">
        <x:v>2078</x:v>
      </x:c>
      <x:c r="U85" s="7" t="s">
        <x:v>53</x:v>
      </x:c>
      <x:c r="V85" s="7" t="s">
        <x:v>2036</x:v>
      </x:c>
      <x:c r="W85" s="7" t="s">
        <x:v>53</x:v>
      </x:c>
      <x:c r="X85" s="7" t="s">
        <x:v>2146</x:v>
      </x:c>
      <x:c r="Y85" s="7" t="s">
        <x:v>1157</x:v>
      </x:c>
      <x:c r="Z85" s="7" t="s">
        <x:v>2143</x:v>
      </x:c>
      <x:c r="AA85" s="7" t="s">
        <x:v>58</x:v>
      </x:c>
      <x:c r="AB85" s="8" t="s">
        <x:v>58</x:v>
      </x:c>
      <x:c r="AC85" s="8" t="s">
        <x:v>58</x:v>
      </x:c>
      <x:c r="AD85" s="8" t="s">
        <x:v>58</x:v>
      </x:c>
      <x:c r="AE85" s="8" t="s">
        <x:v>58</x:v>
      </x:c>
      <x:c r="AF85" s="8" t="s">
        <x:v>58</x:v>
      </x:c>
      <x:c r="AG85" s="7" t="s">
        <x:v>58</x:v>
      </x:c>
    </x:row>
    <x:row r="86" ht="79.5" hidden="0" customHeight="1">
      <x:c r="A86" s="7" t="s">
        <x:v>2182</x:v>
      </x:c>
      <x:c r="B86" s="7" t="s">
        <x:v>111</x:v>
      </x:c>
      <x:c r="C86" s="7" t="s">
        <x:v>113</x:v>
      </x:c>
      <x:c r="D86" s="7" t="s">
        <x:v>1916</x:v>
      </x:c>
      <x:c r="E86" s="7" t="s">
        <x:v>2075</x:v>
      </x:c>
      <x:c r="F86" s="7" t="s">
        <x:v>2076</x:v>
      </x:c>
      <x:c r="G86" s="8" t="n">
        <x:v>1.24</x:v>
      </x:c>
      <x:c r="H86" s="8" t="s">
        <x:v>58</x:v>
      </x:c>
      <x:c r="I86" s="8" t="s">
        <x:v>58</x:v>
      </x:c>
      <x:c r="J86" s="7" t="s">
        <x:v>1919</x:v>
      </x:c>
      <x:c r="K86" s="8" t="n">
        <x:v>1000</x:v>
      </x:c>
      <x:c r="L86" s="8" t="n">
        <x:f aca="0">IF(AND(ISNUMBER(G86),P86&lt;&gt;"Unresolved unit / layout"),G86*K86,"Not applicable")</x:f>
        <x:v>1240</x:v>
      </x:c>
      <x:c r="M86" s="8" t="str">
        <x:f aca="0">IF(AND(ISNUMBER(H86),P86&lt;&gt;"Unresolved unit / layout"),H86*K86,"Not applicable")</x:f>
        <x:v>Not applicable</x:v>
      </x:c>
      <x:c r="N86" s="8" t="str">
        <x:f aca="0">IF(AND(ISNUMBER(I86),P86&lt;&gt;"Unresolved unit / layout"),I86*K86,"Not applicable")</x:f>
        <x:v>Not applicable</x:v>
      </x:c>
      <x:c r="O86" s="7" t="s">
        <x:v>1920</x:v>
      </x:c>
      <x:c r="P86" s="7" t="s">
        <x:v>1921</x:v>
      </x:c>
      <x:c r="Q86" s="7" t="s">
        <x:v>1922</x:v>
      </x:c>
      <x:c r="R86" s="7" t="s">
        <x:v>58</x:v>
      </x:c>
      <x:c r="S86" s="7" t="s">
        <x:v>2077</x:v>
      </x:c>
      <x:c r="T86" s="7" t="s">
        <x:v>2183</x:v>
      </x:c>
      <x:c r="U86" s="7" t="s">
        <x:v>53</x:v>
      </x:c>
      <x:c r="V86" s="7" t="s">
        <x:v>1923</x:v>
      </x:c>
      <x:c r="W86" s="7" t="s">
        <x:v>58</x:v>
      </x:c>
      <x:c r="X86" s="7" t="s">
        <x:v>2184</x:v>
      </x:c>
      <x:c r="Y86" s="7" t="s">
        <x:v>1158</x:v>
      </x:c>
      <x:c r="Z86" s="7" t="s">
        <x:v>1968</x:v>
      </x:c>
      <x:c r="AA86" s="7" t="s">
        <x:v>58</x:v>
      </x:c>
      <x:c r="AB86" s="8" t="s">
        <x:v>58</x:v>
      </x:c>
      <x:c r="AC86" s="8" t="s">
        <x:v>58</x:v>
      </x:c>
      <x:c r="AD86" s="8" t="s">
        <x:v>58</x:v>
      </x:c>
      <x:c r="AE86" s="8" t="s">
        <x:v>58</x:v>
      </x:c>
      <x:c r="AF86" s="8" t="s">
        <x:v>58</x:v>
      </x:c>
      <x:c r="AG86" s="7" t="s">
        <x:v>58</x:v>
      </x:c>
    </x:row>
    <x:row r="87" ht="79.5" hidden="0" customHeight="1">
      <x:c r="A87" s="7" t="s">
        <x:v>2185</x:v>
      </x:c>
      <x:c r="B87" s="7" t="s">
        <x:v>111</x:v>
      </x:c>
      <x:c r="C87" s="7" t="s">
        <x:v>113</x:v>
      </x:c>
      <x:c r="D87" s="7" t="s">
        <x:v>1974</x:v>
      </x:c>
      <x:c r="E87" s="7" t="s">
        <x:v>2081</x:v>
      </x:c>
      <x:c r="F87" s="7" t="s">
        <x:v>1956</x:v>
      </x:c>
      <x:c r="G87" s="8" t="n">
        <x:v>160</x:v>
      </x:c>
      <x:c r="H87" s="8" t="s">
        <x:v>58</x:v>
      </x:c>
      <x:c r="I87" s="8" t="s">
        <x:v>58</x:v>
      </x:c>
      <x:c r="J87" s="7" t="s">
        <x:v>1919</x:v>
      </x:c>
      <x:c r="K87" s="8" t="n">
        <x:v>1</x:v>
      </x:c>
      <x:c r="L87" s="8" t="n">
        <x:f aca="0">IF(AND(ISNUMBER(G87),P87&lt;&gt;"Unresolved unit / layout"),G87*K87,"Not applicable")</x:f>
        <x:v>160</x:v>
      </x:c>
      <x:c r="M87" s="8" t="str">
        <x:f aca="0">IF(AND(ISNUMBER(H87),P87&lt;&gt;"Unresolved unit / layout"),H87*K87,"Not applicable")</x:f>
        <x:v>Not applicable</x:v>
      </x:c>
      <x:c r="N87" s="8" t="str">
        <x:f aca="0">IF(AND(ISNUMBER(I87),P87&lt;&gt;"Unresolved unit / layout"),I87*K87,"Not applicable")</x:f>
        <x:v>Not applicable</x:v>
      </x:c>
      <x:c r="O87" s="7" t="s">
        <x:v>1956</x:v>
      </x:c>
      <x:c r="P87" s="7" t="s">
        <x:v>1921</x:v>
      </x:c>
      <x:c r="Q87" s="7" t="s">
        <x:v>1930</x:v>
      </x:c>
      <x:c r="R87" s="7" t="s">
        <x:v>58</x:v>
      </x:c>
      <x:c r="S87" s="7" t="s">
        <x:v>2077</x:v>
      </x:c>
      <x:c r="T87" s="7" t="s">
        <x:v>2183</x:v>
      </x:c>
      <x:c r="U87" s="7" t="s">
        <x:v>53</x:v>
      </x:c>
      <x:c r="V87" s="7" t="s">
        <x:v>2082</x:v>
      </x:c>
      <x:c r="W87" s="7" t="s">
        <x:v>58</x:v>
      </x:c>
      <x:c r="X87" s="7" t="s">
        <x:v>2184</x:v>
      </x:c>
      <x:c r="Y87" s="7" t="s">
        <x:v>1158</x:v>
      </x:c>
      <x:c r="Z87" s="7" t="s">
        <x:v>2083</x:v>
      </x:c>
      <x:c r="AA87" s="7" t="s">
        <x:v>58</x:v>
      </x:c>
      <x:c r="AB87" s="8" t="s">
        <x:v>58</x:v>
      </x:c>
      <x:c r="AC87" s="8" t="s">
        <x:v>58</x:v>
      </x:c>
      <x:c r="AD87" s="8" t="s">
        <x:v>58</x:v>
      </x:c>
      <x:c r="AE87" s="8" t="s">
        <x:v>58</x:v>
      </x:c>
      <x:c r="AF87" s="8" t="s">
        <x:v>58</x:v>
      </x:c>
      <x:c r="AG87" s="7" t="s">
        <x:v>58</x:v>
      </x:c>
    </x:row>
    <x:row r="88" ht="79.5" hidden="0" customHeight="1">
      <x:c r="A88" s="7" t="s">
        <x:v>2186</x:v>
      </x:c>
      <x:c r="B88" s="7" t="s">
        <x:v>111</x:v>
      </x:c>
      <x:c r="C88" s="7" t="s">
        <x:v>113</x:v>
      </x:c>
      <x:c r="D88" s="7" t="s">
        <x:v>1954</x:v>
      </x:c>
      <x:c r="E88" s="7" t="s">
        <x:v>2085</x:v>
      </x:c>
      <x:c r="F88" s="7" t="s">
        <x:v>1956</x:v>
      </x:c>
      <x:c r="G88" s="8" t="n">
        <x:v>60</x:v>
      </x:c>
      <x:c r="H88" s="8" t="s">
        <x:v>58</x:v>
      </x:c>
      <x:c r="I88" s="8" t="s">
        <x:v>58</x:v>
      </x:c>
      <x:c r="J88" s="7" t="s">
        <x:v>1919</x:v>
      </x:c>
      <x:c r="K88" s="8" t="n">
        <x:v>1</x:v>
      </x:c>
      <x:c r="L88" s="8" t="n">
        <x:f aca="0">IF(AND(ISNUMBER(G88),P88&lt;&gt;"Unresolved unit / layout"),G88*K88,"Not applicable")</x:f>
        <x:v>60</x:v>
      </x:c>
      <x:c r="M88" s="8" t="str">
        <x:f aca="0">IF(AND(ISNUMBER(H88),P88&lt;&gt;"Unresolved unit / layout"),H88*K88,"Not applicable")</x:f>
        <x:v>Not applicable</x:v>
      </x:c>
      <x:c r="N88" s="8" t="str">
        <x:f aca="0">IF(AND(ISNUMBER(I88),P88&lt;&gt;"Unresolved unit / layout"),I88*K88,"Not applicable")</x:f>
        <x:v>Not applicable</x:v>
      </x:c>
      <x:c r="O88" s="7" t="s">
        <x:v>1956</x:v>
      </x:c>
      <x:c r="P88" s="7" t="s">
        <x:v>1921</x:v>
      </x:c>
      <x:c r="Q88" s="7" t="s">
        <x:v>1930</x:v>
      </x:c>
      <x:c r="R88" s="7" t="s">
        <x:v>58</x:v>
      </x:c>
      <x:c r="S88" s="7" t="s">
        <x:v>2077</x:v>
      </x:c>
      <x:c r="T88" s="7" t="s">
        <x:v>2183</x:v>
      </x:c>
      <x:c r="U88" s="7" t="s">
        <x:v>53</x:v>
      </x:c>
      <x:c r="V88" s="7" t="s">
        <x:v>2082</x:v>
      </x:c>
      <x:c r="W88" s="7" t="s">
        <x:v>58</x:v>
      </x:c>
      <x:c r="X88" s="7" t="s">
        <x:v>2184</x:v>
      </x:c>
      <x:c r="Y88" s="7" t="s">
        <x:v>1158</x:v>
      </x:c>
      <x:c r="Z88" s="7" t="s">
        <x:v>2086</x:v>
      </x:c>
      <x:c r="AA88" s="7" t="s">
        <x:v>58</x:v>
      </x:c>
      <x:c r="AB88" s="8" t="s">
        <x:v>58</x:v>
      </x:c>
      <x:c r="AC88" s="8" t="s">
        <x:v>58</x:v>
      </x:c>
      <x:c r="AD88" s="8" t="s">
        <x:v>58</x:v>
      </x:c>
      <x:c r="AE88" s="8" t="s">
        <x:v>58</x:v>
      </x:c>
      <x:c r="AF88" s="8" t="s">
        <x:v>58</x:v>
      </x:c>
      <x:c r="AG88" s="7" t="s">
        <x:v>58</x:v>
      </x:c>
    </x:row>
    <x:row r="89" ht="79.5" hidden="0" customHeight="1">
      <x:c r="A89" s="7" t="s">
        <x:v>2187</x:v>
      </x:c>
      <x:c r="B89" s="7" t="s">
        <x:v>111</x:v>
      </x:c>
      <x:c r="C89" s="7" t="s">
        <x:v>113</x:v>
      </x:c>
      <x:c r="D89" s="7" t="s">
        <x:v>1978</x:v>
      </x:c>
      <x:c r="E89" s="7" t="s">
        <x:v>1995</x:v>
      </x:c>
      <x:c r="F89" s="7" t="s">
        <x:v>1956</x:v>
      </x:c>
      <x:c r="G89" s="8" t="s">
        <x:v>53</x:v>
      </x:c>
      <x:c r="H89" s="8" t="s">
        <x:v>58</x:v>
      </x:c>
      <x:c r="I89" s="8" t="s">
        <x:v>58</x:v>
      </x:c>
      <x:c r="J89" s="7" t="s">
        <x:v>58</x:v>
      </x:c>
      <x:c r="K89" s="8" t="n">
        <x:v>1</x:v>
      </x:c>
      <x:c r="L89" s="8" t="str">
        <x:f aca="0">IF(AND(ISNUMBER(G89),P89&lt;&gt;"Unresolved unit / layout"),G89*K89,"Not published")</x:f>
        <x:v>Not published</x:v>
      </x:c>
      <x:c r="M89" s="8" t="str">
        <x:f aca="0">IF(AND(ISNUMBER(H89),P89&lt;&gt;"Unresolved unit / layout"),H89*K89,"Not applicable")</x:f>
        <x:v>Not applicable</x:v>
      </x:c>
      <x:c r="N89" s="8" t="str">
        <x:f aca="0">IF(AND(ISNUMBER(I89),P89&lt;&gt;"Unresolved unit / layout"),I89*K89,"Not applicable")</x:f>
        <x:v>Not applicable</x:v>
      </x:c>
      <x:c r="O89" s="7" t="s">
        <x:v>1956</x:v>
      </x:c>
      <x:c r="P89" s="7" t="s">
        <x:v>53</x:v>
      </x:c>
      <x:c r="Q89" s="7" t="s">
        <x:v>1930</x:v>
      </x:c>
      <x:c r="R89" s="7" t="s">
        <x:v>58</x:v>
      </x:c>
      <x:c r="S89" s="7" t="s">
        <x:v>2077</x:v>
      </x:c>
      <x:c r="T89" s="7" t="s">
        <x:v>2183</x:v>
      </x:c>
      <x:c r="U89" s="7" t="s">
        <x:v>53</x:v>
      </x:c>
      <x:c r="V89" s="7" t="s">
        <x:v>2082</x:v>
      </x:c>
      <x:c r="W89" s="7" t="s">
        <x:v>58</x:v>
      </x:c>
      <x:c r="X89" s="7" t="s">
        <x:v>2184</x:v>
      </x:c>
      <x:c r="Y89" s="7" t="s">
        <x:v>1158</x:v>
      </x:c>
      <x:c r="Z89" s="7" t="s">
        <x:v>2188</x:v>
      </x:c>
      <x:c r="AA89" s="7" t="s">
        <x:v>58</x:v>
      </x:c>
      <x:c r="AB89" s="8" t="s">
        <x:v>58</x:v>
      </x:c>
      <x:c r="AC89" s="8" t="s">
        <x:v>58</x:v>
      </x:c>
      <x:c r="AD89" s="8" t="s">
        <x:v>58</x:v>
      </x:c>
      <x:c r="AE89" s="8" t="s">
        <x:v>58</x:v>
      </x:c>
      <x:c r="AF89" s="8" t="s">
        <x:v>58</x:v>
      </x:c>
      <x:c r="AG89" s="7" t="s">
        <x:v>58</x:v>
      </x:c>
    </x:row>
    <x:row r="90" ht="79.5" hidden="0" customHeight="1">
      <x:c r="A90" s="7" t="s">
        <x:v>2189</x:v>
      </x:c>
      <x:c r="B90" s="7" t="s">
        <x:v>111</x:v>
      </x:c>
      <x:c r="C90" s="7" t="s">
        <x:v>113</x:v>
      </x:c>
      <x:c r="D90" s="7" t="s">
        <x:v>1982</x:v>
      </x:c>
      <x:c r="E90" s="7" t="s">
        <x:v>2091</x:v>
      </x:c>
      <x:c r="F90" s="7" t="s">
        <x:v>1956</x:v>
      </x:c>
      <x:c r="G90" s="8" t="n">
        <x:v>57</x:v>
      </x:c>
      <x:c r="H90" s="8" t="s">
        <x:v>58</x:v>
      </x:c>
      <x:c r="I90" s="8" t="s">
        <x:v>58</x:v>
      </x:c>
      <x:c r="J90" s="7" t="s">
        <x:v>1919</x:v>
      </x:c>
      <x:c r="K90" s="8" t="n">
        <x:v>1</x:v>
      </x:c>
      <x:c r="L90" s="8" t="n">
        <x:f aca="0">IF(AND(ISNUMBER(G90),P90&lt;&gt;"Unresolved unit / layout"),G90*K90,"Not applicable")</x:f>
        <x:v>57</x:v>
      </x:c>
      <x:c r="M90" s="8" t="str">
        <x:f aca="0">IF(AND(ISNUMBER(H90),P90&lt;&gt;"Unresolved unit / layout"),H90*K90,"Not applicable")</x:f>
        <x:v>Not applicable</x:v>
      </x:c>
      <x:c r="N90" s="8" t="str">
        <x:f aca="0">IF(AND(ISNUMBER(I90),P90&lt;&gt;"Unresolved unit / layout"),I90*K90,"Not applicable")</x:f>
        <x:v>Not applicable</x:v>
      </x:c>
      <x:c r="O90" s="7" t="s">
        <x:v>1956</x:v>
      </x:c>
      <x:c r="P90" s="7" t="s">
        <x:v>1921</x:v>
      </x:c>
      <x:c r="Q90" s="7" t="s">
        <x:v>1930</x:v>
      </x:c>
      <x:c r="R90" s="7" t="s">
        <x:v>58</x:v>
      </x:c>
      <x:c r="S90" s="7" t="s">
        <x:v>2077</x:v>
      </x:c>
      <x:c r="T90" s="7" t="s">
        <x:v>2183</x:v>
      </x:c>
      <x:c r="U90" s="7" t="s">
        <x:v>53</x:v>
      </x:c>
      <x:c r="V90" s="7" t="s">
        <x:v>1984</x:v>
      </x:c>
      <x:c r="W90" s="7" t="s">
        <x:v>58</x:v>
      </x:c>
      <x:c r="X90" s="7" t="s">
        <x:v>2184</x:v>
      </x:c>
      <x:c r="Y90" s="7" t="s">
        <x:v>1158</x:v>
      </x:c>
      <x:c r="Z90" s="7" t="s">
        <x:v>2092</x:v>
      </x:c>
      <x:c r="AA90" s="7" t="s">
        <x:v>58</x:v>
      </x:c>
      <x:c r="AB90" s="8" t="s">
        <x:v>58</x:v>
      </x:c>
      <x:c r="AC90" s="8" t="s">
        <x:v>58</x:v>
      </x:c>
      <x:c r="AD90" s="8" t="s">
        <x:v>58</x:v>
      </x:c>
      <x:c r="AE90" s="8" t="s">
        <x:v>58</x:v>
      </x:c>
      <x:c r="AF90" s="8" t="s">
        <x:v>58</x:v>
      </x:c>
      <x:c r="AG90" s="7" t="s">
        <x:v>58</x:v>
      </x:c>
    </x:row>
    <x:row r="91" ht="79.5" hidden="0" customHeight="1">
      <x:c r="A91" s="7" t="s">
        <x:v>2190</x:v>
      </x:c>
      <x:c r="B91" s="7" t="s">
        <x:v>111</x:v>
      </x:c>
      <x:c r="C91" s="7" t="s">
        <x:v>113</x:v>
      </x:c>
      <x:c r="D91" s="7" t="s">
        <x:v>1959</x:v>
      </x:c>
      <x:c r="E91" s="7" t="s">
        <x:v>2094</x:v>
      </x:c>
      <x:c r="F91" s="7" t="s">
        <x:v>1956</x:v>
      </x:c>
      <x:c r="G91" s="8" t="n">
        <x:v>54</x:v>
      </x:c>
      <x:c r="H91" s="8" t="s">
        <x:v>58</x:v>
      </x:c>
      <x:c r="I91" s="8" t="s">
        <x:v>58</x:v>
      </x:c>
      <x:c r="J91" s="7" t="s">
        <x:v>1919</x:v>
      </x:c>
      <x:c r="K91" s="8" t="n">
        <x:v>1</x:v>
      </x:c>
      <x:c r="L91" s="8" t="n">
        <x:f aca="0">IF(AND(ISNUMBER(G91),P91&lt;&gt;"Unresolved unit / layout"),G91*K91,"Not applicable")</x:f>
        <x:v>54</x:v>
      </x:c>
      <x:c r="M91" s="8" t="str">
        <x:f aca="0">IF(AND(ISNUMBER(H91),P91&lt;&gt;"Unresolved unit / layout"),H91*K91,"Not applicable")</x:f>
        <x:v>Not applicable</x:v>
      </x:c>
      <x:c r="N91" s="8" t="str">
        <x:f aca="0">IF(AND(ISNUMBER(I91),P91&lt;&gt;"Unresolved unit / layout"),I91*K91,"Not applicable")</x:f>
        <x:v>Not applicable</x:v>
      </x:c>
      <x:c r="O91" s="7" t="s">
        <x:v>1956</x:v>
      </x:c>
      <x:c r="P91" s="7" t="s">
        <x:v>1921</x:v>
      </x:c>
      <x:c r="Q91" s="7" t="s">
        <x:v>1930</x:v>
      </x:c>
      <x:c r="R91" s="7" t="s">
        <x:v>58</x:v>
      </x:c>
      <x:c r="S91" s="7" t="s">
        <x:v>2077</x:v>
      </x:c>
      <x:c r="T91" s="7" t="s">
        <x:v>2183</x:v>
      </x:c>
      <x:c r="U91" s="7" t="s">
        <x:v>53</x:v>
      </x:c>
      <x:c r="V91" s="7" t="s">
        <x:v>2095</x:v>
      </x:c>
      <x:c r="W91" s="7" t="s">
        <x:v>58</x:v>
      </x:c>
      <x:c r="X91" s="7" t="s">
        <x:v>2184</x:v>
      </x:c>
      <x:c r="Y91" s="7" t="s">
        <x:v>1158</x:v>
      </x:c>
      <x:c r="Z91" s="7" t="s">
        <x:v>2096</x:v>
      </x:c>
      <x:c r="AA91" s="7" t="s">
        <x:v>58</x:v>
      </x:c>
      <x:c r="AB91" s="8" t="s">
        <x:v>58</x:v>
      </x:c>
      <x:c r="AC91" s="8" t="s">
        <x:v>58</x:v>
      </x:c>
      <x:c r="AD91" s="8" t="s">
        <x:v>58</x:v>
      </x:c>
      <x:c r="AE91" s="8" t="s">
        <x:v>58</x:v>
      </x:c>
      <x:c r="AF91" s="8" t="s">
        <x:v>58</x:v>
      </x:c>
      <x:c r="AG91" s="7" t="s">
        <x:v>58</x:v>
      </x:c>
    </x:row>
    <x:row r="92" ht="79.5" hidden="0" customHeight="1">
      <x:c r="A92" s="7" t="s">
        <x:v>118</x:v>
      </x:c>
      <x:c r="B92" s="7" t="s">
        <x:v>111</x:v>
      </x:c>
      <x:c r="C92" s="7" t="s">
        <x:v>113</x:v>
      </x:c>
      <x:c r="D92" s="7" t="s">
        <x:v>1959</x:v>
      </x:c>
      <x:c r="E92" s="7" t="s">
        <x:v>2091</x:v>
      </x:c>
      <x:c r="F92" s="7" t="s">
        <x:v>1956</x:v>
      </x:c>
      <x:c r="G92" s="8" t="n">
        <x:v>57</x:v>
      </x:c>
      <x:c r="H92" s="8" t="s">
        <x:v>58</x:v>
      </x:c>
      <x:c r="I92" s="8" t="s">
        <x:v>58</x:v>
      </x:c>
      <x:c r="J92" s="7" t="s">
        <x:v>1919</x:v>
      </x:c>
      <x:c r="K92" s="8" t="n">
        <x:v>1</x:v>
      </x:c>
      <x:c r="L92" s="8" t="n">
        <x:f aca="0">IF(AND(ISNUMBER(G92),P92&lt;&gt;"Unresolved unit / layout"),G92*K92,"Not applicable")</x:f>
        <x:v>57</x:v>
      </x:c>
      <x:c r="M92" s="8" t="str">
        <x:f aca="0">IF(AND(ISNUMBER(H92),P92&lt;&gt;"Unresolved unit / layout"),H92*K92,"Not applicable")</x:f>
        <x:v>Not applicable</x:v>
      </x:c>
      <x:c r="N92" s="8" t="str">
        <x:f aca="0">IF(AND(ISNUMBER(I92),P92&lt;&gt;"Unresolved unit / layout"),I92*K92,"Not applicable")</x:f>
        <x:v>Not applicable</x:v>
      </x:c>
      <x:c r="O92" s="7" t="s">
        <x:v>1956</x:v>
      </x:c>
      <x:c r="P92" s="7" t="s">
        <x:v>1921</x:v>
      </x:c>
      <x:c r="Q92" s="7" t="s">
        <x:v>1930</x:v>
      </x:c>
      <x:c r="R92" s="7" t="s">
        <x:v>58</x:v>
      </x:c>
      <x:c r="S92" s="7" t="s">
        <x:v>2077</x:v>
      </x:c>
      <x:c r="T92" s="7" t="s">
        <x:v>2183</x:v>
      </x:c>
      <x:c r="U92" s="7" t="s">
        <x:v>53</x:v>
      </x:c>
      <x:c r="V92" s="7" t="s">
        <x:v>2097</x:v>
      </x:c>
      <x:c r="W92" s="7" t="s">
        <x:v>58</x:v>
      </x:c>
      <x:c r="X92" s="7" t="s">
        <x:v>2184</x:v>
      </x:c>
      <x:c r="Y92" s="7" t="s">
        <x:v>1158</x:v>
      </x:c>
      <x:c r="Z92" s="7" t="s">
        <x:v>2096</x:v>
      </x:c>
      <x:c r="AA92" s="7" t="s">
        <x:v>58</x:v>
      </x:c>
      <x:c r="AB92" s="8" t="s">
        <x:v>58</x:v>
      </x:c>
      <x:c r="AC92" s="8" t="s">
        <x:v>58</x:v>
      </x:c>
      <x:c r="AD92" s="8" t="s">
        <x:v>58</x:v>
      </x:c>
      <x:c r="AE92" s="8" t="s">
        <x:v>58</x:v>
      </x:c>
      <x:c r="AF92" s="8" t="s">
        <x:v>58</x:v>
      </x:c>
      <x:c r="AG92" s="7" t="s">
        <x:v>58</x:v>
      </x:c>
    </x:row>
    <x:row r="93" ht="79.5" hidden="0" customHeight="1">
      <x:c r="A93" s="7" t="s">
        <x:v>2191</x:v>
      </x:c>
      <x:c r="B93" s="7" t="s">
        <x:v>111</x:v>
      </x:c>
      <x:c r="C93" s="7" t="s">
        <x:v>113</x:v>
      </x:c>
      <x:c r="D93" s="7" t="s">
        <x:v>2099</x:v>
      </x:c>
      <x:c r="E93" s="7" t="s">
        <x:v>2100</x:v>
      </x:c>
      <x:c r="F93" s="7" t="s">
        <x:v>1942</x:v>
      </x:c>
      <x:c r="G93" s="8" t="n">
        <x:v>0.43</x:v>
      </x:c>
      <x:c r="H93" s="8" t="s">
        <x:v>58</x:v>
      </x:c>
      <x:c r="I93" s="8" t="s">
        <x:v>58</x:v>
      </x:c>
      <x:c r="J93" s="7" t="s">
        <x:v>1919</x:v>
      </x:c>
      <x:c r="K93" s="8" t="n">
        <x:v>1</x:v>
      </x:c>
      <x:c r="L93" s="8" t="n">
        <x:f aca="0">IF(AND(ISNUMBER(G93),P93&lt;&gt;"Unresolved unit / layout"),G93*K93,"Not applicable")</x:f>
        <x:v>0.43</x:v>
      </x:c>
      <x:c r="M93" s="8" t="str">
        <x:f aca="0">IF(AND(ISNUMBER(H93),P93&lt;&gt;"Unresolved unit / layout"),H93*K93,"Not applicable")</x:f>
        <x:v>Not applicable</x:v>
      </x:c>
      <x:c r="N93" s="8" t="str">
        <x:f aca="0">IF(AND(ISNUMBER(I93),P93&lt;&gt;"Unresolved unit / layout"),I93*K93,"Not applicable")</x:f>
        <x:v>Not applicable</x:v>
      </x:c>
      <x:c r="O93" s="7" t="s">
        <x:v>1942</x:v>
      </x:c>
      <x:c r="P93" s="7" t="s">
        <x:v>1921</x:v>
      </x:c>
      <x:c r="Q93" s="7" t="s">
        <x:v>1930</x:v>
      </x:c>
      <x:c r="R93" s="7" t="s">
        <x:v>58</x:v>
      </x:c>
      <x:c r="S93" s="7" t="s">
        <x:v>2077</x:v>
      </x:c>
      <x:c r="T93" s="7" t="s">
        <x:v>2183</x:v>
      </x:c>
      <x:c r="U93" s="7" t="s">
        <x:v>53</x:v>
      </x:c>
      <x:c r="V93" s="7" t="s">
        <x:v>2192</x:v>
      </x:c>
      <x:c r="W93" s="7" t="s">
        <x:v>58</x:v>
      </x:c>
      <x:c r="X93" s="7" t="s">
        <x:v>2184</x:v>
      </x:c>
      <x:c r="Y93" s="7" t="s">
        <x:v>1158</x:v>
      </x:c>
      <x:c r="Z93" s="7" t="s">
        <x:v>2193</x:v>
      </x:c>
      <x:c r="AA93" s="7" t="s">
        <x:v>58</x:v>
      </x:c>
      <x:c r="AB93" s="8" t="s">
        <x:v>58</x:v>
      </x:c>
      <x:c r="AC93" s="8" t="s">
        <x:v>58</x:v>
      </x:c>
      <x:c r="AD93" s="8" t="s">
        <x:v>58</x:v>
      </x:c>
      <x:c r="AE93" s="8" t="s">
        <x:v>58</x:v>
      </x:c>
      <x:c r="AF93" s="8" t="s">
        <x:v>58</x:v>
      </x:c>
      <x:c r="AG93" s="7" t="s">
        <x:v>58</x:v>
      </x:c>
    </x:row>
    <x:row r="94" ht="79.5" hidden="0" customHeight="1">
      <x:c r="A94" s="7" t="s">
        <x:v>2194</x:v>
      </x:c>
      <x:c r="B94" s="7" t="s">
        <x:v>111</x:v>
      </x:c>
      <x:c r="C94" s="7" t="s">
        <x:v>113</x:v>
      </x:c>
      <x:c r="D94" s="7" t="s">
        <x:v>1935</x:v>
      </x:c>
      <x:c r="E94" s="7" t="s">
        <x:v>2195</x:v>
      </x:c>
      <x:c r="F94" s="7" t="s">
        <x:v>1929</x:v>
      </x:c>
      <x:c r="G94" s="8" t="n">
        <x:v>2580</x:v>
      </x:c>
      <x:c r="H94" s="8" t="n">
        <x:v>150</x:v>
      </x:c>
      <x:c r="I94" s="8" t="s">
        <x:v>58</x:v>
      </x:c>
      <x:c r="J94" s="7" t="s">
        <x:v>1919</x:v>
      </x:c>
      <x:c r="K94" s="8" t="n">
        <x:v>0.001</x:v>
      </x:c>
      <x:c r="L94" s="8" t="n">
        <x:f aca="0">IF(AND(ISNUMBER(G94),P94&lt;&gt;"Unresolved unit / layout"),G94*K94,"Not applicable")</x:f>
        <x:v>2.58</x:v>
      </x:c>
      <x:c r="M94" s="8" t="n">
        <x:f aca="0">IF(AND(ISNUMBER(H94),P94&lt;&gt;"Unresolved unit / layout"),H94*K94,"Not applicable")</x:f>
        <x:v>0.15</x:v>
      </x:c>
      <x:c r="N94" s="8" t="str">
        <x:f aca="0">IF(AND(ISNUMBER(I94),P94&lt;&gt;"Unresolved unit / layout"),I94*K94,"Not applicable")</x:f>
        <x:v>Not applicable</x:v>
      </x:c>
      <x:c r="O94" s="7" t="s">
        <x:v>1937</x:v>
      </x:c>
      <x:c r="P94" s="7" t="s">
        <x:v>1921</x:v>
      </x:c>
      <x:c r="Q94" s="7" t="s">
        <x:v>1930</x:v>
      </x:c>
      <x:c r="R94" s="7" t="s">
        <x:v>1931</x:v>
      </x:c>
      <x:c r="S94" s="7" t="s">
        <x:v>2077</x:v>
      </x:c>
      <x:c r="T94" s="7" t="s">
        <x:v>2183</x:v>
      </x:c>
      <x:c r="U94" s="7" t="s">
        <x:v>53</x:v>
      </x:c>
      <x:c r="V94" s="7" t="s">
        <x:v>1999</x:v>
      </x:c>
      <x:c r="W94" s="7" t="s">
        <x:v>58</x:v>
      </x:c>
      <x:c r="X94" s="7" t="s">
        <x:v>2184</x:v>
      </x:c>
      <x:c r="Y94" s="7" t="s">
        <x:v>1158</x:v>
      </x:c>
      <x:c r="Z94" s="7" t="s">
        <x:v>2105</x:v>
      </x:c>
      <x:c r="AA94" s="7" t="s">
        <x:v>58</x:v>
      </x:c>
      <x:c r="AB94" s="8" t="s">
        <x:v>58</x:v>
      </x:c>
      <x:c r="AC94" s="8" t="s">
        <x:v>58</x:v>
      </x:c>
      <x:c r="AD94" s="8" t="s">
        <x:v>58</x:v>
      </x:c>
      <x:c r="AE94" s="8" t="s">
        <x:v>58</x:v>
      </x:c>
      <x:c r="AF94" s="8" t="s">
        <x:v>58</x:v>
      </x:c>
      <x:c r="AG94" s="7" t="s">
        <x:v>58</x:v>
      </x:c>
    </x:row>
    <x:row r="95" ht="79.5" hidden="0" customHeight="1">
      <x:c r="A95" s="7" t="s">
        <x:v>2196</x:v>
      </x:c>
      <x:c r="B95" s="7" t="s">
        <x:v>111</x:v>
      </x:c>
      <x:c r="C95" s="7" t="s">
        <x:v>113</x:v>
      </x:c>
      <x:c r="D95" s="7" t="s">
        <x:v>1935</x:v>
      </x:c>
      <x:c r="E95" s="7" t="s">
        <x:v>2197</x:v>
      </x:c>
      <x:c r="F95" s="7" t="s">
        <x:v>1929</x:v>
      </x:c>
      <x:c r="G95" s="8" t="n">
        <x:v>1980</x:v>
      </x:c>
      <x:c r="H95" s="8" t="n">
        <x:v>100</x:v>
      </x:c>
      <x:c r="I95" s="8" t="s">
        <x:v>58</x:v>
      </x:c>
      <x:c r="J95" s="7" t="s">
        <x:v>1919</x:v>
      </x:c>
      <x:c r="K95" s="8" t="n">
        <x:v>0.001</x:v>
      </x:c>
      <x:c r="L95" s="8" t="n">
        <x:f aca="0">IF(AND(ISNUMBER(G95),P95&lt;&gt;"Unresolved unit / layout"),G95*K95,"Not applicable")</x:f>
        <x:v>1.98</x:v>
      </x:c>
      <x:c r="M95" s="8" t="n">
        <x:f aca="0">IF(AND(ISNUMBER(H95),P95&lt;&gt;"Unresolved unit / layout"),H95*K95,"Not applicable")</x:f>
        <x:v>0.1</x:v>
      </x:c>
      <x:c r="N95" s="8" t="str">
        <x:f aca="0">IF(AND(ISNUMBER(I95),P95&lt;&gt;"Unresolved unit / layout"),I95*K95,"Not applicable")</x:f>
        <x:v>Not applicable</x:v>
      </x:c>
      <x:c r="O95" s="7" t="s">
        <x:v>1937</x:v>
      </x:c>
      <x:c r="P95" s="7" t="s">
        <x:v>1921</x:v>
      </x:c>
      <x:c r="Q95" s="7" t="s">
        <x:v>1930</x:v>
      </x:c>
      <x:c r="R95" s="7" t="s">
        <x:v>2003</x:v>
      </x:c>
      <x:c r="S95" s="7" t="s">
        <x:v>2077</x:v>
      </x:c>
      <x:c r="T95" s="7" t="s">
        <x:v>2183</x:v>
      </x:c>
      <x:c r="U95" s="7" t="s">
        <x:v>53</x:v>
      </x:c>
      <x:c r="V95" s="7" t="s">
        <x:v>1999</x:v>
      </x:c>
      <x:c r="W95" s="7" t="s">
        <x:v>58</x:v>
      </x:c>
      <x:c r="X95" s="7" t="s">
        <x:v>2184</x:v>
      </x:c>
      <x:c r="Y95" s="7" t="s">
        <x:v>1158</x:v>
      </x:c>
      <x:c r="Z95" s="7" t="s">
        <x:v>2108</x:v>
      </x:c>
      <x:c r="AA95" s="7" t="s">
        <x:v>58</x:v>
      </x:c>
      <x:c r="AB95" s="8" t="s">
        <x:v>58</x:v>
      </x:c>
      <x:c r="AC95" s="8" t="s">
        <x:v>58</x:v>
      </x:c>
      <x:c r="AD95" s="8" t="s">
        <x:v>58</x:v>
      </x:c>
      <x:c r="AE95" s="8" t="s">
        <x:v>58</x:v>
      </x:c>
      <x:c r="AF95" s="8" t="s">
        <x:v>58</x:v>
      </x:c>
      <x:c r="AG95" s="7" t="s">
        <x:v>58</x:v>
      </x:c>
    </x:row>
    <x:row r="96" ht="79.5" hidden="0" customHeight="1">
      <x:c r="A96" s="7" t="s">
        <x:v>2198</x:v>
      </x:c>
      <x:c r="B96" s="7" t="s">
        <x:v>111</x:v>
      </x:c>
      <x:c r="C96" s="7" t="s">
        <x:v>113</x:v>
      </x:c>
      <x:c r="D96" s="7" t="s">
        <x:v>2006</x:v>
      </x:c>
      <x:c r="E96" s="7" t="s">
        <x:v>2199</x:v>
      </x:c>
      <x:c r="F96" s="7" t="s">
        <x:v>1929</x:v>
      </x:c>
      <x:c r="G96" s="8" t="n">
        <x:v>36</x:v>
      </x:c>
      <x:c r="H96" s="8" t="n">
        <x:v>2</x:v>
      </x:c>
      <x:c r="I96" s="8" t="s">
        <x:v>58</x:v>
      </x:c>
      <x:c r="J96" s="7" t="s">
        <x:v>1919</x:v>
      </x:c>
      <x:c r="K96" s="8" t="n">
        <x:v>1</x:v>
      </x:c>
      <x:c r="L96" s="8" t="n">
        <x:f aca="0">IF(AND(ISNUMBER(G96),P96&lt;&gt;"Unresolved unit / layout"),G96*K96,"Not applicable")</x:f>
        <x:v>36</x:v>
      </x:c>
      <x:c r="M96" s="8" t="n">
        <x:f aca="0">IF(AND(ISNUMBER(H96),P96&lt;&gt;"Unresolved unit / layout"),H96*K96,"Not applicable")</x:f>
        <x:v>2</x:v>
      </x:c>
      <x:c r="N96" s="8" t="str">
        <x:f aca="0">IF(AND(ISNUMBER(I96),P96&lt;&gt;"Unresolved unit / layout"),I96*K96,"Not applicable")</x:f>
        <x:v>Not applicable</x:v>
      </x:c>
      <x:c r="O96" s="7" t="s">
        <x:v>1929</x:v>
      </x:c>
      <x:c r="P96" s="7" t="s">
        <x:v>1921</x:v>
      </x:c>
      <x:c r="Q96" s="7" t="s">
        <x:v>1930</x:v>
      </x:c>
      <x:c r="R96" s="7" t="s">
        <x:v>1931</x:v>
      </x:c>
      <x:c r="S96" s="7" t="s">
        <x:v>2077</x:v>
      </x:c>
      <x:c r="T96" s="7" t="s">
        <x:v>2183</x:v>
      </x:c>
      <x:c r="U96" s="7" t="s">
        <x:v>53</x:v>
      </x:c>
      <x:c r="V96" s="7" t="s">
        <x:v>1999</x:v>
      </x:c>
      <x:c r="W96" s="7" t="s">
        <x:v>58</x:v>
      </x:c>
      <x:c r="X96" s="7" t="s">
        <x:v>2184</x:v>
      </x:c>
      <x:c r="Y96" s="7" t="s">
        <x:v>1158</x:v>
      </x:c>
      <x:c r="Z96" s="7" t="s">
        <x:v>2111</x:v>
      </x:c>
      <x:c r="AA96" s="7" t="s">
        <x:v>58</x:v>
      </x:c>
      <x:c r="AB96" s="8" t="s">
        <x:v>58</x:v>
      </x:c>
      <x:c r="AC96" s="8" t="s">
        <x:v>58</x:v>
      </x:c>
      <x:c r="AD96" s="8" t="s">
        <x:v>58</x:v>
      </x:c>
      <x:c r="AE96" s="8" t="s">
        <x:v>58</x:v>
      </x:c>
      <x:c r="AF96" s="8" t="s">
        <x:v>58</x:v>
      </x:c>
      <x:c r="AG96" s="7" t="s">
        <x:v>58</x:v>
      </x:c>
    </x:row>
    <x:row r="97" ht="79.5" hidden="0" customHeight="1">
      <x:c r="A97" s="7" t="s">
        <x:v>2200</x:v>
      </x:c>
      <x:c r="B97" s="7" t="s">
        <x:v>111</x:v>
      </x:c>
      <x:c r="C97" s="7" t="s">
        <x:v>113</x:v>
      </x:c>
      <x:c r="D97" s="7" t="s">
        <x:v>2006</x:v>
      </x:c>
      <x:c r="E97" s="7" t="s">
        <x:v>2201</x:v>
      </x:c>
      <x:c r="F97" s="7" t="s">
        <x:v>1929</x:v>
      </x:c>
      <x:c r="G97" s="8" t="n">
        <x:v>32</x:v>
      </x:c>
      <x:c r="H97" s="8" t="n">
        <x:v>5</x:v>
      </x:c>
      <x:c r="I97" s="8" t="s">
        <x:v>58</x:v>
      </x:c>
      <x:c r="J97" s="7" t="s">
        <x:v>1919</x:v>
      </x:c>
      <x:c r="K97" s="8" t="n">
        <x:v>1</x:v>
      </x:c>
      <x:c r="L97" s="8" t="n">
        <x:f aca="0">IF(AND(ISNUMBER(G97),P97&lt;&gt;"Unresolved unit / layout"),G97*K97,"Not applicable")</x:f>
        <x:v>32</x:v>
      </x:c>
      <x:c r="M97" s="8" t="n">
        <x:f aca="0">IF(AND(ISNUMBER(H97),P97&lt;&gt;"Unresolved unit / layout"),H97*K97,"Not applicable")</x:f>
        <x:v>5</x:v>
      </x:c>
      <x:c r="N97" s="8" t="str">
        <x:f aca="0">IF(AND(ISNUMBER(I97),P97&lt;&gt;"Unresolved unit / layout"),I97*K97,"Not applicable")</x:f>
        <x:v>Not applicable</x:v>
      </x:c>
      <x:c r="O97" s="7" t="s">
        <x:v>1929</x:v>
      </x:c>
      <x:c r="P97" s="7" t="s">
        <x:v>1921</x:v>
      </x:c>
      <x:c r="Q97" s="7" t="s">
        <x:v>1930</x:v>
      </x:c>
      <x:c r="R97" s="7" t="s">
        <x:v>2003</x:v>
      </x:c>
      <x:c r="S97" s="7" t="s">
        <x:v>2077</x:v>
      </x:c>
      <x:c r="T97" s="7" t="s">
        <x:v>2183</x:v>
      </x:c>
      <x:c r="U97" s="7" t="s">
        <x:v>53</x:v>
      </x:c>
      <x:c r="V97" s="7" t="s">
        <x:v>1999</x:v>
      </x:c>
      <x:c r="W97" s="7" t="s">
        <x:v>58</x:v>
      </x:c>
      <x:c r="X97" s="7" t="s">
        <x:v>2184</x:v>
      </x:c>
      <x:c r="Y97" s="7" t="s">
        <x:v>1158</x:v>
      </x:c>
      <x:c r="Z97" s="7" t="s">
        <x:v>2114</x:v>
      </x:c>
      <x:c r="AA97" s="7" t="s">
        <x:v>58</x:v>
      </x:c>
      <x:c r="AB97" s="8" t="s">
        <x:v>58</x:v>
      </x:c>
      <x:c r="AC97" s="8" t="s">
        <x:v>58</x:v>
      </x:c>
      <x:c r="AD97" s="8" t="s">
        <x:v>58</x:v>
      </x:c>
      <x:c r="AE97" s="8" t="s">
        <x:v>58</x:v>
      </x:c>
      <x:c r="AF97" s="8" t="s">
        <x:v>58</x:v>
      </x:c>
      <x:c r="AG97" s="7" t="s">
        <x:v>58</x:v>
      </x:c>
    </x:row>
    <x:row r="98" ht="79.5" hidden="0" customHeight="1">
      <x:c r="A98" s="7" t="s">
        <x:v>2202</x:v>
      </x:c>
      <x:c r="B98" s="7" t="s">
        <x:v>111</x:v>
      </x:c>
      <x:c r="C98" s="7" t="s">
        <x:v>113</x:v>
      </x:c>
      <x:c r="D98" s="7" t="s">
        <x:v>1940</x:v>
      </x:c>
      <x:c r="E98" s="7" t="s">
        <x:v>2203</x:v>
      </x:c>
      <x:c r="F98" s="7" t="s">
        <x:v>1942</x:v>
      </x:c>
      <x:c r="G98" s="8" t="n">
        <x:v>15.2</x:v>
      </x:c>
      <x:c r="H98" s="8" t="n">
        <x:v>0.5</x:v>
      </x:c>
      <x:c r="I98" s="8" t="s">
        <x:v>58</x:v>
      </x:c>
      <x:c r="J98" s="7" t="s">
        <x:v>1919</x:v>
      </x:c>
      <x:c r="K98" s="8" t="n">
        <x:v>1</x:v>
      </x:c>
      <x:c r="L98" s="8" t="n">
        <x:f aca="0">IF(AND(ISNUMBER(G98),P98&lt;&gt;"Unresolved unit / layout"),G98*K98,"Not applicable")</x:f>
        <x:v>15.2</x:v>
      </x:c>
      <x:c r="M98" s="8" t="n">
        <x:f aca="0">IF(AND(ISNUMBER(H98),P98&lt;&gt;"Unresolved unit / layout"),H98*K98,"Not applicable")</x:f>
        <x:v>0.5</x:v>
      </x:c>
      <x:c r="N98" s="8" t="str">
        <x:f aca="0">IF(AND(ISNUMBER(I98),P98&lt;&gt;"Unresolved unit / layout"),I98*K98,"Not applicable")</x:f>
        <x:v>Not applicable</x:v>
      </x:c>
      <x:c r="O98" s="7" t="s">
        <x:v>1942</x:v>
      </x:c>
      <x:c r="P98" s="7" t="s">
        <x:v>1921</x:v>
      </x:c>
      <x:c r="Q98" s="7" t="s">
        <x:v>1930</x:v>
      </x:c>
      <x:c r="R98" s="7" t="s">
        <x:v>1931</x:v>
      </x:c>
      <x:c r="S98" s="7" t="s">
        <x:v>2077</x:v>
      </x:c>
      <x:c r="T98" s="7" t="s">
        <x:v>2183</x:v>
      </x:c>
      <x:c r="U98" s="7" t="s">
        <x:v>53</x:v>
      </x:c>
      <x:c r="V98" s="7" t="s">
        <x:v>1999</x:v>
      </x:c>
      <x:c r="W98" s="7" t="s">
        <x:v>58</x:v>
      </x:c>
      <x:c r="X98" s="7" t="s">
        <x:v>2184</x:v>
      </x:c>
      <x:c r="Y98" s="7" t="s">
        <x:v>1158</x:v>
      </x:c>
      <x:c r="Z98" s="7" t="s">
        <x:v>2117</x:v>
      </x:c>
      <x:c r="AA98" s="7" t="s">
        <x:v>58</x:v>
      </x:c>
      <x:c r="AB98" s="8" t="s">
        <x:v>58</x:v>
      </x:c>
      <x:c r="AC98" s="8" t="s">
        <x:v>58</x:v>
      </x:c>
      <x:c r="AD98" s="8" t="s">
        <x:v>58</x:v>
      </x:c>
      <x:c r="AE98" s="8" t="s">
        <x:v>58</x:v>
      </x:c>
      <x:c r="AF98" s="8" t="s">
        <x:v>58</x:v>
      </x:c>
      <x:c r="AG98" s="7" t="s">
        <x:v>58</x:v>
      </x:c>
    </x:row>
    <x:row r="99" ht="79.5" hidden="0" customHeight="1">
      <x:c r="A99" s="7" t="s">
        <x:v>2204</x:v>
      </x:c>
      <x:c r="B99" s="7" t="s">
        <x:v>111</x:v>
      </x:c>
      <x:c r="C99" s="7" t="s">
        <x:v>113</x:v>
      </x:c>
      <x:c r="D99" s="7" t="s">
        <x:v>1940</x:v>
      </x:c>
      <x:c r="E99" s="7" t="s">
        <x:v>2205</x:v>
      </x:c>
      <x:c r="F99" s="7" t="s">
        <x:v>1942</x:v>
      </x:c>
      <x:c r="G99" s="8" t="n">
        <x:v>8.3</x:v>
      </x:c>
      <x:c r="H99" s="8" t="n">
        <x:v>0.3</x:v>
      </x:c>
      <x:c r="I99" s="8" t="s">
        <x:v>58</x:v>
      </x:c>
      <x:c r="J99" s="7" t="s">
        <x:v>1919</x:v>
      </x:c>
      <x:c r="K99" s="8" t="n">
        <x:v>1</x:v>
      </x:c>
      <x:c r="L99" s="8" t="n">
        <x:f aca="0">IF(AND(ISNUMBER(G99),P99&lt;&gt;"Unresolved unit / layout"),G99*K99,"Not applicable")</x:f>
        <x:v>8.3</x:v>
      </x:c>
      <x:c r="M99" s="8" t="n">
        <x:f aca="0">IF(AND(ISNUMBER(H99),P99&lt;&gt;"Unresolved unit / layout"),H99*K99,"Not applicable")</x:f>
        <x:v>0.3</x:v>
      </x:c>
      <x:c r="N99" s="8" t="str">
        <x:f aca="0">IF(AND(ISNUMBER(I99),P99&lt;&gt;"Unresolved unit / layout"),I99*K99,"Not applicable")</x:f>
        <x:v>Not applicable</x:v>
      </x:c>
      <x:c r="O99" s="7" t="s">
        <x:v>1942</x:v>
      </x:c>
      <x:c r="P99" s="7" t="s">
        <x:v>1921</x:v>
      </x:c>
      <x:c r="Q99" s="7" t="s">
        <x:v>1930</x:v>
      </x:c>
      <x:c r="R99" s="7" t="s">
        <x:v>2003</x:v>
      </x:c>
      <x:c r="S99" s="7" t="s">
        <x:v>2077</x:v>
      </x:c>
      <x:c r="T99" s="7" t="s">
        <x:v>2183</x:v>
      </x:c>
      <x:c r="U99" s="7" t="s">
        <x:v>53</x:v>
      </x:c>
      <x:c r="V99" s="7" t="s">
        <x:v>1999</x:v>
      </x:c>
      <x:c r="W99" s="7" t="s">
        <x:v>58</x:v>
      </x:c>
      <x:c r="X99" s="7" t="s">
        <x:v>2184</x:v>
      </x:c>
      <x:c r="Y99" s="7" t="s">
        <x:v>1158</x:v>
      </x:c>
      <x:c r="Z99" s="7" t="s">
        <x:v>2120</x:v>
      </x:c>
      <x:c r="AA99" s="7" t="s">
        <x:v>58</x:v>
      </x:c>
      <x:c r="AB99" s="8" t="s">
        <x:v>58</x:v>
      </x:c>
      <x:c r="AC99" s="8" t="s">
        <x:v>58</x:v>
      </x:c>
      <x:c r="AD99" s="8" t="s">
        <x:v>58</x:v>
      </x:c>
      <x:c r="AE99" s="8" t="s">
        <x:v>58</x:v>
      </x:c>
      <x:c r="AF99" s="8" t="s">
        <x:v>58</x:v>
      </x:c>
      <x:c r="AG99" s="7" t="s">
        <x:v>58</x:v>
      </x:c>
    </x:row>
    <x:row r="100" ht="79.5" hidden="0" customHeight="1">
      <x:c r="A100" s="7" t="s">
        <x:v>2206</x:v>
      </x:c>
      <x:c r="B100" s="7" t="s">
        <x:v>111</x:v>
      </x:c>
      <x:c r="C100" s="7" t="s">
        <x:v>113</x:v>
      </x:c>
      <x:c r="D100" s="7" t="s">
        <x:v>1950</x:v>
      </x:c>
      <x:c r="E100" s="7" t="s">
        <x:v>2207</x:v>
      </x:c>
      <x:c r="F100" s="7" t="s">
        <x:v>1929</x:v>
      </x:c>
      <x:c r="G100" s="8" t="n">
        <x:v>2270</x:v>
      </x:c>
      <x:c r="H100" s="8" t="n">
        <x:v>60</x:v>
      </x:c>
      <x:c r="I100" s="8" t="s">
        <x:v>58</x:v>
      </x:c>
      <x:c r="J100" s="7" t="s">
        <x:v>1919</x:v>
      </x:c>
      <x:c r="K100" s="8" t="n">
        <x:v>0.001</x:v>
      </x:c>
      <x:c r="L100" s="8" t="n">
        <x:f aca="0">IF(AND(ISNUMBER(G100),P100&lt;&gt;"Unresolved unit / layout"),G100*K100,"Not applicable")</x:f>
        <x:v>2.27</x:v>
      </x:c>
      <x:c r="M100" s="8" t="n">
        <x:f aca="0">IF(AND(ISNUMBER(H100),P100&lt;&gt;"Unresolved unit / layout"),H100*K100,"Not applicable")</x:f>
        <x:v>0.06</x:v>
      </x:c>
      <x:c r="N100" s="8" t="str">
        <x:f aca="0">IF(AND(ISNUMBER(I100),P100&lt;&gt;"Unresolved unit / layout"),I100*K100,"Not applicable")</x:f>
        <x:v>Not applicable</x:v>
      </x:c>
      <x:c r="O100" s="7" t="s">
        <x:v>1937</x:v>
      </x:c>
      <x:c r="P100" s="7" t="s">
        <x:v>1921</x:v>
      </x:c>
      <x:c r="Q100" s="7" t="s">
        <x:v>1930</x:v>
      </x:c>
      <x:c r="R100" s="7" t="s">
        <x:v>1931</x:v>
      </x:c>
      <x:c r="S100" s="7" t="s">
        <x:v>2077</x:v>
      </x:c>
      <x:c r="T100" s="7" t="s">
        <x:v>2183</x:v>
      </x:c>
      <x:c r="U100" s="7" t="s">
        <x:v>53</x:v>
      </x:c>
      <x:c r="V100" s="7" t="s">
        <x:v>2020</x:v>
      </x:c>
      <x:c r="W100" s="7" t="s">
        <x:v>58</x:v>
      </x:c>
      <x:c r="X100" s="7" t="s">
        <x:v>2184</x:v>
      </x:c>
      <x:c r="Y100" s="7" t="s">
        <x:v>1158</x:v>
      </x:c>
      <x:c r="Z100" s="7" t="s">
        <x:v>2123</x:v>
      </x:c>
      <x:c r="AA100" s="7" t="s">
        <x:v>58</x:v>
      </x:c>
      <x:c r="AB100" s="8" t="s">
        <x:v>58</x:v>
      </x:c>
      <x:c r="AC100" s="8" t="s">
        <x:v>58</x:v>
      </x:c>
      <x:c r="AD100" s="8" t="s">
        <x:v>58</x:v>
      </x:c>
      <x:c r="AE100" s="8" t="s">
        <x:v>58</x:v>
      </x:c>
      <x:c r="AF100" s="8" t="s">
        <x:v>58</x:v>
      </x:c>
      <x:c r="AG100" s="7" t="s">
        <x:v>58</x:v>
      </x:c>
    </x:row>
    <x:row r="101" ht="79.5" hidden="0" customHeight="1">
      <x:c r="A101" s="7" t="s">
        <x:v>2208</x:v>
      </x:c>
      <x:c r="B101" s="7" t="s">
        <x:v>111</x:v>
      </x:c>
      <x:c r="C101" s="7" t="s">
        <x:v>113</x:v>
      </x:c>
      <x:c r="D101" s="7" t="s">
        <x:v>1950</x:v>
      </x:c>
      <x:c r="E101" s="7" t="s">
        <x:v>2209</x:v>
      </x:c>
      <x:c r="F101" s="7" t="s">
        <x:v>1929</x:v>
      </x:c>
      <x:c r="G101" s="8" t="n">
        <x:v>1990</x:v>
      </x:c>
      <x:c r="H101" s="8" t="n">
        <x:v>50</x:v>
      </x:c>
      <x:c r="I101" s="8" t="s">
        <x:v>58</x:v>
      </x:c>
      <x:c r="J101" s="7" t="s">
        <x:v>1919</x:v>
      </x:c>
      <x:c r="K101" s="8" t="n">
        <x:v>0.001</x:v>
      </x:c>
      <x:c r="L101" s="8" t="n">
        <x:f aca="0">IF(AND(ISNUMBER(G101),P101&lt;&gt;"Unresolved unit / layout"),G101*K101,"Not applicable")</x:f>
        <x:v>1.99</x:v>
      </x:c>
      <x:c r="M101" s="8" t="n">
        <x:f aca="0">IF(AND(ISNUMBER(H101),P101&lt;&gt;"Unresolved unit / layout"),H101*K101,"Not applicable")</x:f>
        <x:v>0.05</x:v>
      </x:c>
      <x:c r="N101" s="8" t="str">
        <x:f aca="0">IF(AND(ISNUMBER(I101),P101&lt;&gt;"Unresolved unit / layout"),I101*K101,"Not applicable")</x:f>
        <x:v>Not applicable</x:v>
      </x:c>
      <x:c r="O101" s="7" t="s">
        <x:v>1937</x:v>
      </x:c>
      <x:c r="P101" s="7" t="s">
        <x:v>1921</x:v>
      </x:c>
      <x:c r="Q101" s="7" t="s">
        <x:v>1930</x:v>
      </x:c>
      <x:c r="R101" s="7" t="s">
        <x:v>2003</x:v>
      </x:c>
      <x:c r="S101" s="7" t="s">
        <x:v>2077</x:v>
      </x:c>
      <x:c r="T101" s="7" t="s">
        <x:v>2183</x:v>
      </x:c>
      <x:c r="U101" s="7" t="s">
        <x:v>53</x:v>
      </x:c>
      <x:c r="V101" s="7" t="s">
        <x:v>2020</x:v>
      </x:c>
      <x:c r="W101" s="7" t="s">
        <x:v>58</x:v>
      </x:c>
      <x:c r="X101" s="7" t="s">
        <x:v>2184</x:v>
      </x:c>
      <x:c r="Y101" s="7" t="s">
        <x:v>1158</x:v>
      </x:c>
      <x:c r="Z101" s="7" t="s">
        <x:v>2210</x:v>
      </x:c>
      <x:c r="AA101" s="7" t="s">
        <x:v>58</x:v>
      </x:c>
      <x:c r="AB101" s="8" t="s">
        <x:v>58</x:v>
      </x:c>
      <x:c r="AC101" s="8" t="s">
        <x:v>58</x:v>
      </x:c>
      <x:c r="AD101" s="8" t="s">
        <x:v>58</x:v>
      </x:c>
      <x:c r="AE101" s="8" t="s">
        <x:v>58</x:v>
      </x:c>
      <x:c r="AF101" s="8" t="s">
        <x:v>58</x:v>
      </x:c>
      <x:c r="AG101" s="7" t="s">
        <x:v>58</x:v>
      </x:c>
    </x:row>
    <x:row r="102" ht="79.5" hidden="0" customHeight="1">
      <x:c r="A102" s="7" t="s">
        <x:v>2211</x:v>
      </x:c>
      <x:c r="B102" s="7" t="s">
        <x:v>111</x:v>
      </x:c>
      <x:c r="C102" s="7" t="s">
        <x:v>113</x:v>
      </x:c>
      <x:c r="D102" s="7" t="s">
        <x:v>1945</x:v>
      </x:c>
      <x:c r="E102" s="7" t="s">
        <x:v>2212</x:v>
      </x:c>
      <x:c r="F102" s="7" t="s">
        <x:v>1929</x:v>
      </x:c>
      <x:c r="G102" s="8" t="n">
        <x:v>73</x:v>
      </x:c>
      <x:c r="H102" s="8" t="n">
        <x:v>3</x:v>
      </x:c>
      <x:c r="I102" s="8" t="s">
        <x:v>58</x:v>
      </x:c>
      <x:c r="J102" s="7" t="s">
        <x:v>1919</x:v>
      </x:c>
      <x:c r="K102" s="8" t="n">
        <x:v>1</x:v>
      </x:c>
      <x:c r="L102" s="8" t="n">
        <x:f aca="0">IF(AND(ISNUMBER(G102),P102&lt;&gt;"Unresolved unit / layout"),G102*K102,"Not applicable")</x:f>
        <x:v>73</x:v>
      </x:c>
      <x:c r="M102" s="8" t="n">
        <x:f aca="0">IF(AND(ISNUMBER(H102),P102&lt;&gt;"Unresolved unit / layout"),H102*K102,"Not applicable")</x:f>
        <x:v>3</x:v>
      </x:c>
      <x:c r="N102" s="8" t="str">
        <x:f aca="0">IF(AND(ISNUMBER(I102),P102&lt;&gt;"Unresolved unit / layout"),I102*K102,"Not applicable")</x:f>
        <x:v>Not applicable</x:v>
      </x:c>
      <x:c r="O102" s="7" t="s">
        <x:v>1929</x:v>
      </x:c>
      <x:c r="P102" s="7" t="s">
        <x:v>1921</x:v>
      </x:c>
      <x:c r="Q102" s="7" t="s">
        <x:v>1930</x:v>
      </x:c>
      <x:c r="R102" s="7" t="s">
        <x:v>1931</x:v>
      </x:c>
      <x:c r="S102" s="7" t="s">
        <x:v>2077</x:v>
      </x:c>
      <x:c r="T102" s="7" t="s">
        <x:v>2183</x:v>
      </x:c>
      <x:c r="U102" s="7" t="s">
        <x:v>53</x:v>
      </x:c>
      <x:c r="V102" s="7" t="s">
        <x:v>2020</x:v>
      </x:c>
      <x:c r="W102" s="7" t="s">
        <x:v>58</x:v>
      </x:c>
      <x:c r="X102" s="7" t="s">
        <x:v>2184</x:v>
      </x:c>
      <x:c r="Y102" s="7" t="s">
        <x:v>1158</x:v>
      </x:c>
      <x:c r="Z102" s="7" t="s">
        <x:v>2213</x:v>
      </x:c>
      <x:c r="AA102" s="7" t="s">
        <x:v>58</x:v>
      </x:c>
      <x:c r="AB102" s="8" t="s">
        <x:v>58</x:v>
      </x:c>
      <x:c r="AC102" s="8" t="s">
        <x:v>58</x:v>
      </x:c>
      <x:c r="AD102" s="8" t="s">
        <x:v>58</x:v>
      </x:c>
      <x:c r="AE102" s="8" t="s">
        <x:v>58</x:v>
      </x:c>
      <x:c r="AF102" s="8" t="s">
        <x:v>58</x:v>
      </x:c>
      <x:c r="AG102" s="7" t="s">
        <x:v>58</x:v>
      </x:c>
    </x:row>
    <x:row r="103" ht="79.5" hidden="0" customHeight="1">
      <x:c r="A103" s="7" t="s">
        <x:v>2214</x:v>
      </x:c>
      <x:c r="B103" s="7" t="s">
        <x:v>111</x:v>
      </x:c>
      <x:c r="C103" s="7" t="s">
        <x:v>113</x:v>
      </x:c>
      <x:c r="D103" s="7" t="s">
        <x:v>1945</x:v>
      </x:c>
      <x:c r="E103" s="7" t="s">
        <x:v>2215</x:v>
      </x:c>
      <x:c r="F103" s="7" t="s">
        <x:v>1929</x:v>
      </x:c>
      <x:c r="G103" s="8" t="n">
        <x:v>68</x:v>
      </x:c>
      <x:c r="H103" s="8" t="n">
        <x:v>5</x:v>
      </x:c>
      <x:c r="I103" s="8" t="s">
        <x:v>58</x:v>
      </x:c>
      <x:c r="J103" s="7" t="s">
        <x:v>1919</x:v>
      </x:c>
      <x:c r="K103" s="8" t="n">
        <x:v>1</x:v>
      </x:c>
      <x:c r="L103" s="8" t="n">
        <x:f aca="0">IF(AND(ISNUMBER(G103),P103&lt;&gt;"Unresolved unit / layout"),G103*K103,"Not applicable")</x:f>
        <x:v>68</x:v>
      </x:c>
      <x:c r="M103" s="8" t="n">
        <x:f aca="0">IF(AND(ISNUMBER(H103),P103&lt;&gt;"Unresolved unit / layout"),H103*K103,"Not applicable")</x:f>
        <x:v>5</x:v>
      </x:c>
      <x:c r="N103" s="8" t="str">
        <x:f aca="0">IF(AND(ISNUMBER(I103),P103&lt;&gt;"Unresolved unit / layout"),I103*K103,"Not applicable")</x:f>
        <x:v>Not applicable</x:v>
      </x:c>
      <x:c r="O103" s="7" t="s">
        <x:v>1929</x:v>
      </x:c>
      <x:c r="P103" s="7" t="s">
        <x:v>1921</x:v>
      </x:c>
      <x:c r="Q103" s="7" t="s">
        <x:v>1930</x:v>
      </x:c>
      <x:c r="R103" s="7" t="s">
        <x:v>2003</x:v>
      </x:c>
      <x:c r="S103" s="7" t="s">
        <x:v>2077</x:v>
      </x:c>
      <x:c r="T103" s="7" t="s">
        <x:v>2183</x:v>
      </x:c>
      <x:c r="U103" s="7" t="s">
        <x:v>53</x:v>
      </x:c>
      <x:c r="V103" s="7" t="s">
        <x:v>2020</x:v>
      </x:c>
      <x:c r="W103" s="7" t="s">
        <x:v>58</x:v>
      </x:c>
      <x:c r="X103" s="7" t="s">
        <x:v>2184</x:v>
      </x:c>
      <x:c r="Y103" s="7" t="s">
        <x:v>1158</x:v>
      </x:c>
      <x:c r="Z103" s="7" t="s">
        <x:v>2216</x:v>
      </x:c>
      <x:c r="AA103" s="7" t="s">
        <x:v>58</x:v>
      </x:c>
      <x:c r="AB103" s="8" t="s">
        <x:v>58</x:v>
      </x:c>
      <x:c r="AC103" s="8" t="s">
        <x:v>58</x:v>
      </x:c>
      <x:c r="AD103" s="8" t="s">
        <x:v>58</x:v>
      </x:c>
      <x:c r="AE103" s="8" t="s">
        <x:v>58</x:v>
      </x:c>
      <x:c r="AF103" s="8" t="s">
        <x:v>58</x:v>
      </x:c>
      <x:c r="AG103" s="7" t="s">
        <x:v>58</x:v>
      </x:c>
    </x:row>
    <x:row r="104" ht="79.5" hidden="0" customHeight="1">
      <x:c r="A104" s="7" t="s">
        <x:v>2217</x:v>
      </x:c>
      <x:c r="B104" s="7" t="s">
        <x:v>111</x:v>
      </x:c>
      <x:c r="C104" s="7" t="s">
        <x:v>113</x:v>
      </x:c>
      <x:c r="D104" s="7" t="s">
        <x:v>2030</x:v>
      </x:c>
      <x:c r="E104" s="7" t="s">
        <x:v>2218</x:v>
      </x:c>
      <x:c r="F104" s="7" t="s">
        <x:v>2033</x:v>
      </x:c>
      <x:c r="G104" s="8" t="n">
        <x:v>61.2</x:v>
      </x:c>
      <x:c r="H104" s="8" t="n">
        <x:v>2.8</x:v>
      </x:c>
      <x:c r="I104" s="8" t="s">
        <x:v>58</x:v>
      </x:c>
      <x:c r="J104" s="7" t="s">
        <x:v>1919</x:v>
      </x:c>
      <x:c r="K104" s="8" t="n">
        <x:v>1</x:v>
      </x:c>
      <x:c r="L104" s="8" t="n">
        <x:f aca="0">IF(AND(ISNUMBER(G104),P104&lt;&gt;"Unresolved unit / layout"),G104*K104,"Not applicable")</x:f>
        <x:v>61.2</x:v>
      </x:c>
      <x:c r="M104" s="8" t="n">
        <x:f aca="0">IF(AND(ISNUMBER(H104),P104&lt;&gt;"Unresolved unit / layout"),H104*K104,"Not applicable")</x:f>
        <x:v>2.8</x:v>
      </x:c>
      <x:c r="N104" s="8" t="str">
        <x:f aca="0">IF(AND(ISNUMBER(I104),P104&lt;&gt;"Unresolved unit / layout"),I104*K104,"Not applicable")</x:f>
        <x:v>Not applicable</x:v>
      </x:c>
      <x:c r="O104" s="7" t="s">
        <x:v>2033</x:v>
      </x:c>
      <x:c r="P104" s="7" t="s">
        <x:v>1921</x:v>
      </x:c>
      <x:c r="Q104" s="7" t="s">
        <x:v>1930</x:v>
      </x:c>
      <x:c r="R104" s="7" t="s">
        <x:v>1931</x:v>
      </x:c>
      <x:c r="S104" s="7" t="s">
        <x:v>2077</x:v>
      </x:c>
      <x:c r="T104" s="7" t="s">
        <x:v>2183</x:v>
      </x:c>
      <x:c r="U104" s="7" t="s">
        <x:v>53</x:v>
      </x:c>
      <x:c r="V104" s="7" t="s">
        <x:v>2036</x:v>
      </x:c>
      <x:c r="W104" s="7" t="s">
        <x:v>2135</x:v>
      </x:c>
      <x:c r="X104" s="7" t="s">
        <x:v>2184</x:v>
      </x:c>
      <x:c r="Y104" s="7" t="s">
        <x:v>1158</x:v>
      </x:c>
      <x:c r="Z104" s="7" t="s">
        <x:v>2219</x:v>
      </x:c>
      <x:c r="AA104" s="7" t="s">
        <x:v>58</x:v>
      </x:c>
      <x:c r="AB104" s="8" t="s">
        <x:v>58</x:v>
      </x:c>
      <x:c r="AC104" s="8" t="s">
        <x:v>58</x:v>
      </x:c>
      <x:c r="AD104" s="8" t="s">
        <x:v>58</x:v>
      </x:c>
      <x:c r="AE104" s="8" t="s">
        <x:v>58</x:v>
      </x:c>
      <x:c r="AF104" s="8" t="s">
        <x:v>58</x:v>
      </x:c>
      <x:c r="AG104" s="7" t="s">
        <x:v>58</x:v>
      </x:c>
    </x:row>
    <x:row r="105" ht="79.5" hidden="0" customHeight="1">
      <x:c r="A105" s="7" t="s">
        <x:v>2220</x:v>
      </x:c>
      <x:c r="B105" s="7" t="s">
        <x:v>111</x:v>
      </x:c>
      <x:c r="C105" s="7" t="s">
        <x:v>113</x:v>
      </x:c>
      <x:c r="D105" s="7" t="s">
        <x:v>2030</x:v>
      </x:c>
      <x:c r="E105" s="7" t="s">
        <x:v>2221</x:v>
      </x:c>
      <x:c r="F105" s="7" t="s">
        <x:v>2033</x:v>
      </x:c>
      <x:c r="G105" s="8" t="n">
        <x:v>20.3</x:v>
      </x:c>
      <x:c r="H105" s="8" t="n">
        <x:v>1.2</x:v>
      </x:c>
      <x:c r="I105" s="8" t="s">
        <x:v>58</x:v>
      </x:c>
      <x:c r="J105" s="7" t="s">
        <x:v>1919</x:v>
      </x:c>
      <x:c r="K105" s="8" t="n">
        <x:v>1</x:v>
      </x:c>
      <x:c r="L105" s="8" t="n">
        <x:f aca="0">IF(AND(ISNUMBER(G105),P105&lt;&gt;"Unresolved unit / layout"),G105*K105,"Not applicable")</x:f>
        <x:v>20.3</x:v>
      </x:c>
      <x:c r="M105" s="8" t="n">
        <x:f aca="0">IF(AND(ISNUMBER(H105),P105&lt;&gt;"Unresolved unit / layout"),H105*K105,"Not applicable")</x:f>
        <x:v>1.2</x:v>
      </x:c>
      <x:c r="N105" s="8" t="str">
        <x:f aca="0">IF(AND(ISNUMBER(I105),P105&lt;&gt;"Unresolved unit / layout"),I105*K105,"Not applicable")</x:f>
        <x:v>Not applicable</x:v>
      </x:c>
      <x:c r="O105" s="7" t="s">
        <x:v>2033</x:v>
      </x:c>
      <x:c r="P105" s="7" t="s">
        <x:v>1921</x:v>
      </x:c>
      <x:c r="Q105" s="7" t="s">
        <x:v>1930</x:v>
      </x:c>
      <x:c r="R105" s="7" t="s">
        <x:v>1931</x:v>
      </x:c>
      <x:c r="S105" s="7" t="s">
        <x:v>2077</x:v>
      </x:c>
      <x:c r="T105" s="7" t="s">
        <x:v>2183</x:v>
      </x:c>
      <x:c r="U105" s="7" t="s">
        <x:v>53</x:v>
      </x:c>
      <x:c r="V105" s="7" t="s">
        <x:v>2036</x:v>
      </x:c>
      <x:c r="W105" s="7" t="s">
        <x:v>2139</x:v>
      </x:c>
      <x:c r="X105" s="7" t="s">
        <x:v>2184</x:v>
      </x:c>
      <x:c r="Y105" s="7" t="s">
        <x:v>1158</x:v>
      </x:c>
      <x:c r="Z105" s="7" t="s">
        <x:v>2222</x:v>
      </x:c>
      <x:c r="AA105" s="7" t="s">
        <x:v>58</x:v>
      </x:c>
      <x:c r="AB105" s="8" t="s">
        <x:v>58</x:v>
      </x:c>
      <x:c r="AC105" s="8" t="s">
        <x:v>58</x:v>
      </x:c>
      <x:c r="AD105" s="8" t="s">
        <x:v>58</x:v>
      </x:c>
      <x:c r="AE105" s="8" t="s">
        <x:v>58</x:v>
      </x:c>
      <x:c r="AF105" s="8" t="s">
        <x:v>58</x:v>
      </x:c>
      <x:c r="AG105" s="7" t="s">
        <x:v>58</x:v>
      </x:c>
    </x:row>
    <x:row r="106" ht="79.5" hidden="0" customHeight="1">
      <x:c r="A106" s="7" t="s">
        <x:v>2223</x:v>
      </x:c>
      <x:c r="B106" s="7" t="s">
        <x:v>111</x:v>
      </x:c>
      <x:c r="C106" s="7" t="s">
        <x:v>113</x:v>
      </x:c>
      <x:c r="D106" s="7" t="s">
        <x:v>2030</x:v>
      </x:c>
      <x:c r="E106" s="7" t="s">
        <x:v>2224</x:v>
      </x:c>
      <x:c r="F106" s="7" t="s">
        <x:v>2033</x:v>
      </x:c>
      <x:c r="G106" s="8" t="n">
        <x:v>23.8</x:v>
      </x:c>
      <x:c r="H106" s="8" t="n">
        <x:v>0.9</x:v>
      </x:c>
      <x:c r="I106" s="8" t="s">
        <x:v>58</x:v>
      </x:c>
      <x:c r="J106" s="7" t="s">
        <x:v>1919</x:v>
      </x:c>
      <x:c r="K106" s="8" t="n">
        <x:v>1</x:v>
      </x:c>
      <x:c r="L106" s="8" t="n">
        <x:f aca="0">IF(AND(ISNUMBER(G106),P106&lt;&gt;"Unresolved unit / layout"),G106*K106,"Not applicable")</x:f>
        <x:v>23.8</x:v>
      </x:c>
      <x:c r="M106" s="8" t="n">
        <x:f aca="0">IF(AND(ISNUMBER(H106),P106&lt;&gt;"Unresolved unit / layout"),H106*K106,"Not applicable")</x:f>
        <x:v>0.9</x:v>
      </x:c>
      <x:c r="N106" s="8" t="str">
        <x:f aca="0">IF(AND(ISNUMBER(I106),P106&lt;&gt;"Unresolved unit / layout"),I106*K106,"Not applicable")</x:f>
        <x:v>Not applicable</x:v>
      </x:c>
      <x:c r="O106" s="7" t="s">
        <x:v>2033</x:v>
      </x:c>
      <x:c r="P106" s="7" t="s">
        <x:v>1921</x:v>
      </x:c>
      <x:c r="Q106" s="7" t="s">
        <x:v>1930</x:v>
      </x:c>
      <x:c r="R106" s="7" t="s">
        <x:v>2003</x:v>
      </x:c>
      <x:c r="S106" s="7" t="s">
        <x:v>2077</x:v>
      </x:c>
      <x:c r="T106" s="7" t="s">
        <x:v>2183</x:v>
      </x:c>
      <x:c r="U106" s="7" t="s">
        <x:v>53</x:v>
      </x:c>
      <x:c r="V106" s="7" t="s">
        <x:v>2036</x:v>
      </x:c>
      <x:c r="W106" s="7" t="s">
        <x:v>53</x:v>
      </x:c>
      <x:c r="X106" s="7" t="s">
        <x:v>2184</x:v>
      </x:c>
      <x:c r="Y106" s="7" t="s">
        <x:v>1158</x:v>
      </x:c>
      <x:c r="Z106" s="7" t="s">
        <x:v>2225</x:v>
      </x:c>
      <x:c r="AA106" s="7" t="s">
        <x:v>58</x:v>
      </x:c>
      <x:c r="AB106" s="8" t="s">
        <x:v>58</x:v>
      </x:c>
      <x:c r="AC106" s="8" t="s">
        <x:v>58</x:v>
      </x:c>
      <x:c r="AD106" s="8" t="s">
        <x:v>58</x:v>
      </x:c>
      <x:c r="AE106" s="8" t="s">
        <x:v>58</x:v>
      </x:c>
      <x:c r="AF106" s="8" t="s">
        <x:v>58</x:v>
      </x:c>
      <x:c r="AG106" s="7" t="s">
        <x:v>58</x:v>
      </x:c>
    </x:row>
    <x:row r="107" ht="79.5" hidden="0" customHeight="1">
      <x:c r="A107" s="7" t="s">
        <x:v>2226</x:v>
      </x:c>
      <x:c r="B107" s="7" t="s">
        <x:v>122</x:v>
      </x:c>
      <x:c r="C107" s="7" t="s">
        <x:v>124</x:v>
      </x:c>
      <x:c r="D107" s="7" t="s">
        <x:v>1916</x:v>
      </x:c>
      <x:c r="E107" s="7" t="s">
        <x:v>2227</x:v>
      </x:c>
      <x:c r="F107" s="7" t="s">
        <x:v>2076</x:v>
      </x:c>
      <x:c r="G107" s="8" t="n">
        <x:v>1.21</x:v>
      </x:c>
      <x:c r="H107" s="8" t="s">
        <x:v>58</x:v>
      </x:c>
      <x:c r="I107" s="8" t="s">
        <x:v>58</x:v>
      </x:c>
      <x:c r="J107" s="7" t="s">
        <x:v>1919</x:v>
      </x:c>
      <x:c r="K107" s="8" t="n">
        <x:v>1000</x:v>
      </x:c>
      <x:c r="L107" s="8" t="n">
        <x:f aca="0">IF(AND(ISNUMBER(G107),P107&lt;&gt;"Unresolved unit / layout"),G107*K107,"Not applicable")</x:f>
        <x:v>1210</x:v>
      </x:c>
      <x:c r="M107" s="8" t="str">
        <x:f aca="0">IF(AND(ISNUMBER(H107),P107&lt;&gt;"Unresolved unit / layout"),H107*K107,"Not applicable")</x:f>
        <x:v>Not applicable</x:v>
      </x:c>
      <x:c r="N107" s="8" t="str">
        <x:f aca="0">IF(AND(ISNUMBER(I107),P107&lt;&gt;"Unresolved unit / layout"),I107*K107,"Not applicable")</x:f>
        <x:v>Not applicable</x:v>
      </x:c>
      <x:c r="O107" s="7" t="s">
        <x:v>1920</x:v>
      </x:c>
      <x:c r="P107" s="7" t="s">
        <x:v>1921</x:v>
      </x:c>
      <x:c r="Q107" s="7" t="s">
        <x:v>1922</x:v>
      </x:c>
      <x:c r="R107" s="7" t="s">
        <x:v>58</x:v>
      </x:c>
      <x:c r="S107" s="7" t="s">
        <x:v>53</x:v>
      </x:c>
      <x:c r="T107" s="7" t="s">
        <x:v>53</x:v>
      </x:c>
      <x:c r="U107" s="7" t="s">
        <x:v>53</x:v>
      </x:c>
      <x:c r="V107" s="7" t="s">
        <x:v>1923</x:v>
      </x:c>
      <x:c r="W107" s="7" t="s">
        <x:v>58</x:v>
      </x:c>
      <x:c r="X107" s="7" t="s">
        <x:v>2228</x:v>
      </x:c>
      <x:c r="Y107" s="7" t="s">
        <x:v>1160</x:v>
      </x:c>
      <x:c r="Z107" s="7" t="s">
        <x:v>1968</x:v>
      </x:c>
      <x:c r="AA107" s="7" t="s">
        <x:v>58</x:v>
      </x:c>
      <x:c r="AB107" s="8" t="s">
        <x:v>58</x:v>
      </x:c>
      <x:c r="AC107" s="8" t="s">
        <x:v>58</x:v>
      </x:c>
      <x:c r="AD107" s="8" t="s">
        <x:v>58</x:v>
      </x:c>
      <x:c r="AE107" s="8" t="s">
        <x:v>58</x:v>
      </x:c>
      <x:c r="AF107" s="8" t="s">
        <x:v>58</x:v>
      </x:c>
      <x:c r="AG107" s="7" t="s">
        <x:v>58</x:v>
      </x:c>
    </x:row>
    <x:row r="108" ht="79.5" hidden="0" customHeight="1">
      <x:c r="A108" s="7" t="s">
        <x:v>2229</x:v>
      </x:c>
      <x:c r="B108" s="7" t="s">
        <x:v>122</x:v>
      </x:c>
      <x:c r="C108" s="7" t="s">
        <x:v>124</x:v>
      </x:c>
      <x:c r="D108" s="7" t="s">
        <x:v>1974</x:v>
      </x:c>
      <x:c r="E108" s="7" t="s">
        <x:v>2230</x:v>
      </x:c>
      <x:c r="F108" s="7" t="s">
        <x:v>1956</x:v>
      </x:c>
      <x:c r="G108" s="8" t="n">
        <x:v>151</x:v>
      </x:c>
      <x:c r="H108" s="8" t="s">
        <x:v>58</x:v>
      </x:c>
      <x:c r="I108" s="8" t="s">
        <x:v>58</x:v>
      </x:c>
      <x:c r="J108" s="7" t="s">
        <x:v>1919</x:v>
      </x:c>
      <x:c r="K108" s="8" t="n">
        <x:v>1</x:v>
      </x:c>
      <x:c r="L108" s="8" t="n">
        <x:f aca="0">IF(AND(ISNUMBER(G108),P108&lt;&gt;"Unresolved unit / layout"),G108*K108,"Not applicable")</x:f>
        <x:v>151</x:v>
      </x:c>
      <x:c r="M108" s="8" t="str">
        <x:f aca="0">IF(AND(ISNUMBER(H108),P108&lt;&gt;"Unresolved unit / layout"),H108*K108,"Not applicable")</x:f>
        <x:v>Not applicable</x:v>
      </x:c>
      <x:c r="N108" s="8" t="str">
        <x:f aca="0">IF(AND(ISNUMBER(I108),P108&lt;&gt;"Unresolved unit / layout"),I108*K108,"Not applicable")</x:f>
        <x:v>Not applicable</x:v>
      </x:c>
      <x:c r="O108" s="7" t="s">
        <x:v>1956</x:v>
      </x:c>
      <x:c r="P108" s="7" t="s">
        <x:v>1921</x:v>
      </x:c>
      <x:c r="Q108" s="7" t="s">
        <x:v>2064</x:v>
      </x:c>
      <x:c r="R108" s="7" t="s">
        <x:v>58</x:v>
      </x:c>
      <x:c r="S108" s="7" t="s">
        <x:v>53</x:v>
      </x:c>
      <x:c r="T108" s="7" t="s">
        <x:v>53</x:v>
      </x:c>
      <x:c r="U108" s="7" t="s">
        <x:v>53</x:v>
      </x:c>
      <x:c r="V108" s="7" t="s">
        <x:v>2082</x:v>
      </x:c>
      <x:c r="W108" s="7" t="s">
        <x:v>58</x:v>
      </x:c>
      <x:c r="X108" s="7" t="s">
        <x:v>2228</x:v>
      </x:c>
      <x:c r="Y108" s="7" t="s">
        <x:v>1160</x:v>
      </x:c>
      <x:c r="Z108" s="7" t="s">
        <x:v>2083</x:v>
      </x:c>
      <x:c r="AA108" s="7" t="s">
        <x:v>58</x:v>
      </x:c>
      <x:c r="AB108" s="8" t="s">
        <x:v>58</x:v>
      </x:c>
      <x:c r="AC108" s="8" t="s">
        <x:v>58</x:v>
      </x:c>
      <x:c r="AD108" s="8" t="s">
        <x:v>58</x:v>
      </x:c>
      <x:c r="AE108" s="8" t="s">
        <x:v>58</x:v>
      </x:c>
      <x:c r="AF108" s="8" t="s">
        <x:v>58</x:v>
      </x:c>
      <x:c r="AG108" s="7" t="s">
        <x:v>58</x:v>
      </x:c>
    </x:row>
    <x:row r="109" ht="79.5" hidden="0" customHeight="1">
      <x:c r="A109" s="7" t="s">
        <x:v>2231</x:v>
      </x:c>
      <x:c r="B109" s="7" t="s">
        <x:v>122</x:v>
      </x:c>
      <x:c r="C109" s="7" t="s">
        <x:v>124</x:v>
      </x:c>
      <x:c r="D109" s="7" t="s">
        <x:v>1954</x:v>
      </x:c>
      <x:c r="E109" s="7" t="s">
        <x:v>1983</x:v>
      </x:c>
      <x:c r="F109" s="7" t="s">
        <x:v>1956</x:v>
      </x:c>
      <x:c r="G109" s="8" t="n">
        <x:v>61</x:v>
      </x:c>
      <x:c r="H109" s="8" t="s">
        <x:v>58</x:v>
      </x:c>
      <x:c r="I109" s="8" t="s">
        <x:v>58</x:v>
      </x:c>
      <x:c r="J109" s="7" t="s">
        <x:v>1919</x:v>
      </x:c>
      <x:c r="K109" s="8" t="n">
        <x:v>1</x:v>
      </x:c>
      <x:c r="L109" s="8" t="n">
        <x:f aca="0">IF(AND(ISNUMBER(G109),P109&lt;&gt;"Unresolved unit / layout"),G109*K109,"Not applicable")</x:f>
        <x:v>61</x:v>
      </x:c>
      <x:c r="M109" s="8" t="str">
        <x:f aca="0">IF(AND(ISNUMBER(H109),P109&lt;&gt;"Unresolved unit / layout"),H109*K109,"Not applicable")</x:f>
        <x:v>Not applicable</x:v>
      </x:c>
      <x:c r="N109" s="8" t="str">
        <x:f aca="0">IF(AND(ISNUMBER(I109),P109&lt;&gt;"Unresolved unit / layout"),I109*K109,"Not applicable")</x:f>
        <x:v>Not applicable</x:v>
      </x:c>
      <x:c r="O109" s="7" t="s">
        <x:v>1956</x:v>
      </x:c>
      <x:c r="P109" s="7" t="s">
        <x:v>1921</x:v>
      </x:c>
      <x:c r="Q109" s="7" t="s">
        <x:v>2064</x:v>
      </x:c>
      <x:c r="R109" s="7" t="s">
        <x:v>58</x:v>
      </x:c>
      <x:c r="S109" s="7" t="s">
        <x:v>53</x:v>
      </x:c>
      <x:c r="T109" s="7" t="s">
        <x:v>53</x:v>
      </x:c>
      <x:c r="U109" s="7" t="s">
        <x:v>53</x:v>
      </x:c>
      <x:c r="V109" s="7" t="s">
        <x:v>2082</x:v>
      </x:c>
      <x:c r="W109" s="7" t="s">
        <x:v>58</x:v>
      </x:c>
      <x:c r="X109" s="7" t="s">
        <x:v>2228</x:v>
      </x:c>
      <x:c r="Y109" s="7" t="s">
        <x:v>1160</x:v>
      </x:c>
      <x:c r="Z109" s="7" t="s">
        <x:v>2086</x:v>
      </x:c>
      <x:c r="AA109" s="7" t="s">
        <x:v>58</x:v>
      </x:c>
      <x:c r="AB109" s="8" t="s">
        <x:v>58</x:v>
      </x:c>
      <x:c r="AC109" s="8" t="s">
        <x:v>58</x:v>
      </x:c>
      <x:c r="AD109" s="8" t="s">
        <x:v>58</x:v>
      </x:c>
      <x:c r="AE109" s="8" t="s">
        <x:v>58</x:v>
      </x:c>
      <x:c r="AF109" s="8" t="s">
        <x:v>58</x:v>
      </x:c>
      <x:c r="AG109" s="7" t="s">
        <x:v>58</x:v>
      </x:c>
    </x:row>
    <x:row r="110" ht="79.5" hidden="0" customHeight="1">
      <x:c r="A110" s="7" t="s">
        <x:v>2232</x:v>
      </x:c>
      <x:c r="B110" s="7" t="s">
        <x:v>122</x:v>
      </x:c>
      <x:c r="C110" s="7" t="s">
        <x:v>124</x:v>
      </x:c>
      <x:c r="D110" s="7" t="s">
        <x:v>1982</x:v>
      </x:c>
      <x:c r="E110" s="7" t="s">
        <x:v>2233</x:v>
      </x:c>
      <x:c r="F110" s="7" t="s">
        <x:v>1956</x:v>
      </x:c>
      <x:c r="G110" s="8" t="n">
        <x:v>62</x:v>
      </x:c>
      <x:c r="H110" s="8" t="s">
        <x:v>58</x:v>
      </x:c>
      <x:c r="I110" s="8" t="s">
        <x:v>58</x:v>
      </x:c>
      <x:c r="J110" s="7" t="s">
        <x:v>1919</x:v>
      </x:c>
      <x:c r="K110" s="8" t="n">
        <x:v>1</x:v>
      </x:c>
      <x:c r="L110" s="8" t="n">
        <x:f aca="0">IF(AND(ISNUMBER(G110),P110&lt;&gt;"Unresolved unit / layout"),G110*K110,"Not applicable")</x:f>
        <x:v>62</x:v>
      </x:c>
      <x:c r="M110" s="8" t="str">
        <x:f aca="0">IF(AND(ISNUMBER(H110),P110&lt;&gt;"Unresolved unit / layout"),H110*K110,"Not applicable")</x:f>
        <x:v>Not applicable</x:v>
      </x:c>
      <x:c r="N110" s="8" t="str">
        <x:f aca="0">IF(AND(ISNUMBER(I110),P110&lt;&gt;"Unresolved unit / layout"),I110*K110,"Not applicable")</x:f>
        <x:v>Not applicable</x:v>
      </x:c>
      <x:c r="O110" s="7" t="s">
        <x:v>1956</x:v>
      </x:c>
      <x:c r="P110" s="7" t="s">
        <x:v>1921</x:v>
      </x:c>
      <x:c r="Q110" s="7" t="s">
        <x:v>2064</x:v>
      </x:c>
      <x:c r="R110" s="7" t="s">
        <x:v>58</x:v>
      </x:c>
      <x:c r="S110" s="7" t="s">
        <x:v>53</x:v>
      </x:c>
      <x:c r="T110" s="7" t="s">
        <x:v>53</x:v>
      </x:c>
      <x:c r="U110" s="7" t="s">
        <x:v>53</x:v>
      </x:c>
      <x:c r="V110" s="7" t="s">
        <x:v>1984</x:v>
      </x:c>
      <x:c r="W110" s="7" t="s">
        <x:v>58</x:v>
      </x:c>
      <x:c r="X110" s="7" t="s">
        <x:v>2228</x:v>
      </x:c>
      <x:c r="Y110" s="7" t="s">
        <x:v>1160</x:v>
      </x:c>
      <x:c r="Z110" s="7" t="s">
        <x:v>2234</x:v>
      </x:c>
      <x:c r="AA110" s="7" t="s">
        <x:v>58</x:v>
      </x:c>
      <x:c r="AB110" s="8" t="s">
        <x:v>58</x:v>
      </x:c>
      <x:c r="AC110" s="8" t="s">
        <x:v>58</x:v>
      </x:c>
      <x:c r="AD110" s="8" t="s">
        <x:v>58</x:v>
      </x:c>
      <x:c r="AE110" s="8" t="s">
        <x:v>58</x:v>
      </x:c>
      <x:c r="AF110" s="8" t="s">
        <x:v>58</x:v>
      </x:c>
      <x:c r="AG110" s="7" t="s">
        <x:v>58</x:v>
      </x:c>
    </x:row>
    <x:row r="111" ht="79.5" hidden="0" customHeight="1">
      <x:c r="A111" s="7" t="s">
        <x:v>2235</x:v>
      </x:c>
      <x:c r="B111" s="7" t="s">
        <x:v>122</x:v>
      </x:c>
      <x:c r="C111" s="7" t="s">
        <x:v>124</x:v>
      </x:c>
      <x:c r="D111" s="7" t="s">
        <x:v>1959</x:v>
      </x:c>
      <x:c r="E111" s="7" t="s">
        <x:v>2154</x:v>
      </x:c>
      <x:c r="F111" s="7" t="s">
        <x:v>1956</x:v>
      </x:c>
      <x:c r="G111" s="8" t="n">
        <x:v>58</x:v>
      </x:c>
      <x:c r="H111" s="8" t="s">
        <x:v>58</x:v>
      </x:c>
      <x:c r="I111" s="8" t="s">
        <x:v>58</x:v>
      </x:c>
      <x:c r="J111" s="7" t="s">
        <x:v>1919</x:v>
      </x:c>
      <x:c r="K111" s="8" t="n">
        <x:v>1</x:v>
      </x:c>
      <x:c r="L111" s="8" t="n">
        <x:f aca="0">IF(AND(ISNUMBER(G111),P111&lt;&gt;"Unresolved unit / layout"),G111*K111,"Not applicable")</x:f>
        <x:v>58</x:v>
      </x:c>
      <x:c r="M111" s="8" t="str">
        <x:f aca="0">IF(AND(ISNUMBER(H111),P111&lt;&gt;"Unresolved unit / layout"),H111*K111,"Not applicable")</x:f>
        <x:v>Not applicable</x:v>
      </x:c>
      <x:c r="N111" s="8" t="str">
        <x:f aca="0">IF(AND(ISNUMBER(I111),P111&lt;&gt;"Unresolved unit / layout"),I111*K111,"Not applicable")</x:f>
        <x:v>Not applicable</x:v>
      </x:c>
      <x:c r="O111" s="7" t="s">
        <x:v>1956</x:v>
      </x:c>
      <x:c r="P111" s="7" t="s">
        <x:v>1921</x:v>
      </x:c>
      <x:c r="Q111" s="7" t="s">
        <x:v>2064</x:v>
      </x:c>
      <x:c r="R111" s="7" t="s">
        <x:v>58</x:v>
      </x:c>
      <x:c r="S111" s="7" t="s">
        <x:v>53</x:v>
      </x:c>
      <x:c r="T111" s="7" t="s">
        <x:v>53</x:v>
      </x:c>
      <x:c r="U111" s="7" t="s">
        <x:v>53</x:v>
      </x:c>
      <x:c r="V111" s="7" t="s">
        <x:v>2095</x:v>
      </x:c>
      <x:c r="W111" s="7" t="s">
        <x:v>58</x:v>
      </x:c>
      <x:c r="X111" s="7" t="s">
        <x:v>2228</x:v>
      </x:c>
      <x:c r="Y111" s="7" t="s">
        <x:v>1160</x:v>
      </x:c>
      <x:c r="Z111" s="7" t="s">
        <x:v>2096</x:v>
      </x:c>
      <x:c r="AA111" s="7" t="s">
        <x:v>58</x:v>
      </x:c>
      <x:c r="AB111" s="8" t="s">
        <x:v>58</x:v>
      </x:c>
      <x:c r="AC111" s="8" t="s">
        <x:v>58</x:v>
      </x:c>
      <x:c r="AD111" s="8" t="s">
        <x:v>58</x:v>
      </x:c>
      <x:c r="AE111" s="8" t="s">
        <x:v>58</x:v>
      </x:c>
      <x:c r="AF111" s="8" t="s">
        <x:v>58</x:v>
      </x:c>
      <x:c r="AG111" s="7" t="s">
        <x:v>58</x:v>
      </x:c>
    </x:row>
    <x:row r="112" ht="79.5" hidden="0" customHeight="1">
      <x:c r="A112" s="7" t="s">
        <x:v>130</x:v>
      </x:c>
      <x:c r="B112" s="7" t="s">
        <x:v>122</x:v>
      </x:c>
      <x:c r="C112" s="7" t="s">
        <x:v>124</x:v>
      </x:c>
      <x:c r="D112" s="7" t="s">
        <x:v>1959</x:v>
      </x:c>
      <x:c r="E112" s="7" t="s">
        <x:v>1983</x:v>
      </x:c>
      <x:c r="F112" s="7" t="s">
        <x:v>1956</x:v>
      </x:c>
      <x:c r="G112" s="8" t="n">
        <x:v>61</x:v>
      </x:c>
      <x:c r="H112" s="8" t="s">
        <x:v>58</x:v>
      </x:c>
      <x:c r="I112" s="8" t="s">
        <x:v>58</x:v>
      </x:c>
      <x:c r="J112" s="7" t="s">
        <x:v>1919</x:v>
      </x:c>
      <x:c r="K112" s="8" t="n">
        <x:v>1</x:v>
      </x:c>
      <x:c r="L112" s="8" t="n">
        <x:f aca="0">IF(AND(ISNUMBER(G112),P112&lt;&gt;"Unresolved unit / layout"),G112*K112,"Not applicable")</x:f>
        <x:v>61</x:v>
      </x:c>
      <x:c r="M112" s="8" t="str">
        <x:f aca="0">IF(AND(ISNUMBER(H112),P112&lt;&gt;"Unresolved unit / layout"),H112*K112,"Not applicable")</x:f>
        <x:v>Not applicable</x:v>
      </x:c>
      <x:c r="N112" s="8" t="str">
        <x:f aca="0">IF(AND(ISNUMBER(I112),P112&lt;&gt;"Unresolved unit / layout"),I112*K112,"Not applicable")</x:f>
        <x:v>Not applicable</x:v>
      </x:c>
      <x:c r="O112" s="7" t="s">
        <x:v>1956</x:v>
      </x:c>
      <x:c r="P112" s="7" t="s">
        <x:v>1921</x:v>
      </x:c>
      <x:c r="Q112" s="7" t="s">
        <x:v>2064</x:v>
      </x:c>
      <x:c r="R112" s="7" t="s">
        <x:v>58</x:v>
      </x:c>
      <x:c r="S112" s="7" t="s">
        <x:v>53</x:v>
      </x:c>
      <x:c r="T112" s="7" t="s">
        <x:v>53</x:v>
      </x:c>
      <x:c r="U112" s="7" t="s">
        <x:v>53</x:v>
      </x:c>
      <x:c r="V112" s="7" t="s">
        <x:v>2097</x:v>
      </x:c>
      <x:c r="W112" s="7" t="s">
        <x:v>58</x:v>
      </x:c>
      <x:c r="X112" s="7" t="s">
        <x:v>2228</x:v>
      </x:c>
      <x:c r="Y112" s="7" t="s">
        <x:v>1160</x:v>
      </x:c>
      <x:c r="Z112" s="7" t="s">
        <x:v>2096</x:v>
      </x:c>
      <x:c r="AA112" s="7" t="s">
        <x:v>58</x:v>
      </x:c>
      <x:c r="AB112" s="8" t="s">
        <x:v>58</x:v>
      </x:c>
      <x:c r="AC112" s="8" t="s">
        <x:v>58</x:v>
      </x:c>
      <x:c r="AD112" s="8" t="s">
        <x:v>58</x:v>
      </x:c>
      <x:c r="AE112" s="8" t="s">
        <x:v>58</x:v>
      </x:c>
      <x:c r="AF112" s="8" t="s">
        <x:v>58</x:v>
      </x:c>
      <x:c r="AG112" s="7" t="s">
        <x:v>58</x:v>
      </x:c>
    </x:row>
    <x:row r="113" ht="79.5" hidden="0" customHeight="1">
      <x:c r="A113" s="7" t="s">
        <x:v>2236</x:v>
      </x:c>
      <x:c r="B113" s="7" t="s">
        <x:v>122</x:v>
      </x:c>
      <x:c r="C113" s="7" t="s">
        <x:v>124</x:v>
      </x:c>
      <x:c r="D113" s="7" t="s">
        <x:v>2099</x:v>
      </x:c>
      <x:c r="E113" s="7" t="s">
        <x:v>2237</x:v>
      </x:c>
      <x:c r="F113" s="7" t="s">
        <x:v>1942</x:v>
      </x:c>
      <x:c r="G113" s="8" t="n">
        <x:v>0.27</x:v>
      </x:c>
      <x:c r="H113" s="8" t="s">
        <x:v>58</x:v>
      </x:c>
      <x:c r="I113" s="8" t="s">
        <x:v>58</x:v>
      </x:c>
      <x:c r="J113" s="7" t="s">
        <x:v>1919</x:v>
      </x:c>
      <x:c r="K113" s="8" t="n">
        <x:v>1</x:v>
      </x:c>
      <x:c r="L113" s="8" t="n">
        <x:f aca="0">IF(AND(ISNUMBER(G113),P113&lt;&gt;"Unresolved unit / layout"),G113*K113,"Not applicable")</x:f>
        <x:v>0.27</x:v>
      </x:c>
      <x:c r="M113" s="8" t="str">
        <x:f aca="0">IF(AND(ISNUMBER(H113),P113&lt;&gt;"Unresolved unit / layout"),H113*K113,"Not applicable")</x:f>
        <x:v>Not applicable</x:v>
      </x:c>
      <x:c r="N113" s="8" t="str">
        <x:f aca="0">IF(AND(ISNUMBER(I113),P113&lt;&gt;"Unresolved unit / layout"),I113*K113,"Not applicable")</x:f>
        <x:v>Not applicable</x:v>
      </x:c>
      <x:c r="O113" s="7" t="s">
        <x:v>1942</x:v>
      </x:c>
      <x:c r="P113" s="7" t="s">
        <x:v>1921</x:v>
      </x:c>
      <x:c r="Q113" s="7" t="s">
        <x:v>2064</x:v>
      </x:c>
      <x:c r="R113" s="7" t="s">
        <x:v>58</x:v>
      </x:c>
      <x:c r="S113" s="7" t="s">
        <x:v>53</x:v>
      </x:c>
      <x:c r="T113" s="7" t="s">
        <x:v>53</x:v>
      </x:c>
      <x:c r="U113" s="7" t="s">
        <x:v>53</x:v>
      </x:c>
      <x:c r="V113" s="7" t="s">
        <x:v>2238</x:v>
      </x:c>
      <x:c r="W113" s="7" t="s">
        <x:v>58</x:v>
      </x:c>
      <x:c r="X113" s="7" t="s">
        <x:v>2228</x:v>
      </x:c>
      <x:c r="Y113" s="7" t="s">
        <x:v>1160</x:v>
      </x:c>
      <x:c r="Z113" s="7" t="s">
        <x:v>2239</x:v>
      </x:c>
      <x:c r="AA113" s="7" t="s">
        <x:v>58</x:v>
      </x:c>
      <x:c r="AB113" s="8" t="s">
        <x:v>58</x:v>
      </x:c>
      <x:c r="AC113" s="8" t="s">
        <x:v>58</x:v>
      </x:c>
      <x:c r="AD113" s="8" t="s">
        <x:v>58</x:v>
      </x:c>
      <x:c r="AE113" s="8" t="s">
        <x:v>58</x:v>
      </x:c>
      <x:c r="AF113" s="8" t="s">
        <x:v>58</x:v>
      </x:c>
      <x:c r="AG113" s="7" t="s">
        <x:v>58</x:v>
      </x:c>
    </x:row>
    <x:row r="114" ht="79.5" hidden="0" customHeight="1">
      <x:c r="A114" s="7" t="s">
        <x:v>2240</x:v>
      </x:c>
      <x:c r="B114" s="7" t="s">
        <x:v>122</x:v>
      </x:c>
      <x:c r="C114" s="7" t="s">
        <x:v>124</x:v>
      </x:c>
      <x:c r="D114" s="7" t="s">
        <x:v>1935</x:v>
      </x:c>
      <x:c r="E114" s="7" t="s">
        <x:v>2241</x:v>
      </x:c>
      <x:c r="F114" s="7" t="s">
        <x:v>1929</x:v>
      </x:c>
      <x:c r="G114" s="8" t="n">
        <x:v>1860</x:v>
      </x:c>
      <x:c r="H114" s="8" t="n">
        <x:v>70</x:v>
      </x:c>
      <x:c r="I114" s="8" t="s">
        <x:v>58</x:v>
      </x:c>
      <x:c r="J114" s="7" t="s">
        <x:v>1919</x:v>
      </x:c>
      <x:c r="K114" s="8" t="n">
        <x:v>0.001</x:v>
      </x:c>
      <x:c r="L114" s="8" t="n">
        <x:f aca="0">IF(AND(ISNUMBER(G114),P114&lt;&gt;"Unresolved unit / layout"),G114*K114,"Not applicable")</x:f>
        <x:v>1.86</x:v>
      </x:c>
      <x:c r="M114" s="8" t="n">
        <x:f aca="0">IF(AND(ISNUMBER(H114),P114&lt;&gt;"Unresolved unit / layout"),H114*K114,"Not applicable")</x:f>
        <x:v>0.07</x:v>
      </x:c>
      <x:c r="N114" s="8" t="str">
        <x:f aca="0">IF(AND(ISNUMBER(I114),P114&lt;&gt;"Unresolved unit / layout"),I114*K114,"Not applicable")</x:f>
        <x:v>Not applicable</x:v>
      </x:c>
      <x:c r="O114" s="7" t="s">
        <x:v>1937</x:v>
      </x:c>
      <x:c r="P114" s="7" t="s">
        <x:v>1921</x:v>
      </x:c>
      <x:c r="Q114" s="7" t="s">
        <x:v>2064</x:v>
      </x:c>
      <x:c r="R114" s="7" t="s">
        <x:v>1931</x:v>
      </x:c>
      <x:c r="S114" s="7" t="s">
        <x:v>53</x:v>
      </x:c>
      <x:c r="T114" s="7" t="s">
        <x:v>53</x:v>
      </x:c>
      <x:c r="U114" s="7" t="s">
        <x:v>53</x:v>
      </x:c>
      <x:c r="V114" s="7" t="s">
        <x:v>1999</x:v>
      </x:c>
      <x:c r="W114" s="7" t="s">
        <x:v>58</x:v>
      </x:c>
      <x:c r="X114" s="7" t="s">
        <x:v>2228</x:v>
      </x:c>
      <x:c r="Y114" s="7" t="s">
        <x:v>1160</x:v>
      </x:c>
      <x:c r="Z114" s="7" t="s">
        <x:v>2105</x:v>
      </x:c>
      <x:c r="AA114" s="7" t="s">
        <x:v>58</x:v>
      </x:c>
      <x:c r="AB114" s="8" t="s">
        <x:v>58</x:v>
      </x:c>
      <x:c r="AC114" s="8" t="s">
        <x:v>58</x:v>
      </x:c>
      <x:c r="AD114" s="8" t="s">
        <x:v>58</x:v>
      </x:c>
      <x:c r="AE114" s="8" t="s">
        <x:v>58</x:v>
      </x:c>
      <x:c r="AF114" s="8" t="s">
        <x:v>58</x:v>
      </x:c>
      <x:c r="AG114" s="7" t="s">
        <x:v>58</x:v>
      </x:c>
    </x:row>
    <x:row r="115" ht="79.5" hidden="0" customHeight="1">
      <x:c r="A115" s="7" t="s">
        <x:v>2242</x:v>
      </x:c>
      <x:c r="B115" s="7" t="s">
        <x:v>122</x:v>
      </x:c>
      <x:c r="C115" s="7" t="s">
        <x:v>124</x:v>
      </x:c>
      <x:c r="D115" s="7" t="s">
        <x:v>1935</x:v>
      </x:c>
      <x:c r="E115" s="7" t="s">
        <x:v>2243</x:v>
      </x:c>
      <x:c r="F115" s="7" t="s">
        <x:v>1929</x:v>
      </x:c>
      <x:c r="G115" s="8" t="n">
        <x:v>1920</x:v>
      </x:c>
      <x:c r="H115" s="8" t="n">
        <x:v>20</x:v>
      </x:c>
      <x:c r="I115" s="8" t="s">
        <x:v>58</x:v>
      </x:c>
      <x:c r="J115" s="7" t="s">
        <x:v>1919</x:v>
      </x:c>
      <x:c r="K115" s="8" t="n">
        <x:v>0.001</x:v>
      </x:c>
      <x:c r="L115" s="8" t="n">
        <x:f aca="0">IF(AND(ISNUMBER(G115),P115&lt;&gt;"Unresolved unit / layout"),G115*K115,"Not applicable")</x:f>
        <x:v>1.92</x:v>
      </x:c>
      <x:c r="M115" s="8" t="n">
        <x:f aca="0">IF(AND(ISNUMBER(H115),P115&lt;&gt;"Unresolved unit / layout"),H115*K115,"Not applicable")</x:f>
        <x:v>0.02</x:v>
      </x:c>
      <x:c r="N115" s="8" t="str">
        <x:f aca="0">IF(AND(ISNUMBER(I115),P115&lt;&gt;"Unresolved unit / layout"),I115*K115,"Not applicable")</x:f>
        <x:v>Not applicable</x:v>
      </x:c>
      <x:c r="O115" s="7" t="s">
        <x:v>1937</x:v>
      </x:c>
      <x:c r="P115" s="7" t="s">
        <x:v>1921</x:v>
      </x:c>
      <x:c r="Q115" s="7" t="s">
        <x:v>2064</x:v>
      </x:c>
      <x:c r="R115" s="7" t="s">
        <x:v>2003</x:v>
      </x:c>
      <x:c r="S115" s="7" t="s">
        <x:v>53</x:v>
      </x:c>
      <x:c r="T115" s="7" t="s">
        <x:v>53</x:v>
      </x:c>
      <x:c r="U115" s="7" t="s">
        <x:v>53</x:v>
      </x:c>
      <x:c r="V115" s="7" t="s">
        <x:v>1999</x:v>
      </x:c>
      <x:c r="W115" s="7" t="s">
        <x:v>58</x:v>
      </x:c>
      <x:c r="X115" s="7" t="s">
        <x:v>2228</x:v>
      </x:c>
      <x:c r="Y115" s="7" t="s">
        <x:v>1160</x:v>
      </x:c>
      <x:c r="Z115" s="7" t="s">
        <x:v>2108</x:v>
      </x:c>
      <x:c r="AA115" s="7" t="s">
        <x:v>58</x:v>
      </x:c>
      <x:c r="AB115" s="8" t="s">
        <x:v>58</x:v>
      </x:c>
      <x:c r="AC115" s="8" t="s">
        <x:v>58</x:v>
      </x:c>
      <x:c r="AD115" s="8" t="s">
        <x:v>58</x:v>
      </x:c>
      <x:c r="AE115" s="8" t="s">
        <x:v>58</x:v>
      </x:c>
      <x:c r="AF115" s="8" t="s">
        <x:v>58</x:v>
      </x:c>
      <x:c r="AG115" s="7" t="s">
        <x:v>58</x:v>
      </x:c>
    </x:row>
    <x:row r="116" ht="79.5" hidden="0" customHeight="1">
      <x:c r="A116" s="7" t="s">
        <x:v>2244</x:v>
      </x:c>
      <x:c r="B116" s="7" t="s">
        <x:v>122</x:v>
      </x:c>
      <x:c r="C116" s="7" t="s">
        <x:v>124</x:v>
      </x:c>
      <x:c r="D116" s="7" t="s">
        <x:v>2006</x:v>
      </x:c>
      <x:c r="E116" s="7" t="s">
        <x:v>2245</x:v>
      </x:c>
      <x:c r="F116" s="7" t="s">
        <x:v>1929</x:v>
      </x:c>
      <x:c r="G116" s="8" t="n">
        <x:v>34.9</x:v>
      </x:c>
      <x:c r="H116" s="8" t="n">
        <x:v>1</x:v>
      </x:c>
      <x:c r="I116" s="8" t="s">
        <x:v>58</x:v>
      </x:c>
      <x:c r="J116" s="7" t="s">
        <x:v>1919</x:v>
      </x:c>
      <x:c r="K116" s="8" t="n">
        <x:v>1</x:v>
      </x:c>
      <x:c r="L116" s="8" t="n">
        <x:f aca="0">IF(AND(ISNUMBER(G116),P116&lt;&gt;"Unresolved unit / layout"),G116*K116,"Not applicable")</x:f>
        <x:v>34.9</x:v>
      </x:c>
      <x:c r="M116" s="8" t="n">
        <x:f aca="0">IF(AND(ISNUMBER(H116),P116&lt;&gt;"Unresolved unit / layout"),H116*K116,"Not applicable")</x:f>
        <x:v>1</x:v>
      </x:c>
      <x:c r="N116" s="8" t="str">
        <x:f aca="0">IF(AND(ISNUMBER(I116),P116&lt;&gt;"Unresolved unit / layout"),I116*K116,"Not applicable")</x:f>
        <x:v>Not applicable</x:v>
      </x:c>
      <x:c r="O116" s="7" t="s">
        <x:v>1929</x:v>
      </x:c>
      <x:c r="P116" s="7" t="s">
        <x:v>1921</x:v>
      </x:c>
      <x:c r="Q116" s="7" t="s">
        <x:v>2064</x:v>
      </x:c>
      <x:c r="R116" s="7" t="s">
        <x:v>1931</x:v>
      </x:c>
      <x:c r="S116" s="7" t="s">
        <x:v>53</x:v>
      </x:c>
      <x:c r="T116" s="7" t="s">
        <x:v>53</x:v>
      </x:c>
      <x:c r="U116" s="7" t="s">
        <x:v>53</x:v>
      </x:c>
      <x:c r="V116" s="7" t="s">
        <x:v>1999</x:v>
      </x:c>
      <x:c r="W116" s="7" t="s">
        <x:v>58</x:v>
      </x:c>
      <x:c r="X116" s="7" t="s">
        <x:v>2228</x:v>
      </x:c>
      <x:c r="Y116" s="7" t="s">
        <x:v>1160</x:v>
      </x:c>
      <x:c r="Z116" s="7" t="s">
        <x:v>2111</x:v>
      </x:c>
      <x:c r="AA116" s="7" t="s">
        <x:v>58</x:v>
      </x:c>
      <x:c r="AB116" s="8" t="s">
        <x:v>58</x:v>
      </x:c>
      <x:c r="AC116" s="8" t="s">
        <x:v>58</x:v>
      </x:c>
      <x:c r="AD116" s="8" t="s">
        <x:v>58</x:v>
      </x:c>
      <x:c r="AE116" s="8" t="s">
        <x:v>58</x:v>
      </x:c>
      <x:c r="AF116" s="8" t="s">
        <x:v>58</x:v>
      </x:c>
      <x:c r="AG116" s="7" t="s">
        <x:v>58</x:v>
      </x:c>
    </x:row>
    <x:row r="117" ht="79.5" hidden="0" customHeight="1">
      <x:c r="A117" s="7" t="s">
        <x:v>2246</x:v>
      </x:c>
      <x:c r="B117" s="7" t="s">
        <x:v>122</x:v>
      </x:c>
      <x:c r="C117" s="7" t="s">
        <x:v>124</x:v>
      </x:c>
      <x:c r="D117" s="7" t="s">
        <x:v>2006</x:v>
      </x:c>
      <x:c r="E117" s="7" t="s">
        <x:v>2247</x:v>
      </x:c>
      <x:c r="F117" s="7" t="s">
        <x:v>1929</x:v>
      </x:c>
      <x:c r="G117" s="8" t="n">
        <x:v>20.9</x:v>
      </x:c>
      <x:c r="H117" s="8" t="n">
        <x:v>1</x:v>
      </x:c>
      <x:c r="I117" s="8" t="s">
        <x:v>58</x:v>
      </x:c>
      <x:c r="J117" s="7" t="s">
        <x:v>1919</x:v>
      </x:c>
      <x:c r="K117" s="8" t="n">
        <x:v>1</x:v>
      </x:c>
      <x:c r="L117" s="8" t="n">
        <x:f aca="0">IF(AND(ISNUMBER(G117),P117&lt;&gt;"Unresolved unit / layout"),G117*K117,"Not applicable")</x:f>
        <x:v>20.9</x:v>
      </x:c>
      <x:c r="M117" s="8" t="n">
        <x:f aca="0">IF(AND(ISNUMBER(H117),P117&lt;&gt;"Unresolved unit / layout"),H117*K117,"Not applicable")</x:f>
        <x:v>1</x:v>
      </x:c>
      <x:c r="N117" s="8" t="str">
        <x:f aca="0">IF(AND(ISNUMBER(I117),P117&lt;&gt;"Unresolved unit / layout"),I117*K117,"Not applicable")</x:f>
        <x:v>Not applicable</x:v>
      </x:c>
      <x:c r="O117" s="7" t="s">
        <x:v>1929</x:v>
      </x:c>
      <x:c r="P117" s="7" t="s">
        <x:v>1921</x:v>
      </x:c>
      <x:c r="Q117" s="7" t="s">
        <x:v>2064</x:v>
      </x:c>
      <x:c r="R117" s="7" t="s">
        <x:v>2003</x:v>
      </x:c>
      <x:c r="S117" s="7" t="s">
        <x:v>53</x:v>
      </x:c>
      <x:c r="T117" s="7" t="s">
        <x:v>53</x:v>
      </x:c>
      <x:c r="U117" s="7" t="s">
        <x:v>53</x:v>
      </x:c>
      <x:c r="V117" s="7" t="s">
        <x:v>1999</x:v>
      </x:c>
      <x:c r="W117" s="7" t="s">
        <x:v>58</x:v>
      </x:c>
      <x:c r="X117" s="7" t="s">
        <x:v>2228</x:v>
      </x:c>
      <x:c r="Y117" s="7" t="s">
        <x:v>1160</x:v>
      </x:c>
      <x:c r="Z117" s="7" t="s">
        <x:v>2114</x:v>
      </x:c>
      <x:c r="AA117" s="7" t="s">
        <x:v>58</x:v>
      </x:c>
      <x:c r="AB117" s="8" t="s">
        <x:v>58</x:v>
      </x:c>
      <x:c r="AC117" s="8" t="s">
        <x:v>58</x:v>
      </x:c>
      <x:c r="AD117" s="8" t="s">
        <x:v>58</x:v>
      </x:c>
      <x:c r="AE117" s="8" t="s">
        <x:v>58</x:v>
      </x:c>
      <x:c r="AF117" s="8" t="s">
        <x:v>58</x:v>
      </x:c>
      <x:c r="AG117" s="7" t="s">
        <x:v>58</x:v>
      </x:c>
    </x:row>
    <x:row r="118" ht="79.5" hidden="0" customHeight="1">
      <x:c r="A118" s="7" t="s">
        <x:v>2248</x:v>
      </x:c>
      <x:c r="B118" s="7" t="s">
        <x:v>122</x:v>
      </x:c>
      <x:c r="C118" s="7" t="s">
        <x:v>124</x:v>
      </x:c>
      <x:c r="D118" s="7" t="s">
        <x:v>1940</x:v>
      </x:c>
      <x:c r="E118" s="7" t="s">
        <x:v>2249</x:v>
      </x:c>
      <x:c r="F118" s="7" t="s">
        <x:v>1942</x:v>
      </x:c>
      <x:c r="G118" s="8" t="n">
        <x:v>9.4</x:v>
      </x:c>
      <x:c r="H118" s="8" t="n">
        <x:v>2.3</x:v>
      </x:c>
      <x:c r="I118" s="8" t="s">
        <x:v>58</x:v>
      </x:c>
      <x:c r="J118" s="7" t="s">
        <x:v>1919</x:v>
      </x:c>
      <x:c r="K118" s="8" t="n">
        <x:v>1</x:v>
      </x:c>
      <x:c r="L118" s="8" t="n">
        <x:f aca="0">IF(AND(ISNUMBER(G118),P118&lt;&gt;"Unresolved unit / layout"),G118*K118,"Not applicable")</x:f>
        <x:v>9.4</x:v>
      </x:c>
      <x:c r="M118" s="8" t="n">
        <x:f aca="0">IF(AND(ISNUMBER(H118),P118&lt;&gt;"Unresolved unit / layout"),H118*K118,"Not applicable")</x:f>
        <x:v>2.3</x:v>
      </x:c>
      <x:c r="N118" s="8" t="str">
        <x:f aca="0">IF(AND(ISNUMBER(I118),P118&lt;&gt;"Unresolved unit / layout"),I118*K118,"Not applicable")</x:f>
        <x:v>Not applicable</x:v>
      </x:c>
      <x:c r="O118" s="7" t="s">
        <x:v>1942</x:v>
      </x:c>
      <x:c r="P118" s="7" t="s">
        <x:v>1921</x:v>
      </x:c>
      <x:c r="Q118" s="7" t="s">
        <x:v>2064</x:v>
      </x:c>
      <x:c r="R118" s="7" t="s">
        <x:v>1931</x:v>
      </x:c>
      <x:c r="S118" s="7" t="s">
        <x:v>53</x:v>
      </x:c>
      <x:c r="T118" s="7" t="s">
        <x:v>53</x:v>
      </x:c>
      <x:c r="U118" s="7" t="s">
        <x:v>53</x:v>
      </x:c>
      <x:c r="V118" s="7" t="s">
        <x:v>1999</x:v>
      </x:c>
      <x:c r="W118" s="7" t="s">
        <x:v>58</x:v>
      </x:c>
      <x:c r="X118" s="7" t="s">
        <x:v>2228</x:v>
      </x:c>
      <x:c r="Y118" s="7" t="s">
        <x:v>1160</x:v>
      </x:c>
      <x:c r="Z118" s="7" t="s">
        <x:v>2117</x:v>
      </x:c>
      <x:c r="AA118" s="7" t="s">
        <x:v>58</x:v>
      </x:c>
      <x:c r="AB118" s="8" t="s">
        <x:v>58</x:v>
      </x:c>
      <x:c r="AC118" s="8" t="s">
        <x:v>58</x:v>
      </x:c>
      <x:c r="AD118" s="8" t="s">
        <x:v>58</x:v>
      </x:c>
      <x:c r="AE118" s="8" t="s">
        <x:v>58</x:v>
      </x:c>
      <x:c r="AF118" s="8" t="s">
        <x:v>58</x:v>
      </x:c>
      <x:c r="AG118" s="7" t="s">
        <x:v>58</x:v>
      </x:c>
    </x:row>
    <x:row r="119" ht="79.5" hidden="0" customHeight="1">
      <x:c r="A119" s="7" t="s">
        <x:v>2250</x:v>
      </x:c>
      <x:c r="B119" s="7" t="s">
        <x:v>122</x:v>
      </x:c>
      <x:c r="C119" s="7" t="s">
        <x:v>124</x:v>
      </x:c>
      <x:c r="D119" s="7" t="s">
        <x:v>1940</x:v>
      </x:c>
      <x:c r="E119" s="7" t="s">
        <x:v>2251</x:v>
      </x:c>
      <x:c r="F119" s="7" t="s">
        <x:v>1942</x:v>
      </x:c>
      <x:c r="G119" s="8" t="n">
        <x:v>9.3</x:v>
      </x:c>
      <x:c r="H119" s="8" t="n">
        <x:v>3</x:v>
      </x:c>
      <x:c r="I119" s="8" t="s">
        <x:v>58</x:v>
      </x:c>
      <x:c r="J119" s="7" t="s">
        <x:v>1919</x:v>
      </x:c>
      <x:c r="K119" s="8" t="n">
        <x:v>1</x:v>
      </x:c>
      <x:c r="L119" s="8" t="n">
        <x:f aca="0">IF(AND(ISNUMBER(G119),P119&lt;&gt;"Unresolved unit / layout"),G119*K119,"Not applicable")</x:f>
        <x:v>9.3</x:v>
      </x:c>
      <x:c r="M119" s="8" t="n">
        <x:f aca="0">IF(AND(ISNUMBER(H119),P119&lt;&gt;"Unresolved unit / layout"),H119*K119,"Not applicable")</x:f>
        <x:v>3</x:v>
      </x:c>
      <x:c r="N119" s="8" t="str">
        <x:f aca="0">IF(AND(ISNUMBER(I119),P119&lt;&gt;"Unresolved unit / layout"),I119*K119,"Not applicable")</x:f>
        <x:v>Not applicable</x:v>
      </x:c>
      <x:c r="O119" s="7" t="s">
        <x:v>1942</x:v>
      </x:c>
      <x:c r="P119" s="7" t="s">
        <x:v>1921</x:v>
      </x:c>
      <x:c r="Q119" s="7" t="s">
        <x:v>2064</x:v>
      </x:c>
      <x:c r="R119" s="7" t="s">
        <x:v>2003</x:v>
      </x:c>
      <x:c r="S119" s="7" t="s">
        <x:v>53</x:v>
      </x:c>
      <x:c r="T119" s="7" t="s">
        <x:v>53</x:v>
      </x:c>
      <x:c r="U119" s="7" t="s">
        <x:v>53</x:v>
      </x:c>
      <x:c r="V119" s="7" t="s">
        <x:v>1999</x:v>
      </x:c>
      <x:c r="W119" s="7" t="s">
        <x:v>58</x:v>
      </x:c>
      <x:c r="X119" s="7" t="s">
        <x:v>2228</x:v>
      </x:c>
      <x:c r="Y119" s="7" t="s">
        <x:v>1160</x:v>
      </x:c>
      <x:c r="Z119" s="7" t="s">
        <x:v>2120</x:v>
      </x:c>
      <x:c r="AA119" s="7" t="s">
        <x:v>58</x:v>
      </x:c>
      <x:c r="AB119" s="8" t="s">
        <x:v>58</x:v>
      </x:c>
      <x:c r="AC119" s="8" t="s">
        <x:v>58</x:v>
      </x:c>
      <x:c r="AD119" s="8" t="s">
        <x:v>58</x:v>
      </x:c>
      <x:c r="AE119" s="8" t="s">
        <x:v>58</x:v>
      </x:c>
      <x:c r="AF119" s="8" t="s">
        <x:v>58</x:v>
      </x:c>
      <x:c r="AG119" s="7" t="s">
        <x:v>58</x:v>
      </x:c>
    </x:row>
    <x:row r="120" ht="79.5" hidden="0" customHeight="1">
      <x:c r="A120" s="7" t="s">
        <x:v>2252</x:v>
      </x:c>
      <x:c r="B120" s="7" t="s">
        <x:v>122</x:v>
      </x:c>
      <x:c r="C120" s="7" t="s">
        <x:v>124</x:v>
      </x:c>
      <x:c r="D120" s="7" t="s">
        <x:v>1950</x:v>
      </x:c>
      <x:c r="E120" s="7" t="s">
        <x:v>2253</x:v>
      </x:c>
      <x:c r="F120" s="7" t="s">
        <x:v>1929</x:v>
      </x:c>
      <x:c r="G120" s="8" t="n">
        <x:v>2140</x:v>
      </x:c>
      <x:c r="H120" s="8" t="n">
        <x:v>80</x:v>
      </x:c>
      <x:c r="I120" s="8" t="s">
        <x:v>58</x:v>
      </x:c>
      <x:c r="J120" s="7" t="s">
        <x:v>1919</x:v>
      </x:c>
      <x:c r="K120" s="8" t="n">
        <x:v>0.001</x:v>
      </x:c>
      <x:c r="L120" s="8" t="n">
        <x:f aca="0">IF(AND(ISNUMBER(G120),P120&lt;&gt;"Unresolved unit / layout"),G120*K120,"Not applicable")</x:f>
        <x:v>2.14</x:v>
      </x:c>
      <x:c r="M120" s="8" t="n">
        <x:f aca="0">IF(AND(ISNUMBER(H120),P120&lt;&gt;"Unresolved unit / layout"),H120*K120,"Not applicable")</x:f>
        <x:v>0.08</x:v>
      </x:c>
      <x:c r="N120" s="8" t="str">
        <x:f aca="0">IF(AND(ISNUMBER(I120),P120&lt;&gt;"Unresolved unit / layout"),I120*K120,"Not applicable")</x:f>
        <x:v>Not applicable</x:v>
      </x:c>
      <x:c r="O120" s="7" t="s">
        <x:v>1937</x:v>
      </x:c>
      <x:c r="P120" s="7" t="s">
        <x:v>1921</x:v>
      </x:c>
      <x:c r="Q120" s="7" t="s">
        <x:v>2064</x:v>
      </x:c>
      <x:c r="R120" s="7" t="s">
        <x:v>1931</x:v>
      </x:c>
      <x:c r="S120" s="7" t="s">
        <x:v>53</x:v>
      </x:c>
      <x:c r="T120" s="7" t="s">
        <x:v>53</x:v>
      </x:c>
      <x:c r="U120" s="7" t="s">
        <x:v>53</x:v>
      </x:c>
      <x:c r="V120" s="7" t="s">
        <x:v>2020</x:v>
      </x:c>
      <x:c r="W120" s="7" t="s">
        <x:v>58</x:v>
      </x:c>
      <x:c r="X120" s="7" t="s">
        <x:v>2228</x:v>
      </x:c>
      <x:c r="Y120" s="7" t="s">
        <x:v>1160</x:v>
      </x:c>
      <x:c r="Z120" s="7" t="s">
        <x:v>2123</x:v>
      </x:c>
      <x:c r="AA120" s="7" t="s">
        <x:v>58</x:v>
      </x:c>
      <x:c r="AB120" s="8" t="s">
        <x:v>58</x:v>
      </x:c>
      <x:c r="AC120" s="8" t="s">
        <x:v>58</x:v>
      </x:c>
      <x:c r="AD120" s="8" t="s">
        <x:v>58</x:v>
      </x:c>
      <x:c r="AE120" s="8" t="s">
        <x:v>58</x:v>
      </x:c>
      <x:c r="AF120" s="8" t="s">
        <x:v>58</x:v>
      </x:c>
      <x:c r="AG120" s="7" t="s">
        <x:v>58</x:v>
      </x:c>
    </x:row>
    <x:row r="121" ht="79.5" hidden="0" customHeight="1">
      <x:c r="A121" s="7" t="s">
        <x:v>2254</x:v>
      </x:c>
      <x:c r="B121" s="7" t="s">
        <x:v>122</x:v>
      </x:c>
      <x:c r="C121" s="7" t="s">
        <x:v>124</x:v>
      </x:c>
      <x:c r="D121" s="7" t="s">
        <x:v>1950</x:v>
      </x:c>
      <x:c r="E121" s="7" t="s">
        <x:v>2255</x:v>
      </x:c>
      <x:c r="F121" s="7" t="s">
        <x:v>1929</x:v>
      </x:c>
      <x:c r="G121" s="8" t="n">
        <x:v>2066</x:v>
      </x:c>
      <x:c r="H121" s="8" t="n">
        <x:v>100</x:v>
      </x:c>
      <x:c r="I121" s="8" t="s">
        <x:v>58</x:v>
      </x:c>
      <x:c r="J121" s="7" t="s">
        <x:v>1919</x:v>
      </x:c>
      <x:c r="K121" s="8" t="n">
        <x:v>0.001</x:v>
      </x:c>
      <x:c r="L121" s="8" t="n">
        <x:f aca="0">IF(AND(ISNUMBER(G121),P121&lt;&gt;"Unresolved unit / layout"),G121*K121,"Not applicable")</x:f>
        <x:v>2.066</x:v>
      </x:c>
      <x:c r="M121" s="8" t="n">
        <x:f aca="0">IF(AND(ISNUMBER(H121),P121&lt;&gt;"Unresolved unit / layout"),H121*K121,"Not applicable")</x:f>
        <x:v>0.1</x:v>
      </x:c>
      <x:c r="N121" s="8" t="str">
        <x:f aca="0">IF(AND(ISNUMBER(I121),P121&lt;&gt;"Unresolved unit / layout"),I121*K121,"Not applicable")</x:f>
        <x:v>Not applicable</x:v>
      </x:c>
      <x:c r="O121" s="7" t="s">
        <x:v>1937</x:v>
      </x:c>
      <x:c r="P121" s="7" t="s">
        <x:v>1921</x:v>
      </x:c>
      <x:c r="Q121" s="7" t="s">
        <x:v>2064</x:v>
      </x:c>
      <x:c r="R121" s="7" t="s">
        <x:v>2003</x:v>
      </x:c>
      <x:c r="S121" s="7" t="s">
        <x:v>53</x:v>
      </x:c>
      <x:c r="T121" s="7" t="s">
        <x:v>53</x:v>
      </x:c>
      <x:c r="U121" s="7" t="s">
        <x:v>53</x:v>
      </x:c>
      <x:c r="V121" s="7" t="s">
        <x:v>2020</x:v>
      </x:c>
      <x:c r="W121" s="7" t="s">
        <x:v>58</x:v>
      </x:c>
      <x:c r="X121" s="7" t="s">
        <x:v>2228</x:v>
      </x:c>
      <x:c r="Y121" s="7" t="s">
        <x:v>1160</x:v>
      </x:c>
      <x:c r="Z121" s="7" t="s">
        <x:v>2210</x:v>
      </x:c>
      <x:c r="AA121" s="7" t="s">
        <x:v>58</x:v>
      </x:c>
      <x:c r="AB121" s="8" t="s">
        <x:v>58</x:v>
      </x:c>
      <x:c r="AC121" s="8" t="s">
        <x:v>58</x:v>
      </x:c>
      <x:c r="AD121" s="8" t="s">
        <x:v>58</x:v>
      </x:c>
      <x:c r="AE121" s="8" t="s">
        <x:v>58</x:v>
      </x:c>
      <x:c r="AF121" s="8" t="s">
        <x:v>58</x:v>
      </x:c>
      <x:c r="AG121" s="7" t="s">
        <x:v>58</x:v>
      </x:c>
    </x:row>
    <x:row r="122" ht="79.5" hidden="0" customHeight="1">
      <x:c r="A122" s="7" t="s">
        <x:v>2256</x:v>
      </x:c>
      <x:c r="B122" s="7" t="s">
        <x:v>122</x:v>
      </x:c>
      <x:c r="C122" s="7" t="s">
        <x:v>124</x:v>
      </x:c>
      <x:c r="D122" s="7" t="s">
        <x:v>1945</x:v>
      </x:c>
      <x:c r="E122" s="7" t="s">
        <x:v>2257</x:v>
      </x:c>
      <x:c r="F122" s="7" t="s">
        <x:v>1929</x:v>
      </x:c>
      <x:c r="G122" s="8" t="n">
        <x:v>65</x:v>
      </x:c>
      <x:c r="H122" s="8" t="n">
        <x:v>1</x:v>
      </x:c>
      <x:c r="I122" s="8" t="s">
        <x:v>58</x:v>
      </x:c>
      <x:c r="J122" s="7" t="s">
        <x:v>1919</x:v>
      </x:c>
      <x:c r="K122" s="8" t="n">
        <x:v>1</x:v>
      </x:c>
      <x:c r="L122" s="8" t="n">
        <x:f aca="0">IF(AND(ISNUMBER(G122),P122&lt;&gt;"Unresolved unit / layout"),G122*K122,"Not applicable")</x:f>
        <x:v>65</x:v>
      </x:c>
      <x:c r="M122" s="8" t="n">
        <x:f aca="0">IF(AND(ISNUMBER(H122),P122&lt;&gt;"Unresolved unit / layout"),H122*K122,"Not applicable")</x:f>
        <x:v>1</x:v>
      </x:c>
      <x:c r="N122" s="8" t="str">
        <x:f aca="0">IF(AND(ISNUMBER(I122),P122&lt;&gt;"Unresolved unit / layout"),I122*K122,"Not applicable")</x:f>
        <x:v>Not applicable</x:v>
      </x:c>
      <x:c r="O122" s="7" t="s">
        <x:v>1929</x:v>
      </x:c>
      <x:c r="P122" s="7" t="s">
        <x:v>1921</x:v>
      </x:c>
      <x:c r="Q122" s="7" t="s">
        <x:v>2064</x:v>
      </x:c>
      <x:c r="R122" s="7" t="s">
        <x:v>1931</x:v>
      </x:c>
      <x:c r="S122" s="7" t="s">
        <x:v>53</x:v>
      </x:c>
      <x:c r="T122" s="7" t="s">
        <x:v>53</x:v>
      </x:c>
      <x:c r="U122" s="7" t="s">
        <x:v>53</x:v>
      </x:c>
      <x:c r="V122" s="7" t="s">
        <x:v>2020</x:v>
      </x:c>
      <x:c r="W122" s="7" t="s">
        <x:v>58</x:v>
      </x:c>
      <x:c r="X122" s="7" t="s">
        <x:v>2228</x:v>
      </x:c>
      <x:c r="Y122" s="7" t="s">
        <x:v>1160</x:v>
      </x:c>
      <x:c r="Z122" s="7" t="s">
        <x:v>2213</x:v>
      </x:c>
      <x:c r="AA122" s="7" t="s">
        <x:v>58</x:v>
      </x:c>
      <x:c r="AB122" s="8" t="s">
        <x:v>58</x:v>
      </x:c>
      <x:c r="AC122" s="8" t="s">
        <x:v>58</x:v>
      </x:c>
      <x:c r="AD122" s="8" t="s">
        <x:v>58</x:v>
      </x:c>
      <x:c r="AE122" s="8" t="s">
        <x:v>58</x:v>
      </x:c>
      <x:c r="AF122" s="8" t="s">
        <x:v>58</x:v>
      </x:c>
      <x:c r="AG122" s="7" t="s">
        <x:v>58</x:v>
      </x:c>
    </x:row>
    <x:row r="123" ht="79.5" hidden="0" customHeight="1">
      <x:c r="A123" s="7" t="s">
        <x:v>2258</x:v>
      </x:c>
      <x:c r="B123" s="7" t="s">
        <x:v>122</x:v>
      </x:c>
      <x:c r="C123" s="7" t="s">
        <x:v>124</x:v>
      </x:c>
      <x:c r="D123" s="7" t="s">
        <x:v>1945</x:v>
      </x:c>
      <x:c r="E123" s="7" t="s">
        <x:v>2259</x:v>
      </x:c>
      <x:c r="F123" s="7" t="s">
        <x:v>1929</x:v>
      </x:c>
      <x:c r="G123" s="8" t="n">
        <x:v>54</x:v>
      </x:c>
      <x:c r="H123" s="8" t="n">
        <x:v>4</x:v>
      </x:c>
      <x:c r="I123" s="8" t="s">
        <x:v>58</x:v>
      </x:c>
      <x:c r="J123" s="7" t="s">
        <x:v>1919</x:v>
      </x:c>
      <x:c r="K123" s="8" t="n">
        <x:v>1</x:v>
      </x:c>
      <x:c r="L123" s="8" t="n">
        <x:f aca="0">IF(AND(ISNUMBER(G123),P123&lt;&gt;"Unresolved unit / layout"),G123*K123,"Not applicable")</x:f>
        <x:v>54</x:v>
      </x:c>
      <x:c r="M123" s="8" t="n">
        <x:f aca="0">IF(AND(ISNUMBER(H123),P123&lt;&gt;"Unresolved unit / layout"),H123*K123,"Not applicable")</x:f>
        <x:v>4</x:v>
      </x:c>
      <x:c r="N123" s="8" t="str">
        <x:f aca="0">IF(AND(ISNUMBER(I123),P123&lt;&gt;"Unresolved unit / layout"),I123*K123,"Not applicable")</x:f>
        <x:v>Not applicable</x:v>
      </x:c>
      <x:c r="O123" s="7" t="s">
        <x:v>1929</x:v>
      </x:c>
      <x:c r="P123" s="7" t="s">
        <x:v>1921</x:v>
      </x:c>
      <x:c r="Q123" s="7" t="s">
        <x:v>2064</x:v>
      </x:c>
      <x:c r="R123" s="7" t="s">
        <x:v>2003</x:v>
      </x:c>
      <x:c r="S123" s="7" t="s">
        <x:v>53</x:v>
      </x:c>
      <x:c r="T123" s="7" t="s">
        <x:v>53</x:v>
      </x:c>
      <x:c r="U123" s="7" t="s">
        <x:v>53</x:v>
      </x:c>
      <x:c r="V123" s="7" t="s">
        <x:v>2020</x:v>
      </x:c>
      <x:c r="W123" s="7" t="s">
        <x:v>58</x:v>
      </x:c>
      <x:c r="X123" s="7" t="s">
        <x:v>2228</x:v>
      </x:c>
      <x:c r="Y123" s="7" t="s">
        <x:v>1160</x:v>
      </x:c>
      <x:c r="Z123" s="7" t="s">
        <x:v>2216</x:v>
      </x:c>
      <x:c r="AA123" s="7" t="s">
        <x:v>58</x:v>
      </x:c>
      <x:c r="AB123" s="8" t="s">
        <x:v>58</x:v>
      </x:c>
      <x:c r="AC123" s="8" t="s">
        <x:v>58</x:v>
      </x:c>
      <x:c r="AD123" s="8" t="s">
        <x:v>58</x:v>
      </x:c>
      <x:c r="AE123" s="8" t="s">
        <x:v>58</x:v>
      </x:c>
      <x:c r="AF123" s="8" t="s">
        <x:v>58</x:v>
      </x:c>
      <x:c r="AG123" s="7" t="s">
        <x:v>58</x:v>
      </x:c>
    </x:row>
    <x:row r="124" ht="79.5" hidden="0" customHeight="1">
      <x:c r="A124" s="7" t="s">
        <x:v>2260</x:v>
      </x:c>
      <x:c r="B124" s="7" t="s">
        <x:v>122</x:v>
      </x:c>
      <x:c r="C124" s="7" t="s">
        <x:v>124</x:v>
      </x:c>
      <x:c r="D124" s="7" t="s">
        <x:v>2030</x:v>
      </x:c>
      <x:c r="E124" s="7" t="s">
        <x:v>2261</x:v>
      </x:c>
      <x:c r="F124" s="7" t="s">
        <x:v>2033</x:v>
      </x:c>
      <x:c r="G124" s="8" t="n">
        <x:v>80.6</x:v>
      </x:c>
      <x:c r="H124" s="8" t="n">
        <x:v>9.5</x:v>
      </x:c>
      <x:c r="I124" s="8" t="s">
        <x:v>58</x:v>
      </x:c>
      <x:c r="J124" s="7" t="s">
        <x:v>1919</x:v>
      </x:c>
      <x:c r="K124" s="8" t="n">
        <x:v>1</x:v>
      </x:c>
      <x:c r="L124" s="8" t="n">
        <x:f aca="0">IF(AND(ISNUMBER(G124),P124&lt;&gt;"Unresolved unit / layout"),G124*K124,"Not applicable")</x:f>
        <x:v>80.6</x:v>
      </x:c>
      <x:c r="M124" s="8" t="n">
        <x:f aca="0">IF(AND(ISNUMBER(H124),P124&lt;&gt;"Unresolved unit / layout"),H124*K124,"Not applicable")</x:f>
        <x:v>9.5</x:v>
      </x:c>
      <x:c r="N124" s="8" t="str">
        <x:f aca="0">IF(AND(ISNUMBER(I124),P124&lt;&gt;"Unresolved unit / layout"),I124*K124,"Not applicable")</x:f>
        <x:v>Not applicable</x:v>
      </x:c>
      <x:c r="O124" s="7" t="s">
        <x:v>2033</x:v>
      </x:c>
      <x:c r="P124" s="7" t="s">
        <x:v>1921</x:v>
      </x:c>
      <x:c r="Q124" s="7" t="s">
        <x:v>2064</x:v>
      </x:c>
      <x:c r="R124" s="7" t="s">
        <x:v>1931</x:v>
      </x:c>
      <x:c r="S124" s="7" t="s">
        <x:v>53</x:v>
      </x:c>
      <x:c r="T124" s="7" t="s">
        <x:v>53</x:v>
      </x:c>
      <x:c r="U124" s="7" t="s">
        <x:v>53</x:v>
      </x:c>
      <x:c r="V124" s="7" t="s">
        <x:v>2036</x:v>
      </x:c>
      <x:c r="W124" s="7" t="s">
        <x:v>2135</x:v>
      </x:c>
      <x:c r="X124" s="7" t="s">
        <x:v>2228</x:v>
      </x:c>
      <x:c r="Y124" s="7" t="s">
        <x:v>1160</x:v>
      </x:c>
      <x:c r="Z124" s="7" t="s">
        <x:v>2219</x:v>
      </x:c>
      <x:c r="AA124" s="7" t="s">
        <x:v>58</x:v>
      </x:c>
      <x:c r="AB124" s="8" t="s">
        <x:v>58</x:v>
      </x:c>
      <x:c r="AC124" s="8" t="s">
        <x:v>58</x:v>
      </x:c>
      <x:c r="AD124" s="8" t="s">
        <x:v>58</x:v>
      </x:c>
      <x:c r="AE124" s="8" t="s">
        <x:v>58</x:v>
      </x:c>
      <x:c r="AF124" s="8" t="s">
        <x:v>58</x:v>
      </x:c>
      <x:c r="AG124" s="7" t="s">
        <x:v>58</x:v>
      </x:c>
    </x:row>
    <x:row r="125" ht="79.5" hidden="0" customHeight="1">
      <x:c r="A125" s="7" t="s">
        <x:v>2262</x:v>
      </x:c>
      <x:c r="B125" s="7" t="s">
        <x:v>122</x:v>
      </x:c>
      <x:c r="C125" s="7" t="s">
        <x:v>124</x:v>
      </x:c>
      <x:c r="D125" s="7" t="s">
        <x:v>2030</x:v>
      </x:c>
      <x:c r="E125" s="7" t="s">
        <x:v>2263</x:v>
      </x:c>
      <x:c r="F125" s="7" t="s">
        <x:v>2033</x:v>
      </x:c>
      <x:c r="G125" s="8" t="n">
        <x:v>72.3</x:v>
      </x:c>
      <x:c r="H125" s="8" t="n">
        <x:v>6.1</x:v>
      </x:c>
      <x:c r="I125" s="8" t="s">
        <x:v>58</x:v>
      </x:c>
      <x:c r="J125" s="7" t="s">
        <x:v>1919</x:v>
      </x:c>
      <x:c r="K125" s="8" t="n">
        <x:v>1</x:v>
      </x:c>
      <x:c r="L125" s="8" t="n">
        <x:f aca="0">IF(AND(ISNUMBER(G125),P125&lt;&gt;"Unresolved unit / layout"),G125*K125,"Not applicable")</x:f>
        <x:v>72.3</x:v>
      </x:c>
      <x:c r="M125" s="8" t="n">
        <x:f aca="0">IF(AND(ISNUMBER(H125),P125&lt;&gt;"Unresolved unit / layout"),H125*K125,"Not applicable")</x:f>
        <x:v>6.1</x:v>
      </x:c>
      <x:c r="N125" s="8" t="str">
        <x:f aca="0">IF(AND(ISNUMBER(I125),P125&lt;&gt;"Unresolved unit / layout"),I125*K125,"Not applicable")</x:f>
        <x:v>Not applicable</x:v>
      </x:c>
      <x:c r="O125" s="7" t="s">
        <x:v>2033</x:v>
      </x:c>
      <x:c r="P125" s="7" t="s">
        <x:v>1921</x:v>
      </x:c>
      <x:c r="Q125" s="7" t="s">
        <x:v>2064</x:v>
      </x:c>
      <x:c r="R125" s="7" t="s">
        <x:v>1931</x:v>
      </x:c>
      <x:c r="S125" s="7" t="s">
        <x:v>53</x:v>
      </x:c>
      <x:c r="T125" s="7" t="s">
        <x:v>53</x:v>
      </x:c>
      <x:c r="U125" s="7" t="s">
        <x:v>53</x:v>
      </x:c>
      <x:c r="V125" s="7" t="s">
        <x:v>2036</x:v>
      </x:c>
      <x:c r="W125" s="7" t="s">
        <x:v>2139</x:v>
      </x:c>
      <x:c r="X125" s="7" t="s">
        <x:v>2228</x:v>
      </x:c>
      <x:c r="Y125" s="7" t="s">
        <x:v>1160</x:v>
      </x:c>
      <x:c r="Z125" s="7" t="s">
        <x:v>2222</x:v>
      </x:c>
      <x:c r="AA125" s="7" t="s">
        <x:v>58</x:v>
      </x:c>
      <x:c r="AB125" s="8" t="s">
        <x:v>58</x:v>
      </x:c>
      <x:c r="AC125" s="8" t="s">
        <x:v>58</x:v>
      </x:c>
      <x:c r="AD125" s="8" t="s">
        <x:v>58</x:v>
      </x:c>
      <x:c r="AE125" s="8" t="s">
        <x:v>58</x:v>
      </x:c>
      <x:c r="AF125" s="8" t="s">
        <x:v>58</x:v>
      </x:c>
      <x:c r="AG125" s="7" t="s">
        <x:v>58</x:v>
      </x:c>
    </x:row>
    <x:row r="126" ht="79.5" hidden="0" customHeight="1">
      <x:c r="A126" s="7" t="s">
        <x:v>2264</x:v>
      </x:c>
      <x:c r="B126" s="7" t="s">
        <x:v>122</x:v>
      </x:c>
      <x:c r="C126" s="7" t="s">
        <x:v>124</x:v>
      </x:c>
      <x:c r="D126" s="7" t="s">
        <x:v>2030</x:v>
      </x:c>
      <x:c r="E126" s="7" t="s">
        <x:v>2265</x:v>
      </x:c>
      <x:c r="F126" s="7" t="s">
        <x:v>2033</x:v>
      </x:c>
      <x:c r="G126" s="8" t="n">
        <x:v>18.6</x:v>
      </x:c>
      <x:c r="H126" s="8" t="n">
        <x:v>2.3</x:v>
      </x:c>
      <x:c r="I126" s="8" t="s">
        <x:v>58</x:v>
      </x:c>
      <x:c r="J126" s="7" t="s">
        <x:v>1919</x:v>
      </x:c>
      <x:c r="K126" s="8" t="n">
        <x:v>1</x:v>
      </x:c>
      <x:c r="L126" s="8" t="n">
        <x:f aca="0">IF(AND(ISNUMBER(G126),P126&lt;&gt;"Unresolved unit / layout"),G126*K126,"Not applicable")</x:f>
        <x:v>18.6</x:v>
      </x:c>
      <x:c r="M126" s="8" t="n">
        <x:f aca="0">IF(AND(ISNUMBER(H126),P126&lt;&gt;"Unresolved unit / layout"),H126*K126,"Not applicable")</x:f>
        <x:v>2.3</x:v>
      </x:c>
      <x:c r="N126" s="8" t="str">
        <x:f aca="0">IF(AND(ISNUMBER(I126),P126&lt;&gt;"Unresolved unit / layout"),I126*K126,"Not applicable")</x:f>
        <x:v>Not applicable</x:v>
      </x:c>
      <x:c r="O126" s="7" t="s">
        <x:v>2033</x:v>
      </x:c>
      <x:c r="P126" s="7" t="s">
        <x:v>1921</x:v>
      </x:c>
      <x:c r="Q126" s="7" t="s">
        <x:v>2064</x:v>
      </x:c>
      <x:c r="R126" s="7" t="s">
        <x:v>2003</x:v>
      </x:c>
      <x:c r="S126" s="7" t="s">
        <x:v>53</x:v>
      </x:c>
      <x:c r="T126" s="7" t="s">
        <x:v>53</x:v>
      </x:c>
      <x:c r="U126" s="7" t="s">
        <x:v>53</x:v>
      </x:c>
      <x:c r="V126" s="7" t="s">
        <x:v>2036</x:v>
      </x:c>
      <x:c r="W126" s="7" t="s">
        <x:v>53</x:v>
      </x:c>
      <x:c r="X126" s="7" t="s">
        <x:v>2228</x:v>
      </x:c>
      <x:c r="Y126" s="7" t="s">
        <x:v>1160</x:v>
      </x:c>
      <x:c r="Z126" s="7" t="s">
        <x:v>2225</x:v>
      </x:c>
      <x:c r="AA126" s="7" t="s">
        <x:v>58</x:v>
      </x:c>
      <x:c r="AB126" s="8" t="s">
        <x:v>58</x:v>
      </x:c>
      <x:c r="AC126" s="8" t="s">
        <x:v>58</x:v>
      </x:c>
      <x:c r="AD126" s="8" t="s">
        <x:v>58</x:v>
      </x:c>
      <x:c r="AE126" s="8" t="s">
        <x:v>58</x:v>
      </x:c>
      <x:c r="AF126" s="8" t="s">
        <x:v>58</x:v>
      </x:c>
      <x:c r="AG126" s="7" t="s">
        <x:v>58</x:v>
      </x:c>
    </x:row>
    <x:row r="127" ht="79.5" hidden="0" customHeight="1">
      <x:c r="A127" s="7" t="s">
        <x:v>2266</x:v>
      </x:c>
      <x:c r="B127" s="7" t="s">
        <x:v>134</x:v>
      </x:c>
      <x:c r="C127" s="7" t="s">
        <x:v>136</x:v>
      </x:c>
      <x:c r="D127" s="7" t="s">
        <x:v>1916</x:v>
      </x:c>
      <x:c r="E127" s="7" t="s">
        <x:v>2267</x:v>
      </x:c>
      <x:c r="F127" s="7" t="s">
        <x:v>2076</x:v>
      </x:c>
      <x:c r="G127" s="8" t="n">
        <x:v>1.22</x:v>
      </x:c>
      <x:c r="H127" s="8" t="s">
        <x:v>58</x:v>
      </x:c>
      <x:c r="I127" s="8" t="s">
        <x:v>58</x:v>
      </x:c>
      <x:c r="J127" s="7" t="s">
        <x:v>1919</x:v>
      </x:c>
      <x:c r="K127" s="8" t="n">
        <x:v>1000</x:v>
      </x:c>
      <x:c r="L127" s="8" t="n">
        <x:f aca="0">IF(AND(ISNUMBER(G127),P127&lt;&gt;"Unresolved unit / layout"),G127*K127,"Not applicable")</x:f>
        <x:v>1220</x:v>
      </x:c>
      <x:c r="M127" s="8" t="str">
        <x:f aca="0">IF(AND(ISNUMBER(H127),P127&lt;&gt;"Unresolved unit / layout"),H127*K127,"Not applicable")</x:f>
        <x:v>Not applicable</x:v>
      </x:c>
      <x:c r="N127" s="8" t="str">
        <x:f aca="0">IF(AND(ISNUMBER(I127),P127&lt;&gt;"Unresolved unit / layout"),I127*K127,"Not applicable")</x:f>
        <x:v>Not applicable</x:v>
      </x:c>
      <x:c r="O127" s="7" t="s">
        <x:v>1920</x:v>
      </x:c>
      <x:c r="P127" s="7" t="s">
        <x:v>1921</x:v>
      </x:c>
      <x:c r="Q127" s="7" t="s">
        <x:v>1922</x:v>
      </x:c>
      <x:c r="R127" s="7" t="s">
        <x:v>58</x:v>
      </x:c>
      <x:c r="S127" s="7" t="s">
        <x:v>53</x:v>
      </x:c>
      <x:c r="T127" s="7" t="s">
        <x:v>53</x:v>
      </x:c>
      <x:c r="U127" s="7" t="s">
        <x:v>53</x:v>
      </x:c>
      <x:c r="V127" s="7" t="s">
        <x:v>1923</x:v>
      </x:c>
      <x:c r="W127" s="7" t="s">
        <x:v>58</x:v>
      </x:c>
      <x:c r="X127" s="7" t="s">
        <x:v>2268</x:v>
      </x:c>
      <x:c r="Y127" s="7" t="s">
        <x:v>1162</x:v>
      </x:c>
      <x:c r="Z127" s="7" t="s">
        <x:v>1968</x:v>
      </x:c>
      <x:c r="AA127" s="7" t="s">
        <x:v>58</x:v>
      </x:c>
      <x:c r="AB127" s="8" t="s">
        <x:v>58</x:v>
      </x:c>
      <x:c r="AC127" s="8" t="s">
        <x:v>58</x:v>
      </x:c>
      <x:c r="AD127" s="8" t="s">
        <x:v>58</x:v>
      </x:c>
      <x:c r="AE127" s="8" t="s">
        <x:v>58</x:v>
      </x:c>
      <x:c r="AF127" s="8" t="s">
        <x:v>58</x:v>
      </x:c>
      <x:c r="AG127" s="7" t="s">
        <x:v>58</x:v>
      </x:c>
    </x:row>
    <x:row r="128" ht="79.5" hidden="0" customHeight="1">
      <x:c r="A128" s="7" t="s">
        <x:v>2269</x:v>
      </x:c>
      <x:c r="B128" s="7" t="s">
        <x:v>134</x:v>
      </x:c>
      <x:c r="C128" s="7" t="s">
        <x:v>136</x:v>
      </x:c>
      <x:c r="D128" s="7" t="s">
        <x:v>1974</x:v>
      </x:c>
      <x:c r="E128" s="7" t="s">
        <x:v>2270</x:v>
      </x:c>
      <x:c r="F128" s="7" t="s">
        <x:v>1956</x:v>
      </x:c>
      <x:c r="G128" s="8" t="n">
        <x:v>156</x:v>
      </x:c>
      <x:c r="H128" s="8" t="s">
        <x:v>58</x:v>
      </x:c>
      <x:c r="I128" s="8" t="s">
        <x:v>58</x:v>
      </x:c>
      <x:c r="J128" s="7" t="s">
        <x:v>1919</x:v>
      </x:c>
      <x:c r="K128" s="8" t="n">
        <x:v>1</x:v>
      </x:c>
      <x:c r="L128" s="8" t="n">
        <x:f aca="0">IF(AND(ISNUMBER(G128),P128&lt;&gt;"Unresolved unit / layout"),G128*K128,"Not applicable")</x:f>
        <x:v>156</x:v>
      </x:c>
      <x:c r="M128" s="8" t="str">
        <x:f aca="0">IF(AND(ISNUMBER(H128),P128&lt;&gt;"Unresolved unit / layout"),H128*K128,"Not applicable")</x:f>
        <x:v>Not applicable</x:v>
      </x:c>
      <x:c r="N128" s="8" t="str">
        <x:f aca="0">IF(AND(ISNUMBER(I128),P128&lt;&gt;"Unresolved unit / layout"),I128*K128,"Not applicable")</x:f>
        <x:v>Not applicable</x:v>
      </x:c>
      <x:c r="O128" s="7" t="s">
        <x:v>1956</x:v>
      </x:c>
      <x:c r="P128" s="7" t="s">
        <x:v>1921</x:v>
      </x:c>
      <x:c r="Q128" s="7" t="s">
        <x:v>2064</x:v>
      </x:c>
      <x:c r="R128" s="7" t="s">
        <x:v>58</x:v>
      </x:c>
      <x:c r="S128" s="7" t="s">
        <x:v>53</x:v>
      </x:c>
      <x:c r="T128" s="7" t="s">
        <x:v>53</x:v>
      </x:c>
      <x:c r="U128" s="7" t="s">
        <x:v>53</x:v>
      </x:c>
      <x:c r="V128" s="7" t="s">
        <x:v>2082</x:v>
      </x:c>
      <x:c r="W128" s="7" t="s">
        <x:v>58</x:v>
      </x:c>
      <x:c r="X128" s="7" t="s">
        <x:v>2268</x:v>
      </x:c>
      <x:c r="Y128" s="7" t="s">
        <x:v>1162</x:v>
      </x:c>
      <x:c r="Z128" s="7" t="s">
        <x:v>2083</x:v>
      </x:c>
      <x:c r="AA128" s="7" t="s">
        <x:v>58</x:v>
      </x:c>
      <x:c r="AB128" s="8" t="s">
        <x:v>58</x:v>
      </x:c>
      <x:c r="AC128" s="8" t="s">
        <x:v>58</x:v>
      </x:c>
      <x:c r="AD128" s="8" t="s">
        <x:v>58</x:v>
      </x:c>
      <x:c r="AE128" s="8" t="s">
        <x:v>58</x:v>
      </x:c>
      <x:c r="AF128" s="8" t="s">
        <x:v>58</x:v>
      </x:c>
      <x:c r="AG128" s="7" t="s">
        <x:v>58</x:v>
      </x:c>
    </x:row>
    <x:row r="129" ht="79.5" hidden="0" customHeight="1">
      <x:c r="A129" s="7" t="s">
        <x:v>2271</x:v>
      </x:c>
      <x:c r="B129" s="7" t="s">
        <x:v>134</x:v>
      </x:c>
      <x:c r="C129" s="7" t="s">
        <x:v>136</x:v>
      </x:c>
      <x:c r="D129" s="7" t="s">
        <x:v>1954</x:v>
      </x:c>
      <x:c r="E129" s="7" t="s">
        <x:v>2272</x:v>
      </x:c>
      <x:c r="F129" s="7" t="s">
        <x:v>2273</x:v>
      </x:c>
      <x:c r="G129" s="8" t="n">
        <x:v>54</x:v>
      </x:c>
      <x:c r="H129" s="8" t="s">
        <x:v>58</x:v>
      </x:c>
      <x:c r="I129" s="8" t="s">
        <x:v>58</x:v>
      </x:c>
      <x:c r="J129" s="7" t="s">
        <x:v>1919</x:v>
      </x:c>
      <x:c r="K129" s="8" t="n">
        <x:v>1</x:v>
      </x:c>
      <x:c r="L129" s="8" t="n">
        <x:f aca="0">IF(AND(ISNUMBER(G129),P129&lt;&gt;"Unresolved unit / layout"),G129*K129,"Not applicable")</x:f>
        <x:v>54</x:v>
      </x:c>
      <x:c r="M129" s="8" t="str">
        <x:f aca="0">IF(AND(ISNUMBER(H129),P129&lt;&gt;"Unresolved unit / layout"),H129*K129,"Not applicable")</x:f>
        <x:v>Not applicable</x:v>
      </x:c>
      <x:c r="N129" s="8" t="str">
        <x:f aca="0">IF(AND(ISNUMBER(I129),P129&lt;&gt;"Unresolved unit / layout"),I129*K129,"Not applicable")</x:f>
        <x:v>Not applicable</x:v>
      </x:c>
      <x:c r="O129" s="7" t="s">
        <x:v>1956</x:v>
      </x:c>
      <x:c r="P129" s="7" t="s">
        <x:v>1921</x:v>
      </x:c>
      <x:c r="Q129" s="7" t="s">
        <x:v>2064</x:v>
      </x:c>
      <x:c r="R129" s="7" t="s">
        <x:v>58</x:v>
      </x:c>
      <x:c r="S129" s="7" t="s">
        <x:v>53</x:v>
      </x:c>
      <x:c r="T129" s="7" t="s">
        <x:v>53</x:v>
      </x:c>
      <x:c r="U129" s="7" t="s">
        <x:v>53</x:v>
      </x:c>
      <x:c r="V129" s="7" t="s">
        <x:v>2082</x:v>
      </x:c>
      <x:c r="W129" s="7" t="s">
        <x:v>58</x:v>
      </x:c>
      <x:c r="X129" s="7" t="s">
        <x:v>2268</x:v>
      </x:c>
      <x:c r="Y129" s="7" t="s">
        <x:v>1162</x:v>
      </x:c>
      <x:c r="Z129" s="7" t="s">
        <x:v>2086</x:v>
      </x:c>
      <x:c r="AA129" s="7" t="s">
        <x:v>58</x:v>
      </x:c>
      <x:c r="AB129" s="8" t="s">
        <x:v>58</x:v>
      </x:c>
      <x:c r="AC129" s="8" t="s">
        <x:v>58</x:v>
      </x:c>
      <x:c r="AD129" s="8" t="s">
        <x:v>58</x:v>
      </x:c>
      <x:c r="AE129" s="8" t="s">
        <x:v>58</x:v>
      </x:c>
      <x:c r="AF129" s="8" t="s">
        <x:v>58</x:v>
      </x:c>
      <x:c r="AG129" s="7" t="s">
        <x:v>58</x:v>
      </x:c>
    </x:row>
    <x:row r="130" ht="79.5" hidden="0" customHeight="1">
      <x:c r="A130" s="7" t="s">
        <x:v>2274</x:v>
      </x:c>
      <x:c r="B130" s="7" t="s">
        <x:v>134</x:v>
      </x:c>
      <x:c r="C130" s="7" t="s">
        <x:v>136</x:v>
      </x:c>
      <x:c r="D130" s="7" t="s">
        <x:v>1982</x:v>
      </x:c>
      <x:c r="E130" s="7" t="s">
        <x:v>2275</x:v>
      </x:c>
      <x:c r="F130" s="7" t="s">
        <x:v>2273</x:v>
      </x:c>
      <x:c r="G130" s="8" t="n">
        <x:v>61</x:v>
      </x:c>
      <x:c r="H130" s="8" t="s">
        <x:v>58</x:v>
      </x:c>
      <x:c r="I130" s="8" t="s">
        <x:v>58</x:v>
      </x:c>
      <x:c r="J130" s="7" t="s">
        <x:v>1919</x:v>
      </x:c>
      <x:c r="K130" s="8" t="n">
        <x:v>1</x:v>
      </x:c>
      <x:c r="L130" s="8" t="n">
        <x:f aca="0">IF(AND(ISNUMBER(G130),P130&lt;&gt;"Unresolved unit / layout"),G130*K130,"Not applicable")</x:f>
        <x:v>61</x:v>
      </x:c>
      <x:c r="M130" s="8" t="str">
        <x:f aca="0">IF(AND(ISNUMBER(H130),P130&lt;&gt;"Unresolved unit / layout"),H130*K130,"Not applicable")</x:f>
        <x:v>Not applicable</x:v>
      </x:c>
      <x:c r="N130" s="8" t="str">
        <x:f aca="0">IF(AND(ISNUMBER(I130),P130&lt;&gt;"Unresolved unit / layout"),I130*K130,"Not applicable")</x:f>
        <x:v>Not applicable</x:v>
      </x:c>
      <x:c r="O130" s="7" t="s">
        <x:v>1956</x:v>
      </x:c>
      <x:c r="P130" s="7" t="s">
        <x:v>1921</x:v>
      </x:c>
      <x:c r="Q130" s="7" t="s">
        <x:v>2064</x:v>
      </x:c>
      <x:c r="R130" s="7" t="s">
        <x:v>58</x:v>
      </x:c>
      <x:c r="S130" s="7" t="s">
        <x:v>53</x:v>
      </x:c>
      <x:c r="T130" s="7" t="s">
        <x:v>53</x:v>
      </x:c>
      <x:c r="U130" s="7" t="s">
        <x:v>53</x:v>
      </x:c>
      <x:c r="V130" s="7" t="s">
        <x:v>1984</x:v>
      </x:c>
      <x:c r="W130" s="7" t="s">
        <x:v>58</x:v>
      </x:c>
      <x:c r="X130" s="7" t="s">
        <x:v>2268</x:v>
      </x:c>
      <x:c r="Y130" s="7" t="s">
        <x:v>1162</x:v>
      </x:c>
      <x:c r="Z130" s="7" t="s">
        <x:v>2234</x:v>
      </x:c>
      <x:c r="AA130" s="7" t="s">
        <x:v>58</x:v>
      </x:c>
      <x:c r="AB130" s="8" t="s">
        <x:v>58</x:v>
      </x:c>
      <x:c r="AC130" s="8" t="s">
        <x:v>58</x:v>
      </x:c>
      <x:c r="AD130" s="8" t="s">
        <x:v>58</x:v>
      </x:c>
      <x:c r="AE130" s="8" t="s">
        <x:v>58</x:v>
      </x:c>
      <x:c r="AF130" s="8" t="s">
        <x:v>58</x:v>
      </x:c>
      <x:c r="AG130" s="7" t="s">
        <x:v>58</x:v>
      </x:c>
    </x:row>
    <x:row r="131" ht="79.5" hidden="0" customHeight="1">
      <x:c r="A131" s="7" t="s">
        <x:v>2276</x:v>
      </x:c>
      <x:c r="B131" s="7" t="s">
        <x:v>134</x:v>
      </x:c>
      <x:c r="C131" s="7" t="s">
        <x:v>136</x:v>
      </x:c>
      <x:c r="D131" s="7" t="s">
        <x:v>1959</x:v>
      </x:c>
      <x:c r="E131" s="7" t="s">
        <x:v>2277</x:v>
      </x:c>
      <x:c r="F131" s="7" t="s">
        <x:v>2273</x:v>
      </x:c>
      <x:c r="G131" s="8" t="n">
        <x:v>55</x:v>
      </x:c>
      <x:c r="H131" s="8" t="s">
        <x:v>58</x:v>
      </x:c>
      <x:c r="I131" s="8" t="s">
        <x:v>58</x:v>
      </x:c>
      <x:c r="J131" s="7" t="s">
        <x:v>1919</x:v>
      </x:c>
      <x:c r="K131" s="8" t="n">
        <x:v>1</x:v>
      </x:c>
      <x:c r="L131" s="8" t="n">
        <x:f aca="0">IF(AND(ISNUMBER(G131),P131&lt;&gt;"Unresolved unit / layout"),G131*K131,"Not applicable")</x:f>
        <x:v>55</x:v>
      </x:c>
      <x:c r="M131" s="8" t="str">
        <x:f aca="0">IF(AND(ISNUMBER(H131),P131&lt;&gt;"Unresolved unit / layout"),H131*K131,"Not applicable")</x:f>
        <x:v>Not applicable</x:v>
      </x:c>
      <x:c r="N131" s="8" t="str">
        <x:f aca="0">IF(AND(ISNUMBER(I131),P131&lt;&gt;"Unresolved unit / layout"),I131*K131,"Not applicable")</x:f>
        <x:v>Not applicable</x:v>
      </x:c>
      <x:c r="O131" s="7" t="s">
        <x:v>1956</x:v>
      </x:c>
      <x:c r="P131" s="7" t="s">
        <x:v>1921</x:v>
      </x:c>
      <x:c r="Q131" s="7" t="s">
        <x:v>2064</x:v>
      </x:c>
      <x:c r="R131" s="7" t="s">
        <x:v>58</x:v>
      </x:c>
      <x:c r="S131" s="7" t="s">
        <x:v>53</x:v>
      </x:c>
      <x:c r="T131" s="7" t="s">
        <x:v>53</x:v>
      </x:c>
      <x:c r="U131" s="7" t="s">
        <x:v>53</x:v>
      </x:c>
      <x:c r="V131" s="7" t="s">
        <x:v>2095</x:v>
      </x:c>
      <x:c r="W131" s="7" t="s">
        <x:v>58</x:v>
      </x:c>
      <x:c r="X131" s="7" t="s">
        <x:v>2268</x:v>
      </x:c>
      <x:c r="Y131" s="7" t="s">
        <x:v>1162</x:v>
      </x:c>
      <x:c r="Z131" s="7" t="s">
        <x:v>2096</x:v>
      </x:c>
      <x:c r="AA131" s="7" t="s">
        <x:v>58</x:v>
      </x:c>
      <x:c r="AB131" s="8" t="s">
        <x:v>58</x:v>
      </x:c>
      <x:c r="AC131" s="8" t="s">
        <x:v>58</x:v>
      </x:c>
      <x:c r="AD131" s="8" t="s">
        <x:v>58</x:v>
      </x:c>
      <x:c r="AE131" s="8" t="s">
        <x:v>58</x:v>
      </x:c>
      <x:c r="AF131" s="8" t="s">
        <x:v>58</x:v>
      </x:c>
      <x:c r="AG131" s="7" t="s">
        <x:v>58</x:v>
      </x:c>
    </x:row>
    <x:row r="132" ht="79.5" hidden="0" customHeight="1">
      <x:c r="A132" s="7" t="s">
        <x:v>141</x:v>
      </x:c>
      <x:c r="B132" s="7" t="s">
        <x:v>134</x:v>
      </x:c>
      <x:c r="C132" s="7" t="s">
        <x:v>136</x:v>
      </x:c>
      <x:c r="D132" s="7" t="s">
        <x:v>1959</x:v>
      </x:c>
      <x:c r="E132" s="7" t="s">
        <x:v>2278</x:v>
      </x:c>
      <x:c r="F132" s="7" t="s">
        <x:v>2273</x:v>
      </x:c>
      <x:c r="G132" s="8" t="n">
        <x:v>60</x:v>
      </x:c>
      <x:c r="H132" s="8" t="s">
        <x:v>58</x:v>
      </x:c>
      <x:c r="I132" s="8" t="s">
        <x:v>58</x:v>
      </x:c>
      <x:c r="J132" s="7" t="s">
        <x:v>1919</x:v>
      </x:c>
      <x:c r="K132" s="8" t="n">
        <x:v>1</x:v>
      </x:c>
      <x:c r="L132" s="8" t="n">
        <x:f aca="0">IF(AND(ISNUMBER(G132),P132&lt;&gt;"Unresolved unit / layout"),G132*K132,"Not applicable")</x:f>
        <x:v>60</x:v>
      </x:c>
      <x:c r="M132" s="8" t="str">
        <x:f aca="0">IF(AND(ISNUMBER(H132),P132&lt;&gt;"Unresolved unit / layout"),H132*K132,"Not applicable")</x:f>
        <x:v>Not applicable</x:v>
      </x:c>
      <x:c r="N132" s="8" t="str">
        <x:f aca="0">IF(AND(ISNUMBER(I132),P132&lt;&gt;"Unresolved unit / layout"),I132*K132,"Not applicable")</x:f>
        <x:v>Not applicable</x:v>
      </x:c>
      <x:c r="O132" s="7" t="s">
        <x:v>1956</x:v>
      </x:c>
      <x:c r="P132" s="7" t="s">
        <x:v>1921</x:v>
      </x:c>
      <x:c r="Q132" s="7" t="s">
        <x:v>2064</x:v>
      </x:c>
      <x:c r="R132" s="7" t="s">
        <x:v>58</x:v>
      </x:c>
      <x:c r="S132" s="7" t="s">
        <x:v>53</x:v>
      </x:c>
      <x:c r="T132" s="7" t="s">
        <x:v>53</x:v>
      </x:c>
      <x:c r="U132" s="7" t="s">
        <x:v>53</x:v>
      </x:c>
      <x:c r="V132" s="7" t="s">
        <x:v>2097</x:v>
      </x:c>
      <x:c r="W132" s="7" t="s">
        <x:v>58</x:v>
      </x:c>
      <x:c r="X132" s="7" t="s">
        <x:v>2268</x:v>
      </x:c>
      <x:c r="Y132" s="7" t="s">
        <x:v>1162</x:v>
      </x:c>
      <x:c r="Z132" s="7" t="s">
        <x:v>2096</x:v>
      </x:c>
      <x:c r="AA132" s="7" t="s">
        <x:v>58</x:v>
      </x:c>
      <x:c r="AB132" s="8" t="s">
        <x:v>58</x:v>
      </x:c>
      <x:c r="AC132" s="8" t="s">
        <x:v>58</x:v>
      </x:c>
      <x:c r="AD132" s="8" t="s">
        <x:v>58</x:v>
      </x:c>
      <x:c r="AE132" s="8" t="s">
        <x:v>58</x:v>
      </x:c>
      <x:c r="AF132" s="8" t="s">
        <x:v>58</x:v>
      </x:c>
      <x:c r="AG132" s="7" t="s">
        <x:v>58</x:v>
      </x:c>
    </x:row>
    <x:row r="133" ht="79.5" hidden="0" customHeight="1">
      <x:c r="A133" s="7" t="s">
        <x:v>2279</x:v>
      </x:c>
      <x:c r="B133" s="7" t="s">
        <x:v>134</x:v>
      </x:c>
      <x:c r="C133" s="7" t="s">
        <x:v>136</x:v>
      </x:c>
      <x:c r="D133" s="7" t="s">
        <x:v>2099</x:v>
      </x:c>
      <x:c r="E133" s="7" t="s">
        <x:v>2280</x:v>
      </x:c>
      <x:c r="F133" s="7" t="s">
        <x:v>1942</x:v>
      </x:c>
      <x:c r="G133" s="8" t="n">
        <x:v>0.34</x:v>
      </x:c>
      <x:c r="H133" s="8" t="s">
        <x:v>58</x:v>
      </x:c>
      <x:c r="I133" s="8" t="s">
        <x:v>58</x:v>
      </x:c>
      <x:c r="J133" s="7" t="s">
        <x:v>1919</x:v>
      </x:c>
      <x:c r="K133" s="8" t="n">
        <x:v>1</x:v>
      </x:c>
      <x:c r="L133" s="8" t="n">
        <x:f aca="0">IF(AND(ISNUMBER(G133),P133&lt;&gt;"Unresolved unit / layout"),G133*K133,"Not applicable")</x:f>
        <x:v>0.34</x:v>
      </x:c>
      <x:c r="M133" s="8" t="str">
        <x:f aca="0">IF(AND(ISNUMBER(H133),P133&lt;&gt;"Unresolved unit / layout"),H133*K133,"Not applicable")</x:f>
        <x:v>Not applicable</x:v>
      </x:c>
      <x:c r="N133" s="8" t="str">
        <x:f aca="0">IF(AND(ISNUMBER(I133),P133&lt;&gt;"Unresolved unit / layout"),I133*K133,"Not applicable")</x:f>
        <x:v>Not applicable</x:v>
      </x:c>
      <x:c r="O133" s="7" t="s">
        <x:v>1942</x:v>
      </x:c>
      <x:c r="P133" s="7" t="s">
        <x:v>1921</x:v>
      </x:c>
      <x:c r="Q133" s="7" t="s">
        <x:v>2064</x:v>
      </x:c>
      <x:c r="R133" s="7" t="s">
        <x:v>58</x:v>
      </x:c>
      <x:c r="S133" s="7" t="s">
        <x:v>53</x:v>
      </x:c>
      <x:c r="T133" s="7" t="s">
        <x:v>53</x:v>
      </x:c>
      <x:c r="U133" s="7" t="s">
        <x:v>53</x:v>
      </x:c>
      <x:c r="V133" s="7" t="s">
        <x:v>2238</x:v>
      </x:c>
      <x:c r="W133" s="7" t="s">
        <x:v>58</x:v>
      </x:c>
      <x:c r="X133" s="7" t="s">
        <x:v>2268</x:v>
      </x:c>
      <x:c r="Y133" s="7" t="s">
        <x:v>1162</x:v>
      </x:c>
      <x:c r="Z133" s="7" t="s">
        <x:v>2239</x:v>
      </x:c>
      <x:c r="AA133" s="7" t="s">
        <x:v>58</x:v>
      </x:c>
      <x:c r="AB133" s="8" t="s">
        <x:v>58</x:v>
      </x:c>
      <x:c r="AC133" s="8" t="s">
        <x:v>58</x:v>
      </x:c>
      <x:c r="AD133" s="8" t="s">
        <x:v>58</x:v>
      </x:c>
      <x:c r="AE133" s="8" t="s">
        <x:v>58</x:v>
      </x:c>
      <x:c r="AF133" s="8" t="s">
        <x:v>58</x:v>
      </x:c>
      <x:c r="AG133" s="7" t="s">
        <x:v>58</x:v>
      </x:c>
    </x:row>
    <x:row r="134" ht="79.5" hidden="0" customHeight="1">
      <x:c r="A134" s="7" t="s">
        <x:v>2281</x:v>
      </x:c>
      <x:c r="B134" s="7" t="s">
        <x:v>134</x:v>
      </x:c>
      <x:c r="C134" s="7" t="s">
        <x:v>136</x:v>
      </x:c>
      <x:c r="D134" s="7" t="s">
        <x:v>1935</x:v>
      </x:c>
      <x:c r="E134" s="7" t="s">
        <x:v>2282</x:v>
      </x:c>
      <x:c r="F134" s="7" t="s">
        <x:v>1929</x:v>
      </x:c>
      <x:c r="G134" s="8" t="n">
        <x:v>2880</x:v>
      </x:c>
      <x:c r="H134" s="8" t="n">
        <x:v>190</x:v>
      </x:c>
      <x:c r="I134" s="8" t="s">
        <x:v>58</x:v>
      </x:c>
      <x:c r="J134" s="7" t="s">
        <x:v>1919</x:v>
      </x:c>
      <x:c r="K134" s="8" t="n">
        <x:v>0.001</x:v>
      </x:c>
      <x:c r="L134" s="8" t="n">
        <x:f aca="0">IF(AND(ISNUMBER(G134),P134&lt;&gt;"Unresolved unit / layout"),G134*K134,"Not applicable")</x:f>
        <x:v>2.88</x:v>
      </x:c>
      <x:c r="M134" s="8" t="n">
        <x:f aca="0">IF(AND(ISNUMBER(H134),P134&lt;&gt;"Unresolved unit / layout"),H134*K134,"Not applicable")</x:f>
        <x:v>0.19</x:v>
      </x:c>
      <x:c r="N134" s="8" t="str">
        <x:f aca="0">IF(AND(ISNUMBER(I134),P134&lt;&gt;"Unresolved unit / layout"),I134*K134,"Not applicable")</x:f>
        <x:v>Not applicable</x:v>
      </x:c>
      <x:c r="O134" s="7" t="s">
        <x:v>1937</x:v>
      </x:c>
      <x:c r="P134" s="7" t="s">
        <x:v>1921</x:v>
      </x:c>
      <x:c r="Q134" s="7" t="s">
        <x:v>2064</x:v>
      </x:c>
      <x:c r="R134" s="7" t="s">
        <x:v>1931</x:v>
      </x:c>
      <x:c r="S134" s="7" t="s">
        <x:v>53</x:v>
      </x:c>
      <x:c r="T134" s="7" t="s">
        <x:v>53</x:v>
      </x:c>
      <x:c r="U134" s="7" t="s">
        <x:v>53</x:v>
      </x:c>
      <x:c r="V134" s="7" t="s">
        <x:v>1999</x:v>
      </x:c>
      <x:c r="W134" s="7" t="s">
        <x:v>58</x:v>
      </x:c>
      <x:c r="X134" s="7" t="s">
        <x:v>2268</x:v>
      </x:c>
      <x:c r="Y134" s="7" t="s">
        <x:v>1162</x:v>
      </x:c>
      <x:c r="Z134" s="7" t="s">
        <x:v>2105</x:v>
      </x:c>
      <x:c r="AA134" s="7" t="s">
        <x:v>58</x:v>
      </x:c>
      <x:c r="AB134" s="8" t="s">
        <x:v>58</x:v>
      </x:c>
      <x:c r="AC134" s="8" t="s">
        <x:v>58</x:v>
      </x:c>
      <x:c r="AD134" s="8" t="s">
        <x:v>58</x:v>
      </x:c>
      <x:c r="AE134" s="8" t="s">
        <x:v>58</x:v>
      </x:c>
      <x:c r="AF134" s="8" t="s">
        <x:v>58</x:v>
      </x:c>
      <x:c r="AG134" s="7" t="s">
        <x:v>58</x:v>
      </x:c>
    </x:row>
    <x:row r="135" ht="79.5" hidden="0" customHeight="1">
      <x:c r="A135" s="7" t="s">
        <x:v>2283</x:v>
      </x:c>
      <x:c r="B135" s="7" t="s">
        <x:v>134</x:v>
      </x:c>
      <x:c r="C135" s="7" t="s">
        <x:v>136</x:v>
      </x:c>
      <x:c r="D135" s="7" t="s">
        <x:v>1935</x:v>
      </x:c>
      <x:c r="E135" s="7" t="s">
        <x:v>2284</x:v>
      </x:c>
      <x:c r="F135" s="7" t="s">
        <x:v>1929</x:v>
      </x:c>
      <x:c r="G135" s="8" t="n">
        <x:v>2550</x:v>
      </x:c>
      <x:c r="H135" s="8" t="n">
        <x:v>150</x:v>
      </x:c>
      <x:c r="I135" s="8" t="s">
        <x:v>58</x:v>
      </x:c>
      <x:c r="J135" s="7" t="s">
        <x:v>1919</x:v>
      </x:c>
      <x:c r="K135" s="8" t="n">
        <x:v>0.001</x:v>
      </x:c>
      <x:c r="L135" s="8" t="n">
        <x:f aca="0">IF(AND(ISNUMBER(G135),P135&lt;&gt;"Unresolved unit / layout"),G135*K135,"Not applicable")</x:f>
        <x:v>2.5500000000000003</x:v>
      </x:c>
      <x:c r="M135" s="8" t="n">
        <x:f aca="0">IF(AND(ISNUMBER(H135),P135&lt;&gt;"Unresolved unit / layout"),H135*K135,"Not applicable")</x:f>
        <x:v>0.15</x:v>
      </x:c>
      <x:c r="N135" s="8" t="str">
        <x:f aca="0">IF(AND(ISNUMBER(I135),P135&lt;&gt;"Unresolved unit / layout"),I135*K135,"Not applicable")</x:f>
        <x:v>Not applicable</x:v>
      </x:c>
      <x:c r="O135" s="7" t="s">
        <x:v>1937</x:v>
      </x:c>
      <x:c r="P135" s="7" t="s">
        <x:v>1921</x:v>
      </x:c>
      <x:c r="Q135" s="7" t="s">
        <x:v>2064</x:v>
      </x:c>
      <x:c r="R135" s="7" t="s">
        <x:v>2003</x:v>
      </x:c>
      <x:c r="S135" s="7" t="s">
        <x:v>53</x:v>
      </x:c>
      <x:c r="T135" s="7" t="s">
        <x:v>53</x:v>
      </x:c>
      <x:c r="U135" s="7" t="s">
        <x:v>53</x:v>
      </x:c>
      <x:c r="V135" s="7" t="s">
        <x:v>1999</x:v>
      </x:c>
      <x:c r="W135" s="7" t="s">
        <x:v>58</x:v>
      </x:c>
      <x:c r="X135" s="7" t="s">
        <x:v>2268</x:v>
      </x:c>
      <x:c r="Y135" s="7" t="s">
        <x:v>1162</x:v>
      </x:c>
      <x:c r="Z135" s="7" t="s">
        <x:v>2108</x:v>
      </x:c>
      <x:c r="AA135" s="7" t="s">
        <x:v>58</x:v>
      </x:c>
      <x:c r="AB135" s="8" t="s">
        <x:v>58</x:v>
      </x:c>
      <x:c r="AC135" s="8" t="s">
        <x:v>58</x:v>
      </x:c>
      <x:c r="AD135" s="8" t="s">
        <x:v>58</x:v>
      </x:c>
      <x:c r="AE135" s="8" t="s">
        <x:v>58</x:v>
      </x:c>
      <x:c r="AF135" s="8" t="s">
        <x:v>58</x:v>
      </x:c>
      <x:c r="AG135" s="7" t="s">
        <x:v>58</x:v>
      </x:c>
    </x:row>
    <x:row r="136" ht="79.5" hidden="0" customHeight="1">
      <x:c r="A136" s="7" t="s">
        <x:v>2285</x:v>
      </x:c>
      <x:c r="B136" s="7" t="s">
        <x:v>134</x:v>
      </x:c>
      <x:c r="C136" s="7" t="s">
        <x:v>136</x:v>
      </x:c>
      <x:c r="D136" s="7" t="s">
        <x:v>2006</x:v>
      </x:c>
      <x:c r="E136" s="7" t="s">
        <x:v>2286</x:v>
      </x:c>
      <x:c r="F136" s="7" t="s">
        <x:v>1929</x:v>
      </x:c>
      <x:c r="G136" s="8" t="n">
        <x:v>55.4</x:v>
      </x:c>
      <x:c r="H136" s="8" t="n">
        <x:v>5</x:v>
      </x:c>
      <x:c r="I136" s="8" t="s">
        <x:v>58</x:v>
      </x:c>
      <x:c r="J136" s="7" t="s">
        <x:v>1919</x:v>
      </x:c>
      <x:c r="K136" s="8" t="n">
        <x:v>1</x:v>
      </x:c>
      <x:c r="L136" s="8" t="n">
        <x:f aca="0">IF(AND(ISNUMBER(G136),P136&lt;&gt;"Unresolved unit / layout"),G136*K136,"Not applicable")</x:f>
        <x:v>55.4</x:v>
      </x:c>
      <x:c r="M136" s="8" t="n">
        <x:f aca="0">IF(AND(ISNUMBER(H136),P136&lt;&gt;"Unresolved unit / layout"),H136*K136,"Not applicable")</x:f>
        <x:v>5</x:v>
      </x:c>
      <x:c r="N136" s="8" t="str">
        <x:f aca="0">IF(AND(ISNUMBER(I136),P136&lt;&gt;"Unresolved unit / layout"),I136*K136,"Not applicable")</x:f>
        <x:v>Not applicable</x:v>
      </x:c>
      <x:c r="O136" s="7" t="s">
        <x:v>1929</x:v>
      </x:c>
      <x:c r="P136" s="7" t="s">
        <x:v>1921</x:v>
      </x:c>
      <x:c r="Q136" s="7" t="s">
        <x:v>2064</x:v>
      </x:c>
      <x:c r="R136" s="7" t="s">
        <x:v>1931</x:v>
      </x:c>
      <x:c r="S136" s="7" t="s">
        <x:v>53</x:v>
      </x:c>
      <x:c r="T136" s="7" t="s">
        <x:v>53</x:v>
      </x:c>
      <x:c r="U136" s="7" t="s">
        <x:v>53</x:v>
      </x:c>
      <x:c r="V136" s="7" t="s">
        <x:v>1999</x:v>
      </x:c>
      <x:c r="W136" s="7" t="s">
        <x:v>58</x:v>
      </x:c>
      <x:c r="X136" s="7" t="s">
        <x:v>2268</x:v>
      </x:c>
      <x:c r="Y136" s="7" t="s">
        <x:v>1162</x:v>
      </x:c>
      <x:c r="Z136" s="7" t="s">
        <x:v>2111</x:v>
      </x:c>
      <x:c r="AA136" s="7" t="s">
        <x:v>58</x:v>
      </x:c>
      <x:c r="AB136" s="8" t="s">
        <x:v>58</x:v>
      </x:c>
      <x:c r="AC136" s="8" t="s">
        <x:v>58</x:v>
      </x:c>
      <x:c r="AD136" s="8" t="s">
        <x:v>58</x:v>
      </x:c>
      <x:c r="AE136" s="8" t="s">
        <x:v>58</x:v>
      </x:c>
      <x:c r="AF136" s="8" t="s">
        <x:v>58</x:v>
      </x:c>
      <x:c r="AG136" s="7" t="s">
        <x:v>58</x:v>
      </x:c>
    </x:row>
    <x:row r="137" ht="79.5" hidden="0" customHeight="1">
      <x:c r="A137" s="7" t="s">
        <x:v>2287</x:v>
      </x:c>
      <x:c r="B137" s="7" t="s">
        <x:v>134</x:v>
      </x:c>
      <x:c r="C137" s="7" t="s">
        <x:v>136</x:v>
      </x:c>
      <x:c r="D137" s="7" t="s">
        <x:v>2006</x:v>
      </x:c>
      <x:c r="E137" s="7" t="s">
        <x:v>2288</x:v>
      </x:c>
      <x:c r="F137" s="7" t="s">
        <x:v>1929</x:v>
      </x:c>
      <x:c r="G137" s="8" t="n">
        <x:v>28.9</x:v>
      </x:c>
      <x:c r="H137" s="8" t="n">
        <x:v>4</x:v>
      </x:c>
      <x:c r="I137" s="8" t="s">
        <x:v>58</x:v>
      </x:c>
      <x:c r="J137" s="7" t="s">
        <x:v>1919</x:v>
      </x:c>
      <x:c r="K137" s="8" t="n">
        <x:v>1</x:v>
      </x:c>
      <x:c r="L137" s="8" t="n">
        <x:f aca="0">IF(AND(ISNUMBER(G137),P137&lt;&gt;"Unresolved unit / layout"),G137*K137,"Not applicable")</x:f>
        <x:v>28.9</x:v>
      </x:c>
      <x:c r="M137" s="8" t="n">
        <x:f aca="0">IF(AND(ISNUMBER(H137),P137&lt;&gt;"Unresolved unit / layout"),H137*K137,"Not applicable")</x:f>
        <x:v>4</x:v>
      </x:c>
      <x:c r="N137" s="8" t="str">
        <x:f aca="0">IF(AND(ISNUMBER(I137),P137&lt;&gt;"Unresolved unit / layout"),I137*K137,"Not applicable")</x:f>
        <x:v>Not applicable</x:v>
      </x:c>
      <x:c r="O137" s="7" t="s">
        <x:v>1929</x:v>
      </x:c>
      <x:c r="P137" s="7" t="s">
        <x:v>1921</x:v>
      </x:c>
      <x:c r="Q137" s="7" t="s">
        <x:v>2064</x:v>
      </x:c>
      <x:c r="R137" s="7" t="s">
        <x:v>2003</x:v>
      </x:c>
      <x:c r="S137" s="7" t="s">
        <x:v>53</x:v>
      </x:c>
      <x:c r="T137" s="7" t="s">
        <x:v>53</x:v>
      </x:c>
      <x:c r="U137" s="7" t="s">
        <x:v>53</x:v>
      </x:c>
      <x:c r="V137" s="7" t="s">
        <x:v>1999</x:v>
      </x:c>
      <x:c r="W137" s="7" t="s">
        <x:v>58</x:v>
      </x:c>
      <x:c r="X137" s="7" t="s">
        <x:v>2268</x:v>
      </x:c>
      <x:c r="Y137" s="7" t="s">
        <x:v>1162</x:v>
      </x:c>
      <x:c r="Z137" s="7" t="s">
        <x:v>2114</x:v>
      </x:c>
      <x:c r="AA137" s="7" t="s">
        <x:v>58</x:v>
      </x:c>
      <x:c r="AB137" s="8" t="s">
        <x:v>58</x:v>
      </x:c>
      <x:c r="AC137" s="8" t="s">
        <x:v>58</x:v>
      </x:c>
      <x:c r="AD137" s="8" t="s">
        <x:v>58</x:v>
      </x:c>
      <x:c r="AE137" s="8" t="s">
        <x:v>58</x:v>
      </x:c>
      <x:c r="AF137" s="8" t="s">
        <x:v>58</x:v>
      </x:c>
      <x:c r="AG137" s="7" t="s">
        <x:v>58</x:v>
      </x:c>
    </x:row>
    <x:row r="138" ht="79.5" hidden="0" customHeight="1">
      <x:c r="A138" s="7" t="s">
        <x:v>2289</x:v>
      </x:c>
      <x:c r="B138" s="7" t="s">
        <x:v>134</x:v>
      </x:c>
      <x:c r="C138" s="7" t="s">
        <x:v>136</x:v>
      </x:c>
      <x:c r="D138" s="7" t="s">
        <x:v>1940</x:v>
      </x:c>
      <x:c r="E138" s="7" t="s">
        <x:v>2290</x:v>
      </x:c>
      <x:c r="F138" s="7" t="s">
        <x:v>1942</x:v>
      </x:c>
      <x:c r="G138" s="8" t="n">
        <x:v>11</x:v>
      </x:c>
      <x:c r="H138" s="8" t="n">
        <x:v>3.1</x:v>
      </x:c>
      <x:c r="I138" s="8" t="s">
        <x:v>58</x:v>
      </x:c>
      <x:c r="J138" s="7" t="s">
        <x:v>1919</x:v>
      </x:c>
      <x:c r="K138" s="8" t="n">
        <x:v>1</x:v>
      </x:c>
      <x:c r="L138" s="8" t="n">
        <x:f aca="0">IF(AND(ISNUMBER(G138),P138&lt;&gt;"Unresolved unit / layout"),G138*K138,"Not applicable")</x:f>
        <x:v>11</x:v>
      </x:c>
      <x:c r="M138" s="8" t="n">
        <x:f aca="0">IF(AND(ISNUMBER(H138),P138&lt;&gt;"Unresolved unit / layout"),H138*K138,"Not applicable")</x:f>
        <x:v>3.1</x:v>
      </x:c>
      <x:c r="N138" s="8" t="str">
        <x:f aca="0">IF(AND(ISNUMBER(I138),P138&lt;&gt;"Unresolved unit / layout"),I138*K138,"Not applicable")</x:f>
        <x:v>Not applicable</x:v>
      </x:c>
      <x:c r="O138" s="7" t="s">
        <x:v>1942</x:v>
      </x:c>
      <x:c r="P138" s="7" t="s">
        <x:v>1921</x:v>
      </x:c>
      <x:c r="Q138" s="7" t="s">
        <x:v>2064</x:v>
      </x:c>
      <x:c r="R138" s="7" t="s">
        <x:v>1931</x:v>
      </x:c>
      <x:c r="S138" s="7" t="s">
        <x:v>53</x:v>
      </x:c>
      <x:c r="T138" s="7" t="s">
        <x:v>53</x:v>
      </x:c>
      <x:c r="U138" s="7" t="s">
        <x:v>53</x:v>
      </x:c>
      <x:c r="V138" s="7" t="s">
        <x:v>1999</x:v>
      </x:c>
      <x:c r="W138" s="7" t="s">
        <x:v>58</x:v>
      </x:c>
      <x:c r="X138" s="7" t="s">
        <x:v>2268</x:v>
      </x:c>
      <x:c r="Y138" s="7" t="s">
        <x:v>1162</x:v>
      </x:c>
      <x:c r="Z138" s="7" t="s">
        <x:v>2117</x:v>
      </x:c>
      <x:c r="AA138" s="7" t="s">
        <x:v>58</x:v>
      </x:c>
      <x:c r="AB138" s="8" t="s">
        <x:v>58</x:v>
      </x:c>
      <x:c r="AC138" s="8" t="s">
        <x:v>58</x:v>
      </x:c>
      <x:c r="AD138" s="8" t="s">
        <x:v>58</x:v>
      </x:c>
      <x:c r="AE138" s="8" t="s">
        <x:v>58</x:v>
      </x:c>
      <x:c r="AF138" s="8" t="s">
        <x:v>58</x:v>
      </x:c>
      <x:c r="AG138" s="7" t="s">
        <x:v>58</x:v>
      </x:c>
    </x:row>
    <x:row r="139" ht="79.5" hidden="0" customHeight="1">
      <x:c r="A139" s="7" t="s">
        <x:v>2291</x:v>
      </x:c>
      <x:c r="B139" s="7" t="s">
        <x:v>134</x:v>
      </x:c>
      <x:c r="C139" s="7" t="s">
        <x:v>136</x:v>
      </x:c>
      <x:c r="D139" s="7" t="s">
        <x:v>1940</x:v>
      </x:c>
      <x:c r="E139" s="7" t="s">
        <x:v>2292</x:v>
      </x:c>
      <x:c r="F139" s="7" t="s">
        <x:v>1942</x:v>
      </x:c>
      <x:c r="G139" s="8" t="n">
        <x:v>9.6</x:v>
      </x:c>
      <x:c r="H139" s="8" t="n">
        <x:v>1.7</x:v>
      </x:c>
      <x:c r="I139" s="8" t="s">
        <x:v>58</x:v>
      </x:c>
      <x:c r="J139" s="7" t="s">
        <x:v>1919</x:v>
      </x:c>
      <x:c r="K139" s="8" t="n">
        <x:v>1</x:v>
      </x:c>
      <x:c r="L139" s="8" t="n">
        <x:f aca="0">IF(AND(ISNUMBER(G139),P139&lt;&gt;"Unresolved unit / layout"),G139*K139,"Not applicable")</x:f>
        <x:v>9.6</x:v>
      </x:c>
      <x:c r="M139" s="8" t="n">
        <x:f aca="0">IF(AND(ISNUMBER(H139),P139&lt;&gt;"Unresolved unit / layout"),H139*K139,"Not applicable")</x:f>
        <x:v>1.7</x:v>
      </x:c>
      <x:c r="N139" s="8" t="str">
        <x:f aca="0">IF(AND(ISNUMBER(I139),P139&lt;&gt;"Unresolved unit / layout"),I139*K139,"Not applicable")</x:f>
        <x:v>Not applicable</x:v>
      </x:c>
      <x:c r="O139" s="7" t="s">
        <x:v>1942</x:v>
      </x:c>
      <x:c r="P139" s="7" t="s">
        <x:v>1921</x:v>
      </x:c>
      <x:c r="Q139" s="7" t="s">
        <x:v>2064</x:v>
      </x:c>
      <x:c r="R139" s="7" t="s">
        <x:v>2003</x:v>
      </x:c>
      <x:c r="S139" s="7" t="s">
        <x:v>53</x:v>
      </x:c>
      <x:c r="T139" s="7" t="s">
        <x:v>53</x:v>
      </x:c>
      <x:c r="U139" s="7" t="s">
        <x:v>53</x:v>
      </x:c>
      <x:c r="V139" s="7" t="s">
        <x:v>1999</x:v>
      </x:c>
      <x:c r="W139" s="7" t="s">
        <x:v>58</x:v>
      </x:c>
      <x:c r="X139" s="7" t="s">
        <x:v>2268</x:v>
      </x:c>
      <x:c r="Y139" s="7" t="s">
        <x:v>1162</x:v>
      </x:c>
      <x:c r="Z139" s="7" t="s">
        <x:v>2120</x:v>
      </x:c>
      <x:c r="AA139" s="7" t="s">
        <x:v>58</x:v>
      </x:c>
      <x:c r="AB139" s="8" t="s">
        <x:v>58</x:v>
      </x:c>
      <x:c r="AC139" s="8" t="s">
        <x:v>58</x:v>
      </x:c>
      <x:c r="AD139" s="8" t="s">
        <x:v>58</x:v>
      </x:c>
      <x:c r="AE139" s="8" t="s">
        <x:v>58</x:v>
      </x:c>
      <x:c r="AF139" s="8" t="s">
        <x:v>58</x:v>
      </x:c>
      <x:c r="AG139" s="7" t="s">
        <x:v>58</x:v>
      </x:c>
    </x:row>
    <x:row r="140" ht="79.5" hidden="0" customHeight="1">
      <x:c r="A140" s="7" t="s">
        <x:v>2293</x:v>
      </x:c>
      <x:c r="B140" s="7" t="s">
        <x:v>134</x:v>
      </x:c>
      <x:c r="C140" s="7" t="s">
        <x:v>136</x:v>
      </x:c>
      <x:c r="D140" s="7" t="s">
        <x:v>1950</x:v>
      </x:c>
      <x:c r="E140" s="7" t="s">
        <x:v>2294</x:v>
      </x:c>
      <x:c r="F140" s="7" t="s">
        <x:v>1929</x:v>
      </x:c>
      <x:c r="G140" s="8" t="n">
        <x:v>3000</x:v>
      </x:c>
      <x:c r="H140" s="8" t="n">
        <x:v>120</x:v>
      </x:c>
      <x:c r="I140" s="8" t="s">
        <x:v>58</x:v>
      </x:c>
      <x:c r="J140" s="7" t="s">
        <x:v>1919</x:v>
      </x:c>
      <x:c r="K140" s="8" t="n">
        <x:v>0.001</x:v>
      </x:c>
      <x:c r="L140" s="8" t="n">
        <x:f aca="0">IF(AND(ISNUMBER(G140),P140&lt;&gt;"Unresolved unit / layout"),G140*K140,"Not applicable")</x:f>
        <x:v>3</x:v>
      </x:c>
      <x:c r="M140" s="8" t="n">
        <x:f aca="0">IF(AND(ISNUMBER(H140),P140&lt;&gt;"Unresolved unit / layout"),H140*K140,"Not applicable")</x:f>
        <x:v>0.12</x:v>
      </x:c>
      <x:c r="N140" s="8" t="str">
        <x:f aca="0">IF(AND(ISNUMBER(I140),P140&lt;&gt;"Unresolved unit / layout"),I140*K140,"Not applicable")</x:f>
        <x:v>Not applicable</x:v>
      </x:c>
      <x:c r="O140" s="7" t="s">
        <x:v>1937</x:v>
      </x:c>
      <x:c r="P140" s="7" t="s">
        <x:v>1921</x:v>
      </x:c>
      <x:c r="Q140" s="7" t="s">
        <x:v>2064</x:v>
      </x:c>
      <x:c r="R140" s="7" t="s">
        <x:v>1931</x:v>
      </x:c>
      <x:c r="S140" s="7" t="s">
        <x:v>53</x:v>
      </x:c>
      <x:c r="T140" s="7" t="s">
        <x:v>53</x:v>
      </x:c>
      <x:c r="U140" s="7" t="s">
        <x:v>53</x:v>
      </x:c>
      <x:c r="V140" s="7" t="s">
        <x:v>2020</x:v>
      </x:c>
      <x:c r="W140" s="7" t="s">
        <x:v>58</x:v>
      </x:c>
      <x:c r="X140" s="7" t="s">
        <x:v>2268</x:v>
      </x:c>
      <x:c r="Y140" s="7" t="s">
        <x:v>1162</x:v>
      </x:c>
      <x:c r="Z140" s="7" t="s">
        <x:v>2123</x:v>
      </x:c>
      <x:c r="AA140" s="7" t="s">
        <x:v>58</x:v>
      </x:c>
      <x:c r="AB140" s="8" t="s">
        <x:v>58</x:v>
      </x:c>
      <x:c r="AC140" s="8" t="s">
        <x:v>58</x:v>
      </x:c>
      <x:c r="AD140" s="8" t="s">
        <x:v>58</x:v>
      </x:c>
      <x:c r="AE140" s="8" t="s">
        <x:v>58</x:v>
      </x:c>
      <x:c r="AF140" s="8" t="s">
        <x:v>58</x:v>
      </x:c>
      <x:c r="AG140" s="7" t="s">
        <x:v>58</x:v>
      </x:c>
    </x:row>
    <x:row r="141" ht="79.5" hidden="0" customHeight="1">
      <x:c r="A141" s="7" t="s">
        <x:v>2295</x:v>
      </x:c>
      <x:c r="B141" s="7" t="s">
        <x:v>134</x:v>
      </x:c>
      <x:c r="C141" s="7" t="s">
        <x:v>136</x:v>
      </x:c>
      <x:c r="D141" s="7" t="s">
        <x:v>1950</x:v>
      </x:c>
      <x:c r="E141" s="7" t="s">
        <x:v>2296</x:v>
      </x:c>
      <x:c r="F141" s="7" t="s">
        <x:v>1929</x:v>
      </x:c>
      <x:c r="G141" s="8" t="n">
        <x:v>2650</x:v>
      </x:c>
      <x:c r="H141" s="8" t="n">
        <x:v>140</x:v>
      </x:c>
      <x:c r="I141" s="8" t="s">
        <x:v>58</x:v>
      </x:c>
      <x:c r="J141" s="7" t="s">
        <x:v>1919</x:v>
      </x:c>
      <x:c r="K141" s="8" t="n">
        <x:v>0.001</x:v>
      </x:c>
      <x:c r="L141" s="8" t="n">
        <x:f aca="0">IF(AND(ISNUMBER(G141),P141&lt;&gt;"Unresolved unit / layout"),G141*K141,"Not applicable")</x:f>
        <x:v>2.65</x:v>
      </x:c>
      <x:c r="M141" s="8" t="n">
        <x:f aca="0">IF(AND(ISNUMBER(H141),P141&lt;&gt;"Unresolved unit / layout"),H141*K141,"Not applicable")</x:f>
        <x:v>0.14</x:v>
      </x:c>
      <x:c r="N141" s="8" t="str">
        <x:f aca="0">IF(AND(ISNUMBER(I141),P141&lt;&gt;"Unresolved unit / layout"),I141*K141,"Not applicable")</x:f>
        <x:v>Not applicable</x:v>
      </x:c>
      <x:c r="O141" s="7" t="s">
        <x:v>1937</x:v>
      </x:c>
      <x:c r="P141" s="7" t="s">
        <x:v>1921</x:v>
      </x:c>
      <x:c r="Q141" s="7" t="s">
        <x:v>2064</x:v>
      </x:c>
      <x:c r="R141" s="7" t="s">
        <x:v>2003</x:v>
      </x:c>
      <x:c r="S141" s="7" t="s">
        <x:v>53</x:v>
      </x:c>
      <x:c r="T141" s="7" t="s">
        <x:v>53</x:v>
      </x:c>
      <x:c r="U141" s="7" t="s">
        <x:v>53</x:v>
      </x:c>
      <x:c r="V141" s="7" t="s">
        <x:v>2020</x:v>
      </x:c>
      <x:c r="W141" s="7" t="s">
        <x:v>58</x:v>
      </x:c>
      <x:c r="X141" s="7" t="s">
        <x:v>2268</x:v>
      </x:c>
      <x:c r="Y141" s="7" t="s">
        <x:v>1162</x:v>
      </x:c>
      <x:c r="Z141" s="7" t="s">
        <x:v>2210</x:v>
      </x:c>
      <x:c r="AA141" s="7" t="s">
        <x:v>58</x:v>
      </x:c>
      <x:c r="AB141" s="8" t="s">
        <x:v>58</x:v>
      </x:c>
      <x:c r="AC141" s="8" t="s">
        <x:v>58</x:v>
      </x:c>
      <x:c r="AD141" s="8" t="s">
        <x:v>58</x:v>
      </x:c>
      <x:c r="AE141" s="8" t="s">
        <x:v>58</x:v>
      </x:c>
      <x:c r="AF141" s="8" t="s">
        <x:v>58</x:v>
      </x:c>
      <x:c r="AG141" s="7" t="s">
        <x:v>58</x:v>
      </x:c>
    </x:row>
    <x:row r="142" ht="79.5" hidden="0" customHeight="1">
      <x:c r="A142" s="7" t="s">
        <x:v>2297</x:v>
      </x:c>
      <x:c r="B142" s="7" t="s">
        <x:v>134</x:v>
      </x:c>
      <x:c r="C142" s="7" t="s">
        <x:v>136</x:v>
      </x:c>
      <x:c r="D142" s="7" t="s">
        <x:v>1945</x:v>
      </x:c>
      <x:c r="E142" s="7" t="s">
        <x:v>2298</x:v>
      </x:c>
      <x:c r="F142" s="7" t="s">
        <x:v>1929</x:v>
      </x:c>
      <x:c r="G142" s="8" t="n">
        <x:v>85</x:v>
      </x:c>
      <x:c r="H142" s="8" t="n">
        <x:v>3</x:v>
      </x:c>
      <x:c r="I142" s="8" t="s">
        <x:v>58</x:v>
      </x:c>
      <x:c r="J142" s="7" t="s">
        <x:v>1919</x:v>
      </x:c>
      <x:c r="K142" s="8" t="n">
        <x:v>1</x:v>
      </x:c>
      <x:c r="L142" s="8" t="n">
        <x:f aca="0">IF(AND(ISNUMBER(G142),P142&lt;&gt;"Unresolved unit / layout"),G142*K142,"Not applicable")</x:f>
        <x:v>85</x:v>
      </x:c>
      <x:c r="M142" s="8" t="n">
        <x:f aca="0">IF(AND(ISNUMBER(H142),P142&lt;&gt;"Unresolved unit / layout"),H142*K142,"Not applicable")</x:f>
        <x:v>3</x:v>
      </x:c>
      <x:c r="N142" s="8" t="str">
        <x:f aca="0">IF(AND(ISNUMBER(I142),P142&lt;&gt;"Unresolved unit / layout"),I142*K142,"Not applicable")</x:f>
        <x:v>Not applicable</x:v>
      </x:c>
      <x:c r="O142" s="7" t="s">
        <x:v>1929</x:v>
      </x:c>
      <x:c r="P142" s="7" t="s">
        <x:v>1921</x:v>
      </x:c>
      <x:c r="Q142" s="7" t="s">
        <x:v>2064</x:v>
      </x:c>
      <x:c r="R142" s="7" t="s">
        <x:v>1931</x:v>
      </x:c>
      <x:c r="S142" s="7" t="s">
        <x:v>53</x:v>
      </x:c>
      <x:c r="T142" s="7" t="s">
        <x:v>53</x:v>
      </x:c>
      <x:c r="U142" s="7" t="s">
        <x:v>53</x:v>
      </x:c>
      <x:c r="V142" s="7" t="s">
        <x:v>2020</x:v>
      </x:c>
      <x:c r="W142" s="7" t="s">
        <x:v>58</x:v>
      </x:c>
      <x:c r="X142" s="7" t="s">
        <x:v>2268</x:v>
      </x:c>
      <x:c r="Y142" s="7" t="s">
        <x:v>1162</x:v>
      </x:c>
      <x:c r="Z142" s="7" t="s">
        <x:v>2213</x:v>
      </x:c>
      <x:c r="AA142" s="7" t="s">
        <x:v>58</x:v>
      </x:c>
      <x:c r="AB142" s="8" t="s">
        <x:v>58</x:v>
      </x:c>
      <x:c r="AC142" s="8" t="s">
        <x:v>58</x:v>
      </x:c>
      <x:c r="AD142" s="8" t="s">
        <x:v>58</x:v>
      </x:c>
      <x:c r="AE142" s="8" t="s">
        <x:v>58</x:v>
      </x:c>
      <x:c r="AF142" s="8" t="s">
        <x:v>58</x:v>
      </x:c>
      <x:c r="AG142" s="7" t="s">
        <x:v>58</x:v>
      </x:c>
    </x:row>
    <x:row r="143" ht="79.5" hidden="0" customHeight="1">
      <x:c r="A143" s="7" t="s">
        <x:v>2299</x:v>
      </x:c>
      <x:c r="B143" s="7" t="s">
        <x:v>134</x:v>
      </x:c>
      <x:c r="C143" s="7" t="s">
        <x:v>136</x:v>
      </x:c>
      <x:c r="D143" s="7" t="s">
        <x:v>1945</x:v>
      </x:c>
      <x:c r="E143" s="7" t="s">
        <x:v>2300</x:v>
      </x:c>
      <x:c r="F143" s="7" t="s">
        <x:v>1929</x:v>
      </x:c>
      <x:c r="G143" s="8" t="n">
        <x:v>42</x:v>
      </x:c>
      <x:c r="H143" s="8" t="n">
        <x:v>4</x:v>
      </x:c>
      <x:c r="I143" s="8" t="s">
        <x:v>58</x:v>
      </x:c>
      <x:c r="J143" s="7" t="s">
        <x:v>1919</x:v>
      </x:c>
      <x:c r="K143" s="8" t="n">
        <x:v>1</x:v>
      </x:c>
      <x:c r="L143" s="8" t="n">
        <x:f aca="0">IF(AND(ISNUMBER(G143),P143&lt;&gt;"Unresolved unit / layout"),G143*K143,"Not applicable")</x:f>
        <x:v>42</x:v>
      </x:c>
      <x:c r="M143" s="8" t="n">
        <x:f aca="0">IF(AND(ISNUMBER(H143),P143&lt;&gt;"Unresolved unit / layout"),H143*K143,"Not applicable")</x:f>
        <x:v>4</x:v>
      </x:c>
      <x:c r="N143" s="8" t="str">
        <x:f aca="0">IF(AND(ISNUMBER(I143),P143&lt;&gt;"Unresolved unit / layout"),I143*K143,"Not applicable")</x:f>
        <x:v>Not applicable</x:v>
      </x:c>
      <x:c r="O143" s="7" t="s">
        <x:v>1929</x:v>
      </x:c>
      <x:c r="P143" s="7" t="s">
        <x:v>1921</x:v>
      </x:c>
      <x:c r="Q143" s="7" t="s">
        <x:v>2064</x:v>
      </x:c>
      <x:c r="R143" s="7" t="s">
        <x:v>2003</x:v>
      </x:c>
      <x:c r="S143" s="7" t="s">
        <x:v>53</x:v>
      </x:c>
      <x:c r="T143" s="7" t="s">
        <x:v>53</x:v>
      </x:c>
      <x:c r="U143" s="7" t="s">
        <x:v>53</x:v>
      </x:c>
      <x:c r="V143" s="7" t="s">
        <x:v>2020</x:v>
      </x:c>
      <x:c r="W143" s="7" t="s">
        <x:v>58</x:v>
      </x:c>
      <x:c r="X143" s="7" t="s">
        <x:v>2268</x:v>
      </x:c>
      <x:c r="Y143" s="7" t="s">
        <x:v>1162</x:v>
      </x:c>
      <x:c r="Z143" s="7" t="s">
        <x:v>2216</x:v>
      </x:c>
      <x:c r="AA143" s="7" t="s">
        <x:v>58</x:v>
      </x:c>
      <x:c r="AB143" s="8" t="s">
        <x:v>58</x:v>
      </x:c>
      <x:c r="AC143" s="8" t="s">
        <x:v>58</x:v>
      </x:c>
      <x:c r="AD143" s="8" t="s">
        <x:v>58</x:v>
      </x:c>
      <x:c r="AE143" s="8" t="s">
        <x:v>58</x:v>
      </x:c>
      <x:c r="AF143" s="8" t="s">
        <x:v>58</x:v>
      </x:c>
      <x:c r="AG143" s="7" t="s">
        <x:v>58</x:v>
      </x:c>
    </x:row>
    <x:row r="144" ht="79.5" hidden="0" customHeight="1">
      <x:c r="A144" s="7" t="s">
        <x:v>2301</x:v>
      </x:c>
      <x:c r="B144" s="7" t="s">
        <x:v>134</x:v>
      </x:c>
      <x:c r="C144" s="7" t="s">
        <x:v>136</x:v>
      </x:c>
      <x:c r="D144" s="7" t="s">
        <x:v>2030</x:v>
      </x:c>
      <x:c r="E144" s="7" t="s">
        <x:v>2302</x:v>
      </x:c>
      <x:c r="F144" s="7" t="s">
        <x:v>2033</x:v>
      </x:c>
      <x:c r="G144" s="8" t="n">
        <x:v>18.5</x:v>
      </x:c>
      <x:c r="H144" s="8" t="n">
        <x:v>3.7</x:v>
      </x:c>
      <x:c r="I144" s="8" t="s">
        <x:v>58</x:v>
      </x:c>
      <x:c r="J144" s="7" t="s">
        <x:v>1919</x:v>
      </x:c>
      <x:c r="K144" s="8" t="n">
        <x:v>1</x:v>
      </x:c>
      <x:c r="L144" s="8" t="n">
        <x:f aca="0">IF(AND(ISNUMBER(G144),P144&lt;&gt;"Unresolved unit / layout"),G144*K144,"Not applicable")</x:f>
        <x:v>18.5</x:v>
      </x:c>
      <x:c r="M144" s="8" t="n">
        <x:f aca="0">IF(AND(ISNUMBER(H144),P144&lt;&gt;"Unresolved unit / layout"),H144*K144,"Not applicable")</x:f>
        <x:v>3.7</x:v>
      </x:c>
      <x:c r="N144" s="8" t="str">
        <x:f aca="0">IF(AND(ISNUMBER(I144),P144&lt;&gt;"Unresolved unit / layout"),I144*K144,"Not applicable")</x:f>
        <x:v>Not applicable</x:v>
      </x:c>
      <x:c r="O144" s="7" t="s">
        <x:v>2033</x:v>
      </x:c>
      <x:c r="P144" s="7" t="s">
        <x:v>1921</x:v>
      </x:c>
      <x:c r="Q144" s="7" t="s">
        <x:v>2064</x:v>
      </x:c>
      <x:c r="R144" s="7" t="s">
        <x:v>1931</x:v>
      </x:c>
      <x:c r="S144" s="7" t="s">
        <x:v>53</x:v>
      </x:c>
      <x:c r="T144" s="7" t="s">
        <x:v>53</x:v>
      </x:c>
      <x:c r="U144" s="7" t="s">
        <x:v>53</x:v>
      </x:c>
      <x:c r="V144" s="7" t="s">
        <x:v>2036</x:v>
      </x:c>
      <x:c r="W144" s="7" t="s">
        <x:v>2135</x:v>
      </x:c>
      <x:c r="X144" s="7" t="s">
        <x:v>2268</x:v>
      </x:c>
      <x:c r="Y144" s="7" t="s">
        <x:v>1162</x:v>
      </x:c>
      <x:c r="Z144" s="7" t="s">
        <x:v>2219</x:v>
      </x:c>
      <x:c r="AA144" s="7" t="s">
        <x:v>58</x:v>
      </x:c>
      <x:c r="AB144" s="8" t="s">
        <x:v>58</x:v>
      </x:c>
      <x:c r="AC144" s="8" t="s">
        <x:v>58</x:v>
      </x:c>
      <x:c r="AD144" s="8" t="s">
        <x:v>58</x:v>
      </x:c>
      <x:c r="AE144" s="8" t="s">
        <x:v>58</x:v>
      </x:c>
      <x:c r="AF144" s="8" t="s">
        <x:v>58</x:v>
      </x:c>
      <x:c r="AG144" s="7" t="s">
        <x:v>58</x:v>
      </x:c>
    </x:row>
    <x:row r="145" ht="79.5" hidden="0" customHeight="1">
      <x:c r="A145" s="7" t="s">
        <x:v>2303</x:v>
      </x:c>
      <x:c r="B145" s="7" t="s">
        <x:v>134</x:v>
      </x:c>
      <x:c r="C145" s="7" t="s">
        <x:v>136</x:v>
      </x:c>
      <x:c r="D145" s="7" t="s">
        <x:v>2030</x:v>
      </x:c>
      <x:c r="E145" s="7" t="s">
        <x:v>2304</x:v>
      </x:c>
      <x:c r="F145" s="7" t="s">
        <x:v>2033</x:v>
      </x:c>
      <x:c r="G145" s="8" t="n">
        <x:v>6.7</x:v>
      </x:c>
      <x:c r="H145" s="8" t="n">
        <x:v>2.2</x:v>
      </x:c>
      <x:c r="I145" s="8" t="s">
        <x:v>58</x:v>
      </x:c>
      <x:c r="J145" s="7" t="s">
        <x:v>1919</x:v>
      </x:c>
      <x:c r="K145" s="8" t="n">
        <x:v>1</x:v>
      </x:c>
      <x:c r="L145" s="8" t="n">
        <x:f aca="0">IF(AND(ISNUMBER(G145),P145&lt;&gt;"Unresolved unit / layout"),G145*K145,"Not applicable")</x:f>
        <x:v>6.7</x:v>
      </x:c>
      <x:c r="M145" s="8" t="n">
        <x:f aca="0">IF(AND(ISNUMBER(H145),P145&lt;&gt;"Unresolved unit / layout"),H145*K145,"Not applicable")</x:f>
        <x:v>2.2</x:v>
      </x:c>
      <x:c r="N145" s="8" t="str">
        <x:f aca="0">IF(AND(ISNUMBER(I145),P145&lt;&gt;"Unresolved unit / layout"),I145*K145,"Not applicable")</x:f>
        <x:v>Not applicable</x:v>
      </x:c>
      <x:c r="O145" s="7" t="s">
        <x:v>2033</x:v>
      </x:c>
      <x:c r="P145" s="7" t="s">
        <x:v>1921</x:v>
      </x:c>
      <x:c r="Q145" s="7" t="s">
        <x:v>2064</x:v>
      </x:c>
      <x:c r="R145" s="7" t="s">
        <x:v>1931</x:v>
      </x:c>
      <x:c r="S145" s="7" t="s">
        <x:v>53</x:v>
      </x:c>
      <x:c r="T145" s="7" t="s">
        <x:v>53</x:v>
      </x:c>
      <x:c r="U145" s="7" t="s">
        <x:v>53</x:v>
      </x:c>
      <x:c r="V145" s="7" t="s">
        <x:v>2036</x:v>
      </x:c>
      <x:c r="W145" s="7" t="s">
        <x:v>2139</x:v>
      </x:c>
      <x:c r="X145" s="7" t="s">
        <x:v>2268</x:v>
      </x:c>
      <x:c r="Y145" s="7" t="s">
        <x:v>1162</x:v>
      </x:c>
      <x:c r="Z145" s="7" t="s">
        <x:v>2222</x:v>
      </x:c>
      <x:c r="AA145" s="7" t="s">
        <x:v>58</x:v>
      </x:c>
      <x:c r="AB145" s="8" t="s">
        <x:v>58</x:v>
      </x:c>
      <x:c r="AC145" s="8" t="s">
        <x:v>58</x:v>
      </x:c>
      <x:c r="AD145" s="8" t="s">
        <x:v>58</x:v>
      </x:c>
      <x:c r="AE145" s="8" t="s">
        <x:v>58</x:v>
      </x:c>
      <x:c r="AF145" s="8" t="s">
        <x:v>58</x:v>
      </x:c>
      <x:c r="AG145" s="7" t="s">
        <x:v>58</x:v>
      </x:c>
    </x:row>
    <x:row r="146" ht="79.5" hidden="0" customHeight="1">
      <x:c r="A146" s="7" t="s">
        <x:v>2305</x:v>
      </x:c>
      <x:c r="B146" s="7" t="s">
        <x:v>134</x:v>
      </x:c>
      <x:c r="C146" s="7" t="s">
        <x:v>136</x:v>
      </x:c>
      <x:c r="D146" s="7" t="s">
        <x:v>2030</x:v>
      </x:c>
      <x:c r="E146" s="7" t="s">
        <x:v>2306</x:v>
      </x:c>
      <x:c r="F146" s="7" t="s">
        <x:v>2033</x:v>
      </x:c>
      <x:c r="G146" s="8" t="n">
        <x:v>8.5</x:v>
      </x:c>
      <x:c r="H146" s="8" t="n">
        <x:v>1.2</x:v>
      </x:c>
      <x:c r="I146" s="8" t="s">
        <x:v>58</x:v>
      </x:c>
      <x:c r="J146" s="7" t="s">
        <x:v>1919</x:v>
      </x:c>
      <x:c r="K146" s="8" t="n">
        <x:v>1</x:v>
      </x:c>
      <x:c r="L146" s="8" t="n">
        <x:f aca="0">IF(AND(ISNUMBER(G146),P146&lt;&gt;"Unresolved unit / layout"),G146*K146,"Not applicable")</x:f>
        <x:v>8.5</x:v>
      </x:c>
      <x:c r="M146" s="8" t="n">
        <x:f aca="0">IF(AND(ISNUMBER(H146),P146&lt;&gt;"Unresolved unit / layout"),H146*K146,"Not applicable")</x:f>
        <x:v>1.2</x:v>
      </x:c>
      <x:c r="N146" s="8" t="str">
        <x:f aca="0">IF(AND(ISNUMBER(I146),P146&lt;&gt;"Unresolved unit / layout"),I146*K146,"Not applicable")</x:f>
        <x:v>Not applicable</x:v>
      </x:c>
      <x:c r="O146" s="7" t="s">
        <x:v>2033</x:v>
      </x:c>
      <x:c r="P146" s="7" t="s">
        <x:v>1921</x:v>
      </x:c>
      <x:c r="Q146" s="7" t="s">
        <x:v>2064</x:v>
      </x:c>
      <x:c r="R146" s="7" t="s">
        <x:v>2003</x:v>
      </x:c>
      <x:c r="S146" s="7" t="s">
        <x:v>53</x:v>
      </x:c>
      <x:c r="T146" s="7" t="s">
        <x:v>53</x:v>
      </x:c>
      <x:c r="U146" s="7" t="s">
        <x:v>53</x:v>
      </x:c>
      <x:c r="V146" s="7" t="s">
        <x:v>2036</x:v>
      </x:c>
      <x:c r="W146" s="7" t="s">
        <x:v>53</x:v>
      </x:c>
      <x:c r="X146" s="7" t="s">
        <x:v>2268</x:v>
      </x:c>
      <x:c r="Y146" s="7" t="s">
        <x:v>1162</x:v>
      </x:c>
      <x:c r="Z146" s="7" t="s">
        <x:v>2225</x:v>
      </x:c>
      <x:c r="AA146" s="7" t="s">
        <x:v>58</x:v>
      </x:c>
      <x:c r="AB146" s="8" t="s">
        <x:v>58</x:v>
      </x:c>
      <x:c r="AC146" s="8" t="s">
        <x:v>58</x:v>
      </x:c>
      <x:c r="AD146" s="8" t="s">
        <x:v>58</x:v>
      </x:c>
      <x:c r="AE146" s="8" t="s">
        <x:v>58</x:v>
      </x:c>
      <x:c r="AF146" s="8" t="s">
        <x:v>58</x:v>
      </x:c>
      <x:c r="AG146" s="7" t="s">
        <x:v>58</x:v>
      </x:c>
    </x:row>
    <x:row r="147" ht="79.5" hidden="0" customHeight="1">
      <x:c r="A147" s="7" t="s">
        <x:v>2307</x:v>
      </x:c>
      <x:c r="B147" s="7" t="s">
        <x:v>148</x:v>
      </x:c>
      <x:c r="C147" s="7" t="s">
        <x:v>150</x:v>
      </x:c>
      <x:c r="D147" s="7" t="s">
        <x:v>1916</x:v>
      </x:c>
      <x:c r="E147" s="7" t="s">
        <x:v>2308</x:v>
      </x:c>
      <x:c r="F147" s="7" t="s">
        <x:v>2076</x:v>
      </x:c>
      <x:c r="G147" s="8" t="n">
        <x:v>1.27</x:v>
      </x:c>
      <x:c r="H147" s="8" t="s">
        <x:v>58</x:v>
      </x:c>
      <x:c r="I147" s="8" t="s">
        <x:v>58</x:v>
      </x:c>
      <x:c r="J147" s="7" t="s">
        <x:v>1919</x:v>
      </x:c>
      <x:c r="K147" s="8" t="n">
        <x:v>1000</x:v>
      </x:c>
      <x:c r="L147" s="8" t="n">
        <x:f aca="0">IF(AND(ISNUMBER(G147),P147&lt;&gt;"Unresolved unit / layout"),G147*K147,"Not applicable")</x:f>
        <x:v>1270</x:v>
      </x:c>
      <x:c r="M147" s="8" t="str">
        <x:f aca="0">IF(AND(ISNUMBER(H147),P147&lt;&gt;"Unresolved unit / layout"),H147*K147,"Not applicable")</x:f>
        <x:v>Not applicable</x:v>
      </x:c>
      <x:c r="N147" s="8" t="str">
        <x:f aca="0">IF(AND(ISNUMBER(I147),P147&lt;&gt;"Unresolved unit / layout"),I147*K147,"Not applicable")</x:f>
        <x:v>Not applicable</x:v>
      </x:c>
      <x:c r="O147" s="7" t="s">
        <x:v>1920</x:v>
      </x:c>
      <x:c r="P147" s="7" t="s">
        <x:v>1921</x:v>
      </x:c>
      <x:c r="Q147" s="7" t="s">
        <x:v>1922</x:v>
      </x:c>
      <x:c r="R147" s="7" t="s">
        <x:v>58</x:v>
      </x:c>
      <x:c r="S147" s="7" t="s">
        <x:v>2077</x:v>
      </x:c>
      <x:c r="T147" s="7" t="s">
        <x:v>2078</x:v>
      </x:c>
      <x:c r="U147" s="7" t="s">
        <x:v>53</x:v>
      </x:c>
      <x:c r="V147" s="7" t="s">
        <x:v>1923</x:v>
      </x:c>
      <x:c r="W147" s="7" t="s">
        <x:v>58</x:v>
      </x:c>
      <x:c r="X147" s="7" t="s">
        <x:v>2309</x:v>
      </x:c>
      <x:c r="Y147" s="7" t="s">
        <x:v>1163</x:v>
      </x:c>
      <x:c r="Z147" s="7" t="s">
        <x:v>1968</x:v>
      </x:c>
      <x:c r="AA147" s="7" t="s">
        <x:v>58</x:v>
      </x:c>
      <x:c r="AB147" s="8" t="s">
        <x:v>58</x:v>
      </x:c>
      <x:c r="AC147" s="8" t="s">
        <x:v>58</x:v>
      </x:c>
      <x:c r="AD147" s="8" t="s">
        <x:v>58</x:v>
      </x:c>
      <x:c r="AE147" s="8" t="s">
        <x:v>58</x:v>
      </x:c>
      <x:c r="AF147" s="8" t="s">
        <x:v>58</x:v>
      </x:c>
      <x:c r="AG147" s="7" t="s">
        <x:v>58</x:v>
      </x:c>
    </x:row>
    <x:row r="148" ht="79.5" hidden="0" customHeight="1">
      <x:c r="A148" s="7" t="s">
        <x:v>2310</x:v>
      </x:c>
      <x:c r="B148" s="7" t="s">
        <x:v>148</x:v>
      </x:c>
      <x:c r="C148" s="7" t="s">
        <x:v>150</x:v>
      </x:c>
      <x:c r="D148" s="7" t="s">
        <x:v>1974</x:v>
      </x:c>
      <x:c r="E148" s="7" t="s">
        <x:v>2311</x:v>
      </x:c>
      <x:c r="F148" s="7" t="s">
        <x:v>1956</x:v>
      </x:c>
      <x:c r="G148" s="8" t="n">
        <x:v>158</x:v>
      </x:c>
      <x:c r="H148" s="8" t="s">
        <x:v>58</x:v>
      </x:c>
      <x:c r="I148" s="8" t="s">
        <x:v>58</x:v>
      </x:c>
      <x:c r="J148" s="7" t="s">
        <x:v>1919</x:v>
      </x:c>
      <x:c r="K148" s="8" t="n">
        <x:v>1</x:v>
      </x:c>
      <x:c r="L148" s="8" t="n">
        <x:f aca="0">IF(AND(ISNUMBER(G148),P148&lt;&gt;"Unresolved unit / layout"),G148*K148,"Not applicable")</x:f>
        <x:v>158</x:v>
      </x:c>
      <x:c r="M148" s="8" t="str">
        <x:f aca="0">IF(AND(ISNUMBER(H148),P148&lt;&gt;"Unresolved unit / layout"),H148*K148,"Not applicable")</x:f>
        <x:v>Not applicable</x:v>
      </x:c>
      <x:c r="N148" s="8" t="str">
        <x:f aca="0">IF(AND(ISNUMBER(I148),P148&lt;&gt;"Unresolved unit / layout"),I148*K148,"Not applicable")</x:f>
        <x:v>Not applicable</x:v>
      </x:c>
      <x:c r="O148" s="7" t="s">
        <x:v>1956</x:v>
      </x:c>
      <x:c r="P148" s="7" t="s">
        <x:v>1921</x:v>
      </x:c>
      <x:c r="Q148" s="7" t="s">
        <x:v>2064</x:v>
      </x:c>
      <x:c r="R148" s="7" t="s">
        <x:v>58</x:v>
      </x:c>
      <x:c r="S148" s="7" t="s">
        <x:v>2077</x:v>
      </x:c>
      <x:c r="T148" s="7" t="s">
        <x:v>2078</x:v>
      </x:c>
      <x:c r="U148" s="7" t="s">
        <x:v>53</x:v>
      </x:c>
      <x:c r="V148" s="7" t="s">
        <x:v>2082</x:v>
      </x:c>
      <x:c r="W148" s="7" t="s">
        <x:v>58</x:v>
      </x:c>
      <x:c r="X148" s="7" t="s">
        <x:v>2309</x:v>
      </x:c>
      <x:c r="Y148" s="7" t="s">
        <x:v>1163</x:v>
      </x:c>
      <x:c r="Z148" s="7" t="s">
        <x:v>2083</x:v>
      </x:c>
      <x:c r="AA148" s="7" t="s">
        <x:v>58</x:v>
      </x:c>
      <x:c r="AB148" s="8" t="s">
        <x:v>58</x:v>
      </x:c>
      <x:c r="AC148" s="8" t="s">
        <x:v>58</x:v>
      </x:c>
      <x:c r="AD148" s="8" t="s">
        <x:v>58</x:v>
      </x:c>
      <x:c r="AE148" s="8" t="s">
        <x:v>58</x:v>
      </x:c>
      <x:c r="AF148" s="8" t="s">
        <x:v>58</x:v>
      </x:c>
      <x:c r="AG148" s="7" t="s">
        <x:v>58</x:v>
      </x:c>
    </x:row>
    <x:row r="149" ht="79.5" hidden="0" customHeight="1">
      <x:c r="A149" s="7" t="s">
        <x:v>2312</x:v>
      </x:c>
      <x:c r="B149" s="7" t="s">
        <x:v>148</x:v>
      </x:c>
      <x:c r="C149" s="7" t="s">
        <x:v>150</x:v>
      </x:c>
      <x:c r="D149" s="7" t="s">
        <x:v>1954</x:v>
      </x:c>
      <x:c r="E149" s="7" t="s">
        <x:v>2091</x:v>
      </x:c>
      <x:c r="F149" s="7" t="s">
        <x:v>1956</x:v>
      </x:c>
      <x:c r="G149" s="8" t="n">
        <x:v>57</x:v>
      </x:c>
      <x:c r="H149" s="8" t="s">
        <x:v>58</x:v>
      </x:c>
      <x:c r="I149" s="8" t="s">
        <x:v>58</x:v>
      </x:c>
      <x:c r="J149" s="7" t="s">
        <x:v>1919</x:v>
      </x:c>
      <x:c r="K149" s="8" t="n">
        <x:v>1</x:v>
      </x:c>
      <x:c r="L149" s="8" t="n">
        <x:f aca="0">IF(AND(ISNUMBER(G149),P149&lt;&gt;"Unresolved unit / layout"),G149*K149,"Not applicable")</x:f>
        <x:v>57</x:v>
      </x:c>
      <x:c r="M149" s="8" t="str">
        <x:f aca="0">IF(AND(ISNUMBER(H149),P149&lt;&gt;"Unresolved unit / layout"),H149*K149,"Not applicable")</x:f>
        <x:v>Not applicable</x:v>
      </x:c>
      <x:c r="N149" s="8" t="str">
        <x:f aca="0">IF(AND(ISNUMBER(I149),P149&lt;&gt;"Unresolved unit / layout"),I149*K149,"Not applicable")</x:f>
        <x:v>Not applicable</x:v>
      </x:c>
      <x:c r="O149" s="7" t="s">
        <x:v>1956</x:v>
      </x:c>
      <x:c r="P149" s="7" t="s">
        <x:v>1921</x:v>
      </x:c>
      <x:c r="Q149" s="7" t="s">
        <x:v>2064</x:v>
      </x:c>
      <x:c r="R149" s="7" t="s">
        <x:v>58</x:v>
      </x:c>
      <x:c r="S149" s="7" t="s">
        <x:v>2077</x:v>
      </x:c>
      <x:c r="T149" s="7" t="s">
        <x:v>2078</x:v>
      </x:c>
      <x:c r="U149" s="7" t="s">
        <x:v>53</x:v>
      </x:c>
      <x:c r="V149" s="7" t="s">
        <x:v>2082</x:v>
      </x:c>
      <x:c r="W149" s="7" t="s">
        <x:v>58</x:v>
      </x:c>
      <x:c r="X149" s="7" t="s">
        <x:v>2309</x:v>
      </x:c>
      <x:c r="Y149" s="7" t="s">
        <x:v>1163</x:v>
      </x:c>
      <x:c r="Z149" s="7" t="s">
        <x:v>2086</x:v>
      </x:c>
      <x:c r="AA149" s="7" t="s">
        <x:v>58</x:v>
      </x:c>
      <x:c r="AB149" s="8" t="s">
        <x:v>58</x:v>
      </x:c>
      <x:c r="AC149" s="8" t="s">
        <x:v>58</x:v>
      </x:c>
      <x:c r="AD149" s="8" t="s">
        <x:v>58</x:v>
      </x:c>
      <x:c r="AE149" s="8" t="s">
        <x:v>58</x:v>
      </x:c>
      <x:c r="AF149" s="8" t="s">
        <x:v>58</x:v>
      </x:c>
      <x:c r="AG149" s="7" t="s">
        <x:v>58</x:v>
      </x:c>
    </x:row>
    <x:row r="150" ht="79.5" hidden="0" customHeight="1">
      <x:c r="A150" s="7" t="s">
        <x:v>2313</x:v>
      </x:c>
      <x:c r="B150" s="7" t="s">
        <x:v>148</x:v>
      </x:c>
      <x:c r="C150" s="7" t="s">
        <x:v>150</x:v>
      </x:c>
      <x:c r="D150" s="7" t="s">
        <x:v>1982</x:v>
      </x:c>
      <x:c r="E150" s="7" t="s">
        <x:v>2314</x:v>
      </x:c>
      <x:c r="F150" s="7" t="s">
        <x:v>1956</x:v>
      </x:c>
      <x:c r="G150" s="8" t="n">
        <x:v>66</x:v>
      </x:c>
      <x:c r="H150" s="8" t="s">
        <x:v>58</x:v>
      </x:c>
      <x:c r="I150" s="8" t="s">
        <x:v>58</x:v>
      </x:c>
      <x:c r="J150" s="7" t="s">
        <x:v>1919</x:v>
      </x:c>
      <x:c r="K150" s="8" t="n">
        <x:v>1</x:v>
      </x:c>
      <x:c r="L150" s="8" t="n">
        <x:f aca="0">IF(AND(ISNUMBER(G150),P150&lt;&gt;"Unresolved unit / layout"),G150*K150,"Not applicable")</x:f>
        <x:v>66</x:v>
      </x:c>
      <x:c r="M150" s="8" t="str">
        <x:f aca="0">IF(AND(ISNUMBER(H150),P150&lt;&gt;"Unresolved unit / layout"),H150*K150,"Not applicable")</x:f>
        <x:v>Not applicable</x:v>
      </x:c>
      <x:c r="N150" s="8" t="str">
        <x:f aca="0">IF(AND(ISNUMBER(I150),P150&lt;&gt;"Unresolved unit / layout"),I150*K150,"Not applicable")</x:f>
        <x:v>Not applicable</x:v>
      </x:c>
      <x:c r="O150" s="7" t="s">
        <x:v>1956</x:v>
      </x:c>
      <x:c r="P150" s="7" t="s">
        <x:v>1921</x:v>
      </x:c>
      <x:c r="Q150" s="7" t="s">
        <x:v>2064</x:v>
      </x:c>
      <x:c r="R150" s="7" t="s">
        <x:v>58</x:v>
      </x:c>
      <x:c r="S150" s="7" t="s">
        <x:v>2077</x:v>
      </x:c>
      <x:c r="T150" s="7" t="s">
        <x:v>2078</x:v>
      </x:c>
      <x:c r="U150" s="7" t="s">
        <x:v>53</x:v>
      </x:c>
      <x:c r="V150" s="7" t="s">
        <x:v>1984</x:v>
      </x:c>
      <x:c r="W150" s="7" t="s">
        <x:v>58</x:v>
      </x:c>
      <x:c r="X150" s="7" t="s">
        <x:v>2309</x:v>
      </x:c>
      <x:c r="Y150" s="7" t="s">
        <x:v>1163</x:v>
      </x:c>
      <x:c r="Z150" s="7" t="s">
        <x:v>2092</x:v>
      </x:c>
      <x:c r="AA150" s="7" t="s">
        <x:v>58</x:v>
      </x:c>
      <x:c r="AB150" s="8" t="s">
        <x:v>58</x:v>
      </x:c>
      <x:c r="AC150" s="8" t="s">
        <x:v>58</x:v>
      </x:c>
      <x:c r="AD150" s="8" t="s">
        <x:v>58</x:v>
      </x:c>
      <x:c r="AE150" s="8" t="s">
        <x:v>58</x:v>
      </x:c>
      <x:c r="AF150" s="8" t="s">
        <x:v>58</x:v>
      </x:c>
      <x:c r="AG150" s="7" t="s">
        <x:v>58</x:v>
      </x:c>
    </x:row>
    <x:row r="151" ht="79.5" hidden="0" customHeight="1">
      <x:c r="A151" s="7" t="s">
        <x:v>2315</x:v>
      </x:c>
      <x:c r="B151" s="7" t="s">
        <x:v>148</x:v>
      </x:c>
      <x:c r="C151" s="7" t="s">
        <x:v>150</x:v>
      </x:c>
      <x:c r="D151" s="7" t="s">
        <x:v>1959</x:v>
      </x:c>
      <x:c r="E151" s="7" t="s">
        <x:v>2316</x:v>
      </x:c>
      <x:c r="F151" s="7" t="s">
        <x:v>1956</x:v>
      </x:c>
      <x:c r="G151" s="8" t="n">
        <x:v>56</x:v>
      </x:c>
      <x:c r="H151" s="8" t="s">
        <x:v>58</x:v>
      </x:c>
      <x:c r="I151" s="8" t="s">
        <x:v>58</x:v>
      </x:c>
      <x:c r="J151" s="7" t="s">
        <x:v>1919</x:v>
      </x:c>
      <x:c r="K151" s="8" t="n">
        <x:v>1</x:v>
      </x:c>
      <x:c r="L151" s="8" t="n">
        <x:f aca="0">IF(AND(ISNUMBER(G151),P151&lt;&gt;"Unresolved unit / layout"),G151*K151,"Not applicable")</x:f>
        <x:v>56</x:v>
      </x:c>
      <x:c r="M151" s="8" t="str">
        <x:f aca="0">IF(AND(ISNUMBER(H151),P151&lt;&gt;"Unresolved unit / layout"),H151*K151,"Not applicable")</x:f>
        <x:v>Not applicable</x:v>
      </x:c>
      <x:c r="N151" s="8" t="str">
        <x:f aca="0">IF(AND(ISNUMBER(I151),P151&lt;&gt;"Unresolved unit / layout"),I151*K151,"Not applicable")</x:f>
        <x:v>Not applicable</x:v>
      </x:c>
      <x:c r="O151" s="7" t="s">
        <x:v>1956</x:v>
      </x:c>
      <x:c r="P151" s="7" t="s">
        <x:v>1921</x:v>
      </x:c>
      <x:c r="Q151" s="7" t="s">
        <x:v>2064</x:v>
      </x:c>
      <x:c r="R151" s="7" t="s">
        <x:v>58</x:v>
      </x:c>
      <x:c r="S151" s="7" t="s">
        <x:v>2077</x:v>
      </x:c>
      <x:c r="T151" s="7" t="s">
        <x:v>2078</x:v>
      </x:c>
      <x:c r="U151" s="7" t="s">
        <x:v>53</x:v>
      </x:c>
      <x:c r="V151" s="7" t="s">
        <x:v>2095</x:v>
      </x:c>
      <x:c r="W151" s="7" t="s">
        <x:v>58</x:v>
      </x:c>
      <x:c r="X151" s="7" t="s">
        <x:v>2309</x:v>
      </x:c>
      <x:c r="Y151" s="7" t="s">
        <x:v>1163</x:v>
      </x:c>
      <x:c r="Z151" s="7" t="s">
        <x:v>2096</x:v>
      </x:c>
      <x:c r="AA151" s="7" t="s">
        <x:v>58</x:v>
      </x:c>
      <x:c r="AB151" s="8" t="s">
        <x:v>58</x:v>
      </x:c>
      <x:c r="AC151" s="8" t="s">
        <x:v>58</x:v>
      </x:c>
      <x:c r="AD151" s="8" t="s">
        <x:v>58</x:v>
      </x:c>
      <x:c r="AE151" s="8" t="s">
        <x:v>58</x:v>
      </x:c>
      <x:c r="AF151" s="8" t="s">
        <x:v>58</x:v>
      </x:c>
      <x:c r="AG151" s="7" t="s">
        <x:v>58</x:v>
      </x:c>
    </x:row>
    <x:row r="152" ht="79.5" hidden="0" customHeight="1">
      <x:c r="A152" s="7" t="s">
        <x:v>154</x:v>
      </x:c>
      <x:c r="B152" s="7" t="s">
        <x:v>148</x:v>
      </x:c>
      <x:c r="C152" s="7" t="s">
        <x:v>150</x:v>
      </x:c>
      <x:c r="D152" s="7" t="s">
        <x:v>1959</x:v>
      </x:c>
      <x:c r="E152" s="7" t="s">
        <x:v>2085</x:v>
      </x:c>
      <x:c r="F152" s="7" t="s">
        <x:v>1956</x:v>
      </x:c>
      <x:c r="G152" s="8" t="n">
        <x:v>60</x:v>
      </x:c>
      <x:c r="H152" s="8" t="s">
        <x:v>58</x:v>
      </x:c>
      <x:c r="I152" s="8" t="s">
        <x:v>58</x:v>
      </x:c>
      <x:c r="J152" s="7" t="s">
        <x:v>1919</x:v>
      </x:c>
      <x:c r="K152" s="8" t="n">
        <x:v>1</x:v>
      </x:c>
      <x:c r="L152" s="8" t="n">
        <x:f aca="0">IF(AND(ISNUMBER(G152),P152&lt;&gt;"Unresolved unit / layout"),G152*K152,"Not applicable")</x:f>
        <x:v>60</x:v>
      </x:c>
      <x:c r="M152" s="8" t="str">
        <x:f aca="0">IF(AND(ISNUMBER(H152),P152&lt;&gt;"Unresolved unit / layout"),H152*K152,"Not applicable")</x:f>
        <x:v>Not applicable</x:v>
      </x:c>
      <x:c r="N152" s="8" t="str">
        <x:f aca="0">IF(AND(ISNUMBER(I152),P152&lt;&gt;"Unresolved unit / layout"),I152*K152,"Not applicable")</x:f>
        <x:v>Not applicable</x:v>
      </x:c>
      <x:c r="O152" s="7" t="s">
        <x:v>1956</x:v>
      </x:c>
      <x:c r="P152" s="7" t="s">
        <x:v>1921</x:v>
      </x:c>
      <x:c r="Q152" s="7" t="s">
        <x:v>2064</x:v>
      </x:c>
      <x:c r="R152" s="7" t="s">
        <x:v>58</x:v>
      </x:c>
      <x:c r="S152" s="7" t="s">
        <x:v>2077</x:v>
      </x:c>
      <x:c r="T152" s="7" t="s">
        <x:v>2078</x:v>
      </x:c>
      <x:c r="U152" s="7" t="s">
        <x:v>53</x:v>
      </x:c>
      <x:c r="V152" s="7" t="s">
        <x:v>2097</x:v>
      </x:c>
      <x:c r="W152" s="7" t="s">
        <x:v>58</x:v>
      </x:c>
      <x:c r="X152" s="7" t="s">
        <x:v>2309</x:v>
      </x:c>
      <x:c r="Y152" s="7" t="s">
        <x:v>1163</x:v>
      </x:c>
      <x:c r="Z152" s="7" t="s">
        <x:v>2096</x:v>
      </x:c>
      <x:c r="AA152" s="7" t="s">
        <x:v>58</x:v>
      </x:c>
      <x:c r="AB152" s="8" t="s">
        <x:v>58</x:v>
      </x:c>
      <x:c r="AC152" s="8" t="s">
        <x:v>58</x:v>
      </x:c>
      <x:c r="AD152" s="8" t="s">
        <x:v>58</x:v>
      </x:c>
      <x:c r="AE152" s="8" t="s">
        <x:v>58</x:v>
      </x:c>
      <x:c r="AF152" s="8" t="s">
        <x:v>58</x:v>
      </x:c>
      <x:c r="AG152" s="7" t="s">
        <x:v>58</x:v>
      </x:c>
    </x:row>
    <x:row r="153" ht="79.5" hidden="0" customHeight="1">
      <x:c r="A153" s="7" t="s">
        <x:v>2317</x:v>
      </x:c>
      <x:c r="B153" s="7" t="s">
        <x:v>148</x:v>
      </x:c>
      <x:c r="C153" s="7" t="s">
        <x:v>150</x:v>
      </x:c>
      <x:c r="D153" s="7" t="s">
        <x:v>2099</x:v>
      </x:c>
      <x:c r="E153" s="7" t="s">
        <x:v>2156</x:v>
      </x:c>
      <x:c r="F153" s="7" t="s">
        <x:v>1942</x:v>
      </x:c>
      <x:c r="G153" s="8" t="n">
        <x:v>0.4</x:v>
      </x:c>
      <x:c r="H153" s="8" t="s">
        <x:v>58</x:v>
      </x:c>
      <x:c r="I153" s="8" t="s">
        <x:v>58</x:v>
      </x:c>
      <x:c r="J153" s="7" t="s">
        <x:v>1919</x:v>
      </x:c>
      <x:c r="K153" s="8" t="n">
        <x:v>1</x:v>
      </x:c>
      <x:c r="L153" s="8" t="n">
        <x:f aca="0">IF(AND(ISNUMBER(G153),P153&lt;&gt;"Unresolved unit / layout"),G153*K153,"Not applicable")</x:f>
        <x:v>0.4</x:v>
      </x:c>
      <x:c r="M153" s="8" t="str">
        <x:f aca="0">IF(AND(ISNUMBER(H153),P153&lt;&gt;"Unresolved unit / layout"),H153*K153,"Not applicable")</x:f>
        <x:v>Not applicable</x:v>
      </x:c>
      <x:c r="N153" s="8" t="str">
        <x:f aca="0">IF(AND(ISNUMBER(I153),P153&lt;&gt;"Unresolved unit / layout"),I153*K153,"Not applicable")</x:f>
        <x:v>Not applicable</x:v>
      </x:c>
      <x:c r="O153" s="7" t="s">
        <x:v>1942</x:v>
      </x:c>
      <x:c r="P153" s="7" t="s">
        <x:v>1921</x:v>
      </x:c>
      <x:c r="Q153" s="7" t="s">
        <x:v>2064</x:v>
      </x:c>
      <x:c r="R153" s="7" t="s">
        <x:v>58</x:v>
      </x:c>
      <x:c r="S153" s="7" t="s">
        <x:v>2077</x:v>
      </x:c>
      <x:c r="T153" s="7" t="s">
        <x:v>2078</x:v>
      </x:c>
      <x:c r="U153" s="7" t="s">
        <x:v>53</x:v>
      </x:c>
      <x:c r="V153" s="7" t="s">
        <x:v>2238</x:v>
      </x:c>
      <x:c r="W153" s="7" t="s">
        <x:v>58</x:v>
      </x:c>
      <x:c r="X153" s="7" t="s">
        <x:v>2309</x:v>
      </x:c>
      <x:c r="Y153" s="7" t="s">
        <x:v>1163</x:v>
      </x:c>
      <x:c r="Z153" s="7" t="s">
        <x:v>2239</x:v>
      </x:c>
      <x:c r="AA153" s="7" t="s">
        <x:v>58</x:v>
      </x:c>
      <x:c r="AB153" s="8" t="s">
        <x:v>58</x:v>
      </x:c>
      <x:c r="AC153" s="8" t="s">
        <x:v>58</x:v>
      </x:c>
      <x:c r="AD153" s="8" t="s">
        <x:v>58</x:v>
      </x:c>
      <x:c r="AE153" s="8" t="s">
        <x:v>58</x:v>
      </x:c>
      <x:c r="AF153" s="8" t="s">
        <x:v>58</x:v>
      </x:c>
      <x:c r="AG153" s="7" t="s">
        <x:v>58</x:v>
      </x:c>
    </x:row>
    <x:row r="154" ht="79.5" hidden="0" customHeight="1">
      <x:c r="A154" s="7" t="s">
        <x:v>2318</x:v>
      </x:c>
      <x:c r="B154" s="7" t="s">
        <x:v>148</x:v>
      </x:c>
      <x:c r="C154" s="7" t="s">
        <x:v>150</x:v>
      </x:c>
      <x:c r="D154" s="7" t="s">
        <x:v>1935</x:v>
      </x:c>
      <x:c r="E154" s="7" t="s">
        <x:v>2319</x:v>
      </x:c>
      <x:c r="F154" s="7" t="s">
        <x:v>1929</x:v>
      </x:c>
      <x:c r="G154" s="8" t="n">
        <x:v>2130</x:v>
      </x:c>
      <x:c r="H154" s="8" t="n">
        <x:v>210</x:v>
      </x:c>
      <x:c r="I154" s="8" t="s">
        <x:v>58</x:v>
      </x:c>
      <x:c r="J154" s="7" t="s">
        <x:v>1919</x:v>
      </x:c>
      <x:c r="K154" s="8" t="n">
        <x:v>0.001</x:v>
      </x:c>
      <x:c r="L154" s="8" t="n">
        <x:f aca="0">IF(AND(ISNUMBER(G154),P154&lt;&gt;"Unresolved unit / layout"),G154*K154,"Not applicable")</x:f>
        <x:v>2.13</x:v>
      </x:c>
      <x:c r="M154" s="8" t="n">
        <x:f aca="0">IF(AND(ISNUMBER(H154),P154&lt;&gt;"Unresolved unit / layout"),H154*K154,"Not applicable")</x:f>
        <x:v>0.21</x:v>
      </x:c>
      <x:c r="N154" s="8" t="str">
        <x:f aca="0">IF(AND(ISNUMBER(I154),P154&lt;&gt;"Unresolved unit / layout"),I154*K154,"Not applicable")</x:f>
        <x:v>Not applicable</x:v>
      </x:c>
      <x:c r="O154" s="7" t="s">
        <x:v>1937</x:v>
      </x:c>
      <x:c r="P154" s="7" t="s">
        <x:v>1921</x:v>
      </x:c>
      <x:c r="Q154" s="7" t="s">
        <x:v>2064</x:v>
      </x:c>
      <x:c r="R154" s="7" t="s">
        <x:v>1931</x:v>
      </x:c>
      <x:c r="S154" s="7" t="s">
        <x:v>2077</x:v>
      </x:c>
      <x:c r="T154" s="7" t="s">
        <x:v>2078</x:v>
      </x:c>
      <x:c r="U154" s="7" t="s">
        <x:v>53</x:v>
      </x:c>
      <x:c r="V154" s="7" t="s">
        <x:v>1999</x:v>
      </x:c>
      <x:c r="W154" s="7" t="s">
        <x:v>58</x:v>
      </x:c>
      <x:c r="X154" s="7" t="s">
        <x:v>2309</x:v>
      </x:c>
      <x:c r="Y154" s="7" t="s">
        <x:v>1163</x:v>
      </x:c>
      <x:c r="Z154" s="7" t="s">
        <x:v>2105</x:v>
      </x:c>
      <x:c r="AA154" s="7" t="s">
        <x:v>58</x:v>
      </x:c>
      <x:c r="AB154" s="8" t="s">
        <x:v>58</x:v>
      </x:c>
      <x:c r="AC154" s="8" t="s">
        <x:v>58</x:v>
      </x:c>
      <x:c r="AD154" s="8" t="s">
        <x:v>58</x:v>
      </x:c>
      <x:c r="AE154" s="8" t="s">
        <x:v>58</x:v>
      </x:c>
      <x:c r="AF154" s="8" t="s">
        <x:v>58</x:v>
      </x:c>
      <x:c r="AG154" s="7" t="s">
        <x:v>58</x:v>
      </x:c>
    </x:row>
    <x:row r="155" ht="79.5" hidden="0" customHeight="1">
      <x:c r="A155" s="7" t="s">
        <x:v>2320</x:v>
      </x:c>
      <x:c r="B155" s="7" t="s">
        <x:v>148</x:v>
      </x:c>
      <x:c r="C155" s="7" t="s">
        <x:v>150</x:v>
      </x:c>
      <x:c r="D155" s="7" t="s">
        <x:v>1935</x:v>
      </x:c>
      <x:c r="E155" s="7" t="s">
        <x:v>2321</x:v>
      </x:c>
      <x:c r="F155" s="7" t="s">
        <x:v>1929</x:v>
      </x:c>
      <x:c r="G155" s="8" t="n">
        <x:v>1850</x:v>
      </x:c>
      <x:c r="H155" s="8" t="n">
        <x:v>140</x:v>
      </x:c>
      <x:c r="I155" s="8" t="s">
        <x:v>58</x:v>
      </x:c>
      <x:c r="J155" s="7" t="s">
        <x:v>1919</x:v>
      </x:c>
      <x:c r="K155" s="8" t="n">
        <x:v>0.001</x:v>
      </x:c>
      <x:c r="L155" s="8" t="n">
        <x:f aca="0">IF(AND(ISNUMBER(G155),P155&lt;&gt;"Unresolved unit / layout"),G155*K155,"Not applicable")</x:f>
        <x:v>1.85</x:v>
      </x:c>
      <x:c r="M155" s="8" t="n">
        <x:f aca="0">IF(AND(ISNUMBER(H155),P155&lt;&gt;"Unresolved unit / layout"),H155*K155,"Not applicable")</x:f>
        <x:v>0.14</x:v>
      </x:c>
      <x:c r="N155" s="8" t="str">
        <x:f aca="0">IF(AND(ISNUMBER(I155),P155&lt;&gt;"Unresolved unit / layout"),I155*K155,"Not applicable")</x:f>
        <x:v>Not applicable</x:v>
      </x:c>
      <x:c r="O155" s="7" t="s">
        <x:v>1937</x:v>
      </x:c>
      <x:c r="P155" s="7" t="s">
        <x:v>1921</x:v>
      </x:c>
      <x:c r="Q155" s="7" t="s">
        <x:v>2064</x:v>
      </x:c>
      <x:c r="R155" s="7" t="s">
        <x:v>2003</x:v>
      </x:c>
      <x:c r="S155" s="7" t="s">
        <x:v>2077</x:v>
      </x:c>
      <x:c r="T155" s="7" t="s">
        <x:v>2078</x:v>
      </x:c>
      <x:c r="U155" s="7" t="s">
        <x:v>53</x:v>
      </x:c>
      <x:c r="V155" s="7" t="s">
        <x:v>1999</x:v>
      </x:c>
      <x:c r="W155" s="7" t="s">
        <x:v>58</x:v>
      </x:c>
      <x:c r="X155" s="7" t="s">
        <x:v>2309</x:v>
      </x:c>
      <x:c r="Y155" s="7" t="s">
        <x:v>1163</x:v>
      </x:c>
      <x:c r="Z155" s="7" t="s">
        <x:v>2108</x:v>
      </x:c>
      <x:c r="AA155" s="7" t="s">
        <x:v>58</x:v>
      </x:c>
      <x:c r="AB155" s="8" t="s">
        <x:v>58</x:v>
      </x:c>
      <x:c r="AC155" s="8" t="s">
        <x:v>58</x:v>
      </x:c>
      <x:c r="AD155" s="8" t="s">
        <x:v>58</x:v>
      </x:c>
      <x:c r="AE155" s="8" t="s">
        <x:v>58</x:v>
      </x:c>
      <x:c r="AF155" s="8" t="s">
        <x:v>58</x:v>
      </x:c>
      <x:c r="AG155" s="7" t="s">
        <x:v>58</x:v>
      </x:c>
    </x:row>
    <x:row r="156" ht="79.5" hidden="0" customHeight="1">
      <x:c r="A156" s="7" t="s">
        <x:v>2322</x:v>
      </x:c>
      <x:c r="B156" s="7" t="s">
        <x:v>148</x:v>
      </x:c>
      <x:c r="C156" s="7" t="s">
        <x:v>150</x:v>
      </x:c>
      <x:c r="D156" s="7" t="s">
        <x:v>2006</x:v>
      </x:c>
      <x:c r="E156" s="7" t="s">
        <x:v>2323</x:v>
      </x:c>
      <x:c r="F156" s="7" t="s">
        <x:v>1929</x:v>
      </x:c>
      <x:c r="G156" s="8" t="n">
        <x:v>33</x:v>
      </x:c>
      <x:c r="H156" s="8" t="n">
        <x:v>4</x:v>
      </x:c>
      <x:c r="I156" s="8" t="s">
        <x:v>58</x:v>
      </x:c>
      <x:c r="J156" s="7" t="s">
        <x:v>1919</x:v>
      </x:c>
      <x:c r="K156" s="8" t="n">
        <x:v>1</x:v>
      </x:c>
      <x:c r="L156" s="8" t="n">
        <x:f aca="0">IF(AND(ISNUMBER(G156),P156&lt;&gt;"Unresolved unit / layout"),G156*K156,"Not applicable")</x:f>
        <x:v>33</x:v>
      </x:c>
      <x:c r="M156" s="8" t="n">
        <x:f aca="0">IF(AND(ISNUMBER(H156),P156&lt;&gt;"Unresolved unit / layout"),H156*K156,"Not applicable")</x:f>
        <x:v>4</x:v>
      </x:c>
      <x:c r="N156" s="8" t="str">
        <x:f aca="0">IF(AND(ISNUMBER(I156),P156&lt;&gt;"Unresolved unit / layout"),I156*K156,"Not applicable")</x:f>
        <x:v>Not applicable</x:v>
      </x:c>
      <x:c r="O156" s="7" t="s">
        <x:v>1929</x:v>
      </x:c>
      <x:c r="P156" s="7" t="s">
        <x:v>1921</x:v>
      </x:c>
      <x:c r="Q156" s="7" t="s">
        <x:v>2064</x:v>
      </x:c>
      <x:c r="R156" s="7" t="s">
        <x:v>1931</x:v>
      </x:c>
      <x:c r="S156" s="7" t="s">
        <x:v>2077</x:v>
      </x:c>
      <x:c r="T156" s="7" t="s">
        <x:v>2078</x:v>
      </x:c>
      <x:c r="U156" s="7" t="s">
        <x:v>53</x:v>
      </x:c>
      <x:c r="V156" s="7" t="s">
        <x:v>1999</x:v>
      </x:c>
      <x:c r="W156" s="7" t="s">
        <x:v>58</x:v>
      </x:c>
      <x:c r="X156" s="7" t="s">
        <x:v>2309</x:v>
      </x:c>
      <x:c r="Y156" s="7" t="s">
        <x:v>1163</x:v>
      </x:c>
      <x:c r="Z156" s="7" t="s">
        <x:v>2111</x:v>
      </x:c>
      <x:c r="AA156" s="7" t="s">
        <x:v>58</x:v>
      </x:c>
      <x:c r="AB156" s="8" t="s">
        <x:v>58</x:v>
      </x:c>
      <x:c r="AC156" s="8" t="s">
        <x:v>58</x:v>
      </x:c>
      <x:c r="AD156" s="8" t="s">
        <x:v>58</x:v>
      </x:c>
      <x:c r="AE156" s="8" t="s">
        <x:v>58</x:v>
      </x:c>
      <x:c r="AF156" s="8" t="s">
        <x:v>58</x:v>
      </x:c>
      <x:c r="AG156" s="7" t="s">
        <x:v>58</x:v>
      </x:c>
    </x:row>
    <x:row r="157" ht="79.5" hidden="0" customHeight="1">
      <x:c r="A157" s="7" t="s">
        <x:v>2324</x:v>
      </x:c>
      <x:c r="B157" s="7" t="s">
        <x:v>148</x:v>
      </x:c>
      <x:c r="C157" s="7" t="s">
        <x:v>150</x:v>
      </x:c>
      <x:c r="D157" s="7" t="s">
        <x:v>2006</x:v>
      </x:c>
      <x:c r="E157" s="7" t="s">
        <x:v>2325</x:v>
      </x:c>
      <x:c r="F157" s="7" t="s">
        <x:v>1929</x:v>
      </x:c>
      <x:c r="G157" s="8" t="n">
        <x:v>25</x:v>
      </x:c>
      <x:c r="H157" s="8" t="n">
        <x:v>4</x:v>
      </x:c>
      <x:c r="I157" s="8" t="s">
        <x:v>58</x:v>
      </x:c>
      <x:c r="J157" s="7" t="s">
        <x:v>1919</x:v>
      </x:c>
      <x:c r="K157" s="8" t="n">
        <x:v>1</x:v>
      </x:c>
      <x:c r="L157" s="8" t="n">
        <x:f aca="0">IF(AND(ISNUMBER(G157),P157&lt;&gt;"Unresolved unit / layout"),G157*K157,"Not applicable")</x:f>
        <x:v>25</x:v>
      </x:c>
      <x:c r="M157" s="8" t="n">
        <x:f aca="0">IF(AND(ISNUMBER(H157),P157&lt;&gt;"Unresolved unit / layout"),H157*K157,"Not applicable")</x:f>
        <x:v>4</x:v>
      </x:c>
      <x:c r="N157" s="8" t="str">
        <x:f aca="0">IF(AND(ISNUMBER(I157),P157&lt;&gt;"Unresolved unit / layout"),I157*K157,"Not applicable")</x:f>
        <x:v>Not applicable</x:v>
      </x:c>
      <x:c r="O157" s="7" t="s">
        <x:v>1929</x:v>
      </x:c>
      <x:c r="P157" s="7" t="s">
        <x:v>1921</x:v>
      </x:c>
      <x:c r="Q157" s="7" t="s">
        <x:v>2064</x:v>
      </x:c>
      <x:c r="R157" s="7" t="s">
        <x:v>2003</x:v>
      </x:c>
      <x:c r="S157" s="7" t="s">
        <x:v>2077</x:v>
      </x:c>
      <x:c r="T157" s="7" t="s">
        <x:v>2078</x:v>
      </x:c>
      <x:c r="U157" s="7" t="s">
        <x:v>53</x:v>
      </x:c>
      <x:c r="V157" s="7" t="s">
        <x:v>1999</x:v>
      </x:c>
      <x:c r="W157" s="7" t="s">
        <x:v>58</x:v>
      </x:c>
      <x:c r="X157" s="7" t="s">
        <x:v>2309</x:v>
      </x:c>
      <x:c r="Y157" s="7" t="s">
        <x:v>1163</x:v>
      </x:c>
      <x:c r="Z157" s="7" t="s">
        <x:v>2114</x:v>
      </x:c>
      <x:c r="AA157" s="7" t="s">
        <x:v>58</x:v>
      </x:c>
      <x:c r="AB157" s="8" t="s">
        <x:v>58</x:v>
      </x:c>
      <x:c r="AC157" s="8" t="s">
        <x:v>58</x:v>
      </x:c>
      <x:c r="AD157" s="8" t="s">
        <x:v>58</x:v>
      </x:c>
      <x:c r="AE157" s="8" t="s">
        <x:v>58</x:v>
      </x:c>
      <x:c r="AF157" s="8" t="s">
        <x:v>58</x:v>
      </x:c>
      <x:c r="AG157" s="7" t="s">
        <x:v>58</x:v>
      </x:c>
    </x:row>
    <x:row r="158" ht="79.5" hidden="0" customHeight="1">
      <x:c r="A158" s="7" t="s">
        <x:v>2326</x:v>
      </x:c>
      <x:c r="B158" s="7" t="s">
        <x:v>148</x:v>
      </x:c>
      <x:c r="C158" s="7" t="s">
        <x:v>150</x:v>
      </x:c>
      <x:c r="D158" s="7" t="s">
        <x:v>1940</x:v>
      </x:c>
      <x:c r="E158" s="7" t="s">
        <x:v>2327</x:v>
      </x:c>
      <x:c r="F158" s="7" t="s">
        <x:v>1942</x:v>
      </x:c>
      <x:c r="G158" s="8" t="n">
        <x:v>2.8</x:v>
      </x:c>
      <x:c r="H158" s="8" t="n">
        <x:v>0.6</x:v>
      </x:c>
      <x:c r="I158" s="8" t="s">
        <x:v>58</x:v>
      </x:c>
      <x:c r="J158" s="7" t="s">
        <x:v>1919</x:v>
      </x:c>
      <x:c r="K158" s="8" t="n">
        <x:v>1</x:v>
      </x:c>
      <x:c r="L158" s="8" t="n">
        <x:f aca="0">IF(AND(ISNUMBER(G158),P158&lt;&gt;"Unresolved unit / layout"),G158*K158,"Not applicable")</x:f>
        <x:v>2.8</x:v>
      </x:c>
      <x:c r="M158" s="8" t="n">
        <x:f aca="0">IF(AND(ISNUMBER(H158),P158&lt;&gt;"Unresolved unit / layout"),H158*K158,"Not applicable")</x:f>
        <x:v>0.6</x:v>
      </x:c>
      <x:c r="N158" s="8" t="str">
        <x:f aca="0">IF(AND(ISNUMBER(I158),P158&lt;&gt;"Unresolved unit / layout"),I158*K158,"Not applicable")</x:f>
        <x:v>Not applicable</x:v>
      </x:c>
      <x:c r="O158" s="7" t="s">
        <x:v>1942</x:v>
      </x:c>
      <x:c r="P158" s="7" t="s">
        <x:v>1921</x:v>
      </x:c>
      <x:c r="Q158" s="7" t="s">
        <x:v>2064</x:v>
      </x:c>
      <x:c r="R158" s="7" t="s">
        <x:v>1931</x:v>
      </x:c>
      <x:c r="S158" s="7" t="s">
        <x:v>2077</x:v>
      </x:c>
      <x:c r="T158" s="7" t="s">
        <x:v>2078</x:v>
      </x:c>
      <x:c r="U158" s="7" t="s">
        <x:v>53</x:v>
      </x:c>
      <x:c r="V158" s="7" t="s">
        <x:v>1999</x:v>
      </x:c>
      <x:c r="W158" s="7" t="s">
        <x:v>58</x:v>
      </x:c>
      <x:c r="X158" s="7" t="s">
        <x:v>2309</x:v>
      </x:c>
      <x:c r="Y158" s="7" t="s">
        <x:v>1163</x:v>
      </x:c>
      <x:c r="Z158" s="7" t="s">
        <x:v>2117</x:v>
      </x:c>
      <x:c r="AA158" s="7" t="s">
        <x:v>58</x:v>
      </x:c>
      <x:c r="AB158" s="8" t="s">
        <x:v>58</x:v>
      </x:c>
      <x:c r="AC158" s="8" t="s">
        <x:v>58</x:v>
      </x:c>
      <x:c r="AD158" s="8" t="s">
        <x:v>58</x:v>
      </x:c>
      <x:c r="AE158" s="8" t="s">
        <x:v>58</x:v>
      </x:c>
      <x:c r="AF158" s="8" t="s">
        <x:v>58</x:v>
      </x:c>
      <x:c r="AG158" s="7" t="s">
        <x:v>58</x:v>
      </x:c>
    </x:row>
    <x:row r="159" ht="79.5" hidden="0" customHeight="1">
      <x:c r="A159" s="7" t="s">
        <x:v>2328</x:v>
      </x:c>
      <x:c r="B159" s="7" t="s">
        <x:v>148</x:v>
      </x:c>
      <x:c r="C159" s="7" t="s">
        <x:v>150</x:v>
      </x:c>
      <x:c r="D159" s="7" t="s">
        <x:v>1940</x:v>
      </x:c>
      <x:c r="E159" s="7" t="s">
        <x:v>2329</x:v>
      </x:c>
      <x:c r="F159" s="7" t="s">
        <x:v>1942</x:v>
      </x:c>
      <x:c r="G159" s="8" t="n">
        <x:v>1.5</x:v>
      </x:c>
      <x:c r="H159" s="8" t="n">
        <x:v>0.2</x:v>
      </x:c>
      <x:c r="I159" s="8" t="s">
        <x:v>58</x:v>
      </x:c>
      <x:c r="J159" s="7" t="s">
        <x:v>1919</x:v>
      </x:c>
      <x:c r="K159" s="8" t="n">
        <x:v>1</x:v>
      </x:c>
      <x:c r="L159" s="8" t="n">
        <x:f aca="0">IF(AND(ISNUMBER(G159),P159&lt;&gt;"Unresolved unit / layout"),G159*K159,"Not applicable")</x:f>
        <x:v>1.5</x:v>
      </x:c>
      <x:c r="M159" s="8" t="n">
        <x:f aca="0">IF(AND(ISNUMBER(H159),P159&lt;&gt;"Unresolved unit / layout"),H159*K159,"Not applicable")</x:f>
        <x:v>0.2</x:v>
      </x:c>
      <x:c r="N159" s="8" t="str">
        <x:f aca="0">IF(AND(ISNUMBER(I159),P159&lt;&gt;"Unresolved unit / layout"),I159*K159,"Not applicable")</x:f>
        <x:v>Not applicable</x:v>
      </x:c>
      <x:c r="O159" s="7" t="s">
        <x:v>1942</x:v>
      </x:c>
      <x:c r="P159" s="7" t="s">
        <x:v>1921</x:v>
      </x:c>
      <x:c r="Q159" s="7" t="s">
        <x:v>2064</x:v>
      </x:c>
      <x:c r="R159" s="7" t="s">
        <x:v>2003</x:v>
      </x:c>
      <x:c r="S159" s="7" t="s">
        <x:v>2077</x:v>
      </x:c>
      <x:c r="T159" s="7" t="s">
        <x:v>2078</x:v>
      </x:c>
      <x:c r="U159" s="7" t="s">
        <x:v>53</x:v>
      </x:c>
      <x:c r="V159" s="7" t="s">
        <x:v>1999</x:v>
      </x:c>
      <x:c r="W159" s="7" t="s">
        <x:v>58</x:v>
      </x:c>
      <x:c r="X159" s="7" t="s">
        <x:v>2309</x:v>
      </x:c>
      <x:c r="Y159" s="7" t="s">
        <x:v>1163</x:v>
      </x:c>
      <x:c r="Z159" s="7" t="s">
        <x:v>2120</x:v>
      </x:c>
      <x:c r="AA159" s="7" t="s">
        <x:v>58</x:v>
      </x:c>
      <x:c r="AB159" s="8" t="s">
        <x:v>58</x:v>
      </x:c>
      <x:c r="AC159" s="8" t="s">
        <x:v>58</x:v>
      </x:c>
      <x:c r="AD159" s="8" t="s">
        <x:v>58</x:v>
      </x:c>
      <x:c r="AE159" s="8" t="s">
        <x:v>58</x:v>
      </x:c>
      <x:c r="AF159" s="8" t="s">
        <x:v>58</x:v>
      </x:c>
      <x:c r="AG159" s="7" t="s">
        <x:v>58</x:v>
      </x:c>
    </x:row>
    <x:row r="160" ht="79.5" hidden="0" customHeight="1">
      <x:c r="A160" s="7" t="s">
        <x:v>2330</x:v>
      </x:c>
      <x:c r="B160" s="7" t="s">
        <x:v>148</x:v>
      </x:c>
      <x:c r="C160" s="7" t="s">
        <x:v>150</x:v>
      </x:c>
      <x:c r="D160" s="7" t="s">
        <x:v>1950</x:v>
      </x:c>
      <x:c r="E160" s="7" t="s">
        <x:v>2331</x:v>
      </x:c>
      <x:c r="F160" s="7" t="s">
        <x:v>1929</x:v>
      </x:c>
      <x:c r="G160" s="8" t="n">
        <x:v>2460</x:v>
      </x:c>
      <x:c r="H160" s="8" t="n">
        <x:v>150</x:v>
      </x:c>
      <x:c r="I160" s="8" t="s">
        <x:v>58</x:v>
      </x:c>
      <x:c r="J160" s="7" t="s">
        <x:v>1919</x:v>
      </x:c>
      <x:c r="K160" s="8" t="n">
        <x:v>0.001</x:v>
      </x:c>
      <x:c r="L160" s="8" t="n">
        <x:f aca="0">IF(AND(ISNUMBER(G160),P160&lt;&gt;"Unresolved unit / layout"),G160*K160,"Not applicable")</x:f>
        <x:v>2.46</x:v>
      </x:c>
      <x:c r="M160" s="8" t="n">
        <x:f aca="0">IF(AND(ISNUMBER(H160),P160&lt;&gt;"Unresolved unit / layout"),H160*K160,"Not applicable")</x:f>
        <x:v>0.15</x:v>
      </x:c>
      <x:c r="N160" s="8" t="str">
        <x:f aca="0">IF(AND(ISNUMBER(I160),P160&lt;&gt;"Unresolved unit / layout"),I160*K160,"Not applicable")</x:f>
        <x:v>Not applicable</x:v>
      </x:c>
      <x:c r="O160" s="7" t="s">
        <x:v>1937</x:v>
      </x:c>
      <x:c r="P160" s="7" t="s">
        <x:v>1921</x:v>
      </x:c>
      <x:c r="Q160" s="7" t="s">
        <x:v>2064</x:v>
      </x:c>
      <x:c r="R160" s="7" t="s">
        <x:v>1931</x:v>
      </x:c>
      <x:c r="S160" s="7" t="s">
        <x:v>2077</x:v>
      </x:c>
      <x:c r="T160" s="7" t="s">
        <x:v>2078</x:v>
      </x:c>
      <x:c r="U160" s="7" t="s">
        <x:v>53</x:v>
      </x:c>
      <x:c r="V160" s="7" t="s">
        <x:v>2020</x:v>
      </x:c>
      <x:c r="W160" s="7" t="s">
        <x:v>58</x:v>
      </x:c>
      <x:c r="X160" s="7" t="s">
        <x:v>2309</x:v>
      </x:c>
      <x:c r="Y160" s="7" t="s">
        <x:v>1163</x:v>
      </x:c>
      <x:c r="Z160" s="7" t="s">
        <x:v>2123</x:v>
      </x:c>
      <x:c r="AA160" s="7" t="s">
        <x:v>58</x:v>
      </x:c>
      <x:c r="AB160" s="8" t="s">
        <x:v>58</x:v>
      </x:c>
      <x:c r="AC160" s="8" t="s">
        <x:v>58</x:v>
      </x:c>
      <x:c r="AD160" s="8" t="s">
        <x:v>58</x:v>
      </x:c>
      <x:c r="AE160" s="8" t="s">
        <x:v>58</x:v>
      </x:c>
      <x:c r="AF160" s="8" t="s">
        <x:v>58</x:v>
      </x:c>
      <x:c r="AG160" s="7" t="s">
        <x:v>58</x:v>
      </x:c>
    </x:row>
    <x:row r="161" ht="79.5" hidden="0" customHeight="1">
      <x:c r="A161" s="7" t="s">
        <x:v>2332</x:v>
      </x:c>
      <x:c r="B161" s="7" t="s">
        <x:v>148</x:v>
      </x:c>
      <x:c r="C161" s="7" t="s">
        <x:v>150</x:v>
      </x:c>
      <x:c r="D161" s="7" t="s">
        <x:v>1950</x:v>
      </x:c>
      <x:c r="E161" s="7" t="s">
        <x:v>2333</x:v>
      </x:c>
      <x:c r="F161" s="7" t="s">
        <x:v>1929</x:v>
      </x:c>
      <x:c r="G161" s="8" t="n">
        <x:v>2150</x:v>
      </x:c>
      <x:c r="H161" s="8" t="n">
        <x:v>160</x:v>
      </x:c>
      <x:c r="I161" s="8" t="s">
        <x:v>58</x:v>
      </x:c>
      <x:c r="J161" s="7" t="s">
        <x:v>1919</x:v>
      </x:c>
      <x:c r="K161" s="8" t="n">
        <x:v>0.001</x:v>
      </x:c>
      <x:c r="L161" s="8" t="n">
        <x:f aca="0">IF(AND(ISNUMBER(G161),P161&lt;&gt;"Unresolved unit / layout"),G161*K161,"Not applicable")</x:f>
        <x:v>2.15</x:v>
      </x:c>
      <x:c r="M161" s="8" t="n">
        <x:f aca="0">IF(AND(ISNUMBER(H161),P161&lt;&gt;"Unresolved unit / layout"),H161*K161,"Not applicable")</x:f>
        <x:v>0.16</x:v>
      </x:c>
      <x:c r="N161" s="8" t="str">
        <x:f aca="0">IF(AND(ISNUMBER(I161),P161&lt;&gt;"Unresolved unit / layout"),I161*K161,"Not applicable")</x:f>
        <x:v>Not applicable</x:v>
      </x:c>
      <x:c r="O161" s="7" t="s">
        <x:v>1937</x:v>
      </x:c>
      <x:c r="P161" s="7" t="s">
        <x:v>1921</x:v>
      </x:c>
      <x:c r="Q161" s="7" t="s">
        <x:v>2064</x:v>
      </x:c>
      <x:c r="R161" s="7" t="s">
        <x:v>2003</x:v>
      </x:c>
      <x:c r="S161" s="7" t="s">
        <x:v>2077</x:v>
      </x:c>
      <x:c r="T161" s="7" t="s">
        <x:v>2078</x:v>
      </x:c>
      <x:c r="U161" s="7" t="s">
        <x:v>53</x:v>
      </x:c>
      <x:c r="V161" s="7" t="s">
        <x:v>2020</x:v>
      </x:c>
      <x:c r="W161" s="7" t="s">
        <x:v>58</x:v>
      </x:c>
      <x:c r="X161" s="7" t="s">
        <x:v>2309</x:v>
      </x:c>
      <x:c r="Y161" s="7" t="s">
        <x:v>1163</x:v>
      </x:c>
      <x:c r="Z161" s="7" t="s">
        <x:v>2210</x:v>
      </x:c>
      <x:c r="AA161" s="7" t="s">
        <x:v>58</x:v>
      </x:c>
      <x:c r="AB161" s="8" t="s">
        <x:v>58</x:v>
      </x:c>
      <x:c r="AC161" s="8" t="s">
        <x:v>58</x:v>
      </x:c>
      <x:c r="AD161" s="8" t="s">
        <x:v>58</x:v>
      </x:c>
      <x:c r="AE161" s="8" t="s">
        <x:v>58</x:v>
      </x:c>
      <x:c r="AF161" s="8" t="s">
        <x:v>58</x:v>
      </x:c>
      <x:c r="AG161" s="7" t="s">
        <x:v>58</x:v>
      </x:c>
    </x:row>
    <x:row r="162" ht="79.5" hidden="0" customHeight="1">
      <x:c r="A162" s="7" t="s">
        <x:v>2334</x:v>
      </x:c>
      <x:c r="B162" s="7" t="s">
        <x:v>148</x:v>
      </x:c>
      <x:c r="C162" s="7" t="s">
        <x:v>150</x:v>
      </x:c>
      <x:c r="D162" s="7" t="s">
        <x:v>1945</x:v>
      </x:c>
      <x:c r="E162" s="7" t="s">
        <x:v>2335</x:v>
      </x:c>
      <x:c r="F162" s="7" t="s">
        <x:v>1929</x:v>
      </x:c>
      <x:c r="G162" s="8" t="n">
        <x:v>75</x:v>
      </x:c>
      <x:c r="H162" s="8" t="n">
        <x:v>4</x:v>
      </x:c>
      <x:c r="I162" s="8" t="s">
        <x:v>58</x:v>
      </x:c>
      <x:c r="J162" s="7" t="s">
        <x:v>1919</x:v>
      </x:c>
      <x:c r="K162" s="8" t="n">
        <x:v>1</x:v>
      </x:c>
      <x:c r="L162" s="8" t="n">
        <x:f aca="0">IF(AND(ISNUMBER(G162),P162&lt;&gt;"Unresolved unit / layout"),G162*K162,"Not applicable")</x:f>
        <x:v>75</x:v>
      </x:c>
      <x:c r="M162" s="8" t="n">
        <x:f aca="0">IF(AND(ISNUMBER(H162),P162&lt;&gt;"Unresolved unit / layout"),H162*K162,"Not applicable")</x:f>
        <x:v>4</x:v>
      </x:c>
      <x:c r="N162" s="8" t="str">
        <x:f aca="0">IF(AND(ISNUMBER(I162),P162&lt;&gt;"Unresolved unit / layout"),I162*K162,"Not applicable")</x:f>
        <x:v>Not applicable</x:v>
      </x:c>
      <x:c r="O162" s="7" t="s">
        <x:v>1929</x:v>
      </x:c>
      <x:c r="P162" s="7" t="s">
        <x:v>1921</x:v>
      </x:c>
      <x:c r="Q162" s="7" t="s">
        <x:v>2064</x:v>
      </x:c>
      <x:c r="R162" s="7" t="s">
        <x:v>1931</x:v>
      </x:c>
      <x:c r="S162" s="7" t="s">
        <x:v>2077</x:v>
      </x:c>
      <x:c r="T162" s="7" t="s">
        <x:v>2078</x:v>
      </x:c>
      <x:c r="U162" s="7" t="s">
        <x:v>53</x:v>
      </x:c>
      <x:c r="V162" s="7" t="s">
        <x:v>2020</x:v>
      </x:c>
      <x:c r="W162" s="7" t="s">
        <x:v>58</x:v>
      </x:c>
      <x:c r="X162" s="7" t="s">
        <x:v>2309</x:v>
      </x:c>
      <x:c r="Y162" s="7" t="s">
        <x:v>1163</x:v>
      </x:c>
      <x:c r="Z162" s="7" t="s">
        <x:v>2213</x:v>
      </x:c>
      <x:c r="AA162" s="7" t="s">
        <x:v>58</x:v>
      </x:c>
      <x:c r="AB162" s="8" t="s">
        <x:v>58</x:v>
      </x:c>
      <x:c r="AC162" s="8" t="s">
        <x:v>58</x:v>
      </x:c>
      <x:c r="AD162" s="8" t="s">
        <x:v>58</x:v>
      </x:c>
      <x:c r="AE162" s="8" t="s">
        <x:v>58</x:v>
      </x:c>
      <x:c r="AF162" s="8" t="s">
        <x:v>58</x:v>
      </x:c>
      <x:c r="AG162" s="7" t="s">
        <x:v>58</x:v>
      </x:c>
    </x:row>
    <x:row r="163" ht="79.5" hidden="0" customHeight="1">
      <x:c r="A163" s="7" t="s">
        <x:v>2336</x:v>
      </x:c>
      <x:c r="B163" s="7" t="s">
        <x:v>148</x:v>
      </x:c>
      <x:c r="C163" s="7" t="s">
        <x:v>150</x:v>
      </x:c>
      <x:c r="D163" s="7" t="s">
        <x:v>1945</x:v>
      </x:c>
      <x:c r="E163" s="7" t="s">
        <x:v>2162</x:v>
      </x:c>
      <x:c r="F163" s="7" t="s">
        <x:v>1929</x:v>
      </x:c>
      <x:c r="G163" s="8" t="n">
        <x:v>30</x:v>
      </x:c>
      <x:c r="H163" s="8" t="n">
        <x:v>5</x:v>
      </x:c>
      <x:c r="I163" s="8" t="s">
        <x:v>58</x:v>
      </x:c>
      <x:c r="J163" s="7" t="s">
        <x:v>1919</x:v>
      </x:c>
      <x:c r="K163" s="8" t="n">
        <x:v>1</x:v>
      </x:c>
      <x:c r="L163" s="8" t="n">
        <x:f aca="0">IF(AND(ISNUMBER(G163),P163&lt;&gt;"Unresolved unit / layout"),G163*K163,"Not applicable")</x:f>
        <x:v>30</x:v>
      </x:c>
      <x:c r="M163" s="8" t="n">
        <x:f aca="0">IF(AND(ISNUMBER(H163),P163&lt;&gt;"Unresolved unit / layout"),H163*K163,"Not applicable")</x:f>
        <x:v>5</x:v>
      </x:c>
      <x:c r="N163" s="8" t="str">
        <x:f aca="0">IF(AND(ISNUMBER(I163),P163&lt;&gt;"Unresolved unit / layout"),I163*K163,"Not applicable")</x:f>
        <x:v>Not applicable</x:v>
      </x:c>
      <x:c r="O163" s="7" t="s">
        <x:v>1929</x:v>
      </x:c>
      <x:c r="P163" s="7" t="s">
        <x:v>1921</x:v>
      </x:c>
      <x:c r="Q163" s="7" t="s">
        <x:v>2064</x:v>
      </x:c>
      <x:c r="R163" s="7" t="s">
        <x:v>2003</x:v>
      </x:c>
      <x:c r="S163" s="7" t="s">
        <x:v>2077</x:v>
      </x:c>
      <x:c r="T163" s="7" t="s">
        <x:v>2078</x:v>
      </x:c>
      <x:c r="U163" s="7" t="s">
        <x:v>53</x:v>
      </x:c>
      <x:c r="V163" s="7" t="s">
        <x:v>2020</x:v>
      </x:c>
      <x:c r="W163" s="7" t="s">
        <x:v>58</x:v>
      </x:c>
      <x:c r="X163" s="7" t="s">
        <x:v>2309</x:v>
      </x:c>
      <x:c r="Y163" s="7" t="s">
        <x:v>1163</x:v>
      </x:c>
      <x:c r="Z163" s="7" t="s">
        <x:v>2216</x:v>
      </x:c>
      <x:c r="AA163" s="7" t="s">
        <x:v>58</x:v>
      </x:c>
      <x:c r="AB163" s="8" t="s">
        <x:v>58</x:v>
      </x:c>
      <x:c r="AC163" s="8" t="s">
        <x:v>58</x:v>
      </x:c>
      <x:c r="AD163" s="8" t="s">
        <x:v>58</x:v>
      </x:c>
      <x:c r="AE163" s="8" t="s">
        <x:v>58</x:v>
      </x:c>
      <x:c r="AF163" s="8" t="s">
        <x:v>58</x:v>
      </x:c>
      <x:c r="AG163" s="7" t="s">
        <x:v>58</x:v>
      </x:c>
    </x:row>
    <x:row r="164" ht="79.5" hidden="0" customHeight="1">
      <x:c r="A164" s="7" t="s">
        <x:v>2337</x:v>
      </x:c>
      <x:c r="B164" s="7" t="s">
        <x:v>148</x:v>
      </x:c>
      <x:c r="C164" s="7" t="s">
        <x:v>150</x:v>
      </x:c>
      <x:c r="D164" s="7" t="s">
        <x:v>2030</x:v>
      </x:c>
      <x:c r="E164" s="7" t="s">
        <x:v>2338</x:v>
      </x:c>
      <x:c r="F164" s="7" t="s">
        <x:v>2033</x:v>
      </x:c>
      <x:c r="G164" s="8" t="n">
        <x:v>18.5</x:v>
      </x:c>
      <x:c r="H164" s="8" t="n">
        <x:v>1.6</x:v>
      </x:c>
      <x:c r="I164" s="8" t="s">
        <x:v>58</x:v>
      </x:c>
      <x:c r="J164" s="7" t="s">
        <x:v>1919</x:v>
      </x:c>
      <x:c r="K164" s="8" t="n">
        <x:v>1</x:v>
      </x:c>
      <x:c r="L164" s="8" t="n">
        <x:f aca="0">IF(AND(ISNUMBER(G164),P164&lt;&gt;"Unresolved unit / layout"),G164*K164,"Not applicable")</x:f>
        <x:v>18.5</x:v>
      </x:c>
      <x:c r="M164" s="8" t="n">
        <x:f aca="0">IF(AND(ISNUMBER(H164),P164&lt;&gt;"Unresolved unit / layout"),H164*K164,"Not applicable")</x:f>
        <x:v>1.6</x:v>
      </x:c>
      <x:c r="N164" s="8" t="str">
        <x:f aca="0">IF(AND(ISNUMBER(I164),P164&lt;&gt;"Unresolved unit / layout"),I164*K164,"Not applicable")</x:f>
        <x:v>Not applicable</x:v>
      </x:c>
      <x:c r="O164" s="7" t="s">
        <x:v>2033</x:v>
      </x:c>
      <x:c r="P164" s="7" t="s">
        <x:v>1921</x:v>
      </x:c>
      <x:c r="Q164" s="7" t="s">
        <x:v>2064</x:v>
      </x:c>
      <x:c r="R164" s="7" t="s">
        <x:v>1931</x:v>
      </x:c>
      <x:c r="S164" s="7" t="s">
        <x:v>2077</x:v>
      </x:c>
      <x:c r="T164" s="7" t="s">
        <x:v>2078</x:v>
      </x:c>
      <x:c r="U164" s="7" t="s">
        <x:v>53</x:v>
      </x:c>
      <x:c r="V164" s="7" t="s">
        <x:v>2036</x:v>
      </x:c>
      <x:c r="W164" s="7" t="s">
        <x:v>2135</x:v>
      </x:c>
      <x:c r="X164" s="7" t="s">
        <x:v>2309</x:v>
      </x:c>
      <x:c r="Y164" s="7" t="s">
        <x:v>1163</x:v>
      </x:c>
      <x:c r="Z164" s="7" t="s">
        <x:v>2219</x:v>
      </x:c>
      <x:c r="AA164" s="7" t="s">
        <x:v>58</x:v>
      </x:c>
      <x:c r="AB164" s="8" t="s">
        <x:v>58</x:v>
      </x:c>
      <x:c r="AC164" s="8" t="s">
        <x:v>58</x:v>
      </x:c>
      <x:c r="AD164" s="8" t="s">
        <x:v>58</x:v>
      </x:c>
      <x:c r="AE164" s="8" t="s">
        <x:v>58</x:v>
      </x:c>
      <x:c r="AF164" s="8" t="s">
        <x:v>58</x:v>
      </x:c>
      <x:c r="AG164" s="7" t="s">
        <x:v>58</x:v>
      </x:c>
    </x:row>
    <x:row r="165" ht="79.5" hidden="0" customHeight="1">
      <x:c r="A165" s="7" t="s">
        <x:v>2339</x:v>
      </x:c>
      <x:c r="B165" s="7" t="s">
        <x:v>148</x:v>
      </x:c>
      <x:c r="C165" s="7" t="s">
        <x:v>150</x:v>
      </x:c>
      <x:c r="D165" s="7" t="s">
        <x:v>2030</x:v>
      </x:c>
      <x:c r="E165" s="7" t="s">
        <x:v>2340</x:v>
      </x:c>
      <x:c r="F165" s="7" t="s">
        <x:v>2033</x:v>
      </x:c>
      <x:c r="G165" s="8" t="n">
        <x:v>10.3</x:v>
      </x:c>
      <x:c r="H165" s="8" t="n">
        <x:v>0.5</x:v>
      </x:c>
      <x:c r="I165" s="8" t="s">
        <x:v>58</x:v>
      </x:c>
      <x:c r="J165" s="7" t="s">
        <x:v>1919</x:v>
      </x:c>
      <x:c r="K165" s="8" t="n">
        <x:v>1</x:v>
      </x:c>
      <x:c r="L165" s="8" t="n">
        <x:f aca="0">IF(AND(ISNUMBER(G165),P165&lt;&gt;"Unresolved unit / layout"),G165*K165,"Not applicable")</x:f>
        <x:v>10.3</x:v>
      </x:c>
      <x:c r="M165" s="8" t="n">
        <x:f aca="0">IF(AND(ISNUMBER(H165),P165&lt;&gt;"Unresolved unit / layout"),H165*K165,"Not applicable")</x:f>
        <x:v>0.5</x:v>
      </x:c>
      <x:c r="N165" s="8" t="str">
        <x:f aca="0">IF(AND(ISNUMBER(I165),P165&lt;&gt;"Unresolved unit / layout"),I165*K165,"Not applicable")</x:f>
        <x:v>Not applicable</x:v>
      </x:c>
      <x:c r="O165" s="7" t="s">
        <x:v>2033</x:v>
      </x:c>
      <x:c r="P165" s="7" t="s">
        <x:v>1921</x:v>
      </x:c>
      <x:c r="Q165" s="7" t="s">
        <x:v>2064</x:v>
      </x:c>
      <x:c r="R165" s="7" t="s">
        <x:v>1931</x:v>
      </x:c>
      <x:c r="S165" s="7" t="s">
        <x:v>2077</x:v>
      </x:c>
      <x:c r="T165" s="7" t="s">
        <x:v>2078</x:v>
      </x:c>
      <x:c r="U165" s="7" t="s">
        <x:v>53</x:v>
      </x:c>
      <x:c r="V165" s="7" t="s">
        <x:v>2036</x:v>
      </x:c>
      <x:c r="W165" s="7" t="s">
        <x:v>2139</x:v>
      </x:c>
      <x:c r="X165" s="7" t="s">
        <x:v>2309</x:v>
      </x:c>
      <x:c r="Y165" s="7" t="s">
        <x:v>1163</x:v>
      </x:c>
      <x:c r="Z165" s="7" t="s">
        <x:v>2222</x:v>
      </x:c>
      <x:c r="AA165" s="7" t="s">
        <x:v>58</x:v>
      </x:c>
      <x:c r="AB165" s="8" t="s">
        <x:v>58</x:v>
      </x:c>
      <x:c r="AC165" s="8" t="s">
        <x:v>58</x:v>
      </x:c>
      <x:c r="AD165" s="8" t="s">
        <x:v>58</x:v>
      </x:c>
      <x:c r="AE165" s="8" t="s">
        <x:v>58</x:v>
      </x:c>
      <x:c r="AF165" s="8" t="s">
        <x:v>58</x:v>
      </x:c>
      <x:c r="AG165" s="7" t="s">
        <x:v>58</x:v>
      </x:c>
    </x:row>
    <x:row r="166" ht="79.5" hidden="0" customHeight="1">
      <x:c r="A166" s="7" t="s">
        <x:v>2341</x:v>
      </x:c>
      <x:c r="B166" s="7" t="s">
        <x:v>148</x:v>
      </x:c>
      <x:c r="C166" s="7" t="s">
        <x:v>150</x:v>
      </x:c>
      <x:c r="D166" s="7" t="s">
        <x:v>2030</x:v>
      </x:c>
      <x:c r="E166" s="7" t="s">
        <x:v>2342</x:v>
      </x:c>
      <x:c r="F166" s="7" t="s">
        <x:v>2033</x:v>
      </x:c>
      <x:c r="G166" s="8" t="n">
        <x:v>8.5</x:v>
      </x:c>
      <x:c r="H166" s="8" t="n">
        <x:v>1.1</x:v>
      </x:c>
      <x:c r="I166" s="8" t="s">
        <x:v>58</x:v>
      </x:c>
      <x:c r="J166" s="7" t="s">
        <x:v>1919</x:v>
      </x:c>
      <x:c r="K166" s="8" t="n">
        <x:v>1</x:v>
      </x:c>
      <x:c r="L166" s="8" t="n">
        <x:f aca="0">IF(AND(ISNUMBER(G166),P166&lt;&gt;"Unresolved unit / layout"),G166*K166,"Not applicable")</x:f>
        <x:v>8.5</x:v>
      </x:c>
      <x:c r="M166" s="8" t="n">
        <x:f aca="0">IF(AND(ISNUMBER(H166),P166&lt;&gt;"Unresolved unit / layout"),H166*K166,"Not applicable")</x:f>
        <x:v>1.1</x:v>
      </x:c>
      <x:c r="N166" s="8" t="str">
        <x:f aca="0">IF(AND(ISNUMBER(I166),P166&lt;&gt;"Unresolved unit / layout"),I166*K166,"Not applicable")</x:f>
        <x:v>Not applicable</x:v>
      </x:c>
      <x:c r="O166" s="7" t="s">
        <x:v>2033</x:v>
      </x:c>
      <x:c r="P166" s="7" t="s">
        <x:v>1921</x:v>
      </x:c>
      <x:c r="Q166" s="7" t="s">
        <x:v>2064</x:v>
      </x:c>
      <x:c r="R166" s="7" t="s">
        <x:v>2003</x:v>
      </x:c>
      <x:c r="S166" s="7" t="s">
        <x:v>2077</x:v>
      </x:c>
      <x:c r="T166" s="7" t="s">
        <x:v>2078</x:v>
      </x:c>
      <x:c r="U166" s="7" t="s">
        <x:v>53</x:v>
      </x:c>
      <x:c r="V166" s="7" t="s">
        <x:v>2343</x:v>
      </x:c>
      <x:c r="W166" s="7" t="s">
        <x:v>53</x:v>
      </x:c>
      <x:c r="X166" s="7" t="s">
        <x:v>2309</x:v>
      </x:c>
      <x:c r="Y166" s="7" t="s">
        <x:v>1163</x:v>
      </x:c>
      <x:c r="Z166" s="7" t="s">
        <x:v>2225</x:v>
      </x:c>
      <x:c r="AA166" s="7" t="s">
        <x:v>58</x:v>
      </x:c>
      <x:c r="AB166" s="8" t="s">
        <x:v>58</x:v>
      </x:c>
      <x:c r="AC166" s="8" t="s">
        <x:v>58</x:v>
      </x:c>
      <x:c r="AD166" s="8" t="s">
        <x:v>58</x:v>
      </x:c>
      <x:c r="AE166" s="8" t="s">
        <x:v>58</x:v>
      </x:c>
      <x:c r="AF166" s="8" t="s">
        <x:v>58</x:v>
      </x:c>
      <x:c r="AG166" s="7" t="s">
        <x:v>58</x:v>
      </x:c>
    </x:row>
    <x:row r="167" ht="79.5" hidden="0" customHeight="1">
      <x:c r="A167" s="7" t="s">
        <x:v>2344</x:v>
      </x:c>
      <x:c r="B167" s="7" t="s">
        <x:v>158</x:v>
      </x:c>
      <x:c r="C167" s="7" t="s">
        <x:v>160</x:v>
      </x:c>
      <x:c r="D167" s="7" t="s">
        <x:v>1916</x:v>
      </x:c>
      <x:c r="E167" s="7" t="s">
        <x:v>2345</x:v>
      </x:c>
      <x:c r="F167" s="7" t="s">
        <x:v>2076</x:v>
      </x:c>
      <x:c r="G167" s="8" t="n">
        <x:v>1.32</x:v>
      </x:c>
      <x:c r="H167" s="8" t="s">
        <x:v>58</x:v>
      </x:c>
      <x:c r="I167" s="8" t="s">
        <x:v>58</x:v>
      </x:c>
      <x:c r="J167" s="7" t="s">
        <x:v>1919</x:v>
      </x:c>
      <x:c r="K167" s="8" t="n">
        <x:v>1000</x:v>
      </x:c>
      <x:c r="L167" s="8" t="n">
        <x:f aca="0">IF(AND(ISNUMBER(G167),P167&lt;&gt;"Unresolved unit / layout"),G167*K167,"Not applicable")</x:f>
        <x:v>1320</x:v>
      </x:c>
      <x:c r="M167" s="8" t="str">
        <x:f aca="0">IF(AND(ISNUMBER(H167),P167&lt;&gt;"Unresolved unit / layout"),H167*K167,"Not applicable")</x:f>
        <x:v>Not applicable</x:v>
      </x:c>
      <x:c r="N167" s="8" t="str">
        <x:f aca="0">IF(AND(ISNUMBER(I167),P167&lt;&gt;"Unresolved unit / layout"),I167*K167,"Not applicable")</x:f>
        <x:v>Not applicable</x:v>
      </x:c>
      <x:c r="O167" s="7" t="s">
        <x:v>1920</x:v>
      </x:c>
      <x:c r="P167" s="7" t="s">
        <x:v>1921</x:v>
      </x:c>
      <x:c r="Q167" s="7" t="s">
        <x:v>1922</x:v>
      </x:c>
      <x:c r="R167" s="7" t="s">
        <x:v>58</x:v>
      </x:c>
      <x:c r="S167" s="7" t="s">
        <x:v>2077</x:v>
      </x:c>
      <x:c r="T167" s="7" t="s">
        <x:v>2078</x:v>
      </x:c>
      <x:c r="U167" s="7" t="s">
        <x:v>53</x:v>
      </x:c>
      <x:c r="V167" s="7" t="s">
        <x:v>1923</x:v>
      </x:c>
      <x:c r="W167" s="7" t="s">
        <x:v>58</x:v>
      </x:c>
      <x:c r="X167" s="7" t="s">
        <x:v>2346</x:v>
      </x:c>
      <x:c r="Y167" s="7" t="s">
        <x:v>1164</x:v>
      </x:c>
      <x:c r="Z167" s="7" t="s">
        <x:v>1968</x:v>
      </x:c>
      <x:c r="AA167" s="7" t="s">
        <x:v>58</x:v>
      </x:c>
      <x:c r="AB167" s="8" t="s">
        <x:v>58</x:v>
      </x:c>
      <x:c r="AC167" s="8" t="s">
        <x:v>58</x:v>
      </x:c>
      <x:c r="AD167" s="8" t="s">
        <x:v>58</x:v>
      </x:c>
      <x:c r="AE167" s="8" t="s">
        <x:v>58</x:v>
      </x:c>
      <x:c r="AF167" s="8" t="s">
        <x:v>58</x:v>
      </x:c>
      <x:c r="AG167" s="7" t="s">
        <x:v>58</x:v>
      </x:c>
    </x:row>
    <x:row r="168" ht="79.5" hidden="0" customHeight="1">
      <x:c r="A168" s="7" t="s">
        <x:v>2347</x:v>
      </x:c>
      <x:c r="B168" s="7" t="s">
        <x:v>158</x:v>
      </x:c>
      <x:c r="C168" s="7" t="s">
        <x:v>160</x:v>
      </x:c>
      <x:c r="D168" s="7" t="s">
        <x:v>1974</x:v>
      </x:c>
      <x:c r="E168" s="7" t="s">
        <x:v>2348</x:v>
      </x:c>
      <x:c r="F168" s="7" t="s">
        <x:v>1956</x:v>
      </x:c>
      <x:c r="G168" s="8" t="n">
        <x:v>152</x:v>
      </x:c>
      <x:c r="H168" s="8" t="s">
        <x:v>58</x:v>
      </x:c>
      <x:c r="I168" s="8" t="s">
        <x:v>58</x:v>
      </x:c>
      <x:c r="J168" s="7" t="s">
        <x:v>1919</x:v>
      </x:c>
      <x:c r="K168" s="8" t="n">
        <x:v>1</x:v>
      </x:c>
      <x:c r="L168" s="8" t="n">
        <x:f aca="0">IF(AND(ISNUMBER(G168),P168&lt;&gt;"Unresolved unit / layout"),G168*K168,"Not applicable")</x:f>
        <x:v>152</x:v>
      </x:c>
      <x:c r="M168" s="8" t="str">
        <x:f aca="0">IF(AND(ISNUMBER(H168),P168&lt;&gt;"Unresolved unit / layout"),H168*K168,"Not applicable")</x:f>
        <x:v>Not applicable</x:v>
      </x:c>
      <x:c r="N168" s="8" t="str">
        <x:f aca="0">IF(AND(ISNUMBER(I168),P168&lt;&gt;"Unresolved unit / layout"),I168*K168,"Not applicable")</x:f>
        <x:v>Not applicable</x:v>
      </x:c>
      <x:c r="O168" s="7" t="s">
        <x:v>1956</x:v>
      </x:c>
      <x:c r="P168" s="7" t="s">
        <x:v>1921</x:v>
      </x:c>
      <x:c r="Q168" s="7" t="s">
        <x:v>2064</x:v>
      </x:c>
      <x:c r="R168" s="7" t="s">
        <x:v>58</x:v>
      </x:c>
      <x:c r="S168" s="7" t="s">
        <x:v>2077</x:v>
      </x:c>
      <x:c r="T168" s="7" t="s">
        <x:v>2078</x:v>
      </x:c>
      <x:c r="U168" s="7" t="s">
        <x:v>53</x:v>
      </x:c>
      <x:c r="V168" s="7" t="s">
        <x:v>2082</x:v>
      </x:c>
      <x:c r="W168" s="7" t="s">
        <x:v>58</x:v>
      </x:c>
      <x:c r="X168" s="7" t="s">
        <x:v>2346</x:v>
      </x:c>
      <x:c r="Y168" s="7" t="s">
        <x:v>1164</x:v>
      </x:c>
      <x:c r="Z168" s="7" t="s">
        <x:v>2083</x:v>
      </x:c>
      <x:c r="AA168" s="7" t="s">
        <x:v>58</x:v>
      </x:c>
      <x:c r="AB168" s="8" t="s">
        <x:v>58</x:v>
      </x:c>
      <x:c r="AC168" s="8" t="s">
        <x:v>58</x:v>
      </x:c>
      <x:c r="AD168" s="8" t="s">
        <x:v>58</x:v>
      </x:c>
      <x:c r="AE168" s="8" t="s">
        <x:v>58</x:v>
      </x:c>
      <x:c r="AF168" s="8" t="s">
        <x:v>58</x:v>
      </x:c>
      <x:c r="AG168" s="7" t="s">
        <x:v>58</x:v>
      </x:c>
    </x:row>
    <x:row r="169" ht="79.5" hidden="0" customHeight="1">
      <x:c r="A169" s="7" t="s">
        <x:v>2349</x:v>
      </x:c>
      <x:c r="B169" s="7" t="s">
        <x:v>158</x:v>
      </x:c>
      <x:c r="C169" s="7" t="s">
        <x:v>160</x:v>
      </x:c>
      <x:c r="D169" s="7" t="s">
        <x:v>1954</x:v>
      </x:c>
      <x:c r="E169" s="7" t="s">
        <x:v>2091</x:v>
      </x:c>
      <x:c r="F169" s="7" t="s">
        <x:v>1956</x:v>
      </x:c>
      <x:c r="G169" s="8" t="n">
        <x:v>57</x:v>
      </x:c>
      <x:c r="H169" s="8" t="s">
        <x:v>58</x:v>
      </x:c>
      <x:c r="I169" s="8" t="s">
        <x:v>58</x:v>
      </x:c>
      <x:c r="J169" s="7" t="s">
        <x:v>1919</x:v>
      </x:c>
      <x:c r="K169" s="8" t="n">
        <x:v>1</x:v>
      </x:c>
      <x:c r="L169" s="8" t="n">
        <x:f aca="0">IF(AND(ISNUMBER(G169),P169&lt;&gt;"Unresolved unit / layout"),G169*K169,"Not applicable")</x:f>
        <x:v>57</x:v>
      </x:c>
      <x:c r="M169" s="8" t="str">
        <x:f aca="0">IF(AND(ISNUMBER(H169),P169&lt;&gt;"Unresolved unit / layout"),H169*K169,"Not applicable")</x:f>
        <x:v>Not applicable</x:v>
      </x:c>
      <x:c r="N169" s="8" t="str">
        <x:f aca="0">IF(AND(ISNUMBER(I169),P169&lt;&gt;"Unresolved unit / layout"),I169*K169,"Not applicable")</x:f>
        <x:v>Not applicable</x:v>
      </x:c>
      <x:c r="O169" s="7" t="s">
        <x:v>1956</x:v>
      </x:c>
      <x:c r="P169" s="7" t="s">
        <x:v>1921</x:v>
      </x:c>
      <x:c r="Q169" s="7" t="s">
        <x:v>2064</x:v>
      </x:c>
      <x:c r="R169" s="7" t="s">
        <x:v>58</x:v>
      </x:c>
      <x:c r="S169" s="7" t="s">
        <x:v>2077</x:v>
      </x:c>
      <x:c r="T169" s="7" t="s">
        <x:v>2078</x:v>
      </x:c>
      <x:c r="U169" s="7" t="s">
        <x:v>53</x:v>
      </x:c>
      <x:c r="V169" s="7" t="s">
        <x:v>2082</x:v>
      </x:c>
      <x:c r="W169" s="7" t="s">
        <x:v>58</x:v>
      </x:c>
      <x:c r="X169" s="7" t="s">
        <x:v>2346</x:v>
      </x:c>
      <x:c r="Y169" s="7" t="s">
        <x:v>1164</x:v>
      </x:c>
      <x:c r="Z169" s="7" t="s">
        <x:v>2086</x:v>
      </x:c>
      <x:c r="AA169" s="7" t="s">
        <x:v>58</x:v>
      </x:c>
      <x:c r="AB169" s="8" t="s">
        <x:v>58</x:v>
      </x:c>
      <x:c r="AC169" s="8" t="s">
        <x:v>58</x:v>
      </x:c>
      <x:c r="AD169" s="8" t="s">
        <x:v>58</x:v>
      </x:c>
      <x:c r="AE169" s="8" t="s">
        <x:v>58</x:v>
      </x:c>
      <x:c r="AF169" s="8" t="s">
        <x:v>58</x:v>
      </x:c>
      <x:c r="AG169" s="7" t="s">
        <x:v>58</x:v>
      </x:c>
    </x:row>
    <x:row r="170" ht="79.5" hidden="0" customHeight="1">
      <x:c r="A170" s="7" t="s">
        <x:v>2350</x:v>
      </x:c>
      <x:c r="B170" s="7" t="s">
        <x:v>158</x:v>
      </x:c>
      <x:c r="C170" s="7" t="s">
        <x:v>160</x:v>
      </x:c>
      <x:c r="D170" s="7" t="s">
        <x:v>1978</x:v>
      </x:c>
      <x:c r="E170" s="7" t="s">
        <x:v>1995</x:v>
      </x:c>
      <x:c r="F170" s="7" t="s">
        <x:v>1956</x:v>
      </x:c>
      <x:c r="G170" s="8" t="s">
        <x:v>53</x:v>
      </x:c>
      <x:c r="H170" s="8" t="s">
        <x:v>58</x:v>
      </x:c>
      <x:c r="I170" s="8" t="s">
        <x:v>58</x:v>
      </x:c>
      <x:c r="J170" s="7" t="s">
        <x:v>58</x:v>
      </x:c>
      <x:c r="K170" s="8" t="n">
        <x:v>1</x:v>
      </x:c>
      <x:c r="L170" s="8" t="str">
        <x:f aca="0">IF(AND(ISNUMBER(G170),P170&lt;&gt;"Unresolved unit / layout"),G170*K170,"Not published")</x:f>
        <x:v>Not published</x:v>
      </x:c>
      <x:c r="M170" s="8" t="str">
        <x:f aca="0">IF(AND(ISNUMBER(H170),P170&lt;&gt;"Unresolved unit / layout"),H170*K170,"Not applicable")</x:f>
        <x:v>Not applicable</x:v>
      </x:c>
      <x:c r="N170" s="8" t="str">
        <x:f aca="0">IF(AND(ISNUMBER(I170),P170&lt;&gt;"Unresolved unit / layout"),I170*K170,"Not applicable")</x:f>
        <x:v>Not applicable</x:v>
      </x:c>
      <x:c r="O170" s="7" t="s">
        <x:v>1956</x:v>
      </x:c>
      <x:c r="P170" s="7" t="s">
        <x:v>53</x:v>
      </x:c>
      <x:c r="Q170" s="7" t="s">
        <x:v>2064</x:v>
      </x:c>
      <x:c r="R170" s="7" t="s">
        <x:v>58</x:v>
      </x:c>
      <x:c r="S170" s="7" t="s">
        <x:v>2077</x:v>
      </x:c>
      <x:c r="T170" s="7" t="s">
        <x:v>2078</x:v>
      </x:c>
      <x:c r="U170" s="7" t="s">
        <x:v>53</x:v>
      </x:c>
      <x:c r="V170" s="7" t="s">
        <x:v>2351</x:v>
      </x:c>
      <x:c r="W170" s="7" t="s">
        <x:v>58</x:v>
      </x:c>
      <x:c r="X170" s="7" t="s">
        <x:v>2346</x:v>
      </x:c>
      <x:c r="Y170" s="7" t="s">
        <x:v>1164</x:v>
      </x:c>
      <x:c r="Z170" s="7" t="s">
        <x:v>2188</x:v>
      </x:c>
      <x:c r="AA170" s="7" t="s">
        <x:v>58</x:v>
      </x:c>
      <x:c r="AB170" s="8" t="s">
        <x:v>58</x:v>
      </x:c>
      <x:c r="AC170" s="8" t="s">
        <x:v>58</x:v>
      </x:c>
      <x:c r="AD170" s="8" t="s">
        <x:v>58</x:v>
      </x:c>
      <x:c r="AE170" s="8" t="s">
        <x:v>58</x:v>
      </x:c>
      <x:c r="AF170" s="8" t="s">
        <x:v>58</x:v>
      </x:c>
      <x:c r="AG170" s="7" t="s">
        <x:v>58</x:v>
      </x:c>
    </x:row>
    <x:row r="171" ht="79.5" hidden="0" customHeight="1">
      <x:c r="A171" s="7" t="s">
        <x:v>2352</x:v>
      </x:c>
      <x:c r="B171" s="7" t="s">
        <x:v>158</x:v>
      </x:c>
      <x:c r="C171" s="7" t="s">
        <x:v>160</x:v>
      </x:c>
      <x:c r="D171" s="7" t="s">
        <x:v>1982</x:v>
      </x:c>
      <x:c r="E171" s="7" t="s">
        <x:v>2316</x:v>
      </x:c>
      <x:c r="F171" s="7" t="s">
        <x:v>1956</x:v>
      </x:c>
      <x:c r="G171" s="8" t="n">
        <x:v>56</x:v>
      </x:c>
      <x:c r="H171" s="8" t="s">
        <x:v>58</x:v>
      </x:c>
      <x:c r="I171" s="8" t="s">
        <x:v>58</x:v>
      </x:c>
      <x:c r="J171" s="7" t="s">
        <x:v>1919</x:v>
      </x:c>
      <x:c r="K171" s="8" t="n">
        <x:v>1</x:v>
      </x:c>
      <x:c r="L171" s="8" t="n">
        <x:f aca="0">IF(AND(ISNUMBER(G171),P171&lt;&gt;"Unresolved unit / layout"),G171*K171,"Not applicable")</x:f>
        <x:v>56</x:v>
      </x:c>
      <x:c r="M171" s="8" t="str">
        <x:f aca="0">IF(AND(ISNUMBER(H171),P171&lt;&gt;"Unresolved unit / layout"),H171*K171,"Not applicable")</x:f>
        <x:v>Not applicable</x:v>
      </x:c>
      <x:c r="N171" s="8" t="str">
        <x:f aca="0">IF(AND(ISNUMBER(I171),P171&lt;&gt;"Unresolved unit / layout"),I171*K171,"Not applicable")</x:f>
        <x:v>Not applicable</x:v>
      </x:c>
      <x:c r="O171" s="7" t="s">
        <x:v>1956</x:v>
      </x:c>
      <x:c r="P171" s="7" t="s">
        <x:v>1921</x:v>
      </x:c>
      <x:c r="Q171" s="7" t="s">
        <x:v>2064</x:v>
      </x:c>
      <x:c r="R171" s="7" t="s">
        <x:v>58</x:v>
      </x:c>
      <x:c r="S171" s="7" t="s">
        <x:v>2077</x:v>
      </x:c>
      <x:c r="T171" s="7" t="s">
        <x:v>2078</x:v>
      </x:c>
      <x:c r="U171" s="7" t="s">
        <x:v>53</x:v>
      </x:c>
      <x:c r="V171" s="7" t="s">
        <x:v>1984</x:v>
      </x:c>
      <x:c r="W171" s="7" t="s">
        <x:v>58</x:v>
      </x:c>
      <x:c r="X171" s="7" t="s">
        <x:v>2346</x:v>
      </x:c>
      <x:c r="Y171" s="7" t="s">
        <x:v>1164</x:v>
      </x:c>
      <x:c r="Z171" s="7" t="s">
        <x:v>2092</x:v>
      </x:c>
      <x:c r="AA171" s="7" t="s">
        <x:v>58</x:v>
      </x:c>
      <x:c r="AB171" s="8" t="s">
        <x:v>58</x:v>
      </x:c>
      <x:c r="AC171" s="8" t="s">
        <x:v>58</x:v>
      </x:c>
      <x:c r="AD171" s="8" t="s">
        <x:v>58</x:v>
      </x:c>
      <x:c r="AE171" s="8" t="s">
        <x:v>58</x:v>
      </x:c>
      <x:c r="AF171" s="8" t="s">
        <x:v>58</x:v>
      </x:c>
      <x:c r="AG171" s="7" t="s">
        <x:v>58</x:v>
      </x:c>
    </x:row>
    <x:row r="172" ht="79.5" hidden="0" customHeight="1">
      <x:c r="A172" s="7" t="s">
        <x:v>2353</x:v>
      </x:c>
      <x:c r="B172" s="7" t="s">
        <x:v>158</x:v>
      </x:c>
      <x:c r="C172" s="7" t="s">
        <x:v>160</x:v>
      </x:c>
      <x:c r="D172" s="7" t="s">
        <x:v>1959</x:v>
      </x:c>
      <x:c r="E172" s="7" t="s">
        <x:v>2354</x:v>
      </x:c>
      <x:c r="F172" s="7" t="s">
        <x:v>1956</x:v>
      </x:c>
      <x:c r="G172" s="8" t="n">
        <x:v>50</x:v>
      </x:c>
      <x:c r="H172" s="8" t="s">
        <x:v>58</x:v>
      </x:c>
      <x:c r="I172" s="8" t="s">
        <x:v>58</x:v>
      </x:c>
      <x:c r="J172" s="7" t="s">
        <x:v>1919</x:v>
      </x:c>
      <x:c r="K172" s="8" t="n">
        <x:v>1</x:v>
      </x:c>
      <x:c r="L172" s="8" t="n">
        <x:f aca="0">IF(AND(ISNUMBER(G172),P172&lt;&gt;"Unresolved unit / layout"),G172*K172,"Not applicable")</x:f>
        <x:v>50</x:v>
      </x:c>
      <x:c r="M172" s="8" t="str">
        <x:f aca="0">IF(AND(ISNUMBER(H172),P172&lt;&gt;"Unresolved unit / layout"),H172*K172,"Not applicable")</x:f>
        <x:v>Not applicable</x:v>
      </x:c>
      <x:c r="N172" s="8" t="str">
        <x:f aca="0">IF(AND(ISNUMBER(I172),P172&lt;&gt;"Unresolved unit / layout"),I172*K172,"Not applicable")</x:f>
        <x:v>Not applicable</x:v>
      </x:c>
      <x:c r="O172" s="7" t="s">
        <x:v>1956</x:v>
      </x:c>
      <x:c r="P172" s="7" t="s">
        <x:v>1921</x:v>
      </x:c>
      <x:c r="Q172" s="7" t="s">
        <x:v>2064</x:v>
      </x:c>
      <x:c r="R172" s="7" t="s">
        <x:v>58</x:v>
      </x:c>
      <x:c r="S172" s="7" t="s">
        <x:v>2077</x:v>
      </x:c>
      <x:c r="T172" s="7" t="s">
        <x:v>2078</x:v>
      </x:c>
      <x:c r="U172" s="7" t="s">
        <x:v>53</x:v>
      </x:c>
      <x:c r="V172" s="7" t="s">
        <x:v>2095</x:v>
      </x:c>
      <x:c r="W172" s="7" t="s">
        <x:v>58</x:v>
      </x:c>
      <x:c r="X172" s="7" t="s">
        <x:v>2346</x:v>
      </x:c>
      <x:c r="Y172" s="7" t="s">
        <x:v>1164</x:v>
      </x:c>
      <x:c r="Z172" s="7" t="s">
        <x:v>2096</x:v>
      </x:c>
      <x:c r="AA172" s="7" t="s">
        <x:v>58</x:v>
      </x:c>
      <x:c r="AB172" s="8" t="s">
        <x:v>58</x:v>
      </x:c>
      <x:c r="AC172" s="8" t="s">
        <x:v>58</x:v>
      </x:c>
      <x:c r="AD172" s="8" t="s">
        <x:v>58</x:v>
      </x:c>
      <x:c r="AE172" s="8" t="s">
        <x:v>58</x:v>
      </x:c>
      <x:c r="AF172" s="8" t="s">
        <x:v>58</x:v>
      </x:c>
      <x:c r="AG172" s="7" t="s">
        <x:v>58</x:v>
      </x:c>
    </x:row>
    <x:row r="173" ht="79.5" hidden="0" customHeight="1">
      <x:c r="A173" s="7" t="s">
        <x:v>166</x:v>
      </x:c>
      <x:c r="B173" s="7" t="s">
        <x:v>158</x:v>
      </x:c>
      <x:c r="C173" s="7" t="s">
        <x:v>160</x:v>
      </x:c>
      <x:c r="D173" s="7" t="s">
        <x:v>1959</x:v>
      </x:c>
      <x:c r="E173" s="7" t="s">
        <x:v>1991</x:v>
      </x:c>
      <x:c r="F173" s="7" t="s">
        <x:v>1956</x:v>
      </x:c>
      <x:c r="G173" s="8" t="n">
        <x:v>53</x:v>
      </x:c>
      <x:c r="H173" s="8" t="s">
        <x:v>58</x:v>
      </x:c>
      <x:c r="I173" s="8" t="s">
        <x:v>58</x:v>
      </x:c>
      <x:c r="J173" s="7" t="s">
        <x:v>1919</x:v>
      </x:c>
      <x:c r="K173" s="8" t="n">
        <x:v>1</x:v>
      </x:c>
      <x:c r="L173" s="8" t="n">
        <x:f aca="0">IF(AND(ISNUMBER(G173),P173&lt;&gt;"Unresolved unit / layout"),G173*K173,"Not applicable")</x:f>
        <x:v>53</x:v>
      </x:c>
      <x:c r="M173" s="8" t="str">
        <x:f aca="0">IF(AND(ISNUMBER(H173),P173&lt;&gt;"Unresolved unit / layout"),H173*K173,"Not applicable")</x:f>
        <x:v>Not applicable</x:v>
      </x:c>
      <x:c r="N173" s="8" t="str">
        <x:f aca="0">IF(AND(ISNUMBER(I173),P173&lt;&gt;"Unresolved unit / layout"),I173*K173,"Not applicable")</x:f>
        <x:v>Not applicable</x:v>
      </x:c>
      <x:c r="O173" s="7" t="s">
        <x:v>1956</x:v>
      </x:c>
      <x:c r="P173" s="7" t="s">
        <x:v>1921</x:v>
      </x:c>
      <x:c r="Q173" s="7" t="s">
        <x:v>2064</x:v>
      </x:c>
      <x:c r="R173" s="7" t="s">
        <x:v>58</x:v>
      </x:c>
      <x:c r="S173" s="7" t="s">
        <x:v>2077</x:v>
      </x:c>
      <x:c r="T173" s="7" t="s">
        <x:v>2078</x:v>
      </x:c>
      <x:c r="U173" s="7" t="s">
        <x:v>53</x:v>
      </x:c>
      <x:c r="V173" s="7" t="s">
        <x:v>2097</x:v>
      </x:c>
      <x:c r="W173" s="7" t="s">
        <x:v>58</x:v>
      </x:c>
      <x:c r="X173" s="7" t="s">
        <x:v>2346</x:v>
      </x:c>
      <x:c r="Y173" s="7" t="s">
        <x:v>1164</x:v>
      </x:c>
      <x:c r="Z173" s="7" t="s">
        <x:v>2096</x:v>
      </x:c>
      <x:c r="AA173" s="7" t="s">
        <x:v>58</x:v>
      </x:c>
      <x:c r="AB173" s="8" t="s">
        <x:v>58</x:v>
      </x:c>
      <x:c r="AC173" s="8" t="s">
        <x:v>58</x:v>
      </x:c>
      <x:c r="AD173" s="8" t="s">
        <x:v>58</x:v>
      </x:c>
      <x:c r="AE173" s="8" t="s">
        <x:v>58</x:v>
      </x:c>
      <x:c r="AF173" s="8" t="s">
        <x:v>58</x:v>
      </x:c>
      <x:c r="AG173" s="7" t="s">
        <x:v>58</x:v>
      </x:c>
    </x:row>
    <x:row r="174" ht="79.5" hidden="0" customHeight="1">
      <x:c r="A174" s="7" t="s">
        <x:v>2355</x:v>
      </x:c>
      <x:c r="B174" s="7" t="s">
        <x:v>158</x:v>
      </x:c>
      <x:c r="C174" s="7" t="s">
        <x:v>160</x:v>
      </x:c>
      <x:c r="D174" s="7" t="s">
        <x:v>2099</x:v>
      </x:c>
      <x:c r="E174" s="7" t="s">
        <x:v>2356</x:v>
      </x:c>
      <x:c r="F174" s="7" t="s">
        <x:v>1942</x:v>
      </x:c>
      <x:c r="G174" s="8" t="n">
        <x:v>0.52</x:v>
      </x:c>
      <x:c r="H174" s="8" t="s">
        <x:v>58</x:v>
      </x:c>
      <x:c r="I174" s="8" t="s">
        <x:v>58</x:v>
      </x:c>
      <x:c r="J174" s="7" t="s">
        <x:v>1919</x:v>
      </x:c>
      <x:c r="K174" s="8" t="n">
        <x:v>1</x:v>
      </x:c>
      <x:c r="L174" s="8" t="n">
        <x:f aca="0">IF(AND(ISNUMBER(G174),P174&lt;&gt;"Unresolved unit / layout"),G174*K174,"Not applicable")</x:f>
        <x:v>0.52</x:v>
      </x:c>
      <x:c r="M174" s="8" t="str">
        <x:f aca="0">IF(AND(ISNUMBER(H174),P174&lt;&gt;"Unresolved unit / layout"),H174*K174,"Not applicable")</x:f>
        <x:v>Not applicable</x:v>
      </x:c>
      <x:c r="N174" s="8" t="str">
        <x:f aca="0">IF(AND(ISNUMBER(I174),P174&lt;&gt;"Unresolved unit / layout"),I174*K174,"Not applicable")</x:f>
        <x:v>Not applicable</x:v>
      </x:c>
      <x:c r="O174" s="7" t="s">
        <x:v>1942</x:v>
      </x:c>
      <x:c r="P174" s="7" t="s">
        <x:v>1921</x:v>
      </x:c>
      <x:c r="Q174" s="7" t="s">
        <x:v>2064</x:v>
      </x:c>
      <x:c r="R174" s="7" t="s">
        <x:v>58</x:v>
      </x:c>
      <x:c r="S174" s="7" t="s">
        <x:v>2077</x:v>
      </x:c>
      <x:c r="T174" s="7" t="s">
        <x:v>2078</x:v>
      </x:c>
      <x:c r="U174" s="7" t="s">
        <x:v>53</x:v>
      </x:c>
      <x:c r="V174" s="7" t="s">
        <x:v>2238</x:v>
      </x:c>
      <x:c r="W174" s="7" t="s">
        <x:v>58</x:v>
      </x:c>
      <x:c r="X174" s="7" t="s">
        <x:v>2346</x:v>
      </x:c>
      <x:c r="Y174" s="7" t="s">
        <x:v>1164</x:v>
      </x:c>
      <x:c r="Z174" s="7" t="s">
        <x:v>2239</x:v>
      </x:c>
      <x:c r="AA174" s="7" t="s">
        <x:v>58</x:v>
      </x:c>
      <x:c r="AB174" s="8" t="s">
        <x:v>58</x:v>
      </x:c>
      <x:c r="AC174" s="8" t="s">
        <x:v>58</x:v>
      </x:c>
      <x:c r="AD174" s="8" t="s">
        <x:v>58</x:v>
      </x:c>
      <x:c r="AE174" s="8" t="s">
        <x:v>58</x:v>
      </x:c>
      <x:c r="AF174" s="8" t="s">
        <x:v>58</x:v>
      </x:c>
      <x:c r="AG174" s="7" t="s">
        <x:v>58</x:v>
      </x:c>
    </x:row>
    <x:row r="175" ht="79.5" hidden="0" customHeight="1">
      <x:c r="A175" s="7" t="s">
        <x:v>2357</x:v>
      </x:c>
      <x:c r="B175" s="7" t="s">
        <x:v>158</x:v>
      </x:c>
      <x:c r="C175" s="7" t="s">
        <x:v>160</x:v>
      </x:c>
      <x:c r="D175" s="7" t="s">
        <x:v>1935</x:v>
      </x:c>
      <x:c r="E175" s="7" t="s">
        <x:v>2358</x:v>
      </x:c>
      <x:c r="F175" s="7" t="s">
        <x:v>1929</x:v>
      </x:c>
      <x:c r="G175" s="8" t="n">
        <x:v>1830</x:v>
      </x:c>
      <x:c r="H175" s="8" t="n">
        <x:v>210</x:v>
      </x:c>
      <x:c r="I175" s="8" t="s">
        <x:v>58</x:v>
      </x:c>
      <x:c r="J175" s="7" t="s">
        <x:v>1919</x:v>
      </x:c>
      <x:c r="K175" s="8" t="n">
        <x:v>0.001</x:v>
      </x:c>
      <x:c r="L175" s="8" t="n">
        <x:f aca="0">IF(AND(ISNUMBER(G175),P175&lt;&gt;"Unresolved unit / layout"),G175*K175,"Not applicable")</x:f>
        <x:v>1.83</x:v>
      </x:c>
      <x:c r="M175" s="8" t="n">
        <x:f aca="0">IF(AND(ISNUMBER(H175),P175&lt;&gt;"Unresolved unit / layout"),H175*K175,"Not applicable")</x:f>
        <x:v>0.21</x:v>
      </x:c>
      <x:c r="N175" s="8" t="str">
        <x:f aca="0">IF(AND(ISNUMBER(I175),P175&lt;&gt;"Unresolved unit / layout"),I175*K175,"Not applicable")</x:f>
        <x:v>Not applicable</x:v>
      </x:c>
      <x:c r="O175" s="7" t="s">
        <x:v>1937</x:v>
      </x:c>
      <x:c r="P175" s="7" t="s">
        <x:v>1921</x:v>
      </x:c>
      <x:c r="Q175" s="7" t="s">
        <x:v>2064</x:v>
      </x:c>
      <x:c r="R175" s="7" t="s">
        <x:v>1931</x:v>
      </x:c>
      <x:c r="S175" s="7" t="s">
        <x:v>2077</x:v>
      </x:c>
      <x:c r="T175" s="7" t="s">
        <x:v>2078</x:v>
      </x:c>
      <x:c r="U175" s="7" t="s">
        <x:v>53</x:v>
      </x:c>
      <x:c r="V175" s="7" t="s">
        <x:v>1999</x:v>
      </x:c>
      <x:c r="W175" s="7" t="s">
        <x:v>58</x:v>
      </x:c>
      <x:c r="X175" s="7" t="s">
        <x:v>2346</x:v>
      </x:c>
      <x:c r="Y175" s="7" t="s">
        <x:v>1164</x:v>
      </x:c>
      <x:c r="Z175" s="7" t="s">
        <x:v>2105</x:v>
      </x:c>
      <x:c r="AA175" s="7" t="s">
        <x:v>58</x:v>
      </x:c>
      <x:c r="AB175" s="8" t="s">
        <x:v>58</x:v>
      </x:c>
      <x:c r="AC175" s="8" t="s">
        <x:v>58</x:v>
      </x:c>
      <x:c r="AD175" s="8" t="s">
        <x:v>58</x:v>
      </x:c>
      <x:c r="AE175" s="8" t="s">
        <x:v>58</x:v>
      </x:c>
      <x:c r="AF175" s="8" t="s">
        <x:v>58</x:v>
      </x:c>
      <x:c r="AG175" s="7" t="s">
        <x:v>58</x:v>
      </x:c>
    </x:row>
    <x:row r="176" ht="79.5" hidden="0" customHeight="1">
      <x:c r="A176" s="7" t="s">
        <x:v>2359</x:v>
      </x:c>
      <x:c r="B176" s="7" t="s">
        <x:v>158</x:v>
      </x:c>
      <x:c r="C176" s="7" t="s">
        <x:v>160</x:v>
      </x:c>
      <x:c r="D176" s="7" t="s">
        <x:v>1935</x:v>
      </x:c>
      <x:c r="E176" s="7" t="s">
        <x:v>2360</x:v>
      </x:c>
      <x:c r="F176" s="7" t="s">
        <x:v>1929</x:v>
      </x:c>
      <x:c r="G176" s="8" t="n">
        <x:v>1250</x:v>
      </x:c>
      <x:c r="H176" s="8" t="n">
        <x:v>140</x:v>
      </x:c>
      <x:c r="I176" s="8" t="s">
        <x:v>58</x:v>
      </x:c>
      <x:c r="J176" s="7" t="s">
        <x:v>1919</x:v>
      </x:c>
      <x:c r="K176" s="8" t="n">
        <x:v>0.001</x:v>
      </x:c>
      <x:c r="L176" s="8" t="n">
        <x:f aca="0">IF(AND(ISNUMBER(G176),P176&lt;&gt;"Unresolved unit / layout"),G176*K176,"Not applicable")</x:f>
        <x:v>1.25</x:v>
      </x:c>
      <x:c r="M176" s="8" t="n">
        <x:f aca="0">IF(AND(ISNUMBER(H176),P176&lt;&gt;"Unresolved unit / layout"),H176*K176,"Not applicable")</x:f>
        <x:v>0.14</x:v>
      </x:c>
      <x:c r="N176" s="8" t="str">
        <x:f aca="0">IF(AND(ISNUMBER(I176),P176&lt;&gt;"Unresolved unit / layout"),I176*K176,"Not applicable")</x:f>
        <x:v>Not applicable</x:v>
      </x:c>
      <x:c r="O176" s="7" t="s">
        <x:v>1937</x:v>
      </x:c>
      <x:c r="P176" s="7" t="s">
        <x:v>1921</x:v>
      </x:c>
      <x:c r="Q176" s="7" t="s">
        <x:v>2064</x:v>
      </x:c>
      <x:c r="R176" s="7" t="s">
        <x:v>2003</x:v>
      </x:c>
      <x:c r="S176" s="7" t="s">
        <x:v>2077</x:v>
      </x:c>
      <x:c r="T176" s="7" t="s">
        <x:v>2078</x:v>
      </x:c>
      <x:c r="U176" s="7" t="s">
        <x:v>53</x:v>
      </x:c>
      <x:c r="V176" s="7" t="s">
        <x:v>1999</x:v>
      </x:c>
      <x:c r="W176" s="7" t="s">
        <x:v>58</x:v>
      </x:c>
      <x:c r="X176" s="7" t="s">
        <x:v>2346</x:v>
      </x:c>
      <x:c r="Y176" s="7" t="s">
        <x:v>1164</x:v>
      </x:c>
      <x:c r="Z176" s="7" t="s">
        <x:v>2108</x:v>
      </x:c>
      <x:c r="AA176" s="7" t="s">
        <x:v>58</x:v>
      </x:c>
      <x:c r="AB176" s="8" t="s">
        <x:v>58</x:v>
      </x:c>
      <x:c r="AC176" s="8" t="s">
        <x:v>58</x:v>
      </x:c>
      <x:c r="AD176" s="8" t="s">
        <x:v>58</x:v>
      </x:c>
      <x:c r="AE176" s="8" t="s">
        <x:v>58</x:v>
      </x:c>
      <x:c r="AF176" s="8" t="s">
        <x:v>58</x:v>
      </x:c>
      <x:c r="AG176" s="7" t="s">
        <x:v>58</x:v>
      </x:c>
    </x:row>
    <x:row r="177" ht="79.5" hidden="0" customHeight="1">
      <x:c r="A177" s="7" t="s">
        <x:v>2361</x:v>
      </x:c>
      <x:c r="B177" s="7" t="s">
        <x:v>158</x:v>
      </x:c>
      <x:c r="C177" s="7" t="s">
        <x:v>160</x:v>
      </x:c>
      <x:c r="D177" s="7" t="s">
        <x:v>2006</x:v>
      </x:c>
      <x:c r="E177" s="7" t="s">
        <x:v>2362</x:v>
      </x:c>
      <x:c r="F177" s="7" t="s">
        <x:v>1929</x:v>
      </x:c>
      <x:c r="G177" s="8" t="n">
        <x:v>27</x:v>
      </x:c>
      <x:c r="H177" s="8" t="n">
        <x:v>4</x:v>
      </x:c>
      <x:c r="I177" s="8" t="s">
        <x:v>58</x:v>
      </x:c>
      <x:c r="J177" s="7" t="s">
        <x:v>1919</x:v>
      </x:c>
      <x:c r="K177" s="8" t="n">
        <x:v>1</x:v>
      </x:c>
      <x:c r="L177" s="8" t="n">
        <x:f aca="0">IF(AND(ISNUMBER(G177),P177&lt;&gt;"Unresolved unit / layout"),G177*K177,"Not applicable")</x:f>
        <x:v>27</x:v>
      </x:c>
      <x:c r="M177" s="8" t="n">
        <x:f aca="0">IF(AND(ISNUMBER(H177),P177&lt;&gt;"Unresolved unit / layout"),H177*K177,"Not applicable")</x:f>
        <x:v>4</x:v>
      </x:c>
      <x:c r="N177" s="8" t="str">
        <x:f aca="0">IF(AND(ISNUMBER(I177),P177&lt;&gt;"Unresolved unit / layout"),I177*K177,"Not applicable")</x:f>
        <x:v>Not applicable</x:v>
      </x:c>
      <x:c r="O177" s="7" t="s">
        <x:v>1929</x:v>
      </x:c>
      <x:c r="P177" s="7" t="s">
        <x:v>1921</x:v>
      </x:c>
      <x:c r="Q177" s="7" t="s">
        <x:v>2064</x:v>
      </x:c>
      <x:c r="R177" s="7" t="s">
        <x:v>1931</x:v>
      </x:c>
      <x:c r="S177" s="7" t="s">
        <x:v>2077</x:v>
      </x:c>
      <x:c r="T177" s="7" t="s">
        <x:v>2078</x:v>
      </x:c>
      <x:c r="U177" s="7" t="s">
        <x:v>53</x:v>
      </x:c>
      <x:c r="V177" s="7" t="s">
        <x:v>1999</x:v>
      </x:c>
      <x:c r="W177" s="7" t="s">
        <x:v>58</x:v>
      </x:c>
      <x:c r="X177" s="7" t="s">
        <x:v>2346</x:v>
      </x:c>
      <x:c r="Y177" s="7" t="s">
        <x:v>1164</x:v>
      </x:c>
      <x:c r="Z177" s="7" t="s">
        <x:v>2111</x:v>
      </x:c>
      <x:c r="AA177" s="7" t="s">
        <x:v>58</x:v>
      </x:c>
      <x:c r="AB177" s="8" t="s">
        <x:v>58</x:v>
      </x:c>
      <x:c r="AC177" s="8" t="s">
        <x:v>58</x:v>
      </x:c>
      <x:c r="AD177" s="8" t="s">
        <x:v>58</x:v>
      </x:c>
      <x:c r="AE177" s="8" t="s">
        <x:v>58</x:v>
      </x:c>
      <x:c r="AF177" s="8" t="s">
        <x:v>58</x:v>
      </x:c>
      <x:c r="AG177" s="7" t="s">
        <x:v>58</x:v>
      </x:c>
    </x:row>
    <x:row r="178" ht="79.5" hidden="0" customHeight="1">
      <x:c r="A178" s="7" t="s">
        <x:v>2363</x:v>
      </x:c>
      <x:c r="B178" s="7" t="s">
        <x:v>158</x:v>
      </x:c>
      <x:c r="C178" s="7" t="s">
        <x:v>160</x:v>
      </x:c>
      <x:c r="D178" s="7" t="s">
        <x:v>2006</x:v>
      </x:c>
      <x:c r="E178" s="7" t="s">
        <x:v>2364</x:v>
      </x:c>
      <x:c r="F178" s="7" t="s">
        <x:v>1929</x:v>
      </x:c>
      <x:c r="G178" s="8" t="n">
        <x:v>18</x:v>
      </x:c>
      <x:c r="H178" s="8" t="n">
        <x:v>4</x:v>
      </x:c>
      <x:c r="I178" s="8" t="s">
        <x:v>58</x:v>
      </x:c>
      <x:c r="J178" s="7" t="s">
        <x:v>1919</x:v>
      </x:c>
      <x:c r="K178" s="8" t="n">
        <x:v>1</x:v>
      </x:c>
      <x:c r="L178" s="8" t="n">
        <x:f aca="0">IF(AND(ISNUMBER(G178),P178&lt;&gt;"Unresolved unit / layout"),G178*K178,"Not applicable")</x:f>
        <x:v>18</x:v>
      </x:c>
      <x:c r="M178" s="8" t="n">
        <x:f aca="0">IF(AND(ISNUMBER(H178),P178&lt;&gt;"Unresolved unit / layout"),H178*K178,"Not applicable")</x:f>
        <x:v>4</x:v>
      </x:c>
      <x:c r="N178" s="8" t="str">
        <x:f aca="0">IF(AND(ISNUMBER(I178),P178&lt;&gt;"Unresolved unit / layout"),I178*K178,"Not applicable")</x:f>
        <x:v>Not applicable</x:v>
      </x:c>
      <x:c r="O178" s="7" t="s">
        <x:v>1929</x:v>
      </x:c>
      <x:c r="P178" s="7" t="s">
        <x:v>1921</x:v>
      </x:c>
      <x:c r="Q178" s="7" t="s">
        <x:v>2064</x:v>
      </x:c>
      <x:c r="R178" s="7" t="s">
        <x:v>2003</x:v>
      </x:c>
      <x:c r="S178" s="7" t="s">
        <x:v>2077</x:v>
      </x:c>
      <x:c r="T178" s="7" t="s">
        <x:v>2078</x:v>
      </x:c>
      <x:c r="U178" s="7" t="s">
        <x:v>53</x:v>
      </x:c>
      <x:c r="V178" s="7" t="s">
        <x:v>1999</x:v>
      </x:c>
      <x:c r="W178" s="7" t="s">
        <x:v>58</x:v>
      </x:c>
      <x:c r="X178" s="7" t="s">
        <x:v>2346</x:v>
      </x:c>
      <x:c r="Y178" s="7" t="s">
        <x:v>1164</x:v>
      </x:c>
      <x:c r="Z178" s="7" t="s">
        <x:v>2114</x:v>
      </x:c>
      <x:c r="AA178" s="7" t="s">
        <x:v>58</x:v>
      </x:c>
      <x:c r="AB178" s="8" t="s">
        <x:v>58</x:v>
      </x:c>
      <x:c r="AC178" s="8" t="s">
        <x:v>58</x:v>
      </x:c>
      <x:c r="AD178" s="8" t="s">
        <x:v>58</x:v>
      </x:c>
      <x:c r="AE178" s="8" t="s">
        <x:v>58</x:v>
      </x:c>
      <x:c r="AF178" s="8" t="s">
        <x:v>58</x:v>
      </x:c>
      <x:c r="AG178" s="7" t="s">
        <x:v>58</x:v>
      </x:c>
    </x:row>
    <x:row r="179" ht="79.5" hidden="0" customHeight="1">
      <x:c r="A179" s="7" t="s">
        <x:v>2365</x:v>
      </x:c>
      <x:c r="B179" s="7" t="s">
        <x:v>158</x:v>
      </x:c>
      <x:c r="C179" s="7" t="s">
        <x:v>160</x:v>
      </x:c>
      <x:c r="D179" s="7" t="s">
        <x:v>1940</x:v>
      </x:c>
      <x:c r="E179" s="7" t="s">
        <x:v>2366</x:v>
      </x:c>
      <x:c r="F179" s="7" t="s">
        <x:v>1942</x:v>
      </x:c>
      <x:c r="G179" s="8" t="n">
        <x:v>3.5</x:v>
      </x:c>
      <x:c r="H179" s="8" t="n">
        <x:v>0.6</x:v>
      </x:c>
      <x:c r="I179" s="8" t="s">
        <x:v>58</x:v>
      </x:c>
      <x:c r="J179" s="7" t="s">
        <x:v>1919</x:v>
      </x:c>
      <x:c r="K179" s="8" t="n">
        <x:v>1</x:v>
      </x:c>
      <x:c r="L179" s="8" t="n">
        <x:f aca="0">IF(AND(ISNUMBER(G179),P179&lt;&gt;"Unresolved unit / layout"),G179*K179,"Not applicable")</x:f>
        <x:v>3.5</x:v>
      </x:c>
      <x:c r="M179" s="8" t="n">
        <x:f aca="0">IF(AND(ISNUMBER(H179),P179&lt;&gt;"Unresolved unit / layout"),H179*K179,"Not applicable")</x:f>
        <x:v>0.6</x:v>
      </x:c>
      <x:c r="N179" s="8" t="str">
        <x:f aca="0">IF(AND(ISNUMBER(I179),P179&lt;&gt;"Unresolved unit / layout"),I179*K179,"Not applicable")</x:f>
        <x:v>Not applicable</x:v>
      </x:c>
      <x:c r="O179" s="7" t="s">
        <x:v>1942</x:v>
      </x:c>
      <x:c r="P179" s="7" t="s">
        <x:v>1921</x:v>
      </x:c>
      <x:c r="Q179" s="7" t="s">
        <x:v>2064</x:v>
      </x:c>
      <x:c r="R179" s="7" t="s">
        <x:v>1931</x:v>
      </x:c>
      <x:c r="S179" s="7" t="s">
        <x:v>2077</x:v>
      </x:c>
      <x:c r="T179" s="7" t="s">
        <x:v>2078</x:v>
      </x:c>
      <x:c r="U179" s="7" t="s">
        <x:v>53</x:v>
      </x:c>
      <x:c r="V179" s="7" t="s">
        <x:v>1999</x:v>
      </x:c>
      <x:c r="W179" s="7" t="s">
        <x:v>58</x:v>
      </x:c>
      <x:c r="X179" s="7" t="s">
        <x:v>2346</x:v>
      </x:c>
      <x:c r="Y179" s="7" t="s">
        <x:v>1164</x:v>
      </x:c>
      <x:c r="Z179" s="7" t="s">
        <x:v>2117</x:v>
      </x:c>
      <x:c r="AA179" s="7" t="s">
        <x:v>58</x:v>
      </x:c>
      <x:c r="AB179" s="8" t="s">
        <x:v>58</x:v>
      </x:c>
      <x:c r="AC179" s="8" t="s">
        <x:v>58</x:v>
      </x:c>
      <x:c r="AD179" s="8" t="s">
        <x:v>58</x:v>
      </x:c>
      <x:c r="AE179" s="8" t="s">
        <x:v>58</x:v>
      </x:c>
      <x:c r="AF179" s="8" t="s">
        <x:v>58</x:v>
      </x:c>
      <x:c r="AG179" s="7" t="s">
        <x:v>58</x:v>
      </x:c>
    </x:row>
    <x:row r="180" ht="79.5" hidden="0" customHeight="1">
      <x:c r="A180" s="7" t="s">
        <x:v>2367</x:v>
      </x:c>
      <x:c r="B180" s="7" t="s">
        <x:v>158</x:v>
      </x:c>
      <x:c r="C180" s="7" t="s">
        <x:v>160</x:v>
      </x:c>
      <x:c r="D180" s="7" t="s">
        <x:v>1940</x:v>
      </x:c>
      <x:c r="E180" s="7" t="s">
        <x:v>2368</x:v>
      </x:c>
      <x:c r="F180" s="7" t="s">
        <x:v>1942</x:v>
      </x:c>
      <x:c r="G180" s="8" t="n">
        <x:v>1.7</x:v>
      </x:c>
      <x:c r="H180" s="8" t="n">
        <x:v>0.2</x:v>
      </x:c>
      <x:c r="I180" s="8" t="s">
        <x:v>58</x:v>
      </x:c>
      <x:c r="J180" s="7" t="s">
        <x:v>1919</x:v>
      </x:c>
      <x:c r="K180" s="8" t="n">
        <x:v>1</x:v>
      </x:c>
      <x:c r="L180" s="8" t="n">
        <x:f aca="0">IF(AND(ISNUMBER(G180),P180&lt;&gt;"Unresolved unit / layout"),G180*K180,"Not applicable")</x:f>
        <x:v>1.7</x:v>
      </x:c>
      <x:c r="M180" s="8" t="n">
        <x:f aca="0">IF(AND(ISNUMBER(H180),P180&lt;&gt;"Unresolved unit / layout"),H180*K180,"Not applicable")</x:f>
        <x:v>0.2</x:v>
      </x:c>
      <x:c r="N180" s="8" t="str">
        <x:f aca="0">IF(AND(ISNUMBER(I180),P180&lt;&gt;"Unresolved unit / layout"),I180*K180,"Not applicable")</x:f>
        <x:v>Not applicable</x:v>
      </x:c>
      <x:c r="O180" s="7" t="s">
        <x:v>1942</x:v>
      </x:c>
      <x:c r="P180" s="7" t="s">
        <x:v>1921</x:v>
      </x:c>
      <x:c r="Q180" s="7" t="s">
        <x:v>2064</x:v>
      </x:c>
      <x:c r="R180" s="7" t="s">
        <x:v>2003</x:v>
      </x:c>
      <x:c r="S180" s="7" t="s">
        <x:v>2077</x:v>
      </x:c>
      <x:c r="T180" s="7" t="s">
        <x:v>2078</x:v>
      </x:c>
      <x:c r="U180" s="7" t="s">
        <x:v>53</x:v>
      </x:c>
      <x:c r="V180" s="7" t="s">
        <x:v>1999</x:v>
      </x:c>
      <x:c r="W180" s="7" t="s">
        <x:v>58</x:v>
      </x:c>
      <x:c r="X180" s="7" t="s">
        <x:v>2346</x:v>
      </x:c>
      <x:c r="Y180" s="7" t="s">
        <x:v>1164</x:v>
      </x:c>
      <x:c r="Z180" s="7" t="s">
        <x:v>2120</x:v>
      </x:c>
      <x:c r="AA180" s="7" t="s">
        <x:v>58</x:v>
      </x:c>
      <x:c r="AB180" s="8" t="s">
        <x:v>58</x:v>
      </x:c>
      <x:c r="AC180" s="8" t="s">
        <x:v>58</x:v>
      </x:c>
      <x:c r="AD180" s="8" t="s">
        <x:v>58</x:v>
      </x:c>
      <x:c r="AE180" s="8" t="s">
        <x:v>58</x:v>
      </x:c>
      <x:c r="AF180" s="8" t="s">
        <x:v>58</x:v>
      </x:c>
      <x:c r="AG180" s="7" t="s">
        <x:v>58</x:v>
      </x:c>
    </x:row>
    <x:row r="181" ht="79.5" hidden="0" customHeight="1">
      <x:c r="A181" s="7" t="s">
        <x:v>2369</x:v>
      </x:c>
      <x:c r="B181" s="7" t="s">
        <x:v>158</x:v>
      </x:c>
      <x:c r="C181" s="7" t="s">
        <x:v>160</x:v>
      </x:c>
      <x:c r="D181" s="7" t="s">
        <x:v>1950</x:v>
      </x:c>
      <x:c r="E181" s="7" t="s">
        <x:v>2125</x:v>
      </x:c>
      <x:c r="F181" s="7" t="s">
        <x:v>1929</x:v>
      </x:c>
      <x:c r="G181" s="8" t="n">
        <x:v>2370</x:v>
      </x:c>
      <x:c r="H181" s="8" t="n">
        <x:v>150</x:v>
      </x:c>
      <x:c r="I181" s="8" t="s">
        <x:v>58</x:v>
      </x:c>
      <x:c r="J181" s="7" t="s">
        <x:v>1919</x:v>
      </x:c>
      <x:c r="K181" s="8" t="n">
        <x:v>0.001</x:v>
      </x:c>
      <x:c r="L181" s="8" t="n">
        <x:f aca="0">IF(AND(ISNUMBER(G181),P181&lt;&gt;"Unresolved unit / layout"),G181*K181,"Not applicable")</x:f>
        <x:v>2.37</x:v>
      </x:c>
      <x:c r="M181" s="8" t="n">
        <x:f aca="0">IF(AND(ISNUMBER(H181),P181&lt;&gt;"Unresolved unit / layout"),H181*K181,"Not applicable")</x:f>
        <x:v>0.15</x:v>
      </x:c>
      <x:c r="N181" s="8" t="str">
        <x:f aca="0">IF(AND(ISNUMBER(I181),P181&lt;&gt;"Unresolved unit / layout"),I181*K181,"Not applicable")</x:f>
        <x:v>Not applicable</x:v>
      </x:c>
      <x:c r="O181" s="7" t="s">
        <x:v>1937</x:v>
      </x:c>
      <x:c r="P181" s="7" t="s">
        <x:v>1921</x:v>
      </x:c>
      <x:c r="Q181" s="7" t="s">
        <x:v>2064</x:v>
      </x:c>
      <x:c r="R181" s="7" t="s">
        <x:v>1931</x:v>
      </x:c>
      <x:c r="S181" s="7" t="s">
        <x:v>2077</x:v>
      </x:c>
      <x:c r="T181" s="7" t="s">
        <x:v>2078</x:v>
      </x:c>
      <x:c r="U181" s="7" t="s">
        <x:v>53</x:v>
      </x:c>
      <x:c r="V181" s="7" t="s">
        <x:v>2020</x:v>
      </x:c>
      <x:c r="W181" s="7" t="s">
        <x:v>58</x:v>
      </x:c>
      <x:c r="X181" s="7" t="s">
        <x:v>2346</x:v>
      </x:c>
      <x:c r="Y181" s="7" t="s">
        <x:v>1164</x:v>
      </x:c>
      <x:c r="Z181" s="7" t="s">
        <x:v>2123</x:v>
      </x:c>
      <x:c r="AA181" s="7" t="s">
        <x:v>58</x:v>
      </x:c>
      <x:c r="AB181" s="8" t="s">
        <x:v>58</x:v>
      </x:c>
      <x:c r="AC181" s="8" t="s">
        <x:v>58</x:v>
      </x:c>
      <x:c r="AD181" s="8" t="s">
        <x:v>58</x:v>
      </x:c>
      <x:c r="AE181" s="8" t="s">
        <x:v>58</x:v>
      </x:c>
      <x:c r="AF181" s="8" t="s">
        <x:v>58</x:v>
      </x:c>
      <x:c r="AG181" s="7" t="s">
        <x:v>58</x:v>
      </x:c>
    </x:row>
    <x:row r="182" ht="79.5" hidden="0" customHeight="1">
      <x:c r="A182" s="7" t="s">
        <x:v>2370</x:v>
      </x:c>
      <x:c r="B182" s="7" t="s">
        <x:v>158</x:v>
      </x:c>
      <x:c r="C182" s="7" t="s">
        <x:v>160</x:v>
      </x:c>
      <x:c r="D182" s="7" t="s">
        <x:v>1950</x:v>
      </x:c>
      <x:c r="E182" s="7" t="s">
        <x:v>2371</x:v>
      </x:c>
      <x:c r="F182" s="7" t="s">
        <x:v>1929</x:v>
      </x:c>
      <x:c r="G182" s="8" t="n">
        <x:v>1840</x:v>
      </x:c>
      <x:c r="H182" s="8" t="n">
        <x:v>160</x:v>
      </x:c>
      <x:c r="I182" s="8" t="s">
        <x:v>58</x:v>
      </x:c>
      <x:c r="J182" s="7" t="s">
        <x:v>1919</x:v>
      </x:c>
      <x:c r="K182" s="8" t="n">
        <x:v>0.001</x:v>
      </x:c>
      <x:c r="L182" s="8" t="n">
        <x:f aca="0">IF(AND(ISNUMBER(G182),P182&lt;&gt;"Unresolved unit / layout"),G182*K182,"Not applicable")</x:f>
        <x:v>1.84</x:v>
      </x:c>
      <x:c r="M182" s="8" t="n">
        <x:f aca="0">IF(AND(ISNUMBER(H182),P182&lt;&gt;"Unresolved unit / layout"),H182*K182,"Not applicable")</x:f>
        <x:v>0.16</x:v>
      </x:c>
      <x:c r="N182" s="8" t="str">
        <x:f aca="0">IF(AND(ISNUMBER(I182),P182&lt;&gt;"Unresolved unit / layout"),I182*K182,"Not applicable")</x:f>
        <x:v>Not applicable</x:v>
      </x:c>
      <x:c r="O182" s="7" t="s">
        <x:v>1937</x:v>
      </x:c>
      <x:c r="P182" s="7" t="s">
        <x:v>1921</x:v>
      </x:c>
      <x:c r="Q182" s="7" t="s">
        <x:v>2064</x:v>
      </x:c>
      <x:c r="R182" s="7" t="s">
        <x:v>2003</x:v>
      </x:c>
      <x:c r="S182" s="7" t="s">
        <x:v>2077</x:v>
      </x:c>
      <x:c r="T182" s="7" t="s">
        <x:v>2078</x:v>
      </x:c>
      <x:c r="U182" s="7" t="s">
        <x:v>53</x:v>
      </x:c>
      <x:c r="V182" s="7" t="s">
        <x:v>2020</x:v>
      </x:c>
      <x:c r="W182" s="7" t="s">
        <x:v>58</x:v>
      </x:c>
      <x:c r="X182" s="7" t="s">
        <x:v>2346</x:v>
      </x:c>
      <x:c r="Y182" s="7" t="s">
        <x:v>1164</x:v>
      </x:c>
      <x:c r="Z182" s="7" t="s">
        <x:v>2210</x:v>
      </x:c>
      <x:c r="AA182" s="7" t="s">
        <x:v>58</x:v>
      </x:c>
      <x:c r="AB182" s="8" t="s">
        <x:v>58</x:v>
      </x:c>
      <x:c r="AC182" s="8" t="s">
        <x:v>58</x:v>
      </x:c>
      <x:c r="AD182" s="8" t="s">
        <x:v>58</x:v>
      </x:c>
      <x:c r="AE182" s="8" t="s">
        <x:v>58</x:v>
      </x:c>
      <x:c r="AF182" s="8" t="s">
        <x:v>58</x:v>
      </x:c>
      <x:c r="AG182" s="7" t="s">
        <x:v>58</x:v>
      </x:c>
    </x:row>
    <x:row r="183" ht="79.5" hidden="0" customHeight="1">
      <x:c r="A183" s="7" t="s">
        <x:v>2372</x:v>
      </x:c>
      <x:c r="B183" s="7" t="s">
        <x:v>158</x:v>
      </x:c>
      <x:c r="C183" s="7" t="s">
        <x:v>160</x:v>
      </x:c>
      <x:c r="D183" s="7" t="s">
        <x:v>1945</x:v>
      </x:c>
      <x:c r="E183" s="7" t="s">
        <x:v>2373</x:v>
      </x:c>
      <x:c r="F183" s="7" t="s">
        <x:v>1929</x:v>
      </x:c>
      <x:c r="G183" s="8" t="n">
        <x:v>66</x:v>
      </x:c>
      <x:c r="H183" s="8" t="n">
        <x:v>4</x:v>
      </x:c>
      <x:c r="I183" s="8" t="s">
        <x:v>58</x:v>
      </x:c>
      <x:c r="J183" s="7" t="s">
        <x:v>1919</x:v>
      </x:c>
      <x:c r="K183" s="8" t="n">
        <x:v>1</x:v>
      </x:c>
      <x:c r="L183" s="8" t="n">
        <x:f aca="0">IF(AND(ISNUMBER(G183),P183&lt;&gt;"Unresolved unit / layout"),G183*K183,"Not applicable")</x:f>
        <x:v>66</x:v>
      </x:c>
      <x:c r="M183" s="8" t="n">
        <x:f aca="0">IF(AND(ISNUMBER(H183),P183&lt;&gt;"Unresolved unit / layout"),H183*K183,"Not applicable")</x:f>
        <x:v>4</x:v>
      </x:c>
      <x:c r="N183" s="8" t="str">
        <x:f aca="0">IF(AND(ISNUMBER(I183),P183&lt;&gt;"Unresolved unit / layout"),I183*K183,"Not applicable")</x:f>
        <x:v>Not applicable</x:v>
      </x:c>
      <x:c r="O183" s="7" t="s">
        <x:v>1929</x:v>
      </x:c>
      <x:c r="P183" s="7" t="s">
        <x:v>1921</x:v>
      </x:c>
      <x:c r="Q183" s="7" t="s">
        <x:v>2064</x:v>
      </x:c>
      <x:c r="R183" s="7" t="s">
        <x:v>1931</x:v>
      </x:c>
      <x:c r="S183" s="7" t="s">
        <x:v>2077</x:v>
      </x:c>
      <x:c r="T183" s="7" t="s">
        <x:v>2078</x:v>
      </x:c>
      <x:c r="U183" s="7" t="s">
        <x:v>53</x:v>
      </x:c>
      <x:c r="V183" s="7" t="s">
        <x:v>2020</x:v>
      </x:c>
      <x:c r="W183" s="7" t="s">
        <x:v>58</x:v>
      </x:c>
      <x:c r="X183" s="7" t="s">
        <x:v>2346</x:v>
      </x:c>
      <x:c r="Y183" s="7" t="s">
        <x:v>1164</x:v>
      </x:c>
      <x:c r="Z183" s="7" t="s">
        <x:v>2213</x:v>
      </x:c>
      <x:c r="AA183" s="7" t="s">
        <x:v>58</x:v>
      </x:c>
      <x:c r="AB183" s="8" t="s">
        <x:v>58</x:v>
      </x:c>
      <x:c r="AC183" s="8" t="s">
        <x:v>58</x:v>
      </x:c>
      <x:c r="AD183" s="8" t="s">
        <x:v>58</x:v>
      </x:c>
      <x:c r="AE183" s="8" t="s">
        <x:v>58</x:v>
      </x:c>
      <x:c r="AF183" s="8" t="s">
        <x:v>58</x:v>
      </x:c>
      <x:c r="AG183" s="7" t="s">
        <x:v>58</x:v>
      </x:c>
    </x:row>
    <x:row r="184" ht="79.5" hidden="0" customHeight="1">
      <x:c r="A184" s="7" t="s">
        <x:v>2374</x:v>
      </x:c>
      <x:c r="B184" s="7" t="s">
        <x:v>158</x:v>
      </x:c>
      <x:c r="C184" s="7" t="s">
        <x:v>160</x:v>
      </x:c>
      <x:c r="D184" s="7" t="s">
        <x:v>1945</x:v>
      </x:c>
      <x:c r="E184" s="7" t="s">
        <x:v>2375</x:v>
      </x:c>
      <x:c r="F184" s="7" t="s">
        <x:v>1929</x:v>
      </x:c>
      <x:c r="G184" s="8" t="n">
        <x:v>21</x:v>
      </x:c>
      <x:c r="H184" s="8" t="n">
        <x:v>5</x:v>
      </x:c>
      <x:c r="I184" s="8" t="s">
        <x:v>58</x:v>
      </x:c>
      <x:c r="J184" s="7" t="s">
        <x:v>1919</x:v>
      </x:c>
      <x:c r="K184" s="8" t="n">
        <x:v>1</x:v>
      </x:c>
      <x:c r="L184" s="8" t="n">
        <x:f aca="0">IF(AND(ISNUMBER(G184),P184&lt;&gt;"Unresolved unit / layout"),G184*K184,"Not applicable")</x:f>
        <x:v>21</x:v>
      </x:c>
      <x:c r="M184" s="8" t="n">
        <x:f aca="0">IF(AND(ISNUMBER(H184),P184&lt;&gt;"Unresolved unit / layout"),H184*K184,"Not applicable")</x:f>
        <x:v>5</x:v>
      </x:c>
      <x:c r="N184" s="8" t="str">
        <x:f aca="0">IF(AND(ISNUMBER(I184),P184&lt;&gt;"Unresolved unit / layout"),I184*K184,"Not applicable")</x:f>
        <x:v>Not applicable</x:v>
      </x:c>
      <x:c r="O184" s="7" t="s">
        <x:v>1929</x:v>
      </x:c>
      <x:c r="P184" s="7" t="s">
        <x:v>1921</x:v>
      </x:c>
      <x:c r="Q184" s="7" t="s">
        <x:v>2064</x:v>
      </x:c>
      <x:c r="R184" s="7" t="s">
        <x:v>2003</x:v>
      </x:c>
      <x:c r="S184" s="7" t="s">
        <x:v>2077</x:v>
      </x:c>
      <x:c r="T184" s="7" t="s">
        <x:v>2078</x:v>
      </x:c>
      <x:c r="U184" s="7" t="s">
        <x:v>53</x:v>
      </x:c>
      <x:c r="V184" s="7" t="s">
        <x:v>2020</x:v>
      </x:c>
      <x:c r="W184" s="7" t="s">
        <x:v>58</x:v>
      </x:c>
      <x:c r="X184" s="7" t="s">
        <x:v>2346</x:v>
      </x:c>
      <x:c r="Y184" s="7" t="s">
        <x:v>1164</x:v>
      </x:c>
      <x:c r="Z184" s="7" t="s">
        <x:v>2216</x:v>
      </x:c>
      <x:c r="AA184" s="7" t="s">
        <x:v>58</x:v>
      </x:c>
      <x:c r="AB184" s="8" t="s">
        <x:v>58</x:v>
      </x:c>
      <x:c r="AC184" s="8" t="s">
        <x:v>58</x:v>
      </x:c>
      <x:c r="AD184" s="8" t="s">
        <x:v>58</x:v>
      </x:c>
      <x:c r="AE184" s="8" t="s">
        <x:v>58</x:v>
      </x:c>
      <x:c r="AF184" s="8" t="s">
        <x:v>58</x:v>
      </x:c>
      <x:c r="AG184" s="7" t="s">
        <x:v>58</x:v>
      </x:c>
    </x:row>
    <x:row r="185" ht="79.5" hidden="0" customHeight="1">
      <x:c r="A185" s="7" t="s">
        <x:v>2376</x:v>
      </x:c>
      <x:c r="B185" s="7" t="s">
        <x:v>158</x:v>
      </x:c>
      <x:c r="C185" s="7" t="s">
        <x:v>160</x:v>
      </x:c>
      <x:c r="D185" s="7" t="s">
        <x:v>2030</x:v>
      </x:c>
      <x:c r="E185" s="7" t="s">
        <x:v>2377</x:v>
      </x:c>
      <x:c r="F185" s="7" t="s">
        <x:v>2033</x:v>
      </x:c>
      <x:c r="G185" s="8" t="n">
        <x:v>24.5</x:v>
      </x:c>
      <x:c r="H185" s="8" t="n">
        <x:v>1.7</x:v>
      </x:c>
      <x:c r="I185" s="8" t="s">
        <x:v>58</x:v>
      </x:c>
      <x:c r="J185" s="7" t="s">
        <x:v>1919</x:v>
      </x:c>
      <x:c r="K185" s="8" t="n">
        <x:v>1</x:v>
      </x:c>
      <x:c r="L185" s="8" t="n">
        <x:f aca="0">IF(AND(ISNUMBER(G185),P185&lt;&gt;"Unresolved unit / layout"),G185*K185,"Not applicable")</x:f>
        <x:v>24.5</x:v>
      </x:c>
      <x:c r="M185" s="8" t="n">
        <x:f aca="0">IF(AND(ISNUMBER(H185),P185&lt;&gt;"Unresolved unit / layout"),H185*K185,"Not applicable")</x:f>
        <x:v>1.7</x:v>
      </x:c>
      <x:c r="N185" s="8" t="str">
        <x:f aca="0">IF(AND(ISNUMBER(I185),P185&lt;&gt;"Unresolved unit / layout"),I185*K185,"Not applicable")</x:f>
        <x:v>Not applicable</x:v>
      </x:c>
      <x:c r="O185" s="7" t="s">
        <x:v>2033</x:v>
      </x:c>
      <x:c r="P185" s="7" t="s">
        <x:v>1921</x:v>
      </x:c>
      <x:c r="Q185" s="7" t="s">
        <x:v>2064</x:v>
      </x:c>
      <x:c r="R185" s="7" t="s">
        <x:v>1931</x:v>
      </x:c>
      <x:c r="S185" s="7" t="s">
        <x:v>2077</x:v>
      </x:c>
      <x:c r="T185" s="7" t="s">
        <x:v>2078</x:v>
      </x:c>
      <x:c r="U185" s="7" t="s">
        <x:v>53</x:v>
      </x:c>
      <x:c r="V185" s="7" t="s">
        <x:v>2036</x:v>
      </x:c>
      <x:c r="W185" s="7" t="s">
        <x:v>53</x:v>
      </x:c>
      <x:c r="X185" s="7" t="s">
        <x:v>2346</x:v>
      </x:c>
      <x:c r="Y185" s="7" t="s">
        <x:v>1164</x:v>
      </x:c>
      <x:c r="Z185" s="7" t="s">
        <x:v>2378</x:v>
      </x:c>
      <x:c r="AA185" s="7" t="s">
        <x:v>58</x:v>
      </x:c>
      <x:c r="AB185" s="8" t="s">
        <x:v>58</x:v>
      </x:c>
      <x:c r="AC185" s="8" t="s">
        <x:v>58</x:v>
      </x:c>
      <x:c r="AD185" s="8" t="s">
        <x:v>58</x:v>
      </x:c>
      <x:c r="AE185" s="8" t="s">
        <x:v>58</x:v>
      </x:c>
      <x:c r="AF185" s="8" t="s">
        <x:v>58</x:v>
      </x:c>
      <x:c r="AG185" s="7" t="s">
        <x:v>58</x:v>
      </x:c>
    </x:row>
    <x:row r="186" ht="79.5" hidden="0" customHeight="1">
      <x:c r="A186" s="7" t="s">
        <x:v>2379</x:v>
      </x:c>
      <x:c r="B186" s="7" t="s">
        <x:v>158</x:v>
      </x:c>
      <x:c r="C186" s="7" t="s">
        <x:v>160</x:v>
      </x:c>
      <x:c r="D186" s="7" t="s">
        <x:v>2030</x:v>
      </x:c>
      <x:c r="E186" s="7" t="s">
        <x:v>2380</x:v>
      </x:c>
      <x:c r="F186" s="7" t="s">
        <x:v>2033</x:v>
      </x:c>
      <x:c r="G186" s="8" t="n">
        <x:v>4.6</x:v>
      </x:c>
      <x:c r="H186" s="8" t="n">
        <x:v>1.1</x:v>
      </x:c>
      <x:c r="I186" s="8" t="s">
        <x:v>58</x:v>
      </x:c>
      <x:c r="J186" s="7" t="s">
        <x:v>1919</x:v>
      </x:c>
      <x:c r="K186" s="8" t="n">
        <x:v>1</x:v>
      </x:c>
      <x:c r="L186" s="8" t="n">
        <x:f aca="0">IF(AND(ISNUMBER(G186),P186&lt;&gt;"Unresolved unit / layout"),G186*K186,"Not applicable")</x:f>
        <x:v>4.6</x:v>
      </x:c>
      <x:c r="M186" s="8" t="n">
        <x:f aca="0">IF(AND(ISNUMBER(H186),P186&lt;&gt;"Unresolved unit / layout"),H186*K186,"Not applicable")</x:f>
        <x:v>1.1</x:v>
      </x:c>
      <x:c r="N186" s="8" t="str">
        <x:f aca="0">IF(AND(ISNUMBER(I186),P186&lt;&gt;"Unresolved unit / layout"),I186*K186,"Not applicable")</x:f>
        <x:v>Not applicable</x:v>
      </x:c>
      <x:c r="O186" s="7" t="s">
        <x:v>2033</x:v>
      </x:c>
      <x:c r="P186" s="7" t="s">
        <x:v>1921</x:v>
      </x:c>
      <x:c r="Q186" s="7" t="s">
        <x:v>2064</x:v>
      </x:c>
      <x:c r="R186" s="7" t="s">
        <x:v>2003</x:v>
      </x:c>
      <x:c r="S186" s="7" t="s">
        <x:v>2077</x:v>
      </x:c>
      <x:c r="T186" s="7" t="s">
        <x:v>2078</x:v>
      </x:c>
      <x:c r="U186" s="7" t="s">
        <x:v>53</x:v>
      </x:c>
      <x:c r="V186" s="7" t="s">
        <x:v>2343</x:v>
      </x:c>
      <x:c r="W186" s="7" t="s">
        <x:v>53</x:v>
      </x:c>
      <x:c r="X186" s="7" t="s">
        <x:v>2346</x:v>
      </x:c>
      <x:c r="Y186" s="7" t="s">
        <x:v>1164</x:v>
      </x:c>
      <x:c r="Z186" s="7" t="s">
        <x:v>2225</x:v>
      </x:c>
      <x:c r="AA186" s="7" t="s">
        <x:v>58</x:v>
      </x:c>
      <x:c r="AB186" s="8" t="s">
        <x:v>58</x:v>
      </x:c>
      <x:c r="AC186" s="8" t="s">
        <x:v>58</x:v>
      </x:c>
      <x:c r="AD186" s="8" t="s">
        <x:v>58</x:v>
      </x:c>
      <x:c r="AE186" s="8" t="s">
        <x:v>58</x:v>
      </x:c>
      <x:c r="AF186" s="8" t="s">
        <x:v>58</x:v>
      </x:c>
      <x:c r="AG186" s="7" t="s">
        <x:v>58</x:v>
      </x:c>
    </x:row>
    <x:row r="187" ht="79.5" hidden="0" customHeight="1">
      <x:c r="A187" s="7" t="s">
        <x:v>2381</x:v>
      </x:c>
      <x:c r="B187" s="7" t="s">
        <x:v>171</x:v>
      </x:c>
      <x:c r="C187" s="7" t="s">
        <x:v>173</x:v>
      </x:c>
      <x:c r="D187" s="7" t="s">
        <x:v>1916</x:v>
      </x:c>
      <x:c r="E187" s="7" t="s">
        <x:v>2382</x:v>
      </x:c>
      <x:c r="F187" s="7" t="s">
        <x:v>2076</x:v>
      </x:c>
      <x:c r="G187" s="8" t="n">
        <x:v>1.25</x:v>
      </x:c>
      <x:c r="H187" s="8" t="s">
        <x:v>58</x:v>
      </x:c>
      <x:c r="I187" s="8" t="s">
        <x:v>58</x:v>
      </x:c>
      <x:c r="J187" s="7" t="s">
        <x:v>1919</x:v>
      </x:c>
      <x:c r="K187" s="8" t="n">
        <x:v>1000</x:v>
      </x:c>
      <x:c r="L187" s="8" t="n">
        <x:f aca="0">IF(AND(ISNUMBER(G187),P187&lt;&gt;"Unresolved unit / layout"),G187*K187,"Not applicable")</x:f>
        <x:v>1250</x:v>
      </x:c>
      <x:c r="M187" s="8" t="str">
        <x:f aca="0">IF(AND(ISNUMBER(H187),P187&lt;&gt;"Unresolved unit / layout"),H187*K187,"Not applicable")</x:f>
        <x:v>Not applicable</x:v>
      </x:c>
      <x:c r="N187" s="8" t="str">
        <x:f aca="0">IF(AND(ISNUMBER(I187),P187&lt;&gt;"Unresolved unit / layout"),I187*K187,"Not applicable")</x:f>
        <x:v>Not applicable</x:v>
      </x:c>
      <x:c r="O187" s="7" t="s">
        <x:v>1920</x:v>
      </x:c>
      <x:c r="P187" s="7" t="s">
        <x:v>1921</x:v>
      </x:c>
      <x:c r="Q187" s="7" t="s">
        <x:v>1922</x:v>
      </x:c>
      <x:c r="R187" s="7" t="s">
        <x:v>58</x:v>
      </x:c>
      <x:c r="S187" s="7" t="s">
        <x:v>2077</x:v>
      </x:c>
      <x:c r="T187" s="7" t="s">
        <x:v>2078</x:v>
      </x:c>
      <x:c r="U187" s="7" t="s">
        <x:v>53</x:v>
      </x:c>
      <x:c r="V187" s="7" t="s">
        <x:v>1923</x:v>
      </x:c>
      <x:c r="W187" s="7" t="s">
        <x:v>58</x:v>
      </x:c>
      <x:c r="X187" s="7" t="s">
        <x:v>2383</x:v>
      </x:c>
      <x:c r="Y187" s="7" t="s">
        <x:v>1165</x:v>
      </x:c>
      <x:c r="Z187" s="7" t="s">
        <x:v>1968</x:v>
      </x:c>
      <x:c r="AA187" s="7" t="s">
        <x:v>58</x:v>
      </x:c>
      <x:c r="AB187" s="8" t="s">
        <x:v>58</x:v>
      </x:c>
      <x:c r="AC187" s="8" t="s">
        <x:v>58</x:v>
      </x:c>
      <x:c r="AD187" s="8" t="s">
        <x:v>58</x:v>
      </x:c>
      <x:c r="AE187" s="8" t="s">
        <x:v>58</x:v>
      </x:c>
      <x:c r="AF187" s="8" t="s">
        <x:v>58</x:v>
      </x:c>
      <x:c r="AG187" s="7" t="s">
        <x:v>58</x:v>
      </x:c>
    </x:row>
    <x:row r="188" ht="79.5" hidden="0" customHeight="1">
      <x:c r="A188" s="7" t="s">
        <x:v>2384</x:v>
      </x:c>
      <x:c r="B188" s="7" t="s">
        <x:v>171</x:v>
      </x:c>
      <x:c r="C188" s="7" t="s">
        <x:v>173</x:v>
      </x:c>
      <x:c r="D188" s="7" t="s">
        <x:v>1974</x:v>
      </x:c>
      <x:c r="E188" s="7" t="s">
        <x:v>2081</x:v>
      </x:c>
      <x:c r="F188" s="7" t="s">
        <x:v>1956</x:v>
      </x:c>
      <x:c r="G188" s="8" t="n">
        <x:v>160</x:v>
      </x:c>
      <x:c r="H188" s="8" t="s">
        <x:v>58</x:v>
      </x:c>
      <x:c r="I188" s="8" t="s">
        <x:v>58</x:v>
      </x:c>
      <x:c r="J188" s="7" t="s">
        <x:v>1919</x:v>
      </x:c>
      <x:c r="K188" s="8" t="n">
        <x:v>1</x:v>
      </x:c>
      <x:c r="L188" s="8" t="n">
        <x:f aca="0">IF(AND(ISNUMBER(G188),P188&lt;&gt;"Unresolved unit / layout"),G188*K188,"Not applicable")</x:f>
        <x:v>160</x:v>
      </x:c>
      <x:c r="M188" s="8" t="str">
        <x:f aca="0">IF(AND(ISNUMBER(H188),P188&lt;&gt;"Unresolved unit / layout"),H188*K188,"Not applicable")</x:f>
        <x:v>Not applicable</x:v>
      </x:c>
      <x:c r="N188" s="8" t="str">
        <x:f aca="0">IF(AND(ISNUMBER(I188),P188&lt;&gt;"Unresolved unit / layout"),I188*K188,"Not applicable")</x:f>
        <x:v>Not applicable</x:v>
      </x:c>
      <x:c r="O188" s="7" t="s">
        <x:v>1956</x:v>
      </x:c>
      <x:c r="P188" s="7" t="s">
        <x:v>1921</x:v>
      </x:c>
      <x:c r="Q188" s="7" t="s">
        <x:v>1930</x:v>
      </x:c>
      <x:c r="R188" s="7" t="s">
        <x:v>58</x:v>
      </x:c>
      <x:c r="S188" s="7" t="s">
        <x:v>2077</x:v>
      </x:c>
      <x:c r="T188" s="7" t="s">
        <x:v>2078</x:v>
      </x:c>
      <x:c r="U188" s="7" t="s">
        <x:v>53</x:v>
      </x:c>
      <x:c r="V188" s="7" t="s">
        <x:v>2082</x:v>
      </x:c>
      <x:c r="W188" s="7" t="s">
        <x:v>58</x:v>
      </x:c>
      <x:c r="X188" s="7" t="s">
        <x:v>2383</x:v>
      </x:c>
      <x:c r="Y188" s="7" t="s">
        <x:v>1165</x:v>
      </x:c>
      <x:c r="Z188" s="7" t="s">
        <x:v>2083</x:v>
      </x:c>
      <x:c r="AA188" s="7" t="s">
        <x:v>58</x:v>
      </x:c>
      <x:c r="AB188" s="8" t="s">
        <x:v>58</x:v>
      </x:c>
      <x:c r="AC188" s="8" t="s">
        <x:v>58</x:v>
      </x:c>
      <x:c r="AD188" s="8" t="s">
        <x:v>58</x:v>
      </x:c>
      <x:c r="AE188" s="8" t="s">
        <x:v>58</x:v>
      </x:c>
      <x:c r="AF188" s="8" t="s">
        <x:v>58</x:v>
      </x:c>
      <x:c r="AG188" s="7" t="s">
        <x:v>58</x:v>
      </x:c>
    </x:row>
    <x:row r="189" ht="79.5" hidden="0" customHeight="1">
      <x:c r="A189" s="7" t="s">
        <x:v>2385</x:v>
      </x:c>
      <x:c r="B189" s="7" t="s">
        <x:v>171</x:v>
      </x:c>
      <x:c r="C189" s="7" t="s">
        <x:v>173</x:v>
      </x:c>
      <x:c r="D189" s="7" t="s">
        <x:v>1954</x:v>
      </x:c>
      <x:c r="E189" s="7" t="s">
        <x:v>2085</x:v>
      </x:c>
      <x:c r="F189" s="7" t="s">
        <x:v>1956</x:v>
      </x:c>
      <x:c r="G189" s="8" t="n">
        <x:v>60</x:v>
      </x:c>
      <x:c r="H189" s="8" t="s">
        <x:v>58</x:v>
      </x:c>
      <x:c r="I189" s="8" t="s">
        <x:v>58</x:v>
      </x:c>
      <x:c r="J189" s="7" t="s">
        <x:v>1919</x:v>
      </x:c>
      <x:c r="K189" s="8" t="n">
        <x:v>1</x:v>
      </x:c>
      <x:c r="L189" s="8" t="n">
        <x:f aca="0">IF(AND(ISNUMBER(G189),P189&lt;&gt;"Unresolved unit / layout"),G189*K189,"Not applicable")</x:f>
        <x:v>60</x:v>
      </x:c>
      <x:c r="M189" s="8" t="str">
        <x:f aca="0">IF(AND(ISNUMBER(H189),P189&lt;&gt;"Unresolved unit / layout"),H189*K189,"Not applicable")</x:f>
        <x:v>Not applicable</x:v>
      </x:c>
      <x:c r="N189" s="8" t="str">
        <x:f aca="0">IF(AND(ISNUMBER(I189),P189&lt;&gt;"Unresolved unit / layout"),I189*K189,"Not applicable")</x:f>
        <x:v>Not applicable</x:v>
      </x:c>
      <x:c r="O189" s="7" t="s">
        <x:v>1956</x:v>
      </x:c>
      <x:c r="P189" s="7" t="s">
        <x:v>1921</x:v>
      </x:c>
      <x:c r="Q189" s="7" t="s">
        <x:v>1930</x:v>
      </x:c>
      <x:c r="R189" s="7" t="s">
        <x:v>58</x:v>
      </x:c>
      <x:c r="S189" s="7" t="s">
        <x:v>2077</x:v>
      </x:c>
      <x:c r="T189" s="7" t="s">
        <x:v>2078</x:v>
      </x:c>
      <x:c r="U189" s="7" t="s">
        <x:v>53</x:v>
      </x:c>
      <x:c r="V189" s="7" t="s">
        <x:v>2082</x:v>
      </x:c>
      <x:c r="W189" s="7" t="s">
        <x:v>58</x:v>
      </x:c>
      <x:c r="X189" s="7" t="s">
        <x:v>2383</x:v>
      </x:c>
      <x:c r="Y189" s="7" t="s">
        <x:v>1165</x:v>
      </x:c>
      <x:c r="Z189" s="7" t="s">
        <x:v>2086</x:v>
      </x:c>
      <x:c r="AA189" s="7" t="s">
        <x:v>58</x:v>
      </x:c>
      <x:c r="AB189" s="8" t="s">
        <x:v>58</x:v>
      </x:c>
      <x:c r="AC189" s="8" t="s">
        <x:v>58</x:v>
      </x:c>
      <x:c r="AD189" s="8" t="s">
        <x:v>58</x:v>
      </x:c>
      <x:c r="AE189" s="8" t="s">
        <x:v>58</x:v>
      </x:c>
      <x:c r="AF189" s="8" t="s">
        <x:v>58</x:v>
      </x:c>
      <x:c r="AG189" s="7" t="s">
        <x:v>58</x:v>
      </x:c>
    </x:row>
    <x:row r="190" ht="79.5" hidden="0" customHeight="1">
      <x:c r="A190" s="7" t="s">
        <x:v>2386</x:v>
      </x:c>
      <x:c r="B190" s="7" t="s">
        <x:v>171</x:v>
      </x:c>
      <x:c r="C190" s="7" t="s">
        <x:v>173</x:v>
      </x:c>
      <x:c r="D190" s="7" t="s">
        <x:v>1982</x:v>
      </x:c>
      <x:c r="E190" s="7" t="s">
        <x:v>2233</x:v>
      </x:c>
      <x:c r="F190" s="7" t="s">
        <x:v>1956</x:v>
      </x:c>
      <x:c r="G190" s="8" t="n">
        <x:v>62</x:v>
      </x:c>
      <x:c r="H190" s="8" t="s">
        <x:v>58</x:v>
      </x:c>
      <x:c r="I190" s="8" t="s">
        <x:v>58</x:v>
      </x:c>
      <x:c r="J190" s="7" t="s">
        <x:v>1919</x:v>
      </x:c>
      <x:c r="K190" s="8" t="n">
        <x:v>1</x:v>
      </x:c>
      <x:c r="L190" s="8" t="n">
        <x:f aca="0">IF(AND(ISNUMBER(G190),P190&lt;&gt;"Unresolved unit / layout"),G190*K190,"Not applicable")</x:f>
        <x:v>62</x:v>
      </x:c>
      <x:c r="M190" s="8" t="str">
        <x:f aca="0">IF(AND(ISNUMBER(H190),P190&lt;&gt;"Unresolved unit / layout"),H190*K190,"Not applicable")</x:f>
        <x:v>Not applicable</x:v>
      </x:c>
      <x:c r="N190" s="8" t="str">
        <x:f aca="0">IF(AND(ISNUMBER(I190),P190&lt;&gt;"Unresolved unit / layout"),I190*K190,"Not applicable")</x:f>
        <x:v>Not applicable</x:v>
      </x:c>
      <x:c r="O190" s="7" t="s">
        <x:v>1956</x:v>
      </x:c>
      <x:c r="P190" s="7" t="s">
        <x:v>1921</x:v>
      </x:c>
      <x:c r="Q190" s="7" t="s">
        <x:v>1930</x:v>
      </x:c>
      <x:c r="R190" s="7" t="s">
        <x:v>58</x:v>
      </x:c>
      <x:c r="S190" s="7" t="s">
        <x:v>2077</x:v>
      </x:c>
      <x:c r="T190" s="7" t="s">
        <x:v>2078</x:v>
      </x:c>
      <x:c r="U190" s="7" t="s">
        <x:v>53</x:v>
      </x:c>
      <x:c r="V190" s="7" t="s">
        <x:v>1984</x:v>
      </x:c>
      <x:c r="W190" s="7" t="s">
        <x:v>58</x:v>
      </x:c>
      <x:c r="X190" s="7" t="s">
        <x:v>2383</x:v>
      </x:c>
      <x:c r="Y190" s="7" t="s">
        <x:v>1165</x:v>
      </x:c>
      <x:c r="Z190" s="7" t="s">
        <x:v>2092</x:v>
      </x:c>
      <x:c r="AA190" s="7" t="s">
        <x:v>58</x:v>
      </x:c>
      <x:c r="AB190" s="8" t="s">
        <x:v>58</x:v>
      </x:c>
      <x:c r="AC190" s="8" t="s">
        <x:v>58</x:v>
      </x:c>
      <x:c r="AD190" s="8" t="s">
        <x:v>58</x:v>
      </x:c>
      <x:c r="AE190" s="8" t="s">
        <x:v>58</x:v>
      </x:c>
      <x:c r="AF190" s="8" t="s">
        <x:v>58</x:v>
      </x:c>
      <x:c r="AG190" s="7" t="s">
        <x:v>58</x:v>
      </x:c>
    </x:row>
    <x:row r="191" ht="79.5" hidden="0" customHeight="1">
      <x:c r="A191" s="7" t="s">
        <x:v>2387</x:v>
      </x:c>
      <x:c r="B191" s="7" t="s">
        <x:v>171</x:v>
      </x:c>
      <x:c r="C191" s="7" t="s">
        <x:v>173</x:v>
      </x:c>
      <x:c r="D191" s="7" t="s">
        <x:v>1959</x:v>
      </x:c>
      <x:c r="E191" s="7" t="s">
        <x:v>2154</x:v>
      </x:c>
      <x:c r="F191" s="7" t="s">
        <x:v>1956</x:v>
      </x:c>
      <x:c r="G191" s="8" t="n">
        <x:v>58</x:v>
      </x:c>
      <x:c r="H191" s="8" t="s">
        <x:v>58</x:v>
      </x:c>
      <x:c r="I191" s="8" t="s">
        <x:v>58</x:v>
      </x:c>
      <x:c r="J191" s="7" t="s">
        <x:v>1919</x:v>
      </x:c>
      <x:c r="K191" s="8" t="n">
        <x:v>1</x:v>
      </x:c>
      <x:c r="L191" s="8" t="n">
        <x:f aca="0">IF(AND(ISNUMBER(G191),P191&lt;&gt;"Unresolved unit / layout"),G191*K191,"Not applicable")</x:f>
        <x:v>58</x:v>
      </x:c>
      <x:c r="M191" s="8" t="str">
        <x:f aca="0">IF(AND(ISNUMBER(H191),P191&lt;&gt;"Unresolved unit / layout"),H191*K191,"Not applicable")</x:f>
        <x:v>Not applicable</x:v>
      </x:c>
      <x:c r="N191" s="8" t="str">
        <x:f aca="0">IF(AND(ISNUMBER(I191),P191&lt;&gt;"Unresolved unit / layout"),I191*K191,"Not applicable")</x:f>
        <x:v>Not applicable</x:v>
      </x:c>
      <x:c r="O191" s="7" t="s">
        <x:v>1956</x:v>
      </x:c>
      <x:c r="P191" s="7" t="s">
        <x:v>1921</x:v>
      </x:c>
      <x:c r="Q191" s="7" t="s">
        <x:v>1930</x:v>
      </x:c>
      <x:c r="R191" s="7" t="s">
        <x:v>58</x:v>
      </x:c>
      <x:c r="S191" s="7" t="s">
        <x:v>2077</x:v>
      </x:c>
      <x:c r="T191" s="7" t="s">
        <x:v>2078</x:v>
      </x:c>
      <x:c r="U191" s="7" t="s">
        <x:v>53</x:v>
      </x:c>
      <x:c r="V191" s="7" t="s">
        <x:v>2095</x:v>
      </x:c>
      <x:c r="W191" s="7" t="s">
        <x:v>58</x:v>
      </x:c>
      <x:c r="X191" s="7" t="s">
        <x:v>2383</x:v>
      </x:c>
      <x:c r="Y191" s="7" t="s">
        <x:v>1165</x:v>
      </x:c>
      <x:c r="Z191" s="7" t="s">
        <x:v>2096</x:v>
      </x:c>
      <x:c r="AA191" s="7" t="s">
        <x:v>58</x:v>
      </x:c>
      <x:c r="AB191" s="8" t="s">
        <x:v>58</x:v>
      </x:c>
      <x:c r="AC191" s="8" t="s">
        <x:v>58</x:v>
      </x:c>
      <x:c r="AD191" s="8" t="s">
        <x:v>58</x:v>
      </x:c>
      <x:c r="AE191" s="8" t="s">
        <x:v>58</x:v>
      </x:c>
      <x:c r="AF191" s="8" t="s">
        <x:v>58</x:v>
      </x:c>
      <x:c r="AG191" s="7" t="s">
        <x:v>58</x:v>
      </x:c>
    </x:row>
    <x:row r="192" ht="79.5" hidden="0" customHeight="1">
      <x:c r="A192" s="7" t="s">
        <x:v>176</x:v>
      </x:c>
      <x:c r="B192" s="7" t="s">
        <x:v>171</x:v>
      </x:c>
      <x:c r="C192" s="7" t="s">
        <x:v>173</x:v>
      </x:c>
      <x:c r="D192" s="7" t="s">
        <x:v>1959</x:v>
      </x:c>
      <x:c r="E192" s="7" t="s">
        <x:v>2233</x:v>
      </x:c>
      <x:c r="F192" s="7" t="s">
        <x:v>1956</x:v>
      </x:c>
      <x:c r="G192" s="8" t="n">
        <x:v>62</x:v>
      </x:c>
      <x:c r="H192" s="8" t="s">
        <x:v>58</x:v>
      </x:c>
      <x:c r="I192" s="8" t="s">
        <x:v>58</x:v>
      </x:c>
      <x:c r="J192" s="7" t="s">
        <x:v>1919</x:v>
      </x:c>
      <x:c r="K192" s="8" t="n">
        <x:v>1</x:v>
      </x:c>
      <x:c r="L192" s="8" t="n">
        <x:f aca="0">IF(AND(ISNUMBER(G192),P192&lt;&gt;"Unresolved unit / layout"),G192*K192,"Not applicable")</x:f>
        <x:v>62</x:v>
      </x:c>
      <x:c r="M192" s="8" t="str">
        <x:f aca="0">IF(AND(ISNUMBER(H192),P192&lt;&gt;"Unresolved unit / layout"),H192*K192,"Not applicable")</x:f>
        <x:v>Not applicable</x:v>
      </x:c>
      <x:c r="N192" s="8" t="str">
        <x:f aca="0">IF(AND(ISNUMBER(I192),P192&lt;&gt;"Unresolved unit / layout"),I192*K192,"Not applicable")</x:f>
        <x:v>Not applicable</x:v>
      </x:c>
      <x:c r="O192" s="7" t="s">
        <x:v>1956</x:v>
      </x:c>
      <x:c r="P192" s="7" t="s">
        <x:v>1921</x:v>
      </x:c>
      <x:c r="Q192" s="7" t="s">
        <x:v>1930</x:v>
      </x:c>
      <x:c r="R192" s="7" t="s">
        <x:v>58</x:v>
      </x:c>
      <x:c r="S192" s="7" t="s">
        <x:v>2077</x:v>
      </x:c>
      <x:c r="T192" s="7" t="s">
        <x:v>2078</x:v>
      </x:c>
      <x:c r="U192" s="7" t="s">
        <x:v>53</x:v>
      </x:c>
      <x:c r="V192" s="7" t="s">
        <x:v>2097</x:v>
      </x:c>
      <x:c r="W192" s="7" t="s">
        <x:v>58</x:v>
      </x:c>
      <x:c r="X192" s="7" t="s">
        <x:v>2383</x:v>
      </x:c>
      <x:c r="Y192" s="7" t="s">
        <x:v>1165</x:v>
      </x:c>
      <x:c r="Z192" s="7" t="s">
        <x:v>2096</x:v>
      </x:c>
      <x:c r="AA192" s="7" t="s">
        <x:v>58</x:v>
      </x:c>
      <x:c r="AB192" s="8" t="s">
        <x:v>58</x:v>
      </x:c>
      <x:c r="AC192" s="8" t="s">
        <x:v>58</x:v>
      </x:c>
      <x:c r="AD192" s="8" t="s">
        <x:v>58</x:v>
      </x:c>
      <x:c r="AE192" s="8" t="s">
        <x:v>58</x:v>
      </x:c>
      <x:c r="AF192" s="8" t="s">
        <x:v>58</x:v>
      </x:c>
      <x:c r="AG192" s="7" t="s">
        <x:v>58</x:v>
      </x:c>
    </x:row>
    <x:row r="193" ht="79.5" hidden="0" customHeight="1">
      <x:c r="A193" s="7" t="s">
        <x:v>2388</x:v>
      </x:c>
      <x:c r="B193" s="7" t="s">
        <x:v>171</x:v>
      </x:c>
      <x:c r="C193" s="7" t="s">
        <x:v>173</x:v>
      </x:c>
      <x:c r="D193" s="7" t="s">
        <x:v>2099</x:v>
      </x:c>
      <x:c r="E193" s="7" t="s">
        <x:v>2156</x:v>
      </x:c>
      <x:c r="F193" s="7" t="s">
        <x:v>1942</x:v>
      </x:c>
      <x:c r="G193" s="8" t="n">
        <x:v>0.4</x:v>
      </x:c>
      <x:c r="H193" s="8" t="s">
        <x:v>58</x:v>
      </x:c>
      <x:c r="I193" s="8" t="s">
        <x:v>58</x:v>
      </x:c>
      <x:c r="J193" s="7" t="s">
        <x:v>1919</x:v>
      </x:c>
      <x:c r="K193" s="8" t="n">
        <x:v>1</x:v>
      </x:c>
      <x:c r="L193" s="8" t="n">
        <x:f aca="0">IF(AND(ISNUMBER(G193),P193&lt;&gt;"Unresolved unit / layout"),G193*K193,"Not applicable")</x:f>
        <x:v>0.4</x:v>
      </x:c>
      <x:c r="M193" s="8" t="str">
        <x:f aca="0">IF(AND(ISNUMBER(H193),P193&lt;&gt;"Unresolved unit / layout"),H193*K193,"Not applicable")</x:f>
        <x:v>Not applicable</x:v>
      </x:c>
      <x:c r="N193" s="8" t="str">
        <x:f aca="0">IF(AND(ISNUMBER(I193),P193&lt;&gt;"Unresolved unit / layout"),I193*K193,"Not applicable")</x:f>
        <x:v>Not applicable</x:v>
      </x:c>
      <x:c r="O193" s="7" t="s">
        <x:v>1942</x:v>
      </x:c>
      <x:c r="P193" s="7" t="s">
        <x:v>1921</x:v>
      </x:c>
      <x:c r="Q193" s="7" t="s">
        <x:v>1930</x:v>
      </x:c>
      <x:c r="R193" s="7" t="s">
        <x:v>58</x:v>
      </x:c>
      <x:c r="S193" s="7" t="s">
        <x:v>2077</x:v>
      </x:c>
      <x:c r="T193" s="7" t="s">
        <x:v>2078</x:v>
      </x:c>
      <x:c r="U193" s="7" t="s">
        <x:v>53</x:v>
      </x:c>
      <x:c r="V193" s="7" t="s">
        <x:v>2192</x:v>
      </x:c>
      <x:c r="W193" s="7" t="s">
        <x:v>58</x:v>
      </x:c>
      <x:c r="X193" s="7" t="s">
        <x:v>2383</x:v>
      </x:c>
      <x:c r="Y193" s="7" t="s">
        <x:v>1165</x:v>
      </x:c>
      <x:c r="Z193" s="7" t="s">
        <x:v>2193</x:v>
      </x:c>
      <x:c r="AA193" s="7" t="s">
        <x:v>58</x:v>
      </x:c>
      <x:c r="AB193" s="8" t="s">
        <x:v>58</x:v>
      </x:c>
      <x:c r="AC193" s="8" t="s">
        <x:v>58</x:v>
      </x:c>
      <x:c r="AD193" s="8" t="s">
        <x:v>58</x:v>
      </x:c>
      <x:c r="AE193" s="8" t="s">
        <x:v>58</x:v>
      </x:c>
      <x:c r="AF193" s="8" t="s">
        <x:v>58</x:v>
      </x:c>
      <x:c r="AG193" s="7" t="s">
        <x:v>58</x:v>
      </x:c>
    </x:row>
    <x:row r="194" ht="79.5" hidden="0" customHeight="1">
      <x:c r="A194" s="7" t="s">
        <x:v>2389</x:v>
      </x:c>
      <x:c r="B194" s="7" t="s">
        <x:v>171</x:v>
      </x:c>
      <x:c r="C194" s="7" t="s">
        <x:v>173</x:v>
      </x:c>
      <x:c r="D194" s="7" t="s">
        <x:v>1935</x:v>
      </x:c>
      <x:c r="E194" s="7" t="s">
        <x:v>2390</x:v>
      </x:c>
      <x:c r="F194" s="7" t="s">
        <x:v>1929</x:v>
      </x:c>
      <x:c r="G194" s="8" t="n">
        <x:v>2010</x:v>
      </x:c>
      <x:c r="H194" s="8" t="n">
        <x:v>220</x:v>
      </x:c>
      <x:c r="I194" s="8" t="s">
        <x:v>58</x:v>
      </x:c>
      <x:c r="J194" s="7" t="s">
        <x:v>1919</x:v>
      </x:c>
      <x:c r="K194" s="8" t="n">
        <x:v>0.001</x:v>
      </x:c>
      <x:c r="L194" s="8" t="n">
        <x:f aca="0">IF(AND(ISNUMBER(G194),P194&lt;&gt;"Unresolved unit / layout"),G194*K194,"Not applicable")</x:f>
        <x:v>2.0100000000000002</x:v>
      </x:c>
      <x:c r="M194" s="8" t="n">
        <x:f aca="0">IF(AND(ISNUMBER(H194),P194&lt;&gt;"Unresolved unit / layout"),H194*K194,"Not applicable")</x:f>
        <x:v>0.22</x:v>
      </x:c>
      <x:c r="N194" s="8" t="str">
        <x:f aca="0">IF(AND(ISNUMBER(I194),P194&lt;&gt;"Unresolved unit / layout"),I194*K194,"Not applicable")</x:f>
        <x:v>Not applicable</x:v>
      </x:c>
      <x:c r="O194" s="7" t="s">
        <x:v>1937</x:v>
      </x:c>
      <x:c r="P194" s="7" t="s">
        <x:v>1921</x:v>
      </x:c>
      <x:c r="Q194" s="7" t="s">
        <x:v>1930</x:v>
      </x:c>
      <x:c r="R194" s="7" t="s">
        <x:v>1931</x:v>
      </x:c>
      <x:c r="S194" s="7" t="s">
        <x:v>2077</x:v>
      </x:c>
      <x:c r="T194" s="7" t="s">
        <x:v>2078</x:v>
      </x:c>
      <x:c r="U194" s="7" t="s">
        <x:v>53</x:v>
      </x:c>
      <x:c r="V194" s="7" t="s">
        <x:v>1999</x:v>
      </x:c>
      <x:c r="W194" s="7" t="s">
        <x:v>58</x:v>
      </x:c>
      <x:c r="X194" s="7" t="s">
        <x:v>2383</x:v>
      </x:c>
      <x:c r="Y194" s="7" t="s">
        <x:v>1165</x:v>
      </x:c>
      <x:c r="Z194" s="7" t="s">
        <x:v>2105</x:v>
      </x:c>
      <x:c r="AA194" s="7" t="s">
        <x:v>58</x:v>
      </x:c>
      <x:c r="AB194" s="8" t="s">
        <x:v>58</x:v>
      </x:c>
      <x:c r="AC194" s="8" t="s">
        <x:v>58</x:v>
      </x:c>
      <x:c r="AD194" s="8" t="s">
        <x:v>58</x:v>
      </x:c>
      <x:c r="AE194" s="8" t="s">
        <x:v>58</x:v>
      </x:c>
      <x:c r="AF194" s="8" t="s">
        <x:v>58</x:v>
      </x:c>
      <x:c r="AG194" s="7" t="s">
        <x:v>58</x:v>
      </x:c>
    </x:row>
    <x:row r="195" ht="79.5" hidden="0" customHeight="1">
      <x:c r="A195" s="7" t="s">
        <x:v>2391</x:v>
      </x:c>
      <x:c r="B195" s="7" t="s">
        <x:v>171</x:v>
      </x:c>
      <x:c r="C195" s="7" t="s">
        <x:v>173</x:v>
      </x:c>
      <x:c r="D195" s="7" t="s">
        <x:v>1935</x:v>
      </x:c>
      <x:c r="E195" s="7" t="s">
        <x:v>2392</x:v>
      </x:c>
      <x:c r="F195" s="7" t="s">
        <x:v>1929</x:v>
      </x:c>
      <x:c r="G195" s="8" t="n">
        <x:v>1710</x:v>
      </x:c>
      <x:c r="H195" s="8" t="n">
        <x:v>150</x:v>
      </x:c>
      <x:c r="I195" s="8" t="s">
        <x:v>58</x:v>
      </x:c>
      <x:c r="J195" s="7" t="s">
        <x:v>1919</x:v>
      </x:c>
      <x:c r="K195" s="8" t="n">
        <x:v>0.001</x:v>
      </x:c>
      <x:c r="L195" s="8" t="n">
        <x:f aca="0">IF(AND(ISNUMBER(G195),P195&lt;&gt;"Unresolved unit / layout"),G195*K195,"Not applicable")</x:f>
        <x:v>1.71</x:v>
      </x:c>
      <x:c r="M195" s="8" t="n">
        <x:f aca="0">IF(AND(ISNUMBER(H195),P195&lt;&gt;"Unresolved unit / layout"),H195*K195,"Not applicable")</x:f>
        <x:v>0.15</x:v>
      </x:c>
      <x:c r="N195" s="8" t="str">
        <x:f aca="0">IF(AND(ISNUMBER(I195),P195&lt;&gt;"Unresolved unit / layout"),I195*K195,"Not applicable")</x:f>
        <x:v>Not applicable</x:v>
      </x:c>
      <x:c r="O195" s="7" t="s">
        <x:v>1937</x:v>
      </x:c>
      <x:c r="P195" s="7" t="s">
        <x:v>1921</x:v>
      </x:c>
      <x:c r="Q195" s="7" t="s">
        <x:v>1930</x:v>
      </x:c>
      <x:c r="R195" s="7" t="s">
        <x:v>2003</x:v>
      </x:c>
      <x:c r="S195" s="7" t="s">
        <x:v>2077</x:v>
      </x:c>
      <x:c r="T195" s="7" t="s">
        <x:v>2078</x:v>
      </x:c>
      <x:c r="U195" s="7" t="s">
        <x:v>53</x:v>
      </x:c>
      <x:c r="V195" s="7" t="s">
        <x:v>1999</x:v>
      </x:c>
      <x:c r="W195" s="7" t="s">
        <x:v>58</x:v>
      </x:c>
      <x:c r="X195" s="7" t="s">
        <x:v>2383</x:v>
      </x:c>
      <x:c r="Y195" s="7" t="s">
        <x:v>1165</x:v>
      </x:c>
      <x:c r="Z195" s="7" t="s">
        <x:v>2108</x:v>
      </x:c>
      <x:c r="AA195" s="7" t="s">
        <x:v>58</x:v>
      </x:c>
      <x:c r="AB195" s="8" t="s">
        <x:v>58</x:v>
      </x:c>
      <x:c r="AC195" s="8" t="s">
        <x:v>58</x:v>
      </x:c>
      <x:c r="AD195" s="8" t="s">
        <x:v>58</x:v>
      </x:c>
      <x:c r="AE195" s="8" t="s">
        <x:v>58</x:v>
      </x:c>
      <x:c r="AF195" s="8" t="s">
        <x:v>58</x:v>
      </x:c>
      <x:c r="AG195" s="7" t="s">
        <x:v>58</x:v>
      </x:c>
    </x:row>
    <x:row r="196" ht="79.5" hidden="0" customHeight="1">
      <x:c r="A196" s="7" t="s">
        <x:v>2393</x:v>
      </x:c>
      <x:c r="B196" s="7" t="s">
        <x:v>171</x:v>
      </x:c>
      <x:c r="C196" s="7" t="s">
        <x:v>173</x:v>
      </x:c>
      <x:c r="D196" s="7" t="s">
        <x:v>2006</x:v>
      </x:c>
      <x:c r="E196" s="7" t="s">
        <x:v>2394</x:v>
      </x:c>
      <x:c r="F196" s="7" t="s">
        <x:v>1929</x:v>
      </x:c>
      <x:c r="G196" s="8" t="n">
        <x:v>34</x:v>
      </x:c>
      <x:c r="H196" s="8" t="n">
        <x:v>4</x:v>
      </x:c>
      <x:c r="I196" s="8" t="s">
        <x:v>58</x:v>
      </x:c>
      <x:c r="J196" s="7" t="s">
        <x:v>1919</x:v>
      </x:c>
      <x:c r="K196" s="8" t="n">
        <x:v>1</x:v>
      </x:c>
      <x:c r="L196" s="8" t="n">
        <x:f aca="0">IF(AND(ISNUMBER(G196),P196&lt;&gt;"Unresolved unit / layout"),G196*K196,"Not applicable")</x:f>
        <x:v>34</x:v>
      </x:c>
      <x:c r="M196" s="8" t="n">
        <x:f aca="0">IF(AND(ISNUMBER(H196),P196&lt;&gt;"Unresolved unit / layout"),H196*K196,"Not applicable")</x:f>
        <x:v>4</x:v>
      </x:c>
      <x:c r="N196" s="8" t="str">
        <x:f aca="0">IF(AND(ISNUMBER(I196),P196&lt;&gt;"Unresolved unit / layout"),I196*K196,"Not applicable")</x:f>
        <x:v>Not applicable</x:v>
      </x:c>
      <x:c r="O196" s="7" t="s">
        <x:v>1929</x:v>
      </x:c>
      <x:c r="P196" s="7" t="s">
        <x:v>1921</x:v>
      </x:c>
      <x:c r="Q196" s="7" t="s">
        <x:v>1930</x:v>
      </x:c>
      <x:c r="R196" s="7" t="s">
        <x:v>1931</x:v>
      </x:c>
      <x:c r="S196" s="7" t="s">
        <x:v>2077</x:v>
      </x:c>
      <x:c r="T196" s="7" t="s">
        <x:v>2078</x:v>
      </x:c>
      <x:c r="U196" s="7" t="s">
        <x:v>53</x:v>
      </x:c>
      <x:c r="V196" s="7" t="s">
        <x:v>1999</x:v>
      </x:c>
      <x:c r="W196" s="7" t="s">
        <x:v>58</x:v>
      </x:c>
      <x:c r="X196" s="7" t="s">
        <x:v>2383</x:v>
      </x:c>
      <x:c r="Y196" s="7" t="s">
        <x:v>1165</x:v>
      </x:c>
      <x:c r="Z196" s="7" t="s">
        <x:v>2111</x:v>
      </x:c>
      <x:c r="AA196" s="7" t="s">
        <x:v>58</x:v>
      </x:c>
      <x:c r="AB196" s="8" t="s">
        <x:v>58</x:v>
      </x:c>
      <x:c r="AC196" s="8" t="s">
        <x:v>58</x:v>
      </x:c>
      <x:c r="AD196" s="8" t="s">
        <x:v>58</x:v>
      </x:c>
      <x:c r="AE196" s="8" t="s">
        <x:v>58</x:v>
      </x:c>
      <x:c r="AF196" s="8" t="s">
        <x:v>58</x:v>
      </x:c>
      <x:c r="AG196" s="7" t="s">
        <x:v>58</x:v>
      </x:c>
    </x:row>
    <x:row r="197" ht="79.5" hidden="0" customHeight="1">
      <x:c r="A197" s="7" t="s">
        <x:v>2395</x:v>
      </x:c>
      <x:c r="B197" s="7" t="s">
        <x:v>171</x:v>
      </x:c>
      <x:c r="C197" s="7" t="s">
        <x:v>173</x:v>
      </x:c>
      <x:c r="D197" s="7" t="s">
        <x:v>2006</x:v>
      </x:c>
      <x:c r="E197" s="7" t="s">
        <x:v>2113</x:v>
      </x:c>
      <x:c r="F197" s="7" t="s">
        <x:v>1929</x:v>
      </x:c>
      <x:c r="G197" s="8" t="n">
        <x:v>31</x:v>
      </x:c>
      <x:c r="H197" s="8" t="n">
        <x:v>3</x:v>
      </x:c>
      <x:c r="I197" s="8" t="s">
        <x:v>58</x:v>
      </x:c>
      <x:c r="J197" s="7" t="s">
        <x:v>1919</x:v>
      </x:c>
      <x:c r="K197" s="8" t="n">
        <x:v>1</x:v>
      </x:c>
      <x:c r="L197" s="8" t="n">
        <x:f aca="0">IF(AND(ISNUMBER(G197),P197&lt;&gt;"Unresolved unit / layout"),G197*K197,"Not applicable")</x:f>
        <x:v>31</x:v>
      </x:c>
      <x:c r="M197" s="8" t="n">
        <x:f aca="0">IF(AND(ISNUMBER(H197),P197&lt;&gt;"Unresolved unit / layout"),H197*K197,"Not applicable")</x:f>
        <x:v>3</x:v>
      </x:c>
      <x:c r="N197" s="8" t="str">
        <x:f aca="0">IF(AND(ISNUMBER(I197),P197&lt;&gt;"Unresolved unit / layout"),I197*K197,"Not applicable")</x:f>
        <x:v>Not applicable</x:v>
      </x:c>
      <x:c r="O197" s="7" t="s">
        <x:v>1929</x:v>
      </x:c>
      <x:c r="P197" s="7" t="s">
        <x:v>1921</x:v>
      </x:c>
      <x:c r="Q197" s="7" t="s">
        <x:v>1930</x:v>
      </x:c>
      <x:c r="R197" s="7" t="s">
        <x:v>2003</x:v>
      </x:c>
      <x:c r="S197" s="7" t="s">
        <x:v>2077</x:v>
      </x:c>
      <x:c r="T197" s="7" t="s">
        <x:v>2078</x:v>
      </x:c>
      <x:c r="U197" s="7" t="s">
        <x:v>53</x:v>
      </x:c>
      <x:c r="V197" s="7" t="s">
        <x:v>1999</x:v>
      </x:c>
      <x:c r="W197" s="7" t="s">
        <x:v>58</x:v>
      </x:c>
      <x:c r="X197" s="7" t="s">
        <x:v>2383</x:v>
      </x:c>
      <x:c r="Y197" s="7" t="s">
        <x:v>1165</x:v>
      </x:c>
      <x:c r="Z197" s="7" t="s">
        <x:v>2114</x:v>
      </x:c>
      <x:c r="AA197" s="7" t="s">
        <x:v>58</x:v>
      </x:c>
      <x:c r="AB197" s="8" t="s">
        <x:v>58</x:v>
      </x:c>
      <x:c r="AC197" s="8" t="s">
        <x:v>58</x:v>
      </x:c>
      <x:c r="AD197" s="8" t="s">
        <x:v>58</x:v>
      </x:c>
      <x:c r="AE197" s="8" t="s">
        <x:v>58</x:v>
      </x:c>
      <x:c r="AF197" s="8" t="s">
        <x:v>58</x:v>
      </x:c>
      <x:c r="AG197" s="7" t="s">
        <x:v>58</x:v>
      </x:c>
    </x:row>
    <x:row r="198" ht="79.5" hidden="0" customHeight="1">
      <x:c r="A198" s="7" t="s">
        <x:v>2396</x:v>
      </x:c>
      <x:c r="B198" s="7" t="s">
        <x:v>171</x:v>
      </x:c>
      <x:c r="C198" s="7" t="s">
        <x:v>173</x:v>
      </x:c>
      <x:c r="D198" s="7" t="s">
        <x:v>1940</x:v>
      </x:c>
      <x:c r="E198" s="7" t="s">
        <x:v>2397</x:v>
      </x:c>
      <x:c r="F198" s="7" t="s">
        <x:v>1942</x:v>
      </x:c>
      <x:c r="G198" s="8" t="n">
        <x:v>14.7</x:v>
      </x:c>
      <x:c r="H198" s="8" t="n">
        <x:v>1.5</x:v>
      </x:c>
      <x:c r="I198" s="8" t="s">
        <x:v>58</x:v>
      </x:c>
      <x:c r="J198" s="7" t="s">
        <x:v>1919</x:v>
      </x:c>
      <x:c r="K198" s="8" t="n">
        <x:v>1</x:v>
      </x:c>
      <x:c r="L198" s="8" t="n">
        <x:f aca="0">IF(AND(ISNUMBER(G198),P198&lt;&gt;"Unresolved unit / layout"),G198*K198,"Not applicable")</x:f>
        <x:v>14.7</x:v>
      </x:c>
      <x:c r="M198" s="8" t="n">
        <x:f aca="0">IF(AND(ISNUMBER(H198),P198&lt;&gt;"Unresolved unit / layout"),H198*K198,"Not applicable")</x:f>
        <x:v>1.5</x:v>
      </x:c>
      <x:c r="N198" s="8" t="str">
        <x:f aca="0">IF(AND(ISNUMBER(I198),P198&lt;&gt;"Unresolved unit / layout"),I198*K198,"Not applicable")</x:f>
        <x:v>Not applicable</x:v>
      </x:c>
      <x:c r="O198" s="7" t="s">
        <x:v>1942</x:v>
      </x:c>
      <x:c r="P198" s="7" t="s">
        <x:v>1921</x:v>
      </x:c>
      <x:c r="Q198" s="7" t="s">
        <x:v>1930</x:v>
      </x:c>
      <x:c r="R198" s="7" t="s">
        <x:v>1931</x:v>
      </x:c>
      <x:c r="S198" s="7" t="s">
        <x:v>2077</x:v>
      </x:c>
      <x:c r="T198" s="7" t="s">
        <x:v>2078</x:v>
      </x:c>
      <x:c r="U198" s="7" t="s">
        <x:v>53</x:v>
      </x:c>
      <x:c r="V198" s="7" t="s">
        <x:v>1999</x:v>
      </x:c>
      <x:c r="W198" s="7" t="s">
        <x:v>58</x:v>
      </x:c>
      <x:c r="X198" s="7" t="s">
        <x:v>2383</x:v>
      </x:c>
      <x:c r="Y198" s="7" t="s">
        <x:v>1165</x:v>
      </x:c>
      <x:c r="Z198" s="7" t="s">
        <x:v>2117</x:v>
      </x:c>
      <x:c r="AA198" s="7" t="s">
        <x:v>58</x:v>
      </x:c>
      <x:c r="AB198" s="8" t="s">
        <x:v>58</x:v>
      </x:c>
      <x:c r="AC198" s="8" t="s">
        <x:v>58</x:v>
      </x:c>
      <x:c r="AD198" s="8" t="s">
        <x:v>58</x:v>
      </x:c>
      <x:c r="AE198" s="8" t="s">
        <x:v>58</x:v>
      </x:c>
      <x:c r="AF198" s="8" t="s">
        <x:v>58</x:v>
      </x:c>
      <x:c r="AG198" s="7" t="s">
        <x:v>58</x:v>
      </x:c>
    </x:row>
    <x:row r="199" ht="79.5" hidden="0" customHeight="1">
      <x:c r="A199" s="7" t="s">
        <x:v>2398</x:v>
      </x:c>
      <x:c r="B199" s="7" t="s">
        <x:v>171</x:v>
      </x:c>
      <x:c r="C199" s="7" t="s">
        <x:v>173</x:v>
      </x:c>
      <x:c r="D199" s="7" t="s">
        <x:v>1940</x:v>
      </x:c>
      <x:c r="E199" s="7" t="s">
        <x:v>2399</x:v>
      </x:c>
      <x:c r="F199" s="7" t="s">
        <x:v>1942</x:v>
      </x:c>
      <x:c r="G199" s="8" t="n">
        <x:v>4.5</x:v>
      </x:c>
      <x:c r="H199" s="8" t="n">
        <x:v>1.3</x:v>
      </x:c>
      <x:c r="I199" s="8" t="s">
        <x:v>58</x:v>
      </x:c>
      <x:c r="J199" s="7" t="s">
        <x:v>1919</x:v>
      </x:c>
      <x:c r="K199" s="8" t="n">
        <x:v>1</x:v>
      </x:c>
      <x:c r="L199" s="8" t="n">
        <x:f aca="0">IF(AND(ISNUMBER(G199),P199&lt;&gt;"Unresolved unit / layout"),G199*K199,"Not applicable")</x:f>
        <x:v>4.5</x:v>
      </x:c>
      <x:c r="M199" s="8" t="n">
        <x:f aca="0">IF(AND(ISNUMBER(H199),P199&lt;&gt;"Unresolved unit / layout"),H199*K199,"Not applicable")</x:f>
        <x:v>1.3</x:v>
      </x:c>
      <x:c r="N199" s="8" t="str">
        <x:f aca="0">IF(AND(ISNUMBER(I199),P199&lt;&gt;"Unresolved unit / layout"),I199*K199,"Not applicable")</x:f>
        <x:v>Not applicable</x:v>
      </x:c>
      <x:c r="O199" s="7" t="s">
        <x:v>1942</x:v>
      </x:c>
      <x:c r="P199" s="7" t="s">
        <x:v>1921</x:v>
      </x:c>
      <x:c r="Q199" s="7" t="s">
        <x:v>1930</x:v>
      </x:c>
      <x:c r="R199" s="7" t="s">
        <x:v>2003</x:v>
      </x:c>
      <x:c r="S199" s="7" t="s">
        <x:v>2077</x:v>
      </x:c>
      <x:c r="T199" s="7" t="s">
        <x:v>2078</x:v>
      </x:c>
      <x:c r="U199" s="7" t="s">
        <x:v>53</x:v>
      </x:c>
      <x:c r="V199" s="7" t="s">
        <x:v>1999</x:v>
      </x:c>
      <x:c r="W199" s="7" t="s">
        <x:v>58</x:v>
      </x:c>
      <x:c r="X199" s="7" t="s">
        <x:v>2383</x:v>
      </x:c>
      <x:c r="Y199" s="7" t="s">
        <x:v>1165</x:v>
      </x:c>
      <x:c r="Z199" s="7" t="s">
        <x:v>2120</x:v>
      </x:c>
      <x:c r="AA199" s="7" t="s">
        <x:v>58</x:v>
      </x:c>
      <x:c r="AB199" s="8" t="s">
        <x:v>58</x:v>
      </x:c>
      <x:c r="AC199" s="8" t="s">
        <x:v>58</x:v>
      </x:c>
      <x:c r="AD199" s="8" t="s">
        <x:v>58</x:v>
      </x:c>
      <x:c r="AE199" s="8" t="s">
        <x:v>58</x:v>
      </x:c>
      <x:c r="AF199" s="8" t="s">
        <x:v>58</x:v>
      </x:c>
      <x:c r="AG199" s="7" t="s">
        <x:v>58</x:v>
      </x:c>
    </x:row>
    <x:row r="200" ht="79.5" hidden="0" customHeight="1">
      <x:c r="A200" s="7" t="s">
        <x:v>2400</x:v>
      </x:c>
      <x:c r="B200" s="7" t="s">
        <x:v>171</x:v>
      </x:c>
      <x:c r="C200" s="7" t="s">
        <x:v>173</x:v>
      </x:c>
      <x:c r="D200" s="7" t="s">
        <x:v>1950</x:v>
      </x:c>
      <x:c r="E200" s="7" t="s">
        <x:v>2401</x:v>
      </x:c>
      <x:c r="F200" s="7" t="s">
        <x:v>1929</x:v>
      </x:c>
      <x:c r="G200" s="8" t="n">
        <x:v>2290</x:v>
      </x:c>
      <x:c r="H200" s="8" t="n">
        <x:v>210</x:v>
      </x:c>
      <x:c r="I200" s="8" t="s">
        <x:v>58</x:v>
      </x:c>
      <x:c r="J200" s="7" t="s">
        <x:v>1919</x:v>
      </x:c>
      <x:c r="K200" s="8" t="n">
        <x:v>0.001</x:v>
      </x:c>
      <x:c r="L200" s="8" t="n">
        <x:f aca="0">IF(AND(ISNUMBER(G200),P200&lt;&gt;"Unresolved unit / layout"),G200*K200,"Not applicable")</x:f>
        <x:v>2.29</x:v>
      </x:c>
      <x:c r="M200" s="8" t="n">
        <x:f aca="0">IF(AND(ISNUMBER(H200),P200&lt;&gt;"Unresolved unit / layout"),H200*K200,"Not applicable")</x:f>
        <x:v>0.21</x:v>
      </x:c>
      <x:c r="N200" s="8" t="str">
        <x:f aca="0">IF(AND(ISNUMBER(I200),P200&lt;&gt;"Unresolved unit / layout"),I200*K200,"Not applicable")</x:f>
        <x:v>Not applicable</x:v>
      </x:c>
      <x:c r="O200" s="7" t="s">
        <x:v>1937</x:v>
      </x:c>
      <x:c r="P200" s="7" t="s">
        <x:v>1921</x:v>
      </x:c>
      <x:c r="Q200" s="7" t="s">
        <x:v>1930</x:v>
      </x:c>
      <x:c r="R200" s="7" t="s">
        <x:v>1931</x:v>
      </x:c>
      <x:c r="S200" s="7" t="s">
        <x:v>2077</x:v>
      </x:c>
      <x:c r="T200" s="7" t="s">
        <x:v>2078</x:v>
      </x:c>
      <x:c r="U200" s="7" t="s">
        <x:v>53</x:v>
      </x:c>
      <x:c r="V200" s="7" t="s">
        <x:v>2020</x:v>
      </x:c>
      <x:c r="W200" s="7" t="s">
        <x:v>58</x:v>
      </x:c>
      <x:c r="X200" s="7" t="s">
        <x:v>2383</x:v>
      </x:c>
      <x:c r="Y200" s="7" t="s">
        <x:v>1165</x:v>
      </x:c>
      <x:c r="Z200" s="7" t="s">
        <x:v>2123</x:v>
      </x:c>
      <x:c r="AA200" s="7" t="s">
        <x:v>58</x:v>
      </x:c>
      <x:c r="AB200" s="8" t="s">
        <x:v>58</x:v>
      </x:c>
      <x:c r="AC200" s="8" t="s">
        <x:v>58</x:v>
      </x:c>
      <x:c r="AD200" s="8" t="s">
        <x:v>58</x:v>
      </x:c>
      <x:c r="AE200" s="8" t="s">
        <x:v>58</x:v>
      </x:c>
      <x:c r="AF200" s="8" t="s">
        <x:v>58</x:v>
      </x:c>
      <x:c r="AG200" s="7" t="s">
        <x:v>58</x:v>
      </x:c>
    </x:row>
    <x:row r="201" ht="79.5" hidden="0" customHeight="1">
      <x:c r="A201" s="7" t="s">
        <x:v>2402</x:v>
      </x:c>
      <x:c r="B201" s="7" t="s">
        <x:v>171</x:v>
      </x:c>
      <x:c r="C201" s="7" t="s">
        <x:v>173</x:v>
      </x:c>
      <x:c r="D201" s="7" t="s">
        <x:v>1950</x:v>
      </x:c>
      <x:c r="E201" s="7" t="s">
        <x:v>2403</x:v>
      </x:c>
      <x:c r="F201" s="7" t="s">
        <x:v>1929</x:v>
      </x:c>
      <x:c r="G201" s="8" t="n">
        <x:v>2150</x:v>
      </x:c>
      <x:c r="H201" s="8" t="n">
        <x:v>180</x:v>
      </x:c>
      <x:c r="I201" s="8" t="s">
        <x:v>58</x:v>
      </x:c>
      <x:c r="J201" s="7" t="s">
        <x:v>1919</x:v>
      </x:c>
      <x:c r="K201" s="8" t="n">
        <x:v>0.001</x:v>
      </x:c>
      <x:c r="L201" s="8" t="n">
        <x:f aca="0">IF(AND(ISNUMBER(G201),P201&lt;&gt;"Unresolved unit / layout"),G201*K201,"Not applicable")</x:f>
        <x:v>2.15</x:v>
      </x:c>
      <x:c r="M201" s="8" t="n">
        <x:f aca="0">IF(AND(ISNUMBER(H201),P201&lt;&gt;"Unresolved unit / layout"),H201*K201,"Not applicable")</x:f>
        <x:v>0.18</x:v>
      </x:c>
      <x:c r="N201" s="8" t="str">
        <x:f aca="0">IF(AND(ISNUMBER(I201),P201&lt;&gt;"Unresolved unit / layout"),I201*K201,"Not applicable")</x:f>
        <x:v>Not applicable</x:v>
      </x:c>
      <x:c r="O201" s="7" t="s">
        <x:v>1937</x:v>
      </x:c>
      <x:c r="P201" s="7" t="s">
        <x:v>1921</x:v>
      </x:c>
      <x:c r="Q201" s="7" t="s">
        <x:v>1930</x:v>
      </x:c>
      <x:c r="R201" s="7" t="s">
        <x:v>2003</x:v>
      </x:c>
      <x:c r="S201" s="7" t="s">
        <x:v>2077</x:v>
      </x:c>
      <x:c r="T201" s="7" t="s">
        <x:v>2078</x:v>
      </x:c>
      <x:c r="U201" s="7" t="s">
        <x:v>53</x:v>
      </x:c>
      <x:c r="V201" s="7" t="s">
        <x:v>2020</x:v>
      </x:c>
      <x:c r="W201" s="7" t="s">
        <x:v>58</x:v>
      </x:c>
      <x:c r="X201" s="7" t="s">
        <x:v>2383</x:v>
      </x:c>
      <x:c r="Y201" s="7" t="s">
        <x:v>1165</x:v>
      </x:c>
      <x:c r="Z201" s="7" t="s">
        <x:v>2210</x:v>
      </x:c>
      <x:c r="AA201" s="7" t="s">
        <x:v>58</x:v>
      </x:c>
      <x:c r="AB201" s="8" t="s">
        <x:v>58</x:v>
      </x:c>
      <x:c r="AC201" s="8" t="s">
        <x:v>58</x:v>
      </x:c>
      <x:c r="AD201" s="8" t="s">
        <x:v>58</x:v>
      </x:c>
      <x:c r="AE201" s="8" t="s">
        <x:v>58</x:v>
      </x:c>
      <x:c r="AF201" s="8" t="s">
        <x:v>58</x:v>
      </x:c>
      <x:c r="AG201" s="7" t="s">
        <x:v>58</x:v>
      </x:c>
    </x:row>
    <x:row r="202" ht="79.5" hidden="0" customHeight="1">
      <x:c r="A202" s="7" t="s">
        <x:v>2404</x:v>
      </x:c>
      <x:c r="B202" s="7" t="s">
        <x:v>171</x:v>
      </x:c>
      <x:c r="C202" s="7" t="s">
        <x:v>173</x:v>
      </x:c>
      <x:c r="D202" s="7" t="s">
        <x:v>1945</x:v>
      </x:c>
      <x:c r="E202" s="7" t="s">
        <x:v>2405</x:v>
      </x:c>
      <x:c r="F202" s="7" t="s">
        <x:v>1929</x:v>
      </x:c>
      <x:c r="G202" s="8" t="n">
        <x:v>66</x:v>
      </x:c>
      <x:c r="H202" s="8" t="n">
        <x:v>3</x:v>
      </x:c>
      <x:c r="I202" s="8" t="s">
        <x:v>58</x:v>
      </x:c>
      <x:c r="J202" s="7" t="s">
        <x:v>1919</x:v>
      </x:c>
      <x:c r="K202" s="8" t="n">
        <x:v>1</x:v>
      </x:c>
      <x:c r="L202" s="8" t="n">
        <x:f aca="0">IF(AND(ISNUMBER(G202),P202&lt;&gt;"Unresolved unit / layout"),G202*K202,"Not applicable")</x:f>
        <x:v>66</x:v>
      </x:c>
      <x:c r="M202" s="8" t="n">
        <x:f aca="0">IF(AND(ISNUMBER(H202),P202&lt;&gt;"Unresolved unit / layout"),H202*K202,"Not applicable")</x:f>
        <x:v>3</x:v>
      </x:c>
      <x:c r="N202" s="8" t="str">
        <x:f aca="0">IF(AND(ISNUMBER(I202),P202&lt;&gt;"Unresolved unit / layout"),I202*K202,"Not applicable")</x:f>
        <x:v>Not applicable</x:v>
      </x:c>
      <x:c r="O202" s="7" t="s">
        <x:v>1929</x:v>
      </x:c>
      <x:c r="P202" s="7" t="s">
        <x:v>1921</x:v>
      </x:c>
      <x:c r="Q202" s="7" t="s">
        <x:v>1930</x:v>
      </x:c>
      <x:c r="R202" s="7" t="s">
        <x:v>1931</x:v>
      </x:c>
      <x:c r="S202" s="7" t="s">
        <x:v>2077</x:v>
      </x:c>
      <x:c r="T202" s="7" t="s">
        <x:v>2078</x:v>
      </x:c>
      <x:c r="U202" s="7" t="s">
        <x:v>53</x:v>
      </x:c>
      <x:c r="V202" s="7" t="s">
        <x:v>2020</x:v>
      </x:c>
      <x:c r="W202" s="7" t="s">
        <x:v>58</x:v>
      </x:c>
      <x:c r="X202" s="7" t="s">
        <x:v>2383</x:v>
      </x:c>
      <x:c r="Y202" s="7" t="s">
        <x:v>1165</x:v>
      </x:c>
      <x:c r="Z202" s="7" t="s">
        <x:v>2213</x:v>
      </x:c>
      <x:c r="AA202" s="7" t="s">
        <x:v>58</x:v>
      </x:c>
      <x:c r="AB202" s="8" t="s">
        <x:v>58</x:v>
      </x:c>
      <x:c r="AC202" s="8" t="s">
        <x:v>58</x:v>
      </x:c>
      <x:c r="AD202" s="8" t="s">
        <x:v>58</x:v>
      </x:c>
      <x:c r="AE202" s="8" t="s">
        <x:v>58</x:v>
      </x:c>
      <x:c r="AF202" s="8" t="s">
        <x:v>58</x:v>
      </x:c>
      <x:c r="AG202" s="7" t="s">
        <x:v>58</x:v>
      </x:c>
    </x:row>
    <x:row r="203" ht="79.5" hidden="0" customHeight="1">
      <x:c r="A203" s="7" t="s">
        <x:v>2406</x:v>
      </x:c>
      <x:c r="B203" s="7" t="s">
        <x:v>171</x:v>
      </x:c>
      <x:c r="C203" s="7" t="s">
        <x:v>173</x:v>
      </x:c>
      <x:c r="D203" s="7" t="s">
        <x:v>1945</x:v>
      </x:c>
      <x:c r="E203" s="7" t="s">
        <x:v>2407</x:v>
      </x:c>
      <x:c r="F203" s="7" t="s">
        <x:v>1929</x:v>
      </x:c>
      <x:c r="G203" s="8" t="n">
        <x:v>51</x:v>
      </x:c>
      <x:c r="H203" s="8" t="n">
        <x:v>5</x:v>
      </x:c>
      <x:c r="I203" s="8" t="s">
        <x:v>58</x:v>
      </x:c>
      <x:c r="J203" s="7" t="s">
        <x:v>1919</x:v>
      </x:c>
      <x:c r="K203" s="8" t="n">
        <x:v>1</x:v>
      </x:c>
      <x:c r="L203" s="8" t="n">
        <x:f aca="0">IF(AND(ISNUMBER(G203),P203&lt;&gt;"Unresolved unit / layout"),G203*K203,"Not applicable")</x:f>
        <x:v>51</x:v>
      </x:c>
      <x:c r="M203" s="8" t="n">
        <x:f aca="0">IF(AND(ISNUMBER(H203),P203&lt;&gt;"Unresolved unit / layout"),H203*K203,"Not applicable")</x:f>
        <x:v>5</x:v>
      </x:c>
      <x:c r="N203" s="8" t="str">
        <x:f aca="0">IF(AND(ISNUMBER(I203),P203&lt;&gt;"Unresolved unit / layout"),I203*K203,"Not applicable")</x:f>
        <x:v>Not applicable</x:v>
      </x:c>
      <x:c r="O203" s="7" t="s">
        <x:v>1929</x:v>
      </x:c>
      <x:c r="P203" s="7" t="s">
        <x:v>1921</x:v>
      </x:c>
      <x:c r="Q203" s="7" t="s">
        <x:v>1930</x:v>
      </x:c>
      <x:c r="R203" s="7" t="s">
        <x:v>2003</x:v>
      </x:c>
      <x:c r="S203" s="7" t="s">
        <x:v>2077</x:v>
      </x:c>
      <x:c r="T203" s="7" t="s">
        <x:v>2078</x:v>
      </x:c>
      <x:c r="U203" s="7" t="s">
        <x:v>53</x:v>
      </x:c>
      <x:c r="V203" s="7" t="s">
        <x:v>2020</x:v>
      </x:c>
      <x:c r="W203" s="7" t="s">
        <x:v>58</x:v>
      </x:c>
      <x:c r="X203" s="7" t="s">
        <x:v>2383</x:v>
      </x:c>
      <x:c r="Y203" s="7" t="s">
        <x:v>1165</x:v>
      </x:c>
      <x:c r="Z203" s="7" t="s">
        <x:v>2216</x:v>
      </x:c>
      <x:c r="AA203" s="7" t="s">
        <x:v>58</x:v>
      </x:c>
      <x:c r="AB203" s="8" t="s">
        <x:v>58</x:v>
      </x:c>
      <x:c r="AC203" s="8" t="s">
        <x:v>58</x:v>
      </x:c>
      <x:c r="AD203" s="8" t="s">
        <x:v>58</x:v>
      </x:c>
      <x:c r="AE203" s="8" t="s">
        <x:v>58</x:v>
      </x:c>
      <x:c r="AF203" s="8" t="s">
        <x:v>58</x:v>
      </x:c>
      <x:c r="AG203" s="7" t="s">
        <x:v>58</x:v>
      </x:c>
    </x:row>
    <x:row r="204" ht="79.5" hidden="0" customHeight="1">
      <x:c r="A204" s="7" t="s">
        <x:v>2408</x:v>
      </x:c>
      <x:c r="B204" s="7" t="s">
        <x:v>171</x:v>
      </x:c>
      <x:c r="C204" s="7" t="s">
        <x:v>173</x:v>
      </x:c>
      <x:c r="D204" s="7" t="s">
        <x:v>2030</x:v>
      </x:c>
      <x:c r="E204" s="7" t="s">
        <x:v>2409</x:v>
      </x:c>
      <x:c r="F204" s="7" t="s">
        <x:v>2033</x:v>
      </x:c>
      <x:c r="G204" s="8" t="n">
        <x:v>58.9</x:v>
      </x:c>
      <x:c r="H204" s="8" t="n">
        <x:v>3.4</x:v>
      </x:c>
      <x:c r="I204" s="8" t="s">
        <x:v>58</x:v>
      </x:c>
      <x:c r="J204" s="7" t="s">
        <x:v>1919</x:v>
      </x:c>
      <x:c r="K204" s="8" t="n">
        <x:v>1</x:v>
      </x:c>
      <x:c r="L204" s="8" t="n">
        <x:f aca="0">IF(AND(ISNUMBER(G204),P204&lt;&gt;"Unresolved unit / layout"),G204*K204,"Not applicable")</x:f>
        <x:v>58.9</x:v>
      </x:c>
      <x:c r="M204" s="8" t="n">
        <x:f aca="0">IF(AND(ISNUMBER(H204),P204&lt;&gt;"Unresolved unit / layout"),H204*K204,"Not applicable")</x:f>
        <x:v>3.4</x:v>
      </x:c>
      <x:c r="N204" s="8" t="str">
        <x:f aca="0">IF(AND(ISNUMBER(I204),P204&lt;&gt;"Unresolved unit / layout"),I204*K204,"Not applicable")</x:f>
        <x:v>Not applicable</x:v>
      </x:c>
      <x:c r="O204" s="7" t="s">
        <x:v>2033</x:v>
      </x:c>
      <x:c r="P204" s="7" t="s">
        <x:v>1921</x:v>
      </x:c>
      <x:c r="Q204" s="7" t="s">
        <x:v>1930</x:v>
      </x:c>
      <x:c r="R204" s="7" t="s">
        <x:v>1931</x:v>
      </x:c>
      <x:c r="S204" s="7" t="s">
        <x:v>2077</x:v>
      </x:c>
      <x:c r="T204" s="7" t="s">
        <x:v>2078</x:v>
      </x:c>
      <x:c r="U204" s="7" t="s">
        <x:v>53</x:v>
      </x:c>
      <x:c r="V204" s="7" t="s">
        <x:v>2036</x:v>
      </x:c>
      <x:c r="W204" s="7" t="s">
        <x:v>2135</x:v>
      </x:c>
      <x:c r="X204" s="7" t="s">
        <x:v>2383</x:v>
      </x:c>
      <x:c r="Y204" s="7" t="s">
        <x:v>1165</x:v>
      </x:c>
      <x:c r="Z204" s="7" t="s">
        <x:v>2219</x:v>
      </x:c>
      <x:c r="AA204" s="7" t="s">
        <x:v>58</x:v>
      </x:c>
      <x:c r="AB204" s="8" t="s">
        <x:v>58</x:v>
      </x:c>
      <x:c r="AC204" s="8" t="s">
        <x:v>58</x:v>
      </x:c>
      <x:c r="AD204" s="8" t="s">
        <x:v>58</x:v>
      </x:c>
      <x:c r="AE204" s="8" t="s">
        <x:v>58</x:v>
      </x:c>
      <x:c r="AF204" s="8" t="s">
        <x:v>58</x:v>
      </x:c>
      <x:c r="AG204" s="7" t="s">
        <x:v>58</x:v>
      </x:c>
    </x:row>
    <x:row r="205" ht="79.5" hidden="0" customHeight="1">
      <x:c r="A205" s="7" t="s">
        <x:v>2410</x:v>
      </x:c>
      <x:c r="B205" s="7" t="s">
        <x:v>171</x:v>
      </x:c>
      <x:c r="C205" s="7" t="s">
        <x:v>173</x:v>
      </x:c>
      <x:c r="D205" s="7" t="s">
        <x:v>2030</x:v>
      </x:c>
      <x:c r="E205" s="7" t="s">
        <x:v>2411</x:v>
      </x:c>
      <x:c r="F205" s="7" t="s">
        <x:v>2033</x:v>
      </x:c>
      <x:c r="G205" s="8" t="n">
        <x:v>22.3</x:v>
      </x:c>
      <x:c r="H205" s="8" t="n">
        <x:v>0.9</x:v>
      </x:c>
      <x:c r="I205" s="8" t="s">
        <x:v>58</x:v>
      </x:c>
      <x:c r="J205" s="7" t="s">
        <x:v>1919</x:v>
      </x:c>
      <x:c r="K205" s="8" t="n">
        <x:v>1</x:v>
      </x:c>
      <x:c r="L205" s="8" t="n">
        <x:f aca="0">IF(AND(ISNUMBER(G205),P205&lt;&gt;"Unresolved unit / layout"),G205*K205,"Not applicable")</x:f>
        <x:v>22.3</x:v>
      </x:c>
      <x:c r="M205" s="8" t="n">
        <x:f aca="0">IF(AND(ISNUMBER(H205),P205&lt;&gt;"Unresolved unit / layout"),H205*K205,"Not applicable")</x:f>
        <x:v>0.9</x:v>
      </x:c>
      <x:c r="N205" s="8" t="str">
        <x:f aca="0">IF(AND(ISNUMBER(I205),P205&lt;&gt;"Unresolved unit / layout"),I205*K205,"Not applicable")</x:f>
        <x:v>Not applicable</x:v>
      </x:c>
      <x:c r="O205" s="7" t="s">
        <x:v>2033</x:v>
      </x:c>
      <x:c r="P205" s="7" t="s">
        <x:v>1921</x:v>
      </x:c>
      <x:c r="Q205" s="7" t="s">
        <x:v>1930</x:v>
      </x:c>
      <x:c r="R205" s="7" t="s">
        <x:v>1931</x:v>
      </x:c>
      <x:c r="S205" s="7" t="s">
        <x:v>2077</x:v>
      </x:c>
      <x:c r="T205" s="7" t="s">
        <x:v>2078</x:v>
      </x:c>
      <x:c r="U205" s="7" t="s">
        <x:v>53</x:v>
      </x:c>
      <x:c r="V205" s="7" t="s">
        <x:v>2036</x:v>
      </x:c>
      <x:c r="W205" s="7" t="s">
        <x:v>2139</x:v>
      </x:c>
      <x:c r="X205" s="7" t="s">
        <x:v>2383</x:v>
      </x:c>
      <x:c r="Y205" s="7" t="s">
        <x:v>1165</x:v>
      </x:c>
      <x:c r="Z205" s="7" t="s">
        <x:v>2222</x:v>
      </x:c>
      <x:c r="AA205" s="7" t="s">
        <x:v>58</x:v>
      </x:c>
      <x:c r="AB205" s="8" t="s">
        <x:v>58</x:v>
      </x:c>
      <x:c r="AC205" s="8" t="s">
        <x:v>58</x:v>
      </x:c>
      <x:c r="AD205" s="8" t="s">
        <x:v>58</x:v>
      </x:c>
      <x:c r="AE205" s="8" t="s">
        <x:v>58</x:v>
      </x:c>
      <x:c r="AF205" s="8" t="s">
        <x:v>58</x:v>
      </x:c>
      <x:c r="AG205" s="7" t="s">
        <x:v>58</x:v>
      </x:c>
    </x:row>
    <x:row r="206" ht="79.5" hidden="0" customHeight="1">
      <x:c r="A206" s="7" t="s">
        <x:v>2412</x:v>
      </x:c>
      <x:c r="B206" s="7" t="s">
        <x:v>171</x:v>
      </x:c>
      <x:c r="C206" s="7" t="s">
        <x:v>173</x:v>
      </x:c>
      <x:c r="D206" s="7" t="s">
        <x:v>2030</x:v>
      </x:c>
      <x:c r="E206" s="7" t="s">
        <x:v>2413</x:v>
      </x:c>
      <x:c r="F206" s="7" t="s">
        <x:v>2033</x:v>
      </x:c>
      <x:c r="G206" s="8" t="n">
        <x:v>16.8</x:v>
      </x:c>
      <x:c r="H206" s="8" t="n">
        <x:v>1.2</x:v>
      </x:c>
      <x:c r="I206" s="8" t="s">
        <x:v>58</x:v>
      </x:c>
      <x:c r="J206" s="7" t="s">
        <x:v>1919</x:v>
      </x:c>
      <x:c r="K206" s="8" t="n">
        <x:v>1</x:v>
      </x:c>
      <x:c r="L206" s="8" t="n">
        <x:f aca="0">IF(AND(ISNUMBER(G206),P206&lt;&gt;"Unresolved unit / layout"),G206*K206,"Not applicable")</x:f>
        <x:v>16.8</x:v>
      </x:c>
      <x:c r="M206" s="8" t="n">
        <x:f aca="0">IF(AND(ISNUMBER(H206),P206&lt;&gt;"Unresolved unit / layout"),H206*K206,"Not applicable")</x:f>
        <x:v>1.2</x:v>
      </x:c>
      <x:c r="N206" s="8" t="str">
        <x:f aca="0">IF(AND(ISNUMBER(I206),P206&lt;&gt;"Unresolved unit / layout"),I206*K206,"Not applicable")</x:f>
        <x:v>Not applicable</x:v>
      </x:c>
      <x:c r="O206" s="7" t="s">
        <x:v>2033</x:v>
      </x:c>
      <x:c r="P206" s="7" t="s">
        <x:v>1921</x:v>
      </x:c>
      <x:c r="Q206" s="7" t="s">
        <x:v>1930</x:v>
      </x:c>
      <x:c r="R206" s="7" t="s">
        <x:v>2003</x:v>
      </x:c>
      <x:c r="S206" s="7" t="s">
        <x:v>2077</x:v>
      </x:c>
      <x:c r="T206" s="7" t="s">
        <x:v>2078</x:v>
      </x:c>
      <x:c r="U206" s="7" t="s">
        <x:v>53</x:v>
      </x:c>
      <x:c r="V206" s="7" t="s">
        <x:v>2036</x:v>
      </x:c>
      <x:c r="W206" s="7" t="s">
        <x:v>53</x:v>
      </x:c>
      <x:c r="X206" s="7" t="s">
        <x:v>2383</x:v>
      </x:c>
      <x:c r="Y206" s="7" t="s">
        <x:v>1165</x:v>
      </x:c>
      <x:c r="Z206" s="7" t="s">
        <x:v>2225</x:v>
      </x:c>
      <x:c r="AA206" s="7" t="s">
        <x:v>58</x:v>
      </x:c>
      <x:c r="AB206" s="8" t="s">
        <x:v>58</x:v>
      </x:c>
      <x:c r="AC206" s="8" t="s">
        <x:v>58</x:v>
      </x:c>
      <x:c r="AD206" s="8" t="s">
        <x:v>58</x:v>
      </x:c>
      <x:c r="AE206" s="8" t="s">
        <x:v>58</x:v>
      </x:c>
      <x:c r="AF206" s="8" t="s">
        <x:v>58</x:v>
      </x:c>
      <x:c r="AG206" s="7" t="s">
        <x:v>58</x:v>
      </x:c>
    </x:row>
    <x:row r="207" ht="79.5" hidden="0" customHeight="1">
      <x:c r="A207" s="7" t="s">
        <x:v>2414</x:v>
      </x:c>
      <x:c r="B207" s="7" t="s">
        <x:v>181</x:v>
      </x:c>
      <x:c r="C207" s="7" t="s">
        <x:v>183</x:v>
      </x:c>
      <x:c r="D207" s="7" t="s">
        <x:v>1916</x:v>
      </x:c>
      <x:c r="E207" s="7" t="s">
        <x:v>2267</x:v>
      </x:c>
      <x:c r="F207" s="7" t="s">
        <x:v>2076</x:v>
      </x:c>
      <x:c r="G207" s="8" t="n">
        <x:v>1.22</x:v>
      </x:c>
      <x:c r="H207" s="8" t="s">
        <x:v>58</x:v>
      </x:c>
      <x:c r="I207" s="8" t="s">
        <x:v>58</x:v>
      </x:c>
      <x:c r="J207" s="7" t="s">
        <x:v>1919</x:v>
      </x:c>
      <x:c r="K207" s="8" t="n">
        <x:v>1000</x:v>
      </x:c>
      <x:c r="L207" s="8" t="n">
        <x:f aca="0">IF(AND(ISNUMBER(G207),P207&lt;&gt;"Unresolved unit / layout"),G207*K207,"Not applicable")</x:f>
        <x:v>1220</x:v>
      </x:c>
      <x:c r="M207" s="8" t="str">
        <x:f aca="0">IF(AND(ISNUMBER(H207),P207&lt;&gt;"Unresolved unit / layout"),H207*K207,"Not applicable")</x:f>
        <x:v>Not applicable</x:v>
      </x:c>
      <x:c r="N207" s="8" t="str">
        <x:f aca="0">IF(AND(ISNUMBER(I207),P207&lt;&gt;"Unresolved unit / layout"),I207*K207,"Not applicable")</x:f>
        <x:v>Not applicable</x:v>
      </x:c>
      <x:c r="O207" s="7" t="s">
        <x:v>1920</x:v>
      </x:c>
      <x:c r="P207" s="7" t="s">
        <x:v>1921</x:v>
      </x:c>
      <x:c r="Q207" s="7" t="s">
        <x:v>1922</x:v>
      </x:c>
      <x:c r="R207" s="7" t="s">
        <x:v>58</x:v>
      </x:c>
      <x:c r="S207" s="7" t="s">
        <x:v>2077</x:v>
      </x:c>
      <x:c r="T207" s="7" t="s">
        <x:v>2078</x:v>
      </x:c>
      <x:c r="U207" s="7" t="s">
        <x:v>53</x:v>
      </x:c>
      <x:c r="V207" s="7" t="s">
        <x:v>1923</x:v>
      </x:c>
      <x:c r="W207" s="7" t="s">
        <x:v>58</x:v>
      </x:c>
      <x:c r="X207" s="7" t="s">
        <x:v>2415</x:v>
      </x:c>
      <x:c r="Y207" s="7" t="s">
        <x:v>1166</x:v>
      </x:c>
      <x:c r="Z207" s="7" t="s">
        <x:v>1968</x:v>
      </x:c>
      <x:c r="AA207" s="7" t="s">
        <x:v>58</x:v>
      </x:c>
      <x:c r="AB207" s="8" t="s">
        <x:v>58</x:v>
      </x:c>
      <x:c r="AC207" s="8" t="s">
        <x:v>58</x:v>
      </x:c>
      <x:c r="AD207" s="8" t="s">
        <x:v>58</x:v>
      </x:c>
      <x:c r="AE207" s="8" t="s">
        <x:v>58</x:v>
      </x:c>
      <x:c r="AF207" s="8" t="s">
        <x:v>58</x:v>
      </x:c>
      <x:c r="AG207" s="7" t="s">
        <x:v>58</x:v>
      </x:c>
    </x:row>
    <x:row r="208" ht="79.5" hidden="0" customHeight="1">
      <x:c r="A208" s="7" t="s">
        <x:v>2416</x:v>
      </x:c>
      <x:c r="B208" s="7" t="s">
        <x:v>181</x:v>
      </x:c>
      <x:c r="C208" s="7" t="s">
        <x:v>183</x:v>
      </x:c>
      <x:c r="D208" s="7" t="s">
        <x:v>1974</x:v>
      </x:c>
      <x:c r="E208" s="7" t="s">
        <x:v>2270</x:v>
      </x:c>
      <x:c r="F208" s="7" t="s">
        <x:v>1956</x:v>
      </x:c>
      <x:c r="G208" s="8" t="n">
        <x:v>156</x:v>
      </x:c>
      <x:c r="H208" s="8" t="s">
        <x:v>58</x:v>
      </x:c>
      <x:c r="I208" s="8" t="s">
        <x:v>58</x:v>
      </x:c>
      <x:c r="J208" s="7" t="s">
        <x:v>1919</x:v>
      </x:c>
      <x:c r="K208" s="8" t="n">
        <x:v>1</x:v>
      </x:c>
      <x:c r="L208" s="8" t="n">
        <x:f aca="0">IF(AND(ISNUMBER(G208),P208&lt;&gt;"Unresolved unit / layout"),G208*K208,"Not applicable")</x:f>
        <x:v>156</x:v>
      </x:c>
      <x:c r="M208" s="8" t="str">
        <x:f aca="0">IF(AND(ISNUMBER(H208),P208&lt;&gt;"Unresolved unit / layout"),H208*K208,"Not applicable")</x:f>
        <x:v>Not applicable</x:v>
      </x:c>
      <x:c r="N208" s="8" t="str">
        <x:f aca="0">IF(AND(ISNUMBER(I208),P208&lt;&gt;"Unresolved unit / layout"),I208*K208,"Not applicable")</x:f>
        <x:v>Not applicable</x:v>
      </x:c>
      <x:c r="O208" s="7" t="s">
        <x:v>1956</x:v>
      </x:c>
      <x:c r="P208" s="7" t="s">
        <x:v>1921</x:v>
      </x:c>
      <x:c r="Q208" s="7" t="s">
        <x:v>1930</x:v>
      </x:c>
      <x:c r="R208" s="7" t="s">
        <x:v>58</x:v>
      </x:c>
      <x:c r="S208" s="7" t="s">
        <x:v>2077</x:v>
      </x:c>
      <x:c r="T208" s="7" t="s">
        <x:v>2078</x:v>
      </x:c>
      <x:c r="U208" s="7" t="s">
        <x:v>53</x:v>
      </x:c>
      <x:c r="V208" s="7" t="s">
        <x:v>2082</x:v>
      </x:c>
      <x:c r="W208" s="7" t="s">
        <x:v>58</x:v>
      </x:c>
      <x:c r="X208" s="7" t="s">
        <x:v>2415</x:v>
      </x:c>
      <x:c r="Y208" s="7" t="s">
        <x:v>1166</x:v>
      </x:c>
      <x:c r="Z208" s="7" t="s">
        <x:v>2083</x:v>
      </x:c>
      <x:c r="AA208" s="7" t="s">
        <x:v>58</x:v>
      </x:c>
      <x:c r="AB208" s="8" t="s">
        <x:v>58</x:v>
      </x:c>
      <x:c r="AC208" s="8" t="s">
        <x:v>58</x:v>
      </x:c>
      <x:c r="AD208" s="8" t="s">
        <x:v>58</x:v>
      </x:c>
      <x:c r="AE208" s="8" t="s">
        <x:v>58</x:v>
      </x:c>
      <x:c r="AF208" s="8" t="s">
        <x:v>58</x:v>
      </x:c>
      <x:c r="AG208" s="7" t="s">
        <x:v>58</x:v>
      </x:c>
    </x:row>
    <x:row r="209" ht="79.5" hidden="0" customHeight="1">
      <x:c r="A209" s="7" t="s">
        <x:v>2417</x:v>
      </x:c>
      <x:c r="B209" s="7" t="s">
        <x:v>181</x:v>
      </x:c>
      <x:c r="C209" s="7" t="s">
        <x:v>183</x:v>
      </x:c>
      <x:c r="D209" s="7" t="s">
        <x:v>1954</x:v>
      </x:c>
      <x:c r="E209" s="7" t="s">
        <x:v>2316</x:v>
      </x:c>
      <x:c r="F209" s="7" t="s">
        <x:v>1956</x:v>
      </x:c>
      <x:c r="G209" s="8" t="n">
        <x:v>56</x:v>
      </x:c>
      <x:c r="H209" s="8" t="s">
        <x:v>58</x:v>
      </x:c>
      <x:c r="I209" s="8" t="s">
        <x:v>58</x:v>
      </x:c>
      <x:c r="J209" s="7" t="s">
        <x:v>1919</x:v>
      </x:c>
      <x:c r="K209" s="8" t="n">
        <x:v>1</x:v>
      </x:c>
      <x:c r="L209" s="8" t="n">
        <x:f aca="0">IF(AND(ISNUMBER(G209),P209&lt;&gt;"Unresolved unit / layout"),G209*K209,"Not applicable")</x:f>
        <x:v>56</x:v>
      </x:c>
      <x:c r="M209" s="8" t="str">
        <x:f aca="0">IF(AND(ISNUMBER(H209),P209&lt;&gt;"Unresolved unit / layout"),H209*K209,"Not applicable")</x:f>
        <x:v>Not applicable</x:v>
      </x:c>
      <x:c r="N209" s="8" t="str">
        <x:f aca="0">IF(AND(ISNUMBER(I209),P209&lt;&gt;"Unresolved unit / layout"),I209*K209,"Not applicable")</x:f>
        <x:v>Not applicable</x:v>
      </x:c>
      <x:c r="O209" s="7" t="s">
        <x:v>1956</x:v>
      </x:c>
      <x:c r="P209" s="7" t="s">
        <x:v>1921</x:v>
      </x:c>
      <x:c r="Q209" s="7" t="s">
        <x:v>1930</x:v>
      </x:c>
      <x:c r="R209" s="7" t="s">
        <x:v>58</x:v>
      </x:c>
      <x:c r="S209" s="7" t="s">
        <x:v>2077</x:v>
      </x:c>
      <x:c r="T209" s="7" t="s">
        <x:v>2078</x:v>
      </x:c>
      <x:c r="U209" s="7" t="s">
        <x:v>53</x:v>
      </x:c>
      <x:c r="V209" s="7" t="s">
        <x:v>2082</x:v>
      </x:c>
      <x:c r="W209" s="7" t="s">
        <x:v>58</x:v>
      </x:c>
      <x:c r="X209" s="7" t="s">
        <x:v>2415</x:v>
      </x:c>
      <x:c r="Y209" s="7" t="s">
        <x:v>1166</x:v>
      </x:c>
      <x:c r="Z209" s="7" t="s">
        <x:v>2086</x:v>
      </x:c>
      <x:c r="AA209" s="7" t="s">
        <x:v>58</x:v>
      </x:c>
      <x:c r="AB209" s="8" t="s">
        <x:v>58</x:v>
      </x:c>
      <x:c r="AC209" s="8" t="s">
        <x:v>58</x:v>
      </x:c>
      <x:c r="AD209" s="8" t="s">
        <x:v>58</x:v>
      </x:c>
      <x:c r="AE209" s="8" t="s">
        <x:v>58</x:v>
      </x:c>
      <x:c r="AF209" s="8" t="s">
        <x:v>58</x:v>
      </x:c>
      <x:c r="AG209" s="7" t="s">
        <x:v>58</x:v>
      </x:c>
    </x:row>
    <x:row r="210" ht="79.5" hidden="0" customHeight="1">
      <x:c r="A210" s="7" t="s">
        <x:v>2418</x:v>
      </x:c>
      <x:c r="B210" s="7" t="s">
        <x:v>181</x:v>
      </x:c>
      <x:c r="C210" s="7" t="s">
        <x:v>183</x:v>
      </x:c>
      <x:c r="D210" s="7" t="s">
        <x:v>1982</x:v>
      </x:c>
      <x:c r="E210" s="7" t="s">
        <x:v>2091</x:v>
      </x:c>
      <x:c r="F210" s="7" t="s">
        <x:v>1956</x:v>
      </x:c>
      <x:c r="G210" s="8" t="n">
        <x:v>57</x:v>
      </x:c>
      <x:c r="H210" s="8" t="s">
        <x:v>58</x:v>
      </x:c>
      <x:c r="I210" s="8" t="s">
        <x:v>58</x:v>
      </x:c>
      <x:c r="J210" s="7" t="s">
        <x:v>1919</x:v>
      </x:c>
      <x:c r="K210" s="8" t="n">
        <x:v>1</x:v>
      </x:c>
      <x:c r="L210" s="8" t="n">
        <x:f aca="0">IF(AND(ISNUMBER(G210),P210&lt;&gt;"Unresolved unit / layout"),G210*K210,"Not applicable")</x:f>
        <x:v>57</x:v>
      </x:c>
      <x:c r="M210" s="8" t="str">
        <x:f aca="0">IF(AND(ISNUMBER(H210),P210&lt;&gt;"Unresolved unit / layout"),H210*K210,"Not applicable")</x:f>
        <x:v>Not applicable</x:v>
      </x:c>
      <x:c r="N210" s="8" t="str">
        <x:f aca="0">IF(AND(ISNUMBER(I210),P210&lt;&gt;"Unresolved unit / layout"),I210*K210,"Not applicable")</x:f>
        <x:v>Not applicable</x:v>
      </x:c>
      <x:c r="O210" s="7" t="s">
        <x:v>1956</x:v>
      </x:c>
      <x:c r="P210" s="7" t="s">
        <x:v>1921</x:v>
      </x:c>
      <x:c r="Q210" s="7" t="s">
        <x:v>1930</x:v>
      </x:c>
      <x:c r="R210" s="7" t="s">
        <x:v>58</x:v>
      </x:c>
      <x:c r="S210" s="7" t="s">
        <x:v>2077</x:v>
      </x:c>
      <x:c r="T210" s="7" t="s">
        <x:v>2078</x:v>
      </x:c>
      <x:c r="U210" s="7" t="s">
        <x:v>53</x:v>
      </x:c>
      <x:c r="V210" s="7" t="s">
        <x:v>1984</x:v>
      </x:c>
      <x:c r="W210" s="7" t="s">
        <x:v>58</x:v>
      </x:c>
      <x:c r="X210" s="7" t="s">
        <x:v>2415</x:v>
      </x:c>
      <x:c r="Y210" s="7" t="s">
        <x:v>1166</x:v>
      </x:c>
      <x:c r="Z210" s="7" t="s">
        <x:v>2092</x:v>
      </x:c>
      <x:c r="AA210" s="7" t="s">
        <x:v>58</x:v>
      </x:c>
      <x:c r="AB210" s="8" t="s">
        <x:v>58</x:v>
      </x:c>
      <x:c r="AC210" s="8" t="s">
        <x:v>58</x:v>
      </x:c>
      <x:c r="AD210" s="8" t="s">
        <x:v>58</x:v>
      </x:c>
      <x:c r="AE210" s="8" t="s">
        <x:v>58</x:v>
      </x:c>
      <x:c r="AF210" s="8" t="s">
        <x:v>58</x:v>
      </x:c>
      <x:c r="AG210" s="7" t="s">
        <x:v>58</x:v>
      </x:c>
    </x:row>
    <x:row r="211" ht="79.5" hidden="0" customHeight="1">
      <x:c r="A211" s="7" t="s">
        <x:v>2419</x:v>
      </x:c>
      <x:c r="B211" s="7" t="s">
        <x:v>181</x:v>
      </x:c>
      <x:c r="C211" s="7" t="s">
        <x:v>183</x:v>
      </x:c>
      <x:c r="D211" s="7" t="s">
        <x:v>1959</x:v>
      </x:c>
      <x:c r="E211" s="7" t="s">
        <x:v>1991</x:v>
      </x:c>
      <x:c r="F211" s="7" t="s">
        <x:v>1956</x:v>
      </x:c>
      <x:c r="G211" s="8" t="n">
        <x:v>53</x:v>
      </x:c>
      <x:c r="H211" s="8" t="s">
        <x:v>58</x:v>
      </x:c>
      <x:c r="I211" s="8" t="s">
        <x:v>58</x:v>
      </x:c>
      <x:c r="J211" s="7" t="s">
        <x:v>1919</x:v>
      </x:c>
      <x:c r="K211" s="8" t="n">
        <x:v>1</x:v>
      </x:c>
      <x:c r="L211" s="8" t="n">
        <x:f aca="0">IF(AND(ISNUMBER(G211),P211&lt;&gt;"Unresolved unit / layout"),G211*K211,"Not applicable")</x:f>
        <x:v>53</x:v>
      </x:c>
      <x:c r="M211" s="8" t="str">
        <x:f aca="0">IF(AND(ISNUMBER(H211),P211&lt;&gt;"Unresolved unit / layout"),H211*K211,"Not applicable")</x:f>
        <x:v>Not applicable</x:v>
      </x:c>
      <x:c r="N211" s="8" t="str">
        <x:f aca="0">IF(AND(ISNUMBER(I211),P211&lt;&gt;"Unresolved unit / layout"),I211*K211,"Not applicable")</x:f>
        <x:v>Not applicable</x:v>
      </x:c>
      <x:c r="O211" s="7" t="s">
        <x:v>1956</x:v>
      </x:c>
      <x:c r="P211" s="7" t="s">
        <x:v>1921</x:v>
      </x:c>
      <x:c r="Q211" s="7" t="s">
        <x:v>1930</x:v>
      </x:c>
      <x:c r="R211" s="7" t="s">
        <x:v>58</x:v>
      </x:c>
      <x:c r="S211" s="7" t="s">
        <x:v>2077</x:v>
      </x:c>
      <x:c r="T211" s="7" t="s">
        <x:v>2078</x:v>
      </x:c>
      <x:c r="U211" s="7" t="s">
        <x:v>53</x:v>
      </x:c>
      <x:c r="V211" s="7" t="s">
        <x:v>2095</x:v>
      </x:c>
      <x:c r="W211" s="7" t="s">
        <x:v>58</x:v>
      </x:c>
      <x:c r="X211" s="7" t="s">
        <x:v>2415</x:v>
      </x:c>
      <x:c r="Y211" s="7" t="s">
        <x:v>1166</x:v>
      </x:c>
      <x:c r="Z211" s="7" t="s">
        <x:v>2096</x:v>
      </x:c>
      <x:c r="AA211" s="7" t="s">
        <x:v>58</x:v>
      </x:c>
      <x:c r="AB211" s="8" t="s">
        <x:v>58</x:v>
      </x:c>
      <x:c r="AC211" s="8" t="s">
        <x:v>58</x:v>
      </x:c>
      <x:c r="AD211" s="8" t="s">
        <x:v>58</x:v>
      </x:c>
      <x:c r="AE211" s="8" t="s">
        <x:v>58</x:v>
      </x:c>
      <x:c r="AF211" s="8" t="s">
        <x:v>58</x:v>
      </x:c>
      <x:c r="AG211" s="7" t="s">
        <x:v>58</x:v>
      </x:c>
    </x:row>
    <x:row r="212" ht="79.5" hidden="0" customHeight="1">
      <x:c r="A212" s="7" t="s">
        <x:v>186</x:v>
      </x:c>
      <x:c r="B212" s="7" t="s">
        <x:v>181</x:v>
      </x:c>
      <x:c r="C212" s="7" t="s">
        <x:v>183</x:v>
      </x:c>
      <x:c r="D212" s="7" t="s">
        <x:v>1959</x:v>
      </x:c>
      <x:c r="E212" s="7" t="s">
        <x:v>2316</x:v>
      </x:c>
      <x:c r="F212" s="7" t="s">
        <x:v>1956</x:v>
      </x:c>
      <x:c r="G212" s="8" t="n">
        <x:v>56</x:v>
      </x:c>
      <x:c r="H212" s="8" t="s">
        <x:v>58</x:v>
      </x:c>
      <x:c r="I212" s="8" t="s">
        <x:v>58</x:v>
      </x:c>
      <x:c r="J212" s="7" t="s">
        <x:v>1919</x:v>
      </x:c>
      <x:c r="K212" s="8" t="n">
        <x:v>1</x:v>
      </x:c>
      <x:c r="L212" s="8" t="n">
        <x:f aca="0">IF(AND(ISNUMBER(G212),P212&lt;&gt;"Unresolved unit / layout"),G212*K212,"Not applicable")</x:f>
        <x:v>56</x:v>
      </x:c>
      <x:c r="M212" s="8" t="str">
        <x:f aca="0">IF(AND(ISNUMBER(H212),P212&lt;&gt;"Unresolved unit / layout"),H212*K212,"Not applicable")</x:f>
        <x:v>Not applicable</x:v>
      </x:c>
      <x:c r="N212" s="8" t="str">
        <x:f aca="0">IF(AND(ISNUMBER(I212),P212&lt;&gt;"Unresolved unit / layout"),I212*K212,"Not applicable")</x:f>
        <x:v>Not applicable</x:v>
      </x:c>
      <x:c r="O212" s="7" t="s">
        <x:v>1956</x:v>
      </x:c>
      <x:c r="P212" s="7" t="s">
        <x:v>1921</x:v>
      </x:c>
      <x:c r="Q212" s="7" t="s">
        <x:v>1930</x:v>
      </x:c>
      <x:c r="R212" s="7" t="s">
        <x:v>58</x:v>
      </x:c>
      <x:c r="S212" s="7" t="s">
        <x:v>2077</x:v>
      </x:c>
      <x:c r="T212" s="7" t="s">
        <x:v>2078</x:v>
      </x:c>
      <x:c r="U212" s="7" t="s">
        <x:v>53</x:v>
      </x:c>
      <x:c r="V212" s="7" t="s">
        <x:v>2097</x:v>
      </x:c>
      <x:c r="W212" s="7" t="s">
        <x:v>58</x:v>
      </x:c>
      <x:c r="X212" s="7" t="s">
        <x:v>2415</x:v>
      </x:c>
      <x:c r="Y212" s="7" t="s">
        <x:v>1166</x:v>
      </x:c>
      <x:c r="Z212" s="7" t="s">
        <x:v>2096</x:v>
      </x:c>
      <x:c r="AA212" s="7" t="s">
        <x:v>58</x:v>
      </x:c>
      <x:c r="AB212" s="8" t="s">
        <x:v>58</x:v>
      </x:c>
      <x:c r="AC212" s="8" t="s">
        <x:v>58</x:v>
      </x:c>
      <x:c r="AD212" s="8" t="s">
        <x:v>58</x:v>
      </x:c>
      <x:c r="AE212" s="8" t="s">
        <x:v>58</x:v>
      </x:c>
      <x:c r="AF212" s="8" t="s">
        <x:v>58</x:v>
      </x:c>
      <x:c r="AG212" s="7" t="s">
        <x:v>58</x:v>
      </x:c>
    </x:row>
    <x:row r="213" ht="79.5" hidden="0" customHeight="1">
      <x:c r="A213" s="7" t="s">
        <x:v>2420</x:v>
      </x:c>
      <x:c r="B213" s="7" t="s">
        <x:v>181</x:v>
      </x:c>
      <x:c r="C213" s="7" t="s">
        <x:v>183</x:v>
      </x:c>
      <x:c r="D213" s="7" t="s">
        <x:v>2099</x:v>
      </x:c>
      <x:c r="E213" s="7" t="s">
        <x:v>2421</x:v>
      </x:c>
      <x:c r="F213" s="7" t="s">
        <x:v>1942</x:v>
      </x:c>
      <x:c r="G213" s="8" t="n">
        <x:v>0.44</x:v>
      </x:c>
      <x:c r="H213" s="8" t="s">
        <x:v>58</x:v>
      </x:c>
      <x:c r="I213" s="8" t="s">
        <x:v>58</x:v>
      </x:c>
      <x:c r="J213" s="7" t="s">
        <x:v>1919</x:v>
      </x:c>
      <x:c r="K213" s="8" t="n">
        <x:v>1</x:v>
      </x:c>
      <x:c r="L213" s="8" t="n">
        <x:f aca="0">IF(AND(ISNUMBER(G213),P213&lt;&gt;"Unresolved unit / layout"),G213*K213,"Not applicable")</x:f>
        <x:v>0.44</x:v>
      </x:c>
      <x:c r="M213" s="8" t="str">
        <x:f aca="0">IF(AND(ISNUMBER(H213),P213&lt;&gt;"Unresolved unit / layout"),H213*K213,"Not applicable")</x:f>
        <x:v>Not applicable</x:v>
      </x:c>
      <x:c r="N213" s="8" t="str">
        <x:f aca="0">IF(AND(ISNUMBER(I213),P213&lt;&gt;"Unresolved unit / layout"),I213*K213,"Not applicable")</x:f>
        <x:v>Not applicable</x:v>
      </x:c>
      <x:c r="O213" s="7" t="s">
        <x:v>1942</x:v>
      </x:c>
      <x:c r="P213" s="7" t="s">
        <x:v>1921</x:v>
      </x:c>
      <x:c r="Q213" s="7" t="s">
        <x:v>1930</x:v>
      </x:c>
      <x:c r="R213" s="7" t="s">
        <x:v>58</x:v>
      </x:c>
      <x:c r="S213" s="7" t="s">
        <x:v>2077</x:v>
      </x:c>
      <x:c r="T213" s="7" t="s">
        <x:v>2078</x:v>
      </x:c>
      <x:c r="U213" s="7" t="s">
        <x:v>53</x:v>
      </x:c>
      <x:c r="V213" s="7" t="s">
        <x:v>2192</x:v>
      </x:c>
      <x:c r="W213" s="7" t="s">
        <x:v>58</x:v>
      </x:c>
      <x:c r="X213" s="7" t="s">
        <x:v>2415</x:v>
      </x:c>
      <x:c r="Y213" s="7" t="s">
        <x:v>1166</x:v>
      </x:c>
      <x:c r="Z213" s="7" t="s">
        <x:v>2193</x:v>
      </x:c>
      <x:c r="AA213" s="7" t="s">
        <x:v>58</x:v>
      </x:c>
      <x:c r="AB213" s="8" t="s">
        <x:v>58</x:v>
      </x:c>
      <x:c r="AC213" s="8" t="s">
        <x:v>58</x:v>
      </x:c>
      <x:c r="AD213" s="8" t="s">
        <x:v>58</x:v>
      </x:c>
      <x:c r="AE213" s="8" t="s">
        <x:v>58</x:v>
      </x:c>
      <x:c r="AF213" s="8" t="s">
        <x:v>58</x:v>
      </x:c>
      <x:c r="AG213" s="7" t="s">
        <x:v>58</x:v>
      </x:c>
    </x:row>
    <x:row r="214" ht="79.5" hidden="0" customHeight="1">
      <x:c r="A214" s="7" t="s">
        <x:v>2422</x:v>
      </x:c>
      <x:c r="B214" s="7" t="s">
        <x:v>181</x:v>
      </x:c>
      <x:c r="C214" s="7" t="s">
        <x:v>183</x:v>
      </x:c>
      <x:c r="D214" s="7" t="s">
        <x:v>1935</x:v>
      </x:c>
      <x:c r="E214" s="7" t="s">
        <x:v>2423</x:v>
      </x:c>
      <x:c r="F214" s="7" t="s">
        <x:v>1929</x:v>
      </x:c>
      <x:c r="G214" s="8" t="n">
        <x:v>2330</x:v>
      </x:c>
      <x:c r="H214" s="8" t="n">
        <x:v>240</x:v>
      </x:c>
      <x:c r="I214" s="8" t="s">
        <x:v>58</x:v>
      </x:c>
      <x:c r="J214" s="7" t="s">
        <x:v>1919</x:v>
      </x:c>
      <x:c r="K214" s="8" t="n">
        <x:v>0.001</x:v>
      </x:c>
      <x:c r="L214" s="8" t="n">
        <x:f aca="0">IF(AND(ISNUMBER(G214),P214&lt;&gt;"Unresolved unit / layout"),G214*K214,"Not applicable")</x:f>
        <x:v>2.33</x:v>
      </x:c>
      <x:c r="M214" s="8" t="n">
        <x:f aca="0">IF(AND(ISNUMBER(H214),P214&lt;&gt;"Unresolved unit / layout"),H214*K214,"Not applicable")</x:f>
        <x:v>0.24</x:v>
      </x:c>
      <x:c r="N214" s="8" t="str">
        <x:f aca="0">IF(AND(ISNUMBER(I214),P214&lt;&gt;"Unresolved unit / layout"),I214*K214,"Not applicable")</x:f>
        <x:v>Not applicable</x:v>
      </x:c>
      <x:c r="O214" s="7" t="s">
        <x:v>1937</x:v>
      </x:c>
      <x:c r="P214" s="7" t="s">
        <x:v>1921</x:v>
      </x:c>
      <x:c r="Q214" s="7" t="s">
        <x:v>1930</x:v>
      </x:c>
      <x:c r="R214" s="7" t="s">
        <x:v>1931</x:v>
      </x:c>
      <x:c r="S214" s="7" t="s">
        <x:v>2077</x:v>
      </x:c>
      <x:c r="T214" s="7" t="s">
        <x:v>2078</x:v>
      </x:c>
      <x:c r="U214" s="7" t="s">
        <x:v>53</x:v>
      </x:c>
      <x:c r="V214" s="7" t="s">
        <x:v>1999</x:v>
      </x:c>
      <x:c r="W214" s="7" t="s">
        <x:v>58</x:v>
      </x:c>
      <x:c r="X214" s="7" t="s">
        <x:v>2415</x:v>
      </x:c>
      <x:c r="Y214" s="7" t="s">
        <x:v>1166</x:v>
      </x:c>
      <x:c r="Z214" s="7" t="s">
        <x:v>2105</x:v>
      </x:c>
      <x:c r="AA214" s="7" t="s">
        <x:v>58</x:v>
      </x:c>
      <x:c r="AB214" s="8" t="s">
        <x:v>58</x:v>
      </x:c>
      <x:c r="AC214" s="8" t="s">
        <x:v>58</x:v>
      </x:c>
      <x:c r="AD214" s="8" t="s">
        <x:v>58</x:v>
      </x:c>
      <x:c r="AE214" s="8" t="s">
        <x:v>58</x:v>
      </x:c>
      <x:c r="AF214" s="8" t="s">
        <x:v>58</x:v>
      </x:c>
      <x:c r="AG214" s="7" t="s">
        <x:v>58</x:v>
      </x:c>
    </x:row>
    <x:row r="215" ht="79.5" hidden="0" customHeight="1">
      <x:c r="A215" s="7" t="s">
        <x:v>2424</x:v>
      </x:c>
      <x:c r="B215" s="7" t="s">
        <x:v>181</x:v>
      </x:c>
      <x:c r="C215" s="7" t="s">
        <x:v>183</x:v>
      </x:c>
      <x:c r="D215" s="7" t="s">
        <x:v>1935</x:v>
      </x:c>
      <x:c r="E215" s="7" t="s">
        <x:v>2425</x:v>
      </x:c>
      <x:c r="F215" s="7" t="s">
        <x:v>1929</x:v>
      </x:c>
      <x:c r="G215" s="8" t="n">
        <x:v>1970</x:v>
      </x:c>
      <x:c r="H215" s="8" t="n">
        <x:v>210</x:v>
      </x:c>
      <x:c r="I215" s="8" t="s">
        <x:v>58</x:v>
      </x:c>
      <x:c r="J215" s="7" t="s">
        <x:v>1919</x:v>
      </x:c>
      <x:c r="K215" s="8" t="n">
        <x:v>0.001</x:v>
      </x:c>
      <x:c r="L215" s="8" t="n">
        <x:f aca="0">IF(AND(ISNUMBER(G215),P215&lt;&gt;"Unresolved unit / layout"),G215*K215,"Not applicable")</x:f>
        <x:v>1.97</x:v>
      </x:c>
      <x:c r="M215" s="8" t="n">
        <x:f aca="0">IF(AND(ISNUMBER(H215),P215&lt;&gt;"Unresolved unit / layout"),H215*K215,"Not applicable")</x:f>
        <x:v>0.21</x:v>
      </x:c>
      <x:c r="N215" s="8" t="str">
        <x:f aca="0">IF(AND(ISNUMBER(I215),P215&lt;&gt;"Unresolved unit / layout"),I215*K215,"Not applicable")</x:f>
        <x:v>Not applicable</x:v>
      </x:c>
      <x:c r="O215" s="7" t="s">
        <x:v>1937</x:v>
      </x:c>
      <x:c r="P215" s="7" t="s">
        <x:v>1921</x:v>
      </x:c>
      <x:c r="Q215" s="7" t="s">
        <x:v>1930</x:v>
      </x:c>
      <x:c r="R215" s="7" t="s">
        <x:v>2003</x:v>
      </x:c>
      <x:c r="S215" s="7" t="s">
        <x:v>2077</x:v>
      </x:c>
      <x:c r="T215" s="7" t="s">
        <x:v>2078</x:v>
      </x:c>
      <x:c r="U215" s="7" t="s">
        <x:v>53</x:v>
      </x:c>
      <x:c r="V215" s="7" t="s">
        <x:v>1999</x:v>
      </x:c>
      <x:c r="W215" s="7" t="s">
        <x:v>58</x:v>
      </x:c>
      <x:c r="X215" s="7" t="s">
        <x:v>2415</x:v>
      </x:c>
      <x:c r="Y215" s="7" t="s">
        <x:v>1166</x:v>
      </x:c>
      <x:c r="Z215" s="7" t="s">
        <x:v>2108</x:v>
      </x:c>
      <x:c r="AA215" s="7" t="s">
        <x:v>58</x:v>
      </x:c>
      <x:c r="AB215" s="8" t="s">
        <x:v>58</x:v>
      </x:c>
      <x:c r="AC215" s="8" t="s">
        <x:v>58</x:v>
      </x:c>
      <x:c r="AD215" s="8" t="s">
        <x:v>58</x:v>
      </x:c>
      <x:c r="AE215" s="8" t="s">
        <x:v>58</x:v>
      </x:c>
      <x:c r="AF215" s="8" t="s">
        <x:v>58</x:v>
      </x:c>
      <x:c r="AG215" s="7" t="s">
        <x:v>58</x:v>
      </x:c>
    </x:row>
    <x:row r="216" ht="79.5" hidden="0" customHeight="1">
      <x:c r="A216" s="7" t="s">
        <x:v>2426</x:v>
      </x:c>
      <x:c r="B216" s="7" t="s">
        <x:v>181</x:v>
      </x:c>
      <x:c r="C216" s="7" t="s">
        <x:v>183</x:v>
      </x:c>
      <x:c r="D216" s="7" t="s">
        <x:v>2006</x:v>
      </x:c>
      <x:c r="E216" s="7" t="s">
        <x:v>2323</x:v>
      </x:c>
      <x:c r="F216" s="7" t="s">
        <x:v>1929</x:v>
      </x:c>
      <x:c r="G216" s="8" t="n">
        <x:v>33</x:v>
      </x:c>
      <x:c r="H216" s="8" t="n">
        <x:v>4</x:v>
      </x:c>
      <x:c r="I216" s="8" t="s">
        <x:v>58</x:v>
      </x:c>
      <x:c r="J216" s="7" t="s">
        <x:v>1919</x:v>
      </x:c>
      <x:c r="K216" s="8" t="n">
        <x:v>1</x:v>
      </x:c>
      <x:c r="L216" s="8" t="n">
        <x:f aca="0">IF(AND(ISNUMBER(G216),P216&lt;&gt;"Unresolved unit / layout"),G216*K216,"Not applicable")</x:f>
        <x:v>33</x:v>
      </x:c>
      <x:c r="M216" s="8" t="n">
        <x:f aca="0">IF(AND(ISNUMBER(H216),P216&lt;&gt;"Unresolved unit / layout"),H216*K216,"Not applicable")</x:f>
        <x:v>4</x:v>
      </x:c>
      <x:c r="N216" s="8" t="str">
        <x:f aca="0">IF(AND(ISNUMBER(I216),P216&lt;&gt;"Unresolved unit / layout"),I216*K216,"Not applicable")</x:f>
        <x:v>Not applicable</x:v>
      </x:c>
      <x:c r="O216" s="7" t="s">
        <x:v>1929</x:v>
      </x:c>
      <x:c r="P216" s="7" t="s">
        <x:v>1921</x:v>
      </x:c>
      <x:c r="Q216" s="7" t="s">
        <x:v>1930</x:v>
      </x:c>
      <x:c r="R216" s="7" t="s">
        <x:v>1931</x:v>
      </x:c>
      <x:c r="S216" s="7" t="s">
        <x:v>2077</x:v>
      </x:c>
      <x:c r="T216" s="7" t="s">
        <x:v>2078</x:v>
      </x:c>
      <x:c r="U216" s="7" t="s">
        <x:v>53</x:v>
      </x:c>
      <x:c r="V216" s="7" t="s">
        <x:v>1999</x:v>
      </x:c>
      <x:c r="W216" s="7" t="s">
        <x:v>58</x:v>
      </x:c>
      <x:c r="X216" s="7" t="s">
        <x:v>2415</x:v>
      </x:c>
      <x:c r="Y216" s="7" t="s">
        <x:v>1166</x:v>
      </x:c>
      <x:c r="Z216" s="7" t="s">
        <x:v>2111</x:v>
      </x:c>
      <x:c r="AA216" s="7" t="s">
        <x:v>58</x:v>
      </x:c>
      <x:c r="AB216" s="8" t="s">
        <x:v>58</x:v>
      </x:c>
      <x:c r="AC216" s="8" t="s">
        <x:v>58</x:v>
      </x:c>
      <x:c r="AD216" s="8" t="s">
        <x:v>58</x:v>
      </x:c>
      <x:c r="AE216" s="8" t="s">
        <x:v>58</x:v>
      </x:c>
      <x:c r="AF216" s="8" t="s">
        <x:v>58</x:v>
      </x:c>
      <x:c r="AG216" s="7" t="s">
        <x:v>58</x:v>
      </x:c>
    </x:row>
    <x:row r="217" ht="79.5" hidden="0" customHeight="1">
      <x:c r="A217" s="7" t="s">
        <x:v>2427</x:v>
      </x:c>
      <x:c r="B217" s="7" t="s">
        <x:v>181</x:v>
      </x:c>
      <x:c r="C217" s="7" t="s">
        <x:v>183</x:v>
      </x:c>
      <x:c r="D217" s="7" t="s">
        <x:v>2006</x:v>
      </x:c>
      <x:c r="E217" s="7" t="s">
        <x:v>2428</x:v>
      </x:c>
      <x:c r="F217" s="7" t="s">
        <x:v>1929</x:v>
      </x:c>
      <x:c r="G217" s="8" t="n">
        <x:v>30</x:v>
      </x:c>
      <x:c r="H217" s="8" t="n">
        <x:v>4</x:v>
      </x:c>
      <x:c r="I217" s="8" t="s">
        <x:v>58</x:v>
      </x:c>
      <x:c r="J217" s="7" t="s">
        <x:v>1919</x:v>
      </x:c>
      <x:c r="K217" s="8" t="n">
        <x:v>1</x:v>
      </x:c>
      <x:c r="L217" s="8" t="n">
        <x:f aca="0">IF(AND(ISNUMBER(G217),P217&lt;&gt;"Unresolved unit / layout"),G217*K217,"Not applicable")</x:f>
        <x:v>30</x:v>
      </x:c>
      <x:c r="M217" s="8" t="n">
        <x:f aca="0">IF(AND(ISNUMBER(H217),P217&lt;&gt;"Unresolved unit / layout"),H217*K217,"Not applicable")</x:f>
        <x:v>4</x:v>
      </x:c>
      <x:c r="N217" s="8" t="str">
        <x:f aca="0">IF(AND(ISNUMBER(I217),P217&lt;&gt;"Unresolved unit / layout"),I217*K217,"Not applicable")</x:f>
        <x:v>Not applicable</x:v>
      </x:c>
      <x:c r="O217" s="7" t="s">
        <x:v>1929</x:v>
      </x:c>
      <x:c r="P217" s="7" t="s">
        <x:v>1921</x:v>
      </x:c>
      <x:c r="Q217" s="7" t="s">
        <x:v>1930</x:v>
      </x:c>
      <x:c r="R217" s="7" t="s">
        <x:v>2003</x:v>
      </x:c>
      <x:c r="S217" s="7" t="s">
        <x:v>2077</x:v>
      </x:c>
      <x:c r="T217" s="7" t="s">
        <x:v>2078</x:v>
      </x:c>
      <x:c r="U217" s="7" t="s">
        <x:v>53</x:v>
      </x:c>
      <x:c r="V217" s="7" t="s">
        <x:v>1999</x:v>
      </x:c>
      <x:c r="W217" s="7" t="s">
        <x:v>58</x:v>
      </x:c>
      <x:c r="X217" s="7" t="s">
        <x:v>2415</x:v>
      </x:c>
      <x:c r="Y217" s="7" t="s">
        <x:v>1166</x:v>
      </x:c>
      <x:c r="Z217" s="7" t="s">
        <x:v>2114</x:v>
      </x:c>
      <x:c r="AA217" s="7" t="s">
        <x:v>58</x:v>
      </x:c>
      <x:c r="AB217" s="8" t="s">
        <x:v>58</x:v>
      </x:c>
      <x:c r="AC217" s="8" t="s">
        <x:v>58</x:v>
      </x:c>
      <x:c r="AD217" s="8" t="s">
        <x:v>58</x:v>
      </x:c>
      <x:c r="AE217" s="8" t="s">
        <x:v>58</x:v>
      </x:c>
      <x:c r="AF217" s="8" t="s">
        <x:v>58</x:v>
      </x:c>
      <x:c r="AG217" s="7" t="s">
        <x:v>58</x:v>
      </x:c>
    </x:row>
    <x:row r="218" ht="79.5" hidden="0" customHeight="1">
      <x:c r="A218" s="7" t="s">
        <x:v>2429</x:v>
      </x:c>
      <x:c r="B218" s="7" t="s">
        <x:v>181</x:v>
      </x:c>
      <x:c r="C218" s="7" t="s">
        <x:v>183</x:v>
      </x:c>
      <x:c r="D218" s="7" t="s">
        <x:v>1940</x:v>
      </x:c>
      <x:c r="E218" s="7" t="s">
        <x:v>2430</x:v>
      </x:c>
      <x:c r="F218" s="7" t="s">
        <x:v>1942</x:v>
      </x:c>
      <x:c r="G218" s="8" t="n">
        <x:v>6.7</x:v>
      </x:c>
      <x:c r="H218" s="8" t="n">
        <x:v>0.5</x:v>
      </x:c>
      <x:c r="I218" s="8" t="s">
        <x:v>58</x:v>
      </x:c>
      <x:c r="J218" s="7" t="s">
        <x:v>1919</x:v>
      </x:c>
      <x:c r="K218" s="8" t="n">
        <x:v>1</x:v>
      </x:c>
      <x:c r="L218" s="8" t="n">
        <x:f aca="0">IF(AND(ISNUMBER(G218),P218&lt;&gt;"Unresolved unit / layout"),G218*K218,"Not applicable")</x:f>
        <x:v>6.7</x:v>
      </x:c>
      <x:c r="M218" s="8" t="n">
        <x:f aca="0">IF(AND(ISNUMBER(H218),P218&lt;&gt;"Unresolved unit / layout"),H218*K218,"Not applicable")</x:f>
        <x:v>0.5</x:v>
      </x:c>
      <x:c r="N218" s="8" t="str">
        <x:f aca="0">IF(AND(ISNUMBER(I218),P218&lt;&gt;"Unresolved unit / layout"),I218*K218,"Not applicable")</x:f>
        <x:v>Not applicable</x:v>
      </x:c>
      <x:c r="O218" s="7" t="s">
        <x:v>1942</x:v>
      </x:c>
      <x:c r="P218" s="7" t="s">
        <x:v>1921</x:v>
      </x:c>
      <x:c r="Q218" s="7" t="s">
        <x:v>1930</x:v>
      </x:c>
      <x:c r="R218" s="7" t="s">
        <x:v>1931</x:v>
      </x:c>
      <x:c r="S218" s="7" t="s">
        <x:v>2077</x:v>
      </x:c>
      <x:c r="T218" s="7" t="s">
        <x:v>2078</x:v>
      </x:c>
      <x:c r="U218" s="7" t="s">
        <x:v>53</x:v>
      </x:c>
      <x:c r="V218" s="7" t="s">
        <x:v>1999</x:v>
      </x:c>
      <x:c r="W218" s="7" t="s">
        <x:v>58</x:v>
      </x:c>
      <x:c r="X218" s="7" t="s">
        <x:v>2415</x:v>
      </x:c>
      <x:c r="Y218" s="7" t="s">
        <x:v>1166</x:v>
      </x:c>
      <x:c r="Z218" s="7" t="s">
        <x:v>2117</x:v>
      </x:c>
      <x:c r="AA218" s="7" t="s">
        <x:v>58</x:v>
      </x:c>
      <x:c r="AB218" s="8" t="s">
        <x:v>58</x:v>
      </x:c>
      <x:c r="AC218" s="8" t="s">
        <x:v>58</x:v>
      </x:c>
      <x:c r="AD218" s="8" t="s">
        <x:v>58</x:v>
      </x:c>
      <x:c r="AE218" s="8" t="s">
        <x:v>58</x:v>
      </x:c>
      <x:c r="AF218" s="8" t="s">
        <x:v>58</x:v>
      </x:c>
      <x:c r="AG218" s="7" t="s">
        <x:v>58</x:v>
      </x:c>
    </x:row>
    <x:row r="219" ht="79.5" hidden="0" customHeight="1">
      <x:c r="A219" s="7" t="s">
        <x:v>2431</x:v>
      </x:c>
      <x:c r="B219" s="7" t="s">
        <x:v>181</x:v>
      </x:c>
      <x:c r="C219" s="7" t="s">
        <x:v>183</x:v>
      </x:c>
      <x:c r="D219" s="7" t="s">
        <x:v>1940</x:v>
      </x:c>
      <x:c r="E219" s="7" t="s">
        <x:v>2432</x:v>
      </x:c>
      <x:c r="F219" s="7" t="s">
        <x:v>1942</x:v>
      </x:c>
      <x:c r="G219" s="8" t="n">
        <x:v>5.3</x:v>
      </x:c>
      <x:c r="H219" s="8" t="n">
        <x:v>0.4</x:v>
      </x:c>
      <x:c r="I219" s="8" t="s">
        <x:v>58</x:v>
      </x:c>
      <x:c r="J219" s="7" t="s">
        <x:v>1919</x:v>
      </x:c>
      <x:c r="K219" s="8" t="n">
        <x:v>1</x:v>
      </x:c>
      <x:c r="L219" s="8" t="n">
        <x:f aca="0">IF(AND(ISNUMBER(G219),P219&lt;&gt;"Unresolved unit / layout"),G219*K219,"Not applicable")</x:f>
        <x:v>5.3</x:v>
      </x:c>
      <x:c r="M219" s="8" t="n">
        <x:f aca="0">IF(AND(ISNUMBER(H219),P219&lt;&gt;"Unresolved unit / layout"),H219*K219,"Not applicable")</x:f>
        <x:v>0.4</x:v>
      </x:c>
      <x:c r="N219" s="8" t="str">
        <x:f aca="0">IF(AND(ISNUMBER(I219),P219&lt;&gt;"Unresolved unit / layout"),I219*K219,"Not applicable")</x:f>
        <x:v>Not applicable</x:v>
      </x:c>
      <x:c r="O219" s="7" t="s">
        <x:v>1942</x:v>
      </x:c>
      <x:c r="P219" s="7" t="s">
        <x:v>1921</x:v>
      </x:c>
      <x:c r="Q219" s="7" t="s">
        <x:v>1930</x:v>
      </x:c>
      <x:c r="R219" s="7" t="s">
        <x:v>2003</x:v>
      </x:c>
      <x:c r="S219" s="7" t="s">
        <x:v>2077</x:v>
      </x:c>
      <x:c r="T219" s="7" t="s">
        <x:v>2078</x:v>
      </x:c>
      <x:c r="U219" s="7" t="s">
        <x:v>53</x:v>
      </x:c>
      <x:c r="V219" s="7" t="s">
        <x:v>1999</x:v>
      </x:c>
      <x:c r="W219" s="7" t="s">
        <x:v>58</x:v>
      </x:c>
      <x:c r="X219" s="7" t="s">
        <x:v>2415</x:v>
      </x:c>
      <x:c r="Y219" s="7" t="s">
        <x:v>1166</x:v>
      </x:c>
      <x:c r="Z219" s="7" t="s">
        <x:v>2120</x:v>
      </x:c>
      <x:c r="AA219" s="7" t="s">
        <x:v>58</x:v>
      </x:c>
      <x:c r="AB219" s="8" t="s">
        <x:v>58</x:v>
      </x:c>
      <x:c r="AC219" s="8" t="s">
        <x:v>58</x:v>
      </x:c>
      <x:c r="AD219" s="8" t="s">
        <x:v>58</x:v>
      </x:c>
      <x:c r="AE219" s="8" t="s">
        <x:v>58</x:v>
      </x:c>
      <x:c r="AF219" s="8" t="s">
        <x:v>58</x:v>
      </x:c>
      <x:c r="AG219" s="7" t="s">
        <x:v>58</x:v>
      </x:c>
    </x:row>
    <x:row r="220" ht="79.5" hidden="0" customHeight="1">
      <x:c r="A220" s="7" t="s">
        <x:v>2433</x:v>
      </x:c>
      <x:c r="B220" s="7" t="s">
        <x:v>181</x:v>
      </x:c>
      <x:c r="C220" s="7" t="s">
        <x:v>183</x:v>
      </x:c>
      <x:c r="D220" s="7" t="s">
        <x:v>1950</x:v>
      </x:c>
      <x:c r="E220" s="7" t="s">
        <x:v>2434</x:v>
      </x:c>
      <x:c r="F220" s="7" t="s">
        <x:v>1929</x:v>
      </x:c>
      <x:c r="G220" s="8" t="n">
        <x:v>2920</x:v>
      </x:c>
      <x:c r="H220" s="8" t="n">
        <x:v>180</x:v>
      </x:c>
      <x:c r="I220" s="8" t="s">
        <x:v>58</x:v>
      </x:c>
      <x:c r="J220" s="7" t="s">
        <x:v>1919</x:v>
      </x:c>
      <x:c r="K220" s="8" t="n">
        <x:v>0.001</x:v>
      </x:c>
      <x:c r="L220" s="8" t="n">
        <x:f aca="0">IF(AND(ISNUMBER(G220),P220&lt;&gt;"Unresolved unit / layout"),G220*K220,"Not applicable")</x:f>
        <x:v>2.92</x:v>
      </x:c>
      <x:c r="M220" s="8" t="n">
        <x:f aca="0">IF(AND(ISNUMBER(H220),P220&lt;&gt;"Unresolved unit / layout"),H220*K220,"Not applicable")</x:f>
        <x:v>0.18</x:v>
      </x:c>
      <x:c r="N220" s="8" t="str">
        <x:f aca="0">IF(AND(ISNUMBER(I220),P220&lt;&gt;"Unresolved unit / layout"),I220*K220,"Not applicable")</x:f>
        <x:v>Not applicable</x:v>
      </x:c>
      <x:c r="O220" s="7" t="s">
        <x:v>1937</x:v>
      </x:c>
      <x:c r="P220" s="7" t="s">
        <x:v>1921</x:v>
      </x:c>
      <x:c r="Q220" s="7" t="s">
        <x:v>1930</x:v>
      </x:c>
      <x:c r="R220" s="7" t="s">
        <x:v>1931</x:v>
      </x:c>
      <x:c r="S220" s="7" t="s">
        <x:v>2077</x:v>
      </x:c>
      <x:c r="T220" s="7" t="s">
        <x:v>2078</x:v>
      </x:c>
      <x:c r="U220" s="7" t="s">
        <x:v>53</x:v>
      </x:c>
      <x:c r="V220" s="7" t="s">
        <x:v>2020</x:v>
      </x:c>
      <x:c r="W220" s="7" t="s">
        <x:v>58</x:v>
      </x:c>
      <x:c r="X220" s="7" t="s">
        <x:v>2415</x:v>
      </x:c>
      <x:c r="Y220" s="7" t="s">
        <x:v>1166</x:v>
      </x:c>
      <x:c r="Z220" s="7" t="s">
        <x:v>2123</x:v>
      </x:c>
      <x:c r="AA220" s="7" t="s">
        <x:v>58</x:v>
      </x:c>
      <x:c r="AB220" s="8" t="s">
        <x:v>58</x:v>
      </x:c>
      <x:c r="AC220" s="8" t="s">
        <x:v>58</x:v>
      </x:c>
      <x:c r="AD220" s="8" t="s">
        <x:v>58</x:v>
      </x:c>
      <x:c r="AE220" s="8" t="s">
        <x:v>58</x:v>
      </x:c>
      <x:c r="AF220" s="8" t="s">
        <x:v>58</x:v>
      </x:c>
      <x:c r="AG220" s="7" t="s">
        <x:v>58</x:v>
      </x:c>
    </x:row>
    <x:row r="221" ht="79.5" hidden="0" customHeight="1">
      <x:c r="A221" s="7" t="s">
        <x:v>2435</x:v>
      </x:c>
      <x:c r="B221" s="7" t="s">
        <x:v>181</x:v>
      </x:c>
      <x:c r="C221" s="7" t="s">
        <x:v>183</x:v>
      </x:c>
      <x:c r="D221" s="7" t="s">
        <x:v>1950</x:v>
      </x:c>
      <x:c r="E221" s="7" t="s">
        <x:v>2436</x:v>
      </x:c>
      <x:c r="F221" s="7" t="s">
        <x:v>1929</x:v>
      </x:c>
      <x:c r="G221" s="8" t="n">
        <x:v>2560</x:v>
      </x:c>
      <x:c r="H221" s="8" t="n">
        <x:v>170</x:v>
      </x:c>
      <x:c r="I221" s="8" t="s">
        <x:v>58</x:v>
      </x:c>
      <x:c r="J221" s="7" t="s">
        <x:v>1919</x:v>
      </x:c>
      <x:c r="K221" s="8" t="n">
        <x:v>0.001</x:v>
      </x:c>
      <x:c r="L221" s="8" t="n">
        <x:f aca="0">IF(AND(ISNUMBER(G221),P221&lt;&gt;"Unresolved unit / layout"),G221*K221,"Not applicable")</x:f>
        <x:v>2.56</x:v>
      </x:c>
      <x:c r="M221" s="8" t="n">
        <x:f aca="0">IF(AND(ISNUMBER(H221),P221&lt;&gt;"Unresolved unit / layout"),H221*K221,"Not applicable")</x:f>
        <x:v>0.17</x:v>
      </x:c>
      <x:c r="N221" s="8" t="str">
        <x:f aca="0">IF(AND(ISNUMBER(I221),P221&lt;&gt;"Unresolved unit / layout"),I221*K221,"Not applicable")</x:f>
        <x:v>Not applicable</x:v>
      </x:c>
      <x:c r="O221" s="7" t="s">
        <x:v>1937</x:v>
      </x:c>
      <x:c r="P221" s="7" t="s">
        <x:v>1921</x:v>
      </x:c>
      <x:c r="Q221" s="7" t="s">
        <x:v>1930</x:v>
      </x:c>
      <x:c r="R221" s="7" t="s">
        <x:v>2003</x:v>
      </x:c>
      <x:c r="S221" s="7" t="s">
        <x:v>2077</x:v>
      </x:c>
      <x:c r="T221" s="7" t="s">
        <x:v>2078</x:v>
      </x:c>
      <x:c r="U221" s="7" t="s">
        <x:v>53</x:v>
      </x:c>
      <x:c r="V221" s="7" t="s">
        <x:v>2020</x:v>
      </x:c>
      <x:c r="W221" s="7" t="s">
        <x:v>58</x:v>
      </x:c>
      <x:c r="X221" s="7" t="s">
        <x:v>2415</x:v>
      </x:c>
      <x:c r="Y221" s="7" t="s">
        <x:v>1166</x:v>
      </x:c>
      <x:c r="Z221" s="7" t="s">
        <x:v>2210</x:v>
      </x:c>
      <x:c r="AA221" s="7" t="s">
        <x:v>58</x:v>
      </x:c>
      <x:c r="AB221" s="8" t="s">
        <x:v>58</x:v>
      </x:c>
      <x:c r="AC221" s="8" t="s">
        <x:v>58</x:v>
      </x:c>
      <x:c r="AD221" s="8" t="s">
        <x:v>58</x:v>
      </x:c>
      <x:c r="AE221" s="8" t="s">
        <x:v>58</x:v>
      </x:c>
      <x:c r="AF221" s="8" t="s">
        <x:v>58</x:v>
      </x:c>
      <x:c r="AG221" s="7" t="s">
        <x:v>58</x:v>
      </x:c>
    </x:row>
    <x:row r="222" ht="79.5" hidden="0" customHeight="1">
      <x:c r="A222" s="7" t="s">
        <x:v>2437</x:v>
      </x:c>
      <x:c r="B222" s="7" t="s">
        <x:v>181</x:v>
      </x:c>
      <x:c r="C222" s="7" t="s">
        <x:v>183</x:v>
      </x:c>
      <x:c r="D222" s="7" t="s">
        <x:v>1945</x:v>
      </x:c>
      <x:c r="E222" s="7" t="s">
        <x:v>2438</x:v>
      </x:c>
      <x:c r="F222" s="7" t="s">
        <x:v>1929</x:v>
      </x:c>
      <x:c r="G222" s="8" t="n">
        <x:v>75</x:v>
      </x:c>
      <x:c r="H222" s="8" t="n">
        <x:v>5</x:v>
      </x:c>
      <x:c r="I222" s="8" t="s">
        <x:v>58</x:v>
      </x:c>
      <x:c r="J222" s="7" t="s">
        <x:v>1919</x:v>
      </x:c>
      <x:c r="K222" s="8" t="n">
        <x:v>1</x:v>
      </x:c>
      <x:c r="L222" s="8" t="n">
        <x:f aca="0">IF(AND(ISNUMBER(G222),P222&lt;&gt;"Unresolved unit / layout"),G222*K222,"Not applicable")</x:f>
        <x:v>75</x:v>
      </x:c>
      <x:c r="M222" s="8" t="n">
        <x:f aca="0">IF(AND(ISNUMBER(H222),P222&lt;&gt;"Unresolved unit / layout"),H222*K222,"Not applicable")</x:f>
        <x:v>5</x:v>
      </x:c>
      <x:c r="N222" s="8" t="str">
        <x:f aca="0">IF(AND(ISNUMBER(I222),P222&lt;&gt;"Unresolved unit / layout"),I222*K222,"Not applicable")</x:f>
        <x:v>Not applicable</x:v>
      </x:c>
      <x:c r="O222" s="7" t="s">
        <x:v>1929</x:v>
      </x:c>
      <x:c r="P222" s="7" t="s">
        <x:v>1921</x:v>
      </x:c>
      <x:c r="Q222" s="7" t="s">
        <x:v>1930</x:v>
      </x:c>
      <x:c r="R222" s="7" t="s">
        <x:v>1931</x:v>
      </x:c>
      <x:c r="S222" s="7" t="s">
        <x:v>2077</x:v>
      </x:c>
      <x:c r="T222" s="7" t="s">
        <x:v>2078</x:v>
      </x:c>
      <x:c r="U222" s="7" t="s">
        <x:v>53</x:v>
      </x:c>
      <x:c r="V222" s="7" t="s">
        <x:v>2020</x:v>
      </x:c>
      <x:c r="W222" s="7" t="s">
        <x:v>58</x:v>
      </x:c>
      <x:c r="X222" s="7" t="s">
        <x:v>2415</x:v>
      </x:c>
      <x:c r="Y222" s="7" t="s">
        <x:v>1166</x:v>
      </x:c>
      <x:c r="Z222" s="7" t="s">
        <x:v>2213</x:v>
      </x:c>
      <x:c r="AA222" s="7" t="s">
        <x:v>58</x:v>
      </x:c>
      <x:c r="AB222" s="8" t="s">
        <x:v>58</x:v>
      </x:c>
      <x:c r="AC222" s="8" t="s">
        <x:v>58</x:v>
      </x:c>
      <x:c r="AD222" s="8" t="s">
        <x:v>58</x:v>
      </x:c>
      <x:c r="AE222" s="8" t="s">
        <x:v>58</x:v>
      </x:c>
      <x:c r="AF222" s="8" t="s">
        <x:v>58</x:v>
      </x:c>
      <x:c r="AG222" s="7" t="s">
        <x:v>58</x:v>
      </x:c>
    </x:row>
    <x:row r="223" ht="79.5" hidden="0" customHeight="1">
      <x:c r="A223" s="7" t="s">
        <x:v>2439</x:v>
      </x:c>
      <x:c r="B223" s="7" t="s">
        <x:v>181</x:v>
      </x:c>
      <x:c r="C223" s="7" t="s">
        <x:v>183</x:v>
      </x:c>
      <x:c r="D223" s="7" t="s">
        <x:v>1945</x:v>
      </x:c>
      <x:c r="E223" s="7" t="s">
        <x:v>2440</x:v>
      </x:c>
      <x:c r="F223" s="7" t="s">
        <x:v>1929</x:v>
      </x:c>
      <x:c r="G223" s="8" t="n">
        <x:v>55</x:v>
      </x:c>
      <x:c r="H223" s="8" t="n">
        <x:v>4</x:v>
      </x:c>
      <x:c r="I223" s="8" t="s">
        <x:v>58</x:v>
      </x:c>
      <x:c r="J223" s="7" t="s">
        <x:v>1919</x:v>
      </x:c>
      <x:c r="K223" s="8" t="n">
        <x:v>1</x:v>
      </x:c>
      <x:c r="L223" s="8" t="n">
        <x:f aca="0">IF(AND(ISNUMBER(G223),P223&lt;&gt;"Unresolved unit / layout"),G223*K223,"Not applicable")</x:f>
        <x:v>55</x:v>
      </x:c>
      <x:c r="M223" s="8" t="n">
        <x:f aca="0">IF(AND(ISNUMBER(H223),P223&lt;&gt;"Unresolved unit / layout"),H223*K223,"Not applicable")</x:f>
        <x:v>4</x:v>
      </x:c>
      <x:c r="N223" s="8" t="str">
        <x:f aca="0">IF(AND(ISNUMBER(I223),P223&lt;&gt;"Unresolved unit / layout"),I223*K223,"Not applicable")</x:f>
        <x:v>Not applicable</x:v>
      </x:c>
      <x:c r="O223" s="7" t="s">
        <x:v>1929</x:v>
      </x:c>
      <x:c r="P223" s="7" t="s">
        <x:v>1921</x:v>
      </x:c>
      <x:c r="Q223" s="7" t="s">
        <x:v>1930</x:v>
      </x:c>
      <x:c r="R223" s="7" t="s">
        <x:v>2003</x:v>
      </x:c>
      <x:c r="S223" s="7" t="s">
        <x:v>2077</x:v>
      </x:c>
      <x:c r="T223" s="7" t="s">
        <x:v>2078</x:v>
      </x:c>
      <x:c r="U223" s="7" t="s">
        <x:v>53</x:v>
      </x:c>
      <x:c r="V223" s="7" t="s">
        <x:v>2020</x:v>
      </x:c>
      <x:c r="W223" s="7" t="s">
        <x:v>58</x:v>
      </x:c>
      <x:c r="X223" s="7" t="s">
        <x:v>2415</x:v>
      </x:c>
      <x:c r="Y223" s="7" t="s">
        <x:v>1166</x:v>
      </x:c>
      <x:c r="Z223" s="7" t="s">
        <x:v>2216</x:v>
      </x:c>
      <x:c r="AA223" s="7" t="s">
        <x:v>58</x:v>
      </x:c>
      <x:c r="AB223" s="8" t="s">
        <x:v>58</x:v>
      </x:c>
      <x:c r="AC223" s="8" t="s">
        <x:v>58</x:v>
      </x:c>
      <x:c r="AD223" s="8" t="s">
        <x:v>58</x:v>
      </x:c>
      <x:c r="AE223" s="8" t="s">
        <x:v>58</x:v>
      </x:c>
      <x:c r="AF223" s="8" t="s">
        <x:v>58</x:v>
      </x:c>
      <x:c r="AG223" s="7" t="s">
        <x:v>58</x:v>
      </x:c>
    </x:row>
    <x:row r="224" ht="79.5" hidden="0" customHeight="1">
      <x:c r="A224" s="7" t="s">
        <x:v>2441</x:v>
      </x:c>
      <x:c r="B224" s="7" t="s">
        <x:v>181</x:v>
      </x:c>
      <x:c r="C224" s="7" t="s">
        <x:v>183</x:v>
      </x:c>
      <x:c r="D224" s="7" t="s">
        <x:v>2030</x:v>
      </x:c>
      <x:c r="E224" s="7" t="s">
        <x:v>2442</x:v>
      </x:c>
      <x:c r="F224" s="7" t="s">
        <x:v>2033</x:v>
      </x:c>
      <x:c r="G224" s="8" t="n">
        <x:v>24</x:v>
      </x:c>
      <x:c r="H224" s="8" t="n">
        <x:v>2.5</x:v>
      </x:c>
      <x:c r="I224" s="8" t="s">
        <x:v>58</x:v>
      </x:c>
      <x:c r="J224" s="7" t="s">
        <x:v>1919</x:v>
      </x:c>
      <x:c r="K224" s="8" t="n">
        <x:v>1</x:v>
      </x:c>
      <x:c r="L224" s="8" t="n">
        <x:f aca="0">IF(AND(ISNUMBER(G224),P224&lt;&gt;"Unresolved unit / layout"),G224*K224,"Not applicable")</x:f>
        <x:v>24</x:v>
      </x:c>
      <x:c r="M224" s="8" t="n">
        <x:f aca="0">IF(AND(ISNUMBER(H224),P224&lt;&gt;"Unresolved unit / layout"),H224*K224,"Not applicable")</x:f>
        <x:v>2.5</x:v>
      </x:c>
      <x:c r="N224" s="8" t="str">
        <x:f aca="0">IF(AND(ISNUMBER(I224),P224&lt;&gt;"Unresolved unit / layout"),I224*K224,"Not applicable")</x:f>
        <x:v>Not applicable</x:v>
      </x:c>
      <x:c r="O224" s="7" t="s">
        <x:v>2033</x:v>
      </x:c>
      <x:c r="P224" s="7" t="s">
        <x:v>1921</x:v>
      </x:c>
      <x:c r="Q224" s="7" t="s">
        <x:v>1930</x:v>
      </x:c>
      <x:c r="R224" s="7" t="s">
        <x:v>1931</x:v>
      </x:c>
      <x:c r="S224" s="7" t="s">
        <x:v>2077</x:v>
      </x:c>
      <x:c r="T224" s="7" t="s">
        <x:v>2078</x:v>
      </x:c>
      <x:c r="U224" s="7" t="s">
        <x:v>53</x:v>
      </x:c>
      <x:c r="V224" s="7" t="s">
        <x:v>2036</x:v>
      </x:c>
      <x:c r="W224" s="7" t="s">
        <x:v>2135</x:v>
      </x:c>
      <x:c r="X224" s="7" t="s">
        <x:v>2415</x:v>
      </x:c>
      <x:c r="Y224" s="7" t="s">
        <x:v>1166</x:v>
      </x:c>
      <x:c r="Z224" s="7" t="s">
        <x:v>2219</x:v>
      </x:c>
      <x:c r="AA224" s="7" t="s">
        <x:v>58</x:v>
      </x:c>
      <x:c r="AB224" s="8" t="s">
        <x:v>58</x:v>
      </x:c>
      <x:c r="AC224" s="8" t="s">
        <x:v>58</x:v>
      </x:c>
      <x:c r="AD224" s="8" t="s">
        <x:v>58</x:v>
      </x:c>
      <x:c r="AE224" s="8" t="s">
        <x:v>58</x:v>
      </x:c>
      <x:c r="AF224" s="8" t="s">
        <x:v>58</x:v>
      </x:c>
      <x:c r="AG224" s="7" t="s">
        <x:v>58</x:v>
      </x:c>
    </x:row>
    <x:row r="225" ht="79.5" hidden="0" customHeight="1">
      <x:c r="A225" s="7" t="s">
        <x:v>2443</x:v>
      </x:c>
      <x:c r="B225" s="7" t="s">
        <x:v>181</x:v>
      </x:c>
      <x:c r="C225" s="7" t="s">
        <x:v>183</x:v>
      </x:c>
      <x:c r="D225" s="7" t="s">
        <x:v>2030</x:v>
      </x:c>
      <x:c r="E225" s="7" t="s">
        <x:v>2444</x:v>
      </x:c>
      <x:c r="F225" s="7" t="s">
        <x:v>2033</x:v>
      </x:c>
      <x:c r="G225" s="8" t="n">
        <x:v>9.5</x:v>
      </x:c>
      <x:c r="H225" s="8" t="n">
        <x:v>2.6</x:v>
      </x:c>
      <x:c r="I225" s="8" t="s">
        <x:v>58</x:v>
      </x:c>
      <x:c r="J225" s="7" t="s">
        <x:v>1919</x:v>
      </x:c>
      <x:c r="K225" s="8" t="n">
        <x:v>1</x:v>
      </x:c>
      <x:c r="L225" s="8" t="n">
        <x:f aca="0">IF(AND(ISNUMBER(G225),P225&lt;&gt;"Unresolved unit / layout"),G225*K225,"Not applicable")</x:f>
        <x:v>9.5</x:v>
      </x:c>
      <x:c r="M225" s="8" t="n">
        <x:f aca="0">IF(AND(ISNUMBER(H225),P225&lt;&gt;"Unresolved unit / layout"),H225*K225,"Not applicable")</x:f>
        <x:v>2.6</x:v>
      </x:c>
      <x:c r="N225" s="8" t="str">
        <x:f aca="0">IF(AND(ISNUMBER(I225),P225&lt;&gt;"Unresolved unit / layout"),I225*K225,"Not applicable")</x:f>
        <x:v>Not applicable</x:v>
      </x:c>
      <x:c r="O225" s="7" t="s">
        <x:v>2033</x:v>
      </x:c>
      <x:c r="P225" s="7" t="s">
        <x:v>1921</x:v>
      </x:c>
      <x:c r="Q225" s="7" t="s">
        <x:v>1930</x:v>
      </x:c>
      <x:c r="R225" s="7" t="s">
        <x:v>1931</x:v>
      </x:c>
      <x:c r="S225" s="7" t="s">
        <x:v>2077</x:v>
      </x:c>
      <x:c r="T225" s="7" t="s">
        <x:v>2078</x:v>
      </x:c>
      <x:c r="U225" s="7" t="s">
        <x:v>53</x:v>
      </x:c>
      <x:c r="V225" s="7" t="s">
        <x:v>2036</x:v>
      </x:c>
      <x:c r="W225" s="7" t="s">
        <x:v>2139</x:v>
      </x:c>
      <x:c r="X225" s="7" t="s">
        <x:v>2415</x:v>
      </x:c>
      <x:c r="Y225" s="7" t="s">
        <x:v>1166</x:v>
      </x:c>
      <x:c r="Z225" s="7" t="s">
        <x:v>2222</x:v>
      </x:c>
      <x:c r="AA225" s="7" t="s">
        <x:v>58</x:v>
      </x:c>
      <x:c r="AB225" s="8" t="s">
        <x:v>58</x:v>
      </x:c>
      <x:c r="AC225" s="8" t="s">
        <x:v>58</x:v>
      </x:c>
      <x:c r="AD225" s="8" t="s">
        <x:v>58</x:v>
      </x:c>
      <x:c r="AE225" s="8" t="s">
        <x:v>58</x:v>
      </x:c>
      <x:c r="AF225" s="8" t="s">
        <x:v>58</x:v>
      </x:c>
      <x:c r="AG225" s="7" t="s">
        <x:v>58</x:v>
      </x:c>
    </x:row>
    <x:row r="226" ht="79.5" hidden="0" customHeight="1">
      <x:c r="A226" s="7" t="s">
        <x:v>2445</x:v>
      </x:c>
      <x:c r="B226" s="7" t="s">
        <x:v>181</x:v>
      </x:c>
      <x:c r="C226" s="7" t="s">
        <x:v>183</x:v>
      </x:c>
      <x:c r="D226" s="7" t="s">
        <x:v>2030</x:v>
      </x:c>
      <x:c r="E226" s="7" t="s">
        <x:v>2446</x:v>
      </x:c>
      <x:c r="F226" s="7" t="s">
        <x:v>2033</x:v>
      </x:c>
      <x:c r="G226" s="8" t="n">
        <x:v>6.5</x:v>
      </x:c>
      <x:c r="H226" s="8" t="n">
        <x:v>0.8</x:v>
      </x:c>
      <x:c r="I226" s="8" t="s">
        <x:v>58</x:v>
      </x:c>
      <x:c r="J226" s="7" t="s">
        <x:v>1919</x:v>
      </x:c>
      <x:c r="K226" s="8" t="n">
        <x:v>1</x:v>
      </x:c>
      <x:c r="L226" s="8" t="n">
        <x:f aca="0">IF(AND(ISNUMBER(G226),P226&lt;&gt;"Unresolved unit / layout"),G226*K226,"Not applicable")</x:f>
        <x:v>6.5</x:v>
      </x:c>
      <x:c r="M226" s="8" t="n">
        <x:f aca="0">IF(AND(ISNUMBER(H226),P226&lt;&gt;"Unresolved unit / layout"),H226*K226,"Not applicable")</x:f>
        <x:v>0.8</x:v>
      </x:c>
      <x:c r="N226" s="8" t="str">
        <x:f aca="0">IF(AND(ISNUMBER(I226),P226&lt;&gt;"Unresolved unit / layout"),I226*K226,"Not applicable")</x:f>
        <x:v>Not applicable</x:v>
      </x:c>
      <x:c r="O226" s="7" t="s">
        <x:v>2033</x:v>
      </x:c>
      <x:c r="P226" s="7" t="s">
        <x:v>1921</x:v>
      </x:c>
      <x:c r="Q226" s="7" t="s">
        <x:v>1930</x:v>
      </x:c>
      <x:c r="R226" s="7" t="s">
        <x:v>2003</x:v>
      </x:c>
      <x:c r="S226" s="7" t="s">
        <x:v>2077</x:v>
      </x:c>
      <x:c r="T226" s="7" t="s">
        <x:v>2078</x:v>
      </x:c>
      <x:c r="U226" s="7" t="s">
        <x:v>53</x:v>
      </x:c>
      <x:c r="V226" s="7" t="s">
        <x:v>2036</x:v>
      </x:c>
      <x:c r="W226" s="7" t="s">
        <x:v>53</x:v>
      </x:c>
      <x:c r="X226" s="7" t="s">
        <x:v>2415</x:v>
      </x:c>
      <x:c r="Y226" s="7" t="s">
        <x:v>1166</x:v>
      </x:c>
      <x:c r="Z226" s="7" t="s">
        <x:v>2225</x:v>
      </x:c>
      <x:c r="AA226" s="7" t="s">
        <x:v>58</x:v>
      </x:c>
      <x:c r="AB226" s="8" t="s">
        <x:v>58</x:v>
      </x:c>
      <x:c r="AC226" s="8" t="s">
        <x:v>58</x:v>
      </x:c>
      <x:c r="AD226" s="8" t="s">
        <x:v>58</x:v>
      </x:c>
      <x:c r="AE226" s="8" t="s">
        <x:v>58</x:v>
      </x:c>
      <x:c r="AF226" s="8" t="s">
        <x:v>58</x:v>
      </x:c>
      <x:c r="AG226" s="7" t="s">
        <x:v>58</x:v>
      </x:c>
    </x:row>
    <x:row r="227" ht="79.5" hidden="0" customHeight="1">
      <x:c r="A227" s="7" t="s">
        <x:v>2447</x:v>
      </x:c>
      <x:c r="B227" s="7" t="s">
        <x:v>191</x:v>
      </x:c>
      <x:c r="C227" s="7" t="s">
        <x:v>193</x:v>
      </x:c>
      <x:c r="D227" s="7" t="s">
        <x:v>1916</x:v>
      </x:c>
      <x:c r="E227" s="7" t="s">
        <x:v>2448</x:v>
      </x:c>
      <x:c r="F227" s="7" t="s">
        <x:v>2076</x:v>
      </x:c>
      <x:c r="G227" s="8" t="n">
        <x:v>1.26</x:v>
      </x:c>
      <x:c r="H227" s="8" t="s">
        <x:v>58</x:v>
      </x:c>
      <x:c r="I227" s="8" t="s">
        <x:v>58</x:v>
      </x:c>
      <x:c r="J227" s="7" t="s">
        <x:v>1919</x:v>
      </x:c>
      <x:c r="K227" s="8" t="n">
        <x:v>1000</x:v>
      </x:c>
      <x:c r="L227" s="8" t="n">
        <x:f aca="0">IF(AND(ISNUMBER(G227),P227&lt;&gt;"Unresolved unit / layout"),G227*K227,"Not applicable")</x:f>
        <x:v>1260</x:v>
      </x:c>
      <x:c r="M227" s="8" t="str">
        <x:f aca="0">IF(AND(ISNUMBER(H227),P227&lt;&gt;"Unresolved unit / layout"),H227*K227,"Not applicable")</x:f>
        <x:v>Not applicable</x:v>
      </x:c>
      <x:c r="N227" s="8" t="str">
        <x:f aca="0">IF(AND(ISNUMBER(I227),P227&lt;&gt;"Unresolved unit / layout"),I227*K227,"Not applicable")</x:f>
        <x:v>Not applicable</x:v>
      </x:c>
      <x:c r="O227" s="7" t="s">
        <x:v>1920</x:v>
      </x:c>
      <x:c r="P227" s="7" t="s">
        <x:v>1921</x:v>
      </x:c>
      <x:c r="Q227" s="7" t="s">
        <x:v>1922</x:v>
      </x:c>
      <x:c r="R227" s="7" t="s">
        <x:v>58</x:v>
      </x:c>
      <x:c r="S227" s="7" t="s">
        <x:v>53</x:v>
      </x:c>
      <x:c r="T227" s="7" t="s">
        <x:v>53</x:v>
      </x:c>
      <x:c r="U227" s="7" t="s">
        <x:v>53</x:v>
      </x:c>
      <x:c r="V227" s="7" t="s">
        <x:v>1923</x:v>
      </x:c>
      <x:c r="W227" s="7" t="s">
        <x:v>58</x:v>
      </x:c>
      <x:c r="X227" s="7" t="s">
        <x:v>2449</x:v>
      </x:c>
      <x:c r="Y227" s="7" t="s">
        <x:v>1167</x:v>
      </x:c>
      <x:c r="Z227" s="7" t="s">
        <x:v>1968</x:v>
      </x:c>
      <x:c r="AA227" s="7" t="s">
        <x:v>58</x:v>
      </x:c>
      <x:c r="AB227" s="8" t="s">
        <x:v>58</x:v>
      </x:c>
      <x:c r="AC227" s="8" t="s">
        <x:v>58</x:v>
      </x:c>
      <x:c r="AD227" s="8" t="s">
        <x:v>58</x:v>
      </x:c>
      <x:c r="AE227" s="8" t="s">
        <x:v>58</x:v>
      </x:c>
      <x:c r="AF227" s="8" t="s">
        <x:v>58</x:v>
      </x:c>
      <x:c r="AG227" s="7" t="s">
        <x:v>58</x:v>
      </x:c>
    </x:row>
    <x:row r="228" ht="79.5" hidden="0" customHeight="1">
      <x:c r="A228" s="7" t="s">
        <x:v>2450</x:v>
      </x:c>
      <x:c r="B228" s="7" t="s">
        <x:v>191</x:v>
      </x:c>
      <x:c r="C228" s="7" t="s">
        <x:v>193</x:v>
      </x:c>
      <x:c r="D228" s="7" t="s">
        <x:v>1974</x:v>
      </x:c>
      <x:c r="E228" s="7" t="s">
        <x:v>2270</x:v>
      </x:c>
      <x:c r="F228" s="7" t="s">
        <x:v>1956</x:v>
      </x:c>
      <x:c r="G228" s="8" t="n">
        <x:v>156</x:v>
      </x:c>
      <x:c r="H228" s="8" t="s">
        <x:v>58</x:v>
      </x:c>
      <x:c r="I228" s="8" t="s">
        <x:v>58</x:v>
      </x:c>
      <x:c r="J228" s="7" t="s">
        <x:v>1919</x:v>
      </x:c>
      <x:c r="K228" s="8" t="n">
        <x:v>1</x:v>
      </x:c>
      <x:c r="L228" s="8" t="n">
        <x:f aca="0">IF(AND(ISNUMBER(G228),P228&lt;&gt;"Unresolved unit / layout"),G228*K228,"Not applicable")</x:f>
        <x:v>156</x:v>
      </x:c>
      <x:c r="M228" s="8" t="str">
        <x:f aca="0">IF(AND(ISNUMBER(H228),P228&lt;&gt;"Unresolved unit / layout"),H228*K228,"Not applicable")</x:f>
        <x:v>Not applicable</x:v>
      </x:c>
      <x:c r="N228" s="8" t="str">
        <x:f aca="0">IF(AND(ISNUMBER(I228),P228&lt;&gt;"Unresolved unit / layout"),I228*K228,"Not applicable")</x:f>
        <x:v>Not applicable</x:v>
      </x:c>
      <x:c r="O228" s="7" t="s">
        <x:v>1956</x:v>
      </x:c>
      <x:c r="P228" s="7" t="s">
        <x:v>1921</x:v>
      </x:c>
      <x:c r="Q228" s="7" t="s">
        <x:v>2064</x:v>
      </x:c>
      <x:c r="R228" s="7" t="s">
        <x:v>58</x:v>
      </x:c>
      <x:c r="S228" s="7" t="s">
        <x:v>53</x:v>
      </x:c>
      <x:c r="T228" s="7" t="s">
        <x:v>53</x:v>
      </x:c>
      <x:c r="U228" s="7" t="s">
        <x:v>53</x:v>
      </x:c>
      <x:c r="V228" s="7" t="s">
        <x:v>2082</x:v>
      </x:c>
      <x:c r="W228" s="7" t="s">
        <x:v>58</x:v>
      </x:c>
      <x:c r="X228" s="7" t="s">
        <x:v>2449</x:v>
      </x:c>
      <x:c r="Y228" s="7" t="s">
        <x:v>1167</x:v>
      </x:c>
      <x:c r="Z228" s="7" t="s">
        <x:v>2083</x:v>
      </x:c>
      <x:c r="AA228" s="7" t="s">
        <x:v>58</x:v>
      </x:c>
      <x:c r="AB228" s="8" t="s">
        <x:v>58</x:v>
      </x:c>
      <x:c r="AC228" s="8" t="s">
        <x:v>58</x:v>
      </x:c>
      <x:c r="AD228" s="8" t="s">
        <x:v>58</x:v>
      </x:c>
      <x:c r="AE228" s="8" t="s">
        <x:v>58</x:v>
      </x:c>
      <x:c r="AF228" s="8" t="s">
        <x:v>58</x:v>
      </x:c>
      <x:c r="AG228" s="7" t="s">
        <x:v>58</x:v>
      </x:c>
    </x:row>
    <x:row r="229" ht="79.5" hidden="0" customHeight="1">
      <x:c r="A229" s="7" t="s">
        <x:v>2451</x:v>
      </x:c>
      <x:c r="B229" s="7" t="s">
        <x:v>191</x:v>
      </x:c>
      <x:c r="C229" s="7" t="s">
        <x:v>193</x:v>
      </x:c>
      <x:c r="D229" s="7" t="s">
        <x:v>1954</x:v>
      </x:c>
      <x:c r="E229" s="7" t="s">
        <x:v>2316</x:v>
      </x:c>
      <x:c r="F229" s="7" t="s">
        <x:v>1956</x:v>
      </x:c>
      <x:c r="G229" s="8" t="n">
        <x:v>56</x:v>
      </x:c>
      <x:c r="H229" s="8" t="s">
        <x:v>58</x:v>
      </x:c>
      <x:c r="I229" s="8" t="s">
        <x:v>58</x:v>
      </x:c>
      <x:c r="J229" s="7" t="s">
        <x:v>1919</x:v>
      </x:c>
      <x:c r="K229" s="8" t="n">
        <x:v>1</x:v>
      </x:c>
      <x:c r="L229" s="8" t="n">
        <x:f aca="0">IF(AND(ISNUMBER(G229),P229&lt;&gt;"Unresolved unit / layout"),G229*K229,"Not applicable")</x:f>
        <x:v>56</x:v>
      </x:c>
      <x:c r="M229" s="8" t="str">
        <x:f aca="0">IF(AND(ISNUMBER(H229),P229&lt;&gt;"Unresolved unit / layout"),H229*K229,"Not applicable")</x:f>
        <x:v>Not applicable</x:v>
      </x:c>
      <x:c r="N229" s="8" t="str">
        <x:f aca="0">IF(AND(ISNUMBER(I229),P229&lt;&gt;"Unresolved unit / layout"),I229*K229,"Not applicable")</x:f>
        <x:v>Not applicable</x:v>
      </x:c>
      <x:c r="O229" s="7" t="s">
        <x:v>1956</x:v>
      </x:c>
      <x:c r="P229" s="7" t="s">
        <x:v>1921</x:v>
      </x:c>
      <x:c r="Q229" s="7" t="s">
        <x:v>2064</x:v>
      </x:c>
      <x:c r="R229" s="7" t="s">
        <x:v>58</x:v>
      </x:c>
      <x:c r="S229" s="7" t="s">
        <x:v>53</x:v>
      </x:c>
      <x:c r="T229" s="7" t="s">
        <x:v>53</x:v>
      </x:c>
      <x:c r="U229" s="7" t="s">
        <x:v>53</x:v>
      </x:c>
      <x:c r="V229" s="7" t="s">
        <x:v>2082</x:v>
      </x:c>
      <x:c r="W229" s="7" t="s">
        <x:v>58</x:v>
      </x:c>
      <x:c r="X229" s="7" t="s">
        <x:v>2449</x:v>
      </x:c>
      <x:c r="Y229" s="7" t="s">
        <x:v>1167</x:v>
      </x:c>
      <x:c r="Z229" s="7" t="s">
        <x:v>2086</x:v>
      </x:c>
      <x:c r="AA229" s="7" t="s">
        <x:v>58</x:v>
      </x:c>
      <x:c r="AB229" s="8" t="s">
        <x:v>58</x:v>
      </x:c>
      <x:c r="AC229" s="8" t="s">
        <x:v>58</x:v>
      </x:c>
      <x:c r="AD229" s="8" t="s">
        <x:v>58</x:v>
      </x:c>
      <x:c r="AE229" s="8" t="s">
        <x:v>58</x:v>
      </x:c>
      <x:c r="AF229" s="8" t="s">
        <x:v>58</x:v>
      </x:c>
      <x:c r="AG229" s="7" t="s">
        <x:v>58</x:v>
      </x:c>
    </x:row>
    <x:row r="230" ht="79.5" hidden="0" customHeight="1">
      <x:c r="A230" s="7" t="s">
        <x:v>2452</x:v>
      </x:c>
      <x:c r="B230" s="7" t="s">
        <x:v>191</x:v>
      </x:c>
      <x:c r="C230" s="7" t="s">
        <x:v>193</x:v>
      </x:c>
      <x:c r="D230" s="7" t="s">
        <x:v>1978</x:v>
      </x:c>
      <x:c r="E230" s="7" t="s">
        <x:v>1995</x:v>
      </x:c>
      <x:c r="F230" s="7" t="s">
        <x:v>1956</x:v>
      </x:c>
      <x:c r="G230" s="8" t="s">
        <x:v>53</x:v>
      </x:c>
      <x:c r="H230" s="8" t="s">
        <x:v>58</x:v>
      </x:c>
      <x:c r="I230" s="8" t="s">
        <x:v>58</x:v>
      </x:c>
      <x:c r="J230" s="7" t="s">
        <x:v>58</x:v>
      </x:c>
      <x:c r="K230" s="8" t="n">
        <x:v>1</x:v>
      </x:c>
      <x:c r="L230" s="8" t="str">
        <x:f aca="0">IF(AND(ISNUMBER(G230),P230&lt;&gt;"Unresolved unit / layout"),G230*K230,"Not published")</x:f>
        <x:v>Not published</x:v>
      </x:c>
      <x:c r="M230" s="8" t="str">
        <x:f aca="0">IF(AND(ISNUMBER(H230),P230&lt;&gt;"Unresolved unit / layout"),H230*K230,"Not applicable")</x:f>
        <x:v>Not applicable</x:v>
      </x:c>
      <x:c r="N230" s="8" t="str">
        <x:f aca="0">IF(AND(ISNUMBER(I230),P230&lt;&gt;"Unresolved unit / layout"),I230*K230,"Not applicable")</x:f>
        <x:v>Not applicable</x:v>
      </x:c>
      <x:c r="O230" s="7" t="s">
        <x:v>1956</x:v>
      </x:c>
      <x:c r="P230" s="7" t="s">
        <x:v>53</x:v>
      </x:c>
      <x:c r="Q230" s="7" t="s">
        <x:v>2064</x:v>
      </x:c>
      <x:c r="R230" s="7" t="s">
        <x:v>58</x:v>
      </x:c>
      <x:c r="S230" s="7" t="s">
        <x:v>53</x:v>
      </x:c>
      <x:c r="T230" s="7" t="s">
        <x:v>53</x:v>
      </x:c>
      <x:c r="U230" s="7" t="s">
        <x:v>53</x:v>
      </x:c>
      <x:c r="V230" s="7" t="s">
        <x:v>2351</x:v>
      </x:c>
      <x:c r="W230" s="7" t="s">
        <x:v>58</x:v>
      </x:c>
      <x:c r="X230" s="7" t="s">
        <x:v>2449</x:v>
      </x:c>
      <x:c r="Y230" s="7" t="s">
        <x:v>1167</x:v>
      </x:c>
      <x:c r="Z230" s="7" t="s">
        <x:v>2453</x:v>
      </x:c>
      <x:c r="AA230" s="7" t="s">
        <x:v>58</x:v>
      </x:c>
      <x:c r="AB230" s="8" t="s">
        <x:v>58</x:v>
      </x:c>
      <x:c r="AC230" s="8" t="s">
        <x:v>58</x:v>
      </x:c>
      <x:c r="AD230" s="8" t="s">
        <x:v>58</x:v>
      </x:c>
      <x:c r="AE230" s="8" t="s">
        <x:v>58</x:v>
      </x:c>
      <x:c r="AF230" s="8" t="s">
        <x:v>58</x:v>
      </x:c>
      <x:c r="AG230" s="7" t="s">
        <x:v>58</x:v>
      </x:c>
    </x:row>
    <x:row r="231" ht="79.5" hidden="0" customHeight="1">
      <x:c r="A231" s="7" t="s">
        <x:v>2454</x:v>
      </x:c>
      <x:c r="B231" s="7" t="s">
        <x:v>191</x:v>
      </x:c>
      <x:c r="C231" s="7" t="s">
        <x:v>193</x:v>
      </x:c>
      <x:c r="D231" s="7" t="s">
        <x:v>1982</x:v>
      </x:c>
      <x:c r="E231" s="7" t="s">
        <x:v>2091</x:v>
      </x:c>
      <x:c r="F231" s="7" t="s">
        <x:v>1956</x:v>
      </x:c>
      <x:c r="G231" s="8" t="n">
        <x:v>57</x:v>
      </x:c>
      <x:c r="H231" s="8" t="s">
        <x:v>58</x:v>
      </x:c>
      <x:c r="I231" s="8" t="s">
        <x:v>58</x:v>
      </x:c>
      <x:c r="J231" s="7" t="s">
        <x:v>1919</x:v>
      </x:c>
      <x:c r="K231" s="8" t="n">
        <x:v>1</x:v>
      </x:c>
      <x:c r="L231" s="8" t="n">
        <x:f aca="0">IF(AND(ISNUMBER(G231),P231&lt;&gt;"Unresolved unit / layout"),G231*K231,"Not applicable")</x:f>
        <x:v>57</x:v>
      </x:c>
      <x:c r="M231" s="8" t="str">
        <x:f aca="0">IF(AND(ISNUMBER(H231),P231&lt;&gt;"Unresolved unit / layout"),H231*K231,"Not applicable")</x:f>
        <x:v>Not applicable</x:v>
      </x:c>
      <x:c r="N231" s="8" t="str">
        <x:f aca="0">IF(AND(ISNUMBER(I231),P231&lt;&gt;"Unresolved unit / layout"),I231*K231,"Not applicable")</x:f>
        <x:v>Not applicable</x:v>
      </x:c>
      <x:c r="O231" s="7" t="s">
        <x:v>1956</x:v>
      </x:c>
      <x:c r="P231" s="7" t="s">
        <x:v>1921</x:v>
      </x:c>
      <x:c r="Q231" s="7" t="s">
        <x:v>2064</x:v>
      </x:c>
      <x:c r="R231" s="7" t="s">
        <x:v>58</x:v>
      </x:c>
      <x:c r="S231" s="7" t="s">
        <x:v>53</x:v>
      </x:c>
      <x:c r="T231" s="7" t="s">
        <x:v>53</x:v>
      </x:c>
      <x:c r="U231" s="7" t="s">
        <x:v>53</x:v>
      </x:c>
      <x:c r="V231" s="7" t="s">
        <x:v>1984</x:v>
      </x:c>
      <x:c r="W231" s="7" t="s">
        <x:v>58</x:v>
      </x:c>
      <x:c r="X231" s="7" t="s">
        <x:v>2449</x:v>
      </x:c>
      <x:c r="Y231" s="7" t="s">
        <x:v>1167</x:v>
      </x:c>
      <x:c r="Z231" s="7" t="s">
        <x:v>2092</x:v>
      </x:c>
      <x:c r="AA231" s="7" t="s">
        <x:v>58</x:v>
      </x:c>
      <x:c r="AB231" s="8" t="s">
        <x:v>58</x:v>
      </x:c>
      <x:c r="AC231" s="8" t="s">
        <x:v>58</x:v>
      </x:c>
      <x:c r="AD231" s="8" t="s">
        <x:v>58</x:v>
      </x:c>
      <x:c r="AE231" s="8" t="s">
        <x:v>58</x:v>
      </x:c>
      <x:c r="AF231" s="8" t="s">
        <x:v>58</x:v>
      </x:c>
      <x:c r="AG231" s="7" t="s">
        <x:v>58</x:v>
      </x:c>
    </x:row>
    <x:row r="232" ht="79.5" hidden="0" customHeight="1">
      <x:c r="A232" s="7" t="s">
        <x:v>2455</x:v>
      </x:c>
      <x:c r="B232" s="7" t="s">
        <x:v>191</x:v>
      </x:c>
      <x:c r="C232" s="7" t="s">
        <x:v>193</x:v>
      </x:c>
      <x:c r="D232" s="7" t="s">
        <x:v>1959</x:v>
      </x:c>
      <x:c r="E232" s="7" t="s">
        <x:v>1991</x:v>
      </x:c>
      <x:c r="F232" s="7" t="s">
        <x:v>1956</x:v>
      </x:c>
      <x:c r="G232" s="8" t="n">
        <x:v>53</x:v>
      </x:c>
      <x:c r="H232" s="8" t="s">
        <x:v>58</x:v>
      </x:c>
      <x:c r="I232" s="8" t="s">
        <x:v>58</x:v>
      </x:c>
      <x:c r="J232" s="7" t="s">
        <x:v>1919</x:v>
      </x:c>
      <x:c r="K232" s="8" t="n">
        <x:v>1</x:v>
      </x:c>
      <x:c r="L232" s="8" t="n">
        <x:f aca="0">IF(AND(ISNUMBER(G232),P232&lt;&gt;"Unresolved unit / layout"),G232*K232,"Not applicable")</x:f>
        <x:v>53</x:v>
      </x:c>
      <x:c r="M232" s="8" t="str">
        <x:f aca="0">IF(AND(ISNUMBER(H232),P232&lt;&gt;"Unresolved unit / layout"),H232*K232,"Not applicable")</x:f>
        <x:v>Not applicable</x:v>
      </x:c>
      <x:c r="N232" s="8" t="str">
        <x:f aca="0">IF(AND(ISNUMBER(I232),P232&lt;&gt;"Unresolved unit / layout"),I232*K232,"Not applicable")</x:f>
        <x:v>Not applicable</x:v>
      </x:c>
      <x:c r="O232" s="7" t="s">
        <x:v>1956</x:v>
      </x:c>
      <x:c r="P232" s="7" t="s">
        <x:v>1921</x:v>
      </x:c>
      <x:c r="Q232" s="7" t="s">
        <x:v>2064</x:v>
      </x:c>
      <x:c r="R232" s="7" t="s">
        <x:v>58</x:v>
      </x:c>
      <x:c r="S232" s="7" t="s">
        <x:v>53</x:v>
      </x:c>
      <x:c r="T232" s="7" t="s">
        <x:v>53</x:v>
      </x:c>
      <x:c r="U232" s="7" t="s">
        <x:v>53</x:v>
      </x:c>
      <x:c r="V232" s="7" t="s">
        <x:v>2095</x:v>
      </x:c>
      <x:c r="W232" s="7" t="s">
        <x:v>58</x:v>
      </x:c>
      <x:c r="X232" s="7" t="s">
        <x:v>2449</x:v>
      </x:c>
      <x:c r="Y232" s="7" t="s">
        <x:v>1167</x:v>
      </x:c>
      <x:c r="Z232" s="7" t="s">
        <x:v>2096</x:v>
      </x:c>
      <x:c r="AA232" s="7" t="s">
        <x:v>58</x:v>
      </x:c>
      <x:c r="AB232" s="8" t="s">
        <x:v>58</x:v>
      </x:c>
      <x:c r="AC232" s="8" t="s">
        <x:v>58</x:v>
      </x:c>
      <x:c r="AD232" s="8" t="s">
        <x:v>58</x:v>
      </x:c>
      <x:c r="AE232" s="8" t="s">
        <x:v>58</x:v>
      </x:c>
      <x:c r="AF232" s="8" t="s">
        <x:v>58</x:v>
      </x:c>
      <x:c r="AG232" s="7" t="s">
        <x:v>58</x:v>
      </x:c>
    </x:row>
    <x:row r="233" ht="79.5" hidden="0" customHeight="1">
      <x:c r="A233" s="7" t="s">
        <x:v>196</x:v>
      </x:c>
      <x:c r="B233" s="7" t="s">
        <x:v>191</x:v>
      </x:c>
      <x:c r="C233" s="7" t="s">
        <x:v>193</x:v>
      </x:c>
      <x:c r="D233" s="7" t="s">
        <x:v>1959</x:v>
      </x:c>
      <x:c r="E233" s="7" t="s">
        <x:v>2456</x:v>
      </x:c>
      <x:c r="F233" s="7" t="s">
        <x:v>1956</x:v>
      </x:c>
      <x:c r="G233" s="8" t="n">
        <x:v>55</x:v>
      </x:c>
      <x:c r="H233" s="8" t="s">
        <x:v>58</x:v>
      </x:c>
      <x:c r="I233" s="8" t="s">
        <x:v>58</x:v>
      </x:c>
      <x:c r="J233" s="7" t="s">
        <x:v>1919</x:v>
      </x:c>
      <x:c r="K233" s="8" t="n">
        <x:v>1</x:v>
      </x:c>
      <x:c r="L233" s="8" t="n">
        <x:f aca="0">IF(AND(ISNUMBER(G233),P233&lt;&gt;"Unresolved unit / layout"),G233*K233,"Not applicable")</x:f>
        <x:v>55</x:v>
      </x:c>
      <x:c r="M233" s="8" t="str">
        <x:f aca="0">IF(AND(ISNUMBER(H233),P233&lt;&gt;"Unresolved unit / layout"),H233*K233,"Not applicable")</x:f>
        <x:v>Not applicable</x:v>
      </x:c>
      <x:c r="N233" s="8" t="str">
        <x:f aca="0">IF(AND(ISNUMBER(I233),P233&lt;&gt;"Unresolved unit / layout"),I233*K233,"Not applicable")</x:f>
        <x:v>Not applicable</x:v>
      </x:c>
      <x:c r="O233" s="7" t="s">
        <x:v>1956</x:v>
      </x:c>
      <x:c r="P233" s="7" t="s">
        <x:v>1921</x:v>
      </x:c>
      <x:c r="Q233" s="7" t="s">
        <x:v>2064</x:v>
      </x:c>
      <x:c r="R233" s="7" t="s">
        <x:v>58</x:v>
      </x:c>
      <x:c r="S233" s="7" t="s">
        <x:v>53</x:v>
      </x:c>
      <x:c r="T233" s="7" t="s">
        <x:v>53</x:v>
      </x:c>
      <x:c r="U233" s="7" t="s">
        <x:v>53</x:v>
      </x:c>
      <x:c r="V233" s="7" t="s">
        <x:v>2097</x:v>
      </x:c>
      <x:c r="W233" s="7" t="s">
        <x:v>58</x:v>
      </x:c>
      <x:c r="X233" s="7" t="s">
        <x:v>2449</x:v>
      </x:c>
      <x:c r="Y233" s="7" t="s">
        <x:v>1167</x:v>
      </x:c>
      <x:c r="Z233" s="7" t="s">
        <x:v>2096</x:v>
      </x:c>
      <x:c r="AA233" s="7" t="s">
        <x:v>58</x:v>
      </x:c>
      <x:c r="AB233" s="8" t="s">
        <x:v>58</x:v>
      </x:c>
      <x:c r="AC233" s="8" t="s">
        <x:v>58</x:v>
      </x:c>
      <x:c r="AD233" s="8" t="s">
        <x:v>58</x:v>
      </x:c>
      <x:c r="AE233" s="8" t="s">
        <x:v>58</x:v>
      </x:c>
      <x:c r="AF233" s="8" t="s">
        <x:v>58</x:v>
      </x:c>
      <x:c r="AG233" s="7" t="s">
        <x:v>58</x:v>
      </x:c>
    </x:row>
    <x:row r="234" ht="79.5" hidden="0" customHeight="1">
      <x:c r="A234" s="7" t="s">
        <x:v>2457</x:v>
      </x:c>
      <x:c r="B234" s="7" t="s">
        <x:v>191</x:v>
      </x:c>
      <x:c r="C234" s="7" t="s">
        <x:v>193</x:v>
      </x:c>
      <x:c r="D234" s="7" t="s">
        <x:v>2099</x:v>
      </x:c>
      <x:c r="E234" s="7" t="s">
        <x:v>2421</x:v>
      </x:c>
      <x:c r="F234" s="7" t="s">
        <x:v>1942</x:v>
      </x:c>
      <x:c r="G234" s="8" t="n">
        <x:v>0.44</x:v>
      </x:c>
      <x:c r="H234" s="8" t="s">
        <x:v>58</x:v>
      </x:c>
      <x:c r="I234" s="8" t="s">
        <x:v>58</x:v>
      </x:c>
      <x:c r="J234" s="7" t="s">
        <x:v>1919</x:v>
      </x:c>
      <x:c r="K234" s="8" t="n">
        <x:v>1</x:v>
      </x:c>
      <x:c r="L234" s="8" t="n">
        <x:f aca="0">IF(AND(ISNUMBER(G234),P234&lt;&gt;"Unresolved unit / layout"),G234*K234,"Not applicable")</x:f>
        <x:v>0.44</x:v>
      </x:c>
      <x:c r="M234" s="8" t="str">
        <x:f aca="0">IF(AND(ISNUMBER(H234),P234&lt;&gt;"Unresolved unit / layout"),H234*K234,"Not applicable")</x:f>
        <x:v>Not applicable</x:v>
      </x:c>
      <x:c r="N234" s="8" t="str">
        <x:f aca="0">IF(AND(ISNUMBER(I234),P234&lt;&gt;"Unresolved unit / layout"),I234*K234,"Not applicable")</x:f>
        <x:v>Not applicable</x:v>
      </x:c>
      <x:c r="O234" s="7" t="s">
        <x:v>1942</x:v>
      </x:c>
      <x:c r="P234" s="7" t="s">
        <x:v>1921</x:v>
      </x:c>
      <x:c r="Q234" s="7" t="s">
        <x:v>2064</x:v>
      </x:c>
      <x:c r="R234" s="7" t="s">
        <x:v>58</x:v>
      </x:c>
      <x:c r="S234" s="7" t="s">
        <x:v>53</x:v>
      </x:c>
      <x:c r="T234" s="7" t="s">
        <x:v>53</x:v>
      </x:c>
      <x:c r="U234" s="7" t="s">
        <x:v>53</x:v>
      </x:c>
      <x:c r="V234" s="7" t="s">
        <x:v>2458</x:v>
      </x:c>
      <x:c r="W234" s="7" t="s">
        <x:v>58</x:v>
      </x:c>
      <x:c r="X234" s="7" t="s">
        <x:v>2449</x:v>
      </x:c>
      <x:c r="Y234" s="7" t="s">
        <x:v>1167</x:v>
      </x:c>
      <x:c r="Z234" s="7" t="s">
        <x:v>2459</x:v>
      </x:c>
      <x:c r="AA234" s="7" t="s">
        <x:v>58</x:v>
      </x:c>
      <x:c r="AB234" s="8" t="s">
        <x:v>58</x:v>
      </x:c>
      <x:c r="AC234" s="8" t="s">
        <x:v>58</x:v>
      </x:c>
      <x:c r="AD234" s="8" t="s">
        <x:v>58</x:v>
      </x:c>
      <x:c r="AE234" s="8" t="s">
        <x:v>58</x:v>
      </x:c>
      <x:c r="AF234" s="8" t="s">
        <x:v>58</x:v>
      </x:c>
      <x:c r="AG234" s="7" t="s">
        <x:v>58</x:v>
      </x:c>
    </x:row>
    <x:row r="235" ht="79.5" hidden="0" customHeight="1">
      <x:c r="A235" s="7" t="s">
        <x:v>2460</x:v>
      </x:c>
      <x:c r="B235" s="7" t="s">
        <x:v>191</x:v>
      </x:c>
      <x:c r="C235" s="7" t="s">
        <x:v>193</x:v>
      </x:c>
      <x:c r="D235" s="7" t="s">
        <x:v>1935</x:v>
      </x:c>
      <x:c r="E235" s="7" t="s">
        <x:v>2461</x:v>
      </x:c>
      <x:c r="F235" s="7" t="s">
        <x:v>1929</x:v>
      </x:c>
      <x:c r="G235" s="8" t="n">
        <x:v>1940</x:v>
      </x:c>
      <x:c r="H235" s="8" t="n">
        <x:v>230</x:v>
      </x:c>
      <x:c r="I235" s="8" t="s">
        <x:v>58</x:v>
      </x:c>
      <x:c r="J235" s="7" t="s">
        <x:v>1919</x:v>
      </x:c>
      <x:c r="K235" s="8" t="n">
        <x:v>0.001</x:v>
      </x:c>
      <x:c r="L235" s="8" t="n">
        <x:f aca="0">IF(AND(ISNUMBER(G235),P235&lt;&gt;"Unresolved unit / layout"),G235*K235,"Not applicable")</x:f>
        <x:v>1.94</x:v>
      </x:c>
      <x:c r="M235" s="8" t="n">
        <x:f aca="0">IF(AND(ISNUMBER(H235),P235&lt;&gt;"Unresolved unit / layout"),H235*K235,"Not applicable")</x:f>
        <x:v>0.23</x:v>
      </x:c>
      <x:c r="N235" s="8" t="str">
        <x:f aca="0">IF(AND(ISNUMBER(I235),P235&lt;&gt;"Unresolved unit / layout"),I235*K235,"Not applicable")</x:f>
        <x:v>Not applicable</x:v>
      </x:c>
      <x:c r="O235" s="7" t="s">
        <x:v>1937</x:v>
      </x:c>
      <x:c r="P235" s="7" t="s">
        <x:v>1921</x:v>
      </x:c>
      <x:c r="Q235" s="7" t="s">
        <x:v>2064</x:v>
      </x:c>
      <x:c r="R235" s="7" t="s">
        <x:v>1931</x:v>
      </x:c>
      <x:c r="S235" s="7" t="s">
        <x:v>53</x:v>
      </x:c>
      <x:c r="T235" s="7" t="s">
        <x:v>53</x:v>
      </x:c>
      <x:c r="U235" s="7" t="s">
        <x:v>53</x:v>
      </x:c>
      <x:c r="V235" s="7" t="s">
        <x:v>1999</x:v>
      </x:c>
      <x:c r="W235" s="7" t="s">
        <x:v>58</x:v>
      </x:c>
      <x:c r="X235" s="7" t="s">
        <x:v>2449</x:v>
      </x:c>
      <x:c r="Y235" s="7" t="s">
        <x:v>1167</x:v>
      </x:c>
      <x:c r="Z235" s="7" t="s">
        <x:v>2105</x:v>
      </x:c>
      <x:c r="AA235" s="7" t="s">
        <x:v>58</x:v>
      </x:c>
      <x:c r="AB235" s="8" t="s">
        <x:v>58</x:v>
      </x:c>
      <x:c r="AC235" s="8" t="s">
        <x:v>58</x:v>
      </x:c>
      <x:c r="AD235" s="8" t="s">
        <x:v>58</x:v>
      </x:c>
      <x:c r="AE235" s="8" t="s">
        <x:v>58</x:v>
      </x:c>
      <x:c r="AF235" s="8" t="s">
        <x:v>58</x:v>
      </x:c>
      <x:c r="AG235" s="7" t="s">
        <x:v>58</x:v>
      </x:c>
    </x:row>
    <x:row r="236" ht="79.5" hidden="0" customHeight="1">
      <x:c r="A236" s="7" t="s">
        <x:v>2462</x:v>
      </x:c>
      <x:c r="B236" s="7" t="s">
        <x:v>191</x:v>
      </x:c>
      <x:c r="C236" s="7" t="s">
        <x:v>193</x:v>
      </x:c>
      <x:c r="D236" s="7" t="s">
        <x:v>1935</x:v>
      </x:c>
      <x:c r="E236" s="7" t="s">
        <x:v>2463</x:v>
      </x:c>
      <x:c r="F236" s="7" t="s">
        <x:v>1929</x:v>
      </x:c>
      <x:c r="G236" s="8" t="n">
        <x:v>1660</x:v>
      </x:c>
      <x:c r="H236" s="8" t="n">
        <x:v>210</x:v>
      </x:c>
      <x:c r="I236" s="8" t="s">
        <x:v>58</x:v>
      </x:c>
      <x:c r="J236" s="7" t="s">
        <x:v>1919</x:v>
      </x:c>
      <x:c r="K236" s="8" t="n">
        <x:v>0.001</x:v>
      </x:c>
      <x:c r="L236" s="8" t="n">
        <x:f aca="0">IF(AND(ISNUMBER(G236),P236&lt;&gt;"Unresolved unit / layout"),G236*K236,"Not applicable")</x:f>
        <x:v>1.6600000000000001</x:v>
      </x:c>
      <x:c r="M236" s="8" t="n">
        <x:f aca="0">IF(AND(ISNUMBER(H236),P236&lt;&gt;"Unresolved unit / layout"),H236*K236,"Not applicable")</x:f>
        <x:v>0.21</x:v>
      </x:c>
      <x:c r="N236" s="8" t="str">
        <x:f aca="0">IF(AND(ISNUMBER(I236),P236&lt;&gt;"Unresolved unit / layout"),I236*K236,"Not applicable")</x:f>
        <x:v>Not applicable</x:v>
      </x:c>
      <x:c r="O236" s="7" t="s">
        <x:v>1937</x:v>
      </x:c>
      <x:c r="P236" s="7" t="s">
        <x:v>1921</x:v>
      </x:c>
      <x:c r="Q236" s="7" t="s">
        <x:v>2064</x:v>
      </x:c>
      <x:c r="R236" s="7" t="s">
        <x:v>2003</x:v>
      </x:c>
      <x:c r="S236" s="7" t="s">
        <x:v>53</x:v>
      </x:c>
      <x:c r="T236" s="7" t="s">
        <x:v>53</x:v>
      </x:c>
      <x:c r="U236" s="7" t="s">
        <x:v>53</x:v>
      </x:c>
      <x:c r="V236" s="7" t="s">
        <x:v>1999</x:v>
      </x:c>
      <x:c r="W236" s="7" t="s">
        <x:v>58</x:v>
      </x:c>
      <x:c r="X236" s="7" t="s">
        <x:v>2449</x:v>
      </x:c>
      <x:c r="Y236" s="7" t="s">
        <x:v>1167</x:v>
      </x:c>
      <x:c r="Z236" s="7" t="s">
        <x:v>2108</x:v>
      </x:c>
      <x:c r="AA236" s="7" t="s">
        <x:v>58</x:v>
      </x:c>
      <x:c r="AB236" s="8" t="s">
        <x:v>58</x:v>
      </x:c>
      <x:c r="AC236" s="8" t="s">
        <x:v>58</x:v>
      </x:c>
      <x:c r="AD236" s="8" t="s">
        <x:v>58</x:v>
      </x:c>
      <x:c r="AE236" s="8" t="s">
        <x:v>58</x:v>
      </x:c>
      <x:c r="AF236" s="8" t="s">
        <x:v>58</x:v>
      </x:c>
      <x:c r="AG236" s="7" t="s">
        <x:v>58</x:v>
      </x:c>
    </x:row>
    <x:row r="237" ht="79.5" hidden="0" customHeight="1">
      <x:c r="A237" s="7" t="s">
        <x:v>2464</x:v>
      </x:c>
      <x:c r="B237" s="7" t="s">
        <x:v>191</x:v>
      </x:c>
      <x:c r="C237" s="7" t="s">
        <x:v>193</x:v>
      </x:c>
      <x:c r="D237" s="7" t="s">
        <x:v>2006</x:v>
      </x:c>
      <x:c r="E237" s="7" t="s">
        <x:v>2465</x:v>
      </x:c>
      <x:c r="F237" s="7" t="s">
        <x:v>1929</x:v>
      </x:c>
      <x:c r="G237" s="8" t="n">
        <x:v>39</x:v>
      </x:c>
      <x:c r="H237" s="8" t="n">
        <x:v>3</x:v>
      </x:c>
      <x:c r="I237" s="8" t="s">
        <x:v>58</x:v>
      </x:c>
      <x:c r="J237" s="7" t="s">
        <x:v>1919</x:v>
      </x:c>
      <x:c r="K237" s="8" t="n">
        <x:v>1</x:v>
      </x:c>
      <x:c r="L237" s="8" t="n">
        <x:f aca="0">IF(AND(ISNUMBER(G237),P237&lt;&gt;"Unresolved unit / layout"),G237*K237,"Not applicable")</x:f>
        <x:v>39</x:v>
      </x:c>
      <x:c r="M237" s="8" t="n">
        <x:f aca="0">IF(AND(ISNUMBER(H237),P237&lt;&gt;"Unresolved unit / layout"),H237*K237,"Not applicable")</x:f>
        <x:v>3</x:v>
      </x:c>
      <x:c r="N237" s="8" t="str">
        <x:f aca="0">IF(AND(ISNUMBER(I237),P237&lt;&gt;"Unresolved unit / layout"),I237*K237,"Not applicable")</x:f>
        <x:v>Not applicable</x:v>
      </x:c>
      <x:c r="O237" s="7" t="s">
        <x:v>1929</x:v>
      </x:c>
      <x:c r="P237" s="7" t="s">
        <x:v>1921</x:v>
      </x:c>
      <x:c r="Q237" s="7" t="s">
        <x:v>2064</x:v>
      </x:c>
      <x:c r="R237" s="7" t="s">
        <x:v>1931</x:v>
      </x:c>
      <x:c r="S237" s="7" t="s">
        <x:v>53</x:v>
      </x:c>
      <x:c r="T237" s="7" t="s">
        <x:v>53</x:v>
      </x:c>
      <x:c r="U237" s="7" t="s">
        <x:v>53</x:v>
      </x:c>
      <x:c r="V237" s="7" t="s">
        <x:v>1999</x:v>
      </x:c>
      <x:c r="W237" s="7" t="s">
        <x:v>58</x:v>
      </x:c>
      <x:c r="X237" s="7" t="s">
        <x:v>2449</x:v>
      </x:c>
      <x:c r="Y237" s="7" t="s">
        <x:v>1167</x:v>
      </x:c>
      <x:c r="Z237" s="7" t="s">
        <x:v>2111</x:v>
      </x:c>
      <x:c r="AA237" s="7" t="s">
        <x:v>58</x:v>
      </x:c>
      <x:c r="AB237" s="8" t="s">
        <x:v>58</x:v>
      </x:c>
      <x:c r="AC237" s="8" t="s">
        <x:v>58</x:v>
      </x:c>
      <x:c r="AD237" s="8" t="s">
        <x:v>58</x:v>
      </x:c>
      <x:c r="AE237" s="8" t="s">
        <x:v>58</x:v>
      </x:c>
      <x:c r="AF237" s="8" t="s">
        <x:v>58</x:v>
      </x:c>
      <x:c r="AG237" s="7" t="s">
        <x:v>58</x:v>
      </x:c>
    </x:row>
    <x:row r="238" ht="79.5" hidden="0" customHeight="1">
      <x:c r="A238" s="7" t="s">
        <x:v>2466</x:v>
      </x:c>
      <x:c r="B238" s="7" t="s">
        <x:v>191</x:v>
      </x:c>
      <x:c r="C238" s="7" t="s">
        <x:v>193</x:v>
      </x:c>
      <x:c r="D238" s="7" t="s">
        <x:v>2006</x:v>
      </x:c>
      <x:c r="E238" s="7" t="s">
        <x:v>2467</x:v>
      </x:c>
      <x:c r="F238" s="7" t="s">
        <x:v>1929</x:v>
      </x:c>
      <x:c r="G238" s="8" t="n">
        <x:v>32</x:v>
      </x:c>
      <x:c r="H238" s="8" t="n">
        <x:v>2</x:v>
      </x:c>
      <x:c r="I238" s="8" t="s">
        <x:v>58</x:v>
      </x:c>
      <x:c r="J238" s="7" t="s">
        <x:v>1919</x:v>
      </x:c>
      <x:c r="K238" s="8" t="n">
        <x:v>1</x:v>
      </x:c>
      <x:c r="L238" s="8" t="n">
        <x:f aca="0">IF(AND(ISNUMBER(G238),P238&lt;&gt;"Unresolved unit / layout"),G238*K238,"Not applicable")</x:f>
        <x:v>32</x:v>
      </x:c>
      <x:c r="M238" s="8" t="n">
        <x:f aca="0">IF(AND(ISNUMBER(H238),P238&lt;&gt;"Unresolved unit / layout"),H238*K238,"Not applicable")</x:f>
        <x:v>2</x:v>
      </x:c>
      <x:c r="N238" s="8" t="str">
        <x:f aca="0">IF(AND(ISNUMBER(I238),P238&lt;&gt;"Unresolved unit / layout"),I238*K238,"Not applicable")</x:f>
        <x:v>Not applicable</x:v>
      </x:c>
      <x:c r="O238" s="7" t="s">
        <x:v>1929</x:v>
      </x:c>
      <x:c r="P238" s="7" t="s">
        <x:v>1921</x:v>
      </x:c>
      <x:c r="Q238" s="7" t="s">
        <x:v>2064</x:v>
      </x:c>
      <x:c r="R238" s="7" t="s">
        <x:v>2003</x:v>
      </x:c>
      <x:c r="S238" s="7" t="s">
        <x:v>53</x:v>
      </x:c>
      <x:c r="T238" s="7" t="s">
        <x:v>53</x:v>
      </x:c>
      <x:c r="U238" s="7" t="s">
        <x:v>53</x:v>
      </x:c>
      <x:c r="V238" s="7" t="s">
        <x:v>1999</x:v>
      </x:c>
      <x:c r="W238" s="7" t="s">
        <x:v>58</x:v>
      </x:c>
      <x:c r="X238" s="7" t="s">
        <x:v>2449</x:v>
      </x:c>
      <x:c r="Y238" s="7" t="s">
        <x:v>1167</x:v>
      </x:c>
      <x:c r="Z238" s="7" t="s">
        <x:v>2114</x:v>
      </x:c>
      <x:c r="AA238" s="7" t="s">
        <x:v>58</x:v>
      </x:c>
      <x:c r="AB238" s="8" t="s">
        <x:v>58</x:v>
      </x:c>
      <x:c r="AC238" s="8" t="s">
        <x:v>58</x:v>
      </x:c>
      <x:c r="AD238" s="8" t="s">
        <x:v>58</x:v>
      </x:c>
      <x:c r="AE238" s="8" t="s">
        <x:v>58</x:v>
      </x:c>
      <x:c r="AF238" s="8" t="s">
        <x:v>58</x:v>
      </x:c>
      <x:c r="AG238" s="7" t="s">
        <x:v>58</x:v>
      </x:c>
    </x:row>
    <x:row r="239" ht="79.5" hidden="0" customHeight="1">
      <x:c r="A239" s="7" t="s">
        <x:v>2468</x:v>
      </x:c>
      <x:c r="B239" s="7" t="s">
        <x:v>191</x:v>
      </x:c>
      <x:c r="C239" s="7" t="s">
        <x:v>193</x:v>
      </x:c>
      <x:c r="D239" s="7" t="s">
        <x:v>1940</x:v>
      </x:c>
      <x:c r="E239" s="7" t="s">
        <x:v>2469</x:v>
      </x:c>
      <x:c r="F239" s="7" t="s">
        <x:v>1942</x:v>
      </x:c>
      <x:c r="G239" s="8" t="n">
        <x:v>11.7</x:v>
      </x:c>
      <x:c r="H239" s="8" t="n">
        <x:v>0.7</x:v>
      </x:c>
      <x:c r="I239" s="8" t="s">
        <x:v>58</x:v>
      </x:c>
      <x:c r="J239" s="7" t="s">
        <x:v>1919</x:v>
      </x:c>
      <x:c r="K239" s="8" t="n">
        <x:v>1</x:v>
      </x:c>
      <x:c r="L239" s="8" t="n">
        <x:f aca="0">IF(AND(ISNUMBER(G239),P239&lt;&gt;"Unresolved unit / layout"),G239*K239,"Not applicable")</x:f>
        <x:v>11.7</x:v>
      </x:c>
      <x:c r="M239" s="8" t="n">
        <x:f aca="0">IF(AND(ISNUMBER(H239),P239&lt;&gt;"Unresolved unit / layout"),H239*K239,"Not applicable")</x:f>
        <x:v>0.7</x:v>
      </x:c>
      <x:c r="N239" s="8" t="str">
        <x:f aca="0">IF(AND(ISNUMBER(I239),P239&lt;&gt;"Unresolved unit / layout"),I239*K239,"Not applicable")</x:f>
        <x:v>Not applicable</x:v>
      </x:c>
      <x:c r="O239" s="7" t="s">
        <x:v>1942</x:v>
      </x:c>
      <x:c r="P239" s="7" t="s">
        <x:v>1921</x:v>
      </x:c>
      <x:c r="Q239" s="7" t="s">
        <x:v>2064</x:v>
      </x:c>
      <x:c r="R239" s="7" t="s">
        <x:v>1931</x:v>
      </x:c>
      <x:c r="S239" s="7" t="s">
        <x:v>53</x:v>
      </x:c>
      <x:c r="T239" s="7" t="s">
        <x:v>53</x:v>
      </x:c>
      <x:c r="U239" s="7" t="s">
        <x:v>53</x:v>
      </x:c>
      <x:c r="V239" s="7" t="s">
        <x:v>1999</x:v>
      </x:c>
      <x:c r="W239" s="7" t="s">
        <x:v>58</x:v>
      </x:c>
      <x:c r="X239" s="7" t="s">
        <x:v>2449</x:v>
      </x:c>
      <x:c r="Y239" s="7" t="s">
        <x:v>1167</x:v>
      </x:c>
      <x:c r="Z239" s="7" t="s">
        <x:v>2117</x:v>
      </x:c>
      <x:c r="AA239" s="7" t="s">
        <x:v>58</x:v>
      </x:c>
      <x:c r="AB239" s="8" t="s">
        <x:v>58</x:v>
      </x:c>
      <x:c r="AC239" s="8" t="s">
        <x:v>58</x:v>
      </x:c>
      <x:c r="AD239" s="8" t="s">
        <x:v>58</x:v>
      </x:c>
      <x:c r="AE239" s="8" t="s">
        <x:v>58</x:v>
      </x:c>
      <x:c r="AF239" s="8" t="s">
        <x:v>58</x:v>
      </x:c>
      <x:c r="AG239" s="7" t="s">
        <x:v>58</x:v>
      </x:c>
    </x:row>
    <x:row r="240" ht="79.5" hidden="0" customHeight="1">
      <x:c r="A240" s="7" t="s">
        <x:v>2470</x:v>
      </x:c>
      <x:c r="B240" s="7" t="s">
        <x:v>191</x:v>
      </x:c>
      <x:c r="C240" s="7" t="s">
        <x:v>193</x:v>
      </x:c>
      <x:c r="D240" s="7" t="s">
        <x:v>1940</x:v>
      </x:c>
      <x:c r="E240" s="7" t="s">
        <x:v>2471</x:v>
      </x:c>
      <x:c r="F240" s="7" t="s">
        <x:v>1942</x:v>
      </x:c>
      <x:c r="G240" s="8" t="n">
        <x:v>6.8</x:v>
      </x:c>
      <x:c r="H240" s="8" t="n">
        <x:v>0.6</x:v>
      </x:c>
      <x:c r="I240" s="8" t="s">
        <x:v>58</x:v>
      </x:c>
      <x:c r="J240" s="7" t="s">
        <x:v>1919</x:v>
      </x:c>
      <x:c r="K240" s="8" t="n">
        <x:v>1</x:v>
      </x:c>
      <x:c r="L240" s="8" t="n">
        <x:f aca="0">IF(AND(ISNUMBER(G240),P240&lt;&gt;"Unresolved unit / layout"),G240*K240,"Not applicable")</x:f>
        <x:v>6.8</x:v>
      </x:c>
      <x:c r="M240" s="8" t="n">
        <x:f aca="0">IF(AND(ISNUMBER(H240),P240&lt;&gt;"Unresolved unit / layout"),H240*K240,"Not applicable")</x:f>
        <x:v>0.6</x:v>
      </x:c>
      <x:c r="N240" s="8" t="str">
        <x:f aca="0">IF(AND(ISNUMBER(I240),P240&lt;&gt;"Unresolved unit / layout"),I240*K240,"Not applicable")</x:f>
        <x:v>Not applicable</x:v>
      </x:c>
      <x:c r="O240" s="7" t="s">
        <x:v>1942</x:v>
      </x:c>
      <x:c r="P240" s="7" t="s">
        <x:v>1921</x:v>
      </x:c>
      <x:c r="Q240" s="7" t="s">
        <x:v>2064</x:v>
      </x:c>
      <x:c r="R240" s="7" t="s">
        <x:v>2003</x:v>
      </x:c>
      <x:c r="S240" s="7" t="s">
        <x:v>53</x:v>
      </x:c>
      <x:c r="T240" s="7" t="s">
        <x:v>53</x:v>
      </x:c>
      <x:c r="U240" s="7" t="s">
        <x:v>53</x:v>
      </x:c>
      <x:c r="V240" s="7" t="s">
        <x:v>1999</x:v>
      </x:c>
      <x:c r="W240" s="7" t="s">
        <x:v>58</x:v>
      </x:c>
      <x:c r="X240" s="7" t="s">
        <x:v>2449</x:v>
      </x:c>
      <x:c r="Y240" s="7" t="s">
        <x:v>1167</x:v>
      </x:c>
      <x:c r="Z240" s="7" t="s">
        <x:v>2120</x:v>
      </x:c>
      <x:c r="AA240" s="7" t="s">
        <x:v>58</x:v>
      </x:c>
      <x:c r="AB240" s="8" t="s">
        <x:v>58</x:v>
      </x:c>
      <x:c r="AC240" s="8" t="s">
        <x:v>58</x:v>
      </x:c>
      <x:c r="AD240" s="8" t="s">
        <x:v>58</x:v>
      </x:c>
      <x:c r="AE240" s="8" t="s">
        <x:v>58</x:v>
      </x:c>
      <x:c r="AF240" s="8" t="s">
        <x:v>58</x:v>
      </x:c>
      <x:c r="AG240" s="7" t="s">
        <x:v>58</x:v>
      </x:c>
    </x:row>
    <x:row r="241" ht="79.5" hidden="0" customHeight="1">
      <x:c r="A241" s="7" t="s">
        <x:v>2472</x:v>
      </x:c>
      <x:c r="B241" s="7" t="s">
        <x:v>191</x:v>
      </x:c>
      <x:c r="C241" s="7" t="s">
        <x:v>193</x:v>
      </x:c>
      <x:c r="D241" s="7" t="s">
        <x:v>1950</x:v>
      </x:c>
      <x:c r="E241" s="7" t="s">
        <x:v>2473</x:v>
      </x:c>
      <x:c r="F241" s="7" t="s">
        <x:v>1929</x:v>
      </x:c>
      <x:c r="G241" s="8" t="n">
        <x:v>2350</x:v>
      </x:c>
      <x:c r="H241" s="8" t="n">
        <x:v>140</x:v>
      </x:c>
      <x:c r="I241" s="8" t="s">
        <x:v>58</x:v>
      </x:c>
      <x:c r="J241" s="7" t="s">
        <x:v>1919</x:v>
      </x:c>
      <x:c r="K241" s="8" t="n">
        <x:v>0.001</x:v>
      </x:c>
      <x:c r="L241" s="8" t="n">
        <x:f aca="0">IF(AND(ISNUMBER(G241),P241&lt;&gt;"Unresolved unit / layout"),G241*K241,"Not applicable")</x:f>
        <x:v>2.35</x:v>
      </x:c>
      <x:c r="M241" s="8" t="n">
        <x:f aca="0">IF(AND(ISNUMBER(H241),P241&lt;&gt;"Unresolved unit / layout"),H241*K241,"Not applicable")</x:f>
        <x:v>0.14</x:v>
      </x:c>
      <x:c r="N241" s="8" t="str">
        <x:f aca="0">IF(AND(ISNUMBER(I241),P241&lt;&gt;"Unresolved unit / layout"),I241*K241,"Not applicable")</x:f>
        <x:v>Not applicable</x:v>
      </x:c>
      <x:c r="O241" s="7" t="s">
        <x:v>1937</x:v>
      </x:c>
      <x:c r="P241" s="7" t="s">
        <x:v>1921</x:v>
      </x:c>
      <x:c r="Q241" s="7" t="s">
        <x:v>2064</x:v>
      </x:c>
      <x:c r="R241" s="7" t="s">
        <x:v>1931</x:v>
      </x:c>
      <x:c r="S241" s="7" t="s">
        <x:v>53</x:v>
      </x:c>
      <x:c r="T241" s="7" t="s">
        <x:v>53</x:v>
      </x:c>
      <x:c r="U241" s="7" t="s">
        <x:v>53</x:v>
      </x:c>
      <x:c r="V241" s="7" t="s">
        <x:v>2020</x:v>
      </x:c>
      <x:c r="W241" s="7" t="s">
        <x:v>58</x:v>
      </x:c>
      <x:c r="X241" s="7" t="s">
        <x:v>2449</x:v>
      </x:c>
      <x:c r="Y241" s="7" t="s">
        <x:v>1167</x:v>
      </x:c>
      <x:c r="Z241" s="7" t="s">
        <x:v>2123</x:v>
      </x:c>
      <x:c r="AA241" s="7" t="s">
        <x:v>58</x:v>
      </x:c>
      <x:c r="AB241" s="8" t="s">
        <x:v>58</x:v>
      </x:c>
      <x:c r="AC241" s="8" t="s">
        <x:v>58</x:v>
      </x:c>
      <x:c r="AD241" s="8" t="s">
        <x:v>58</x:v>
      </x:c>
      <x:c r="AE241" s="8" t="s">
        <x:v>58</x:v>
      </x:c>
      <x:c r="AF241" s="8" t="s">
        <x:v>58</x:v>
      </x:c>
      <x:c r="AG241" s="7" t="s">
        <x:v>58</x:v>
      </x:c>
    </x:row>
    <x:row r="242" ht="79.5" hidden="0" customHeight="1">
      <x:c r="A242" s="7" t="s">
        <x:v>2474</x:v>
      </x:c>
      <x:c r="B242" s="7" t="s">
        <x:v>191</x:v>
      </x:c>
      <x:c r="C242" s="7" t="s">
        <x:v>193</x:v>
      </x:c>
      <x:c r="D242" s="7" t="s">
        <x:v>1945</x:v>
      </x:c>
      <x:c r="E242" s="7" t="s">
        <x:v>2335</x:v>
      </x:c>
      <x:c r="F242" s="7" t="s">
        <x:v>1929</x:v>
      </x:c>
      <x:c r="G242" s="8" t="n">
        <x:v>75</x:v>
      </x:c>
      <x:c r="H242" s="8" t="n">
        <x:v>4</x:v>
      </x:c>
      <x:c r="I242" s="8" t="s">
        <x:v>58</x:v>
      </x:c>
      <x:c r="J242" s="7" t="s">
        <x:v>1919</x:v>
      </x:c>
      <x:c r="K242" s="8" t="n">
        <x:v>1</x:v>
      </x:c>
      <x:c r="L242" s="8" t="n">
        <x:f aca="0">IF(AND(ISNUMBER(G242),P242&lt;&gt;"Unresolved unit / layout"),G242*K242,"Not applicable")</x:f>
        <x:v>75</x:v>
      </x:c>
      <x:c r="M242" s="8" t="n">
        <x:f aca="0">IF(AND(ISNUMBER(H242),P242&lt;&gt;"Unresolved unit / layout"),H242*K242,"Not applicable")</x:f>
        <x:v>4</x:v>
      </x:c>
      <x:c r="N242" s="8" t="str">
        <x:f aca="0">IF(AND(ISNUMBER(I242),P242&lt;&gt;"Unresolved unit / layout"),I242*K242,"Not applicable")</x:f>
        <x:v>Not applicable</x:v>
      </x:c>
      <x:c r="O242" s="7" t="s">
        <x:v>1929</x:v>
      </x:c>
      <x:c r="P242" s="7" t="s">
        <x:v>1921</x:v>
      </x:c>
      <x:c r="Q242" s="7" t="s">
        <x:v>2064</x:v>
      </x:c>
      <x:c r="R242" s="7" t="s">
        <x:v>1931</x:v>
      </x:c>
      <x:c r="S242" s="7" t="s">
        <x:v>53</x:v>
      </x:c>
      <x:c r="T242" s="7" t="s">
        <x:v>53</x:v>
      </x:c>
      <x:c r="U242" s="7" t="s">
        <x:v>53</x:v>
      </x:c>
      <x:c r="V242" s="7" t="s">
        <x:v>2020</x:v>
      </x:c>
      <x:c r="W242" s="7" t="s">
        <x:v>58</x:v>
      </x:c>
      <x:c r="X242" s="7" t="s">
        <x:v>2449</x:v>
      </x:c>
      <x:c r="Y242" s="7" t="s">
        <x:v>1167</x:v>
      </x:c>
      <x:c r="Z242" s="7" t="s">
        <x:v>2213</x:v>
      </x:c>
      <x:c r="AA242" s="7" t="s">
        <x:v>58</x:v>
      </x:c>
      <x:c r="AB242" s="8" t="s">
        <x:v>58</x:v>
      </x:c>
      <x:c r="AC242" s="8" t="s">
        <x:v>58</x:v>
      </x:c>
      <x:c r="AD242" s="8" t="s">
        <x:v>58</x:v>
      </x:c>
      <x:c r="AE242" s="8" t="s">
        <x:v>58</x:v>
      </x:c>
      <x:c r="AF242" s="8" t="s">
        <x:v>58</x:v>
      </x:c>
      <x:c r="AG242" s="7" t="s">
        <x:v>58</x:v>
      </x:c>
    </x:row>
    <x:row r="243" ht="79.5" hidden="0" customHeight="1">
      <x:c r="A243" s="7" t="s">
        <x:v>2475</x:v>
      </x:c>
      <x:c r="B243" s="7" t="s">
        <x:v>191</x:v>
      </x:c>
      <x:c r="C243" s="7" t="s">
        <x:v>193</x:v>
      </x:c>
      <x:c r="D243" s="7" t="s">
        <x:v>1945</x:v>
      </x:c>
      <x:c r="E243" s="7" t="s">
        <x:v>2476</x:v>
      </x:c>
      <x:c r="F243" s="7" t="s">
        <x:v>1929</x:v>
      </x:c>
      <x:c r="G243" s="8" t="n">
        <x:v>51</x:v>
      </x:c>
      <x:c r="H243" s="8" t="n">
        <x:v>2</x:v>
      </x:c>
      <x:c r="I243" s="8" t="s">
        <x:v>58</x:v>
      </x:c>
      <x:c r="J243" s="7" t="s">
        <x:v>1919</x:v>
      </x:c>
      <x:c r="K243" s="8" t="n">
        <x:v>1</x:v>
      </x:c>
      <x:c r="L243" s="8" t="n">
        <x:f aca="0">IF(AND(ISNUMBER(G243),P243&lt;&gt;"Unresolved unit / layout"),G243*K243,"Not applicable")</x:f>
        <x:v>51</x:v>
      </x:c>
      <x:c r="M243" s="8" t="n">
        <x:f aca="0">IF(AND(ISNUMBER(H243),P243&lt;&gt;"Unresolved unit / layout"),H243*K243,"Not applicable")</x:f>
        <x:v>2</x:v>
      </x:c>
      <x:c r="N243" s="8" t="str">
        <x:f aca="0">IF(AND(ISNUMBER(I243),P243&lt;&gt;"Unresolved unit / layout"),I243*K243,"Not applicable")</x:f>
        <x:v>Not applicable</x:v>
      </x:c>
      <x:c r="O243" s="7" t="s">
        <x:v>1929</x:v>
      </x:c>
      <x:c r="P243" s="7" t="s">
        <x:v>1921</x:v>
      </x:c>
      <x:c r="Q243" s="7" t="s">
        <x:v>2064</x:v>
      </x:c>
      <x:c r="R243" s="7" t="s">
        <x:v>2003</x:v>
      </x:c>
      <x:c r="S243" s="7" t="s">
        <x:v>53</x:v>
      </x:c>
      <x:c r="T243" s="7" t="s">
        <x:v>53</x:v>
      </x:c>
      <x:c r="U243" s="7" t="s">
        <x:v>53</x:v>
      </x:c>
      <x:c r="V243" s="7" t="s">
        <x:v>2020</x:v>
      </x:c>
      <x:c r="W243" s="7" t="s">
        <x:v>58</x:v>
      </x:c>
      <x:c r="X243" s="7" t="s">
        <x:v>2449</x:v>
      </x:c>
      <x:c r="Y243" s="7" t="s">
        <x:v>1167</x:v>
      </x:c>
      <x:c r="Z243" s="7" t="s">
        <x:v>2216</x:v>
      </x:c>
      <x:c r="AA243" s="7" t="s">
        <x:v>58</x:v>
      </x:c>
      <x:c r="AB243" s="8" t="s">
        <x:v>58</x:v>
      </x:c>
      <x:c r="AC243" s="8" t="s">
        <x:v>58</x:v>
      </x:c>
      <x:c r="AD243" s="8" t="s">
        <x:v>58</x:v>
      </x:c>
      <x:c r="AE243" s="8" t="s">
        <x:v>58</x:v>
      </x:c>
      <x:c r="AF243" s="8" t="s">
        <x:v>58</x:v>
      </x:c>
      <x:c r="AG243" s="7" t="s">
        <x:v>58</x:v>
      </x:c>
    </x:row>
    <x:row r="244" ht="79.5" hidden="0" customHeight="1">
      <x:c r="A244" s="7" t="s">
        <x:v>2477</x:v>
      </x:c>
      <x:c r="B244" s="7" t="s">
        <x:v>191</x:v>
      </x:c>
      <x:c r="C244" s="7" t="s">
        <x:v>193</x:v>
      </x:c>
      <x:c r="D244" s="7" t="s">
        <x:v>2030</x:v>
      </x:c>
      <x:c r="E244" s="7" t="s">
        <x:v>2478</x:v>
      </x:c>
      <x:c r="F244" s="7" t="s">
        <x:v>2033</x:v>
      </x:c>
      <x:c r="G244" s="8" t="n">
        <x:v>66.5</x:v>
      </x:c>
      <x:c r="H244" s="8" t="n">
        <x:v>3.6</x:v>
      </x:c>
      <x:c r="I244" s="8" t="s">
        <x:v>58</x:v>
      </x:c>
      <x:c r="J244" s="7" t="s">
        <x:v>1919</x:v>
      </x:c>
      <x:c r="K244" s="8" t="n">
        <x:v>1</x:v>
      </x:c>
      <x:c r="L244" s="8" t="n">
        <x:f aca="0">IF(AND(ISNUMBER(G244),P244&lt;&gt;"Unresolved unit / layout"),G244*K244,"Not applicable")</x:f>
        <x:v>66.5</x:v>
      </x:c>
      <x:c r="M244" s="8" t="n">
        <x:f aca="0">IF(AND(ISNUMBER(H244),P244&lt;&gt;"Unresolved unit / layout"),H244*K244,"Not applicable")</x:f>
        <x:v>3.6</x:v>
      </x:c>
      <x:c r="N244" s="8" t="str">
        <x:f aca="0">IF(AND(ISNUMBER(I244),P244&lt;&gt;"Unresolved unit / layout"),I244*K244,"Not applicable")</x:f>
        <x:v>Not applicable</x:v>
      </x:c>
      <x:c r="O244" s="7" t="s">
        <x:v>2033</x:v>
      </x:c>
      <x:c r="P244" s="7" t="s">
        <x:v>1921</x:v>
      </x:c>
      <x:c r="Q244" s="7" t="s">
        <x:v>2064</x:v>
      </x:c>
      <x:c r="R244" s="7" t="s">
        <x:v>1931</x:v>
      </x:c>
      <x:c r="S244" s="7" t="s">
        <x:v>53</x:v>
      </x:c>
      <x:c r="T244" s="7" t="s">
        <x:v>53</x:v>
      </x:c>
      <x:c r="U244" s="7" t="s">
        <x:v>53</x:v>
      </x:c>
      <x:c r="V244" s="7" t="s">
        <x:v>2036</x:v>
      </x:c>
      <x:c r="W244" s="7" t="s">
        <x:v>2135</x:v>
      </x:c>
      <x:c r="X244" s="7" t="s">
        <x:v>2449</x:v>
      </x:c>
      <x:c r="Y244" s="7" t="s">
        <x:v>1167</x:v>
      </x:c>
      <x:c r="Z244" s="7" t="s">
        <x:v>2219</x:v>
      </x:c>
      <x:c r="AA244" s="7" t="s">
        <x:v>58</x:v>
      </x:c>
      <x:c r="AB244" s="8" t="s">
        <x:v>58</x:v>
      </x:c>
      <x:c r="AC244" s="8" t="s">
        <x:v>58</x:v>
      </x:c>
      <x:c r="AD244" s="8" t="s">
        <x:v>58</x:v>
      </x:c>
      <x:c r="AE244" s="8" t="s">
        <x:v>58</x:v>
      </x:c>
      <x:c r="AF244" s="8" t="s">
        <x:v>58</x:v>
      </x:c>
      <x:c r="AG244" s="7" t="s">
        <x:v>58</x:v>
      </x:c>
    </x:row>
    <x:row r="245" ht="79.5" hidden="0" customHeight="1">
      <x:c r="A245" s="7" t="s">
        <x:v>2479</x:v>
      </x:c>
      <x:c r="B245" s="7" t="s">
        <x:v>191</x:v>
      </x:c>
      <x:c r="C245" s="7" t="s">
        <x:v>193</x:v>
      </x:c>
      <x:c r="D245" s="7" t="s">
        <x:v>2030</x:v>
      </x:c>
      <x:c r="E245" s="7" t="s">
        <x:v>2480</x:v>
      </x:c>
      <x:c r="F245" s="7" t="s">
        <x:v>2033</x:v>
      </x:c>
      <x:c r="G245" s="8" t="n">
        <x:v>23.2</x:v>
      </x:c>
      <x:c r="H245" s="8" t="n">
        <x:v>2.4</x:v>
      </x:c>
      <x:c r="I245" s="8" t="s">
        <x:v>58</x:v>
      </x:c>
      <x:c r="J245" s="7" t="s">
        <x:v>1919</x:v>
      </x:c>
      <x:c r="K245" s="8" t="n">
        <x:v>1</x:v>
      </x:c>
      <x:c r="L245" s="8" t="n">
        <x:f aca="0">IF(AND(ISNUMBER(G245),P245&lt;&gt;"Unresolved unit / layout"),G245*K245,"Not applicable")</x:f>
        <x:v>23.2</x:v>
      </x:c>
      <x:c r="M245" s="8" t="n">
        <x:f aca="0">IF(AND(ISNUMBER(H245),P245&lt;&gt;"Unresolved unit / layout"),H245*K245,"Not applicable")</x:f>
        <x:v>2.4</x:v>
      </x:c>
      <x:c r="N245" s="8" t="str">
        <x:f aca="0">IF(AND(ISNUMBER(I245),P245&lt;&gt;"Unresolved unit / layout"),I245*K245,"Not applicable")</x:f>
        <x:v>Not applicable</x:v>
      </x:c>
      <x:c r="O245" s="7" t="s">
        <x:v>2033</x:v>
      </x:c>
      <x:c r="P245" s="7" t="s">
        <x:v>1921</x:v>
      </x:c>
      <x:c r="Q245" s="7" t="s">
        <x:v>2064</x:v>
      </x:c>
      <x:c r="R245" s="7" t="s">
        <x:v>1931</x:v>
      </x:c>
      <x:c r="S245" s="7" t="s">
        <x:v>53</x:v>
      </x:c>
      <x:c r="T245" s="7" t="s">
        <x:v>53</x:v>
      </x:c>
      <x:c r="U245" s="7" t="s">
        <x:v>53</x:v>
      </x:c>
      <x:c r="V245" s="7" t="s">
        <x:v>2036</x:v>
      </x:c>
      <x:c r="W245" s="7" t="s">
        <x:v>2139</x:v>
      </x:c>
      <x:c r="X245" s="7" t="s">
        <x:v>2449</x:v>
      </x:c>
      <x:c r="Y245" s="7" t="s">
        <x:v>1167</x:v>
      </x:c>
      <x:c r="Z245" s="7" t="s">
        <x:v>2222</x:v>
      </x:c>
      <x:c r="AA245" s="7" t="s">
        <x:v>58</x:v>
      </x:c>
      <x:c r="AB245" s="8" t="s">
        <x:v>58</x:v>
      </x:c>
      <x:c r="AC245" s="8" t="s">
        <x:v>58</x:v>
      </x:c>
      <x:c r="AD245" s="8" t="s">
        <x:v>58</x:v>
      </x:c>
      <x:c r="AE245" s="8" t="s">
        <x:v>58</x:v>
      </x:c>
      <x:c r="AF245" s="8" t="s">
        <x:v>58</x:v>
      </x:c>
      <x:c r="AG245" s="7" t="s">
        <x:v>58</x:v>
      </x:c>
    </x:row>
    <x:row r="246" ht="79.5" hidden="0" customHeight="1">
      <x:c r="A246" s="7" t="s">
        <x:v>2481</x:v>
      </x:c>
      <x:c r="B246" s="7" t="s">
        <x:v>191</x:v>
      </x:c>
      <x:c r="C246" s="7" t="s">
        <x:v>193</x:v>
      </x:c>
      <x:c r="D246" s="7" t="s">
        <x:v>2030</x:v>
      </x:c>
      <x:c r="E246" s="7" t="s">
        <x:v>2482</x:v>
      </x:c>
      <x:c r="F246" s="7" t="s">
        <x:v>2033</x:v>
      </x:c>
      <x:c r="G246" s="8" t="n">
        <x:v>10.3</x:v>
      </x:c>
      <x:c r="H246" s="8" t="n">
        <x:v>0.7</x:v>
      </x:c>
      <x:c r="I246" s="8" t="s">
        <x:v>58</x:v>
      </x:c>
      <x:c r="J246" s="7" t="s">
        <x:v>1919</x:v>
      </x:c>
      <x:c r="K246" s="8" t="n">
        <x:v>1</x:v>
      </x:c>
      <x:c r="L246" s="8" t="n">
        <x:f aca="0">IF(AND(ISNUMBER(G246),P246&lt;&gt;"Unresolved unit / layout"),G246*K246,"Not applicable")</x:f>
        <x:v>10.3</x:v>
      </x:c>
      <x:c r="M246" s="8" t="n">
        <x:f aca="0">IF(AND(ISNUMBER(H246),P246&lt;&gt;"Unresolved unit / layout"),H246*K246,"Not applicable")</x:f>
        <x:v>0.7</x:v>
      </x:c>
      <x:c r="N246" s="8" t="str">
        <x:f aca="0">IF(AND(ISNUMBER(I246),P246&lt;&gt;"Unresolved unit / layout"),I246*K246,"Not applicable")</x:f>
        <x:v>Not applicable</x:v>
      </x:c>
      <x:c r="O246" s="7" t="s">
        <x:v>2033</x:v>
      </x:c>
      <x:c r="P246" s="7" t="s">
        <x:v>1921</x:v>
      </x:c>
      <x:c r="Q246" s="7" t="s">
        <x:v>2064</x:v>
      </x:c>
      <x:c r="R246" s="7" t="s">
        <x:v>2003</x:v>
      </x:c>
      <x:c r="S246" s="7" t="s">
        <x:v>53</x:v>
      </x:c>
      <x:c r="T246" s="7" t="s">
        <x:v>53</x:v>
      </x:c>
      <x:c r="U246" s="7" t="s">
        <x:v>53</x:v>
      </x:c>
      <x:c r="V246" s="7" t="s">
        <x:v>2036</x:v>
      </x:c>
      <x:c r="W246" s="7" t="s">
        <x:v>53</x:v>
      </x:c>
      <x:c r="X246" s="7" t="s">
        <x:v>2449</x:v>
      </x:c>
      <x:c r="Y246" s="7" t="s">
        <x:v>1167</x:v>
      </x:c>
      <x:c r="Z246" s="7" t="s">
        <x:v>2225</x:v>
      </x:c>
      <x:c r="AA246" s="7" t="s">
        <x:v>58</x:v>
      </x:c>
      <x:c r="AB246" s="8" t="s">
        <x:v>58</x:v>
      </x:c>
      <x:c r="AC246" s="8" t="s">
        <x:v>58</x:v>
      </x:c>
      <x:c r="AD246" s="8" t="s">
        <x:v>58</x:v>
      </x:c>
      <x:c r="AE246" s="8" t="s">
        <x:v>58</x:v>
      </x:c>
      <x:c r="AF246" s="8" t="s">
        <x:v>58</x:v>
      </x:c>
      <x:c r="AG246" s="7" t="s">
        <x:v>58</x:v>
      </x:c>
    </x:row>
    <x:row r="247" ht="79.5" hidden="0" customHeight="1">
      <x:c r="A247" s="7" t="s">
        <x:v>2483</x:v>
      </x:c>
      <x:c r="B247" s="7" t="s">
        <x:v>199</x:v>
      </x:c>
      <x:c r="C247" s="7" t="s">
        <x:v>201</x:v>
      </x:c>
      <x:c r="D247" s="7" t="s">
        <x:v>1916</x:v>
      </x:c>
      <x:c r="E247" s="7" t="s">
        <x:v>2227</x:v>
      </x:c>
      <x:c r="F247" s="7" t="s">
        <x:v>2076</x:v>
      </x:c>
      <x:c r="G247" s="8" t="n">
        <x:v>1.21</x:v>
      </x:c>
      <x:c r="H247" s="8" t="s">
        <x:v>58</x:v>
      </x:c>
      <x:c r="I247" s="8" t="s">
        <x:v>58</x:v>
      </x:c>
      <x:c r="J247" s="7" t="s">
        <x:v>1919</x:v>
      </x:c>
      <x:c r="K247" s="8" t="n">
        <x:v>1000</x:v>
      </x:c>
      <x:c r="L247" s="8" t="n">
        <x:f aca="0">IF(AND(ISNUMBER(G247),P247&lt;&gt;"Unresolved unit / layout"),G247*K247,"Not applicable")</x:f>
        <x:v>1210</x:v>
      </x:c>
      <x:c r="M247" s="8" t="str">
        <x:f aca="0">IF(AND(ISNUMBER(H247),P247&lt;&gt;"Unresolved unit / layout"),H247*K247,"Not applicable")</x:f>
        <x:v>Not applicable</x:v>
      </x:c>
      <x:c r="N247" s="8" t="str">
        <x:f aca="0">IF(AND(ISNUMBER(I247),P247&lt;&gt;"Unresolved unit / layout"),I247*K247,"Not applicable")</x:f>
        <x:v>Not applicable</x:v>
      </x:c>
      <x:c r="O247" s="7" t="s">
        <x:v>1920</x:v>
      </x:c>
      <x:c r="P247" s="7" t="s">
        <x:v>1921</x:v>
      </x:c>
      <x:c r="Q247" s="7" t="s">
        <x:v>1922</x:v>
      </x:c>
      <x:c r="R247" s="7" t="s">
        <x:v>58</x:v>
      </x:c>
      <x:c r="S247" s="7" t="s">
        <x:v>2077</x:v>
      </x:c>
      <x:c r="T247" s="7" t="s">
        <x:v>2078</x:v>
      </x:c>
      <x:c r="U247" s="7" t="s">
        <x:v>53</x:v>
      </x:c>
      <x:c r="V247" s="7" t="s">
        <x:v>1923</x:v>
      </x:c>
      <x:c r="W247" s="7" t="s">
        <x:v>58</x:v>
      </x:c>
      <x:c r="X247" s="7" t="s">
        <x:v>2484</x:v>
      </x:c>
      <x:c r="Y247" s="7" t="s">
        <x:v>1168</x:v>
      </x:c>
      <x:c r="Z247" s="7" t="s">
        <x:v>1968</x:v>
      </x:c>
      <x:c r="AA247" s="7" t="s">
        <x:v>58</x:v>
      </x:c>
      <x:c r="AB247" s="8" t="s">
        <x:v>58</x:v>
      </x:c>
      <x:c r="AC247" s="8" t="s">
        <x:v>58</x:v>
      </x:c>
      <x:c r="AD247" s="8" t="s">
        <x:v>58</x:v>
      </x:c>
      <x:c r="AE247" s="8" t="s">
        <x:v>58</x:v>
      </x:c>
      <x:c r="AF247" s="8" t="s">
        <x:v>58</x:v>
      </x:c>
      <x:c r="AG247" s="7" t="s">
        <x:v>58</x:v>
      </x:c>
    </x:row>
    <x:row r="248" ht="79.5" hidden="0" customHeight="1">
      <x:c r="A248" s="7" t="s">
        <x:v>2485</x:v>
      </x:c>
      <x:c r="B248" s="7" t="s">
        <x:v>199</x:v>
      </x:c>
      <x:c r="C248" s="7" t="s">
        <x:v>201</x:v>
      </x:c>
      <x:c r="D248" s="7" t="s">
        <x:v>1974</x:v>
      </x:c>
      <x:c r="E248" s="7" t="s">
        <x:v>2270</x:v>
      </x:c>
      <x:c r="F248" s="7" t="s">
        <x:v>1956</x:v>
      </x:c>
      <x:c r="G248" s="8" t="n">
        <x:v>156</x:v>
      </x:c>
      <x:c r="H248" s="8" t="s">
        <x:v>58</x:v>
      </x:c>
      <x:c r="I248" s="8" t="s">
        <x:v>58</x:v>
      </x:c>
      <x:c r="J248" s="7" t="s">
        <x:v>1919</x:v>
      </x:c>
      <x:c r="K248" s="8" t="n">
        <x:v>1</x:v>
      </x:c>
      <x:c r="L248" s="8" t="n">
        <x:f aca="0">IF(AND(ISNUMBER(G248),P248&lt;&gt;"Unresolved unit / layout"),G248*K248,"Not applicable")</x:f>
        <x:v>156</x:v>
      </x:c>
      <x:c r="M248" s="8" t="str">
        <x:f aca="0">IF(AND(ISNUMBER(H248),P248&lt;&gt;"Unresolved unit / layout"),H248*K248,"Not applicable")</x:f>
        <x:v>Not applicable</x:v>
      </x:c>
      <x:c r="N248" s="8" t="str">
        <x:f aca="0">IF(AND(ISNUMBER(I248),P248&lt;&gt;"Unresolved unit / layout"),I248*K248,"Not applicable")</x:f>
        <x:v>Not applicable</x:v>
      </x:c>
      <x:c r="O248" s="7" t="s">
        <x:v>1956</x:v>
      </x:c>
      <x:c r="P248" s="7" t="s">
        <x:v>1921</x:v>
      </x:c>
      <x:c r="Q248" s="7" t="s">
        <x:v>1930</x:v>
      </x:c>
      <x:c r="R248" s="7" t="s">
        <x:v>58</x:v>
      </x:c>
      <x:c r="S248" s="7" t="s">
        <x:v>2077</x:v>
      </x:c>
      <x:c r="T248" s="7" t="s">
        <x:v>2078</x:v>
      </x:c>
      <x:c r="U248" s="7" t="s">
        <x:v>53</x:v>
      </x:c>
      <x:c r="V248" s="7" t="s">
        <x:v>2082</x:v>
      </x:c>
      <x:c r="W248" s="7" t="s">
        <x:v>58</x:v>
      </x:c>
      <x:c r="X248" s="7" t="s">
        <x:v>2484</x:v>
      </x:c>
      <x:c r="Y248" s="7" t="s">
        <x:v>1168</x:v>
      </x:c>
      <x:c r="Z248" s="7" t="s">
        <x:v>2083</x:v>
      </x:c>
      <x:c r="AA248" s="7" t="s">
        <x:v>58</x:v>
      </x:c>
      <x:c r="AB248" s="8" t="s">
        <x:v>58</x:v>
      </x:c>
      <x:c r="AC248" s="8" t="s">
        <x:v>58</x:v>
      </x:c>
      <x:c r="AD248" s="8" t="s">
        <x:v>58</x:v>
      </x:c>
      <x:c r="AE248" s="8" t="s">
        <x:v>58</x:v>
      </x:c>
      <x:c r="AF248" s="8" t="s">
        <x:v>58</x:v>
      </x:c>
      <x:c r="AG248" s="7" t="s">
        <x:v>58</x:v>
      </x:c>
    </x:row>
    <x:row r="249" ht="79.5" hidden="0" customHeight="1">
      <x:c r="A249" s="7" t="s">
        <x:v>2486</x:v>
      </x:c>
      <x:c r="B249" s="7" t="s">
        <x:v>199</x:v>
      </x:c>
      <x:c r="C249" s="7" t="s">
        <x:v>201</x:v>
      </x:c>
      <x:c r="D249" s="7" t="s">
        <x:v>1954</x:v>
      </x:c>
      <x:c r="E249" s="7" t="s">
        <x:v>2094</x:v>
      </x:c>
      <x:c r="F249" s="7" t="s">
        <x:v>1956</x:v>
      </x:c>
      <x:c r="G249" s="8" t="n">
        <x:v>54</x:v>
      </x:c>
      <x:c r="H249" s="8" t="s">
        <x:v>58</x:v>
      </x:c>
      <x:c r="I249" s="8" t="s">
        <x:v>58</x:v>
      </x:c>
      <x:c r="J249" s="7" t="s">
        <x:v>1919</x:v>
      </x:c>
      <x:c r="K249" s="8" t="n">
        <x:v>1</x:v>
      </x:c>
      <x:c r="L249" s="8" t="n">
        <x:f aca="0">IF(AND(ISNUMBER(G249),P249&lt;&gt;"Unresolved unit / layout"),G249*K249,"Not applicable")</x:f>
        <x:v>54</x:v>
      </x:c>
      <x:c r="M249" s="8" t="str">
        <x:f aca="0">IF(AND(ISNUMBER(H249),P249&lt;&gt;"Unresolved unit / layout"),H249*K249,"Not applicable")</x:f>
        <x:v>Not applicable</x:v>
      </x:c>
      <x:c r="N249" s="8" t="str">
        <x:f aca="0">IF(AND(ISNUMBER(I249),P249&lt;&gt;"Unresolved unit / layout"),I249*K249,"Not applicable")</x:f>
        <x:v>Not applicable</x:v>
      </x:c>
      <x:c r="O249" s="7" t="s">
        <x:v>1956</x:v>
      </x:c>
      <x:c r="P249" s="7" t="s">
        <x:v>1921</x:v>
      </x:c>
      <x:c r="Q249" s="7" t="s">
        <x:v>1930</x:v>
      </x:c>
      <x:c r="R249" s="7" t="s">
        <x:v>58</x:v>
      </x:c>
      <x:c r="S249" s="7" t="s">
        <x:v>2077</x:v>
      </x:c>
      <x:c r="T249" s="7" t="s">
        <x:v>2078</x:v>
      </x:c>
      <x:c r="U249" s="7" t="s">
        <x:v>53</x:v>
      </x:c>
      <x:c r="V249" s="7" t="s">
        <x:v>2082</x:v>
      </x:c>
      <x:c r="W249" s="7" t="s">
        <x:v>58</x:v>
      </x:c>
      <x:c r="X249" s="7" t="s">
        <x:v>2484</x:v>
      </x:c>
      <x:c r="Y249" s="7" t="s">
        <x:v>1168</x:v>
      </x:c>
      <x:c r="Z249" s="7" t="s">
        <x:v>2086</x:v>
      </x:c>
      <x:c r="AA249" s="7" t="s">
        <x:v>58</x:v>
      </x:c>
      <x:c r="AB249" s="8" t="s">
        <x:v>58</x:v>
      </x:c>
      <x:c r="AC249" s="8" t="s">
        <x:v>58</x:v>
      </x:c>
      <x:c r="AD249" s="8" t="s">
        <x:v>58</x:v>
      </x:c>
      <x:c r="AE249" s="8" t="s">
        <x:v>58</x:v>
      </x:c>
      <x:c r="AF249" s="8" t="s">
        <x:v>58</x:v>
      </x:c>
      <x:c r="AG249" s="7" t="s">
        <x:v>58</x:v>
      </x:c>
    </x:row>
    <x:row r="250" ht="79.5" hidden="0" customHeight="1">
      <x:c r="A250" s="7" t="s">
        <x:v>2487</x:v>
      </x:c>
      <x:c r="B250" s="7" t="s">
        <x:v>199</x:v>
      </x:c>
      <x:c r="C250" s="7" t="s">
        <x:v>201</x:v>
      </x:c>
      <x:c r="D250" s="7" t="s">
        <x:v>1982</x:v>
      </x:c>
      <x:c r="E250" s="7" t="s">
        <x:v>2488</x:v>
      </x:c>
      <x:c r="F250" s="7" t="s">
        <x:v>1956</x:v>
      </x:c>
      <x:c r="G250" s="8" t="n">
        <x:v>64</x:v>
      </x:c>
      <x:c r="H250" s="8" t="s">
        <x:v>58</x:v>
      </x:c>
      <x:c r="I250" s="8" t="s">
        <x:v>58</x:v>
      </x:c>
      <x:c r="J250" s="7" t="s">
        <x:v>1919</x:v>
      </x:c>
      <x:c r="K250" s="8" t="n">
        <x:v>1</x:v>
      </x:c>
      <x:c r="L250" s="8" t="n">
        <x:f aca="0">IF(AND(ISNUMBER(G250),P250&lt;&gt;"Unresolved unit / layout"),G250*K250,"Not applicable")</x:f>
        <x:v>64</x:v>
      </x:c>
      <x:c r="M250" s="8" t="str">
        <x:f aca="0">IF(AND(ISNUMBER(H250),P250&lt;&gt;"Unresolved unit / layout"),H250*K250,"Not applicable")</x:f>
        <x:v>Not applicable</x:v>
      </x:c>
      <x:c r="N250" s="8" t="str">
        <x:f aca="0">IF(AND(ISNUMBER(I250),P250&lt;&gt;"Unresolved unit / layout"),I250*K250,"Not applicable")</x:f>
        <x:v>Not applicable</x:v>
      </x:c>
      <x:c r="O250" s="7" t="s">
        <x:v>1956</x:v>
      </x:c>
      <x:c r="P250" s="7" t="s">
        <x:v>1921</x:v>
      </x:c>
      <x:c r="Q250" s="7" t="s">
        <x:v>1930</x:v>
      </x:c>
      <x:c r="R250" s="7" t="s">
        <x:v>58</x:v>
      </x:c>
      <x:c r="S250" s="7" t="s">
        <x:v>2077</x:v>
      </x:c>
      <x:c r="T250" s="7" t="s">
        <x:v>2078</x:v>
      </x:c>
      <x:c r="U250" s="7" t="s">
        <x:v>53</x:v>
      </x:c>
      <x:c r="V250" s="7" t="s">
        <x:v>1984</x:v>
      </x:c>
      <x:c r="W250" s="7" t="s">
        <x:v>58</x:v>
      </x:c>
      <x:c r="X250" s="7" t="s">
        <x:v>2484</x:v>
      </x:c>
      <x:c r="Y250" s="7" t="s">
        <x:v>1168</x:v>
      </x:c>
      <x:c r="Z250" s="7" t="s">
        <x:v>2092</x:v>
      </x:c>
      <x:c r="AA250" s="7" t="s">
        <x:v>58</x:v>
      </x:c>
      <x:c r="AB250" s="8" t="s">
        <x:v>58</x:v>
      </x:c>
      <x:c r="AC250" s="8" t="s">
        <x:v>58</x:v>
      </x:c>
      <x:c r="AD250" s="8" t="s">
        <x:v>58</x:v>
      </x:c>
      <x:c r="AE250" s="8" t="s">
        <x:v>58</x:v>
      </x:c>
      <x:c r="AF250" s="8" t="s">
        <x:v>58</x:v>
      </x:c>
      <x:c r="AG250" s="7" t="s">
        <x:v>58</x:v>
      </x:c>
    </x:row>
    <x:row r="251" ht="79.5" hidden="0" customHeight="1">
      <x:c r="A251" s="7" t="s">
        <x:v>2489</x:v>
      </x:c>
      <x:c r="B251" s="7" t="s">
        <x:v>199</x:v>
      </x:c>
      <x:c r="C251" s="7" t="s">
        <x:v>201</x:v>
      </x:c>
      <x:c r="D251" s="7" t="s">
        <x:v>1959</x:v>
      </x:c>
      <x:c r="E251" s="7" t="s">
        <x:v>2091</x:v>
      </x:c>
      <x:c r="F251" s="7" t="s">
        <x:v>1956</x:v>
      </x:c>
      <x:c r="G251" s="8" t="n">
        <x:v>57</x:v>
      </x:c>
      <x:c r="H251" s="8" t="s">
        <x:v>58</x:v>
      </x:c>
      <x:c r="I251" s="8" t="s">
        <x:v>58</x:v>
      </x:c>
      <x:c r="J251" s="7" t="s">
        <x:v>1919</x:v>
      </x:c>
      <x:c r="K251" s="8" t="n">
        <x:v>1</x:v>
      </x:c>
      <x:c r="L251" s="8" t="n">
        <x:f aca="0">IF(AND(ISNUMBER(G251),P251&lt;&gt;"Unresolved unit / layout"),G251*K251,"Not applicable")</x:f>
        <x:v>57</x:v>
      </x:c>
      <x:c r="M251" s="8" t="str">
        <x:f aca="0">IF(AND(ISNUMBER(H251),P251&lt;&gt;"Unresolved unit / layout"),H251*K251,"Not applicable")</x:f>
        <x:v>Not applicable</x:v>
      </x:c>
      <x:c r="N251" s="8" t="str">
        <x:f aca="0">IF(AND(ISNUMBER(I251),P251&lt;&gt;"Unresolved unit / layout"),I251*K251,"Not applicable")</x:f>
        <x:v>Not applicable</x:v>
      </x:c>
      <x:c r="O251" s="7" t="s">
        <x:v>1956</x:v>
      </x:c>
      <x:c r="P251" s="7" t="s">
        <x:v>1921</x:v>
      </x:c>
      <x:c r="Q251" s="7" t="s">
        <x:v>1930</x:v>
      </x:c>
      <x:c r="R251" s="7" t="s">
        <x:v>58</x:v>
      </x:c>
      <x:c r="S251" s="7" t="s">
        <x:v>2077</x:v>
      </x:c>
      <x:c r="T251" s="7" t="s">
        <x:v>2078</x:v>
      </x:c>
      <x:c r="U251" s="7" t="s">
        <x:v>53</x:v>
      </x:c>
      <x:c r="V251" s="7" t="s">
        <x:v>2095</x:v>
      </x:c>
      <x:c r="W251" s="7" t="s">
        <x:v>58</x:v>
      </x:c>
      <x:c r="X251" s="7" t="s">
        <x:v>2484</x:v>
      </x:c>
      <x:c r="Y251" s="7" t="s">
        <x:v>1168</x:v>
      </x:c>
      <x:c r="Z251" s="7" t="s">
        <x:v>2096</x:v>
      </x:c>
      <x:c r="AA251" s="7" t="s">
        <x:v>58</x:v>
      </x:c>
      <x:c r="AB251" s="8" t="s">
        <x:v>58</x:v>
      </x:c>
      <x:c r="AC251" s="8" t="s">
        <x:v>58</x:v>
      </x:c>
      <x:c r="AD251" s="8" t="s">
        <x:v>58</x:v>
      </x:c>
      <x:c r="AE251" s="8" t="s">
        <x:v>58</x:v>
      </x:c>
      <x:c r="AF251" s="8" t="s">
        <x:v>58</x:v>
      </x:c>
      <x:c r="AG251" s="7" t="s">
        <x:v>58</x:v>
      </x:c>
    </x:row>
    <x:row r="252" ht="79.5" hidden="0" customHeight="1">
      <x:c r="A252" s="7" t="s">
        <x:v>205</x:v>
      </x:c>
      <x:c r="B252" s="7" t="s">
        <x:v>199</x:v>
      </x:c>
      <x:c r="C252" s="7" t="s">
        <x:v>201</x:v>
      </x:c>
      <x:c r="D252" s="7" t="s">
        <x:v>1959</x:v>
      </x:c>
      <x:c r="E252" s="7" t="s">
        <x:v>2085</x:v>
      </x:c>
      <x:c r="F252" s="7" t="s">
        <x:v>1956</x:v>
      </x:c>
      <x:c r="G252" s="8" t="n">
        <x:v>60</x:v>
      </x:c>
      <x:c r="H252" s="8" t="s">
        <x:v>58</x:v>
      </x:c>
      <x:c r="I252" s="8" t="s">
        <x:v>58</x:v>
      </x:c>
      <x:c r="J252" s="7" t="s">
        <x:v>1919</x:v>
      </x:c>
      <x:c r="K252" s="8" t="n">
        <x:v>1</x:v>
      </x:c>
      <x:c r="L252" s="8" t="n">
        <x:f aca="0">IF(AND(ISNUMBER(G252),P252&lt;&gt;"Unresolved unit / layout"),G252*K252,"Not applicable")</x:f>
        <x:v>60</x:v>
      </x:c>
      <x:c r="M252" s="8" t="str">
        <x:f aca="0">IF(AND(ISNUMBER(H252),P252&lt;&gt;"Unresolved unit / layout"),H252*K252,"Not applicable")</x:f>
        <x:v>Not applicable</x:v>
      </x:c>
      <x:c r="N252" s="8" t="str">
        <x:f aca="0">IF(AND(ISNUMBER(I252),P252&lt;&gt;"Unresolved unit / layout"),I252*K252,"Not applicable")</x:f>
        <x:v>Not applicable</x:v>
      </x:c>
      <x:c r="O252" s="7" t="s">
        <x:v>1956</x:v>
      </x:c>
      <x:c r="P252" s="7" t="s">
        <x:v>1921</x:v>
      </x:c>
      <x:c r="Q252" s="7" t="s">
        <x:v>1930</x:v>
      </x:c>
      <x:c r="R252" s="7" t="s">
        <x:v>58</x:v>
      </x:c>
      <x:c r="S252" s="7" t="s">
        <x:v>2077</x:v>
      </x:c>
      <x:c r="T252" s="7" t="s">
        <x:v>2078</x:v>
      </x:c>
      <x:c r="U252" s="7" t="s">
        <x:v>53</x:v>
      </x:c>
      <x:c r="V252" s="7" t="s">
        <x:v>2097</x:v>
      </x:c>
      <x:c r="W252" s="7" t="s">
        <x:v>58</x:v>
      </x:c>
      <x:c r="X252" s="7" t="s">
        <x:v>2484</x:v>
      </x:c>
      <x:c r="Y252" s="7" t="s">
        <x:v>1168</x:v>
      </x:c>
      <x:c r="Z252" s="7" t="s">
        <x:v>2096</x:v>
      </x:c>
      <x:c r="AA252" s="7" t="s">
        <x:v>58</x:v>
      </x:c>
      <x:c r="AB252" s="8" t="s">
        <x:v>58</x:v>
      </x:c>
      <x:c r="AC252" s="8" t="s">
        <x:v>58</x:v>
      </x:c>
      <x:c r="AD252" s="8" t="s">
        <x:v>58</x:v>
      </x:c>
      <x:c r="AE252" s="8" t="s">
        <x:v>58</x:v>
      </x:c>
      <x:c r="AF252" s="8" t="s">
        <x:v>58</x:v>
      </x:c>
      <x:c r="AG252" s="7" t="s">
        <x:v>58</x:v>
      </x:c>
    </x:row>
    <x:row r="253" ht="79.5" hidden="0" customHeight="1">
      <x:c r="A253" s="7" t="s">
        <x:v>2490</x:v>
      </x:c>
      <x:c r="B253" s="7" t="s">
        <x:v>199</x:v>
      </x:c>
      <x:c r="C253" s="7" t="s">
        <x:v>201</x:v>
      </x:c>
      <x:c r="D253" s="7" t="s">
        <x:v>2099</x:v>
      </x:c>
      <x:c r="E253" s="7" t="s">
        <x:v>2491</x:v>
      </x:c>
      <x:c r="F253" s="7" t="s">
        <x:v>1942</x:v>
      </x:c>
      <x:c r="G253" s="8" t="n">
        <x:v>1.25</x:v>
      </x:c>
      <x:c r="H253" s="8" t="s">
        <x:v>58</x:v>
      </x:c>
      <x:c r="I253" s="8" t="s">
        <x:v>58</x:v>
      </x:c>
      <x:c r="J253" s="7" t="s">
        <x:v>1919</x:v>
      </x:c>
      <x:c r="K253" s="8" t="n">
        <x:v>1</x:v>
      </x:c>
      <x:c r="L253" s="8" t="n">
        <x:f aca="0">IF(AND(ISNUMBER(G253),P253&lt;&gt;"Unresolved unit / layout"),G253*K253,"Not applicable")</x:f>
        <x:v>1.25</x:v>
      </x:c>
      <x:c r="M253" s="8" t="str">
        <x:f aca="0">IF(AND(ISNUMBER(H253),P253&lt;&gt;"Unresolved unit / layout"),H253*K253,"Not applicable")</x:f>
        <x:v>Not applicable</x:v>
      </x:c>
      <x:c r="N253" s="8" t="str">
        <x:f aca="0">IF(AND(ISNUMBER(I253),P253&lt;&gt;"Unresolved unit / layout"),I253*K253,"Not applicable")</x:f>
        <x:v>Not applicable</x:v>
      </x:c>
      <x:c r="O253" s="7" t="s">
        <x:v>1942</x:v>
      </x:c>
      <x:c r="P253" s="7" t="s">
        <x:v>1921</x:v>
      </x:c>
      <x:c r="Q253" s="7" t="s">
        <x:v>1930</x:v>
      </x:c>
      <x:c r="R253" s="7" t="s">
        <x:v>58</x:v>
      </x:c>
      <x:c r="S253" s="7" t="s">
        <x:v>2077</x:v>
      </x:c>
      <x:c r="T253" s="7" t="s">
        <x:v>2078</x:v>
      </x:c>
      <x:c r="U253" s="7" t="s">
        <x:v>53</x:v>
      </x:c>
      <x:c r="V253" s="7" t="s">
        <x:v>2192</x:v>
      </x:c>
      <x:c r="W253" s="7" t="s">
        <x:v>58</x:v>
      </x:c>
      <x:c r="X253" s="7" t="s">
        <x:v>2484</x:v>
      </x:c>
      <x:c r="Y253" s="7" t="s">
        <x:v>1168</x:v>
      </x:c>
      <x:c r="Z253" s="7" t="s">
        <x:v>2193</x:v>
      </x:c>
      <x:c r="AA253" s="7" t="s">
        <x:v>58</x:v>
      </x:c>
      <x:c r="AB253" s="8" t="s">
        <x:v>58</x:v>
      </x:c>
      <x:c r="AC253" s="8" t="s">
        <x:v>58</x:v>
      </x:c>
      <x:c r="AD253" s="8" t="s">
        <x:v>58</x:v>
      </x:c>
      <x:c r="AE253" s="8" t="s">
        <x:v>58</x:v>
      </x:c>
      <x:c r="AF253" s="8" t="s">
        <x:v>58</x:v>
      </x:c>
      <x:c r="AG253" s="7" t="s">
        <x:v>58</x:v>
      </x:c>
    </x:row>
    <x:row r="254" ht="79.5" hidden="0" customHeight="1">
      <x:c r="A254" s="7" t="s">
        <x:v>2492</x:v>
      </x:c>
      <x:c r="B254" s="7" t="s">
        <x:v>199</x:v>
      </x:c>
      <x:c r="C254" s="7" t="s">
        <x:v>201</x:v>
      </x:c>
      <x:c r="D254" s="7" t="s">
        <x:v>1935</x:v>
      </x:c>
      <x:c r="E254" s="7" t="s">
        <x:v>2493</x:v>
      </x:c>
      <x:c r="F254" s="7" t="s">
        <x:v>1929</x:v>
      </x:c>
      <x:c r="G254" s="8" t="n">
        <x:v>2360</x:v>
      </x:c>
      <x:c r="H254" s="8" t="n">
        <x:v>190</x:v>
      </x:c>
      <x:c r="I254" s="8" t="s">
        <x:v>58</x:v>
      </x:c>
      <x:c r="J254" s="7" t="s">
        <x:v>1919</x:v>
      </x:c>
      <x:c r="K254" s="8" t="n">
        <x:v>0.001</x:v>
      </x:c>
      <x:c r="L254" s="8" t="n">
        <x:f aca="0">IF(AND(ISNUMBER(G254),P254&lt;&gt;"Unresolved unit / layout"),G254*K254,"Not applicable")</x:f>
        <x:v>2.36</x:v>
      </x:c>
      <x:c r="M254" s="8" t="n">
        <x:f aca="0">IF(AND(ISNUMBER(H254),P254&lt;&gt;"Unresolved unit / layout"),H254*K254,"Not applicable")</x:f>
        <x:v>0.19</x:v>
      </x:c>
      <x:c r="N254" s="8" t="str">
        <x:f aca="0">IF(AND(ISNUMBER(I254),P254&lt;&gt;"Unresolved unit / layout"),I254*K254,"Not applicable")</x:f>
        <x:v>Not applicable</x:v>
      </x:c>
      <x:c r="O254" s="7" t="s">
        <x:v>1937</x:v>
      </x:c>
      <x:c r="P254" s="7" t="s">
        <x:v>1921</x:v>
      </x:c>
      <x:c r="Q254" s="7" t="s">
        <x:v>1930</x:v>
      </x:c>
      <x:c r="R254" s="7" t="s">
        <x:v>1931</x:v>
      </x:c>
      <x:c r="S254" s="7" t="s">
        <x:v>2077</x:v>
      </x:c>
      <x:c r="T254" s="7" t="s">
        <x:v>2078</x:v>
      </x:c>
      <x:c r="U254" s="7" t="s">
        <x:v>53</x:v>
      </x:c>
      <x:c r="V254" s="7" t="s">
        <x:v>1999</x:v>
      </x:c>
      <x:c r="W254" s="7" t="s">
        <x:v>58</x:v>
      </x:c>
      <x:c r="X254" s="7" t="s">
        <x:v>2484</x:v>
      </x:c>
      <x:c r="Y254" s="7" t="s">
        <x:v>1168</x:v>
      </x:c>
      <x:c r="Z254" s="7" t="s">
        <x:v>2105</x:v>
      </x:c>
      <x:c r="AA254" s="7" t="s">
        <x:v>58</x:v>
      </x:c>
      <x:c r="AB254" s="8" t="s">
        <x:v>58</x:v>
      </x:c>
      <x:c r="AC254" s="8" t="s">
        <x:v>58</x:v>
      </x:c>
      <x:c r="AD254" s="8" t="s">
        <x:v>58</x:v>
      </x:c>
      <x:c r="AE254" s="8" t="s">
        <x:v>58</x:v>
      </x:c>
      <x:c r="AF254" s="8" t="s">
        <x:v>58</x:v>
      </x:c>
      <x:c r="AG254" s="7" t="s">
        <x:v>58</x:v>
      </x:c>
    </x:row>
    <x:row r="255" ht="79.5" hidden="0" customHeight="1">
      <x:c r="A255" s="7" t="s">
        <x:v>2494</x:v>
      </x:c>
      <x:c r="B255" s="7" t="s">
        <x:v>199</x:v>
      </x:c>
      <x:c r="C255" s="7" t="s">
        <x:v>201</x:v>
      </x:c>
      <x:c r="D255" s="7" t="s">
        <x:v>1935</x:v>
      </x:c>
      <x:c r="E255" s="7" t="s">
        <x:v>2495</x:v>
      </x:c>
      <x:c r="F255" s="7" t="s">
        <x:v>1929</x:v>
      </x:c>
      <x:c r="G255" s="8" t="n">
        <x:v>1770</x:v>
      </x:c>
      <x:c r="H255" s="8" t="n">
        <x:v>150</x:v>
      </x:c>
      <x:c r="I255" s="8" t="s">
        <x:v>58</x:v>
      </x:c>
      <x:c r="J255" s="7" t="s">
        <x:v>1919</x:v>
      </x:c>
      <x:c r="K255" s="8" t="n">
        <x:v>0.001</x:v>
      </x:c>
      <x:c r="L255" s="8" t="n">
        <x:f aca="0">IF(AND(ISNUMBER(G255),P255&lt;&gt;"Unresolved unit / layout"),G255*K255,"Not applicable")</x:f>
        <x:v>1.77</x:v>
      </x:c>
      <x:c r="M255" s="8" t="n">
        <x:f aca="0">IF(AND(ISNUMBER(H255),P255&lt;&gt;"Unresolved unit / layout"),H255*K255,"Not applicable")</x:f>
        <x:v>0.15</x:v>
      </x:c>
      <x:c r="N255" s="8" t="str">
        <x:f aca="0">IF(AND(ISNUMBER(I255),P255&lt;&gt;"Unresolved unit / layout"),I255*K255,"Not applicable")</x:f>
        <x:v>Not applicable</x:v>
      </x:c>
      <x:c r="O255" s="7" t="s">
        <x:v>1937</x:v>
      </x:c>
      <x:c r="P255" s="7" t="s">
        <x:v>1921</x:v>
      </x:c>
      <x:c r="Q255" s="7" t="s">
        <x:v>1930</x:v>
      </x:c>
      <x:c r="R255" s="7" t="s">
        <x:v>2003</x:v>
      </x:c>
      <x:c r="S255" s="7" t="s">
        <x:v>2077</x:v>
      </x:c>
      <x:c r="T255" s="7" t="s">
        <x:v>2078</x:v>
      </x:c>
      <x:c r="U255" s="7" t="s">
        <x:v>53</x:v>
      </x:c>
      <x:c r="V255" s="7" t="s">
        <x:v>1999</x:v>
      </x:c>
      <x:c r="W255" s="7" t="s">
        <x:v>58</x:v>
      </x:c>
      <x:c r="X255" s="7" t="s">
        <x:v>2484</x:v>
      </x:c>
      <x:c r="Y255" s="7" t="s">
        <x:v>1168</x:v>
      </x:c>
      <x:c r="Z255" s="7" t="s">
        <x:v>2108</x:v>
      </x:c>
      <x:c r="AA255" s="7" t="s">
        <x:v>58</x:v>
      </x:c>
      <x:c r="AB255" s="8" t="s">
        <x:v>58</x:v>
      </x:c>
      <x:c r="AC255" s="8" t="s">
        <x:v>58</x:v>
      </x:c>
      <x:c r="AD255" s="8" t="s">
        <x:v>58</x:v>
      </x:c>
      <x:c r="AE255" s="8" t="s">
        <x:v>58</x:v>
      </x:c>
      <x:c r="AF255" s="8" t="s">
        <x:v>58</x:v>
      </x:c>
      <x:c r="AG255" s="7" t="s">
        <x:v>58</x:v>
      </x:c>
    </x:row>
    <x:row r="256" ht="79.5" hidden="0" customHeight="1">
      <x:c r="A256" s="7" t="s">
        <x:v>2496</x:v>
      </x:c>
      <x:c r="B256" s="7" t="s">
        <x:v>199</x:v>
      </x:c>
      <x:c r="C256" s="7" t="s">
        <x:v>201</x:v>
      </x:c>
      <x:c r="D256" s="7" t="s">
        <x:v>2006</x:v>
      </x:c>
      <x:c r="E256" s="7" t="s">
        <x:v>2497</x:v>
      </x:c>
      <x:c r="F256" s="7" t="s">
        <x:v>1929</x:v>
      </x:c>
      <x:c r="G256" s="8" t="n">
        <x:v>26</x:v>
      </x:c>
      <x:c r="H256" s="8" t="n">
        <x:v>5</x:v>
      </x:c>
      <x:c r="I256" s="8" t="s">
        <x:v>58</x:v>
      </x:c>
      <x:c r="J256" s="7" t="s">
        <x:v>1919</x:v>
      </x:c>
      <x:c r="K256" s="8" t="n">
        <x:v>1</x:v>
      </x:c>
      <x:c r="L256" s="8" t="n">
        <x:f aca="0">IF(AND(ISNUMBER(G256),P256&lt;&gt;"Unresolved unit / layout"),G256*K256,"Not applicable")</x:f>
        <x:v>26</x:v>
      </x:c>
      <x:c r="M256" s="8" t="n">
        <x:f aca="0">IF(AND(ISNUMBER(H256),P256&lt;&gt;"Unresolved unit / layout"),H256*K256,"Not applicable")</x:f>
        <x:v>5</x:v>
      </x:c>
      <x:c r="N256" s="8" t="str">
        <x:f aca="0">IF(AND(ISNUMBER(I256),P256&lt;&gt;"Unresolved unit / layout"),I256*K256,"Not applicable")</x:f>
        <x:v>Not applicable</x:v>
      </x:c>
      <x:c r="O256" s="7" t="s">
        <x:v>1929</x:v>
      </x:c>
      <x:c r="P256" s="7" t="s">
        <x:v>1921</x:v>
      </x:c>
      <x:c r="Q256" s="7" t="s">
        <x:v>1930</x:v>
      </x:c>
      <x:c r="R256" s="7" t="s">
        <x:v>1931</x:v>
      </x:c>
      <x:c r="S256" s="7" t="s">
        <x:v>2077</x:v>
      </x:c>
      <x:c r="T256" s="7" t="s">
        <x:v>2078</x:v>
      </x:c>
      <x:c r="U256" s="7" t="s">
        <x:v>53</x:v>
      </x:c>
      <x:c r="V256" s="7" t="s">
        <x:v>1999</x:v>
      </x:c>
      <x:c r="W256" s="7" t="s">
        <x:v>58</x:v>
      </x:c>
      <x:c r="X256" s="7" t="s">
        <x:v>2484</x:v>
      </x:c>
      <x:c r="Y256" s="7" t="s">
        <x:v>1168</x:v>
      </x:c>
      <x:c r="Z256" s="7" t="s">
        <x:v>2111</x:v>
      </x:c>
      <x:c r="AA256" s="7" t="s">
        <x:v>58</x:v>
      </x:c>
      <x:c r="AB256" s="8" t="s">
        <x:v>58</x:v>
      </x:c>
      <x:c r="AC256" s="8" t="s">
        <x:v>58</x:v>
      </x:c>
      <x:c r="AD256" s="8" t="s">
        <x:v>58</x:v>
      </x:c>
      <x:c r="AE256" s="8" t="s">
        <x:v>58</x:v>
      </x:c>
      <x:c r="AF256" s="8" t="s">
        <x:v>58</x:v>
      </x:c>
      <x:c r="AG256" s="7" t="s">
        <x:v>58</x:v>
      </x:c>
    </x:row>
    <x:row r="257" ht="79.5" hidden="0" customHeight="1">
      <x:c r="A257" s="7" t="s">
        <x:v>2498</x:v>
      </x:c>
      <x:c r="B257" s="7" t="s">
        <x:v>199</x:v>
      </x:c>
      <x:c r="C257" s="7" t="s">
        <x:v>201</x:v>
      </x:c>
      <x:c r="D257" s="7" t="s">
        <x:v>2006</x:v>
      </x:c>
      <x:c r="E257" s="7" t="s">
        <x:v>2499</x:v>
      </x:c>
      <x:c r="F257" s="7" t="s">
        <x:v>1929</x:v>
      </x:c>
      <x:c r="G257" s="8" t="n">
        <x:v>15</x:v>
      </x:c>
      <x:c r="H257" s="8" t="n">
        <x:v>4</x:v>
      </x:c>
      <x:c r="I257" s="8" t="s">
        <x:v>58</x:v>
      </x:c>
      <x:c r="J257" s="7" t="s">
        <x:v>1919</x:v>
      </x:c>
      <x:c r="K257" s="8" t="n">
        <x:v>1</x:v>
      </x:c>
      <x:c r="L257" s="8" t="n">
        <x:f aca="0">IF(AND(ISNUMBER(G257),P257&lt;&gt;"Unresolved unit / layout"),G257*K257,"Not applicable")</x:f>
        <x:v>15</x:v>
      </x:c>
      <x:c r="M257" s="8" t="n">
        <x:f aca="0">IF(AND(ISNUMBER(H257),P257&lt;&gt;"Unresolved unit / layout"),H257*K257,"Not applicable")</x:f>
        <x:v>4</x:v>
      </x:c>
      <x:c r="N257" s="8" t="str">
        <x:f aca="0">IF(AND(ISNUMBER(I257),P257&lt;&gt;"Unresolved unit / layout"),I257*K257,"Not applicable")</x:f>
        <x:v>Not applicable</x:v>
      </x:c>
      <x:c r="O257" s="7" t="s">
        <x:v>1929</x:v>
      </x:c>
      <x:c r="P257" s="7" t="s">
        <x:v>1921</x:v>
      </x:c>
      <x:c r="Q257" s="7" t="s">
        <x:v>1930</x:v>
      </x:c>
      <x:c r="R257" s="7" t="s">
        <x:v>2003</x:v>
      </x:c>
      <x:c r="S257" s="7" t="s">
        <x:v>2077</x:v>
      </x:c>
      <x:c r="T257" s="7" t="s">
        <x:v>2078</x:v>
      </x:c>
      <x:c r="U257" s="7" t="s">
        <x:v>53</x:v>
      </x:c>
      <x:c r="V257" s="7" t="s">
        <x:v>1999</x:v>
      </x:c>
      <x:c r="W257" s="7" t="s">
        <x:v>58</x:v>
      </x:c>
      <x:c r="X257" s="7" t="s">
        <x:v>2484</x:v>
      </x:c>
      <x:c r="Y257" s="7" t="s">
        <x:v>1168</x:v>
      </x:c>
      <x:c r="Z257" s="7" t="s">
        <x:v>2114</x:v>
      </x:c>
      <x:c r="AA257" s="7" t="s">
        <x:v>58</x:v>
      </x:c>
      <x:c r="AB257" s="8" t="s">
        <x:v>58</x:v>
      </x:c>
      <x:c r="AC257" s="8" t="s">
        <x:v>58</x:v>
      </x:c>
      <x:c r="AD257" s="8" t="s">
        <x:v>58</x:v>
      </x:c>
      <x:c r="AE257" s="8" t="s">
        <x:v>58</x:v>
      </x:c>
      <x:c r="AF257" s="8" t="s">
        <x:v>58</x:v>
      </x:c>
      <x:c r="AG257" s="7" t="s">
        <x:v>58</x:v>
      </x:c>
    </x:row>
    <x:row r="258" ht="79.5" hidden="0" customHeight="1">
      <x:c r="A258" s="7" t="s">
        <x:v>2500</x:v>
      </x:c>
      <x:c r="B258" s="7" t="s">
        <x:v>199</x:v>
      </x:c>
      <x:c r="C258" s="7" t="s">
        <x:v>201</x:v>
      </x:c>
      <x:c r="D258" s="7" t="s">
        <x:v>1940</x:v>
      </x:c>
      <x:c r="E258" s="7" t="s">
        <x:v>2501</x:v>
      </x:c>
      <x:c r="F258" s="7" t="s">
        <x:v>1942</x:v>
      </x:c>
      <x:c r="G258" s="8" t="n">
        <x:v>15.3</x:v>
      </x:c>
      <x:c r="H258" s="8" t="n">
        <x:v>3.1</x:v>
      </x:c>
      <x:c r="I258" s="8" t="s">
        <x:v>58</x:v>
      </x:c>
      <x:c r="J258" s="7" t="s">
        <x:v>1919</x:v>
      </x:c>
      <x:c r="K258" s="8" t="n">
        <x:v>1</x:v>
      </x:c>
      <x:c r="L258" s="8" t="n">
        <x:f aca="0">IF(AND(ISNUMBER(G258),P258&lt;&gt;"Unresolved unit / layout"),G258*K258,"Not applicable")</x:f>
        <x:v>15.3</x:v>
      </x:c>
      <x:c r="M258" s="8" t="n">
        <x:f aca="0">IF(AND(ISNUMBER(H258),P258&lt;&gt;"Unresolved unit / layout"),H258*K258,"Not applicable")</x:f>
        <x:v>3.1</x:v>
      </x:c>
      <x:c r="N258" s="8" t="str">
        <x:f aca="0">IF(AND(ISNUMBER(I258),P258&lt;&gt;"Unresolved unit / layout"),I258*K258,"Not applicable")</x:f>
        <x:v>Not applicable</x:v>
      </x:c>
      <x:c r="O258" s="7" t="s">
        <x:v>1942</x:v>
      </x:c>
      <x:c r="P258" s="7" t="s">
        <x:v>1921</x:v>
      </x:c>
      <x:c r="Q258" s="7" t="s">
        <x:v>1930</x:v>
      </x:c>
      <x:c r="R258" s="7" t="s">
        <x:v>1931</x:v>
      </x:c>
      <x:c r="S258" s="7" t="s">
        <x:v>2077</x:v>
      </x:c>
      <x:c r="T258" s="7" t="s">
        <x:v>2078</x:v>
      </x:c>
      <x:c r="U258" s="7" t="s">
        <x:v>53</x:v>
      </x:c>
      <x:c r="V258" s="7" t="s">
        <x:v>1999</x:v>
      </x:c>
      <x:c r="W258" s="7" t="s">
        <x:v>58</x:v>
      </x:c>
      <x:c r="X258" s="7" t="s">
        <x:v>2484</x:v>
      </x:c>
      <x:c r="Y258" s="7" t="s">
        <x:v>1168</x:v>
      </x:c>
      <x:c r="Z258" s="7" t="s">
        <x:v>2117</x:v>
      </x:c>
      <x:c r="AA258" s="7" t="s">
        <x:v>58</x:v>
      </x:c>
      <x:c r="AB258" s="8" t="s">
        <x:v>58</x:v>
      </x:c>
      <x:c r="AC258" s="8" t="s">
        <x:v>58</x:v>
      </x:c>
      <x:c r="AD258" s="8" t="s">
        <x:v>58</x:v>
      </x:c>
      <x:c r="AE258" s="8" t="s">
        <x:v>58</x:v>
      </x:c>
      <x:c r="AF258" s="8" t="s">
        <x:v>58</x:v>
      </x:c>
      <x:c r="AG258" s="7" t="s">
        <x:v>58</x:v>
      </x:c>
    </x:row>
    <x:row r="259" ht="79.5" hidden="0" customHeight="1">
      <x:c r="A259" s="7" t="s">
        <x:v>2502</x:v>
      </x:c>
      <x:c r="B259" s="7" t="s">
        <x:v>199</x:v>
      </x:c>
      <x:c r="C259" s="7" t="s">
        <x:v>201</x:v>
      </x:c>
      <x:c r="D259" s="7" t="s">
        <x:v>1940</x:v>
      </x:c>
      <x:c r="E259" s="7" t="s">
        <x:v>2503</x:v>
      </x:c>
      <x:c r="F259" s="7" t="s">
        <x:v>1942</x:v>
      </x:c>
      <x:c r="G259" s="8" t="n">
        <x:v>4.5</x:v>
      </x:c>
      <x:c r="H259" s="8" t="n">
        <x:v>1.7</x:v>
      </x:c>
      <x:c r="I259" s="8" t="s">
        <x:v>58</x:v>
      </x:c>
      <x:c r="J259" s="7" t="s">
        <x:v>1919</x:v>
      </x:c>
      <x:c r="K259" s="8" t="n">
        <x:v>1</x:v>
      </x:c>
      <x:c r="L259" s="8" t="n">
        <x:f aca="0">IF(AND(ISNUMBER(G259),P259&lt;&gt;"Unresolved unit / layout"),G259*K259,"Not applicable")</x:f>
        <x:v>4.5</x:v>
      </x:c>
      <x:c r="M259" s="8" t="n">
        <x:f aca="0">IF(AND(ISNUMBER(H259),P259&lt;&gt;"Unresolved unit / layout"),H259*K259,"Not applicable")</x:f>
        <x:v>1.7</x:v>
      </x:c>
      <x:c r="N259" s="8" t="str">
        <x:f aca="0">IF(AND(ISNUMBER(I259),P259&lt;&gt;"Unresolved unit / layout"),I259*K259,"Not applicable")</x:f>
        <x:v>Not applicable</x:v>
      </x:c>
      <x:c r="O259" s="7" t="s">
        <x:v>1942</x:v>
      </x:c>
      <x:c r="P259" s="7" t="s">
        <x:v>1921</x:v>
      </x:c>
      <x:c r="Q259" s="7" t="s">
        <x:v>1930</x:v>
      </x:c>
      <x:c r="R259" s="7" t="s">
        <x:v>2003</x:v>
      </x:c>
      <x:c r="S259" s="7" t="s">
        <x:v>2077</x:v>
      </x:c>
      <x:c r="T259" s="7" t="s">
        <x:v>2078</x:v>
      </x:c>
      <x:c r="U259" s="7" t="s">
        <x:v>53</x:v>
      </x:c>
      <x:c r="V259" s="7" t="s">
        <x:v>1999</x:v>
      </x:c>
      <x:c r="W259" s="7" t="s">
        <x:v>58</x:v>
      </x:c>
      <x:c r="X259" s="7" t="s">
        <x:v>2484</x:v>
      </x:c>
      <x:c r="Y259" s="7" t="s">
        <x:v>1168</x:v>
      </x:c>
      <x:c r="Z259" s="7" t="s">
        <x:v>2120</x:v>
      </x:c>
      <x:c r="AA259" s="7" t="s">
        <x:v>58</x:v>
      </x:c>
      <x:c r="AB259" s="8" t="s">
        <x:v>58</x:v>
      </x:c>
      <x:c r="AC259" s="8" t="s">
        <x:v>58</x:v>
      </x:c>
      <x:c r="AD259" s="8" t="s">
        <x:v>58</x:v>
      </x:c>
      <x:c r="AE259" s="8" t="s">
        <x:v>58</x:v>
      </x:c>
      <x:c r="AF259" s="8" t="s">
        <x:v>58</x:v>
      </x:c>
      <x:c r="AG259" s="7" t="s">
        <x:v>58</x:v>
      </x:c>
    </x:row>
    <x:row r="260" ht="79.5" hidden="0" customHeight="1">
      <x:c r="A260" s="7" t="s">
        <x:v>2504</x:v>
      </x:c>
      <x:c r="B260" s="7" t="s">
        <x:v>199</x:v>
      </x:c>
      <x:c r="C260" s="7" t="s">
        <x:v>201</x:v>
      </x:c>
      <x:c r="D260" s="7" t="s">
        <x:v>1950</x:v>
      </x:c>
      <x:c r="E260" s="7" t="s">
        <x:v>2505</x:v>
      </x:c>
      <x:c r="F260" s="7" t="s">
        <x:v>1929</x:v>
      </x:c>
      <x:c r="G260" s="8" t="n">
        <x:v>2780</x:v>
      </x:c>
      <x:c r="H260" s="8" t="n">
        <x:v>120</x:v>
      </x:c>
      <x:c r="I260" s="8" t="s">
        <x:v>58</x:v>
      </x:c>
      <x:c r="J260" s="7" t="s">
        <x:v>1919</x:v>
      </x:c>
      <x:c r="K260" s="8" t="n">
        <x:v>0.001</x:v>
      </x:c>
      <x:c r="L260" s="8" t="n">
        <x:f aca="0">IF(AND(ISNUMBER(G260),P260&lt;&gt;"Unresolved unit / layout"),G260*K260,"Not applicable")</x:f>
        <x:v>2.7800000000000002</x:v>
      </x:c>
      <x:c r="M260" s="8" t="n">
        <x:f aca="0">IF(AND(ISNUMBER(H260),P260&lt;&gt;"Unresolved unit / layout"),H260*K260,"Not applicable")</x:f>
        <x:v>0.12</x:v>
      </x:c>
      <x:c r="N260" s="8" t="str">
        <x:f aca="0">IF(AND(ISNUMBER(I260),P260&lt;&gt;"Unresolved unit / layout"),I260*K260,"Not applicable")</x:f>
        <x:v>Not applicable</x:v>
      </x:c>
      <x:c r="O260" s="7" t="s">
        <x:v>1937</x:v>
      </x:c>
      <x:c r="P260" s="7" t="s">
        <x:v>1921</x:v>
      </x:c>
      <x:c r="Q260" s="7" t="s">
        <x:v>1930</x:v>
      </x:c>
      <x:c r="R260" s="7" t="s">
        <x:v>1931</x:v>
      </x:c>
      <x:c r="S260" s="7" t="s">
        <x:v>2077</x:v>
      </x:c>
      <x:c r="T260" s="7" t="s">
        <x:v>2078</x:v>
      </x:c>
      <x:c r="U260" s="7" t="s">
        <x:v>53</x:v>
      </x:c>
      <x:c r="V260" s="7" t="s">
        <x:v>2020</x:v>
      </x:c>
      <x:c r="W260" s="7" t="s">
        <x:v>58</x:v>
      </x:c>
      <x:c r="X260" s="7" t="s">
        <x:v>2484</x:v>
      </x:c>
      <x:c r="Y260" s="7" t="s">
        <x:v>1168</x:v>
      </x:c>
      <x:c r="Z260" s="7" t="s">
        <x:v>2123</x:v>
      </x:c>
      <x:c r="AA260" s="7" t="s">
        <x:v>58</x:v>
      </x:c>
      <x:c r="AB260" s="8" t="s">
        <x:v>58</x:v>
      </x:c>
      <x:c r="AC260" s="8" t="s">
        <x:v>58</x:v>
      </x:c>
      <x:c r="AD260" s="8" t="s">
        <x:v>58</x:v>
      </x:c>
      <x:c r="AE260" s="8" t="s">
        <x:v>58</x:v>
      </x:c>
      <x:c r="AF260" s="8" t="s">
        <x:v>58</x:v>
      </x:c>
      <x:c r="AG260" s="7" t="s">
        <x:v>58</x:v>
      </x:c>
    </x:row>
    <x:row r="261" ht="79.5" hidden="0" customHeight="1">
      <x:c r="A261" s="7" t="s">
        <x:v>2506</x:v>
      </x:c>
      <x:c r="B261" s="7" t="s">
        <x:v>199</x:v>
      </x:c>
      <x:c r="C261" s="7" t="s">
        <x:v>201</x:v>
      </x:c>
      <x:c r="D261" s="7" t="s">
        <x:v>1950</x:v>
      </x:c>
      <x:c r="E261" s="7" t="s">
        <x:v>2507</x:v>
      </x:c>
      <x:c r="F261" s="7" t="s">
        <x:v>1929</x:v>
      </x:c>
      <x:c r="G261" s="8" t="n">
        <x:v>1975</x:v>
      </x:c>
      <x:c r="H261" s="8" t="n">
        <x:v>140</x:v>
      </x:c>
      <x:c r="I261" s="8" t="s">
        <x:v>58</x:v>
      </x:c>
      <x:c r="J261" s="7" t="s">
        <x:v>1919</x:v>
      </x:c>
      <x:c r="K261" s="8" t="n">
        <x:v>0.001</x:v>
      </x:c>
      <x:c r="L261" s="8" t="n">
        <x:f aca="0">IF(AND(ISNUMBER(G261),P261&lt;&gt;"Unresolved unit / layout"),G261*K261,"Not applicable")</x:f>
        <x:v>1.975</x:v>
      </x:c>
      <x:c r="M261" s="8" t="n">
        <x:f aca="0">IF(AND(ISNUMBER(H261),P261&lt;&gt;"Unresolved unit / layout"),H261*K261,"Not applicable")</x:f>
        <x:v>0.14</x:v>
      </x:c>
      <x:c r="N261" s="8" t="str">
        <x:f aca="0">IF(AND(ISNUMBER(I261),P261&lt;&gt;"Unresolved unit / layout"),I261*K261,"Not applicable")</x:f>
        <x:v>Not applicable</x:v>
      </x:c>
      <x:c r="O261" s="7" t="s">
        <x:v>1937</x:v>
      </x:c>
      <x:c r="P261" s="7" t="s">
        <x:v>1921</x:v>
      </x:c>
      <x:c r="Q261" s="7" t="s">
        <x:v>1930</x:v>
      </x:c>
      <x:c r="R261" s="7" t="s">
        <x:v>2003</x:v>
      </x:c>
      <x:c r="S261" s="7" t="s">
        <x:v>2077</x:v>
      </x:c>
      <x:c r="T261" s="7" t="s">
        <x:v>2078</x:v>
      </x:c>
      <x:c r="U261" s="7" t="s">
        <x:v>53</x:v>
      </x:c>
      <x:c r="V261" s="7" t="s">
        <x:v>2020</x:v>
      </x:c>
      <x:c r="W261" s="7" t="s">
        <x:v>58</x:v>
      </x:c>
      <x:c r="X261" s="7" t="s">
        <x:v>2484</x:v>
      </x:c>
      <x:c r="Y261" s="7" t="s">
        <x:v>1168</x:v>
      </x:c>
      <x:c r="Z261" s="7" t="s">
        <x:v>2210</x:v>
      </x:c>
      <x:c r="AA261" s="7" t="s">
        <x:v>58</x:v>
      </x:c>
      <x:c r="AB261" s="8" t="s">
        <x:v>58</x:v>
      </x:c>
      <x:c r="AC261" s="8" t="s">
        <x:v>58</x:v>
      </x:c>
      <x:c r="AD261" s="8" t="s">
        <x:v>58</x:v>
      </x:c>
      <x:c r="AE261" s="8" t="s">
        <x:v>58</x:v>
      </x:c>
      <x:c r="AF261" s="8" t="s">
        <x:v>58</x:v>
      </x:c>
      <x:c r="AG261" s="7" t="s">
        <x:v>58</x:v>
      </x:c>
    </x:row>
    <x:row r="262" ht="79.5" hidden="0" customHeight="1">
      <x:c r="A262" s="7" t="s">
        <x:v>2508</x:v>
      </x:c>
      <x:c r="B262" s="7" t="s">
        <x:v>199</x:v>
      </x:c>
      <x:c r="C262" s="7" t="s">
        <x:v>201</x:v>
      </x:c>
      <x:c r="D262" s="7" t="s">
        <x:v>1945</x:v>
      </x:c>
      <x:c r="E262" s="7" t="s">
        <x:v>2440</x:v>
      </x:c>
      <x:c r="F262" s="7" t="s">
        <x:v>1929</x:v>
      </x:c>
      <x:c r="G262" s="8" t="n">
        <x:v>55</x:v>
      </x:c>
      <x:c r="H262" s="8" t="n">
        <x:v>4</x:v>
      </x:c>
      <x:c r="I262" s="8" t="s">
        <x:v>58</x:v>
      </x:c>
      <x:c r="J262" s="7" t="s">
        <x:v>1919</x:v>
      </x:c>
      <x:c r="K262" s="8" t="n">
        <x:v>1</x:v>
      </x:c>
      <x:c r="L262" s="8" t="n">
        <x:f aca="0">IF(AND(ISNUMBER(G262),P262&lt;&gt;"Unresolved unit / layout"),G262*K262,"Not applicable")</x:f>
        <x:v>55</x:v>
      </x:c>
      <x:c r="M262" s="8" t="n">
        <x:f aca="0">IF(AND(ISNUMBER(H262),P262&lt;&gt;"Unresolved unit / layout"),H262*K262,"Not applicable")</x:f>
        <x:v>4</x:v>
      </x:c>
      <x:c r="N262" s="8" t="str">
        <x:f aca="0">IF(AND(ISNUMBER(I262),P262&lt;&gt;"Unresolved unit / layout"),I262*K262,"Not applicable")</x:f>
        <x:v>Not applicable</x:v>
      </x:c>
      <x:c r="O262" s="7" t="s">
        <x:v>1929</x:v>
      </x:c>
      <x:c r="P262" s="7" t="s">
        <x:v>1921</x:v>
      </x:c>
      <x:c r="Q262" s="7" t="s">
        <x:v>1930</x:v>
      </x:c>
      <x:c r="R262" s="7" t="s">
        <x:v>1931</x:v>
      </x:c>
      <x:c r="S262" s="7" t="s">
        <x:v>2077</x:v>
      </x:c>
      <x:c r="T262" s="7" t="s">
        <x:v>2078</x:v>
      </x:c>
      <x:c r="U262" s="7" t="s">
        <x:v>53</x:v>
      </x:c>
      <x:c r="V262" s="7" t="s">
        <x:v>2020</x:v>
      </x:c>
      <x:c r="W262" s="7" t="s">
        <x:v>58</x:v>
      </x:c>
      <x:c r="X262" s="7" t="s">
        <x:v>2484</x:v>
      </x:c>
      <x:c r="Y262" s="7" t="s">
        <x:v>1168</x:v>
      </x:c>
      <x:c r="Z262" s="7" t="s">
        <x:v>2213</x:v>
      </x:c>
      <x:c r="AA262" s="7" t="s">
        <x:v>58</x:v>
      </x:c>
      <x:c r="AB262" s="8" t="s">
        <x:v>58</x:v>
      </x:c>
      <x:c r="AC262" s="8" t="s">
        <x:v>58</x:v>
      </x:c>
      <x:c r="AD262" s="8" t="s">
        <x:v>58</x:v>
      </x:c>
      <x:c r="AE262" s="8" t="s">
        <x:v>58</x:v>
      </x:c>
      <x:c r="AF262" s="8" t="s">
        <x:v>58</x:v>
      </x:c>
      <x:c r="AG262" s="7" t="s">
        <x:v>58</x:v>
      </x:c>
    </x:row>
    <x:row r="263" ht="79.5" hidden="0" customHeight="1">
      <x:c r="A263" s="7" t="s">
        <x:v>2509</x:v>
      </x:c>
      <x:c r="B263" s="7" t="s">
        <x:v>199</x:v>
      </x:c>
      <x:c r="C263" s="7" t="s">
        <x:v>201</x:v>
      </x:c>
      <x:c r="D263" s="7" t="s">
        <x:v>1945</x:v>
      </x:c>
      <x:c r="E263" s="7" t="s">
        <x:v>2510</x:v>
      </x:c>
      <x:c r="F263" s="7" t="s">
        <x:v>1929</x:v>
      </x:c>
      <x:c r="G263" s="8" t="n">
        <x:v>28</x:v>
      </x:c>
      <x:c r="H263" s="8" t="n">
        <x:v>4</x:v>
      </x:c>
      <x:c r="I263" s="8" t="s">
        <x:v>58</x:v>
      </x:c>
      <x:c r="J263" s="7" t="s">
        <x:v>1919</x:v>
      </x:c>
      <x:c r="K263" s="8" t="n">
        <x:v>1</x:v>
      </x:c>
      <x:c r="L263" s="8" t="n">
        <x:f aca="0">IF(AND(ISNUMBER(G263),P263&lt;&gt;"Unresolved unit / layout"),G263*K263,"Not applicable")</x:f>
        <x:v>28</x:v>
      </x:c>
      <x:c r="M263" s="8" t="n">
        <x:f aca="0">IF(AND(ISNUMBER(H263),P263&lt;&gt;"Unresolved unit / layout"),H263*K263,"Not applicable")</x:f>
        <x:v>4</x:v>
      </x:c>
      <x:c r="N263" s="8" t="str">
        <x:f aca="0">IF(AND(ISNUMBER(I263),P263&lt;&gt;"Unresolved unit / layout"),I263*K263,"Not applicable")</x:f>
        <x:v>Not applicable</x:v>
      </x:c>
      <x:c r="O263" s="7" t="s">
        <x:v>1929</x:v>
      </x:c>
      <x:c r="P263" s="7" t="s">
        <x:v>1921</x:v>
      </x:c>
      <x:c r="Q263" s="7" t="s">
        <x:v>1930</x:v>
      </x:c>
      <x:c r="R263" s="7" t="s">
        <x:v>2003</x:v>
      </x:c>
      <x:c r="S263" s="7" t="s">
        <x:v>2077</x:v>
      </x:c>
      <x:c r="T263" s="7" t="s">
        <x:v>2078</x:v>
      </x:c>
      <x:c r="U263" s="7" t="s">
        <x:v>53</x:v>
      </x:c>
      <x:c r="V263" s="7" t="s">
        <x:v>2020</x:v>
      </x:c>
      <x:c r="W263" s="7" t="s">
        <x:v>58</x:v>
      </x:c>
      <x:c r="X263" s="7" t="s">
        <x:v>2484</x:v>
      </x:c>
      <x:c r="Y263" s="7" t="s">
        <x:v>1168</x:v>
      </x:c>
      <x:c r="Z263" s="7" t="s">
        <x:v>2216</x:v>
      </x:c>
      <x:c r="AA263" s="7" t="s">
        <x:v>58</x:v>
      </x:c>
      <x:c r="AB263" s="8" t="s">
        <x:v>58</x:v>
      </x:c>
      <x:c r="AC263" s="8" t="s">
        <x:v>58</x:v>
      </x:c>
      <x:c r="AD263" s="8" t="s">
        <x:v>58</x:v>
      </x:c>
      <x:c r="AE263" s="8" t="s">
        <x:v>58</x:v>
      </x:c>
      <x:c r="AF263" s="8" t="s">
        <x:v>58</x:v>
      </x:c>
      <x:c r="AG263" s="7" t="s">
        <x:v>58</x:v>
      </x:c>
    </x:row>
    <x:row r="264" ht="79.5" hidden="0" customHeight="1">
      <x:c r="A264" s="7" t="s">
        <x:v>2511</x:v>
      </x:c>
      <x:c r="B264" s="7" t="s">
        <x:v>199</x:v>
      </x:c>
      <x:c r="C264" s="7" t="s">
        <x:v>201</x:v>
      </x:c>
      <x:c r="D264" s="7" t="s">
        <x:v>2030</x:v>
      </x:c>
      <x:c r="E264" s="7" t="s">
        <x:v>2512</x:v>
      </x:c>
      <x:c r="F264" s="7" t="s">
        <x:v>2033</x:v>
      </x:c>
      <x:c r="G264" s="8" t="n">
        <x:v>15.7</x:v>
      </x:c>
      <x:c r="H264" s="8" t="n">
        <x:v>3.7</x:v>
      </x:c>
      <x:c r="I264" s="8" t="s">
        <x:v>58</x:v>
      </x:c>
      <x:c r="J264" s="7" t="s">
        <x:v>1919</x:v>
      </x:c>
      <x:c r="K264" s="8" t="n">
        <x:v>1</x:v>
      </x:c>
      <x:c r="L264" s="8" t="n">
        <x:f aca="0">IF(AND(ISNUMBER(G264),P264&lt;&gt;"Unresolved unit / layout"),G264*K264,"Not applicable")</x:f>
        <x:v>15.7</x:v>
      </x:c>
      <x:c r="M264" s="8" t="n">
        <x:f aca="0">IF(AND(ISNUMBER(H264),P264&lt;&gt;"Unresolved unit / layout"),H264*K264,"Not applicable")</x:f>
        <x:v>3.7</x:v>
      </x:c>
      <x:c r="N264" s="8" t="str">
        <x:f aca="0">IF(AND(ISNUMBER(I264),P264&lt;&gt;"Unresolved unit / layout"),I264*K264,"Not applicable")</x:f>
        <x:v>Not applicable</x:v>
      </x:c>
      <x:c r="O264" s="7" t="s">
        <x:v>2033</x:v>
      </x:c>
      <x:c r="P264" s="7" t="s">
        <x:v>1921</x:v>
      </x:c>
      <x:c r="Q264" s="7" t="s">
        <x:v>1930</x:v>
      </x:c>
      <x:c r="R264" s="7" t="s">
        <x:v>1931</x:v>
      </x:c>
      <x:c r="S264" s="7" t="s">
        <x:v>2077</x:v>
      </x:c>
      <x:c r="T264" s="7" t="s">
        <x:v>2078</x:v>
      </x:c>
      <x:c r="U264" s="7" t="s">
        <x:v>53</x:v>
      </x:c>
      <x:c r="V264" s="7" t="s">
        <x:v>2036</x:v>
      </x:c>
      <x:c r="W264" s="7" t="s">
        <x:v>2135</x:v>
      </x:c>
      <x:c r="X264" s="7" t="s">
        <x:v>2484</x:v>
      </x:c>
      <x:c r="Y264" s="7" t="s">
        <x:v>1168</x:v>
      </x:c>
      <x:c r="Z264" s="7" t="s">
        <x:v>2219</x:v>
      </x:c>
      <x:c r="AA264" s="7" t="s">
        <x:v>58</x:v>
      </x:c>
      <x:c r="AB264" s="8" t="s">
        <x:v>58</x:v>
      </x:c>
      <x:c r="AC264" s="8" t="s">
        <x:v>58</x:v>
      </x:c>
      <x:c r="AD264" s="8" t="s">
        <x:v>58</x:v>
      </x:c>
      <x:c r="AE264" s="8" t="s">
        <x:v>58</x:v>
      </x:c>
      <x:c r="AF264" s="8" t="s">
        <x:v>58</x:v>
      </x:c>
      <x:c r="AG264" s="7" t="s">
        <x:v>58</x:v>
      </x:c>
    </x:row>
    <x:row r="265" ht="79.5" hidden="0" customHeight="1">
      <x:c r="A265" s="7" t="s">
        <x:v>2513</x:v>
      </x:c>
      <x:c r="B265" s="7" t="s">
        <x:v>199</x:v>
      </x:c>
      <x:c r="C265" s="7" t="s">
        <x:v>201</x:v>
      </x:c>
      <x:c r="D265" s="7" t="s">
        <x:v>2030</x:v>
      </x:c>
      <x:c r="E265" s="7" t="s">
        <x:v>2514</x:v>
      </x:c>
      <x:c r="F265" s="7" t="s">
        <x:v>2033</x:v>
      </x:c>
      <x:c r="G265" s="8" t="n">
        <x:v>6.3</x:v>
      </x:c>
      <x:c r="H265" s="8" t="n">
        <x:v>2.2</x:v>
      </x:c>
      <x:c r="I265" s="8" t="s">
        <x:v>58</x:v>
      </x:c>
      <x:c r="J265" s="7" t="s">
        <x:v>1919</x:v>
      </x:c>
      <x:c r="K265" s="8" t="n">
        <x:v>1</x:v>
      </x:c>
      <x:c r="L265" s="8" t="n">
        <x:f aca="0">IF(AND(ISNUMBER(G265),P265&lt;&gt;"Unresolved unit / layout"),G265*K265,"Not applicable")</x:f>
        <x:v>6.3</x:v>
      </x:c>
      <x:c r="M265" s="8" t="n">
        <x:f aca="0">IF(AND(ISNUMBER(H265),P265&lt;&gt;"Unresolved unit / layout"),H265*K265,"Not applicable")</x:f>
        <x:v>2.2</x:v>
      </x:c>
      <x:c r="N265" s="8" t="str">
        <x:f aca="0">IF(AND(ISNUMBER(I265),P265&lt;&gt;"Unresolved unit / layout"),I265*K265,"Not applicable")</x:f>
        <x:v>Not applicable</x:v>
      </x:c>
      <x:c r="O265" s="7" t="s">
        <x:v>2033</x:v>
      </x:c>
      <x:c r="P265" s="7" t="s">
        <x:v>1921</x:v>
      </x:c>
      <x:c r="Q265" s="7" t="s">
        <x:v>1930</x:v>
      </x:c>
      <x:c r="R265" s="7" t="s">
        <x:v>1931</x:v>
      </x:c>
      <x:c r="S265" s="7" t="s">
        <x:v>2077</x:v>
      </x:c>
      <x:c r="T265" s="7" t="s">
        <x:v>2078</x:v>
      </x:c>
      <x:c r="U265" s="7" t="s">
        <x:v>53</x:v>
      </x:c>
      <x:c r="V265" s="7" t="s">
        <x:v>2036</x:v>
      </x:c>
      <x:c r="W265" s="7" t="s">
        <x:v>2139</x:v>
      </x:c>
      <x:c r="X265" s="7" t="s">
        <x:v>2484</x:v>
      </x:c>
      <x:c r="Y265" s="7" t="s">
        <x:v>1168</x:v>
      </x:c>
      <x:c r="Z265" s="7" t="s">
        <x:v>2222</x:v>
      </x:c>
      <x:c r="AA265" s="7" t="s">
        <x:v>58</x:v>
      </x:c>
      <x:c r="AB265" s="8" t="s">
        <x:v>58</x:v>
      </x:c>
      <x:c r="AC265" s="8" t="s">
        <x:v>58</x:v>
      </x:c>
      <x:c r="AD265" s="8" t="s">
        <x:v>58</x:v>
      </x:c>
      <x:c r="AE265" s="8" t="s">
        <x:v>58</x:v>
      </x:c>
      <x:c r="AF265" s="8" t="s">
        <x:v>58</x:v>
      </x:c>
      <x:c r="AG265" s="7" t="s">
        <x:v>58</x:v>
      </x:c>
    </x:row>
    <x:row r="266" ht="79.5" hidden="0" customHeight="1">
      <x:c r="A266" s="7" t="s">
        <x:v>2515</x:v>
      </x:c>
      <x:c r="B266" s="7" t="s">
        <x:v>199</x:v>
      </x:c>
      <x:c r="C266" s="7" t="s">
        <x:v>201</x:v>
      </x:c>
      <x:c r="D266" s="7" t="s">
        <x:v>2030</x:v>
      </x:c>
      <x:c r="E266" s="7" t="s">
        <x:v>2516</x:v>
      </x:c>
      <x:c r="F266" s="7" t="s">
        <x:v>2033</x:v>
      </x:c>
      <x:c r="G266" s="8" t="n">
        <x:v>5.6</x:v>
      </x:c>
      <x:c r="H266" s="8" t="n">
        <x:v>1.2</x:v>
      </x:c>
      <x:c r="I266" s="8" t="s">
        <x:v>58</x:v>
      </x:c>
      <x:c r="J266" s="7" t="s">
        <x:v>1919</x:v>
      </x:c>
      <x:c r="K266" s="8" t="n">
        <x:v>1</x:v>
      </x:c>
      <x:c r="L266" s="8" t="n">
        <x:f aca="0">IF(AND(ISNUMBER(G266),P266&lt;&gt;"Unresolved unit / layout"),G266*K266,"Not applicable")</x:f>
        <x:v>5.6</x:v>
      </x:c>
      <x:c r="M266" s="8" t="n">
        <x:f aca="0">IF(AND(ISNUMBER(H266),P266&lt;&gt;"Unresolved unit / layout"),H266*K266,"Not applicable")</x:f>
        <x:v>1.2</x:v>
      </x:c>
      <x:c r="N266" s="8" t="str">
        <x:f aca="0">IF(AND(ISNUMBER(I266),P266&lt;&gt;"Unresolved unit / layout"),I266*K266,"Not applicable")</x:f>
        <x:v>Not applicable</x:v>
      </x:c>
      <x:c r="O266" s="7" t="s">
        <x:v>2033</x:v>
      </x:c>
      <x:c r="P266" s="7" t="s">
        <x:v>1921</x:v>
      </x:c>
      <x:c r="Q266" s="7" t="s">
        <x:v>1930</x:v>
      </x:c>
      <x:c r="R266" s="7" t="s">
        <x:v>2003</x:v>
      </x:c>
      <x:c r="S266" s="7" t="s">
        <x:v>2077</x:v>
      </x:c>
      <x:c r="T266" s="7" t="s">
        <x:v>2078</x:v>
      </x:c>
      <x:c r="U266" s="7" t="s">
        <x:v>53</x:v>
      </x:c>
      <x:c r="V266" s="7" t="s">
        <x:v>2343</x:v>
      </x:c>
      <x:c r="W266" s="7" t="s">
        <x:v>53</x:v>
      </x:c>
      <x:c r="X266" s="7" t="s">
        <x:v>2484</x:v>
      </x:c>
      <x:c r="Y266" s="7" t="s">
        <x:v>1168</x:v>
      </x:c>
      <x:c r="Z266" s="7" t="s">
        <x:v>2225</x:v>
      </x:c>
      <x:c r="AA266" s="7" t="s">
        <x:v>58</x:v>
      </x:c>
      <x:c r="AB266" s="8" t="s">
        <x:v>58</x:v>
      </x:c>
      <x:c r="AC266" s="8" t="s">
        <x:v>58</x:v>
      </x:c>
      <x:c r="AD266" s="8" t="s">
        <x:v>58</x:v>
      </x:c>
      <x:c r="AE266" s="8" t="s">
        <x:v>58</x:v>
      </x:c>
      <x:c r="AF266" s="8" t="s">
        <x:v>58</x:v>
      </x:c>
      <x:c r="AG266" s="7" t="s">
        <x:v>58</x:v>
      </x:c>
    </x:row>
    <x:row r="267" ht="79.5" hidden="0" customHeight="1">
      <x:c r="A267" s="7" t="s">
        <x:v>2517</x:v>
      </x:c>
      <x:c r="B267" s="7" t="s">
        <x:v>210</x:v>
      </x:c>
      <x:c r="C267" s="7" t="s">
        <x:v>212</x:v>
      </x:c>
      <x:c r="D267" s="7" t="s">
        <x:v>1916</x:v>
      </x:c>
      <x:c r="E267" s="7" t="s">
        <x:v>2518</x:v>
      </x:c>
      <x:c r="F267" s="7" t="s">
        <x:v>2076</x:v>
      </x:c>
      <x:c r="G267" s="8" t="n">
        <x:v>1.19</x:v>
      </x:c>
      <x:c r="H267" s="8" t="s">
        <x:v>58</x:v>
      </x:c>
      <x:c r="I267" s="8" t="s">
        <x:v>58</x:v>
      </x:c>
      <x:c r="J267" s="7" t="s">
        <x:v>1919</x:v>
      </x:c>
      <x:c r="K267" s="8" t="n">
        <x:v>1000</x:v>
      </x:c>
      <x:c r="L267" s="8" t="n">
        <x:f aca="0">IF(AND(ISNUMBER(G267),P267&lt;&gt;"Unresolved unit / layout"),G267*K267,"Not applicable")</x:f>
        <x:v>1190</x:v>
      </x:c>
      <x:c r="M267" s="8" t="str">
        <x:f aca="0">IF(AND(ISNUMBER(H267),P267&lt;&gt;"Unresolved unit / layout"),H267*K267,"Not applicable")</x:f>
        <x:v>Not applicable</x:v>
      </x:c>
      <x:c r="N267" s="8" t="str">
        <x:f aca="0">IF(AND(ISNUMBER(I267),P267&lt;&gt;"Unresolved unit / layout"),I267*K267,"Not applicable")</x:f>
        <x:v>Not applicable</x:v>
      </x:c>
      <x:c r="O267" s="7" t="s">
        <x:v>1920</x:v>
      </x:c>
      <x:c r="P267" s="7" t="s">
        <x:v>1921</x:v>
      </x:c>
      <x:c r="Q267" s="7" t="s">
        <x:v>1922</x:v>
      </x:c>
      <x:c r="R267" s="7" t="s">
        <x:v>58</x:v>
      </x:c>
      <x:c r="S267" s="7" t="s">
        <x:v>2077</x:v>
      </x:c>
      <x:c r="T267" s="7" t="s">
        <x:v>2078</x:v>
      </x:c>
      <x:c r="U267" s="7" t="s">
        <x:v>53</x:v>
      </x:c>
      <x:c r="V267" s="7" t="s">
        <x:v>1923</x:v>
      </x:c>
      <x:c r="W267" s="7" t="s">
        <x:v>58</x:v>
      </x:c>
      <x:c r="X267" s="7" t="s">
        <x:v>2519</x:v>
      </x:c>
      <x:c r="Y267" s="7" t="s">
        <x:v>1169</x:v>
      </x:c>
      <x:c r="Z267" s="7" t="s">
        <x:v>1968</x:v>
      </x:c>
      <x:c r="AA267" s="7" t="s">
        <x:v>58</x:v>
      </x:c>
      <x:c r="AB267" s="8" t="s">
        <x:v>58</x:v>
      </x:c>
      <x:c r="AC267" s="8" t="s">
        <x:v>58</x:v>
      </x:c>
      <x:c r="AD267" s="8" t="s">
        <x:v>58</x:v>
      </x:c>
      <x:c r="AE267" s="8" t="s">
        <x:v>58</x:v>
      </x:c>
      <x:c r="AF267" s="8" t="s">
        <x:v>58</x:v>
      </x:c>
      <x:c r="AG267" s="7" t="s">
        <x:v>58</x:v>
      </x:c>
    </x:row>
    <x:row r="268" ht="79.5" hidden="0" customHeight="1">
      <x:c r="A268" s="7" t="s">
        <x:v>2520</x:v>
      </x:c>
      <x:c r="B268" s="7" t="s">
        <x:v>210</x:v>
      </x:c>
      <x:c r="C268" s="7" t="s">
        <x:v>212</x:v>
      </x:c>
      <x:c r="D268" s="7" t="s">
        <x:v>1974</x:v>
      </x:c>
      <x:c r="E268" s="7" t="s">
        <x:v>2270</x:v>
      </x:c>
      <x:c r="F268" s="7" t="s">
        <x:v>1956</x:v>
      </x:c>
      <x:c r="G268" s="8" t="n">
        <x:v>156</x:v>
      </x:c>
      <x:c r="H268" s="8" t="s">
        <x:v>58</x:v>
      </x:c>
      <x:c r="I268" s="8" t="s">
        <x:v>58</x:v>
      </x:c>
      <x:c r="J268" s="7" t="s">
        <x:v>1919</x:v>
      </x:c>
      <x:c r="K268" s="8" t="n">
        <x:v>1</x:v>
      </x:c>
      <x:c r="L268" s="8" t="n">
        <x:f aca="0">IF(AND(ISNUMBER(G268),P268&lt;&gt;"Unresolved unit / layout"),G268*K268,"Not applicable")</x:f>
        <x:v>156</x:v>
      </x:c>
      <x:c r="M268" s="8" t="str">
        <x:f aca="0">IF(AND(ISNUMBER(H268),P268&lt;&gt;"Unresolved unit / layout"),H268*K268,"Not applicable")</x:f>
        <x:v>Not applicable</x:v>
      </x:c>
      <x:c r="N268" s="8" t="str">
        <x:f aca="0">IF(AND(ISNUMBER(I268),P268&lt;&gt;"Unresolved unit / layout"),I268*K268,"Not applicable")</x:f>
        <x:v>Not applicable</x:v>
      </x:c>
      <x:c r="O268" s="7" t="s">
        <x:v>1956</x:v>
      </x:c>
      <x:c r="P268" s="7" t="s">
        <x:v>1921</x:v>
      </x:c>
      <x:c r="Q268" s="7" t="s">
        <x:v>2064</x:v>
      </x:c>
      <x:c r="R268" s="7" t="s">
        <x:v>58</x:v>
      </x:c>
      <x:c r="S268" s="7" t="s">
        <x:v>2077</x:v>
      </x:c>
      <x:c r="T268" s="7" t="s">
        <x:v>2078</x:v>
      </x:c>
      <x:c r="U268" s="7" t="s">
        <x:v>53</x:v>
      </x:c>
      <x:c r="V268" s="7" t="s">
        <x:v>2082</x:v>
      </x:c>
      <x:c r="W268" s="7" t="s">
        <x:v>58</x:v>
      </x:c>
      <x:c r="X268" s="7" t="s">
        <x:v>2519</x:v>
      </x:c>
      <x:c r="Y268" s="7" t="s">
        <x:v>1169</x:v>
      </x:c>
      <x:c r="Z268" s="7" t="s">
        <x:v>2083</x:v>
      </x:c>
      <x:c r="AA268" s="7" t="s">
        <x:v>58</x:v>
      </x:c>
      <x:c r="AB268" s="8" t="s">
        <x:v>58</x:v>
      </x:c>
      <x:c r="AC268" s="8" t="s">
        <x:v>58</x:v>
      </x:c>
      <x:c r="AD268" s="8" t="s">
        <x:v>58</x:v>
      </x:c>
      <x:c r="AE268" s="8" t="s">
        <x:v>58</x:v>
      </x:c>
      <x:c r="AF268" s="8" t="s">
        <x:v>58</x:v>
      </x:c>
      <x:c r="AG268" s="7" t="s">
        <x:v>58</x:v>
      </x:c>
    </x:row>
    <x:row r="269" ht="79.5" hidden="0" customHeight="1">
      <x:c r="A269" s="7" t="s">
        <x:v>2521</x:v>
      </x:c>
      <x:c r="B269" s="7" t="s">
        <x:v>210</x:v>
      </x:c>
      <x:c r="C269" s="7" t="s">
        <x:v>212</x:v>
      </x:c>
      <x:c r="D269" s="7" t="s">
        <x:v>1954</x:v>
      </x:c>
      <x:c r="E269" s="7" t="s">
        <x:v>1987</x:v>
      </x:c>
      <x:c r="F269" s="7" t="s">
        <x:v>1956</x:v>
      </x:c>
      <x:c r="G269" s="8" t="n">
        <x:v>52</x:v>
      </x:c>
      <x:c r="H269" s="8" t="s">
        <x:v>58</x:v>
      </x:c>
      <x:c r="I269" s="8" t="s">
        <x:v>58</x:v>
      </x:c>
      <x:c r="J269" s="7" t="s">
        <x:v>1919</x:v>
      </x:c>
      <x:c r="K269" s="8" t="n">
        <x:v>1</x:v>
      </x:c>
      <x:c r="L269" s="8" t="n">
        <x:f aca="0">IF(AND(ISNUMBER(G269),P269&lt;&gt;"Unresolved unit / layout"),G269*K269,"Not applicable")</x:f>
        <x:v>52</x:v>
      </x:c>
      <x:c r="M269" s="8" t="str">
        <x:f aca="0">IF(AND(ISNUMBER(H269),P269&lt;&gt;"Unresolved unit / layout"),H269*K269,"Not applicable")</x:f>
        <x:v>Not applicable</x:v>
      </x:c>
      <x:c r="N269" s="8" t="str">
        <x:f aca="0">IF(AND(ISNUMBER(I269),P269&lt;&gt;"Unresolved unit / layout"),I269*K269,"Not applicable")</x:f>
        <x:v>Not applicable</x:v>
      </x:c>
      <x:c r="O269" s="7" t="s">
        <x:v>1956</x:v>
      </x:c>
      <x:c r="P269" s="7" t="s">
        <x:v>1921</x:v>
      </x:c>
      <x:c r="Q269" s="7" t="s">
        <x:v>2064</x:v>
      </x:c>
      <x:c r="R269" s="7" t="s">
        <x:v>58</x:v>
      </x:c>
      <x:c r="S269" s="7" t="s">
        <x:v>2077</x:v>
      </x:c>
      <x:c r="T269" s="7" t="s">
        <x:v>2078</x:v>
      </x:c>
      <x:c r="U269" s="7" t="s">
        <x:v>53</x:v>
      </x:c>
      <x:c r="V269" s="7" t="s">
        <x:v>2082</x:v>
      </x:c>
      <x:c r="W269" s="7" t="s">
        <x:v>58</x:v>
      </x:c>
      <x:c r="X269" s="7" t="s">
        <x:v>2519</x:v>
      </x:c>
      <x:c r="Y269" s="7" t="s">
        <x:v>1169</x:v>
      </x:c>
      <x:c r="Z269" s="7" t="s">
        <x:v>2086</x:v>
      </x:c>
      <x:c r="AA269" s="7" t="s">
        <x:v>58</x:v>
      </x:c>
      <x:c r="AB269" s="8" t="s">
        <x:v>58</x:v>
      </x:c>
      <x:c r="AC269" s="8" t="s">
        <x:v>58</x:v>
      </x:c>
      <x:c r="AD269" s="8" t="s">
        <x:v>58</x:v>
      </x:c>
      <x:c r="AE269" s="8" t="s">
        <x:v>58</x:v>
      </x:c>
      <x:c r="AF269" s="8" t="s">
        <x:v>58</x:v>
      </x:c>
      <x:c r="AG269" s="7" t="s">
        <x:v>58</x:v>
      </x:c>
    </x:row>
    <x:row r="270" ht="79.5" hidden="0" customHeight="1">
      <x:c r="A270" s="7" t="s">
        <x:v>2522</x:v>
      </x:c>
      <x:c r="B270" s="7" t="s">
        <x:v>210</x:v>
      </x:c>
      <x:c r="C270" s="7" t="s">
        <x:v>212</x:v>
      </x:c>
      <x:c r="D270" s="7" t="s">
        <x:v>1982</x:v>
      </x:c>
      <x:c r="E270" s="7" t="s">
        <x:v>2316</x:v>
      </x:c>
      <x:c r="F270" s="7" t="s">
        <x:v>1956</x:v>
      </x:c>
      <x:c r="G270" s="8" t="n">
        <x:v>56</x:v>
      </x:c>
      <x:c r="H270" s="8" t="s">
        <x:v>58</x:v>
      </x:c>
      <x:c r="I270" s="8" t="s">
        <x:v>58</x:v>
      </x:c>
      <x:c r="J270" s="7" t="s">
        <x:v>1919</x:v>
      </x:c>
      <x:c r="K270" s="8" t="n">
        <x:v>1</x:v>
      </x:c>
      <x:c r="L270" s="8" t="n">
        <x:f aca="0">IF(AND(ISNUMBER(G270),P270&lt;&gt;"Unresolved unit / layout"),G270*K270,"Not applicable")</x:f>
        <x:v>56</x:v>
      </x:c>
      <x:c r="M270" s="8" t="str">
        <x:f aca="0">IF(AND(ISNUMBER(H270),P270&lt;&gt;"Unresolved unit / layout"),H270*K270,"Not applicable")</x:f>
        <x:v>Not applicable</x:v>
      </x:c>
      <x:c r="N270" s="8" t="str">
        <x:f aca="0">IF(AND(ISNUMBER(I270),P270&lt;&gt;"Unresolved unit / layout"),I270*K270,"Not applicable")</x:f>
        <x:v>Not applicable</x:v>
      </x:c>
      <x:c r="O270" s="7" t="s">
        <x:v>1956</x:v>
      </x:c>
      <x:c r="P270" s="7" t="s">
        <x:v>1921</x:v>
      </x:c>
      <x:c r="Q270" s="7" t="s">
        <x:v>2064</x:v>
      </x:c>
      <x:c r="R270" s="7" t="s">
        <x:v>58</x:v>
      </x:c>
      <x:c r="S270" s="7" t="s">
        <x:v>2077</x:v>
      </x:c>
      <x:c r="T270" s="7" t="s">
        <x:v>2078</x:v>
      </x:c>
      <x:c r="U270" s="7" t="s">
        <x:v>53</x:v>
      </x:c>
      <x:c r="V270" s="7" t="s">
        <x:v>1984</x:v>
      </x:c>
      <x:c r="W270" s="7" t="s">
        <x:v>58</x:v>
      </x:c>
      <x:c r="X270" s="7" t="s">
        <x:v>2519</x:v>
      </x:c>
      <x:c r="Y270" s="7" t="s">
        <x:v>1169</x:v>
      </x:c>
      <x:c r="Z270" s="7" t="s">
        <x:v>2092</x:v>
      </x:c>
      <x:c r="AA270" s="7" t="s">
        <x:v>58</x:v>
      </x:c>
      <x:c r="AB270" s="8" t="s">
        <x:v>58</x:v>
      </x:c>
      <x:c r="AC270" s="8" t="s">
        <x:v>58</x:v>
      </x:c>
      <x:c r="AD270" s="8" t="s">
        <x:v>58</x:v>
      </x:c>
      <x:c r="AE270" s="8" t="s">
        <x:v>58</x:v>
      </x:c>
      <x:c r="AF270" s="8" t="s">
        <x:v>58</x:v>
      </x:c>
      <x:c r="AG270" s="7" t="s">
        <x:v>58</x:v>
      </x:c>
    </x:row>
    <x:row r="271" ht="79.5" hidden="0" customHeight="1">
      <x:c r="A271" s="7" t="s">
        <x:v>2523</x:v>
      </x:c>
      <x:c r="B271" s="7" t="s">
        <x:v>210</x:v>
      </x:c>
      <x:c r="C271" s="7" t="s">
        <x:v>212</x:v>
      </x:c>
      <x:c r="D271" s="7" t="s">
        <x:v>1959</x:v>
      </x:c>
      <x:c r="E271" s="7" t="s">
        <x:v>1987</x:v>
      </x:c>
      <x:c r="F271" s="7" t="s">
        <x:v>1956</x:v>
      </x:c>
      <x:c r="G271" s="8" t="n">
        <x:v>52</x:v>
      </x:c>
      <x:c r="H271" s="8" t="s">
        <x:v>58</x:v>
      </x:c>
      <x:c r="I271" s="8" t="s">
        <x:v>58</x:v>
      </x:c>
      <x:c r="J271" s="7" t="s">
        <x:v>1919</x:v>
      </x:c>
      <x:c r="K271" s="8" t="n">
        <x:v>1</x:v>
      </x:c>
      <x:c r="L271" s="8" t="n">
        <x:f aca="0">IF(AND(ISNUMBER(G271),P271&lt;&gt;"Unresolved unit / layout"),G271*K271,"Not applicable")</x:f>
        <x:v>52</x:v>
      </x:c>
      <x:c r="M271" s="8" t="str">
        <x:f aca="0">IF(AND(ISNUMBER(H271),P271&lt;&gt;"Unresolved unit / layout"),H271*K271,"Not applicable")</x:f>
        <x:v>Not applicable</x:v>
      </x:c>
      <x:c r="N271" s="8" t="str">
        <x:f aca="0">IF(AND(ISNUMBER(I271),P271&lt;&gt;"Unresolved unit / layout"),I271*K271,"Not applicable")</x:f>
        <x:v>Not applicable</x:v>
      </x:c>
      <x:c r="O271" s="7" t="s">
        <x:v>1956</x:v>
      </x:c>
      <x:c r="P271" s="7" t="s">
        <x:v>1921</x:v>
      </x:c>
      <x:c r="Q271" s="7" t="s">
        <x:v>2064</x:v>
      </x:c>
      <x:c r="R271" s="7" t="s">
        <x:v>58</x:v>
      </x:c>
      <x:c r="S271" s="7" t="s">
        <x:v>2077</x:v>
      </x:c>
      <x:c r="T271" s="7" t="s">
        <x:v>2078</x:v>
      </x:c>
      <x:c r="U271" s="7" t="s">
        <x:v>53</x:v>
      </x:c>
      <x:c r="V271" s="7" t="s">
        <x:v>2095</x:v>
      </x:c>
      <x:c r="W271" s="7" t="s">
        <x:v>58</x:v>
      </x:c>
      <x:c r="X271" s="7" t="s">
        <x:v>2519</x:v>
      </x:c>
      <x:c r="Y271" s="7" t="s">
        <x:v>1169</x:v>
      </x:c>
      <x:c r="Z271" s="7" t="s">
        <x:v>2096</x:v>
      </x:c>
      <x:c r="AA271" s="7" t="s">
        <x:v>58</x:v>
      </x:c>
      <x:c r="AB271" s="8" t="s">
        <x:v>58</x:v>
      </x:c>
      <x:c r="AC271" s="8" t="s">
        <x:v>58</x:v>
      </x:c>
      <x:c r="AD271" s="8" t="s">
        <x:v>58</x:v>
      </x:c>
      <x:c r="AE271" s="8" t="s">
        <x:v>58</x:v>
      </x:c>
      <x:c r="AF271" s="8" t="s">
        <x:v>58</x:v>
      </x:c>
      <x:c r="AG271" s="7" t="s">
        <x:v>58</x:v>
      </x:c>
    </x:row>
    <x:row r="272" ht="79.5" hidden="0" customHeight="1">
      <x:c r="A272" s="7" t="s">
        <x:v>215</x:v>
      </x:c>
      <x:c r="B272" s="7" t="s">
        <x:v>210</x:v>
      </x:c>
      <x:c r="C272" s="7" t="s">
        <x:v>212</x:v>
      </x:c>
      <x:c r="D272" s="7" t="s">
        <x:v>1959</x:v>
      </x:c>
      <x:c r="E272" s="7" t="s">
        <x:v>2456</x:v>
      </x:c>
      <x:c r="F272" s="7" t="s">
        <x:v>1956</x:v>
      </x:c>
      <x:c r="G272" s="8" t="n">
        <x:v>55</x:v>
      </x:c>
      <x:c r="H272" s="8" t="s">
        <x:v>58</x:v>
      </x:c>
      <x:c r="I272" s="8" t="s">
        <x:v>58</x:v>
      </x:c>
      <x:c r="J272" s="7" t="s">
        <x:v>1919</x:v>
      </x:c>
      <x:c r="K272" s="8" t="n">
        <x:v>1</x:v>
      </x:c>
      <x:c r="L272" s="8" t="n">
        <x:f aca="0">IF(AND(ISNUMBER(G272),P272&lt;&gt;"Unresolved unit / layout"),G272*K272,"Not applicable")</x:f>
        <x:v>55</x:v>
      </x:c>
      <x:c r="M272" s="8" t="str">
        <x:f aca="0">IF(AND(ISNUMBER(H272),P272&lt;&gt;"Unresolved unit / layout"),H272*K272,"Not applicable")</x:f>
        <x:v>Not applicable</x:v>
      </x:c>
      <x:c r="N272" s="8" t="str">
        <x:f aca="0">IF(AND(ISNUMBER(I272),P272&lt;&gt;"Unresolved unit / layout"),I272*K272,"Not applicable")</x:f>
        <x:v>Not applicable</x:v>
      </x:c>
      <x:c r="O272" s="7" t="s">
        <x:v>1956</x:v>
      </x:c>
      <x:c r="P272" s="7" t="s">
        <x:v>1921</x:v>
      </x:c>
      <x:c r="Q272" s="7" t="s">
        <x:v>2064</x:v>
      </x:c>
      <x:c r="R272" s="7" t="s">
        <x:v>58</x:v>
      </x:c>
      <x:c r="S272" s="7" t="s">
        <x:v>2077</x:v>
      </x:c>
      <x:c r="T272" s="7" t="s">
        <x:v>2078</x:v>
      </x:c>
      <x:c r="U272" s="7" t="s">
        <x:v>53</x:v>
      </x:c>
      <x:c r="V272" s="7" t="s">
        <x:v>2097</x:v>
      </x:c>
      <x:c r="W272" s="7" t="s">
        <x:v>58</x:v>
      </x:c>
      <x:c r="X272" s="7" t="s">
        <x:v>2519</x:v>
      </x:c>
      <x:c r="Y272" s="7" t="s">
        <x:v>1169</x:v>
      </x:c>
      <x:c r="Z272" s="7" t="s">
        <x:v>2096</x:v>
      </x:c>
      <x:c r="AA272" s="7" t="s">
        <x:v>58</x:v>
      </x:c>
      <x:c r="AB272" s="8" t="s">
        <x:v>58</x:v>
      </x:c>
      <x:c r="AC272" s="8" t="s">
        <x:v>58</x:v>
      </x:c>
      <x:c r="AD272" s="8" t="s">
        <x:v>58</x:v>
      </x:c>
      <x:c r="AE272" s="8" t="s">
        <x:v>58</x:v>
      </x:c>
      <x:c r="AF272" s="8" t="s">
        <x:v>58</x:v>
      </x:c>
      <x:c r="AG272" s="7" t="s">
        <x:v>58</x:v>
      </x:c>
    </x:row>
    <x:row r="273" ht="79.5" hidden="0" customHeight="1">
      <x:c r="A273" s="7" t="s">
        <x:v>2524</x:v>
      </x:c>
      <x:c r="B273" s="7" t="s">
        <x:v>210</x:v>
      </x:c>
      <x:c r="C273" s="7" t="s">
        <x:v>212</x:v>
      </x:c>
      <x:c r="D273" s="7" t="s">
        <x:v>2099</x:v>
      </x:c>
      <x:c r="E273" s="7" t="s">
        <x:v>2525</x:v>
      </x:c>
      <x:c r="F273" s="7" t="s">
        <x:v>1942</x:v>
      </x:c>
      <x:c r="G273" s="8" t="n">
        <x:v>0.45</x:v>
      </x:c>
      <x:c r="H273" s="8" t="s">
        <x:v>58</x:v>
      </x:c>
      <x:c r="I273" s="8" t="s">
        <x:v>58</x:v>
      </x:c>
      <x:c r="J273" s="7" t="s">
        <x:v>1919</x:v>
      </x:c>
      <x:c r="K273" s="8" t="n">
        <x:v>1</x:v>
      </x:c>
      <x:c r="L273" s="8" t="n">
        <x:f aca="0">IF(AND(ISNUMBER(G273),P273&lt;&gt;"Unresolved unit / layout"),G273*K273,"Not applicable")</x:f>
        <x:v>0.45</x:v>
      </x:c>
      <x:c r="M273" s="8" t="str">
        <x:f aca="0">IF(AND(ISNUMBER(H273),P273&lt;&gt;"Unresolved unit / layout"),H273*K273,"Not applicable")</x:f>
        <x:v>Not applicable</x:v>
      </x:c>
      <x:c r="N273" s="8" t="str">
        <x:f aca="0">IF(AND(ISNUMBER(I273),P273&lt;&gt;"Unresolved unit / layout"),I273*K273,"Not applicable")</x:f>
        <x:v>Not applicable</x:v>
      </x:c>
      <x:c r="O273" s="7" t="s">
        <x:v>1942</x:v>
      </x:c>
      <x:c r="P273" s="7" t="s">
        <x:v>1921</x:v>
      </x:c>
      <x:c r="Q273" s="7" t="s">
        <x:v>2064</x:v>
      </x:c>
      <x:c r="R273" s="7" t="s">
        <x:v>58</x:v>
      </x:c>
      <x:c r="S273" s="7" t="s">
        <x:v>2077</x:v>
      </x:c>
      <x:c r="T273" s="7" t="s">
        <x:v>2078</x:v>
      </x:c>
      <x:c r="U273" s="7" t="s">
        <x:v>53</x:v>
      </x:c>
      <x:c r="V273" s="7" t="s">
        <x:v>2238</x:v>
      </x:c>
      <x:c r="W273" s="7" t="s">
        <x:v>58</x:v>
      </x:c>
      <x:c r="X273" s="7" t="s">
        <x:v>2519</x:v>
      </x:c>
      <x:c r="Y273" s="7" t="s">
        <x:v>1169</x:v>
      </x:c>
      <x:c r="Z273" s="7" t="s">
        <x:v>2239</x:v>
      </x:c>
      <x:c r="AA273" s="7" t="s">
        <x:v>58</x:v>
      </x:c>
      <x:c r="AB273" s="8" t="s">
        <x:v>58</x:v>
      </x:c>
      <x:c r="AC273" s="8" t="s">
        <x:v>58</x:v>
      </x:c>
      <x:c r="AD273" s="8" t="s">
        <x:v>58</x:v>
      </x:c>
      <x:c r="AE273" s="8" t="s">
        <x:v>58</x:v>
      </x:c>
      <x:c r="AF273" s="8" t="s">
        <x:v>58</x:v>
      </x:c>
      <x:c r="AG273" s="7" t="s">
        <x:v>58</x:v>
      </x:c>
    </x:row>
    <x:row r="274" ht="79.5" hidden="0" customHeight="1">
      <x:c r="A274" s="7" t="s">
        <x:v>2526</x:v>
      </x:c>
      <x:c r="B274" s="7" t="s">
        <x:v>210</x:v>
      </x:c>
      <x:c r="C274" s="7" t="s">
        <x:v>212</x:v>
      </x:c>
      <x:c r="D274" s="7" t="s">
        <x:v>1935</x:v>
      </x:c>
      <x:c r="E274" s="7" t="s">
        <x:v>2527</x:v>
      </x:c>
      <x:c r="F274" s="7" t="s">
        <x:v>1929</x:v>
      </x:c>
      <x:c r="G274" s="8" t="n">
        <x:v>1540</x:v>
      </x:c>
      <x:c r="H274" s="8" t="n">
        <x:v>190</x:v>
      </x:c>
      <x:c r="I274" s="8" t="s">
        <x:v>58</x:v>
      </x:c>
      <x:c r="J274" s="7" t="s">
        <x:v>1919</x:v>
      </x:c>
      <x:c r="K274" s="8" t="n">
        <x:v>0.001</x:v>
      </x:c>
      <x:c r="L274" s="8" t="n">
        <x:f aca="0">IF(AND(ISNUMBER(G274),P274&lt;&gt;"Unresolved unit / layout"),G274*K274,"Not applicable")</x:f>
        <x:v>1.54</x:v>
      </x:c>
      <x:c r="M274" s="8" t="n">
        <x:f aca="0">IF(AND(ISNUMBER(H274),P274&lt;&gt;"Unresolved unit / layout"),H274*K274,"Not applicable")</x:f>
        <x:v>0.19</x:v>
      </x:c>
      <x:c r="N274" s="8" t="str">
        <x:f aca="0">IF(AND(ISNUMBER(I274),P274&lt;&gt;"Unresolved unit / layout"),I274*K274,"Not applicable")</x:f>
        <x:v>Not applicable</x:v>
      </x:c>
      <x:c r="O274" s="7" t="s">
        <x:v>1937</x:v>
      </x:c>
      <x:c r="P274" s="7" t="s">
        <x:v>1921</x:v>
      </x:c>
      <x:c r="Q274" s="7" t="s">
        <x:v>2064</x:v>
      </x:c>
      <x:c r="R274" s="7" t="s">
        <x:v>1931</x:v>
      </x:c>
      <x:c r="S274" s="7" t="s">
        <x:v>2077</x:v>
      </x:c>
      <x:c r="T274" s="7" t="s">
        <x:v>2078</x:v>
      </x:c>
      <x:c r="U274" s="7" t="s">
        <x:v>53</x:v>
      </x:c>
      <x:c r="V274" s="7" t="s">
        <x:v>1999</x:v>
      </x:c>
      <x:c r="W274" s="7" t="s">
        <x:v>58</x:v>
      </x:c>
      <x:c r="X274" s="7" t="s">
        <x:v>2519</x:v>
      </x:c>
      <x:c r="Y274" s="7" t="s">
        <x:v>1169</x:v>
      </x:c>
      <x:c r="Z274" s="7" t="s">
        <x:v>2105</x:v>
      </x:c>
      <x:c r="AA274" s="7" t="s">
        <x:v>58</x:v>
      </x:c>
      <x:c r="AB274" s="8" t="s">
        <x:v>58</x:v>
      </x:c>
      <x:c r="AC274" s="8" t="s">
        <x:v>58</x:v>
      </x:c>
      <x:c r="AD274" s="8" t="s">
        <x:v>58</x:v>
      </x:c>
      <x:c r="AE274" s="8" t="s">
        <x:v>58</x:v>
      </x:c>
      <x:c r="AF274" s="8" t="s">
        <x:v>58</x:v>
      </x:c>
      <x:c r="AG274" s="7" t="s">
        <x:v>58</x:v>
      </x:c>
    </x:row>
    <x:row r="275" ht="79.5" hidden="0" customHeight="1">
      <x:c r="A275" s="7" t="s">
        <x:v>2528</x:v>
      </x:c>
      <x:c r="B275" s="7" t="s">
        <x:v>210</x:v>
      </x:c>
      <x:c r="C275" s="7" t="s">
        <x:v>212</x:v>
      </x:c>
      <x:c r="D275" s="7" t="s">
        <x:v>1935</x:v>
      </x:c>
      <x:c r="E275" s="7" t="s">
        <x:v>2529</x:v>
      </x:c>
      <x:c r="F275" s="7" t="s">
        <x:v>1929</x:v>
      </x:c>
      <x:c r="G275" s="8" t="n">
        <x:v>1320</x:v>
      </x:c>
      <x:c r="H275" s="8" t="n">
        <x:v>150</x:v>
      </x:c>
      <x:c r="I275" s="8" t="s">
        <x:v>58</x:v>
      </x:c>
      <x:c r="J275" s="7" t="s">
        <x:v>1919</x:v>
      </x:c>
      <x:c r="K275" s="8" t="n">
        <x:v>0.001</x:v>
      </x:c>
      <x:c r="L275" s="8" t="n">
        <x:f aca="0">IF(AND(ISNUMBER(G275),P275&lt;&gt;"Unresolved unit / layout"),G275*K275,"Not applicable")</x:f>
        <x:v>1.32</x:v>
      </x:c>
      <x:c r="M275" s="8" t="n">
        <x:f aca="0">IF(AND(ISNUMBER(H275),P275&lt;&gt;"Unresolved unit / layout"),H275*K275,"Not applicable")</x:f>
        <x:v>0.15</x:v>
      </x:c>
      <x:c r="N275" s="8" t="str">
        <x:f aca="0">IF(AND(ISNUMBER(I275),P275&lt;&gt;"Unresolved unit / layout"),I275*K275,"Not applicable")</x:f>
        <x:v>Not applicable</x:v>
      </x:c>
      <x:c r="O275" s="7" t="s">
        <x:v>1937</x:v>
      </x:c>
      <x:c r="P275" s="7" t="s">
        <x:v>1921</x:v>
      </x:c>
      <x:c r="Q275" s="7" t="s">
        <x:v>2064</x:v>
      </x:c>
      <x:c r="R275" s="7" t="s">
        <x:v>2003</x:v>
      </x:c>
      <x:c r="S275" s="7" t="s">
        <x:v>2077</x:v>
      </x:c>
      <x:c r="T275" s="7" t="s">
        <x:v>2078</x:v>
      </x:c>
      <x:c r="U275" s="7" t="s">
        <x:v>53</x:v>
      </x:c>
      <x:c r="V275" s="7" t="s">
        <x:v>1999</x:v>
      </x:c>
      <x:c r="W275" s="7" t="s">
        <x:v>58</x:v>
      </x:c>
      <x:c r="X275" s="7" t="s">
        <x:v>2519</x:v>
      </x:c>
      <x:c r="Y275" s="7" t="s">
        <x:v>1169</x:v>
      </x:c>
      <x:c r="Z275" s="7" t="s">
        <x:v>2108</x:v>
      </x:c>
      <x:c r="AA275" s="7" t="s">
        <x:v>58</x:v>
      </x:c>
      <x:c r="AB275" s="8" t="s">
        <x:v>58</x:v>
      </x:c>
      <x:c r="AC275" s="8" t="s">
        <x:v>58</x:v>
      </x:c>
      <x:c r="AD275" s="8" t="s">
        <x:v>58</x:v>
      </x:c>
      <x:c r="AE275" s="8" t="s">
        <x:v>58</x:v>
      </x:c>
      <x:c r="AF275" s="8" t="s">
        <x:v>58</x:v>
      </x:c>
      <x:c r="AG275" s="7" t="s">
        <x:v>58</x:v>
      </x:c>
    </x:row>
    <x:row r="276" ht="79.5" hidden="0" customHeight="1">
      <x:c r="A276" s="7" t="s">
        <x:v>2530</x:v>
      </x:c>
      <x:c r="B276" s="7" t="s">
        <x:v>210</x:v>
      </x:c>
      <x:c r="C276" s="7" t="s">
        <x:v>212</x:v>
      </x:c>
      <x:c r="D276" s="7" t="s">
        <x:v>2006</x:v>
      </x:c>
      <x:c r="E276" s="7" t="s">
        <x:v>2531</x:v>
      </x:c>
      <x:c r="F276" s="7" t="s">
        <x:v>1929</x:v>
      </x:c>
      <x:c r="G276" s="8" t="n">
        <x:v>26</x:v>
      </x:c>
      <x:c r="H276" s="8" t="n">
        <x:v>3</x:v>
      </x:c>
      <x:c r="I276" s="8" t="s">
        <x:v>58</x:v>
      </x:c>
      <x:c r="J276" s="7" t="s">
        <x:v>1919</x:v>
      </x:c>
      <x:c r="K276" s="8" t="n">
        <x:v>1</x:v>
      </x:c>
      <x:c r="L276" s="8" t="n">
        <x:f aca="0">IF(AND(ISNUMBER(G276),P276&lt;&gt;"Unresolved unit / layout"),G276*K276,"Not applicable")</x:f>
        <x:v>26</x:v>
      </x:c>
      <x:c r="M276" s="8" t="n">
        <x:f aca="0">IF(AND(ISNUMBER(H276),P276&lt;&gt;"Unresolved unit / layout"),H276*K276,"Not applicable")</x:f>
        <x:v>3</x:v>
      </x:c>
      <x:c r="N276" s="8" t="str">
        <x:f aca="0">IF(AND(ISNUMBER(I276),P276&lt;&gt;"Unresolved unit / layout"),I276*K276,"Not applicable")</x:f>
        <x:v>Not applicable</x:v>
      </x:c>
      <x:c r="O276" s="7" t="s">
        <x:v>1929</x:v>
      </x:c>
      <x:c r="P276" s="7" t="s">
        <x:v>1921</x:v>
      </x:c>
      <x:c r="Q276" s="7" t="s">
        <x:v>2064</x:v>
      </x:c>
      <x:c r="R276" s="7" t="s">
        <x:v>1931</x:v>
      </x:c>
      <x:c r="S276" s="7" t="s">
        <x:v>2077</x:v>
      </x:c>
      <x:c r="T276" s="7" t="s">
        <x:v>2078</x:v>
      </x:c>
      <x:c r="U276" s="7" t="s">
        <x:v>53</x:v>
      </x:c>
      <x:c r="V276" s="7" t="s">
        <x:v>1999</x:v>
      </x:c>
      <x:c r="W276" s="7" t="s">
        <x:v>58</x:v>
      </x:c>
      <x:c r="X276" s="7" t="s">
        <x:v>2519</x:v>
      </x:c>
      <x:c r="Y276" s="7" t="s">
        <x:v>1169</x:v>
      </x:c>
      <x:c r="Z276" s="7" t="s">
        <x:v>2111</x:v>
      </x:c>
      <x:c r="AA276" s="7" t="s">
        <x:v>58</x:v>
      </x:c>
      <x:c r="AB276" s="8" t="s">
        <x:v>58</x:v>
      </x:c>
      <x:c r="AC276" s="8" t="s">
        <x:v>58</x:v>
      </x:c>
      <x:c r="AD276" s="8" t="s">
        <x:v>58</x:v>
      </x:c>
      <x:c r="AE276" s="8" t="s">
        <x:v>58</x:v>
      </x:c>
      <x:c r="AF276" s="8" t="s">
        <x:v>58</x:v>
      </x:c>
      <x:c r="AG276" s="7" t="s">
        <x:v>58</x:v>
      </x:c>
    </x:row>
    <x:row r="277" ht="79.5" hidden="0" customHeight="1">
      <x:c r="A277" s="7" t="s">
        <x:v>2532</x:v>
      </x:c>
      <x:c r="B277" s="7" t="s">
        <x:v>210</x:v>
      </x:c>
      <x:c r="C277" s="7" t="s">
        <x:v>212</x:v>
      </x:c>
      <x:c r="D277" s="7" t="s">
        <x:v>2006</x:v>
      </x:c>
      <x:c r="E277" s="7" t="s">
        <x:v>2533</x:v>
      </x:c>
      <x:c r="F277" s="7" t="s">
        <x:v>1929</x:v>
      </x:c>
      <x:c r="G277" s="8" t="n">
        <x:v>21</x:v>
      </x:c>
      <x:c r="H277" s="8" t="n">
        <x:v>4</x:v>
      </x:c>
      <x:c r="I277" s="8" t="s">
        <x:v>58</x:v>
      </x:c>
      <x:c r="J277" s="7" t="s">
        <x:v>1919</x:v>
      </x:c>
      <x:c r="K277" s="8" t="n">
        <x:v>1</x:v>
      </x:c>
      <x:c r="L277" s="8" t="n">
        <x:f aca="0">IF(AND(ISNUMBER(G277),P277&lt;&gt;"Unresolved unit / layout"),G277*K277,"Not applicable")</x:f>
        <x:v>21</x:v>
      </x:c>
      <x:c r="M277" s="8" t="n">
        <x:f aca="0">IF(AND(ISNUMBER(H277),P277&lt;&gt;"Unresolved unit / layout"),H277*K277,"Not applicable")</x:f>
        <x:v>4</x:v>
      </x:c>
      <x:c r="N277" s="8" t="str">
        <x:f aca="0">IF(AND(ISNUMBER(I277),P277&lt;&gt;"Unresolved unit / layout"),I277*K277,"Not applicable")</x:f>
        <x:v>Not applicable</x:v>
      </x:c>
      <x:c r="O277" s="7" t="s">
        <x:v>1929</x:v>
      </x:c>
      <x:c r="P277" s="7" t="s">
        <x:v>1921</x:v>
      </x:c>
      <x:c r="Q277" s="7" t="s">
        <x:v>2064</x:v>
      </x:c>
      <x:c r="R277" s="7" t="s">
        <x:v>2003</x:v>
      </x:c>
      <x:c r="S277" s="7" t="s">
        <x:v>2077</x:v>
      </x:c>
      <x:c r="T277" s="7" t="s">
        <x:v>2078</x:v>
      </x:c>
      <x:c r="U277" s="7" t="s">
        <x:v>53</x:v>
      </x:c>
      <x:c r="V277" s="7" t="s">
        <x:v>1999</x:v>
      </x:c>
      <x:c r="W277" s="7" t="s">
        <x:v>58</x:v>
      </x:c>
      <x:c r="X277" s="7" t="s">
        <x:v>2519</x:v>
      </x:c>
      <x:c r="Y277" s="7" t="s">
        <x:v>1169</x:v>
      </x:c>
      <x:c r="Z277" s="7" t="s">
        <x:v>2114</x:v>
      </x:c>
      <x:c r="AA277" s="7" t="s">
        <x:v>58</x:v>
      </x:c>
      <x:c r="AB277" s="8" t="s">
        <x:v>58</x:v>
      </x:c>
      <x:c r="AC277" s="8" t="s">
        <x:v>58</x:v>
      </x:c>
      <x:c r="AD277" s="8" t="s">
        <x:v>58</x:v>
      </x:c>
      <x:c r="AE277" s="8" t="s">
        <x:v>58</x:v>
      </x:c>
      <x:c r="AF277" s="8" t="s">
        <x:v>58</x:v>
      </x:c>
      <x:c r="AG277" s="7" t="s">
        <x:v>58</x:v>
      </x:c>
    </x:row>
    <x:row r="278" ht="79.5" hidden="0" customHeight="1">
      <x:c r="A278" s="7" t="s">
        <x:v>2534</x:v>
      </x:c>
      <x:c r="B278" s="7" t="s">
        <x:v>210</x:v>
      </x:c>
      <x:c r="C278" s="7" t="s">
        <x:v>212</x:v>
      </x:c>
      <x:c r="D278" s="7" t="s">
        <x:v>1940</x:v>
      </x:c>
      <x:c r="E278" s="7" t="s">
        <x:v>2535</x:v>
      </x:c>
      <x:c r="F278" s="7" t="s">
        <x:v>1942</x:v>
      </x:c>
      <x:c r="G278" s="8" t="n">
        <x:v>9.3</x:v>
      </x:c>
      <x:c r="H278" s="8" t="n">
        <x:v>1.1</x:v>
      </x:c>
      <x:c r="I278" s="8" t="s">
        <x:v>58</x:v>
      </x:c>
      <x:c r="J278" s="7" t="s">
        <x:v>1919</x:v>
      </x:c>
      <x:c r="K278" s="8" t="n">
        <x:v>1</x:v>
      </x:c>
      <x:c r="L278" s="8" t="n">
        <x:f aca="0">IF(AND(ISNUMBER(G278),P278&lt;&gt;"Unresolved unit / layout"),G278*K278,"Not applicable")</x:f>
        <x:v>9.3</x:v>
      </x:c>
      <x:c r="M278" s="8" t="n">
        <x:f aca="0">IF(AND(ISNUMBER(H278),P278&lt;&gt;"Unresolved unit / layout"),H278*K278,"Not applicable")</x:f>
        <x:v>1.1</x:v>
      </x:c>
      <x:c r="N278" s="8" t="str">
        <x:f aca="0">IF(AND(ISNUMBER(I278),P278&lt;&gt;"Unresolved unit / layout"),I278*K278,"Not applicable")</x:f>
        <x:v>Not applicable</x:v>
      </x:c>
      <x:c r="O278" s="7" t="s">
        <x:v>1942</x:v>
      </x:c>
      <x:c r="P278" s="7" t="s">
        <x:v>1921</x:v>
      </x:c>
      <x:c r="Q278" s="7" t="s">
        <x:v>2064</x:v>
      </x:c>
      <x:c r="R278" s="7" t="s">
        <x:v>1931</x:v>
      </x:c>
      <x:c r="S278" s="7" t="s">
        <x:v>2077</x:v>
      </x:c>
      <x:c r="T278" s="7" t="s">
        <x:v>2078</x:v>
      </x:c>
      <x:c r="U278" s="7" t="s">
        <x:v>53</x:v>
      </x:c>
      <x:c r="V278" s="7" t="s">
        <x:v>1999</x:v>
      </x:c>
      <x:c r="W278" s="7" t="s">
        <x:v>58</x:v>
      </x:c>
      <x:c r="X278" s="7" t="s">
        <x:v>2519</x:v>
      </x:c>
      <x:c r="Y278" s="7" t="s">
        <x:v>1169</x:v>
      </x:c>
      <x:c r="Z278" s="7" t="s">
        <x:v>2117</x:v>
      </x:c>
      <x:c r="AA278" s="7" t="s">
        <x:v>58</x:v>
      </x:c>
      <x:c r="AB278" s="8" t="s">
        <x:v>58</x:v>
      </x:c>
      <x:c r="AC278" s="8" t="s">
        <x:v>58</x:v>
      </x:c>
      <x:c r="AD278" s="8" t="s">
        <x:v>58</x:v>
      </x:c>
      <x:c r="AE278" s="8" t="s">
        <x:v>58</x:v>
      </x:c>
      <x:c r="AF278" s="8" t="s">
        <x:v>58</x:v>
      </x:c>
      <x:c r="AG278" s="7" t="s">
        <x:v>58</x:v>
      </x:c>
    </x:row>
    <x:row r="279" ht="79.5" hidden="0" customHeight="1">
      <x:c r="A279" s="7" t="s">
        <x:v>2536</x:v>
      </x:c>
      <x:c r="B279" s="7" t="s">
        <x:v>210</x:v>
      </x:c>
      <x:c r="C279" s="7" t="s">
        <x:v>212</x:v>
      </x:c>
      <x:c r="D279" s="7" t="s">
        <x:v>1940</x:v>
      </x:c>
      <x:c r="E279" s="7" t="s">
        <x:v>2537</x:v>
      </x:c>
      <x:c r="F279" s="7" t="s">
        <x:v>1942</x:v>
      </x:c>
      <x:c r="G279" s="8" t="n">
        <x:v>7.1</x:v>
      </x:c>
      <x:c r="H279" s="8" t="n">
        <x:v>0.9</x:v>
      </x:c>
      <x:c r="I279" s="8" t="s">
        <x:v>58</x:v>
      </x:c>
      <x:c r="J279" s="7" t="s">
        <x:v>1919</x:v>
      </x:c>
      <x:c r="K279" s="8" t="n">
        <x:v>1</x:v>
      </x:c>
      <x:c r="L279" s="8" t="n">
        <x:f aca="0">IF(AND(ISNUMBER(G279),P279&lt;&gt;"Unresolved unit / layout"),G279*K279,"Not applicable")</x:f>
        <x:v>7.1</x:v>
      </x:c>
      <x:c r="M279" s="8" t="n">
        <x:f aca="0">IF(AND(ISNUMBER(H279),P279&lt;&gt;"Unresolved unit / layout"),H279*K279,"Not applicable")</x:f>
        <x:v>0.9</x:v>
      </x:c>
      <x:c r="N279" s="8" t="str">
        <x:f aca="0">IF(AND(ISNUMBER(I279),P279&lt;&gt;"Unresolved unit / layout"),I279*K279,"Not applicable")</x:f>
        <x:v>Not applicable</x:v>
      </x:c>
      <x:c r="O279" s="7" t="s">
        <x:v>1942</x:v>
      </x:c>
      <x:c r="P279" s="7" t="s">
        <x:v>1921</x:v>
      </x:c>
      <x:c r="Q279" s="7" t="s">
        <x:v>2064</x:v>
      </x:c>
      <x:c r="R279" s="7" t="s">
        <x:v>2003</x:v>
      </x:c>
      <x:c r="S279" s="7" t="s">
        <x:v>2077</x:v>
      </x:c>
      <x:c r="T279" s="7" t="s">
        <x:v>2078</x:v>
      </x:c>
      <x:c r="U279" s="7" t="s">
        <x:v>53</x:v>
      </x:c>
      <x:c r="V279" s="7" t="s">
        <x:v>1999</x:v>
      </x:c>
      <x:c r="W279" s="7" t="s">
        <x:v>58</x:v>
      </x:c>
      <x:c r="X279" s="7" t="s">
        <x:v>2519</x:v>
      </x:c>
      <x:c r="Y279" s="7" t="s">
        <x:v>1169</x:v>
      </x:c>
      <x:c r="Z279" s="7" t="s">
        <x:v>2120</x:v>
      </x:c>
      <x:c r="AA279" s="7" t="s">
        <x:v>58</x:v>
      </x:c>
      <x:c r="AB279" s="8" t="s">
        <x:v>58</x:v>
      </x:c>
      <x:c r="AC279" s="8" t="s">
        <x:v>58</x:v>
      </x:c>
      <x:c r="AD279" s="8" t="s">
        <x:v>58</x:v>
      </x:c>
      <x:c r="AE279" s="8" t="s">
        <x:v>58</x:v>
      </x:c>
      <x:c r="AF279" s="8" t="s">
        <x:v>58</x:v>
      </x:c>
      <x:c r="AG279" s="7" t="s">
        <x:v>58</x:v>
      </x:c>
    </x:row>
    <x:row r="280" ht="79.5" hidden="0" customHeight="1">
      <x:c r="A280" s="7" t="s">
        <x:v>2538</x:v>
      </x:c>
      <x:c r="B280" s="7" t="s">
        <x:v>210</x:v>
      </x:c>
      <x:c r="C280" s="7" t="s">
        <x:v>212</x:v>
      </x:c>
      <x:c r="D280" s="7" t="s">
        <x:v>1950</x:v>
      </x:c>
      <x:c r="E280" s="7" t="s">
        <x:v>2539</x:v>
      </x:c>
      <x:c r="F280" s="7" t="s">
        <x:v>1929</x:v>
      </x:c>
      <x:c r="G280" s="8" t="n">
        <x:v>2200</x:v>
      </x:c>
      <x:c r="H280" s="8" t="n">
        <x:v>120</x:v>
      </x:c>
      <x:c r="I280" s="8" t="s">
        <x:v>58</x:v>
      </x:c>
      <x:c r="J280" s="7" t="s">
        <x:v>1919</x:v>
      </x:c>
      <x:c r="K280" s="8" t="n">
        <x:v>0.001</x:v>
      </x:c>
      <x:c r="L280" s="8" t="n">
        <x:f aca="0">IF(AND(ISNUMBER(G280),P280&lt;&gt;"Unresolved unit / layout"),G280*K280,"Not applicable")</x:f>
        <x:v>2.2</x:v>
      </x:c>
      <x:c r="M280" s="8" t="n">
        <x:f aca="0">IF(AND(ISNUMBER(H280),P280&lt;&gt;"Unresolved unit / layout"),H280*K280,"Not applicable")</x:f>
        <x:v>0.12</x:v>
      </x:c>
      <x:c r="N280" s="8" t="str">
        <x:f aca="0">IF(AND(ISNUMBER(I280),P280&lt;&gt;"Unresolved unit / layout"),I280*K280,"Not applicable")</x:f>
        <x:v>Not applicable</x:v>
      </x:c>
      <x:c r="O280" s="7" t="s">
        <x:v>1937</x:v>
      </x:c>
      <x:c r="P280" s="7" t="s">
        <x:v>1921</x:v>
      </x:c>
      <x:c r="Q280" s="7" t="s">
        <x:v>2064</x:v>
      </x:c>
      <x:c r="R280" s="7" t="s">
        <x:v>1931</x:v>
      </x:c>
      <x:c r="S280" s="7" t="s">
        <x:v>2077</x:v>
      </x:c>
      <x:c r="T280" s="7" t="s">
        <x:v>2078</x:v>
      </x:c>
      <x:c r="U280" s="7" t="s">
        <x:v>53</x:v>
      </x:c>
      <x:c r="V280" s="7" t="s">
        <x:v>2020</x:v>
      </x:c>
      <x:c r="W280" s="7" t="s">
        <x:v>58</x:v>
      </x:c>
      <x:c r="X280" s="7" t="s">
        <x:v>2519</x:v>
      </x:c>
      <x:c r="Y280" s="7" t="s">
        <x:v>1169</x:v>
      </x:c>
      <x:c r="Z280" s="7" t="s">
        <x:v>2123</x:v>
      </x:c>
      <x:c r="AA280" s="7" t="s">
        <x:v>58</x:v>
      </x:c>
      <x:c r="AB280" s="8" t="s">
        <x:v>58</x:v>
      </x:c>
      <x:c r="AC280" s="8" t="s">
        <x:v>58</x:v>
      </x:c>
      <x:c r="AD280" s="8" t="s">
        <x:v>58</x:v>
      </x:c>
      <x:c r="AE280" s="8" t="s">
        <x:v>58</x:v>
      </x:c>
      <x:c r="AF280" s="8" t="s">
        <x:v>58</x:v>
      </x:c>
      <x:c r="AG280" s="7" t="s">
        <x:v>58</x:v>
      </x:c>
    </x:row>
    <x:row r="281" ht="79.5" hidden="0" customHeight="1">
      <x:c r="A281" s="7" t="s">
        <x:v>2540</x:v>
      </x:c>
      <x:c r="B281" s="7" t="s">
        <x:v>210</x:v>
      </x:c>
      <x:c r="C281" s="7" t="s">
        <x:v>212</x:v>
      </x:c>
      <x:c r="D281" s="7" t="s">
        <x:v>1950</x:v>
      </x:c>
      <x:c r="E281" s="7" t="s">
        <x:v>2321</x:v>
      </x:c>
      <x:c r="F281" s="7" t="s">
        <x:v>1929</x:v>
      </x:c>
      <x:c r="G281" s="8" t="n">
        <x:v>1850</x:v>
      </x:c>
      <x:c r="H281" s="8" t="n">
        <x:v>140</x:v>
      </x:c>
      <x:c r="I281" s="8" t="s">
        <x:v>58</x:v>
      </x:c>
      <x:c r="J281" s="7" t="s">
        <x:v>1919</x:v>
      </x:c>
      <x:c r="K281" s="8" t="n">
        <x:v>0.001</x:v>
      </x:c>
      <x:c r="L281" s="8" t="n">
        <x:f aca="0">IF(AND(ISNUMBER(G281),P281&lt;&gt;"Unresolved unit / layout"),G281*K281,"Not applicable")</x:f>
        <x:v>1.85</x:v>
      </x:c>
      <x:c r="M281" s="8" t="n">
        <x:f aca="0">IF(AND(ISNUMBER(H281),P281&lt;&gt;"Unresolved unit / layout"),H281*K281,"Not applicable")</x:f>
        <x:v>0.14</x:v>
      </x:c>
      <x:c r="N281" s="8" t="str">
        <x:f aca="0">IF(AND(ISNUMBER(I281),P281&lt;&gt;"Unresolved unit / layout"),I281*K281,"Not applicable")</x:f>
        <x:v>Not applicable</x:v>
      </x:c>
      <x:c r="O281" s="7" t="s">
        <x:v>1937</x:v>
      </x:c>
      <x:c r="P281" s="7" t="s">
        <x:v>1921</x:v>
      </x:c>
      <x:c r="Q281" s="7" t="s">
        <x:v>2064</x:v>
      </x:c>
      <x:c r="R281" s="7" t="s">
        <x:v>2003</x:v>
      </x:c>
      <x:c r="S281" s="7" t="s">
        <x:v>2077</x:v>
      </x:c>
      <x:c r="T281" s="7" t="s">
        <x:v>2078</x:v>
      </x:c>
      <x:c r="U281" s="7" t="s">
        <x:v>53</x:v>
      </x:c>
      <x:c r="V281" s="7" t="s">
        <x:v>2020</x:v>
      </x:c>
      <x:c r="W281" s="7" t="s">
        <x:v>58</x:v>
      </x:c>
      <x:c r="X281" s="7" t="s">
        <x:v>2519</x:v>
      </x:c>
      <x:c r="Y281" s="7" t="s">
        <x:v>1169</x:v>
      </x:c>
      <x:c r="Z281" s="7" t="s">
        <x:v>2210</x:v>
      </x:c>
      <x:c r="AA281" s="7" t="s">
        <x:v>58</x:v>
      </x:c>
      <x:c r="AB281" s="8" t="s">
        <x:v>58</x:v>
      </x:c>
      <x:c r="AC281" s="8" t="s">
        <x:v>58</x:v>
      </x:c>
      <x:c r="AD281" s="8" t="s">
        <x:v>58</x:v>
      </x:c>
      <x:c r="AE281" s="8" t="s">
        <x:v>58</x:v>
      </x:c>
      <x:c r="AF281" s="8" t="s">
        <x:v>58</x:v>
      </x:c>
      <x:c r="AG281" s="7" t="s">
        <x:v>58</x:v>
      </x:c>
    </x:row>
    <x:row r="282" ht="79.5" hidden="0" customHeight="1">
      <x:c r="A282" s="7" t="s">
        <x:v>2541</x:v>
      </x:c>
      <x:c r="B282" s="7" t="s">
        <x:v>210</x:v>
      </x:c>
      <x:c r="C282" s="7" t="s">
        <x:v>212</x:v>
      </x:c>
      <x:c r="D282" s="7" t="s">
        <x:v>1945</x:v>
      </x:c>
      <x:c r="E282" s="7" t="s">
        <x:v>2542</x:v>
      </x:c>
      <x:c r="F282" s="7" t="s">
        <x:v>1929</x:v>
      </x:c>
      <x:c r="G282" s="8" t="n">
        <x:v>58</x:v>
      </x:c>
      <x:c r="H282" s="8" t="n">
        <x:v>3</x:v>
      </x:c>
      <x:c r="I282" s="8" t="s">
        <x:v>58</x:v>
      </x:c>
      <x:c r="J282" s="7" t="s">
        <x:v>1919</x:v>
      </x:c>
      <x:c r="K282" s="8" t="n">
        <x:v>1</x:v>
      </x:c>
      <x:c r="L282" s="8" t="n">
        <x:f aca="0">IF(AND(ISNUMBER(G282),P282&lt;&gt;"Unresolved unit / layout"),G282*K282,"Not applicable")</x:f>
        <x:v>58</x:v>
      </x:c>
      <x:c r="M282" s="8" t="n">
        <x:f aca="0">IF(AND(ISNUMBER(H282),P282&lt;&gt;"Unresolved unit / layout"),H282*K282,"Not applicable")</x:f>
        <x:v>3</x:v>
      </x:c>
      <x:c r="N282" s="8" t="str">
        <x:f aca="0">IF(AND(ISNUMBER(I282),P282&lt;&gt;"Unresolved unit / layout"),I282*K282,"Not applicable")</x:f>
        <x:v>Not applicable</x:v>
      </x:c>
      <x:c r="O282" s="7" t="s">
        <x:v>1929</x:v>
      </x:c>
      <x:c r="P282" s="7" t="s">
        <x:v>1921</x:v>
      </x:c>
      <x:c r="Q282" s="7" t="s">
        <x:v>2064</x:v>
      </x:c>
      <x:c r="R282" s="7" t="s">
        <x:v>1931</x:v>
      </x:c>
      <x:c r="S282" s="7" t="s">
        <x:v>2077</x:v>
      </x:c>
      <x:c r="T282" s="7" t="s">
        <x:v>2078</x:v>
      </x:c>
      <x:c r="U282" s="7" t="s">
        <x:v>53</x:v>
      </x:c>
      <x:c r="V282" s="7" t="s">
        <x:v>2020</x:v>
      </x:c>
      <x:c r="W282" s="7" t="s">
        <x:v>58</x:v>
      </x:c>
      <x:c r="X282" s="7" t="s">
        <x:v>2519</x:v>
      </x:c>
      <x:c r="Y282" s="7" t="s">
        <x:v>1169</x:v>
      </x:c>
      <x:c r="Z282" s="7" t="s">
        <x:v>2213</x:v>
      </x:c>
      <x:c r="AA282" s="7" t="s">
        <x:v>58</x:v>
      </x:c>
      <x:c r="AB282" s="8" t="s">
        <x:v>58</x:v>
      </x:c>
      <x:c r="AC282" s="8" t="s">
        <x:v>58</x:v>
      </x:c>
      <x:c r="AD282" s="8" t="s">
        <x:v>58</x:v>
      </x:c>
      <x:c r="AE282" s="8" t="s">
        <x:v>58</x:v>
      </x:c>
      <x:c r="AF282" s="8" t="s">
        <x:v>58</x:v>
      </x:c>
      <x:c r="AG282" s="7" t="s">
        <x:v>58</x:v>
      </x:c>
    </x:row>
    <x:row r="283" ht="79.5" hidden="0" customHeight="1">
      <x:c r="A283" s="7" t="s">
        <x:v>2543</x:v>
      </x:c>
      <x:c r="B283" s="7" t="s">
        <x:v>210</x:v>
      </x:c>
      <x:c r="C283" s="7" t="s">
        <x:v>212</x:v>
      </x:c>
      <x:c r="D283" s="7" t="s">
        <x:v>1945</x:v>
      </x:c>
      <x:c r="E283" s="7" t="s">
        <x:v>2544</x:v>
      </x:c>
      <x:c r="F283" s="7" t="s">
        <x:v>1929</x:v>
      </x:c>
      <x:c r="G283" s="8" t="n">
        <x:v>37</x:v>
      </x:c>
      <x:c r="H283" s="8" t="n">
        <x:v>3</x:v>
      </x:c>
      <x:c r="I283" s="8" t="s">
        <x:v>58</x:v>
      </x:c>
      <x:c r="J283" s="7" t="s">
        <x:v>1919</x:v>
      </x:c>
      <x:c r="K283" s="8" t="n">
        <x:v>1</x:v>
      </x:c>
      <x:c r="L283" s="8" t="n">
        <x:f aca="0">IF(AND(ISNUMBER(G283),P283&lt;&gt;"Unresolved unit / layout"),G283*K283,"Not applicable")</x:f>
        <x:v>37</x:v>
      </x:c>
      <x:c r="M283" s="8" t="n">
        <x:f aca="0">IF(AND(ISNUMBER(H283),P283&lt;&gt;"Unresolved unit / layout"),H283*K283,"Not applicable")</x:f>
        <x:v>3</x:v>
      </x:c>
      <x:c r="N283" s="8" t="str">
        <x:f aca="0">IF(AND(ISNUMBER(I283),P283&lt;&gt;"Unresolved unit / layout"),I283*K283,"Not applicable")</x:f>
        <x:v>Not applicable</x:v>
      </x:c>
      <x:c r="O283" s="7" t="s">
        <x:v>1929</x:v>
      </x:c>
      <x:c r="P283" s="7" t="s">
        <x:v>1921</x:v>
      </x:c>
      <x:c r="Q283" s="7" t="s">
        <x:v>2064</x:v>
      </x:c>
      <x:c r="R283" s="7" t="s">
        <x:v>2003</x:v>
      </x:c>
      <x:c r="S283" s="7" t="s">
        <x:v>2077</x:v>
      </x:c>
      <x:c r="T283" s="7" t="s">
        <x:v>2078</x:v>
      </x:c>
      <x:c r="U283" s="7" t="s">
        <x:v>53</x:v>
      </x:c>
      <x:c r="V283" s="7" t="s">
        <x:v>2020</x:v>
      </x:c>
      <x:c r="W283" s="7" t="s">
        <x:v>58</x:v>
      </x:c>
      <x:c r="X283" s="7" t="s">
        <x:v>2519</x:v>
      </x:c>
      <x:c r="Y283" s="7" t="s">
        <x:v>1169</x:v>
      </x:c>
      <x:c r="Z283" s="7" t="s">
        <x:v>2216</x:v>
      </x:c>
      <x:c r="AA283" s="7" t="s">
        <x:v>58</x:v>
      </x:c>
      <x:c r="AB283" s="8" t="s">
        <x:v>58</x:v>
      </x:c>
      <x:c r="AC283" s="8" t="s">
        <x:v>58</x:v>
      </x:c>
      <x:c r="AD283" s="8" t="s">
        <x:v>58</x:v>
      </x:c>
      <x:c r="AE283" s="8" t="s">
        <x:v>58</x:v>
      </x:c>
      <x:c r="AF283" s="8" t="s">
        <x:v>58</x:v>
      </x:c>
      <x:c r="AG283" s="7" t="s">
        <x:v>58</x:v>
      </x:c>
    </x:row>
    <x:row r="284" ht="79.5" hidden="0" customHeight="1">
      <x:c r="A284" s="7" t="s">
        <x:v>2545</x:v>
      </x:c>
      <x:c r="B284" s="7" t="s">
        <x:v>210</x:v>
      </x:c>
      <x:c r="C284" s="7" t="s">
        <x:v>212</x:v>
      </x:c>
      <x:c r="D284" s="7" t="s">
        <x:v>2030</x:v>
      </x:c>
      <x:c r="E284" s="7" t="s">
        <x:v>2546</x:v>
      </x:c>
      <x:c r="F284" s="7" t="s">
        <x:v>2033</x:v>
      </x:c>
      <x:c r="G284" s="8" t="n">
        <x:v>55.4</x:v>
      </x:c>
      <x:c r="H284" s="8" t="n">
        <x:v>3.7</x:v>
      </x:c>
      <x:c r="I284" s="8" t="s">
        <x:v>58</x:v>
      </x:c>
      <x:c r="J284" s="7" t="s">
        <x:v>1919</x:v>
      </x:c>
      <x:c r="K284" s="8" t="n">
        <x:v>1</x:v>
      </x:c>
      <x:c r="L284" s="8" t="n">
        <x:f aca="0">IF(AND(ISNUMBER(G284),P284&lt;&gt;"Unresolved unit / layout"),G284*K284,"Not applicable")</x:f>
        <x:v>55.4</x:v>
      </x:c>
      <x:c r="M284" s="8" t="n">
        <x:f aca="0">IF(AND(ISNUMBER(H284),P284&lt;&gt;"Unresolved unit / layout"),H284*K284,"Not applicable")</x:f>
        <x:v>3.7</x:v>
      </x:c>
      <x:c r="N284" s="8" t="str">
        <x:f aca="0">IF(AND(ISNUMBER(I284),P284&lt;&gt;"Unresolved unit / layout"),I284*K284,"Not applicable")</x:f>
        <x:v>Not applicable</x:v>
      </x:c>
      <x:c r="O284" s="7" t="s">
        <x:v>2033</x:v>
      </x:c>
      <x:c r="P284" s="7" t="s">
        <x:v>1921</x:v>
      </x:c>
      <x:c r="Q284" s="7" t="s">
        <x:v>2064</x:v>
      </x:c>
      <x:c r="R284" s="7" t="s">
        <x:v>1931</x:v>
      </x:c>
      <x:c r="S284" s="7" t="s">
        <x:v>2077</x:v>
      </x:c>
      <x:c r="T284" s="7" t="s">
        <x:v>2078</x:v>
      </x:c>
      <x:c r="U284" s="7" t="s">
        <x:v>53</x:v>
      </x:c>
      <x:c r="V284" s="7" t="s">
        <x:v>2036</x:v>
      </x:c>
      <x:c r="W284" s="7" t="s">
        <x:v>53</x:v>
      </x:c>
      <x:c r="X284" s="7" t="s">
        <x:v>2519</x:v>
      </x:c>
      <x:c r="Y284" s="7" t="s">
        <x:v>1169</x:v>
      </x:c>
      <x:c r="Z284" s="7" t="s">
        <x:v>2378</x:v>
      </x:c>
      <x:c r="AA284" s="7" t="s">
        <x:v>58</x:v>
      </x:c>
      <x:c r="AB284" s="8" t="s">
        <x:v>58</x:v>
      </x:c>
      <x:c r="AC284" s="8" t="s">
        <x:v>58</x:v>
      </x:c>
      <x:c r="AD284" s="8" t="s">
        <x:v>58</x:v>
      </x:c>
      <x:c r="AE284" s="8" t="s">
        <x:v>58</x:v>
      </x:c>
      <x:c r="AF284" s="8" t="s">
        <x:v>58</x:v>
      </x:c>
      <x:c r="AG284" s="7" t="s">
        <x:v>58</x:v>
      </x:c>
    </x:row>
    <x:row r="285" ht="79.5" hidden="0" customHeight="1">
      <x:c r="A285" s="7" t="s">
        <x:v>2547</x:v>
      </x:c>
      <x:c r="B285" s="7" t="s">
        <x:v>210</x:v>
      </x:c>
      <x:c r="C285" s="7" t="s">
        <x:v>212</x:v>
      </x:c>
      <x:c r="D285" s="7" t="s">
        <x:v>2030</x:v>
      </x:c>
      <x:c r="E285" s="7" t="s">
        <x:v>2548</x:v>
      </x:c>
      <x:c r="F285" s="7" t="s">
        <x:v>2033</x:v>
      </x:c>
      <x:c r="G285" s="8" t="n">
        <x:v>5.8</x:v>
      </x:c>
      <x:c r="H285" s="8" t="n">
        <x:v>1.2</x:v>
      </x:c>
      <x:c r="I285" s="8" t="s">
        <x:v>58</x:v>
      </x:c>
      <x:c r="J285" s="7" t="s">
        <x:v>1919</x:v>
      </x:c>
      <x:c r="K285" s="8" t="n">
        <x:v>1</x:v>
      </x:c>
      <x:c r="L285" s="8" t="n">
        <x:f aca="0">IF(AND(ISNUMBER(G285),P285&lt;&gt;"Unresolved unit / layout"),G285*K285,"Not applicable")</x:f>
        <x:v>5.8</x:v>
      </x:c>
      <x:c r="M285" s="8" t="n">
        <x:f aca="0">IF(AND(ISNUMBER(H285),P285&lt;&gt;"Unresolved unit / layout"),H285*K285,"Not applicable")</x:f>
        <x:v>1.2</x:v>
      </x:c>
      <x:c r="N285" s="8" t="str">
        <x:f aca="0">IF(AND(ISNUMBER(I285),P285&lt;&gt;"Unresolved unit / layout"),I285*K285,"Not applicable")</x:f>
        <x:v>Not applicable</x:v>
      </x:c>
      <x:c r="O285" s="7" t="s">
        <x:v>2033</x:v>
      </x:c>
      <x:c r="P285" s="7" t="s">
        <x:v>1921</x:v>
      </x:c>
      <x:c r="Q285" s="7" t="s">
        <x:v>2064</x:v>
      </x:c>
      <x:c r="R285" s="7" t="s">
        <x:v>2003</x:v>
      </x:c>
      <x:c r="S285" s="7" t="s">
        <x:v>2077</x:v>
      </x:c>
      <x:c r="T285" s="7" t="s">
        <x:v>2078</x:v>
      </x:c>
      <x:c r="U285" s="7" t="s">
        <x:v>53</x:v>
      </x:c>
      <x:c r="V285" s="7" t="s">
        <x:v>2343</x:v>
      </x:c>
      <x:c r="W285" s="7" t="s">
        <x:v>53</x:v>
      </x:c>
      <x:c r="X285" s="7" t="s">
        <x:v>2519</x:v>
      </x:c>
      <x:c r="Y285" s="7" t="s">
        <x:v>1169</x:v>
      </x:c>
      <x:c r="Z285" s="7" t="s">
        <x:v>2225</x:v>
      </x:c>
      <x:c r="AA285" s="7" t="s">
        <x:v>58</x:v>
      </x:c>
      <x:c r="AB285" s="8" t="s">
        <x:v>58</x:v>
      </x:c>
      <x:c r="AC285" s="8" t="s">
        <x:v>58</x:v>
      </x:c>
      <x:c r="AD285" s="8" t="s">
        <x:v>58</x:v>
      </x:c>
      <x:c r="AE285" s="8" t="s">
        <x:v>58</x:v>
      </x:c>
      <x:c r="AF285" s="8" t="s">
        <x:v>58</x:v>
      </x:c>
      <x:c r="AG285" s="7" t="s">
        <x:v>58</x:v>
      </x:c>
    </x:row>
    <x:row r="286" ht="79.5" hidden="0" customHeight="1">
      <x:c r="A286" s="7" t="s">
        <x:v>2549</x:v>
      </x:c>
      <x:c r="B286" s="7" t="s">
        <x:v>219</x:v>
      </x:c>
      <x:c r="C286" s="7" t="s">
        <x:v>221</x:v>
      </x:c>
      <x:c r="D286" s="7" t="s">
        <x:v>1916</x:v>
      </x:c>
      <x:c r="E286" s="7" t="s">
        <x:v>2448</x:v>
      </x:c>
      <x:c r="F286" s="7" t="s">
        <x:v>2076</x:v>
      </x:c>
      <x:c r="G286" s="8" t="n">
        <x:v>1.26</x:v>
      </x:c>
      <x:c r="H286" s="8" t="s">
        <x:v>58</x:v>
      </x:c>
      <x:c r="I286" s="8" t="s">
        <x:v>58</x:v>
      </x:c>
      <x:c r="J286" s="7" t="s">
        <x:v>1919</x:v>
      </x:c>
      <x:c r="K286" s="8" t="n">
        <x:v>1000</x:v>
      </x:c>
      <x:c r="L286" s="8" t="n">
        <x:f aca="0">IF(AND(ISNUMBER(G286),P286&lt;&gt;"Unresolved unit / layout"),G286*K286,"Not applicable")</x:f>
        <x:v>1260</x:v>
      </x:c>
      <x:c r="M286" s="8" t="str">
        <x:f aca="0">IF(AND(ISNUMBER(H286),P286&lt;&gt;"Unresolved unit / layout"),H286*K286,"Not applicable")</x:f>
        <x:v>Not applicable</x:v>
      </x:c>
      <x:c r="N286" s="8" t="str">
        <x:f aca="0">IF(AND(ISNUMBER(I286),P286&lt;&gt;"Unresolved unit / layout"),I286*K286,"Not applicable")</x:f>
        <x:v>Not applicable</x:v>
      </x:c>
      <x:c r="O286" s="7" t="s">
        <x:v>1920</x:v>
      </x:c>
      <x:c r="P286" s="7" t="s">
        <x:v>1921</x:v>
      </x:c>
      <x:c r="Q286" s="7" t="s">
        <x:v>1922</x:v>
      </x:c>
      <x:c r="R286" s="7" t="s">
        <x:v>58</x:v>
      </x:c>
      <x:c r="S286" s="7" t="s">
        <x:v>2077</x:v>
      </x:c>
      <x:c r="T286" s="7" t="s">
        <x:v>2078</x:v>
      </x:c>
      <x:c r="U286" s="7" t="s">
        <x:v>53</x:v>
      </x:c>
      <x:c r="V286" s="7" t="s">
        <x:v>1923</x:v>
      </x:c>
      <x:c r="W286" s="7" t="s">
        <x:v>58</x:v>
      </x:c>
      <x:c r="X286" s="7" t="s">
        <x:v>2550</x:v>
      </x:c>
      <x:c r="Y286" s="7" t="s">
        <x:v>1170</x:v>
      </x:c>
      <x:c r="Z286" s="7" t="s">
        <x:v>1968</x:v>
      </x:c>
      <x:c r="AA286" s="7" t="s">
        <x:v>58</x:v>
      </x:c>
      <x:c r="AB286" s="8" t="s">
        <x:v>58</x:v>
      </x:c>
      <x:c r="AC286" s="8" t="s">
        <x:v>58</x:v>
      </x:c>
      <x:c r="AD286" s="8" t="s">
        <x:v>58</x:v>
      </x:c>
      <x:c r="AE286" s="8" t="s">
        <x:v>58</x:v>
      </x:c>
      <x:c r="AF286" s="8" t="s">
        <x:v>58</x:v>
      </x:c>
      <x:c r="AG286" s="7" t="s">
        <x:v>58</x:v>
      </x:c>
    </x:row>
    <x:row r="287" ht="79.5" hidden="0" customHeight="1">
      <x:c r="A287" s="7" t="s">
        <x:v>2551</x:v>
      </x:c>
      <x:c r="B287" s="7" t="s">
        <x:v>219</x:v>
      </x:c>
      <x:c r="C287" s="7" t="s">
        <x:v>221</x:v>
      </x:c>
      <x:c r="D287" s="7" t="s">
        <x:v>1974</x:v>
      </x:c>
      <x:c r="E287" s="7" t="s">
        <x:v>2552</x:v>
      </x:c>
      <x:c r="F287" s="7" t="s">
        <x:v>1956</x:v>
      </x:c>
      <x:c r="G287" s="8" t="n">
        <x:v>155</x:v>
      </x:c>
      <x:c r="H287" s="8" t="s">
        <x:v>58</x:v>
      </x:c>
      <x:c r="I287" s="8" t="s">
        <x:v>58</x:v>
      </x:c>
      <x:c r="J287" s="7" t="s">
        <x:v>1919</x:v>
      </x:c>
      <x:c r="K287" s="8" t="n">
        <x:v>1</x:v>
      </x:c>
      <x:c r="L287" s="8" t="n">
        <x:f aca="0">IF(AND(ISNUMBER(G287),P287&lt;&gt;"Unresolved unit / layout"),G287*K287,"Not applicable")</x:f>
        <x:v>155</x:v>
      </x:c>
      <x:c r="M287" s="8" t="str">
        <x:f aca="0">IF(AND(ISNUMBER(H287),P287&lt;&gt;"Unresolved unit / layout"),H287*K287,"Not applicable")</x:f>
        <x:v>Not applicable</x:v>
      </x:c>
      <x:c r="N287" s="8" t="str">
        <x:f aca="0">IF(AND(ISNUMBER(I287),P287&lt;&gt;"Unresolved unit / layout"),I287*K287,"Not applicable")</x:f>
        <x:v>Not applicable</x:v>
      </x:c>
      <x:c r="O287" s="7" t="s">
        <x:v>1956</x:v>
      </x:c>
      <x:c r="P287" s="7" t="s">
        <x:v>1921</x:v>
      </x:c>
      <x:c r="Q287" s="7" t="s">
        <x:v>1930</x:v>
      </x:c>
      <x:c r="R287" s="7" t="s">
        <x:v>58</x:v>
      </x:c>
      <x:c r="S287" s="7" t="s">
        <x:v>2077</x:v>
      </x:c>
      <x:c r="T287" s="7" t="s">
        <x:v>2078</x:v>
      </x:c>
      <x:c r="U287" s="7" t="s">
        <x:v>53</x:v>
      </x:c>
      <x:c r="V287" s="7" t="s">
        <x:v>2082</x:v>
      </x:c>
      <x:c r="W287" s="7" t="s">
        <x:v>58</x:v>
      </x:c>
      <x:c r="X287" s="7" t="s">
        <x:v>2550</x:v>
      </x:c>
      <x:c r="Y287" s="7" t="s">
        <x:v>1170</x:v>
      </x:c>
      <x:c r="Z287" s="7" t="s">
        <x:v>2083</x:v>
      </x:c>
      <x:c r="AA287" s="7" t="s">
        <x:v>58</x:v>
      </x:c>
      <x:c r="AB287" s="8" t="s">
        <x:v>58</x:v>
      </x:c>
      <x:c r="AC287" s="8" t="s">
        <x:v>58</x:v>
      </x:c>
      <x:c r="AD287" s="8" t="s">
        <x:v>58</x:v>
      </x:c>
      <x:c r="AE287" s="8" t="s">
        <x:v>58</x:v>
      </x:c>
      <x:c r="AF287" s="8" t="s">
        <x:v>58</x:v>
      </x:c>
      <x:c r="AG287" s="7" t="s">
        <x:v>58</x:v>
      </x:c>
    </x:row>
    <x:row r="288" ht="79.5" hidden="0" customHeight="1">
      <x:c r="A288" s="7" t="s">
        <x:v>2553</x:v>
      </x:c>
      <x:c r="B288" s="7" t="s">
        <x:v>219</x:v>
      </x:c>
      <x:c r="C288" s="7" t="s">
        <x:v>221</x:v>
      </x:c>
      <x:c r="D288" s="7" t="s">
        <x:v>1954</x:v>
      </x:c>
      <x:c r="E288" s="7" t="s">
        <x:v>2456</x:v>
      </x:c>
      <x:c r="F288" s="7" t="s">
        <x:v>1956</x:v>
      </x:c>
      <x:c r="G288" s="8" t="n">
        <x:v>55</x:v>
      </x:c>
      <x:c r="H288" s="8" t="s">
        <x:v>58</x:v>
      </x:c>
      <x:c r="I288" s="8" t="s">
        <x:v>58</x:v>
      </x:c>
      <x:c r="J288" s="7" t="s">
        <x:v>1919</x:v>
      </x:c>
      <x:c r="K288" s="8" t="n">
        <x:v>1</x:v>
      </x:c>
      <x:c r="L288" s="8" t="n">
        <x:f aca="0">IF(AND(ISNUMBER(G288),P288&lt;&gt;"Unresolved unit / layout"),G288*K288,"Not applicable")</x:f>
        <x:v>55</x:v>
      </x:c>
      <x:c r="M288" s="8" t="str">
        <x:f aca="0">IF(AND(ISNUMBER(H288),P288&lt;&gt;"Unresolved unit / layout"),H288*K288,"Not applicable")</x:f>
        <x:v>Not applicable</x:v>
      </x:c>
      <x:c r="N288" s="8" t="str">
        <x:f aca="0">IF(AND(ISNUMBER(I288),P288&lt;&gt;"Unresolved unit / layout"),I288*K288,"Not applicable")</x:f>
        <x:v>Not applicable</x:v>
      </x:c>
      <x:c r="O288" s="7" t="s">
        <x:v>1956</x:v>
      </x:c>
      <x:c r="P288" s="7" t="s">
        <x:v>1921</x:v>
      </x:c>
      <x:c r="Q288" s="7" t="s">
        <x:v>1930</x:v>
      </x:c>
      <x:c r="R288" s="7" t="s">
        <x:v>58</x:v>
      </x:c>
      <x:c r="S288" s="7" t="s">
        <x:v>2077</x:v>
      </x:c>
      <x:c r="T288" s="7" t="s">
        <x:v>2078</x:v>
      </x:c>
      <x:c r="U288" s="7" t="s">
        <x:v>53</x:v>
      </x:c>
      <x:c r="V288" s="7" t="s">
        <x:v>2082</x:v>
      </x:c>
      <x:c r="W288" s="7" t="s">
        <x:v>58</x:v>
      </x:c>
      <x:c r="X288" s="7" t="s">
        <x:v>2550</x:v>
      </x:c>
      <x:c r="Y288" s="7" t="s">
        <x:v>1170</x:v>
      </x:c>
      <x:c r="Z288" s="7" t="s">
        <x:v>2086</x:v>
      </x:c>
      <x:c r="AA288" s="7" t="s">
        <x:v>58</x:v>
      </x:c>
      <x:c r="AB288" s="8" t="s">
        <x:v>58</x:v>
      </x:c>
      <x:c r="AC288" s="8" t="s">
        <x:v>58</x:v>
      </x:c>
      <x:c r="AD288" s="8" t="s">
        <x:v>58</x:v>
      </x:c>
      <x:c r="AE288" s="8" t="s">
        <x:v>58</x:v>
      </x:c>
      <x:c r="AF288" s="8" t="s">
        <x:v>58</x:v>
      </x:c>
      <x:c r="AG288" s="7" t="s">
        <x:v>58</x:v>
      </x:c>
    </x:row>
    <x:row r="289" ht="79.5" hidden="0" customHeight="1">
      <x:c r="A289" s="7" t="s">
        <x:v>2554</x:v>
      </x:c>
      <x:c r="B289" s="7" t="s">
        <x:v>219</x:v>
      </x:c>
      <x:c r="C289" s="7" t="s">
        <x:v>221</x:v>
      </x:c>
      <x:c r="D289" s="7" t="s">
        <x:v>1982</x:v>
      </x:c>
      <x:c r="E289" s="7" t="s">
        <x:v>2316</x:v>
      </x:c>
      <x:c r="F289" s="7" t="s">
        <x:v>1956</x:v>
      </x:c>
      <x:c r="G289" s="8" t="n">
        <x:v>56</x:v>
      </x:c>
      <x:c r="H289" s="8" t="s">
        <x:v>58</x:v>
      </x:c>
      <x:c r="I289" s="8" t="s">
        <x:v>58</x:v>
      </x:c>
      <x:c r="J289" s="7" t="s">
        <x:v>1919</x:v>
      </x:c>
      <x:c r="K289" s="8" t="n">
        <x:v>1</x:v>
      </x:c>
      <x:c r="L289" s="8" t="n">
        <x:f aca="0">IF(AND(ISNUMBER(G289),P289&lt;&gt;"Unresolved unit / layout"),G289*K289,"Not applicable")</x:f>
        <x:v>56</x:v>
      </x:c>
      <x:c r="M289" s="8" t="str">
        <x:f aca="0">IF(AND(ISNUMBER(H289),P289&lt;&gt;"Unresolved unit / layout"),H289*K289,"Not applicable")</x:f>
        <x:v>Not applicable</x:v>
      </x:c>
      <x:c r="N289" s="8" t="str">
        <x:f aca="0">IF(AND(ISNUMBER(I289),P289&lt;&gt;"Unresolved unit / layout"),I289*K289,"Not applicable")</x:f>
        <x:v>Not applicable</x:v>
      </x:c>
      <x:c r="O289" s="7" t="s">
        <x:v>1956</x:v>
      </x:c>
      <x:c r="P289" s="7" t="s">
        <x:v>1921</x:v>
      </x:c>
      <x:c r="Q289" s="7" t="s">
        <x:v>1930</x:v>
      </x:c>
      <x:c r="R289" s="7" t="s">
        <x:v>58</x:v>
      </x:c>
      <x:c r="S289" s="7" t="s">
        <x:v>2077</x:v>
      </x:c>
      <x:c r="T289" s="7" t="s">
        <x:v>2078</x:v>
      </x:c>
      <x:c r="U289" s="7" t="s">
        <x:v>53</x:v>
      </x:c>
      <x:c r="V289" s="7" t="s">
        <x:v>1984</x:v>
      </x:c>
      <x:c r="W289" s="7" t="s">
        <x:v>58</x:v>
      </x:c>
      <x:c r="X289" s="7" t="s">
        <x:v>2550</x:v>
      </x:c>
      <x:c r="Y289" s="7" t="s">
        <x:v>1170</x:v>
      </x:c>
      <x:c r="Z289" s="7" t="s">
        <x:v>2092</x:v>
      </x:c>
      <x:c r="AA289" s="7" t="s">
        <x:v>58</x:v>
      </x:c>
      <x:c r="AB289" s="8" t="s">
        <x:v>58</x:v>
      </x:c>
      <x:c r="AC289" s="8" t="s">
        <x:v>58</x:v>
      </x:c>
      <x:c r="AD289" s="8" t="s">
        <x:v>58</x:v>
      </x:c>
      <x:c r="AE289" s="8" t="s">
        <x:v>58</x:v>
      </x:c>
      <x:c r="AF289" s="8" t="s">
        <x:v>58</x:v>
      </x:c>
      <x:c r="AG289" s="7" t="s">
        <x:v>58</x:v>
      </x:c>
    </x:row>
    <x:row r="290" ht="79.5" hidden="0" customHeight="1">
      <x:c r="A290" s="7" t="s">
        <x:v>2555</x:v>
      </x:c>
      <x:c r="B290" s="7" t="s">
        <x:v>219</x:v>
      </x:c>
      <x:c r="C290" s="7" t="s">
        <x:v>221</x:v>
      </x:c>
      <x:c r="D290" s="7" t="s">
        <x:v>1959</x:v>
      </x:c>
      <x:c r="E290" s="7" t="s">
        <x:v>1987</x:v>
      </x:c>
      <x:c r="F290" s="7" t="s">
        <x:v>1956</x:v>
      </x:c>
      <x:c r="G290" s="8" t="n">
        <x:v>52</x:v>
      </x:c>
      <x:c r="H290" s="8" t="s">
        <x:v>58</x:v>
      </x:c>
      <x:c r="I290" s="8" t="s">
        <x:v>58</x:v>
      </x:c>
      <x:c r="J290" s="7" t="s">
        <x:v>1919</x:v>
      </x:c>
      <x:c r="K290" s="8" t="n">
        <x:v>1</x:v>
      </x:c>
      <x:c r="L290" s="8" t="n">
        <x:f aca="0">IF(AND(ISNUMBER(G290),P290&lt;&gt;"Unresolved unit / layout"),G290*K290,"Not applicable")</x:f>
        <x:v>52</x:v>
      </x:c>
      <x:c r="M290" s="8" t="str">
        <x:f aca="0">IF(AND(ISNUMBER(H290),P290&lt;&gt;"Unresolved unit / layout"),H290*K290,"Not applicable")</x:f>
        <x:v>Not applicable</x:v>
      </x:c>
      <x:c r="N290" s="8" t="str">
        <x:f aca="0">IF(AND(ISNUMBER(I290),P290&lt;&gt;"Unresolved unit / layout"),I290*K290,"Not applicable")</x:f>
        <x:v>Not applicable</x:v>
      </x:c>
      <x:c r="O290" s="7" t="s">
        <x:v>1956</x:v>
      </x:c>
      <x:c r="P290" s="7" t="s">
        <x:v>1921</x:v>
      </x:c>
      <x:c r="Q290" s="7" t="s">
        <x:v>1930</x:v>
      </x:c>
      <x:c r="R290" s="7" t="s">
        <x:v>58</x:v>
      </x:c>
      <x:c r="S290" s="7" t="s">
        <x:v>2077</x:v>
      </x:c>
      <x:c r="T290" s="7" t="s">
        <x:v>2078</x:v>
      </x:c>
      <x:c r="U290" s="7" t="s">
        <x:v>53</x:v>
      </x:c>
      <x:c r="V290" s="7" t="s">
        <x:v>2095</x:v>
      </x:c>
      <x:c r="W290" s="7" t="s">
        <x:v>58</x:v>
      </x:c>
      <x:c r="X290" s="7" t="s">
        <x:v>2550</x:v>
      </x:c>
      <x:c r="Y290" s="7" t="s">
        <x:v>1170</x:v>
      </x:c>
      <x:c r="Z290" s="7" t="s">
        <x:v>2096</x:v>
      </x:c>
      <x:c r="AA290" s="7" t="s">
        <x:v>58</x:v>
      </x:c>
      <x:c r="AB290" s="8" t="s">
        <x:v>58</x:v>
      </x:c>
      <x:c r="AC290" s="8" t="s">
        <x:v>58</x:v>
      </x:c>
      <x:c r="AD290" s="8" t="s">
        <x:v>58</x:v>
      </x:c>
      <x:c r="AE290" s="8" t="s">
        <x:v>58</x:v>
      </x:c>
      <x:c r="AF290" s="8" t="s">
        <x:v>58</x:v>
      </x:c>
      <x:c r="AG290" s="7" t="s">
        <x:v>58</x:v>
      </x:c>
    </x:row>
    <x:row r="291" ht="79.5" hidden="0" customHeight="1">
      <x:c r="A291" s="7" t="s">
        <x:v>224</x:v>
      </x:c>
      <x:c r="B291" s="7" t="s">
        <x:v>219</x:v>
      </x:c>
      <x:c r="C291" s="7" t="s">
        <x:v>221</x:v>
      </x:c>
      <x:c r="D291" s="7" t="s">
        <x:v>1959</x:v>
      </x:c>
      <x:c r="E291" s="7" t="s">
        <x:v>2456</x:v>
      </x:c>
      <x:c r="F291" s="7" t="s">
        <x:v>1956</x:v>
      </x:c>
      <x:c r="G291" s="8" t="n">
        <x:v>55</x:v>
      </x:c>
      <x:c r="H291" s="8" t="s">
        <x:v>58</x:v>
      </x:c>
      <x:c r="I291" s="8" t="s">
        <x:v>58</x:v>
      </x:c>
      <x:c r="J291" s="7" t="s">
        <x:v>1919</x:v>
      </x:c>
      <x:c r="K291" s="8" t="n">
        <x:v>1</x:v>
      </x:c>
      <x:c r="L291" s="8" t="n">
        <x:f aca="0">IF(AND(ISNUMBER(G291),P291&lt;&gt;"Unresolved unit / layout"),G291*K291,"Not applicable")</x:f>
        <x:v>55</x:v>
      </x:c>
      <x:c r="M291" s="8" t="str">
        <x:f aca="0">IF(AND(ISNUMBER(H291),P291&lt;&gt;"Unresolved unit / layout"),H291*K291,"Not applicable")</x:f>
        <x:v>Not applicable</x:v>
      </x:c>
      <x:c r="N291" s="8" t="str">
        <x:f aca="0">IF(AND(ISNUMBER(I291),P291&lt;&gt;"Unresolved unit / layout"),I291*K291,"Not applicable")</x:f>
        <x:v>Not applicable</x:v>
      </x:c>
      <x:c r="O291" s="7" t="s">
        <x:v>1956</x:v>
      </x:c>
      <x:c r="P291" s="7" t="s">
        <x:v>1921</x:v>
      </x:c>
      <x:c r="Q291" s="7" t="s">
        <x:v>1930</x:v>
      </x:c>
      <x:c r="R291" s="7" t="s">
        <x:v>58</x:v>
      </x:c>
      <x:c r="S291" s="7" t="s">
        <x:v>2077</x:v>
      </x:c>
      <x:c r="T291" s="7" t="s">
        <x:v>2078</x:v>
      </x:c>
      <x:c r="U291" s="7" t="s">
        <x:v>53</x:v>
      </x:c>
      <x:c r="V291" s="7" t="s">
        <x:v>2097</x:v>
      </x:c>
      <x:c r="W291" s="7" t="s">
        <x:v>58</x:v>
      </x:c>
      <x:c r="X291" s="7" t="s">
        <x:v>2550</x:v>
      </x:c>
      <x:c r="Y291" s="7" t="s">
        <x:v>1170</x:v>
      </x:c>
      <x:c r="Z291" s="7" t="s">
        <x:v>2096</x:v>
      </x:c>
      <x:c r="AA291" s="7" t="s">
        <x:v>58</x:v>
      </x:c>
      <x:c r="AB291" s="8" t="s">
        <x:v>58</x:v>
      </x:c>
      <x:c r="AC291" s="8" t="s">
        <x:v>58</x:v>
      </x:c>
      <x:c r="AD291" s="8" t="s">
        <x:v>58</x:v>
      </x:c>
      <x:c r="AE291" s="8" t="s">
        <x:v>58</x:v>
      </x:c>
      <x:c r="AF291" s="8" t="s">
        <x:v>58</x:v>
      </x:c>
      <x:c r="AG291" s="7" t="s">
        <x:v>58</x:v>
      </x:c>
    </x:row>
    <x:row r="292" ht="79.5" hidden="0" customHeight="1">
      <x:c r="A292" s="7" t="s">
        <x:v>2556</x:v>
      </x:c>
      <x:c r="B292" s="7" t="s">
        <x:v>219</x:v>
      </x:c>
      <x:c r="C292" s="7" t="s">
        <x:v>221</x:v>
      </x:c>
      <x:c r="D292" s="7" t="s">
        <x:v>2099</x:v>
      </x:c>
      <x:c r="E292" s="7" t="s">
        <x:v>2557</x:v>
      </x:c>
      <x:c r="F292" s="7" t="s">
        <x:v>1942</x:v>
      </x:c>
      <x:c r="G292" s="8" t="n">
        <x:v>0.46</x:v>
      </x:c>
      <x:c r="H292" s="8" t="s">
        <x:v>58</x:v>
      </x:c>
      <x:c r="I292" s="8" t="s">
        <x:v>58</x:v>
      </x:c>
      <x:c r="J292" s="7" t="s">
        <x:v>1919</x:v>
      </x:c>
      <x:c r="K292" s="8" t="n">
        <x:v>1</x:v>
      </x:c>
      <x:c r="L292" s="8" t="n">
        <x:f aca="0">IF(AND(ISNUMBER(G292),P292&lt;&gt;"Unresolved unit / layout"),G292*K292,"Not applicable")</x:f>
        <x:v>0.46</x:v>
      </x:c>
      <x:c r="M292" s="8" t="str">
        <x:f aca="0">IF(AND(ISNUMBER(H292),P292&lt;&gt;"Unresolved unit / layout"),H292*K292,"Not applicable")</x:f>
        <x:v>Not applicable</x:v>
      </x:c>
      <x:c r="N292" s="8" t="str">
        <x:f aca="0">IF(AND(ISNUMBER(I292),P292&lt;&gt;"Unresolved unit / layout"),I292*K292,"Not applicable")</x:f>
        <x:v>Not applicable</x:v>
      </x:c>
      <x:c r="O292" s="7" t="s">
        <x:v>1942</x:v>
      </x:c>
      <x:c r="P292" s="7" t="s">
        <x:v>1921</x:v>
      </x:c>
      <x:c r="Q292" s="7" t="s">
        <x:v>1930</x:v>
      </x:c>
      <x:c r="R292" s="7" t="s">
        <x:v>58</x:v>
      </x:c>
      <x:c r="S292" s="7" t="s">
        <x:v>2077</x:v>
      </x:c>
      <x:c r="T292" s="7" t="s">
        <x:v>2078</x:v>
      </x:c>
      <x:c r="U292" s="7" t="s">
        <x:v>53</x:v>
      </x:c>
      <x:c r="V292" s="7" t="s">
        <x:v>2192</x:v>
      </x:c>
      <x:c r="W292" s="7" t="s">
        <x:v>58</x:v>
      </x:c>
      <x:c r="X292" s="7" t="s">
        <x:v>2550</x:v>
      </x:c>
      <x:c r="Y292" s="7" t="s">
        <x:v>1170</x:v>
      </x:c>
      <x:c r="Z292" s="7" t="s">
        <x:v>2193</x:v>
      </x:c>
      <x:c r="AA292" s="7" t="s">
        <x:v>58</x:v>
      </x:c>
      <x:c r="AB292" s="8" t="s">
        <x:v>58</x:v>
      </x:c>
      <x:c r="AC292" s="8" t="s">
        <x:v>58</x:v>
      </x:c>
      <x:c r="AD292" s="8" t="s">
        <x:v>58</x:v>
      </x:c>
      <x:c r="AE292" s="8" t="s">
        <x:v>58</x:v>
      </x:c>
      <x:c r="AF292" s="8" t="s">
        <x:v>58</x:v>
      </x:c>
      <x:c r="AG292" s="7" t="s">
        <x:v>58</x:v>
      </x:c>
    </x:row>
    <x:row r="293" ht="79.5" hidden="0" customHeight="1">
      <x:c r="A293" s="7" t="s">
        <x:v>2558</x:v>
      </x:c>
      <x:c r="B293" s="7" t="s">
        <x:v>219</x:v>
      </x:c>
      <x:c r="C293" s="7" t="s">
        <x:v>221</x:v>
      </x:c>
      <x:c r="D293" s="7" t="s">
        <x:v>1935</x:v>
      </x:c>
      <x:c r="E293" s="7" t="s">
        <x:v>2559</x:v>
      </x:c>
      <x:c r="F293" s="7" t="s">
        <x:v>1929</x:v>
      </x:c>
      <x:c r="G293" s="8" t="n">
        <x:v>2030</x:v>
      </x:c>
      <x:c r="H293" s="8" t="n">
        <x:v>210</x:v>
      </x:c>
      <x:c r="I293" s="8" t="s">
        <x:v>58</x:v>
      </x:c>
      <x:c r="J293" s="7" t="s">
        <x:v>1919</x:v>
      </x:c>
      <x:c r="K293" s="8" t="n">
        <x:v>0.001</x:v>
      </x:c>
      <x:c r="L293" s="8" t="n">
        <x:f aca="0">IF(AND(ISNUMBER(G293),P293&lt;&gt;"Unresolved unit / layout"),G293*K293,"Not applicable")</x:f>
        <x:v>2.0300000000000002</x:v>
      </x:c>
      <x:c r="M293" s="8" t="n">
        <x:f aca="0">IF(AND(ISNUMBER(H293),P293&lt;&gt;"Unresolved unit / layout"),H293*K293,"Not applicable")</x:f>
        <x:v>0.21</x:v>
      </x:c>
      <x:c r="N293" s="8" t="str">
        <x:f aca="0">IF(AND(ISNUMBER(I293),P293&lt;&gt;"Unresolved unit / layout"),I293*K293,"Not applicable")</x:f>
        <x:v>Not applicable</x:v>
      </x:c>
      <x:c r="O293" s="7" t="s">
        <x:v>1937</x:v>
      </x:c>
      <x:c r="P293" s="7" t="s">
        <x:v>1921</x:v>
      </x:c>
      <x:c r="Q293" s="7" t="s">
        <x:v>1930</x:v>
      </x:c>
      <x:c r="R293" s="7" t="s">
        <x:v>1931</x:v>
      </x:c>
      <x:c r="S293" s="7" t="s">
        <x:v>2077</x:v>
      </x:c>
      <x:c r="T293" s="7" t="s">
        <x:v>2078</x:v>
      </x:c>
      <x:c r="U293" s="7" t="s">
        <x:v>53</x:v>
      </x:c>
      <x:c r="V293" s="7" t="s">
        <x:v>1999</x:v>
      </x:c>
      <x:c r="W293" s="7" t="s">
        <x:v>58</x:v>
      </x:c>
      <x:c r="X293" s="7" t="s">
        <x:v>2550</x:v>
      </x:c>
      <x:c r="Y293" s="7" t="s">
        <x:v>1170</x:v>
      </x:c>
      <x:c r="Z293" s="7" t="s">
        <x:v>2105</x:v>
      </x:c>
      <x:c r="AA293" s="7" t="s">
        <x:v>58</x:v>
      </x:c>
      <x:c r="AB293" s="8" t="s">
        <x:v>58</x:v>
      </x:c>
      <x:c r="AC293" s="8" t="s">
        <x:v>58</x:v>
      </x:c>
      <x:c r="AD293" s="8" t="s">
        <x:v>58</x:v>
      </x:c>
      <x:c r="AE293" s="8" t="s">
        <x:v>58</x:v>
      </x:c>
      <x:c r="AF293" s="8" t="s">
        <x:v>58</x:v>
      </x:c>
      <x:c r="AG293" s="7" t="s">
        <x:v>58</x:v>
      </x:c>
    </x:row>
    <x:row r="294" ht="79.5" hidden="0" customHeight="1">
      <x:c r="A294" s="7" t="s">
        <x:v>2560</x:v>
      </x:c>
      <x:c r="B294" s="7" t="s">
        <x:v>219</x:v>
      </x:c>
      <x:c r="C294" s="7" t="s">
        <x:v>221</x:v>
      </x:c>
      <x:c r="D294" s="7" t="s">
        <x:v>1935</x:v>
      </x:c>
      <x:c r="E294" s="7" t="s">
        <x:v>2561</x:v>
      </x:c>
      <x:c r="F294" s="7" t="s">
        <x:v>1929</x:v>
      </x:c>
      <x:c r="G294" s="8" t="n">
        <x:v>1750</x:v>
      </x:c>
      <x:c r="H294" s="8" t="n">
        <x:v>180</x:v>
      </x:c>
      <x:c r="I294" s="8" t="s">
        <x:v>58</x:v>
      </x:c>
      <x:c r="J294" s="7" t="s">
        <x:v>1919</x:v>
      </x:c>
      <x:c r="K294" s="8" t="n">
        <x:v>0.001</x:v>
      </x:c>
      <x:c r="L294" s="8" t="n">
        <x:f aca="0">IF(AND(ISNUMBER(G294),P294&lt;&gt;"Unresolved unit / layout"),G294*K294,"Not applicable")</x:f>
        <x:v>1.75</x:v>
      </x:c>
      <x:c r="M294" s="8" t="n">
        <x:f aca="0">IF(AND(ISNUMBER(H294),P294&lt;&gt;"Unresolved unit / layout"),H294*K294,"Not applicable")</x:f>
        <x:v>0.18</x:v>
      </x:c>
      <x:c r="N294" s="8" t="str">
        <x:f aca="0">IF(AND(ISNUMBER(I294),P294&lt;&gt;"Unresolved unit / layout"),I294*K294,"Not applicable")</x:f>
        <x:v>Not applicable</x:v>
      </x:c>
      <x:c r="O294" s="7" t="s">
        <x:v>1937</x:v>
      </x:c>
      <x:c r="P294" s="7" t="s">
        <x:v>1921</x:v>
      </x:c>
      <x:c r="Q294" s="7" t="s">
        <x:v>1930</x:v>
      </x:c>
      <x:c r="R294" s="7" t="s">
        <x:v>2003</x:v>
      </x:c>
      <x:c r="S294" s="7" t="s">
        <x:v>2077</x:v>
      </x:c>
      <x:c r="T294" s="7" t="s">
        <x:v>2078</x:v>
      </x:c>
      <x:c r="U294" s="7" t="s">
        <x:v>53</x:v>
      </x:c>
      <x:c r="V294" s="7" t="s">
        <x:v>1999</x:v>
      </x:c>
      <x:c r="W294" s="7" t="s">
        <x:v>58</x:v>
      </x:c>
      <x:c r="X294" s="7" t="s">
        <x:v>2550</x:v>
      </x:c>
      <x:c r="Y294" s="7" t="s">
        <x:v>1170</x:v>
      </x:c>
      <x:c r="Z294" s="7" t="s">
        <x:v>2108</x:v>
      </x:c>
      <x:c r="AA294" s="7" t="s">
        <x:v>58</x:v>
      </x:c>
      <x:c r="AB294" s="8" t="s">
        <x:v>58</x:v>
      </x:c>
      <x:c r="AC294" s="8" t="s">
        <x:v>58</x:v>
      </x:c>
      <x:c r="AD294" s="8" t="s">
        <x:v>58</x:v>
      </x:c>
      <x:c r="AE294" s="8" t="s">
        <x:v>58</x:v>
      </x:c>
      <x:c r="AF294" s="8" t="s">
        <x:v>58</x:v>
      </x:c>
      <x:c r="AG294" s="7" t="s">
        <x:v>58</x:v>
      </x:c>
    </x:row>
    <x:row r="295" ht="79.5" hidden="0" customHeight="1">
      <x:c r="A295" s="7" t="s">
        <x:v>2562</x:v>
      </x:c>
      <x:c r="B295" s="7" t="s">
        <x:v>219</x:v>
      </x:c>
      <x:c r="C295" s="7" t="s">
        <x:v>221</x:v>
      </x:c>
      <x:c r="D295" s="7" t="s">
        <x:v>2006</x:v>
      </x:c>
      <x:c r="E295" s="7" t="s">
        <x:v>2563</x:v>
      </x:c>
      <x:c r="F295" s="7" t="s">
        <x:v>1929</x:v>
      </x:c>
      <x:c r="G295" s="8" t="n">
        <x:v>32</x:v>
      </x:c>
      <x:c r="H295" s="8" t="n">
        <x:v>3</x:v>
      </x:c>
      <x:c r="I295" s="8" t="s">
        <x:v>58</x:v>
      </x:c>
      <x:c r="J295" s="7" t="s">
        <x:v>1919</x:v>
      </x:c>
      <x:c r="K295" s="8" t="n">
        <x:v>1</x:v>
      </x:c>
      <x:c r="L295" s="8" t="n">
        <x:f aca="0">IF(AND(ISNUMBER(G295),P295&lt;&gt;"Unresolved unit / layout"),G295*K295,"Not applicable")</x:f>
        <x:v>32</x:v>
      </x:c>
      <x:c r="M295" s="8" t="n">
        <x:f aca="0">IF(AND(ISNUMBER(H295),P295&lt;&gt;"Unresolved unit / layout"),H295*K295,"Not applicable")</x:f>
        <x:v>3</x:v>
      </x:c>
      <x:c r="N295" s="8" t="str">
        <x:f aca="0">IF(AND(ISNUMBER(I295),P295&lt;&gt;"Unresolved unit / layout"),I295*K295,"Not applicable")</x:f>
        <x:v>Not applicable</x:v>
      </x:c>
      <x:c r="O295" s="7" t="s">
        <x:v>1929</x:v>
      </x:c>
      <x:c r="P295" s="7" t="s">
        <x:v>1921</x:v>
      </x:c>
      <x:c r="Q295" s="7" t="s">
        <x:v>1930</x:v>
      </x:c>
      <x:c r="R295" s="7" t="s">
        <x:v>1931</x:v>
      </x:c>
      <x:c r="S295" s="7" t="s">
        <x:v>2077</x:v>
      </x:c>
      <x:c r="T295" s="7" t="s">
        <x:v>2078</x:v>
      </x:c>
      <x:c r="U295" s="7" t="s">
        <x:v>53</x:v>
      </x:c>
      <x:c r="V295" s="7" t="s">
        <x:v>1999</x:v>
      </x:c>
      <x:c r="W295" s="7" t="s">
        <x:v>58</x:v>
      </x:c>
      <x:c r="X295" s="7" t="s">
        <x:v>2550</x:v>
      </x:c>
      <x:c r="Y295" s="7" t="s">
        <x:v>1170</x:v>
      </x:c>
      <x:c r="Z295" s="7" t="s">
        <x:v>2111</x:v>
      </x:c>
      <x:c r="AA295" s="7" t="s">
        <x:v>58</x:v>
      </x:c>
      <x:c r="AB295" s="8" t="s">
        <x:v>58</x:v>
      </x:c>
      <x:c r="AC295" s="8" t="s">
        <x:v>58</x:v>
      </x:c>
      <x:c r="AD295" s="8" t="s">
        <x:v>58</x:v>
      </x:c>
      <x:c r="AE295" s="8" t="s">
        <x:v>58</x:v>
      </x:c>
      <x:c r="AF295" s="8" t="s">
        <x:v>58</x:v>
      </x:c>
      <x:c r="AG295" s="7" t="s">
        <x:v>58</x:v>
      </x:c>
    </x:row>
    <x:row r="296" ht="79.5" hidden="0" customHeight="1">
      <x:c r="A296" s="7" t="s">
        <x:v>2564</x:v>
      </x:c>
      <x:c r="B296" s="7" t="s">
        <x:v>219</x:v>
      </x:c>
      <x:c r="C296" s="7" t="s">
        <x:v>221</x:v>
      </x:c>
      <x:c r="D296" s="7" t="s">
        <x:v>2006</x:v>
      </x:c>
      <x:c r="E296" s="7" t="s">
        <x:v>2531</x:v>
      </x:c>
      <x:c r="F296" s="7" t="s">
        <x:v>1929</x:v>
      </x:c>
      <x:c r="G296" s="8" t="n">
        <x:v>26</x:v>
      </x:c>
      <x:c r="H296" s="8" t="n">
        <x:v>3</x:v>
      </x:c>
      <x:c r="I296" s="8" t="s">
        <x:v>58</x:v>
      </x:c>
      <x:c r="J296" s="7" t="s">
        <x:v>1919</x:v>
      </x:c>
      <x:c r="K296" s="8" t="n">
        <x:v>1</x:v>
      </x:c>
      <x:c r="L296" s="8" t="n">
        <x:f aca="0">IF(AND(ISNUMBER(G296),P296&lt;&gt;"Unresolved unit / layout"),G296*K296,"Not applicable")</x:f>
        <x:v>26</x:v>
      </x:c>
      <x:c r="M296" s="8" t="n">
        <x:f aca="0">IF(AND(ISNUMBER(H296),P296&lt;&gt;"Unresolved unit / layout"),H296*K296,"Not applicable")</x:f>
        <x:v>3</x:v>
      </x:c>
      <x:c r="N296" s="8" t="str">
        <x:f aca="0">IF(AND(ISNUMBER(I296),P296&lt;&gt;"Unresolved unit / layout"),I296*K296,"Not applicable")</x:f>
        <x:v>Not applicable</x:v>
      </x:c>
      <x:c r="O296" s="7" t="s">
        <x:v>1929</x:v>
      </x:c>
      <x:c r="P296" s="7" t="s">
        <x:v>1921</x:v>
      </x:c>
      <x:c r="Q296" s="7" t="s">
        <x:v>1930</x:v>
      </x:c>
      <x:c r="R296" s="7" t="s">
        <x:v>2003</x:v>
      </x:c>
      <x:c r="S296" s="7" t="s">
        <x:v>2077</x:v>
      </x:c>
      <x:c r="T296" s="7" t="s">
        <x:v>2078</x:v>
      </x:c>
      <x:c r="U296" s="7" t="s">
        <x:v>53</x:v>
      </x:c>
      <x:c r="V296" s="7" t="s">
        <x:v>1999</x:v>
      </x:c>
      <x:c r="W296" s="7" t="s">
        <x:v>58</x:v>
      </x:c>
      <x:c r="X296" s="7" t="s">
        <x:v>2550</x:v>
      </x:c>
      <x:c r="Y296" s="7" t="s">
        <x:v>1170</x:v>
      </x:c>
      <x:c r="Z296" s="7" t="s">
        <x:v>2114</x:v>
      </x:c>
      <x:c r="AA296" s="7" t="s">
        <x:v>58</x:v>
      </x:c>
      <x:c r="AB296" s="8" t="s">
        <x:v>58</x:v>
      </x:c>
      <x:c r="AC296" s="8" t="s">
        <x:v>58</x:v>
      </x:c>
      <x:c r="AD296" s="8" t="s">
        <x:v>58</x:v>
      </x:c>
      <x:c r="AE296" s="8" t="s">
        <x:v>58</x:v>
      </x:c>
      <x:c r="AF296" s="8" t="s">
        <x:v>58</x:v>
      </x:c>
      <x:c r="AG296" s="7" t="s">
        <x:v>58</x:v>
      </x:c>
    </x:row>
    <x:row r="297" ht="79.5" hidden="0" customHeight="1">
      <x:c r="A297" s="7" t="s">
        <x:v>2565</x:v>
      </x:c>
      <x:c r="B297" s="7" t="s">
        <x:v>219</x:v>
      </x:c>
      <x:c r="C297" s="7" t="s">
        <x:v>221</x:v>
      </x:c>
      <x:c r="D297" s="7" t="s">
        <x:v>1940</x:v>
      </x:c>
      <x:c r="E297" s="7" t="s">
        <x:v>2566</x:v>
      </x:c>
      <x:c r="F297" s="7" t="s">
        <x:v>1942</x:v>
      </x:c>
      <x:c r="G297" s="8" t="n">
        <x:v>8.6</x:v>
      </x:c>
      <x:c r="H297" s="8" t="n">
        <x:v>1.2</x:v>
      </x:c>
      <x:c r="I297" s="8" t="s">
        <x:v>58</x:v>
      </x:c>
      <x:c r="J297" s="7" t="s">
        <x:v>1919</x:v>
      </x:c>
      <x:c r="K297" s="8" t="n">
        <x:v>1</x:v>
      </x:c>
      <x:c r="L297" s="8" t="n">
        <x:f aca="0">IF(AND(ISNUMBER(G297),P297&lt;&gt;"Unresolved unit / layout"),G297*K297,"Not applicable")</x:f>
        <x:v>8.6</x:v>
      </x:c>
      <x:c r="M297" s="8" t="n">
        <x:f aca="0">IF(AND(ISNUMBER(H297),P297&lt;&gt;"Unresolved unit / layout"),H297*K297,"Not applicable")</x:f>
        <x:v>1.2</x:v>
      </x:c>
      <x:c r="N297" s="8" t="str">
        <x:f aca="0">IF(AND(ISNUMBER(I297),P297&lt;&gt;"Unresolved unit / layout"),I297*K297,"Not applicable")</x:f>
        <x:v>Not applicable</x:v>
      </x:c>
      <x:c r="O297" s="7" t="s">
        <x:v>1942</x:v>
      </x:c>
      <x:c r="P297" s="7" t="s">
        <x:v>1921</x:v>
      </x:c>
      <x:c r="Q297" s="7" t="s">
        <x:v>1930</x:v>
      </x:c>
      <x:c r="R297" s="7" t="s">
        <x:v>1931</x:v>
      </x:c>
      <x:c r="S297" s="7" t="s">
        <x:v>2077</x:v>
      </x:c>
      <x:c r="T297" s="7" t="s">
        <x:v>2078</x:v>
      </x:c>
      <x:c r="U297" s="7" t="s">
        <x:v>53</x:v>
      </x:c>
      <x:c r="V297" s="7" t="s">
        <x:v>1999</x:v>
      </x:c>
      <x:c r="W297" s="7" t="s">
        <x:v>58</x:v>
      </x:c>
      <x:c r="X297" s="7" t="s">
        <x:v>2550</x:v>
      </x:c>
      <x:c r="Y297" s="7" t="s">
        <x:v>1170</x:v>
      </x:c>
      <x:c r="Z297" s="7" t="s">
        <x:v>2117</x:v>
      </x:c>
      <x:c r="AA297" s="7" t="s">
        <x:v>58</x:v>
      </x:c>
      <x:c r="AB297" s="8" t="s">
        <x:v>58</x:v>
      </x:c>
      <x:c r="AC297" s="8" t="s">
        <x:v>58</x:v>
      </x:c>
      <x:c r="AD297" s="8" t="s">
        <x:v>58</x:v>
      </x:c>
      <x:c r="AE297" s="8" t="s">
        <x:v>58</x:v>
      </x:c>
      <x:c r="AF297" s="8" t="s">
        <x:v>58</x:v>
      </x:c>
      <x:c r="AG297" s="7" t="s">
        <x:v>58</x:v>
      </x:c>
    </x:row>
    <x:row r="298" ht="79.5" hidden="0" customHeight="1">
      <x:c r="A298" s="7" t="s">
        <x:v>2567</x:v>
      </x:c>
      <x:c r="B298" s="7" t="s">
        <x:v>219</x:v>
      </x:c>
      <x:c r="C298" s="7" t="s">
        <x:v>221</x:v>
      </x:c>
      <x:c r="D298" s="7" t="s">
        <x:v>1940</x:v>
      </x:c>
      <x:c r="E298" s="7" t="s">
        <x:v>2568</x:v>
      </x:c>
      <x:c r="F298" s="7" t="s">
        <x:v>1942</x:v>
      </x:c>
      <x:c r="G298" s="8" t="n">
        <x:v>6.5</x:v>
      </x:c>
      <x:c r="H298" s="8" t="n">
        <x:v>0.8</x:v>
      </x:c>
      <x:c r="I298" s="8" t="s">
        <x:v>58</x:v>
      </x:c>
      <x:c r="J298" s="7" t="s">
        <x:v>1919</x:v>
      </x:c>
      <x:c r="K298" s="8" t="n">
        <x:v>1</x:v>
      </x:c>
      <x:c r="L298" s="8" t="n">
        <x:f aca="0">IF(AND(ISNUMBER(G298),P298&lt;&gt;"Unresolved unit / layout"),G298*K298,"Not applicable")</x:f>
        <x:v>6.5</x:v>
      </x:c>
      <x:c r="M298" s="8" t="n">
        <x:f aca="0">IF(AND(ISNUMBER(H298),P298&lt;&gt;"Unresolved unit / layout"),H298*K298,"Not applicable")</x:f>
        <x:v>0.8</x:v>
      </x:c>
      <x:c r="N298" s="8" t="str">
        <x:f aca="0">IF(AND(ISNUMBER(I298),P298&lt;&gt;"Unresolved unit / layout"),I298*K298,"Not applicable")</x:f>
        <x:v>Not applicable</x:v>
      </x:c>
      <x:c r="O298" s="7" t="s">
        <x:v>1942</x:v>
      </x:c>
      <x:c r="P298" s="7" t="s">
        <x:v>1921</x:v>
      </x:c>
      <x:c r="Q298" s="7" t="s">
        <x:v>1930</x:v>
      </x:c>
      <x:c r="R298" s="7" t="s">
        <x:v>2003</x:v>
      </x:c>
      <x:c r="S298" s="7" t="s">
        <x:v>2077</x:v>
      </x:c>
      <x:c r="T298" s="7" t="s">
        <x:v>2078</x:v>
      </x:c>
      <x:c r="U298" s="7" t="s">
        <x:v>53</x:v>
      </x:c>
      <x:c r="V298" s="7" t="s">
        <x:v>1999</x:v>
      </x:c>
      <x:c r="W298" s="7" t="s">
        <x:v>58</x:v>
      </x:c>
      <x:c r="X298" s="7" t="s">
        <x:v>2550</x:v>
      </x:c>
      <x:c r="Y298" s="7" t="s">
        <x:v>1170</x:v>
      </x:c>
      <x:c r="Z298" s="7" t="s">
        <x:v>2120</x:v>
      </x:c>
      <x:c r="AA298" s="7" t="s">
        <x:v>58</x:v>
      </x:c>
      <x:c r="AB298" s="8" t="s">
        <x:v>58</x:v>
      </x:c>
      <x:c r="AC298" s="8" t="s">
        <x:v>58</x:v>
      </x:c>
      <x:c r="AD298" s="8" t="s">
        <x:v>58</x:v>
      </x:c>
      <x:c r="AE298" s="8" t="s">
        <x:v>58</x:v>
      </x:c>
      <x:c r="AF298" s="8" t="s">
        <x:v>58</x:v>
      </x:c>
      <x:c r="AG298" s="7" t="s">
        <x:v>58</x:v>
      </x:c>
    </x:row>
    <x:row r="299" ht="79.5" hidden="0" customHeight="1">
      <x:c r="A299" s="7" t="s">
        <x:v>2569</x:v>
      </x:c>
      <x:c r="B299" s="7" t="s">
        <x:v>219</x:v>
      </x:c>
      <x:c r="C299" s="7" t="s">
        <x:v>221</x:v>
      </x:c>
      <x:c r="D299" s="7" t="s">
        <x:v>1950</x:v>
      </x:c>
      <x:c r="E299" s="7" t="s">
        <x:v>2570</x:v>
      </x:c>
      <x:c r="F299" s="7" t="s">
        <x:v>1929</x:v>
      </x:c>
      <x:c r="G299" s="8" t="n">
        <x:v>2640</x:v>
      </x:c>
      <x:c r="H299" s="8" t="n">
        <x:v>130</x:v>
      </x:c>
      <x:c r="I299" s="8" t="s">
        <x:v>58</x:v>
      </x:c>
      <x:c r="J299" s="7" t="s">
        <x:v>1919</x:v>
      </x:c>
      <x:c r="K299" s="8" t="n">
        <x:v>0.001</x:v>
      </x:c>
      <x:c r="L299" s="8" t="n">
        <x:f aca="0">IF(AND(ISNUMBER(G299),P299&lt;&gt;"Unresolved unit / layout"),G299*K299,"Not applicable")</x:f>
        <x:v>2.64</x:v>
      </x:c>
      <x:c r="M299" s="8" t="n">
        <x:f aca="0">IF(AND(ISNUMBER(H299),P299&lt;&gt;"Unresolved unit / layout"),H299*K299,"Not applicable")</x:f>
        <x:v>0.13</x:v>
      </x:c>
      <x:c r="N299" s="8" t="str">
        <x:f aca="0">IF(AND(ISNUMBER(I299),P299&lt;&gt;"Unresolved unit / layout"),I299*K299,"Not applicable")</x:f>
        <x:v>Not applicable</x:v>
      </x:c>
      <x:c r="O299" s="7" t="s">
        <x:v>1937</x:v>
      </x:c>
      <x:c r="P299" s="7" t="s">
        <x:v>1921</x:v>
      </x:c>
      <x:c r="Q299" s="7" t="s">
        <x:v>1930</x:v>
      </x:c>
      <x:c r="R299" s="7" t="s">
        <x:v>1931</x:v>
      </x:c>
      <x:c r="S299" s="7" t="s">
        <x:v>2077</x:v>
      </x:c>
      <x:c r="T299" s="7" t="s">
        <x:v>2078</x:v>
      </x:c>
      <x:c r="U299" s="7" t="s">
        <x:v>53</x:v>
      </x:c>
      <x:c r="V299" s="7" t="s">
        <x:v>2020</x:v>
      </x:c>
      <x:c r="W299" s="7" t="s">
        <x:v>58</x:v>
      </x:c>
      <x:c r="X299" s="7" t="s">
        <x:v>2550</x:v>
      </x:c>
      <x:c r="Y299" s="7" t="s">
        <x:v>1170</x:v>
      </x:c>
      <x:c r="Z299" s="7" t="s">
        <x:v>2123</x:v>
      </x:c>
      <x:c r="AA299" s="7" t="s">
        <x:v>58</x:v>
      </x:c>
      <x:c r="AB299" s="8" t="s">
        <x:v>58</x:v>
      </x:c>
      <x:c r="AC299" s="8" t="s">
        <x:v>58</x:v>
      </x:c>
      <x:c r="AD299" s="8" t="s">
        <x:v>58</x:v>
      </x:c>
      <x:c r="AE299" s="8" t="s">
        <x:v>58</x:v>
      </x:c>
      <x:c r="AF299" s="8" t="s">
        <x:v>58</x:v>
      </x:c>
      <x:c r="AG299" s="7" t="s">
        <x:v>58</x:v>
      </x:c>
    </x:row>
    <x:row r="300" ht="79.5" hidden="0" customHeight="1">
      <x:c r="A300" s="7" t="s">
        <x:v>2571</x:v>
      </x:c>
      <x:c r="B300" s="7" t="s">
        <x:v>219</x:v>
      </x:c>
      <x:c r="C300" s="7" t="s">
        <x:v>221</x:v>
      </x:c>
      <x:c r="D300" s="7" t="s">
        <x:v>1950</x:v>
      </x:c>
      <x:c r="E300" s="7" t="s">
        <x:v>2572</x:v>
      </x:c>
      <x:c r="F300" s="7" t="s">
        <x:v>1929</x:v>
      </x:c>
      <x:c r="G300" s="8" t="n">
        <x:v>2230</x:v>
      </x:c>
      <x:c r="H300" s="8" t="n">
        <x:v>110</x:v>
      </x:c>
      <x:c r="I300" s="8" t="s">
        <x:v>58</x:v>
      </x:c>
      <x:c r="J300" s="7" t="s">
        <x:v>1919</x:v>
      </x:c>
      <x:c r="K300" s="8" t="n">
        <x:v>0.001</x:v>
      </x:c>
      <x:c r="L300" s="8" t="n">
        <x:f aca="0">IF(AND(ISNUMBER(G300),P300&lt;&gt;"Unresolved unit / layout"),G300*K300,"Not applicable")</x:f>
        <x:v>2.23</x:v>
      </x:c>
      <x:c r="M300" s="8" t="n">
        <x:f aca="0">IF(AND(ISNUMBER(H300),P300&lt;&gt;"Unresolved unit / layout"),H300*K300,"Not applicable")</x:f>
        <x:v>0.11</x:v>
      </x:c>
      <x:c r="N300" s="8" t="str">
        <x:f aca="0">IF(AND(ISNUMBER(I300),P300&lt;&gt;"Unresolved unit / layout"),I300*K300,"Not applicable")</x:f>
        <x:v>Not applicable</x:v>
      </x:c>
      <x:c r="O300" s="7" t="s">
        <x:v>1937</x:v>
      </x:c>
      <x:c r="P300" s="7" t="s">
        <x:v>1921</x:v>
      </x:c>
      <x:c r="Q300" s="7" t="s">
        <x:v>1930</x:v>
      </x:c>
      <x:c r="R300" s="7" t="s">
        <x:v>2003</x:v>
      </x:c>
      <x:c r="S300" s="7" t="s">
        <x:v>2077</x:v>
      </x:c>
      <x:c r="T300" s="7" t="s">
        <x:v>2078</x:v>
      </x:c>
      <x:c r="U300" s="7" t="s">
        <x:v>53</x:v>
      </x:c>
      <x:c r="V300" s="7" t="s">
        <x:v>2020</x:v>
      </x:c>
      <x:c r="W300" s="7" t="s">
        <x:v>58</x:v>
      </x:c>
      <x:c r="X300" s="7" t="s">
        <x:v>2550</x:v>
      </x:c>
      <x:c r="Y300" s="7" t="s">
        <x:v>1170</x:v>
      </x:c>
      <x:c r="Z300" s="7" t="s">
        <x:v>2210</x:v>
      </x:c>
      <x:c r="AA300" s="7" t="s">
        <x:v>58</x:v>
      </x:c>
      <x:c r="AB300" s="8" t="s">
        <x:v>58</x:v>
      </x:c>
      <x:c r="AC300" s="8" t="s">
        <x:v>58</x:v>
      </x:c>
      <x:c r="AD300" s="8" t="s">
        <x:v>58</x:v>
      </x:c>
      <x:c r="AE300" s="8" t="s">
        <x:v>58</x:v>
      </x:c>
      <x:c r="AF300" s="8" t="s">
        <x:v>58</x:v>
      </x:c>
      <x:c r="AG300" s="7" t="s">
        <x:v>58</x:v>
      </x:c>
    </x:row>
    <x:row r="301" ht="79.5" hidden="0" customHeight="1">
      <x:c r="A301" s="7" t="s">
        <x:v>2573</x:v>
      </x:c>
      <x:c r="B301" s="7" t="s">
        <x:v>219</x:v>
      </x:c>
      <x:c r="C301" s="7" t="s">
        <x:v>221</x:v>
      </x:c>
      <x:c r="D301" s="7" t="s">
        <x:v>1945</x:v>
      </x:c>
      <x:c r="E301" s="7" t="s">
        <x:v>2574</x:v>
      </x:c>
      <x:c r="F301" s="7" t="s">
        <x:v>1929</x:v>
      </x:c>
      <x:c r="G301" s="8" t="n">
        <x:v>76</x:v>
      </x:c>
      <x:c r="H301" s="8" t="n">
        <x:v>4</x:v>
      </x:c>
      <x:c r="I301" s="8" t="s">
        <x:v>58</x:v>
      </x:c>
      <x:c r="J301" s="7" t="s">
        <x:v>1919</x:v>
      </x:c>
      <x:c r="K301" s="8" t="n">
        <x:v>1</x:v>
      </x:c>
      <x:c r="L301" s="8" t="n">
        <x:f aca="0">IF(AND(ISNUMBER(G301),P301&lt;&gt;"Unresolved unit / layout"),G301*K301,"Not applicable")</x:f>
        <x:v>76</x:v>
      </x:c>
      <x:c r="M301" s="8" t="n">
        <x:f aca="0">IF(AND(ISNUMBER(H301),P301&lt;&gt;"Unresolved unit / layout"),H301*K301,"Not applicable")</x:f>
        <x:v>4</x:v>
      </x:c>
      <x:c r="N301" s="8" t="str">
        <x:f aca="0">IF(AND(ISNUMBER(I301),P301&lt;&gt;"Unresolved unit / layout"),I301*K301,"Not applicable")</x:f>
        <x:v>Not applicable</x:v>
      </x:c>
      <x:c r="O301" s="7" t="s">
        <x:v>1929</x:v>
      </x:c>
      <x:c r="P301" s="7" t="s">
        <x:v>1921</x:v>
      </x:c>
      <x:c r="Q301" s="7" t="s">
        <x:v>1930</x:v>
      </x:c>
      <x:c r="R301" s="7" t="s">
        <x:v>1931</x:v>
      </x:c>
      <x:c r="S301" s="7" t="s">
        <x:v>2077</x:v>
      </x:c>
      <x:c r="T301" s="7" t="s">
        <x:v>2078</x:v>
      </x:c>
      <x:c r="U301" s="7" t="s">
        <x:v>53</x:v>
      </x:c>
      <x:c r="V301" s="7" t="s">
        <x:v>2020</x:v>
      </x:c>
      <x:c r="W301" s="7" t="s">
        <x:v>58</x:v>
      </x:c>
      <x:c r="X301" s="7" t="s">
        <x:v>2550</x:v>
      </x:c>
      <x:c r="Y301" s="7" t="s">
        <x:v>1170</x:v>
      </x:c>
      <x:c r="Z301" s="7" t="s">
        <x:v>2213</x:v>
      </x:c>
      <x:c r="AA301" s="7" t="s">
        <x:v>58</x:v>
      </x:c>
      <x:c r="AB301" s="8" t="s">
        <x:v>58</x:v>
      </x:c>
      <x:c r="AC301" s="8" t="s">
        <x:v>58</x:v>
      </x:c>
      <x:c r="AD301" s="8" t="s">
        <x:v>58</x:v>
      </x:c>
      <x:c r="AE301" s="8" t="s">
        <x:v>58</x:v>
      </x:c>
      <x:c r="AF301" s="8" t="s">
        <x:v>58</x:v>
      </x:c>
      <x:c r="AG301" s="7" t="s">
        <x:v>58</x:v>
      </x:c>
    </x:row>
    <x:row r="302" ht="79.5" hidden="0" customHeight="1">
      <x:c r="A302" s="7" t="s">
        <x:v>2575</x:v>
      </x:c>
      <x:c r="B302" s="7" t="s">
        <x:v>219</x:v>
      </x:c>
      <x:c r="C302" s="7" t="s">
        <x:v>221</x:v>
      </x:c>
      <x:c r="D302" s="7" t="s">
        <x:v>1945</x:v>
      </x:c>
      <x:c r="E302" s="7" t="s">
        <x:v>2576</x:v>
      </x:c>
      <x:c r="F302" s="7" t="s">
        <x:v>1929</x:v>
      </x:c>
      <x:c r="G302" s="8" t="n">
        <x:v>55</x:v>
      </x:c>
      <x:c r="H302" s="8" t="n">
        <x:v>3</x:v>
      </x:c>
      <x:c r="I302" s="8" t="s">
        <x:v>58</x:v>
      </x:c>
      <x:c r="J302" s="7" t="s">
        <x:v>1919</x:v>
      </x:c>
      <x:c r="K302" s="8" t="n">
        <x:v>1</x:v>
      </x:c>
      <x:c r="L302" s="8" t="n">
        <x:f aca="0">IF(AND(ISNUMBER(G302),P302&lt;&gt;"Unresolved unit / layout"),G302*K302,"Not applicable")</x:f>
        <x:v>55</x:v>
      </x:c>
      <x:c r="M302" s="8" t="n">
        <x:f aca="0">IF(AND(ISNUMBER(H302),P302&lt;&gt;"Unresolved unit / layout"),H302*K302,"Not applicable")</x:f>
        <x:v>3</x:v>
      </x:c>
      <x:c r="N302" s="8" t="str">
        <x:f aca="0">IF(AND(ISNUMBER(I302),P302&lt;&gt;"Unresolved unit / layout"),I302*K302,"Not applicable")</x:f>
        <x:v>Not applicable</x:v>
      </x:c>
      <x:c r="O302" s="7" t="s">
        <x:v>1929</x:v>
      </x:c>
      <x:c r="P302" s="7" t="s">
        <x:v>1921</x:v>
      </x:c>
      <x:c r="Q302" s="7" t="s">
        <x:v>1930</x:v>
      </x:c>
      <x:c r="R302" s="7" t="s">
        <x:v>2003</x:v>
      </x:c>
      <x:c r="S302" s="7" t="s">
        <x:v>2077</x:v>
      </x:c>
      <x:c r="T302" s="7" t="s">
        <x:v>2078</x:v>
      </x:c>
      <x:c r="U302" s="7" t="s">
        <x:v>53</x:v>
      </x:c>
      <x:c r="V302" s="7" t="s">
        <x:v>2020</x:v>
      </x:c>
      <x:c r="W302" s="7" t="s">
        <x:v>58</x:v>
      </x:c>
      <x:c r="X302" s="7" t="s">
        <x:v>2550</x:v>
      </x:c>
      <x:c r="Y302" s="7" t="s">
        <x:v>1170</x:v>
      </x:c>
      <x:c r="Z302" s="7" t="s">
        <x:v>2216</x:v>
      </x:c>
      <x:c r="AA302" s="7" t="s">
        <x:v>58</x:v>
      </x:c>
      <x:c r="AB302" s="8" t="s">
        <x:v>58</x:v>
      </x:c>
      <x:c r="AC302" s="8" t="s">
        <x:v>58</x:v>
      </x:c>
      <x:c r="AD302" s="8" t="s">
        <x:v>58</x:v>
      </x:c>
      <x:c r="AE302" s="8" t="s">
        <x:v>58</x:v>
      </x:c>
      <x:c r="AF302" s="8" t="s">
        <x:v>58</x:v>
      </x:c>
      <x:c r="AG302" s="7" t="s">
        <x:v>58</x:v>
      </x:c>
    </x:row>
    <x:row r="303" ht="79.5" hidden="0" customHeight="1">
      <x:c r="A303" s="7" t="s">
        <x:v>2577</x:v>
      </x:c>
      <x:c r="B303" s="7" t="s">
        <x:v>219</x:v>
      </x:c>
      <x:c r="C303" s="7" t="s">
        <x:v>221</x:v>
      </x:c>
      <x:c r="D303" s="7" t="s">
        <x:v>2030</x:v>
      </x:c>
      <x:c r="E303" s="7" t="s">
        <x:v>2578</x:v>
      </x:c>
      <x:c r="F303" s="7" t="s">
        <x:v>2033</x:v>
      </x:c>
      <x:c r="G303" s="8" t="n">
        <x:v>27.3</x:v>
      </x:c>
      <x:c r="H303" s="8" t="n">
        <x:v>2.2</x:v>
      </x:c>
      <x:c r="I303" s="8" t="s">
        <x:v>58</x:v>
      </x:c>
      <x:c r="J303" s="7" t="s">
        <x:v>1919</x:v>
      </x:c>
      <x:c r="K303" s="8" t="n">
        <x:v>1</x:v>
      </x:c>
      <x:c r="L303" s="8" t="n">
        <x:f aca="0">IF(AND(ISNUMBER(G303),P303&lt;&gt;"Unresolved unit / layout"),G303*K303,"Not applicable")</x:f>
        <x:v>27.3</x:v>
      </x:c>
      <x:c r="M303" s="8" t="n">
        <x:f aca="0">IF(AND(ISNUMBER(H303),P303&lt;&gt;"Unresolved unit / layout"),H303*K303,"Not applicable")</x:f>
        <x:v>2.2</x:v>
      </x:c>
      <x:c r="N303" s="8" t="str">
        <x:f aca="0">IF(AND(ISNUMBER(I303),P303&lt;&gt;"Unresolved unit / layout"),I303*K303,"Not applicable")</x:f>
        <x:v>Not applicable</x:v>
      </x:c>
      <x:c r="O303" s="7" t="s">
        <x:v>2033</x:v>
      </x:c>
      <x:c r="P303" s="7" t="s">
        <x:v>1921</x:v>
      </x:c>
      <x:c r="Q303" s="7" t="s">
        <x:v>1930</x:v>
      </x:c>
      <x:c r="R303" s="7" t="s">
        <x:v>1931</x:v>
      </x:c>
      <x:c r="S303" s="7" t="s">
        <x:v>2077</x:v>
      </x:c>
      <x:c r="T303" s="7" t="s">
        <x:v>2078</x:v>
      </x:c>
      <x:c r="U303" s="7" t="s">
        <x:v>53</x:v>
      </x:c>
      <x:c r="V303" s="7" t="s">
        <x:v>2036</x:v>
      </x:c>
      <x:c r="W303" s="7" t="s">
        <x:v>2135</x:v>
      </x:c>
      <x:c r="X303" s="7" t="s">
        <x:v>2550</x:v>
      </x:c>
      <x:c r="Y303" s="7" t="s">
        <x:v>1170</x:v>
      </x:c>
      <x:c r="Z303" s="7" t="s">
        <x:v>2219</x:v>
      </x:c>
      <x:c r="AA303" s="7" t="s">
        <x:v>58</x:v>
      </x:c>
      <x:c r="AB303" s="8" t="s">
        <x:v>58</x:v>
      </x:c>
      <x:c r="AC303" s="8" t="s">
        <x:v>58</x:v>
      </x:c>
      <x:c r="AD303" s="8" t="s">
        <x:v>58</x:v>
      </x:c>
      <x:c r="AE303" s="8" t="s">
        <x:v>58</x:v>
      </x:c>
      <x:c r="AF303" s="8" t="s">
        <x:v>58</x:v>
      </x:c>
      <x:c r="AG303" s="7" t="s">
        <x:v>58</x:v>
      </x:c>
    </x:row>
    <x:row r="304" ht="79.5" hidden="0" customHeight="1">
      <x:c r="A304" s="7" t="s">
        <x:v>2579</x:v>
      </x:c>
      <x:c r="B304" s="7" t="s">
        <x:v>219</x:v>
      </x:c>
      <x:c r="C304" s="7" t="s">
        <x:v>221</x:v>
      </x:c>
      <x:c r="D304" s="7" t="s">
        <x:v>2030</x:v>
      </x:c>
      <x:c r="E304" s="7" t="s">
        <x:v>2580</x:v>
      </x:c>
      <x:c r="F304" s="7" t="s">
        <x:v>2033</x:v>
      </x:c>
      <x:c r="G304" s="8" t="n">
        <x:v>8.8</x:v>
      </x:c>
      <x:c r="H304" s="8" t="n">
        <x:v>1.7</x:v>
      </x:c>
      <x:c r="I304" s="8" t="s">
        <x:v>58</x:v>
      </x:c>
      <x:c r="J304" s="7" t="s">
        <x:v>1919</x:v>
      </x:c>
      <x:c r="K304" s="8" t="n">
        <x:v>1</x:v>
      </x:c>
      <x:c r="L304" s="8" t="n">
        <x:f aca="0">IF(AND(ISNUMBER(G304),P304&lt;&gt;"Unresolved unit / layout"),G304*K304,"Not applicable")</x:f>
        <x:v>8.8</x:v>
      </x:c>
      <x:c r="M304" s="8" t="n">
        <x:f aca="0">IF(AND(ISNUMBER(H304),P304&lt;&gt;"Unresolved unit / layout"),H304*K304,"Not applicable")</x:f>
        <x:v>1.7</x:v>
      </x:c>
      <x:c r="N304" s="8" t="str">
        <x:f aca="0">IF(AND(ISNUMBER(I304),P304&lt;&gt;"Unresolved unit / layout"),I304*K304,"Not applicable")</x:f>
        <x:v>Not applicable</x:v>
      </x:c>
      <x:c r="O304" s="7" t="s">
        <x:v>2033</x:v>
      </x:c>
      <x:c r="P304" s="7" t="s">
        <x:v>1921</x:v>
      </x:c>
      <x:c r="Q304" s="7" t="s">
        <x:v>1930</x:v>
      </x:c>
      <x:c r="R304" s="7" t="s">
        <x:v>1931</x:v>
      </x:c>
      <x:c r="S304" s="7" t="s">
        <x:v>2077</x:v>
      </x:c>
      <x:c r="T304" s="7" t="s">
        <x:v>2078</x:v>
      </x:c>
      <x:c r="U304" s="7" t="s">
        <x:v>53</x:v>
      </x:c>
      <x:c r="V304" s="7" t="s">
        <x:v>2036</x:v>
      </x:c>
      <x:c r="W304" s="7" t="s">
        <x:v>2139</x:v>
      </x:c>
      <x:c r="X304" s="7" t="s">
        <x:v>2550</x:v>
      </x:c>
      <x:c r="Y304" s="7" t="s">
        <x:v>1170</x:v>
      </x:c>
      <x:c r="Z304" s="7" t="s">
        <x:v>2222</x:v>
      </x:c>
      <x:c r="AA304" s="7" t="s">
        <x:v>58</x:v>
      </x:c>
      <x:c r="AB304" s="8" t="s">
        <x:v>58</x:v>
      </x:c>
      <x:c r="AC304" s="8" t="s">
        <x:v>58</x:v>
      </x:c>
      <x:c r="AD304" s="8" t="s">
        <x:v>58</x:v>
      </x:c>
      <x:c r="AE304" s="8" t="s">
        <x:v>58</x:v>
      </x:c>
      <x:c r="AF304" s="8" t="s">
        <x:v>58</x:v>
      </x:c>
      <x:c r="AG304" s="7" t="s">
        <x:v>58</x:v>
      </x:c>
    </x:row>
    <x:row r="305" ht="79.5" hidden="0" customHeight="1">
      <x:c r="A305" s="7" t="s">
        <x:v>2581</x:v>
      </x:c>
      <x:c r="B305" s="7" t="s">
        <x:v>219</x:v>
      </x:c>
      <x:c r="C305" s="7" t="s">
        <x:v>221</x:v>
      </x:c>
      <x:c r="D305" s="7" t="s">
        <x:v>2030</x:v>
      </x:c>
      <x:c r="E305" s="7" t="s">
        <x:v>2582</x:v>
      </x:c>
      <x:c r="F305" s="7" t="s">
        <x:v>2033</x:v>
      </x:c>
      <x:c r="G305" s="8" t="n">
        <x:v>19.8</x:v>
      </x:c>
      <x:c r="H305" s="8" t="n">
        <x:v>1.8</x:v>
      </x:c>
      <x:c r="I305" s="8" t="s">
        <x:v>58</x:v>
      </x:c>
      <x:c r="J305" s="7" t="s">
        <x:v>1919</x:v>
      </x:c>
      <x:c r="K305" s="8" t="n">
        <x:v>1</x:v>
      </x:c>
      <x:c r="L305" s="8" t="n">
        <x:f aca="0">IF(AND(ISNUMBER(G305),P305&lt;&gt;"Unresolved unit / layout"),G305*K305,"Not applicable")</x:f>
        <x:v>19.8</x:v>
      </x:c>
      <x:c r="M305" s="8" t="n">
        <x:f aca="0">IF(AND(ISNUMBER(H305),P305&lt;&gt;"Unresolved unit / layout"),H305*K305,"Not applicable")</x:f>
        <x:v>1.8</x:v>
      </x:c>
      <x:c r="N305" s="8" t="str">
        <x:f aca="0">IF(AND(ISNUMBER(I305),P305&lt;&gt;"Unresolved unit / layout"),I305*K305,"Not applicable")</x:f>
        <x:v>Not applicable</x:v>
      </x:c>
      <x:c r="O305" s="7" t="s">
        <x:v>2033</x:v>
      </x:c>
      <x:c r="P305" s="7" t="s">
        <x:v>1921</x:v>
      </x:c>
      <x:c r="Q305" s="7" t="s">
        <x:v>1930</x:v>
      </x:c>
      <x:c r="R305" s="7" t="s">
        <x:v>2003</x:v>
      </x:c>
      <x:c r="S305" s="7" t="s">
        <x:v>2077</x:v>
      </x:c>
      <x:c r="T305" s="7" t="s">
        <x:v>2078</x:v>
      </x:c>
      <x:c r="U305" s="7" t="s">
        <x:v>53</x:v>
      </x:c>
      <x:c r="V305" s="7" t="s">
        <x:v>2036</x:v>
      </x:c>
      <x:c r="W305" s="7" t="s">
        <x:v>53</x:v>
      </x:c>
      <x:c r="X305" s="7" t="s">
        <x:v>2550</x:v>
      </x:c>
      <x:c r="Y305" s="7" t="s">
        <x:v>1170</x:v>
      </x:c>
      <x:c r="Z305" s="7" t="s">
        <x:v>2225</x:v>
      </x:c>
      <x:c r="AA305" s="7" t="s">
        <x:v>58</x:v>
      </x:c>
      <x:c r="AB305" s="8" t="s">
        <x:v>58</x:v>
      </x:c>
      <x:c r="AC305" s="8" t="s">
        <x:v>58</x:v>
      </x:c>
      <x:c r="AD305" s="8" t="s">
        <x:v>58</x:v>
      </x:c>
      <x:c r="AE305" s="8" t="s">
        <x:v>58</x:v>
      </x:c>
      <x:c r="AF305" s="8" t="s">
        <x:v>58</x:v>
      </x:c>
      <x:c r="AG305" s="7" t="s">
        <x:v>58</x:v>
      </x:c>
    </x:row>
    <x:row r="306" ht="79.5" hidden="0" customHeight="1">
      <x:c r="A306" s="7" t="s">
        <x:v>2583</x:v>
      </x:c>
      <x:c r="B306" s="7" t="s">
        <x:v>229</x:v>
      </x:c>
      <x:c r="C306" s="7" t="s">
        <x:v>231</x:v>
      </x:c>
      <x:c r="D306" s="7" t="s">
        <x:v>1916</x:v>
      </x:c>
      <x:c r="E306" s="7" t="s">
        <x:v>2227</x:v>
      </x:c>
      <x:c r="F306" s="7" t="s">
        <x:v>2076</x:v>
      </x:c>
      <x:c r="G306" s="8" t="n">
        <x:v>1.21</x:v>
      </x:c>
      <x:c r="H306" s="8" t="s">
        <x:v>58</x:v>
      </x:c>
      <x:c r="I306" s="8" t="s">
        <x:v>58</x:v>
      </x:c>
      <x:c r="J306" s="7" t="s">
        <x:v>1919</x:v>
      </x:c>
      <x:c r="K306" s="8" t="n">
        <x:v>1000</x:v>
      </x:c>
      <x:c r="L306" s="8" t="n">
        <x:f aca="0">IF(AND(ISNUMBER(G306),P306&lt;&gt;"Unresolved unit / layout"),G306*K306,"Not applicable")</x:f>
        <x:v>1210</x:v>
      </x:c>
      <x:c r="M306" s="8" t="str">
        <x:f aca="0">IF(AND(ISNUMBER(H306),P306&lt;&gt;"Unresolved unit / layout"),H306*K306,"Not applicable")</x:f>
        <x:v>Not applicable</x:v>
      </x:c>
      <x:c r="N306" s="8" t="str">
        <x:f aca="0">IF(AND(ISNUMBER(I306),P306&lt;&gt;"Unresolved unit / layout"),I306*K306,"Not applicable")</x:f>
        <x:v>Not applicable</x:v>
      </x:c>
      <x:c r="O306" s="7" t="s">
        <x:v>1920</x:v>
      </x:c>
      <x:c r="P306" s="7" t="s">
        <x:v>1921</x:v>
      </x:c>
      <x:c r="Q306" s="7" t="s">
        <x:v>1922</x:v>
      </x:c>
      <x:c r="R306" s="7" t="s">
        <x:v>58</x:v>
      </x:c>
      <x:c r="S306" s="7" t="s">
        <x:v>2077</x:v>
      </x:c>
      <x:c r="T306" s="7" t="s">
        <x:v>2584</x:v>
      </x:c>
      <x:c r="U306" s="7" t="s">
        <x:v>53</x:v>
      </x:c>
      <x:c r="V306" s="7" t="s">
        <x:v>1923</x:v>
      </x:c>
      <x:c r="W306" s="7" t="s">
        <x:v>58</x:v>
      </x:c>
      <x:c r="X306" s="7" t="s">
        <x:v>2585</x:v>
      </x:c>
      <x:c r="Y306" s="7" t="s">
        <x:v>1171</x:v>
      </x:c>
      <x:c r="Z306" s="7" t="s">
        <x:v>1968</x:v>
      </x:c>
      <x:c r="AA306" s="7" t="s">
        <x:v>58</x:v>
      </x:c>
      <x:c r="AB306" s="8" t="s">
        <x:v>58</x:v>
      </x:c>
      <x:c r="AC306" s="8" t="s">
        <x:v>58</x:v>
      </x:c>
      <x:c r="AD306" s="8" t="s">
        <x:v>58</x:v>
      </x:c>
      <x:c r="AE306" s="8" t="s">
        <x:v>58</x:v>
      </x:c>
      <x:c r="AF306" s="8" t="s">
        <x:v>58</x:v>
      </x:c>
      <x:c r="AG306" s="7" t="s">
        <x:v>58</x:v>
      </x:c>
    </x:row>
    <x:row r="307" ht="79.5" hidden="0" customHeight="1">
      <x:c r="A307" s="7" t="s">
        <x:v>2586</x:v>
      </x:c>
      <x:c r="B307" s="7" t="s">
        <x:v>229</x:v>
      </x:c>
      <x:c r="C307" s="7" t="s">
        <x:v>231</x:v>
      </x:c>
      <x:c r="D307" s="7" t="s">
        <x:v>1974</x:v>
      </x:c>
      <x:c r="E307" s="7" t="s">
        <x:v>2587</x:v>
      </x:c>
      <x:c r="F307" s="7" t="s">
        <x:v>1956</x:v>
      </x:c>
      <x:c r="G307" s="8" t="n">
        <x:v>153</x:v>
      </x:c>
      <x:c r="H307" s="8" t="s">
        <x:v>58</x:v>
      </x:c>
      <x:c r="I307" s="8" t="s">
        <x:v>58</x:v>
      </x:c>
      <x:c r="J307" s="7" t="s">
        <x:v>1919</x:v>
      </x:c>
      <x:c r="K307" s="8" t="n">
        <x:v>1</x:v>
      </x:c>
      <x:c r="L307" s="8" t="n">
        <x:f aca="0">IF(AND(ISNUMBER(G307),P307&lt;&gt;"Unresolved unit / layout"),G307*K307,"Not applicable")</x:f>
        <x:v>153</x:v>
      </x:c>
      <x:c r="M307" s="8" t="str">
        <x:f aca="0">IF(AND(ISNUMBER(H307),P307&lt;&gt;"Unresolved unit / layout"),H307*K307,"Not applicable")</x:f>
        <x:v>Not applicable</x:v>
      </x:c>
      <x:c r="N307" s="8" t="str">
        <x:f aca="0">IF(AND(ISNUMBER(I307),P307&lt;&gt;"Unresolved unit / layout"),I307*K307,"Not applicable")</x:f>
        <x:v>Not applicable</x:v>
      </x:c>
      <x:c r="O307" s="7" t="s">
        <x:v>1956</x:v>
      </x:c>
      <x:c r="P307" s="7" t="s">
        <x:v>1921</x:v>
      </x:c>
      <x:c r="Q307" s="7" t="s">
        <x:v>2064</x:v>
      </x:c>
      <x:c r="R307" s="7" t="s">
        <x:v>58</x:v>
      </x:c>
      <x:c r="S307" s="7" t="s">
        <x:v>2077</x:v>
      </x:c>
      <x:c r="T307" s="7" t="s">
        <x:v>2584</x:v>
      </x:c>
      <x:c r="U307" s="7" t="s">
        <x:v>53</x:v>
      </x:c>
      <x:c r="V307" s="7" t="s">
        <x:v>2082</x:v>
      </x:c>
      <x:c r="W307" s="7" t="s">
        <x:v>58</x:v>
      </x:c>
      <x:c r="X307" s="7" t="s">
        <x:v>2585</x:v>
      </x:c>
      <x:c r="Y307" s="7" t="s">
        <x:v>1171</x:v>
      </x:c>
      <x:c r="Z307" s="7" t="s">
        <x:v>2083</x:v>
      </x:c>
      <x:c r="AA307" s="7" t="s">
        <x:v>58</x:v>
      </x:c>
      <x:c r="AB307" s="8" t="s">
        <x:v>58</x:v>
      </x:c>
      <x:c r="AC307" s="8" t="s">
        <x:v>58</x:v>
      </x:c>
      <x:c r="AD307" s="8" t="s">
        <x:v>58</x:v>
      </x:c>
      <x:c r="AE307" s="8" t="s">
        <x:v>58</x:v>
      </x:c>
      <x:c r="AF307" s="8" t="s">
        <x:v>58</x:v>
      </x:c>
      <x:c r="AG307" s="7" t="s">
        <x:v>58</x:v>
      </x:c>
    </x:row>
    <x:row r="308" ht="79.5" hidden="0" customHeight="1">
      <x:c r="A308" s="7" t="s">
        <x:v>2588</x:v>
      </x:c>
      <x:c r="B308" s="7" t="s">
        <x:v>229</x:v>
      </x:c>
      <x:c r="C308" s="7" t="s">
        <x:v>231</x:v>
      </x:c>
      <x:c r="D308" s="7" t="s">
        <x:v>1954</x:v>
      </x:c>
      <x:c r="E308" s="7" t="s">
        <x:v>2456</x:v>
      </x:c>
      <x:c r="F308" s="7" t="s">
        <x:v>1956</x:v>
      </x:c>
      <x:c r="G308" s="8" t="n">
        <x:v>55</x:v>
      </x:c>
      <x:c r="H308" s="8" t="s">
        <x:v>58</x:v>
      </x:c>
      <x:c r="I308" s="8" t="s">
        <x:v>58</x:v>
      </x:c>
      <x:c r="J308" s="7" t="s">
        <x:v>1919</x:v>
      </x:c>
      <x:c r="K308" s="8" t="n">
        <x:v>1</x:v>
      </x:c>
      <x:c r="L308" s="8" t="n">
        <x:f aca="0">IF(AND(ISNUMBER(G308),P308&lt;&gt;"Unresolved unit / layout"),G308*K308,"Not applicable")</x:f>
        <x:v>55</x:v>
      </x:c>
      <x:c r="M308" s="8" t="str">
        <x:f aca="0">IF(AND(ISNUMBER(H308),P308&lt;&gt;"Unresolved unit / layout"),H308*K308,"Not applicable")</x:f>
        <x:v>Not applicable</x:v>
      </x:c>
      <x:c r="N308" s="8" t="str">
        <x:f aca="0">IF(AND(ISNUMBER(I308),P308&lt;&gt;"Unresolved unit / layout"),I308*K308,"Not applicable")</x:f>
        <x:v>Not applicable</x:v>
      </x:c>
      <x:c r="O308" s="7" t="s">
        <x:v>1956</x:v>
      </x:c>
      <x:c r="P308" s="7" t="s">
        <x:v>1921</x:v>
      </x:c>
      <x:c r="Q308" s="7" t="s">
        <x:v>2064</x:v>
      </x:c>
      <x:c r="R308" s="7" t="s">
        <x:v>58</x:v>
      </x:c>
      <x:c r="S308" s="7" t="s">
        <x:v>2077</x:v>
      </x:c>
      <x:c r="T308" s="7" t="s">
        <x:v>2584</x:v>
      </x:c>
      <x:c r="U308" s="7" t="s">
        <x:v>53</x:v>
      </x:c>
      <x:c r="V308" s="7" t="s">
        <x:v>2082</x:v>
      </x:c>
      <x:c r="W308" s="7" t="s">
        <x:v>58</x:v>
      </x:c>
      <x:c r="X308" s="7" t="s">
        <x:v>2585</x:v>
      </x:c>
      <x:c r="Y308" s="7" t="s">
        <x:v>1171</x:v>
      </x:c>
      <x:c r="Z308" s="7" t="s">
        <x:v>2086</x:v>
      </x:c>
      <x:c r="AA308" s="7" t="s">
        <x:v>58</x:v>
      </x:c>
      <x:c r="AB308" s="8" t="s">
        <x:v>58</x:v>
      </x:c>
      <x:c r="AC308" s="8" t="s">
        <x:v>58</x:v>
      </x:c>
      <x:c r="AD308" s="8" t="s">
        <x:v>58</x:v>
      </x:c>
      <x:c r="AE308" s="8" t="s">
        <x:v>58</x:v>
      </x:c>
      <x:c r="AF308" s="8" t="s">
        <x:v>58</x:v>
      </x:c>
      <x:c r="AG308" s="7" t="s">
        <x:v>58</x:v>
      </x:c>
    </x:row>
    <x:row r="309" ht="79.5" hidden="0" customHeight="1">
      <x:c r="A309" s="7" t="s">
        <x:v>2589</x:v>
      </x:c>
      <x:c r="B309" s="7" t="s">
        <x:v>229</x:v>
      </x:c>
      <x:c r="C309" s="7" t="s">
        <x:v>231</x:v>
      </x:c>
      <x:c r="D309" s="7" t="s">
        <x:v>1982</x:v>
      </x:c>
      <x:c r="E309" s="7" t="s">
        <x:v>2094</x:v>
      </x:c>
      <x:c r="F309" s="7" t="s">
        <x:v>1956</x:v>
      </x:c>
      <x:c r="G309" s="8" t="n">
        <x:v>54</x:v>
      </x:c>
      <x:c r="H309" s="8" t="s">
        <x:v>58</x:v>
      </x:c>
      <x:c r="I309" s="8" t="s">
        <x:v>58</x:v>
      </x:c>
      <x:c r="J309" s="7" t="s">
        <x:v>1919</x:v>
      </x:c>
      <x:c r="K309" s="8" t="n">
        <x:v>1</x:v>
      </x:c>
      <x:c r="L309" s="8" t="n">
        <x:f aca="0">IF(AND(ISNUMBER(G309),P309&lt;&gt;"Unresolved unit / layout"),G309*K309,"Not applicable")</x:f>
        <x:v>54</x:v>
      </x:c>
      <x:c r="M309" s="8" t="str">
        <x:f aca="0">IF(AND(ISNUMBER(H309),P309&lt;&gt;"Unresolved unit / layout"),H309*K309,"Not applicable")</x:f>
        <x:v>Not applicable</x:v>
      </x:c>
      <x:c r="N309" s="8" t="str">
        <x:f aca="0">IF(AND(ISNUMBER(I309),P309&lt;&gt;"Unresolved unit / layout"),I309*K309,"Not applicable")</x:f>
        <x:v>Not applicable</x:v>
      </x:c>
      <x:c r="O309" s="7" t="s">
        <x:v>1956</x:v>
      </x:c>
      <x:c r="P309" s="7" t="s">
        <x:v>1921</x:v>
      </x:c>
      <x:c r="Q309" s="7" t="s">
        <x:v>2064</x:v>
      </x:c>
      <x:c r="R309" s="7" t="s">
        <x:v>58</x:v>
      </x:c>
      <x:c r="S309" s="7" t="s">
        <x:v>2077</x:v>
      </x:c>
      <x:c r="T309" s="7" t="s">
        <x:v>2584</x:v>
      </x:c>
      <x:c r="U309" s="7" t="s">
        <x:v>53</x:v>
      </x:c>
      <x:c r="V309" s="7" t="s">
        <x:v>1984</x:v>
      </x:c>
      <x:c r="W309" s="7" t="s">
        <x:v>58</x:v>
      </x:c>
      <x:c r="X309" s="7" t="s">
        <x:v>2585</x:v>
      </x:c>
      <x:c r="Y309" s="7" t="s">
        <x:v>1171</x:v>
      </x:c>
      <x:c r="Z309" s="7" t="s">
        <x:v>2234</x:v>
      </x:c>
      <x:c r="AA309" s="7" t="s">
        <x:v>58</x:v>
      </x:c>
      <x:c r="AB309" s="8" t="s">
        <x:v>58</x:v>
      </x:c>
      <x:c r="AC309" s="8" t="s">
        <x:v>58</x:v>
      </x:c>
      <x:c r="AD309" s="8" t="s">
        <x:v>58</x:v>
      </x:c>
      <x:c r="AE309" s="8" t="s">
        <x:v>58</x:v>
      </x:c>
      <x:c r="AF309" s="8" t="s">
        <x:v>58</x:v>
      </x:c>
      <x:c r="AG309" s="7" t="s">
        <x:v>58</x:v>
      </x:c>
    </x:row>
    <x:row r="310" ht="79.5" hidden="0" customHeight="1">
      <x:c r="A310" s="7" t="s">
        <x:v>2590</x:v>
      </x:c>
      <x:c r="B310" s="7" t="s">
        <x:v>229</x:v>
      </x:c>
      <x:c r="C310" s="7" t="s">
        <x:v>231</x:v>
      </x:c>
      <x:c r="D310" s="7" t="s">
        <x:v>1959</x:v>
      </x:c>
      <x:c r="E310" s="7" t="s">
        <x:v>2591</x:v>
      </x:c>
      <x:c r="F310" s="7" t="s">
        <x:v>1956</x:v>
      </x:c>
      <x:c r="G310" s="8" t="n">
        <x:v>48</x:v>
      </x:c>
      <x:c r="H310" s="8" t="s">
        <x:v>58</x:v>
      </x:c>
      <x:c r="I310" s="8" t="s">
        <x:v>58</x:v>
      </x:c>
      <x:c r="J310" s="7" t="s">
        <x:v>1919</x:v>
      </x:c>
      <x:c r="K310" s="8" t="n">
        <x:v>1</x:v>
      </x:c>
      <x:c r="L310" s="8" t="n">
        <x:f aca="0">IF(AND(ISNUMBER(G310),P310&lt;&gt;"Unresolved unit / layout"),G310*K310,"Not applicable")</x:f>
        <x:v>48</x:v>
      </x:c>
      <x:c r="M310" s="8" t="str">
        <x:f aca="0">IF(AND(ISNUMBER(H310),P310&lt;&gt;"Unresolved unit / layout"),H310*K310,"Not applicable")</x:f>
        <x:v>Not applicable</x:v>
      </x:c>
      <x:c r="N310" s="8" t="str">
        <x:f aca="0">IF(AND(ISNUMBER(I310),P310&lt;&gt;"Unresolved unit / layout"),I310*K310,"Not applicable")</x:f>
        <x:v>Not applicable</x:v>
      </x:c>
      <x:c r="O310" s="7" t="s">
        <x:v>1956</x:v>
      </x:c>
      <x:c r="P310" s="7" t="s">
        <x:v>1921</x:v>
      </x:c>
      <x:c r="Q310" s="7" t="s">
        <x:v>2064</x:v>
      </x:c>
      <x:c r="R310" s="7" t="s">
        <x:v>58</x:v>
      </x:c>
      <x:c r="S310" s="7" t="s">
        <x:v>2077</x:v>
      </x:c>
      <x:c r="T310" s="7" t="s">
        <x:v>2584</x:v>
      </x:c>
      <x:c r="U310" s="7" t="s">
        <x:v>53</x:v>
      </x:c>
      <x:c r="V310" s="7" t="s">
        <x:v>2095</x:v>
      </x:c>
      <x:c r="W310" s="7" t="s">
        <x:v>58</x:v>
      </x:c>
      <x:c r="X310" s="7" t="s">
        <x:v>2585</x:v>
      </x:c>
      <x:c r="Y310" s="7" t="s">
        <x:v>1171</x:v>
      </x:c>
      <x:c r="Z310" s="7" t="s">
        <x:v>2096</x:v>
      </x:c>
      <x:c r="AA310" s="7" t="s">
        <x:v>58</x:v>
      </x:c>
      <x:c r="AB310" s="8" t="s">
        <x:v>58</x:v>
      </x:c>
      <x:c r="AC310" s="8" t="s">
        <x:v>58</x:v>
      </x:c>
      <x:c r="AD310" s="8" t="s">
        <x:v>58</x:v>
      </x:c>
      <x:c r="AE310" s="8" t="s">
        <x:v>58</x:v>
      </x:c>
      <x:c r="AF310" s="8" t="s">
        <x:v>58</x:v>
      </x:c>
      <x:c r="AG310" s="7" t="s">
        <x:v>58</x:v>
      </x:c>
    </x:row>
    <x:row r="311" ht="79.5" hidden="0" customHeight="1">
      <x:c r="A311" s="7" t="s">
        <x:v>236</x:v>
      </x:c>
      <x:c r="B311" s="7" t="s">
        <x:v>229</x:v>
      </x:c>
      <x:c r="C311" s="7" t="s">
        <x:v>231</x:v>
      </x:c>
      <x:c r="D311" s="7" t="s">
        <x:v>1959</x:v>
      </x:c>
      <x:c r="E311" s="7" t="s">
        <x:v>1991</x:v>
      </x:c>
      <x:c r="F311" s="7" t="s">
        <x:v>1956</x:v>
      </x:c>
      <x:c r="G311" s="8" t="n">
        <x:v>53</x:v>
      </x:c>
      <x:c r="H311" s="8" t="s">
        <x:v>58</x:v>
      </x:c>
      <x:c r="I311" s="8" t="s">
        <x:v>58</x:v>
      </x:c>
      <x:c r="J311" s="7" t="s">
        <x:v>1919</x:v>
      </x:c>
      <x:c r="K311" s="8" t="n">
        <x:v>1</x:v>
      </x:c>
      <x:c r="L311" s="8" t="n">
        <x:f aca="0">IF(AND(ISNUMBER(G311),P311&lt;&gt;"Unresolved unit / layout"),G311*K311,"Not applicable")</x:f>
        <x:v>53</x:v>
      </x:c>
      <x:c r="M311" s="8" t="str">
        <x:f aca="0">IF(AND(ISNUMBER(H311),P311&lt;&gt;"Unresolved unit / layout"),H311*K311,"Not applicable")</x:f>
        <x:v>Not applicable</x:v>
      </x:c>
      <x:c r="N311" s="8" t="str">
        <x:f aca="0">IF(AND(ISNUMBER(I311),P311&lt;&gt;"Unresolved unit / layout"),I311*K311,"Not applicable")</x:f>
        <x:v>Not applicable</x:v>
      </x:c>
      <x:c r="O311" s="7" t="s">
        <x:v>1956</x:v>
      </x:c>
      <x:c r="P311" s="7" t="s">
        <x:v>1921</x:v>
      </x:c>
      <x:c r="Q311" s="7" t="s">
        <x:v>2064</x:v>
      </x:c>
      <x:c r="R311" s="7" t="s">
        <x:v>58</x:v>
      </x:c>
      <x:c r="S311" s="7" t="s">
        <x:v>2077</x:v>
      </x:c>
      <x:c r="T311" s="7" t="s">
        <x:v>2584</x:v>
      </x:c>
      <x:c r="U311" s="7" t="s">
        <x:v>53</x:v>
      </x:c>
      <x:c r="V311" s="7" t="s">
        <x:v>2097</x:v>
      </x:c>
      <x:c r="W311" s="7" t="s">
        <x:v>58</x:v>
      </x:c>
      <x:c r="X311" s="7" t="s">
        <x:v>2585</x:v>
      </x:c>
      <x:c r="Y311" s="7" t="s">
        <x:v>1171</x:v>
      </x:c>
      <x:c r="Z311" s="7" t="s">
        <x:v>2096</x:v>
      </x:c>
      <x:c r="AA311" s="7" t="s">
        <x:v>58</x:v>
      </x:c>
      <x:c r="AB311" s="8" t="s">
        <x:v>58</x:v>
      </x:c>
      <x:c r="AC311" s="8" t="s">
        <x:v>58</x:v>
      </x:c>
      <x:c r="AD311" s="8" t="s">
        <x:v>58</x:v>
      </x:c>
      <x:c r="AE311" s="8" t="s">
        <x:v>58</x:v>
      </x:c>
      <x:c r="AF311" s="8" t="s">
        <x:v>58</x:v>
      </x:c>
      <x:c r="AG311" s="7" t="s">
        <x:v>58</x:v>
      </x:c>
    </x:row>
    <x:row r="312" ht="79.5" hidden="0" customHeight="1">
      <x:c r="A312" s="7" t="s">
        <x:v>2592</x:v>
      </x:c>
      <x:c r="B312" s="7" t="s">
        <x:v>229</x:v>
      </x:c>
      <x:c r="C312" s="7" t="s">
        <x:v>231</x:v>
      </x:c>
      <x:c r="D312" s="7" t="s">
        <x:v>2099</x:v>
      </x:c>
      <x:c r="E312" s="7" t="s">
        <x:v>2525</x:v>
      </x:c>
      <x:c r="F312" s="7" t="s">
        <x:v>1942</x:v>
      </x:c>
      <x:c r="G312" s="8" t="n">
        <x:v>0.45</x:v>
      </x:c>
      <x:c r="H312" s="8" t="s">
        <x:v>58</x:v>
      </x:c>
      <x:c r="I312" s="8" t="s">
        <x:v>58</x:v>
      </x:c>
      <x:c r="J312" s="7" t="s">
        <x:v>1919</x:v>
      </x:c>
      <x:c r="K312" s="8" t="n">
        <x:v>1</x:v>
      </x:c>
      <x:c r="L312" s="8" t="n">
        <x:f aca="0">IF(AND(ISNUMBER(G312),P312&lt;&gt;"Unresolved unit / layout"),G312*K312,"Not applicable")</x:f>
        <x:v>0.45</x:v>
      </x:c>
      <x:c r="M312" s="8" t="str">
        <x:f aca="0">IF(AND(ISNUMBER(H312),P312&lt;&gt;"Unresolved unit / layout"),H312*K312,"Not applicable")</x:f>
        <x:v>Not applicable</x:v>
      </x:c>
      <x:c r="N312" s="8" t="str">
        <x:f aca="0">IF(AND(ISNUMBER(I312),P312&lt;&gt;"Unresolved unit / layout"),I312*K312,"Not applicable")</x:f>
        <x:v>Not applicable</x:v>
      </x:c>
      <x:c r="O312" s="7" t="s">
        <x:v>1942</x:v>
      </x:c>
      <x:c r="P312" s="7" t="s">
        <x:v>1921</x:v>
      </x:c>
      <x:c r="Q312" s="7" t="s">
        <x:v>2064</x:v>
      </x:c>
      <x:c r="R312" s="7" t="s">
        <x:v>58</x:v>
      </x:c>
      <x:c r="S312" s="7" t="s">
        <x:v>2077</x:v>
      </x:c>
      <x:c r="T312" s="7" t="s">
        <x:v>2584</x:v>
      </x:c>
      <x:c r="U312" s="7" t="s">
        <x:v>53</x:v>
      </x:c>
      <x:c r="V312" s="7" t="s">
        <x:v>2238</x:v>
      </x:c>
      <x:c r="W312" s="7" t="s">
        <x:v>58</x:v>
      </x:c>
      <x:c r="X312" s="7" t="s">
        <x:v>2585</x:v>
      </x:c>
      <x:c r="Y312" s="7" t="s">
        <x:v>1171</x:v>
      </x:c>
      <x:c r="Z312" s="7" t="s">
        <x:v>2239</x:v>
      </x:c>
      <x:c r="AA312" s="7" t="s">
        <x:v>58</x:v>
      </x:c>
      <x:c r="AB312" s="8" t="s">
        <x:v>58</x:v>
      </x:c>
      <x:c r="AC312" s="8" t="s">
        <x:v>58</x:v>
      </x:c>
      <x:c r="AD312" s="8" t="s">
        <x:v>58</x:v>
      </x:c>
      <x:c r="AE312" s="8" t="s">
        <x:v>58</x:v>
      </x:c>
      <x:c r="AF312" s="8" t="s">
        <x:v>58</x:v>
      </x:c>
      <x:c r="AG312" s="7" t="s">
        <x:v>58</x:v>
      </x:c>
    </x:row>
    <x:row r="313" ht="79.5" hidden="0" customHeight="1">
      <x:c r="A313" s="7" t="s">
        <x:v>2593</x:v>
      </x:c>
      <x:c r="B313" s="7" t="s">
        <x:v>229</x:v>
      </x:c>
      <x:c r="C313" s="7" t="s">
        <x:v>231</x:v>
      </x:c>
      <x:c r="D313" s="7" t="s">
        <x:v>1935</x:v>
      </x:c>
      <x:c r="E313" s="7" t="s">
        <x:v>2594</x:v>
      </x:c>
      <x:c r="F313" s="7" t="s">
        <x:v>1929</x:v>
      </x:c>
      <x:c r="G313" s="8" t="n">
        <x:v>1350</x:v>
      </x:c>
      <x:c r="H313" s="8" t="n">
        <x:v>250</x:v>
      </x:c>
      <x:c r="I313" s="8" t="s">
        <x:v>58</x:v>
      </x:c>
      <x:c r="J313" s="7" t="s">
        <x:v>1919</x:v>
      </x:c>
      <x:c r="K313" s="8" t="n">
        <x:v>0.001</x:v>
      </x:c>
      <x:c r="L313" s="8" t="n">
        <x:f aca="0">IF(AND(ISNUMBER(G313),P313&lt;&gt;"Unresolved unit / layout"),G313*K313,"Not applicable")</x:f>
        <x:v>1.35</x:v>
      </x:c>
      <x:c r="M313" s="8" t="n">
        <x:f aca="0">IF(AND(ISNUMBER(H313),P313&lt;&gt;"Unresolved unit / layout"),H313*K313,"Not applicable")</x:f>
        <x:v>0.25</x:v>
      </x:c>
      <x:c r="N313" s="8" t="str">
        <x:f aca="0">IF(AND(ISNUMBER(I313),P313&lt;&gt;"Unresolved unit / layout"),I313*K313,"Not applicable")</x:f>
        <x:v>Not applicable</x:v>
      </x:c>
      <x:c r="O313" s="7" t="s">
        <x:v>1937</x:v>
      </x:c>
      <x:c r="P313" s="7" t="s">
        <x:v>1921</x:v>
      </x:c>
      <x:c r="Q313" s="7" t="s">
        <x:v>2064</x:v>
      </x:c>
      <x:c r="R313" s="7" t="s">
        <x:v>1931</x:v>
      </x:c>
      <x:c r="S313" s="7" t="s">
        <x:v>2077</x:v>
      </x:c>
      <x:c r="T313" s="7" t="s">
        <x:v>2584</x:v>
      </x:c>
      <x:c r="U313" s="7" t="s">
        <x:v>53</x:v>
      </x:c>
      <x:c r="V313" s="7" t="s">
        <x:v>1999</x:v>
      </x:c>
      <x:c r="W313" s="7" t="s">
        <x:v>58</x:v>
      </x:c>
      <x:c r="X313" s="7" t="s">
        <x:v>2585</x:v>
      </x:c>
      <x:c r="Y313" s="7" t="s">
        <x:v>1171</x:v>
      </x:c>
      <x:c r="Z313" s="7" t="s">
        <x:v>2105</x:v>
      </x:c>
      <x:c r="AA313" s="7" t="s">
        <x:v>58</x:v>
      </x:c>
      <x:c r="AB313" s="8" t="s">
        <x:v>58</x:v>
      </x:c>
      <x:c r="AC313" s="8" t="s">
        <x:v>58</x:v>
      </x:c>
      <x:c r="AD313" s="8" t="s">
        <x:v>58</x:v>
      </x:c>
      <x:c r="AE313" s="8" t="s">
        <x:v>58</x:v>
      </x:c>
      <x:c r="AF313" s="8" t="s">
        <x:v>58</x:v>
      </x:c>
      <x:c r="AG313" s="7" t="s">
        <x:v>58</x:v>
      </x:c>
    </x:row>
    <x:row r="314" ht="79.5" hidden="0" customHeight="1">
      <x:c r="A314" s="7" t="s">
        <x:v>2595</x:v>
      </x:c>
      <x:c r="B314" s="7" t="s">
        <x:v>229</x:v>
      </x:c>
      <x:c r="C314" s="7" t="s">
        <x:v>231</x:v>
      </x:c>
      <x:c r="D314" s="7" t="s">
        <x:v>1935</x:v>
      </x:c>
      <x:c r="E314" s="7" t="s">
        <x:v>2596</x:v>
      </x:c>
      <x:c r="F314" s="7" t="s">
        <x:v>1929</x:v>
      </x:c>
      <x:c r="G314" s="8" t="n">
        <x:v>1240</x:v>
      </x:c>
      <x:c r="H314" s="8" t="n">
        <x:v>180</x:v>
      </x:c>
      <x:c r="I314" s="8" t="s">
        <x:v>58</x:v>
      </x:c>
      <x:c r="J314" s="7" t="s">
        <x:v>1919</x:v>
      </x:c>
      <x:c r="K314" s="8" t="n">
        <x:v>0.001</x:v>
      </x:c>
      <x:c r="L314" s="8" t="n">
        <x:f aca="0">IF(AND(ISNUMBER(G314),P314&lt;&gt;"Unresolved unit / layout"),G314*K314,"Not applicable")</x:f>
        <x:v>1.24</x:v>
      </x:c>
      <x:c r="M314" s="8" t="n">
        <x:f aca="0">IF(AND(ISNUMBER(H314),P314&lt;&gt;"Unresolved unit / layout"),H314*K314,"Not applicable")</x:f>
        <x:v>0.18</x:v>
      </x:c>
      <x:c r="N314" s="8" t="str">
        <x:f aca="0">IF(AND(ISNUMBER(I314),P314&lt;&gt;"Unresolved unit / layout"),I314*K314,"Not applicable")</x:f>
        <x:v>Not applicable</x:v>
      </x:c>
      <x:c r="O314" s="7" t="s">
        <x:v>1937</x:v>
      </x:c>
      <x:c r="P314" s="7" t="s">
        <x:v>1921</x:v>
      </x:c>
      <x:c r="Q314" s="7" t="s">
        <x:v>2064</x:v>
      </x:c>
      <x:c r="R314" s="7" t="s">
        <x:v>2003</x:v>
      </x:c>
      <x:c r="S314" s="7" t="s">
        <x:v>2077</x:v>
      </x:c>
      <x:c r="T314" s="7" t="s">
        <x:v>2584</x:v>
      </x:c>
      <x:c r="U314" s="7" t="s">
        <x:v>53</x:v>
      </x:c>
      <x:c r="V314" s="7" t="s">
        <x:v>1999</x:v>
      </x:c>
      <x:c r="W314" s="7" t="s">
        <x:v>58</x:v>
      </x:c>
      <x:c r="X314" s="7" t="s">
        <x:v>2585</x:v>
      </x:c>
      <x:c r="Y314" s="7" t="s">
        <x:v>1171</x:v>
      </x:c>
      <x:c r="Z314" s="7" t="s">
        <x:v>2108</x:v>
      </x:c>
      <x:c r="AA314" s="7" t="s">
        <x:v>58</x:v>
      </x:c>
      <x:c r="AB314" s="8" t="s">
        <x:v>58</x:v>
      </x:c>
      <x:c r="AC314" s="8" t="s">
        <x:v>58</x:v>
      </x:c>
      <x:c r="AD314" s="8" t="s">
        <x:v>58</x:v>
      </x:c>
      <x:c r="AE314" s="8" t="s">
        <x:v>58</x:v>
      </x:c>
      <x:c r="AF314" s="8" t="s">
        <x:v>58</x:v>
      </x:c>
      <x:c r="AG314" s="7" t="s">
        <x:v>58</x:v>
      </x:c>
    </x:row>
    <x:row r="315" ht="79.5" hidden="0" customHeight="1">
      <x:c r="A315" s="7" t="s">
        <x:v>2597</x:v>
      </x:c>
      <x:c r="B315" s="7" t="s">
        <x:v>229</x:v>
      </x:c>
      <x:c r="C315" s="7" t="s">
        <x:v>231</x:v>
      </x:c>
      <x:c r="D315" s="7" t="s">
        <x:v>2006</x:v>
      </x:c>
      <x:c r="E315" s="7" t="s">
        <x:v>2598</x:v>
      </x:c>
      <x:c r="F315" s="7" t="s">
        <x:v>1929</x:v>
      </x:c>
      <x:c r="G315" s="8" t="n">
        <x:v>24</x:v>
      </x:c>
      <x:c r="H315" s="8" t="n">
        <x:v>2</x:v>
      </x:c>
      <x:c r="I315" s="8" t="s">
        <x:v>58</x:v>
      </x:c>
      <x:c r="J315" s="7" t="s">
        <x:v>1919</x:v>
      </x:c>
      <x:c r="K315" s="8" t="n">
        <x:v>1</x:v>
      </x:c>
      <x:c r="L315" s="8" t="n">
        <x:f aca="0">IF(AND(ISNUMBER(G315),P315&lt;&gt;"Unresolved unit / layout"),G315*K315,"Not applicable")</x:f>
        <x:v>24</x:v>
      </x:c>
      <x:c r="M315" s="8" t="n">
        <x:f aca="0">IF(AND(ISNUMBER(H315),P315&lt;&gt;"Unresolved unit / layout"),H315*K315,"Not applicable")</x:f>
        <x:v>2</x:v>
      </x:c>
      <x:c r="N315" s="8" t="str">
        <x:f aca="0">IF(AND(ISNUMBER(I315),P315&lt;&gt;"Unresolved unit / layout"),I315*K315,"Not applicable")</x:f>
        <x:v>Not applicable</x:v>
      </x:c>
      <x:c r="O315" s="7" t="s">
        <x:v>1929</x:v>
      </x:c>
      <x:c r="P315" s="7" t="s">
        <x:v>1921</x:v>
      </x:c>
      <x:c r="Q315" s="7" t="s">
        <x:v>2064</x:v>
      </x:c>
      <x:c r="R315" s="7" t="s">
        <x:v>1931</x:v>
      </x:c>
      <x:c r="S315" s="7" t="s">
        <x:v>2077</x:v>
      </x:c>
      <x:c r="T315" s="7" t="s">
        <x:v>2584</x:v>
      </x:c>
      <x:c r="U315" s="7" t="s">
        <x:v>53</x:v>
      </x:c>
      <x:c r="V315" s="7" t="s">
        <x:v>1999</x:v>
      </x:c>
      <x:c r="W315" s="7" t="s">
        <x:v>58</x:v>
      </x:c>
      <x:c r="X315" s="7" t="s">
        <x:v>2585</x:v>
      </x:c>
      <x:c r="Y315" s="7" t="s">
        <x:v>1171</x:v>
      </x:c>
      <x:c r="Z315" s="7" t="s">
        <x:v>2111</x:v>
      </x:c>
      <x:c r="AA315" s="7" t="s">
        <x:v>58</x:v>
      </x:c>
      <x:c r="AB315" s="8" t="s">
        <x:v>58</x:v>
      </x:c>
      <x:c r="AC315" s="8" t="s">
        <x:v>58</x:v>
      </x:c>
      <x:c r="AD315" s="8" t="s">
        <x:v>58</x:v>
      </x:c>
      <x:c r="AE315" s="8" t="s">
        <x:v>58</x:v>
      </x:c>
      <x:c r="AF315" s="8" t="s">
        <x:v>58</x:v>
      </x:c>
      <x:c r="AG315" s="7" t="s">
        <x:v>58</x:v>
      </x:c>
    </x:row>
    <x:row r="316" ht="79.5" hidden="0" customHeight="1">
      <x:c r="A316" s="7" t="s">
        <x:v>2599</x:v>
      </x:c>
      <x:c r="B316" s="7" t="s">
        <x:v>229</x:v>
      </x:c>
      <x:c r="C316" s="7" t="s">
        <x:v>231</x:v>
      </x:c>
      <x:c r="D316" s="7" t="s">
        <x:v>2006</x:v>
      </x:c>
      <x:c r="E316" s="7" t="s">
        <x:v>2600</x:v>
      </x:c>
      <x:c r="F316" s="7" t="s">
        <x:v>1929</x:v>
      </x:c>
      <x:c r="G316" s="8" t="n">
        <x:v>18</x:v>
      </x:c>
      <x:c r="H316" s="8" t="n">
        <x:v>3</x:v>
      </x:c>
      <x:c r="I316" s="8" t="s">
        <x:v>58</x:v>
      </x:c>
      <x:c r="J316" s="7" t="s">
        <x:v>1919</x:v>
      </x:c>
      <x:c r="K316" s="8" t="n">
        <x:v>1</x:v>
      </x:c>
      <x:c r="L316" s="8" t="n">
        <x:f aca="0">IF(AND(ISNUMBER(G316),P316&lt;&gt;"Unresolved unit / layout"),G316*K316,"Not applicable")</x:f>
        <x:v>18</x:v>
      </x:c>
      <x:c r="M316" s="8" t="n">
        <x:f aca="0">IF(AND(ISNUMBER(H316),P316&lt;&gt;"Unresolved unit / layout"),H316*K316,"Not applicable")</x:f>
        <x:v>3</x:v>
      </x:c>
      <x:c r="N316" s="8" t="str">
        <x:f aca="0">IF(AND(ISNUMBER(I316),P316&lt;&gt;"Unresolved unit / layout"),I316*K316,"Not applicable")</x:f>
        <x:v>Not applicable</x:v>
      </x:c>
      <x:c r="O316" s="7" t="s">
        <x:v>1929</x:v>
      </x:c>
      <x:c r="P316" s="7" t="s">
        <x:v>1921</x:v>
      </x:c>
      <x:c r="Q316" s="7" t="s">
        <x:v>2064</x:v>
      </x:c>
      <x:c r="R316" s="7" t="s">
        <x:v>2003</x:v>
      </x:c>
      <x:c r="S316" s="7" t="s">
        <x:v>2077</x:v>
      </x:c>
      <x:c r="T316" s="7" t="s">
        <x:v>2584</x:v>
      </x:c>
      <x:c r="U316" s="7" t="s">
        <x:v>53</x:v>
      </x:c>
      <x:c r="V316" s="7" t="s">
        <x:v>1999</x:v>
      </x:c>
      <x:c r="W316" s="7" t="s">
        <x:v>58</x:v>
      </x:c>
      <x:c r="X316" s="7" t="s">
        <x:v>2585</x:v>
      </x:c>
      <x:c r="Y316" s="7" t="s">
        <x:v>1171</x:v>
      </x:c>
      <x:c r="Z316" s="7" t="s">
        <x:v>2114</x:v>
      </x:c>
      <x:c r="AA316" s="7" t="s">
        <x:v>58</x:v>
      </x:c>
      <x:c r="AB316" s="8" t="s">
        <x:v>58</x:v>
      </x:c>
      <x:c r="AC316" s="8" t="s">
        <x:v>58</x:v>
      </x:c>
      <x:c r="AD316" s="8" t="s">
        <x:v>58</x:v>
      </x:c>
      <x:c r="AE316" s="8" t="s">
        <x:v>58</x:v>
      </x:c>
      <x:c r="AF316" s="8" t="s">
        <x:v>58</x:v>
      </x:c>
      <x:c r="AG316" s="7" t="s">
        <x:v>58</x:v>
      </x:c>
    </x:row>
    <x:row r="317" ht="79.5" hidden="0" customHeight="1">
      <x:c r="A317" s="7" t="s">
        <x:v>2601</x:v>
      </x:c>
      <x:c r="B317" s="7" t="s">
        <x:v>229</x:v>
      </x:c>
      <x:c r="C317" s="7" t="s">
        <x:v>231</x:v>
      </x:c>
      <x:c r="D317" s="7" t="s">
        <x:v>1940</x:v>
      </x:c>
      <x:c r="E317" s="7" t="s">
        <x:v>2602</x:v>
      </x:c>
      <x:c r="F317" s="7" t="s">
        <x:v>1942</x:v>
      </x:c>
      <x:c r="G317" s="8" t="n">
        <x:v>2.6</x:v>
      </x:c>
      <x:c r="H317" s="8" t="n">
        <x:v>0.7</x:v>
      </x:c>
      <x:c r="I317" s="8" t="s">
        <x:v>58</x:v>
      </x:c>
      <x:c r="J317" s="7" t="s">
        <x:v>1919</x:v>
      </x:c>
      <x:c r="K317" s="8" t="n">
        <x:v>1</x:v>
      </x:c>
      <x:c r="L317" s="8" t="n">
        <x:f aca="0">IF(AND(ISNUMBER(G317),P317&lt;&gt;"Unresolved unit / layout"),G317*K317,"Not applicable")</x:f>
        <x:v>2.6</x:v>
      </x:c>
      <x:c r="M317" s="8" t="n">
        <x:f aca="0">IF(AND(ISNUMBER(H317),P317&lt;&gt;"Unresolved unit / layout"),H317*K317,"Not applicable")</x:f>
        <x:v>0.7</x:v>
      </x:c>
      <x:c r="N317" s="8" t="str">
        <x:f aca="0">IF(AND(ISNUMBER(I317),P317&lt;&gt;"Unresolved unit / layout"),I317*K317,"Not applicable")</x:f>
        <x:v>Not applicable</x:v>
      </x:c>
      <x:c r="O317" s="7" t="s">
        <x:v>1942</x:v>
      </x:c>
      <x:c r="P317" s="7" t="s">
        <x:v>1921</x:v>
      </x:c>
      <x:c r="Q317" s="7" t="s">
        <x:v>2064</x:v>
      </x:c>
      <x:c r="R317" s="7" t="s">
        <x:v>1931</x:v>
      </x:c>
      <x:c r="S317" s="7" t="s">
        <x:v>2077</x:v>
      </x:c>
      <x:c r="T317" s="7" t="s">
        <x:v>2584</x:v>
      </x:c>
      <x:c r="U317" s="7" t="s">
        <x:v>53</x:v>
      </x:c>
      <x:c r="V317" s="7" t="s">
        <x:v>1999</x:v>
      </x:c>
      <x:c r="W317" s="7" t="s">
        <x:v>58</x:v>
      </x:c>
      <x:c r="X317" s="7" t="s">
        <x:v>2585</x:v>
      </x:c>
      <x:c r="Y317" s="7" t="s">
        <x:v>1171</x:v>
      </x:c>
      <x:c r="Z317" s="7" t="s">
        <x:v>2117</x:v>
      </x:c>
      <x:c r="AA317" s="7" t="s">
        <x:v>58</x:v>
      </x:c>
      <x:c r="AB317" s="8" t="s">
        <x:v>58</x:v>
      </x:c>
      <x:c r="AC317" s="8" t="s">
        <x:v>58</x:v>
      </x:c>
      <x:c r="AD317" s="8" t="s">
        <x:v>58</x:v>
      </x:c>
      <x:c r="AE317" s="8" t="s">
        <x:v>58</x:v>
      </x:c>
      <x:c r="AF317" s="8" t="s">
        <x:v>58</x:v>
      </x:c>
      <x:c r="AG317" s="7" t="s">
        <x:v>58</x:v>
      </x:c>
    </x:row>
    <x:row r="318" ht="79.5" hidden="0" customHeight="1">
      <x:c r="A318" s="7" t="s">
        <x:v>2603</x:v>
      </x:c>
      <x:c r="B318" s="7" t="s">
        <x:v>229</x:v>
      </x:c>
      <x:c r="C318" s="7" t="s">
        <x:v>231</x:v>
      </x:c>
      <x:c r="D318" s="7" t="s">
        <x:v>1940</x:v>
      </x:c>
      <x:c r="E318" s="7" t="s">
        <x:v>2604</x:v>
      </x:c>
      <x:c r="F318" s="7" t="s">
        <x:v>1942</x:v>
      </x:c>
      <x:c r="G318" s="8" t="n">
        <x:v>1.2</x:v>
      </x:c>
      <x:c r="H318" s="8" t="n">
        <x:v>0.4</x:v>
      </x:c>
      <x:c r="I318" s="8" t="s">
        <x:v>58</x:v>
      </x:c>
      <x:c r="J318" s="7" t="s">
        <x:v>1919</x:v>
      </x:c>
      <x:c r="K318" s="8" t="n">
        <x:v>1</x:v>
      </x:c>
      <x:c r="L318" s="8" t="n">
        <x:f aca="0">IF(AND(ISNUMBER(G318),P318&lt;&gt;"Unresolved unit / layout"),G318*K318,"Not applicable")</x:f>
        <x:v>1.2</x:v>
      </x:c>
      <x:c r="M318" s="8" t="n">
        <x:f aca="0">IF(AND(ISNUMBER(H318),P318&lt;&gt;"Unresolved unit / layout"),H318*K318,"Not applicable")</x:f>
        <x:v>0.4</x:v>
      </x:c>
      <x:c r="N318" s="8" t="str">
        <x:f aca="0">IF(AND(ISNUMBER(I318),P318&lt;&gt;"Unresolved unit / layout"),I318*K318,"Not applicable")</x:f>
        <x:v>Not applicable</x:v>
      </x:c>
      <x:c r="O318" s="7" t="s">
        <x:v>1942</x:v>
      </x:c>
      <x:c r="P318" s="7" t="s">
        <x:v>1921</x:v>
      </x:c>
      <x:c r="Q318" s="7" t="s">
        <x:v>2064</x:v>
      </x:c>
      <x:c r="R318" s="7" t="s">
        <x:v>2003</x:v>
      </x:c>
      <x:c r="S318" s="7" t="s">
        <x:v>2077</x:v>
      </x:c>
      <x:c r="T318" s="7" t="s">
        <x:v>2584</x:v>
      </x:c>
      <x:c r="U318" s="7" t="s">
        <x:v>53</x:v>
      </x:c>
      <x:c r="V318" s="7" t="s">
        <x:v>1999</x:v>
      </x:c>
      <x:c r="W318" s="7" t="s">
        <x:v>58</x:v>
      </x:c>
      <x:c r="X318" s="7" t="s">
        <x:v>2585</x:v>
      </x:c>
      <x:c r="Y318" s="7" t="s">
        <x:v>1171</x:v>
      </x:c>
      <x:c r="Z318" s="7" t="s">
        <x:v>2120</x:v>
      </x:c>
      <x:c r="AA318" s="7" t="s">
        <x:v>58</x:v>
      </x:c>
      <x:c r="AB318" s="8" t="s">
        <x:v>58</x:v>
      </x:c>
      <x:c r="AC318" s="8" t="s">
        <x:v>58</x:v>
      </x:c>
      <x:c r="AD318" s="8" t="s">
        <x:v>58</x:v>
      </x:c>
      <x:c r="AE318" s="8" t="s">
        <x:v>58</x:v>
      </x:c>
      <x:c r="AF318" s="8" t="s">
        <x:v>58</x:v>
      </x:c>
      <x:c r="AG318" s="7" t="s">
        <x:v>58</x:v>
      </x:c>
    </x:row>
    <x:row r="319" ht="79.5" hidden="0" customHeight="1">
      <x:c r="A319" s="7" t="s">
        <x:v>2605</x:v>
      </x:c>
      <x:c r="B319" s="7" t="s">
        <x:v>229</x:v>
      </x:c>
      <x:c r="C319" s="7" t="s">
        <x:v>231</x:v>
      </x:c>
      <x:c r="D319" s="7" t="s">
        <x:v>1950</x:v>
      </x:c>
      <x:c r="E319" s="7" t="s">
        <x:v>2606</x:v>
      </x:c>
      <x:c r="F319" s="7" t="s">
        <x:v>1929</x:v>
      </x:c>
      <x:c r="G319" s="8" t="n">
        <x:v>1690</x:v>
      </x:c>
      <x:c r="H319" s="8" t="n">
        <x:v>120</x:v>
      </x:c>
      <x:c r="I319" s="8" t="s">
        <x:v>58</x:v>
      </x:c>
      <x:c r="J319" s="7" t="s">
        <x:v>1919</x:v>
      </x:c>
      <x:c r="K319" s="8" t="n">
        <x:v>0.001</x:v>
      </x:c>
      <x:c r="L319" s="8" t="n">
        <x:f aca="0">IF(AND(ISNUMBER(G319),P319&lt;&gt;"Unresolved unit / layout"),G319*K319,"Not applicable")</x:f>
        <x:v>1.69</x:v>
      </x:c>
      <x:c r="M319" s="8" t="n">
        <x:f aca="0">IF(AND(ISNUMBER(H319),P319&lt;&gt;"Unresolved unit / layout"),H319*K319,"Not applicable")</x:f>
        <x:v>0.12</x:v>
      </x:c>
      <x:c r="N319" s="8" t="str">
        <x:f aca="0">IF(AND(ISNUMBER(I319),P319&lt;&gt;"Unresolved unit / layout"),I319*K319,"Not applicable")</x:f>
        <x:v>Not applicable</x:v>
      </x:c>
      <x:c r="O319" s="7" t="s">
        <x:v>1937</x:v>
      </x:c>
      <x:c r="P319" s="7" t="s">
        <x:v>1921</x:v>
      </x:c>
      <x:c r="Q319" s="7" t="s">
        <x:v>2064</x:v>
      </x:c>
      <x:c r="R319" s="7" t="s">
        <x:v>1931</x:v>
      </x:c>
      <x:c r="S319" s="7" t="s">
        <x:v>2077</x:v>
      </x:c>
      <x:c r="T319" s="7" t="s">
        <x:v>2584</x:v>
      </x:c>
      <x:c r="U319" s="7" t="s">
        <x:v>53</x:v>
      </x:c>
      <x:c r="V319" s="7" t="s">
        <x:v>2020</x:v>
      </x:c>
      <x:c r="W319" s="7" t="s">
        <x:v>58</x:v>
      </x:c>
      <x:c r="X319" s="7" t="s">
        <x:v>2585</x:v>
      </x:c>
      <x:c r="Y319" s="7" t="s">
        <x:v>1171</x:v>
      </x:c>
      <x:c r="Z319" s="7" t="s">
        <x:v>2123</x:v>
      </x:c>
      <x:c r="AA319" s="7" t="s">
        <x:v>58</x:v>
      </x:c>
      <x:c r="AB319" s="8" t="s">
        <x:v>58</x:v>
      </x:c>
      <x:c r="AC319" s="8" t="s">
        <x:v>58</x:v>
      </x:c>
      <x:c r="AD319" s="8" t="s">
        <x:v>58</x:v>
      </x:c>
      <x:c r="AE319" s="8" t="s">
        <x:v>58</x:v>
      </x:c>
      <x:c r="AF319" s="8" t="s">
        <x:v>58</x:v>
      </x:c>
      <x:c r="AG319" s="7" t="s">
        <x:v>58</x:v>
      </x:c>
    </x:row>
    <x:row r="320" ht="79.5" hidden="0" customHeight="1">
      <x:c r="A320" s="7" t="s">
        <x:v>2607</x:v>
      </x:c>
      <x:c r="B320" s="7" t="s">
        <x:v>229</x:v>
      </x:c>
      <x:c r="C320" s="7" t="s">
        <x:v>231</x:v>
      </x:c>
      <x:c r="D320" s="7" t="s">
        <x:v>1950</x:v>
      </x:c>
      <x:c r="E320" s="7" t="s">
        <x:v>2608</x:v>
      </x:c>
      <x:c r="F320" s="7" t="s">
        <x:v>1929</x:v>
      </x:c>
      <x:c r="G320" s="8" t="n">
        <x:v>1410</x:v>
      </x:c>
      <x:c r="H320" s="8" t="n">
        <x:v>80</x:v>
      </x:c>
      <x:c r="I320" s="8" t="s">
        <x:v>58</x:v>
      </x:c>
      <x:c r="J320" s="7" t="s">
        <x:v>1919</x:v>
      </x:c>
      <x:c r="K320" s="8" t="n">
        <x:v>0.001</x:v>
      </x:c>
      <x:c r="L320" s="8" t="n">
        <x:f aca="0">IF(AND(ISNUMBER(G320),P320&lt;&gt;"Unresolved unit / layout"),G320*K320,"Not applicable")</x:f>
        <x:v>1.41</x:v>
      </x:c>
      <x:c r="M320" s="8" t="n">
        <x:f aca="0">IF(AND(ISNUMBER(H320),P320&lt;&gt;"Unresolved unit / layout"),H320*K320,"Not applicable")</x:f>
        <x:v>0.08</x:v>
      </x:c>
      <x:c r="N320" s="8" t="str">
        <x:f aca="0">IF(AND(ISNUMBER(I320),P320&lt;&gt;"Unresolved unit / layout"),I320*K320,"Not applicable")</x:f>
        <x:v>Not applicable</x:v>
      </x:c>
      <x:c r="O320" s="7" t="s">
        <x:v>1937</x:v>
      </x:c>
      <x:c r="P320" s="7" t="s">
        <x:v>1921</x:v>
      </x:c>
      <x:c r="Q320" s="7" t="s">
        <x:v>2064</x:v>
      </x:c>
      <x:c r="R320" s="7" t="s">
        <x:v>2003</x:v>
      </x:c>
      <x:c r="S320" s="7" t="s">
        <x:v>2077</x:v>
      </x:c>
      <x:c r="T320" s="7" t="s">
        <x:v>2584</x:v>
      </x:c>
      <x:c r="U320" s="7" t="s">
        <x:v>53</x:v>
      </x:c>
      <x:c r="V320" s="7" t="s">
        <x:v>2020</x:v>
      </x:c>
      <x:c r="W320" s="7" t="s">
        <x:v>58</x:v>
      </x:c>
      <x:c r="X320" s="7" t="s">
        <x:v>2585</x:v>
      </x:c>
      <x:c r="Y320" s="7" t="s">
        <x:v>1171</x:v>
      </x:c>
      <x:c r="Z320" s="7" t="s">
        <x:v>2210</x:v>
      </x:c>
      <x:c r="AA320" s="7" t="s">
        <x:v>58</x:v>
      </x:c>
      <x:c r="AB320" s="8" t="s">
        <x:v>58</x:v>
      </x:c>
      <x:c r="AC320" s="8" t="s">
        <x:v>58</x:v>
      </x:c>
      <x:c r="AD320" s="8" t="s">
        <x:v>58</x:v>
      </x:c>
      <x:c r="AE320" s="8" t="s">
        <x:v>58</x:v>
      </x:c>
      <x:c r="AF320" s="8" t="s">
        <x:v>58</x:v>
      </x:c>
      <x:c r="AG320" s="7" t="s">
        <x:v>58</x:v>
      </x:c>
    </x:row>
    <x:row r="321" ht="79.5" hidden="0" customHeight="1">
      <x:c r="A321" s="7" t="s">
        <x:v>2609</x:v>
      </x:c>
      <x:c r="B321" s="7" t="s">
        <x:v>229</x:v>
      </x:c>
      <x:c r="C321" s="7" t="s">
        <x:v>231</x:v>
      </x:c>
      <x:c r="D321" s="7" t="s">
        <x:v>1945</x:v>
      </x:c>
      <x:c r="E321" s="7" t="s">
        <x:v>2610</x:v>
      </x:c>
      <x:c r="F321" s="7" t="s">
        <x:v>1929</x:v>
      </x:c>
      <x:c r="G321" s="8" t="n">
        <x:v>45</x:v>
      </x:c>
      <x:c r="H321" s="8" t="n">
        <x:v>4</x:v>
      </x:c>
      <x:c r="I321" s="8" t="s">
        <x:v>58</x:v>
      </x:c>
      <x:c r="J321" s="7" t="s">
        <x:v>1919</x:v>
      </x:c>
      <x:c r="K321" s="8" t="n">
        <x:v>1</x:v>
      </x:c>
      <x:c r="L321" s="8" t="n">
        <x:f aca="0">IF(AND(ISNUMBER(G321),P321&lt;&gt;"Unresolved unit / layout"),G321*K321,"Not applicable")</x:f>
        <x:v>45</x:v>
      </x:c>
      <x:c r="M321" s="8" t="n">
        <x:f aca="0">IF(AND(ISNUMBER(H321),P321&lt;&gt;"Unresolved unit / layout"),H321*K321,"Not applicable")</x:f>
        <x:v>4</x:v>
      </x:c>
      <x:c r="N321" s="8" t="str">
        <x:f aca="0">IF(AND(ISNUMBER(I321),P321&lt;&gt;"Unresolved unit / layout"),I321*K321,"Not applicable")</x:f>
        <x:v>Not applicable</x:v>
      </x:c>
      <x:c r="O321" s="7" t="s">
        <x:v>1929</x:v>
      </x:c>
      <x:c r="P321" s="7" t="s">
        <x:v>1921</x:v>
      </x:c>
      <x:c r="Q321" s="7" t="s">
        <x:v>2064</x:v>
      </x:c>
      <x:c r="R321" s="7" t="s">
        <x:v>1931</x:v>
      </x:c>
      <x:c r="S321" s="7" t="s">
        <x:v>2077</x:v>
      </x:c>
      <x:c r="T321" s="7" t="s">
        <x:v>2584</x:v>
      </x:c>
      <x:c r="U321" s="7" t="s">
        <x:v>53</x:v>
      </x:c>
      <x:c r="V321" s="7" t="s">
        <x:v>2020</x:v>
      </x:c>
      <x:c r="W321" s="7" t="s">
        <x:v>58</x:v>
      </x:c>
      <x:c r="X321" s="7" t="s">
        <x:v>2585</x:v>
      </x:c>
      <x:c r="Y321" s="7" t="s">
        <x:v>1171</x:v>
      </x:c>
      <x:c r="Z321" s="7" t="s">
        <x:v>2213</x:v>
      </x:c>
      <x:c r="AA321" s="7" t="s">
        <x:v>58</x:v>
      </x:c>
      <x:c r="AB321" s="8" t="s">
        <x:v>58</x:v>
      </x:c>
      <x:c r="AC321" s="8" t="s">
        <x:v>58</x:v>
      </x:c>
      <x:c r="AD321" s="8" t="s">
        <x:v>58</x:v>
      </x:c>
      <x:c r="AE321" s="8" t="s">
        <x:v>58</x:v>
      </x:c>
      <x:c r="AF321" s="8" t="s">
        <x:v>58</x:v>
      </x:c>
      <x:c r="AG321" s="7" t="s">
        <x:v>58</x:v>
      </x:c>
    </x:row>
    <x:row r="322" ht="79.5" hidden="0" customHeight="1">
      <x:c r="A322" s="7" t="s">
        <x:v>2611</x:v>
      </x:c>
      <x:c r="B322" s="7" t="s">
        <x:v>229</x:v>
      </x:c>
      <x:c r="C322" s="7" t="s">
        <x:v>231</x:v>
      </x:c>
      <x:c r="D322" s="7" t="s">
        <x:v>1945</x:v>
      </x:c>
      <x:c r="E322" s="7" t="s">
        <x:v>2612</x:v>
      </x:c>
      <x:c r="F322" s="7" t="s">
        <x:v>1929</x:v>
      </x:c>
      <x:c r="G322" s="8" t="n">
        <x:v>17</x:v>
      </x:c>
      <x:c r="H322" s="8" t="n">
        <x:v>3</x:v>
      </x:c>
      <x:c r="I322" s="8" t="s">
        <x:v>58</x:v>
      </x:c>
      <x:c r="J322" s="7" t="s">
        <x:v>1919</x:v>
      </x:c>
      <x:c r="K322" s="8" t="n">
        <x:v>1</x:v>
      </x:c>
      <x:c r="L322" s="8" t="n">
        <x:f aca="0">IF(AND(ISNUMBER(G322),P322&lt;&gt;"Unresolved unit / layout"),G322*K322,"Not applicable")</x:f>
        <x:v>17</x:v>
      </x:c>
      <x:c r="M322" s="8" t="n">
        <x:f aca="0">IF(AND(ISNUMBER(H322),P322&lt;&gt;"Unresolved unit / layout"),H322*K322,"Not applicable")</x:f>
        <x:v>3</x:v>
      </x:c>
      <x:c r="N322" s="8" t="str">
        <x:f aca="0">IF(AND(ISNUMBER(I322),P322&lt;&gt;"Unresolved unit / layout"),I322*K322,"Not applicable")</x:f>
        <x:v>Not applicable</x:v>
      </x:c>
      <x:c r="O322" s="7" t="s">
        <x:v>1929</x:v>
      </x:c>
      <x:c r="P322" s="7" t="s">
        <x:v>1921</x:v>
      </x:c>
      <x:c r="Q322" s="7" t="s">
        <x:v>2064</x:v>
      </x:c>
      <x:c r="R322" s="7" t="s">
        <x:v>2003</x:v>
      </x:c>
      <x:c r="S322" s="7" t="s">
        <x:v>2077</x:v>
      </x:c>
      <x:c r="T322" s="7" t="s">
        <x:v>2584</x:v>
      </x:c>
      <x:c r="U322" s="7" t="s">
        <x:v>53</x:v>
      </x:c>
      <x:c r="V322" s="7" t="s">
        <x:v>2020</x:v>
      </x:c>
      <x:c r="W322" s="7" t="s">
        <x:v>58</x:v>
      </x:c>
      <x:c r="X322" s="7" t="s">
        <x:v>2585</x:v>
      </x:c>
      <x:c r="Y322" s="7" t="s">
        <x:v>1171</x:v>
      </x:c>
      <x:c r="Z322" s="7" t="s">
        <x:v>2216</x:v>
      </x:c>
      <x:c r="AA322" s="7" t="s">
        <x:v>58</x:v>
      </x:c>
      <x:c r="AB322" s="8" t="s">
        <x:v>58</x:v>
      </x:c>
      <x:c r="AC322" s="8" t="s">
        <x:v>58</x:v>
      </x:c>
      <x:c r="AD322" s="8" t="s">
        <x:v>58</x:v>
      </x:c>
      <x:c r="AE322" s="8" t="s">
        <x:v>58</x:v>
      </x:c>
      <x:c r="AF322" s="8" t="s">
        <x:v>58</x:v>
      </x:c>
      <x:c r="AG322" s="7" t="s">
        <x:v>58</x:v>
      </x:c>
    </x:row>
    <x:row r="323" ht="79.5" hidden="0" customHeight="1">
      <x:c r="A323" s="7" t="s">
        <x:v>2613</x:v>
      </x:c>
      <x:c r="B323" s="7" t="s">
        <x:v>229</x:v>
      </x:c>
      <x:c r="C323" s="7" t="s">
        <x:v>231</x:v>
      </x:c>
      <x:c r="D323" s="7" t="s">
        <x:v>2030</x:v>
      </x:c>
      <x:c r="E323" s="7" t="s">
        <x:v>2614</x:v>
      </x:c>
      <x:c r="F323" s="7" t="s">
        <x:v>2033</x:v>
      </x:c>
      <x:c r="G323" s="8" t="n">
        <x:v>28.8</x:v>
      </x:c>
      <x:c r="H323" s="8" t="n">
        <x:v>1.3</x:v>
      </x:c>
      <x:c r="I323" s="8" t="s">
        <x:v>58</x:v>
      </x:c>
      <x:c r="J323" s="7" t="s">
        <x:v>1919</x:v>
      </x:c>
      <x:c r="K323" s="8" t="n">
        <x:v>1</x:v>
      </x:c>
      <x:c r="L323" s="8" t="n">
        <x:f aca="0">IF(AND(ISNUMBER(G323),P323&lt;&gt;"Unresolved unit / layout"),G323*K323,"Not applicable")</x:f>
        <x:v>28.8</x:v>
      </x:c>
      <x:c r="M323" s="8" t="n">
        <x:f aca="0">IF(AND(ISNUMBER(H323),P323&lt;&gt;"Unresolved unit / layout"),H323*K323,"Not applicable")</x:f>
        <x:v>1.3</x:v>
      </x:c>
      <x:c r="N323" s="8" t="str">
        <x:f aca="0">IF(AND(ISNUMBER(I323),P323&lt;&gt;"Unresolved unit / layout"),I323*K323,"Not applicable")</x:f>
        <x:v>Not applicable</x:v>
      </x:c>
      <x:c r="O323" s="7" t="s">
        <x:v>2033</x:v>
      </x:c>
      <x:c r="P323" s="7" t="s">
        <x:v>1921</x:v>
      </x:c>
      <x:c r="Q323" s="7" t="s">
        <x:v>2064</x:v>
      </x:c>
      <x:c r="R323" s="7" t="s">
        <x:v>1931</x:v>
      </x:c>
      <x:c r="S323" s="7" t="s">
        <x:v>2077</x:v>
      </x:c>
      <x:c r="T323" s="7" t="s">
        <x:v>2584</x:v>
      </x:c>
      <x:c r="U323" s="7" t="s">
        <x:v>53</x:v>
      </x:c>
      <x:c r="V323" s="7" t="s">
        <x:v>2036</x:v>
      </x:c>
      <x:c r="W323" s="7" t="s">
        <x:v>2135</x:v>
      </x:c>
      <x:c r="X323" s="7" t="s">
        <x:v>2585</x:v>
      </x:c>
      <x:c r="Y323" s="7" t="s">
        <x:v>1171</x:v>
      </x:c>
      <x:c r="Z323" s="7" t="s">
        <x:v>2219</x:v>
      </x:c>
      <x:c r="AA323" s="7" t="s">
        <x:v>58</x:v>
      </x:c>
      <x:c r="AB323" s="8" t="s">
        <x:v>58</x:v>
      </x:c>
      <x:c r="AC323" s="8" t="s">
        <x:v>58</x:v>
      </x:c>
      <x:c r="AD323" s="8" t="s">
        <x:v>58</x:v>
      </x:c>
      <x:c r="AE323" s="8" t="s">
        <x:v>58</x:v>
      </x:c>
      <x:c r="AF323" s="8" t="s">
        <x:v>58</x:v>
      </x:c>
      <x:c r="AG323" s="7" t="s">
        <x:v>58</x:v>
      </x:c>
    </x:row>
    <x:row r="324" ht="79.5" hidden="0" customHeight="1">
      <x:c r="A324" s="7" t="s">
        <x:v>2615</x:v>
      </x:c>
      <x:c r="B324" s="7" t="s">
        <x:v>229</x:v>
      </x:c>
      <x:c r="C324" s="7" t="s">
        <x:v>231</x:v>
      </x:c>
      <x:c r="D324" s="7" t="s">
        <x:v>2030</x:v>
      </x:c>
      <x:c r="E324" s="7" t="s">
        <x:v>2616</x:v>
      </x:c>
      <x:c r="F324" s="7" t="s">
        <x:v>2033</x:v>
      </x:c>
      <x:c r="G324" s="8" t="n">
        <x:v>8.2</x:v>
      </x:c>
      <x:c r="H324" s="8" t="n">
        <x:v>0.7</x:v>
      </x:c>
      <x:c r="I324" s="8" t="s">
        <x:v>58</x:v>
      </x:c>
      <x:c r="J324" s="7" t="s">
        <x:v>1919</x:v>
      </x:c>
      <x:c r="K324" s="8" t="n">
        <x:v>1</x:v>
      </x:c>
      <x:c r="L324" s="8" t="n">
        <x:f aca="0">IF(AND(ISNUMBER(G324),P324&lt;&gt;"Unresolved unit / layout"),G324*K324,"Not applicable")</x:f>
        <x:v>8.2</x:v>
      </x:c>
      <x:c r="M324" s="8" t="n">
        <x:f aca="0">IF(AND(ISNUMBER(H324),P324&lt;&gt;"Unresolved unit / layout"),H324*K324,"Not applicable")</x:f>
        <x:v>0.7</x:v>
      </x:c>
      <x:c r="N324" s="8" t="str">
        <x:f aca="0">IF(AND(ISNUMBER(I324),P324&lt;&gt;"Unresolved unit / layout"),I324*K324,"Not applicable")</x:f>
        <x:v>Not applicable</x:v>
      </x:c>
      <x:c r="O324" s="7" t="s">
        <x:v>2033</x:v>
      </x:c>
      <x:c r="P324" s="7" t="s">
        <x:v>1921</x:v>
      </x:c>
      <x:c r="Q324" s="7" t="s">
        <x:v>2064</x:v>
      </x:c>
      <x:c r="R324" s="7" t="s">
        <x:v>1931</x:v>
      </x:c>
      <x:c r="S324" s="7" t="s">
        <x:v>2077</x:v>
      </x:c>
      <x:c r="T324" s="7" t="s">
        <x:v>2584</x:v>
      </x:c>
      <x:c r="U324" s="7" t="s">
        <x:v>53</x:v>
      </x:c>
      <x:c r="V324" s="7" t="s">
        <x:v>2036</x:v>
      </x:c>
      <x:c r="W324" s="7" t="s">
        <x:v>2139</x:v>
      </x:c>
      <x:c r="X324" s="7" t="s">
        <x:v>2585</x:v>
      </x:c>
      <x:c r="Y324" s="7" t="s">
        <x:v>1171</x:v>
      </x:c>
      <x:c r="Z324" s="7" t="s">
        <x:v>2222</x:v>
      </x:c>
      <x:c r="AA324" s="7" t="s">
        <x:v>58</x:v>
      </x:c>
      <x:c r="AB324" s="8" t="s">
        <x:v>58</x:v>
      </x:c>
      <x:c r="AC324" s="8" t="s">
        <x:v>58</x:v>
      </x:c>
      <x:c r="AD324" s="8" t="s">
        <x:v>58</x:v>
      </x:c>
      <x:c r="AE324" s="8" t="s">
        <x:v>58</x:v>
      </x:c>
      <x:c r="AF324" s="8" t="s">
        <x:v>58</x:v>
      </x:c>
      <x:c r="AG324" s="7" t="s">
        <x:v>58</x:v>
      </x:c>
    </x:row>
    <x:row r="325" ht="79.5" hidden="0" customHeight="1">
      <x:c r="A325" s="7" t="s">
        <x:v>2617</x:v>
      </x:c>
      <x:c r="B325" s="7" t="s">
        <x:v>229</x:v>
      </x:c>
      <x:c r="C325" s="7" t="s">
        <x:v>231</x:v>
      </x:c>
      <x:c r="D325" s="7" t="s">
        <x:v>2030</x:v>
      </x:c>
      <x:c r="E325" s="7" t="s">
        <x:v>2618</x:v>
      </x:c>
      <x:c r="F325" s="7" t="s">
        <x:v>2033</x:v>
      </x:c>
      <x:c r="G325" s="8" t="n">
        <x:v>3.1</x:v>
      </x:c>
      <x:c r="H325" s="8" t="n">
        <x:v>0.7</x:v>
      </x:c>
      <x:c r="I325" s="8" t="s">
        <x:v>58</x:v>
      </x:c>
      <x:c r="J325" s="7" t="s">
        <x:v>1919</x:v>
      </x:c>
      <x:c r="K325" s="8" t="n">
        <x:v>1</x:v>
      </x:c>
      <x:c r="L325" s="8" t="n">
        <x:f aca="0">IF(AND(ISNUMBER(G325),P325&lt;&gt;"Unresolved unit / layout"),G325*K325,"Not applicable")</x:f>
        <x:v>3.1</x:v>
      </x:c>
      <x:c r="M325" s="8" t="n">
        <x:f aca="0">IF(AND(ISNUMBER(H325),P325&lt;&gt;"Unresolved unit / layout"),H325*K325,"Not applicable")</x:f>
        <x:v>0.7</x:v>
      </x:c>
      <x:c r="N325" s="8" t="str">
        <x:f aca="0">IF(AND(ISNUMBER(I325),P325&lt;&gt;"Unresolved unit / layout"),I325*K325,"Not applicable")</x:f>
        <x:v>Not applicable</x:v>
      </x:c>
      <x:c r="O325" s="7" t="s">
        <x:v>2033</x:v>
      </x:c>
      <x:c r="P325" s="7" t="s">
        <x:v>1921</x:v>
      </x:c>
      <x:c r="Q325" s="7" t="s">
        <x:v>2064</x:v>
      </x:c>
      <x:c r="R325" s="7" t="s">
        <x:v>2003</x:v>
      </x:c>
      <x:c r="S325" s="7" t="s">
        <x:v>2077</x:v>
      </x:c>
      <x:c r="T325" s="7" t="s">
        <x:v>2584</x:v>
      </x:c>
      <x:c r="U325" s="7" t="s">
        <x:v>53</x:v>
      </x:c>
      <x:c r="V325" s="7" t="s">
        <x:v>2036</x:v>
      </x:c>
      <x:c r="W325" s="7" t="s">
        <x:v>53</x:v>
      </x:c>
      <x:c r="X325" s="7" t="s">
        <x:v>2585</x:v>
      </x:c>
      <x:c r="Y325" s="7" t="s">
        <x:v>1171</x:v>
      </x:c>
      <x:c r="Z325" s="7" t="s">
        <x:v>2225</x:v>
      </x:c>
      <x:c r="AA325" s="7" t="s">
        <x:v>58</x:v>
      </x:c>
      <x:c r="AB325" s="8" t="s">
        <x:v>58</x:v>
      </x:c>
      <x:c r="AC325" s="8" t="s">
        <x:v>58</x:v>
      </x:c>
      <x:c r="AD325" s="8" t="s">
        <x:v>58</x:v>
      </x:c>
      <x:c r="AE325" s="8" t="s">
        <x:v>58</x:v>
      </x:c>
      <x:c r="AF325" s="8" t="s">
        <x:v>58</x:v>
      </x:c>
      <x:c r="AG325" s="7" t="s">
        <x:v>58</x:v>
      </x:c>
    </x:row>
    <x:row r="326" ht="79.5" hidden="0" customHeight="1">
      <x:c r="A326" s="7" t="s">
        <x:v>2619</x:v>
      </x:c>
      <x:c r="B326" s="7" t="s">
        <x:v>241</x:v>
      </x:c>
      <x:c r="C326" s="7" t="s">
        <x:v>243</x:v>
      </x:c>
      <x:c r="D326" s="7" t="s">
        <x:v>1916</x:v>
      </x:c>
      <x:c r="E326" s="7" t="s">
        <x:v>2267</x:v>
      </x:c>
      <x:c r="F326" s="7" t="s">
        <x:v>2076</x:v>
      </x:c>
      <x:c r="G326" s="8" t="n">
        <x:v>1.22</x:v>
      </x:c>
      <x:c r="H326" s="8" t="s">
        <x:v>58</x:v>
      </x:c>
      <x:c r="I326" s="8" t="s">
        <x:v>58</x:v>
      </x:c>
      <x:c r="J326" s="7" t="s">
        <x:v>1919</x:v>
      </x:c>
      <x:c r="K326" s="8" t="n">
        <x:v>1000</x:v>
      </x:c>
      <x:c r="L326" s="8" t="n">
        <x:f aca="0">IF(AND(ISNUMBER(G326),P326&lt;&gt;"Unresolved unit / layout"),G326*K326,"Not applicable")</x:f>
        <x:v>1220</x:v>
      </x:c>
      <x:c r="M326" s="8" t="str">
        <x:f aca="0">IF(AND(ISNUMBER(H326),P326&lt;&gt;"Unresolved unit / layout"),H326*K326,"Not applicable")</x:f>
        <x:v>Not applicable</x:v>
      </x:c>
      <x:c r="N326" s="8" t="str">
        <x:f aca="0">IF(AND(ISNUMBER(I326),P326&lt;&gt;"Unresolved unit / layout"),I326*K326,"Not applicable")</x:f>
        <x:v>Not applicable</x:v>
      </x:c>
      <x:c r="O326" s="7" t="s">
        <x:v>1920</x:v>
      </x:c>
      <x:c r="P326" s="7" t="s">
        <x:v>1921</x:v>
      </x:c>
      <x:c r="Q326" s="7" t="s">
        <x:v>1922</x:v>
      </x:c>
      <x:c r="R326" s="7" t="s">
        <x:v>58</x:v>
      </x:c>
      <x:c r="S326" s="7" t="s">
        <x:v>2077</x:v>
      </x:c>
      <x:c r="T326" s="7" t="s">
        <x:v>2078</x:v>
      </x:c>
      <x:c r="U326" s="7" t="s">
        <x:v>53</x:v>
      </x:c>
      <x:c r="V326" s="7" t="s">
        <x:v>1923</x:v>
      </x:c>
      <x:c r="W326" s="7" t="s">
        <x:v>58</x:v>
      </x:c>
      <x:c r="X326" s="7" t="s">
        <x:v>2620</x:v>
      </x:c>
      <x:c r="Y326" s="7" t="s">
        <x:v>1172</x:v>
      </x:c>
      <x:c r="Z326" s="7" t="s">
        <x:v>1968</x:v>
      </x:c>
      <x:c r="AA326" s="7" t="s">
        <x:v>58</x:v>
      </x:c>
      <x:c r="AB326" s="8" t="s">
        <x:v>58</x:v>
      </x:c>
      <x:c r="AC326" s="8" t="s">
        <x:v>58</x:v>
      </x:c>
      <x:c r="AD326" s="8" t="s">
        <x:v>58</x:v>
      </x:c>
      <x:c r="AE326" s="8" t="s">
        <x:v>58</x:v>
      </x:c>
      <x:c r="AF326" s="8" t="s">
        <x:v>58</x:v>
      </x:c>
      <x:c r="AG326" s="7" t="s">
        <x:v>58</x:v>
      </x:c>
    </x:row>
    <x:row r="327" ht="79.5" hidden="0" customHeight="1">
      <x:c r="A327" s="7" t="s">
        <x:v>2621</x:v>
      </x:c>
      <x:c r="B327" s="7" t="s">
        <x:v>241</x:v>
      </x:c>
      <x:c r="C327" s="7" t="s">
        <x:v>243</x:v>
      </x:c>
      <x:c r="D327" s="7" t="s">
        <x:v>1974</x:v>
      </x:c>
      <x:c r="E327" s="7" t="s">
        <x:v>2622</x:v>
      </x:c>
      <x:c r="F327" s="7" t="s">
        <x:v>1956</x:v>
      </x:c>
      <x:c r="G327" s="8" t="n">
        <x:v>165</x:v>
      </x:c>
      <x:c r="H327" s="8" t="s">
        <x:v>58</x:v>
      </x:c>
      <x:c r="I327" s="8" t="s">
        <x:v>58</x:v>
      </x:c>
      <x:c r="J327" s="7" t="s">
        <x:v>1919</x:v>
      </x:c>
      <x:c r="K327" s="8" t="n">
        <x:v>1</x:v>
      </x:c>
      <x:c r="L327" s="8" t="n">
        <x:f aca="0">IF(AND(ISNUMBER(G327),P327&lt;&gt;"Unresolved unit / layout"),G327*K327,"Not applicable")</x:f>
        <x:v>165</x:v>
      </x:c>
      <x:c r="M327" s="8" t="str">
        <x:f aca="0">IF(AND(ISNUMBER(H327),P327&lt;&gt;"Unresolved unit / layout"),H327*K327,"Not applicable")</x:f>
        <x:v>Not applicable</x:v>
      </x:c>
      <x:c r="N327" s="8" t="str">
        <x:f aca="0">IF(AND(ISNUMBER(I327),P327&lt;&gt;"Unresolved unit / layout"),I327*K327,"Not applicable")</x:f>
        <x:v>Not applicable</x:v>
      </x:c>
      <x:c r="O327" s="7" t="s">
        <x:v>1956</x:v>
      </x:c>
      <x:c r="P327" s="7" t="s">
        <x:v>1921</x:v>
      </x:c>
      <x:c r="Q327" s="7" t="s">
        <x:v>1930</x:v>
      </x:c>
      <x:c r="R327" s="7" t="s">
        <x:v>58</x:v>
      </x:c>
      <x:c r="S327" s="7" t="s">
        <x:v>2077</x:v>
      </x:c>
      <x:c r="T327" s="7" t="s">
        <x:v>2078</x:v>
      </x:c>
      <x:c r="U327" s="7" t="s">
        <x:v>53</x:v>
      </x:c>
      <x:c r="V327" s="7" t="s">
        <x:v>2082</x:v>
      </x:c>
      <x:c r="W327" s="7" t="s">
        <x:v>58</x:v>
      </x:c>
      <x:c r="X327" s="7" t="s">
        <x:v>2620</x:v>
      </x:c>
      <x:c r="Y327" s="7" t="s">
        <x:v>1172</x:v>
      </x:c>
      <x:c r="Z327" s="7" t="s">
        <x:v>2083</x:v>
      </x:c>
      <x:c r="AA327" s="7" t="s">
        <x:v>58</x:v>
      </x:c>
      <x:c r="AB327" s="8" t="s">
        <x:v>58</x:v>
      </x:c>
      <x:c r="AC327" s="8" t="s">
        <x:v>58</x:v>
      </x:c>
      <x:c r="AD327" s="8" t="s">
        <x:v>58</x:v>
      </x:c>
      <x:c r="AE327" s="8" t="s">
        <x:v>58</x:v>
      </x:c>
      <x:c r="AF327" s="8" t="s">
        <x:v>58</x:v>
      </x:c>
      <x:c r="AG327" s="7" t="s">
        <x:v>58</x:v>
      </x:c>
    </x:row>
    <x:row r="328" ht="79.5" hidden="0" customHeight="1">
      <x:c r="A328" s="7" t="s">
        <x:v>2623</x:v>
      </x:c>
      <x:c r="B328" s="7" t="s">
        <x:v>241</x:v>
      </x:c>
      <x:c r="C328" s="7" t="s">
        <x:v>243</x:v>
      </x:c>
      <x:c r="D328" s="7" t="s">
        <x:v>1954</x:v>
      </x:c>
      <x:c r="E328" s="7" t="s">
        <x:v>2152</x:v>
      </x:c>
      <x:c r="F328" s="7" t="s">
        <x:v>1956</x:v>
      </x:c>
      <x:c r="G328" s="8" t="n">
        <x:v>63</x:v>
      </x:c>
      <x:c r="H328" s="8" t="s">
        <x:v>58</x:v>
      </x:c>
      <x:c r="I328" s="8" t="s">
        <x:v>58</x:v>
      </x:c>
      <x:c r="J328" s="7" t="s">
        <x:v>1919</x:v>
      </x:c>
      <x:c r="K328" s="8" t="n">
        <x:v>1</x:v>
      </x:c>
      <x:c r="L328" s="8" t="n">
        <x:f aca="0">IF(AND(ISNUMBER(G328),P328&lt;&gt;"Unresolved unit / layout"),G328*K328,"Not applicable")</x:f>
        <x:v>63</x:v>
      </x:c>
      <x:c r="M328" s="8" t="str">
        <x:f aca="0">IF(AND(ISNUMBER(H328),P328&lt;&gt;"Unresolved unit / layout"),H328*K328,"Not applicable")</x:f>
        <x:v>Not applicable</x:v>
      </x:c>
      <x:c r="N328" s="8" t="str">
        <x:f aca="0">IF(AND(ISNUMBER(I328),P328&lt;&gt;"Unresolved unit / layout"),I328*K328,"Not applicable")</x:f>
        <x:v>Not applicable</x:v>
      </x:c>
      <x:c r="O328" s="7" t="s">
        <x:v>1956</x:v>
      </x:c>
      <x:c r="P328" s="7" t="s">
        <x:v>1921</x:v>
      </x:c>
      <x:c r="Q328" s="7" t="s">
        <x:v>1930</x:v>
      </x:c>
      <x:c r="R328" s="7" t="s">
        <x:v>58</x:v>
      </x:c>
      <x:c r="S328" s="7" t="s">
        <x:v>2077</x:v>
      </x:c>
      <x:c r="T328" s="7" t="s">
        <x:v>2078</x:v>
      </x:c>
      <x:c r="U328" s="7" t="s">
        <x:v>53</x:v>
      </x:c>
      <x:c r="V328" s="7" t="s">
        <x:v>2082</x:v>
      </x:c>
      <x:c r="W328" s="7" t="s">
        <x:v>58</x:v>
      </x:c>
      <x:c r="X328" s="7" t="s">
        <x:v>2620</x:v>
      </x:c>
      <x:c r="Y328" s="7" t="s">
        <x:v>1172</x:v>
      </x:c>
      <x:c r="Z328" s="7" t="s">
        <x:v>2086</x:v>
      </x:c>
      <x:c r="AA328" s="7" t="s">
        <x:v>58</x:v>
      </x:c>
      <x:c r="AB328" s="8" t="s">
        <x:v>58</x:v>
      </x:c>
      <x:c r="AC328" s="8" t="s">
        <x:v>58</x:v>
      </x:c>
      <x:c r="AD328" s="8" t="s">
        <x:v>58</x:v>
      </x:c>
      <x:c r="AE328" s="8" t="s">
        <x:v>58</x:v>
      </x:c>
      <x:c r="AF328" s="8" t="s">
        <x:v>58</x:v>
      </x:c>
      <x:c r="AG328" s="7" t="s">
        <x:v>58</x:v>
      </x:c>
    </x:row>
    <x:row r="329" ht="79.5" hidden="0" customHeight="1">
      <x:c r="A329" s="7" t="s">
        <x:v>2624</x:v>
      </x:c>
      <x:c r="B329" s="7" t="s">
        <x:v>241</x:v>
      </x:c>
      <x:c r="C329" s="7" t="s">
        <x:v>243</x:v>
      </x:c>
      <x:c r="D329" s="7" t="s">
        <x:v>1978</x:v>
      </x:c>
      <x:c r="E329" s="7" t="s">
        <x:v>1995</x:v>
      </x:c>
      <x:c r="F329" s="7" t="s">
        <x:v>1956</x:v>
      </x:c>
      <x:c r="G329" s="8" t="s">
        <x:v>53</x:v>
      </x:c>
      <x:c r="H329" s="8" t="s">
        <x:v>58</x:v>
      </x:c>
      <x:c r="I329" s="8" t="s">
        <x:v>58</x:v>
      </x:c>
      <x:c r="J329" s="7" t="s">
        <x:v>58</x:v>
      </x:c>
      <x:c r="K329" s="8" t="n">
        <x:v>1</x:v>
      </x:c>
      <x:c r="L329" s="8" t="str">
        <x:f aca="0">IF(AND(ISNUMBER(G329),P329&lt;&gt;"Unresolved unit / layout"),G329*K329,"Not published")</x:f>
        <x:v>Not published</x:v>
      </x:c>
      <x:c r="M329" s="8" t="str">
        <x:f aca="0">IF(AND(ISNUMBER(H329),P329&lt;&gt;"Unresolved unit / layout"),H329*K329,"Not applicable")</x:f>
        <x:v>Not applicable</x:v>
      </x:c>
      <x:c r="N329" s="8" t="str">
        <x:f aca="0">IF(AND(ISNUMBER(I329),P329&lt;&gt;"Unresolved unit / layout"),I329*K329,"Not applicable")</x:f>
        <x:v>Not applicable</x:v>
      </x:c>
      <x:c r="O329" s="7" t="s">
        <x:v>1956</x:v>
      </x:c>
      <x:c r="P329" s="7" t="s">
        <x:v>53</x:v>
      </x:c>
      <x:c r="Q329" s="7" t="s">
        <x:v>1930</x:v>
      </x:c>
      <x:c r="R329" s="7" t="s">
        <x:v>58</x:v>
      </x:c>
      <x:c r="S329" s="7" t="s">
        <x:v>2077</x:v>
      </x:c>
      <x:c r="T329" s="7" t="s">
        <x:v>2078</x:v>
      </x:c>
      <x:c r="U329" s="7" t="s">
        <x:v>53</x:v>
      </x:c>
      <x:c r="V329" s="7" t="s">
        <x:v>2082</x:v>
      </x:c>
      <x:c r="W329" s="7" t="s">
        <x:v>58</x:v>
      </x:c>
      <x:c r="X329" s="7" t="s">
        <x:v>2620</x:v>
      </x:c>
      <x:c r="Y329" s="7" t="s">
        <x:v>1172</x:v>
      </x:c>
      <x:c r="Z329" s="7" t="s">
        <x:v>2188</x:v>
      </x:c>
      <x:c r="AA329" s="7" t="s">
        <x:v>58</x:v>
      </x:c>
      <x:c r="AB329" s="8" t="s">
        <x:v>58</x:v>
      </x:c>
      <x:c r="AC329" s="8" t="s">
        <x:v>58</x:v>
      </x:c>
      <x:c r="AD329" s="8" t="s">
        <x:v>58</x:v>
      </x:c>
      <x:c r="AE329" s="8" t="s">
        <x:v>58</x:v>
      </x:c>
      <x:c r="AF329" s="8" t="s">
        <x:v>58</x:v>
      </x:c>
      <x:c r="AG329" s="7" t="s">
        <x:v>58</x:v>
      </x:c>
    </x:row>
    <x:row r="330" ht="79.5" hidden="0" customHeight="1">
      <x:c r="A330" s="7" t="s">
        <x:v>2625</x:v>
      </x:c>
      <x:c r="B330" s="7" t="s">
        <x:v>241</x:v>
      </x:c>
      <x:c r="C330" s="7" t="s">
        <x:v>243</x:v>
      </x:c>
      <x:c r="D330" s="7" t="s">
        <x:v>1982</x:v>
      </x:c>
      <x:c r="E330" s="7" t="s">
        <x:v>2626</x:v>
      </x:c>
      <x:c r="F330" s="7" t="s">
        <x:v>1956</x:v>
      </x:c>
      <x:c r="G330" s="8" t="n">
        <x:v>69</x:v>
      </x:c>
      <x:c r="H330" s="8" t="s">
        <x:v>58</x:v>
      </x:c>
      <x:c r="I330" s="8" t="s">
        <x:v>58</x:v>
      </x:c>
      <x:c r="J330" s="7" t="s">
        <x:v>1919</x:v>
      </x:c>
      <x:c r="K330" s="8" t="n">
        <x:v>1</x:v>
      </x:c>
      <x:c r="L330" s="8" t="n">
        <x:f aca="0">IF(AND(ISNUMBER(G330),P330&lt;&gt;"Unresolved unit / layout"),G330*K330,"Not applicable")</x:f>
        <x:v>69</x:v>
      </x:c>
      <x:c r="M330" s="8" t="str">
        <x:f aca="0">IF(AND(ISNUMBER(H330),P330&lt;&gt;"Unresolved unit / layout"),H330*K330,"Not applicable")</x:f>
        <x:v>Not applicable</x:v>
      </x:c>
      <x:c r="N330" s="8" t="str">
        <x:f aca="0">IF(AND(ISNUMBER(I330),P330&lt;&gt;"Unresolved unit / layout"),I330*K330,"Not applicable")</x:f>
        <x:v>Not applicable</x:v>
      </x:c>
      <x:c r="O330" s="7" t="s">
        <x:v>1956</x:v>
      </x:c>
      <x:c r="P330" s="7" t="s">
        <x:v>1921</x:v>
      </x:c>
      <x:c r="Q330" s="7" t="s">
        <x:v>1930</x:v>
      </x:c>
      <x:c r="R330" s="7" t="s">
        <x:v>58</x:v>
      </x:c>
      <x:c r="S330" s="7" t="s">
        <x:v>2077</x:v>
      </x:c>
      <x:c r="T330" s="7" t="s">
        <x:v>2078</x:v>
      </x:c>
      <x:c r="U330" s="7" t="s">
        <x:v>53</x:v>
      </x:c>
      <x:c r="V330" s="7" t="s">
        <x:v>1984</x:v>
      </x:c>
      <x:c r="W330" s="7" t="s">
        <x:v>58</x:v>
      </x:c>
      <x:c r="X330" s="7" t="s">
        <x:v>2620</x:v>
      </x:c>
      <x:c r="Y330" s="7" t="s">
        <x:v>1172</x:v>
      </x:c>
      <x:c r="Z330" s="7" t="s">
        <x:v>2092</x:v>
      </x:c>
      <x:c r="AA330" s="7" t="s">
        <x:v>58</x:v>
      </x:c>
      <x:c r="AB330" s="8" t="s">
        <x:v>58</x:v>
      </x:c>
      <x:c r="AC330" s="8" t="s">
        <x:v>58</x:v>
      </x:c>
      <x:c r="AD330" s="8" t="s">
        <x:v>58</x:v>
      </x:c>
      <x:c r="AE330" s="8" t="s">
        <x:v>58</x:v>
      </x:c>
      <x:c r="AF330" s="8" t="s">
        <x:v>58</x:v>
      </x:c>
      <x:c r="AG330" s="7" t="s">
        <x:v>58</x:v>
      </x:c>
    </x:row>
    <x:row r="331" ht="79.5" hidden="0" customHeight="1">
      <x:c r="A331" s="7" t="s">
        <x:v>2627</x:v>
      </x:c>
      <x:c r="B331" s="7" t="s">
        <x:v>241</x:v>
      </x:c>
      <x:c r="C331" s="7" t="s">
        <x:v>243</x:v>
      </x:c>
      <x:c r="D331" s="7" t="s">
        <x:v>1959</x:v>
      </x:c>
      <x:c r="E331" s="7" t="s">
        <x:v>2094</x:v>
      </x:c>
      <x:c r="F331" s="7" t="s">
        <x:v>1956</x:v>
      </x:c>
      <x:c r="G331" s="8" t="n">
        <x:v>54</x:v>
      </x:c>
      <x:c r="H331" s="8" t="s">
        <x:v>58</x:v>
      </x:c>
      <x:c r="I331" s="8" t="s">
        <x:v>58</x:v>
      </x:c>
      <x:c r="J331" s="7" t="s">
        <x:v>1919</x:v>
      </x:c>
      <x:c r="K331" s="8" t="n">
        <x:v>1</x:v>
      </x:c>
      <x:c r="L331" s="8" t="n">
        <x:f aca="0">IF(AND(ISNUMBER(G331),P331&lt;&gt;"Unresolved unit / layout"),G331*K331,"Not applicable")</x:f>
        <x:v>54</x:v>
      </x:c>
      <x:c r="M331" s="8" t="str">
        <x:f aca="0">IF(AND(ISNUMBER(H331),P331&lt;&gt;"Unresolved unit / layout"),H331*K331,"Not applicable")</x:f>
        <x:v>Not applicable</x:v>
      </x:c>
      <x:c r="N331" s="8" t="str">
        <x:f aca="0">IF(AND(ISNUMBER(I331),P331&lt;&gt;"Unresolved unit / layout"),I331*K331,"Not applicable")</x:f>
        <x:v>Not applicable</x:v>
      </x:c>
      <x:c r="O331" s="7" t="s">
        <x:v>1956</x:v>
      </x:c>
      <x:c r="P331" s="7" t="s">
        <x:v>1921</x:v>
      </x:c>
      <x:c r="Q331" s="7" t="s">
        <x:v>1930</x:v>
      </x:c>
      <x:c r="R331" s="7" t="s">
        <x:v>58</x:v>
      </x:c>
      <x:c r="S331" s="7" t="s">
        <x:v>2077</x:v>
      </x:c>
      <x:c r="T331" s="7" t="s">
        <x:v>2078</x:v>
      </x:c>
      <x:c r="U331" s="7" t="s">
        <x:v>53</x:v>
      </x:c>
      <x:c r="V331" s="7" t="s">
        <x:v>2095</x:v>
      </x:c>
      <x:c r="W331" s="7" t="s">
        <x:v>58</x:v>
      </x:c>
      <x:c r="X331" s="7" t="s">
        <x:v>2620</x:v>
      </x:c>
      <x:c r="Y331" s="7" t="s">
        <x:v>1172</x:v>
      </x:c>
      <x:c r="Z331" s="7" t="s">
        <x:v>2096</x:v>
      </x:c>
      <x:c r="AA331" s="7" t="s">
        <x:v>58</x:v>
      </x:c>
      <x:c r="AB331" s="8" t="s">
        <x:v>58</x:v>
      </x:c>
      <x:c r="AC331" s="8" t="s">
        <x:v>58</x:v>
      </x:c>
      <x:c r="AD331" s="8" t="s">
        <x:v>58</x:v>
      </x:c>
      <x:c r="AE331" s="8" t="s">
        <x:v>58</x:v>
      </x:c>
      <x:c r="AF331" s="8" t="s">
        <x:v>58</x:v>
      </x:c>
      <x:c r="AG331" s="7" t="s">
        <x:v>58</x:v>
      </x:c>
    </x:row>
    <x:row r="332" ht="79.5" hidden="0" customHeight="1">
      <x:c r="A332" s="7" t="s">
        <x:v>246</x:v>
      </x:c>
      <x:c r="B332" s="7" t="s">
        <x:v>241</x:v>
      </x:c>
      <x:c r="C332" s="7" t="s">
        <x:v>243</x:v>
      </x:c>
      <x:c r="D332" s="7" t="s">
        <x:v>1959</x:v>
      </x:c>
      <x:c r="E332" s="7" t="s">
        <x:v>2456</x:v>
      </x:c>
      <x:c r="F332" s="7" t="s">
        <x:v>1956</x:v>
      </x:c>
      <x:c r="G332" s="8" t="n">
        <x:v>55</x:v>
      </x:c>
      <x:c r="H332" s="8" t="s">
        <x:v>58</x:v>
      </x:c>
      <x:c r="I332" s="8" t="s">
        <x:v>58</x:v>
      </x:c>
      <x:c r="J332" s="7" t="s">
        <x:v>1919</x:v>
      </x:c>
      <x:c r="K332" s="8" t="n">
        <x:v>1</x:v>
      </x:c>
      <x:c r="L332" s="8" t="n">
        <x:f aca="0">IF(AND(ISNUMBER(G332),P332&lt;&gt;"Unresolved unit / layout"),G332*K332,"Not applicable")</x:f>
        <x:v>55</x:v>
      </x:c>
      <x:c r="M332" s="8" t="str">
        <x:f aca="0">IF(AND(ISNUMBER(H332),P332&lt;&gt;"Unresolved unit / layout"),H332*K332,"Not applicable")</x:f>
        <x:v>Not applicable</x:v>
      </x:c>
      <x:c r="N332" s="8" t="str">
        <x:f aca="0">IF(AND(ISNUMBER(I332),P332&lt;&gt;"Unresolved unit / layout"),I332*K332,"Not applicable")</x:f>
        <x:v>Not applicable</x:v>
      </x:c>
      <x:c r="O332" s="7" t="s">
        <x:v>1956</x:v>
      </x:c>
      <x:c r="P332" s="7" t="s">
        <x:v>1921</x:v>
      </x:c>
      <x:c r="Q332" s="7" t="s">
        <x:v>1930</x:v>
      </x:c>
      <x:c r="R332" s="7" t="s">
        <x:v>58</x:v>
      </x:c>
      <x:c r="S332" s="7" t="s">
        <x:v>2077</x:v>
      </x:c>
      <x:c r="T332" s="7" t="s">
        <x:v>2078</x:v>
      </x:c>
      <x:c r="U332" s="7" t="s">
        <x:v>53</x:v>
      </x:c>
      <x:c r="V332" s="7" t="s">
        <x:v>2097</x:v>
      </x:c>
      <x:c r="W332" s="7" t="s">
        <x:v>58</x:v>
      </x:c>
      <x:c r="X332" s="7" t="s">
        <x:v>2620</x:v>
      </x:c>
      <x:c r="Y332" s="7" t="s">
        <x:v>1172</x:v>
      </x:c>
      <x:c r="Z332" s="7" t="s">
        <x:v>2096</x:v>
      </x:c>
      <x:c r="AA332" s="7" t="s">
        <x:v>58</x:v>
      </x:c>
      <x:c r="AB332" s="8" t="s">
        <x:v>58</x:v>
      </x:c>
      <x:c r="AC332" s="8" t="s">
        <x:v>58</x:v>
      </x:c>
      <x:c r="AD332" s="8" t="s">
        <x:v>58</x:v>
      </x:c>
      <x:c r="AE332" s="8" t="s">
        <x:v>58</x:v>
      </x:c>
      <x:c r="AF332" s="8" t="s">
        <x:v>58</x:v>
      </x:c>
      <x:c r="AG332" s="7" t="s">
        <x:v>58</x:v>
      </x:c>
    </x:row>
    <x:row r="333" ht="79.5" hidden="0" customHeight="1">
      <x:c r="A333" s="7" t="s">
        <x:v>2628</x:v>
      </x:c>
      <x:c r="B333" s="7" t="s">
        <x:v>241</x:v>
      </x:c>
      <x:c r="C333" s="7" t="s">
        <x:v>243</x:v>
      </x:c>
      <x:c r="D333" s="7" t="s">
        <x:v>2099</x:v>
      </x:c>
      <x:c r="E333" s="7" t="s">
        <x:v>2629</x:v>
      </x:c>
      <x:c r="F333" s="7" t="s">
        <x:v>1942</x:v>
      </x:c>
      <x:c r="G333" s="8" t="n">
        <x:v>0.42</x:v>
      </x:c>
      <x:c r="H333" s="8" t="s">
        <x:v>58</x:v>
      </x:c>
      <x:c r="I333" s="8" t="s">
        <x:v>58</x:v>
      </x:c>
      <x:c r="J333" s="7" t="s">
        <x:v>1919</x:v>
      </x:c>
      <x:c r="K333" s="8" t="n">
        <x:v>1</x:v>
      </x:c>
      <x:c r="L333" s="8" t="n">
        <x:f aca="0">IF(AND(ISNUMBER(G333),P333&lt;&gt;"Unresolved unit / layout"),G333*K333,"Not applicable")</x:f>
        <x:v>0.42</x:v>
      </x:c>
      <x:c r="M333" s="8" t="str">
        <x:f aca="0">IF(AND(ISNUMBER(H333),P333&lt;&gt;"Unresolved unit / layout"),H333*K333,"Not applicable")</x:f>
        <x:v>Not applicable</x:v>
      </x:c>
      <x:c r="N333" s="8" t="str">
        <x:f aca="0">IF(AND(ISNUMBER(I333),P333&lt;&gt;"Unresolved unit / layout"),I333*K333,"Not applicable")</x:f>
        <x:v>Not applicable</x:v>
      </x:c>
      <x:c r="O333" s="7" t="s">
        <x:v>1942</x:v>
      </x:c>
      <x:c r="P333" s="7" t="s">
        <x:v>1921</x:v>
      </x:c>
      <x:c r="Q333" s="7" t="s">
        <x:v>1930</x:v>
      </x:c>
      <x:c r="R333" s="7" t="s">
        <x:v>58</x:v>
      </x:c>
      <x:c r="S333" s="7" t="s">
        <x:v>2077</x:v>
      </x:c>
      <x:c r="T333" s="7" t="s">
        <x:v>2078</x:v>
      </x:c>
      <x:c r="U333" s="7" t="s">
        <x:v>53</x:v>
      </x:c>
      <x:c r="V333" s="7" t="s">
        <x:v>2192</x:v>
      </x:c>
      <x:c r="W333" s="7" t="s">
        <x:v>58</x:v>
      </x:c>
      <x:c r="X333" s="7" t="s">
        <x:v>2620</x:v>
      </x:c>
      <x:c r="Y333" s="7" t="s">
        <x:v>1172</x:v>
      </x:c>
      <x:c r="Z333" s="7" t="s">
        <x:v>2193</x:v>
      </x:c>
      <x:c r="AA333" s="7" t="s">
        <x:v>58</x:v>
      </x:c>
      <x:c r="AB333" s="8" t="s">
        <x:v>58</x:v>
      </x:c>
      <x:c r="AC333" s="8" t="s">
        <x:v>58</x:v>
      </x:c>
      <x:c r="AD333" s="8" t="s">
        <x:v>58</x:v>
      </x:c>
      <x:c r="AE333" s="8" t="s">
        <x:v>58</x:v>
      </x:c>
      <x:c r="AF333" s="8" t="s">
        <x:v>58</x:v>
      </x:c>
      <x:c r="AG333" s="7" t="s">
        <x:v>58</x:v>
      </x:c>
    </x:row>
    <x:row r="334" ht="79.5" hidden="0" customHeight="1">
      <x:c r="A334" s="7" t="s">
        <x:v>2630</x:v>
      </x:c>
      <x:c r="B334" s="7" t="s">
        <x:v>241</x:v>
      </x:c>
      <x:c r="C334" s="7" t="s">
        <x:v>243</x:v>
      </x:c>
      <x:c r="D334" s="7" t="s">
        <x:v>1935</x:v>
      </x:c>
      <x:c r="E334" s="7" t="s">
        <x:v>2631</x:v>
      </x:c>
      <x:c r="F334" s="7" t="s">
        <x:v>1929</x:v>
      </x:c>
      <x:c r="G334" s="8" t="n">
        <x:v>2790</x:v>
      </x:c>
      <x:c r="H334" s="8" t="n">
        <x:v>120</x:v>
      </x:c>
      <x:c r="I334" s="8" t="s">
        <x:v>58</x:v>
      </x:c>
      <x:c r="J334" s="7" t="s">
        <x:v>1919</x:v>
      </x:c>
      <x:c r="K334" s="8" t="n">
        <x:v>0.001</x:v>
      </x:c>
      <x:c r="L334" s="8" t="n">
        <x:f aca="0">IF(AND(ISNUMBER(G334),P334&lt;&gt;"Unresolved unit / layout"),G334*K334,"Not applicable")</x:f>
        <x:v>2.79</x:v>
      </x:c>
      <x:c r="M334" s="8" t="n">
        <x:f aca="0">IF(AND(ISNUMBER(H334),P334&lt;&gt;"Unresolved unit / layout"),H334*K334,"Not applicable")</x:f>
        <x:v>0.12</x:v>
      </x:c>
      <x:c r="N334" s="8" t="str">
        <x:f aca="0">IF(AND(ISNUMBER(I334),P334&lt;&gt;"Unresolved unit / layout"),I334*K334,"Not applicable")</x:f>
        <x:v>Not applicable</x:v>
      </x:c>
      <x:c r="O334" s="7" t="s">
        <x:v>1937</x:v>
      </x:c>
      <x:c r="P334" s="7" t="s">
        <x:v>1921</x:v>
      </x:c>
      <x:c r="Q334" s="7" t="s">
        <x:v>1930</x:v>
      </x:c>
      <x:c r="R334" s="7" t="s">
        <x:v>1931</x:v>
      </x:c>
      <x:c r="S334" s="7" t="s">
        <x:v>2077</x:v>
      </x:c>
      <x:c r="T334" s="7" t="s">
        <x:v>2078</x:v>
      </x:c>
      <x:c r="U334" s="7" t="s">
        <x:v>53</x:v>
      </x:c>
      <x:c r="V334" s="7" t="s">
        <x:v>1999</x:v>
      </x:c>
      <x:c r="W334" s="7" t="s">
        <x:v>58</x:v>
      </x:c>
      <x:c r="X334" s="7" t="s">
        <x:v>2620</x:v>
      </x:c>
      <x:c r="Y334" s="7" t="s">
        <x:v>1172</x:v>
      </x:c>
      <x:c r="Z334" s="7" t="s">
        <x:v>2105</x:v>
      </x:c>
      <x:c r="AA334" s="7" t="s">
        <x:v>58</x:v>
      </x:c>
      <x:c r="AB334" s="8" t="s">
        <x:v>58</x:v>
      </x:c>
      <x:c r="AC334" s="8" t="s">
        <x:v>58</x:v>
      </x:c>
      <x:c r="AD334" s="8" t="s">
        <x:v>58</x:v>
      </x:c>
      <x:c r="AE334" s="8" t="s">
        <x:v>58</x:v>
      </x:c>
      <x:c r="AF334" s="8" t="s">
        <x:v>58</x:v>
      </x:c>
      <x:c r="AG334" s="7" t="s">
        <x:v>58</x:v>
      </x:c>
    </x:row>
    <x:row r="335" ht="79.5" hidden="0" customHeight="1">
      <x:c r="A335" s="7" t="s">
        <x:v>2632</x:v>
      </x:c>
      <x:c r="B335" s="7" t="s">
        <x:v>241</x:v>
      </x:c>
      <x:c r="C335" s="7" t="s">
        <x:v>243</x:v>
      </x:c>
      <x:c r="D335" s="7" t="s">
        <x:v>1935</x:v>
      </x:c>
      <x:c r="E335" s="7" t="s">
        <x:v>2633</x:v>
      </x:c>
      <x:c r="F335" s="7" t="s">
        <x:v>1929</x:v>
      </x:c>
      <x:c r="G335" s="8" t="n">
        <x:v>2160</x:v>
      </x:c>
      <x:c r="H335" s="8" t="n">
        <x:v>90</x:v>
      </x:c>
      <x:c r="I335" s="8" t="s">
        <x:v>58</x:v>
      </x:c>
      <x:c r="J335" s="7" t="s">
        <x:v>1919</x:v>
      </x:c>
      <x:c r="K335" s="8" t="n">
        <x:v>0.001</x:v>
      </x:c>
      <x:c r="L335" s="8" t="n">
        <x:f aca="0">IF(AND(ISNUMBER(G335),P335&lt;&gt;"Unresolved unit / layout"),G335*K335,"Not applicable")</x:f>
        <x:v>2.16</x:v>
      </x:c>
      <x:c r="M335" s="8" t="n">
        <x:f aca="0">IF(AND(ISNUMBER(H335),P335&lt;&gt;"Unresolved unit / layout"),H335*K335,"Not applicable")</x:f>
        <x:v>0.09</x:v>
      </x:c>
      <x:c r="N335" s="8" t="str">
        <x:f aca="0">IF(AND(ISNUMBER(I335),P335&lt;&gt;"Unresolved unit / layout"),I335*K335,"Not applicable")</x:f>
        <x:v>Not applicable</x:v>
      </x:c>
      <x:c r="O335" s="7" t="s">
        <x:v>1937</x:v>
      </x:c>
      <x:c r="P335" s="7" t="s">
        <x:v>1921</x:v>
      </x:c>
      <x:c r="Q335" s="7" t="s">
        <x:v>1930</x:v>
      </x:c>
      <x:c r="R335" s="7" t="s">
        <x:v>2003</x:v>
      </x:c>
      <x:c r="S335" s="7" t="s">
        <x:v>2077</x:v>
      </x:c>
      <x:c r="T335" s="7" t="s">
        <x:v>2078</x:v>
      </x:c>
      <x:c r="U335" s="7" t="s">
        <x:v>53</x:v>
      </x:c>
      <x:c r="V335" s="7" t="s">
        <x:v>1999</x:v>
      </x:c>
      <x:c r="W335" s="7" t="s">
        <x:v>58</x:v>
      </x:c>
      <x:c r="X335" s="7" t="s">
        <x:v>2620</x:v>
      </x:c>
      <x:c r="Y335" s="7" t="s">
        <x:v>1172</x:v>
      </x:c>
      <x:c r="Z335" s="7" t="s">
        <x:v>2108</x:v>
      </x:c>
      <x:c r="AA335" s="7" t="s">
        <x:v>58</x:v>
      </x:c>
      <x:c r="AB335" s="8" t="s">
        <x:v>58</x:v>
      </x:c>
      <x:c r="AC335" s="8" t="s">
        <x:v>58</x:v>
      </x:c>
      <x:c r="AD335" s="8" t="s">
        <x:v>58</x:v>
      </x:c>
      <x:c r="AE335" s="8" t="s">
        <x:v>58</x:v>
      </x:c>
      <x:c r="AF335" s="8" t="s">
        <x:v>58</x:v>
      </x:c>
      <x:c r="AG335" s="7" t="s">
        <x:v>58</x:v>
      </x:c>
    </x:row>
    <x:row r="336" ht="79.5" hidden="0" customHeight="1">
      <x:c r="A336" s="7" t="s">
        <x:v>2634</x:v>
      </x:c>
      <x:c r="B336" s="7" t="s">
        <x:v>241</x:v>
      </x:c>
      <x:c r="C336" s="7" t="s">
        <x:v>243</x:v>
      </x:c>
      <x:c r="D336" s="7" t="s">
        <x:v>2006</x:v>
      </x:c>
      <x:c r="E336" s="7" t="s">
        <x:v>2635</x:v>
      </x:c>
      <x:c r="F336" s="7" t="s">
        <x:v>1929</x:v>
      </x:c>
      <x:c r="G336" s="8" t="n">
        <x:v>38</x:v>
      </x:c>
      <x:c r="H336" s="8" t="n">
        <x:v>4</x:v>
      </x:c>
      <x:c r="I336" s="8" t="s">
        <x:v>58</x:v>
      </x:c>
      <x:c r="J336" s="7" t="s">
        <x:v>1919</x:v>
      </x:c>
      <x:c r="K336" s="8" t="n">
        <x:v>1</x:v>
      </x:c>
      <x:c r="L336" s="8" t="n">
        <x:f aca="0">IF(AND(ISNUMBER(G336),P336&lt;&gt;"Unresolved unit / layout"),G336*K336,"Not applicable")</x:f>
        <x:v>38</x:v>
      </x:c>
      <x:c r="M336" s="8" t="n">
        <x:f aca="0">IF(AND(ISNUMBER(H336),P336&lt;&gt;"Unresolved unit / layout"),H336*K336,"Not applicable")</x:f>
        <x:v>4</x:v>
      </x:c>
      <x:c r="N336" s="8" t="str">
        <x:f aca="0">IF(AND(ISNUMBER(I336),P336&lt;&gt;"Unresolved unit / layout"),I336*K336,"Not applicable")</x:f>
        <x:v>Not applicable</x:v>
      </x:c>
      <x:c r="O336" s="7" t="s">
        <x:v>1929</x:v>
      </x:c>
      <x:c r="P336" s="7" t="s">
        <x:v>1921</x:v>
      </x:c>
      <x:c r="Q336" s="7" t="s">
        <x:v>1930</x:v>
      </x:c>
      <x:c r="R336" s="7" t="s">
        <x:v>1931</x:v>
      </x:c>
      <x:c r="S336" s="7" t="s">
        <x:v>2077</x:v>
      </x:c>
      <x:c r="T336" s="7" t="s">
        <x:v>2078</x:v>
      </x:c>
      <x:c r="U336" s="7" t="s">
        <x:v>53</x:v>
      </x:c>
      <x:c r="V336" s="7" t="s">
        <x:v>1999</x:v>
      </x:c>
      <x:c r="W336" s="7" t="s">
        <x:v>58</x:v>
      </x:c>
      <x:c r="X336" s="7" t="s">
        <x:v>2620</x:v>
      </x:c>
      <x:c r="Y336" s="7" t="s">
        <x:v>1172</x:v>
      </x:c>
      <x:c r="Z336" s="7" t="s">
        <x:v>2111</x:v>
      </x:c>
      <x:c r="AA336" s="7" t="s">
        <x:v>58</x:v>
      </x:c>
      <x:c r="AB336" s="8" t="s">
        <x:v>58</x:v>
      </x:c>
      <x:c r="AC336" s="8" t="s">
        <x:v>58</x:v>
      </x:c>
      <x:c r="AD336" s="8" t="s">
        <x:v>58</x:v>
      </x:c>
      <x:c r="AE336" s="8" t="s">
        <x:v>58</x:v>
      </x:c>
      <x:c r="AF336" s="8" t="s">
        <x:v>58</x:v>
      </x:c>
      <x:c r="AG336" s="7" t="s">
        <x:v>58</x:v>
      </x:c>
    </x:row>
    <x:row r="337" ht="79.5" hidden="0" customHeight="1">
      <x:c r="A337" s="7" t="s">
        <x:v>2636</x:v>
      </x:c>
      <x:c r="B337" s="7" t="s">
        <x:v>241</x:v>
      </x:c>
      <x:c r="C337" s="7" t="s">
        <x:v>243</x:v>
      </x:c>
      <x:c r="D337" s="7" t="s">
        <x:v>2006</x:v>
      </x:c>
      <x:c r="E337" s="7" t="s">
        <x:v>2637</x:v>
      </x:c>
      <x:c r="F337" s="7" t="s">
        <x:v>1929</x:v>
      </x:c>
      <x:c r="G337" s="8" t="n">
        <x:v>26</x:v>
      </x:c>
      <x:c r="H337" s="8" t="n">
        <x:v>2</x:v>
      </x:c>
      <x:c r="I337" s="8" t="s">
        <x:v>58</x:v>
      </x:c>
      <x:c r="J337" s="7" t="s">
        <x:v>1919</x:v>
      </x:c>
      <x:c r="K337" s="8" t="n">
        <x:v>1</x:v>
      </x:c>
      <x:c r="L337" s="8" t="n">
        <x:f aca="0">IF(AND(ISNUMBER(G337),P337&lt;&gt;"Unresolved unit / layout"),G337*K337,"Not applicable")</x:f>
        <x:v>26</x:v>
      </x:c>
      <x:c r="M337" s="8" t="n">
        <x:f aca="0">IF(AND(ISNUMBER(H337),P337&lt;&gt;"Unresolved unit / layout"),H337*K337,"Not applicable")</x:f>
        <x:v>2</x:v>
      </x:c>
      <x:c r="N337" s="8" t="str">
        <x:f aca="0">IF(AND(ISNUMBER(I337),P337&lt;&gt;"Unresolved unit / layout"),I337*K337,"Not applicable")</x:f>
        <x:v>Not applicable</x:v>
      </x:c>
      <x:c r="O337" s="7" t="s">
        <x:v>1929</x:v>
      </x:c>
      <x:c r="P337" s="7" t="s">
        <x:v>1921</x:v>
      </x:c>
      <x:c r="Q337" s="7" t="s">
        <x:v>1930</x:v>
      </x:c>
      <x:c r="R337" s="7" t="s">
        <x:v>2003</x:v>
      </x:c>
      <x:c r="S337" s="7" t="s">
        <x:v>2077</x:v>
      </x:c>
      <x:c r="T337" s="7" t="s">
        <x:v>2078</x:v>
      </x:c>
      <x:c r="U337" s="7" t="s">
        <x:v>53</x:v>
      </x:c>
      <x:c r="V337" s="7" t="s">
        <x:v>1999</x:v>
      </x:c>
      <x:c r="W337" s="7" t="s">
        <x:v>58</x:v>
      </x:c>
      <x:c r="X337" s="7" t="s">
        <x:v>2620</x:v>
      </x:c>
      <x:c r="Y337" s="7" t="s">
        <x:v>1172</x:v>
      </x:c>
      <x:c r="Z337" s="7" t="s">
        <x:v>2114</x:v>
      </x:c>
      <x:c r="AA337" s="7" t="s">
        <x:v>58</x:v>
      </x:c>
      <x:c r="AB337" s="8" t="s">
        <x:v>58</x:v>
      </x:c>
      <x:c r="AC337" s="8" t="s">
        <x:v>58</x:v>
      </x:c>
      <x:c r="AD337" s="8" t="s">
        <x:v>58</x:v>
      </x:c>
      <x:c r="AE337" s="8" t="s">
        <x:v>58</x:v>
      </x:c>
      <x:c r="AF337" s="8" t="s">
        <x:v>58</x:v>
      </x:c>
      <x:c r="AG337" s="7" t="s">
        <x:v>58</x:v>
      </x:c>
    </x:row>
    <x:row r="338" ht="79.5" hidden="0" customHeight="1">
      <x:c r="A338" s="7" t="s">
        <x:v>2638</x:v>
      </x:c>
      <x:c r="B338" s="7" t="s">
        <x:v>241</x:v>
      </x:c>
      <x:c r="C338" s="7" t="s">
        <x:v>243</x:v>
      </x:c>
      <x:c r="D338" s="7" t="s">
        <x:v>1940</x:v>
      </x:c>
      <x:c r="E338" s="7" t="s">
        <x:v>2639</x:v>
      </x:c>
      <x:c r="F338" s="7" t="s">
        <x:v>1942</x:v>
      </x:c>
      <x:c r="G338" s="8" t="n">
        <x:v>8.4</x:v>
      </x:c>
      <x:c r="H338" s="8" t="n">
        <x:v>3.2</x:v>
      </x:c>
      <x:c r="I338" s="8" t="s">
        <x:v>58</x:v>
      </x:c>
      <x:c r="J338" s="7" t="s">
        <x:v>1919</x:v>
      </x:c>
      <x:c r="K338" s="8" t="n">
        <x:v>1</x:v>
      </x:c>
      <x:c r="L338" s="8" t="n">
        <x:f aca="0">IF(AND(ISNUMBER(G338),P338&lt;&gt;"Unresolved unit / layout"),G338*K338,"Not applicable")</x:f>
        <x:v>8.4</x:v>
      </x:c>
      <x:c r="M338" s="8" t="n">
        <x:f aca="0">IF(AND(ISNUMBER(H338),P338&lt;&gt;"Unresolved unit / layout"),H338*K338,"Not applicable")</x:f>
        <x:v>3.2</x:v>
      </x:c>
      <x:c r="N338" s="8" t="str">
        <x:f aca="0">IF(AND(ISNUMBER(I338),P338&lt;&gt;"Unresolved unit / layout"),I338*K338,"Not applicable")</x:f>
        <x:v>Not applicable</x:v>
      </x:c>
      <x:c r="O338" s="7" t="s">
        <x:v>1942</x:v>
      </x:c>
      <x:c r="P338" s="7" t="s">
        <x:v>1921</x:v>
      </x:c>
      <x:c r="Q338" s="7" t="s">
        <x:v>1930</x:v>
      </x:c>
      <x:c r="R338" s="7" t="s">
        <x:v>1931</x:v>
      </x:c>
      <x:c r="S338" s="7" t="s">
        <x:v>2077</x:v>
      </x:c>
      <x:c r="T338" s="7" t="s">
        <x:v>2078</x:v>
      </x:c>
      <x:c r="U338" s="7" t="s">
        <x:v>53</x:v>
      </x:c>
      <x:c r="V338" s="7" t="s">
        <x:v>1999</x:v>
      </x:c>
      <x:c r="W338" s="7" t="s">
        <x:v>58</x:v>
      </x:c>
      <x:c r="X338" s="7" t="s">
        <x:v>2620</x:v>
      </x:c>
      <x:c r="Y338" s="7" t="s">
        <x:v>1172</x:v>
      </x:c>
      <x:c r="Z338" s="7" t="s">
        <x:v>2117</x:v>
      </x:c>
      <x:c r="AA338" s="7" t="s">
        <x:v>58</x:v>
      </x:c>
      <x:c r="AB338" s="8" t="s">
        <x:v>58</x:v>
      </x:c>
      <x:c r="AC338" s="8" t="s">
        <x:v>58</x:v>
      </x:c>
      <x:c r="AD338" s="8" t="s">
        <x:v>58</x:v>
      </x:c>
      <x:c r="AE338" s="8" t="s">
        <x:v>58</x:v>
      </x:c>
      <x:c r="AF338" s="8" t="s">
        <x:v>58</x:v>
      </x:c>
      <x:c r="AG338" s="7" t="s">
        <x:v>58</x:v>
      </x:c>
    </x:row>
    <x:row r="339" ht="79.5" hidden="0" customHeight="1">
      <x:c r="A339" s="7" t="s">
        <x:v>2640</x:v>
      </x:c>
      <x:c r="B339" s="7" t="s">
        <x:v>241</x:v>
      </x:c>
      <x:c r="C339" s="7" t="s">
        <x:v>243</x:v>
      </x:c>
      <x:c r="D339" s="7" t="s">
        <x:v>1940</x:v>
      </x:c>
      <x:c r="E339" s="7" t="s">
        <x:v>2641</x:v>
      </x:c>
      <x:c r="F339" s="7" t="s">
        <x:v>1942</x:v>
      </x:c>
      <x:c r="G339" s="8" t="n">
        <x:v>3.6</x:v>
      </x:c>
      <x:c r="H339" s="8" t="n">
        <x:v>0.7</x:v>
      </x:c>
      <x:c r="I339" s="8" t="s">
        <x:v>58</x:v>
      </x:c>
      <x:c r="J339" s="7" t="s">
        <x:v>1919</x:v>
      </x:c>
      <x:c r="K339" s="8" t="n">
        <x:v>1</x:v>
      </x:c>
      <x:c r="L339" s="8" t="n">
        <x:f aca="0">IF(AND(ISNUMBER(G339),P339&lt;&gt;"Unresolved unit / layout"),G339*K339,"Not applicable")</x:f>
        <x:v>3.6</x:v>
      </x:c>
      <x:c r="M339" s="8" t="n">
        <x:f aca="0">IF(AND(ISNUMBER(H339),P339&lt;&gt;"Unresolved unit / layout"),H339*K339,"Not applicable")</x:f>
        <x:v>0.7</x:v>
      </x:c>
      <x:c r="N339" s="8" t="str">
        <x:f aca="0">IF(AND(ISNUMBER(I339),P339&lt;&gt;"Unresolved unit / layout"),I339*K339,"Not applicable")</x:f>
        <x:v>Not applicable</x:v>
      </x:c>
      <x:c r="O339" s="7" t="s">
        <x:v>1942</x:v>
      </x:c>
      <x:c r="P339" s="7" t="s">
        <x:v>1921</x:v>
      </x:c>
      <x:c r="Q339" s="7" t="s">
        <x:v>1930</x:v>
      </x:c>
      <x:c r="R339" s="7" t="s">
        <x:v>2003</x:v>
      </x:c>
      <x:c r="S339" s="7" t="s">
        <x:v>2077</x:v>
      </x:c>
      <x:c r="T339" s="7" t="s">
        <x:v>2078</x:v>
      </x:c>
      <x:c r="U339" s="7" t="s">
        <x:v>53</x:v>
      </x:c>
      <x:c r="V339" s="7" t="s">
        <x:v>1999</x:v>
      </x:c>
      <x:c r="W339" s="7" t="s">
        <x:v>58</x:v>
      </x:c>
      <x:c r="X339" s="7" t="s">
        <x:v>2620</x:v>
      </x:c>
      <x:c r="Y339" s="7" t="s">
        <x:v>1172</x:v>
      </x:c>
      <x:c r="Z339" s="7" t="s">
        <x:v>2120</x:v>
      </x:c>
      <x:c r="AA339" s="7" t="s">
        <x:v>58</x:v>
      </x:c>
      <x:c r="AB339" s="8" t="s">
        <x:v>58</x:v>
      </x:c>
      <x:c r="AC339" s="8" t="s">
        <x:v>58</x:v>
      </x:c>
      <x:c r="AD339" s="8" t="s">
        <x:v>58</x:v>
      </x:c>
      <x:c r="AE339" s="8" t="s">
        <x:v>58</x:v>
      </x:c>
      <x:c r="AF339" s="8" t="s">
        <x:v>58</x:v>
      </x:c>
      <x:c r="AG339" s="7" t="s">
        <x:v>58</x:v>
      </x:c>
    </x:row>
    <x:row r="340" ht="79.5" hidden="0" customHeight="1">
      <x:c r="A340" s="7" t="s">
        <x:v>2642</x:v>
      </x:c>
      <x:c r="B340" s="7" t="s">
        <x:v>241</x:v>
      </x:c>
      <x:c r="C340" s="7" t="s">
        <x:v>243</x:v>
      </x:c>
      <x:c r="D340" s="7" t="s">
        <x:v>1950</x:v>
      </x:c>
      <x:c r="E340" s="7" t="s">
        <x:v>2643</x:v>
      </x:c>
      <x:c r="F340" s="7" t="s">
        <x:v>1929</x:v>
      </x:c>
      <x:c r="G340" s="8" t="n">
        <x:v>3950</x:v>
      </x:c>
      <x:c r="H340" s="8" t="n">
        <x:v>190</x:v>
      </x:c>
      <x:c r="I340" s="8" t="s">
        <x:v>58</x:v>
      </x:c>
      <x:c r="J340" s="7" t="s">
        <x:v>1919</x:v>
      </x:c>
      <x:c r="K340" s="8" t="n">
        <x:v>0.001</x:v>
      </x:c>
      <x:c r="L340" s="8" t="n">
        <x:f aca="0">IF(AND(ISNUMBER(G340),P340&lt;&gt;"Unresolved unit / layout"),G340*K340,"Not applicable")</x:f>
        <x:v>3.95</x:v>
      </x:c>
      <x:c r="M340" s="8" t="n">
        <x:f aca="0">IF(AND(ISNUMBER(H340),P340&lt;&gt;"Unresolved unit / layout"),H340*K340,"Not applicable")</x:f>
        <x:v>0.19</x:v>
      </x:c>
      <x:c r="N340" s="8" t="str">
        <x:f aca="0">IF(AND(ISNUMBER(I340),P340&lt;&gt;"Unresolved unit / layout"),I340*K340,"Not applicable")</x:f>
        <x:v>Not applicable</x:v>
      </x:c>
      <x:c r="O340" s="7" t="s">
        <x:v>1937</x:v>
      </x:c>
      <x:c r="P340" s="7" t="s">
        <x:v>1921</x:v>
      </x:c>
      <x:c r="Q340" s="7" t="s">
        <x:v>1930</x:v>
      </x:c>
      <x:c r="R340" s="7" t="s">
        <x:v>1931</x:v>
      </x:c>
      <x:c r="S340" s="7" t="s">
        <x:v>2077</x:v>
      </x:c>
      <x:c r="T340" s="7" t="s">
        <x:v>2078</x:v>
      </x:c>
      <x:c r="U340" s="7" t="s">
        <x:v>53</x:v>
      </x:c>
      <x:c r="V340" s="7" t="s">
        <x:v>2020</x:v>
      </x:c>
      <x:c r="W340" s="7" t="s">
        <x:v>58</x:v>
      </x:c>
      <x:c r="X340" s="7" t="s">
        <x:v>2620</x:v>
      </x:c>
      <x:c r="Y340" s="7" t="s">
        <x:v>1172</x:v>
      </x:c>
      <x:c r="Z340" s="7" t="s">
        <x:v>2123</x:v>
      </x:c>
      <x:c r="AA340" s="7" t="s">
        <x:v>58</x:v>
      </x:c>
      <x:c r="AB340" s="8" t="s">
        <x:v>58</x:v>
      </x:c>
      <x:c r="AC340" s="8" t="s">
        <x:v>58</x:v>
      </x:c>
      <x:c r="AD340" s="8" t="s">
        <x:v>58</x:v>
      </x:c>
      <x:c r="AE340" s="8" t="s">
        <x:v>58</x:v>
      </x:c>
      <x:c r="AF340" s="8" t="s">
        <x:v>58</x:v>
      </x:c>
      <x:c r="AG340" s="7" t="s">
        <x:v>58</x:v>
      </x:c>
    </x:row>
    <x:row r="341" ht="79.5" hidden="0" customHeight="1">
      <x:c r="A341" s="7" t="s">
        <x:v>2644</x:v>
      </x:c>
      <x:c r="B341" s="7" t="s">
        <x:v>241</x:v>
      </x:c>
      <x:c r="C341" s="7" t="s">
        <x:v>243</x:v>
      </x:c>
      <x:c r="D341" s="7" t="s">
        <x:v>1950</x:v>
      </x:c>
      <x:c r="E341" s="7" t="s">
        <x:v>2645</x:v>
      </x:c>
      <x:c r="F341" s="7" t="s">
        <x:v>1929</x:v>
      </x:c>
      <x:c r="G341" s="8" t="n">
        <x:v>2260</x:v>
      </x:c>
      <x:c r="H341" s="8" t="n">
        <x:v>180</x:v>
      </x:c>
      <x:c r="I341" s="8" t="s">
        <x:v>58</x:v>
      </x:c>
      <x:c r="J341" s="7" t="s">
        <x:v>1919</x:v>
      </x:c>
      <x:c r="K341" s="8" t="n">
        <x:v>0.001</x:v>
      </x:c>
      <x:c r="L341" s="8" t="n">
        <x:f aca="0">IF(AND(ISNUMBER(G341),P341&lt;&gt;"Unresolved unit / layout"),G341*K341,"Not applicable")</x:f>
        <x:v>2.2600000000000002</x:v>
      </x:c>
      <x:c r="M341" s="8" t="n">
        <x:f aca="0">IF(AND(ISNUMBER(H341),P341&lt;&gt;"Unresolved unit / layout"),H341*K341,"Not applicable")</x:f>
        <x:v>0.18</x:v>
      </x:c>
      <x:c r="N341" s="8" t="str">
        <x:f aca="0">IF(AND(ISNUMBER(I341),P341&lt;&gt;"Unresolved unit / layout"),I341*K341,"Not applicable")</x:f>
        <x:v>Not applicable</x:v>
      </x:c>
      <x:c r="O341" s="7" t="s">
        <x:v>1937</x:v>
      </x:c>
      <x:c r="P341" s="7" t="s">
        <x:v>1921</x:v>
      </x:c>
      <x:c r="Q341" s="7" t="s">
        <x:v>1930</x:v>
      </x:c>
      <x:c r="R341" s="7" t="s">
        <x:v>2003</x:v>
      </x:c>
      <x:c r="S341" s="7" t="s">
        <x:v>2077</x:v>
      </x:c>
      <x:c r="T341" s="7" t="s">
        <x:v>2078</x:v>
      </x:c>
      <x:c r="U341" s="7" t="s">
        <x:v>53</x:v>
      </x:c>
      <x:c r="V341" s="7" t="s">
        <x:v>2020</x:v>
      </x:c>
      <x:c r="W341" s="7" t="s">
        <x:v>58</x:v>
      </x:c>
      <x:c r="X341" s="7" t="s">
        <x:v>2620</x:v>
      </x:c>
      <x:c r="Y341" s="7" t="s">
        <x:v>1172</x:v>
      </x:c>
      <x:c r="Z341" s="7" t="s">
        <x:v>2210</x:v>
      </x:c>
      <x:c r="AA341" s="7" t="s">
        <x:v>58</x:v>
      </x:c>
      <x:c r="AB341" s="8" t="s">
        <x:v>58</x:v>
      </x:c>
      <x:c r="AC341" s="8" t="s">
        <x:v>58</x:v>
      </x:c>
      <x:c r="AD341" s="8" t="s">
        <x:v>58</x:v>
      </x:c>
      <x:c r="AE341" s="8" t="s">
        <x:v>58</x:v>
      </x:c>
      <x:c r="AF341" s="8" t="s">
        <x:v>58</x:v>
      </x:c>
      <x:c r="AG341" s="7" t="s">
        <x:v>58</x:v>
      </x:c>
    </x:row>
    <x:row r="342" ht="79.5" hidden="0" customHeight="1">
      <x:c r="A342" s="7" t="s">
        <x:v>2646</x:v>
      </x:c>
      <x:c r="B342" s="7" t="s">
        <x:v>241</x:v>
      </x:c>
      <x:c r="C342" s="7" t="s">
        <x:v>243</x:v>
      </x:c>
      <x:c r="D342" s="7" t="s">
        <x:v>1945</x:v>
      </x:c>
      <x:c r="E342" s="7" t="s">
        <x:v>2647</x:v>
      </x:c>
      <x:c r="F342" s="7" t="s">
        <x:v>1929</x:v>
      </x:c>
      <x:c r="G342" s="8" t="n">
        <x:v>89</x:v>
      </x:c>
      <x:c r="H342" s="8" t="n">
        <x:v>4</x:v>
      </x:c>
      <x:c r="I342" s="8" t="s">
        <x:v>58</x:v>
      </x:c>
      <x:c r="J342" s="7" t="s">
        <x:v>1919</x:v>
      </x:c>
      <x:c r="K342" s="8" t="n">
        <x:v>1</x:v>
      </x:c>
      <x:c r="L342" s="8" t="n">
        <x:f aca="0">IF(AND(ISNUMBER(G342),P342&lt;&gt;"Unresolved unit / layout"),G342*K342,"Not applicable")</x:f>
        <x:v>89</x:v>
      </x:c>
      <x:c r="M342" s="8" t="n">
        <x:f aca="0">IF(AND(ISNUMBER(H342),P342&lt;&gt;"Unresolved unit / layout"),H342*K342,"Not applicable")</x:f>
        <x:v>4</x:v>
      </x:c>
      <x:c r="N342" s="8" t="str">
        <x:f aca="0">IF(AND(ISNUMBER(I342),P342&lt;&gt;"Unresolved unit / layout"),I342*K342,"Not applicable")</x:f>
        <x:v>Not applicable</x:v>
      </x:c>
      <x:c r="O342" s="7" t="s">
        <x:v>1929</x:v>
      </x:c>
      <x:c r="P342" s="7" t="s">
        <x:v>1921</x:v>
      </x:c>
      <x:c r="Q342" s="7" t="s">
        <x:v>1930</x:v>
      </x:c>
      <x:c r="R342" s="7" t="s">
        <x:v>1931</x:v>
      </x:c>
      <x:c r="S342" s="7" t="s">
        <x:v>2077</x:v>
      </x:c>
      <x:c r="T342" s="7" t="s">
        <x:v>2078</x:v>
      </x:c>
      <x:c r="U342" s="7" t="s">
        <x:v>53</x:v>
      </x:c>
      <x:c r="V342" s="7" t="s">
        <x:v>2020</x:v>
      </x:c>
      <x:c r="W342" s="7" t="s">
        <x:v>58</x:v>
      </x:c>
      <x:c r="X342" s="7" t="s">
        <x:v>2620</x:v>
      </x:c>
      <x:c r="Y342" s="7" t="s">
        <x:v>1172</x:v>
      </x:c>
      <x:c r="Z342" s="7" t="s">
        <x:v>2213</x:v>
      </x:c>
      <x:c r="AA342" s="7" t="s">
        <x:v>58</x:v>
      </x:c>
      <x:c r="AB342" s="8" t="s">
        <x:v>58</x:v>
      </x:c>
      <x:c r="AC342" s="8" t="s">
        <x:v>58</x:v>
      </x:c>
      <x:c r="AD342" s="8" t="s">
        <x:v>58</x:v>
      </x:c>
      <x:c r="AE342" s="8" t="s">
        <x:v>58</x:v>
      </x:c>
      <x:c r="AF342" s="8" t="s">
        <x:v>58</x:v>
      </x:c>
      <x:c r="AG342" s="7" t="s">
        <x:v>58</x:v>
      </x:c>
    </x:row>
    <x:row r="343" ht="79.5" hidden="0" customHeight="1">
      <x:c r="A343" s="7" t="s">
        <x:v>2648</x:v>
      </x:c>
      <x:c r="B343" s="7" t="s">
        <x:v>241</x:v>
      </x:c>
      <x:c r="C343" s="7" t="s">
        <x:v>243</x:v>
      </x:c>
      <x:c r="D343" s="7" t="s">
        <x:v>1945</x:v>
      </x:c>
      <x:c r="E343" s="7" t="s">
        <x:v>2649</x:v>
      </x:c>
      <x:c r="F343" s="7" t="s">
        <x:v>1929</x:v>
      </x:c>
      <x:c r="G343" s="8" t="n">
        <x:v>49</x:v>
      </x:c>
      <x:c r="H343" s="8" t="n">
        <x:v>3</x:v>
      </x:c>
      <x:c r="I343" s="8" t="s">
        <x:v>58</x:v>
      </x:c>
      <x:c r="J343" s="7" t="s">
        <x:v>1919</x:v>
      </x:c>
      <x:c r="K343" s="8" t="n">
        <x:v>1</x:v>
      </x:c>
      <x:c r="L343" s="8" t="n">
        <x:f aca="0">IF(AND(ISNUMBER(G343),P343&lt;&gt;"Unresolved unit / layout"),G343*K343,"Not applicable")</x:f>
        <x:v>49</x:v>
      </x:c>
      <x:c r="M343" s="8" t="n">
        <x:f aca="0">IF(AND(ISNUMBER(H343),P343&lt;&gt;"Unresolved unit / layout"),H343*K343,"Not applicable")</x:f>
        <x:v>3</x:v>
      </x:c>
      <x:c r="N343" s="8" t="str">
        <x:f aca="0">IF(AND(ISNUMBER(I343),P343&lt;&gt;"Unresolved unit / layout"),I343*K343,"Not applicable")</x:f>
        <x:v>Not applicable</x:v>
      </x:c>
      <x:c r="O343" s="7" t="s">
        <x:v>1929</x:v>
      </x:c>
      <x:c r="P343" s="7" t="s">
        <x:v>1921</x:v>
      </x:c>
      <x:c r="Q343" s="7" t="s">
        <x:v>1930</x:v>
      </x:c>
      <x:c r="R343" s="7" t="s">
        <x:v>2003</x:v>
      </x:c>
      <x:c r="S343" s="7" t="s">
        <x:v>2077</x:v>
      </x:c>
      <x:c r="T343" s="7" t="s">
        <x:v>2078</x:v>
      </x:c>
      <x:c r="U343" s="7" t="s">
        <x:v>53</x:v>
      </x:c>
      <x:c r="V343" s="7" t="s">
        <x:v>2020</x:v>
      </x:c>
      <x:c r="W343" s="7" t="s">
        <x:v>58</x:v>
      </x:c>
      <x:c r="X343" s="7" t="s">
        <x:v>2620</x:v>
      </x:c>
      <x:c r="Y343" s="7" t="s">
        <x:v>1172</x:v>
      </x:c>
      <x:c r="Z343" s="7" t="s">
        <x:v>2216</x:v>
      </x:c>
      <x:c r="AA343" s="7" t="s">
        <x:v>58</x:v>
      </x:c>
      <x:c r="AB343" s="8" t="s">
        <x:v>58</x:v>
      </x:c>
      <x:c r="AC343" s="8" t="s">
        <x:v>58</x:v>
      </x:c>
      <x:c r="AD343" s="8" t="s">
        <x:v>58</x:v>
      </x:c>
      <x:c r="AE343" s="8" t="s">
        <x:v>58</x:v>
      </x:c>
      <x:c r="AF343" s="8" t="s">
        <x:v>58</x:v>
      </x:c>
      <x:c r="AG343" s="7" t="s">
        <x:v>58</x:v>
      </x:c>
    </x:row>
    <x:row r="344" ht="79.5" hidden="0" customHeight="1">
      <x:c r="A344" s="7" t="s">
        <x:v>2650</x:v>
      </x:c>
      <x:c r="B344" s="7" t="s">
        <x:v>241</x:v>
      </x:c>
      <x:c r="C344" s="7" t="s">
        <x:v>243</x:v>
      </x:c>
      <x:c r="D344" s="7" t="s">
        <x:v>2030</x:v>
      </x:c>
      <x:c r="E344" s="7" t="s">
        <x:v>2651</x:v>
      </x:c>
      <x:c r="F344" s="7" t="s">
        <x:v>2033</x:v>
      </x:c>
      <x:c r="G344" s="8" t="n">
        <x:v>23.2</x:v>
      </x:c>
      <x:c r="H344" s="8" t="n">
        <x:v>3.7</x:v>
      </x:c>
      <x:c r="I344" s="8" t="s">
        <x:v>58</x:v>
      </x:c>
      <x:c r="J344" s="7" t="s">
        <x:v>1919</x:v>
      </x:c>
      <x:c r="K344" s="8" t="n">
        <x:v>1</x:v>
      </x:c>
      <x:c r="L344" s="8" t="n">
        <x:f aca="0">IF(AND(ISNUMBER(G344),P344&lt;&gt;"Unresolved unit / layout"),G344*K344,"Not applicable")</x:f>
        <x:v>23.2</x:v>
      </x:c>
      <x:c r="M344" s="8" t="n">
        <x:f aca="0">IF(AND(ISNUMBER(H344),P344&lt;&gt;"Unresolved unit / layout"),H344*K344,"Not applicable")</x:f>
        <x:v>3.7</x:v>
      </x:c>
      <x:c r="N344" s="8" t="str">
        <x:f aca="0">IF(AND(ISNUMBER(I344),P344&lt;&gt;"Unresolved unit / layout"),I344*K344,"Not applicable")</x:f>
        <x:v>Not applicable</x:v>
      </x:c>
      <x:c r="O344" s="7" t="s">
        <x:v>2033</x:v>
      </x:c>
      <x:c r="P344" s="7" t="s">
        <x:v>1921</x:v>
      </x:c>
      <x:c r="Q344" s="7" t="s">
        <x:v>1930</x:v>
      </x:c>
      <x:c r="R344" s="7" t="s">
        <x:v>1931</x:v>
      </x:c>
      <x:c r="S344" s="7" t="s">
        <x:v>2077</x:v>
      </x:c>
      <x:c r="T344" s="7" t="s">
        <x:v>2078</x:v>
      </x:c>
      <x:c r="U344" s="7" t="s">
        <x:v>53</x:v>
      </x:c>
      <x:c r="V344" s="7" t="s">
        <x:v>2036</x:v>
      </x:c>
      <x:c r="W344" s="7" t="s">
        <x:v>53</x:v>
      </x:c>
      <x:c r="X344" s="7" t="s">
        <x:v>2620</x:v>
      </x:c>
      <x:c r="Y344" s="7" t="s">
        <x:v>1172</x:v>
      </x:c>
      <x:c r="Z344" s="7" t="s">
        <x:v>2378</x:v>
      </x:c>
      <x:c r="AA344" s="7" t="s">
        <x:v>58</x:v>
      </x:c>
      <x:c r="AB344" s="8" t="s">
        <x:v>58</x:v>
      </x:c>
      <x:c r="AC344" s="8" t="s">
        <x:v>58</x:v>
      </x:c>
      <x:c r="AD344" s="8" t="s">
        <x:v>58</x:v>
      </x:c>
      <x:c r="AE344" s="8" t="s">
        <x:v>58</x:v>
      </x:c>
      <x:c r="AF344" s="8" t="s">
        <x:v>58</x:v>
      </x:c>
      <x:c r="AG344" s="7" t="s">
        <x:v>58</x:v>
      </x:c>
    </x:row>
    <x:row r="345" ht="79.5" hidden="0" customHeight="1">
      <x:c r="A345" s="7" t="s">
        <x:v>2652</x:v>
      </x:c>
      <x:c r="B345" s="7" t="s">
        <x:v>241</x:v>
      </x:c>
      <x:c r="C345" s="7" t="s">
        <x:v>243</x:v>
      </x:c>
      <x:c r="D345" s="7" t="s">
        <x:v>2030</x:v>
      </x:c>
      <x:c r="E345" s="7" t="s">
        <x:v>2653</x:v>
      </x:c>
      <x:c r="F345" s="7" t="s">
        <x:v>2033</x:v>
      </x:c>
      <x:c r="G345" s="8" t="n">
        <x:v>7.6</x:v>
      </x:c>
      <x:c r="H345" s="8" t="n">
        <x:v>2.6</x:v>
      </x:c>
      <x:c r="I345" s="8" t="s">
        <x:v>58</x:v>
      </x:c>
      <x:c r="J345" s="7" t="s">
        <x:v>1919</x:v>
      </x:c>
      <x:c r="K345" s="8" t="n">
        <x:v>1</x:v>
      </x:c>
      <x:c r="L345" s="8" t="n">
        <x:f aca="0">IF(AND(ISNUMBER(G345),P345&lt;&gt;"Unresolved unit / layout"),G345*K345,"Not applicable")</x:f>
        <x:v>7.6</x:v>
      </x:c>
      <x:c r="M345" s="8" t="n">
        <x:f aca="0">IF(AND(ISNUMBER(H345),P345&lt;&gt;"Unresolved unit / layout"),H345*K345,"Not applicable")</x:f>
        <x:v>2.6</x:v>
      </x:c>
      <x:c r="N345" s="8" t="str">
        <x:f aca="0">IF(AND(ISNUMBER(I345),P345&lt;&gt;"Unresolved unit / layout"),I345*K345,"Not applicable")</x:f>
        <x:v>Not applicable</x:v>
      </x:c>
      <x:c r="O345" s="7" t="s">
        <x:v>2033</x:v>
      </x:c>
      <x:c r="P345" s="7" t="s">
        <x:v>1921</x:v>
      </x:c>
      <x:c r="Q345" s="7" t="s">
        <x:v>1930</x:v>
      </x:c>
      <x:c r="R345" s="7" t="s">
        <x:v>1931</x:v>
      </x:c>
      <x:c r="S345" s="7" t="s">
        <x:v>2077</x:v>
      </x:c>
      <x:c r="T345" s="7" t="s">
        <x:v>2078</x:v>
      </x:c>
      <x:c r="U345" s="7" t="s">
        <x:v>53</x:v>
      </x:c>
      <x:c r="V345" s="7" t="s">
        <x:v>2036</x:v>
      </x:c>
      <x:c r="W345" s="7" t="str">
        <x:v>Notched</x:v>
      </x:c>
      <x:c r="X345" s="7" t="s">
        <x:v>2620</x:v>
      </x:c>
      <x:c r="Y345" s="7" t="s">
        <x:v>1172</x:v>
      </x:c>
      <x:c r="Z345" s="7" t="str">
        <x:v>p. 2: Impact Strength (X-Y) — notched</x:v>
      </x:c>
      <x:c r="AA345" s="7" t="str">
        <x:v>Notch field corrected 2026-09-13 from explicit '(notched)' text in the current manufacturer TDS.</x:v>
      </x:c>
      <x:c r="AB345" s="8" t="s">
        <x:v>58</x:v>
      </x:c>
      <x:c r="AC345" s="8" t="s">
        <x:v>58</x:v>
      </x:c>
      <x:c r="AD345" s="8" t="s">
        <x:v>58</x:v>
      </x:c>
      <x:c r="AE345" s="8" t="s">
        <x:v>58</x:v>
      </x:c>
      <x:c r="AF345" s="8" t="s">
        <x:v>58</x:v>
      </x:c>
      <x:c r="AG345" s="7" t="s">
        <x:v>58</x:v>
      </x:c>
    </x:row>
    <x:row r="346" ht="79.5" hidden="0" customHeight="1">
      <x:c r="A346" s="7" t="s">
        <x:v>2654</x:v>
      </x:c>
      <x:c r="B346" s="7" t="s">
        <x:v>241</x:v>
      </x:c>
      <x:c r="C346" s="7" t="s">
        <x:v>243</x:v>
      </x:c>
      <x:c r="D346" s="7" t="s">
        <x:v>2030</x:v>
      </x:c>
      <x:c r="E346" s="7" t="s">
        <x:v>2655</x:v>
      </x:c>
      <x:c r="F346" s="7" t="s">
        <x:v>2033</x:v>
      </x:c>
      <x:c r="G346" s="8" t="n">
        <x:v>7.8</x:v>
      </x:c>
      <x:c r="H346" s="8" t="n">
        <x:v>0.7</x:v>
      </x:c>
      <x:c r="I346" s="8" t="s">
        <x:v>58</x:v>
      </x:c>
      <x:c r="J346" s="7" t="s">
        <x:v>1919</x:v>
      </x:c>
      <x:c r="K346" s="8" t="n">
        <x:v>1</x:v>
      </x:c>
      <x:c r="L346" s="8" t="n">
        <x:f aca="0">IF(AND(ISNUMBER(G346),P346&lt;&gt;"Unresolved unit / layout"),G346*K346,"Not applicable")</x:f>
        <x:v>7.8</x:v>
      </x:c>
      <x:c r="M346" s="8" t="n">
        <x:f aca="0">IF(AND(ISNUMBER(H346),P346&lt;&gt;"Unresolved unit / layout"),H346*K346,"Not applicable")</x:f>
        <x:v>0.7</x:v>
      </x:c>
      <x:c r="N346" s="8" t="str">
        <x:f aca="0">IF(AND(ISNUMBER(I346),P346&lt;&gt;"Unresolved unit / layout"),I346*K346,"Not applicable")</x:f>
        <x:v>Not applicable</x:v>
      </x:c>
      <x:c r="O346" s="7" t="s">
        <x:v>2033</x:v>
      </x:c>
      <x:c r="P346" s="7" t="s">
        <x:v>1921</x:v>
      </x:c>
      <x:c r="Q346" s="7" t="s">
        <x:v>1930</x:v>
      </x:c>
      <x:c r="R346" s="7" t="s">
        <x:v>1931</x:v>
      </x:c>
      <x:c r="S346" s="7" t="s">
        <x:v>2077</x:v>
      </x:c>
      <x:c r="T346" s="7" t="s">
        <x:v>2078</x:v>
      </x:c>
      <x:c r="U346" s="7" t="s">
        <x:v>53</x:v>
      </x:c>
      <x:c r="V346" s="7" t="s">
        <x:v>2036</x:v>
      </x:c>
      <x:c r="W346" s="7" t="str">
        <x:v>Not published</x:v>
      </x:c>
      <x:c r="X346" s="7" t="s">
        <x:v>2620</x:v>
      </x:c>
      <x:c r="Y346" s="7" t="s">
        <x:v>1172</x:v>
      </x:c>
      <x:c r="Z346" s="7" t="str">
        <x:v>p. 2: Impact Strength (X-Y) — notch unspecified; repeated XY label retained</x:v>
      </x:c>
      <x:c r="AA346" s="7" t="str">
        <x:v>Manufacturer TDS repeats the X-Y label and does not state notch condition. No direction or notch inference made; see C01108.</x:v>
      </x:c>
      <x:c r="AB346" s="8" t="s">
        <x:v>58</x:v>
      </x:c>
      <x:c r="AC346" s="8" t="s">
        <x:v>58</x:v>
      </x:c>
      <x:c r="AD346" s="8" t="s">
        <x:v>58</x:v>
      </x:c>
      <x:c r="AE346" s="8" t="s">
        <x:v>58</x:v>
      </x:c>
      <x:c r="AF346" s="8" t="s">
        <x:v>58</x:v>
      </x:c>
      <x:c r="AG346" s="7" t="s">
        <x:v>58</x:v>
      </x:c>
    </x:row>
    <x:row r="347" ht="51.75" hidden="0" customHeight="1">
      <x:c r="A347" s="7" t="s">
        <x:v>2656</x:v>
      </x:c>
      <x:c r="B347" s="7" t="s">
        <x:v>252</x:v>
      </x:c>
      <x:c r="C347" s="7" t="s">
        <x:v>254</x:v>
      </x:c>
      <x:c r="D347" s="7" t="s">
        <x:v>1916</x:v>
      </x:c>
      <x:c r="E347" s="7" t="s">
        <x:v>2657</x:v>
      </x:c>
      <x:c r="F347" s="7" t="s">
        <x:v>1965</x:v>
      </x:c>
      <x:c r="G347" s="8" t="n">
        <x:v>1.337</x:v>
      </x:c>
      <x:c r="H347" s="8" t="s">
        <x:v>58</x:v>
      </x:c>
      <x:c r="I347" s="8" t="s">
        <x:v>58</x:v>
      </x:c>
      <x:c r="J347" s="7" t="s">
        <x:v>1919</x:v>
      </x:c>
      <x:c r="K347" s="8" t="n">
        <x:v>1000</x:v>
      </x:c>
      <x:c r="L347" s="8" t="n">
        <x:f aca="0">IF(AND(ISNUMBER(G347),P347&lt;&gt;"Unresolved unit / layout"),G347*K347,"Not applicable")</x:f>
        <x:v>1337</x:v>
      </x:c>
      <x:c r="M347" s="8" t="str">
        <x:f aca="0">IF(AND(ISNUMBER(H347),P347&lt;&gt;"Unresolved unit / layout"),H347*K347,"Not applicable")</x:f>
        <x:v>Not applicable</x:v>
      </x:c>
      <x:c r="N347" s="8" t="str">
        <x:f aca="0">IF(AND(ISNUMBER(I347),P347&lt;&gt;"Unresolved unit / layout"),I347*K347,"Not applicable")</x:f>
        <x:v>Not applicable</x:v>
      </x:c>
      <x:c r="O347" s="7" t="s">
        <x:v>1920</x:v>
      </x:c>
      <x:c r="P347" s="7" t="s">
        <x:v>1921</x:v>
      </x:c>
      <x:c r="Q347" s="7" t="s">
        <x:v>1922</x:v>
      </x:c>
      <x:c r="R347" s="7" t="s">
        <x:v>58</x:v>
      </x:c>
      <x:c r="S347" s="7" t="s">
        <x:v>53</x:v>
      </x:c>
      <x:c r="T347" s="7" t="s">
        <x:v>53</x:v>
      </x:c>
      <x:c r="U347" s="7" t="s">
        <x:v>53</x:v>
      </x:c>
      <x:c r="V347" s="7" t="s">
        <x:v>1966</x:v>
      </x:c>
      <x:c r="W347" s="7" t="s">
        <x:v>58</x:v>
      </x:c>
      <x:c r="X347" s="7" t="s">
        <x:v>2658</x:v>
      </x:c>
      <x:c r="Y347" s="7" t="s">
        <x:v>1175</x:v>
      </x:c>
      <x:c r="Z347" s="7" t="s">
        <x:v>1968</x:v>
      </x:c>
      <x:c r="AA347" s="7" t="s">
        <x:v>58</x:v>
      </x:c>
      <x:c r="AB347" s="8" t="s">
        <x:v>58</x:v>
      </x:c>
      <x:c r="AC347" s="8" t="s">
        <x:v>58</x:v>
      </x:c>
      <x:c r="AD347" s="8" t="s">
        <x:v>58</x:v>
      </x:c>
      <x:c r="AE347" s="8" t="s">
        <x:v>58</x:v>
      </x:c>
      <x:c r="AF347" s="8" t="s">
        <x:v>58</x:v>
      </x:c>
      <x:c r="AG347" s="7" t="s">
        <x:v>58</x:v>
      </x:c>
    </x:row>
    <x:row r="348" ht="37.5" hidden="0" customHeight="1">
      <x:c r="A348" s="7" t="s">
        <x:v>2659</x:v>
      </x:c>
      <x:c r="B348" s="7" t="s">
        <x:v>252</x:v>
      </x:c>
      <x:c r="C348" s="7" t="s">
        <x:v>254</x:v>
      </x:c>
      <x:c r="D348" s="7" t="s">
        <x:v>1954</x:v>
      </x:c>
      <x:c r="E348" s="7" t="s">
        <x:v>2660</x:v>
      </x:c>
      <x:c r="F348" s="7" t="s">
        <x:v>1956</x:v>
      </x:c>
      <x:c r="G348" s="8" t="n">
        <x:v>59.76</x:v>
      </x:c>
      <x:c r="H348" s="8" t="s">
        <x:v>58</x:v>
      </x:c>
      <x:c r="I348" s="8" t="s">
        <x:v>58</x:v>
      </x:c>
      <x:c r="J348" s="7" t="s">
        <x:v>1919</x:v>
      </x:c>
      <x:c r="K348" s="8" t="n">
        <x:v>1</x:v>
      </x:c>
      <x:c r="L348" s="8" t="n">
        <x:f aca="0">IF(AND(ISNUMBER(G348),P348&lt;&gt;"Unresolved unit / layout"),G348*K348,"Not applicable")</x:f>
        <x:v>59.76</x:v>
      </x:c>
      <x:c r="M348" s="8" t="str">
        <x:f aca="0">IF(AND(ISNUMBER(H348),P348&lt;&gt;"Unresolved unit / layout"),H348*K348,"Not applicable")</x:f>
        <x:v>Not applicable</x:v>
      </x:c>
      <x:c r="N348" s="8" t="str">
        <x:f aca="0">IF(AND(ISNUMBER(I348),P348&lt;&gt;"Unresolved unit / layout"),I348*K348,"Not applicable")</x:f>
        <x:v>Not applicable</x:v>
      </x:c>
      <x:c r="O348" s="7" t="s">
        <x:v>1956</x:v>
      </x:c>
      <x:c r="P348" s="7" t="s">
        <x:v>1921</x:v>
      </x:c>
      <x:c r="Q348" s="7" t="s">
        <x:v>2064</x:v>
      </x:c>
      <x:c r="R348" s="7" t="s">
        <x:v>58</x:v>
      </x:c>
      <x:c r="S348" s="7" t="s">
        <x:v>53</x:v>
      </x:c>
      <x:c r="T348" s="7" t="s">
        <x:v>53</x:v>
      </x:c>
      <x:c r="U348" s="7" t="s">
        <x:v>53</x:v>
      </x:c>
      <x:c r="V348" s="7" t="s">
        <x:v>1971</x:v>
      </x:c>
      <x:c r="W348" s="7" t="s">
        <x:v>58</x:v>
      </x:c>
      <x:c r="X348" s="7" t="s">
        <x:v>2658</x:v>
      </x:c>
      <x:c r="Y348" s="7" t="s">
        <x:v>1175</x:v>
      </x:c>
      <x:c r="Z348" s="7" t="s">
        <x:v>1972</x:v>
      </x:c>
      <x:c r="AA348" s="7" t="s">
        <x:v>58</x:v>
      </x:c>
      <x:c r="AB348" s="8" t="s">
        <x:v>58</x:v>
      </x:c>
      <x:c r="AC348" s="8" t="s">
        <x:v>58</x:v>
      </x:c>
      <x:c r="AD348" s="8" t="s">
        <x:v>58</x:v>
      </x:c>
      <x:c r="AE348" s="8" t="s">
        <x:v>58</x:v>
      </x:c>
      <x:c r="AF348" s="8" t="s">
        <x:v>58</x:v>
      </x:c>
      <x:c r="AG348" s="7" t="s">
        <x:v>58</x:v>
      </x:c>
    </x:row>
    <x:row r="349" ht="37.5" hidden="0" customHeight="1">
      <x:c r="A349" s="7" t="s">
        <x:v>2661</x:v>
      </x:c>
      <x:c r="B349" s="7" t="s">
        <x:v>252</x:v>
      </x:c>
      <x:c r="C349" s="7" t="s">
        <x:v>254</x:v>
      </x:c>
      <x:c r="D349" s="7" t="s">
        <x:v>1974</x:v>
      </x:c>
      <x:c r="E349" s="7" t="s">
        <x:v>2662</x:v>
      </x:c>
      <x:c r="F349" s="7" t="s">
        <x:v>1956</x:v>
      </x:c>
      <x:c r="G349" s="8" t="n">
        <x:v>174.87</x:v>
      </x:c>
      <x:c r="H349" s="8" t="s">
        <x:v>58</x:v>
      </x:c>
      <x:c r="I349" s="8" t="s">
        <x:v>58</x:v>
      </x:c>
      <x:c r="J349" s="7" t="s">
        <x:v>1919</x:v>
      </x:c>
      <x:c r="K349" s="8" t="n">
        <x:v>1</x:v>
      </x:c>
      <x:c r="L349" s="8" t="n">
        <x:f aca="0">IF(AND(ISNUMBER(G349),P349&lt;&gt;"Unresolved unit / layout"),G349*K349,"Not applicable")</x:f>
        <x:v>174.87</x:v>
      </x:c>
      <x:c r="M349" s="8" t="str">
        <x:f aca="0">IF(AND(ISNUMBER(H349),P349&lt;&gt;"Unresolved unit / layout"),H349*K349,"Not applicable")</x:f>
        <x:v>Not applicable</x:v>
      </x:c>
      <x:c r="N349" s="8" t="str">
        <x:f aca="0">IF(AND(ISNUMBER(I349),P349&lt;&gt;"Unresolved unit / layout"),I349*K349,"Not applicable")</x:f>
        <x:v>Not applicable</x:v>
      </x:c>
      <x:c r="O349" s="7" t="s">
        <x:v>1956</x:v>
      </x:c>
      <x:c r="P349" s="7" t="s">
        <x:v>1921</x:v>
      </x:c>
      <x:c r="Q349" s="7" t="s">
        <x:v>2064</x:v>
      </x:c>
      <x:c r="R349" s="7" t="s">
        <x:v>58</x:v>
      </x:c>
      <x:c r="S349" s="7" t="s">
        <x:v>53</x:v>
      </x:c>
      <x:c r="T349" s="7" t="s">
        <x:v>53</x:v>
      </x:c>
      <x:c r="U349" s="7" t="s">
        <x:v>53</x:v>
      </x:c>
      <x:c r="V349" s="7" t="s">
        <x:v>1971</x:v>
      </x:c>
      <x:c r="W349" s="7" t="s">
        <x:v>58</x:v>
      </x:c>
      <x:c r="X349" s="7" t="s">
        <x:v>2658</x:v>
      </x:c>
      <x:c r="Y349" s="7" t="s">
        <x:v>1175</x:v>
      </x:c>
      <x:c r="Z349" s="7" t="s">
        <x:v>1976</x:v>
      </x:c>
      <x:c r="AA349" s="7" t="s">
        <x:v>58</x:v>
      </x:c>
      <x:c r="AB349" s="8" t="s">
        <x:v>58</x:v>
      </x:c>
      <x:c r="AC349" s="8" t="s">
        <x:v>58</x:v>
      </x:c>
      <x:c r="AD349" s="8" t="s">
        <x:v>58</x:v>
      </x:c>
      <x:c r="AE349" s="8" t="s">
        <x:v>58</x:v>
      </x:c>
      <x:c r="AF349" s="8" t="s">
        <x:v>58</x:v>
      </x:c>
      <x:c r="AG349" s="7" t="s">
        <x:v>58</x:v>
      </x:c>
    </x:row>
    <x:row r="350" ht="37.5" hidden="0" customHeight="1">
      <x:c r="A350" s="7" t="s">
        <x:v>2663</x:v>
      </x:c>
      <x:c r="B350" s="7" t="s">
        <x:v>252</x:v>
      </x:c>
      <x:c r="C350" s="7" t="s">
        <x:v>254</x:v>
      </x:c>
      <x:c r="D350" s="7" t="s">
        <x:v>1978</x:v>
      </x:c>
      <x:c r="E350" s="7" t="s">
        <x:v>2664</x:v>
      </x:c>
      <x:c r="F350" s="7" t="s">
        <x:v>1956</x:v>
      </x:c>
      <x:c r="G350" s="8" t="n">
        <x:v>81.56</x:v>
      </x:c>
      <x:c r="H350" s="8" t="s">
        <x:v>58</x:v>
      </x:c>
      <x:c r="I350" s="8" t="s">
        <x:v>58</x:v>
      </x:c>
      <x:c r="J350" s="7" t="s">
        <x:v>1919</x:v>
      </x:c>
      <x:c r="K350" s="8" t="n">
        <x:v>1</x:v>
      </x:c>
      <x:c r="L350" s="8" t="n">
        <x:f aca="0">IF(AND(ISNUMBER(G350),P350&lt;&gt;"Unresolved unit / layout"),G350*K350,"Not applicable")</x:f>
        <x:v>81.56</x:v>
      </x:c>
      <x:c r="M350" s="8" t="str">
        <x:f aca="0">IF(AND(ISNUMBER(H350),P350&lt;&gt;"Unresolved unit / layout"),H350*K350,"Not applicable")</x:f>
        <x:v>Not applicable</x:v>
      </x:c>
      <x:c r="N350" s="8" t="str">
        <x:f aca="0">IF(AND(ISNUMBER(I350),P350&lt;&gt;"Unresolved unit / layout"),I350*K350,"Not applicable")</x:f>
        <x:v>Not applicable</x:v>
      </x:c>
      <x:c r="O350" s="7" t="s">
        <x:v>1956</x:v>
      </x:c>
      <x:c r="P350" s="7" t="s">
        <x:v>1921</x:v>
      </x:c>
      <x:c r="Q350" s="7" t="s">
        <x:v>2064</x:v>
      </x:c>
      <x:c r="R350" s="7" t="s">
        <x:v>58</x:v>
      </x:c>
      <x:c r="S350" s="7" t="s">
        <x:v>53</x:v>
      </x:c>
      <x:c r="T350" s="7" t="s">
        <x:v>53</x:v>
      </x:c>
      <x:c r="U350" s="7" t="s">
        <x:v>53</x:v>
      </x:c>
      <x:c r="V350" s="7" t="s">
        <x:v>1971</x:v>
      </x:c>
      <x:c r="W350" s="7" t="s">
        <x:v>58</x:v>
      </x:c>
      <x:c r="X350" s="7" t="s">
        <x:v>2658</x:v>
      </x:c>
      <x:c r="Y350" s="7" t="s">
        <x:v>1175</x:v>
      </x:c>
      <x:c r="Z350" s="7" t="s">
        <x:v>1980</x:v>
      </x:c>
      <x:c r="AA350" s="7" t="s">
        <x:v>58</x:v>
      </x:c>
      <x:c r="AB350" s="8" t="s">
        <x:v>58</x:v>
      </x:c>
      <x:c r="AC350" s="8" t="s">
        <x:v>58</x:v>
      </x:c>
      <x:c r="AD350" s="8" t="s">
        <x:v>58</x:v>
      </x:c>
      <x:c r="AE350" s="8" t="s">
        <x:v>58</x:v>
      </x:c>
      <x:c r="AF350" s="8" t="s">
        <x:v>58</x:v>
      </x:c>
      <x:c r="AG350" s="7" t="s">
        <x:v>58</x:v>
      </x:c>
    </x:row>
    <x:row r="351" ht="37.5" hidden="0" customHeight="1">
      <x:c r="A351" s="7" t="s">
        <x:v>2665</x:v>
      </x:c>
      <x:c r="B351" s="7" t="s">
        <x:v>252</x:v>
      </x:c>
      <x:c r="C351" s="7" t="s">
        <x:v>254</x:v>
      </x:c>
      <x:c r="D351" s="7" t="s">
        <x:v>1982</x:v>
      </x:c>
      <x:c r="E351" s="7" t="s">
        <x:v>2666</x:v>
      </x:c>
      <x:c r="F351" s="7" t="s">
        <x:v>1956</x:v>
      </x:c>
      <x:c r="G351" s="8" t="n">
        <x:v>148.9</x:v>
      </x:c>
      <x:c r="H351" s="8" t="s">
        <x:v>58</x:v>
      </x:c>
      <x:c r="I351" s="8" t="s">
        <x:v>58</x:v>
      </x:c>
      <x:c r="J351" s="7" t="s">
        <x:v>1919</x:v>
      </x:c>
      <x:c r="K351" s="8" t="n">
        <x:v>1</x:v>
      </x:c>
      <x:c r="L351" s="8" t="n">
        <x:f aca="0">IF(AND(ISNUMBER(G351),P351&lt;&gt;"Unresolved unit / layout"),G351*K351,"Not applicable")</x:f>
        <x:v>148.9</x:v>
      </x:c>
      <x:c r="M351" s="8" t="str">
        <x:f aca="0">IF(AND(ISNUMBER(H351),P351&lt;&gt;"Unresolved unit / layout"),H351*K351,"Not applicable")</x:f>
        <x:v>Not applicable</x:v>
      </x:c>
      <x:c r="N351" s="8" t="str">
        <x:f aca="0">IF(AND(ISNUMBER(I351),P351&lt;&gt;"Unresolved unit / layout"),I351*K351,"Not applicable")</x:f>
        <x:v>Not applicable</x:v>
      </x:c>
      <x:c r="O351" s="7" t="s">
        <x:v>1956</x:v>
      </x:c>
      <x:c r="P351" s="7" t="s">
        <x:v>1921</x:v>
      </x:c>
      <x:c r="Q351" s="7" t="s">
        <x:v>2064</x:v>
      </x:c>
      <x:c r="R351" s="7" t="s">
        <x:v>58</x:v>
      </x:c>
      <x:c r="S351" s="7" t="s">
        <x:v>53</x:v>
      </x:c>
      <x:c r="T351" s="7" t="s">
        <x:v>53</x:v>
      </x:c>
      <x:c r="U351" s="7" t="s">
        <x:v>53</x:v>
      </x:c>
      <x:c r="V351" s="7" t="s">
        <x:v>1984</x:v>
      </x:c>
      <x:c r="W351" s="7" t="s">
        <x:v>58</x:v>
      </x:c>
      <x:c r="X351" s="7" t="s">
        <x:v>2658</x:v>
      </x:c>
      <x:c r="Y351" s="7" t="s">
        <x:v>1175</x:v>
      </x:c>
      <x:c r="Z351" s="7" t="s">
        <x:v>1985</x:v>
      </x:c>
      <x:c r="AA351" s="7" t="s">
        <x:v>58</x:v>
      </x:c>
      <x:c r="AB351" s="8" t="s">
        <x:v>58</x:v>
      </x:c>
      <x:c r="AC351" s="8" t="s">
        <x:v>58</x:v>
      </x:c>
      <x:c r="AD351" s="8" t="s">
        <x:v>58</x:v>
      </x:c>
      <x:c r="AE351" s="8" t="s">
        <x:v>58</x:v>
      </x:c>
      <x:c r="AF351" s="8" t="s">
        <x:v>58</x:v>
      </x:c>
      <x:c r="AG351" s="7" t="s">
        <x:v>58</x:v>
      </x:c>
    </x:row>
    <x:row r="352" ht="37.5" hidden="0" customHeight="1">
      <x:c r="A352" s="7" t="s">
        <x:v>2667</x:v>
      </x:c>
      <x:c r="B352" s="7" t="s">
        <x:v>252</x:v>
      </x:c>
      <x:c r="C352" s="7" t="s">
        <x:v>254</x:v>
      </x:c>
      <x:c r="D352" s="7" t="s">
        <x:v>1959</x:v>
      </x:c>
      <x:c r="E352" s="7" t="s">
        <x:v>2668</x:v>
      </x:c>
      <x:c r="F352" s="7" t="s">
        <x:v>1956</x:v>
      </x:c>
      <x:c r="G352" s="8" t="n">
        <x:v>59.7</x:v>
      </x:c>
      <x:c r="H352" s="8" t="s">
        <x:v>58</x:v>
      </x:c>
      <x:c r="I352" s="8" t="s">
        <x:v>58</x:v>
      </x:c>
      <x:c r="J352" s="7" t="s">
        <x:v>1919</x:v>
      </x:c>
      <x:c r="K352" s="8" t="n">
        <x:v>1</x:v>
      </x:c>
      <x:c r="L352" s="8" t="n">
        <x:f aca="0">IF(AND(ISNUMBER(G352),P352&lt;&gt;"Unresolved unit / layout"),G352*K352,"Not applicable")</x:f>
        <x:v>59.7</x:v>
      </x:c>
      <x:c r="M352" s="8" t="str">
        <x:f aca="0">IF(AND(ISNUMBER(H352),P352&lt;&gt;"Unresolved unit / layout"),H352*K352,"Not applicable")</x:f>
        <x:v>Not applicable</x:v>
      </x:c>
      <x:c r="N352" s="8" t="str">
        <x:f aca="0">IF(AND(ISNUMBER(I352),P352&lt;&gt;"Unresolved unit / layout"),I352*K352,"Not applicable")</x:f>
        <x:v>Not applicable</x:v>
      </x:c>
      <x:c r="O352" s="7" t="s">
        <x:v>1956</x:v>
      </x:c>
      <x:c r="P352" s="7" t="s">
        <x:v>1921</x:v>
      </x:c>
      <x:c r="Q352" s="7" t="s">
        <x:v>2064</x:v>
      </x:c>
      <x:c r="R352" s="7" t="s">
        <x:v>58</x:v>
      </x:c>
      <x:c r="S352" s="7" t="s">
        <x:v>53</x:v>
      </x:c>
      <x:c r="T352" s="7" t="s">
        <x:v>53</x:v>
      </x:c>
      <x:c r="U352" s="7" t="s">
        <x:v>53</x:v>
      </x:c>
      <x:c r="V352" s="7" t="s">
        <x:v>1988</x:v>
      </x:c>
      <x:c r="W352" s="7" t="s">
        <x:v>58</x:v>
      </x:c>
      <x:c r="X352" s="7" t="s">
        <x:v>2658</x:v>
      </x:c>
      <x:c r="Y352" s="7" t="s">
        <x:v>1175</x:v>
      </x:c>
      <x:c r="Z352" s="7" t="s">
        <x:v>1989</x:v>
      </x:c>
      <x:c r="AA352" s="7" t="s">
        <x:v>58</x:v>
      </x:c>
      <x:c r="AB352" s="8" t="s">
        <x:v>58</x:v>
      </x:c>
      <x:c r="AC352" s="8" t="s">
        <x:v>58</x:v>
      </x:c>
      <x:c r="AD352" s="8" t="s">
        <x:v>58</x:v>
      </x:c>
      <x:c r="AE352" s="8" t="s">
        <x:v>58</x:v>
      </x:c>
      <x:c r="AF352" s="8" t="s">
        <x:v>58</x:v>
      </x:c>
      <x:c r="AG352" s="7" t="s">
        <x:v>58</x:v>
      </x:c>
    </x:row>
    <x:row r="353" ht="37.5" hidden="0" customHeight="1">
      <x:c r="A353" s="7" t="s">
        <x:v>260</x:v>
      </x:c>
      <x:c r="B353" s="7" t="s">
        <x:v>252</x:v>
      </x:c>
      <x:c r="C353" s="7" t="s">
        <x:v>254</x:v>
      </x:c>
      <x:c r="D353" s="7" t="s">
        <x:v>1959</x:v>
      </x:c>
      <x:c r="E353" s="7" t="s">
        <x:v>2669</x:v>
      </x:c>
      <x:c r="F353" s="7" t="s">
        <x:v>1956</x:v>
      </x:c>
      <x:c r="G353" s="8" t="n">
        <x:v>75.5</x:v>
      </x:c>
      <x:c r="H353" s="8" t="s">
        <x:v>58</x:v>
      </x:c>
      <x:c r="I353" s="8" t="s">
        <x:v>58</x:v>
      </x:c>
      <x:c r="J353" s="7" t="s">
        <x:v>1919</x:v>
      </x:c>
      <x:c r="K353" s="8" t="n">
        <x:v>1</x:v>
      </x:c>
      <x:c r="L353" s="8" t="n">
        <x:f aca="0">IF(AND(ISNUMBER(G353),P353&lt;&gt;"Unresolved unit / layout"),G353*K353,"Not applicable")</x:f>
        <x:v>75.5</x:v>
      </x:c>
      <x:c r="M353" s="8" t="str">
        <x:f aca="0">IF(AND(ISNUMBER(H353),P353&lt;&gt;"Unresolved unit / layout"),H353*K353,"Not applicable")</x:f>
        <x:v>Not applicable</x:v>
      </x:c>
      <x:c r="N353" s="8" t="str">
        <x:f aca="0">IF(AND(ISNUMBER(I353),P353&lt;&gt;"Unresolved unit / layout"),I353*K353,"Not applicable")</x:f>
        <x:v>Not applicable</x:v>
      </x:c>
      <x:c r="O353" s="7" t="s">
        <x:v>1956</x:v>
      </x:c>
      <x:c r="P353" s="7" t="s">
        <x:v>1921</x:v>
      </x:c>
      <x:c r="Q353" s="7" t="s">
        <x:v>2064</x:v>
      </x:c>
      <x:c r="R353" s="7" t="s">
        <x:v>58</x:v>
      </x:c>
      <x:c r="S353" s="7" t="s">
        <x:v>53</x:v>
      </x:c>
      <x:c r="T353" s="7" t="s">
        <x:v>53</x:v>
      </x:c>
      <x:c r="U353" s="7" t="s">
        <x:v>53</x:v>
      </x:c>
      <x:c r="V353" s="7" t="s">
        <x:v>1992</x:v>
      </x:c>
      <x:c r="W353" s="7" t="s">
        <x:v>58</x:v>
      </x:c>
      <x:c r="X353" s="7" t="s">
        <x:v>2658</x:v>
      </x:c>
      <x:c r="Y353" s="7" t="s">
        <x:v>1175</x:v>
      </x:c>
      <x:c r="Z353" s="7" t="s">
        <x:v>1989</x:v>
      </x:c>
      <x:c r="AA353" s="7" t="s">
        <x:v>58</x:v>
      </x:c>
      <x:c r="AB353" s="8" t="s">
        <x:v>58</x:v>
      </x:c>
      <x:c r="AC353" s="8" t="s">
        <x:v>58</x:v>
      </x:c>
      <x:c r="AD353" s="8" t="s">
        <x:v>58</x:v>
      </x:c>
      <x:c r="AE353" s="8" t="s">
        <x:v>58</x:v>
      </x:c>
      <x:c r="AF353" s="8" t="s">
        <x:v>58</x:v>
      </x:c>
      <x:c r="AG353" s="7" t="s">
        <x:v>58</x:v>
      </x:c>
    </x:row>
    <x:row r="354" ht="37.5" hidden="0" customHeight="1">
      <x:c r="A354" s="7" t="s">
        <x:v>2670</x:v>
      </x:c>
      <x:c r="B354" s="7" t="s">
        <x:v>252</x:v>
      </x:c>
      <x:c r="C354" s="7" t="s">
        <x:v>254</x:v>
      </x:c>
      <x:c r="D354" s="7" t="s">
        <x:v>1982</x:v>
      </x:c>
      <x:c r="E354" s="7" t="s">
        <x:v>2671</x:v>
      </x:c>
      <x:c r="F354" s="7" t="s">
        <x:v>1956</x:v>
      </x:c>
      <x:c r="G354" s="8" t="n">
        <x:v>148.3</x:v>
      </x:c>
      <x:c r="H354" s="8" t="s">
        <x:v>58</x:v>
      </x:c>
      <x:c r="I354" s="8" t="s">
        <x:v>58</x:v>
      </x:c>
      <x:c r="J354" s="7" t="s">
        <x:v>1919</x:v>
      </x:c>
      <x:c r="K354" s="8" t="n">
        <x:v>1</x:v>
      </x:c>
      <x:c r="L354" s="8" t="n">
        <x:f aca="0">IF(AND(ISNUMBER(G354),P354&lt;&gt;"Unresolved unit / layout"),G354*K354,"Not applicable")</x:f>
        <x:v>148.3</x:v>
      </x:c>
      <x:c r="M354" s="8" t="str">
        <x:f aca="0">IF(AND(ISNUMBER(H354),P354&lt;&gt;"Unresolved unit / layout"),H354*K354,"Not applicable")</x:f>
        <x:v>Not applicable</x:v>
      </x:c>
      <x:c r="N354" s="8" t="str">
        <x:f aca="0">IF(AND(ISNUMBER(I354),P354&lt;&gt;"Unresolved unit / layout"),I354*K354,"Not applicable")</x:f>
        <x:v>Not applicable</x:v>
      </x:c>
      <x:c r="O354" s="7" t="s">
        <x:v>1956</x:v>
      </x:c>
      <x:c r="P354" s="7" t="s">
        <x:v>1921</x:v>
      </x:c>
      <x:c r="Q354" s="7" t="s">
        <x:v>2064</x:v>
      </x:c>
      <x:c r="R354" s="7" t="s">
        <x:v>58</x:v>
      </x:c>
      <x:c r="S354" s="7" t="s">
        <x:v>53</x:v>
      </x:c>
      <x:c r="T354" s="7" t="s">
        <x:v>53</x:v>
      </x:c>
      <x:c r="U354" s="7" t="s">
        <x:v>53</x:v>
      </x:c>
      <x:c r="V354" s="7" t="s">
        <x:v>1984</x:v>
      </x:c>
      <x:c r="W354" s="7" t="s">
        <x:v>58</x:v>
      </x:c>
      <x:c r="X354" s="7" t="s">
        <x:v>2658</x:v>
      </x:c>
      <x:c r="Y354" s="7" t="s">
        <x:v>1175</x:v>
      </x:c>
      <x:c r="Z354" s="7" t="s">
        <x:v>1985</x:v>
      </x:c>
      <x:c r="AA354" s="7" t="s">
        <x:v>58</x:v>
      </x:c>
      <x:c r="AB354" s="8" t="s">
        <x:v>58</x:v>
      </x:c>
      <x:c r="AC354" s="8" t="s">
        <x:v>58</x:v>
      </x:c>
      <x:c r="AD354" s="8" t="s">
        <x:v>58</x:v>
      </x:c>
      <x:c r="AE354" s="8" t="s">
        <x:v>58</x:v>
      </x:c>
      <x:c r="AF354" s="8" t="s">
        <x:v>58</x:v>
      </x:c>
      <x:c r="AG354" s="7" t="s">
        <x:v>58</x:v>
      </x:c>
    </x:row>
    <x:row r="355" ht="37.5" hidden="0" customHeight="1">
      <x:c r="A355" s="7" t="s">
        <x:v>2672</x:v>
      </x:c>
      <x:c r="B355" s="7" t="s">
        <x:v>252</x:v>
      </x:c>
      <x:c r="C355" s="7" t="s">
        <x:v>254</x:v>
      </x:c>
      <x:c r="D355" s="7" t="s">
        <x:v>1959</x:v>
      </x:c>
      <x:c r="E355" s="7" t="s">
        <x:v>2673</x:v>
      </x:c>
      <x:c r="F355" s="7" t="s">
        <x:v>1956</x:v>
      </x:c>
      <x:c r="G355" s="8" t="n">
        <x:v>84</x:v>
      </x:c>
      <x:c r="H355" s="8" t="s">
        <x:v>58</x:v>
      </x:c>
      <x:c r="I355" s="8" t="s">
        <x:v>58</x:v>
      </x:c>
      <x:c r="J355" s="7" t="s">
        <x:v>1919</x:v>
      </x:c>
      <x:c r="K355" s="8" t="n">
        <x:v>1</x:v>
      </x:c>
      <x:c r="L355" s="8" t="n">
        <x:f aca="0">IF(AND(ISNUMBER(G355),P355&lt;&gt;"Unresolved unit / layout"),G355*K355,"Not applicable")</x:f>
        <x:v>84</x:v>
      </x:c>
      <x:c r="M355" s="8" t="str">
        <x:f aca="0">IF(AND(ISNUMBER(H355),P355&lt;&gt;"Unresolved unit / layout"),H355*K355,"Not applicable")</x:f>
        <x:v>Not applicable</x:v>
      </x:c>
      <x:c r="N355" s="8" t="str">
        <x:f aca="0">IF(AND(ISNUMBER(I355),P355&lt;&gt;"Unresolved unit / layout"),I355*K355,"Not applicable")</x:f>
        <x:v>Not applicable</x:v>
      </x:c>
      <x:c r="O355" s="7" t="s">
        <x:v>1956</x:v>
      </x:c>
      <x:c r="P355" s="7" t="s">
        <x:v>1921</x:v>
      </x:c>
      <x:c r="Q355" s="7" t="s">
        <x:v>2064</x:v>
      </x:c>
      <x:c r="R355" s="7" t="s">
        <x:v>58</x:v>
      </x:c>
      <x:c r="S355" s="7" t="s">
        <x:v>53</x:v>
      </x:c>
      <x:c r="T355" s="7" t="s">
        <x:v>53</x:v>
      </x:c>
      <x:c r="U355" s="7" t="s">
        <x:v>53</x:v>
      </x:c>
      <x:c r="V355" s="7" t="s">
        <x:v>1988</x:v>
      </x:c>
      <x:c r="W355" s="7" t="s">
        <x:v>58</x:v>
      </x:c>
      <x:c r="X355" s="7" t="s">
        <x:v>2658</x:v>
      </x:c>
      <x:c r="Y355" s="7" t="s">
        <x:v>1175</x:v>
      </x:c>
      <x:c r="Z355" s="7" t="s">
        <x:v>1989</x:v>
      </x:c>
      <x:c r="AA355" s="7" t="s">
        <x:v>58</x:v>
      </x:c>
      <x:c r="AB355" s="8" t="s">
        <x:v>58</x:v>
      </x:c>
      <x:c r="AC355" s="8" t="s">
        <x:v>58</x:v>
      </x:c>
      <x:c r="AD355" s="8" t="s">
        <x:v>58</x:v>
      </x:c>
      <x:c r="AE355" s="8" t="s">
        <x:v>58</x:v>
      </x:c>
      <x:c r="AF355" s="8" t="s">
        <x:v>58</x:v>
      </x:c>
      <x:c r="AG355" s="7" t="s">
        <x:v>58</x:v>
      </x:c>
    </x:row>
    <x:row r="356" ht="37.5" hidden="0" customHeight="1">
      <x:c r="A356" s="7" t="s">
        <x:v>2674</x:v>
      </x:c>
      <x:c r="B356" s="7" t="s">
        <x:v>252</x:v>
      </x:c>
      <x:c r="C356" s="7" t="s">
        <x:v>254</x:v>
      </x:c>
      <x:c r="D356" s="7" t="s">
        <x:v>1959</x:v>
      </x:c>
      <x:c r="E356" s="7" t="s">
        <x:v>2675</x:v>
      </x:c>
      <x:c r="F356" s="7" t="s">
        <x:v>1956</x:v>
      </x:c>
      <x:c r="G356" s="8" t="n">
        <x:v>114.7</x:v>
      </x:c>
      <x:c r="H356" s="8" t="s">
        <x:v>58</x:v>
      </x:c>
      <x:c r="I356" s="8" t="s">
        <x:v>58</x:v>
      </x:c>
      <x:c r="J356" s="7" t="s">
        <x:v>1919</x:v>
      </x:c>
      <x:c r="K356" s="8" t="n">
        <x:v>1</x:v>
      </x:c>
      <x:c r="L356" s="8" t="n">
        <x:f aca="0">IF(AND(ISNUMBER(G356),P356&lt;&gt;"Unresolved unit / layout"),G356*K356,"Not applicable")</x:f>
        <x:v>114.7</x:v>
      </x:c>
      <x:c r="M356" s="8" t="str">
        <x:f aca="0">IF(AND(ISNUMBER(H356),P356&lt;&gt;"Unresolved unit / layout"),H356*K356,"Not applicable")</x:f>
        <x:v>Not applicable</x:v>
      </x:c>
      <x:c r="N356" s="8" t="str">
        <x:f aca="0">IF(AND(ISNUMBER(I356),P356&lt;&gt;"Unresolved unit / layout"),I356*K356,"Not applicable")</x:f>
        <x:v>Not applicable</x:v>
      </x:c>
      <x:c r="O356" s="7" t="s">
        <x:v>1956</x:v>
      </x:c>
      <x:c r="P356" s="7" t="s">
        <x:v>1921</x:v>
      </x:c>
      <x:c r="Q356" s="7" t="s">
        <x:v>2064</x:v>
      </x:c>
      <x:c r="R356" s="7" t="s">
        <x:v>58</x:v>
      </x:c>
      <x:c r="S356" s="7" t="s">
        <x:v>53</x:v>
      </x:c>
      <x:c r="T356" s="7" t="s">
        <x:v>53</x:v>
      </x:c>
      <x:c r="U356" s="7" t="s">
        <x:v>53</x:v>
      </x:c>
      <x:c r="V356" s="7" t="s">
        <x:v>1992</x:v>
      </x:c>
      <x:c r="W356" s="7" t="s">
        <x:v>58</x:v>
      </x:c>
      <x:c r="X356" s="7" t="s">
        <x:v>2658</x:v>
      </x:c>
      <x:c r="Y356" s="7" t="s">
        <x:v>1175</x:v>
      </x:c>
      <x:c r="Z356" s="7" t="s">
        <x:v>1989</x:v>
      </x:c>
      <x:c r="AA356" s="7" t="s">
        <x:v>58</x:v>
      </x:c>
      <x:c r="AB356" s="8" t="s">
        <x:v>58</x:v>
      </x:c>
      <x:c r="AC356" s="8" t="s">
        <x:v>58</x:v>
      </x:c>
      <x:c r="AD356" s="8" t="s">
        <x:v>58</x:v>
      </x:c>
      <x:c r="AE356" s="8" t="s">
        <x:v>58</x:v>
      </x:c>
      <x:c r="AF356" s="8" t="s">
        <x:v>58</x:v>
      </x:c>
      <x:c r="AG356" s="7" t="s">
        <x:v>58</x:v>
      </x:c>
    </x:row>
    <x:row r="357" ht="37.5" hidden="0" customHeight="1">
      <x:c r="A357" s="7" t="s">
        <x:v>2676</x:v>
      </x:c>
      <x:c r="B357" s="7" t="s">
        <x:v>252</x:v>
      </x:c>
      <x:c r="C357" s="7" t="s">
        <x:v>254</x:v>
      </x:c>
      <x:c r="D357" s="7" t="s">
        <x:v>1935</x:v>
      </x:c>
      <x:c r="E357" s="7" t="s">
        <x:v>2677</x:v>
      </x:c>
      <x:c r="F357" s="7" t="s">
        <x:v>1929</x:v>
      </x:c>
      <x:c r="G357" s="8" t="n">
        <x:v>3793.85</x:v>
      </x:c>
      <x:c r="H357" s="8" t="n">
        <x:v>129.17</x:v>
      </x:c>
      <x:c r="I357" s="8" t="s">
        <x:v>58</x:v>
      </x:c>
      <x:c r="J357" s="7" t="s">
        <x:v>1919</x:v>
      </x:c>
      <x:c r="K357" s="8" t="n">
        <x:v>0.001</x:v>
      </x:c>
      <x:c r="L357" s="8" t="n">
        <x:f aca="0">IF(AND(ISNUMBER(G357),P357&lt;&gt;"Unresolved unit / layout"),G357*K357,"Not applicable")</x:f>
        <x:v>3.79385</x:v>
      </x:c>
      <x:c r="M357" s="8" t="n">
        <x:f aca="0">IF(AND(ISNUMBER(H357),P357&lt;&gt;"Unresolved unit / layout"),H357*K357,"Not applicable")</x:f>
        <x:v>0.12916999999999998</x:v>
      </x:c>
      <x:c r="N357" s="8" t="str">
        <x:f aca="0">IF(AND(ISNUMBER(I357),P357&lt;&gt;"Unresolved unit / layout"),I357*K357,"Not applicable")</x:f>
        <x:v>Not applicable</x:v>
      </x:c>
      <x:c r="O357" s="7" t="s">
        <x:v>1937</x:v>
      </x:c>
      <x:c r="P357" s="7" t="s">
        <x:v>1921</x:v>
      </x:c>
      <x:c r="Q357" s="7" t="s">
        <x:v>2064</x:v>
      </x:c>
      <x:c r="R357" s="7" t="s">
        <x:v>1931</x:v>
      </x:c>
      <x:c r="S357" s="7" t="s">
        <x:v>53</x:v>
      </x:c>
      <x:c r="T357" s="7" t="s">
        <x:v>53</x:v>
      </x:c>
      <x:c r="U357" s="7" t="s">
        <x:v>53</x:v>
      </x:c>
      <x:c r="V357" s="7" t="s">
        <x:v>1999</x:v>
      </x:c>
      <x:c r="W357" s="7" t="s">
        <x:v>58</x:v>
      </x:c>
      <x:c r="X357" s="7" t="s">
        <x:v>2658</x:v>
      </x:c>
      <x:c r="Y357" s="7" t="s">
        <x:v>1175</x:v>
      </x:c>
      <x:c r="Z357" s="7" t="s">
        <x:v>2678</x:v>
      </x:c>
      <x:c r="AA357" s="7" t="s">
        <x:v>58</x:v>
      </x:c>
      <x:c r="AB357" s="8" t="s">
        <x:v>58</x:v>
      </x:c>
      <x:c r="AC357" s="8" t="s">
        <x:v>58</x:v>
      </x:c>
      <x:c r="AD357" s="8" t="s">
        <x:v>58</x:v>
      </x:c>
      <x:c r="AE357" s="8" t="s">
        <x:v>58</x:v>
      </x:c>
      <x:c r="AF357" s="8" t="s">
        <x:v>58</x:v>
      </x:c>
      <x:c r="AG357" s="7" t="s">
        <x:v>58</x:v>
      </x:c>
    </x:row>
    <x:row r="358" ht="37.5" hidden="0" customHeight="1">
      <x:c r="A358" s="7" t="s">
        <x:v>2679</x:v>
      </x:c>
      <x:c r="B358" s="7" t="s">
        <x:v>252</x:v>
      </x:c>
      <x:c r="C358" s="7" t="s">
        <x:v>254</x:v>
      </x:c>
      <x:c r="D358" s="7" t="s">
        <x:v>1935</x:v>
      </x:c>
      <x:c r="E358" s="7" t="s">
        <x:v>2680</x:v>
      </x:c>
      <x:c r="F358" s="7" t="s">
        <x:v>1929</x:v>
      </x:c>
      <x:c r="G358" s="8" t="n">
        <x:v>3018.1</x:v>
      </x:c>
      <x:c r="H358" s="8" t="n">
        <x:v>83.42</x:v>
      </x:c>
      <x:c r="I358" s="8" t="s">
        <x:v>58</x:v>
      </x:c>
      <x:c r="J358" s="7" t="s">
        <x:v>1919</x:v>
      </x:c>
      <x:c r="K358" s="8" t="n">
        <x:v>0.001</x:v>
      </x:c>
      <x:c r="L358" s="8" t="n">
        <x:f aca="0">IF(AND(ISNUMBER(G358),P358&lt;&gt;"Unresolved unit / layout"),G358*K358,"Not applicable")</x:f>
        <x:v>3.0181</x:v>
      </x:c>
      <x:c r="M358" s="8" t="n">
        <x:f aca="0">IF(AND(ISNUMBER(H358),P358&lt;&gt;"Unresolved unit / layout"),H358*K358,"Not applicable")</x:f>
        <x:v>0.08342000000000001</x:v>
      </x:c>
      <x:c r="N358" s="8" t="str">
        <x:f aca="0">IF(AND(ISNUMBER(I358),P358&lt;&gt;"Unresolved unit / layout"),I358*K358,"Not applicable")</x:f>
        <x:v>Not applicable</x:v>
      </x:c>
      <x:c r="O358" s="7" t="s">
        <x:v>1937</x:v>
      </x:c>
      <x:c r="P358" s="7" t="s">
        <x:v>1921</x:v>
      </x:c>
      <x:c r="Q358" s="7" t="s">
        <x:v>2064</x:v>
      </x:c>
      <x:c r="R358" s="7" t="s">
        <x:v>2003</x:v>
      </x:c>
      <x:c r="S358" s="7" t="s">
        <x:v>53</x:v>
      </x:c>
      <x:c r="T358" s="7" t="s">
        <x:v>53</x:v>
      </x:c>
      <x:c r="U358" s="7" t="s">
        <x:v>53</x:v>
      </x:c>
      <x:c r="V358" s="7" t="s">
        <x:v>1999</x:v>
      </x:c>
      <x:c r="W358" s="7" t="s">
        <x:v>58</x:v>
      </x:c>
      <x:c r="X358" s="7" t="s">
        <x:v>2658</x:v>
      </x:c>
      <x:c r="Y358" s="7" t="s">
        <x:v>1175</x:v>
      </x:c>
      <x:c r="Z358" s="7" t="s">
        <x:v>2681</x:v>
      </x:c>
      <x:c r="AA358" s="7" t="s">
        <x:v>58</x:v>
      </x:c>
      <x:c r="AB358" s="8" t="s">
        <x:v>58</x:v>
      </x:c>
      <x:c r="AC358" s="8" t="s">
        <x:v>58</x:v>
      </x:c>
      <x:c r="AD358" s="8" t="s">
        <x:v>58</x:v>
      </x:c>
      <x:c r="AE358" s="8" t="s">
        <x:v>58</x:v>
      </x:c>
      <x:c r="AF358" s="8" t="s">
        <x:v>58</x:v>
      </x:c>
      <x:c r="AG358" s="7" t="s">
        <x:v>58</x:v>
      </x:c>
    </x:row>
    <x:row r="359" ht="37.5" hidden="0" customHeight="1">
      <x:c r="A359" s="7" t="s">
        <x:v>2682</x:v>
      </x:c>
      <x:c r="B359" s="7" t="s">
        <x:v>252</x:v>
      </x:c>
      <x:c r="C359" s="7" t="s">
        <x:v>254</x:v>
      </x:c>
      <x:c r="D359" s="7" t="s">
        <x:v>2006</x:v>
      </x:c>
      <x:c r="E359" s="7" t="s">
        <x:v>2683</x:v>
      </x:c>
      <x:c r="F359" s="7" t="s">
        <x:v>1929</x:v>
      </x:c>
      <x:c r="G359" s="8" t="n">
        <x:v>50.09</x:v>
      </x:c>
      <x:c r="H359" s="8" t="n">
        <x:v>0.73</x:v>
      </x:c>
      <x:c r="I359" s="8" t="s">
        <x:v>58</x:v>
      </x:c>
      <x:c r="J359" s="7" t="s">
        <x:v>1919</x:v>
      </x:c>
      <x:c r="K359" s="8" t="n">
        <x:v>1</x:v>
      </x:c>
      <x:c r="L359" s="8" t="n">
        <x:f aca="0">IF(AND(ISNUMBER(G359),P359&lt;&gt;"Unresolved unit / layout"),G359*K359,"Not applicable")</x:f>
        <x:v>50.09</x:v>
      </x:c>
      <x:c r="M359" s="8" t="n">
        <x:f aca="0">IF(AND(ISNUMBER(H359),P359&lt;&gt;"Unresolved unit / layout"),H359*K359,"Not applicable")</x:f>
        <x:v>0.73</x:v>
      </x:c>
      <x:c r="N359" s="8" t="str">
        <x:f aca="0">IF(AND(ISNUMBER(I359),P359&lt;&gt;"Unresolved unit / layout"),I359*K359,"Not applicable")</x:f>
        <x:v>Not applicable</x:v>
      </x:c>
      <x:c r="O359" s="7" t="s">
        <x:v>1929</x:v>
      </x:c>
      <x:c r="P359" s="7" t="s">
        <x:v>1921</x:v>
      </x:c>
      <x:c r="Q359" s="7" t="s">
        <x:v>2064</x:v>
      </x:c>
      <x:c r="R359" s="7" t="s">
        <x:v>1931</x:v>
      </x:c>
      <x:c r="S359" s="7" t="s">
        <x:v>53</x:v>
      </x:c>
      <x:c r="T359" s="7" t="s">
        <x:v>53</x:v>
      </x:c>
      <x:c r="U359" s="7" t="s">
        <x:v>53</x:v>
      </x:c>
      <x:c r="V359" s="7" t="s">
        <x:v>1999</x:v>
      </x:c>
      <x:c r="W359" s="7" t="s">
        <x:v>58</x:v>
      </x:c>
      <x:c r="X359" s="7" t="s">
        <x:v>2658</x:v>
      </x:c>
      <x:c r="Y359" s="7" t="s">
        <x:v>1175</x:v>
      </x:c>
      <x:c r="Z359" s="7" t="s">
        <x:v>2684</x:v>
      </x:c>
      <x:c r="AA359" s="7" t="s">
        <x:v>58</x:v>
      </x:c>
      <x:c r="AB359" s="8" t="s">
        <x:v>58</x:v>
      </x:c>
      <x:c r="AC359" s="8" t="s">
        <x:v>58</x:v>
      </x:c>
      <x:c r="AD359" s="8" t="s">
        <x:v>58</x:v>
      </x:c>
      <x:c r="AE359" s="8" t="s">
        <x:v>58</x:v>
      </x:c>
      <x:c r="AF359" s="8" t="s">
        <x:v>58</x:v>
      </x:c>
      <x:c r="AG359" s="7" t="s">
        <x:v>58</x:v>
      </x:c>
    </x:row>
    <x:row r="360" ht="37.5" hidden="0" customHeight="1">
      <x:c r="A360" s="7" t="s">
        <x:v>2685</x:v>
      </x:c>
      <x:c r="B360" s="7" t="s">
        <x:v>252</x:v>
      </x:c>
      <x:c r="C360" s="7" t="s">
        <x:v>254</x:v>
      </x:c>
      <x:c r="D360" s="7" t="s">
        <x:v>2006</x:v>
      </x:c>
      <x:c r="E360" s="7" t="s">
        <x:v>2686</x:v>
      </x:c>
      <x:c r="F360" s="7" t="s">
        <x:v>1929</x:v>
      </x:c>
      <x:c r="G360" s="8" t="n">
        <x:v>23.68</x:v>
      </x:c>
      <x:c r="H360" s="8" t="n">
        <x:v>1.28</x:v>
      </x:c>
      <x:c r="I360" s="8" t="s">
        <x:v>58</x:v>
      </x:c>
      <x:c r="J360" s="7" t="s">
        <x:v>1919</x:v>
      </x:c>
      <x:c r="K360" s="8" t="n">
        <x:v>1</x:v>
      </x:c>
      <x:c r="L360" s="8" t="n">
        <x:f aca="0">IF(AND(ISNUMBER(G360),P360&lt;&gt;"Unresolved unit / layout"),G360*K360,"Not applicable")</x:f>
        <x:v>23.68</x:v>
      </x:c>
      <x:c r="M360" s="8" t="n">
        <x:f aca="0">IF(AND(ISNUMBER(H360),P360&lt;&gt;"Unresolved unit / layout"),H360*K360,"Not applicable")</x:f>
        <x:v>1.28</x:v>
      </x:c>
      <x:c r="N360" s="8" t="str">
        <x:f aca="0">IF(AND(ISNUMBER(I360),P360&lt;&gt;"Unresolved unit / layout"),I360*K360,"Not applicable")</x:f>
        <x:v>Not applicable</x:v>
      </x:c>
      <x:c r="O360" s="7" t="s">
        <x:v>1929</x:v>
      </x:c>
      <x:c r="P360" s="7" t="s">
        <x:v>1921</x:v>
      </x:c>
      <x:c r="Q360" s="7" t="s">
        <x:v>2064</x:v>
      </x:c>
      <x:c r="R360" s="7" t="s">
        <x:v>2003</x:v>
      </x:c>
      <x:c r="S360" s="7" t="s">
        <x:v>53</x:v>
      </x:c>
      <x:c r="T360" s="7" t="s">
        <x:v>53</x:v>
      </x:c>
      <x:c r="U360" s="7" t="s">
        <x:v>53</x:v>
      </x:c>
      <x:c r="V360" s="7" t="s">
        <x:v>1999</x:v>
      </x:c>
      <x:c r="W360" s="7" t="s">
        <x:v>58</x:v>
      </x:c>
      <x:c r="X360" s="7" t="s">
        <x:v>2658</x:v>
      </x:c>
      <x:c r="Y360" s="7" t="s">
        <x:v>1175</x:v>
      </x:c>
      <x:c r="Z360" s="7" t="s">
        <x:v>2687</x:v>
      </x:c>
      <x:c r="AA360" s="7" t="s">
        <x:v>58</x:v>
      </x:c>
      <x:c r="AB360" s="8" t="s">
        <x:v>58</x:v>
      </x:c>
      <x:c r="AC360" s="8" t="s">
        <x:v>58</x:v>
      </x:c>
      <x:c r="AD360" s="8" t="s">
        <x:v>58</x:v>
      </x:c>
      <x:c r="AE360" s="8" t="s">
        <x:v>58</x:v>
      </x:c>
      <x:c r="AF360" s="8" t="s">
        <x:v>58</x:v>
      </x:c>
      <x:c r="AG360" s="7" t="s">
        <x:v>58</x:v>
      </x:c>
    </x:row>
    <x:row r="361" ht="37.5" hidden="0" customHeight="1">
      <x:c r="A361" s="7" t="s">
        <x:v>2688</x:v>
      </x:c>
      <x:c r="B361" s="7" t="s">
        <x:v>252</x:v>
      </x:c>
      <x:c r="C361" s="7" t="s">
        <x:v>254</x:v>
      </x:c>
      <x:c r="D361" s="7" t="s">
        <x:v>1940</x:v>
      </x:c>
      <x:c r="E361" s="7" t="s">
        <x:v>2689</x:v>
      </x:c>
      <x:c r="F361" s="7" t="s">
        <x:v>1942</x:v>
      </x:c>
      <x:c r="G361" s="8" t="n">
        <x:v>2.77</x:v>
      </x:c>
      <x:c r="H361" s="8" t="n">
        <x:v>0.45</x:v>
      </x:c>
      <x:c r="I361" s="8" t="s">
        <x:v>58</x:v>
      </x:c>
      <x:c r="J361" s="7" t="s">
        <x:v>1919</x:v>
      </x:c>
      <x:c r="K361" s="8" t="n">
        <x:v>1</x:v>
      </x:c>
      <x:c r="L361" s="8" t="n">
        <x:f aca="0">IF(AND(ISNUMBER(G361),P361&lt;&gt;"Unresolved unit / layout"),G361*K361,"Not applicable")</x:f>
        <x:v>2.77</x:v>
      </x:c>
      <x:c r="M361" s="8" t="n">
        <x:f aca="0">IF(AND(ISNUMBER(H361),P361&lt;&gt;"Unresolved unit / layout"),H361*K361,"Not applicable")</x:f>
        <x:v>0.45</x:v>
      </x:c>
      <x:c r="N361" s="8" t="str">
        <x:f aca="0">IF(AND(ISNUMBER(I361),P361&lt;&gt;"Unresolved unit / layout"),I361*K361,"Not applicable")</x:f>
        <x:v>Not applicable</x:v>
      </x:c>
      <x:c r="O361" s="7" t="s">
        <x:v>1942</x:v>
      </x:c>
      <x:c r="P361" s="7" t="s">
        <x:v>1921</x:v>
      </x:c>
      <x:c r="Q361" s="7" t="s">
        <x:v>2064</x:v>
      </x:c>
      <x:c r="R361" s="7" t="s">
        <x:v>1931</x:v>
      </x:c>
      <x:c r="S361" s="7" t="s">
        <x:v>53</x:v>
      </x:c>
      <x:c r="T361" s="7" t="s">
        <x:v>53</x:v>
      </x:c>
      <x:c r="U361" s="7" t="s">
        <x:v>53</x:v>
      </x:c>
      <x:c r="V361" s="7" t="s">
        <x:v>1999</x:v>
      </x:c>
      <x:c r="W361" s="7" t="s">
        <x:v>58</x:v>
      </x:c>
      <x:c r="X361" s="7" t="s">
        <x:v>2658</x:v>
      </x:c>
      <x:c r="Y361" s="7" t="s">
        <x:v>1175</x:v>
      </x:c>
      <x:c r="Z361" s="7" t="s">
        <x:v>2690</x:v>
      </x:c>
      <x:c r="AA361" s="7" t="s">
        <x:v>58</x:v>
      </x:c>
      <x:c r="AB361" s="8" t="s">
        <x:v>58</x:v>
      </x:c>
      <x:c r="AC361" s="8" t="s">
        <x:v>58</x:v>
      </x:c>
      <x:c r="AD361" s="8" t="s">
        <x:v>58</x:v>
      </x:c>
      <x:c r="AE361" s="8" t="s">
        <x:v>58</x:v>
      </x:c>
      <x:c r="AF361" s="8" t="s">
        <x:v>58</x:v>
      </x:c>
      <x:c r="AG361" s="7" t="s">
        <x:v>58</x:v>
      </x:c>
    </x:row>
    <x:row r="362" ht="37.5" hidden="0" customHeight="1">
      <x:c r="A362" s="7" t="s">
        <x:v>2691</x:v>
      </x:c>
      <x:c r="B362" s="7" t="s">
        <x:v>252</x:v>
      </x:c>
      <x:c r="C362" s="7" t="s">
        <x:v>254</x:v>
      </x:c>
      <x:c r="D362" s="7" t="s">
        <x:v>1940</x:v>
      </x:c>
      <x:c r="E362" s="7" t="s">
        <x:v>2692</x:v>
      </x:c>
      <x:c r="F362" s="7" t="s">
        <x:v>1942</x:v>
      </x:c>
      <x:c r="G362" s="8" t="n">
        <x:v>0.85</x:v>
      </x:c>
      <x:c r="H362" s="8" t="n">
        <x:v>0.05</x:v>
      </x:c>
      <x:c r="I362" s="8" t="s">
        <x:v>58</x:v>
      </x:c>
      <x:c r="J362" s="7" t="s">
        <x:v>1919</x:v>
      </x:c>
      <x:c r="K362" s="8" t="n">
        <x:v>1</x:v>
      </x:c>
      <x:c r="L362" s="8" t="n">
        <x:f aca="0">IF(AND(ISNUMBER(G362),P362&lt;&gt;"Unresolved unit / layout"),G362*K362,"Not applicable")</x:f>
        <x:v>0.85</x:v>
      </x:c>
      <x:c r="M362" s="8" t="n">
        <x:f aca="0">IF(AND(ISNUMBER(H362),P362&lt;&gt;"Unresolved unit / layout"),H362*K362,"Not applicable")</x:f>
        <x:v>0.05</x:v>
      </x:c>
      <x:c r="N362" s="8" t="str">
        <x:f aca="0">IF(AND(ISNUMBER(I362),P362&lt;&gt;"Unresolved unit / layout"),I362*K362,"Not applicable")</x:f>
        <x:v>Not applicable</x:v>
      </x:c>
      <x:c r="O362" s="7" t="s">
        <x:v>1942</x:v>
      </x:c>
      <x:c r="P362" s="7" t="s">
        <x:v>1921</x:v>
      </x:c>
      <x:c r="Q362" s="7" t="s">
        <x:v>2064</x:v>
      </x:c>
      <x:c r="R362" s="7" t="s">
        <x:v>2003</x:v>
      </x:c>
      <x:c r="S362" s="7" t="s">
        <x:v>53</x:v>
      </x:c>
      <x:c r="T362" s="7" t="s">
        <x:v>53</x:v>
      </x:c>
      <x:c r="U362" s="7" t="s">
        <x:v>53</x:v>
      </x:c>
      <x:c r="V362" s="7" t="s">
        <x:v>1999</x:v>
      </x:c>
      <x:c r="W362" s="7" t="s">
        <x:v>58</x:v>
      </x:c>
      <x:c r="X362" s="7" t="s">
        <x:v>2658</x:v>
      </x:c>
      <x:c r="Y362" s="7" t="s">
        <x:v>1175</x:v>
      </x:c>
      <x:c r="Z362" s="7" t="s">
        <x:v>2693</x:v>
      </x:c>
      <x:c r="AA362" s="7" t="s">
        <x:v>58</x:v>
      </x:c>
      <x:c r="AB362" s="8" t="s">
        <x:v>58</x:v>
      </x:c>
      <x:c r="AC362" s="8" t="s">
        <x:v>58</x:v>
      </x:c>
      <x:c r="AD362" s="8" t="s">
        <x:v>58</x:v>
      </x:c>
      <x:c r="AE362" s="8" t="s">
        <x:v>58</x:v>
      </x:c>
      <x:c r="AF362" s="8" t="s">
        <x:v>58</x:v>
      </x:c>
      <x:c r="AG362" s="7" t="s">
        <x:v>58</x:v>
      </x:c>
    </x:row>
    <x:row r="363" ht="37.5" hidden="0" customHeight="1">
      <x:c r="A363" s="7" t="s">
        <x:v>2694</x:v>
      </x:c>
      <x:c r="B363" s="7" t="s">
        <x:v>252</x:v>
      </x:c>
      <x:c r="C363" s="7" t="s">
        <x:v>254</x:v>
      </x:c>
      <x:c r="D363" s="7" t="s">
        <x:v>1950</x:v>
      </x:c>
      <x:c r="E363" s="7" t="s">
        <x:v>2695</x:v>
      </x:c>
      <x:c r="F363" s="7" t="s">
        <x:v>1929</x:v>
      </x:c>
      <x:c r="G363" s="8" t="n">
        <x:v>3684.87</x:v>
      </x:c>
      <x:c r="H363" s="8" t="n">
        <x:v>115.49</x:v>
      </x:c>
      <x:c r="I363" s="8" t="s">
        <x:v>58</x:v>
      </x:c>
      <x:c r="J363" s="7" t="s">
        <x:v>1919</x:v>
      </x:c>
      <x:c r="K363" s="8" t="n">
        <x:v>0.001</x:v>
      </x:c>
      <x:c r="L363" s="8" t="n">
        <x:f aca="0">IF(AND(ISNUMBER(G363),P363&lt;&gt;"Unresolved unit / layout"),G363*K363,"Not applicable")</x:f>
        <x:v>3.68487</x:v>
      </x:c>
      <x:c r="M363" s="8" t="n">
        <x:f aca="0">IF(AND(ISNUMBER(H363),P363&lt;&gt;"Unresolved unit / layout"),H363*K363,"Not applicable")</x:f>
        <x:v>0.11549</x:v>
      </x:c>
      <x:c r="N363" s="8" t="str">
        <x:f aca="0">IF(AND(ISNUMBER(I363),P363&lt;&gt;"Unresolved unit / layout"),I363*K363,"Not applicable")</x:f>
        <x:v>Not applicable</x:v>
      </x:c>
      <x:c r="O363" s="7" t="s">
        <x:v>1937</x:v>
      </x:c>
      <x:c r="P363" s="7" t="s">
        <x:v>1921</x:v>
      </x:c>
      <x:c r="Q363" s="7" t="s">
        <x:v>2064</x:v>
      </x:c>
      <x:c r="R363" s="7" t="s">
        <x:v>1931</x:v>
      </x:c>
      <x:c r="S363" s="7" t="s">
        <x:v>53</x:v>
      </x:c>
      <x:c r="T363" s="7" t="s">
        <x:v>53</x:v>
      </x:c>
      <x:c r="U363" s="7" t="s">
        <x:v>53</x:v>
      </x:c>
      <x:c r="V363" s="7" t="s">
        <x:v>2020</x:v>
      </x:c>
      <x:c r="W363" s="7" t="s">
        <x:v>58</x:v>
      </x:c>
      <x:c r="X363" s="7" t="s">
        <x:v>2658</x:v>
      </x:c>
      <x:c r="Y363" s="7" t="s">
        <x:v>1175</x:v>
      </x:c>
      <x:c r="Z363" s="7" t="s">
        <x:v>2696</x:v>
      </x:c>
      <x:c r="AA363" s="7" t="s">
        <x:v>58</x:v>
      </x:c>
      <x:c r="AB363" s="8" t="s">
        <x:v>58</x:v>
      </x:c>
      <x:c r="AC363" s="8" t="s">
        <x:v>58</x:v>
      </x:c>
      <x:c r="AD363" s="8" t="s">
        <x:v>58</x:v>
      </x:c>
      <x:c r="AE363" s="8" t="s">
        <x:v>58</x:v>
      </x:c>
      <x:c r="AF363" s="8" t="s">
        <x:v>58</x:v>
      </x:c>
      <x:c r="AG363" s="7" t="s">
        <x:v>58</x:v>
      </x:c>
    </x:row>
    <x:row r="364" ht="37.5" hidden="0" customHeight="1">
      <x:c r="A364" s="7" t="s">
        <x:v>2697</x:v>
      </x:c>
      <x:c r="B364" s="7" t="s">
        <x:v>252</x:v>
      </x:c>
      <x:c r="C364" s="7" t="s">
        <x:v>254</x:v>
      </x:c>
      <x:c r="D364" s="7" t="s">
        <x:v>1950</x:v>
      </x:c>
      <x:c r="E364" s="7" t="s">
        <x:v>2698</x:v>
      </x:c>
      <x:c r="F364" s="7" t="s">
        <x:v>1929</x:v>
      </x:c>
      <x:c r="G364" s="8" t="n">
        <x:v>2197.76</x:v>
      </x:c>
      <x:c r="H364" s="8" t="n">
        <x:v>269.42</x:v>
      </x:c>
      <x:c r="I364" s="8" t="s">
        <x:v>58</x:v>
      </x:c>
      <x:c r="J364" s="7" t="s">
        <x:v>1919</x:v>
      </x:c>
      <x:c r="K364" s="8" t="n">
        <x:v>0.001</x:v>
      </x:c>
      <x:c r="L364" s="8" t="n">
        <x:f aca="0">IF(AND(ISNUMBER(G364),P364&lt;&gt;"Unresolved unit / layout"),G364*K364,"Not applicable")</x:f>
        <x:v>2.19776</x:v>
      </x:c>
      <x:c r="M364" s="8" t="n">
        <x:f aca="0">IF(AND(ISNUMBER(H364),P364&lt;&gt;"Unresolved unit / layout"),H364*K364,"Not applicable")</x:f>
        <x:v>0.26942000000000005</x:v>
      </x:c>
      <x:c r="N364" s="8" t="str">
        <x:f aca="0">IF(AND(ISNUMBER(I364),P364&lt;&gt;"Unresolved unit / layout"),I364*K364,"Not applicable")</x:f>
        <x:v>Not applicable</x:v>
      </x:c>
      <x:c r="O364" s="7" t="s">
        <x:v>1937</x:v>
      </x:c>
      <x:c r="P364" s="7" t="s">
        <x:v>1921</x:v>
      </x:c>
      <x:c r="Q364" s="7" t="s">
        <x:v>2064</x:v>
      </x:c>
      <x:c r="R364" s="7" t="s">
        <x:v>2003</x:v>
      </x:c>
      <x:c r="S364" s="7" t="s">
        <x:v>53</x:v>
      </x:c>
      <x:c r="T364" s="7" t="s">
        <x:v>53</x:v>
      </x:c>
      <x:c r="U364" s="7" t="s">
        <x:v>53</x:v>
      </x:c>
      <x:c r="V364" s="7" t="s">
        <x:v>2020</x:v>
      </x:c>
      <x:c r="W364" s="7" t="s">
        <x:v>58</x:v>
      </x:c>
      <x:c r="X364" s="7" t="s">
        <x:v>2658</x:v>
      </x:c>
      <x:c r="Y364" s="7" t="s">
        <x:v>1175</x:v>
      </x:c>
      <x:c r="Z364" s="7" t="s">
        <x:v>2699</x:v>
      </x:c>
      <x:c r="AA364" s="7" t="s">
        <x:v>58</x:v>
      </x:c>
      <x:c r="AB364" s="8" t="s">
        <x:v>58</x:v>
      </x:c>
      <x:c r="AC364" s="8" t="s">
        <x:v>58</x:v>
      </x:c>
      <x:c r="AD364" s="8" t="s">
        <x:v>58</x:v>
      </x:c>
      <x:c r="AE364" s="8" t="s">
        <x:v>58</x:v>
      </x:c>
      <x:c r="AF364" s="8" t="s">
        <x:v>58</x:v>
      </x:c>
      <x:c r="AG364" s="7" t="s">
        <x:v>58</x:v>
      </x:c>
    </x:row>
    <x:row r="365" ht="37.5" hidden="0" customHeight="1">
      <x:c r="A365" s="7" t="s">
        <x:v>2700</x:v>
      </x:c>
      <x:c r="B365" s="7" t="s">
        <x:v>252</x:v>
      </x:c>
      <x:c r="C365" s="7" t="s">
        <x:v>254</x:v>
      </x:c>
      <x:c r="D365" s="7" t="s">
        <x:v>1945</x:v>
      </x:c>
      <x:c r="E365" s="7" t="s">
        <x:v>2701</x:v>
      </x:c>
      <x:c r="F365" s="7" t="s">
        <x:v>1929</x:v>
      </x:c>
      <x:c r="G365" s="8" t="n">
        <x:v>86.41</x:v>
      </x:c>
      <x:c r="H365" s="8" t="n">
        <x:v>1.38</x:v>
      </x:c>
      <x:c r="I365" s="8" t="s">
        <x:v>58</x:v>
      </x:c>
      <x:c r="J365" s="7" t="s">
        <x:v>1919</x:v>
      </x:c>
      <x:c r="K365" s="8" t="n">
        <x:v>1</x:v>
      </x:c>
      <x:c r="L365" s="8" t="n">
        <x:f aca="0">IF(AND(ISNUMBER(G365),P365&lt;&gt;"Unresolved unit / layout"),G365*K365,"Not applicable")</x:f>
        <x:v>86.41</x:v>
      </x:c>
      <x:c r="M365" s="8" t="n">
        <x:f aca="0">IF(AND(ISNUMBER(H365),P365&lt;&gt;"Unresolved unit / layout"),H365*K365,"Not applicable")</x:f>
        <x:v>1.38</x:v>
      </x:c>
      <x:c r="N365" s="8" t="str">
        <x:f aca="0">IF(AND(ISNUMBER(I365),P365&lt;&gt;"Unresolved unit / layout"),I365*K365,"Not applicable")</x:f>
        <x:v>Not applicable</x:v>
      </x:c>
      <x:c r="O365" s="7" t="s">
        <x:v>1929</x:v>
      </x:c>
      <x:c r="P365" s="7" t="s">
        <x:v>1921</x:v>
      </x:c>
      <x:c r="Q365" s="7" t="s">
        <x:v>2064</x:v>
      </x:c>
      <x:c r="R365" s="7" t="s">
        <x:v>1931</x:v>
      </x:c>
      <x:c r="S365" s="7" t="s">
        <x:v>53</x:v>
      </x:c>
      <x:c r="T365" s="7" t="s">
        <x:v>53</x:v>
      </x:c>
      <x:c r="U365" s="7" t="s">
        <x:v>53</x:v>
      </x:c>
      <x:c r="V365" s="7" t="s">
        <x:v>2020</x:v>
      </x:c>
      <x:c r="W365" s="7" t="s">
        <x:v>58</x:v>
      </x:c>
      <x:c r="X365" s="7" t="s">
        <x:v>2658</x:v>
      </x:c>
      <x:c r="Y365" s="7" t="s">
        <x:v>1175</x:v>
      </x:c>
      <x:c r="Z365" s="7" t="s">
        <x:v>2702</x:v>
      </x:c>
      <x:c r="AA365" s="7" t="s">
        <x:v>58</x:v>
      </x:c>
      <x:c r="AB365" s="8" t="s">
        <x:v>58</x:v>
      </x:c>
      <x:c r="AC365" s="8" t="s">
        <x:v>58</x:v>
      </x:c>
      <x:c r="AD365" s="8" t="s">
        <x:v>58</x:v>
      </x:c>
      <x:c r="AE365" s="8" t="s">
        <x:v>58</x:v>
      </x:c>
      <x:c r="AF365" s="8" t="s">
        <x:v>58</x:v>
      </x:c>
      <x:c r="AG365" s="7" t="s">
        <x:v>58</x:v>
      </x:c>
    </x:row>
    <x:row r="366" ht="37.5" hidden="0" customHeight="1">
      <x:c r="A366" s="7" t="s">
        <x:v>2703</x:v>
      </x:c>
      <x:c r="B366" s="7" t="s">
        <x:v>252</x:v>
      </x:c>
      <x:c r="C366" s="7" t="s">
        <x:v>254</x:v>
      </x:c>
      <x:c r="D366" s="7" t="s">
        <x:v>1945</x:v>
      </x:c>
      <x:c r="E366" s="7" t="s">
        <x:v>2704</x:v>
      </x:c>
      <x:c r="F366" s="7" t="s">
        <x:v>1929</x:v>
      </x:c>
      <x:c r="G366" s="8" t="n">
        <x:v>29.21</x:v>
      </x:c>
      <x:c r="H366" s="8" t="n">
        <x:v>1.42</x:v>
      </x:c>
      <x:c r="I366" s="8" t="s">
        <x:v>58</x:v>
      </x:c>
      <x:c r="J366" s="7" t="s">
        <x:v>1919</x:v>
      </x:c>
      <x:c r="K366" s="8" t="n">
        <x:v>1</x:v>
      </x:c>
      <x:c r="L366" s="8" t="n">
        <x:f aca="0">IF(AND(ISNUMBER(G366),P366&lt;&gt;"Unresolved unit / layout"),G366*K366,"Not applicable")</x:f>
        <x:v>29.21</x:v>
      </x:c>
      <x:c r="M366" s="8" t="n">
        <x:f aca="0">IF(AND(ISNUMBER(H366),P366&lt;&gt;"Unresolved unit / layout"),H366*K366,"Not applicable")</x:f>
        <x:v>1.42</x:v>
      </x:c>
      <x:c r="N366" s="8" t="str">
        <x:f aca="0">IF(AND(ISNUMBER(I366),P366&lt;&gt;"Unresolved unit / layout"),I366*K366,"Not applicable")</x:f>
        <x:v>Not applicable</x:v>
      </x:c>
      <x:c r="O366" s="7" t="s">
        <x:v>1929</x:v>
      </x:c>
      <x:c r="P366" s="7" t="s">
        <x:v>1921</x:v>
      </x:c>
      <x:c r="Q366" s="7" t="s">
        <x:v>2064</x:v>
      </x:c>
      <x:c r="R366" s="7" t="s">
        <x:v>2003</x:v>
      </x:c>
      <x:c r="S366" s="7" t="s">
        <x:v>53</x:v>
      </x:c>
      <x:c r="T366" s="7" t="s">
        <x:v>53</x:v>
      </x:c>
      <x:c r="U366" s="7" t="s">
        <x:v>53</x:v>
      </x:c>
      <x:c r="V366" s="7" t="s">
        <x:v>2020</x:v>
      </x:c>
      <x:c r="W366" s="7" t="s">
        <x:v>58</x:v>
      </x:c>
      <x:c r="X366" s="7" t="s">
        <x:v>2658</x:v>
      </x:c>
      <x:c r="Y366" s="7" t="s">
        <x:v>1175</x:v>
      </x:c>
      <x:c r="Z366" s="7" t="s">
        <x:v>2705</x:v>
      </x:c>
      <x:c r="AA366" s="7" t="s">
        <x:v>58</x:v>
      </x:c>
      <x:c r="AB366" s="8" t="s">
        <x:v>58</x:v>
      </x:c>
      <x:c r="AC366" s="8" t="s">
        <x:v>58</x:v>
      </x:c>
      <x:c r="AD366" s="8" t="s">
        <x:v>58</x:v>
      </x:c>
      <x:c r="AE366" s="8" t="s">
        <x:v>58</x:v>
      </x:c>
      <x:c r="AF366" s="8" t="s">
        <x:v>58</x:v>
      </x:c>
      <x:c r="AG366" s="7" t="s">
        <x:v>58</x:v>
      </x:c>
    </x:row>
    <x:row r="367" ht="37.5" hidden="0" customHeight="1">
      <x:c r="A367" s="7" t="s">
        <x:v>2706</x:v>
      </x:c>
      <x:c r="B367" s="7" t="s">
        <x:v>252</x:v>
      </x:c>
      <x:c r="C367" s="7" t="s">
        <x:v>254</x:v>
      </x:c>
      <x:c r="D367" s="7" t="s">
        <x:v>2030</x:v>
      </x:c>
      <x:c r="E367" s="7" t="s">
        <x:v>2707</x:v>
      </x:c>
      <x:c r="F367" s="7" t="s">
        <x:v>2032</x:v>
      </x:c>
      <x:c r="G367" s="8" t="n">
        <x:v>5.31</x:v>
      </x:c>
      <x:c r="H367" s="8" t="n">
        <x:v>0.46</x:v>
      </x:c>
      <x:c r="I367" s="8" t="s">
        <x:v>58</x:v>
      </x:c>
      <x:c r="J367" s="7" t="s">
        <x:v>1919</x:v>
      </x:c>
      <x:c r="K367" s="8" t="n">
        <x:v>1</x:v>
      </x:c>
      <x:c r="L367" s="8" t="n">
        <x:f aca="0">IF(AND(ISNUMBER(G367),P367&lt;&gt;"Unresolved unit / layout"),G367*K367,"Not applicable")</x:f>
        <x:v>5.31</x:v>
      </x:c>
      <x:c r="M367" s="8" t="n">
        <x:f aca="0">IF(AND(ISNUMBER(H367),P367&lt;&gt;"Unresolved unit / layout"),H367*K367,"Not applicable")</x:f>
        <x:v>0.46</x:v>
      </x:c>
      <x:c r="N367" s="8" t="str">
        <x:f aca="0">IF(AND(ISNUMBER(I367),P367&lt;&gt;"Unresolved unit / layout"),I367*K367,"Not applicable")</x:f>
        <x:v>Not applicable</x:v>
      </x:c>
      <x:c r="O367" s="7" t="s">
        <x:v>2033</x:v>
      </x:c>
      <x:c r="P367" s="7" t="s">
        <x:v>1921</x:v>
      </x:c>
      <x:c r="Q367" s="7" t="s">
        <x:v>2064</x:v>
      </x:c>
      <x:c r="R367" s="7" t="s">
        <x:v>53</x:v>
      </x:c>
      <x:c r="S367" s="7" t="s">
        <x:v>53</x:v>
      </x:c>
      <x:c r="T367" s="7" t="s">
        <x:v>53</x:v>
      </x:c>
      <x:c r="U367" s="7" t="s">
        <x:v>53</x:v>
      </x:c>
      <x:c r="V367" s="7" t="s">
        <x:v>53</x:v>
      </x:c>
      <x:c r="W367" s="7" t="s">
        <x:v>2139</x:v>
      </x:c>
      <x:c r="X367" s="7" t="s">
        <x:v>2658</x:v>
      </x:c>
      <x:c r="Y367" s="7" t="s">
        <x:v>1175</x:v>
      </x:c>
      <x:c r="Z367" s="7" t="s">
        <x:v>2708</x:v>
      </x:c>
      <x:c r="AA367" s="7" t="s">
        <x:v>58</x:v>
      </x:c>
      <x:c r="AB367" s="8" t="s">
        <x:v>58</x:v>
      </x:c>
      <x:c r="AC367" s="8" t="s">
        <x:v>58</x:v>
      </x:c>
      <x:c r="AD367" s="8" t="s">
        <x:v>58</x:v>
      </x:c>
      <x:c r="AE367" s="8" t="s">
        <x:v>58</x:v>
      </x:c>
      <x:c r="AF367" s="8" t="s">
        <x:v>58</x:v>
      </x:c>
      <x:c r="AG367" s="7" t="s">
        <x:v>58</x:v>
      </x:c>
    </x:row>
    <x:row r="368" ht="37.5" hidden="0" customHeight="1">
      <x:c r="A368" s="7" t="s">
        <x:v>2709</x:v>
      </x:c>
      <x:c r="B368" s="7" t="s">
        <x:v>252</x:v>
      </x:c>
      <x:c r="C368" s="7" t="s">
        <x:v>254</x:v>
      </x:c>
      <x:c r="D368" s="7" t="s">
        <x:v>1935</x:v>
      </x:c>
      <x:c r="E368" s="7" t="s">
        <x:v>2710</x:v>
      </x:c>
      <x:c r="F368" s="7" t="s">
        <x:v>1929</x:v>
      </x:c>
      <x:c r="G368" s="8" t="n">
        <x:v>4206.91</x:v>
      </x:c>
      <x:c r="H368" s="8" t="n">
        <x:v>182.01</x:v>
      </x:c>
      <x:c r="I368" s="8" t="s">
        <x:v>58</x:v>
      </x:c>
      <x:c r="J368" s="7" t="s">
        <x:v>1919</x:v>
      </x:c>
      <x:c r="K368" s="8" t="n">
        <x:v>0.001</x:v>
      </x:c>
      <x:c r="L368" s="8" t="n">
        <x:f aca="0">IF(AND(ISNUMBER(G368),P368&lt;&gt;"Unresolved unit / layout"),G368*K368,"Not applicable")</x:f>
        <x:v>4.20691</x:v>
      </x:c>
      <x:c r="M368" s="8" t="n">
        <x:f aca="0">IF(AND(ISNUMBER(H368),P368&lt;&gt;"Unresolved unit / layout"),H368*K368,"Not applicable")</x:f>
        <x:v>0.18201</x:v>
      </x:c>
      <x:c r="N368" s="8" t="str">
        <x:f aca="0">IF(AND(ISNUMBER(I368),P368&lt;&gt;"Unresolved unit / layout"),I368*K368,"Not applicable")</x:f>
        <x:v>Not applicable</x:v>
      </x:c>
      <x:c r="O368" s="7" t="s">
        <x:v>1937</x:v>
      </x:c>
      <x:c r="P368" s="7" t="s">
        <x:v>1921</x:v>
      </x:c>
      <x:c r="Q368" s="7" t="s">
        <x:v>2064</x:v>
      </x:c>
      <x:c r="R368" s="7" t="s">
        <x:v>1931</x:v>
      </x:c>
      <x:c r="S368" s="7" t="s">
        <x:v>53</x:v>
      </x:c>
      <x:c r="T368" s="7" t="s">
        <x:v>53</x:v>
      </x:c>
      <x:c r="U368" s="7" t="s">
        <x:v>53</x:v>
      </x:c>
      <x:c r="V368" s="7" t="s">
        <x:v>1999</x:v>
      </x:c>
      <x:c r="W368" s="7" t="s">
        <x:v>58</x:v>
      </x:c>
      <x:c r="X368" s="7" t="s">
        <x:v>2658</x:v>
      </x:c>
      <x:c r="Y368" s="7" t="s">
        <x:v>1175</x:v>
      </x:c>
      <x:c r="Z368" s="7" t="s">
        <x:v>2678</x:v>
      </x:c>
      <x:c r="AA368" s="7" t="s">
        <x:v>58</x:v>
      </x:c>
      <x:c r="AB368" s="8" t="s">
        <x:v>58</x:v>
      </x:c>
      <x:c r="AC368" s="8" t="s">
        <x:v>58</x:v>
      </x:c>
      <x:c r="AD368" s="8" t="s">
        <x:v>58</x:v>
      </x:c>
      <x:c r="AE368" s="8" t="s">
        <x:v>58</x:v>
      </x:c>
      <x:c r="AF368" s="8" t="s">
        <x:v>58</x:v>
      </x:c>
      <x:c r="AG368" s="7" t="s">
        <x:v>58</x:v>
      </x:c>
    </x:row>
    <x:row r="369" ht="37.5" hidden="0" customHeight="1">
      <x:c r="A369" s="7" t="s">
        <x:v>2711</x:v>
      </x:c>
      <x:c r="B369" s="7" t="s">
        <x:v>252</x:v>
      </x:c>
      <x:c r="C369" s="7" t="s">
        <x:v>254</x:v>
      </x:c>
      <x:c r="D369" s="7" t="s">
        <x:v>1935</x:v>
      </x:c>
      <x:c r="E369" s="7" t="s">
        <x:v>2712</x:v>
      </x:c>
      <x:c r="F369" s="7" t="s">
        <x:v>1929</x:v>
      </x:c>
      <x:c r="G369" s="8" t="n">
        <x:v>3052.15</x:v>
      </x:c>
      <x:c r="H369" s="8" t="n">
        <x:v>101.57</x:v>
      </x:c>
      <x:c r="I369" s="8" t="s">
        <x:v>58</x:v>
      </x:c>
      <x:c r="J369" s="7" t="s">
        <x:v>1919</x:v>
      </x:c>
      <x:c r="K369" s="8" t="n">
        <x:v>0.001</x:v>
      </x:c>
      <x:c r="L369" s="8" t="n">
        <x:f aca="0">IF(AND(ISNUMBER(G369),P369&lt;&gt;"Unresolved unit / layout"),G369*K369,"Not applicable")</x:f>
        <x:v>3.05215</x:v>
      </x:c>
      <x:c r="M369" s="8" t="n">
        <x:f aca="0">IF(AND(ISNUMBER(H369),P369&lt;&gt;"Unresolved unit / layout"),H369*K369,"Not applicable")</x:f>
        <x:v>0.10157</x:v>
      </x:c>
      <x:c r="N369" s="8" t="str">
        <x:f aca="0">IF(AND(ISNUMBER(I369),P369&lt;&gt;"Unresolved unit / layout"),I369*K369,"Not applicable")</x:f>
        <x:v>Not applicable</x:v>
      </x:c>
      <x:c r="O369" s="7" t="s">
        <x:v>1937</x:v>
      </x:c>
      <x:c r="P369" s="7" t="s">
        <x:v>1921</x:v>
      </x:c>
      <x:c r="Q369" s="7" t="s">
        <x:v>2064</x:v>
      </x:c>
      <x:c r="R369" s="7" t="s">
        <x:v>2003</x:v>
      </x:c>
      <x:c r="S369" s="7" t="s">
        <x:v>53</x:v>
      </x:c>
      <x:c r="T369" s="7" t="s">
        <x:v>53</x:v>
      </x:c>
      <x:c r="U369" s="7" t="s">
        <x:v>53</x:v>
      </x:c>
      <x:c r="V369" s="7" t="s">
        <x:v>1999</x:v>
      </x:c>
      <x:c r="W369" s="7" t="s">
        <x:v>58</x:v>
      </x:c>
      <x:c r="X369" s="7" t="s">
        <x:v>2658</x:v>
      </x:c>
      <x:c r="Y369" s="7" t="s">
        <x:v>1175</x:v>
      </x:c>
      <x:c r="Z369" s="7" t="s">
        <x:v>2681</x:v>
      </x:c>
      <x:c r="AA369" s="7" t="s">
        <x:v>58</x:v>
      </x:c>
      <x:c r="AB369" s="8" t="s">
        <x:v>58</x:v>
      </x:c>
      <x:c r="AC369" s="8" t="s">
        <x:v>58</x:v>
      </x:c>
      <x:c r="AD369" s="8" t="s">
        <x:v>58</x:v>
      </x:c>
      <x:c r="AE369" s="8" t="s">
        <x:v>58</x:v>
      </x:c>
      <x:c r="AF369" s="8" t="s">
        <x:v>58</x:v>
      </x:c>
      <x:c r="AG369" s="7" t="s">
        <x:v>58</x:v>
      </x:c>
    </x:row>
    <x:row r="370" ht="37.5" hidden="0" customHeight="1">
      <x:c r="A370" s="7" t="s">
        <x:v>2713</x:v>
      </x:c>
      <x:c r="B370" s="7" t="s">
        <x:v>252</x:v>
      </x:c>
      <x:c r="C370" s="7" t="s">
        <x:v>254</x:v>
      </x:c>
      <x:c r="D370" s="7" t="s">
        <x:v>2006</x:v>
      </x:c>
      <x:c r="E370" s="7" t="s">
        <x:v>2714</x:v>
      </x:c>
      <x:c r="F370" s="7" t="s">
        <x:v>1929</x:v>
      </x:c>
      <x:c r="G370" s="8" t="n">
        <x:v>50.2</x:v>
      </x:c>
      <x:c r="H370" s="8" t="n">
        <x:v>0.93</x:v>
      </x:c>
      <x:c r="I370" s="8" t="s">
        <x:v>58</x:v>
      </x:c>
      <x:c r="J370" s="7" t="s">
        <x:v>1919</x:v>
      </x:c>
      <x:c r="K370" s="8" t="n">
        <x:v>1</x:v>
      </x:c>
      <x:c r="L370" s="8" t="n">
        <x:f aca="0">IF(AND(ISNUMBER(G370),P370&lt;&gt;"Unresolved unit / layout"),G370*K370,"Not applicable")</x:f>
        <x:v>50.2</x:v>
      </x:c>
      <x:c r="M370" s="8" t="n">
        <x:f aca="0">IF(AND(ISNUMBER(H370),P370&lt;&gt;"Unresolved unit / layout"),H370*K370,"Not applicable")</x:f>
        <x:v>0.93</x:v>
      </x:c>
      <x:c r="N370" s="8" t="str">
        <x:f aca="0">IF(AND(ISNUMBER(I370),P370&lt;&gt;"Unresolved unit / layout"),I370*K370,"Not applicable")</x:f>
        <x:v>Not applicable</x:v>
      </x:c>
      <x:c r="O370" s="7" t="s">
        <x:v>1929</x:v>
      </x:c>
      <x:c r="P370" s="7" t="s">
        <x:v>1921</x:v>
      </x:c>
      <x:c r="Q370" s="7" t="s">
        <x:v>2064</x:v>
      </x:c>
      <x:c r="R370" s="7" t="s">
        <x:v>1931</x:v>
      </x:c>
      <x:c r="S370" s="7" t="s">
        <x:v>53</x:v>
      </x:c>
      <x:c r="T370" s="7" t="s">
        <x:v>53</x:v>
      </x:c>
      <x:c r="U370" s="7" t="s">
        <x:v>53</x:v>
      </x:c>
      <x:c r="V370" s="7" t="s">
        <x:v>1999</x:v>
      </x:c>
      <x:c r="W370" s="7" t="s">
        <x:v>58</x:v>
      </x:c>
      <x:c r="X370" s="7" t="s">
        <x:v>2658</x:v>
      </x:c>
      <x:c r="Y370" s="7" t="s">
        <x:v>1175</x:v>
      </x:c>
      <x:c r="Z370" s="7" t="s">
        <x:v>2684</x:v>
      </x:c>
      <x:c r="AA370" s="7" t="s">
        <x:v>58</x:v>
      </x:c>
      <x:c r="AB370" s="8" t="s">
        <x:v>58</x:v>
      </x:c>
      <x:c r="AC370" s="8" t="s">
        <x:v>58</x:v>
      </x:c>
      <x:c r="AD370" s="8" t="s">
        <x:v>58</x:v>
      </x:c>
      <x:c r="AE370" s="8" t="s">
        <x:v>58</x:v>
      </x:c>
      <x:c r="AF370" s="8" t="s">
        <x:v>58</x:v>
      </x:c>
      <x:c r="AG370" s="7" t="s">
        <x:v>58</x:v>
      </x:c>
    </x:row>
    <x:row r="371" ht="37.5" hidden="0" customHeight="1">
      <x:c r="A371" s="7" t="s">
        <x:v>2715</x:v>
      </x:c>
      <x:c r="B371" s="7" t="s">
        <x:v>252</x:v>
      </x:c>
      <x:c r="C371" s="7" t="s">
        <x:v>254</x:v>
      </x:c>
      <x:c r="D371" s="7" t="s">
        <x:v>2006</x:v>
      </x:c>
      <x:c r="E371" s="7" t="s">
        <x:v>2716</x:v>
      </x:c>
      <x:c r="F371" s="7" t="s">
        <x:v>2717</x:v>
      </x:c>
      <x:c r="G371" s="8" t="n">
        <x:v>22.46</x:v>
      </x:c>
      <x:c r="H371" s="8" t="n">
        <x:v>1.54</x:v>
      </x:c>
      <x:c r="I371" s="8" t="s">
        <x:v>58</x:v>
      </x:c>
      <x:c r="J371" s="7" t="s">
        <x:v>1919</x:v>
      </x:c>
      <x:c r="K371" s="8" t="n">
        <x:v>1</x:v>
      </x:c>
      <x:c r="L371" s="8" t="n">
        <x:f aca="0">IF(AND(ISNUMBER(G371),P371&lt;&gt;"Unresolved unit / layout"),G371*K371,"Not applicable")</x:f>
        <x:v>22.46</x:v>
      </x:c>
      <x:c r="M371" s="8" t="n">
        <x:f aca="0">IF(AND(ISNUMBER(H371),P371&lt;&gt;"Unresolved unit / layout"),H371*K371,"Not applicable")</x:f>
        <x:v>1.54</x:v>
      </x:c>
      <x:c r="N371" s="8" t="str">
        <x:f aca="0">IF(AND(ISNUMBER(I371),P371&lt;&gt;"Unresolved unit / layout"),I371*K371,"Not applicable")</x:f>
        <x:v>Not applicable</x:v>
      </x:c>
      <x:c r="O371" s="7" t="s">
        <x:v>1929</x:v>
      </x:c>
      <x:c r="P371" s="7" t="s">
        <x:v>1921</x:v>
      </x:c>
      <x:c r="Q371" s="7" t="s">
        <x:v>2064</x:v>
      </x:c>
      <x:c r="R371" s="7" t="s">
        <x:v>2003</x:v>
      </x:c>
      <x:c r="S371" s="7" t="s">
        <x:v>53</x:v>
      </x:c>
      <x:c r="T371" s="7" t="s">
        <x:v>53</x:v>
      </x:c>
      <x:c r="U371" s="7" t="s">
        <x:v>53</x:v>
      </x:c>
      <x:c r="V371" s="7" t="s">
        <x:v>1999</x:v>
      </x:c>
      <x:c r="W371" s="7" t="s">
        <x:v>58</x:v>
      </x:c>
      <x:c r="X371" s="7" t="s">
        <x:v>2658</x:v>
      </x:c>
      <x:c r="Y371" s="7" t="s">
        <x:v>1175</x:v>
      </x:c>
      <x:c r="Z371" s="7" t="s">
        <x:v>2687</x:v>
      </x:c>
      <x:c r="AA371" s="7" t="s">
        <x:v>58</x:v>
      </x:c>
      <x:c r="AB371" s="8" t="s">
        <x:v>58</x:v>
      </x:c>
      <x:c r="AC371" s="8" t="s">
        <x:v>58</x:v>
      </x:c>
      <x:c r="AD371" s="8" t="s">
        <x:v>58</x:v>
      </x:c>
      <x:c r="AE371" s="8" t="s">
        <x:v>58</x:v>
      </x:c>
      <x:c r="AF371" s="8" t="s">
        <x:v>58</x:v>
      </x:c>
      <x:c r="AG371" s="7" t="s">
        <x:v>58</x:v>
      </x:c>
    </x:row>
    <x:row r="372" ht="37.5" hidden="0" customHeight="1">
      <x:c r="A372" s="7" t="s">
        <x:v>2718</x:v>
      </x:c>
      <x:c r="B372" s="7" t="s">
        <x:v>252</x:v>
      </x:c>
      <x:c r="C372" s="7" t="s">
        <x:v>254</x:v>
      </x:c>
      <x:c r="D372" s="7" t="s">
        <x:v>1940</x:v>
      </x:c>
      <x:c r="E372" s="7" t="s">
        <x:v>2719</x:v>
      </x:c>
      <x:c r="F372" s="7" t="s">
        <x:v>1942</x:v>
      </x:c>
      <x:c r="G372" s="8" t="n">
        <x:v>2.3</x:v>
      </x:c>
      <x:c r="H372" s="8" t="n">
        <x:v>0.2</x:v>
      </x:c>
      <x:c r="I372" s="8" t="s">
        <x:v>58</x:v>
      </x:c>
      <x:c r="J372" s="7" t="s">
        <x:v>1919</x:v>
      </x:c>
      <x:c r="K372" s="8" t="n">
        <x:v>1</x:v>
      </x:c>
      <x:c r="L372" s="8" t="n">
        <x:f aca="0">IF(AND(ISNUMBER(G372),P372&lt;&gt;"Unresolved unit / layout"),G372*K372,"Not applicable")</x:f>
        <x:v>2.3</x:v>
      </x:c>
      <x:c r="M372" s="8" t="n">
        <x:f aca="0">IF(AND(ISNUMBER(H372),P372&lt;&gt;"Unresolved unit / layout"),H372*K372,"Not applicable")</x:f>
        <x:v>0.2</x:v>
      </x:c>
      <x:c r="N372" s="8" t="str">
        <x:f aca="0">IF(AND(ISNUMBER(I372),P372&lt;&gt;"Unresolved unit / layout"),I372*K372,"Not applicable")</x:f>
        <x:v>Not applicable</x:v>
      </x:c>
      <x:c r="O372" s="7" t="s">
        <x:v>1942</x:v>
      </x:c>
      <x:c r="P372" s="7" t="s">
        <x:v>1921</x:v>
      </x:c>
      <x:c r="Q372" s="7" t="s">
        <x:v>2064</x:v>
      </x:c>
      <x:c r="R372" s="7" t="s">
        <x:v>1931</x:v>
      </x:c>
      <x:c r="S372" s="7" t="s">
        <x:v>53</x:v>
      </x:c>
      <x:c r="T372" s="7" t="s">
        <x:v>53</x:v>
      </x:c>
      <x:c r="U372" s="7" t="s">
        <x:v>53</x:v>
      </x:c>
      <x:c r="V372" s="7" t="s">
        <x:v>1999</x:v>
      </x:c>
      <x:c r="W372" s="7" t="s">
        <x:v>58</x:v>
      </x:c>
      <x:c r="X372" s="7" t="s">
        <x:v>2658</x:v>
      </x:c>
      <x:c r="Y372" s="7" t="s">
        <x:v>1175</x:v>
      </x:c>
      <x:c r="Z372" s="7" t="s">
        <x:v>2690</x:v>
      </x:c>
      <x:c r="AA372" s="7" t="s">
        <x:v>58</x:v>
      </x:c>
      <x:c r="AB372" s="8" t="s">
        <x:v>58</x:v>
      </x:c>
      <x:c r="AC372" s="8" t="s">
        <x:v>58</x:v>
      </x:c>
      <x:c r="AD372" s="8" t="s">
        <x:v>58</x:v>
      </x:c>
      <x:c r="AE372" s="8" t="s">
        <x:v>58</x:v>
      </x:c>
      <x:c r="AF372" s="8" t="s">
        <x:v>58</x:v>
      </x:c>
      <x:c r="AG372" s="7" t="s">
        <x:v>58</x:v>
      </x:c>
    </x:row>
    <x:row r="373" ht="37.5" hidden="0" customHeight="1">
      <x:c r="A373" s="7" t="s">
        <x:v>2720</x:v>
      </x:c>
      <x:c r="B373" s="7" t="s">
        <x:v>252</x:v>
      </x:c>
      <x:c r="C373" s="7" t="s">
        <x:v>254</x:v>
      </x:c>
      <x:c r="D373" s="7" t="s">
        <x:v>1940</x:v>
      </x:c>
      <x:c r="E373" s="7" t="s">
        <x:v>2721</x:v>
      </x:c>
      <x:c r="F373" s="7" t="s">
        <x:v>1942</x:v>
      </x:c>
      <x:c r="G373" s="8" t="n">
        <x:v>0.79</x:v>
      </x:c>
      <x:c r="H373" s="8" t="n">
        <x:v>0.07</x:v>
      </x:c>
      <x:c r="I373" s="8" t="s">
        <x:v>58</x:v>
      </x:c>
      <x:c r="J373" s="7" t="s">
        <x:v>1919</x:v>
      </x:c>
      <x:c r="K373" s="8" t="n">
        <x:v>1</x:v>
      </x:c>
      <x:c r="L373" s="8" t="n">
        <x:f aca="0">IF(AND(ISNUMBER(G373),P373&lt;&gt;"Unresolved unit / layout"),G373*K373,"Not applicable")</x:f>
        <x:v>0.79</x:v>
      </x:c>
      <x:c r="M373" s="8" t="n">
        <x:f aca="0">IF(AND(ISNUMBER(H373),P373&lt;&gt;"Unresolved unit / layout"),H373*K373,"Not applicable")</x:f>
        <x:v>0.07</x:v>
      </x:c>
      <x:c r="N373" s="8" t="str">
        <x:f aca="0">IF(AND(ISNUMBER(I373),P373&lt;&gt;"Unresolved unit / layout"),I373*K373,"Not applicable")</x:f>
        <x:v>Not applicable</x:v>
      </x:c>
      <x:c r="O373" s="7" t="s">
        <x:v>1942</x:v>
      </x:c>
      <x:c r="P373" s="7" t="s">
        <x:v>1921</x:v>
      </x:c>
      <x:c r="Q373" s="7" t="s">
        <x:v>2064</x:v>
      </x:c>
      <x:c r="R373" s="7" t="s">
        <x:v>2003</x:v>
      </x:c>
      <x:c r="S373" s="7" t="s">
        <x:v>53</x:v>
      </x:c>
      <x:c r="T373" s="7" t="s">
        <x:v>53</x:v>
      </x:c>
      <x:c r="U373" s="7" t="s">
        <x:v>53</x:v>
      </x:c>
      <x:c r="V373" s="7" t="s">
        <x:v>1999</x:v>
      </x:c>
      <x:c r="W373" s="7" t="s">
        <x:v>58</x:v>
      </x:c>
      <x:c r="X373" s="7" t="s">
        <x:v>2658</x:v>
      </x:c>
      <x:c r="Y373" s="7" t="s">
        <x:v>1175</x:v>
      </x:c>
      <x:c r="Z373" s="7" t="s">
        <x:v>2693</x:v>
      </x:c>
      <x:c r="AA373" s="7" t="s">
        <x:v>58</x:v>
      </x:c>
      <x:c r="AB373" s="8" t="s">
        <x:v>58</x:v>
      </x:c>
      <x:c r="AC373" s="8" t="s">
        <x:v>58</x:v>
      </x:c>
      <x:c r="AD373" s="8" t="s">
        <x:v>58</x:v>
      </x:c>
      <x:c r="AE373" s="8" t="s">
        <x:v>58</x:v>
      </x:c>
      <x:c r="AF373" s="8" t="s">
        <x:v>58</x:v>
      </x:c>
      <x:c r="AG373" s="7" t="s">
        <x:v>58</x:v>
      </x:c>
    </x:row>
    <x:row r="374" ht="37.5" hidden="0" customHeight="1">
      <x:c r="A374" s="7" t="s">
        <x:v>2722</x:v>
      </x:c>
      <x:c r="B374" s="7" t="s">
        <x:v>252</x:v>
      </x:c>
      <x:c r="C374" s="7" t="s">
        <x:v>254</x:v>
      </x:c>
      <x:c r="D374" s="7" t="s">
        <x:v>1950</x:v>
      </x:c>
      <x:c r="E374" s="7" t="s">
        <x:v>2723</x:v>
      </x:c>
      <x:c r="F374" s="7" t="s">
        <x:v>1929</x:v>
      </x:c>
      <x:c r="G374" s="8" t="n">
        <x:v>3948.4</x:v>
      </x:c>
      <x:c r="H374" s="8" t="n">
        <x:v>67.03</x:v>
      </x:c>
      <x:c r="I374" s="8" t="s">
        <x:v>58</x:v>
      </x:c>
      <x:c r="J374" s="7" t="s">
        <x:v>1919</x:v>
      </x:c>
      <x:c r="K374" s="8" t="n">
        <x:v>0.001</x:v>
      </x:c>
      <x:c r="L374" s="8" t="n">
        <x:f aca="0">IF(AND(ISNUMBER(G374),P374&lt;&gt;"Unresolved unit / layout"),G374*K374,"Not applicable")</x:f>
        <x:v>3.9484000000000004</x:v>
      </x:c>
      <x:c r="M374" s="8" t="n">
        <x:f aca="0">IF(AND(ISNUMBER(H374),P374&lt;&gt;"Unresolved unit / layout"),H374*K374,"Not applicable")</x:f>
        <x:v>0.06703</x:v>
      </x:c>
      <x:c r="N374" s="8" t="str">
        <x:f aca="0">IF(AND(ISNUMBER(I374),P374&lt;&gt;"Unresolved unit / layout"),I374*K374,"Not applicable")</x:f>
        <x:v>Not applicable</x:v>
      </x:c>
      <x:c r="O374" s="7" t="s">
        <x:v>1937</x:v>
      </x:c>
      <x:c r="P374" s="7" t="s">
        <x:v>1921</x:v>
      </x:c>
      <x:c r="Q374" s="7" t="s">
        <x:v>2064</x:v>
      </x:c>
      <x:c r="R374" s="7" t="s">
        <x:v>1931</x:v>
      </x:c>
      <x:c r="S374" s="7" t="s">
        <x:v>53</x:v>
      </x:c>
      <x:c r="T374" s="7" t="s">
        <x:v>53</x:v>
      </x:c>
      <x:c r="U374" s="7" t="s">
        <x:v>53</x:v>
      </x:c>
      <x:c r="V374" s="7" t="s">
        <x:v>2020</x:v>
      </x:c>
      <x:c r="W374" s="7" t="s">
        <x:v>58</x:v>
      </x:c>
      <x:c r="X374" s="7" t="s">
        <x:v>2658</x:v>
      </x:c>
      <x:c r="Y374" s="7" t="s">
        <x:v>1175</x:v>
      </x:c>
      <x:c r="Z374" s="7" t="s">
        <x:v>2696</x:v>
      </x:c>
      <x:c r="AA374" s="7" t="s">
        <x:v>58</x:v>
      </x:c>
      <x:c r="AB374" s="8" t="s">
        <x:v>58</x:v>
      </x:c>
      <x:c r="AC374" s="8" t="s">
        <x:v>58</x:v>
      </x:c>
      <x:c r="AD374" s="8" t="s">
        <x:v>58</x:v>
      </x:c>
      <x:c r="AE374" s="8" t="s">
        <x:v>58</x:v>
      </x:c>
      <x:c r="AF374" s="8" t="s">
        <x:v>58</x:v>
      </x:c>
      <x:c r="AG374" s="7" t="s">
        <x:v>58</x:v>
      </x:c>
    </x:row>
    <x:row r="375" ht="37.5" hidden="0" customHeight="1">
      <x:c r="A375" s="7" t="s">
        <x:v>2724</x:v>
      </x:c>
      <x:c r="B375" s="7" t="s">
        <x:v>252</x:v>
      </x:c>
      <x:c r="C375" s="7" t="s">
        <x:v>254</x:v>
      </x:c>
      <x:c r="D375" s="7" t="s">
        <x:v>1950</x:v>
      </x:c>
      <x:c r="E375" s="7" t="s">
        <x:v>2725</x:v>
      </x:c>
      <x:c r="F375" s="7" t="s">
        <x:v>2717</x:v>
      </x:c>
      <x:c r="G375" s="8" t="n">
        <x:v>1953.62</x:v>
      </x:c>
      <x:c r="H375" s="8" t="n">
        <x:v>260.81</x:v>
      </x:c>
      <x:c r="I375" s="8" t="s">
        <x:v>58</x:v>
      </x:c>
      <x:c r="J375" s="7" t="s">
        <x:v>1919</x:v>
      </x:c>
      <x:c r="K375" s="8" t="n">
        <x:v>0.001</x:v>
      </x:c>
      <x:c r="L375" s="8" t="n">
        <x:f aca="0">IF(AND(ISNUMBER(G375),P375&lt;&gt;"Unresolved unit / layout"),G375*K375,"Not applicable")</x:f>
        <x:v>1.95362</x:v>
      </x:c>
      <x:c r="M375" s="8" t="n">
        <x:f aca="0">IF(AND(ISNUMBER(H375),P375&lt;&gt;"Unresolved unit / layout"),H375*K375,"Not applicable")</x:f>
        <x:v>0.26081</x:v>
      </x:c>
      <x:c r="N375" s="8" t="str">
        <x:f aca="0">IF(AND(ISNUMBER(I375),P375&lt;&gt;"Unresolved unit / layout"),I375*K375,"Not applicable")</x:f>
        <x:v>Not applicable</x:v>
      </x:c>
      <x:c r="O375" s="7" t="s">
        <x:v>1937</x:v>
      </x:c>
      <x:c r="P375" s="7" t="s">
        <x:v>1921</x:v>
      </x:c>
      <x:c r="Q375" s="7" t="s">
        <x:v>2064</x:v>
      </x:c>
      <x:c r="R375" s="7" t="s">
        <x:v>2003</x:v>
      </x:c>
      <x:c r="S375" s="7" t="s">
        <x:v>53</x:v>
      </x:c>
      <x:c r="T375" s="7" t="s">
        <x:v>53</x:v>
      </x:c>
      <x:c r="U375" s="7" t="s">
        <x:v>53</x:v>
      </x:c>
      <x:c r="V375" s="7" t="s">
        <x:v>2020</x:v>
      </x:c>
      <x:c r="W375" s="7" t="s">
        <x:v>58</x:v>
      </x:c>
      <x:c r="X375" s="7" t="s">
        <x:v>2658</x:v>
      </x:c>
      <x:c r="Y375" s="7" t="s">
        <x:v>1175</x:v>
      </x:c>
      <x:c r="Z375" s="7" t="s">
        <x:v>2699</x:v>
      </x:c>
      <x:c r="AA375" s="7" t="s">
        <x:v>58</x:v>
      </x:c>
      <x:c r="AB375" s="8" t="s">
        <x:v>58</x:v>
      </x:c>
      <x:c r="AC375" s="8" t="s">
        <x:v>58</x:v>
      </x:c>
      <x:c r="AD375" s="8" t="s">
        <x:v>58</x:v>
      </x:c>
      <x:c r="AE375" s="8" t="s">
        <x:v>58</x:v>
      </x:c>
      <x:c r="AF375" s="8" t="s">
        <x:v>58</x:v>
      </x:c>
      <x:c r="AG375" s="7" t="s">
        <x:v>58</x:v>
      </x:c>
    </x:row>
    <x:row r="376" ht="37.5" hidden="0" customHeight="1">
      <x:c r="A376" s="7" t="s">
        <x:v>2726</x:v>
      </x:c>
      <x:c r="B376" s="7" t="s">
        <x:v>252</x:v>
      </x:c>
      <x:c r="C376" s="7" t="s">
        <x:v>254</x:v>
      </x:c>
      <x:c r="D376" s="7" t="s">
        <x:v>1945</x:v>
      </x:c>
      <x:c r="E376" s="7" t="s">
        <x:v>2727</x:v>
      </x:c>
      <x:c r="F376" s="7" t="s">
        <x:v>1929</x:v>
      </x:c>
      <x:c r="G376" s="8" t="n">
        <x:v>87.76</x:v>
      </x:c>
      <x:c r="H376" s="8" t="n">
        <x:v>1.96</x:v>
      </x:c>
      <x:c r="I376" s="8" t="s">
        <x:v>58</x:v>
      </x:c>
      <x:c r="J376" s="7" t="s">
        <x:v>1919</x:v>
      </x:c>
      <x:c r="K376" s="8" t="n">
        <x:v>1</x:v>
      </x:c>
      <x:c r="L376" s="8" t="n">
        <x:f aca="0">IF(AND(ISNUMBER(G376),P376&lt;&gt;"Unresolved unit / layout"),G376*K376,"Not applicable")</x:f>
        <x:v>87.76</x:v>
      </x:c>
      <x:c r="M376" s="8" t="n">
        <x:f aca="0">IF(AND(ISNUMBER(H376),P376&lt;&gt;"Unresolved unit / layout"),H376*K376,"Not applicable")</x:f>
        <x:v>1.96</x:v>
      </x:c>
      <x:c r="N376" s="8" t="str">
        <x:f aca="0">IF(AND(ISNUMBER(I376),P376&lt;&gt;"Unresolved unit / layout"),I376*K376,"Not applicable")</x:f>
        <x:v>Not applicable</x:v>
      </x:c>
      <x:c r="O376" s="7" t="s">
        <x:v>1929</x:v>
      </x:c>
      <x:c r="P376" s="7" t="s">
        <x:v>1921</x:v>
      </x:c>
      <x:c r="Q376" s="7" t="s">
        <x:v>2064</x:v>
      </x:c>
      <x:c r="R376" s="7" t="s">
        <x:v>1931</x:v>
      </x:c>
      <x:c r="S376" s="7" t="s">
        <x:v>53</x:v>
      </x:c>
      <x:c r="T376" s="7" t="s">
        <x:v>53</x:v>
      </x:c>
      <x:c r="U376" s="7" t="s">
        <x:v>53</x:v>
      </x:c>
      <x:c r="V376" s="7" t="s">
        <x:v>2020</x:v>
      </x:c>
      <x:c r="W376" s="7" t="s">
        <x:v>58</x:v>
      </x:c>
      <x:c r="X376" s="7" t="s">
        <x:v>2658</x:v>
      </x:c>
      <x:c r="Y376" s="7" t="s">
        <x:v>1175</x:v>
      </x:c>
      <x:c r="Z376" s="7" t="s">
        <x:v>2702</x:v>
      </x:c>
      <x:c r="AA376" s="7" t="s">
        <x:v>58</x:v>
      </x:c>
      <x:c r="AB376" s="8" t="s">
        <x:v>58</x:v>
      </x:c>
      <x:c r="AC376" s="8" t="s">
        <x:v>58</x:v>
      </x:c>
      <x:c r="AD376" s="8" t="s">
        <x:v>58</x:v>
      </x:c>
      <x:c r="AE376" s="8" t="s">
        <x:v>58</x:v>
      </x:c>
      <x:c r="AF376" s="8" t="s">
        <x:v>58</x:v>
      </x:c>
      <x:c r="AG376" s="7" t="s">
        <x:v>58</x:v>
      </x:c>
    </x:row>
    <x:row r="377" ht="37.5" hidden="0" customHeight="1">
      <x:c r="A377" s="7" t="s">
        <x:v>2728</x:v>
      </x:c>
      <x:c r="B377" s="7" t="s">
        <x:v>252</x:v>
      </x:c>
      <x:c r="C377" s="7" t="s">
        <x:v>254</x:v>
      </x:c>
      <x:c r="D377" s="7" t="s">
        <x:v>1945</x:v>
      </x:c>
      <x:c r="E377" s="7" t="s">
        <x:v>2729</x:v>
      </x:c>
      <x:c r="F377" s="7" t="s">
        <x:v>1929</x:v>
      </x:c>
      <x:c r="G377" s="8" t="n">
        <x:v>29.17</x:v>
      </x:c>
      <x:c r="H377" s="8" t="n">
        <x:v>2.69</x:v>
      </x:c>
      <x:c r="I377" s="8" t="s">
        <x:v>58</x:v>
      </x:c>
      <x:c r="J377" s="7" t="s">
        <x:v>1919</x:v>
      </x:c>
      <x:c r="K377" s="8" t="n">
        <x:v>1</x:v>
      </x:c>
      <x:c r="L377" s="8" t="n">
        <x:f aca="0">IF(AND(ISNUMBER(G377),P377&lt;&gt;"Unresolved unit / layout"),G377*K377,"Not applicable")</x:f>
        <x:v>29.17</x:v>
      </x:c>
      <x:c r="M377" s="8" t="n">
        <x:f aca="0">IF(AND(ISNUMBER(H377),P377&lt;&gt;"Unresolved unit / layout"),H377*K377,"Not applicable")</x:f>
        <x:v>2.69</x:v>
      </x:c>
      <x:c r="N377" s="8" t="str">
        <x:f aca="0">IF(AND(ISNUMBER(I377),P377&lt;&gt;"Unresolved unit / layout"),I377*K377,"Not applicable")</x:f>
        <x:v>Not applicable</x:v>
      </x:c>
      <x:c r="O377" s="7" t="s">
        <x:v>1929</x:v>
      </x:c>
      <x:c r="P377" s="7" t="s">
        <x:v>1921</x:v>
      </x:c>
      <x:c r="Q377" s="7" t="s">
        <x:v>2064</x:v>
      </x:c>
      <x:c r="R377" s="7" t="s">
        <x:v>2003</x:v>
      </x:c>
      <x:c r="S377" s="7" t="s">
        <x:v>53</x:v>
      </x:c>
      <x:c r="T377" s="7" t="s">
        <x:v>53</x:v>
      </x:c>
      <x:c r="U377" s="7" t="s">
        <x:v>53</x:v>
      </x:c>
      <x:c r="V377" s="7" t="s">
        <x:v>2020</x:v>
      </x:c>
      <x:c r="W377" s="7" t="s">
        <x:v>58</x:v>
      </x:c>
      <x:c r="X377" s="7" t="s">
        <x:v>2658</x:v>
      </x:c>
      <x:c r="Y377" s="7" t="s">
        <x:v>1175</x:v>
      </x:c>
      <x:c r="Z377" s="7" t="s">
        <x:v>2705</x:v>
      </x:c>
      <x:c r="AA377" s="7" t="s">
        <x:v>58</x:v>
      </x:c>
      <x:c r="AB377" s="8" t="s">
        <x:v>58</x:v>
      </x:c>
      <x:c r="AC377" s="8" t="s">
        <x:v>58</x:v>
      </x:c>
      <x:c r="AD377" s="8" t="s">
        <x:v>58</x:v>
      </x:c>
      <x:c r="AE377" s="8" t="s">
        <x:v>58</x:v>
      </x:c>
      <x:c r="AF377" s="8" t="s">
        <x:v>58</x:v>
      </x:c>
      <x:c r="AG377" s="7" t="s">
        <x:v>58</x:v>
      </x:c>
    </x:row>
    <x:row r="378" ht="37.5" hidden="0" customHeight="1">
      <x:c r="A378" s="7" t="s">
        <x:v>2730</x:v>
      </x:c>
      <x:c r="B378" s="7" t="s">
        <x:v>252</x:v>
      </x:c>
      <x:c r="C378" s="7" t="s">
        <x:v>254</x:v>
      </x:c>
      <x:c r="D378" s="7" t="s">
        <x:v>2030</x:v>
      </x:c>
      <x:c r="E378" s="7" t="s">
        <x:v>2731</x:v>
      </x:c>
      <x:c r="F378" s="7" t="s">
        <x:v>2032</x:v>
      </x:c>
      <x:c r="G378" s="8" t="n">
        <x:v>4.92</x:v>
      </x:c>
      <x:c r="H378" s="8" t="n">
        <x:v>0.5</x:v>
      </x:c>
      <x:c r="I378" s="8" t="s">
        <x:v>58</x:v>
      </x:c>
      <x:c r="J378" s="7" t="s">
        <x:v>1919</x:v>
      </x:c>
      <x:c r="K378" s="8" t="n">
        <x:v>1</x:v>
      </x:c>
      <x:c r="L378" s="8" t="n">
        <x:f aca="0">IF(AND(ISNUMBER(G378),P378&lt;&gt;"Unresolved unit / layout"),G378*K378,"Insufficient comparable data")</x:f>
        <x:v>4.92</x:v>
      </x:c>
      <x:c r="M378" s="8" t="n">
        <x:f aca="0">IF(AND(ISNUMBER(H378),P378&lt;&gt;"Unresolved unit / layout"),H378*K378,"Not applicable")</x:f>
        <x:v>0.5</x:v>
      </x:c>
      <x:c r="N378" s="8" t="str">
        <x:f aca="0">IF(AND(ISNUMBER(I378),P378&lt;&gt;"Unresolved unit / layout"),I378*K378,"Not applicable")</x:f>
        <x:v>Not applicable</x:v>
      </x:c>
      <x:c r="O378" s="7" t="s">
        <x:v>2033</x:v>
      </x:c>
      <x:c r="P378" s="7" t="s">
        <x:v>2732</x:v>
      </x:c>
      <x:c r="Q378" s="7" t="s">
        <x:v>1930</x:v>
      </x:c>
      <x:c r="R378" s="7" t="s">
        <x:v>1931</x:v>
      </x:c>
      <x:c r="S378" s="7" t="s">
        <x:v>53</x:v>
      </x:c>
      <x:c r="T378" s="7" t="s">
        <x:v>2733</x:v>
      </x:c>
      <x:c r="U378" s="7" t="s">
        <x:v>53</x:v>
      </x:c>
      <x:c r="V378" s="7" t="s">
        <x:v>2036</x:v>
      </x:c>
      <x:c r="W378" s="7" t="s">
        <x:v>2139</x:v>
      </x:c>
      <x:c r="X378" s="7" t="s">
        <x:v>2658</x:v>
      </x:c>
      <x:c r="Y378" s="7" t="s">
        <x:v>1175</x:v>
      </x:c>
      <x:c r="Z378" s="7" t="s">
        <x:v>2708</x:v>
      </x:c>
      <x:c r="AA378" s="7" t="s">
        <x:v>2734</x:v>
      </x:c>
      <x:c r="AB378" s="8" t="s">
        <x:v>58</x:v>
      </x:c>
      <x:c r="AC378" s="8" t="s">
        <x:v>58</x:v>
      </x:c>
      <x:c r="AD378" s="8" t="s">
        <x:v>58</x:v>
      </x:c>
      <x:c r="AE378" s="8" t="s">
        <x:v>58</x:v>
      </x:c>
      <x:c r="AF378" s="8" t="s">
        <x:v>58</x:v>
      </x:c>
      <x:c r="AG378" s="7" t="s">
        <x:v>58</x:v>
      </x:c>
    </x:row>
    <x:row r="379" ht="37.5" hidden="0" customHeight="1">
      <x:c r="A379" s="7" t="s">
        <x:v>2735</x:v>
      </x:c>
      <x:c r="B379" s="7" t="s">
        <x:v>252</x:v>
      </x:c>
      <x:c r="C379" s="7" t="s">
        <x:v>254</x:v>
      </x:c>
      <x:c r="D379" s="7" t="s">
        <x:v>2030</x:v>
      </x:c>
      <x:c r="E379" s="7" t="s">
        <x:v>2736</x:v>
      </x:c>
      <x:c r="F379" s="7" t="s">
        <x:v>2032</x:v>
      </x:c>
      <x:c r="G379" s="8" t="n">
        <x:v>4.37</x:v>
      </x:c>
      <x:c r="H379" s="8" t="n">
        <x:v>0.27</x:v>
      </x:c>
      <x:c r="I379" s="8" t="s">
        <x:v>58</x:v>
      </x:c>
      <x:c r="J379" s="7" t="s">
        <x:v>1919</x:v>
      </x:c>
      <x:c r="K379" s="8" t="n">
        <x:v>1</x:v>
      </x:c>
      <x:c r="L379" s="8" t="n">
        <x:f aca="0">IF(AND(ISNUMBER(G379),P379&lt;&gt;"Unresolved unit / layout"),G379*K379,"Insufficient comparable data")</x:f>
        <x:v>4.37</x:v>
      </x:c>
      <x:c r="M379" s="8" t="n">
        <x:f aca="0">IF(AND(ISNUMBER(H379),P379&lt;&gt;"Unresolved unit / layout"),H379*K379,"Not applicable")</x:f>
        <x:v>0.27</x:v>
      </x:c>
      <x:c r="N379" s="8" t="str">
        <x:f aca="0">IF(AND(ISNUMBER(I379),P379&lt;&gt;"Unresolved unit / layout"),I379*K379,"Not applicable")</x:f>
        <x:v>Not applicable</x:v>
      </x:c>
      <x:c r="O379" s="7" t="s">
        <x:v>2033</x:v>
      </x:c>
      <x:c r="P379" s="7" t="s">
        <x:v>2732</x:v>
      </x:c>
      <x:c r="Q379" s="7" t="s">
        <x:v>1930</x:v>
      </x:c>
      <x:c r="R379" s="7" t="s">
        <x:v>2003</x:v>
      </x:c>
      <x:c r="S379" s="7" t="s">
        <x:v>53</x:v>
      </x:c>
      <x:c r="T379" s="7" t="s">
        <x:v>2733</x:v>
      </x:c>
      <x:c r="U379" s="7" t="s">
        <x:v>53</x:v>
      </x:c>
      <x:c r="V379" s="7" t="s">
        <x:v>2036</x:v>
      </x:c>
      <x:c r="W379" s="7" t="s">
        <x:v>2139</x:v>
      </x:c>
      <x:c r="X379" s="7" t="s">
        <x:v>2658</x:v>
      </x:c>
      <x:c r="Y379" s="7" t="s">
        <x:v>1175</x:v>
      </x:c>
      <x:c r="Z379" s="7" t="s">
        <x:v>2708</x:v>
      </x:c>
      <x:c r="AA379" s="7" t="s">
        <x:v>2734</x:v>
      </x:c>
      <x:c r="AB379" s="8" t="s">
        <x:v>58</x:v>
      </x:c>
      <x:c r="AC379" s="8" t="s">
        <x:v>58</x:v>
      </x:c>
      <x:c r="AD379" s="8" t="s">
        <x:v>58</x:v>
      </x:c>
      <x:c r="AE379" s="8" t="s">
        <x:v>58</x:v>
      </x:c>
      <x:c r="AF379" s="8" t="s">
        <x:v>58</x:v>
      </x:c>
      <x:c r="AG379" s="7" t="s">
        <x:v>58</x:v>
      </x:c>
    </x:row>
    <x:row r="380" ht="51.75" hidden="0" customHeight="1">
      <x:c r="A380" s="7" t="s">
        <x:v>2737</x:v>
      </x:c>
      <x:c r="B380" s="7" t="s">
        <x:v>252</x:v>
      </x:c>
      <x:c r="C380" s="7" t="s">
        <x:v>1176</x:v>
      </x:c>
      <x:c r="D380" s="7" t="s">
        <x:v>1916</x:v>
      </x:c>
      <x:c r="E380" s="7" t="s">
        <x:v>2738</x:v>
      </x:c>
      <x:c r="F380" s="7" t="s">
        <x:v>1965</x:v>
      </x:c>
      <x:c r="G380" s="8" t="n">
        <x:v>1.25</x:v>
      </x:c>
      <x:c r="H380" s="8" t="s">
        <x:v>58</x:v>
      </x:c>
      <x:c r="I380" s="8" t="n">
        <x:v>1.3</x:v>
      </x:c>
      <x:c r="J380" s="7" t="s">
        <x:v>1919</x:v>
      </x:c>
      <x:c r="K380" s="8" t="n">
        <x:v>1000</x:v>
      </x:c>
      <x:c r="L380" s="8" t="n">
        <x:f aca="0">IF(AND(ISNUMBER(G380),P380&lt;&gt;"Unresolved unit / layout"),G380*K380,"Not applicable")</x:f>
        <x:v>1250</x:v>
      </x:c>
      <x:c r="M380" s="8" t="str">
        <x:f aca="0">IF(AND(ISNUMBER(H380),P380&lt;&gt;"Unresolved unit / layout"),H380*K380,"Not applicable")</x:f>
        <x:v>Not applicable</x:v>
      </x:c>
      <x:c r="N380" s="8" t="n">
        <x:f aca="0">IF(AND(ISNUMBER(I380),P380&lt;&gt;"Unresolved unit / layout"),I380*K380,"Not applicable")</x:f>
        <x:v>1300</x:v>
      </x:c>
      <x:c r="O380" s="7" t="s">
        <x:v>1920</x:v>
      </x:c>
      <x:c r="P380" s="7" t="s">
        <x:v>1921</x:v>
      </x:c>
      <x:c r="Q380" s="7" t="s">
        <x:v>1922</x:v>
      </x:c>
      <x:c r="R380" s="7" t="s">
        <x:v>58</x:v>
      </x:c>
      <x:c r="S380" s="7" t="s">
        <x:v>53</x:v>
      </x:c>
      <x:c r="T380" s="7" t="s">
        <x:v>53</x:v>
      </x:c>
      <x:c r="U380" s="7" t="s">
        <x:v>53</x:v>
      </x:c>
      <x:c r="V380" s="7" t="s">
        <x:v>2739</x:v>
      </x:c>
      <x:c r="W380" s="7" t="s">
        <x:v>58</x:v>
      </x:c>
      <x:c r="X380" s="7" t="s">
        <x:v>53</x:v>
      </x:c>
      <x:c r="Y380" s="7" t="s">
        <x:v>1178</x:v>
      </x:c>
      <x:c r="Z380" s="7" t="s">
        <x:v>1925</x:v>
      </x:c>
      <x:c r="AA380" s="7" t="s">
        <x:v>58</x:v>
      </x:c>
      <x:c r="AB380" s="8" t="s">
        <x:v>58</x:v>
      </x:c>
      <x:c r="AC380" s="8" t="s">
        <x:v>58</x:v>
      </x:c>
      <x:c r="AD380" s="8" t="s">
        <x:v>58</x:v>
      </x:c>
      <x:c r="AE380" s="8" t="s">
        <x:v>58</x:v>
      </x:c>
      <x:c r="AF380" s="8" t="s">
        <x:v>58</x:v>
      </x:c>
      <x:c r="AG380" s="7" t="s">
        <x:v>58</x:v>
      </x:c>
    </x:row>
    <x:row r="381" ht="37.5" hidden="0" customHeight="1">
      <x:c r="A381" s="7" t="s">
        <x:v>2740</x:v>
      </x:c>
      <x:c r="B381" s="7" t="s">
        <x:v>252</x:v>
      </x:c>
      <x:c r="C381" s="7" t="s">
        <x:v>1176</x:v>
      </x:c>
      <x:c r="D381" s="7" t="s">
        <x:v>1940</x:v>
      </x:c>
      <x:c r="E381" s="7" t="s">
        <x:v>2741</x:v>
      </x:c>
      <x:c r="F381" s="7" t="s">
        <x:v>1942</x:v>
      </x:c>
      <x:c r="G381" s="8" t="n">
        <x:v>2</x:v>
      </x:c>
      <x:c r="H381" s="8" t="s">
        <x:v>58</x:v>
      </x:c>
      <x:c r="I381" s="8" t="n">
        <x:v>6</x:v>
      </x:c>
      <x:c r="J381" s="7" t="s">
        <x:v>1919</x:v>
      </x:c>
      <x:c r="K381" s="8" t="n">
        <x:v>1</x:v>
      </x:c>
      <x:c r="L381" s="8" t="n">
        <x:f aca="0">IF(AND(ISNUMBER(G381),P381&lt;&gt;"Unresolved unit / layout"),G381*K381,"Not applicable")</x:f>
        <x:v>2</x:v>
      </x:c>
      <x:c r="M381" s="8" t="str">
        <x:f aca="0">IF(AND(ISNUMBER(H381),P381&lt;&gt;"Unresolved unit / layout"),H381*K381,"Not applicable")</x:f>
        <x:v>Not applicable</x:v>
      </x:c>
      <x:c r="N381" s="8" t="n">
        <x:f aca="0">IF(AND(ISNUMBER(I381),P381&lt;&gt;"Unresolved unit / layout"),I381*K381,"Not applicable")</x:f>
        <x:v>6</x:v>
      </x:c>
      <x:c r="O381" s="7" t="s">
        <x:v>1942</x:v>
      </x:c>
      <x:c r="P381" s="7" t="s">
        <x:v>1921</x:v>
      </x:c>
      <x:c r="Q381" s="7" t="s">
        <x:v>2064</x:v>
      </x:c>
      <x:c r="R381" s="7" t="s">
        <x:v>53</x:v>
      </x:c>
      <x:c r="S381" s="7" t="s">
        <x:v>53</x:v>
      </x:c>
      <x:c r="T381" s="7" t="s">
        <x:v>53</x:v>
      </x:c>
      <x:c r="U381" s="7" t="s">
        <x:v>53</x:v>
      </x:c>
      <x:c r="V381" s="7" t="s">
        <x:v>2742</x:v>
      </x:c>
      <x:c r="W381" s="7" t="s">
        <x:v>58</x:v>
      </x:c>
      <x:c r="X381" s="7" t="s">
        <x:v>53</x:v>
      </x:c>
      <x:c r="Y381" s="7" t="s">
        <x:v>1178</x:v>
      </x:c>
      <x:c r="Z381" s="7" t="s">
        <x:v>2743</x:v>
      </x:c>
      <x:c r="AA381" s="7" t="s">
        <x:v>58</x:v>
      </x:c>
      <x:c r="AB381" s="8" t="s">
        <x:v>58</x:v>
      </x:c>
      <x:c r="AC381" s="8" t="s">
        <x:v>58</x:v>
      </x:c>
      <x:c r="AD381" s="8" t="s">
        <x:v>58</x:v>
      </x:c>
      <x:c r="AE381" s="8" t="s">
        <x:v>58</x:v>
      </x:c>
      <x:c r="AF381" s="8" t="s">
        <x:v>58</x:v>
      </x:c>
      <x:c r="AG381" s="7" t="s">
        <x:v>58</x:v>
      </x:c>
    </x:row>
    <x:row r="382" ht="37.5" hidden="0" customHeight="1">
      <x:c r="A382" s="7" t="s">
        <x:v>2744</x:v>
      </x:c>
      <x:c r="B382" s="7" t="s">
        <x:v>252</x:v>
      </x:c>
      <x:c r="C382" s="7" t="s">
        <x:v>1176</x:v>
      </x:c>
      <x:c r="D382" s="7" t="s">
        <x:v>1945</x:v>
      </x:c>
      <x:c r="E382" s="7" t="s">
        <x:v>2745</x:v>
      </x:c>
      <x:c r="F382" s="7" t="s">
        <x:v>1929</x:v>
      </x:c>
      <x:c r="G382" s="8" t="n">
        <x:v>42</x:v>
      </x:c>
      <x:c r="H382" s="8" t="s">
        <x:v>58</x:v>
      </x:c>
      <x:c r="I382" s="8" t="n">
        <x:v>52</x:v>
      </x:c>
      <x:c r="J382" s="7" t="s">
        <x:v>1919</x:v>
      </x:c>
      <x:c r="K382" s="8" t="n">
        <x:v>1</x:v>
      </x:c>
      <x:c r="L382" s="8" t="n">
        <x:f aca="0">IF(AND(ISNUMBER(G382),P382&lt;&gt;"Unresolved unit / layout"),G382*K382,"Not applicable")</x:f>
        <x:v>42</x:v>
      </x:c>
      <x:c r="M382" s="8" t="str">
        <x:f aca="0">IF(AND(ISNUMBER(H382),P382&lt;&gt;"Unresolved unit / layout"),H382*K382,"Not applicable")</x:f>
        <x:v>Not applicable</x:v>
      </x:c>
      <x:c r="N382" s="8" t="n">
        <x:f aca="0">IF(AND(ISNUMBER(I382),P382&lt;&gt;"Unresolved unit / layout"),I382*K382,"Not applicable")</x:f>
        <x:v>52</x:v>
      </x:c>
      <x:c r="O382" s="7" t="s">
        <x:v>1929</x:v>
      </x:c>
      <x:c r="P382" s="7" t="s">
        <x:v>1921</x:v>
      </x:c>
      <x:c r="Q382" s="7" t="s">
        <x:v>2064</x:v>
      </x:c>
      <x:c r="R382" s="7" t="s">
        <x:v>53</x:v>
      </x:c>
      <x:c r="S382" s="7" t="s">
        <x:v>53</x:v>
      </x:c>
      <x:c r="T382" s="7" t="s">
        <x:v>53</x:v>
      </x:c>
      <x:c r="U382" s="7" t="s">
        <x:v>53</x:v>
      </x:c>
      <x:c r="V382" s="7" t="s">
        <x:v>2742</x:v>
      </x:c>
      <x:c r="W382" s="7" t="s">
        <x:v>58</x:v>
      </x:c>
      <x:c r="X382" s="7" t="s">
        <x:v>53</x:v>
      </x:c>
      <x:c r="Y382" s="7" t="s">
        <x:v>1178</x:v>
      </x:c>
      <x:c r="Z382" s="7" t="s">
        <x:v>2746</x:v>
      </x:c>
      <x:c r="AA382" s="7" t="s">
        <x:v>58</x:v>
      </x:c>
      <x:c r="AB382" s="8" t="s">
        <x:v>58</x:v>
      </x:c>
      <x:c r="AC382" s="8" t="s">
        <x:v>58</x:v>
      </x:c>
      <x:c r="AD382" s="8" t="s">
        <x:v>58</x:v>
      </x:c>
      <x:c r="AE382" s="8" t="s">
        <x:v>58</x:v>
      </x:c>
      <x:c r="AF382" s="8" t="s">
        <x:v>58</x:v>
      </x:c>
      <x:c r="AG382" s="7" t="s">
        <x:v>58</x:v>
      </x:c>
    </x:row>
    <x:row r="383" ht="37.5" hidden="0" customHeight="1">
      <x:c r="A383" s="7" t="s">
        <x:v>2747</x:v>
      </x:c>
      <x:c r="B383" s="7" t="s">
        <x:v>252</x:v>
      </x:c>
      <x:c r="C383" s="7" t="s">
        <x:v>1176</x:v>
      </x:c>
      <x:c r="D383" s="7" t="s">
        <x:v>1950</x:v>
      </x:c>
      <x:c r="E383" s="7" t="s">
        <x:v>2748</x:v>
      </x:c>
      <x:c r="F383" s="7" t="s">
        <x:v>1929</x:v>
      </x:c>
      <x:c r="G383" s="8" t="n">
        <x:v>2300</x:v>
      </x:c>
      <x:c r="H383" s="8" t="s">
        <x:v>58</x:v>
      </x:c>
      <x:c r="I383" s="8" t="n">
        <x:v>2600</x:v>
      </x:c>
      <x:c r="J383" s="7" t="s">
        <x:v>1919</x:v>
      </x:c>
      <x:c r="K383" s="8" t="n">
        <x:v>0.001</x:v>
      </x:c>
      <x:c r="L383" s="8" t="n">
        <x:f aca="0">IF(AND(ISNUMBER(G383),P383&lt;&gt;"Unresolved unit / layout"),G383*K383,"Not applicable")</x:f>
        <x:v>2.3000000000000003</x:v>
      </x:c>
      <x:c r="M383" s="8" t="str">
        <x:f aca="0">IF(AND(ISNUMBER(H383),P383&lt;&gt;"Unresolved unit / layout"),H383*K383,"Not applicable")</x:f>
        <x:v>Not applicable</x:v>
      </x:c>
      <x:c r="N383" s="8" t="n">
        <x:f aca="0">IF(AND(ISNUMBER(I383),P383&lt;&gt;"Unresolved unit / layout"),I383*K383,"Not applicable")</x:f>
        <x:v>2.6</x:v>
      </x:c>
      <x:c r="O383" s="7" t="s">
        <x:v>1937</x:v>
      </x:c>
      <x:c r="P383" s="7" t="s">
        <x:v>1921</x:v>
      </x:c>
      <x:c r="Q383" s="7" t="s">
        <x:v>2064</x:v>
      </x:c>
      <x:c r="R383" s="7" t="s">
        <x:v>53</x:v>
      </x:c>
      <x:c r="S383" s="7" t="s">
        <x:v>53</x:v>
      </x:c>
      <x:c r="T383" s="7" t="s">
        <x:v>53</x:v>
      </x:c>
      <x:c r="U383" s="7" t="s">
        <x:v>53</x:v>
      </x:c>
      <x:c r="V383" s="7" t="s">
        <x:v>2742</x:v>
      </x:c>
      <x:c r="W383" s="7" t="s">
        <x:v>58</x:v>
      </x:c>
      <x:c r="X383" s="7" t="s">
        <x:v>53</x:v>
      </x:c>
      <x:c r="Y383" s="7" t="s">
        <x:v>1178</x:v>
      </x:c>
      <x:c r="Z383" s="7" t="s">
        <x:v>2749</x:v>
      </x:c>
      <x:c r="AA383" s="7" t="s">
        <x:v>58</x:v>
      </x:c>
      <x:c r="AB383" s="8" t="s">
        <x:v>58</x:v>
      </x:c>
      <x:c r="AC383" s="8" t="s">
        <x:v>58</x:v>
      </x:c>
      <x:c r="AD383" s="8" t="s">
        <x:v>58</x:v>
      </x:c>
      <x:c r="AE383" s="8" t="s">
        <x:v>58</x:v>
      </x:c>
      <x:c r="AF383" s="8" t="s">
        <x:v>58</x:v>
      </x:c>
      <x:c r="AG383" s="7" t="s">
        <x:v>58</x:v>
      </x:c>
    </x:row>
    <x:row r="384" ht="37.5" hidden="0" customHeight="1">
      <x:c r="A384" s="7" t="s">
        <x:v>2750</x:v>
      </x:c>
      <x:c r="B384" s="7" t="s">
        <x:v>252</x:v>
      </x:c>
      <x:c r="C384" s="7" t="s">
        <x:v>1176</x:v>
      </x:c>
      <x:c r="D384" s="7" t="s">
        <x:v>2099</x:v>
      </x:c>
      <x:c r="E384" s="10" t="s">
        <x:v>2751</x:v>
      </x:c>
      <x:c r="F384" s="7" t="s">
        <x:v>1942</x:v>
      </x:c>
      <x:c r="G384" s="8" t="n">
        <x:v>0.8</x:v>
      </x:c>
      <x:c r="H384" s="8" t="s">
        <x:v>58</x:v>
      </x:c>
      <x:c r="I384" s="8" t="s">
        <x:v>58</x:v>
      </x:c>
      <x:c r="J384" s="7" t="s">
        <x:v>2752</x:v>
      </x:c>
      <x:c r="K384" s="8" t="n">
        <x:v>1</x:v>
      </x:c>
      <x:c r="L384" s="8" t="n">
        <x:f aca="0">IF(AND(ISNUMBER(G384),P384&lt;&gt;"Unresolved unit / layout"),G384*K384,"Not applicable")</x:f>
        <x:v>0.8</x:v>
      </x:c>
      <x:c r="M384" s="8" t="str">
        <x:f aca="0">IF(AND(ISNUMBER(H384),P384&lt;&gt;"Unresolved unit / layout"),H384*K384,"Not applicable")</x:f>
        <x:v>Not applicable</x:v>
      </x:c>
      <x:c r="N384" s="8" t="str">
        <x:f aca="0">IF(AND(ISNUMBER(I384),P384&lt;&gt;"Unresolved unit / layout"),I384*K384,"Not applicable")</x:f>
        <x:v>Not applicable</x:v>
      </x:c>
      <x:c r="O384" s="7" t="s">
        <x:v>1942</x:v>
      </x:c>
      <x:c r="P384" s="7" t="s">
        <x:v>1921</x:v>
      </x:c>
      <x:c r="Q384" s="7" t="s">
        <x:v>2064</x:v>
      </x:c>
      <x:c r="R384" s="7" t="s">
        <x:v>58</x:v>
      </x:c>
      <x:c r="S384" s="7" t="s">
        <x:v>53</x:v>
      </x:c>
      <x:c r="T384" s="7" t="s">
        <x:v>53</x:v>
      </x:c>
      <x:c r="U384" s="7" t="s">
        <x:v>53</x:v>
      </x:c>
      <x:c r="V384" s="7" t="s">
        <x:v>2739</x:v>
      </x:c>
      <x:c r="W384" s="7" t="s">
        <x:v>58</x:v>
      </x:c>
      <x:c r="X384" s="7" t="s">
        <x:v>53</x:v>
      </x:c>
      <x:c r="Y384" s="7" t="s">
        <x:v>1178</x:v>
      </x:c>
      <x:c r="Z384" s="7" t="s">
        <x:v>2753</x:v>
      </x:c>
      <x:c r="AA384" s="7" t="s">
        <x:v>58</x:v>
      </x:c>
      <x:c r="AB384" s="8" t="s">
        <x:v>58</x:v>
      </x:c>
      <x:c r="AC384" s="8" t="s">
        <x:v>58</x:v>
      </x:c>
      <x:c r="AD384" s="8" t="s">
        <x:v>58</x:v>
      </x:c>
      <x:c r="AE384" s="8" t="s">
        <x:v>58</x:v>
      </x:c>
      <x:c r="AF384" s="8" t="s">
        <x:v>58</x:v>
      </x:c>
      <x:c r="AG384" s="7" t="s">
        <x:v>58</x:v>
      </x:c>
    </x:row>
    <x:row r="385" ht="51.75" hidden="0" customHeight="1">
      <x:c r="A385" s="7" t="s">
        <x:v>2754</x:v>
      </x:c>
      <x:c r="B385" s="7" t="s">
        <x:v>266</x:v>
      </x:c>
      <x:c r="C385" s="7" t="s">
        <x:v>268</x:v>
      </x:c>
      <x:c r="D385" s="7" t="s">
        <x:v>1916</x:v>
      </x:c>
      <x:c r="E385" s="7" t="s">
        <x:v>2755</x:v>
      </x:c>
      <x:c r="F385" s="7" t="s">
        <x:v>1918</x:v>
      </x:c>
      <x:c r="G385" s="8" t="n">
        <x:v>1.28</x:v>
      </x:c>
      <x:c r="H385" s="8" t="s">
        <x:v>58</x:v>
      </x:c>
      <x:c r="I385" s="8" t="s">
        <x:v>58</x:v>
      </x:c>
      <x:c r="J385" s="7" t="s">
        <x:v>1919</x:v>
      </x:c>
      <x:c r="K385" s="8" t="n">
        <x:v>1000</x:v>
      </x:c>
      <x:c r="L385" s="8" t="n">
        <x:f aca="0">IF(AND(ISNUMBER(G385),P385&lt;&gt;"Unresolved unit / layout"),G385*K385,"Not applicable")</x:f>
        <x:v>1280</x:v>
      </x:c>
      <x:c r="M385" s="8" t="str">
        <x:f aca="0">IF(AND(ISNUMBER(H385),P385&lt;&gt;"Unresolved unit / layout"),H385*K385,"Not applicable")</x:f>
        <x:v>Not applicable</x:v>
      </x:c>
      <x:c r="N385" s="8" t="str">
        <x:f aca="0">IF(AND(ISNUMBER(I385),P385&lt;&gt;"Unresolved unit / layout"),I385*K385,"Not applicable")</x:f>
        <x:v>Not applicable</x:v>
      </x:c>
      <x:c r="O385" s="7" t="s">
        <x:v>1920</x:v>
      </x:c>
      <x:c r="P385" s="7" t="s">
        <x:v>1921</x:v>
      </x:c>
      <x:c r="Q385" s="7" t="s">
        <x:v>1922</x:v>
      </x:c>
      <x:c r="R385" s="7" t="s">
        <x:v>58</x:v>
      </x:c>
      <x:c r="S385" s="7" t="s">
        <x:v>53</x:v>
      </x:c>
      <x:c r="T385" s="7" t="s">
        <x:v>53</x:v>
      </x:c>
      <x:c r="U385" s="7" t="s">
        <x:v>53</x:v>
      </x:c>
      <x:c r="V385" s="7" t="s">
        <x:v>1923</x:v>
      </x:c>
      <x:c r="W385" s="7" t="s">
        <x:v>58</x:v>
      </x:c>
      <x:c r="X385" s="7" t="s">
        <x:v>2756</x:v>
      </x:c>
      <x:c r="Y385" s="7" t="s">
        <x:v>1181</x:v>
      </x:c>
      <x:c r="Z385" s="7" t="s">
        <x:v>1925</x:v>
      </x:c>
      <x:c r="AA385" s="7" t="s">
        <x:v>58</x:v>
      </x:c>
      <x:c r="AB385" s="8" t="s">
        <x:v>58</x:v>
      </x:c>
      <x:c r="AC385" s="8" t="s">
        <x:v>58</x:v>
      </x:c>
      <x:c r="AD385" s="8" t="s">
        <x:v>58</x:v>
      </x:c>
      <x:c r="AE385" s="8" t="s">
        <x:v>58</x:v>
      </x:c>
      <x:c r="AF385" s="8" t="s">
        <x:v>58</x:v>
      </x:c>
      <x:c r="AG385" s="7" t="s">
        <x:v>58</x:v>
      </x:c>
    </x:row>
    <x:row r="386" ht="51.75" hidden="0" customHeight="1">
      <x:c r="A386" s="7" t="s">
        <x:v>2757</x:v>
      </x:c>
      <x:c r="B386" s="7" t="s">
        <x:v>266</x:v>
      </x:c>
      <x:c r="C386" s="7" t="s">
        <x:v>268</x:v>
      </x:c>
      <x:c r="D386" s="7" t="s">
        <x:v>1927</x:v>
      </x:c>
      <x:c r="E386" s="7" t="s">
        <x:v>2758</x:v>
      </x:c>
      <x:c r="F386" s="7" t="s">
        <x:v>1929</x:v>
      </x:c>
      <x:c r="G386" s="8" t="n">
        <x:v>47</x:v>
      </x:c>
      <x:c r="H386" s="8" t="s">
        <x:v>58</x:v>
      </x:c>
      <x:c r="I386" s="8" t="s">
        <x:v>58</x:v>
      </x:c>
      <x:c r="J386" s="7" t="s">
        <x:v>1919</x:v>
      </x:c>
      <x:c r="K386" s="8" t="n">
        <x:v>1</x:v>
      </x:c>
      <x:c r="L386" s="8" t="n">
        <x:f aca="0">IF(AND(ISNUMBER(G386),P386&lt;&gt;"Unresolved unit / layout"),G386*K386,"Not applicable")</x:f>
        <x:v>47</x:v>
      </x:c>
      <x:c r="M386" s="8" t="str">
        <x:f aca="0">IF(AND(ISNUMBER(H386),P386&lt;&gt;"Unresolved unit / layout"),H386*K386,"Not applicable")</x:f>
        <x:v>Not applicable</x:v>
      </x:c>
      <x:c r="N386" s="8" t="str">
        <x:f aca="0">IF(AND(ISNUMBER(I386),P386&lt;&gt;"Unresolved unit / layout"),I386*K386,"Not applicable")</x:f>
        <x:v>Not applicable</x:v>
      </x:c>
      <x:c r="O386" s="7" t="s">
        <x:v>1929</x:v>
      </x:c>
      <x:c r="P386" s="7" t="s">
        <x:v>1921</x:v>
      </x:c>
      <x:c r="Q386" s="7" t="s">
        <x:v>1930</x:v>
      </x:c>
      <x:c r="R386" s="7" t="s">
        <x:v>1931</x:v>
      </x:c>
      <x:c r="S386" s="7" t="s">
        <x:v>53</x:v>
      </x:c>
      <x:c r="T386" s="7" t="s">
        <x:v>53</x:v>
      </x:c>
      <x:c r="U386" s="7" t="s">
        <x:v>53</x:v>
      </x:c>
      <x:c r="V386" s="7" t="s">
        <x:v>1932</x:v>
      </x:c>
      <x:c r="W386" s="7" t="s">
        <x:v>58</x:v>
      </x:c>
      <x:c r="X386" s="7" t="s">
        <x:v>2756</x:v>
      </x:c>
      <x:c r="Y386" s="7" t="s">
        <x:v>1181</x:v>
      </x:c>
      <x:c r="Z386" s="7" t="s">
        <x:v>1933</x:v>
      </x:c>
      <x:c r="AA386" s="7" t="s">
        <x:v>58</x:v>
      </x:c>
      <x:c r="AB386" s="8" t="s">
        <x:v>58</x:v>
      </x:c>
      <x:c r="AC386" s="8" t="s">
        <x:v>58</x:v>
      </x:c>
      <x:c r="AD386" s="8" t="s">
        <x:v>58</x:v>
      </x:c>
      <x:c r="AE386" s="8" t="s">
        <x:v>58</x:v>
      </x:c>
      <x:c r="AF386" s="8" t="s">
        <x:v>58</x:v>
      </x:c>
      <x:c r="AG386" s="7" t="s">
        <x:v>58</x:v>
      </x:c>
    </x:row>
    <x:row r="387" ht="51.75" hidden="0" customHeight="1">
      <x:c r="A387" s="7" t="s">
        <x:v>2759</x:v>
      </x:c>
      <x:c r="B387" s="7" t="s">
        <x:v>266</x:v>
      </x:c>
      <x:c r="C387" s="7" t="s">
        <x:v>268</x:v>
      </x:c>
      <x:c r="D387" s="7" t="s">
        <x:v>1935</x:v>
      </x:c>
      <x:c r="E387" s="7" t="s">
        <x:v>2760</x:v>
      </x:c>
      <x:c r="F387" s="7" t="s">
        <x:v>1929</x:v>
      </x:c>
      <x:c r="G387" s="8" t="n">
        <x:v>1400</x:v>
      </x:c>
      <x:c r="H387" s="8" t="s">
        <x:v>58</x:v>
      </x:c>
      <x:c r="I387" s="8" t="s">
        <x:v>58</x:v>
      </x:c>
      <x:c r="J387" s="7" t="s">
        <x:v>1919</x:v>
      </x:c>
      <x:c r="K387" s="8" t="n">
        <x:v>0.001</x:v>
      </x:c>
      <x:c r="L387" s="8" t="n">
        <x:f aca="0">IF(AND(ISNUMBER(G387),P387&lt;&gt;"Unresolved unit / layout"),G387*K387,"Not applicable")</x:f>
        <x:v>1.4000000000000001</x:v>
      </x:c>
      <x:c r="M387" s="8" t="str">
        <x:f aca="0">IF(AND(ISNUMBER(H387),P387&lt;&gt;"Unresolved unit / layout"),H387*K387,"Not applicable")</x:f>
        <x:v>Not applicable</x:v>
      </x:c>
      <x:c r="N387" s="8" t="str">
        <x:f aca="0">IF(AND(ISNUMBER(I387),P387&lt;&gt;"Unresolved unit / layout"),I387*K387,"Not applicable")</x:f>
        <x:v>Not applicable</x:v>
      </x:c>
      <x:c r="O387" s="7" t="s">
        <x:v>1937</x:v>
      </x:c>
      <x:c r="P387" s="7" t="s">
        <x:v>1921</x:v>
      </x:c>
      <x:c r="Q387" s="7" t="s">
        <x:v>1930</x:v>
      </x:c>
      <x:c r="R387" s="7" t="s">
        <x:v>1931</x:v>
      </x:c>
      <x:c r="S387" s="7" t="s">
        <x:v>53</x:v>
      </x:c>
      <x:c r="T387" s="7" t="s">
        <x:v>53</x:v>
      </x:c>
      <x:c r="U387" s="7" t="s">
        <x:v>53</x:v>
      </x:c>
      <x:c r="V387" s="7" t="s">
        <x:v>1932</x:v>
      </x:c>
      <x:c r="W387" s="7" t="s">
        <x:v>58</x:v>
      </x:c>
      <x:c r="X387" s="7" t="s">
        <x:v>2756</x:v>
      </x:c>
      <x:c r="Y387" s="7" t="s">
        <x:v>1181</x:v>
      </x:c>
      <x:c r="Z387" s="7" t="s">
        <x:v>1938</x:v>
      </x:c>
      <x:c r="AA387" s="7" t="s">
        <x:v>58</x:v>
      </x:c>
      <x:c r="AB387" s="8" t="s">
        <x:v>58</x:v>
      </x:c>
      <x:c r="AC387" s="8" t="s">
        <x:v>58</x:v>
      </x:c>
      <x:c r="AD387" s="8" t="s">
        <x:v>58</x:v>
      </x:c>
      <x:c r="AE387" s="8" t="s">
        <x:v>58</x:v>
      </x:c>
      <x:c r="AF387" s="8" t="s">
        <x:v>58</x:v>
      </x:c>
      <x:c r="AG387" s="7" t="s">
        <x:v>58</x:v>
      </x:c>
    </x:row>
    <x:row r="388" ht="51.75" hidden="0" customHeight="1">
      <x:c r="A388" s="7" t="s">
        <x:v>2761</x:v>
      </x:c>
      <x:c r="B388" s="7" t="s">
        <x:v>266</x:v>
      </x:c>
      <x:c r="C388" s="7" t="s">
        <x:v>268</x:v>
      </x:c>
      <x:c r="D388" s="7" t="s">
        <x:v>1940</x:v>
      </x:c>
      <x:c r="E388" s="7" t="s">
        <x:v>1941</x:v>
      </x:c>
      <x:c r="F388" s="7" t="s">
        <x:v>1942</x:v>
      </x:c>
      <x:c r="G388" s="8" t="n">
        <x:v>8</x:v>
      </x:c>
      <x:c r="H388" s="8" t="s">
        <x:v>58</x:v>
      </x:c>
      <x:c r="I388" s="8" t="s">
        <x:v>58</x:v>
      </x:c>
      <x:c r="J388" s="7" t="s">
        <x:v>1919</x:v>
      </x:c>
      <x:c r="K388" s="8" t="n">
        <x:v>1</x:v>
      </x:c>
      <x:c r="L388" s="8" t="n">
        <x:f aca="0">IF(AND(ISNUMBER(G388),P388&lt;&gt;"Unresolved unit / layout"),G388*K388,"Not applicable")</x:f>
        <x:v>8</x:v>
      </x:c>
      <x:c r="M388" s="8" t="str">
        <x:f aca="0">IF(AND(ISNUMBER(H388),P388&lt;&gt;"Unresolved unit / layout"),H388*K388,"Not applicable")</x:f>
        <x:v>Not applicable</x:v>
      </x:c>
      <x:c r="N388" s="8" t="str">
        <x:f aca="0">IF(AND(ISNUMBER(I388),P388&lt;&gt;"Unresolved unit / layout"),I388*K388,"Not applicable")</x:f>
        <x:v>Not applicable</x:v>
      </x:c>
      <x:c r="O388" s="7" t="s">
        <x:v>1942</x:v>
      </x:c>
      <x:c r="P388" s="7" t="s">
        <x:v>1921</x:v>
      </x:c>
      <x:c r="Q388" s="7" t="s">
        <x:v>1930</x:v>
      </x:c>
      <x:c r="R388" s="7" t="s">
        <x:v>1931</x:v>
      </x:c>
      <x:c r="S388" s="7" t="s">
        <x:v>53</x:v>
      </x:c>
      <x:c r="T388" s="7" t="s">
        <x:v>53</x:v>
      </x:c>
      <x:c r="U388" s="7" t="s">
        <x:v>53</x:v>
      </x:c>
      <x:c r="V388" s="7" t="s">
        <x:v>1932</x:v>
      </x:c>
      <x:c r="W388" s="7" t="s">
        <x:v>58</x:v>
      </x:c>
      <x:c r="X388" s="7" t="s">
        <x:v>2756</x:v>
      </x:c>
      <x:c r="Y388" s="7" t="s">
        <x:v>1181</x:v>
      </x:c>
      <x:c r="Z388" s="7" t="s">
        <x:v>1943</x:v>
      </x:c>
      <x:c r="AA388" s="7" t="s">
        <x:v>58</x:v>
      </x:c>
      <x:c r="AB388" s="8" t="s">
        <x:v>58</x:v>
      </x:c>
      <x:c r="AC388" s="8" t="s">
        <x:v>58</x:v>
      </x:c>
      <x:c r="AD388" s="8" t="s">
        <x:v>58</x:v>
      </x:c>
      <x:c r="AE388" s="8" t="s">
        <x:v>58</x:v>
      </x:c>
      <x:c r="AF388" s="8" t="s">
        <x:v>58</x:v>
      </x:c>
      <x:c r="AG388" s="7" t="s">
        <x:v>58</x:v>
      </x:c>
    </x:row>
    <x:row r="389" ht="51.75" hidden="0" customHeight="1">
      <x:c r="A389" s="7" t="s">
        <x:v>2762</x:v>
      </x:c>
      <x:c r="B389" s="7" t="s">
        <x:v>266</x:v>
      </x:c>
      <x:c r="C389" s="7" t="s">
        <x:v>268</x:v>
      </x:c>
      <x:c r="D389" s="7" t="s">
        <x:v>1945</x:v>
      </x:c>
      <x:c r="E389" s="7" t="s">
        <x:v>2763</x:v>
      </x:c>
      <x:c r="F389" s="7" t="s">
        <x:v>1929</x:v>
      </x:c>
      <x:c r="G389" s="8" t="n">
        <x:v>75</x:v>
      </x:c>
      <x:c r="H389" s="8" t="s">
        <x:v>58</x:v>
      </x:c>
      <x:c r="I389" s="8" t="s">
        <x:v>58</x:v>
      </x:c>
      <x:c r="J389" s="7" t="s">
        <x:v>1919</x:v>
      </x:c>
      <x:c r="K389" s="8" t="n">
        <x:v>1</x:v>
      </x:c>
      <x:c r="L389" s="8" t="n">
        <x:f aca="0">IF(AND(ISNUMBER(G389),P389&lt;&gt;"Unresolved unit / layout"),G389*K389,"Not applicable")</x:f>
        <x:v>75</x:v>
      </x:c>
      <x:c r="M389" s="8" t="str">
        <x:f aca="0">IF(AND(ISNUMBER(H389),P389&lt;&gt;"Unresolved unit / layout"),H389*K389,"Not applicable")</x:f>
        <x:v>Not applicable</x:v>
      </x:c>
      <x:c r="N389" s="8" t="str">
        <x:f aca="0">IF(AND(ISNUMBER(I389),P389&lt;&gt;"Unresolved unit / layout"),I389*K389,"Not applicable")</x:f>
        <x:v>Not applicable</x:v>
      </x:c>
      <x:c r="O389" s="7" t="s">
        <x:v>1929</x:v>
      </x:c>
      <x:c r="P389" s="7" t="s">
        <x:v>1921</x:v>
      </x:c>
      <x:c r="Q389" s="7" t="s">
        <x:v>1930</x:v>
      </x:c>
      <x:c r="R389" s="7" t="s">
        <x:v>1931</x:v>
      </x:c>
      <x:c r="S389" s="7" t="s">
        <x:v>53</x:v>
      </x:c>
      <x:c r="T389" s="7" t="s">
        <x:v>53</x:v>
      </x:c>
      <x:c r="U389" s="7" t="s">
        <x:v>53</x:v>
      </x:c>
      <x:c r="V389" s="7" t="s">
        <x:v>1947</x:v>
      </x:c>
      <x:c r="W389" s="7" t="s">
        <x:v>58</x:v>
      </x:c>
      <x:c r="X389" s="7" t="s">
        <x:v>2756</x:v>
      </x:c>
      <x:c r="Y389" s="7" t="s">
        <x:v>1181</x:v>
      </x:c>
      <x:c r="Z389" s="7" t="s">
        <x:v>1948</x:v>
      </x:c>
      <x:c r="AA389" s="7" t="s">
        <x:v>58</x:v>
      </x:c>
      <x:c r="AB389" s="8" t="s">
        <x:v>58</x:v>
      </x:c>
      <x:c r="AC389" s="8" t="s">
        <x:v>58</x:v>
      </x:c>
      <x:c r="AD389" s="8" t="s">
        <x:v>58</x:v>
      </x:c>
      <x:c r="AE389" s="8" t="s">
        <x:v>58</x:v>
      </x:c>
      <x:c r="AF389" s="8" t="s">
        <x:v>58</x:v>
      </x:c>
      <x:c r="AG389" s="7" t="s">
        <x:v>58</x:v>
      </x:c>
    </x:row>
    <x:row r="390" ht="51.75" hidden="0" customHeight="1">
      <x:c r="A390" s="7" t="s">
        <x:v>2764</x:v>
      </x:c>
      <x:c r="B390" s="7" t="s">
        <x:v>266</x:v>
      </x:c>
      <x:c r="C390" s="7" t="s">
        <x:v>268</x:v>
      </x:c>
      <x:c r="D390" s="7" t="s">
        <x:v>1950</x:v>
      </x:c>
      <x:c r="E390" s="7" t="s">
        <x:v>2765</x:v>
      </x:c>
      <x:c r="F390" s="7" t="s">
        <x:v>1929</x:v>
      </x:c>
      <x:c r="G390" s="8" t="n">
        <x:v>1645</x:v>
      </x:c>
      <x:c r="H390" s="8" t="s">
        <x:v>58</x:v>
      </x:c>
      <x:c r="I390" s="8" t="s">
        <x:v>58</x:v>
      </x:c>
      <x:c r="J390" s="7" t="s">
        <x:v>1919</x:v>
      </x:c>
      <x:c r="K390" s="8" t="n">
        <x:v>0.001</x:v>
      </x:c>
      <x:c r="L390" s="8" t="n">
        <x:f aca="0">IF(AND(ISNUMBER(G390),P390&lt;&gt;"Unresolved unit / layout"),G390*K390,"Not applicable")</x:f>
        <x:v>1.645</x:v>
      </x:c>
      <x:c r="M390" s="8" t="str">
        <x:f aca="0">IF(AND(ISNUMBER(H390),P390&lt;&gt;"Unresolved unit / layout"),H390*K390,"Not applicable")</x:f>
        <x:v>Not applicable</x:v>
      </x:c>
      <x:c r="N390" s="8" t="str">
        <x:f aca="0">IF(AND(ISNUMBER(I390),P390&lt;&gt;"Unresolved unit / layout"),I390*K390,"Not applicable")</x:f>
        <x:v>Not applicable</x:v>
      </x:c>
      <x:c r="O390" s="7" t="s">
        <x:v>1937</x:v>
      </x:c>
      <x:c r="P390" s="7" t="s">
        <x:v>1921</x:v>
      </x:c>
      <x:c r="Q390" s="7" t="s">
        <x:v>1930</x:v>
      </x:c>
      <x:c r="R390" s="7" t="s">
        <x:v>1931</x:v>
      </x:c>
      <x:c r="S390" s="7" t="s">
        <x:v>53</x:v>
      </x:c>
      <x:c r="T390" s="7" t="s">
        <x:v>53</x:v>
      </x:c>
      <x:c r="U390" s="7" t="s">
        <x:v>53</x:v>
      </x:c>
      <x:c r="V390" s="7" t="s">
        <x:v>1947</x:v>
      </x:c>
      <x:c r="W390" s="7" t="s">
        <x:v>58</x:v>
      </x:c>
      <x:c r="X390" s="7" t="s">
        <x:v>2756</x:v>
      </x:c>
      <x:c r="Y390" s="7" t="s">
        <x:v>1181</x:v>
      </x:c>
      <x:c r="Z390" s="7" t="s">
        <x:v>1952</x:v>
      </x:c>
      <x:c r="AA390" s="7" t="s">
        <x:v>58</x:v>
      </x:c>
      <x:c r="AB390" s="8" t="s">
        <x:v>58</x:v>
      </x:c>
      <x:c r="AC390" s="8" t="s">
        <x:v>58</x:v>
      </x:c>
      <x:c r="AD390" s="8" t="s">
        <x:v>58</x:v>
      </x:c>
      <x:c r="AE390" s="8" t="s">
        <x:v>58</x:v>
      </x:c>
      <x:c r="AF390" s="8" t="s">
        <x:v>58</x:v>
      </x:c>
      <x:c r="AG390" s="7" t="s">
        <x:v>58</x:v>
      </x:c>
    </x:row>
    <x:row r="391" ht="51.75" hidden="0" customHeight="1">
      <x:c r="A391" s="7" t="s">
        <x:v>2766</x:v>
      </x:c>
      <x:c r="B391" s="7" t="s">
        <x:v>266</x:v>
      </x:c>
      <x:c r="C391" s="7" t="s">
        <x:v>268</x:v>
      </x:c>
      <x:c r="D391" s="7" t="s">
        <x:v>1954</x:v>
      </x:c>
      <x:c r="E391" s="7" t="s">
        <x:v>1960</x:v>
      </x:c>
      <x:c r="F391" s="7" t="s">
        <x:v>1956</x:v>
      </x:c>
      <x:c r="G391" s="8" t="n">
        <x:v>80</x:v>
      </x:c>
      <x:c r="H391" s="8" t="s">
        <x:v>58</x:v>
      </x:c>
      <x:c r="I391" s="8" t="s">
        <x:v>58</x:v>
      </x:c>
      <x:c r="J391" s="7" t="s">
        <x:v>1919</x:v>
      </x:c>
      <x:c r="K391" s="8" t="n">
        <x:v>1</x:v>
      </x:c>
      <x:c r="L391" s="8" t="n">
        <x:f aca="0">IF(AND(ISNUMBER(G391),P391&lt;&gt;"Unresolved unit / layout"),G391*K391,"Not applicable")</x:f>
        <x:v>80</x:v>
      </x:c>
      <x:c r="M391" s="8" t="str">
        <x:f aca="0">IF(AND(ISNUMBER(H391),P391&lt;&gt;"Unresolved unit / layout"),H391*K391,"Not applicable")</x:f>
        <x:v>Not applicable</x:v>
      </x:c>
      <x:c r="N391" s="8" t="str">
        <x:f aca="0">IF(AND(ISNUMBER(I391),P391&lt;&gt;"Unresolved unit / layout"),I391*K391,"Not applicable")</x:f>
        <x:v>Not applicable</x:v>
      </x:c>
      <x:c r="O391" s="7" t="s">
        <x:v>1956</x:v>
      </x:c>
      <x:c r="P391" s="7" t="s">
        <x:v>1921</x:v>
      </x:c>
      <x:c r="Q391" s="7" t="s">
        <x:v>1930</x:v>
      </x:c>
      <x:c r="R391" s="7" t="s">
        <x:v>58</x:v>
      </x:c>
      <x:c r="S391" s="7" t="s">
        <x:v>53</x:v>
      </x:c>
      <x:c r="T391" s="7" t="s">
        <x:v>53</x:v>
      </x:c>
      <x:c r="U391" s="7" t="s">
        <x:v>53</x:v>
      </x:c>
      <x:c r="V391" s="7" t="s">
        <x:v>1957</x:v>
      </x:c>
      <x:c r="W391" s="7" t="s">
        <x:v>58</x:v>
      </x:c>
      <x:c r="X391" s="7" t="s">
        <x:v>2756</x:v>
      </x:c>
      <x:c r="Y391" s="7" t="s">
        <x:v>1181</x:v>
      </x:c>
      <x:c r="Z391" s="7" t="s">
        <x:v>1958</x:v>
      </x:c>
      <x:c r="AA391" s="7" t="s">
        <x:v>58</x:v>
      </x:c>
      <x:c r="AB391" s="8" t="s">
        <x:v>58</x:v>
      </x:c>
      <x:c r="AC391" s="8" t="s">
        <x:v>58</x:v>
      </x:c>
      <x:c r="AD391" s="8" t="s">
        <x:v>58</x:v>
      </x:c>
      <x:c r="AE391" s="8" t="s">
        <x:v>58</x:v>
      </x:c>
      <x:c r="AF391" s="8" t="s">
        <x:v>58</x:v>
      </x:c>
      <x:c r="AG391" s="7" t="s">
        <x:v>58</x:v>
      </x:c>
    </x:row>
    <x:row r="392" ht="51.75" hidden="0" customHeight="1">
      <x:c r="A392" s="7" t="s">
        <x:v>271</x:v>
      </x:c>
      <x:c r="B392" s="7" t="s">
        <x:v>266</x:v>
      </x:c>
      <x:c r="C392" s="7" t="s">
        <x:v>268</x:v>
      </x:c>
      <x:c r="D392" s="7" t="s">
        <x:v>1959</x:v>
      </x:c>
      <x:c r="E392" s="7" t="s">
        <x:v>2767</x:v>
      </x:c>
      <x:c r="F392" s="7" t="s">
        <x:v>1956</x:v>
      </x:c>
      <x:c r="G392" s="8" t="n">
        <x:v>70</x:v>
      </x:c>
      <x:c r="H392" s="8" t="s">
        <x:v>58</x:v>
      </x:c>
      <x:c r="I392" s="8" t="s">
        <x:v>58</x:v>
      </x:c>
      <x:c r="J392" s="7" t="s">
        <x:v>1919</x:v>
      </x:c>
      <x:c r="K392" s="8" t="n">
        <x:v>1</x:v>
      </x:c>
      <x:c r="L392" s="8" t="n">
        <x:f aca="0">IF(AND(ISNUMBER(G392),P392&lt;&gt;"Unresolved unit / layout"),G392*K392,"Not applicable")</x:f>
        <x:v>70</x:v>
      </x:c>
      <x:c r="M392" s="8" t="str">
        <x:f aca="0">IF(AND(ISNUMBER(H392),P392&lt;&gt;"Unresolved unit / layout"),H392*K392,"Not applicable")</x:f>
        <x:v>Not applicable</x:v>
      </x:c>
      <x:c r="N392" s="8" t="str">
        <x:f aca="0">IF(AND(ISNUMBER(I392),P392&lt;&gt;"Unresolved unit / layout"),I392*K392,"Not applicable")</x:f>
        <x:v>Not applicable</x:v>
      </x:c>
      <x:c r="O392" s="7" t="s">
        <x:v>1956</x:v>
      </x:c>
      <x:c r="P392" s="7" t="s">
        <x:v>1921</x:v>
      </x:c>
      <x:c r="Q392" s="7" t="s">
        <x:v>1930</x:v>
      </x:c>
      <x:c r="R392" s="7" t="s">
        <x:v>58</x:v>
      </x:c>
      <x:c r="S392" s="7" t="s">
        <x:v>53</x:v>
      </x:c>
      <x:c r="T392" s="7" t="s">
        <x:v>53</x:v>
      </x:c>
      <x:c r="U392" s="7" t="s">
        <x:v>53</x:v>
      </x:c>
      <x:c r="V392" s="7" t="s">
        <x:v>1961</x:v>
      </x:c>
      <x:c r="W392" s="7" t="s">
        <x:v>58</x:v>
      </x:c>
      <x:c r="X392" s="7" t="s">
        <x:v>2756</x:v>
      </x:c>
      <x:c r="Y392" s="7" t="s">
        <x:v>1181</x:v>
      </x:c>
      <x:c r="Z392" s="7" t="s">
        <x:v>1962</x:v>
      </x:c>
      <x:c r="AA392" s="7" t="s">
        <x:v>58</x:v>
      </x:c>
      <x:c r="AB392" s="8" t="s">
        <x:v>58</x:v>
      </x:c>
      <x:c r="AC392" s="8" t="s">
        <x:v>58</x:v>
      </x:c>
      <x:c r="AD392" s="8" t="s">
        <x:v>58</x:v>
      </x:c>
      <x:c r="AE392" s="8" t="s">
        <x:v>58</x:v>
      </x:c>
      <x:c r="AF392" s="8" t="s">
        <x:v>58</x:v>
      </x:c>
      <x:c r="AG392" s="7" t="s">
        <x:v>58</x:v>
      </x:c>
    </x:row>
    <x:row r="393" ht="66" hidden="0" customHeight="1">
      <x:c r="A393" s="7" t="s">
        <x:v>2768</x:v>
      </x:c>
      <x:c r="B393" s="7" t="s">
        <x:v>266</x:v>
      </x:c>
      <x:c r="C393" s="7" t="s">
        <x:v>1182</x:v>
      </x:c>
      <x:c r="D393" s="7" t="s">
        <x:v>1916</x:v>
      </x:c>
      <x:c r="E393" s="7" t="s">
        <x:v>2769</x:v>
      </x:c>
      <x:c r="F393" s="7" t="s">
        <x:v>1965</x:v>
      </x:c>
      <x:c r="G393" s="8" t="n">
        <x:v>1.25</x:v>
      </x:c>
      <x:c r="H393" s="8" t="s">
        <x:v>58</x:v>
      </x:c>
      <x:c r="I393" s="8" t="s">
        <x:v>58</x:v>
      </x:c>
      <x:c r="J393" s="7" t="s">
        <x:v>1919</x:v>
      </x:c>
      <x:c r="K393" s="8" t="n">
        <x:v>1000</x:v>
      </x:c>
      <x:c r="L393" s="8" t="n">
        <x:f aca="0">IF(AND(ISNUMBER(G393),P393&lt;&gt;"Unresolved unit / layout"),G393*K393,"Not applicable")</x:f>
        <x:v>1250</x:v>
      </x:c>
      <x:c r="M393" s="8" t="str">
        <x:f aca="0">IF(AND(ISNUMBER(H393),P393&lt;&gt;"Unresolved unit / layout"),H393*K393,"Not applicable")</x:f>
        <x:v>Not applicable</x:v>
      </x:c>
      <x:c r="N393" s="8" t="str">
        <x:f aca="0">IF(AND(ISNUMBER(I393),P393&lt;&gt;"Unresolved unit / layout"),I393*K393,"Not applicable")</x:f>
        <x:v>Not applicable</x:v>
      </x:c>
      <x:c r="O393" s="7" t="s">
        <x:v>1920</x:v>
      </x:c>
      <x:c r="P393" s="7" t="s">
        <x:v>1921</x:v>
      </x:c>
      <x:c r="Q393" s="7" t="s">
        <x:v>1922</x:v>
      </x:c>
      <x:c r="R393" s="7" t="s">
        <x:v>58</x:v>
      </x:c>
      <x:c r="S393" s="7" t="s">
        <x:v>53</x:v>
      </x:c>
      <x:c r="T393" s="7" t="s">
        <x:v>53</x:v>
      </x:c>
      <x:c r="U393" s="7" t="s">
        <x:v>53</x:v>
      </x:c>
      <x:c r="V393" s="7" t="s">
        <x:v>1966</x:v>
      </x:c>
      <x:c r="W393" s="7" t="s">
        <x:v>58</x:v>
      </x:c>
      <x:c r="X393" s="7" t="s">
        <x:v>2770</x:v>
      </x:c>
      <x:c r="Y393" s="7" t="s">
        <x:v>1184</x:v>
      </x:c>
      <x:c r="Z393" s="7" t="s">
        <x:v>1968</x:v>
      </x:c>
      <x:c r="AA393" s="7" t="s">
        <x:v>58</x:v>
      </x:c>
      <x:c r="AB393" s="8" t="s">
        <x:v>58</x:v>
      </x:c>
      <x:c r="AC393" s="8" t="s">
        <x:v>58</x:v>
      </x:c>
      <x:c r="AD393" s="8" t="s">
        <x:v>58</x:v>
      </x:c>
      <x:c r="AE393" s="8" t="s">
        <x:v>58</x:v>
      </x:c>
      <x:c r="AF393" s="8" t="s">
        <x:v>58</x:v>
      </x:c>
      <x:c r="AG393" s="7" t="s">
        <x:v>58</x:v>
      </x:c>
    </x:row>
    <x:row r="394" ht="66" hidden="0" customHeight="1">
      <x:c r="A394" s="7" t="s">
        <x:v>2771</x:v>
      </x:c>
      <x:c r="B394" s="7" t="s">
        <x:v>266</x:v>
      </x:c>
      <x:c r="C394" s="7" t="s">
        <x:v>1182</x:v>
      </x:c>
      <x:c r="D394" s="7" t="s">
        <x:v>1954</x:v>
      </x:c>
      <x:c r="E394" s="7" t="s">
        <x:v>2772</x:v>
      </x:c>
      <x:c r="F394" s="7" t="s">
        <x:v>1956</x:v>
      </x:c>
      <x:c r="G394" s="8" t="n">
        <x:v>81</x:v>
      </x:c>
      <x:c r="H394" s="8" t="s">
        <x:v>58</x:v>
      </x:c>
      <x:c r="I394" s="8" t="s">
        <x:v>58</x:v>
      </x:c>
      <x:c r="J394" s="7" t="s">
        <x:v>1919</x:v>
      </x:c>
      <x:c r="K394" s="8" t="n">
        <x:v>1</x:v>
      </x:c>
      <x:c r="L394" s="8" t="n">
        <x:f aca="0">IF(AND(ISNUMBER(G394),P394&lt;&gt;"Unresolved unit / layout"),G394*K394,"Not applicable")</x:f>
        <x:v>81</x:v>
      </x:c>
      <x:c r="M394" s="8" t="str">
        <x:f aca="0">IF(AND(ISNUMBER(H394),P394&lt;&gt;"Unresolved unit / layout"),H394*K394,"Not applicable")</x:f>
        <x:v>Not applicable</x:v>
      </x:c>
      <x:c r="N394" s="8" t="str">
        <x:f aca="0">IF(AND(ISNUMBER(I394),P394&lt;&gt;"Unresolved unit / layout"),I394*K394,"Not applicable")</x:f>
        <x:v>Not applicable</x:v>
      </x:c>
      <x:c r="O394" s="7" t="s">
        <x:v>1956</x:v>
      </x:c>
      <x:c r="P394" s="7" t="s">
        <x:v>1921</x:v>
      </x:c>
      <x:c r="Q394" s="7" t="s">
        <x:v>1930</x:v>
      </x:c>
      <x:c r="R394" s="7" t="s">
        <x:v>58</x:v>
      </x:c>
      <x:c r="S394" s="7" t="s">
        <x:v>53</x:v>
      </x:c>
      <x:c r="T394" s="7" t="s">
        <x:v>53</x:v>
      </x:c>
      <x:c r="U394" s="7" t="s">
        <x:v>53</x:v>
      </x:c>
      <x:c r="V394" s="7" t="s">
        <x:v>1971</x:v>
      </x:c>
      <x:c r="W394" s="7" t="s">
        <x:v>58</x:v>
      </x:c>
      <x:c r="X394" s="7" t="s">
        <x:v>2770</x:v>
      </x:c>
      <x:c r="Y394" s="7" t="s">
        <x:v>1184</x:v>
      </x:c>
      <x:c r="Z394" s="7" t="s">
        <x:v>1972</x:v>
      </x:c>
      <x:c r="AA394" s="7" t="s">
        <x:v>58</x:v>
      </x:c>
      <x:c r="AB394" s="8" t="s">
        <x:v>58</x:v>
      </x:c>
      <x:c r="AC394" s="8" t="s">
        <x:v>58</x:v>
      </x:c>
      <x:c r="AD394" s="8" t="s">
        <x:v>58</x:v>
      </x:c>
      <x:c r="AE394" s="8" t="s">
        <x:v>58</x:v>
      </x:c>
      <x:c r="AF394" s="8" t="s">
        <x:v>58</x:v>
      </x:c>
      <x:c r="AG394" s="7" t="s">
        <x:v>58</x:v>
      </x:c>
    </x:row>
    <x:row r="395" ht="66" hidden="0" customHeight="1">
      <x:c r="A395" s="7" t="s">
        <x:v>2773</x:v>
      </x:c>
      <x:c r="B395" s="7" t="s">
        <x:v>266</x:v>
      </x:c>
      <x:c r="C395" s="7" t="s">
        <x:v>1182</x:v>
      </x:c>
      <x:c r="D395" s="7" t="s">
        <x:v>1974</x:v>
      </x:c>
      <x:c r="E395" s="7" t="s">
        <x:v>1995</x:v>
      </x:c>
      <x:c r="F395" s="7" t="s">
        <x:v>1956</x:v>
      </x:c>
      <x:c r="G395" s="8" t="s">
        <x:v>53</x:v>
      </x:c>
      <x:c r="H395" s="8" t="s">
        <x:v>58</x:v>
      </x:c>
      <x:c r="I395" s="8" t="s">
        <x:v>58</x:v>
      </x:c>
      <x:c r="J395" s="7" t="s">
        <x:v>58</x:v>
      </x:c>
      <x:c r="K395" s="8" t="n">
        <x:v>1</x:v>
      </x:c>
      <x:c r="L395" s="8" t="str">
        <x:f aca="0">IF(AND(ISNUMBER(G395),P395&lt;&gt;"Unresolved unit / layout"),G395*K395,"Not published")</x:f>
        <x:v>Not published</x:v>
      </x:c>
      <x:c r="M395" s="8" t="str">
        <x:f aca="0">IF(AND(ISNUMBER(H395),P395&lt;&gt;"Unresolved unit / layout"),H395*K395,"Not applicable")</x:f>
        <x:v>Not applicable</x:v>
      </x:c>
      <x:c r="N395" s="8" t="str">
        <x:f aca="0">IF(AND(ISNUMBER(I395),P395&lt;&gt;"Unresolved unit / layout"),I395*K395,"Not applicable")</x:f>
        <x:v>Not applicable</x:v>
      </x:c>
      <x:c r="O395" s="7" t="s">
        <x:v>1956</x:v>
      </x:c>
      <x:c r="P395" s="7" t="s">
        <x:v>53</x:v>
      </x:c>
      <x:c r="Q395" s="7" t="s">
        <x:v>1930</x:v>
      </x:c>
      <x:c r="R395" s="7" t="s">
        <x:v>58</x:v>
      </x:c>
      <x:c r="S395" s="7" t="s">
        <x:v>53</x:v>
      </x:c>
      <x:c r="T395" s="7" t="s">
        <x:v>53</x:v>
      </x:c>
      <x:c r="U395" s="7" t="s">
        <x:v>53</x:v>
      </x:c>
      <x:c r="V395" s="7" t="s">
        <x:v>1971</x:v>
      </x:c>
      <x:c r="W395" s="7" t="s">
        <x:v>58</x:v>
      </x:c>
      <x:c r="X395" s="7" t="s">
        <x:v>2770</x:v>
      </x:c>
      <x:c r="Y395" s="7" t="s">
        <x:v>1184</x:v>
      </x:c>
      <x:c r="Z395" s="7" t="s">
        <x:v>1976</x:v>
      </x:c>
      <x:c r="AA395" s="7" t="s">
        <x:v>58</x:v>
      </x:c>
      <x:c r="AB395" s="8" t="s">
        <x:v>58</x:v>
      </x:c>
      <x:c r="AC395" s="8" t="s">
        <x:v>58</x:v>
      </x:c>
      <x:c r="AD395" s="8" t="s">
        <x:v>58</x:v>
      </x:c>
      <x:c r="AE395" s="8" t="s">
        <x:v>58</x:v>
      </x:c>
      <x:c r="AF395" s="8" t="s">
        <x:v>58</x:v>
      </x:c>
      <x:c r="AG395" s="7" t="s">
        <x:v>58</x:v>
      </x:c>
    </x:row>
    <x:row r="396" ht="66" hidden="0" customHeight="1">
      <x:c r="A396" s="7" t="s">
        <x:v>2774</x:v>
      </x:c>
      <x:c r="B396" s="7" t="s">
        <x:v>266</x:v>
      </x:c>
      <x:c r="C396" s="7" t="s">
        <x:v>1182</x:v>
      </x:c>
      <x:c r="D396" s="7" t="s">
        <x:v>1978</x:v>
      </x:c>
      <x:c r="E396" s="7" t="s">
        <x:v>1995</x:v>
      </x:c>
      <x:c r="F396" s="7" t="s">
        <x:v>1956</x:v>
      </x:c>
      <x:c r="G396" s="8" t="s">
        <x:v>53</x:v>
      </x:c>
      <x:c r="H396" s="8" t="s">
        <x:v>58</x:v>
      </x:c>
      <x:c r="I396" s="8" t="s">
        <x:v>58</x:v>
      </x:c>
      <x:c r="J396" s="7" t="s">
        <x:v>58</x:v>
      </x:c>
      <x:c r="K396" s="8" t="n">
        <x:v>1</x:v>
      </x:c>
      <x:c r="L396" s="8" t="str">
        <x:f aca="0">IF(AND(ISNUMBER(G396),P396&lt;&gt;"Unresolved unit / layout"),G396*K396,"Not published")</x:f>
        <x:v>Not published</x:v>
      </x:c>
      <x:c r="M396" s="8" t="str">
        <x:f aca="0">IF(AND(ISNUMBER(H396),P396&lt;&gt;"Unresolved unit / layout"),H396*K396,"Not applicable")</x:f>
        <x:v>Not applicable</x:v>
      </x:c>
      <x:c r="N396" s="8" t="str">
        <x:f aca="0">IF(AND(ISNUMBER(I396),P396&lt;&gt;"Unresolved unit / layout"),I396*K396,"Not applicable")</x:f>
        <x:v>Not applicable</x:v>
      </x:c>
      <x:c r="O396" s="7" t="s">
        <x:v>1956</x:v>
      </x:c>
      <x:c r="P396" s="7" t="s">
        <x:v>53</x:v>
      </x:c>
      <x:c r="Q396" s="7" t="s">
        <x:v>1930</x:v>
      </x:c>
      <x:c r="R396" s="7" t="s">
        <x:v>58</x:v>
      </x:c>
      <x:c r="S396" s="7" t="s">
        <x:v>53</x:v>
      </x:c>
      <x:c r="T396" s="7" t="s">
        <x:v>53</x:v>
      </x:c>
      <x:c r="U396" s="7" t="s">
        <x:v>53</x:v>
      </x:c>
      <x:c r="V396" s="7" t="s">
        <x:v>1971</x:v>
      </x:c>
      <x:c r="W396" s="7" t="s">
        <x:v>58</x:v>
      </x:c>
      <x:c r="X396" s="7" t="s">
        <x:v>2770</x:v>
      </x:c>
      <x:c r="Y396" s="7" t="s">
        <x:v>1184</x:v>
      </x:c>
      <x:c r="Z396" s="7" t="s">
        <x:v>1980</x:v>
      </x:c>
      <x:c r="AA396" s="7" t="s">
        <x:v>58</x:v>
      </x:c>
      <x:c r="AB396" s="8" t="s">
        <x:v>58</x:v>
      </x:c>
      <x:c r="AC396" s="8" t="s">
        <x:v>58</x:v>
      </x:c>
      <x:c r="AD396" s="8" t="s">
        <x:v>58</x:v>
      </x:c>
      <x:c r="AE396" s="8" t="s">
        <x:v>58</x:v>
      </x:c>
      <x:c r="AF396" s="8" t="s">
        <x:v>58</x:v>
      </x:c>
      <x:c r="AG396" s="7" t="s">
        <x:v>58</x:v>
      </x:c>
    </x:row>
    <x:row r="397" ht="66" hidden="0" customHeight="1">
      <x:c r="A397" s="7" t="s">
        <x:v>2775</x:v>
      </x:c>
      <x:c r="B397" s="7" t="s">
        <x:v>266</x:v>
      </x:c>
      <x:c r="C397" s="7" t="s">
        <x:v>1182</x:v>
      </x:c>
      <x:c r="D397" s="7" t="s">
        <x:v>1982</x:v>
      </x:c>
      <x:c r="E397" s="7" t="s">
        <x:v>2673</x:v>
      </x:c>
      <x:c r="F397" s="7" t="s">
        <x:v>1956</x:v>
      </x:c>
      <x:c r="G397" s="8" t="n">
        <x:v>84</x:v>
      </x:c>
      <x:c r="H397" s="8" t="s">
        <x:v>58</x:v>
      </x:c>
      <x:c r="I397" s="8" t="s">
        <x:v>58</x:v>
      </x:c>
      <x:c r="J397" s="7" t="s">
        <x:v>1919</x:v>
      </x:c>
      <x:c r="K397" s="8" t="n">
        <x:v>1</x:v>
      </x:c>
      <x:c r="L397" s="8" t="n">
        <x:f aca="0">IF(AND(ISNUMBER(G397),P397&lt;&gt;"Unresolved unit / layout"),G397*K397,"Not applicable")</x:f>
        <x:v>84</x:v>
      </x:c>
      <x:c r="M397" s="8" t="str">
        <x:f aca="0">IF(AND(ISNUMBER(H397),P397&lt;&gt;"Unresolved unit / layout"),H397*K397,"Not applicable")</x:f>
        <x:v>Not applicable</x:v>
      </x:c>
      <x:c r="N397" s="8" t="str">
        <x:f aca="0">IF(AND(ISNUMBER(I397),P397&lt;&gt;"Unresolved unit / layout"),I397*K397,"Not applicable")</x:f>
        <x:v>Not applicable</x:v>
      </x:c>
      <x:c r="O397" s="7" t="s">
        <x:v>1956</x:v>
      </x:c>
      <x:c r="P397" s="7" t="s">
        <x:v>1921</x:v>
      </x:c>
      <x:c r="Q397" s="7" t="s">
        <x:v>1930</x:v>
      </x:c>
      <x:c r="R397" s="7" t="s">
        <x:v>58</x:v>
      </x:c>
      <x:c r="S397" s="7" t="s">
        <x:v>53</x:v>
      </x:c>
      <x:c r="T397" s="7" t="s">
        <x:v>53</x:v>
      </x:c>
      <x:c r="U397" s="7" t="s">
        <x:v>53</x:v>
      </x:c>
      <x:c r="V397" s="7" t="s">
        <x:v>2776</x:v>
      </x:c>
      <x:c r="W397" s="7" t="s">
        <x:v>58</x:v>
      </x:c>
      <x:c r="X397" s="7" t="s">
        <x:v>2770</x:v>
      </x:c>
      <x:c r="Y397" s="7" t="s">
        <x:v>1184</x:v>
      </x:c>
      <x:c r="Z397" s="7" t="s">
        <x:v>1985</x:v>
      </x:c>
      <x:c r="AA397" s="7" t="s">
        <x:v>58</x:v>
      </x:c>
      <x:c r="AB397" s="8" t="s">
        <x:v>58</x:v>
      </x:c>
      <x:c r="AC397" s="8" t="s">
        <x:v>58</x:v>
      </x:c>
      <x:c r="AD397" s="8" t="s">
        <x:v>58</x:v>
      </x:c>
      <x:c r="AE397" s="8" t="s">
        <x:v>58</x:v>
      </x:c>
      <x:c r="AF397" s="8" t="s">
        <x:v>58</x:v>
      </x:c>
      <x:c r="AG397" s="7" t="s">
        <x:v>58</x:v>
      </x:c>
    </x:row>
    <x:row r="398" ht="66" hidden="0" customHeight="1">
      <x:c r="A398" s="7" t="s">
        <x:v>2777</x:v>
      </x:c>
      <x:c r="B398" s="7" t="s">
        <x:v>266</x:v>
      </x:c>
      <x:c r="C398" s="7" t="s">
        <x:v>1182</x:v>
      </x:c>
      <x:c r="D398" s="7" t="s">
        <x:v>1959</x:v>
      </x:c>
      <x:c r="E398" s="7" t="s">
        <x:v>2778</x:v>
      </x:c>
      <x:c r="F398" s="7" t="s">
        <x:v>1956</x:v>
      </x:c>
      <x:c r="G398" s="8" t="n">
        <x:v>74.8</x:v>
      </x:c>
      <x:c r="H398" s="8" t="s">
        <x:v>58</x:v>
      </x:c>
      <x:c r="I398" s="8" t="s">
        <x:v>58</x:v>
      </x:c>
      <x:c r="J398" s="7" t="s">
        <x:v>1919</x:v>
      </x:c>
      <x:c r="K398" s="8" t="n">
        <x:v>1</x:v>
      </x:c>
      <x:c r="L398" s="8" t="n">
        <x:f aca="0">IF(AND(ISNUMBER(G398),P398&lt;&gt;"Unresolved unit / layout"),G398*K398,"Not applicable")</x:f>
        <x:v>74.8</x:v>
      </x:c>
      <x:c r="M398" s="8" t="str">
        <x:f aca="0">IF(AND(ISNUMBER(H398),P398&lt;&gt;"Unresolved unit / layout"),H398*K398,"Not applicable")</x:f>
        <x:v>Not applicable</x:v>
      </x:c>
      <x:c r="N398" s="8" t="str">
        <x:f aca="0">IF(AND(ISNUMBER(I398),P398&lt;&gt;"Unresolved unit / layout"),I398*K398,"Not applicable")</x:f>
        <x:v>Not applicable</x:v>
      </x:c>
      <x:c r="O398" s="7" t="s">
        <x:v>1956</x:v>
      </x:c>
      <x:c r="P398" s="7" t="s">
        <x:v>1921</x:v>
      </x:c>
      <x:c r="Q398" s="7" t="s">
        <x:v>1930</x:v>
      </x:c>
      <x:c r="R398" s="7" t="s">
        <x:v>58</x:v>
      </x:c>
      <x:c r="S398" s="7" t="s">
        <x:v>53</x:v>
      </x:c>
      <x:c r="T398" s="7" t="s">
        <x:v>53</x:v>
      </x:c>
      <x:c r="U398" s="7" t="s">
        <x:v>53</x:v>
      </x:c>
      <x:c r="V398" s="7" t="s">
        <x:v>1988</x:v>
      </x:c>
      <x:c r="W398" s="7" t="s">
        <x:v>58</x:v>
      </x:c>
      <x:c r="X398" s="7" t="s">
        <x:v>2770</x:v>
      </x:c>
      <x:c r="Y398" s="7" t="s">
        <x:v>1184</x:v>
      </x:c>
      <x:c r="Z398" s="7" t="s">
        <x:v>1989</x:v>
      </x:c>
      <x:c r="AA398" s="7" t="s">
        <x:v>58</x:v>
      </x:c>
      <x:c r="AB398" s="8" t="s">
        <x:v>58</x:v>
      </x:c>
      <x:c r="AC398" s="8" t="s">
        <x:v>58</x:v>
      </x:c>
      <x:c r="AD398" s="8" t="s">
        <x:v>58</x:v>
      </x:c>
      <x:c r="AE398" s="8" t="s">
        <x:v>58</x:v>
      </x:c>
      <x:c r="AF398" s="8" t="s">
        <x:v>58</x:v>
      </x:c>
      <x:c r="AG398" s="7" t="s">
        <x:v>58</x:v>
      </x:c>
    </x:row>
    <x:row r="399" ht="66" hidden="0" customHeight="1">
      <x:c r="A399" s="7" t="s">
        <x:v>2779</x:v>
      </x:c>
      <x:c r="B399" s="7" t="s">
        <x:v>266</x:v>
      </x:c>
      <x:c r="C399" s="7" t="s">
        <x:v>1182</x:v>
      </x:c>
      <x:c r="D399" s="7" t="s">
        <x:v>1959</x:v>
      </x:c>
      <x:c r="E399" s="7" t="s">
        <x:v>2780</x:v>
      </x:c>
      <x:c r="F399" s="7" t="s">
        <x:v>1956</x:v>
      </x:c>
      <x:c r="G399" s="8" t="n">
        <x:v>78.4</x:v>
      </x:c>
      <x:c r="H399" s="8" t="s">
        <x:v>58</x:v>
      </x:c>
      <x:c r="I399" s="8" t="s">
        <x:v>58</x:v>
      </x:c>
      <x:c r="J399" s="7" t="s">
        <x:v>1919</x:v>
      </x:c>
      <x:c r="K399" s="8" t="n">
        <x:v>1</x:v>
      </x:c>
      <x:c r="L399" s="8" t="n">
        <x:f aca="0">IF(AND(ISNUMBER(G399),P399&lt;&gt;"Unresolved unit / layout"),G399*K399,"Not applicable")</x:f>
        <x:v>78.4</x:v>
      </x:c>
      <x:c r="M399" s="8" t="str">
        <x:f aca="0">IF(AND(ISNUMBER(H399),P399&lt;&gt;"Unresolved unit / layout"),H399*K399,"Not applicable")</x:f>
        <x:v>Not applicable</x:v>
      </x:c>
      <x:c r="N399" s="8" t="str">
        <x:f aca="0">IF(AND(ISNUMBER(I399),P399&lt;&gt;"Unresolved unit / layout"),I399*K399,"Not applicable")</x:f>
        <x:v>Not applicable</x:v>
      </x:c>
      <x:c r="O399" s="7" t="s">
        <x:v>1956</x:v>
      </x:c>
      <x:c r="P399" s="7" t="s">
        <x:v>1921</x:v>
      </x:c>
      <x:c r="Q399" s="7" t="s">
        <x:v>1930</x:v>
      </x:c>
      <x:c r="R399" s="7" t="s">
        <x:v>58</x:v>
      </x:c>
      <x:c r="S399" s="7" t="s">
        <x:v>53</x:v>
      </x:c>
      <x:c r="T399" s="7" t="s">
        <x:v>53</x:v>
      </x:c>
      <x:c r="U399" s="7" t="s">
        <x:v>53</x:v>
      </x:c>
      <x:c r="V399" s="7" t="s">
        <x:v>1992</x:v>
      </x:c>
      <x:c r="W399" s="7" t="s">
        <x:v>58</x:v>
      </x:c>
      <x:c r="X399" s="7" t="s">
        <x:v>2770</x:v>
      </x:c>
      <x:c r="Y399" s="7" t="s">
        <x:v>1184</x:v>
      </x:c>
      <x:c r="Z399" s="7" t="s">
        <x:v>1989</x:v>
      </x:c>
      <x:c r="AA399" s="7" t="s">
        <x:v>58</x:v>
      </x:c>
      <x:c r="AB399" s="8" t="s">
        <x:v>58</x:v>
      </x:c>
      <x:c r="AC399" s="8" t="s">
        <x:v>58</x:v>
      </x:c>
      <x:c r="AD399" s="8" t="s">
        <x:v>58</x:v>
      </x:c>
      <x:c r="AE399" s="8" t="s">
        <x:v>58</x:v>
      </x:c>
      <x:c r="AF399" s="8" t="s">
        <x:v>58</x:v>
      </x:c>
      <x:c r="AG399" s="7" t="s">
        <x:v>58</x:v>
      </x:c>
    </x:row>
    <x:row r="400" ht="66" hidden="0" customHeight="1">
      <x:c r="A400" s="7" t="s">
        <x:v>2781</x:v>
      </x:c>
      <x:c r="B400" s="7" t="s">
        <x:v>266</x:v>
      </x:c>
      <x:c r="C400" s="7" t="s">
        <x:v>1182</x:v>
      </x:c>
      <x:c r="D400" s="7" t="s">
        <x:v>1994</x:v>
      </x:c>
      <x:c r="E400" s="7" t="s">
        <x:v>1995</x:v>
      </x:c>
      <x:c r="F400" s="7" t="s">
        <x:v>53</x:v>
      </x:c>
      <x:c r="G400" s="8" t="s">
        <x:v>53</x:v>
      </x:c>
      <x:c r="H400" s="8" t="s">
        <x:v>58</x:v>
      </x:c>
      <x:c r="I400" s="8" t="s">
        <x:v>58</x:v>
      </x:c>
      <x:c r="J400" s="7" t="s">
        <x:v>58</x:v>
      </x:c>
      <x:c r="K400" s="8" t="n">
        <x:v>1</x:v>
      </x:c>
      <x:c r="L400" s="8" t="str">
        <x:f aca="0">IF(AND(ISNUMBER(G400),P400&lt;&gt;"Unresolved unit / layout"),G400*K400,"Not published")</x:f>
        <x:v>Not published</x:v>
      </x:c>
      <x:c r="M400" s="8" t="str">
        <x:f aca="0">IF(AND(ISNUMBER(H400),P400&lt;&gt;"Unresolved unit / layout"),H400*K400,"Not applicable")</x:f>
        <x:v>Not applicable</x:v>
      </x:c>
      <x:c r="N400" s="8" t="str">
        <x:f aca="0">IF(AND(ISNUMBER(I400),P400&lt;&gt;"Unresolved unit / layout"),I400*K400,"Not applicable")</x:f>
        <x:v>Not applicable</x:v>
      </x:c>
      <x:c r="O400" s="7" t="s">
        <x:v>53</x:v>
      </x:c>
      <x:c r="P400" s="7" t="s">
        <x:v>53</x:v>
      </x:c>
      <x:c r="Q400" s="7" t="s">
        <x:v>1930</x:v>
      </x:c>
      <x:c r="R400" s="7" t="s">
        <x:v>53</x:v>
      </x:c>
      <x:c r="S400" s="7" t="s">
        <x:v>53</x:v>
      </x:c>
      <x:c r="T400" s="7" t="s">
        <x:v>53</x:v>
      </x:c>
      <x:c r="U400" s="7" t="s">
        <x:v>53</x:v>
      </x:c>
      <x:c r="V400" s="7" t="s">
        <x:v>1995</x:v>
      </x:c>
      <x:c r="W400" s="7" t="s">
        <x:v>58</x:v>
      </x:c>
      <x:c r="X400" s="7" t="s">
        <x:v>2770</x:v>
      </x:c>
      <x:c r="Y400" s="7" t="s">
        <x:v>1184</x:v>
      </x:c>
      <x:c r="Z400" s="7" t="s">
        <x:v>1996</x:v>
      </x:c>
      <x:c r="AA400" s="7" t="s">
        <x:v>58</x:v>
      </x:c>
      <x:c r="AB400" s="8" t="s">
        <x:v>58</x:v>
      </x:c>
      <x:c r="AC400" s="8" t="s">
        <x:v>58</x:v>
      </x:c>
      <x:c r="AD400" s="8" t="s">
        <x:v>58</x:v>
      </x:c>
      <x:c r="AE400" s="8" t="s">
        <x:v>58</x:v>
      </x:c>
      <x:c r="AF400" s="8" t="s">
        <x:v>58</x:v>
      </x:c>
      <x:c r="AG400" s="7" t="s">
        <x:v>58</x:v>
      </x:c>
    </x:row>
    <x:row r="401" ht="66" hidden="0" customHeight="1">
      <x:c r="A401" s="7" t="s">
        <x:v>2782</x:v>
      </x:c>
      <x:c r="B401" s="7" t="s">
        <x:v>266</x:v>
      </x:c>
      <x:c r="C401" s="7" t="s">
        <x:v>1182</x:v>
      </x:c>
      <x:c r="D401" s="7" t="s">
        <x:v>1935</x:v>
      </x:c>
      <x:c r="E401" s="7" t="s">
        <x:v>2783</x:v>
      </x:c>
      <x:c r="F401" s="7" t="s">
        <x:v>1929</x:v>
      </x:c>
      <x:c r="G401" s="8" t="n">
        <x:v>2116.8</x:v>
      </x:c>
      <x:c r="H401" s="8" t="n">
        <x:v>68.1</x:v>
      </x:c>
      <x:c r="I401" s="8" t="s">
        <x:v>58</x:v>
      </x:c>
      <x:c r="J401" s="7" t="s">
        <x:v>1919</x:v>
      </x:c>
      <x:c r="K401" s="8" t="n">
        <x:v>0.001</x:v>
      </x:c>
      <x:c r="L401" s="8" t="n">
        <x:f aca="0">IF(AND(ISNUMBER(G401),P401&lt;&gt;"Unresolved unit / layout"),G401*K401,"Not applicable")</x:f>
        <x:v>2.1168</x:v>
      </x:c>
      <x:c r="M401" s="8" t="n">
        <x:f aca="0">IF(AND(ISNUMBER(H401),P401&lt;&gt;"Unresolved unit / layout"),H401*K401,"Not applicable")</x:f>
        <x:v>0.0681</x:v>
      </x:c>
      <x:c r="N401" s="8" t="str">
        <x:f aca="0">IF(AND(ISNUMBER(I401),P401&lt;&gt;"Unresolved unit / layout"),I401*K401,"Not applicable")</x:f>
        <x:v>Not applicable</x:v>
      </x:c>
      <x:c r="O401" s="7" t="s">
        <x:v>1937</x:v>
      </x:c>
      <x:c r="P401" s="7" t="s">
        <x:v>1921</x:v>
      </x:c>
      <x:c r="Q401" s="7" t="s">
        <x:v>1930</x:v>
      </x:c>
      <x:c r="R401" s="7" t="s">
        <x:v>1931</x:v>
      </x:c>
      <x:c r="S401" s="7" t="s">
        <x:v>53</x:v>
      </x:c>
      <x:c r="T401" s="7" t="s">
        <x:v>53</x:v>
      </x:c>
      <x:c r="U401" s="7" t="s">
        <x:v>53</x:v>
      </x:c>
      <x:c r="V401" s="7" t="s">
        <x:v>1999</x:v>
      </x:c>
      <x:c r="W401" s="7" t="s">
        <x:v>58</x:v>
      </x:c>
      <x:c r="X401" s="7" t="s">
        <x:v>2770</x:v>
      </x:c>
      <x:c r="Y401" s="7" t="s">
        <x:v>1184</x:v>
      </x:c>
      <x:c r="Z401" s="7" t="s">
        <x:v>2784</x:v>
      </x:c>
      <x:c r="AA401" s="7" t="s">
        <x:v>58</x:v>
      </x:c>
      <x:c r="AB401" s="8" t="s">
        <x:v>58</x:v>
      </x:c>
      <x:c r="AC401" s="8" t="s">
        <x:v>58</x:v>
      </x:c>
      <x:c r="AD401" s="8" t="s">
        <x:v>58</x:v>
      </x:c>
      <x:c r="AE401" s="8" t="s">
        <x:v>58</x:v>
      </x:c>
      <x:c r="AF401" s="8" t="s">
        <x:v>58</x:v>
      </x:c>
      <x:c r="AG401" s="7" t="s">
        <x:v>58</x:v>
      </x:c>
    </x:row>
    <x:row r="402" ht="66" hidden="0" customHeight="1">
      <x:c r="A402" s="7" t="s">
        <x:v>2785</x:v>
      </x:c>
      <x:c r="B402" s="7" t="s">
        <x:v>266</x:v>
      </x:c>
      <x:c r="C402" s="7" t="s">
        <x:v>1182</x:v>
      </x:c>
      <x:c r="D402" s="7" t="s">
        <x:v>1935</x:v>
      </x:c>
      <x:c r="E402" s="7" t="s">
        <x:v>2786</x:v>
      </x:c>
      <x:c r="F402" s="7" t="s">
        <x:v>1929</x:v>
      </x:c>
      <x:c r="G402" s="8" t="n">
        <x:v>1898.7</x:v>
      </x:c>
      <x:c r="H402" s="8" t="n">
        <x:v>98.5</x:v>
      </x:c>
      <x:c r="I402" s="8" t="s">
        <x:v>58</x:v>
      </x:c>
      <x:c r="J402" s="7" t="s">
        <x:v>1919</x:v>
      </x:c>
      <x:c r="K402" s="8" t="n">
        <x:v>0.001</x:v>
      </x:c>
      <x:c r="L402" s="8" t="n">
        <x:f aca="0">IF(AND(ISNUMBER(G402),P402&lt;&gt;"Unresolved unit / layout"),G402*K402,"Not applicable")</x:f>
        <x:v>1.8987</x:v>
      </x:c>
      <x:c r="M402" s="8" t="n">
        <x:f aca="0">IF(AND(ISNUMBER(H402),P402&lt;&gt;"Unresolved unit / layout"),H402*K402,"Not applicable")</x:f>
        <x:v>0.0985</x:v>
      </x:c>
      <x:c r="N402" s="8" t="str">
        <x:f aca="0">IF(AND(ISNUMBER(I402),P402&lt;&gt;"Unresolved unit / layout"),I402*K402,"Not applicable")</x:f>
        <x:v>Not applicable</x:v>
      </x:c>
      <x:c r="O402" s="7" t="s">
        <x:v>1937</x:v>
      </x:c>
      <x:c r="P402" s="7" t="s">
        <x:v>1921</x:v>
      </x:c>
      <x:c r="Q402" s="7" t="s">
        <x:v>1930</x:v>
      </x:c>
      <x:c r="R402" s="7" t="s">
        <x:v>2003</x:v>
      </x:c>
      <x:c r="S402" s="7" t="s">
        <x:v>53</x:v>
      </x:c>
      <x:c r="T402" s="7" t="s">
        <x:v>53</x:v>
      </x:c>
      <x:c r="U402" s="7" t="s">
        <x:v>53</x:v>
      </x:c>
      <x:c r="V402" s="7" t="s">
        <x:v>1999</x:v>
      </x:c>
      <x:c r="W402" s="7" t="s">
        <x:v>58</x:v>
      </x:c>
      <x:c r="X402" s="7" t="s">
        <x:v>2770</x:v>
      </x:c>
      <x:c r="Y402" s="7" t="s">
        <x:v>1184</x:v>
      </x:c>
      <x:c r="Z402" s="7" t="s">
        <x:v>2787</x:v>
      </x:c>
      <x:c r="AA402" s="7" t="s">
        <x:v>58</x:v>
      </x:c>
      <x:c r="AB402" s="8" t="s">
        <x:v>58</x:v>
      </x:c>
      <x:c r="AC402" s="8" t="s">
        <x:v>58</x:v>
      </x:c>
      <x:c r="AD402" s="8" t="s">
        <x:v>58</x:v>
      </x:c>
      <x:c r="AE402" s="8" t="s">
        <x:v>58</x:v>
      </x:c>
      <x:c r="AF402" s="8" t="s">
        <x:v>58</x:v>
      </x:c>
      <x:c r="AG402" s="7" t="s">
        <x:v>58</x:v>
      </x:c>
    </x:row>
    <x:row r="403" ht="66" hidden="0" customHeight="1">
      <x:c r="A403" s="7" t="s">
        <x:v>2788</x:v>
      </x:c>
      <x:c r="B403" s="7" t="s">
        <x:v>266</x:v>
      </x:c>
      <x:c r="C403" s="7" t="s">
        <x:v>1182</x:v>
      </x:c>
      <x:c r="D403" s="7" t="s">
        <x:v>2006</x:v>
      </x:c>
      <x:c r="E403" s="7" t="s">
        <x:v>2789</x:v>
      </x:c>
      <x:c r="F403" s="7" t="s">
        <x:v>1929</x:v>
      </x:c>
      <x:c r="G403" s="8" t="n">
        <x:v>50.8</x:v>
      </x:c>
      <x:c r="H403" s="8" t="n">
        <x:v>0.9</x:v>
      </x:c>
      <x:c r="I403" s="8" t="s">
        <x:v>58</x:v>
      </x:c>
      <x:c r="J403" s="7" t="s">
        <x:v>1919</x:v>
      </x:c>
      <x:c r="K403" s="8" t="n">
        <x:v>1</x:v>
      </x:c>
      <x:c r="L403" s="8" t="n">
        <x:f aca="0">IF(AND(ISNUMBER(G403),P403&lt;&gt;"Unresolved unit / layout"),G403*K403,"Not applicable")</x:f>
        <x:v>50.8</x:v>
      </x:c>
      <x:c r="M403" s="8" t="n">
        <x:f aca="0">IF(AND(ISNUMBER(H403),P403&lt;&gt;"Unresolved unit / layout"),H403*K403,"Not applicable")</x:f>
        <x:v>0.9</x:v>
      </x:c>
      <x:c r="N403" s="8" t="str">
        <x:f aca="0">IF(AND(ISNUMBER(I403),P403&lt;&gt;"Unresolved unit / layout"),I403*K403,"Not applicable")</x:f>
        <x:v>Not applicable</x:v>
      </x:c>
      <x:c r="O403" s="7" t="s">
        <x:v>1929</x:v>
      </x:c>
      <x:c r="P403" s="7" t="s">
        <x:v>1921</x:v>
      </x:c>
      <x:c r="Q403" s="7" t="s">
        <x:v>1930</x:v>
      </x:c>
      <x:c r="R403" s="7" t="s">
        <x:v>1931</x:v>
      </x:c>
      <x:c r="S403" s="7" t="s">
        <x:v>53</x:v>
      </x:c>
      <x:c r="T403" s="7" t="s">
        <x:v>53</x:v>
      </x:c>
      <x:c r="U403" s="7" t="s">
        <x:v>53</x:v>
      </x:c>
      <x:c r="V403" s="7" t="s">
        <x:v>1999</x:v>
      </x:c>
      <x:c r="W403" s="7" t="s">
        <x:v>58</x:v>
      </x:c>
      <x:c r="X403" s="7" t="s">
        <x:v>2770</x:v>
      </x:c>
      <x:c r="Y403" s="7" t="s">
        <x:v>1184</x:v>
      </x:c>
      <x:c r="Z403" s="7" t="s">
        <x:v>2684</x:v>
      </x:c>
      <x:c r="AA403" s="7" t="s">
        <x:v>58</x:v>
      </x:c>
      <x:c r="AB403" s="8" t="s">
        <x:v>58</x:v>
      </x:c>
      <x:c r="AC403" s="8" t="s">
        <x:v>58</x:v>
      </x:c>
      <x:c r="AD403" s="8" t="s">
        <x:v>58</x:v>
      </x:c>
      <x:c r="AE403" s="8" t="s">
        <x:v>58</x:v>
      </x:c>
      <x:c r="AF403" s="8" t="s">
        <x:v>58</x:v>
      </x:c>
      <x:c r="AG403" s="7" t="s">
        <x:v>58</x:v>
      </x:c>
    </x:row>
    <x:row r="404" ht="66" hidden="0" customHeight="1">
      <x:c r="A404" s="7" t="s">
        <x:v>2790</x:v>
      </x:c>
      <x:c r="B404" s="7" t="s">
        <x:v>266</x:v>
      </x:c>
      <x:c r="C404" s="7" t="s">
        <x:v>1182</x:v>
      </x:c>
      <x:c r="D404" s="7" t="s">
        <x:v>2006</x:v>
      </x:c>
      <x:c r="E404" s="7" t="s">
        <x:v>2791</x:v>
      </x:c>
      <x:c r="F404" s="7" t="s">
        <x:v>1929</x:v>
      </x:c>
      <x:c r="G404" s="8" t="n">
        <x:v>42.8</x:v>
      </x:c>
      <x:c r="H404" s="8" t="n">
        <x:v>2.8</x:v>
      </x:c>
      <x:c r="I404" s="8" t="s">
        <x:v>58</x:v>
      </x:c>
      <x:c r="J404" s="7" t="s">
        <x:v>1919</x:v>
      </x:c>
      <x:c r="K404" s="8" t="n">
        <x:v>1</x:v>
      </x:c>
      <x:c r="L404" s="8" t="n">
        <x:f aca="0">IF(AND(ISNUMBER(G404),P404&lt;&gt;"Unresolved unit / layout"),G404*K404,"Not applicable")</x:f>
        <x:v>42.8</x:v>
      </x:c>
      <x:c r="M404" s="8" t="n">
        <x:f aca="0">IF(AND(ISNUMBER(H404),P404&lt;&gt;"Unresolved unit / layout"),H404*K404,"Not applicable")</x:f>
        <x:v>2.8</x:v>
      </x:c>
      <x:c r="N404" s="8" t="str">
        <x:f aca="0">IF(AND(ISNUMBER(I404),P404&lt;&gt;"Unresolved unit / layout"),I404*K404,"Not applicable")</x:f>
        <x:v>Not applicable</x:v>
      </x:c>
      <x:c r="O404" s="7" t="s">
        <x:v>1929</x:v>
      </x:c>
      <x:c r="P404" s="7" t="s">
        <x:v>1921</x:v>
      </x:c>
      <x:c r="Q404" s="7" t="s">
        <x:v>1930</x:v>
      </x:c>
      <x:c r="R404" s="7" t="s">
        <x:v>2003</x:v>
      </x:c>
      <x:c r="S404" s="7" t="s">
        <x:v>53</x:v>
      </x:c>
      <x:c r="T404" s="7" t="s">
        <x:v>53</x:v>
      </x:c>
      <x:c r="U404" s="7" t="s">
        <x:v>53</x:v>
      </x:c>
      <x:c r="V404" s="7" t="s">
        <x:v>1999</x:v>
      </x:c>
      <x:c r="W404" s="7" t="s">
        <x:v>58</x:v>
      </x:c>
      <x:c r="X404" s="7" t="s">
        <x:v>2770</x:v>
      </x:c>
      <x:c r="Y404" s="7" t="s">
        <x:v>1184</x:v>
      </x:c>
      <x:c r="Z404" s="7" t="s">
        <x:v>2687</x:v>
      </x:c>
      <x:c r="AA404" s="7" t="s">
        <x:v>58</x:v>
      </x:c>
      <x:c r="AB404" s="8" t="s">
        <x:v>58</x:v>
      </x:c>
      <x:c r="AC404" s="8" t="s">
        <x:v>58</x:v>
      </x:c>
      <x:c r="AD404" s="8" t="s">
        <x:v>58</x:v>
      </x:c>
      <x:c r="AE404" s="8" t="s">
        <x:v>58</x:v>
      </x:c>
      <x:c r="AF404" s="8" t="s">
        <x:v>58</x:v>
      </x:c>
      <x:c r="AG404" s="7" t="s">
        <x:v>58</x:v>
      </x:c>
    </x:row>
    <x:row r="405" ht="66" hidden="0" customHeight="1">
      <x:c r="A405" s="7" t="s">
        <x:v>2792</x:v>
      </x:c>
      <x:c r="B405" s="7" t="s">
        <x:v>266</x:v>
      </x:c>
      <x:c r="C405" s="7" t="s">
        <x:v>1182</x:v>
      </x:c>
      <x:c r="D405" s="7" t="s">
        <x:v>1940</x:v>
      </x:c>
      <x:c r="E405" s="7" t="s">
        <x:v>2793</x:v>
      </x:c>
      <x:c r="F405" s="7" t="s">
        <x:v>1942</x:v>
      </x:c>
      <x:c r="G405" s="8" t="n">
        <x:v>8.4</x:v>
      </x:c>
      <x:c r="H405" s="8" t="n">
        <x:v>1.7</x:v>
      </x:c>
      <x:c r="I405" s="8" t="s">
        <x:v>58</x:v>
      </x:c>
      <x:c r="J405" s="7" t="s">
        <x:v>1919</x:v>
      </x:c>
      <x:c r="K405" s="8" t="n">
        <x:v>1</x:v>
      </x:c>
      <x:c r="L405" s="8" t="n">
        <x:f aca="0">IF(AND(ISNUMBER(G405),P405&lt;&gt;"Unresolved unit / layout"),G405*K405,"Not applicable")</x:f>
        <x:v>8.4</x:v>
      </x:c>
      <x:c r="M405" s="8" t="n">
        <x:f aca="0">IF(AND(ISNUMBER(H405),P405&lt;&gt;"Unresolved unit / layout"),H405*K405,"Not applicable")</x:f>
        <x:v>1.7</x:v>
      </x:c>
      <x:c r="N405" s="8" t="str">
        <x:f aca="0">IF(AND(ISNUMBER(I405),P405&lt;&gt;"Unresolved unit / layout"),I405*K405,"Not applicable")</x:f>
        <x:v>Not applicable</x:v>
      </x:c>
      <x:c r="O405" s="7" t="s">
        <x:v>1942</x:v>
      </x:c>
      <x:c r="P405" s="7" t="s">
        <x:v>1921</x:v>
      </x:c>
      <x:c r="Q405" s="7" t="s">
        <x:v>1930</x:v>
      </x:c>
      <x:c r="R405" s="7" t="s">
        <x:v>1931</x:v>
      </x:c>
      <x:c r="S405" s="7" t="s">
        <x:v>53</x:v>
      </x:c>
      <x:c r="T405" s="7" t="s">
        <x:v>53</x:v>
      </x:c>
      <x:c r="U405" s="7" t="s">
        <x:v>53</x:v>
      </x:c>
      <x:c r="V405" s="7" t="s">
        <x:v>1999</x:v>
      </x:c>
      <x:c r="W405" s="7" t="s">
        <x:v>58</x:v>
      </x:c>
      <x:c r="X405" s="7" t="s">
        <x:v>2770</x:v>
      </x:c>
      <x:c r="Y405" s="7" t="s">
        <x:v>1184</x:v>
      </x:c>
      <x:c r="Z405" s="7" t="s">
        <x:v>2690</x:v>
      </x:c>
      <x:c r="AA405" s="7" t="s">
        <x:v>58</x:v>
      </x:c>
      <x:c r="AB405" s="8" t="s">
        <x:v>58</x:v>
      </x:c>
      <x:c r="AC405" s="8" t="s">
        <x:v>58</x:v>
      </x:c>
      <x:c r="AD405" s="8" t="s">
        <x:v>58</x:v>
      </x:c>
      <x:c r="AE405" s="8" t="s">
        <x:v>58</x:v>
      </x:c>
      <x:c r="AF405" s="8" t="s">
        <x:v>58</x:v>
      </x:c>
      <x:c r="AG405" s="7" t="s">
        <x:v>58</x:v>
      </x:c>
    </x:row>
    <x:row r="406" ht="66" hidden="0" customHeight="1">
      <x:c r="A406" s="7" t="s">
        <x:v>2794</x:v>
      </x:c>
      <x:c r="B406" s="7" t="s">
        <x:v>266</x:v>
      </x:c>
      <x:c r="C406" s="7" t="s">
        <x:v>1182</x:v>
      </x:c>
      <x:c r="D406" s="7" t="s">
        <x:v>1940</x:v>
      </x:c>
      <x:c r="E406" s="7" t="s">
        <x:v>2795</x:v>
      </x:c>
      <x:c r="F406" s="7" t="s">
        <x:v>1942</x:v>
      </x:c>
      <x:c r="G406" s="8" t="n">
        <x:v>3.3</x:v>
      </x:c>
      <x:c r="H406" s="8" t="n">
        <x:v>0.2</x:v>
      </x:c>
      <x:c r="I406" s="8" t="s">
        <x:v>58</x:v>
      </x:c>
      <x:c r="J406" s="7" t="s">
        <x:v>1919</x:v>
      </x:c>
      <x:c r="K406" s="8" t="n">
        <x:v>1</x:v>
      </x:c>
      <x:c r="L406" s="8" t="n">
        <x:f aca="0">IF(AND(ISNUMBER(G406),P406&lt;&gt;"Unresolved unit / layout"),G406*K406,"Not applicable")</x:f>
        <x:v>3.3</x:v>
      </x:c>
      <x:c r="M406" s="8" t="n">
        <x:f aca="0">IF(AND(ISNUMBER(H406),P406&lt;&gt;"Unresolved unit / layout"),H406*K406,"Not applicable")</x:f>
        <x:v>0.2</x:v>
      </x:c>
      <x:c r="N406" s="8" t="str">
        <x:f aca="0">IF(AND(ISNUMBER(I406),P406&lt;&gt;"Unresolved unit / layout"),I406*K406,"Not applicable")</x:f>
        <x:v>Not applicable</x:v>
      </x:c>
      <x:c r="O406" s="7" t="s">
        <x:v>1942</x:v>
      </x:c>
      <x:c r="P406" s="7" t="s">
        <x:v>1921</x:v>
      </x:c>
      <x:c r="Q406" s="7" t="s">
        <x:v>1930</x:v>
      </x:c>
      <x:c r="R406" s="7" t="s">
        <x:v>2003</x:v>
      </x:c>
      <x:c r="S406" s="7" t="s">
        <x:v>53</x:v>
      </x:c>
      <x:c r="T406" s="7" t="s">
        <x:v>53</x:v>
      </x:c>
      <x:c r="U406" s="7" t="s">
        <x:v>53</x:v>
      </x:c>
      <x:c r="V406" s="7" t="s">
        <x:v>1999</x:v>
      </x:c>
      <x:c r="W406" s="7" t="s">
        <x:v>58</x:v>
      </x:c>
      <x:c r="X406" s="7" t="s">
        <x:v>2770</x:v>
      </x:c>
      <x:c r="Y406" s="7" t="s">
        <x:v>1184</x:v>
      </x:c>
      <x:c r="Z406" s="7" t="s">
        <x:v>2693</x:v>
      </x:c>
      <x:c r="AA406" s="7" t="s">
        <x:v>58</x:v>
      </x:c>
      <x:c r="AB406" s="8" t="s">
        <x:v>58</x:v>
      </x:c>
      <x:c r="AC406" s="8" t="s">
        <x:v>58</x:v>
      </x:c>
      <x:c r="AD406" s="8" t="s">
        <x:v>58</x:v>
      </x:c>
      <x:c r="AE406" s="8" t="s">
        <x:v>58</x:v>
      </x:c>
      <x:c r="AF406" s="8" t="s">
        <x:v>58</x:v>
      </x:c>
      <x:c r="AG406" s="7" t="s">
        <x:v>58</x:v>
      </x:c>
    </x:row>
    <x:row r="407" ht="66" hidden="0" customHeight="1">
      <x:c r="A407" s="7" t="s">
        <x:v>2796</x:v>
      </x:c>
      <x:c r="B407" s="7" t="s">
        <x:v>266</x:v>
      </x:c>
      <x:c r="C407" s="7" t="s">
        <x:v>1182</x:v>
      </x:c>
      <x:c r="D407" s="7" t="s">
        <x:v>1950</x:v>
      </x:c>
      <x:c r="E407" s="7" t="s">
        <x:v>2797</x:v>
      </x:c>
      <x:c r="F407" s="7" t="s">
        <x:v>1929</x:v>
      </x:c>
      <x:c r="G407" s="8" t="n">
        <x:v>1898.5</x:v>
      </x:c>
      <x:c r="H407" s="8" t="n">
        <x:v>35.5</x:v>
      </x:c>
      <x:c r="I407" s="8" t="s">
        <x:v>58</x:v>
      </x:c>
      <x:c r="J407" s="7" t="s">
        <x:v>1919</x:v>
      </x:c>
      <x:c r="K407" s="8" t="n">
        <x:v>0.001</x:v>
      </x:c>
      <x:c r="L407" s="8" t="n">
        <x:f aca="0">IF(AND(ISNUMBER(G407),P407&lt;&gt;"Unresolved unit / layout"),G407*K407,"Not applicable")</x:f>
        <x:v>1.8985</x:v>
      </x:c>
      <x:c r="M407" s="8" t="n">
        <x:f aca="0">IF(AND(ISNUMBER(H407),P407&lt;&gt;"Unresolved unit / layout"),H407*K407,"Not applicable")</x:f>
        <x:v>0.035500000000000004</x:v>
      </x:c>
      <x:c r="N407" s="8" t="str">
        <x:f aca="0">IF(AND(ISNUMBER(I407),P407&lt;&gt;"Unresolved unit / layout"),I407*K407,"Not applicable")</x:f>
        <x:v>Not applicable</x:v>
      </x:c>
      <x:c r="O407" s="7" t="s">
        <x:v>1937</x:v>
      </x:c>
      <x:c r="P407" s="7" t="s">
        <x:v>1921</x:v>
      </x:c>
      <x:c r="Q407" s="7" t="s">
        <x:v>1930</x:v>
      </x:c>
      <x:c r="R407" s="7" t="s">
        <x:v>1931</x:v>
      </x:c>
      <x:c r="S407" s="7" t="s">
        <x:v>53</x:v>
      </x:c>
      <x:c r="T407" s="7" t="s">
        <x:v>53</x:v>
      </x:c>
      <x:c r="U407" s="7" t="s">
        <x:v>53</x:v>
      </x:c>
      <x:c r="V407" s="7" t="s">
        <x:v>2020</x:v>
      </x:c>
      <x:c r="W407" s="7" t="s">
        <x:v>58</x:v>
      </x:c>
      <x:c r="X407" s="7" t="s">
        <x:v>2770</x:v>
      </x:c>
      <x:c r="Y407" s="7" t="s">
        <x:v>1184</x:v>
      </x:c>
      <x:c r="Z407" s="7" t="s">
        <x:v>2696</x:v>
      </x:c>
      <x:c r="AA407" s="7" t="s">
        <x:v>58</x:v>
      </x:c>
      <x:c r="AB407" s="8" t="s">
        <x:v>58</x:v>
      </x:c>
      <x:c r="AC407" s="8" t="s">
        <x:v>58</x:v>
      </x:c>
      <x:c r="AD407" s="8" t="s">
        <x:v>58</x:v>
      </x:c>
      <x:c r="AE407" s="8" t="s">
        <x:v>58</x:v>
      </x:c>
      <x:c r="AF407" s="8" t="s">
        <x:v>58</x:v>
      </x:c>
      <x:c r="AG407" s="7" t="s">
        <x:v>58</x:v>
      </x:c>
    </x:row>
    <x:row r="408" ht="66" hidden="0" customHeight="1">
      <x:c r="A408" s="7" t="s">
        <x:v>2798</x:v>
      </x:c>
      <x:c r="B408" s="7" t="s">
        <x:v>266</x:v>
      </x:c>
      <x:c r="C408" s="7" t="s">
        <x:v>1182</x:v>
      </x:c>
      <x:c r="D408" s="7" t="s">
        <x:v>1950</x:v>
      </x:c>
      <x:c r="E408" s="7" t="s">
        <x:v>1995</x:v>
      </x:c>
      <x:c r="F408" s="7" t="s">
        <x:v>53</x:v>
      </x:c>
      <x:c r="G408" s="8" t="s">
        <x:v>53</x:v>
      </x:c>
      <x:c r="H408" s="8" t="s">
        <x:v>58</x:v>
      </x:c>
      <x:c r="I408" s="8" t="s">
        <x:v>58</x:v>
      </x:c>
      <x:c r="J408" s="7" t="s">
        <x:v>58</x:v>
      </x:c>
      <x:c r="K408" s="8" t="n">
        <x:v>1</x:v>
      </x:c>
      <x:c r="L408" s="8" t="str">
        <x:f aca="0">IF(AND(ISNUMBER(G408),P408&lt;&gt;"Unresolved unit / layout"),G408*K408,"Not published")</x:f>
        <x:v>Not published</x:v>
      </x:c>
      <x:c r="M408" s="8" t="str">
        <x:f aca="0">IF(AND(ISNUMBER(H408),P408&lt;&gt;"Unresolved unit / layout"),H408*K408,"Not applicable")</x:f>
        <x:v>Not applicable</x:v>
      </x:c>
      <x:c r="N408" s="8" t="str">
        <x:f aca="0">IF(AND(ISNUMBER(I408),P408&lt;&gt;"Unresolved unit / layout"),I408*K408,"Not applicable")</x:f>
        <x:v>Not applicable</x:v>
      </x:c>
      <x:c r="O408" s="7" t="s">
        <x:v>53</x:v>
      </x:c>
      <x:c r="P408" s="7" t="s">
        <x:v>53</x:v>
      </x:c>
      <x:c r="Q408" s="7" t="s">
        <x:v>1930</x:v>
      </x:c>
      <x:c r="R408" s="7" t="s">
        <x:v>2003</x:v>
      </x:c>
      <x:c r="S408" s="7" t="s">
        <x:v>53</x:v>
      </x:c>
      <x:c r="T408" s="7" t="s">
        <x:v>53</x:v>
      </x:c>
      <x:c r="U408" s="7" t="s">
        <x:v>53</x:v>
      </x:c>
      <x:c r="V408" s="7" t="s">
        <x:v>2020</x:v>
      </x:c>
      <x:c r="W408" s="7" t="s">
        <x:v>58</x:v>
      </x:c>
      <x:c r="X408" s="7" t="s">
        <x:v>2770</x:v>
      </x:c>
      <x:c r="Y408" s="7" t="s">
        <x:v>1184</x:v>
      </x:c>
      <x:c r="Z408" s="7" t="s">
        <x:v>2699</x:v>
      </x:c>
      <x:c r="AA408" s="7" t="s">
        <x:v>58</x:v>
      </x:c>
      <x:c r="AB408" s="8" t="s">
        <x:v>58</x:v>
      </x:c>
      <x:c r="AC408" s="8" t="s">
        <x:v>58</x:v>
      </x:c>
      <x:c r="AD408" s="8" t="s">
        <x:v>58</x:v>
      </x:c>
      <x:c r="AE408" s="8" t="s">
        <x:v>58</x:v>
      </x:c>
      <x:c r="AF408" s="8" t="s">
        <x:v>58</x:v>
      </x:c>
      <x:c r="AG408" s="7" t="s">
        <x:v>58</x:v>
      </x:c>
    </x:row>
    <x:row r="409" ht="66" hidden="0" customHeight="1">
      <x:c r="A409" s="7" t="s">
        <x:v>2799</x:v>
      </x:c>
      <x:c r="B409" s="7" t="s">
        <x:v>266</x:v>
      </x:c>
      <x:c r="C409" s="7" t="s">
        <x:v>1182</x:v>
      </x:c>
      <x:c r="D409" s="7" t="s">
        <x:v>1945</x:v>
      </x:c>
      <x:c r="E409" s="7" t="s">
        <x:v>2800</x:v>
      </x:c>
      <x:c r="F409" s="7" t="s">
        <x:v>1929</x:v>
      </x:c>
      <x:c r="G409" s="8" t="n">
        <x:v>69.6</x:v>
      </x:c>
      <x:c r="H409" s="8" t="n">
        <x:v>0.8</x:v>
      </x:c>
      <x:c r="I409" s="8" t="s">
        <x:v>58</x:v>
      </x:c>
      <x:c r="J409" s="7" t="s">
        <x:v>1919</x:v>
      </x:c>
      <x:c r="K409" s="8" t="n">
        <x:v>1</x:v>
      </x:c>
      <x:c r="L409" s="8" t="n">
        <x:f aca="0">IF(AND(ISNUMBER(G409),P409&lt;&gt;"Unresolved unit / layout"),G409*K409,"Not applicable")</x:f>
        <x:v>69.6</x:v>
      </x:c>
      <x:c r="M409" s="8" t="n">
        <x:f aca="0">IF(AND(ISNUMBER(H409),P409&lt;&gt;"Unresolved unit / layout"),H409*K409,"Not applicable")</x:f>
        <x:v>0.8</x:v>
      </x:c>
      <x:c r="N409" s="8" t="str">
        <x:f aca="0">IF(AND(ISNUMBER(I409),P409&lt;&gt;"Unresolved unit / layout"),I409*K409,"Not applicable")</x:f>
        <x:v>Not applicable</x:v>
      </x:c>
      <x:c r="O409" s="7" t="s">
        <x:v>1929</x:v>
      </x:c>
      <x:c r="P409" s="7" t="s">
        <x:v>1921</x:v>
      </x:c>
      <x:c r="Q409" s="7" t="s">
        <x:v>1930</x:v>
      </x:c>
      <x:c r="R409" s="7" t="s">
        <x:v>1931</x:v>
      </x:c>
      <x:c r="S409" s="7" t="s">
        <x:v>53</x:v>
      </x:c>
      <x:c r="T409" s="7" t="s">
        <x:v>53</x:v>
      </x:c>
      <x:c r="U409" s="7" t="s">
        <x:v>53</x:v>
      </x:c>
      <x:c r="V409" s="7" t="s">
        <x:v>2020</x:v>
      </x:c>
      <x:c r="W409" s="7" t="s">
        <x:v>58</x:v>
      </x:c>
      <x:c r="X409" s="7" t="s">
        <x:v>2770</x:v>
      </x:c>
      <x:c r="Y409" s="7" t="s">
        <x:v>1184</x:v>
      </x:c>
      <x:c r="Z409" s="7" t="s">
        <x:v>2702</x:v>
      </x:c>
      <x:c r="AA409" s="7" t="s">
        <x:v>58</x:v>
      </x:c>
      <x:c r="AB409" s="8" t="s">
        <x:v>58</x:v>
      </x:c>
      <x:c r="AC409" s="8" t="s">
        <x:v>58</x:v>
      </x:c>
      <x:c r="AD409" s="8" t="s">
        <x:v>58</x:v>
      </x:c>
      <x:c r="AE409" s="8" t="s">
        <x:v>58</x:v>
      </x:c>
      <x:c r="AF409" s="8" t="s">
        <x:v>58</x:v>
      </x:c>
      <x:c r="AG409" s="7" t="s">
        <x:v>58</x:v>
      </x:c>
    </x:row>
    <x:row r="410" ht="66" hidden="0" customHeight="1">
      <x:c r="A410" s="7" t="s">
        <x:v>2801</x:v>
      </x:c>
      <x:c r="B410" s="7" t="s">
        <x:v>266</x:v>
      </x:c>
      <x:c r="C410" s="7" t="s">
        <x:v>1182</x:v>
      </x:c>
      <x:c r="D410" s="7" t="s">
        <x:v>1945</x:v>
      </x:c>
      <x:c r="E410" s="7" t="s">
        <x:v>1995</x:v>
      </x:c>
      <x:c r="F410" s="7" t="s">
        <x:v>53</x:v>
      </x:c>
      <x:c r="G410" s="8" t="s">
        <x:v>53</x:v>
      </x:c>
      <x:c r="H410" s="8" t="s">
        <x:v>58</x:v>
      </x:c>
      <x:c r="I410" s="8" t="s">
        <x:v>58</x:v>
      </x:c>
      <x:c r="J410" s="7" t="s">
        <x:v>58</x:v>
      </x:c>
      <x:c r="K410" s="8" t="n">
        <x:v>1</x:v>
      </x:c>
      <x:c r="L410" s="8" t="str">
        <x:f aca="0">IF(AND(ISNUMBER(G410),P410&lt;&gt;"Unresolved unit / layout"),G410*K410,"Not published")</x:f>
        <x:v>Not published</x:v>
      </x:c>
      <x:c r="M410" s="8" t="str">
        <x:f aca="0">IF(AND(ISNUMBER(H410),P410&lt;&gt;"Unresolved unit / layout"),H410*K410,"Not applicable")</x:f>
        <x:v>Not applicable</x:v>
      </x:c>
      <x:c r="N410" s="8" t="str">
        <x:f aca="0">IF(AND(ISNUMBER(I410),P410&lt;&gt;"Unresolved unit / layout"),I410*K410,"Not applicable")</x:f>
        <x:v>Not applicable</x:v>
      </x:c>
      <x:c r="O410" s="7" t="s">
        <x:v>53</x:v>
      </x:c>
      <x:c r="P410" s="7" t="s">
        <x:v>53</x:v>
      </x:c>
      <x:c r="Q410" s="7" t="s">
        <x:v>1930</x:v>
      </x:c>
      <x:c r="R410" s="7" t="s">
        <x:v>2003</x:v>
      </x:c>
      <x:c r="S410" s="7" t="s">
        <x:v>53</x:v>
      </x:c>
      <x:c r="T410" s="7" t="s">
        <x:v>53</x:v>
      </x:c>
      <x:c r="U410" s="7" t="s">
        <x:v>53</x:v>
      </x:c>
      <x:c r="V410" s="7" t="s">
        <x:v>2020</x:v>
      </x:c>
      <x:c r="W410" s="7" t="s">
        <x:v>58</x:v>
      </x:c>
      <x:c r="X410" s="7" t="s">
        <x:v>2770</x:v>
      </x:c>
      <x:c r="Y410" s="7" t="s">
        <x:v>1184</x:v>
      </x:c>
      <x:c r="Z410" s="7" t="s">
        <x:v>2705</x:v>
      </x:c>
      <x:c r="AA410" s="7" t="s">
        <x:v>58</x:v>
      </x:c>
      <x:c r="AB410" s="8" t="s">
        <x:v>58</x:v>
      </x:c>
      <x:c r="AC410" s="8" t="s">
        <x:v>58</x:v>
      </x:c>
      <x:c r="AD410" s="8" t="s">
        <x:v>58</x:v>
      </x:c>
      <x:c r="AE410" s="8" t="s">
        <x:v>58</x:v>
      </x:c>
      <x:c r="AF410" s="8" t="s">
        <x:v>58</x:v>
      </x:c>
      <x:c r="AG410" s="7" t="s">
        <x:v>58</x:v>
      </x:c>
    </x:row>
    <x:row r="411" ht="66" hidden="0" customHeight="1">
      <x:c r="A411" s="7" t="s">
        <x:v>2802</x:v>
      </x:c>
      <x:c r="B411" s="7" t="s">
        <x:v>266</x:v>
      </x:c>
      <x:c r="C411" s="7" t="s">
        <x:v>1182</x:v>
      </x:c>
      <x:c r="D411" s="7" t="s">
        <x:v>2030</x:v>
      </x:c>
      <x:c r="E411" s="7" t="s">
        <x:v>2803</x:v>
      </x:c>
      <x:c r="F411" s="7" t="s">
        <x:v>2032</x:v>
      </x:c>
      <x:c r="G411" s="8" t="n">
        <x:v>2.6</x:v>
      </x:c>
      <x:c r="H411" s="8" t="n">
        <x:v>0.2</x:v>
      </x:c>
      <x:c r="I411" s="8" t="s">
        <x:v>58</x:v>
      </x:c>
      <x:c r="J411" s="7" t="s">
        <x:v>1919</x:v>
      </x:c>
      <x:c r="K411" s="8" t="n">
        <x:v>1</x:v>
      </x:c>
      <x:c r="L411" s="8" t="n">
        <x:f aca="0">IF(AND(ISNUMBER(G411),P411&lt;&gt;"Unresolved unit / layout"),G411*K411,"Not applicable")</x:f>
        <x:v>2.6</x:v>
      </x:c>
      <x:c r="M411" s="8" t="n">
        <x:f aca="0">IF(AND(ISNUMBER(H411),P411&lt;&gt;"Unresolved unit / layout"),H411*K411,"Not applicable")</x:f>
        <x:v>0.2</x:v>
      </x:c>
      <x:c r="N411" s="8" t="str">
        <x:f aca="0">IF(AND(ISNUMBER(I411),P411&lt;&gt;"Unresolved unit / layout"),I411*K411,"Not applicable")</x:f>
        <x:v>Not applicable</x:v>
      </x:c>
      <x:c r="O411" s="7" t="s">
        <x:v>2033</x:v>
      </x:c>
      <x:c r="P411" s="7" t="s">
        <x:v>1921</x:v>
      </x:c>
      <x:c r="Q411" s="7" t="s">
        <x:v>1930</x:v>
      </x:c>
      <x:c r="R411" s="7" t="s">
        <x:v>1931</x:v>
      </x:c>
      <x:c r="S411" s="7" t="s">
        <x:v>53</x:v>
      </x:c>
      <x:c r="T411" s="7" t="s">
        <x:v>53</x:v>
      </x:c>
      <x:c r="U411" s="7" t="s">
        <x:v>53</x:v>
      </x:c>
      <x:c r="V411" s="7" t="s">
        <x:v>53</x:v>
      </x:c>
      <x:c r="W411" s="7" t="s">
        <x:v>53</x:v>
      </x:c>
      <x:c r="X411" s="7" t="s">
        <x:v>2770</x:v>
      </x:c>
      <x:c r="Y411" s="7" t="s">
        <x:v>1184</x:v>
      </x:c>
      <x:c r="Z411" s="7" t="s">
        <x:v>2804</x:v>
      </x:c>
      <x:c r="AA411" s="7" t="s">
        <x:v>58</x:v>
      </x:c>
      <x:c r="AB411" s="8" t="s">
        <x:v>58</x:v>
      </x:c>
      <x:c r="AC411" s="8" t="s">
        <x:v>58</x:v>
      </x:c>
      <x:c r="AD411" s="8" t="s">
        <x:v>58</x:v>
      </x:c>
      <x:c r="AE411" s="8" t="s">
        <x:v>58</x:v>
      </x:c>
      <x:c r="AF411" s="8" t="s">
        <x:v>58</x:v>
      </x:c>
      <x:c r="AG411" s="7" t="s">
        <x:v>58</x:v>
      </x:c>
    </x:row>
    <x:row r="412" ht="66" hidden="0" customHeight="1">
      <x:c r="A412" s="7" t="s">
        <x:v>2805</x:v>
      </x:c>
      <x:c r="B412" s="7" t="s">
        <x:v>266</x:v>
      </x:c>
      <x:c r="C412" s="7" t="s">
        <x:v>1182</x:v>
      </x:c>
      <x:c r="D412" s="7" t="s">
        <x:v>2030</x:v>
      </x:c>
      <x:c r="E412" s="7" t="s">
        <x:v>1995</x:v>
      </x:c>
      <x:c r="F412" s="7" t="s">
        <x:v>53</x:v>
      </x:c>
      <x:c r="G412" s="8" t="s">
        <x:v>53</x:v>
      </x:c>
      <x:c r="H412" s="8" t="s">
        <x:v>58</x:v>
      </x:c>
      <x:c r="I412" s="8" t="s">
        <x:v>58</x:v>
      </x:c>
      <x:c r="J412" s="7" t="s">
        <x:v>58</x:v>
      </x:c>
      <x:c r="K412" s="8" t="n">
        <x:v>1</x:v>
      </x:c>
      <x:c r="L412" s="8" t="str">
        <x:f aca="0">IF(AND(ISNUMBER(G412),P412&lt;&gt;"Unresolved unit / layout"),G412*K412,"Not published")</x:f>
        <x:v>Not published</x:v>
      </x:c>
      <x:c r="M412" s="8" t="str">
        <x:f aca="0">IF(AND(ISNUMBER(H412),P412&lt;&gt;"Unresolved unit / layout"),H412*K412,"Not applicable")</x:f>
        <x:v>Not applicable</x:v>
      </x:c>
      <x:c r="N412" s="8" t="str">
        <x:f aca="0">IF(AND(ISNUMBER(I412),P412&lt;&gt;"Unresolved unit / layout"),I412*K412,"Not applicable")</x:f>
        <x:v>Not applicable</x:v>
      </x:c>
      <x:c r="O412" s="7" t="s">
        <x:v>53</x:v>
      </x:c>
      <x:c r="P412" s="7" t="s">
        <x:v>53</x:v>
      </x:c>
      <x:c r="Q412" s="7" t="s">
        <x:v>1930</x:v>
      </x:c>
      <x:c r="R412" s="7" t="s">
        <x:v>2003</x:v>
      </x:c>
      <x:c r="S412" s="7" t="s">
        <x:v>53</x:v>
      </x:c>
      <x:c r="T412" s="7" t="s">
        <x:v>53</x:v>
      </x:c>
      <x:c r="U412" s="7" t="s">
        <x:v>53</x:v>
      </x:c>
      <x:c r="V412" s="7" t="s">
        <x:v>2806</x:v>
      </x:c>
      <x:c r="W412" s="7" t="s">
        <x:v>53</x:v>
      </x:c>
      <x:c r="X412" s="7" t="s">
        <x:v>2770</x:v>
      </x:c>
      <x:c r="Y412" s="7" t="s">
        <x:v>1184</x:v>
      </x:c>
      <x:c r="Z412" s="7" t="s">
        <x:v>2807</x:v>
      </x:c>
      <x:c r="AA412" s="7" t="s">
        <x:v>58</x:v>
      </x:c>
      <x:c r="AB412" s="8" t="s">
        <x:v>58</x:v>
      </x:c>
      <x:c r="AC412" s="8" t="s">
        <x:v>58</x:v>
      </x:c>
      <x:c r="AD412" s="8" t="s">
        <x:v>58</x:v>
      </x:c>
      <x:c r="AE412" s="8" t="s">
        <x:v>58</x:v>
      </x:c>
      <x:c r="AF412" s="8" t="s">
        <x:v>58</x:v>
      </x:c>
      <x:c r="AG412" s="7" t="s">
        <x:v>58</x:v>
      </x:c>
    </x:row>
    <x:row r="413" ht="66" hidden="0" customHeight="1">
      <x:c r="A413" s="7" t="s">
        <x:v>2808</x:v>
      </x:c>
      <x:c r="B413" s="7" t="s">
        <x:v>266</x:v>
      </x:c>
      <x:c r="C413" s="7" t="s">
        <x:v>1185</x:v>
      </x:c>
      <x:c r="D413" s="7" t="s">
        <x:v>1916</x:v>
      </x:c>
      <x:c r="E413" s="7" t="s">
        <x:v>2809</x:v>
      </x:c>
      <x:c r="F413" s="7" t="s">
        <x:v>2059</x:v>
      </x:c>
      <x:c r="G413" s="8" t="n">
        <x:v>1.29</x:v>
      </x:c>
      <x:c r="H413" s="8" t="s">
        <x:v>58</x:v>
      </x:c>
      <x:c r="I413" s="8" t="s">
        <x:v>58</x:v>
      </x:c>
      <x:c r="J413" s="7" t="s">
        <x:v>1919</x:v>
      </x:c>
      <x:c r="K413" s="8" t="n">
        <x:v>1000</x:v>
      </x:c>
      <x:c r="L413" s="8" t="n">
        <x:f aca="0">IF(AND(ISNUMBER(G413),P413&lt;&gt;"Unresolved unit / layout"),G413*K413,"Not applicable")</x:f>
        <x:v>1290</x:v>
      </x:c>
      <x:c r="M413" s="8" t="str">
        <x:f aca="0">IF(AND(ISNUMBER(H413),P413&lt;&gt;"Unresolved unit / layout"),H413*K413,"Not applicable")</x:f>
        <x:v>Not applicable</x:v>
      </x:c>
      <x:c r="N413" s="8" t="str">
        <x:f aca="0">IF(AND(ISNUMBER(I413),P413&lt;&gt;"Unresolved unit / layout"),I413*K413,"Not applicable")</x:f>
        <x:v>Not applicable</x:v>
      </x:c>
      <x:c r="O413" s="7" t="s">
        <x:v>1920</x:v>
      </x:c>
      <x:c r="P413" s="7" t="s">
        <x:v>1921</x:v>
      </x:c>
      <x:c r="Q413" s="7" t="s">
        <x:v>1922</x:v>
      </x:c>
      <x:c r="R413" s="7" t="s">
        <x:v>58</x:v>
      </x:c>
      <x:c r="S413" s="7" t="s">
        <x:v>53</x:v>
      </x:c>
      <x:c r="T413" s="7" t="s">
        <x:v>53</x:v>
      </x:c>
      <x:c r="U413" s="7" t="s">
        <x:v>53</x:v>
      </x:c>
      <x:c r="V413" s="7" t="s">
        <x:v>2810</x:v>
      </x:c>
      <x:c r="W413" s="7" t="s">
        <x:v>58</x:v>
      </x:c>
      <x:c r="X413" s="7" t="s">
        <x:v>2811</x:v>
      </x:c>
      <x:c r="Y413" s="7" t="s">
        <x:v>1186</x:v>
      </x:c>
      <x:c r="Z413" s="7" t="s">
        <x:v>1925</x:v>
      </x:c>
      <x:c r="AA413" s="7" t="s">
        <x:v>58</x:v>
      </x:c>
      <x:c r="AB413" s="8" t="s">
        <x:v>58</x:v>
      </x:c>
      <x:c r="AC413" s="8" t="s">
        <x:v>58</x:v>
      </x:c>
      <x:c r="AD413" s="8" t="s">
        <x:v>58</x:v>
      </x:c>
      <x:c r="AE413" s="8" t="s">
        <x:v>58</x:v>
      </x:c>
      <x:c r="AF413" s="8" t="s">
        <x:v>58</x:v>
      </x:c>
      <x:c r="AG413" s="7" t="s">
        <x:v>58</x:v>
      </x:c>
    </x:row>
    <x:row r="414" ht="66" hidden="0" customHeight="1">
      <x:c r="A414" s="7" t="s">
        <x:v>2812</x:v>
      </x:c>
      <x:c r="B414" s="7" t="s">
        <x:v>266</x:v>
      </x:c>
      <x:c r="C414" s="7" t="s">
        <x:v>1185</x:v>
      </x:c>
      <x:c r="D414" s="7" t="s">
        <x:v>2099</x:v>
      </x:c>
      <x:c r="E414" s="7" t="s">
        <x:v>2813</x:v>
      </x:c>
      <x:c r="F414" s="7" t="s">
        <x:v>1942</x:v>
      </x:c>
      <x:c r="G414" s="8" t="n">
        <x:v>0.12</x:v>
      </x:c>
      <x:c r="H414" s="8" t="s">
        <x:v>58</x:v>
      </x:c>
      <x:c r="I414" s="8" t="s">
        <x:v>58</x:v>
      </x:c>
      <x:c r="J414" s="7" t="s">
        <x:v>1919</x:v>
      </x:c>
      <x:c r="K414" s="8" t="n">
        <x:v>1</x:v>
      </x:c>
      <x:c r="L414" s="8" t="n">
        <x:f aca="0">IF(AND(ISNUMBER(G414),P414&lt;&gt;"Unresolved unit / layout"),G414*K414,"Not applicable")</x:f>
        <x:v>0.12</x:v>
      </x:c>
      <x:c r="M414" s="8" t="str">
        <x:f aca="0">IF(AND(ISNUMBER(H414),P414&lt;&gt;"Unresolved unit / layout"),H414*K414,"Not applicable")</x:f>
        <x:v>Not applicable</x:v>
      </x:c>
      <x:c r="N414" s="8" t="str">
        <x:f aca="0">IF(AND(ISNUMBER(I414),P414&lt;&gt;"Unresolved unit / layout"),I414*K414,"Not applicable")</x:f>
        <x:v>Not applicable</x:v>
      </x:c>
      <x:c r="O414" s="7" t="s">
        <x:v>1942</x:v>
      </x:c>
      <x:c r="P414" s="7" t="s">
        <x:v>1921</x:v>
      </x:c>
      <x:c r="Q414" s="7" t="s">
        <x:v>2064</x:v>
      </x:c>
      <x:c r="R414" s="7" t="s">
        <x:v>58</x:v>
      </x:c>
      <x:c r="S414" s="7" t="s">
        <x:v>53</x:v>
      </x:c>
      <x:c r="T414" s="7" t="s">
        <x:v>53</x:v>
      </x:c>
      <x:c r="U414" s="7" t="s">
        <x:v>53</x:v>
      </x:c>
      <x:c r="V414" s="7" t="s">
        <x:v>2814</x:v>
      </x:c>
      <x:c r="W414" s="7" t="s">
        <x:v>58</x:v>
      </x:c>
      <x:c r="X414" s="7" t="s">
        <x:v>2811</x:v>
      </x:c>
      <x:c r="Y414" s="7" t="s">
        <x:v>1186</x:v>
      </x:c>
      <x:c r="Z414" s="7" t="s">
        <x:v>2815</x:v>
      </x:c>
      <x:c r="AA414" s="7" t="s">
        <x:v>58</x:v>
      </x:c>
      <x:c r="AB414" s="8" t="s">
        <x:v>58</x:v>
      </x:c>
      <x:c r="AC414" s="8" t="s">
        <x:v>58</x:v>
      </x:c>
      <x:c r="AD414" s="8" t="s">
        <x:v>58</x:v>
      </x:c>
      <x:c r="AE414" s="8" t="s">
        <x:v>58</x:v>
      </x:c>
      <x:c r="AF414" s="8" t="s">
        <x:v>58</x:v>
      </x:c>
      <x:c r="AG414" s="7" t="s">
        <x:v>58</x:v>
      </x:c>
    </x:row>
    <x:row r="415" ht="66" hidden="0" customHeight="1">
      <x:c r="A415" s="7" t="s">
        <x:v>2816</x:v>
      </x:c>
      <x:c r="B415" s="7" t="s">
        <x:v>266</x:v>
      </x:c>
      <x:c r="C415" s="7" t="s">
        <x:v>1185</x:v>
      </x:c>
      <x:c r="D415" s="7" t="s">
        <x:v>1935</x:v>
      </x:c>
      <x:c r="E415" s="7" t="s">
        <x:v>2817</x:v>
      </x:c>
      <x:c r="F415" s="7" t="s">
        <x:v>1929</x:v>
      </x:c>
      <x:c r="G415" s="8" t="n">
        <x:v>3000</x:v>
      </x:c>
      <x:c r="H415" s="8" t="s">
        <x:v>58</x:v>
      </x:c>
      <x:c r="I415" s="8" t="s">
        <x:v>58</x:v>
      </x:c>
      <x:c r="J415" s="7" t="s">
        <x:v>1919</x:v>
      </x:c>
      <x:c r="K415" s="8" t="n">
        <x:v>0.001</x:v>
      </x:c>
      <x:c r="L415" s="8" t="n">
        <x:f aca="0">IF(AND(ISNUMBER(G415),P415&lt;&gt;"Unresolved unit / layout"),G415*K415,"Not applicable")</x:f>
        <x:v>3</x:v>
      </x:c>
      <x:c r="M415" s="8" t="str">
        <x:f aca="0">IF(AND(ISNUMBER(H415),P415&lt;&gt;"Unresolved unit / layout"),H415*K415,"Not applicable")</x:f>
        <x:v>Not applicable</x:v>
      </x:c>
      <x:c r="N415" s="8" t="str">
        <x:f aca="0">IF(AND(ISNUMBER(I415),P415&lt;&gt;"Unresolved unit / layout"),I415*K415,"Not applicable")</x:f>
        <x:v>Not applicable</x:v>
      </x:c>
      <x:c r="O415" s="7" t="s">
        <x:v>1937</x:v>
      </x:c>
      <x:c r="P415" s="7" t="s">
        <x:v>1921</x:v>
      </x:c>
      <x:c r="Q415" s="7" t="s">
        <x:v>2064</x:v>
      </x:c>
      <x:c r="R415" s="7" t="s">
        <x:v>53</x:v>
      </x:c>
      <x:c r="S415" s="7" t="s">
        <x:v>53</x:v>
      </x:c>
      <x:c r="T415" s="7" t="s">
        <x:v>53</x:v>
      </x:c>
      <x:c r="U415" s="7" t="s">
        <x:v>53</x:v>
      </x:c>
      <x:c r="V415" s="7" t="s">
        <x:v>2818</x:v>
      </x:c>
      <x:c r="W415" s="7" t="s">
        <x:v>58</x:v>
      </x:c>
      <x:c r="X415" s="7" t="s">
        <x:v>2811</x:v>
      </x:c>
      <x:c r="Y415" s="7" t="s">
        <x:v>1186</x:v>
      </x:c>
      <x:c r="Z415" s="7" t="s">
        <x:v>1938</x:v>
      </x:c>
      <x:c r="AA415" s="7" t="s">
        <x:v>58</x:v>
      </x:c>
      <x:c r="AB415" s="8" t="s">
        <x:v>58</x:v>
      </x:c>
      <x:c r="AC415" s="8" t="s">
        <x:v>58</x:v>
      </x:c>
      <x:c r="AD415" s="8" t="s">
        <x:v>58</x:v>
      </x:c>
      <x:c r="AE415" s="8" t="s">
        <x:v>58</x:v>
      </x:c>
      <x:c r="AF415" s="8" t="s">
        <x:v>58</x:v>
      </x:c>
      <x:c r="AG415" s="7" t="s">
        <x:v>58</x:v>
      </x:c>
    </x:row>
    <x:row r="416" ht="66" hidden="0" customHeight="1">
      <x:c r="A416" s="7" t="s">
        <x:v>2819</x:v>
      </x:c>
      <x:c r="B416" s="7" t="s">
        <x:v>266</x:v>
      </x:c>
      <x:c r="C416" s="7" t="s">
        <x:v>1185</x:v>
      </x:c>
      <x:c r="D416" s="7" t="s">
        <x:v>2820</x:v>
      </x:c>
      <x:c r="E416" s="7" t="s">
        <x:v>2821</x:v>
      </x:c>
      <x:c r="F416" s="7" t="s">
        <x:v>1942</x:v>
      </x:c>
      <x:c r="G416" s="8" t="n">
        <x:v>4</x:v>
      </x:c>
      <x:c r="H416" s="8" t="s">
        <x:v>58</x:v>
      </x:c>
      <x:c r="I416" s="8" t="s">
        <x:v>58</x:v>
      </x:c>
      <x:c r="J416" s="7" t="s">
        <x:v>1919</x:v>
      </x:c>
      <x:c r="K416" s="8" t="n">
        <x:v>1</x:v>
      </x:c>
      <x:c r="L416" s="8" t="n">
        <x:f aca="0">IF(AND(ISNUMBER(G416),P416&lt;&gt;"Unresolved unit / layout"),G416*K416,"Not applicable")</x:f>
        <x:v>4</x:v>
      </x:c>
      <x:c r="M416" s="8" t="str">
        <x:f aca="0">IF(AND(ISNUMBER(H416),P416&lt;&gt;"Unresolved unit / layout"),H416*K416,"Not applicable")</x:f>
        <x:v>Not applicable</x:v>
      </x:c>
      <x:c r="N416" s="8" t="str">
        <x:f aca="0">IF(AND(ISNUMBER(I416),P416&lt;&gt;"Unresolved unit / layout"),I416*K416,"Not applicable")</x:f>
        <x:v>Not applicable</x:v>
      </x:c>
      <x:c r="O416" s="7" t="s">
        <x:v>1942</x:v>
      </x:c>
      <x:c r="P416" s="7" t="s">
        <x:v>1921</x:v>
      </x:c>
      <x:c r="Q416" s="7" t="s">
        <x:v>2064</x:v>
      </x:c>
      <x:c r="R416" s="7" t="s">
        <x:v>53</x:v>
      </x:c>
      <x:c r="S416" s="7" t="s">
        <x:v>53</x:v>
      </x:c>
      <x:c r="T416" s="7" t="s">
        <x:v>53</x:v>
      </x:c>
      <x:c r="U416" s="7" t="s">
        <x:v>53</x:v>
      </x:c>
      <x:c r="V416" s="7" t="s">
        <x:v>2818</x:v>
      </x:c>
      <x:c r="W416" s="7" t="s">
        <x:v>58</x:v>
      </x:c>
      <x:c r="X416" s="7" t="s">
        <x:v>2811</x:v>
      </x:c>
      <x:c r="Y416" s="7" t="s">
        <x:v>1186</x:v>
      </x:c>
      <x:c r="Z416" s="7" t="s">
        <x:v>2822</x:v>
      </x:c>
      <x:c r="AA416" s="7" t="s">
        <x:v>58</x:v>
      </x:c>
      <x:c r="AB416" s="8" t="s">
        <x:v>58</x:v>
      </x:c>
      <x:c r="AC416" s="8" t="s">
        <x:v>58</x:v>
      </x:c>
      <x:c r="AD416" s="8" t="s">
        <x:v>58</x:v>
      </x:c>
      <x:c r="AE416" s="8" t="s">
        <x:v>58</x:v>
      </x:c>
      <x:c r="AF416" s="8" t="s">
        <x:v>58</x:v>
      </x:c>
      <x:c r="AG416" s="7" t="s">
        <x:v>58</x:v>
      </x:c>
    </x:row>
    <x:row r="417" ht="66" hidden="0" customHeight="1">
      <x:c r="A417" s="7" t="s">
        <x:v>2823</x:v>
      </x:c>
      <x:c r="B417" s="7" t="s">
        <x:v>266</x:v>
      </x:c>
      <x:c r="C417" s="7" t="s">
        <x:v>1185</x:v>
      </x:c>
      <x:c r="D417" s="7" t="s">
        <x:v>2006</x:v>
      </x:c>
      <x:c r="E417" s="7" t="s">
        <x:v>2824</x:v>
      </x:c>
      <x:c r="F417" s="7" t="s">
        <x:v>1929</x:v>
      </x:c>
      <x:c r="G417" s="8" t="n">
        <x:v>53</x:v>
      </x:c>
      <x:c r="H417" s="8" t="s">
        <x:v>58</x:v>
      </x:c>
      <x:c r="I417" s="8" t="s">
        <x:v>58</x:v>
      </x:c>
      <x:c r="J417" s="7" t="s">
        <x:v>1919</x:v>
      </x:c>
      <x:c r="K417" s="8" t="n">
        <x:v>1</x:v>
      </x:c>
      <x:c r="L417" s="8" t="n">
        <x:f aca="0">IF(AND(ISNUMBER(G417),P417&lt;&gt;"Unresolved unit / layout"),G417*K417,"Not applicable")</x:f>
        <x:v>53</x:v>
      </x:c>
      <x:c r="M417" s="8" t="str">
        <x:f aca="0">IF(AND(ISNUMBER(H417),P417&lt;&gt;"Unresolved unit / layout"),H417*K417,"Not applicable")</x:f>
        <x:v>Not applicable</x:v>
      </x:c>
      <x:c r="N417" s="8" t="str">
        <x:f aca="0">IF(AND(ISNUMBER(I417),P417&lt;&gt;"Unresolved unit / layout"),I417*K417,"Not applicable")</x:f>
        <x:v>Not applicable</x:v>
      </x:c>
      <x:c r="O417" s="7" t="s">
        <x:v>1929</x:v>
      </x:c>
      <x:c r="P417" s="7" t="s">
        <x:v>1921</x:v>
      </x:c>
      <x:c r="Q417" s="7" t="s">
        <x:v>2064</x:v>
      </x:c>
      <x:c r="R417" s="7" t="s">
        <x:v>53</x:v>
      </x:c>
      <x:c r="S417" s="7" t="s">
        <x:v>53</x:v>
      </x:c>
      <x:c r="T417" s="7" t="s">
        <x:v>53</x:v>
      </x:c>
      <x:c r="U417" s="7" t="s">
        <x:v>53</x:v>
      </x:c>
      <x:c r="V417" s="7" t="s">
        <x:v>2818</x:v>
      </x:c>
      <x:c r="W417" s="7" t="s">
        <x:v>58</x:v>
      </x:c>
      <x:c r="X417" s="7" t="s">
        <x:v>2811</x:v>
      </x:c>
      <x:c r="Y417" s="7" t="s">
        <x:v>1186</x:v>
      </x:c>
      <x:c r="Z417" s="7" t="s">
        <x:v>2825</x:v>
      </x:c>
      <x:c r="AA417" s="7" t="s">
        <x:v>58</x:v>
      </x:c>
      <x:c r="AB417" s="8" t="s">
        <x:v>58</x:v>
      </x:c>
      <x:c r="AC417" s="8" t="s">
        <x:v>58</x:v>
      </x:c>
      <x:c r="AD417" s="8" t="s">
        <x:v>58</x:v>
      </x:c>
      <x:c r="AE417" s="8" t="s">
        <x:v>58</x:v>
      </x:c>
      <x:c r="AF417" s="8" t="s">
        <x:v>58</x:v>
      </x:c>
      <x:c r="AG417" s="7" t="s">
        <x:v>58</x:v>
      </x:c>
    </x:row>
    <x:row r="418" ht="66" hidden="0" customHeight="1">
      <x:c r="A418" s="7" t="s">
        <x:v>2826</x:v>
      </x:c>
      <x:c r="B418" s="7" t="s">
        <x:v>266</x:v>
      </x:c>
      <x:c r="C418" s="7" t="s">
        <x:v>1185</x:v>
      </x:c>
      <x:c r="D418" s="7" t="s">
        <x:v>1940</x:v>
      </x:c>
      <x:c r="E418" s="7" t="s">
        <x:v>2821</x:v>
      </x:c>
      <x:c r="F418" s="7" t="s">
        <x:v>1942</x:v>
      </x:c>
      <x:c r="G418" s="8" t="n">
        <x:v>4</x:v>
      </x:c>
      <x:c r="H418" s="8" t="s">
        <x:v>58</x:v>
      </x:c>
      <x:c r="I418" s="8" t="s">
        <x:v>58</x:v>
      </x:c>
      <x:c r="J418" s="7" t="s">
        <x:v>1919</x:v>
      </x:c>
      <x:c r="K418" s="8" t="n">
        <x:v>1</x:v>
      </x:c>
      <x:c r="L418" s="8" t="n">
        <x:f aca="0">IF(AND(ISNUMBER(G418),P418&lt;&gt;"Unresolved unit / layout"),G418*K418,"Not applicable")</x:f>
        <x:v>4</x:v>
      </x:c>
      <x:c r="M418" s="8" t="str">
        <x:f aca="0">IF(AND(ISNUMBER(H418),P418&lt;&gt;"Unresolved unit / layout"),H418*K418,"Not applicable")</x:f>
        <x:v>Not applicable</x:v>
      </x:c>
      <x:c r="N418" s="8" t="str">
        <x:f aca="0">IF(AND(ISNUMBER(I418),P418&lt;&gt;"Unresolved unit / layout"),I418*K418,"Not applicable")</x:f>
        <x:v>Not applicable</x:v>
      </x:c>
      <x:c r="O418" s="7" t="s">
        <x:v>1942</x:v>
      </x:c>
      <x:c r="P418" s="7" t="s">
        <x:v>1921</x:v>
      </x:c>
      <x:c r="Q418" s="7" t="s">
        <x:v>2064</x:v>
      </x:c>
      <x:c r="R418" s="7" t="s">
        <x:v>53</x:v>
      </x:c>
      <x:c r="S418" s="7" t="s">
        <x:v>53</x:v>
      </x:c>
      <x:c r="T418" s="7" t="s">
        <x:v>53</x:v>
      </x:c>
      <x:c r="U418" s="7" t="s">
        <x:v>53</x:v>
      </x:c>
      <x:c r="V418" s="7" t="s">
        <x:v>2818</x:v>
      </x:c>
      <x:c r="W418" s="7" t="s">
        <x:v>58</x:v>
      </x:c>
      <x:c r="X418" s="7" t="s">
        <x:v>2811</x:v>
      </x:c>
      <x:c r="Y418" s="7" t="s">
        <x:v>1186</x:v>
      </x:c>
      <x:c r="Z418" s="7" t="s">
        <x:v>2827</x:v>
      </x:c>
      <x:c r="AA418" s="7" t="s">
        <x:v>58</x:v>
      </x:c>
      <x:c r="AB418" s="8" t="s">
        <x:v>58</x:v>
      </x:c>
      <x:c r="AC418" s="8" t="s">
        <x:v>58</x:v>
      </x:c>
      <x:c r="AD418" s="8" t="s">
        <x:v>58</x:v>
      </x:c>
      <x:c r="AE418" s="8" t="s">
        <x:v>58</x:v>
      </x:c>
      <x:c r="AF418" s="8" t="s">
        <x:v>58</x:v>
      </x:c>
      <x:c r="AG418" s="7" t="s">
        <x:v>58</x:v>
      </x:c>
    </x:row>
    <x:row r="419" ht="66" hidden="0" customHeight="1">
      <x:c r="A419" s="7" t="s">
        <x:v>2828</x:v>
      </x:c>
      <x:c r="B419" s="7" t="s">
        <x:v>266</x:v>
      </x:c>
      <x:c r="C419" s="7" t="s">
        <x:v>1185</x:v>
      </x:c>
      <x:c r="D419" s="7" t="s">
        <x:v>1950</x:v>
      </x:c>
      <x:c r="E419" s="7" t="s">
        <x:v>2829</x:v>
      </x:c>
      <x:c r="F419" s="7" t="s">
        <x:v>1929</x:v>
      </x:c>
      <x:c r="G419" s="8" t="n">
        <x:v>2040</x:v>
      </x:c>
      <x:c r="H419" s="8" t="s">
        <x:v>58</x:v>
      </x:c>
      <x:c r="I419" s="8" t="s">
        <x:v>58</x:v>
      </x:c>
      <x:c r="J419" s="7" t="s">
        <x:v>1919</x:v>
      </x:c>
      <x:c r="K419" s="8" t="n">
        <x:v>0.001</x:v>
      </x:c>
      <x:c r="L419" s="8" t="n">
        <x:f aca="0">IF(AND(ISNUMBER(G419),P419&lt;&gt;"Unresolved unit / layout"),G419*K419,"Not applicable")</x:f>
        <x:v>2.04</x:v>
      </x:c>
      <x:c r="M419" s="8" t="str">
        <x:f aca="0">IF(AND(ISNUMBER(H419),P419&lt;&gt;"Unresolved unit / layout"),H419*K419,"Not applicable")</x:f>
        <x:v>Not applicable</x:v>
      </x:c>
      <x:c r="N419" s="8" t="str">
        <x:f aca="0">IF(AND(ISNUMBER(I419),P419&lt;&gt;"Unresolved unit / layout"),I419*K419,"Not applicable")</x:f>
        <x:v>Not applicable</x:v>
      </x:c>
      <x:c r="O419" s="7" t="s">
        <x:v>1937</x:v>
      </x:c>
      <x:c r="P419" s="7" t="s">
        <x:v>1921</x:v>
      </x:c>
      <x:c r="Q419" s="7" t="s">
        <x:v>2064</x:v>
      </x:c>
      <x:c r="R419" s="7" t="s">
        <x:v>53</x:v>
      </x:c>
      <x:c r="S419" s="7" t="s">
        <x:v>53</x:v>
      </x:c>
      <x:c r="T419" s="7" t="s">
        <x:v>53</x:v>
      </x:c>
      <x:c r="U419" s="7" t="s">
        <x:v>53</x:v>
      </x:c>
      <x:c r="V419" s="7" t="s">
        <x:v>1947</x:v>
      </x:c>
      <x:c r="W419" s="7" t="s">
        <x:v>58</x:v>
      </x:c>
      <x:c r="X419" s="7" t="s">
        <x:v>2811</x:v>
      </x:c>
      <x:c r="Y419" s="7" t="s">
        <x:v>1186</x:v>
      </x:c>
      <x:c r="Z419" s="7" t="s">
        <x:v>1952</x:v>
      </x:c>
      <x:c r="AA419" s="7" t="s">
        <x:v>58</x:v>
      </x:c>
      <x:c r="AB419" s="8" t="s">
        <x:v>58</x:v>
      </x:c>
      <x:c r="AC419" s="8" t="s">
        <x:v>58</x:v>
      </x:c>
      <x:c r="AD419" s="8" t="s">
        <x:v>58</x:v>
      </x:c>
      <x:c r="AE419" s="8" t="s">
        <x:v>58</x:v>
      </x:c>
      <x:c r="AF419" s="8" t="s">
        <x:v>58</x:v>
      </x:c>
      <x:c r="AG419" s="7" t="s">
        <x:v>58</x:v>
      </x:c>
    </x:row>
    <x:row r="420" ht="66" hidden="0" customHeight="1">
      <x:c r="A420" s="7" t="s">
        <x:v>2830</x:v>
      </x:c>
      <x:c r="B420" s="7" t="s">
        <x:v>266</x:v>
      </x:c>
      <x:c r="C420" s="7" t="s">
        <x:v>1185</x:v>
      </x:c>
      <x:c r="D420" s="7" t="s">
        <x:v>1945</x:v>
      </x:c>
      <x:c r="E420" s="7" t="s">
        <x:v>2831</x:v>
      </x:c>
      <x:c r="F420" s="7" t="s">
        <x:v>1929</x:v>
      </x:c>
      <x:c r="G420" s="8" t="n">
        <x:v>171</x:v>
      </x:c>
      <x:c r="H420" s="8" t="s">
        <x:v>58</x:v>
      </x:c>
      <x:c r="I420" s="8" t="s">
        <x:v>58</x:v>
      </x:c>
      <x:c r="J420" s="7" t="s">
        <x:v>1919</x:v>
      </x:c>
      <x:c r="K420" s="8" t="n">
        <x:v>1</x:v>
      </x:c>
      <x:c r="L420" s="8" t="n">
        <x:f aca="0">IF(AND(ISNUMBER(G420),P420&lt;&gt;"Unresolved unit / layout"),G420*K420,"Not applicable")</x:f>
        <x:v>171</x:v>
      </x:c>
      <x:c r="M420" s="8" t="str">
        <x:f aca="0">IF(AND(ISNUMBER(H420),P420&lt;&gt;"Unresolved unit / layout"),H420*K420,"Not applicable")</x:f>
        <x:v>Not applicable</x:v>
      </x:c>
      <x:c r="N420" s="8" t="str">
        <x:f aca="0">IF(AND(ISNUMBER(I420),P420&lt;&gt;"Unresolved unit / layout"),I420*K420,"Not applicable")</x:f>
        <x:v>Not applicable</x:v>
      </x:c>
      <x:c r="O420" s="7" t="s">
        <x:v>1929</x:v>
      </x:c>
      <x:c r="P420" s="7" t="s">
        <x:v>1921</x:v>
      </x:c>
      <x:c r="Q420" s="7" t="s">
        <x:v>2064</x:v>
      </x:c>
      <x:c r="R420" s="7" t="s">
        <x:v>53</x:v>
      </x:c>
      <x:c r="S420" s="7" t="s">
        <x:v>53</x:v>
      </x:c>
      <x:c r="T420" s="7" t="s">
        <x:v>53</x:v>
      </x:c>
      <x:c r="U420" s="7" t="s">
        <x:v>53</x:v>
      </x:c>
      <x:c r="V420" s="7" t="s">
        <x:v>1947</x:v>
      </x:c>
      <x:c r="W420" s="7" t="s">
        <x:v>58</x:v>
      </x:c>
      <x:c r="X420" s="7" t="s">
        <x:v>2811</x:v>
      </x:c>
      <x:c r="Y420" s="7" t="s">
        <x:v>1186</x:v>
      </x:c>
      <x:c r="Z420" s="7" t="s">
        <x:v>2832</x:v>
      </x:c>
      <x:c r="AA420" s="7" t="s">
        <x:v>58</x:v>
      </x:c>
      <x:c r="AB420" s="8" t="s">
        <x:v>58</x:v>
      </x:c>
      <x:c r="AC420" s="8" t="s">
        <x:v>58</x:v>
      </x:c>
      <x:c r="AD420" s="8" t="s">
        <x:v>58</x:v>
      </x:c>
      <x:c r="AE420" s="8" t="s">
        <x:v>58</x:v>
      </x:c>
      <x:c r="AF420" s="8" t="s">
        <x:v>58</x:v>
      </x:c>
      <x:c r="AG420" s="7" t="s">
        <x:v>58</x:v>
      </x:c>
    </x:row>
    <x:row r="421" ht="66" hidden="0" customHeight="1">
      <x:c r="A421" s="7" t="s">
        <x:v>2833</x:v>
      </x:c>
      <x:c r="B421" s="7" t="s">
        <x:v>266</x:v>
      </x:c>
      <x:c r="C421" s="7" t="s">
        <x:v>1185</x:v>
      </x:c>
      <x:c r="D421" s="7" t="s">
        <x:v>2834</x:v>
      </x:c>
      <x:c r="E421" s="7" t="s">
        <x:v>2835</x:v>
      </x:c>
      <x:c r="F421" s="7" t="s">
        <x:v>2032</x:v>
      </x:c>
      <x:c r="G421" s="8" t="n">
        <x:v>4.5</x:v>
      </x:c>
      <x:c r="H421" s="8" t="s">
        <x:v>58</x:v>
      </x:c>
      <x:c r="I421" s="8" t="s">
        <x:v>58</x:v>
      </x:c>
      <x:c r="J421" s="7" t="s">
        <x:v>1919</x:v>
      </x:c>
      <x:c r="K421" s="8" t="n">
        <x:v>1</x:v>
      </x:c>
      <x:c r="L421" s="8" t="n">
        <x:f aca="0">IF(AND(ISNUMBER(G421),P421&lt;&gt;"Unresolved unit / layout"),G421*K421,"Not applicable")</x:f>
        <x:v>4.5</x:v>
      </x:c>
      <x:c r="M421" s="8" t="str">
        <x:f aca="0">IF(AND(ISNUMBER(H421),P421&lt;&gt;"Unresolved unit / layout"),H421*K421,"Not applicable")</x:f>
        <x:v>Not applicable</x:v>
      </x:c>
      <x:c r="N421" s="8" t="str">
        <x:f aca="0">IF(AND(ISNUMBER(I421),P421&lt;&gt;"Unresolved unit / layout"),I421*K421,"Not applicable")</x:f>
        <x:v>Not applicable</x:v>
      </x:c>
      <x:c r="O421" s="7" t="s">
        <x:v>2033</x:v>
      </x:c>
      <x:c r="P421" s="7" t="s">
        <x:v>1921</x:v>
      </x:c>
      <x:c r="Q421" s="7" t="s">
        <x:v>2064</x:v>
      </x:c>
      <x:c r="R421" s="7" t="s">
        <x:v>53</x:v>
      </x:c>
      <x:c r="S421" s="7" t="s">
        <x:v>53</x:v>
      </x:c>
      <x:c r="T421" s="7" t="s">
        <x:v>53</x:v>
      </x:c>
      <x:c r="U421" s="7" t="s">
        <x:v>53</x:v>
      </x:c>
      <x:c r="V421" s="7" t="s">
        <x:v>2836</x:v>
      </x:c>
      <x:c r="W421" s="7" t="s">
        <x:v>2139</x:v>
      </x:c>
      <x:c r="X421" s="7" t="s">
        <x:v>2811</x:v>
      </x:c>
      <x:c r="Y421" s="7" t="s">
        <x:v>1186</x:v>
      </x:c>
      <x:c r="Z421" s="7" t="s">
        <x:v>2837</x:v>
      </x:c>
      <x:c r="AA421" s="7" t="s">
        <x:v>58</x:v>
      </x:c>
      <x:c r="AB421" s="8" t="s">
        <x:v>58</x:v>
      </x:c>
      <x:c r="AC421" s="8" t="s">
        <x:v>58</x:v>
      </x:c>
      <x:c r="AD421" s="8" t="s">
        <x:v>58</x:v>
      </x:c>
      <x:c r="AE421" s="8" t="s">
        <x:v>58</x:v>
      </x:c>
      <x:c r="AF421" s="8" t="s">
        <x:v>58</x:v>
      </x:c>
      <x:c r="AG421" s="7" t="s">
        <x:v>58</x:v>
      </x:c>
    </x:row>
    <x:row r="422" ht="66" hidden="0" customHeight="1">
      <x:c r="A422" s="7" t="s">
        <x:v>2838</x:v>
      </x:c>
      <x:c r="B422" s="7" t="s">
        <x:v>266</x:v>
      </x:c>
      <x:c r="C422" s="7" t="s">
        <x:v>1185</x:v>
      </x:c>
      <x:c r="D422" s="7" t="s">
        <x:v>2834</x:v>
      </x:c>
      <x:c r="E422" s="7" t="s">
        <x:v>2839</x:v>
      </x:c>
      <x:c r="F422" s="7" t="s">
        <x:v>2840</x:v>
      </x:c>
      <x:c r="G422" s="8" t="s">
        <x:v>58</x:v>
      </x:c>
      <x:c r="H422" s="8" t="s">
        <x:v>58</x:v>
      </x:c>
      <x:c r="I422" s="8" t="s">
        <x:v>58</x:v>
      </x:c>
      <x:c r="J422" s="7" t="s">
        <x:v>1919</x:v>
      </x:c>
      <x:c r="K422" s="8" t="n">
        <x:v>1</x:v>
      </x:c>
      <x:c r="L422" s="8" t="str">
        <x:f aca="0">IF(AND(ISNUMBER(G422),P422&lt;&gt;"Unresolved unit / layout"),G422*K422,"Insufficient comparable data")</x:f>
        <x:v>Insufficient comparable data</x:v>
      </x:c>
      <x:c r="M422" s="8" t="str">
        <x:f aca="0">IF(AND(ISNUMBER(H422),P422&lt;&gt;"Unresolved unit / layout"),H422*K422,"Not applicable")</x:f>
        <x:v>Not applicable</x:v>
      </x:c>
      <x:c r="N422" s="8" t="str">
        <x:f aca="0">IF(AND(ISNUMBER(I422),P422&lt;&gt;"Unresolved unit / layout"),I422*K422,"Not applicable")</x:f>
        <x:v>Not applicable</x:v>
      </x:c>
      <x:c r="O422" s="7" t="s">
        <x:v>2840</x:v>
      </x:c>
      <x:c r="P422" s="7" t="str">
        <x:v>Published qualitative result</x:v>
      </x:c>
      <x:c r="Q422" s="7" t="s">
        <x:v>2064</x:v>
      </x:c>
      <x:c r="R422" s="7" t="s">
        <x:v>53</x:v>
      </x:c>
      <x:c r="S422" s="7" t="s">
        <x:v>2841</x:v>
      </x:c>
      <x:c r="T422" s="7" t="s">
        <x:v>53</x:v>
      </x:c>
      <x:c r="U422" s="7" t="s">
        <x:v>2842</x:v>
      </x:c>
      <x:c r="V422" s="7" t="s">
        <x:v>2836</x:v>
      </x:c>
      <x:c r="W422" s="7" t="s">
        <x:v>2135</x:v>
      </x:c>
      <x:c r="X422" s="7" t="s">
        <x:v>2811</x:v>
      </x:c>
      <x:c r="Y422" s="7" t="s">
        <x:v>1186</x:v>
      </x:c>
      <x:c r="Z422" s="7" t="s">
        <x:v>2843</x:v>
      </x:c>
      <x:c r="AA422" s="7" t="s">
        <x:v>2844</x:v>
      </x:c>
      <x:c r="AB422" s="8" t="s">
        <x:v>58</x:v>
      </x:c>
      <x:c r="AC422" s="8" t="s">
        <x:v>58</x:v>
      </x:c>
      <x:c r="AD422" s="8" t="s">
        <x:v>58</x:v>
      </x:c>
      <x:c r="AE422" s="8" t="s">
        <x:v>58</x:v>
      </x:c>
      <x:c r="AF422" s="8" t="s">
        <x:v>58</x:v>
      </x:c>
      <x:c r="AG422" s="7" t="s">
        <x:v>58</x:v>
      </x:c>
    </x:row>
    <x:row r="423" ht="66" hidden="0" customHeight="1">
      <x:c r="A423" s="7" t="s">
        <x:v>2845</x:v>
      </x:c>
      <x:c r="B423" s="7" t="s">
        <x:v>266</x:v>
      </x:c>
      <x:c r="C423" s="7" t="s">
        <x:v>1185</x:v>
      </x:c>
      <x:c r="D423" s="7" t="s">
        <x:v>2846</x:v>
      </x:c>
      <x:c r="E423" s="7" t="s">
        <x:v>2767</x:v>
      </x:c>
      <x:c r="F423" s="7" t="s">
        <x:v>2847</x:v>
      </x:c>
      <x:c r="G423" s="8" t="n">
        <x:v>70</x:v>
      </x:c>
      <x:c r="H423" s="8" t="s">
        <x:v>58</x:v>
      </x:c>
      <x:c r="I423" s="8" t="s">
        <x:v>58</x:v>
      </x:c>
      <x:c r="J423" s="7" t="s">
        <x:v>1919</x:v>
      </x:c>
      <x:c r="K423" s="8" t="n">
        <x:v>1</x:v>
      </x:c>
      <x:c r="L423" s="8" t="str">
        <x:f aca="0">IF(AND(ISNUMBER(G423),P423&lt;&gt;"Unresolved unit / layout"),G423*K423,"Insufficient comparable data")</x:f>
        <x:v>Insufficient comparable data</x:v>
      </x:c>
      <x:c r="M423" s="8" t="str">
        <x:f aca="0">IF(AND(ISNUMBER(H423),P423&lt;&gt;"Unresolved unit / layout"),H423*K423,"Not applicable")</x:f>
        <x:v>Not applicable</x:v>
      </x:c>
      <x:c r="N423" s="8" t="str">
        <x:f aca="0">IF(AND(ISNUMBER(I423),P423&lt;&gt;"Unresolved unit / layout"),I423*K423,"Not applicable")</x:f>
        <x:v>Not applicable</x:v>
      </x:c>
      <x:c r="O423" s="7" t="s">
        <x:v>2847</x:v>
      </x:c>
      <x:c r="P423" s="7" t="s">
        <x:v>2848</x:v>
      </x:c>
      <x:c r="Q423" s="7" t="s">
        <x:v>2064</x:v>
      </x:c>
      <x:c r="R423" s="7" t="s">
        <x:v>53</x:v>
      </x:c>
      <x:c r="S423" s="7" t="s">
        <x:v>53</x:v>
      </x:c>
      <x:c r="T423" s="7" t="s">
        <x:v>53</x:v>
      </x:c>
      <x:c r="U423" s="7" t="s">
        <x:v>53</x:v>
      </x:c>
      <x:c r="V423" s="7" t="s">
        <x:v>2849</x:v>
      </x:c>
      <x:c r="W423" s="7" t="s">
        <x:v>58</x:v>
      </x:c>
      <x:c r="X423" s="7" t="s">
        <x:v>2811</x:v>
      </x:c>
      <x:c r="Y423" s="7" t="s">
        <x:v>1186</x:v>
      </x:c>
      <x:c r="Z423" s="7" t="s">
        <x:v>2850</x:v>
      </x:c>
      <x:c r="AA423" s="7" t="s">
        <x:v>2851</x:v>
      </x:c>
      <x:c r="AB423" s="8" t="s">
        <x:v>58</x:v>
      </x:c>
      <x:c r="AC423" s="8" t="s">
        <x:v>58</x:v>
      </x:c>
      <x:c r="AD423" s="8" t="s">
        <x:v>58</x:v>
      </x:c>
      <x:c r="AE423" s="8" t="s">
        <x:v>58</x:v>
      </x:c>
      <x:c r="AF423" s="8" t="s">
        <x:v>58</x:v>
      </x:c>
      <x:c r="AG423" s="7" t="s">
        <x:v>58</x:v>
      </x:c>
    </x:row>
    <x:row r="424" ht="66" hidden="0" customHeight="1">
      <x:c r="A424" s="7" t="s">
        <x:v>2852</x:v>
      </x:c>
      <x:c r="B424" s="7" t="s">
        <x:v>266</x:v>
      </x:c>
      <x:c r="C424" s="7" t="s">
        <x:v>1185</x:v>
      </x:c>
      <x:c r="D424" s="7" t="s">
        <x:v>1982</x:v>
      </x:c>
      <x:c r="E424" s="7" t="s">
        <x:v>2853</x:v>
      </x:c>
      <x:c r="F424" s="7" t="s">
        <x:v>1956</x:v>
      </x:c>
      <x:c r="G424" s="8" t="n">
        <x:v>78</x:v>
      </x:c>
      <x:c r="H424" s="8" t="s">
        <x:v>58</x:v>
      </x:c>
      <x:c r="I424" s="8" t="s">
        <x:v>58</x:v>
      </x:c>
      <x:c r="J424" s="7" t="s">
        <x:v>1919</x:v>
      </x:c>
      <x:c r="K424" s="8" t="n">
        <x:v>1</x:v>
      </x:c>
      <x:c r="L424" s="8" t="n">
        <x:f aca="0">IF(AND(ISNUMBER(G424),P424&lt;&gt;"Unresolved unit / layout"),G424*K424,"Not applicable")</x:f>
        <x:v>78</x:v>
      </x:c>
      <x:c r="M424" s="8" t="str">
        <x:f aca="0">IF(AND(ISNUMBER(H424),P424&lt;&gt;"Unresolved unit / layout"),H424*K424,"Not applicable")</x:f>
        <x:v>Not applicable</x:v>
      </x:c>
      <x:c r="N424" s="8" t="str">
        <x:f aca="0">IF(AND(ISNUMBER(I424),P424&lt;&gt;"Unresolved unit / layout"),I424*K424,"Not applicable")</x:f>
        <x:v>Not applicable</x:v>
      </x:c>
      <x:c r="O424" s="7" t="s">
        <x:v>1956</x:v>
      </x:c>
      <x:c r="P424" s="7" t="s">
        <x:v>1921</x:v>
      </x:c>
      <x:c r="Q424" s="7" t="s">
        <x:v>2064</x:v>
      </x:c>
      <x:c r="R424" s="7" t="s">
        <x:v>58</x:v>
      </x:c>
      <x:c r="S424" s="7" t="s">
        <x:v>53</x:v>
      </x:c>
      <x:c r="T424" s="7" t="s">
        <x:v>53</x:v>
      </x:c>
      <x:c r="U424" s="7" t="s">
        <x:v>53</x:v>
      </x:c>
      <x:c r="V424" s="7" t="s">
        <x:v>2854</x:v>
      </x:c>
      <x:c r="W424" s="7" t="s">
        <x:v>58</x:v>
      </x:c>
      <x:c r="X424" s="7" t="s">
        <x:v>2811</x:v>
      </x:c>
      <x:c r="Y424" s="7" t="s">
        <x:v>1186</x:v>
      </x:c>
      <x:c r="Z424" s="7" t="s">
        <x:v>2234</x:v>
      </x:c>
      <x:c r="AA424" s="7" t="s">
        <x:v>58</x:v>
      </x:c>
      <x:c r="AB424" s="8" t="s">
        <x:v>58</x:v>
      </x:c>
      <x:c r="AC424" s="8" t="s">
        <x:v>58</x:v>
      </x:c>
      <x:c r="AD424" s="8" t="s">
        <x:v>58</x:v>
      </x:c>
      <x:c r="AE424" s="8" t="s">
        <x:v>58</x:v>
      </x:c>
      <x:c r="AF424" s="8" t="s">
        <x:v>58</x:v>
      </x:c>
      <x:c r="AG424" s="7" t="s">
        <x:v>58</x:v>
      </x:c>
    </x:row>
    <x:row r="425" ht="66" hidden="0" customHeight="1">
      <x:c r="A425" s="7" t="s">
        <x:v>2855</x:v>
      </x:c>
      <x:c r="B425" s="7" t="s">
        <x:v>266</x:v>
      </x:c>
      <x:c r="C425" s="7" t="s">
        <x:v>1185</x:v>
      </x:c>
      <x:c r="D425" s="7" t="s">
        <x:v>1954</x:v>
      </x:c>
      <x:c r="E425" s="7" t="s">
        <x:v>2856</x:v>
      </x:c>
      <x:c r="F425" s="7" t="s">
        <x:v>1956</x:v>
      </x:c>
      <x:c r="G425" s="8" t="n">
        <x:v>80</x:v>
      </x:c>
      <x:c r="H425" s="8" t="s">
        <x:v>58</x:v>
      </x:c>
      <x:c r="I425" s="8" t="s">
        <x:v>58</x:v>
      </x:c>
      <x:c r="J425" s="7" t="s">
        <x:v>1919</x:v>
      </x:c>
      <x:c r="K425" s="8" t="n">
        <x:v>1</x:v>
      </x:c>
      <x:c r="L425" s="8" t="n">
        <x:f aca="0">IF(AND(ISNUMBER(G425),P425&lt;&gt;"Unresolved unit / layout"),G425*K425,"Not applicable")</x:f>
        <x:v>80</x:v>
      </x:c>
      <x:c r="M425" s="8" t="str">
        <x:f aca="0">IF(AND(ISNUMBER(H425),P425&lt;&gt;"Unresolved unit / layout"),H425*K425,"Not applicable")</x:f>
        <x:v>Not applicable</x:v>
      </x:c>
      <x:c r="N425" s="8" t="str">
        <x:f aca="0">IF(AND(ISNUMBER(I425),P425&lt;&gt;"Unresolved unit / layout"),I425*K425,"Not applicable")</x:f>
        <x:v>Not applicable</x:v>
      </x:c>
      <x:c r="O425" s="7" t="s">
        <x:v>1956</x:v>
      </x:c>
      <x:c r="P425" s="7" t="s">
        <x:v>1921</x:v>
      </x:c>
      <x:c r="Q425" s="7" t="s">
        <x:v>2064</x:v>
      </x:c>
      <x:c r="R425" s="7" t="s">
        <x:v>58</x:v>
      </x:c>
      <x:c r="S425" s="7" t="s">
        <x:v>53</x:v>
      </x:c>
      <x:c r="T425" s="7" t="s">
        <x:v>53</x:v>
      </x:c>
      <x:c r="U425" s="7" t="s">
        <x:v>53</x:v>
      </x:c>
      <x:c r="V425" s="7" t="s">
        <x:v>2739</x:v>
      </x:c>
      <x:c r="W425" s="7" t="s">
        <x:v>58</x:v>
      </x:c>
      <x:c r="X425" s="7" t="s">
        <x:v>2811</x:v>
      </x:c>
      <x:c r="Y425" s="7" t="s">
        <x:v>1186</x:v>
      </x:c>
      <x:c r="Z425" s="7" t="s">
        <x:v>2086</x:v>
      </x:c>
      <x:c r="AA425" s="7" t="s">
        <x:v>58</x:v>
      </x:c>
      <x:c r="AB425" s="8" t="s">
        <x:v>58</x:v>
      </x:c>
      <x:c r="AC425" s="8" t="s">
        <x:v>58</x:v>
      </x:c>
      <x:c r="AD425" s="8" t="s">
        <x:v>58</x:v>
      </x:c>
      <x:c r="AE425" s="8" t="s">
        <x:v>58</x:v>
      </x:c>
      <x:c r="AF425" s="8" t="s">
        <x:v>58</x:v>
      </x:c>
      <x:c r="AG425" s="7" t="s">
        <x:v>58</x:v>
      </x:c>
    </x:row>
    <x:row r="426" ht="79.5" hidden="0" customHeight="1">
      <x:c r="A426" s="7" t="s">
        <x:v>2857</x:v>
      </x:c>
      <x:c r="B426" s="7" t="s">
        <x:v>277</x:v>
      </x:c>
      <x:c r="C426" s="7" t="s">
        <x:v>279</x:v>
      </x:c>
      <x:c r="D426" s="7" t="s">
        <x:v>1916</x:v>
      </x:c>
      <x:c r="E426" s="7" t="s">
        <x:v>2382</x:v>
      </x:c>
      <x:c r="F426" s="7" t="s">
        <x:v>2076</x:v>
      </x:c>
      <x:c r="G426" s="8" t="n">
        <x:v>1.25</x:v>
      </x:c>
      <x:c r="H426" s="8" t="s">
        <x:v>58</x:v>
      </x:c>
      <x:c r="I426" s="8" t="s">
        <x:v>58</x:v>
      </x:c>
      <x:c r="J426" s="7" t="s">
        <x:v>1919</x:v>
      </x:c>
      <x:c r="K426" s="8" t="n">
        <x:v>1000</x:v>
      </x:c>
      <x:c r="L426" s="8" t="n">
        <x:f aca="0">IF(AND(ISNUMBER(G426),P426&lt;&gt;"Unresolved unit / layout"),G426*K426,"Not applicable")</x:f>
        <x:v>1250</x:v>
      </x:c>
      <x:c r="M426" s="8" t="str">
        <x:f aca="0">IF(AND(ISNUMBER(H426),P426&lt;&gt;"Unresolved unit / layout"),H426*K426,"Not applicable")</x:f>
        <x:v>Not applicable</x:v>
      </x:c>
      <x:c r="N426" s="8" t="str">
        <x:f aca="0">IF(AND(ISNUMBER(I426),P426&lt;&gt;"Unresolved unit / layout"),I426*K426,"Not applicable")</x:f>
        <x:v>Not applicable</x:v>
      </x:c>
      <x:c r="O426" s="7" t="s">
        <x:v>1920</x:v>
      </x:c>
      <x:c r="P426" s="7" t="s">
        <x:v>1921</x:v>
      </x:c>
      <x:c r="Q426" s="7" t="s">
        <x:v>1922</x:v>
      </x:c>
      <x:c r="R426" s="7" t="s">
        <x:v>58</x:v>
      </x:c>
      <x:c r="S426" s="7" t="s">
        <x:v>53</x:v>
      </x:c>
      <x:c r="T426" s="7" t="s">
        <x:v>53</x:v>
      </x:c>
      <x:c r="U426" s="7" t="s">
        <x:v>53</x:v>
      </x:c>
      <x:c r="V426" s="7" t="s">
        <x:v>1923</x:v>
      </x:c>
      <x:c r="W426" s="7" t="s">
        <x:v>58</x:v>
      </x:c>
      <x:c r="X426" s="7" t="s">
        <x:v>2858</x:v>
      </x:c>
      <x:c r="Y426" s="7" t="s">
        <x:v>1187</x:v>
      </x:c>
      <x:c r="Z426" s="7" t="s">
        <x:v>1968</x:v>
      </x:c>
      <x:c r="AA426" s="7" t="s">
        <x:v>58</x:v>
      </x:c>
      <x:c r="AB426" s="8" t="s">
        <x:v>58</x:v>
      </x:c>
      <x:c r="AC426" s="8" t="s">
        <x:v>58</x:v>
      </x:c>
      <x:c r="AD426" s="8" t="s">
        <x:v>58</x:v>
      </x:c>
      <x:c r="AE426" s="8" t="s">
        <x:v>58</x:v>
      </x:c>
      <x:c r="AF426" s="8" t="s">
        <x:v>58</x:v>
      </x:c>
      <x:c r="AG426" s="7" t="s">
        <x:v>58</x:v>
      </x:c>
    </x:row>
    <x:row r="427" ht="79.5" hidden="0" customHeight="1">
      <x:c r="A427" s="7" t="s">
        <x:v>2859</x:v>
      </x:c>
      <x:c r="B427" s="7" t="s">
        <x:v>277</x:v>
      </x:c>
      <x:c r="C427" s="7" t="s">
        <x:v>279</x:v>
      </x:c>
      <x:c r="D427" s="7" t="s">
        <x:v>1974</x:v>
      </x:c>
      <x:c r="E427" s="7" t="s">
        <x:v>1995</x:v>
      </x:c>
      <x:c r="F427" s="7" t="s">
        <x:v>1956</x:v>
      </x:c>
      <x:c r="G427" s="8" t="s">
        <x:v>53</x:v>
      </x:c>
      <x:c r="H427" s="8" t="s">
        <x:v>58</x:v>
      </x:c>
      <x:c r="I427" s="8" t="s">
        <x:v>58</x:v>
      </x:c>
      <x:c r="J427" s="7" t="s">
        <x:v>58</x:v>
      </x:c>
      <x:c r="K427" s="8" t="n">
        <x:v>1</x:v>
      </x:c>
      <x:c r="L427" s="8" t="str">
        <x:f aca="0">IF(AND(ISNUMBER(G427),P427&lt;&gt;"Unresolved unit / layout"),G427*K427,"Not published")</x:f>
        <x:v>Not published</x:v>
      </x:c>
      <x:c r="M427" s="8" t="str">
        <x:f aca="0">IF(AND(ISNUMBER(H427),P427&lt;&gt;"Unresolved unit / layout"),H427*K427,"Not applicable")</x:f>
        <x:v>Not applicable</x:v>
      </x:c>
      <x:c r="N427" s="8" t="str">
        <x:f aca="0">IF(AND(ISNUMBER(I427),P427&lt;&gt;"Unresolved unit / layout"),I427*K427,"Not applicable")</x:f>
        <x:v>Not applicable</x:v>
      </x:c>
      <x:c r="O427" s="7" t="s">
        <x:v>1956</x:v>
      </x:c>
      <x:c r="P427" s="7" t="s">
        <x:v>53</x:v>
      </x:c>
      <x:c r="Q427" s="7" t="s">
        <x:v>1930</x:v>
      </x:c>
      <x:c r="R427" s="7" t="s">
        <x:v>58</x:v>
      </x:c>
      <x:c r="S427" s="7" t="s">
        <x:v>53</x:v>
      </x:c>
      <x:c r="T427" s="7" t="s">
        <x:v>53</x:v>
      </x:c>
      <x:c r="U427" s="7" t="s">
        <x:v>53</x:v>
      </x:c>
      <x:c r="V427" s="7" t="s">
        <x:v>2082</x:v>
      </x:c>
      <x:c r="W427" s="7" t="s">
        <x:v>58</x:v>
      </x:c>
      <x:c r="X427" s="7" t="s">
        <x:v>2858</x:v>
      </x:c>
      <x:c r="Y427" s="7" t="s">
        <x:v>1187</x:v>
      </x:c>
      <x:c r="Z427" s="7" t="s">
        <x:v>2083</x:v>
      </x:c>
      <x:c r="AA427" s="7" t="s">
        <x:v>58</x:v>
      </x:c>
      <x:c r="AB427" s="8" t="s">
        <x:v>58</x:v>
      </x:c>
      <x:c r="AC427" s="8" t="s">
        <x:v>58</x:v>
      </x:c>
      <x:c r="AD427" s="8" t="s">
        <x:v>58</x:v>
      </x:c>
      <x:c r="AE427" s="8" t="s">
        <x:v>58</x:v>
      </x:c>
      <x:c r="AF427" s="8" t="s">
        <x:v>58</x:v>
      </x:c>
      <x:c r="AG427" s="7" t="s">
        <x:v>58</x:v>
      </x:c>
    </x:row>
    <x:row r="428" ht="79.5" hidden="0" customHeight="1">
      <x:c r="A428" s="7" t="s">
        <x:v>2860</x:v>
      </x:c>
      <x:c r="B428" s="7" t="s">
        <x:v>277</x:v>
      </x:c>
      <x:c r="C428" s="7" t="s">
        <x:v>279</x:v>
      </x:c>
      <x:c r="D428" s="7" t="s">
        <x:v>1954</x:v>
      </x:c>
      <x:c r="E428" s="7" t="s">
        <x:v>2626</x:v>
      </x:c>
      <x:c r="F428" s="7" t="s">
        <x:v>1956</x:v>
      </x:c>
      <x:c r="G428" s="8" t="n">
        <x:v>69</x:v>
      </x:c>
      <x:c r="H428" s="8" t="s">
        <x:v>58</x:v>
      </x:c>
      <x:c r="I428" s="8" t="s">
        <x:v>58</x:v>
      </x:c>
      <x:c r="J428" s="7" t="s">
        <x:v>1919</x:v>
      </x:c>
      <x:c r="K428" s="8" t="n">
        <x:v>1</x:v>
      </x:c>
      <x:c r="L428" s="8" t="n">
        <x:f aca="0">IF(AND(ISNUMBER(G428),P428&lt;&gt;"Unresolved unit / layout"),G428*K428,"Not applicable")</x:f>
        <x:v>69</x:v>
      </x:c>
      <x:c r="M428" s="8" t="str">
        <x:f aca="0">IF(AND(ISNUMBER(H428),P428&lt;&gt;"Unresolved unit / layout"),H428*K428,"Not applicable")</x:f>
        <x:v>Not applicable</x:v>
      </x:c>
      <x:c r="N428" s="8" t="str">
        <x:f aca="0">IF(AND(ISNUMBER(I428),P428&lt;&gt;"Unresolved unit / layout"),I428*K428,"Not applicable")</x:f>
        <x:v>Not applicable</x:v>
      </x:c>
      <x:c r="O428" s="7" t="s">
        <x:v>1956</x:v>
      </x:c>
      <x:c r="P428" s="7" t="s">
        <x:v>1921</x:v>
      </x:c>
      <x:c r="Q428" s="7" t="s">
        <x:v>1930</x:v>
      </x:c>
      <x:c r="R428" s="7" t="s">
        <x:v>58</x:v>
      </x:c>
      <x:c r="S428" s="7" t="s">
        <x:v>53</x:v>
      </x:c>
      <x:c r="T428" s="7" t="s">
        <x:v>53</x:v>
      </x:c>
      <x:c r="U428" s="7" t="s">
        <x:v>53</x:v>
      </x:c>
      <x:c r="V428" s="7" t="s">
        <x:v>2082</x:v>
      </x:c>
      <x:c r="W428" s="7" t="s">
        <x:v>58</x:v>
      </x:c>
      <x:c r="X428" s="7" t="s">
        <x:v>2858</x:v>
      </x:c>
      <x:c r="Y428" s="7" t="s">
        <x:v>1187</x:v>
      </x:c>
      <x:c r="Z428" s="7" t="s">
        <x:v>2086</x:v>
      </x:c>
      <x:c r="AA428" s="7" t="s">
        <x:v>58</x:v>
      </x:c>
      <x:c r="AB428" s="8" t="s">
        <x:v>58</x:v>
      </x:c>
      <x:c r="AC428" s="8" t="s">
        <x:v>58</x:v>
      </x:c>
      <x:c r="AD428" s="8" t="s">
        <x:v>58</x:v>
      </x:c>
      <x:c r="AE428" s="8" t="s">
        <x:v>58</x:v>
      </x:c>
      <x:c r="AF428" s="8" t="s">
        <x:v>58</x:v>
      </x:c>
      <x:c r="AG428" s="7" t="s">
        <x:v>58</x:v>
      </x:c>
    </x:row>
    <x:row r="429" ht="79.5" hidden="0" customHeight="1">
      <x:c r="A429" s="7" t="s">
        <x:v>2861</x:v>
      </x:c>
      <x:c r="B429" s="7" t="s">
        <x:v>277</x:v>
      </x:c>
      <x:c r="C429" s="7" t="s">
        <x:v>279</x:v>
      </x:c>
      <x:c r="D429" s="7" t="s">
        <x:v>1978</x:v>
      </x:c>
      <x:c r="E429" s="7" t="s">
        <x:v>1995</x:v>
      </x:c>
      <x:c r="F429" s="7" t="s">
        <x:v>1956</x:v>
      </x:c>
      <x:c r="G429" s="8" t="s">
        <x:v>53</x:v>
      </x:c>
      <x:c r="H429" s="8" t="s">
        <x:v>58</x:v>
      </x:c>
      <x:c r="I429" s="8" t="s">
        <x:v>58</x:v>
      </x:c>
      <x:c r="J429" s="7" t="s">
        <x:v>58</x:v>
      </x:c>
      <x:c r="K429" s="8" t="n">
        <x:v>1</x:v>
      </x:c>
      <x:c r="L429" s="8" t="str">
        <x:f aca="0">IF(AND(ISNUMBER(G429),P429&lt;&gt;"Unresolved unit / layout"),G429*K429,"Not published")</x:f>
        <x:v>Not published</x:v>
      </x:c>
      <x:c r="M429" s="8" t="str">
        <x:f aca="0">IF(AND(ISNUMBER(H429),P429&lt;&gt;"Unresolved unit / layout"),H429*K429,"Not applicable")</x:f>
        <x:v>Not applicable</x:v>
      </x:c>
      <x:c r="N429" s="8" t="str">
        <x:f aca="0">IF(AND(ISNUMBER(I429),P429&lt;&gt;"Unresolved unit / layout"),I429*K429,"Not applicable")</x:f>
        <x:v>Not applicable</x:v>
      </x:c>
      <x:c r="O429" s="7" t="s">
        <x:v>1956</x:v>
      </x:c>
      <x:c r="P429" s="7" t="s">
        <x:v>53</x:v>
      </x:c>
      <x:c r="Q429" s="7" t="s">
        <x:v>1930</x:v>
      </x:c>
      <x:c r="R429" s="7" t="s">
        <x:v>58</x:v>
      </x:c>
      <x:c r="S429" s="7" t="s">
        <x:v>53</x:v>
      </x:c>
      <x:c r="T429" s="7" t="s">
        <x:v>53</x:v>
      </x:c>
      <x:c r="U429" s="7" t="s">
        <x:v>53</x:v>
      </x:c>
      <x:c r="V429" s="7" t="s">
        <x:v>2082</x:v>
      </x:c>
      <x:c r="W429" s="7" t="s">
        <x:v>58</x:v>
      </x:c>
      <x:c r="X429" s="7" t="s">
        <x:v>2858</x:v>
      </x:c>
      <x:c r="Y429" s="7" t="s">
        <x:v>1187</x:v>
      </x:c>
      <x:c r="Z429" s="7" t="s">
        <x:v>2188</x:v>
      </x:c>
      <x:c r="AA429" s="7" t="s">
        <x:v>58</x:v>
      </x:c>
      <x:c r="AB429" s="8" t="s">
        <x:v>58</x:v>
      </x:c>
      <x:c r="AC429" s="8" t="s">
        <x:v>58</x:v>
      </x:c>
      <x:c r="AD429" s="8" t="s">
        <x:v>58</x:v>
      </x:c>
      <x:c r="AE429" s="8" t="s">
        <x:v>58</x:v>
      </x:c>
      <x:c r="AF429" s="8" t="s">
        <x:v>58</x:v>
      </x:c>
      <x:c r="AG429" s="7" t="s">
        <x:v>58</x:v>
      </x:c>
    </x:row>
    <x:row r="430" ht="79.5" hidden="0" customHeight="1">
      <x:c r="A430" s="7" t="s">
        <x:v>2862</x:v>
      </x:c>
      <x:c r="B430" s="7" t="s">
        <x:v>277</x:v>
      </x:c>
      <x:c r="C430" s="7" t="s">
        <x:v>279</x:v>
      </x:c>
      <x:c r="D430" s="7" t="s">
        <x:v>1982</x:v>
      </x:c>
      <x:c r="E430" s="7" t="s">
        <x:v>2626</x:v>
      </x:c>
      <x:c r="F430" s="7" t="s">
        <x:v>1956</x:v>
      </x:c>
      <x:c r="G430" s="8" t="n">
        <x:v>69</x:v>
      </x:c>
      <x:c r="H430" s="8" t="s">
        <x:v>58</x:v>
      </x:c>
      <x:c r="I430" s="8" t="s">
        <x:v>58</x:v>
      </x:c>
      <x:c r="J430" s="7" t="s">
        <x:v>1919</x:v>
      </x:c>
      <x:c r="K430" s="8" t="n">
        <x:v>1</x:v>
      </x:c>
      <x:c r="L430" s="8" t="n">
        <x:f aca="0">IF(AND(ISNUMBER(G430),P430&lt;&gt;"Unresolved unit / layout"),G430*K430,"Not applicable")</x:f>
        <x:v>69</x:v>
      </x:c>
      <x:c r="M430" s="8" t="str">
        <x:f aca="0">IF(AND(ISNUMBER(H430),P430&lt;&gt;"Unresolved unit / layout"),H430*K430,"Not applicable")</x:f>
        <x:v>Not applicable</x:v>
      </x:c>
      <x:c r="N430" s="8" t="str">
        <x:f aca="0">IF(AND(ISNUMBER(I430),P430&lt;&gt;"Unresolved unit / layout"),I430*K430,"Not applicable")</x:f>
        <x:v>Not applicable</x:v>
      </x:c>
      <x:c r="O430" s="7" t="s">
        <x:v>1956</x:v>
      </x:c>
      <x:c r="P430" s="7" t="s">
        <x:v>1921</x:v>
      </x:c>
      <x:c r="Q430" s="7" t="s">
        <x:v>1930</x:v>
      </x:c>
      <x:c r="R430" s="7" t="s">
        <x:v>58</x:v>
      </x:c>
      <x:c r="S430" s="7" t="s">
        <x:v>53</x:v>
      </x:c>
      <x:c r="T430" s="7" t="s">
        <x:v>53</x:v>
      </x:c>
      <x:c r="U430" s="7" t="s">
        <x:v>53</x:v>
      </x:c>
      <x:c r="V430" s="7" t="s">
        <x:v>1984</x:v>
      </x:c>
      <x:c r="W430" s="7" t="s">
        <x:v>58</x:v>
      </x:c>
      <x:c r="X430" s="7" t="s">
        <x:v>2858</x:v>
      </x:c>
      <x:c r="Y430" s="7" t="s">
        <x:v>1187</x:v>
      </x:c>
      <x:c r="Z430" s="7" t="s">
        <x:v>2234</x:v>
      </x:c>
      <x:c r="AA430" s="7" t="s">
        <x:v>58</x:v>
      </x:c>
      <x:c r="AB430" s="8" t="s">
        <x:v>58</x:v>
      </x:c>
      <x:c r="AC430" s="8" t="s">
        <x:v>58</x:v>
      </x:c>
      <x:c r="AD430" s="8" t="s">
        <x:v>58</x:v>
      </x:c>
      <x:c r="AE430" s="8" t="s">
        <x:v>58</x:v>
      </x:c>
      <x:c r="AF430" s="8" t="s">
        <x:v>58</x:v>
      </x:c>
      <x:c r="AG430" s="7" t="s">
        <x:v>58</x:v>
      </x:c>
    </x:row>
    <x:row r="431" ht="79.5" hidden="0" customHeight="1">
      <x:c r="A431" s="7" t="s">
        <x:v>2863</x:v>
      </x:c>
      <x:c r="B431" s="7" t="s">
        <x:v>277</x:v>
      </x:c>
      <x:c r="C431" s="7" t="s">
        <x:v>279</x:v>
      </x:c>
      <x:c r="D431" s="7" t="s">
        <x:v>1959</x:v>
      </x:c>
      <x:c r="E431" s="7" t="s">
        <x:v>2864</x:v>
      </x:c>
      <x:c r="F431" s="7" t="s">
        <x:v>1956</x:v>
      </x:c>
      <x:c r="G431" s="8" t="n">
        <x:v>68</x:v>
      </x:c>
      <x:c r="H431" s="8" t="s">
        <x:v>58</x:v>
      </x:c>
      <x:c r="I431" s="8" t="s">
        <x:v>58</x:v>
      </x:c>
      <x:c r="J431" s="7" t="s">
        <x:v>1919</x:v>
      </x:c>
      <x:c r="K431" s="8" t="n">
        <x:v>1</x:v>
      </x:c>
      <x:c r="L431" s="8" t="n">
        <x:f aca="0">IF(AND(ISNUMBER(G431),P431&lt;&gt;"Unresolved unit / layout"),G431*K431,"Not applicable")</x:f>
        <x:v>68</x:v>
      </x:c>
      <x:c r="M431" s="8" t="str">
        <x:f aca="0">IF(AND(ISNUMBER(H431),P431&lt;&gt;"Unresolved unit / layout"),H431*K431,"Not applicable")</x:f>
        <x:v>Not applicable</x:v>
      </x:c>
      <x:c r="N431" s="8" t="str">
        <x:f aca="0">IF(AND(ISNUMBER(I431),P431&lt;&gt;"Unresolved unit / layout"),I431*K431,"Not applicable")</x:f>
        <x:v>Not applicable</x:v>
      </x:c>
      <x:c r="O431" s="7" t="s">
        <x:v>1956</x:v>
      </x:c>
      <x:c r="P431" s="7" t="s">
        <x:v>1921</x:v>
      </x:c>
      <x:c r="Q431" s="7" t="s">
        <x:v>1930</x:v>
      </x:c>
      <x:c r="R431" s="7" t="s">
        <x:v>58</x:v>
      </x:c>
      <x:c r="S431" s="7" t="s">
        <x:v>53</x:v>
      </x:c>
      <x:c r="T431" s="7" t="s">
        <x:v>53</x:v>
      </x:c>
      <x:c r="U431" s="7" t="s">
        <x:v>53</x:v>
      </x:c>
      <x:c r="V431" s="7" t="s">
        <x:v>2095</x:v>
      </x:c>
      <x:c r="W431" s="7" t="s">
        <x:v>58</x:v>
      </x:c>
      <x:c r="X431" s="7" t="s">
        <x:v>2858</x:v>
      </x:c>
      <x:c r="Y431" s="7" t="s">
        <x:v>1187</x:v>
      </x:c>
      <x:c r="Z431" s="7" t="s">
        <x:v>2096</x:v>
      </x:c>
      <x:c r="AA431" s="7" t="s">
        <x:v>58</x:v>
      </x:c>
      <x:c r="AB431" s="8" t="s">
        <x:v>58</x:v>
      </x:c>
      <x:c r="AC431" s="8" t="s">
        <x:v>58</x:v>
      </x:c>
      <x:c r="AD431" s="8" t="s">
        <x:v>58</x:v>
      </x:c>
      <x:c r="AE431" s="8" t="s">
        <x:v>58</x:v>
      </x:c>
      <x:c r="AF431" s="8" t="s">
        <x:v>58</x:v>
      </x:c>
      <x:c r="AG431" s="7" t="s">
        <x:v>58</x:v>
      </x:c>
    </x:row>
    <x:row r="432" ht="79.5" hidden="0" customHeight="1">
      <x:c r="A432" s="7" t="s">
        <x:v>284</x:v>
      </x:c>
      <x:c r="B432" s="7" t="s">
        <x:v>277</x:v>
      </x:c>
      <x:c r="C432" s="7" t="s">
        <x:v>279</x:v>
      </x:c>
      <x:c r="D432" s="7" t="s">
        <x:v>1959</x:v>
      </x:c>
      <x:c r="E432" s="7" t="s">
        <x:v>2865</x:v>
      </x:c>
      <x:c r="F432" s="7" t="s">
        <x:v>1956</x:v>
      </x:c>
      <x:c r="G432" s="8" t="n">
        <x:v>71</x:v>
      </x:c>
      <x:c r="H432" s="8" t="s">
        <x:v>58</x:v>
      </x:c>
      <x:c r="I432" s="8" t="s">
        <x:v>58</x:v>
      </x:c>
      <x:c r="J432" s="7" t="s">
        <x:v>1919</x:v>
      </x:c>
      <x:c r="K432" s="8" t="n">
        <x:v>1</x:v>
      </x:c>
      <x:c r="L432" s="8" t="n">
        <x:f aca="0">IF(AND(ISNUMBER(G432),P432&lt;&gt;"Unresolved unit / layout"),G432*K432,"Not applicable")</x:f>
        <x:v>71</x:v>
      </x:c>
      <x:c r="M432" s="8" t="str">
        <x:f aca="0">IF(AND(ISNUMBER(H432),P432&lt;&gt;"Unresolved unit / layout"),H432*K432,"Not applicable")</x:f>
        <x:v>Not applicable</x:v>
      </x:c>
      <x:c r="N432" s="8" t="str">
        <x:f aca="0">IF(AND(ISNUMBER(I432),P432&lt;&gt;"Unresolved unit / layout"),I432*K432,"Not applicable")</x:f>
        <x:v>Not applicable</x:v>
      </x:c>
      <x:c r="O432" s="7" t="s">
        <x:v>1956</x:v>
      </x:c>
      <x:c r="P432" s="7" t="s">
        <x:v>1921</x:v>
      </x:c>
      <x:c r="Q432" s="7" t="s">
        <x:v>1930</x:v>
      </x:c>
      <x:c r="R432" s="7" t="s">
        <x:v>58</x:v>
      </x:c>
      <x:c r="S432" s="7" t="s">
        <x:v>53</x:v>
      </x:c>
      <x:c r="T432" s="7" t="s">
        <x:v>53</x:v>
      </x:c>
      <x:c r="U432" s="7" t="s">
        <x:v>53</x:v>
      </x:c>
      <x:c r="V432" s="7" t="s">
        <x:v>2097</x:v>
      </x:c>
      <x:c r="W432" s="7" t="s">
        <x:v>58</x:v>
      </x:c>
      <x:c r="X432" s="7" t="s">
        <x:v>2858</x:v>
      </x:c>
      <x:c r="Y432" s="7" t="s">
        <x:v>1187</x:v>
      </x:c>
      <x:c r="Z432" s="7" t="s">
        <x:v>2096</x:v>
      </x:c>
      <x:c r="AA432" s="7" t="s">
        <x:v>58</x:v>
      </x:c>
      <x:c r="AB432" s="8" t="s">
        <x:v>58</x:v>
      </x:c>
      <x:c r="AC432" s="8" t="s">
        <x:v>58</x:v>
      </x:c>
      <x:c r="AD432" s="8" t="s">
        <x:v>58</x:v>
      </x:c>
      <x:c r="AE432" s="8" t="s">
        <x:v>58</x:v>
      </x:c>
      <x:c r="AF432" s="8" t="s">
        <x:v>58</x:v>
      </x:c>
      <x:c r="AG432" s="7" t="s">
        <x:v>58</x:v>
      </x:c>
    </x:row>
    <x:row r="433" ht="79.5" hidden="0" customHeight="1">
      <x:c r="A433" s="7" t="s">
        <x:v>2866</x:v>
      </x:c>
      <x:c r="B433" s="7" t="s">
        <x:v>277</x:v>
      </x:c>
      <x:c r="C433" s="7" t="s">
        <x:v>279</x:v>
      </x:c>
      <x:c r="D433" s="7" t="s">
        <x:v>2099</x:v>
      </x:c>
      <x:c r="E433" s="7" t="s">
        <x:v>2525</x:v>
      </x:c>
      <x:c r="F433" s="7" t="s">
        <x:v>1942</x:v>
      </x:c>
      <x:c r="G433" s="8" t="n">
        <x:v>0.45</x:v>
      </x:c>
      <x:c r="H433" s="8" t="s">
        <x:v>58</x:v>
      </x:c>
      <x:c r="I433" s="8" t="s">
        <x:v>58</x:v>
      </x:c>
      <x:c r="J433" s="7" t="s">
        <x:v>1919</x:v>
      </x:c>
      <x:c r="K433" s="8" t="n">
        <x:v>1</x:v>
      </x:c>
      <x:c r="L433" s="8" t="n">
        <x:f aca="0">IF(AND(ISNUMBER(G433),P433&lt;&gt;"Unresolved unit / layout"),G433*K433,"Not applicable")</x:f>
        <x:v>0.45</x:v>
      </x:c>
      <x:c r="M433" s="8" t="str">
        <x:f aca="0">IF(AND(ISNUMBER(H433),P433&lt;&gt;"Unresolved unit / layout"),H433*K433,"Not applicable")</x:f>
        <x:v>Not applicable</x:v>
      </x:c>
      <x:c r="N433" s="8" t="str">
        <x:f aca="0">IF(AND(ISNUMBER(I433),P433&lt;&gt;"Unresolved unit / layout"),I433*K433,"Not applicable")</x:f>
        <x:v>Not applicable</x:v>
      </x:c>
      <x:c r="O433" s="7" t="s">
        <x:v>1942</x:v>
      </x:c>
      <x:c r="P433" s="7" t="s">
        <x:v>1921</x:v>
      </x:c>
      <x:c r="Q433" s="7" t="s">
        <x:v>1930</x:v>
      </x:c>
      <x:c r="R433" s="7" t="s">
        <x:v>58</x:v>
      </x:c>
      <x:c r="S433" s="7" t="s">
        <x:v>53</x:v>
      </x:c>
      <x:c r="T433" s="7" t="s">
        <x:v>53</x:v>
      </x:c>
      <x:c r="U433" s="7" t="s">
        <x:v>53</x:v>
      </x:c>
      <x:c r="V433" s="7" t="s">
        <x:v>2867</x:v>
      </x:c>
      <x:c r="W433" s="7" t="s">
        <x:v>58</x:v>
      </x:c>
      <x:c r="X433" s="7" t="s">
        <x:v>2858</x:v>
      </x:c>
      <x:c r="Y433" s="7" t="s">
        <x:v>1187</x:v>
      </x:c>
      <x:c r="Z433" s="7" t="s">
        <x:v>2193</x:v>
      </x:c>
      <x:c r="AA433" s="7" t="s">
        <x:v>58</x:v>
      </x:c>
      <x:c r="AB433" s="8" t="s">
        <x:v>58</x:v>
      </x:c>
      <x:c r="AC433" s="8" t="s">
        <x:v>58</x:v>
      </x:c>
      <x:c r="AD433" s="8" t="s">
        <x:v>58</x:v>
      </x:c>
      <x:c r="AE433" s="8" t="s">
        <x:v>58</x:v>
      </x:c>
      <x:c r="AF433" s="8" t="s">
        <x:v>58</x:v>
      </x:c>
      <x:c r="AG433" s="7" t="s">
        <x:v>58</x:v>
      </x:c>
    </x:row>
    <x:row r="434" ht="79.5" hidden="0" customHeight="1">
      <x:c r="A434" s="7" t="s">
        <x:v>2868</x:v>
      </x:c>
      <x:c r="B434" s="7" t="s">
        <x:v>277</x:v>
      </x:c>
      <x:c r="C434" s="7" t="s">
        <x:v>279</x:v>
      </x:c>
      <x:c r="D434" s="7" t="s">
        <x:v>1935</x:v>
      </x:c>
      <x:c r="E434" s="7" t="s">
        <x:v>2869</x:v>
      </x:c>
      <x:c r="F434" s="7" t="s">
        <x:v>1929</x:v>
      </x:c>
      <x:c r="G434" s="8" t="n">
        <x:v>2780</x:v>
      </x:c>
      <x:c r="H434" s="8" t="n">
        <x:v>65</x:v>
      </x:c>
      <x:c r="I434" s="8" t="s">
        <x:v>58</x:v>
      </x:c>
      <x:c r="J434" s="7" t="s">
        <x:v>1919</x:v>
      </x:c>
      <x:c r="K434" s="8" t="n">
        <x:v>0.001</x:v>
      </x:c>
      <x:c r="L434" s="8" t="n">
        <x:f aca="0">IF(AND(ISNUMBER(G434),P434&lt;&gt;"Unresolved unit / layout"),G434*K434,"Not applicable")</x:f>
        <x:v>2.7800000000000002</x:v>
      </x:c>
      <x:c r="M434" s="8" t="n">
        <x:f aca="0">IF(AND(ISNUMBER(H434),P434&lt;&gt;"Unresolved unit / layout"),H434*K434,"Not applicable")</x:f>
        <x:v>0.065</x:v>
      </x:c>
      <x:c r="N434" s="8" t="str">
        <x:f aca="0">IF(AND(ISNUMBER(I434),P434&lt;&gt;"Unresolved unit / layout"),I434*K434,"Not applicable")</x:f>
        <x:v>Not applicable</x:v>
      </x:c>
      <x:c r="O434" s="7" t="s">
        <x:v>1937</x:v>
      </x:c>
      <x:c r="P434" s="7" t="s">
        <x:v>1921</x:v>
      </x:c>
      <x:c r="Q434" s="7" t="s">
        <x:v>1930</x:v>
      </x:c>
      <x:c r="R434" s="7" t="s">
        <x:v>1931</x:v>
      </x:c>
      <x:c r="S434" s="7" t="s">
        <x:v>53</x:v>
      </x:c>
      <x:c r="T434" s="7" t="s">
        <x:v>53</x:v>
      </x:c>
      <x:c r="U434" s="7" t="s">
        <x:v>53</x:v>
      </x:c>
      <x:c r="V434" s="7" t="s">
        <x:v>1999</x:v>
      </x:c>
      <x:c r="W434" s="7" t="s">
        <x:v>58</x:v>
      </x:c>
      <x:c r="X434" s="7" t="s">
        <x:v>2858</x:v>
      </x:c>
      <x:c r="Y434" s="7" t="s">
        <x:v>1187</x:v>
      </x:c>
      <x:c r="Z434" s="7" t="s">
        <x:v>2105</x:v>
      </x:c>
      <x:c r="AA434" s="7" t="s">
        <x:v>58</x:v>
      </x:c>
      <x:c r="AB434" s="8" t="s">
        <x:v>58</x:v>
      </x:c>
      <x:c r="AC434" s="8" t="s">
        <x:v>58</x:v>
      </x:c>
      <x:c r="AD434" s="8" t="s">
        <x:v>58</x:v>
      </x:c>
      <x:c r="AE434" s="8" t="s">
        <x:v>58</x:v>
      </x:c>
      <x:c r="AF434" s="8" t="s">
        <x:v>58</x:v>
      </x:c>
      <x:c r="AG434" s="7" t="s">
        <x:v>58</x:v>
      </x:c>
    </x:row>
    <x:row r="435" ht="79.5" hidden="0" customHeight="1">
      <x:c r="A435" s="7" t="s">
        <x:v>2870</x:v>
      </x:c>
      <x:c r="B435" s="7" t="s">
        <x:v>277</x:v>
      </x:c>
      <x:c r="C435" s="7" t="s">
        <x:v>279</x:v>
      </x:c>
      <x:c r="D435" s="7" t="s">
        <x:v>1935</x:v>
      </x:c>
      <x:c r="E435" s="7" t="s">
        <x:v>2871</x:v>
      </x:c>
      <x:c r="F435" s="7" t="s">
        <x:v>1929</x:v>
      </x:c>
      <x:c r="G435" s="8" t="n">
        <x:v>2550</x:v>
      </x:c>
      <x:c r="H435" s="8" t="n">
        <x:v>100</x:v>
      </x:c>
      <x:c r="I435" s="8" t="s">
        <x:v>58</x:v>
      </x:c>
      <x:c r="J435" s="7" t="s">
        <x:v>1919</x:v>
      </x:c>
      <x:c r="K435" s="8" t="n">
        <x:v>0.001</x:v>
      </x:c>
      <x:c r="L435" s="8" t="n">
        <x:f aca="0">IF(AND(ISNUMBER(G435),P435&lt;&gt;"Unresolved unit / layout"),G435*K435,"Not applicable")</x:f>
        <x:v>2.5500000000000003</x:v>
      </x:c>
      <x:c r="M435" s="8" t="n">
        <x:f aca="0">IF(AND(ISNUMBER(H435),P435&lt;&gt;"Unresolved unit / layout"),H435*K435,"Not applicable")</x:f>
        <x:v>0.1</x:v>
      </x:c>
      <x:c r="N435" s="8" t="str">
        <x:f aca="0">IF(AND(ISNUMBER(I435),P435&lt;&gt;"Unresolved unit / layout"),I435*K435,"Not applicable")</x:f>
        <x:v>Not applicable</x:v>
      </x:c>
      <x:c r="O435" s="7" t="s">
        <x:v>1937</x:v>
      </x:c>
      <x:c r="P435" s="7" t="s">
        <x:v>1921</x:v>
      </x:c>
      <x:c r="Q435" s="7" t="s">
        <x:v>1930</x:v>
      </x:c>
      <x:c r="R435" s="7" t="s">
        <x:v>2003</x:v>
      </x:c>
      <x:c r="S435" s="7" t="s">
        <x:v>53</x:v>
      </x:c>
      <x:c r="T435" s="7" t="s">
        <x:v>53</x:v>
      </x:c>
      <x:c r="U435" s="7" t="s">
        <x:v>53</x:v>
      </x:c>
      <x:c r="V435" s="7" t="s">
        <x:v>1999</x:v>
      </x:c>
      <x:c r="W435" s="7" t="s">
        <x:v>58</x:v>
      </x:c>
      <x:c r="X435" s="7" t="s">
        <x:v>2858</x:v>
      </x:c>
      <x:c r="Y435" s="7" t="s">
        <x:v>1187</x:v>
      </x:c>
      <x:c r="Z435" s="7" t="s">
        <x:v>2108</x:v>
      </x:c>
      <x:c r="AA435" s="7" t="s">
        <x:v>58</x:v>
      </x:c>
      <x:c r="AB435" s="8" t="s">
        <x:v>58</x:v>
      </x:c>
      <x:c r="AC435" s="8" t="s">
        <x:v>58</x:v>
      </x:c>
      <x:c r="AD435" s="8" t="s">
        <x:v>58</x:v>
      </x:c>
      <x:c r="AE435" s="8" t="s">
        <x:v>58</x:v>
      </x:c>
      <x:c r="AF435" s="8" t="s">
        <x:v>58</x:v>
      </x:c>
      <x:c r="AG435" s="7" t="s">
        <x:v>58</x:v>
      </x:c>
    </x:row>
    <x:row r="436" ht="79.5" hidden="0" customHeight="1">
      <x:c r="A436" s="7" t="s">
        <x:v>2872</x:v>
      </x:c>
      <x:c r="B436" s="7" t="s">
        <x:v>277</x:v>
      </x:c>
      <x:c r="C436" s="7" t="s">
        <x:v>279</x:v>
      </x:c>
      <x:c r="D436" s="7" t="s">
        <x:v>2006</x:v>
      </x:c>
      <x:c r="E436" s="7" t="s">
        <x:v>2873</x:v>
      </x:c>
      <x:c r="F436" s="7" t="s">
        <x:v>1929</x:v>
      </x:c>
      <x:c r="G436" s="8" t="n">
        <x:v>51</x:v>
      </x:c>
      <x:c r="H436" s="8" t="n">
        <x:v>1</x:v>
      </x:c>
      <x:c r="I436" s="8" t="s">
        <x:v>58</x:v>
      </x:c>
      <x:c r="J436" s="7" t="s">
        <x:v>1919</x:v>
      </x:c>
      <x:c r="K436" s="8" t="n">
        <x:v>1</x:v>
      </x:c>
      <x:c r="L436" s="8" t="n">
        <x:f aca="0">IF(AND(ISNUMBER(G436),P436&lt;&gt;"Unresolved unit / layout"),G436*K436,"Not applicable")</x:f>
        <x:v>51</x:v>
      </x:c>
      <x:c r="M436" s="8" t="n">
        <x:f aca="0">IF(AND(ISNUMBER(H436),P436&lt;&gt;"Unresolved unit / layout"),H436*K436,"Not applicable")</x:f>
        <x:v>1</x:v>
      </x:c>
      <x:c r="N436" s="8" t="str">
        <x:f aca="0">IF(AND(ISNUMBER(I436),P436&lt;&gt;"Unresolved unit / layout"),I436*K436,"Not applicable")</x:f>
        <x:v>Not applicable</x:v>
      </x:c>
      <x:c r="O436" s="7" t="s">
        <x:v>1929</x:v>
      </x:c>
      <x:c r="P436" s="7" t="s">
        <x:v>1921</x:v>
      </x:c>
      <x:c r="Q436" s="7" t="s">
        <x:v>1930</x:v>
      </x:c>
      <x:c r="R436" s="7" t="s">
        <x:v>1931</x:v>
      </x:c>
      <x:c r="S436" s="7" t="s">
        <x:v>53</x:v>
      </x:c>
      <x:c r="T436" s="7" t="s">
        <x:v>53</x:v>
      </x:c>
      <x:c r="U436" s="7" t="s">
        <x:v>53</x:v>
      </x:c>
      <x:c r="V436" s="7" t="s">
        <x:v>1999</x:v>
      </x:c>
      <x:c r="W436" s="7" t="s">
        <x:v>58</x:v>
      </x:c>
      <x:c r="X436" s="7" t="s">
        <x:v>2858</x:v>
      </x:c>
      <x:c r="Y436" s="7" t="s">
        <x:v>1187</x:v>
      </x:c>
      <x:c r="Z436" s="7" t="s">
        <x:v>2111</x:v>
      </x:c>
      <x:c r="AA436" s="7" t="s">
        <x:v>58</x:v>
      </x:c>
      <x:c r="AB436" s="8" t="s">
        <x:v>58</x:v>
      </x:c>
      <x:c r="AC436" s="8" t="s">
        <x:v>58</x:v>
      </x:c>
      <x:c r="AD436" s="8" t="s">
        <x:v>58</x:v>
      </x:c>
      <x:c r="AE436" s="8" t="s">
        <x:v>58</x:v>
      </x:c>
      <x:c r="AF436" s="8" t="s">
        <x:v>58</x:v>
      </x:c>
      <x:c r="AG436" s="7" t="s">
        <x:v>58</x:v>
      </x:c>
    </x:row>
    <x:row r="437" ht="79.5" hidden="0" customHeight="1">
      <x:c r="A437" s="7" t="s">
        <x:v>2874</x:v>
      </x:c>
      <x:c r="B437" s="7" t="s">
        <x:v>277</x:v>
      </x:c>
      <x:c r="C437" s="7" t="s">
        <x:v>279</x:v>
      </x:c>
      <x:c r="D437" s="7" t="s">
        <x:v>2006</x:v>
      </x:c>
      <x:c r="E437" s="7" t="s">
        <x:v>2875</x:v>
      </x:c>
      <x:c r="F437" s="7" t="s">
        <x:v>1929</x:v>
      </x:c>
      <x:c r="G437" s="8" t="n">
        <x:v>35</x:v>
      </x:c>
      <x:c r="H437" s="8" t="n">
        <x:v>6</x:v>
      </x:c>
      <x:c r="I437" s="8" t="s">
        <x:v>58</x:v>
      </x:c>
      <x:c r="J437" s="7" t="s">
        <x:v>1919</x:v>
      </x:c>
      <x:c r="K437" s="8" t="n">
        <x:v>1</x:v>
      </x:c>
      <x:c r="L437" s="8" t="n">
        <x:f aca="0">IF(AND(ISNUMBER(G437),P437&lt;&gt;"Unresolved unit / layout"),G437*K437,"Not applicable")</x:f>
        <x:v>35</x:v>
      </x:c>
      <x:c r="M437" s="8" t="n">
        <x:f aca="0">IF(AND(ISNUMBER(H437),P437&lt;&gt;"Unresolved unit / layout"),H437*K437,"Not applicable")</x:f>
        <x:v>6</x:v>
      </x:c>
      <x:c r="N437" s="8" t="str">
        <x:f aca="0">IF(AND(ISNUMBER(I437),P437&lt;&gt;"Unresolved unit / layout"),I437*K437,"Not applicable")</x:f>
        <x:v>Not applicable</x:v>
      </x:c>
      <x:c r="O437" s="7" t="s">
        <x:v>1929</x:v>
      </x:c>
      <x:c r="P437" s="7" t="s">
        <x:v>1921</x:v>
      </x:c>
      <x:c r="Q437" s="7" t="s">
        <x:v>1930</x:v>
      </x:c>
      <x:c r="R437" s="7" t="s">
        <x:v>2003</x:v>
      </x:c>
      <x:c r="S437" s="7" t="s">
        <x:v>53</x:v>
      </x:c>
      <x:c r="T437" s="7" t="s">
        <x:v>53</x:v>
      </x:c>
      <x:c r="U437" s="7" t="s">
        <x:v>53</x:v>
      </x:c>
      <x:c r="V437" s="7" t="s">
        <x:v>1999</x:v>
      </x:c>
      <x:c r="W437" s="7" t="s">
        <x:v>58</x:v>
      </x:c>
      <x:c r="X437" s="7" t="s">
        <x:v>2858</x:v>
      </x:c>
      <x:c r="Y437" s="7" t="s">
        <x:v>1187</x:v>
      </x:c>
      <x:c r="Z437" s="7" t="s">
        <x:v>2114</x:v>
      </x:c>
      <x:c r="AA437" s="7" t="s">
        <x:v>58</x:v>
      </x:c>
      <x:c r="AB437" s="8" t="s">
        <x:v>58</x:v>
      </x:c>
      <x:c r="AC437" s="8" t="s">
        <x:v>58</x:v>
      </x:c>
      <x:c r="AD437" s="8" t="s">
        <x:v>58</x:v>
      </x:c>
      <x:c r="AE437" s="8" t="s">
        <x:v>58</x:v>
      </x:c>
      <x:c r="AF437" s="8" t="s">
        <x:v>58</x:v>
      </x:c>
      <x:c r="AG437" s="7" t="s">
        <x:v>58</x:v>
      </x:c>
    </x:row>
    <x:row r="438" ht="79.5" hidden="0" customHeight="1">
      <x:c r="A438" s="7" t="s">
        <x:v>2876</x:v>
      </x:c>
      <x:c r="B438" s="7" t="s">
        <x:v>277</x:v>
      </x:c>
      <x:c r="C438" s="7" t="s">
        <x:v>279</x:v>
      </x:c>
      <x:c r="D438" s="7" t="s">
        <x:v>1940</x:v>
      </x:c>
      <x:c r="E438" s="7" t="s">
        <x:v>2877</x:v>
      </x:c>
      <x:c r="F438" s="7" t="s">
        <x:v>1942</x:v>
      </x:c>
      <x:c r="G438" s="8" t="n">
        <x:v>9.5</x:v>
      </x:c>
      <x:c r="H438" s="8" t="n">
        <x:v>0.7</x:v>
      </x:c>
      <x:c r="I438" s="8" t="s">
        <x:v>58</x:v>
      </x:c>
      <x:c r="J438" s="7" t="s">
        <x:v>1919</x:v>
      </x:c>
      <x:c r="K438" s="8" t="n">
        <x:v>1</x:v>
      </x:c>
      <x:c r="L438" s="8" t="n">
        <x:f aca="0">IF(AND(ISNUMBER(G438),P438&lt;&gt;"Unresolved unit / layout"),G438*K438,"Not applicable")</x:f>
        <x:v>9.5</x:v>
      </x:c>
      <x:c r="M438" s="8" t="n">
        <x:f aca="0">IF(AND(ISNUMBER(H438),P438&lt;&gt;"Unresolved unit / layout"),H438*K438,"Not applicable")</x:f>
        <x:v>0.7</x:v>
      </x:c>
      <x:c r="N438" s="8" t="str">
        <x:f aca="0">IF(AND(ISNUMBER(I438),P438&lt;&gt;"Unresolved unit / layout"),I438*K438,"Not applicable")</x:f>
        <x:v>Not applicable</x:v>
      </x:c>
      <x:c r="O438" s="7" t="s">
        <x:v>1942</x:v>
      </x:c>
      <x:c r="P438" s="7" t="s">
        <x:v>1921</x:v>
      </x:c>
      <x:c r="Q438" s="7" t="s">
        <x:v>1930</x:v>
      </x:c>
      <x:c r="R438" s="7" t="s">
        <x:v>1931</x:v>
      </x:c>
      <x:c r="S438" s="7" t="s">
        <x:v>53</x:v>
      </x:c>
      <x:c r="T438" s="7" t="s">
        <x:v>53</x:v>
      </x:c>
      <x:c r="U438" s="7" t="s">
        <x:v>53</x:v>
      </x:c>
      <x:c r="V438" s="7" t="s">
        <x:v>1999</x:v>
      </x:c>
      <x:c r="W438" s="7" t="s">
        <x:v>58</x:v>
      </x:c>
      <x:c r="X438" s="7" t="s">
        <x:v>2858</x:v>
      </x:c>
      <x:c r="Y438" s="7" t="s">
        <x:v>1187</x:v>
      </x:c>
      <x:c r="Z438" s="7" t="s">
        <x:v>2117</x:v>
      </x:c>
      <x:c r="AA438" s="7" t="s">
        <x:v>58</x:v>
      </x:c>
      <x:c r="AB438" s="8" t="s">
        <x:v>58</x:v>
      </x:c>
      <x:c r="AC438" s="8" t="s">
        <x:v>58</x:v>
      </x:c>
      <x:c r="AD438" s="8" t="s">
        <x:v>58</x:v>
      </x:c>
      <x:c r="AE438" s="8" t="s">
        <x:v>58</x:v>
      </x:c>
      <x:c r="AF438" s="8" t="s">
        <x:v>58</x:v>
      </x:c>
      <x:c r="AG438" s="7" t="s">
        <x:v>58</x:v>
      </x:c>
    </x:row>
    <x:row r="439" ht="79.5" hidden="0" customHeight="1">
      <x:c r="A439" s="7" t="s">
        <x:v>2878</x:v>
      </x:c>
      <x:c r="B439" s="7" t="s">
        <x:v>277</x:v>
      </x:c>
      <x:c r="C439" s="7" t="s">
        <x:v>279</x:v>
      </x:c>
      <x:c r="D439" s="7" t="s">
        <x:v>1940</x:v>
      </x:c>
      <x:c r="E439" s="7" t="s">
        <x:v>2879</x:v>
      </x:c>
      <x:c r="F439" s="7" t="s">
        <x:v>1942</x:v>
      </x:c>
      <x:c r="G439" s="8" t="n">
        <x:v>5.2</x:v>
      </x:c>
      <x:c r="H439" s="8" t="n">
        <x:v>1.4</x:v>
      </x:c>
      <x:c r="I439" s="8" t="s">
        <x:v>58</x:v>
      </x:c>
      <x:c r="J439" s="7" t="s">
        <x:v>1919</x:v>
      </x:c>
      <x:c r="K439" s="8" t="n">
        <x:v>1</x:v>
      </x:c>
      <x:c r="L439" s="8" t="n">
        <x:f aca="0">IF(AND(ISNUMBER(G439),P439&lt;&gt;"Unresolved unit / layout"),G439*K439,"Not applicable")</x:f>
        <x:v>5.2</x:v>
      </x:c>
      <x:c r="M439" s="8" t="n">
        <x:f aca="0">IF(AND(ISNUMBER(H439),P439&lt;&gt;"Unresolved unit / layout"),H439*K439,"Not applicable")</x:f>
        <x:v>1.4</x:v>
      </x:c>
      <x:c r="N439" s="8" t="str">
        <x:f aca="0">IF(AND(ISNUMBER(I439),P439&lt;&gt;"Unresolved unit / layout"),I439*K439,"Not applicable")</x:f>
        <x:v>Not applicable</x:v>
      </x:c>
      <x:c r="O439" s="7" t="s">
        <x:v>1942</x:v>
      </x:c>
      <x:c r="P439" s="7" t="s">
        <x:v>1921</x:v>
      </x:c>
      <x:c r="Q439" s="7" t="s">
        <x:v>1930</x:v>
      </x:c>
      <x:c r="R439" s="7" t="s">
        <x:v>2003</x:v>
      </x:c>
      <x:c r="S439" s="7" t="s">
        <x:v>53</x:v>
      </x:c>
      <x:c r="T439" s="7" t="s">
        <x:v>53</x:v>
      </x:c>
      <x:c r="U439" s="7" t="s">
        <x:v>53</x:v>
      </x:c>
      <x:c r="V439" s="7" t="s">
        <x:v>1999</x:v>
      </x:c>
      <x:c r="W439" s="7" t="s">
        <x:v>58</x:v>
      </x:c>
      <x:c r="X439" s="7" t="s">
        <x:v>2858</x:v>
      </x:c>
      <x:c r="Y439" s="7" t="s">
        <x:v>1187</x:v>
      </x:c>
      <x:c r="Z439" s="7" t="s">
        <x:v>2120</x:v>
      </x:c>
      <x:c r="AA439" s="7" t="s">
        <x:v>58</x:v>
      </x:c>
      <x:c r="AB439" s="8" t="s">
        <x:v>58</x:v>
      </x:c>
      <x:c r="AC439" s="8" t="s">
        <x:v>58</x:v>
      </x:c>
      <x:c r="AD439" s="8" t="s">
        <x:v>58</x:v>
      </x:c>
      <x:c r="AE439" s="8" t="s">
        <x:v>58</x:v>
      </x:c>
      <x:c r="AF439" s="8" t="s">
        <x:v>58</x:v>
      </x:c>
      <x:c r="AG439" s="7" t="s">
        <x:v>58</x:v>
      </x:c>
    </x:row>
    <x:row r="440" ht="79.5" hidden="0" customHeight="1">
      <x:c r="A440" s="7" t="s">
        <x:v>2880</x:v>
      </x:c>
      <x:c r="B440" s="7" t="s">
        <x:v>277</x:v>
      </x:c>
      <x:c r="C440" s="7" t="s">
        <x:v>279</x:v>
      </x:c>
      <x:c r="D440" s="7" t="s">
        <x:v>1950</x:v>
      </x:c>
      <x:c r="E440" s="7" t="s">
        <x:v>2881</x:v>
      </x:c>
      <x:c r="F440" s="7" t="s">
        <x:v>1929</x:v>
      </x:c>
      <x:c r="G440" s="8" t="n">
        <x:v>1950</x:v>
      </x:c>
      <x:c r="H440" s="8" t="n">
        <x:v>50</x:v>
      </x:c>
      <x:c r="I440" s="8" t="s">
        <x:v>58</x:v>
      </x:c>
      <x:c r="J440" s="7" t="s">
        <x:v>1919</x:v>
      </x:c>
      <x:c r="K440" s="8" t="n">
        <x:v>0.001</x:v>
      </x:c>
      <x:c r="L440" s="8" t="n">
        <x:f aca="0">IF(AND(ISNUMBER(G440),P440&lt;&gt;"Unresolved unit / layout"),G440*K440,"Not applicable")</x:f>
        <x:v>1.95</x:v>
      </x:c>
      <x:c r="M440" s="8" t="n">
        <x:f aca="0">IF(AND(ISNUMBER(H440),P440&lt;&gt;"Unresolved unit / layout"),H440*K440,"Not applicable")</x:f>
        <x:v>0.05</x:v>
      </x:c>
      <x:c r="N440" s="8" t="str">
        <x:f aca="0">IF(AND(ISNUMBER(I440),P440&lt;&gt;"Unresolved unit / layout"),I440*K440,"Not applicable")</x:f>
        <x:v>Not applicable</x:v>
      </x:c>
      <x:c r="O440" s="7" t="s">
        <x:v>1937</x:v>
      </x:c>
      <x:c r="P440" s="7" t="s">
        <x:v>1921</x:v>
      </x:c>
      <x:c r="Q440" s="7" t="s">
        <x:v>1930</x:v>
      </x:c>
      <x:c r="R440" s="7" t="s">
        <x:v>1931</x:v>
      </x:c>
      <x:c r="S440" s="7" t="s">
        <x:v>53</x:v>
      </x:c>
      <x:c r="T440" s="7" t="s">
        <x:v>53</x:v>
      </x:c>
      <x:c r="U440" s="7" t="s">
        <x:v>53</x:v>
      </x:c>
      <x:c r="V440" s="7" t="s">
        <x:v>2020</x:v>
      </x:c>
      <x:c r="W440" s="7" t="s">
        <x:v>58</x:v>
      </x:c>
      <x:c r="X440" s="7" t="s">
        <x:v>2858</x:v>
      </x:c>
      <x:c r="Y440" s="7" t="s">
        <x:v>1187</x:v>
      </x:c>
      <x:c r="Z440" s="7" t="s">
        <x:v>2123</x:v>
      </x:c>
      <x:c r="AA440" s="7" t="s">
        <x:v>58</x:v>
      </x:c>
      <x:c r="AB440" s="8" t="s">
        <x:v>58</x:v>
      </x:c>
      <x:c r="AC440" s="8" t="s">
        <x:v>58</x:v>
      </x:c>
      <x:c r="AD440" s="8" t="s">
        <x:v>58</x:v>
      </x:c>
      <x:c r="AE440" s="8" t="s">
        <x:v>58</x:v>
      </x:c>
      <x:c r="AF440" s="8" t="s">
        <x:v>58</x:v>
      </x:c>
      <x:c r="AG440" s="7" t="s">
        <x:v>58</x:v>
      </x:c>
    </x:row>
    <x:row r="441" ht="79.5" hidden="0" customHeight="1">
      <x:c r="A441" s="7" t="s">
        <x:v>2882</x:v>
      </x:c>
      <x:c r="B441" s="7" t="s">
        <x:v>277</x:v>
      </x:c>
      <x:c r="C441" s="7" t="s">
        <x:v>279</x:v>
      </x:c>
      <x:c r="D441" s="7" t="s">
        <x:v>1950</x:v>
      </x:c>
      <x:c r="E441" s="7" t="s">
        <x:v>2883</x:v>
      </x:c>
      <x:c r="F441" s="7" t="s">
        <x:v>1929</x:v>
      </x:c>
      <x:c r="G441" s="8" t="n">
        <x:v>1740</x:v>
      </x:c>
      <x:c r="H441" s="8" t="n">
        <x:v>40</x:v>
      </x:c>
      <x:c r="I441" s="8" t="s">
        <x:v>58</x:v>
      </x:c>
      <x:c r="J441" s="7" t="s">
        <x:v>1919</x:v>
      </x:c>
      <x:c r="K441" s="8" t="n">
        <x:v>0.001</x:v>
      </x:c>
      <x:c r="L441" s="8" t="n">
        <x:f aca="0">IF(AND(ISNUMBER(G441),P441&lt;&gt;"Unresolved unit / layout"),G441*K441,"Not applicable")</x:f>
        <x:v>1.74</x:v>
      </x:c>
      <x:c r="M441" s="8" t="n">
        <x:f aca="0">IF(AND(ISNUMBER(H441),P441&lt;&gt;"Unresolved unit / layout"),H441*K441,"Not applicable")</x:f>
        <x:v>0.04</x:v>
      </x:c>
      <x:c r="N441" s="8" t="str">
        <x:f aca="0">IF(AND(ISNUMBER(I441),P441&lt;&gt;"Unresolved unit / layout"),I441*K441,"Not applicable")</x:f>
        <x:v>Not applicable</x:v>
      </x:c>
      <x:c r="O441" s="7" t="s">
        <x:v>1937</x:v>
      </x:c>
      <x:c r="P441" s="7" t="s">
        <x:v>1921</x:v>
      </x:c>
      <x:c r="Q441" s="7" t="s">
        <x:v>1930</x:v>
      </x:c>
      <x:c r="R441" s="7" t="s">
        <x:v>2003</x:v>
      </x:c>
      <x:c r="S441" s="7" t="s">
        <x:v>53</x:v>
      </x:c>
      <x:c r="T441" s="7" t="s">
        <x:v>53</x:v>
      </x:c>
      <x:c r="U441" s="7" t="s">
        <x:v>53</x:v>
      </x:c>
      <x:c r="V441" s="7" t="s">
        <x:v>2020</x:v>
      </x:c>
      <x:c r="W441" s="7" t="s">
        <x:v>58</x:v>
      </x:c>
      <x:c r="X441" s="7" t="s">
        <x:v>2858</x:v>
      </x:c>
      <x:c r="Y441" s="7" t="s">
        <x:v>1187</x:v>
      </x:c>
      <x:c r="Z441" s="7" t="s">
        <x:v>2210</x:v>
      </x:c>
      <x:c r="AA441" s="7" t="s">
        <x:v>58</x:v>
      </x:c>
      <x:c r="AB441" s="8" t="s">
        <x:v>58</x:v>
      </x:c>
      <x:c r="AC441" s="8" t="s">
        <x:v>58</x:v>
      </x:c>
      <x:c r="AD441" s="8" t="s">
        <x:v>58</x:v>
      </x:c>
      <x:c r="AE441" s="8" t="s">
        <x:v>58</x:v>
      </x:c>
      <x:c r="AF441" s="8" t="s">
        <x:v>58</x:v>
      </x:c>
      <x:c r="AG441" s="7" t="s">
        <x:v>58</x:v>
      </x:c>
    </x:row>
    <x:row r="442" ht="79.5" hidden="0" customHeight="1">
      <x:c r="A442" s="7" t="s">
        <x:v>2884</x:v>
      </x:c>
      <x:c r="B442" s="7" t="s">
        <x:v>277</x:v>
      </x:c>
      <x:c r="C442" s="7" t="s">
        <x:v>279</x:v>
      </x:c>
      <x:c r="D442" s="7" t="s">
        <x:v>1945</x:v>
      </x:c>
      <x:c r="E442" s="7" t="s">
        <x:v>2885</x:v>
      </x:c>
      <x:c r="F442" s="7" t="s">
        <x:v>1929</x:v>
      </x:c>
      <x:c r="G442" s="8" t="n">
        <x:v>75</x:v>
      </x:c>
      <x:c r="H442" s="8" t="n">
        <x:v>3</x:v>
      </x:c>
      <x:c r="I442" s="8" t="s">
        <x:v>58</x:v>
      </x:c>
      <x:c r="J442" s="7" t="s">
        <x:v>1919</x:v>
      </x:c>
      <x:c r="K442" s="8" t="n">
        <x:v>1</x:v>
      </x:c>
      <x:c r="L442" s="8" t="n">
        <x:f aca="0">IF(AND(ISNUMBER(G442),P442&lt;&gt;"Unresolved unit / layout"),G442*K442,"Not applicable")</x:f>
        <x:v>75</x:v>
      </x:c>
      <x:c r="M442" s="8" t="n">
        <x:f aca="0">IF(AND(ISNUMBER(H442),P442&lt;&gt;"Unresolved unit / layout"),H442*K442,"Not applicable")</x:f>
        <x:v>3</x:v>
      </x:c>
      <x:c r="N442" s="8" t="str">
        <x:f aca="0">IF(AND(ISNUMBER(I442),P442&lt;&gt;"Unresolved unit / layout"),I442*K442,"Not applicable")</x:f>
        <x:v>Not applicable</x:v>
      </x:c>
      <x:c r="O442" s="7" t="s">
        <x:v>1929</x:v>
      </x:c>
      <x:c r="P442" s="7" t="s">
        <x:v>1921</x:v>
      </x:c>
      <x:c r="Q442" s="7" t="s">
        <x:v>1930</x:v>
      </x:c>
      <x:c r="R442" s="7" t="s">
        <x:v>1931</x:v>
      </x:c>
      <x:c r="S442" s="7" t="s">
        <x:v>53</x:v>
      </x:c>
      <x:c r="T442" s="7" t="s">
        <x:v>53</x:v>
      </x:c>
      <x:c r="U442" s="7" t="s">
        <x:v>53</x:v>
      </x:c>
      <x:c r="V442" s="7" t="s">
        <x:v>2020</x:v>
      </x:c>
      <x:c r="W442" s="7" t="s">
        <x:v>58</x:v>
      </x:c>
      <x:c r="X442" s="7" t="s">
        <x:v>2858</x:v>
      </x:c>
      <x:c r="Y442" s="7" t="s">
        <x:v>1187</x:v>
      </x:c>
      <x:c r="Z442" s="7" t="s">
        <x:v>2213</x:v>
      </x:c>
      <x:c r="AA442" s="7" t="s">
        <x:v>58</x:v>
      </x:c>
      <x:c r="AB442" s="8" t="s">
        <x:v>58</x:v>
      </x:c>
      <x:c r="AC442" s="8" t="s">
        <x:v>58</x:v>
      </x:c>
      <x:c r="AD442" s="8" t="s">
        <x:v>58</x:v>
      </x:c>
      <x:c r="AE442" s="8" t="s">
        <x:v>58</x:v>
      </x:c>
      <x:c r="AF442" s="8" t="s">
        <x:v>58</x:v>
      </x:c>
      <x:c r="AG442" s="7" t="s">
        <x:v>58</x:v>
      </x:c>
    </x:row>
    <x:row r="443" ht="79.5" hidden="0" customHeight="1">
      <x:c r="A443" s="7" t="s">
        <x:v>2886</x:v>
      </x:c>
      <x:c r="B443" s="7" t="s">
        <x:v>277</x:v>
      </x:c>
      <x:c r="C443" s="7" t="s">
        <x:v>279</x:v>
      </x:c>
      <x:c r="D443" s="7" t="s">
        <x:v>1945</x:v>
      </x:c>
      <x:c r="E443" s="7" t="s">
        <x:v>2887</x:v>
      </x:c>
      <x:c r="F443" s="7" t="s">
        <x:v>1929</x:v>
      </x:c>
      <x:c r="G443" s="8" t="n">
        <x:v>56</x:v>
      </x:c>
      <x:c r="H443" s="8" t="n">
        <x:v>4</x:v>
      </x:c>
      <x:c r="I443" s="8" t="s">
        <x:v>58</x:v>
      </x:c>
      <x:c r="J443" s="7" t="s">
        <x:v>1919</x:v>
      </x:c>
      <x:c r="K443" s="8" t="n">
        <x:v>1</x:v>
      </x:c>
      <x:c r="L443" s="8" t="n">
        <x:f aca="0">IF(AND(ISNUMBER(G443),P443&lt;&gt;"Unresolved unit / layout"),G443*K443,"Not applicable")</x:f>
        <x:v>56</x:v>
      </x:c>
      <x:c r="M443" s="8" t="n">
        <x:f aca="0">IF(AND(ISNUMBER(H443),P443&lt;&gt;"Unresolved unit / layout"),H443*K443,"Not applicable")</x:f>
        <x:v>4</x:v>
      </x:c>
      <x:c r="N443" s="8" t="str">
        <x:f aca="0">IF(AND(ISNUMBER(I443),P443&lt;&gt;"Unresolved unit / layout"),I443*K443,"Not applicable")</x:f>
        <x:v>Not applicable</x:v>
      </x:c>
      <x:c r="O443" s="7" t="s">
        <x:v>1929</x:v>
      </x:c>
      <x:c r="P443" s="7" t="s">
        <x:v>1921</x:v>
      </x:c>
      <x:c r="Q443" s="7" t="s">
        <x:v>1930</x:v>
      </x:c>
      <x:c r="R443" s="7" t="s">
        <x:v>2003</x:v>
      </x:c>
      <x:c r="S443" s="7" t="s">
        <x:v>53</x:v>
      </x:c>
      <x:c r="T443" s="7" t="s">
        <x:v>53</x:v>
      </x:c>
      <x:c r="U443" s="7" t="s">
        <x:v>53</x:v>
      </x:c>
      <x:c r="V443" s="7" t="s">
        <x:v>2020</x:v>
      </x:c>
      <x:c r="W443" s="7" t="s">
        <x:v>58</x:v>
      </x:c>
      <x:c r="X443" s="7" t="s">
        <x:v>2858</x:v>
      </x:c>
      <x:c r="Y443" s="7" t="s">
        <x:v>1187</x:v>
      </x:c>
      <x:c r="Z443" s="7" t="s">
        <x:v>2216</x:v>
      </x:c>
      <x:c r="AA443" s="7" t="s">
        <x:v>58</x:v>
      </x:c>
      <x:c r="AB443" s="8" t="s">
        <x:v>58</x:v>
      </x:c>
      <x:c r="AC443" s="8" t="s">
        <x:v>58</x:v>
      </x:c>
      <x:c r="AD443" s="8" t="s">
        <x:v>58</x:v>
      </x:c>
      <x:c r="AE443" s="8" t="s">
        <x:v>58</x:v>
      </x:c>
      <x:c r="AF443" s="8" t="s">
        <x:v>58</x:v>
      </x:c>
      <x:c r="AG443" s="7" t="s">
        <x:v>58</x:v>
      </x:c>
    </x:row>
    <x:row r="444" ht="79.5" hidden="0" customHeight="1">
      <x:c r="A444" s="7" t="s">
        <x:v>2888</x:v>
      </x:c>
      <x:c r="B444" s="7" t="s">
        <x:v>277</x:v>
      </x:c>
      <x:c r="C444" s="7" t="s">
        <x:v>279</x:v>
      </x:c>
      <x:c r="D444" s="7" t="s">
        <x:v>2030</x:v>
      </x:c>
      <x:c r="E444" s="7" t="s">
        <x:v>2889</x:v>
      </x:c>
      <x:c r="F444" s="7" t="s">
        <x:v>2033</x:v>
      </x:c>
      <x:c r="G444" s="8" t="n">
        <x:v>34.2</x:v>
      </x:c>
      <x:c r="H444" s="8" t="n">
        <x:v>4.1</x:v>
      </x:c>
      <x:c r="I444" s="8" t="s">
        <x:v>58</x:v>
      </x:c>
      <x:c r="J444" s="7" t="s">
        <x:v>1919</x:v>
      </x:c>
      <x:c r="K444" s="8" t="n">
        <x:v>1</x:v>
      </x:c>
      <x:c r="L444" s="8" t="n">
        <x:f aca="0">IF(AND(ISNUMBER(G444),P444&lt;&gt;"Unresolved unit / layout"),G444*K444,"Not applicable")</x:f>
        <x:v>34.2</x:v>
      </x:c>
      <x:c r="M444" s="8" t="n">
        <x:f aca="0">IF(AND(ISNUMBER(H444),P444&lt;&gt;"Unresolved unit / layout"),H444*K444,"Not applicable")</x:f>
        <x:v>4.1</x:v>
      </x:c>
      <x:c r="N444" s="8" t="str">
        <x:f aca="0">IF(AND(ISNUMBER(I444),P444&lt;&gt;"Unresolved unit / layout"),I444*K444,"Not applicable")</x:f>
        <x:v>Not applicable</x:v>
      </x:c>
      <x:c r="O444" s="7" t="s">
        <x:v>2033</x:v>
      </x:c>
      <x:c r="P444" s="7" t="s">
        <x:v>1921</x:v>
      </x:c>
      <x:c r="Q444" s="7" t="s">
        <x:v>1930</x:v>
      </x:c>
      <x:c r="R444" s="7" t="s">
        <x:v>1931</x:v>
      </x:c>
      <x:c r="S444" s="7" t="s">
        <x:v>53</x:v>
      </x:c>
      <x:c r="T444" s="7" t="s">
        <x:v>53</x:v>
      </x:c>
      <x:c r="U444" s="7" t="s">
        <x:v>53</x:v>
      </x:c>
      <x:c r="V444" s="7" t="s">
        <x:v>2036</x:v>
      </x:c>
      <x:c r="W444" s="7" t="s">
        <x:v>53</x:v>
      </x:c>
      <x:c r="X444" s="7" t="s">
        <x:v>2858</x:v>
      </x:c>
      <x:c r="Y444" s="7" t="s">
        <x:v>1187</x:v>
      </x:c>
      <x:c r="Z444" s="7" t="s">
        <x:v>2378</x:v>
      </x:c>
      <x:c r="AA444" s="7" t="s">
        <x:v>58</x:v>
      </x:c>
      <x:c r="AB444" s="8" t="s">
        <x:v>58</x:v>
      </x:c>
      <x:c r="AC444" s="8" t="s">
        <x:v>58</x:v>
      </x:c>
      <x:c r="AD444" s="8" t="s">
        <x:v>58</x:v>
      </x:c>
      <x:c r="AE444" s="8" t="s">
        <x:v>58</x:v>
      </x:c>
      <x:c r="AF444" s="8" t="s">
        <x:v>58</x:v>
      </x:c>
      <x:c r="AG444" s="7" t="s">
        <x:v>58</x:v>
      </x:c>
    </x:row>
    <x:row r="445" ht="79.5" hidden="0" customHeight="1">
      <x:c r="A445" s="7" t="s">
        <x:v>2890</x:v>
      </x:c>
      <x:c r="B445" s="7" t="s">
        <x:v>277</x:v>
      </x:c>
      <x:c r="C445" s="7" t="s">
        <x:v>279</x:v>
      </x:c>
      <x:c r="D445" s="7" t="s">
        <x:v>2030</x:v>
      </x:c>
      <x:c r="E445" s="7" t="s">
        <x:v>2891</x:v>
      </x:c>
      <x:c r="F445" s="7" t="s">
        <x:v>2033</x:v>
      </x:c>
      <x:c r="G445" s="8" t="n">
        <x:v>10.5</x:v>
      </x:c>
      <x:c r="H445" s="8" t="n">
        <x:v>1.8</x:v>
      </x:c>
      <x:c r="I445" s="8" t="s">
        <x:v>58</x:v>
      </x:c>
      <x:c r="J445" s="7" t="s">
        <x:v>1919</x:v>
      </x:c>
      <x:c r="K445" s="8" t="n">
        <x:v>1</x:v>
      </x:c>
      <x:c r="L445" s="8" t="n">
        <x:f aca="0">IF(AND(ISNUMBER(G445),P445&lt;&gt;"Unresolved unit / layout"),G445*K445,"Not applicable")</x:f>
        <x:v>10.5</x:v>
      </x:c>
      <x:c r="M445" s="8" t="n">
        <x:f aca="0">IF(AND(ISNUMBER(H445),P445&lt;&gt;"Unresolved unit / layout"),H445*K445,"Not applicable")</x:f>
        <x:v>1.8</x:v>
      </x:c>
      <x:c r="N445" s="8" t="str">
        <x:f aca="0">IF(AND(ISNUMBER(I445),P445&lt;&gt;"Unresolved unit / layout"),I445*K445,"Not applicable")</x:f>
        <x:v>Not applicable</x:v>
      </x:c>
      <x:c r="O445" s="7" t="s">
        <x:v>2033</x:v>
      </x:c>
      <x:c r="P445" s="7" t="s">
        <x:v>1921</x:v>
      </x:c>
      <x:c r="Q445" s="7" t="s">
        <x:v>1930</x:v>
      </x:c>
      <x:c r="R445" s="7" t="s">
        <x:v>2003</x:v>
      </x:c>
      <x:c r="S445" s="7" t="s">
        <x:v>53</x:v>
      </x:c>
      <x:c r="T445" s="7" t="s">
        <x:v>53</x:v>
      </x:c>
      <x:c r="U445" s="7" t="s">
        <x:v>53</x:v>
      </x:c>
      <x:c r="V445" s="7" t="s">
        <x:v>2036</x:v>
      </x:c>
      <x:c r="W445" s="7" t="s">
        <x:v>53</x:v>
      </x:c>
      <x:c r="X445" s="7" t="s">
        <x:v>2858</x:v>
      </x:c>
      <x:c r="Y445" s="7" t="s">
        <x:v>1187</x:v>
      </x:c>
      <x:c r="Z445" s="7" t="s">
        <x:v>2225</x:v>
      </x:c>
      <x:c r="AA445" s="7" t="s">
        <x:v>58</x:v>
      </x:c>
      <x:c r="AB445" s="8" t="s">
        <x:v>58</x:v>
      </x:c>
      <x:c r="AC445" s="8" t="s">
        <x:v>58</x:v>
      </x:c>
      <x:c r="AD445" s="8" t="s">
        <x:v>58</x:v>
      </x:c>
      <x:c r="AE445" s="8" t="s">
        <x:v>58</x:v>
      </x:c>
      <x:c r="AF445" s="8" t="s">
        <x:v>58</x:v>
      </x:c>
      <x:c r="AG445" s="7" t="s">
        <x:v>58</x:v>
      </x:c>
    </x:row>
    <x:row r="446" ht="79.5" hidden="0" customHeight="1">
      <x:c r="A446" s="7" t="s">
        <x:v>2892</x:v>
      </x:c>
      <x:c r="B446" s="7" t="s">
        <x:v>291</x:v>
      </x:c>
      <x:c r="C446" s="7" t="s">
        <x:v>293</x:v>
      </x:c>
      <x:c r="D446" s="7" t="s">
        <x:v>1916</x:v>
      </x:c>
      <x:c r="E446" s="7" t="s">
        <x:v>2893</x:v>
      </x:c>
      <x:c r="F446" s="7" t="s">
        <x:v>2076</x:v>
      </x:c>
      <x:c r="G446" s="8" t="n">
        <x:v>1.28</x:v>
      </x:c>
      <x:c r="H446" s="8" t="s">
        <x:v>58</x:v>
      </x:c>
      <x:c r="I446" s="8" t="s">
        <x:v>58</x:v>
      </x:c>
      <x:c r="J446" s="7" t="s">
        <x:v>1919</x:v>
      </x:c>
      <x:c r="K446" s="8" t="n">
        <x:v>1000</x:v>
      </x:c>
      <x:c r="L446" s="8" t="n">
        <x:f aca="0">IF(AND(ISNUMBER(G446),P446&lt;&gt;"Unresolved unit / layout"),G446*K446,"Not applicable")</x:f>
        <x:v>1280</x:v>
      </x:c>
      <x:c r="M446" s="8" t="str">
        <x:f aca="0">IF(AND(ISNUMBER(H446),P446&lt;&gt;"Unresolved unit / layout"),H446*K446,"Not applicable")</x:f>
        <x:v>Not applicable</x:v>
      </x:c>
      <x:c r="N446" s="8" t="str">
        <x:f aca="0">IF(AND(ISNUMBER(I446),P446&lt;&gt;"Unresolved unit / layout"),I446*K446,"Not applicable")</x:f>
        <x:v>Not applicable</x:v>
      </x:c>
      <x:c r="O446" s="7" t="s">
        <x:v>1920</x:v>
      </x:c>
      <x:c r="P446" s="7" t="s">
        <x:v>1921</x:v>
      </x:c>
      <x:c r="Q446" s="7" t="s">
        <x:v>1922</x:v>
      </x:c>
      <x:c r="R446" s="7" t="s">
        <x:v>58</x:v>
      </x:c>
      <x:c r="S446" s="7" t="s">
        <x:v>2077</x:v>
      </x:c>
      <x:c r="T446" s="7" t="s">
        <x:v>2894</x:v>
      </x:c>
      <x:c r="U446" s="7" t="s">
        <x:v>53</x:v>
      </x:c>
      <x:c r="V446" s="7" t="s">
        <x:v>1923</x:v>
      </x:c>
      <x:c r="W446" s="7" t="s">
        <x:v>58</x:v>
      </x:c>
      <x:c r="X446" s="7" t="s">
        <x:v>2895</x:v>
      </x:c>
      <x:c r="Y446" s="7" t="s">
        <x:v>1188</x:v>
      </x:c>
      <x:c r="Z446" s="7" t="s">
        <x:v>1968</x:v>
      </x:c>
      <x:c r="AA446" s="7" t="s">
        <x:v>58</x:v>
      </x:c>
      <x:c r="AB446" s="8" t="s">
        <x:v>58</x:v>
      </x:c>
      <x:c r="AC446" s="8" t="s">
        <x:v>58</x:v>
      </x:c>
      <x:c r="AD446" s="8" t="s">
        <x:v>58</x:v>
      </x:c>
      <x:c r="AE446" s="8" t="s">
        <x:v>58</x:v>
      </x:c>
      <x:c r="AF446" s="8" t="s">
        <x:v>58</x:v>
      </x:c>
      <x:c r="AG446" s="7" t="s">
        <x:v>58</x:v>
      </x:c>
    </x:row>
    <x:row r="447" ht="79.5" hidden="0" customHeight="1">
      <x:c r="A447" s="7" t="s">
        <x:v>2896</x:v>
      </x:c>
      <x:c r="B447" s="7" t="s">
        <x:v>291</x:v>
      </x:c>
      <x:c r="C447" s="7" t="s">
        <x:v>293</x:v>
      </x:c>
      <x:c r="D447" s="7" t="s">
        <x:v>1974</x:v>
      </x:c>
      <x:c r="E447" s="7" t="s">
        <x:v>2897</x:v>
      </x:c>
      <x:c r="F447" s="7" t="s">
        <x:v>1956</x:v>
      </x:c>
      <x:c r="G447" s="8" t="n">
        <x:v>214</x:v>
      </x:c>
      <x:c r="H447" s="8" t="s">
        <x:v>58</x:v>
      </x:c>
      <x:c r="I447" s="8" t="s">
        <x:v>58</x:v>
      </x:c>
      <x:c r="J447" s="7" t="s">
        <x:v>1919</x:v>
      </x:c>
      <x:c r="K447" s="8" t="n">
        <x:v>1</x:v>
      </x:c>
      <x:c r="L447" s="8" t="n">
        <x:f aca="0">IF(AND(ISNUMBER(G447),P447&lt;&gt;"Unresolved unit / layout"),G447*K447,"Not applicable")</x:f>
        <x:v>214</x:v>
      </x:c>
      <x:c r="M447" s="8" t="str">
        <x:f aca="0">IF(AND(ISNUMBER(H447),P447&lt;&gt;"Unresolved unit / layout"),H447*K447,"Not applicable")</x:f>
        <x:v>Not applicable</x:v>
      </x:c>
      <x:c r="N447" s="8" t="str">
        <x:f aca="0">IF(AND(ISNUMBER(I447),P447&lt;&gt;"Unresolved unit / layout"),I447*K447,"Not applicable")</x:f>
        <x:v>Not applicable</x:v>
      </x:c>
      <x:c r="O447" s="7" t="s">
        <x:v>1956</x:v>
      </x:c>
      <x:c r="P447" s="7" t="s">
        <x:v>1921</x:v>
      </x:c>
      <x:c r="Q447" s="7" t="s">
        <x:v>2064</x:v>
      </x:c>
      <x:c r="R447" s="7" t="s">
        <x:v>58</x:v>
      </x:c>
      <x:c r="S447" s="7" t="s">
        <x:v>2077</x:v>
      </x:c>
      <x:c r="T447" s="7" t="s">
        <x:v>2894</x:v>
      </x:c>
      <x:c r="U447" s="7" t="s">
        <x:v>53</x:v>
      </x:c>
      <x:c r="V447" s="7" t="s">
        <x:v>2082</x:v>
      </x:c>
      <x:c r="W447" s="7" t="s">
        <x:v>58</x:v>
      </x:c>
      <x:c r="X447" s="7" t="s">
        <x:v>2895</x:v>
      </x:c>
      <x:c r="Y447" s="7" t="s">
        <x:v>1188</x:v>
      </x:c>
      <x:c r="Z447" s="7" t="s">
        <x:v>2083</x:v>
      </x:c>
      <x:c r="AA447" s="7" t="s">
        <x:v>58</x:v>
      </x:c>
      <x:c r="AB447" s="8" t="s">
        <x:v>58</x:v>
      </x:c>
      <x:c r="AC447" s="8" t="s">
        <x:v>58</x:v>
      </x:c>
      <x:c r="AD447" s="8" t="s">
        <x:v>58</x:v>
      </x:c>
      <x:c r="AE447" s="8" t="s">
        <x:v>58</x:v>
      </x:c>
      <x:c r="AF447" s="8" t="s">
        <x:v>58</x:v>
      </x:c>
      <x:c r="AG447" s="7" t="s">
        <x:v>58</x:v>
      </x:c>
    </x:row>
    <x:row r="448" ht="79.5" hidden="0" customHeight="1">
      <x:c r="A448" s="7" t="s">
        <x:v>2898</x:v>
      </x:c>
      <x:c r="B448" s="7" t="s">
        <x:v>291</x:v>
      </x:c>
      <x:c r="C448" s="7" t="s">
        <x:v>293</x:v>
      </x:c>
      <x:c r="D448" s="7" t="s">
        <x:v>1954</x:v>
      </x:c>
      <x:c r="E448" s="7" t="s">
        <x:v>2314</x:v>
      </x:c>
      <x:c r="F448" s="7" t="s">
        <x:v>1956</x:v>
      </x:c>
      <x:c r="G448" s="8" t="n">
        <x:v>66</x:v>
      </x:c>
      <x:c r="H448" s="8" t="s">
        <x:v>58</x:v>
      </x:c>
      <x:c r="I448" s="8" t="s">
        <x:v>58</x:v>
      </x:c>
      <x:c r="J448" s="7" t="s">
        <x:v>1919</x:v>
      </x:c>
      <x:c r="K448" s="8" t="n">
        <x:v>1</x:v>
      </x:c>
      <x:c r="L448" s="8" t="n">
        <x:f aca="0">IF(AND(ISNUMBER(G448),P448&lt;&gt;"Unresolved unit / layout"),G448*K448,"Not applicable")</x:f>
        <x:v>66</x:v>
      </x:c>
      <x:c r="M448" s="8" t="str">
        <x:f aca="0">IF(AND(ISNUMBER(H448),P448&lt;&gt;"Unresolved unit / layout"),H448*K448,"Not applicable")</x:f>
        <x:v>Not applicable</x:v>
      </x:c>
      <x:c r="N448" s="8" t="str">
        <x:f aca="0">IF(AND(ISNUMBER(I448),P448&lt;&gt;"Unresolved unit / layout"),I448*K448,"Not applicable")</x:f>
        <x:v>Not applicable</x:v>
      </x:c>
      <x:c r="O448" s="7" t="s">
        <x:v>1956</x:v>
      </x:c>
      <x:c r="P448" s="7" t="s">
        <x:v>1921</x:v>
      </x:c>
      <x:c r="Q448" s="7" t="s">
        <x:v>2064</x:v>
      </x:c>
      <x:c r="R448" s="7" t="s">
        <x:v>58</x:v>
      </x:c>
      <x:c r="S448" s="7" t="s">
        <x:v>2077</x:v>
      </x:c>
      <x:c r="T448" s="7" t="s">
        <x:v>2894</x:v>
      </x:c>
      <x:c r="U448" s="7" t="s">
        <x:v>53</x:v>
      </x:c>
      <x:c r="V448" s="7" t="s">
        <x:v>2082</x:v>
      </x:c>
      <x:c r="W448" s="7" t="s">
        <x:v>58</x:v>
      </x:c>
      <x:c r="X448" s="7" t="s">
        <x:v>2895</x:v>
      </x:c>
      <x:c r="Y448" s="7" t="s">
        <x:v>1188</x:v>
      </x:c>
      <x:c r="Z448" s="7" t="s">
        <x:v>2086</x:v>
      </x:c>
      <x:c r="AA448" s="7" t="s">
        <x:v>58</x:v>
      </x:c>
      <x:c r="AB448" s="8" t="s">
        <x:v>58</x:v>
      </x:c>
      <x:c r="AC448" s="8" t="s">
        <x:v>58</x:v>
      </x:c>
      <x:c r="AD448" s="8" t="s">
        <x:v>58</x:v>
      </x:c>
      <x:c r="AE448" s="8" t="s">
        <x:v>58</x:v>
      </x:c>
      <x:c r="AF448" s="8" t="s">
        <x:v>58</x:v>
      </x:c>
      <x:c r="AG448" s="7" t="s">
        <x:v>58</x:v>
      </x:c>
    </x:row>
    <x:row r="449" ht="79.5" hidden="0" customHeight="1">
      <x:c r="A449" s="7" t="s">
        <x:v>2899</x:v>
      </x:c>
      <x:c r="B449" s="7" t="s">
        <x:v>291</x:v>
      </x:c>
      <x:c r="C449" s="7" t="s">
        <x:v>293</x:v>
      </x:c>
      <x:c r="D449" s="7" t="s">
        <x:v>1978</x:v>
      </x:c>
      <x:c r="E449" s="7" t="s">
        <x:v>1995</x:v>
      </x:c>
      <x:c r="F449" s="7" t="s">
        <x:v>1956</x:v>
      </x:c>
      <x:c r="G449" s="8" t="s">
        <x:v>53</x:v>
      </x:c>
      <x:c r="H449" s="8" t="s">
        <x:v>58</x:v>
      </x:c>
      <x:c r="I449" s="8" t="s">
        <x:v>58</x:v>
      </x:c>
      <x:c r="J449" s="7" t="s">
        <x:v>58</x:v>
      </x:c>
      <x:c r="K449" s="8" t="n">
        <x:v>1</x:v>
      </x:c>
      <x:c r="L449" s="8" t="str">
        <x:f aca="0">IF(AND(ISNUMBER(G449),P449&lt;&gt;"Unresolved unit / layout"),G449*K449,"Not published")</x:f>
        <x:v>Not published</x:v>
      </x:c>
      <x:c r="M449" s="8" t="str">
        <x:f aca="0">IF(AND(ISNUMBER(H449),P449&lt;&gt;"Unresolved unit / layout"),H449*K449,"Not applicable")</x:f>
        <x:v>Not applicable</x:v>
      </x:c>
      <x:c r="N449" s="8" t="str">
        <x:f aca="0">IF(AND(ISNUMBER(I449),P449&lt;&gt;"Unresolved unit / layout"),I449*K449,"Not applicable")</x:f>
        <x:v>Not applicable</x:v>
      </x:c>
      <x:c r="O449" s="7" t="s">
        <x:v>1956</x:v>
      </x:c>
      <x:c r="P449" s="7" t="s">
        <x:v>53</x:v>
      </x:c>
      <x:c r="Q449" s="7" t="s">
        <x:v>2064</x:v>
      </x:c>
      <x:c r="R449" s="7" t="s">
        <x:v>58</x:v>
      </x:c>
      <x:c r="S449" s="7" t="s">
        <x:v>2077</x:v>
      </x:c>
      <x:c r="T449" s="7" t="s">
        <x:v>2894</x:v>
      </x:c>
      <x:c r="U449" s="7" t="s">
        <x:v>53</x:v>
      </x:c>
      <x:c r="V449" s="7" t="s">
        <x:v>2351</x:v>
      </x:c>
      <x:c r="W449" s="7" t="s">
        <x:v>58</x:v>
      </x:c>
      <x:c r="X449" s="7" t="s">
        <x:v>2895</x:v>
      </x:c>
      <x:c r="Y449" s="7" t="s">
        <x:v>1188</x:v>
      </x:c>
      <x:c r="Z449" s="7" t="s">
        <x:v>2188</x:v>
      </x:c>
      <x:c r="AA449" s="7" t="s">
        <x:v>58</x:v>
      </x:c>
      <x:c r="AB449" s="8" t="s">
        <x:v>58</x:v>
      </x:c>
      <x:c r="AC449" s="8" t="s">
        <x:v>58</x:v>
      </x:c>
      <x:c r="AD449" s="8" t="s">
        <x:v>58</x:v>
      </x:c>
      <x:c r="AE449" s="8" t="s">
        <x:v>58</x:v>
      </x:c>
      <x:c r="AF449" s="8" t="s">
        <x:v>58</x:v>
      </x:c>
      <x:c r="AG449" s="7" t="s">
        <x:v>58</x:v>
      </x:c>
    </x:row>
    <x:row r="450" ht="79.5" hidden="0" customHeight="1">
      <x:c r="A450" s="7" t="s">
        <x:v>2900</x:v>
      </x:c>
      <x:c r="B450" s="7" t="s">
        <x:v>291</x:v>
      </x:c>
      <x:c r="C450" s="7" t="s">
        <x:v>293</x:v>
      </x:c>
      <x:c r="D450" s="7" t="s">
        <x:v>1982</x:v>
      </x:c>
      <x:c r="E450" s="7" t="s">
        <x:v>2901</x:v>
      </x:c>
      <x:c r="F450" s="7" t="s">
        <x:v>1956</x:v>
      </x:c>
      <x:c r="G450" s="8" t="n">
        <x:v>70</x:v>
      </x:c>
      <x:c r="H450" s="8" t="s">
        <x:v>58</x:v>
      </x:c>
      <x:c r="I450" s="8" t="s">
        <x:v>58</x:v>
      </x:c>
      <x:c r="J450" s="7" t="s">
        <x:v>1919</x:v>
      </x:c>
      <x:c r="K450" s="8" t="n">
        <x:v>1</x:v>
      </x:c>
      <x:c r="L450" s="8" t="n">
        <x:f aca="0">IF(AND(ISNUMBER(G450),P450&lt;&gt;"Unresolved unit / layout"),G450*K450,"Not applicable")</x:f>
        <x:v>70</x:v>
      </x:c>
      <x:c r="M450" s="8" t="str">
        <x:f aca="0">IF(AND(ISNUMBER(H450),P450&lt;&gt;"Unresolved unit / layout"),H450*K450,"Not applicable")</x:f>
        <x:v>Not applicable</x:v>
      </x:c>
      <x:c r="N450" s="8" t="str">
        <x:f aca="0">IF(AND(ISNUMBER(I450),P450&lt;&gt;"Unresolved unit / layout"),I450*K450,"Not applicable")</x:f>
        <x:v>Not applicable</x:v>
      </x:c>
      <x:c r="O450" s="7" t="s">
        <x:v>1956</x:v>
      </x:c>
      <x:c r="P450" s="7" t="s">
        <x:v>1921</x:v>
      </x:c>
      <x:c r="Q450" s="7" t="s">
        <x:v>2064</x:v>
      </x:c>
      <x:c r="R450" s="7" t="s">
        <x:v>58</x:v>
      </x:c>
      <x:c r="S450" s="7" t="s">
        <x:v>2077</x:v>
      </x:c>
      <x:c r="T450" s="7" t="s">
        <x:v>2894</x:v>
      </x:c>
      <x:c r="U450" s="7" t="s">
        <x:v>53</x:v>
      </x:c>
      <x:c r="V450" s="7" t="s">
        <x:v>1984</x:v>
      </x:c>
      <x:c r="W450" s="7" t="s">
        <x:v>58</x:v>
      </x:c>
      <x:c r="X450" s="7" t="s">
        <x:v>2895</x:v>
      </x:c>
      <x:c r="Y450" s="7" t="s">
        <x:v>1188</x:v>
      </x:c>
      <x:c r="Z450" s="7" t="s">
        <x:v>2092</x:v>
      </x:c>
      <x:c r="AA450" s="7" t="s">
        <x:v>58</x:v>
      </x:c>
      <x:c r="AB450" s="8" t="s">
        <x:v>58</x:v>
      </x:c>
      <x:c r="AC450" s="8" t="s">
        <x:v>58</x:v>
      </x:c>
      <x:c r="AD450" s="8" t="s">
        <x:v>58</x:v>
      </x:c>
      <x:c r="AE450" s="8" t="s">
        <x:v>58</x:v>
      </x:c>
      <x:c r="AF450" s="8" t="s">
        <x:v>58</x:v>
      </x:c>
      <x:c r="AG450" s="7" t="s">
        <x:v>58</x:v>
      </x:c>
    </x:row>
    <x:row r="451" ht="79.5" hidden="0" customHeight="1">
      <x:c r="A451" s="7" t="s">
        <x:v>2902</x:v>
      </x:c>
      <x:c r="B451" s="7" t="s">
        <x:v>291</x:v>
      </x:c>
      <x:c r="C451" s="7" t="s">
        <x:v>293</x:v>
      </x:c>
      <x:c r="D451" s="7" t="s">
        <x:v>1959</x:v>
      </x:c>
      <x:c r="E451" s="7" t="s">
        <x:v>2233</x:v>
      </x:c>
      <x:c r="F451" s="7" t="s">
        <x:v>1956</x:v>
      </x:c>
      <x:c r="G451" s="8" t="n">
        <x:v>62</x:v>
      </x:c>
      <x:c r="H451" s="8" t="s">
        <x:v>58</x:v>
      </x:c>
      <x:c r="I451" s="8" t="s">
        <x:v>58</x:v>
      </x:c>
      <x:c r="J451" s="7" t="s">
        <x:v>1919</x:v>
      </x:c>
      <x:c r="K451" s="8" t="n">
        <x:v>1</x:v>
      </x:c>
      <x:c r="L451" s="8" t="n">
        <x:f aca="0">IF(AND(ISNUMBER(G451),P451&lt;&gt;"Unresolved unit / layout"),G451*K451,"Not applicable")</x:f>
        <x:v>62</x:v>
      </x:c>
      <x:c r="M451" s="8" t="str">
        <x:f aca="0">IF(AND(ISNUMBER(H451),P451&lt;&gt;"Unresolved unit / layout"),H451*K451,"Not applicable")</x:f>
        <x:v>Not applicable</x:v>
      </x:c>
      <x:c r="N451" s="8" t="str">
        <x:f aca="0">IF(AND(ISNUMBER(I451),P451&lt;&gt;"Unresolved unit / layout"),I451*K451,"Not applicable")</x:f>
        <x:v>Not applicable</x:v>
      </x:c>
      <x:c r="O451" s="7" t="s">
        <x:v>1956</x:v>
      </x:c>
      <x:c r="P451" s="7" t="s">
        <x:v>1921</x:v>
      </x:c>
      <x:c r="Q451" s="7" t="s">
        <x:v>2064</x:v>
      </x:c>
      <x:c r="R451" s="7" t="s">
        <x:v>58</x:v>
      </x:c>
      <x:c r="S451" s="7" t="s">
        <x:v>2077</x:v>
      </x:c>
      <x:c r="T451" s="7" t="s">
        <x:v>2894</x:v>
      </x:c>
      <x:c r="U451" s="7" t="s">
        <x:v>53</x:v>
      </x:c>
      <x:c r="V451" s="7" t="s">
        <x:v>2095</x:v>
      </x:c>
      <x:c r="W451" s="7" t="s">
        <x:v>58</x:v>
      </x:c>
      <x:c r="X451" s="7" t="s">
        <x:v>2895</x:v>
      </x:c>
      <x:c r="Y451" s="7" t="s">
        <x:v>1188</x:v>
      </x:c>
      <x:c r="Z451" s="7" t="s">
        <x:v>2096</x:v>
      </x:c>
      <x:c r="AA451" s="7" t="s">
        <x:v>58</x:v>
      </x:c>
      <x:c r="AB451" s="8" t="s">
        <x:v>58</x:v>
      </x:c>
      <x:c r="AC451" s="8" t="s">
        <x:v>58</x:v>
      </x:c>
      <x:c r="AD451" s="8" t="s">
        <x:v>58</x:v>
      </x:c>
      <x:c r="AE451" s="8" t="s">
        <x:v>58</x:v>
      </x:c>
      <x:c r="AF451" s="8" t="s">
        <x:v>58</x:v>
      </x:c>
      <x:c r="AG451" s="7" t="s">
        <x:v>58</x:v>
      </x:c>
    </x:row>
    <x:row r="452" ht="79.5" hidden="0" customHeight="1">
      <x:c r="A452" s="7" t="s">
        <x:v>297</x:v>
      </x:c>
      <x:c r="B452" s="7" t="s">
        <x:v>291</x:v>
      </x:c>
      <x:c r="C452" s="7" t="s">
        <x:v>293</x:v>
      </x:c>
      <x:c r="D452" s="7" t="s">
        <x:v>1959</x:v>
      </x:c>
      <x:c r="E452" s="7" t="s">
        <x:v>2626</x:v>
      </x:c>
      <x:c r="F452" s="7" t="s">
        <x:v>1956</x:v>
      </x:c>
      <x:c r="G452" s="8" t="n">
        <x:v>69</x:v>
      </x:c>
      <x:c r="H452" s="8" t="s">
        <x:v>58</x:v>
      </x:c>
      <x:c r="I452" s="8" t="s">
        <x:v>58</x:v>
      </x:c>
      <x:c r="J452" s="7" t="s">
        <x:v>1919</x:v>
      </x:c>
      <x:c r="K452" s="8" t="n">
        <x:v>1</x:v>
      </x:c>
      <x:c r="L452" s="8" t="n">
        <x:f aca="0">IF(AND(ISNUMBER(G452),P452&lt;&gt;"Unresolved unit / layout"),G452*K452,"Not applicable")</x:f>
        <x:v>69</x:v>
      </x:c>
      <x:c r="M452" s="8" t="str">
        <x:f aca="0">IF(AND(ISNUMBER(H452),P452&lt;&gt;"Unresolved unit / layout"),H452*K452,"Not applicable")</x:f>
        <x:v>Not applicable</x:v>
      </x:c>
      <x:c r="N452" s="8" t="str">
        <x:f aca="0">IF(AND(ISNUMBER(I452),P452&lt;&gt;"Unresolved unit / layout"),I452*K452,"Not applicable")</x:f>
        <x:v>Not applicable</x:v>
      </x:c>
      <x:c r="O452" s="7" t="s">
        <x:v>1956</x:v>
      </x:c>
      <x:c r="P452" s="7" t="s">
        <x:v>1921</x:v>
      </x:c>
      <x:c r="Q452" s="7" t="s">
        <x:v>2064</x:v>
      </x:c>
      <x:c r="R452" s="7" t="s">
        <x:v>58</x:v>
      </x:c>
      <x:c r="S452" s="7" t="s">
        <x:v>2077</x:v>
      </x:c>
      <x:c r="T452" s="7" t="s">
        <x:v>2894</x:v>
      </x:c>
      <x:c r="U452" s="7" t="s">
        <x:v>53</x:v>
      </x:c>
      <x:c r="V452" s="7" t="s">
        <x:v>2097</x:v>
      </x:c>
      <x:c r="W452" s="7" t="s">
        <x:v>58</x:v>
      </x:c>
      <x:c r="X452" s="7" t="s">
        <x:v>2895</x:v>
      </x:c>
      <x:c r="Y452" s="7" t="s">
        <x:v>1188</x:v>
      </x:c>
      <x:c r="Z452" s="7" t="s">
        <x:v>2096</x:v>
      </x:c>
      <x:c r="AA452" s="7" t="s">
        <x:v>58</x:v>
      </x:c>
      <x:c r="AB452" s="8" t="s">
        <x:v>58</x:v>
      </x:c>
      <x:c r="AC452" s="8" t="s">
        <x:v>58</x:v>
      </x:c>
      <x:c r="AD452" s="8" t="s">
        <x:v>58</x:v>
      </x:c>
      <x:c r="AE452" s="8" t="s">
        <x:v>58</x:v>
      </x:c>
      <x:c r="AF452" s="8" t="s">
        <x:v>58</x:v>
      </x:c>
      <x:c r="AG452" s="7" t="s">
        <x:v>58</x:v>
      </x:c>
    </x:row>
    <x:row r="453" ht="79.5" hidden="0" customHeight="1">
      <x:c r="A453" s="7" t="s">
        <x:v>2903</x:v>
      </x:c>
      <x:c r="B453" s="7" t="s">
        <x:v>291</x:v>
      </x:c>
      <x:c r="C453" s="7" t="s">
        <x:v>293</x:v>
      </x:c>
      <x:c r="D453" s="7" t="s">
        <x:v>2099</x:v>
      </x:c>
      <x:c r="E453" s="7" t="s">
        <x:v>2156</x:v>
      </x:c>
      <x:c r="F453" s="7" t="s">
        <x:v>1942</x:v>
      </x:c>
      <x:c r="G453" s="8" t="n">
        <x:v>0.4</x:v>
      </x:c>
      <x:c r="H453" s="8" t="s">
        <x:v>58</x:v>
      </x:c>
      <x:c r="I453" s="8" t="s">
        <x:v>58</x:v>
      </x:c>
      <x:c r="J453" s="7" t="s">
        <x:v>1919</x:v>
      </x:c>
      <x:c r="K453" s="8" t="n">
        <x:v>1</x:v>
      </x:c>
      <x:c r="L453" s="8" t="n">
        <x:f aca="0">IF(AND(ISNUMBER(G453),P453&lt;&gt;"Unresolved unit / layout"),G453*K453,"Not applicable")</x:f>
        <x:v>0.4</x:v>
      </x:c>
      <x:c r="M453" s="8" t="str">
        <x:f aca="0">IF(AND(ISNUMBER(H453),P453&lt;&gt;"Unresolved unit / layout"),H453*K453,"Not applicable")</x:f>
        <x:v>Not applicable</x:v>
      </x:c>
      <x:c r="N453" s="8" t="str">
        <x:f aca="0">IF(AND(ISNUMBER(I453),P453&lt;&gt;"Unresolved unit / layout"),I453*K453,"Not applicable")</x:f>
        <x:v>Not applicable</x:v>
      </x:c>
      <x:c r="O453" s="7" t="s">
        <x:v>1942</x:v>
      </x:c>
      <x:c r="P453" s="7" t="s">
        <x:v>1921</x:v>
      </x:c>
      <x:c r="Q453" s="7" t="s">
        <x:v>2064</x:v>
      </x:c>
      <x:c r="R453" s="7" t="s">
        <x:v>58</x:v>
      </x:c>
      <x:c r="S453" s="7" t="s">
        <x:v>2077</x:v>
      </x:c>
      <x:c r="T453" s="7" t="s">
        <x:v>2894</x:v>
      </x:c>
      <x:c r="U453" s="7" t="s">
        <x:v>53</x:v>
      </x:c>
      <x:c r="V453" s="7" t="s">
        <x:v>2238</x:v>
      </x:c>
      <x:c r="W453" s="7" t="s">
        <x:v>58</x:v>
      </x:c>
      <x:c r="X453" s="7" t="s">
        <x:v>2895</x:v>
      </x:c>
      <x:c r="Y453" s="7" t="s">
        <x:v>1188</x:v>
      </x:c>
      <x:c r="Z453" s="7" t="s">
        <x:v>2239</x:v>
      </x:c>
      <x:c r="AA453" s="7" t="s">
        <x:v>58</x:v>
      </x:c>
      <x:c r="AB453" s="8" t="s">
        <x:v>58</x:v>
      </x:c>
      <x:c r="AC453" s="8" t="s">
        <x:v>58</x:v>
      </x:c>
      <x:c r="AD453" s="8" t="s">
        <x:v>58</x:v>
      </x:c>
      <x:c r="AE453" s="8" t="s">
        <x:v>58</x:v>
      </x:c>
      <x:c r="AF453" s="8" t="s">
        <x:v>58</x:v>
      </x:c>
      <x:c r="AG453" s="7" t="s">
        <x:v>58</x:v>
      </x:c>
    </x:row>
    <x:row r="454" ht="79.5" hidden="0" customHeight="1">
      <x:c r="A454" s="7" t="s">
        <x:v>2904</x:v>
      </x:c>
      <x:c r="B454" s="7" t="s">
        <x:v>291</x:v>
      </x:c>
      <x:c r="C454" s="7" t="s">
        <x:v>293</x:v>
      </x:c>
      <x:c r="D454" s="7" t="s">
        <x:v>1935</x:v>
      </x:c>
      <x:c r="E454" s="7" t="s">
        <x:v>2905</x:v>
      </x:c>
      <x:c r="F454" s="7" t="s">
        <x:v>1929</x:v>
      </x:c>
      <x:c r="G454" s="8" t="n">
        <x:v>1810</x:v>
      </x:c>
      <x:c r="H454" s="8" t="n">
        <x:v>190</x:v>
      </x:c>
      <x:c r="I454" s="8" t="s">
        <x:v>58</x:v>
      </x:c>
      <x:c r="J454" s="7" t="s">
        <x:v>1919</x:v>
      </x:c>
      <x:c r="K454" s="8" t="n">
        <x:v>0.001</x:v>
      </x:c>
      <x:c r="L454" s="8" t="n">
        <x:f aca="0">IF(AND(ISNUMBER(G454),P454&lt;&gt;"Unresolved unit / layout"),G454*K454,"Not applicable")</x:f>
        <x:v>1.81</x:v>
      </x:c>
      <x:c r="M454" s="8" t="n">
        <x:f aca="0">IF(AND(ISNUMBER(H454),P454&lt;&gt;"Unresolved unit / layout"),H454*K454,"Not applicable")</x:f>
        <x:v>0.19</x:v>
      </x:c>
      <x:c r="N454" s="8" t="str">
        <x:f aca="0">IF(AND(ISNUMBER(I454),P454&lt;&gt;"Unresolved unit / layout"),I454*K454,"Not applicable")</x:f>
        <x:v>Not applicable</x:v>
      </x:c>
      <x:c r="O454" s="7" t="s">
        <x:v>1937</x:v>
      </x:c>
      <x:c r="P454" s="7" t="s">
        <x:v>1921</x:v>
      </x:c>
      <x:c r="Q454" s="7" t="s">
        <x:v>2064</x:v>
      </x:c>
      <x:c r="R454" s="7" t="s">
        <x:v>1931</x:v>
      </x:c>
      <x:c r="S454" s="7" t="s">
        <x:v>2077</x:v>
      </x:c>
      <x:c r="T454" s="7" t="s">
        <x:v>2894</x:v>
      </x:c>
      <x:c r="U454" s="7" t="s">
        <x:v>53</x:v>
      </x:c>
      <x:c r="V454" s="7" t="s">
        <x:v>1999</x:v>
      </x:c>
      <x:c r="W454" s="7" t="s">
        <x:v>58</x:v>
      </x:c>
      <x:c r="X454" s="7" t="s">
        <x:v>2895</x:v>
      </x:c>
      <x:c r="Y454" s="7" t="s">
        <x:v>1188</x:v>
      </x:c>
      <x:c r="Z454" s="7" t="s">
        <x:v>2105</x:v>
      </x:c>
      <x:c r="AA454" s="7" t="s">
        <x:v>58</x:v>
      </x:c>
      <x:c r="AB454" s="8" t="s">
        <x:v>58</x:v>
      </x:c>
      <x:c r="AC454" s="8" t="s">
        <x:v>58</x:v>
      </x:c>
      <x:c r="AD454" s="8" t="s">
        <x:v>58</x:v>
      </x:c>
      <x:c r="AE454" s="8" t="s">
        <x:v>58</x:v>
      </x:c>
      <x:c r="AF454" s="8" t="s">
        <x:v>58</x:v>
      </x:c>
      <x:c r="AG454" s="7" t="s">
        <x:v>58</x:v>
      </x:c>
    </x:row>
    <x:row r="455" ht="79.5" hidden="0" customHeight="1">
      <x:c r="A455" s="7" t="s">
        <x:v>2906</x:v>
      </x:c>
      <x:c r="B455" s="7" t="s">
        <x:v>291</x:v>
      </x:c>
      <x:c r="C455" s="7" t="s">
        <x:v>293</x:v>
      </x:c>
      <x:c r="D455" s="7" t="s">
        <x:v>1935</x:v>
      </x:c>
      <x:c r="E455" s="7" t="s">
        <x:v>2907</x:v>
      </x:c>
      <x:c r="F455" s="7" t="s">
        <x:v>1929</x:v>
      </x:c>
      <x:c r="G455" s="8" t="n">
        <x:v>1540</x:v>
      </x:c>
      <x:c r="H455" s="8" t="n">
        <x:v>130</x:v>
      </x:c>
      <x:c r="I455" s="8" t="s">
        <x:v>58</x:v>
      </x:c>
      <x:c r="J455" s="7" t="s">
        <x:v>1919</x:v>
      </x:c>
      <x:c r="K455" s="8" t="n">
        <x:v>0.001</x:v>
      </x:c>
      <x:c r="L455" s="8" t="n">
        <x:f aca="0">IF(AND(ISNUMBER(G455),P455&lt;&gt;"Unresolved unit / layout"),G455*K455,"Not applicable")</x:f>
        <x:v>1.54</x:v>
      </x:c>
      <x:c r="M455" s="8" t="n">
        <x:f aca="0">IF(AND(ISNUMBER(H455),P455&lt;&gt;"Unresolved unit / layout"),H455*K455,"Not applicable")</x:f>
        <x:v>0.13</x:v>
      </x:c>
      <x:c r="N455" s="8" t="str">
        <x:f aca="0">IF(AND(ISNUMBER(I455),P455&lt;&gt;"Unresolved unit / layout"),I455*K455,"Not applicable")</x:f>
        <x:v>Not applicable</x:v>
      </x:c>
      <x:c r="O455" s="7" t="s">
        <x:v>1937</x:v>
      </x:c>
      <x:c r="P455" s="7" t="s">
        <x:v>1921</x:v>
      </x:c>
      <x:c r="Q455" s="7" t="s">
        <x:v>2064</x:v>
      </x:c>
      <x:c r="R455" s="7" t="s">
        <x:v>2003</x:v>
      </x:c>
      <x:c r="S455" s="7" t="s">
        <x:v>2077</x:v>
      </x:c>
      <x:c r="T455" s="7" t="s">
        <x:v>2894</x:v>
      </x:c>
      <x:c r="U455" s="7" t="s">
        <x:v>53</x:v>
      </x:c>
      <x:c r="V455" s="7" t="s">
        <x:v>1999</x:v>
      </x:c>
      <x:c r="W455" s="7" t="s">
        <x:v>58</x:v>
      </x:c>
      <x:c r="X455" s="7" t="s">
        <x:v>2895</x:v>
      </x:c>
      <x:c r="Y455" s="7" t="s">
        <x:v>1188</x:v>
      </x:c>
      <x:c r="Z455" s="7" t="s">
        <x:v>2108</x:v>
      </x:c>
      <x:c r="AA455" s="7" t="s">
        <x:v>58</x:v>
      </x:c>
      <x:c r="AB455" s="8" t="s">
        <x:v>58</x:v>
      </x:c>
      <x:c r="AC455" s="8" t="s">
        <x:v>58</x:v>
      </x:c>
      <x:c r="AD455" s="8" t="s">
        <x:v>58</x:v>
      </x:c>
      <x:c r="AE455" s="8" t="s">
        <x:v>58</x:v>
      </x:c>
      <x:c r="AF455" s="8" t="s">
        <x:v>58</x:v>
      </x:c>
      <x:c r="AG455" s="7" t="s">
        <x:v>58</x:v>
      </x:c>
    </x:row>
    <x:row r="456" ht="79.5" hidden="0" customHeight="1">
      <x:c r="A456" s="7" t="s">
        <x:v>2908</x:v>
      </x:c>
      <x:c r="B456" s="7" t="s">
        <x:v>291</x:v>
      </x:c>
      <x:c r="C456" s="7" t="s">
        <x:v>293</x:v>
      </x:c>
      <x:c r="D456" s="7" t="s">
        <x:v>2006</x:v>
      </x:c>
      <x:c r="E456" s="7" t="s">
        <x:v>2909</x:v>
      </x:c>
      <x:c r="F456" s="7" t="s">
        <x:v>1929</x:v>
      </x:c>
      <x:c r="G456" s="8" t="n">
        <x:v>34</x:v>
      </x:c>
      <x:c r="H456" s="8" t="n">
        <x:v>4</x:v>
      </x:c>
      <x:c r="I456" s="8" t="s">
        <x:v>58</x:v>
      </x:c>
      <x:c r="J456" s="7" t="s">
        <x:v>1919</x:v>
      </x:c>
      <x:c r="K456" s="8" t="n">
        <x:v>1</x:v>
      </x:c>
      <x:c r="L456" s="8" t="n">
        <x:f aca="0">IF(AND(ISNUMBER(G456),P456&lt;&gt;"Unresolved unit / layout"),G456*K456,"Not applicable")</x:f>
        <x:v>34</x:v>
      </x:c>
      <x:c r="M456" s="8" t="n">
        <x:f aca="0">IF(AND(ISNUMBER(H456),P456&lt;&gt;"Unresolved unit / layout"),H456*K456,"Not applicable")</x:f>
        <x:v>4</x:v>
      </x:c>
      <x:c r="N456" s="8" t="str">
        <x:f aca="0">IF(AND(ISNUMBER(I456),P456&lt;&gt;"Unresolved unit / layout"),I456*K456,"Not applicable")</x:f>
        <x:v>Not applicable</x:v>
      </x:c>
      <x:c r="O456" s="7" t="s">
        <x:v>1929</x:v>
      </x:c>
      <x:c r="P456" s="7" t="s">
        <x:v>1921</x:v>
      </x:c>
      <x:c r="Q456" s="7" t="s">
        <x:v>2064</x:v>
      </x:c>
      <x:c r="R456" s="7" t="s">
        <x:v>1931</x:v>
      </x:c>
      <x:c r="S456" s="7" t="s">
        <x:v>2077</x:v>
      </x:c>
      <x:c r="T456" s="7" t="s">
        <x:v>2894</x:v>
      </x:c>
      <x:c r="U456" s="7" t="s">
        <x:v>53</x:v>
      </x:c>
      <x:c r="V456" s="7" t="s">
        <x:v>1999</x:v>
      </x:c>
      <x:c r="W456" s="7" t="s">
        <x:v>58</x:v>
      </x:c>
      <x:c r="X456" s="7" t="s">
        <x:v>2895</x:v>
      </x:c>
      <x:c r="Y456" s="7" t="s">
        <x:v>1188</x:v>
      </x:c>
      <x:c r="Z456" s="7" t="s">
        <x:v>2111</x:v>
      </x:c>
      <x:c r="AA456" s="7" t="s">
        <x:v>58</x:v>
      </x:c>
      <x:c r="AB456" s="8" t="s">
        <x:v>58</x:v>
      </x:c>
      <x:c r="AC456" s="8" t="s">
        <x:v>58</x:v>
      </x:c>
      <x:c r="AD456" s="8" t="s">
        <x:v>58</x:v>
      </x:c>
      <x:c r="AE456" s="8" t="s">
        <x:v>58</x:v>
      </x:c>
      <x:c r="AF456" s="8" t="s">
        <x:v>58</x:v>
      </x:c>
      <x:c r="AG456" s="7" t="s">
        <x:v>58</x:v>
      </x:c>
    </x:row>
    <x:row r="457" ht="79.5" hidden="0" customHeight="1">
      <x:c r="A457" s="7" t="s">
        <x:v>2910</x:v>
      </x:c>
      <x:c r="B457" s="7" t="s">
        <x:v>291</x:v>
      </x:c>
      <x:c r="C457" s="7" t="s">
        <x:v>293</x:v>
      </x:c>
      <x:c r="D457" s="7" t="s">
        <x:v>2006</x:v>
      </x:c>
      <x:c r="E457" s="7" t="s">
        <x:v>2911</x:v>
      </x:c>
      <x:c r="F457" s="7" t="s">
        <x:v>1929</x:v>
      </x:c>
      <x:c r="G457" s="8" t="n">
        <x:v>23</x:v>
      </x:c>
      <x:c r="H457" s="8" t="n">
        <x:v>4</x:v>
      </x:c>
      <x:c r="I457" s="8" t="s">
        <x:v>58</x:v>
      </x:c>
      <x:c r="J457" s="7" t="s">
        <x:v>1919</x:v>
      </x:c>
      <x:c r="K457" s="8" t="n">
        <x:v>1</x:v>
      </x:c>
      <x:c r="L457" s="8" t="n">
        <x:f aca="0">IF(AND(ISNUMBER(G457),P457&lt;&gt;"Unresolved unit / layout"),G457*K457,"Not applicable")</x:f>
        <x:v>23</x:v>
      </x:c>
      <x:c r="M457" s="8" t="n">
        <x:f aca="0">IF(AND(ISNUMBER(H457),P457&lt;&gt;"Unresolved unit / layout"),H457*K457,"Not applicable")</x:f>
        <x:v>4</x:v>
      </x:c>
      <x:c r="N457" s="8" t="str">
        <x:f aca="0">IF(AND(ISNUMBER(I457),P457&lt;&gt;"Unresolved unit / layout"),I457*K457,"Not applicable")</x:f>
        <x:v>Not applicable</x:v>
      </x:c>
      <x:c r="O457" s="7" t="s">
        <x:v>1929</x:v>
      </x:c>
      <x:c r="P457" s="7" t="s">
        <x:v>1921</x:v>
      </x:c>
      <x:c r="Q457" s="7" t="s">
        <x:v>2064</x:v>
      </x:c>
      <x:c r="R457" s="7" t="s">
        <x:v>2003</x:v>
      </x:c>
      <x:c r="S457" s="7" t="s">
        <x:v>2077</x:v>
      </x:c>
      <x:c r="T457" s="7" t="s">
        <x:v>2894</x:v>
      </x:c>
      <x:c r="U457" s="7" t="s">
        <x:v>53</x:v>
      </x:c>
      <x:c r="V457" s="7" t="s">
        <x:v>1999</x:v>
      </x:c>
      <x:c r="W457" s="7" t="s">
        <x:v>58</x:v>
      </x:c>
      <x:c r="X457" s="7" t="s">
        <x:v>2895</x:v>
      </x:c>
      <x:c r="Y457" s="7" t="s">
        <x:v>1188</x:v>
      </x:c>
      <x:c r="Z457" s="7" t="s">
        <x:v>2114</x:v>
      </x:c>
      <x:c r="AA457" s="7" t="s">
        <x:v>58</x:v>
      </x:c>
      <x:c r="AB457" s="8" t="s">
        <x:v>58</x:v>
      </x:c>
      <x:c r="AC457" s="8" t="s">
        <x:v>58</x:v>
      </x:c>
      <x:c r="AD457" s="8" t="s">
        <x:v>58</x:v>
      </x:c>
      <x:c r="AE457" s="8" t="s">
        <x:v>58</x:v>
      </x:c>
      <x:c r="AF457" s="8" t="s">
        <x:v>58</x:v>
      </x:c>
      <x:c r="AG457" s="7" t="s">
        <x:v>58</x:v>
      </x:c>
    </x:row>
    <x:row r="458" ht="79.5" hidden="0" customHeight="1">
      <x:c r="A458" s="7" t="s">
        <x:v>2912</x:v>
      </x:c>
      <x:c r="B458" s="7" t="s">
        <x:v>291</x:v>
      </x:c>
      <x:c r="C458" s="7" t="s">
        <x:v>293</x:v>
      </x:c>
      <x:c r="D458" s="7" t="s">
        <x:v>1940</x:v>
      </x:c>
      <x:c r="E458" s="7" t="s">
        <x:v>2566</x:v>
      </x:c>
      <x:c r="F458" s="7" t="s">
        <x:v>1942</x:v>
      </x:c>
      <x:c r="G458" s="8" t="n">
        <x:v>8.6</x:v>
      </x:c>
      <x:c r="H458" s="8" t="n">
        <x:v>1.2</x:v>
      </x:c>
      <x:c r="I458" s="8" t="s">
        <x:v>58</x:v>
      </x:c>
      <x:c r="J458" s="7" t="s">
        <x:v>1919</x:v>
      </x:c>
      <x:c r="K458" s="8" t="n">
        <x:v>1</x:v>
      </x:c>
      <x:c r="L458" s="8" t="n">
        <x:f aca="0">IF(AND(ISNUMBER(G458),P458&lt;&gt;"Unresolved unit / layout"),G458*K458,"Not applicable")</x:f>
        <x:v>8.6</x:v>
      </x:c>
      <x:c r="M458" s="8" t="n">
        <x:f aca="0">IF(AND(ISNUMBER(H458),P458&lt;&gt;"Unresolved unit / layout"),H458*K458,"Not applicable")</x:f>
        <x:v>1.2</x:v>
      </x:c>
      <x:c r="N458" s="8" t="str">
        <x:f aca="0">IF(AND(ISNUMBER(I458),P458&lt;&gt;"Unresolved unit / layout"),I458*K458,"Not applicable")</x:f>
        <x:v>Not applicable</x:v>
      </x:c>
      <x:c r="O458" s="7" t="s">
        <x:v>1942</x:v>
      </x:c>
      <x:c r="P458" s="7" t="s">
        <x:v>1921</x:v>
      </x:c>
      <x:c r="Q458" s="7" t="s">
        <x:v>2064</x:v>
      </x:c>
      <x:c r="R458" s="7" t="s">
        <x:v>1931</x:v>
      </x:c>
      <x:c r="S458" s="7" t="s">
        <x:v>2077</x:v>
      </x:c>
      <x:c r="T458" s="7" t="s">
        <x:v>2894</x:v>
      </x:c>
      <x:c r="U458" s="7" t="s">
        <x:v>53</x:v>
      </x:c>
      <x:c r="V458" s="7" t="s">
        <x:v>1999</x:v>
      </x:c>
      <x:c r="W458" s="7" t="s">
        <x:v>58</x:v>
      </x:c>
      <x:c r="X458" s="7" t="s">
        <x:v>2895</x:v>
      </x:c>
      <x:c r="Y458" s="7" t="s">
        <x:v>1188</x:v>
      </x:c>
      <x:c r="Z458" s="7" t="s">
        <x:v>2117</x:v>
      </x:c>
      <x:c r="AA458" s="7" t="s">
        <x:v>58</x:v>
      </x:c>
      <x:c r="AB458" s="8" t="s">
        <x:v>58</x:v>
      </x:c>
      <x:c r="AC458" s="8" t="s">
        <x:v>58</x:v>
      </x:c>
      <x:c r="AD458" s="8" t="s">
        <x:v>58</x:v>
      </x:c>
      <x:c r="AE458" s="8" t="s">
        <x:v>58</x:v>
      </x:c>
      <x:c r="AF458" s="8" t="s">
        <x:v>58</x:v>
      </x:c>
      <x:c r="AG458" s="7" t="s">
        <x:v>58</x:v>
      </x:c>
    </x:row>
    <x:row r="459" ht="79.5" hidden="0" customHeight="1">
      <x:c r="A459" s="7" t="s">
        <x:v>2913</x:v>
      </x:c>
      <x:c r="B459" s="7" t="s">
        <x:v>291</x:v>
      </x:c>
      <x:c r="C459" s="7" t="s">
        <x:v>293</x:v>
      </x:c>
      <x:c r="D459" s="7" t="s">
        <x:v>1940</x:v>
      </x:c>
      <x:c r="E459" s="7" t="s">
        <x:v>2914</x:v>
      </x:c>
      <x:c r="F459" s="7" t="s">
        <x:v>1942</x:v>
      </x:c>
      <x:c r="G459" s="8" t="n">
        <x:v>5.1</x:v>
      </x:c>
      <x:c r="H459" s="8" t="n">
        <x:v>0.8</x:v>
      </x:c>
      <x:c r="I459" s="8" t="s">
        <x:v>58</x:v>
      </x:c>
      <x:c r="J459" s="7" t="s">
        <x:v>1919</x:v>
      </x:c>
      <x:c r="K459" s="8" t="n">
        <x:v>1</x:v>
      </x:c>
      <x:c r="L459" s="8" t="n">
        <x:f aca="0">IF(AND(ISNUMBER(G459),P459&lt;&gt;"Unresolved unit / layout"),G459*K459,"Not applicable")</x:f>
        <x:v>5.1</x:v>
      </x:c>
      <x:c r="M459" s="8" t="n">
        <x:f aca="0">IF(AND(ISNUMBER(H459),P459&lt;&gt;"Unresolved unit / layout"),H459*K459,"Not applicable")</x:f>
        <x:v>0.8</x:v>
      </x:c>
      <x:c r="N459" s="8" t="str">
        <x:f aca="0">IF(AND(ISNUMBER(I459),P459&lt;&gt;"Unresolved unit / layout"),I459*K459,"Not applicable")</x:f>
        <x:v>Not applicable</x:v>
      </x:c>
      <x:c r="O459" s="7" t="s">
        <x:v>1942</x:v>
      </x:c>
      <x:c r="P459" s="7" t="s">
        <x:v>1921</x:v>
      </x:c>
      <x:c r="Q459" s="7" t="s">
        <x:v>2064</x:v>
      </x:c>
      <x:c r="R459" s="7" t="s">
        <x:v>2003</x:v>
      </x:c>
      <x:c r="S459" s="7" t="s">
        <x:v>2077</x:v>
      </x:c>
      <x:c r="T459" s="7" t="s">
        <x:v>2894</x:v>
      </x:c>
      <x:c r="U459" s="7" t="s">
        <x:v>53</x:v>
      </x:c>
      <x:c r="V459" s="7" t="s">
        <x:v>1999</x:v>
      </x:c>
      <x:c r="W459" s="7" t="s">
        <x:v>58</x:v>
      </x:c>
      <x:c r="X459" s="7" t="s">
        <x:v>2895</x:v>
      </x:c>
      <x:c r="Y459" s="7" t="s">
        <x:v>1188</x:v>
      </x:c>
      <x:c r="Z459" s="7" t="s">
        <x:v>2120</x:v>
      </x:c>
      <x:c r="AA459" s="7" t="s">
        <x:v>58</x:v>
      </x:c>
      <x:c r="AB459" s="8" t="s">
        <x:v>58</x:v>
      </x:c>
      <x:c r="AC459" s="8" t="s">
        <x:v>58</x:v>
      </x:c>
      <x:c r="AD459" s="8" t="s">
        <x:v>58</x:v>
      </x:c>
      <x:c r="AE459" s="8" t="s">
        <x:v>58</x:v>
      </x:c>
      <x:c r="AF459" s="8" t="s">
        <x:v>58</x:v>
      </x:c>
      <x:c r="AG459" s="7" t="s">
        <x:v>58</x:v>
      </x:c>
    </x:row>
    <x:row r="460" ht="79.5" hidden="0" customHeight="1">
      <x:c r="A460" s="7" t="s">
        <x:v>2915</x:v>
      </x:c>
      <x:c r="B460" s="7" t="s">
        <x:v>291</x:v>
      </x:c>
      <x:c r="C460" s="7" t="s">
        <x:v>293</x:v>
      </x:c>
      <x:c r="D460" s="7" t="s">
        <x:v>1950</x:v>
      </x:c>
      <x:c r="E460" s="7" t="s">
        <x:v>2916</x:v>
      </x:c>
      <x:c r="F460" s="7" t="s">
        <x:v>1929</x:v>
      </x:c>
      <x:c r="G460" s="8" t="n">
        <x:v>2050</x:v>
      </x:c>
      <x:c r="H460" s="8" t="n">
        <x:v>120</x:v>
      </x:c>
      <x:c r="I460" s="8" t="s">
        <x:v>58</x:v>
      </x:c>
      <x:c r="J460" s="7" t="s">
        <x:v>1919</x:v>
      </x:c>
      <x:c r="K460" s="8" t="n">
        <x:v>0.001</x:v>
      </x:c>
      <x:c r="L460" s="8" t="n">
        <x:f aca="0">IF(AND(ISNUMBER(G460),P460&lt;&gt;"Unresolved unit / layout"),G460*K460,"Not applicable")</x:f>
        <x:v>2.05</x:v>
      </x:c>
      <x:c r="M460" s="8" t="n">
        <x:f aca="0">IF(AND(ISNUMBER(H460),P460&lt;&gt;"Unresolved unit / layout"),H460*K460,"Not applicable")</x:f>
        <x:v>0.12</x:v>
      </x:c>
      <x:c r="N460" s="8" t="str">
        <x:f aca="0">IF(AND(ISNUMBER(I460),P460&lt;&gt;"Unresolved unit / layout"),I460*K460,"Not applicable")</x:f>
        <x:v>Not applicable</x:v>
      </x:c>
      <x:c r="O460" s="7" t="s">
        <x:v>1937</x:v>
      </x:c>
      <x:c r="P460" s="7" t="s">
        <x:v>1921</x:v>
      </x:c>
      <x:c r="Q460" s="7" t="s">
        <x:v>2064</x:v>
      </x:c>
      <x:c r="R460" s="7" t="s">
        <x:v>1931</x:v>
      </x:c>
      <x:c r="S460" s="7" t="s">
        <x:v>2077</x:v>
      </x:c>
      <x:c r="T460" s="7" t="s">
        <x:v>2894</x:v>
      </x:c>
      <x:c r="U460" s="7" t="s">
        <x:v>53</x:v>
      </x:c>
      <x:c r="V460" s="7" t="s">
        <x:v>2020</x:v>
      </x:c>
      <x:c r="W460" s="7" t="s">
        <x:v>58</x:v>
      </x:c>
      <x:c r="X460" s="7" t="s">
        <x:v>2895</x:v>
      </x:c>
      <x:c r="Y460" s="7" t="s">
        <x:v>1188</x:v>
      </x:c>
      <x:c r="Z460" s="7" t="s">
        <x:v>2123</x:v>
      </x:c>
      <x:c r="AA460" s="7" t="s">
        <x:v>58</x:v>
      </x:c>
      <x:c r="AB460" s="8" t="s">
        <x:v>58</x:v>
      </x:c>
      <x:c r="AC460" s="8" t="s">
        <x:v>58</x:v>
      </x:c>
      <x:c r="AD460" s="8" t="s">
        <x:v>58</x:v>
      </x:c>
      <x:c r="AE460" s="8" t="s">
        <x:v>58</x:v>
      </x:c>
      <x:c r="AF460" s="8" t="s">
        <x:v>58</x:v>
      </x:c>
      <x:c r="AG460" s="7" t="s">
        <x:v>58</x:v>
      </x:c>
    </x:row>
    <x:row r="461" ht="79.5" hidden="0" customHeight="1">
      <x:c r="A461" s="7" t="s">
        <x:v>2917</x:v>
      </x:c>
      <x:c r="B461" s="7" t="s">
        <x:v>291</x:v>
      </x:c>
      <x:c r="C461" s="7" t="s">
        <x:v>293</x:v>
      </x:c>
      <x:c r="D461" s="7" t="s">
        <x:v>1950</x:v>
      </x:c>
      <x:c r="E461" s="7" t="s">
        <x:v>2918</x:v>
      </x:c>
      <x:c r="F461" s="7" t="s">
        <x:v>1929</x:v>
      </x:c>
      <x:c r="G461" s="8" t="n">
        <x:v>1810</x:v>
      </x:c>
      <x:c r="H461" s="8" t="n">
        <x:v>140</x:v>
      </x:c>
      <x:c r="I461" s="8" t="s">
        <x:v>58</x:v>
      </x:c>
      <x:c r="J461" s="7" t="s">
        <x:v>1919</x:v>
      </x:c>
      <x:c r="K461" s="8" t="n">
        <x:v>0.001</x:v>
      </x:c>
      <x:c r="L461" s="8" t="n">
        <x:f aca="0">IF(AND(ISNUMBER(G461),P461&lt;&gt;"Unresolved unit / layout"),G461*K461,"Not applicable")</x:f>
        <x:v>1.81</x:v>
      </x:c>
      <x:c r="M461" s="8" t="n">
        <x:f aca="0">IF(AND(ISNUMBER(H461),P461&lt;&gt;"Unresolved unit / layout"),H461*K461,"Not applicable")</x:f>
        <x:v>0.14</x:v>
      </x:c>
      <x:c r="N461" s="8" t="str">
        <x:f aca="0">IF(AND(ISNUMBER(I461),P461&lt;&gt;"Unresolved unit / layout"),I461*K461,"Not applicable")</x:f>
        <x:v>Not applicable</x:v>
      </x:c>
      <x:c r="O461" s="7" t="s">
        <x:v>1937</x:v>
      </x:c>
      <x:c r="P461" s="7" t="s">
        <x:v>1921</x:v>
      </x:c>
      <x:c r="Q461" s="7" t="s">
        <x:v>2064</x:v>
      </x:c>
      <x:c r="R461" s="7" t="s">
        <x:v>2003</x:v>
      </x:c>
      <x:c r="S461" s="7" t="s">
        <x:v>2077</x:v>
      </x:c>
      <x:c r="T461" s="7" t="s">
        <x:v>2894</x:v>
      </x:c>
      <x:c r="U461" s="7" t="s">
        <x:v>53</x:v>
      </x:c>
      <x:c r="V461" s="7" t="s">
        <x:v>2020</x:v>
      </x:c>
      <x:c r="W461" s="7" t="s">
        <x:v>58</x:v>
      </x:c>
      <x:c r="X461" s="7" t="s">
        <x:v>2895</x:v>
      </x:c>
      <x:c r="Y461" s="7" t="s">
        <x:v>1188</x:v>
      </x:c>
      <x:c r="Z461" s="7" t="s">
        <x:v>2210</x:v>
      </x:c>
      <x:c r="AA461" s="7" t="s">
        <x:v>58</x:v>
      </x:c>
      <x:c r="AB461" s="8" t="s">
        <x:v>58</x:v>
      </x:c>
      <x:c r="AC461" s="8" t="s">
        <x:v>58</x:v>
      </x:c>
      <x:c r="AD461" s="8" t="s">
        <x:v>58</x:v>
      </x:c>
      <x:c r="AE461" s="8" t="s">
        <x:v>58</x:v>
      </x:c>
      <x:c r="AF461" s="8" t="s">
        <x:v>58</x:v>
      </x:c>
      <x:c r="AG461" s="7" t="s">
        <x:v>58</x:v>
      </x:c>
    </x:row>
    <x:row r="462" ht="79.5" hidden="0" customHeight="1">
      <x:c r="A462" s="7" t="s">
        <x:v>2919</x:v>
      </x:c>
      <x:c r="B462" s="7" t="s">
        <x:v>291</x:v>
      </x:c>
      <x:c r="C462" s="7" t="s">
        <x:v>293</x:v>
      </x:c>
      <x:c r="D462" s="7" t="s">
        <x:v>1945</x:v>
      </x:c>
      <x:c r="E462" s="7" t="s">
        <x:v>2920</x:v>
      </x:c>
      <x:c r="F462" s="7" t="s">
        <x:v>1929</x:v>
      </x:c>
      <x:c r="G462" s="8" t="n">
        <x:v>64</x:v>
      </x:c>
      <x:c r="H462" s="8" t="n">
        <x:v>3</x:v>
      </x:c>
      <x:c r="I462" s="8" t="s">
        <x:v>58</x:v>
      </x:c>
      <x:c r="J462" s="7" t="s">
        <x:v>1919</x:v>
      </x:c>
      <x:c r="K462" s="8" t="n">
        <x:v>1</x:v>
      </x:c>
      <x:c r="L462" s="8" t="n">
        <x:f aca="0">IF(AND(ISNUMBER(G462),P462&lt;&gt;"Unresolved unit / layout"),G462*K462,"Not applicable")</x:f>
        <x:v>64</x:v>
      </x:c>
      <x:c r="M462" s="8" t="n">
        <x:f aca="0">IF(AND(ISNUMBER(H462),P462&lt;&gt;"Unresolved unit / layout"),H462*K462,"Not applicable")</x:f>
        <x:v>3</x:v>
      </x:c>
      <x:c r="N462" s="8" t="str">
        <x:f aca="0">IF(AND(ISNUMBER(I462),P462&lt;&gt;"Unresolved unit / layout"),I462*K462,"Not applicable")</x:f>
        <x:v>Not applicable</x:v>
      </x:c>
      <x:c r="O462" s="7" t="s">
        <x:v>1929</x:v>
      </x:c>
      <x:c r="P462" s="7" t="s">
        <x:v>1921</x:v>
      </x:c>
      <x:c r="Q462" s="7" t="s">
        <x:v>2064</x:v>
      </x:c>
      <x:c r="R462" s="7" t="s">
        <x:v>1931</x:v>
      </x:c>
      <x:c r="S462" s="7" t="s">
        <x:v>2077</x:v>
      </x:c>
      <x:c r="T462" s="7" t="s">
        <x:v>2894</x:v>
      </x:c>
      <x:c r="U462" s="7" t="s">
        <x:v>53</x:v>
      </x:c>
      <x:c r="V462" s="7" t="s">
        <x:v>2020</x:v>
      </x:c>
      <x:c r="W462" s="7" t="s">
        <x:v>58</x:v>
      </x:c>
      <x:c r="X462" s="7" t="s">
        <x:v>2895</x:v>
      </x:c>
      <x:c r="Y462" s="7" t="s">
        <x:v>1188</x:v>
      </x:c>
      <x:c r="Z462" s="7" t="s">
        <x:v>2213</x:v>
      </x:c>
      <x:c r="AA462" s="7" t="s">
        <x:v>58</x:v>
      </x:c>
      <x:c r="AB462" s="8" t="s">
        <x:v>58</x:v>
      </x:c>
      <x:c r="AC462" s="8" t="s">
        <x:v>58</x:v>
      </x:c>
      <x:c r="AD462" s="8" t="s">
        <x:v>58</x:v>
      </x:c>
      <x:c r="AE462" s="8" t="s">
        <x:v>58</x:v>
      </x:c>
      <x:c r="AF462" s="8" t="s">
        <x:v>58</x:v>
      </x:c>
      <x:c r="AG462" s="7" t="s">
        <x:v>58</x:v>
      </x:c>
    </x:row>
    <x:row r="463" ht="79.5" hidden="0" customHeight="1">
      <x:c r="A463" s="7" t="s">
        <x:v>2921</x:v>
      </x:c>
      <x:c r="B463" s="7" t="s">
        <x:v>291</x:v>
      </x:c>
      <x:c r="C463" s="7" t="s">
        <x:v>293</x:v>
      </x:c>
      <x:c r="D463" s="7" t="s">
        <x:v>1945</x:v>
      </x:c>
      <x:c r="E463" s="7" t="s">
        <x:v>2922</x:v>
      </x:c>
      <x:c r="F463" s="7" t="s">
        <x:v>1929</x:v>
      </x:c>
      <x:c r="G463" s="8" t="n">
        <x:v>48</x:v>
      </x:c>
      <x:c r="H463" s="8" t="n">
        <x:v>4</x:v>
      </x:c>
      <x:c r="I463" s="8" t="s">
        <x:v>58</x:v>
      </x:c>
      <x:c r="J463" s="7" t="s">
        <x:v>1919</x:v>
      </x:c>
      <x:c r="K463" s="8" t="n">
        <x:v>1</x:v>
      </x:c>
      <x:c r="L463" s="8" t="n">
        <x:f aca="0">IF(AND(ISNUMBER(G463),P463&lt;&gt;"Unresolved unit / layout"),G463*K463,"Not applicable")</x:f>
        <x:v>48</x:v>
      </x:c>
      <x:c r="M463" s="8" t="n">
        <x:f aca="0">IF(AND(ISNUMBER(H463),P463&lt;&gt;"Unresolved unit / layout"),H463*K463,"Not applicable")</x:f>
        <x:v>4</x:v>
      </x:c>
      <x:c r="N463" s="8" t="str">
        <x:f aca="0">IF(AND(ISNUMBER(I463),P463&lt;&gt;"Unresolved unit / layout"),I463*K463,"Not applicable")</x:f>
        <x:v>Not applicable</x:v>
      </x:c>
      <x:c r="O463" s="7" t="s">
        <x:v>1929</x:v>
      </x:c>
      <x:c r="P463" s="7" t="s">
        <x:v>1921</x:v>
      </x:c>
      <x:c r="Q463" s="7" t="s">
        <x:v>2064</x:v>
      </x:c>
      <x:c r="R463" s="7" t="s">
        <x:v>2003</x:v>
      </x:c>
      <x:c r="S463" s="7" t="s">
        <x:v>2077</x:v>
      </x:c>
      <x:c r="T463" s="7" t="s">
        <x:v>2894</x:v>
      </x:c>
      <x:c r="U463" s="7" t="s">
        <x:v>53</x:v>
      </x:c>
      <x:c r="V463" s="7" t="s">
        <x:v>2020</x:v>
      </x:c>
      <x:c r="W463" s="7" t="s">
        <x:v>58</x:v>
      </x:c>
      <x:c r="X463" s="7" t="s">
        <x:v>2895</x:v>
      </x:c>
      <x:c r="Y463" s="7" t="s">
        <x:v>1188</x:v>
      </x:c>
      <x:c r="Z463" s="7" t="s">
        <x:v>2216</x:v>
      </x:c>
      <x:c r="AA463" s="7" t="s">
        <x:v>58</x:v>
      </x:c>
      <x:c r="AB463" s="8" t="s">
        <x:v>58</x:v>
      </x:c>
      <x:c r="AC463" s="8" t="s">
        <x:v>58</x:v>
      </x:c>
      <x:c r="AD463" s="8" t="s">
        <x:v>58</x:v>
      </x:c>
      <x:c r="AE463" s="8" t="s">
        <x:v>58</x:v>
      </x:c>
      <x:c r="AF463" s="8" t="s">
        <x:v>58</x:v>
      </x:c>
      <x:c r="AG463" s="7" t="s">
        <x:v>58</x:v>
      </x:c>
    </x:row>
    <x:row r="464" ht="79.5" hidden="0" customHeight="1">
      <x:c r="A464" s="7" t="s">
        <x:v>2923</x:v>
      </x:c>
      <x:c r="B464" s="7" t="s">
        <x:v>291</x:v>
      </x:c>
      <x:c r="C464" s="7" t="s">
        <x:v>293</x:v>
      </x:c>
      <x:c r="D464" s="7" t="s">
        <x:v>2030</x:v>
      </x:c>
      <x:c r="E464" s="7" t="s">
        <x:v>2924</x:v>
      </x:c>
      <x:c r="F464" s="7" t="s">
        <x:v>2033</x:v>
      </x:c>
      <x:c r="G464" s="8" t="n">
        <x:v>31.5</x:v>
      </x:c>
      <x:c r="H464" s="8" t="n">
        <x:v>2.2</x:v>
      </x:c>
      <x:c r="I464" s="8" t="s">
        <x:v>58</x:v>
      </x:c>
      <x:c r="J464" s="7" t="s">
        <x:v>1919</x:v>
      </x:c>
      <x:c r="K464" s="8" t="n">
        <x:v>1</x:v>
      </x:c>
      <x:c r="L464" s="8" t="n">
        <x:f aca="0">IF(AND(ISNUMBER(G464),P464&lt;&gt;"Unresolved unit / layout"),G464*K464,"Not applicable")</x:f>
        <x:v>31.5</x:v>
      </x:c>
      <x:c r="M464" s="8" t="n">
        <x:f aca="0">IF(AND(ISNUMBER(H464),P464&lt;&gt;"Unresolved unit / layout"),H464*K464,"Not applicable")</x:f>
        <x:v>2.2</x:v>
      </x:c>
      <x:c r="N464" s="8" t="str">
        <x:f aca="0">IF(AND(ISNUMBER(I464),P464&lt;&gt;"Unresolved unit / layout"),I464*K464,"Not applicable")</x:f>
        <x:v>Not applicable</x:v>
      </x:c>
      <x:c r="O464" s="7" t="s">
        <x:v>2033</x:v>
      </x:c>
      <x:c r="P464" s="7" t="s">
        <x:v>1921</x:v>
      </x:c>
      <x:c r="Q464" s="7" t="s">
        <x:v>2064</x:v>
      </x:c>
      <x:c r="R464" s="7" t="s">
        <x:v>1931</x:v>
      </x:c>
      <x:c r="S464" s="7" t="s">
        <x:v>2077</x:v>
      </x:c>
      <x:c r="T464" s="7" t="s">
        <x:v>2894</x:v>
      </x:c>
      <x:c r="U464" s="7" t="s">
        <x:v>53</x:v>
      </x:c>
      <x:c r="V464" s="7" t="s">
        <x:v>2036</x:v>
      </x:c>
      <x:c r="W464" s="7" t="s">
        <x:v>53</x:v>
      </x:c>
      <x:c r="X464" s="7" t="s">
        <x:v>2895</x:v>
      </x:c>
      <x:c r="Y464" s="7" t="s">
        <x:v>1188</x:v>
      </x:c>
      <x:c r="Z464" s="7" t="s">
        <x:v>2378</x:v>
      </x:c>
      <x:c r="AA464" s="7" t="s">
        <x:v>58</x:v>
      </x:c>
      <x:c r="AB464" s="8" t="s">
        <x:v>58</x:v>
      </x:c>
      <x:c r="AC464" s="8" t="s">
        <x:v>58</x:v>
      </x:c>
      <x:c r="AD464" s="8" t="s">
        <x:v>58</x:v>
      </x:c>
      <x:c r="AE464" s="8" t="s">
        <x:v>58</x:v>
      </x:c>
      <x:c r="AF464" s="8" t="s">
        <x:v>58</x:v>
      </x:c>
      <x:c r="AG464" s="7" t="s">
        <x:v>58</x:v>
      </x:c>
    </x:row>
    <x:row r="465" ht="79.5" hidden="0" customHeight="1">
      <x:c r="A465" s="7" t="s">
        <x:v>2925</x:v>
      </x:c>
      <x:c r="B465" s="7" t="s">
        <x:v>291</x:v>
      </x:c>
      <x:c r="C465" s="7" t="s">
        <x:v>293</x:v>
      </x:c>
      <x:c r="D465" s="7" t="s">
        <x:v>2030</x:v>
      </x:c>
      <x:c r="E465" s="7" t="s">
        <x:v>2926</x:v>
      </x:c>
      <x:c r="F465" s="7" t="s">
        <x:v>2033</x:v>
      </x:c>
      <x:c r="G465" s="8" t="n">
        <x:v>10.6</x:v>
      </x:c>
      <x:c r="H465" s="8" t="n">
        <x:v>1.2</x:v>
      </x:c>
      <x:c r="I465" s="8" t="s">
        <x:v>58</x:v>
      </x:c>
      <x:c r="J465" s="7" t="s">
        <x:v>1919</x:v>
      </x:c>
      <x:c r="K465" s="8" t="n">
        <x:v>1</x:v>
      </x:c>
      <x:c r="L465" s="8" t="n">
        <x:f aca="0">IF(AND(ISNUMBER(G465),P465&lt;&gt;"Unresolved unit / layout"),G465*K465,"Not applicable")</x:f>
        <x:v>10.6</x:v>
      </x:c>
      <x:c r="M465" s="8" t="n">
        <x:f aca="0">IF(AND(ISNUMBER(H465),P465&lt;&gt;"Unresolved unit / layout"),H465*K465,"Not applicable")</x:f>
        <x:v>1.2</x:v>
      </x:c>
      <x:c r="N465" s="8" t="str">
        <x:f aca="0">IF(AND(ISNUMBER(I465),P465&lt;&gt;"Unresolved unit / layout"),I465*K465,"Not applicable")</x:f>
        <x:v>Not applicable</x:v>
      </x:c>
      <x:c r="O465" s="7" t="s">
        <x:v>2033</x:v>
      </x:c>
      <x:c r="P465" s="7" t="s">
        <x:v>1921</x:v>
      </x:c>
      <x:c r="Q465" s="7" t="s">
        <x:v>2064</x:v>
      </x:c>
      <x:c r="R465" s="7" t="s">
        <x:v>2003</x:v>
      </x:c>
      <x:c r="S465" s="7" t="s">
        <x:v>2077</x:v>
      </x:c>
      <x:c r="T465" s="7" t="s">
        <x:v>2894</x:v>
      </x:c>
      <x:c r="U465" s="7" t="s">
        <x:v>53</x:v>
      </x:c>
      <x:c r="V465" s="7" t="s">
        <x:v>2343</x:v>
      </x:c>
      <x:c r="W465" s="7" t="s">
        <x:v>53</x:v>
      </x:c>
      <x:c r="X465" s="7" t="s">
        <x:v>2895</x:v>
      </x:c>
      <x:c r="Y465" s="7" t="s">
        <x:v>1188</x:v>
      </x:c>
      <x:c r="Z465" s="7" t="s">
        <x:v>2225</x:v>
      </x:c>
      <x:c r="AA465" s="7" t="s">
        <x:v>58</x:v>
      </x:c>
      <x:c r="AB465" s="8" t="s">
        <x:v>58</x:v>
      </x:c>
      <x:c r="AC465" s="8" t="s">
        <x:v>58</x:v>
      </x:c>
      <x:c r="AD465" s="8" t="s">
        <x:v>58</x:v>
      </x:c>
      <x:c r="AE465" s="8" t="s">
        <x:v>58</x:v>
      </x:c>
      <x:c r="AF465" s="8" t="s">
        <x:v>58</x:v>
      </x:c>
      <x:c r="AG465" s="7" t="s">
        <x:v>58</x:v>
      </x:c>
    </x:row>
    <x:row r="466" ht="79.5" hidden="0" customHeight="1">
      <x:c r="A466" s="7" t="s">
        <x:v>2927</x:v>
      </x:c>
      <x:c r="B466" s="7" t="s">
        <x:v>300</x:v>
      </x:c>
      <x:c r="C466" s="7" t="s">
        <x:v>302</x:v>
      </x:c>
      <x:c r="D466" s="7" t="s">
        <x:v>1916</x:v>
      </x:c>
      <x:c r="E466" s="7" t="s">
        <x:v>2382</x:v>
      </x:c>
      <x:c r="F466" s="7" t="s">
        <x:v>2076</x:v>
      </x:c>
      <x:c r="G466" s="8" t="n">
        <x:v>1.25</x:v>
      </x:c>
      <x:c r="H466" s="8" t="s">
        <x:v>58</x:v>
      </x:c>
      <x:c r="I466" s="8" t="s">
        <x:v>58</x:v>
      </x:c>
      <x:c r="J466" s="7" t="s">
        <x:v>1919</x:v>
      </x:c>
      <x:c r="K466" s="8" t="n">
        <x:v>1000</x:v>
      </x:c>
      <x:c r="L466" s="8" t="n">
        <x:f aca="0">IF(AND(ISNUMBER(G466),P466&lt;&gt;"Unresolved unit / layout"),G466*K466,"Not applicable")</x:f>
        <x:v>1250</x:v>
      </x:c>
      <x:c r="M466" s="8" t="str">
        <x:f aca="0">IF(AND(ISNUMBER(H466),P466&lt;&gt;"Unresolved unit / layout"),H466*K466,"Not applicable")</x:f>
        <x:v>Not applicable</x:v>
      </x:c>
      <x:c r="N466" s="8" t="str">
        <x:f aca="0">IF(AND(ISNUMBER(I466),P466&lt;&gt;"Unresolved unit / layout"),I466*K466,"Not applicable")</x:f>
        <x:v>Not applicable</x:v>
      </x:c>
      <x:c r="O466" s="7" t="s">
        <x:v>1920</x:v>
      </x:c>
      <x:c r="P466" s="7" t="s">
        <x:v>1921</x:v>
      </x:c>
      <x:c r="Q466" s="7" t="s">
        <x:v>1922</x:v>
      </x:c>
      <x:c r="R466" s="7" t="s">
        <x:v>58</x:v>
      </x:c>
      <x:c r="S466" s="7" t="s">
        <x:v>2077</x:v>
      </x:c>
      <x:c r="T466" s="7" t="s">
        <x:v>2928</x:v>
      </x:c>
      <x:c r="U466" s="7" t="s">
        <x:v>53</x:v>
      </x:c>
      <x:c r="V466" s="7" t="s">
        <x:v>1923</x:v>
      </x:c>
      <x:c r="W466" s="7" t="s">
        <x:v>58</x:v>
      </x:c>
      <x:c r="X466" s="7" t="s">
        <x:v>2929</x:v>
      </x:c>
      <x:c r="Y466" s="7" t="s">
        <x:v>1189</x:v>
      </x:c>
      <x:c r="Z466" s="7" t="s">
        <x:v>1968</x:v>
      </x:c>
      <x:c r="AA466" s="7" t="s">
        <x:v>58</x:v>
      </x:c>
      <x:c r="AB466" s="8" t="s">
        <x:v>58</x:v>
      </x:c>
      <x:c r="AC466" s="8" t="s">
        <x:v>58</x:v>
      </x:c>
      <x:c r="AD466" s="8" t="s">
        <x:v>58</x:v>
      </x:c>
      <x:c r="AE466" s="8" t="s">
        <x:v>58</x:v>
      </x:c>
      <x:c r="AF466" s="8" t="s">
        <x:v>58</x:v>
      </x:c>
      <x:c r="AG466" s="7" t="s">
        <x:v>58</x:v>
      </x:c>
    </x:row>
    <x:row r="467" ht="79.5" hidden="0" customHeight="1">
      <x:c r="A467" s="7" t="s">
        <x:v>2930</x:v>
      </x:c>
      <x:c r="B467" s="7" t="s">
        <x:v>300</x:v>
      </x:c>
      <x:c r="C467" s="7" t="s">
        <x:v>302</x:v>
      </x:c>
      <x:c r="D467" s="7" t="s">
        <x:v>1974</x:v>
      </x:c>
      <x:c r="E467" s="7" t="s">
        <x:v>2931</x:v>
      </x:c>
      <x:c r="F467" s="7" t="s">
        <x:v>1956</x:v>
      </x:c>
      <x:c r="G467" s="8" t="n">
        <x:v>228</x:v>
      </x:c>
      <x:c r="H467" s="8" t="s">
        <x:v>58</x:v>
      </x:c>
      <x:c r="I467" s="8" t="s">
        <x:v>58</x:v>
      </x:c>
      <x:c r="J467" s="7" t="s">
        <x:v>1919</x:v>
      </x:c>
      <x:c r="K467" s="8" t="n">
        <x:v>1</x:v>
      </x:c>
      <x:c r="L467" s="8" t="n">
        <x:f aca="0">IF(AND(ISNUMBER(G467),P467&lt;&gt;"Unresolved unit / layout"),G467*K467,"Not applicable")</x:f>
        <x:v>228</x:v>
      </x:c>
      <x:c r="M467" s="8" t="str">
        <x:f aca="0">IF(AND(ISNUMBER(H467),P467&lt;&gt;"Unresolved unit / layout"),H467*K467,"Not applicable")</x:f>
        <x:v>Not applicable</x:v>
      </x:c>
      <x:c r="N467" s="8" t="str">
        <x:f aca="0">IF(AND(ISNUMBER(I467),P467&lt;&gt;"Unresolved unit / layout"),I467*K467,"Not applicable")</x:f>
        <x:v>Not applicable</x:v>
      </x:c>
      <x:c r="O467" s="7" t="s">
        <x:v>1956</x:v>
      </x:c>
      <x:c r="P467" s="7" t="s">
        <x:v>1921</x:v>
      </x:c>
      <x:c r="Q467" s="7" t="s">
        <x:v>1930</x:v>
      </x:c>
      <x:c r="R467" s="7" t="s">
        <x:v>58</x:v>
      </x:c>
      <x:c r="S467" s="7" t="s">
        <x:v>2077</x:v>
      </x:c>
      <x:c r="T467" s="7" t="s">
        <x:v>2928</x:v>
      </x:c>
      <x:c r="U467" s="7" t="s">
        <x:v>53</x:v>
      </x:c>
      <x:c r="V467" s="7" t="s">
        <x:v>2082</x:v>
      </x:c>
      <x:c r="W467" s="7" t="s">
        <x:v>58</x:v>
      </x:c>
      <x:c r="X467" s="7" t="s">
        <x:v>2929</x:v>
      </x:c>
      <x:c r="Y467" s="7" t="s">
        <x:v>1189</x:v>
      </x:c>
      <x:c r="Z467" s="7" t="s">
        <x:v>2083</x:v>
      </x:c>
      <x:c r="AA467" s="7" t="s">
        <x:v>58</x:v>
      </x:c>
      <x:c r="AB467" s="8" t="s">
        <x:v>58</x:v>
      </x:c>
      <x:c r="AC467" s="8" t="s">
        <x:v>58</x:v>
      </x:c>
      <x:c r="AD467" s="8" t="s">
        <x:v>58</x:v>
      </x:c>
      <x:c r="AE467" s="8" t="s">
        <x:v>58</x:v>
      </x:c>
      <x:c r="AF467" s="8" t="s">
        <x:v>58</x:v>
      </x:c>
      <x:c r="AG467" s="7" t="s">
        <x:v>58</x:v>
      </x:c>
    </x:row>
    <x:row r="468" ht="79.5" hidden="0" customHeight="1">
      <x:c r="A468" s="7" t="s">
        <x:v>2932</x:v>
      </x:c>
      <x:c r="B468" s="7" t="s">
        <x:v>300</x:v>
      </x:c>
      <x:c r="C468" s="7" t="s">
        <x:v>302</x:v>
      </x:c>
      <x:c r="D468" s="7" t="s">
        <x:v>1954</x:v>
      </x:c>
      <x:c r="E468" s="7" t="s">
        <x:v>2901</x:v>
      </x:c>
      <x:c r="F468" s="7" t="s">
        <x:v>1956</x:v>
      </x:c>
      <x:c r="G468" s="8" t="n">
        <x:v>70</x:v>
      </x:c>
      <x:c r="H468" s="8" t="s">
        <x:v>58</x:v>
      </x:c>
      <x:c r="I468" s="8" t="s">
        <x:v>58</x:v>
      </x:c>
      <x:c r="J468" s="7" t="s">
        <x:v>1919</x:v>
      </x:c>
      <x:c r="K468" s="8" t="n">
        <x:v>1</x:v>
      </x:c>
      <x:c r="L468" s="8" t="n">
        <x:f aca="0">IF(AND(ISNUMBER(G468),P468&lt;&gt;"Unresolved unit / layout"),G468*K468,"Not applicable")</x:f>
        <x:v>70</x:v>
      </x:c>
      <x:c r="M468" s="8" t="str">
        <x:f aca="0">IF(AND(ISNUMBER(H468),P468&lt;&gt;"Unresolved unit / layout"),H468*K468,"Not applicable")</x:f>
        <x:v>Not applicable</x:v>
      </x:c>
      <x:c r="N468" s="8" t="str">
        <x:f aca="0">IF(AND(ISNUMBER(I468),P468&lt;&gt;"Unresolved unit / layout"),I468*K468,"Not applicable")</x:f>
        <x:v>Not applicable</x:v>
      </x:c>
      <x:c r="O468" s="7" t="s">
        <x:v>1956</x:v>
      </x:c>
      <x:c r="P468" s="7" t="s">
        <x:v>1921</x:v>
      </x:c>
      <x:c r="Q468" s="7" t="s">
        <x:v>1930</x:v>
      </x:c>
      <x:c r="R468" s="7" t="s">
        <x:v>58</x:v>
      </x:c>
      <x:c r="S468" s="7" t="s">
        <x:v>2077</x:v>
      </x:c>
      <x:c r="T468" s="7" t="s">
        <x:v>2928</x:v>
      </x:c>
      <x:c r="U468" s="7" t="s">
        <x:v>53</x:v>
      </x:c>
      <x:c r="V468" s="7" t="s">
        <x:v>2082</x:v>
      </x:c>
      <x:c r="W468" s="7" t="s">
        <x:v>58</x:v>
      </x:c>
      <x:c r="X468" s="7" t="s">
        <x:v>2929</x:v>
      </x:c>
      <x:c r="Y468" s="7" t="s">
        <x:v>1189</x:v>
      </x:c>
      <x:c r="Z468" s="7" t="s">
        <x:v>2086</x:v>
      </x:c>
      <x:c r="AA468" s="7" t="s">
        <x:v>58</x:v>
      </x:c>
      <x:c r="AB468" s="8" t="s">
        <x:v>58</x:v>
      </x:c>
      <x:c r="AC468" s="8" t="s">
        <x:v>58</x:v>
      </x:c>
      <x:c r="AD468" s="8" t="s">
        <x:v>58</x:v>
      </x:c>
      <x:c r="AE468" s="8" t="s">
        <x:v>58</x:v>
      </x:c>
      <x:c r="AF468" s="8" t="s">
        <x:v>58</x:v>
      </x:c>
      <x:c r="AG468" s="7" t="s">
        <x:v>58</x:v>
      </x:c>
    </x:row>
    <x:row r="469" ht="79.5" hidden="0" customHeight="1">
      <x:c r="A469" s="7" t="s">
        <x:v>2933</x:v>
      </x:c>
      <x:c r="B469" s="7" t="s">
        <x:v>300</x:v>
      </x:c>
      <x:c r="C469" s="7" t="s">
        <x:v>302</x:v>
      </x:c>
      <x:c r="D469" s="7" t="s">
        <x:v>1978</x:v>
      </x:c>
      <x:c r="E469" s="7" t="s">
        <x:v>1995</x:v>
      </x:c>
      <x:c r="F469" s="7" t="s">
        <x:v>1956</x:v>
      </x:c>
      <x:c r="G469" s="8" t="s">
        <x:v>53</x:v>
      </x:c>
      <x:c r="H469" s="8" t="s">
        <x:v>58</x:v>
      </x:c>
      <x:c r="I469" s="8" t="s">
        <x:v>58</x:v>
      </x:c>
      <x:c r="J469" s="7" t="s">
        <x:v>58</x:v>
      </x:c>
      <x:c r="K469" s="8" t="n">
        <x:v>1</x:v>
      </x:c>
      <x:c r="L469" s="8" t="str">
        <x:f aca="0">IF(AND(ISNUMBER(G469),P469&lt;&gt;"Unresolved unit / layout"),G469*K469,"Not published")</x:f>
        <x:v>Not published</x:v>
      </x:c>
      <x:c r="M469" s="8" t="str">
        <x:f aca="0">IF(AND(ISNUMBER(H469),P469&lt;&gt;"Unresolved unit / layout"),H469*K469,"Not applicable")</x:f>
        <x:v>Not applicable</x:v>
      </x:c>
      <x:c r="N469" s="8" t="str">
        <x:f aca="0">IF(AND(ISNUMBER(I469),P469&lt;&gt;"Unresolved unit / layout"),I469*K469,"Not applicable")</x:f>
        <x:v>Not applicable</x:v>
      </x:c>
      <x:c r="O469" s="7" t="s">
        <x:v>1956</x:v>
      </x:c>
      <x:c r="P469" s="7" t="s">
        <x:v>53</x:v>
      </x:c>
      <x:c r="Q469" s="7" t="s">
        <x:v>1930</x:v>
      </x:c>
      <x:c r="R469" s="7" t="s">
        <x:v>58</x:v>
      </x:c>
      <x:c r="S469" s="7" t="s">
        <x:v>2077</x:v>
      </x:c>
      <x:c r="T469" s="7" t="s">
        <x:v>2928</x:v>
      </x:c>
      <x:c r="U469" s="7" t="s">
        <x:v>53</x:v>
      </x:c>
      <x:c r="V469" s="7" t="s">
        <x:v>2082</x:v>
      </x:c>
      <x:c r="W469" s="7" t="s">
        <x:v>58</x:v>
      </x:c>
      <x:c r="X469" s="7" t="s">
        <x:v>2929</x:v>
      </x:c>
      <x:c r="Y469" s="7" t="s">
        <x:v>1189</x:v>
      </x:c>
      <x:c r="Z469" s="7" t="s">
        <x:v>2188</x:v>
      </x:c>
      <x:c r="AA469" s="7" t="s">
        <x:v>58</x:v>
      </x:c>
      <x:c r="AB469" s="8" t="s">
        <x:v>58</x:v>
      </x:c>
      <x:c r="AC469" s="8" t="s">
        <x:v>58</x:v>
      </x:c>
      <x:c r="AD469" s="8" t="s">
        <x:v>58</x:v>
      </x:c>
      <x:c r="AE469" s="8" t="s">
        <x:v>58</x:v>
      </x:c>
      <x:c r="AF469" s="8" t="s">
        <x:v>58</x:v>
      </x:c>
      <x:c r="AG469" s="7" t="s">
        <x:v>58</x:v>
      </x:c>
    </x:row>
    <x:row r="470" ht="79.5" hidden="0" customHeight="1">
      <x:c r="A470" s="7" t="s">
        <x:v>2934</x:v>
      </x:c>
      <x:c r="B470" s="7" t="s">
        <x:v>300</x:v>
      </x:c>
      <x:c r="C470" s="7" t="s">
        <x:v>302</x:v>
      </x:c>
      <x:c r="D470" s="7" t="s">
        <x:v>1982</x:v>
      </x:c>
      <x:c r="E470" s="7" t="s">
        <x:v>2935</x:v>
      </x:c>
      <x:c r="F470" s="7" t="s">
        <x:v>1956</x:v>
      </x:c>
      <x:c r="G470" s="8" t="n">
        <x:v>79</x:v>
      </x:c>
      <x:c r="H470" s="8" t="s">
        <x:v>58</x:v>
      </x:c>
      <x:c r="I470" s="8" t="s">
        <x:v>58</x:v>
      </x:c>
      <x:c r="J470" s="7" t="s">
        <x:v>1919</x:v>
      </x:c>
      <x:c r="K470" s="8" t="n">
        <x:v>1</x:v>
      </x:c>
      <x:c r="L470" s="8" t="n">
        <x:f aca="0">IF(AND(ISNUMBER(G470),P470&lt;&gt;"Unresolved unit / layout"),G470*K470,"Not applicable")</x:f>
        <x:v>79</x:v>
      </x:c>
      <x:c r="M470" s="8" t="str">
        <x:f aca="0">IF(AND(ISNUMBER(H470),P470&lt;&gt;"Unresolved unit / layout"),H470*K470,"Not applicable")</x:f>
        <x:v>Not applicable</x:v>
      </x:c>
      <x:c r="N470" s="8" t="str">
        <x:f aca="0">IF(AND(ISNUMBER(I470),P470&lt;&gt;"Unresolved unit / layout"),I470*K470,"Not applicable")</x:f>
        <x:v>Not applicable</x:v>
      </x:c>
      <x:c r="O470" s="7" t="s">
        <x:v>1956</x:v>
      </x:c>
      <x:c r="P470" s="7" t="s">
        <x:v>1921</x:v>
      </x:c>
      <x:c r="Q470" s="7" t="s">
        <x:v>1930</x:v>
      </x:c>
      <x:c r="R470" s="7" t="s">
        <x:v>58</x:v>
      </x:c>
      <x:c r="S470" s="7" t="s">
        <x:v>2077</x:v>
      </x:c>
      <x:c r="T470" s="7" t="s">
        <x:v>2928</x:v>
      </x:c>
      <x:c r="U470" s="7" t="s">
        <x:v>53</x:v>
      </x:c>
      <x:c r="V470" s="7" t="s">
        <x:v>1984</x:v>
      </x:c>
      <x:c r="W470" s="7" t="s">
        <x:v>58</x:v>
      </x:c>
      <x:c r="X470" s="7" t="s">
        <x:v>2929</x:v>
      </x:c>
      <x:c r="Y470" s="7" t="s">
        <x:v>1189</x:v>
      </x:c>
      <x:c r="Z470" s="7" t="s">
        <x:v>2092</x:v>
      </x:c>
      <x:c r="AA470" s="7" t="s">
        <x:v>58</x:v>
      </x:c>
      <x:c r="AB470" s="8" t="s">
        <x:v>58</x:v>
      </x:c>
      <x:c r="AC470" s="8" t="s">
        <x:v>58</x:v>
      </x:c>
      <x:c r="AD470" s="8" t="s">
        <x:v>58</x:v>
      </x:c>
      <x:c r="AE470" s="8" t="s">
        <x:v>58</x:v>
      </x:c>
      <x:c r="AF470" s="8" t="s">
        <x:v>58</x:v>
      </x:c>
      <x:c r="AG470" s="7" t="s">
        <x:v>58</x:v>
      </x:c>
    </x:row>
    <x:row r="471" ht="79.5" hidden="0" customHeight="1">
      <x:c r="A471" s="7" t="s">
        <x:v>2936</x:v>
      </x:c>
      <x:c r="B471" s="7" t="s">
        <x:v>300</x:v>
      </x:c>
      <x:c r="C471" s="7" t="s">
        <x:v>302</x:v>
      </x:c>
      <x:c r="D471" s="7" t="s">
        <x:v>1959</x:v>
      </x:c>
      <x:c r="E471" s="7" t="s">
        <x:v>2864</x:v>
      </x:c>
      <x:c r="F471" s="7" t="s">
        <x:v>1956</x:v>
      </x:c>
      <x:c r="G471" s="8" t="n">
        <x:v>68</x:v>
      </x:c>
      <x:c r="H471" s="8" t="s">
        <x:v>58</x:v>
      </x:c>
      <x:c r="I471" s="8" t="s">
        <x:v>58</x:v>
      </x:c>
      <x:c r="J471" s="7" t="s">
        <x:v>1919</x:v>
      </x:c>
      <x:c r="K471" s="8" t="n">
        <x:v>1</x:v>
      </x:c>
      <x:c r="L471" s="8" t="n">
        <x:f aca="0">IF(AND(ISNUMBER(G471),P471&lt;&gt;"Unresolved unit / layout"),G471*K471,"Not applicable")</x:f>
        <x:v>68</x:v>
      </x:c>
      <x:c r="M471" s="8" t="str">
        <x:f aca="0">IF(AND(ISNUMBER(H471),P471&lt;&gt;"Unresolved unit / layout"),H471*K471,"Not applicable")</x:f>
        <x:v>Not applicable</x:v>
      </x:c>
      <x:c r="N471" s="8" t="str">
        <x:f aca="0">IF(AND(ISNUMBER(I471),P471&lt;&gt;"Unresolved unit / layout"),I471*K471,"Not applicable")</x:f>
        <x:v>Not applicable</x:v>
      </x:c>
      <x:c r="O471" s="7" t="s">
        <x:v>1956</x:v>
      </x:c>
      <x:c r="P471" s="7" t="s">
        <x:v>1921</x:v>
      </x:c>
      <x:c r="Q471" s="7" t="s">
        <x:v>1930</x:v>
      </x:c>
      <x:c r="R471" s="7" t="s">
        <x:v>58</x:v>
      </x:c>
      <x:c r="S471" s="7" t="s">
        <x:v>2077</x:v>
      </x:c>
      <x:c r="T471" s="7" t="s">
        <x:v>2928</x:v>
      </x:c>
      <x:c r="U471" s="7" t="s">
        <x:v>53</x:v>
      </x:c>
      <x:c r="V471" s="7" t="s">
        <x:v>2095</x:v>
      </x:c>
      <x:c r="W471" s="7" t="s">
        <x:v>58</x:v>
      </x:c>
      <x:c r="X471" s="7" t="s">
        <x:v>2929</x:v>
      </x:c>
      <x:c r="Y471" s="7" t="s">
        <x:v>1189</x:v>
      </x:c>
      <x:c r="Z471" s="7" t="s">
        <x:v>2096</x:v>
      </x:c>
      <x:c r="AA471" s="7" t="s">
        <x:v>58</x:v>
      </x:c>
      <x:c r="AB471" s="8" t="s">
        <x:v>58</x:v>
      </x:c>
      <x:c r="AC471" s="8" t="s">
        <x:v>58</x:v>
      </x:c>
      <x:c r="AD471" s="8" t="s">
        <x:v>58</x:v>
      </x:c>
      <x:c r="AE471" s="8" t="s">
        <x:v>58</x:v>
      </x:c>
      <x:c r="AF471" s="8" t="s">
        <x:v>58</x:v>
      </x:c>
      <x:c r="AG471" s="7" t="s">
        <x:v>58</x:v>
      </x:c>
    </x:row>
    <x:row r="472" ht="79.5" hidden="0" customHeight="1">
      <x:c r="A472" s="7" t="s">
        <x:v>308</x:v>
      </x:c>
      <x:c r="B472" s="7" t="s">
        <x:v>300</x:v>
      </x:c>
      <x:c r="C472" s="7" t="s">
        <x:v>302</x:v>
      </x:c>
      <x:c r="D472" s="7" t="s">
        <x:v>1959</x:v>
      </x:c>
      <x:c r="E472" s="7" t="s">
        <x:v>2937</x:v>
      </x:c>
      <x:c r="F472" s="7" t="s">
        <x:v>1956</x:v>
      </x:c>
      <x:c r="G472" s="8" t="n">
        <x:v>74</x:v>
      </x:c>
      <x:c r="H472" s="8" t="s">
        <x:v>58</x:v>
      </x:c>
      <x:c r="I472" s="8" t="s">
        <x:v>58</x:v>
      </x:c>
      <x:c r="J472" s="7" t="s">
        <x:v>1919</x:v>
      </x:c>
      <x:c r="K472" s="8" t="n">
        <x:v>1</x:v>
      </x:c>
      <x:c r="L472" s="8" t="n">
        <x:f aca="0">IF(AND(ISNUMBER(G472),P472&lt;&gt;"Unresolved unit / layout"),G472*K472,"Not applicable")</x:f>
        <x:v>74</x:v>
      </x:c>
      <x:c r="M472" s="8" t="str">
        <x:f aca="0">IF(AND(ISNUMBER(H472),P472&lt;&gt;"Unresolved unit / layout"),H472*K472,"Not applicable")</x:f>
        <x:v>Not applicable</x:v>
      </x:c>
      <x:c r="N472" s="8" t="str">
        <x:f aca="0">IF(AND(ISNUMBER(I472),P472&lt;&gt;"Unresolved unit / layout"),I472*K472,"Not applicable")</x:f>
        <x:v>Not applicable</x:v>
      </x:c>
      <x:c r="O472" s="7" t="s">
        <x:v>1956</x:v>
      </x:c>
      <x:c r="P472" s="7" t="s">
        <x:v>1921</x:v>
      </x:c>
      <x:c r="Q472" s="7" t="s">
        <x:v>1930</x:v>
      </x:c>
      <x:c r="R472" s="7" t="s">
        <x:v>58</x:v>
      </x:c>
      <x:c r="S472" s="7" t="s">
        <x:v>2077</x:v>
      </x:c>
      <x:c r="T472" s="7" t="s">
        <x:v>2928</x:v>
      </x:c>
      <x:c r="U472" s="7" t="s">
        <x:v>53</x:v>
      </x:c>
      <x:c r="V472" s="7" t="s">
        <x:v>2097</x:v>
      </x:c>
      <x:c r="W472" s="7" t="s">
        <x:v>58</x:v>
      </x:c>
      <x:c r="X472" s="7" t="s">
        <x:v>2929</x:v>
      </x:c>
      <x:c r="Y472" s="7" t="s">
        <x:v>1189</x:v>
      </x:c>
      <x:c r="Z472" s="7" t="s">
        <x:v>2096</x:v>
      </x:c>
      <x:c r="AA472" s="7" t="s">
        <x:v>58</x:v>
      </x:c>
      <x:c r="AB472" s="8" t="s">
        <x:v>58</x:v>
      </x:c>
      <x:c r="AC472" s="8" t="s">
        <x:v>58</x:v>
      </x:c>
      <x:c r="AD472" s="8" t="s">
        <x:v>58</x:v>
      </x:c>
      <x:c r="AE472" s="8" t="s">
        <x:v>58</x:v>
      </x:c>
      <x:c r="AF472" s="8" t="s">
        <x:v>58</x:v>
      </x:c>
      <x:c r="AG472" s="7" t="s">
        <x:v>58</x:v>
      </x:c>
    </x:row>
    <x:row r="473" ht="79.5" hidden="0" customHeight="1">
      <x:c r="A473" s="7" t="s">
        <x:v>2938</x:v>
      </x:c>
      <x:c r="B473" s="7" t="s">
        <x:v>300</x:v>
      </x:c>
      <x:c r="C473" s="7" t="s">
        <x:v>302</x:v>
      </x:c>
      <x:c r="D473" s="7" t="s">
        <x:v>2099</x:v>
      </x:c>
      <x:c r="E473" s="7" t="s">
        <x:v>2939</x:v>
      </x:c>
      <x:c r="F473" s="7" t="s">
        <x:v>1942</x:v>
      </x:c>
      <x:c r="G473" s="8" t="n">
        <x:v>0.3</x:v>
      </x:c>
      <x:c r="H473" s="8" t="s">
        <x:v>58</x:v>
      </x:c>
      <x:c r="I473" s="8" t="s">
        <x:v>58</x:v>
      </x:c>
      <x:c r="J473" s="7" t="s">
        <x:v>1919</x:v>
      </x:c>
      <x:c r="K473" s="8" t="n">
        <x:v>1</x:v>
      </x:c>
      <x:c r="L473" s="8" t="n">
        <x:f aca="0">IF(AND(ISNUMBER(G473),P473&lt;&gt;"Unresolved unit / layout"),G473*K473,"Not applicable")</x:f>
        <x:v>0.3</x:v>
      </x:c>
      <x:c r="M473" s="8" t="str">
        <x:f aca="0">IF(AND(ISNUMBER(H473),P473&lt;&gt;"Unresolved unit / layout"),H473*K473,"Not applicable")</x:f>
        <x:v>Not applicable</x:v>
      </x:c>
      <x:c r="N473" s="8" t="str">
        <x:f aca="0">IF(AND(ISNUMBER(I473),P473&lt;&gt;"Unresolved unit / layout"),I473*K473,"Not applicable")</x:f>
        <x:v>Not applicable</x:v>
      </x:c>
      <x:c r="O473" s="7" t="s">
        <x:v>1942</x:v>
      </x:c>
      <x:c r="P473" s="7" t="s">
        <x:v>1921</x:v>
      </x:c>
      <x:c r="Q473" s="7" t="s">
        <x:v>1930</x:v>
      </x:c>
      <x:c r="R473" s="7" t="s">
        <x:v>58</x:v>
      </x:c>
      <x:c r="S473" s="7" t="s">
        <x:v>2077</x:v>
      </x:c>
      <x:c r="T473" s="7" t="s">
        <x:v>2928</x:v>
      </x:c>
      <x:c r="U473" s="7" t="s">
        <x:v>53</x:v>
      </x:c>
      <x:c r="V473" s="7" t="s">
        <x:v>2192</x:v>
      </x:c>
      <x:c r="W473" s="7" t="s">
        <x:v>58</x:v>
      </x:c>
      <x:c r="X473" s="7" t="s">
        <x:v>2929</x:v>
      </x:c>
      <x:c r="Y473" s="7" t="s">
        <x:v>1189</x:v>
      </x:c>
      <x:c r="Z473" s="7" t="s">
        <x:v>2193</x:v>
      </x:c>
      <x:c r="AA473" s="7" t="s">
        <x:v>58</x:v>
      </x:c>
      <x:c r="AB473" s="8" t="s">
        <x:v>58</x:v>
      </x:c>
      <x:c r="AC473" s="8" t="s">
        <x:v>58</x:v>
      </x:c>
      <x:c r="AD473" s="8" t="s">
        <x:v>58</x:v>
      </x:c>
      <x:c r="AE473" s="8" t="s">
        <x:v>58</x:v>
      </x:c>
      <x:c r="AF473" s="8" t="s">
        <x:v>58</x:v>
      </x:c>
      <x:c r="AG473" s="7" t="s">
        <x:v>58</x:v>
      </x:c>
    </x:row>
    <x:row r="474" ht="79.5" hidden="0" customHeight="1">
      <x:c r="A474" s="7" t="s">
        <x:v>2940</x:v>
      </x:c>
      <x:c r="B474" s="7" t="s">
        <x:v>300</x:v>
      </x:c>
      <x:c r="C474" s="7" t="s">
        <x:v>302</x:v>
      </x:c>
      <x:c r="D474" s="7" t="s">
        <x:v>1935</x:v>
      </x:c>
      <x:c r="E474" s="7" t="s">
        <x:v>2941</x:v>
      </x:c>
      <x:c r="F474" s="7" t="s">
        <x:v>1929</x:v>
      </x:c>
      <x:c r="G474" s="8" t="n">
        <x:v>1420</x:v>
      </x:c>
      <x:c r="H474" s="8" t="n">
        <x:v>160</x:v>
      </x:c>
      <x:c r="I474" s="8" t="s">
        <x:v>58</x:v>
      </x:c>
      <x:c r="J474" s="7" t="s">
        <x:v>1919</x:v>
      </x:c>
      <x:c r="K474" s="8" t="n">
        <x:v>0.001</x:v>
      </x:c>
      <x:c r="L474" s="8" t="n">
        <x:f aca="0">IF(AND(ISNUMBER(G474),P474&lt;&gt;"Unresolved unit / layout"),G474*K474,"Not applicable")</x:f>
        <x:v>1.42</x:v>
      </x:c>
      <x:c r="M474" s="8" t="n">
        <x:f aca="0">IF(AND(ISNUMBER(H474),P474&lt;&gt;"Unresolved unit / layout"),H474*K474,"Not applicable")</x:f>
        <x:v>0.16</x:v>
      </x:c>
      <x:c r="N474" s="8" t="str">
        <x:f aca="0">IF(AND(ISNUMBER(I474),P474&lt;&gt;"Unresolved unit / layout"),I474*K474,"Not applicable")</x:f>
        <x:v>Not applicable</x:v>
      </x:c>
      <x:c r="O474" s="7" t="s">
        <x:v>1937</x:v>
      </x:c>
      <x:c r="P474" s="7" t="s">
        <x:v>1921</x:v>
      </x:c>
      <x:c r="Q474" s="7" t="s">
        <x:v>1930</x:v>
      </x:c>
      <x:c r="R474" s="7" t="s">
        <x:v>1931</x:v>
      </x:c>
      <x:c r="S474" s="7" t="s">
        <x:v>2077</x:v>
      </x:c>
      <x:c r="T474" s="7" t="s">
        <x:v>2928</x:v>
      </x:c>
      <x:c r="U474" s="7" t="s">
        <x:v>53</x:v>
      </x:c>
      <x:c r="V474" s="7" t="s">
        <x:v>1999</x:v>
      </x:c>
      <x:c r="W474" s="7" t="s">
        <x:v>58</x:v>
      </x:c>
      <x:c r="X474" s="7" t="s">
        <x:v>2929</x:v>
      </x:c>
      <x:c r="Y474" s="7" t="s">
        <x:v>1189</x:v>
      </x:c>
      <x:c r="Z474" s="7" t="s">
        <x:v>2105</x:v>
      </x:c>
      <x:c r="AA474" s="7" t="s">
        <x:v>58</x:v>
      </x:c>
      <x:c r="AB474" s="8" t="s">
        <x:v>58</x:v>
      </x:c>
      <x:c r="AC474" s="8" t="s">
        <x:v>58</x:v>
      </x:c>
      <x:c r="AD474" s="8" t="s">
        <x:v>58</x:v>
      </x:c>
      <x:c r="AE474" s="8" t="s">
        <x:v>58</x:v>
      </x:c>
      <x:c r="AF474" s="8" t="s">
        <x:v>58</x:v>
      </x:c>
      <x:c r="AG474" s="7" t="s">
        <x:v>58</x:v>
      </x:c>
    </x:row>
    <x:row r="475" ht="79.5" hidden="0" customHeight="1">
      <x:c r="A475" s="7" t="s">
        <x:v>2942</x:v>
      </x:c>
      <x:c r="B475" s="7" t="s">
        <x:v>300</x:v>
      </x:c>
      <x:c r="C475" s="7" t="s">
        <x:v>302</x:v>
      </x:c>
      <x:c r="D475" s="7" t="s">
        <x:v>1935</x:v>
      </x:c>
      <x:c r="E475" s="7" t="s">
        <x:v>2943</x:v>
      </x:c>
      <x:c r="F475" s="7" t="s">
        <x:v>1929</x:v>
      </x:c>
      <x:c r="G475" s="8" t="n">
        <x:v>1230</x:v>
      </x:c>
      <x:c r="H475" s="8" t="n">
        <x:v>140</x:v>
      </x:c>
      <x:c r="I475" s="8" t="s">
        <x:v>58</x:v>
      </x:c>
      <x:c r="J475" s="7" t="s">
        <x:v>1919</x:v>
      </x:c>
      <x:c r="K475" s="8" t="n">
        <x:v>0.001</x:v>
      </x:c>
      <x:c r="L475" s="8" t="n">
        <x:f aca="0">IF(AND(ISNUMBER(G475),P475&lt;&gt;"Unresolved unit / layout"),G475*K475,"Not applicable")</x:f>
        <x:v>1.23</x:v>
      </x:c>
      <x:c r="M475" s="8" t="n">
        <x:f aca="0">IF(AND(ISNUMBER(H475),P475&lt;&gt;"Unresolved unit / layout"),H475*K475,"Not applicable")</x:f>
        <x:v>0.14</x:v>
      </x:c>
      <x:c r="N475" s="8" t="str">
        <x:f aca="0">IF(AND(ISNUMBER(I475),P475&lt;&gt;"Unresolved unit / layout"),I475*K475,"Not applicable")</x:f>
        <x:v>Not applicable</x:v>
      </x:c>
      <x:c r="O475" s="7" t="s">
        <x:v>1937</x:v>
      </x:c>
      <x:c r="P475" s="7" t="s">
        <x:v>1921</x:v>
      </x:c>
      <x:c r="Q475" s="7" t="s">
        <x:v>1930</x:v>
      </x:c>
      <x:c r="R475" s="7" t="s">
        <x:v>2003</x:v>
      </x:c>
      <x:c r="S475" s="7" t="s">
        <x:v>2077</x:v>
      </x:c>
      <x:c r="T475" s="7" t="s">
        <x:v>2928</x:v>
      </x:c>
      <x:c r="U475" s="7" t="s">
        <x:v>53</x:v>
      </x:c>
      <x:c r="V475" s="7" t="s">
        <x:v>1999</x:v>
      </x:c>
      <x:c r="W475" s="7" t="s">
        <x:v>58</x:v>
      </x:c>
      <x:c r="X475" s="7" t="s">
        <x:v>2929</x:v>
      </x:c>
      <x:c r="Y475" s="7" t="s">
        <x:v>1189</x:v>
      </x:c>
      <x:c r="Z475" s="7" t="s">
        <x:v>2108</x:v>
      </x:c>
      <x:c r="AA475" s="7" t="s">
        <x:v>58</x:v>
      </x:c>
      <x:c r="AB475" s="8" t="s">
        <x:v>58</x:v>
      </x:c>
      <x:c r="AC475" s="8" t="s">
        <x:v>58</x:v>
      </x:c>
      <x:c r="AD475" s="8" t="s">
        <x:v>58</x:v>
      </x:c>
      <x:c r="AE475" s="8" t="s">
        <x:v>58</x:v>
      </x:c>
      <x:c r="AF475" s="8" t="s">
        <x:v>58</x:v>
      </x:c>
      <x:c r="AG475" s="7" t="s">
        <x:v>58</x:v>
      </x:c>
    </x:row>
    <x:row r="476" ht="79.5" hidden="0" customHeight="1">
      <x:c r="A476" s="7" t="s">
        <x:v>2944</x:v>
      </x:c>
      <x:c r="B476" s="7" t="s">
        <x:v>300</x:v>
      </x:c>
      <x:c r="C476" s="7" t="s">
        <x:v>302</x:v>
      </x:c>
      <x:c r="D476" s="7" t="s">
        <x:v>2006</x:v>
      </x:c>
      <x:c r="E476" s="7" t="s">
        <x:v>2323</x:v>
      </x:c>
      <x:c r="F476" s="7" t="s">
        <x:v>1929</x:v>
      </x:c>
      <x:c r="G476" s="8" t="n">
        <x:v>33</x:v>
      </x:c>
      <x:c r="H476" s="8" t="n">
        <x:v>4</x:v>
      </x:c>
      <x:c r="I476" s="8" t="s">
        <x:v>58</x:v>
      </x:c>
      <x:c r="J476" s="7" t="s">
        <x:v>1919</x:v>
      </x:c>
      <x:c r="K476" s="8" t="n">
        <x:v>1</x:v>
      </x:c>
      <x:c r="L476" s="8" t="n">
        <x:f aca="0">IF(AND(ISNUMBER(G476),P476&lt;&gt;"Unresolved unit / layout"),G476*K476,"Not applicable")</x:f>
        <x:v>33</x:v>
      </x:c>
      <x:c r="M476" s="8" t="n">
        <x:f aca="0">IF(AND(ISNUMBER(H476),P476&lt;&gt;"Unresolved unit / layout"),H476*K476,"Not applicable")</x:f>
        <x:v>4</x:v>
      </x:c>
      <x:c r="N476" s="8" t="str">
        <x:f aca="0">IF(AND(ISNUMBER(I476),P476&lt;&gt;"Unresolved unit / layout"),I476*K476,"Not applicable")</x:f>
        <x:v>Not applicable</x:v>
      </x:c>
      <x:c r="O476" s="7" t="s">
        <x:v>1929</x:v>
      </x:c>
      <x:c r="P476" s="7" t="s">
        <x:v>1921</x:v>
      </x:c>
      <x:c r="Q476" s="7" t="s">
        <x:v>1930</x:v>
      </x:c>
      <x:c r="R476" s="7" t="s">
        <x:v>1931</x:v>
      </x:c>
      <x:c r="S476" s="7" t="s">
        <x:v>2077</x:v>
      </x:c>
      <x:c r="T476" s="7" t="s">
        <x:v>2928</x:v>
      </x:c>
      <x:c r="U476" s="7" t="s">
        <x:v>53</x:v>
      </x:c>
      <x:c r="V476" s="7" t="s">
        <x:v>1999</x:v>
      </x:c>
      <x:c r="W476" s="7" t="s">
        <x:v>58</x:v>
      </x:c>
      <x:c r="X476" s="7" t="s">
        <x:v>2929</x:v>
      </x:c>
      <x:c r="Y476" s="7" t="s">
        <x:v>1189</x:v>
      </x:c>
      <x:c r="Z476" s="7" t="s">
        <x:v>2111</x:v>
      </x:c>
      <x:c r="AA476" s="7" t="s">
        <x:v>58</x:v>
      </x:c>
      <x:c r="AB476" s="8" t="s">
        <x:v>58</x:v>
      </x:c>
      <x:c r="AC476" s="8" t="s">
        <x:v>58</x:v>
      </x:c>
      <x:c r="AD476" s="8" t="s">
        <x:v>58</x:v>
      </x:c>
      <x:c r="AE476" s="8" t="s">
        <x:v>58</x:v>
      </x:c>
      <x:c r="AF476" s="8" t="s">
        <x:v>58</x:v>
      </x:c>
      <x:c r="AG476" s="7" t="s">
        <x:v>58</x:v>
      </x:c>
    </x:row>
    <x:row r="477" ht="79.5" hidden="0" customHeight="1">
      <x:c r="A477" s="7" t="s">
        <x:v>2945</x:v>
      </x:c>
      <x:c r="B477" s="7" t="s">
        <x:v>300</x:v>
      </x:c>
      <x:c r="C477" s="7" t="s">
        <x:v>302</x:v>
      </x:c>
      <x:c r="D477" s="7" t="s">
        <x:v>2006</x:v>
      </x:c>
      <x:c r="E477" s="7" t="s">
        <x:v>2946</x:v>
      </x:c>
      <x:c r="F477" s="7" t="s">
        <x:v>1929</x:v>
      </x:c>
      <x:c r="G477" s="8" t="n">
        <x:v>29</x:v>
      </x:c>
      <x:c r="H477" s="8" t="n">
        <x:v>3</x:v>
      </x:c>
      <x:c r="I477" s="8" t="s">
        <x:v>58</x:v>
      </x:c>
      <x:c r="J477" s="7" t="s">
        <x:v>1919</x:v>
      </x:c>
      <x:c r="K477" s="8" t="n">
        <x:v>1</x:v>
      </x:c>
      <x:c r="L477" s="8" t="n">
        <x:f aca="0">IF(AND(ISNUMBER(G477),P477&lt;&gt;"Unresolved unit / layout"),G477*K477,"Not applicable")</x:f>
        <x:v>29</x:v>
      </x:c>
      <x:c r="M477" s="8" t="n">
        <x:f aca="0">IF(AND(ISNUMBER(H477),P477&lt;&gt;"Unresolved unit / layout"),H477*K477,"Not applicable")</x:f>
        <x:v>3</x:v>
      </x:c>
      <x:c r="N477" s="8" t="str">
        <x:f aca="0">IF(AND(ISNUMBER(I477),P477&lt;&gt;"Unresolved unit / layout"),I477*K477,"Not applicable")</x:f>
        <x:v>Not applicable</x:v>
      </x:c>
      <x:c r="O477" s="7" t="s">
        <x:v>1929</x:v>
      </x:c>
      <x:c r="P477" s="7" t="s">
        <x:v>1921</x:v>
      </x:c>
      <x:c r="Q477" s="7" t="s">
        <x:v>1930</x:v>
      </x:c>
      <x:c r="R477" s="7" t="s">
        <x:v>2003</x:v>
      </x:c>
      <x:c r="S477" s="7" t="s">
        <x:v>2077</x:v>
      </x:c>
      <x:c r="T477" s="7" t="s">
        <x:v>2928</x:v>
      </x:c>
      <x:c r="U477" s="7" t="s">
        <x:v>53</x:v>
      </x:c>
      <x:c r="V477" s="7" t="s">
        <x:v>1999</x:v>
      </x:c>
      <x:c r="W477" s="7" t="s">
        <x:v>58</x:v>
      </x:c>
      <x:c r="X477" s="7" t="s">
        <x:v>2929</x:v>
      </x:c>
      <x:c r="Y477" s="7" t="s">
        <x:v>1189</x:v>
      </x:c>
      <x:c r="Z477" s="7" t="s">
        <x:v>2114</x:v>
      </x:c>
      <x:c r="AA477" s="7" t="s">
        <x:v>58</x:v>
      </x:c>
      <x:c r="AB477" s="8" t="s">
        <x:v>58</x:v>
      </x:c>
      <x:c r="AC477" s="8" t="s">
        <x:v>58</x:v>
      </x:c>
      <x:c r="AD477" s="8" t="s">
        <x:v>58</x:v>
      </x:c>
      <x:c r="AE477" s="8" t="s">
        <x:v>58</x:v>
      </x:c>
      <x:c r="AF477" s="8" t="s">
        <x:v>58</x:v>
      </x:c>
      <x:c r="AG477" s="7" t="s">
        <x:v>58</x:v>
      </x:c>
    </x:row>
    <x:row r="478" ht="79.5" hidden="0" customHeight="1">
      <x:c r="A478" s="7" t="s">
        <x:v>2947</x:v>
      </x:c>
      <x:c r="B478" s="7" t="s">
        <x:v>300</x:v>
      </x:c>
      <x:c r="C478" s="7" t="s">
        <x:v>302</x:v>
      </x:c>
      <x:c r="D478" s="7" t="s">
        <x:v>1940</x:v>
      </x:c>
      <x:c r="E478" s="7" t="s">
        <x:v>2948</x:v>
      </x:c>
      <x:c r="F478" s="7" t="s">
        <x:v>1942</x:v>
      </x:c>
      <x:c r="G478" s="8" t="n">
        <x:v>8.2</x:v>
      </x:c>
      <x:c r="H478" s="8" t="n">
        <x:v>1.3</x:v>
      </x:c>
      <x:c r="I478" s="8" t="s">
        <x:v>58</x:v>
      </x:c>
      <x:c r="J478" s="7" t="s">
        <x:v>1919</x:v>
      </x:c>
      <x:c r="K478" s="8" t="n">
        <x:v>1</x:v>
      </x:c>
      <x:c r="L478" s="8" t="n">
        <x:f aca="0">IF(AND(ISNUMBER(G478),P478&lt;&gt;"Unresolved unit / layout"),G478*K478,"Not applicable")</x:f>
        <x:v>8.2</x:v>
      </x:c>
      <x:c r="M478" s="8" t="n">
        <x:f aca="0">IF(AND(ISNUMBER(H478),P478&lt;&gt;"Unresolved unit / layout"),H478*K478,"Not applicable")</x:f>
        <x:v>1.3</x:v>
      </x:c>
      <x:c r="N478" s="8" t="str">
        <x:f aca="0">IF(AND(ISNUMBER(I478),P478&lt;&gt;"Unresolved unit / layout"),I478*K478,"Not applicable")</x:f>
        <x:v>Not applicable</x:v>
      </x:c>
      <x:c r="O478" s="7" t="s">
        <x:v>1942</x:v>
      </x:c>
      <x:c r="P478" s="7" t="s">
        <x:v>1921</x:v>
      </x:c>
      <x:c r="Q478" s="7" t="s">
        <x:v>1930</x:v>
      </x:c>
      <x:c r="R478" s="7" t="s">
        <x:v>1931</x:v>
      </x:c>
      <x:c r="S478" s="7" t="s">
        <x:v>2077</x:v>
      </x:c>
      <x:c r="T478" s="7" t="s">
        <x:v>2928</x:v>
      </x:c>
      <x:c r="U478" s="7" t="s">
        <x:v>53</x:v>
      </x:c>
      <x:c r="V478" s="7" t="s">
        <x:v>1999</x:v>
      </x:c>
      <x:c r="W478" s="7" t="s">
        <x:v>58</x:v>
      </x:c>
      <x:c r="X478" s="7" t="s">
        <x:v>2929</x:v>
      </x:c>
      <x:c r="Y478" s="7" t="s">
        <x:v>1189</x:v>
      </x:c>
      <x:c r="Z478" s="7" t="s">
        <x:v>2117</x:v>
      </x:c>
      <x:c r="AA478" s="7" t="s">
        <x:v>58</x:v>
      </x:c>
      <x:c r="AB478" s="8" t="s">
        <x:v>58</x:v>
      </x:c>
      <x:c r="AC478" s="8" t="s">
        <x:v>58</x:v>
      </x:c>
      <x:c r="AD478" s="8" t="s">
        <x:v>58</x:v>
      </x:c>
      <x:c r="AE478" s="8" t="s">
        <x:v>58</x:v>
      </x:c>
      <x:c r="AF478" s="8" t="s">
        <x:v>58</x:v>
      </x:c>
      <x:c r="AG478" s="7" t="s">
        <x:v>58</x:v>
      </x:c>
    </x:row>
    <x:row r="479" ht="79.5" hidden="0" customHeight="1">
      <x:c r="A479" s="7" t="s">
        <x:v>2949</x:v>
      </x:c>
      <x:c r="B479" s="7" t="s">
        <x:v>300</x:v>
      </x:c>
      <x:c r="C479" s="7" t="s">
        <x:v>302</x:v>
      </x:c>
      <x:c r="D479" s="7" t="s">
        <x:v>1940</x:v>
      </x:c>
      <x:c r="E479" s="7" t="s">
        <x:v>2950</x:v>
      </x:c>
      <x:c r="F479" s="7" t="s">
        <x:v>1942</x:v>
      </x:c>
      <x:c r="G479" s="8" t="n">
        <x:v>5.2</x:v>
      </x:c>
      <x:c r="H479" s="8" t="n">
        <x:v>0.9</x:v>
      </x:c>
      <x:c r="I479" s="8" t="s">
        <x:v>58</x:v>
      </x:c>
      <x:c r="J479" s="7" t="s">
        <x:v>1919</x:v>
      </x:c>
      <x:c r="K479" s="8" t="n">
        <x:v>1</x:v>
      </x:c>
      <x:c r="L479" s="8" t="n">
        <x:f aca="0">IF(AND(ISNUMBER(G479),P479&lt;&gt;"Unresolved unit / layout"),G479*K479,"Not applicable")</x:f>
        <x:v>5.2</x:v>
      </x:c>
      <x:c r="M479" s="8" t="n">
        <x:f aca="0">IF(AND(ISNUMBER(H479),P479&lt;&gt;"Unresolved unit / layout"),H479*K479,"Not applicable")</x:f>
        <x:v>0.9</x:v>
      </x:c>
      <x:c r="N479" s="8" t="str">
        <x:f aca="0">IF(AND(ISNUMBER(I479),P479&lt;&gt;"Unresolved unit / layout"),I479*K479,"Not applicable")</x:f>
        <x:v>Not applicable</x:v>
      </x:c>
      <x:c r="O479" s="7" t="s">
        <x:v>1942</x:v>
      </x:c>
      <x:c r="P479" s="7" t="s">
        <x:v>1921</x:v>
      </x:c>
      <x:c r="Q479" s="7" t="s">
        <x:v>1930</x:v>
      </x:c>
      <x:c r="R479" s="7" t="s">
        <x:v>2003</x:v>
      </x:c>
      <x:c r="S479" s="7" t="s">
        <x:v>2077</x:v>
      </x:c>
      <x:c r="T479" s="7" t="s">
        <x:v>2928</x:v>
      </x:c>
      <x:c r="U479" s="7" t="s">
        <x:v>53</x:v>
      </x:c>
      <x:c r="V479" s="7" t="s">
        <x:v>1999</x:v>
      </x:c>
      <x:c r="W479" s="7" t="s">
        <x:v>58</x:v>
      </x:c>
      <x:c r="X479" s="7" t="s">
        <x:v>2929</x:v>
      </x:c>
      <x:c r="Y479" s="7" t="s">
        <x:v>1189</x:v>
      </x:c>
      <x:c r="Z479" s="7" t="s">
        <x:v>2120</x:v>
      </x:c>
      <x:c r="AA479" s="7" t="s">
        <x:v>58</x:v>
      </x:c>
      <x:c r="AB479" s="8" t="s">
        <x:v>58</x:v>
      </x:c>
      <x:c r="AC479" s="8" t="s">
        <x:v>58</x:v>
      </x:c>
      <x:c r="AD479" s="8" t="s">
        <x:v>58</x:v>
      </x:c>
      <x:c r="AE479" s="8" t="s">
        <x:v>58</x:v>
      </x:c>
      <x:c r="AF479" s="8" t="s">
        <x:v>58</x:v>
      </x:c>
      <x:c r="AG479" s="7" t="s">
        <x:v>58</x:v>
      </x:c>
    </x:row>
    <x:row r="480" ht="79.5" hidden="0" customHeight="1">
      <x:c r="A480" s="7" t="s">
        <x:v>2951</x:v>
      </x:c>
      <x:c r="B480" s="7" t="s">
        <x:v>300</x:v>
      </x:c>
      <x:c r="C480" s="7" t="s">
        <x:v>302</x:v>
      </x:c>
      <x:c r="D480" s="7" t="s">
        <x:v>1950</x:v>
      </x:c>
      <x:c r="E480" s="7" t="s">
        <x:v>2952</x:v>
      </x:c>
      <x:c r="F480" s="7" t="s">
        <x:v>1929</x:v>
      </x:c>
      <x:c r="G480" s="8" t="n">
        <x:v>1610</x:v>
      </x:c>
      <x:c r="H480" s="8" t="n">
        <x:v>130</x:v>
      </x:c>
      <x:c r="I480" s="8" t="s">
        <x:v>58</x:v>
      </x:c>
      <x:c r="J480" s="7" t="s">
        <x:v>1919</x:v>
      </x:c>
      <x:c r="K480" s="8" t="n">
        <x:v>0.001</x:v>
      </x:c>
      <x:c r="L480" s="8" t="n">
        <x:f aca="0">IF(AND(ISNUMBER(G480),P480&lt;&gt;"Unresolved unit / layout"),G480*K480,"Not applicable")</x:f>
        <x:v>1.61</x:v>
      </x:c>
      <x:c r="M480" s="8" t="n">
        <x:f aca="0">IF(AND(ISNUMBER(H480),P480&lt;&gt;"Unresolved unit / layout"),H480*K480,"Not applicable")</x:f>
        <x:v>0.13</x:v>
      </x:c>
      <x:c r="N480" s="8" t="str">
        <x:f aca="0">IF(AND(ISNUMBER(I480),P480&lt;&gt;"Unresolved unit / layout"),I480*K480,"Not applicable")</x:f>
        <x:v>Not applicable</x:v>
      </x:c>
      <x:c r="O480" s="7" t="s">
        <x:v>1937</x:v>
      </x:c>
      <x:c r="P480" s="7" t="s">
        <x:v>1921</x:v>
      </x:c>
      <x:c r="Q480" s="7" t="s">
        <x:v>1930</x:v>
      </x:c>
      <x:c r="R480" s="7" t="s">
        <x:v>1931</x:v>
      </x:c>
      <x:c r="S480" s="7" t="s">
        <x:v>2077</x:v>
      </x:c>
      <x:c r="T480" s="7" t="s">
        <x:v>2928</x:v>
      </x:c>
      <x:c r="U480" s="7" t="s">
        <x:v>53</x:v>
      </x:c>
      <x:c r="V480" s="7" t="s">
        <x:v>2020</x:v>
      </x:c>
      <x:c r="W480" s="7" t="s">
        <x:v>58</x:v>
      </x:c>
      <x:c r="X480" s="7" t="s">
        <x:v>2929</x:v>
      </x:c>
      <x:c r="Y480" s="7" t="s">
        <x:v>1189</x:v>
      </x:c>
      <x:c r="Z480" s="7" t="s">
        <x:v>2123</x:v>
      </x:c>
      <x:c r="AA480" s="7" t="s">
        <x:v>58</x:v>
      </x:c>
      <x:c r="AB480" s="8" t="s">
        <x:v>58</x:v>
      </x:c>
      <x:c r="AC480" s="8" t="s">
        <x:v>58</x:v>
      </x:c>
      <x:c r="AD480" s="8" t="s">
        <x:v>58</x:v>
      </x:c>
      <x:c r="AE480" s="8" t="s">
        <x:v>58</x:v>
      </x:c>
      <x:c r="AF480" s="8" t="s">
        <x:v>58</x:v>
      </x:c>
      <x:c r="AG480" s="7" t="s">
        <x:v>58</x:v>
      </x:c>
    </x:row>
    <x:row r="481" ht="79.5" hidden="0" customHeight="1">
      <x:c r="A481" s="7" t="s">
        <x:v>2953</x:v>
      </x:c>
      <x:c r="B481" s="7" t="s">
        <x:v>300</x:v>
      </x:c>
      <x:c r="C481" s="7" t="s">
        <x:v>302</x:v>
      </x:c>
      <x:c r="D481" s="7" t="s">
        <x:v>1950</x:v>
      </x:c>
      <x:c r="E481" s="7" t="s">
        <x:v>2954</x:v>
      </x:c>
      <x:c r="F481" s="7" t="s">
        <x:v>1929</x:v>
      </x:c>
      <x:c r="G481" s="8" t="n">
        <x:v>1520</x:v>
      </x:c>
      <x:c r="H481" s="8" t="n">
        <x:v>110</x:v>
      </x:c>
      <x:c r="I481" s="8" t="s">
        <x:v>58</x:v>
      </x:c>
      <x:c r="J481" s="7" t="s">
        <x:v>1919</x:v>
      </x:c>
      <x:c r="K481" s="8" t="n">
        <x:v>0.001</x:v>
      </x:c>
      <x:c r="L481" s="8" t="n">
        <x:f aca="0">IF(AND(ISNUMBER(G481),P481&lt;&gt;"Unresolved unit / layout"),G481*K481,"Not applicable")</x:f>
        <x:v>1.52</x:v>
      </x:c>
      <x:c r="M481" s="8" t="n">
        <x:f aca="0">IF(AND(ISNUMBER(H481),P481&lt;&gt;"Unresolved unit / layout"),H481*K481,"Not applicable")</x:f>
        <x:v>0.11</x:v>
      </x:c>
      <x:c r="N481" s="8" t="str">
        <x:f aca="0">IF(AND(ISNUMBER(I481),P481&lt;&gt;"Unresolved unit / layout"),I481*K481,"Not applicable")</x:f>
        <x:v>Not applicable</x:v>
      </x:c>
      <x:c r="O481" s="7" t="s">
        <x:v>1937</x:v>
      </x:c>
      <x:c r="P481" s="7" t="s">
        <x:v>1921</x:v>
      </x:c>
      <x:c r="Q481" s="7" t="s">
        <x:v>1930</x:v>
      </x:c>
      <x:c r="R481" s="7" t="s">
        <x:v>2003</x:v>
      </x:c>
      <x:c r="S481" s="7" t="s">
        <x:v>2077</x:v>
      </x:c>
      <x:c r="T481" s="7" t="s">
        <x:v>2928</x:v>
      </x:c>
      <x:c r="U481" s="7" t="s">
        <x:v>53</x:v>
      </x:c>
      <x:c r="V481" s="7" t="s">
        <x:v>2020</x:v>
      </x:c>
      <x:c r="W481" s="7" t="s">
        <x:v>58</x:v>
      </x:c>
      <x:c r="X481" s="7" t="s">
        <x:v>2929</x:v>
      </x:c>
      <x:c r="Y481" s="7" t="s">
        <x:v>1189</x:v>
      </x:c>
      <x:c r="Z481" s="7" t="s">
        <x:v>2210</x:v>
      </x:c>
      <x:c r="AA481" s="7" t="s">
        <x:v>58</x:v>
      </x:c>
      <x:c r="AB481" s="8" t="s">
        <x:v>58</x:v>
      </x:c>
      <x:c r="AC481" s="8" t="s">
        <x:v>58</x:v>
      </x:c>
      <x:c r="AD481" s="8" t="s">
        <x:v>58</x:v>
      </x:c>
      <x:c r="AE481" s="8" t="s">
        <x:v>58</x:v>
      </x:c>
      <x:c r="AF481" s="8" t="s">
        <x:v>58</x:v>
      </x:c>
      <x:c r="AG481" s="7" t="s">
        <x:v>58</x:v>
      </x:c>
    </x:row>
    <x:row r="482" ht="79.5" hidden="0" customHeight="1">
      <x:c r="A482" s="7" t="s">
        <x:v>2955</x:v>
      </x:c>
      <x:c r="B482" s="7" t="s">
        <x:v>300</x:v>
      </x:c>
      <x:c r="C482" s="7" t="s">
        <x:v>302</x:v>
      </x:c>
      <x:c r="D482" s="7" t="s">
        <x:v>1945</x:v>
      </x:c>
      <x:c r="E482" s="7" t="s">
        <x:v>2956</x:v>
      </x:c>
      <x:c r="F482" s="7" t="s">
        <x:v>1929</x:v>
      </x:c>
      <x:c r="G482" s="8" t="n">
        <x:v>68</x:v>
      </x:c>
      <x:c r="H482" s="8" t="n">
        <x:v>3</x:v>
      </x:c>
      <x:c r="I482" s="8" t="s">
        <x:v>58</x:v>
      </x:c>
      <x:c r="J482" s="7" t="s">
        <x:v>1919</x:v>
      </x:c>
      <x:c r="K482" s="8" t="n">
        <x:v>1</x:v>
      </x:c>
      <x:c r="L482" s="8" t="n">
        <x:f aca="0">IF(AND(ISNUMBER(G482),P482&lt;&gt;"Unresolved unit / layout"),G482*K482,"Not applicable")</x:f>
        <x:v>68</x:v>
      </x:c>
      <x:c r="M482" s="8" t="n">
        <x:f aca="0">IF(AND(ISNUMBER(H482),P482&lt;&gt;"Unresolved unit / layout"),H482*K482,"Not applicable")</x:f>
        <x:v>3</x:v>
      </x:c>
      <x:c r="N482" s="8" t="str">
        <x:f aca="0">IF(AND(ISNUMBER(I482),P482&lt;&gt;"Unresolved unit / layout"),I482*K482,"Not applicable")</x:f>
        <x:v>Not applicable</x:v>
      </x:c>
      <x:c r="O482" s="7" t="s">
        <x:v>1929</x:v>
      </x:c>
      <x:c r="P482" s="7" t="s">
        <x:v>1921</x:v>
      </x:c>
      <x:c r="Q482" s="7" t="s">
        <x:v>1930</x:v>
      </x:c>
      <x:c r="R482" s="7" t="s">
        <x:v>1931</x:v>
      </x:c>
      <x:c r="S482" s="7" t="s">
        <x:v>2077</x:v>
      </x:c>
      <x:c r="T482" s="7" t="s">
        <x:v>2928</x:v>
      </x:c>
      <x:c r="U482" s="7" t="s">
        <x:v>53</x:v>
      </x:c>
      <x:c r="V482" s="7" t="s">
        <x:v>2020</x:v>
      </x:c>
      <x:c r="W482" s="7" t="s">
        <x:v>58</x:v>
      </x:c>
      <x:c r="X482" s="7" t="s">
        <x:v>2929</x:v>
      </x:c>
      <x:c r="Y482" s="7" t="s">
        <x:v>1189</x:v>
      </x:c>
      <x:c r="Z482" s="7" t="s">
        <x:v>2213</x:v>
      </x:c>
      <x:c r="AA482" s="7" t="s">
        <x:v>58</x:v>
      </x:c>
      <x:c r="AB482" s="8" t="s">
        <x:v>58</x:v>
      </x:c>
      <x:c r="AC482" s="8" t="s">
        <x:v>58</x:v>
      </x:c>
      <x:c r="AD482" s="8" t="s">
        <x:v>58</x:v>
      </x:c>
      <x:c r="AE482" s="8" t="s">
        <x:v>58</x:v>
      </x:c>
      <x:c r="AF482" s="8" t="s">
        <x:v>58</x:v>
      </x:c>
      <x:c r="AG482" s="7" t="s">
        <x:v>58</x:v>
      </x:c>
    </x:row>
    <x:row r="483" ht="79.5" hidden="0" customHeight="1">
      <x:c r="A483" s="7" t="s">
        <x:v>2957</x:v>
      </x:c>
      <x:c r="B483" s="7" t="s">
        <x:v>300</x:v>
      </x:c>
      <x:c r="C483" s="7" t="s">
        <x:v>302</x:v>
      </x:c>
      <x:c r="D483" s="7" t="s">
        <x:v>1945</x:v>
      </x:c>
      <x:c r="E483" s="7" t="s">
        <x:v>2440</x:v>
      </x:c>
      <x:c r="F483" s="7" t="s">
        <x:v>1929</x:v>
      </x:c>
      <x:c r="G483" s="8" t="n">
        <x:v>55</x:v>
      </x:c>
      <x:c r="H483" s="8" t="n">
        <x:v>4</x:v>
      </x:c>
      <x:c r="I483" s="8" t="s">
        <x:v>58</x:v>
      </x:c>
      <x:c r="J483" s="7" t="s">
        <x:v>1919</x:v>
      </x:c>
      <x:c r="K483" s="8" t="n">
        <x:v>1</x:v>
      </x:c>
      <x:c r="L483" s="8" t="n">
        <x:f aca="0">IF(AND(ISNUMBER(G483),P483&lt;&gt;"Unresolved unit / layout"),G483*K483,"Not applicable")</x:f>
        <x:v>55</x:v>
      </x:c>
      <x:c r="M483" s="8" t="n">
        <x:f aca="0">IF(AND(ISNUMBER(H483),P483&lt;&gt;"Unresolved unit / layout"),H483*K483,"Not applicable")</x:f>
        <x:v>4</x:v>
      </x:c>
      <x:c r="N483" s="8" t="str">
        <x:f aca="0">IF(AND(ISNUMBER(I483),P483&lt;&gt;"Unresolved unit / layout"),I483*K483,"Not applicable")</x:f>
        <x:v>Not applicable</x:v>
      </x:c>
      <x:c r="O483" s="7" t="s">
        <x:v>1929</x:v>
      </x:c>
      <x:c r="P483" s="7" t="s">
        <x:v>1921</x:v>
      </x:c>
      <x:c r="Q483" s="7" t="s">
        <x:v>1930</x:v>
      </x:c>
      <x:c r="R483" s="7" t="s">
        <x:v>2003</x:v>
      </x:c>
      <x:c r="S483" s="7" t="s">
        <x:v>2077</x:v>
      </x:c>
      <x:c r="T483" s="7" t="s">
        <x:v>2928</x:v>
      </x:c>
      <x:c r="U483" s="7" t="s">
        <x:v>53</x:v>
      </x:c>
      <x:c r="V483" s="7" t="s">
        <x:v>2020</x:v>
      </x:c>
      <x:c r="W483" s="7" t="s">
        <x:v>58</x:v>
      </x:c>
      <x:c r="X483" s="7" t="s">
        <x:v>2929</x:v>
      </x:c>
      <x:c r="Y483" s="7" t="s">
        <x:v>1189</x:v>
      </x:c>
      <x:c r="Z483" s="7" t="s">
        <x:v>2216</x:v>
      </x:c>
      <x:c r="AA483" s="7" t="s">
        <x:v>58</x:v>
      </x:c>
      <x:c r="AB483" s="8" t="s">
        <x:v>58</x:v>
      </x:c>
      <x:c r="AC483" s="8" t="s">
        <x:v>58</x:v>
      </x:c>
      <x:c r="AD483" s="8" t="s">
        <x:v>58</x:v>
      </x:c>
      <x:c r="AE483" s="8" t="s">
        <x:v>58</x:v>
      </x:c>
      <x:c r="AF483" s="8" t="s">
        <x:v>58</x:v>
      </x:c>
      <x:c r="AG483" s="7" t="s">
        <x:v>58</x:v>
      </x:c>
    </x:row>
    <x:row r="484" ht="79.5" hidden="0" customHeight="1">
      <x:c r="A484" s="7" t="s">
        <x:v>2958</x:v>
      </x:c>
      <x:c r="B484" s="7" t="s">
        <x:v>300</x:v>
      </x:c>
      <x:c r="C484" s="7" t="s">
        <x:v>302</x:v>
      </x:c>
      <x:c r="D484" s="7" t="s">
        <x:v>2030</x:v>
      </x:c>
      <x:c r="E484" s="7" t="s">
        <x:v>2959</x:v>
      </x:c>
      <x:c r="F484" s="7" t="s">
        <x:v>2033</x:v>
      </x:c>
      <x:c r="G484" s="8" t="n">
        <x:v>37.4</x:v>
      </x:c>
      <x:c r="H484" s="8" t="n">
        <x:v>3.3</x:v>
      </x:c>
      <x:c r="I484" s="8" t="s">
        <x:v>58</x:v>
      </x:c>
      <x:c r="J484" s="7" t="s">
        <x:v>1919</x:v>
      </x:c>
      <x:c r="K484" s="8" t="n">
        <x:v>1</x:v>
      </x:c>
      <x:c r="L484" s="8" t="n">
        <x:f aca="0">IF(AND(ISNUMBER(G484),P484&lt;&gt;"Unresolved unit / layout"),G484*K484,"Not applicable")</x:f>
        <x:v>37.4</x:v>
      </x:c>
      <x:c r="M484" s="8" t="n">
        <x:f aca="0">IF(AND(ISNUMBER(H484),P484&lt;&gt;"Unresolved unit / layout"),H484*K484,"Not applicable")</x:f>
        <x:v>3.3</x:v>
      </x:c>
      <x:c r="N484" s="8" t="str">
        <x:f aca="0">IF(AND(ISNUMBER(I484),P484&lt;&gt;"Unresolved unit / layout"),I484*K484,"Not applicable")</x:f>
        <x:v>Not applicable</x:v>
      </x:c>
      <x:c r="O484" s="7" t="s">
        <x:v>2033</x:v>
      </x:c>
      <x:c r="P484" s="7" t="s">
        <x:v>1921</x:v>
      </x:c>
      <x:c r="Q484" s="7" t="s">
        <x:v>1930</x:v>
      </x:c>
      <x:c r="R484" s="7" t="s">
        <x:v>1931</x:v>
      </x:c>
      <x:c r="S484" s="7" t="s">
        <x:v>2077</x:v>
      </x:c>
      <x:c r="T484" s="7" t="s">
        <x:v>2928</x:v>
      </x:c>
      <x:c r="U484" s="7" t="s">
        <x:v>53</x:v>
      </x:c>
      <x:c r="V484" s="7" t="s">
        <x:v>2036</x:v>
      </x:c>
      <x:c r="W484" s="7" t="s">
        <x:v>2135</x:v>
      </x:c>
      <x:c r="X484" s="7" t="s">
        <x:v>2929</x:v>
      </x:c>
      <x:c r="Y484" s="7" t="s">
        <x:v>1189</x:v>
      </x:c>
      <x:c r="Z484" s="7" t="s">
        <x:v>2219</x:v>
      </x:c>
      <x:c r="AA484" s="7" t="s">
        <x:v>58</x:v>
      </x:c>
      <x:c r="AB484" s="8" t="s">
        <x:v>58</x:v>
      </x:c>
      <x:c r="AC484" s="8" t="s">
        <x:v>58</x:v>
      </x:c>
      <x:c r="AD484" s="8" t="s">
        <x:v>58</x:v>
      </x:c>
      <x:c r="AE484" s="8" t="s">
        <x:v>58</x:v>
      </x:c>
      <x:c r="AF484" s="8" t="s">
        <x:v>58</x:v>
      </x:c>
      <x:c r="AG484" s="7" t="s">
        <x:v>58</x:v>
      </x:c>
    </x:row>
    <x:row r="485" ht="79.5" hidden="0" customHeight="1">
      <x:c r="A485" s="7" t="s">
        <x:v>2960</x:v>
      </x:c>
      <x:c r="B485" s="7" t="s">
        <x:v>300</x:v>
      </x:c>
      <x:c r="C485" s="7" t="s">
        <x:v>302</x:v>
      </x:c>
      <x:c r="D485" s="7" t="s">
        <x:v>2030</x:v>
      </x:c>
      <x:c r="E485" s="7" t="s">
        <x:v>2961</x:v>
      </x:c>
      <x:c r="F485" s="7" t="s">
        <x:v>2033</x:v>
      </x:c>
      <x:c r="G485" s="8" t="n">
        <x:v>8.6</x:v>
      </x:c>
      <x:c r="H485" s="8" t="n">
        <x:v>2.1</x:v>
      </x:c>
      <x:c r="I485" s="8" t="s">
        <x:v>58</x:v>
      </x:c>
      <x:c r="J485" s="7" t="s">
        <x:v>1919</x:v>
      </x:c>
      <x:c r="K485" s="8" t="n">
        <x:v>1</x:v>
      </x:c>
      <x:c r="L485" s="8" t="n">
        <x:f aca="0">IF(AND(ISNUMBER(G485),P485&lt;&gt;"Unresolved unit / layout"),G485*K485,"Not applicable")</x:f>
        <x:v>8.6</x:v>
      </x:c>
      <x:c r="M485" s="8" t="n">
        <x:f aca="0">IF(AND(ISNUMBER(H485),P485&lt;&gt;"Unresolved unit / layout"),H485*K485,"Not applicable")</x:f>
        <x:v>2.1</x:v>
      </x:c>
      <x:c r="N485" s="8" t="str">
        <x:f aca="0">IF(AND(ISNUMBER(I485),P485&lt;&gt;"Unresolved unit / layout"),I485*K485,"Not applicable")</x:f>
        <x:v>Not applicable</x:v>
      </x:c>
      <x:c r="O485" s="7" t="s">
        <x:v>2033</x:v>
      </x:c>
      <x:c r="P485" s="7" t="s">
        <x:v>1921</x:v>
      </x:c>
      <x:c r="Q485" s="7" t="s">
        <x:v>1930</x:v>
      </x:c>
      <x:c r="R485" s="7" t="s">
        <x:v>1931</x:v>
      </x:c>
      <x:c r="S485" s="7" t="s">
        <x:v>2077</x:v>
      </x:c>
      <x:c r="T485" s="7" t="s">
        <x:v>2928</x:v>
      </x:c>
      <x:c r="U485" s="7" t="s">
        <x:v>53</x:v>
      </x:c>
      <x:c r="V485" s="7" t="s">
        <x:v>2036</x:v>
      </x:c>
      <x:c r="W485" s="7" t="s">
        <x:v>2139</x:v>
      </x:c>
      <x:c r="X485" s="7" t="s">
        <x:v>2929</x:v>
      </x:c>
      <x:c r="Y485" s="7" t="s">
        <x:v>1189</x:v>
      </x:c>
      <x:c r="Z485" s="7" t="s">
        <x:v>2222</x:v>
      </x:c>
      <x:c r="AA485" s="7" t="s">
        <x:v>58</x:v>
      </x:c>
      <x:c r="AB485" s="8" t="s">
        <x:v>58</x:v>
      </x:c>
      <x:c r="AC485" s="8" t="s">
        <x:v>58</x:v>
      </x:c>
      <x:c r="AD485" s="8" t="s">
        <x:v>58</x:v>
      </x:c>
      <x:c r="AE485" s="8" t="s">
        <x:v>58</x:v>
      </x:c>
      <x:c r="AF485" s="8" t="s">
        <x:v>58</x:v>
      </x:c>
      <x:c r="AG485" s="7" t="s">
        <x:v>58</x:v>
      </x:c>
    </x:row>
    <x:row r="486" ht="79.5" hidden="0" customHeight="1">
      <x:c r="A486" s="7" t="s">
        <x:v>2962</x:v>
      </x:c>
      <x:c r="B486" s="7" t="s">
        <x:v>300</x:v>
      </x:c>
      <x:c r="C486" s="7" t="s">
        <x:v>302</x:v>
      </x:c>
      <x:c r="D486" s="7" t="s">
        <x:v>2030</x:v>
      </x:c>
      <x:c r="E486" s="7" t="s">
        <x:v>2963</x:v>
      </x:c>
      <x:c r="F486" s="7" t="s">
        <x:v>2033</x:v>
      </x:c>
      <x:c r="G486" s="8" t="n">
        <x:v>7.2</x:v>
      </x:c>
      <x:c r="H486" s="8" t="n">
        <x:v>1.8</x:v>
      </x:c>
      <x:c r="I486" s="8" t="s">
        <x:v>58</x:v>
      </x:c>
      <x:c r="J486" s="7" t="s">
        <x:v>1919</x:v>
      </x:c>
      <x:c r="K486" s="8" t="n">
        <x:v>1</x:v>
      </x:c>
      <x:c r="L486" s="8" t="n">
        <x:f aca="0">IF(AND(ISNUMBER(G486),P486&lt;&gt;"Unresolved unit / layout"),G486*K486,"Not applicable")</x:f>
        <x:v>7.2</x:v>
      </x:c>
      <x:c r="M486" s="8" t="n">
        <x:f aca="0">IF(AND(ISNUMBER(H486),P486&lt;&gt;"Unresolved unit / layout"),H486*K486,"Not applicable")</x:f>
        <x:v>1.8</x:v>
      </x:c>
      <x:c r="N486" s="8" t="str">
        <x:f aca="0">IF(AND(ISNUMBER(I486),P486&lt;&gt;"Unresolved unit / layout"),I486*K486,"Not applicable")</x:f>
        <x:v>Not applicable</x:v>
      </x:c>
      <x:c r="O486" s="7" t="s">
        <x:v>2033</x:v>
      </x:c>
      <x:c r="P486" s="7" t="s">
        <x:v>1921</x:v>
      </x:c>
      <x:c r="Q486" s="7" t="s">
        <x:v>1930</x:v>
      </x:c>
      <x:c r="R486" s="7" t="s">
        <x:v>2003</x:v>
      </x:c>
      <x:c r="S486" s="7" t="s">
        <x:v>2077</x:v>
      </x:c>
      <x:c r="T486" s="7" t="s">
        <x:v>2928</x:v>
      </x:c>
      <x:c r="U486" s="7" t="s">
        <x:v>53</x:v>
      </x:c>
      <x:c r="V486" s="7" t="s">
        <x:v>2036</x:v>
      </x:c>
      <x:c r="W486" s="7" t="s">
        <x:v>53</x:v>
      </x:c>
      <x:c r="X486" s="7" t="s">
        <x:v>2929</x:v>
      </x:c>
      <x:c r="Y486" s="7" t="s">
        <x:v>1189</x:v>
      </x:c>
      <x:c r="Z486" s="7" t="s">
        <x:v>2225</x:v>
      </x:c>
      <x:c r="AA486" s="7" t="s">
        <x:v>58</x:v>
      </x:c>
      <x:c r="AB486" s="8" t="s">
        <x:v>58</x:v>
      </x:c>
      <x:c r="AC486" s="8" t="s">
        <x:v>58</x:v>
      </x:c>
      <x:c r="AD486" s="8" t="s">
        <x:v>58</x:v>
      </x:c>
      <x:c r="AE486" s="8" t="s">
        <x:v>58</x:v>
      </x:c>
      <x:c r="AF486" s="8" t="s">
        <x:v>58</x:v>
      </x:c>
      <x:c r="AG486" s="7" t="s">
        <x:v>58</x:v>
      </x:c>
    </x:row>
    <x:row r="487" ht="79.5" hidden="0" customHeight="1">
      <x:c r="A487" s="7" t="s">
        <x:v>2964</x:v>
      </x:c>
      <x:c r="B487" s="7" t="s">
        <x:v>313</x:v>
      </x:c>
      <x:c r="C487" s="7" t="s">
        <x:v>315</x:v>
      </x:c>
      <x:c r="D487" s="7" t="s">
        <x:v>1916</x:v>
      </x:c>
      <x:c r="E487" s="7" t="s">
        <x:v>2382</x:v>
      </x:c>
      <x:c r="F487" s="7" t="s">
        <x:v>2076</x:v>
      </x:c>
      <x:c r="G487" s="8" t="n">
        <x:v>1.25</x:v>
      </x:c>
      <x:c r="H487" s="8" t="s">
        <x:v>58</x:v>
      </x:c>
      <x:c r="I487" s="8" t="s">
        <x:v>58</x:v>
      </x:c>
      <x:c r="J487" s="7" t="s">
        <x:v>1919</x:v>
      </x:c>
      <x:c r="K487" s="8" t="n">
        <x:v>1000</x:v>
      </x:c>
      <x:c r="L487" s="8" t="n">
        <x:f aca="0">IF(AND(ISNUMBER(G487),P487&lt;&gt;"Unresolved unit / layout"),G487*K487,"Not applicable")</x:f>
        <x:v>1250</x:v>
      </x:c>
      <x:c r="M487" s="8" t="str">
        <x:f aca="0">IF(AND(ISNUMBER(H487),P487&lt;&gt;"Unresolved unit / layout"),H487*K487,"Not applicable")</x:f>
        <x:v>Not applicable</x:v>
      </x:c>
      <x:c r="N487" s="8" t="str">
        <x:f aca="0">IF(AND(ISNUMBER(I487),P487&lt;&gt;"Unresolved unit / layout"),I487*K487,"Not applicable")</x:f>
        <x:v>Not applicable</x:v>
      </x:c>
      <x:c r="O487" s="7" t="s">
        <x:v>1920</x:v>
      </x:c>
      <x:c r="P487" s="7" t="s">
        <x:v>1921</x:v>
      </x:c>
      <x:c r="Q487" s="7" t="s">
        <x:v>1922</x:v>
      </x:c>
      <x:c r="R487" s="7" t="s">
        <x:v>58</x:v>
      </x:c>
      <x:c r="S487" s="7" t="s">
        <x:v>2077</x:v>
      </x:c>
      <x:c r="T487" s="7" t="s">
        <x:v>2928</x:v>
      </x:c>
      <x:c r="U487" s="7" t="s">
        <x:v>53</x:v>
      </x:c>
      <x:c r="V487" s="7" t="s">
        <x:v>1923</x:v>
      </x:c>
      <x:c r="W487" s="7" t="s">
        <x:v>58</x:v>
      </x:c>
      <x:c r="X487" s="7" t="s">
        <x:v>2965</x:v>
      </x:c>
      <x:c r="Y487" s="7" t="s">
        <x:v>1190</x:v>
      </x:c>
      <x:c r="Z487" s="7" t="s">
        <x:v>1968</x:v>
      </x:c>
      <x:c r="AA487" s="7" t="s">
        <x:v>58</x:v>
      </x:c>
      <x:c r="AB487" s="8" t="s">
        <x:v>58</x:v>
      </x:c>
      <x:c r="AC487" s="8" t="s">
        <x:v>58</x:v>
      </x:c>
      <x:c r="AD487" s="8" t="s">
        <x:v>58</x:v>
      </x:c>
      <x:c r="AE487" s="8" t="s">
        <x:v>58</x:v>
      </x:c>
      <x:c r="AF487" s="8" t="s">
        <x:v>58</x:v>
      </x:c>
      <x:c r="AG487" s="7" t="s">
        <x:v>58</x:v>
      </x:c>
    </x:row>
    <x:row r="488" ht="79.5" hidden="0" customHeight="1">
      <x:c r="A488" s="7" t="s">
        <x:v>2966</x:v>
      </x:c>
      <x:c r="B488" s="7" t="s">
        <x:v>313</x:v>
      </x:c>
      <x:c r="C488" s="7" t="s">
        <x:v>315</x:v>
      </x:c>
      <x:c r="D488" s="7" t="s">
        <x:v>1974</x:v>
      </x:c>
      <x:c r="E488" s="7" t="s">
        <x:v>2967</x:v>
      </x:c>
      <x:c r="F488" s="7" t="s">
        <x:v>1956</x:v>
      </x:c>
      <x:c r="G488" s="8" t="n">
        <x:v>225</x:v>
      </x:c>
      <x:c r="H488" s="8" t="s">
        <x:v>58</x:v>
      </x:c>
      <x:c r="I488" s="8" t="s">
        <x:v>58</x:v>
      </x:c>
      <x:c r="J488" s="7" t="s">
        <x:v>1919</x:v>
      </x:c>
      <x:c r="K488" s="8" t="n">
        <x:v>1</x:v>
      </x:c>
      <x:c r="L488" s="8" t="n">
        <x:f aca="0">IF(AND(ISNUMBER(G488),P488&lt;&gt;"Unresolved unit / layout"),G488*K488,"Not applicable")</x:f>
        <x:v>225</x:v>
      </x:c>
      <x:c r="M488" s="8" t="str">
        <x:f aca="0">IF(AND(ISNUMBER(H488),P488&lt;&gt;"Unresolved unit / layout"),H488*K488,"Not applicable")</x:f>
        <x:v>Not applicable</x:v>
      </x:c>
      <x:c r="N488" s="8" t="str">
        <x:f aca="0">IF(AND(ISNUMBER(I488),P488&lt;&gt;"Unresolved unit / layout"),I488*K488,"Not applicable")</x:f>
        <x:v>Not applicable</x:v>
      </x:c>
      <x:c r="O488" s="7" t="s">
        <x:v>1956</x:v>
      </x:c>
      <x:c r="P488" s="7" t="s">
        <x:v>1921</x:v>
      </x:c>
      <x:c r="Q488" s="7" t="s">
        <x:v>1930</x:v>
      </x:c>
      <x:c r="R488" s="7" t="s">
        <x:v>58</x:v>
      </x:c>
      <x:c r="S488" s="7" t="s">
        <x:v>2077</x:v>
      </x:c>
      <x:c r="T488" s="7" t="s">
        <x:v>2928</x:v>
      </x:c>
      <x:c r="U488" s="7" t="s">
        <x:v>53</x:v>
      </x:c>
      <x:c r="V488" s="7" t="s">
        <x:v>2082</x:v>
      </x:c>
      <x:c r="W488" s="7" t="s">
        <x:v>58</x:v>
      </x:c>
      <x:c r="X488" s="7" t="s">
        <x:v>2965</x:v>
      </x:c>
      <x:c r="Y488" s="7" t="s">
        <x:v>1190</x:v>
      </x:c>
      <x:c r="Z488" s="7" t="s">
        <x:v>2083</x:v>
      </x:c>
      <x:c r="AA488" s="7" t="s">
        <x:v>58</x:v>
      </x:c>
      <x:c r="AB488" s="8" t="s">
        <x:v>58</x:v>
      </x:c>
      <x:c r="AC488" s="8" t="s">
        <x:v>58</x:v>
      </x:c>
      <x:c r="AD488" s="8" t="s">
        <x:v>58</x:v>
      </x:c>
      <x:c r="AE488" s="8" t="s">
        <x:v>58</x:v>
      </x:c>
      <x:c r="AF488" s="8" t="s">
        <x:v>58</x:v>
      </x:c>
      <x:c r="AG488" s="7" t="s">
        <x:v>58</x:v>
      </x:c>
    </x:row>
    <x:row r="489" ht="79.5" hidden="0" customHeight="1">
      <x:c r="A489" s="7" t="s">
        <x:v>2968</x:v>
      </x:c>
      <x:c r="B489" s="7" t="s">
        <x:v>313</x:v>
      </x:c>
      <x:c r="C489" s="7" t="s">
        <x:v>315</x:v>
      </x:c>
      <x:c r="D489" s="7" t="s">
        <x:v>1954</x:v>
      </x:c>
      <x:c r="E489" s="7" t="s">
        <x:v>2864</x:v>
      </x:c>
      <x:c r="F489" s="7" t="s">
        <x:v>1956</x:v>
      </x:c>
      <x:c r="G489" s="8" t="n">
        <x:v>68</x:v>
      </x:c>
      <x:c r="H489" s="8" t="s">
        <x:v>58</x:v>
      </x:c>
      <x:c r="I489" s="8" t="s">
        <x:v>58</x:v>
      </x:c>
      <x:c r="J489" s="7" t="s">
        <x:v>1919</x:v>
      </x:c>
      <x:c r="K489" s="8" t="n">
        <x:v>1</x:v>
      </x:c>
      <x:c r="L489" s="8" t="n">
        <x:f aca="0">IF(AND(ISNUMBER(G489),P489&lt;&gt;"Unresolved unit / layout"),G489*K489,"Not applicable")</x:f>
        <x:v>68</x:v>
      </x:c>
      <x:c r="M489" s="8" t="str">
        <x:f aca="0">IF(AND(ISNUMBER(H489),P489&lt;&gt;"Unresolved unit / layout"),H489*K489,"Not applicable")</x:f>
        <x:v>Not applicable</x:v>
      </x:c>
      <x:c r="N489" s="8" t="str">
        <x:f aca="0">IF(AND(ISNUMBER(I489),P489&lt;&gt;"Unresolved unit / layout"),I489*K489,"Not applicable")</x:f>
        <x:v>Not applicable</x:v>
      </x:c>
      <x:c r="O489" s="7" t="s">
        <x:v>1956</x:v>
      </x:c>
      <x:c r="P489" s="7" t="s">
        <x:v>1921</x:v>
      </x:c>
      <x:c r="Q489" s="7" t="s">
        <x:v>1930</x:v>
      </x:c>
      <x:c r="R489" s="7" t="s">
        <x:v>58</x:v>
      </x:c>
      <x:c r="S489" s="7" t="s">
        <x:v>2077</x:v>
      </x:c>
      <x:c r="T489" s="7" t="s">
        <x:v>2928</x:v>
      </x:c>
      <x:c r="U489" s="7" t="s">
        <x:v>53</x:v>
      </x:c>
      <x:c r="V489" s="7" t="s">
        <x:v>2082</x:v>
      </x:c>
      <x:c r="W489" s="7" t="s">
        <x:v>58</x:v>
      </x:c>
      <x:c r="X489" s="7" t="s">
        <x:v>2965</x:v>
      </x:c>
      <x:c r="Y489" s="7" t="s">
        <x:v>1190</x:v>
      </x:c>
      <x:c r="Z489" s="7" t="s">
        <x:v>2086</x:v>
      </x:c>
      <x:c r="AA489" s="7" t="s">
        <x:v>58</x:v>
      </x:c>
      <x:c r="AB489" s="8" t="s">
        <x:v>58</x:v>
      </x:c>
      <x:c r="AC489" s="8" t="s">
        <x:v>58</x:v>
      </x:c>
      <x:c r="AD489" s="8" t="s">
        <x:v>58</x:v>
      </x:c>
      <x:c r="AE489" s="8" t="s">
        <x:v>58</x:v>
      </x:c>
      <x:c r="AF489" s="8" t="s">
        <x:v>58</x:v>
      </x:c>
      <x:c r="AG489" s="7" t="s">
        <x:v>58</x:v>
      </x:c>
    </x:row>
    <x:row r="490" ht="79.5" hidden="0" customHeight="1">
      <x:c r="A490" s="7" t="s">
        <x:v>2969</x:v>
      </x:c>
      <x:c r="B490" s="7" t="s">
        <x:v>313</x:v>
      </x:c>
      <x:c r="C490" s="7" t="s">
        <x:v>315</x:v>
      </x:c>
      <x:c r="D490" s="7" t="s">
        <x:v>1978</x:v>
      </x:c>
      <x:c r="E490" s="7" t="s">
        <x:v>1995</x:v>
      </x:c>
      <x:c r="F490" s="7" t="s">
        <x:v>1956</x:v>
      </x:c>
      <x:c r="G490" s="8" t="s">
        <x:v>53</x:v>
      </x:c>
      <x:c r="H490" s="8" t="s">
        <x:v>58</x:v>
      </x:c>
      <x:c r="I490" s="8" t="s">
        <x:v>58</x:v>
      </x:c>
      <x:c r="J490" s="7" t="s">
        <x:v>58</x:v>
      </x:c>
      <x:c r="K490" s="8" t="n">
        <x:v>1</x:v>
      </x:c>
      <x:c r="L490" s="8" t="str">
        <x:f aca="0">IF(AND(ISNUMBER(G490),P490&lt;&gt;"Unresolved unit / layout"),G490*K490,"Not published")</x:f>
        <x:v>Not published</x:v>
      </x:c>
      <x:c r="M490" s="8" t="str">
        <x:f aca="0">IF(AND(ISNUMBER(H490),P490&lt;&gt;"Unresolved unit / layout"),H490*K490,"Not applicable")</x:f>
        <x:v>Not applicable</x:v>
      </x:c>
      <x:c r="N490" s="8" t="str">
        <x:f aca="0">IF(AND(ISNUMBER(I490),P490&lt;&gt;"Unresolved unit / layout"),I490*K490,"Not applicable")</x:f>
        <x:v>Not applicable</x:v>
      </x:c>
      <x:c r="O490" s="7" t="s">
        <x:v>1956</x:v>
      </x:c>
      <x:c r="P490" s="7" t="s">
        <x:v>53</x:v>
      </x:c>
      <x:c r="Q490" s="7" t="s">
        <x:v>1930</x:v>
      </x:c>
      <x:c r="R490" s="7" t="s">
        <x:v>58</x:v>
      </x:c>
      <x:c r="S490" s="7" t="s">
        <x:v>2077</x:v>
      </x:c>
      <x:c r="T490" s="7" t="s">
        <x:v>2928</x:v>
      </x:c>
      <x:c r="U490" s="7" t="s">
        <x:v>53</x:v>
      </x:c>
      <x:c r="V490" s="7" t="s">
        <x:v>2082</x:v>
      </x:c>
      <x:c r="W490" s="7" t="s">
        <x:v>58</x:v>
      </x:c>
      <x:c r="X490" s="7" t="s">
        <x:v>2965</x:v>
      </x:c>
      <x:c r="Y490" s="7" t="s">
        <x:v>1190</x:v>
      </x:c>
      <x:c r="Z490" s="7" t="s">
        <x:v>2188</x:v>
      </x:c>
      <x:c r="AA490" s="7" t="s">
        <x:v>58</x:v>
      </x:c>
      <x:c r="AB490" s="8" t="s">
        <x:v>58</x:v>
      </x:c>
      <x:c r="AC490" s="8" t="s">
        <x:v>58</x:v>
      </x:c>
      <x:c r="AD490" s="8" t="s">
        <x:v>58</x:v>
      </x:c>
      <x:c r="AE490" s="8" t="s">
        <x:v>58</x:v>
      </x:c>
      <x:c r="AF490" s="8" t="s">
        <x:v>58</x:v>
      </x:c>
      <x:c r="AG490" s="7" t="s">
        <x:v>58</x:v>
      </x:c>
    </x:row>
    <x:row r="491" ht="79.5" hidden="0" customHeight="1">
      <x:c r="A491" s="7" t="s">
        <x:v>2970</x:v>
      </x:c>
      <x:c r="B491" s="7" t="s">
        <x:v>313</x:v>
      </x:c>
      <x:c r="C491" s="7" t="s">
        <x:v>315</x:v>
      </x:c>
      <x:c r="D491" s="7" t="s">
        <x:v>1982</x:v>
      </x:c>
      <x:c r="E491" s="7" t="s">
        <x:v>2971</x:v>
      </x:c>
      <x:c r="F491" s="7" t="s">
        <x:v>1956</x:v>
      </x:c>
      <x:c r="G491" s="8" t="n">
        <x:v>85</x:v>
      </x:c>
      <x:c r="H491" s="8" t="s">
        <x:v>58</x:v>
      </x:c>
      <x:c r="I491" s="8" t="s">
        <x:v>58</x:v>
      </x:c>
      <x:c r="J491" s="7" t="s">
        <x:v>1919</x:v>
      </x:c>
      <x:c r="K491" s="8" t="n">
        <x:v>1</x:v>
      </x:c>
      <x:c r="L491" s="8" t="n">
        <x:f aca="0">IF(AND(ISNUMBER(G491),P491&lt;&gt;"Unresolved unit / layout"),G491*K491,"Not applicable")</x:f>
        <x:v>85</x:v>
      </x:c>
      <x:c r="M491" s="8" t="str">
        <x:f aca="0">IF(AND(ISNUMBER(H491),P491&lt;&gt;"Unresolved unit / layout"),H491*K491,"Not applicable")</x:f>
        <x:v>Not applicable</x:v>
      </x:c>
      <x:c r="N491" s="8" t="str">
        <x:f aca="0">IF(AND(ISNUMBER(I491),P491&lt;&gt;"Unresolved unit / layout"),I491*K491,"Not applicable")</x:f>
        <x:v>Not applicable</x:v>
      </x:c>
      <x:c r="O491" s="7" t="s">
        <x:v>1956</x:v>
      </x:c>
      <x:c r="P491" s="7" t="s">
        <x:v>1921</x:v>
      </x:c>
      <x:c r="Q491" s="7" t="s">
        <x:v>1930</x:v>
      </x:c>
      <x:c r="R491" s="7" t="s">
        <x:v>58</x:v>
      </x:c>
      <x:c r="S491" s="7" t="s">
        <x:v>2077</x:v>
      </x:c>
      <x:c r="T491" s="7" t="s">
        <x:v>2928</x:v>
      </x:c>
      <x:c r="U491" s="7" t="s">
        <x:v>53</x:v>
      </x:c>
      <x:c r="V491" s="7" t="s">
        <x:v>1984</x:v>
      </x:c>
      <x:c r="W491" s="7" t="s">
        <x:v>58</x:v>
      </x:c>
      <x:c r="X491" s="7" t="s">
        <x:v>2965</x:v>
      </x:c>
      <x:c r="Y491" s="7" t="s">
        <x:v>1190</x:v>
      </x:c>
      <x:c r="Z491" s="7" t="s">
        <x:v>2092</x:v>
      </x:c>
      <x:c r="AA491" s="7" t="s">
        <x:v>58</x:v>
      </x:c>
      <x:c r="AB491" s="8" t="s">
        <x:v>58</x:v>
      </x:c>
      <x:c r="AC491" s="8" t="s">
        <x:v>58</x:v>
      </x:c>
      <x:c r="AD491" s="8" t="s">
        <x:v>58</x:v>
      </x:c>
      <x:c r="AE491" s="8" t="s">
        <x:v>58</x:v>
      </x:c>
      <x:c r="AF491" s="8" t="s">
        <x:v>58</x:v>
      </x:c>
      <x:c r="AG491" s="7" t="s">
        <x:v>58</x:v>
      </x:c>
    </x:row>
    <x:row r="492" ht="79.5" hidden="0" customHeight="1">
      <x:c r="A492" s="7" t="s">
        <x:v>2972</x:v>
      </x:c>
      <x:c r="B492" s="7" t="s">
        <x:v>313</x:v>
      </x:c>
      <x:c r="C492" s="7" t="s">
        <x:v>315</x:v>
      </x:c>
      <x:c r="D492" s="7" t="s">
        <x:v>1959</x:v>
      </x:c>
      <x:c r="E492" s="7" t="s">
        <x:v>2864</x:v>
      </x:c>
      <x:c r="F492" s="7" t="s">
        <x:v>1956</x:v>
      </x:c>
      <x:c r="G492" s="8" t="n">
        <x:v>68</x:v>
      </x:c>
      <x:c r="H492" s="8" t="s">
        <x:v>58</x:v>
      </x:c>
      <x:c r="I492" s="8" t="s">
        <x:v>58</x:v>
      </x:c>
      <x:c r="J492" s="7" t="s">
        <x:v>1919</x:v>
      </x:c>
      <x:c r="K492" s="8" t="n">
        <x:v>1</x:v>
      </x:c>
      <x:c r="L492" s="8" t="n">
        <x:f aca="0">IF(AND(ISNUMBER(G492),P492&lt;&gt;"Unresolved unit / layout"),G492*K492,"Not applicable")</x:f>
        <x:v>68</x:v>
      </x:c>
      <x:c r="M492" s="8" t="str">
        <x:f aca="0">IF(AND(ISNUMBER(H492),P492&lt;&gt;"Unresolved unit / layout"),H492*K492,"Not applicable")</x:f>
        <x:v>Not applicable</x:v>
      </x:c>
      <x:c r="N492" s="8" t="str">
        <x:f aca="0">IF(AND(ISNUMBER(I492),P492&lt;&gt;"Unresolved unit / layout"),I492*K492,"Not applicable")</x:f>
        <x:v>Not applicable</x:v>
      </x:c>
      <x:c r="O492" s="7" t="s">
        <x:v>1956</x:v>
      </x:c>
      <x:c r="P492" s="7" t="s">
        <x:v>1921</x:v>
      </x:c>
      <x:c r="Q492" s="7" t="s">
        <x:v>1930</x:v>
      </x:c>
      <x:c r="R492" s="7" t="s">
        <x:v>58</x:v>
      </x:c>
      <x:c r="S492" s="7" t="s">
        <x:v>2077</x:v>
      </x:c>
      <x:c r="T492" s="7" t="s">
        <x:v>2928</x:v>
      </x:c>
      <x:c r="U492" s="7" t="s">
        <x:v>53</x:v>
      </x:c>
      <x:c r="V492" s="7" t="s">
        <x:v>2095</x:v>
      </x:c>
      <x:c r="W492" s="7" t="s">
        <x:v>58</x:v>
      </x:c>
      <x:c r="X492" s="7" t="s">
        <x:v>2965</x:v>
      </x:c>
      <x:c r="Y492" s="7" t="s">
        <x:v>1190</x:v>
      </x:c>
      <x:c r="Z492" s="7" t="s">
        <x:v>2096</x:v>
      </x:c>
      <x:c r="AA492" s="7" t="s">
        <x:v>58</x:v>
      </x:c>
      <x:c r="AB492" s="8" t="s">
        <x:v>58</x:v>
      </x:c>
      <x:c r="AC492" s="8" t="s">
        <x:v>58</x:v>
      </x:c>
      <x:c r="AD492" s="8" t="s">
        <x:v>58</x:v>
      </x:c>
      <x:c r="AE492" s="8" t="s">
        <x:v>58</x:v>
      </x:c>
      <x:c r="AF492" s="8" t="s">
        <x:v>58</x:v>
      </x:c>
      <x:c r="AG492" s="7" t="s">
        <x:v>58</x:v>
      </x:c>
    </x:row>
    <x:row r="493" ht="79.5" hidden="0" customHeight="1">
      <x:c r="A493" s="7" t="s">
        <x:v>319</x:v>
      </x:c>
      <x:c r="B493" s="7" t="s">
        <x:v>313</x:v>
      </x:c>
      <x:c r="C493" s="7" t="s">
        <x:v>315</x:v>
      </x:c>
      <x:c r="D493" s="7" t="s">
        <x:v>1959</x:v>
      </x:c>
      <x:c r="E493" s="7" t="s">
        <x:v>2937</x:v>
      </x:c>
      <x:c r="F493" s="7" t="s">
        <x:v>1956</x:v>
      </x:c>
      <x:c r="G493" s="8" t="n">
        <x:v>74</x:v>
      </x:c>
      <x:c r="H493" s="8" t="s">
        <x:v>58</x:v>
      </x:c>
      <x:c r="I493" s="8" t="s">
        <x:v>58</x:v>
      </x:c>
      <x:c r="J493" s="7" t="s">
        <x:v>1919</x:v>
      </x:c>
      <x:c r="K493" s="8" t="n">
        <x:v>1</x:v>
      </x:c>
      <x:c r="L493" s="8" t="n">
        <x:f aca="0">IF(AND(ISNUMBER(G493),P493&lt;&gt;"Unresolved unit / layout"),G493*K493,"Not applicable")</x:f>
        <x:v>74</x:v>
      </x:c>
      <x:c r="M493" s="8" t="str">
        <x:f aca="0">IF(AND(ISNUMBER(H493),P493&lt;&gt;"Unresolved unit / layout"),H493*K493,"Not applicable")</x:f>
        <x:v>Not applicable</x:v>
      </x:c>
      <x:c r="N493" s="8" t="str">
        <x:f aca="0">IF(AND(ISNUMBER(I493),P493&lt;&gt;"Unresolved unit / layout"),I493*K493,"Not applicable")</x:f>
        <x:v>Not applicable</x:v>
      </x:c>
      <x:c r="O493" s="7" t="s">
        <x:v>1956</x:v>
      </x:c>
      <x:c r="P493" s="7" t="s">
        <x:v>1921</x:v>
      </x:c>
      <x:c r="Q493" s="7" t="s">
        <x:v>1930</x:v>
      </x:c>
      <x:c r="R493" s="7" t="s">
        <x:v>58</x:v>
      </x:c>
      <x:c r="S493" s="7" t="s">
        <x:v>2077</x:v>
      </x:c>
      <x:c r="T493" s="7" t="s">
        <x:v>2928</x:v>
      </x:c>
      <x:c r="U493" s="7" t="s">
        <x:v>53</x:v>
      </x:c>
      <x:c r="V493" s="7" t="s">
        <x:v>2097</x:v>
      </x:c>
      <x:c r="W493" s="7" t="s">
        <x:v>58</x:v>
      </x:c>
      <x:c r="X493" s="7" t="s">
        <x:v>2965</x:v>
      </x:c>
      <x:c r="Y493" s="7" t="s">
        <x:v>1190</x:v>
      </x:c>
      <x:c r="Z493" s="7" t="s">
        <x:v>2096</x:v>
      </x:c>
      <x:c r="AA493" s="7" t="s">
        <x:v>58</x:v>
      </x:c>
      <x:c r="AB493" s="8" t="s">
        <x:v>58</x:v>
      </x:c>
      <x:c r="AC493" s="8" t="s">
        <x:v>58</x:v>
      </x:c>
      <x:c r="AD493" s="8" t="s">
        <x:v>58</x:v>
      </x:c>
      <x:c r="AE493" s="8" t="s">
        <x:v>58</x:v>
      </x:c>
      <x:c r="AF493" s="8" t="s">
        <x:v>58</x:v>
      </x:c>
      <x:c r="AG493" s="7" t="s">
        <x:v>58</x:v>
      </x:c>
    </x:row>
    <x:row r="494" ht="79.5" hidden="0" customHeight="1">
      <x:c r="A494" s="7" t="s">
        <x:v>2973</x:v>
      </x:c>
      <x:c r="B494" s="7" t="s">
        <x:v>313</x:v>
      </x:c>
      <x:c r="C494" s="7" t="s">
        <x:v>315</x:v>
      </x:c>
      <x:c r="D494" s="7" t="s">
        <x:v>2099</x:v>
      </x:c>
      <x:c r="E494" s="7" t="s">
        <x:v>2939</x:v>
      </x:c>
      <x:c r="F494" s="7" t="s">
        <x:v>1942</x:v>
      </x:c>
      <x:c r="G494" s="8" t="n">
        <x:v>0.3</x:v>
      </x:c>
      <x:c r="H494" s="8" t="s">
        <x:v>58</x:v>
      </x:c>
      <x:c r="I494" s="8" t="s">
        <x:v>58</x:v>
      </x:c>
      <x:c r="J494" s="7" t="s">
        <x:v>1919</x:v>
      </x:c>
      <x:c r="K494" s="8" t="n">
        <x:v>1</x:v>
      </x:c>
      <x:c r="L494" s="8" t="n">
        <x:f aca="0">IF(AND(ISNUMBER(G494),P494&lt;&gt;"Unresolved unit / layout"),G494*K494,"Not applicable")</x:f>
        <x:v>0.3</x:v>
      </x:c>
      <x:c r="M494" s="8" t="str">
        <x:f aca="0">IF(AND(ISNUMBER(H494),P494&lt;&gt;"Unresolved unit / layout"),H494*K494,"Not applicable")</x:f>
        <x:v>Not applicable</x:v>
      </x:c>
      <x:c r="N494" s="8" t="str">
        <x:f aca="0">IF(AND(ISNUMBER(I494),P494&lt;&gt;"Unresolved unit / layout"),I494*K494,"Not applicable")</x:f>
        <x:v>Not applicable</x:v>
      </x:c>
      <x:c r="O494" s="7" t="s">
        <x:v>1942</x:v>
      </x:c>
      <x:c r="P494" s="7" t="s">
        <x:v>1921</x:v>
      </x:c>
      <x:c r="Q494" s="7" t="s">
        <x:v>1930</x:v>
      </x:c>
      <x:c r="R494" s="7" t="s">
        <x:v>58</x:v>
      </x:c>
      <x:c r="S494" s="7" t="s">
        <x:v>2077</x:v>
      </x:c>
      <x:c r="T494" s="7" t="s">
        <x:v>2928</x:v>
      </x:c>
      <x:c r="U494" s="7" t="s">
        <x:v>53</x:v>
      </x:c>
      <x:c r="V494" s="7" t="s">
        <x:v>2192</x:v>
      </x:c>
      <x:c r="W494" s="7" t="s">
        <x:v>58</x:v>
      </x:c>
      <x:c r="X494" s="7" t="s">
        <x:v>2965</x:v>
      </x:c>
      <x:c r="Y494" s="7" t="s">
        <x:v>1190</x:v>
      </x:c>
      <x:c r="Z494" s="7" t="s">
        <x:v>2193</x:v>
      </x:c>
      <x:c r="AA494" s="7" t="s">
        <x:v>58</x:v>
      </x:c>
      <x:c r="AB494" s="8" t="s">
        <x:v>58</x:v>
      </x:c>
      <x:c r="AC494" s="8" t="s">
        <x:v>58</x:v>
      </x:c>
      <x:c r="AD494" s="8" t="s">
        <x:v>58</x:v>
      </x:c>
      <x:c r="AE494" s="8" t="s">
        <x:v>58</x:v>
      </x:c>
      <x:c r="AF494" s="8" t="s">
        <x:v>58</x:v>
      </x:c>
      <x:c r="AG494" s="7" t="s">
        <x:v>58</x:v>
      </x:c>
    </x:row>
    <x:row r="495" ht="79.5" hidden="0" customHeight="1">
      <x:c r="A495" s="7" t="s">
        <x:v>2974</x:v>
      </x:c>
      <x:c r="B495" s="7" t="s">
        <x:v>313</x:v>
      </x:c>
      <x:c r="C495" s="7" t="s">
        <x:v>315</x:v>
      </x:c>
      <x:c r="D495" s="7" t="s">
        <x:v>1935</x:v>
      </x:c>
      <x:c r="E495" s="7" t="s">
        <x:v>2975</x:v>
      </x:c>
      <x:c r="F495" s="7" t="s">
        <x:v>1929</x:v>
      </x:c>
      <x:c r="G495" s="8" t="n">
        <x:v>2460</x:v>
      </x:c>
      <x:c r="H495" s="8" t="n">
        <x:v>230</x:v>
      </x:c>
      <x:c r="I495" s="8" t="s">
        <x:v>58</x:v>
      </x:c>
      <x:c r="J495" s="7" t="s">
        <x:v>1919</x:v>
      </x:c>
      <x:c r="K495" s="8" t="n">
        <x:v>0.001</x:v>
      </x:c>
      <x:c r="L495" s="8" t="n">
        <x:f aca="0">IF(AND(ISNUMBER(G495),P495&lt;&gt;"Unresolved unit / layout"),G495*K495,"Not applicable")</x:f>
        <x:v>2.46</x:v>
      </x:c>
      <x:c r="M495" s="8" t="n">
        <x:f aca="0">IF(AND(ISNUMBER(H495),P495&lt;&gt;"Unresolved unit / layout"),H495*K495,"Not applicable")</x:f>
        <x:v>0.23</x:v>
      </x:c>
      <x:c r="N495" s="8" t="str">
        <x:f aca="0">IF(AND(ISNUMBER(I495),P495&lt;&gt;"Unresolved unit / layout"),I495*K495,"Not applicable")</x:f>
        <x:v>Not applicable</x:v>
      </x:c>
      <x:c r="O495" s="7" t="s">
        <x:v>1937</x:v>
      </x:c>
      <x:c r="P495" s="7" t="s">
        <x:v>1921</x:v>
      </x:c>
      <x:c r="Q495" s="7" t="s">
        <x:v>1930</x:v>
      </x:c>
      <x:c r="R495" s="7" t="s">
        <x:v>1931</x:v>
      </x:c>
      <x:c r="S495" s="7" t="s">
        <x:v>2077</x:v>
      </x:c>
      <x:c r="T495" s="7" t="s">
        <x:v>2928</x:v>
      </x:c>
      <x:c r="U495" s="7" t="s">
        <x:v>53</x:v>
      </x:c>
      <x:c r="V495" s="7" t="s">
        <x:v>1999</x:v>
      </x:c>
      <x:c r="W495" s="7" t="s">
        <x:v>58</x:v>
      </x:c>
      <x:c r="X495" s="7" t="s">
        <x:v>2965</x:v>
      </x:c>
      <x:c r="Y495" s="7" t="s">
        <x:v>1190</x:v>
      </x:c>
      <x:c r="Z495" s="7" t="s">
        <x:v>2105</x:v>
      </x:c>
      <x:c r="AA495" s="7" t="s">
        <x:v>58</x:v>
      </x:c>
      <x:c r="AB495" s="8" t="s">
        <x:v>58</x:v>
      </x:c>
      <x:c r="AC495" s="8" t="s">
        <x:v>58</x:v>
      </x:c>
      <x:c r="AD495" s="8" t="s">
        <x:v>58</x:v>
      </x:c>
      <x:c r="AE495" s="8" t="s">
        <x:v>58</x:v>
      </x:c>
      <x:c r="AF495" s="8" t="s">
        <x:v>58</x:v>
      </x:c>
      <x:c r="AG495" s="7" t="s">
        <x:v>58</x:v>
      </x:c>
    </x:row>
    <x:row r="496" ht="79.5" hidden="0" customHeight="1">
      <x:c r="A496" s="7" t="s">
        <x:v>2976</x:v>
      </x:c>
      <x:c r="B496" s="7" t="s">
        <x:v>313</x:v>
      </x:c>
      <x:c r="C496" s="7" t="s">
        <x:v>315</x:v>
      </x:c>
      <x:c r="D496" s="7" t="s">
        <x:v>1935</x:v>
      </x:c>
      <x:c r="E496" s="7" t="s">
        <x:v>2977</x:v>
      </x:c>
      <x:c r="F496" s="7" t="s">
        <x:v>1929</x:v>
      </x:c>
      <x:c r="G496" s="8" t="n">
        <x:v>1340</x:v>
      </x:c>
      <x:c r="H496" s="8" t="n">
        <x:v>150</x:v>
      </x:c>
      <x:c r="I496" s="8" t="s">
        <x:v>58</x:v>
      </x:c>
      <x:c r="J496" s="7" t="s">
        <x:v>1919</x:v>
      </x:c>
      <x:c r="K496" s="8" t="n">
        <x:v>0.001</x:v>
      </x:c>
      <x:c r="L496" s="8" t="n">
        <x:f aca="0">IF(AND(ISNUMBER(G496),P496&lt;&gt;"Unresolved unit / layout"),G496*K496,"Not applicable")</x:f>
        <x:v>1.34</x:v>
      </x:c>
      <x:c r="M496" s="8" t="n">
        <x:f aca="0">IF(AND(ISNUMBER(H496),P496&lt;&gt;"Unresolved unit / layout"),H496*K496,"Not applicable")</x:f>
        <x:v>0.15</x:v>
      </x:c>
      <x:c r="N496" s="8" t="str">
        <x:f aca="0">IF(AND(ISNUMBER(I496),P496&lt;&gt;"Unresolved unit / layout"),I496*K496,"Not applicable")</x:f>
        <x:v>Not applicable</x:v>
      </x:c>
      <x:c r="O496" s="7" t="s">
        <x:v>1937</x:v>
      </x:c>
      <x:c r="P496" s="7" t="s">
        <x:v>1921</x:v>
      </x:c>
      <x:c r="Q496" s="7" t="s">
        <x:v>1930</x:v>
      </x:c>
      <x:c r="R496" s="7" t="s">
        <x:v>2003</x:v>
      </x:c>
      <x:c r="S496" s="7" t="s">
        <x:v>2077</x:v>
      </x:c>
      <x:c r="T496" s="7" t="s">
        <x:v>2928</x:v>
      </x:c>
      <x:c r="U496" s="7" t="s">
        <x:v>53</x:v>
      </x:c>
      <x:c r="V496" s="7" t="s">
        <x:v>1999</x:v>
      </x:c>
      <x:c r="W496" s="7" t="s">
        <x:v>58</x:v>
      </x:c>
      <x:c r="X496" s="7" t="s">
        <x:v>2965</x:v>
      </x:c>
      <x:c r="Y496" s="7" t="s">
        <x:v>1190</x:v>
      </x:c>
      <x:c r="Z496" s="7" t="s">
        <x:v>2108</x:v>
      </x:c>
      <x:c r="AA496" s="7" t="s">
        <x:v>58</x:v>
      </x:c>
      <x:c r="AB496" s="8" t="s">
        <x:v>58</x:v>
      </x:c>
      <x:c r="AC496" s="8" t="s">
        <x:v>58</x:v>
      </x:c>
      <x:c r="AD496" s="8" t="s">
        <x:v>58</x:v>
      </x:c>
      <x:c r="AE496" s="8" t="s">
        <x:v>58</x:v>
      </x:c>
      <x:c r="AF496" s="8" t="s">
        <x:v>58</x:v>
      </x:c>
      <x:c r="AG496" s="7" t="s">
        <x:v>58</x:v>
      </x:c>
    </x:row>
    <x:row r="497" ht="79.5" hidden="0" customHeight="1">
      <x:c r="A497" s="7" t="s">
        <x:v>2978</x:v>
      </x:c>
      <x:c r="B497" s="7" t="s">
        <x:v>313</x:v>
      </x:c>
      <x:c r="C497" s="7" t="s">
        <x:v>315</x:v>
      </x:c>
      <x:c r="D497" s="7" t="s">
        <x:v>2006</x:v>
      </x:c>
      <x:c r="E497" s="7" t="s">
        <x:v>2979</x:v>
      </x:c>
      <x:c r="F497" s="7" t="s">
        <x:v>1929</x:v>
      </x:c>
      <x:c r="G497" s="8" t="n">
        <x:v>35</x:v>
      </x:c>
      <x:c r="H497" s="8" t="n">
        <x:v>5</x:v>
      </x:c>
      <x:c r="I497" s="8" t="s">
        <x:v>58</x:v>
      </x:c>
      <x:c r="J497" s="7" t="s">
        <x:v>1919</x:v>
      </x:c>
      <x:c r="K497" s="8" t="n">
        <x:v>1</x:v>
      </x:c>
      <x:c r="L497" s="8" t="n">
        <x:f aca="0">IF(AND(ISNUMBER(G497),P497&lt;&gt;"Unresolved unit / layout"),G497*K497,"Not applicable")</x:f>
        <x:v>35</x:v>
      </x:c>
      <x:c r="M497" s="8" t="n">
        <x:f aca="0">IF(AND(ISNUMBER(H497),P497&lt;&gt;"Unresolved unit / layout"),H497*K497,"Not applicable")</x:f>
        <x:v>5</x:v>
      </x:c>
      <x:c r="N497" s="8" t="str">
        <x:f aca="0">IF(AND(ISNUMBER(I497),P497&lt;&gt;"Unresolved unit / layout"),I497*K497,"Not applicable")</x:f>
        <x:v>Not applicable</x:v>
      </x:c>
      <x:c r="O497" s="7" t="s">
        <x:v>1929</x:v>
      </x:c>
      <x:c r="P497" s="7" t="s">
        <x:v>1921</x:v>
      </x:c>
      <x:c r="Q497" s="7" t="s">
        <x:v>1930</x:v>
      </x:c>
      <x:c r="R497" s="7" t="s">
        <x:v>1931</x:v>
      </x:c>
      <x:c r="S497" s="7" t="s">
        <x:v>2077</x:v>
      </x:c>
      <x:c r="T497" s="7" t="s">
        <x:v>2928</x:v>
      </x:c>
      <x:c r="U497" s="7" t="s">
        <x:v>53</x:v>
      </x:c>
      <x:c r="V497" s="7" t="s">
        <x:v>1999</x:v>
      </x:c>
      <x:c r="W497" s="7" t="s">
        <x:v>58</x:v>
      </x:c>
      <x:c r="X497" s="7" t="s">
        <x:v>2965</x:v>
      </x:c>
      <x:c r="Y497" s="7" t="s">
        <x:v>1190</x:v>
      </x:c>
      <x:c r="Z497" s="7" t="s">
        <x:v>2111</x:v>
      </x:c>
      <x:c r="AA497" s="7" t="s">
        <x:v>58</x:v>
      </x:c>
      <x:c r="AB497" s="8" t="s">
        <x:v>58</x:v>
      </x:c>
      <x:c r="AC497" s="8" t="s">
        <x:v>58</x:v>
      </x:c>
      <x:c r="AD497" s="8" t="s">
        <x:v>58</x:v>
      </x:c>
      <x:c r="AE497" s="8" t="s">
        <x:v>58</x:v>
      </x:c>
      <x:c r="AF497" s="8" t="s">
        <x:v>58</x:v>
      </x:c>
      <x:c r="AG497" s="7" t="s">
        <x:v>58</x:v>
      </x:c>
    </x:row>
    <x:row r="498" ht="79.5" hidden="0" customHeight="1">
      <x:c r="A498" s="7" t="s">
        <x:v>2980</x:v>
      </x:c>
      <x:c r="B498" s="7" t="s">
        <x:v>313</x:v>
      </x:c>
      <x:c r="C498" s="7" t="s">
        <x:v>315</x:v>
      </x:c>
      <x:c r="D498" s="7" t="s">
        <x:v>2006</x:v>
      </x:c>
      <x:c r="E498" s="7" t="s">
        <x:v>2981</x:v>
      </x:c>
      <x:c r="F498" s="7" t="s">
        <x:v>1929</x:v>
      </x:c>
      <x:c r="G498" s="8" t="n">
        <x:v>29</x:v>
      </x:c>
      <x:c r="H498" s="8" t="n">
        <x:v>4</x:v>
      </x:c>
      <x:c r="I498" s="8" t="s">
        <x:v>58</x:v>
      </x:c>
      <x:c r="J498" s="7" t="s">
        <x:v>1919</x:v>
      </x:c>
      <x:c r="K498" s="8" t="n">
        <x:v>1</x:v>
      </x:c>
      <x:c r="L498" s="8" t="n">
        <x:f aca="0">IF(AND(ISNUMBER(G498),P498&lt;&gt;"Unresolved unit / layout"),G498*K498,"Not applicable")</x:f>
        <x:v>29</x:v>
      </x:c>
      <x:c r="M498" s="8" t="n">
        <x:f aca="0">IF(AND(ISNUMBER(H498),P498&lt;&gt;"Unresolved unit / layout"),H498*K498,"Not applicable")</x:f>
        <x:v>4</x:v>
      </x:c>
      <x:c r="N498" s="8" t="str">
        <x:f aca="0">IF(AND(ISNUMBER(I498),P498&lt;&gt;"Unresolved unit / layout"),I498*K498,"Not applicable")</x:f>
        <x:v>Not applicable</x:v>
      </x:c>
      <x:c r="O498" s="7" t="s">
        <x:v>1929</x:v>
      </x:c>
      <x:c r="P498" s="7" t="s">
        <x:v>1921</x:v>
      </x:c>
      <x:c r="Q498" s="7" t="s">
        <x:v>1930</x:v>
      </x:c>
      <x:c r="R498" s="7" t="s">
        <x:v>2003</x:v>
      </x:c>
      <x:c r="S498" s="7" t="s">
        <x:v>2077</x:v>
      </x:c>
      <x:c r="T498" s="7" t="s">
        <x:v>2928</x:v>
      </x:c>
      <x:c r="U498" s="7" t="s">
        <x:v>53</x:v>
      </x:c>
      <x:c r="V498" s="7" t="s">
        <x:v>1999</x:v>
      </x:c>
      <x:c r="W498" s="7" t="s">
        <x:v>58</x:v>
      </x:c>
      <x:c r="X498" s="7" t="s">
        <x:v>2965</x:v>
      </x:c>
      <x:c r="Y498" s="7" t="s">
        <x:v>1190</x:v>
      </x:c>
      <x:c r="Z498" s="7" t="s">
        <x:v>2114</x:v>
      </x:c>
      <x:c r="AA498" s="7" t="s">
        <x:v>58</x:v>
      </x:c>
      <x:c r="AB498" s="8" t="s">
        <x:v>58</x:v>
      </x:c>
      <x:c r="AC498" s="8" t="s">
        <x:v>58</x:v>
      </x:c>
      <x:c r="AD498" s="8" t="s">
        <x:v>58</x:v>
      </x:c>
      <x:c r="AE498" s="8" t="s">
        <x:v>58</x:v>
      </x:c>
      <x:c r="AF498" s="8" t="s">
        <x:v>58</x:v>
      </x:c>
      <x:c r="AG498" s="7" t="s">
        <x:v>58</x:v>
      </x:c>
    </x:row>
    <x:row r="499" ht="79.5" hidden="0" customHeight="1">
      <x:c r="A499" s="7" t="s">
        <x:v>2982</x:v>
      </x:c>
      <x:c r="B499" s="7" t="s">
        <x:v>313</x:v>
      </x:c>
      <x:c r="C499" s="7" t="s">
        <x:v>315</x:v>
      </x:c>
      <x:c r="D499" s="7" t="s">
        <x:v>1940</x:v>
      </x:c>
      <x:c r="E499" s="7" t="s">
        <x:v>2983</x:v>
      </x:c>
      <x:c r="F499" s="7" t="s">
        <x:v>1942</x:v>
      </x:c>
      <x:c r="G499" s="8" t="n">
        <x:v>10.4</x:v>
      </x:c>
      <x:c r="H499" s="8" t="n">
        <x:v>0.6</x:v>
      </x:c>
      <x:c r="I499" s="8" t="s">
        <x:v>58</x:v>
      </x:c>
      <x:c r="J499" s="7" t="s">
        <x:v>1919</x:v>
      </x:c>
      <x:c r="K499" s="8" t="n">
        <x:v>1</x:v>
      </x:c>
      <x:c r="L499" s="8" t="n">
        <x:f aca="0">IF(AND(ISNUMBER(G499),P499&lt;&gt;"Unresolved unit / layout"),G499*K499,"Not applicable")</x:f>
        <x:v>10.4</x:v>
      </x:c>
      <x:c r="M499" s="8" t="n">
        <x:f aca="0">IF(AND(ISNUMBER(H499),P499&lt;&gt;"Unresolved unit / layout"),H499*K499,"Not applicable")</x:f>
        <x:v>0.6</x:v>
      </x:c>
      <x:c r="N499" s="8" t="str">
        <x:f aca="0">IF(AND(ISNUMBER(I499),P499&lt;&gt;"Unresolved unit / layout"),I499*K499,"Not applicable")</x:f>
        <x:v>Not applicable</x:v>
      </x:c>
      <x:c r="O499" s="7" t="s">
        <x:v>1942</x:v>
      </x:c>
      <x:c r="P499" s="7" t="s">
        <x:v>1921</x:v>
      </x:c>
      <x:c r="Q499" s="7" t="s">
        <x:v>1930</x:v>
      </x:c>
      <x:c r="R499" s="7" t="s">
        <x:v>1931</x:v>
      </x:c>
      <x:c r="S499" s="7" t="s">
        <x:v>2077</x:v>
      </x:c>
      <x:c r="T499" s="7" t="s">
        <x:v>2928</x:v>
      </x:c>
      <x:c r="U499" s="7" t="s">
        <x:v>53</x:v>
      </x:c>
      <x:c r="V499" s="7" t="s">
        <x:v>1999</x:v>
      </x:c>
      <x:c r="W499" s="7" t="s">
        <x:v>58</x:v>
      </x:c>
      <x:c r="X499" s="7" t="s">
        <x:v>2965</x:v>
      </x:c>
      <x:c r="Y499" s="7" t="s">
        <x:v>1190</x:v>
      </x:c>
      <x:c r="Z499" s="7" t="s">
        <x:v>2117</x:v>
      </x:c>
      <x:c r="AA499" s="7" t="s">
        <x:v>58</x:v>
      </x:c>
      <x:c r="AB499" s="8" t="s">
        <x:v>58</x:v>
      </x:c>
      <x:c r="AC499" s="8" t="s">
        <x:v>58</x:v>
      </x:c>
      <x:c r="AD499" s="8" t="s">
        <x:v>58</x:v>
      </x:c>
      <x:c r="AE499" s="8" t="s">
        <x:v>58</x:v>
      </x:c>
      <x:c r="AF499" s="8" t="s">
        <x:v>58</x:v>
      </x:c>
      <x:c r="AG499" s="7" t="s">
        <x:v>58</x:v>
      </x:c>
    </x:row>
    <x:row r="500" ht="79.5" hidden="0" customHeight="1">
      <x:c r="A500" s="7" t="s">
        <x:v>2984</x:v>
      </x:c>
      <x:c r="B500" s="7" t="s">
        <x:v>313</x:v>
      </x:c>
      <x:c r="C500" s="7" t="s">
        <x:v>315</x:v>
      </x:c>
      <x:c r="D500" s="7" t="s">
        <x:v>1940</x:v>
      </x:c>
      <x:c r="E500" s="7" t="s">
        <x:v>2985</x:v>
      </x:c>
      <x:c r="F500" s="7" t="s">
        <x:v>1942</x:v>
      </x:c>
      <x:c r="G500" s="8" t="n">
        <x:v>4.7</x:v>
      </x:c>
      <x:c r="H500" s="8" t="n">
        <x:v>0.4</x:v>
      </x:c>
      <x:c r="I500" s="8" t="s">
        <x:v>58</x:v>
      </x:c>
      <x:c r="J500" s="7" t="s">
        <x:v>1919</x:v>
      </x:c>
      <x:c r="K500" s="8" t="n">
        <x:v>1</x:v>
      </x:c>
      <x:c r="L500" s="8" t="n">
        <x:f aca="0">IF(AND(ISNUMBER(G500),P500&lt;&gt;"Unresolved unit / layout"),G500*K500,"Not applicable")</x:f>
        <x:v>4.7</x:v>
      </x:c>
      <x:c r="M500" s="8" t="n">
        <x:f aca="0">IF(AND(ISNUMBER(H500),P500&lt;&gt;"Unresolved unit / layout"),H500*K500,"Not applicable")</x:f>
        <x:v>0.4</x:v>
      </x:c>
      <x:c r="N500" s="8" t="str">
        <x:f aca="0">IF(AND(ISNUMBER(I500),P500&lt;&gt;"Unresolved unit / layout"),I500*K500,"Not applicable")</x:f>
        <x:v>Not applicable</x:v>
      </x:c>
      <x:c r="O500" s="7" t="s">
        <x:v>1942</x:v>
      </x:c>
      <x:c r="P500" s="7" t="s">
        <x:v>1921</x:v>
      </x:c>
      <x:c r="Q500" s="7" t="s">
        <x:v>1930</x:v>
      </x:c>
      <x:c r="R500" s="7" t="s">
        <x:v>2003</x:v>
      </x:c>
      <x:c r="S500" s="7" t="s">
        <x:v>2077</x:v>
      </x:c>
      <x:c r="T500" s="7" t="s">
        <x:v>2928</x:v>
      </x:c>
      <x:c r="U500" s="7" t="s">
        <x:v>53</x:v>
      </x:c>
      <x:c r="V500" s="7" t="s">
        <x:v>1999</x:v>
      </x:c>
      <x:c r="W500" s="7" t="s">
        <x:v>58</x:v>
      </x:c>
      <x:c r="X500" s="7" t="s">
        <x:v>2965</x:v>
      </x:c>
      <x:c r="Y500" s="7" t="s">
        <x:v>1190</x:v>
      </x:c>
      <x:c r="Z500" s="7" t="s">
        <x:v>2120</x:v>
      </x:c>
      <x:c r="AA500" s="7" t="s">
        <x:v>58</x:v>
      </x:c>
      <x:c r="AB500" s="8" t="s">
        <x:v>58</x:v>
      </x:c>
      <x:c r="AC500" s="8" t="s">
        <x:v>58</x:v>
      </x:c>
      <x:c r="AD500" s="8" t="s">
        <x:v>58</x:v>
      </x:c>
      <x:c r="AE500" s="8" t="s">
        <x:v>58</x:v>
      </x:c>
      <x:c r="AF500" s="8" t="s">
        <x:v>58</x:v>
      </x:c>
      <x:c r="AG500" s="7" t="s">
        <x:v>58</x:v>
      </x:c>
    </x:row>
    <x:row r="501" ht="79.5" hidden="0" customHeight="1">
      <x:c r="A501" s="7" t="s">
        <x:v>2986</x:v>
      </x:c>
      <x:c r="B501" s="7" t="s">
        <x:v>313</x:v>
      </x:c>
      <x:c r="C501" s="7" t="s">
        <x:v>315</x:v>
      </x:c>
      <x:c r="D501" s="7" t="s">
        <x:v>1950</x:v>
      </x:c>
      <x:c r="E501" s="7" t="s">
        <x:v>2987</x:v>
      </x:c>
      <x:c r="F501" s="7" t="s">
        <x:v>1929</x:v>
      </x:c>
      <x:c r="G501" s="8" t="n">
        <x:v>2910</x:v>
      </x:c>
      <x:c r="H501" s="8" t="n">
        <x:v>260</x:v>
      </x:c>
      <x:c r="I501" s="8" t="s">
        <x:v>58</x:v>
      </x:c>
      <x:c r="J501" s="7" t="s">
        <x:v>1919</x:v>
      </x:c>
      <x:c r="K501" s="8" t="n">
        <x:v>0.001</x:v>
      </x:c>
      <x:c r="L501" s="8" t="n">
        <x:f aca="0">IF(AND(ISNUMBER(G501),P501&lt;&gt;"Unresolved unit / layout"),G501*K501,"Not applicable")</x:f>
        <x:v>2.91</x:v>
      </x:c>
      <x:c r="M501" s="8" t="n">
        <x:f aca="0">IF(AND(ISNUMBER(H501),P501&lt;&gt;"Unresolved unit / layout"),H501*K501,"Not applicable")</x:f>
        <x:v>0.26</x:v>
      </x:c>
      <x:c r="N501" s="8" t="str">
        <x:f aca="0">IF(AND(ISNUMBER(I501),P501&lt;&gt;"Unresolved unit / layout"),I501*K501,"Not applicable")</x:f>
        <x:v>Not applicable</x:v>
      </x:c>
      <x:c r="O501" s="7" t="s">
        <x:v>1937</x:v>
      </x:c>
      <x:c r="P501" s="7" t="s">
        <x:v>1921</x:v>
      </x:c>
      <x:c r="Q501" s="7" t="s">
        <x:v>1930</x:v>
      </x:c>
      <x:c r="R501" s="7" t="s">
        <x:v>1931</x:v>
      </x:c>
      <x:c r="S501" s="7" t="s">
        <x:v>2077</x:v>
      </x:c>
      <x:c r="T501" s="7" t="s">
        <x:v>2928</x:v>
      </x:c>
      <x:c r="U501" s="7" t="s">
        <x:v>53</x:v>
      </x:c>
      <x:c r="V501" s="7" t="s">
        <x:v>2020</x:v>
      </x:c>
      <x:c r="W501" s="7" t="s">
        <x:v>58</x:v>
      </x:c>
      <x:c r="X501" s="7" t="s">
        <x:v>2965</x:v>
      </x:c>
      <x:c r="Y501" s="7" t="s">
        <x:v>1190</x:v>
      </x:c>
      <x:c r="Z501" s="7" t="s">
        <x:v>2123</x:v>
      </x:c>
      <x:c r="AA501" s="7" t="s">
        <x:v>58</x:v>
      </x:c>
      <x:c r="AB501" s="8" t="s">
        <x:v>58</x:v>
      </x:c>
      <x:c r="AC501" s="8" t="s">
        <x:v>58</x:v>
      </x:c>
      <x:c r="AD501" s="8" t="s">
        <x:v>58</x:v>
      </x:c>
      <x:c r="AE501" s="8" t="s">
        <x:v>58</x:v>
      </x:c>
      <x:c r="AF501" s="8" t="s">
        <x:v>58</x:v>
      </x:c>
      <x:c r="AG501" s="7" t="s">
        <x:v>58</x:v>
      </x:c>
    </x:row>
    <x:row r="502" ht="79.5" hidden="0" customHeight="1">
      <x:c r="A502" s="7" t="s">
        <x:v>2988</x:v>
      </x:c>
      <x:c r="B502" s="7" t="s">
        <x:v>313</x:v>
      </x:c>
      <x:c r="C502" s="7" t="s">
        <x:v>315</x:v>
      </x:c>
      <x:c r="D502" s="7" t="s">
        <x:v>1950</x:v>
      </x:c>
      <x:c r="E502" s="7" t="s">
        <x:v>2989</x:v>
      </x:c>
      <x:c r="F502" s="7" t="s">
        <x:v>1929</x:v>
      </x:c>
      <x:c r="G502" s="8" t="n">
        <x:v>1560</x:v>
      </x:c>
      <x:c r="H502" s="8" t="n">
        <x:v>180</x:v>
      </x:c>
      <x:c r="I502" s="8" t="s">
        <x:v>58</x:v>
      </x:c>
      <x:c r="J502" s="7" t="s">
        <x:v>1919</x:v>
      </x:c>
      <x:c r="K502" s="8" t="n">
        <x:v>0.001</x:v>
      </x:c>
      <x:c r="L502" s="8" t="n">
        <x:f aca="0">IF(AND(ISNUMBER(G502),P502&lt;&gt;"Unresolved unit / layout"),G502*K502,"Not applicable")</x:f>
        <x:v>1.56</x:v>
      </x:c>
      <x:c r="M502" s="8" t="n">
        <x:f aca="0">IF(AND(ISNUMBER(H502),P502&lt;&gt;"Unresolved unit / layout"),H502*K502,"Not applicable")</x:f>
        <x:v>0.18</x:v>
      </x:c>
      <x:c r="N502" s="8" t="str">
        <x:f aca="0">IF(AND(ISNUMBER(I502),P502&lt;&gt;"Unresolved unit / layout"),I502*K502,"Not applicable")</x:f>
        <x:v>Not applicable</x:v>
      </x:c>
      <x:c r="O502" s="7" t="s">
        <x:v>1937</x:v>
      </x:c>
      <x:c r="P502" s="7" t="s">
        <x:v>1921</x:v>
      </x:c>
      <x:c r="Q502" s="7" t="s">
        <x:v>1930</x:v>
      </x:c>
      <x:c r="R502" s="7" t="s">
        <x:v>2003</x:v>
      </x:c>
      <x:c r="S502" s="7" t="s">
        <x:v>2077</x:v>
      </x:c>
      <x:c r="T502" s="7" t="s">
        <x:v>2928</x:v>
      </x:c>
      <x:c r="U502" s="7" t="s">
        <x:v>53</x:v>
      </x:c>
      <x:c r="V502" s="7" t="s">
        <x:v>2020</x:v>
      </x:c>
      <x:c r="W502" s="7" t="s">
        <x:v>58</x:v>
      </x:c>
      <x:c r="X502" s="7" t="s">
        <x:v>2965</x:v>
      </x:c>
      <x:c r="Y502" s="7" t="s">
        <x:v>1190</x:v>
      </x:c>
      <x:c r="Z502" s="7" t="s">
        <x:v>2210</x:v>
      </x:c>
      <x:c r="AA502" s="7" t="s">
        <x:v>58</x:v>
      </x:c>
      <x:c r="AB502" s="8" t="s">
        <x:v>58</x:v>
      </x:c>
      <x:c r="AC502" s="8" t="s">
        <x:v>58</x:v>
      </x:c>
      <x:c r="AD502" s="8" t="s">
        <x:v>58</x:v>
      </x:c>
      <x:c r="AE502" s="8" t="s">
        <x:v>58</x:v>
      </x:c>
      <x:c r="AF502" s="8" t="s">
        <x:v>58</x:v>
      </x:c>
      <x:c r="AG502" s="7" t="s">
        <x:v>58</x:v>
      </x:c>
    </x:row>
    <x:row r="503" ht="79.5" hidden="0" customHeight="1">
      <x:c r="A503" s="7" t="s">
        <x:v>2990</x:v>
      </x:c>
      <x:c r="B503" s="7" t="s">
        <x:v>313</x:v>
      </x:c>
      <x:c r="C503" s="7" t="s">
        <x:v>315</x:v>
      </x:c>
      <x:c r="D503" s="7" t="s">
        <x:v>1945</x:v>
      </x:c>
      <x:c r="E503" s="7" t="s">
        <x:v>2991</x:v>
      </x:c>
      <x:c r="F503" s="7" t="s">
        <x:v>1929</x:v>
      </x:c>
      <x:c r="G503" s="8" t="n">
        <x:v>70</x:v>
      </x:c>
      <x:c r="H503" s="8" t="n">
        <x:v>5</x:v>
      </x:c>
      <x:c r="I503" s="8" t="s">
        <x:v>58</x:v>
      </x:c>
      <x:c r="J503" s="7" t="s">
        <x:v>1919</x:v>
      </x:c>
      <x:c r="K503" s="8" t="n">
        <x:v>1</x:v>
      </x:c>
      <x:c r="L503" s="8" t="n">
        <x:f aca="0">IF(AND(ISNUMBER(G503),P503&lt;&gt;"Unresolved unit / layout"),G503*K503,"Not applicable")</x:f>
        <x:v>70</x:v>
      </x:c>
      <x:c r="M503" s="8" t="n">
        <x:f aca="0">IF(AND(ISNUMBER(H503),P503&lt;&gt;"Unresolved unit / layout"),H503*K503,"Not applicable")</x:f>
        <x:v>5</x:v>
      </x:c>
      <x:c r="N503" s="8" t="str">
        <x:f aca="0">IF(AND(ISNUMBER(I503),P503&lt;&gt;"Unresolved unit / layout"),I503*K503,"Not applicable")</x:f>
        <x:v>Not applicable</x:v>
      </x:c>
      <x:c r="O503" s="7" t="s">
        <x:v>1929</x:v>
      </x:c>
      <x:c r="P503" s="7" t="s">
        <x:v>1921</x:v>
      </x:c>
      <x:c r="Q503" s="7" t="s">
        <x:v>1930</x:v>
      </x:c>
      <x:c r="R503" s="7" t="s">
        <x:v>1931</x:v>
      </x:c>
      <x:c r="S503" s="7" t="s">
        <x:v>2077</x:v>
      </x:c>
      <x:c r="T503" s="7" t="s">
        <x:v>2928</x:v>
      </x:c>
      <x:c r="U503" s="7" t="s">
        <x:v>53</x:v>
      </x:c>
      <x:c r="V503" s="7" t="s">
        <x:v>2020</x:v>
      </x:c>
      <x:c r="W503" s="7" t="s">
        <x:v>58</x:v>
      </x:c>
      <x:c r="X503" s="7" t="s">
        <x:v>2965</x:v>
      </x:c>
      <x:c r="Y503" s="7" t="s">
        <x:v>1190</x:v>
      </x:c>
      <x:c r="Z503" s="7" t="s">
        <x:v>2213</x:v>
      </x:c>
      <x:c r="AA503" s="7" t="s">
        <x:v>58</x:v>
      </x:c>
      <x:c r="AB503" s="8" t="s">
        <x:v>58</x:v>
      </x:c>
      <x:c r="AC503" s="8" t="s">
        <x:v>58</x:v>
      </x:c>
      <x:c r="AD503" s="8" t="s">
        <x:v>58</x:v>
      </x:c>
      <x:c r="AE503" s="8" t="s">
        <x:v>58</x:v>
      </x:c>
      <x:c r="AF503" s="8" t="s">
        <x:v>58</x:v>
      </x:c>
      <x:c r="AG503" s="7" t="s">
        <x:v>58</x:v>
      </x:c>
    </x:row>
    <x:row r="504" ht="79.5" hidden="0" customHeight="1">
      <x:c r="A504" s="7" t="s">
        <x:v>2992</x:v>
      </x:c>
      <x:c r="B504" s="7" t="s">
        <x:v>313</x:v>
      </x:c>
      <x:c r="C504" s="7" t="s">
        <x:v>315</x:v>
      </x:c>
      <x:c r="D504" s="7" t="s">
        <x:v>1945</x:v>
      </x:c>
      <x:c r="E504" s="7" t="s">
        <x:v>2993</x:v>
      </x:c>
      <x:c r="F504" s="7" t="s">
        <x:v>1929</x:v>
      </x:c>
      <x:c r="G504" s="8" t="n">
        <x:v>48</x:v>
      </x:c>
      <x:c r="H504" s="8" t="n">
        <x:v>4</x:v>
      </x:c>
      <x:c r="I504" s="8" t="s">
        <x:v>58</x:v>
      </x:c>
      <x:c r="J504" s="7" t="s">
        <x:v>1919</x:v>
      </x:c>
      <x:c r="K504" s="8" t="n">
        <x:v>1</x:v>
      </x:c>
      <x:c r="L504" s="8" t="n">
        <x:f aca="0">IF(AND(ISNUMBER(G504),P504&lt;&gt;"Unresolved unit / layout"),G504*K504,"Not applicable")</x:f>
        <x:v>48</x:v>
      </x:c>
      <x:c r="M504" s="8" t="n">
        <x:f aca="0">IF(AND(ISNUMBER(H504),P504&lt;&gt;"Unresolved unit / layout"),H504*K504,"Not applicable")</x:f>
        <x:v>4</x:v>
      </x:c>
      <x:c r="N504" s="8" t="str">
        <x:f aca="0">IF(AND(ISNUMBER(I504),P504&lt;&gt;"Unresolved unit / layout"),I504*K504,"Not applicable")</x:f>
        <x:v>Not applicable</x:v>
      </x:c>
      <x:c r="O504" s="7" t="s">
        <x:v>1929</x:v>
      </x:c>
      <x:c r="P504" s="7" t="s">
        <x:v>1921</x:v>
      </x:c>
      <x:c r="Q504" s="7" t="s">
        <x:v>1930</x:v>
      </x:c>
      <x:c r="R504" s="7" t="s">
        <x:v>2003</x:v>
      </x:c>
      <x:c r="S504" s="7" t="s">
        <x:v>2077</x:v>
      </x:c>
      <x:c r="T504" s="7" t="s">
        <x:v>2928</x:v>
      </x:c>
      <x:c r="U504" s="7" t="s">
        <x:v>53</x:v>
      </x:c>
      <x:c r="V504" s="7" t="s">
        <x:v>2020</x:v>
      </x:c>
      <x:c r="W504" s="7" t="s">
        <x:v>58</x:v>
      </x:c>
      <x:c r="X504" s="7" t="s">
        <x:v>2965</x:v>
      </x:c>
      <x:c r="Y504" s="7" t="s">
        <x:v>1190</x:v>
      </x:c>
      <x:c r="Z504" s="7" t="s">
        <x:v>2216</x:v>
      </x:c>
      <x:c r="AA504" s="7" t="s">
        <x:v>58</x:v>
      </x:c>
      <x:c r="AB504" s="8" t="s">
        <x:v>58</x:v>
      </x:c>
      <x:c r="AC504" s="8" t="s">
        <x:v>58</x:v>
      </x:c>
      <x:c r="AD504" s="8" t="s">
        <x:v>58</x:v>
      </x:c>
      <x:c r="AE504" s="8" t="s">
        <x:v>58</x:v>
      </x:c>
      <x:c r="AF504" s="8" t="s">
        <x:v>58</x:v>
      </x:c>
      <x:c r="AG504" s="7" t="s">
        <x:v>58</x:v>
      </x:c>
    </x:row>
    <x:row r="505" ht="79.5" hidden="0" customHeight="1">
      <x:c r="A505" s="7" t="s">
        <x:v>2994</x:v>
      </x:c>
      <x:c r="B505" s="7" t="s">
        <x:v>313</x:v>
      </x:c>
      <x:c r="C505" s="7" t="s">
        <x:v>315</x:v>
      </x:c>
      <x:c r="D505" s="7" t="s">
        <x:v>2030</x:v>
      </x:c>
      <x:c r="E505" s="7" t="s">
        <x:v>2995</x:v>
      </x:c>
      <x:c r="F505" s="7" t="s">
        <x:v>2033</x:v>
      </x:c>
      <x:c r="G505" s="8" t="n">
        <x:v>41.2</x:v>
      </x:c>
      <x:c r="H505" s="8" t="n">
        <x:v>2.6</x:v>
      </x:c>
      <x:c r="I505" s="8" t="s">
        <x:v>58</x:v>
      </x:c>
      <x:c r="J505" s="7" t="s">
        <x:v>1919</x:v>
      </x:c>
      <x:c r="K505" s="8" t="n">
        <x:v>1</x:v>
      </x:c>
      <x:c r="L505" s="8" t="n">
        <x:f aca="0">IF(AND(ISNUMBER(G505),P505&lt;&gt;"Unresolved unit / layout"),G505*K505,"Not applicable")</x:f>
        <x:v>41.2</x:v>
      </x:c>
      <x:c r="M505" s="8" t="n">
        <x:f aca="0">IF(AND(ISNUMBER(H505),P505&lt;&gt;"Unresolved unit / layout"),H505*K505,"Not applicable")</x:f>
        <x:v>2.6</x:v>
      </x:c>
      <x:c r="N505" s="8" t="str">
        <x:f aca="0">IF(AND(ISNUMBER(I505),P505&lt;&gt;"Unresolved unit / layout"),I505*K505,"Not applicable")</x:f>
        <x:v>Not applicable</x:v>
      </x:c>
      <x:c r="O505" s="7" t="s">
        <x:v>2033</x:v>
      </x:c>
      <x:c r="P505" s="7" t="s">
        <x:v>1921</x:v>
      </x:c>
      <x:c r="Q505" s="7" t="s">
        <x:v>1930</x:v>
      </x:c>
      <x:c r="R505" s="7" t="s">
        <x:v>1931</x:v>
      </x:c>
      <x:c r="S505" s="7" t="s">
        <x:v>2077</x:v>
      </x:c>
      <x:c r="T505" s="7" t="s">
        <x:v>2928</x:v>
      </x:c>
      <x:c r="U505" s="7" t="s">
        <x:v>53</x:v>
      </x:c>
      <x:c r="V505" s="7" t="s">
        <x:v>2036</x:v>
      </x:c>
      <x:c r="W505" s="7" t="s">
        <x:v>2135</x:v>
      </x:c>
      <x:c r="X505" s="7" t="s">
        <x:v>2965</x:v>
      </x:c>
      <x:c r="Y505" s="7" t="s">
        <x:v>1190</x:v>
      </x:c>
      <x:c r="Z505" s="7" t="s">
        <x:v>2219</x:v>
      </x:c>
      <x:c r="AA505" s="7" t="s">
        <x:v>58</x:v>
      </x:c>
      <x:c r="AB505" s="8" t="s">
        <x:v>58</x:v>
      </x:c>
      <x:c r="AC505" s="8" t="s">
        <x:v>58</x:v>
      </x:c>
      <x:c r="AD505" s="8" t="s">
        <x:v>58</x:v>
      </x:c>
      <x:c r="AE505" s="8" t="s">
        <x:v>58</x:v>
      </x:c>
      <x:c r="AF505" s="8" t="s">
        <x:v>58</x:v>
      </x:c>
      <x:c r="AG505" s="7" t="s">
        <x:v>58</x:v>
      </x:c>
    </x:row>
    <x:row r="506" ht="79.5" hidden="0" customHeight="1">
      <x:c r="A506" s="7" t="s">
        <x:v>2996</x:v>
      </x:c>
      <x:c r="B506" s="7" t="s">
        <x:v>313</x:v>
      </x:c>
      <x:c r="C506" s="7" t="s">
        <x:v>315</x:v>
      </x:c>
      <x:c r="D506" s="7" t="s">
        <x:v>2030</x:v>
      </x:c>
      <x:c r="E506" s="7" t="s">
        <x:v>2997</x:v>
      </x:c>
      <x:c r="F506" s="7" t="s">
        <x:v>2033</x:v>
      </x:c>
      <x:c r="G506" s="8" t="n">
        <x:v>15.7</x:v>
      </x:c>
      <x:c r="H506" s="8" t="n">
        <x:v>1.6</x:v>
      </x:c>
      <x:c r="I506" s="8" t="s">
        <x:v>58</x:v>
      </x:c>
      <x:c r="J506" s="7" t="s">
        <x:v>1919</x:v>
      </x:c>
      <x:c r="K506" s="8" t="n">
        <x:v>1</x:v>
      </x:c>
      <x:c r="L506" s="8" t="n">
        <x:f aca="0">IF(AND(ISNUMBER(G506),P506&lt;&gt;"Unresolved unit / layout"),G506*K506,"Not applicable")</x:f>
        <x:v>15.7</x:v>
      </x:c>
      <x:c r="M506" s="8" t="n">
        <x:f aca="0">IF(AND(ISNUMBER(H506),P506&lt;&gt;"Unresolved unit / layout"),H506*K506,"Not applicable")</x:f>
        <x:v>1.6</x:v>
      </x:c>
      <x:c r="N506" s="8" t="str">
        <x:f aca="0">IF(AND(ISNUMBER(I506),P506&lt;&gt;"Unresolved unit / layout"),I506*K506,"Not applicable")</x:f>
        <x:v>Not applicable</x:v>
      </x:c>
      <x:c r="O506" s="7" t="s">
        <x:v>2033</x:v>
      </x:c>
      <x:c r="P506" s="7" t="s">
        <x:v>1921</x:v>
      </x:c>
      <x:c r="Q506" s="7" t="s">
        <x:v>1930</x:v>
      </x:c>
      <x:c r="R506" s="7" t="s">
        <x:v>1931</x:v>
      </x:c>
      <x:c r="S506" s="7" t="s">
        <x:v>2077</x:v>
      </x:c>
      <x:c r="T506" s="7" t="s">
        <x:v>2928</x:v>
      </x:c>
      <x:c r="U506" s="7" t="s">
        <x:v>53</x:v>
      </x:c>
      <x:c r="V506" s="7" t="s">
        <x:v>2036</x:v>
      </x:c>
      <x:c r="W506" s="7" t="s">
        <x:v>2139</x:v>
      </x:c>
      <x:c r="X506" s="7" t="s">
        <x:v>2965</x:v>
      </x:c>
      <x:c r="Y506" s="7" t="s">
        <x:v>1190</x:v>
      </x:c>
      <x:c r="Z506" s="7" t="s">
        <x:v>2222</x:v>
      </x:c>
      <x:c r="AA506" s="7" t="s">
        <x:v>58</x:v>
      </x:c>
      <x:c r="AB506" s="8" t="s">
        <x:v>58</x:v>
      </x:c>
      <x:c r="AC506" s="8" t="s">
        <x:v>58</x:v>
      </x:c>
      <x:c r="AD506" s="8" t="s">
        <x:v>58</x:v>
      </x:c>
      <x:c r="AE506" s="8" t="s">
        <x:v>58</x:v>
      </x:c>
      <x:c r="AF506" s="8" t="s">
        <x:v>58</x:v>
      </x:c>
      <x:c r="AG506" s="7" t="s">
        <x:v>58</x:v>
      </x:c>
    </x:row>
    <x:row r="507" ht="79.5" hidden="0" customHeight="1">
      <x:c r="A507" s="7" t="s">
        <x:v>2998</x:v>
      </x:c>
      <x:c r="B507" s="7" t="s">
        <x:v>313</x:v>
      </x:c>
      <x:c r="C507" s="7" t="s">
        <x:v>315</x:v>
      </x:c>
      <x:c r="D507" s="7" t="s">
        <x:v>2030</x:v>
      </x:c>
      <x:c r="E507" s="7" t="s">
        <x:v>2999</x:v>
      </x:c>
      <x:c r="F507" s="7" t="s">
        <x:v>2033</x:v>
      </x:c>
      <x:c r="G507" s="8" t="n">
        <x:v>10.7</x:v>
      </x:c>
      <x:c r="H507" s="8" t="n">
        <x:v>1.6</x:v>
      </x:c>
      <x:c r="I507" s="8" t="s">
        <x:v>58</x:v>
      </x:c>
      <x:c r="J507" s="7" t="s">
        <x:v>1919</x:v>
      </x:c>
      <x:c r="K507" s="8" t="n">
        <x:v>1</x:v>
      </x:c>
      <x:c r="L507" s="8" t="n">
        <x:f aca="0">IF(AND(ISNUMBER(G507),P507&lt;&gt;"Unresolved unit / layout"),G507*K507,"Not applicable")</x:f>
        <x:v>10.7</x:v>
      </x:c>
      <x:c r="M507" s="8" t="n">
        <x:f aca="0">IF(AND(ISNUMBER(H507),P507&lt;&gt;"Unresolved unit / layout"),H507*K507,"Not applicable")</x:f>
        <x:v>1.6</x:v>
      </x:c>
      <x:c r="N507" s="8" t="str">
        <x:f aca="0">IF(AND(ISNUMBER(I507),P507&lt;&gt;"Unresolved unit / layout"),I507*K507,"Not applicable")</x:f>
        <x:v>Not applicable</x:v>
      </x:c>
      <x:c r="O507" s="7" t="s">
        <x:v>2033</x:v>
      </x:c>
      <x:c r="P507" s="7" t="s">
        <x:v>1921</x:v>
      </x:c>
      <x:c r="Q507" s="7" t="s">
        <x:v>1930</x:v>
      </x:c>
      <x:c r="R507" s="7" t="s">
        <x:v>2003</x:v>
      </x:c>
      <x:c r="S507" s="7" t="s">
        <x:v>2077</x:v>
      </x:c>
      <x:c r="T507" s="7" t="s">
        <x:v>2928</x:v>
      </x:c>
      <x:c r="U507" s="7" t="s">
        <x:v>53</x:v>
      </x:c>
      <x:c r="V507" s="7" t="s">
        <x:v>2036</x:v>
      </x:c>
      <x:c r="W507" s="7" t="s">
        <x:v>53</x:v>
      </x:c>
      <x:c r="X507" s="7" t="s">
        <x:v>2965</x:v>
      </x:c>
      <x:c r="Y507" s="7" t="s">
        <x:v>1190</x:v>
      </x:c>
      <x:c r="Z507" s="7" t="s">
        <x:v>2225</x:v>
      </x:c>
      <x:c r="AA507" s="7" t="s">
        <x:v>58</x:v>
      </x:c>
      <x:c r="AB507" s="8" t="s">
        <x:v>58</x:v>
      </x:c>
      <x:c r="AC507" s="8" t="s">
        <x:v>58</x:v>
      </x:c>
      <x:c r="AD507" s="8" t="s">
        <x:v>58</x:v>
      </x:c>
      <x:c r="AE507" s="8" t="s">
        <x:v>58</x:v>
      </x:c>
      <x:c r="AF507" s="8" t="s">
        <x:v>58</x:v>
      </x:c>
      <x:c r="AG507" s="7" t="s">
        <x:v>58</x:v>
      </x:c>
    </x:row>
    <x:row r="508" ht="51.75" hidden="0" customHeight="1">
      <x:c r="A508" s="7" t="s">
        <x:v>328</x:v>
      </x:c>
      <x:c r="B508" s="7" t="s">
        <x:v>324</x:v>
      </x:c>
      <x:c r="C508" s="7" t="s">
        <x:v>326</x:v>
      </x:c>
      <x:c r="D508" s="7" t="s">
        <x:v>1916</x:v>
      </x:c>
      <x:c r="E508" s="7" t="s">
        <x:v>3000</x:v>
      </x:c>
      <x:c r="F508" s="7" t="s">
        <x:v>1965</x:v>
      </x:c>
      <x:c r="G508" s="8" t="n">
        <x:v>1.26</x:v>
      </x:c>
      <x:c r="H508" s="8" t="s">
        <x:v>58</x:v>
      </x:c>
      <x:c r="I508" s="8" t="n">
        <x:v>1.3</x:v>
      </x:c>
      <x:c r="J508" s="7" t="s">
        <x:v>1919</x:v>
      </x:c>
      <x:c r="K508" s="8" t="n">
        <x:v>1000</x:v>
      </x:c>
      <x:c r="L508" s="8" t="n">
        <x:f aca="0">IF(AND(ISNUMBER(G508),P508&lt;&gt;"Unresolved unit / layout"),G508*K508,"Not applicable")</x:f>
        <x:v>1260</x:v>
      </x:c>
      <x:c r="M508" s="8" t="str">
        <x:f aca="0">IF(AND(ISNUMBER(H508),P508&lt;&gt;"Unresolved unit / layout"),H508*K508,"Not applicable")</x:f>
        <x:v>Not applicable</x:v>
      </x:c>
      <x:c r="N508" s="8" t="n">
        <x:f aca="0">IF(AND(ISNUMBER(I508),P508&lt;&gt;"Unresolved unit / layout"),I508*K508,"Not applicable")</x:f>
        <x:v>1300</x:v>
      </x:c>
      <x:c r="O508" s="7" t="s">
        <x:v>1920</x:v>
      </x:c>
      <x:c r="P508" s="7" t="s">
        <x:v>1921</x:v>
      </x:c>
      <x:c r="Q508" s="7" t="s">
        <x:v>1922</x:v>
      </x:c>
      <x:c r="R508" s="7" t="s">
        <x:v>58</x:v>
      </x:c>
      <x:c r="S508" s="7" t="s">
        <x:v>53</x:v>
      </x:c>
      <x:c r="T508" s="7" t="s">
        <x:v>53</x:v>
      </x:c>
      <x:c r="U508" s="7" t="s">
        <x:v>53</x:v>
      </x:c>
      <x:c r="V508" s="7" t="s">
        <x:v>2739</x:v>
      </x:c>
      <x:c r="W508" s="7" t="s">
        <x:v>58</x:v>
      </x:c>
      <x:c r="X508" s="7" t="s">
        <x:v>53</x:v>
      </x:c>
      <x:c r="Y508" s="7" t="s">
        <x:v>1193</x:v>
      </x:c>
      <x:c r="Z508" s="7" t="s">
        <x:v>1925</x:v>
      </x:c>
      <x:c r="AA508" s="7" t="s">
        <x:v>58</x:v>
      </x:c>
      <x:c r="AB508" s="8" t="s">
        <x:v>58</x:v>
      </x:c>
      <x:c r="AC508" s="8" t="s">
        <x:v>58</x:v>
      </x:c>
      <x:c r="AD508" s="8" t="s">
        <x:v>58</x:v>
      </x:c>
      <x:c r="AE508" s="8" t="s">
        <x:v>58</x:v>
      </x:c>
      <x:c r="AF508" s="8" t="s">
        <x:v>58</x:v>
      </x:c>
      <x:c r="AG508" s="7" t="s">
        <x:v>58</x:v>
      </x:c>
    </x:row>
    <x:row r="509" ht="37.5" hidden="0" customHeight="1">
      <x:c r="A509" s="7" t="s">
        <x:v>3001</x:v>
      </x:c>
      <x:c r="B509" s="7" t="s">
        <x:v>324</x:v>
      </x:c>
      <x:c r="C509" s="7" t="s">
        <x:v>326</x:v>
      </x:c>
      <x:c r="D509" s="7" t="s">
        <x:v>1974</x:v>
      </x:c>
      <x:c r="E509" s="7" t="s">
        <x:v>3002</x:v>
      </x:c>
      <x:c r="F509" s="7" t="s">
        <x:v>2273</x:v>
      </x:c>
      <x:c r="G509" s="8" t="n">
        <x:v>190</x:v>
      </x:c>
      <x:c r="H509" s="8" t="s">
        <x:v>58</x:v>
      </x:c>
      <x:c r="I509" s="8" t="s">
        <x:v>58</x:v>
      </x:c>
      <x:c r="J509" s="7" t="s">
        <x:v>1919</x:v>
      </x:c>
      <x:c r="K509" s="8" t="n">
        <x:v>1</x:v>
      </x:c>
      <x:c r="L509" s="8" t="n">
        <x:f aca="0">IF(AND(ISNUMBER(G509),P509&lt;&gt;"Unresolved unit / layout"),G509*K509,"Not applicable")</x:f>
        <x:v>190</x:v>
      </x:c>
      <x:c r="M509" s="8" t="str">
        <x:f aca="0">IF(AND(ISNUMBER(H509),P509&lt;&gt;"Unresolved unit / layout"),H509*K509,"Not applicable")</x:f>
        <x:v>Not applicable</x:v>
      </x:c>
      <x:c r="N509" s="8" t="str">
        <x:f aca="0">IF(AND(ISNUMBER(I509),P509&lt;&gt;"Unresolved unit / layout"),I509*K509,"Not applicable")</x:f>
        <x:v>Not applicable</x:v>
      </x:c>
      <x:c r="O509" s="7" t="s">
        <x:v>1956</x:v>
      </x:c>
      <x:c r="P509" s="7" t="s">
        <x:v>1921</x:v>
      </x:c>
      <x:c r="Q509" s="7" t="s">
        <x:v>2064</x:v>
      </x:c>
      <x:c r="R509" s="7" t="s">
        <x:v>58</x:v>
      </x:c>
      <x:c r="S509" s="7" t="s">
        <x:v>53</x:v>
      </x:c>
      <x:c r="T509" s="7" t="s">
        <x:v>53</x:v>
      </x:c>
      <x:c r="U509" s="7" t="s">
        <x:v>53</x:v>
      </x:c>
      <x:c r="V509" s="7" t="s">
        <x:v>53</x:v>
      </x:c>
      <x:c r="W509" s="7" t="s">
        <x:v>58</x:v>
      </x:c>
      <x:c r="X509" s="7" t="s">
        <x:v>53</x:v>
      </x:c>
      <x:c r="Y509" s="7" t="s">
        <x:v>1193</x:v>
      </x:c>
      <x:c r="Z509" s="7" t="s">
        <x:v>3003</x:v>
      </x:c>
      <x:c r="AA509" s="7" t="s">
        <x:v>58</x:v>
      </x:c>
      <x:c r="AB509" s="8" t="s">
        <x:v>58</x:v>
      </x:c>
      <x:c r="AC509" s="8" t="s">
        <x:v>58</x:v>
      </x:c>
      <x:c r="AD509" s="8" t="s">
        <x:v>58</x:v>
      </x:c>
      <x:c r="AE509" s="8" t="s">
        <x:v>58</x:v>
      </x:c>
      <x:c r="AF509" s="8" t="s">
        <x:v>58</x:v>
      </x:c>
      <x:c r="AG509" s="7" t="s">
        <x:v>58</x:v>
      </x:c>
    </x:row>
    <x:row r="510" ht="37.5" hidden="0" customHeight="1">
      <x:c r="A510" s="7" t="s">
        <x:v>3004</x:v>
      </x:c>
      <x:c r="B510" s="7" t="s">
        <x:v>324</x:v>
      </x:c>
      <x:c r="C510" s="7" t="s">
        <x:v>326</x:v>
      </x:c>
      <x:c r="D510" s="7" t="s">
        <x:v>1982</x:v>
      </x:c>
      <x:c r="E510" s="7" t="s">
        <x:v>3005</x:v>
      </x:c>
      <x:c r="F510" s="7" t="s">
        <x:v>2273</x:v>
      </x:c>
      <x:c r="G510" s="8" t="n">
        <x:v>120</x:v>
      </x:c>
      <x:c r="H510" s="8" t="s">
        <x:v>58</x:v>
      </x:c>
      <x:c r="I510" s="8" t="s">
        <x:v>58</x:v>
      </x:c>
      <x:c r="J510" s="7" t="s">
        <x:v>1919</x:v>
      </x:c>
      <x:c r="K510" s="8" t="n">
        <x:v>1</x:v>
      </x:c>
      <x:c r="L510" s="8" t="n">
        <x:f aca="0">IF(AND(ISNUMBER(G510),P510&lt;&gt;"Unresolved unit / layout"),G510*K510,"Not applicable")</x:f>
        <x:v>120</x:v>
      </x:c>
      <x:c r="M510" s="8" t="str">
        <x:f aca="0">IF(AND(ISNUMBER(H510),P510&lt;&gt;"Unresolved unit / layout"),H510*K510,"Not applicable")</x:f>
        <x:v>Not applicable</x:v>
      </x:c>
      <x:c r="N510" s="8" t="str">
        <x:f aca="0">IF(AND(ISNUMBER(I510),P510&lt;&gt;"Unresolved unit / layout"),I510*K510,"Not applicable")</x:f>
        <x:v>Not applicable</x:v>
      </x:c>
      <x:c r="O510" s="7" t="s">
        <x:v>1956</x:v>
      </x:c>
      <x:c r="P510" s="7" t="s">
        <x:v>1921</x:v>
      </x:c>
      <x:c r="Q510" s="7" t="s">
        <x:v>2064</x:v>
      </x:c>
      <x:c r="R510" s="7" t="s">
        <x:v>58</x:v>
      </x:c>
      <x:c r="S510" s="7" t="s">
        <x:v>53</x:v>
      </x:c>
      <x:c r="T510" s="7" t="s">
        <x:v>53</x:v>
      </x:c>
      <x:c r="U510" s="7" t="s">
        <x:v>53</x:v>
      </x:c>
      <x:c r="V510" s="7" t="s">
        <x:v>53</x:v>
      </x:c>
      <x:c r="W510" s="7" t="s">
        <x:v>58</x:v>
      </x:c>
      <x:c r="X510" s="7" t="s">
        <x:v>53</x:v>
      </x:c>
      <x:c r="Y510" s="7" t="s">
        <x:v>1193</x:v>
      </x:c>
      <x:c r="Z510" s="7" t="s">
        <x:v>3006</x:v>
      </x:c>
      <x:c r="AA510" s="7" t="s">
        <x:v>58</x:v>
      </x:c>
      <x:c r="AB510" s="8" t="s">
        <x:v>58</x:v>
      </x:c>
      <x:c r="AC510" s="8" t="s">
        <x:v>58</x:v>
      </x:c>
      <x:c r="AD510" s="8" t="s">
        <x:v>58</x:v>
      </x:c>
      <x:c r="AE510" s="8" t="s">
        <x:v>58</x:v>
      </x:c>
      <x:c r="AF510" s="8" t="s">
        <x:v>58</x:v>
      </x:c>
      <x:c r="AG510" s="7" t="s">
        <x:v>58</x:v>
      </x:c>
    </x:row>
    <x:row r="511" ht="37.5" hidden="0" customHeight="1">
      <x:c r="A511" s="7" t="s">
        <x:v>3007</x:v>
      </x:c>
      <x:c r="B511" s="7" t="s">
        <x:v>324</x:v>
      </x:c>
      <x:c r="C511" s="7" t="s">
        <x:v>326</x:v>
      </x:c>
      <x:c r="D511" s="7" t="s">
        <x:v>1940</x:v>
      </x:c>
      <x:c r="E511" s="7" t="s">
        <x:v>3008</x:v>
      </x:c>
      <x:c r="F511" s="7" t="s">
        <x:v>1942</x:v>
      </x:c>
      <x:c r="G511" s="8" t="n">
        <x:v>98</x:v>
      </x:c>
      <x:c r="H511" s="8" t="s">
        <x:v>58</x:v>
      </x:c>
      <x:c r="I511" s="8" t="s">
        <x:v>58</x:v>
      </x:c>
      <x:c r="J511" s="7" t="s">
        <x:v>1919</x:v>
      </x:c>
      <x:c r="K511" s="8" t="n">
        <x:v>1</x:v>
      </x:c>
      <x:c r="L511" s="8" t="n">
        <x:f aca="0">IF(AND(ISNUMBER(G511),P511&lt;&gt;"Unresolved unit / layout"),G511*K511,"Not applicable")</x:f>
        <x:v>98</x:v>
      </x:c>
      <x:c r="M511" s="8" t="str">
        <x:f aca="0">IF(AND(ISNUMBER(H511),P511&lt;&gt;"Unresolved unit / layout"),H511*K511,"Not applicable")</x:f>
        <x:v>Not applicable</x:v>
      </x:c>
      <x:c r="N511" s="8" t="str">
        <x:f aca="0">IF(AND(ISNUMBER(I511),P511&lt;&gt;"Unresolved unit / layout"),I511*K511,"Not applicable")</x:f>
        <x:v>Not applicable</x:v>
      </x:c>
      <x:c r="O511" s="7" t="s">
        <x:v>1942</x:v>
      </x:c>
      <x:c r="P511" s="7" t="s">
        <x:v>1921</x:v>
      </x:c>
      <x:c r="Q511" s="7" t="s">
        <x:v>2064</x:v>
      </x:c>
      <x:c r="R511" s="7" t="s">
        <x:v>53</x:v>
      </x:c>
      <x:c r="S511" s="7" t="s">
        <x:v>53</x:v>
      </x:c>
      <x:c r="T511" s="7" t="s">
        <x:v>53</x:v>
      </x:c>
      <x:c r="U511" s="7" t="s">
        <x:v>53</x:v>
      </x:c>
      <x:c r="V511" s="7" t="s">
        <x:v>2739</x:v>
      </x:c>
      <x:c r="W511" s="7" t="s">
        <x:v>58</x:v>
      </x:c>
      <x:c r="X511" s="7" t="s">
        <x:v>53</x:v>
      </x:c>
      <x:c r="Y511" s="7" t="s">
        <x:v>1193</x:v>
      </x:c>
      <x:c r="Z511" s="7" t="s">
        <x:v>2743</x:v>
      </x:c>
      <x:c r="AA511" s="7" t="s">
        <x:v>58</x:v>
      </x:c>
      <x:c r="AB511" s="8" t="s">
        <x:v>58</x:v>
      </x:c>
      <x:c r="AC511" s="8" t="s">
        <x:v>58</x:v>
      </x:c>
      <x:c r="AD511" s="8" t="s">
        <x:v>58</x:v>
      </x:c>
      <x:c r="AE511" s="8" t="s">
        <x:v>58</x:v>
      </x:c>
      <x:c r="AF511" s="8" t="s">
        <x:v>58</x:v>
      </x:c>
      <x:c r="AG511" s="7" t="s">
        <x:v>58</x:v>
      </x:c>
    </x:row>
    <x:row r="512" ht="37.5" hidden="0" customHeight="1">
      <x:c r="A512" s="7" t="s">
        <x:v>3009</x:v>
      </x:c>
      <x:c r="B512" s="7" t="s">
        <x:v>324</x:v>
      </x:c>
      <x:c r="C512" s="7" t="s">
        <x:v>326</x:v>
      </x:c>
      <x:c r="D512" s="7" t="s">
        <x:v>2099</x:v>
      </x:c>
      <x:c r="E512" s="10" t="s">
        <x:v>2751</x:v>
      </x:c>
      <x:c r="F512" s="7" t="s">
        <x:v>1942</x:v>
      </x:c>
      <x:c r="G512" s="8" t="n">
        <x:v>0.8</x:v>
      </x:c>
      <x:c r="H512" s="8" t="s">
        <x:v>58</x:v>
      </x:c>
      <x:c r="I512" s="8" t="s">
        <x:v>58</x:v>
      </x:c>
      <x:c r="J512" s="7" t="s">
        <x:v>2752</x:v>
      </x:c>
      <x:c r="K512" s="8" t="n">
        <x:v>1</x:v>
      </x:c>
      <x:c r="L512" s="8" t="n">
        <x:f aca="0">IF(AND(ISNUMBER(G512),P512&lt;&gt;"Unresolved unit / layout"),G512*K512,"Not applicable")</x:f>
        <x:v>0.8</x:v>
      </x:c>
      <x:c r="M512" s="8" t="str">
        <x:f aca="0">IF(AND(ISNUMBER(H512),P512&lt;&gt;"Unresolved unit / layout"),H512*K512,"Not applicable")</x:f>
        <x:v>Not applicable</x:v>
      </x:c>
      <x:c r="N512" s="8" t="str">
        <x:f aca="0">IF(AND(ISNUMBER(I512),P512&lt;&gt;"Unresolved unit / layout"),I512*K512,"Not applicable")</x:f>
        <x:v>Not applicable</x:v>
      </x:c>
      <x:c r="O512" s="7" t="s">
        <x:v>1942</x:v>
      </x:c>
      <x:c r="P512" s="7" t="s">
        <x:v>1921</x:v>
      </x:c>
      <x:c r="Q512" s="7" t="s">
        <x:v>2064</x:v>
      </x:c>
      <x:c r="R512" s="7" t="s">
        <x:v>58</x:v>
      </x:c>
      <x:c r="S512" s="7" t="s">
        <x:v>53</x:v>
      </x:c>
      <x:c r="T512" s="7" t="s">
        <x:v>53</x:v>
      </x:c>
      <x:c r="U512" s="7" t="s">
        <x:v>53</x:v>
      </x:c>
      <x:c r="V512" s="7" t="s">
        <x:v>2739</x:v>
      </x:c>
      <x:c r="W512" s="7" t="s">
        <x:v>58</x:v>
      </x:c>
      <x:c r="X512" s="7" t="s">
        <x:v>53</x:v>
      </x:c>
      <x:c r="Y512" s="7" t="s">
        <x:v>1193</x:v>
      </x:c>
      <x:c r="Z512" s="7" t="s">
        <x:v>3010</x:v>
      </x:c>
      <x:c r="AA512" s="7" t="s">
        <x:v>58</x:v>
      </x:c>
      <x:c r="AB512" s="8" t="s">
        <x:v>58</x:v>
      </x:c>
      <x:c r="AC512" s="8" t="s">
        <x:v>58</x:v>
      </x:c>
      <x:c r="AD512" s="8" t="s">
        <x:v>58</x:v>
      </x:c>
      <x:c r="AE512" s="8" t="s">
        <x:v>58</x:v>
      </x:c>
      <x:c r="AF512" s="8" t="s">
        <x:v>58</x:v>
      </x:c>
      <x:c r="AG512" s="7" t="s">
        <x:v>58</x:v>
      </x:c>
    </x:row>
    <x:row r="513" ht="51.75" hidden="0" customHeight="1">
      <x:c r="A513" s="7" t="s">
        <x:v>3011</x:v>
      </x:c>
      <x:c r="B513" s="7" t="s">
        <x:v>330</x:v>
      </x:c>
      <x:c r="C513" s="7" t="s">
        <x:v>332</x:v>
      </x:c>
      <x:c r="D513" s="7" t="s">
        <x:v>1916</x:v>
      </x:c>
      <x:c r="E513" s="7" t="s">
        <x:v>2755</x:v>
      </x:c>
      <x:c r="F513" s="7" t="s">
        <x:v>1918</x:v>
      </x:c>
      <x:c r="G513" s="8" t="n">
        <x:v>1.28</x:v>
      </x:c>
      <x:c r="H513" s="8" t="s">
        <x:v>58</x:v>
      </x:c>
      <x:c r="I513" s="8" t="s">
        <x:v>58</x:v>
      </x:c>
      <x:c r="J513" s="7" t="s">
        <x:v>1919</x:v>
      </x:c>
      <x:c r="K513" s="8" t="n">
        <x:v>1000</x:v>
      </x:c>
      <x:c r="L513" s="8" t="n">
        <x:f aca="0">IF(AND(ISNUMBER(G513),P513&lt;&gt;"Unresolved unit / layout"),G513*K513,"Not applicable")</x:f>
        <x:v>1280</x:v>
      </x:c>
      <x:c r="M513" s="8" t="str">
        <x:f aca="0">IF(AND(ISNUMBER(H513),P513&lt;&gt;"Unresolved unit / layout"),H513*K513,"Not applicable")</x:f>
        <x:v>Not applicable</x:v>
      </x:c>
      <x:c r="N513" s="8" t="str">
        <x:f aca="0">IF(AND(ISNUMBER(I513),P513&lt;&gt;"Unresolved unit / layout"),I513*K513,"Not applicable")</x:f>
        <x:v>Not applicable</x:v>
      </x:c>
      <x:c r="O513" s="7" t="s">
        <x:v>1920</x:v>
      </x:c>
      <x:c r="P513" s="7" t="s">
        <x:v>1921</x:v>
      </x:c>
      <x:c r="Q513" s="7" t="s">
        <x:v>1922</x:v>
      </x:c>
      <x:c r="R513" s="7" t="s">
        <x:v>58</x:v>
      </x:c>
      <x:c r="S513" s="7" t="s">
        <x:v>53</x:v>
      </x:c>
      <x:c r="T513" s="7" t="s">
        <x:v>53</x:v>
      </x:c>
      <x:c r="U513" s="7" t="s">
        <x:v>53</x:v>
      </x:c>
      <x:c r="V513" s="7" t="s">
        <x:v>1923</x:v>
      </x:c>
      <x:c r="W513" s="7" t="s">
        <x:v>58</x:v>
      </x:c>
      <x:c r="X513" s="7" t="s">
        <x:v>3012</x:v>
      </x:c>
      <x:c r="Y513" s="7" t="s">
        <x:v>1195</x:v>
      </x:c>
      <x:c r="Z513" s="7" t="s">
        <x:v>1925</x:v>
      </x:c>
      <x:c r="AA513" s="7" t="s">
        <x:v>58</x:v>
      </x:c>
      <x:c r="AB513" s="8" t="s">
        <x:v>58</x:v>
      </x:c>
      <x:c r="AC513" s="8" t="s">
        <x:v>58</x:v>
      </x:c>
      <x:c r="AD513" s="8" t="s">
        <x:v>58</x:v>
      </x:c>
      <x:c r="AE513" s="8" t="s">
        <x:v>58</x:v>
      </x:c>
      <x:c r="AF513" s="8" t="s">
        <x:v>58</x:v>
      </x:c>
      <x:c r="AG513" s="7" t="s">
        <x:v>58</x:v>
      </x:c>
    </x:row>
    <x:row r="514" ht="51.75" hidden="0" customHeight="1">
      <x:c r="A514" s="7" t="s">
        <x:v>3013</x:v>
      </x:c>
      <x:c r="B514" s="7" t="s">
        <x:v>330</x:v>
      </x:c>
      <x:c r="C514" s="7" t="s">
        <x:v>332</x:v>
      </x:c>
      <x:c r="D514" s="7" t="s">
        <x:v>1927</x:v>
      </x:c>
      <x:c r="E514" s="7" t="s">
        <x:v>3014</x:v>
      </x:c>
      <x:c r="F514" s="7" t="s">
        <x:v>1929</x:v>
      </x:c>
      <x:c r="G514" s="8" t="n">
        <x:v>50</x:v>
      </x:c>
      <x:c r="H514" s="8" t="s">
        <x:v>58</x:v>
      </x:c>
      <x:c r="I514" s="8" t="s">
        <x:v>58</x:v>
      </x:c>
      <x:c r="J514" s="7" t="s">
        <x:v>1919</x:v>
      </x:c>
      <x:c r="K514" s="8" t="n">
        <x:v>1</x:v>
      </x:c>
      <x:c r="L514" s="8" t="n">
        <x:f aca="0">IF(AND(ISNUMBER(G514),P514&lt;&gt;"Unresolved unit / layout"),G514*K514,"Not applicable")</x:f>
        <x:v>50</x:v>
      </x:c>
      <x:c r="M514" s="8" t="str">
        <x:f aca="0">IF(AND(ISNUMBER(H514),P514&lt;&gt;"Unresolved unit / layout"),H514*K514,"Not applicable")</x:f>
        <x:v>Not applicable</x:v>
      </x:c>
      <x:c r="N514" s="8" t="str">
        <x:f aca="0">IF(AND(ISNUMBER(I514),P514&lt;&gt;"Unresolved unit / layout"),I514*K514,"Not applicable")</x:f>
        <x:v>Not applicable</x:v>
      </x:c>
      <x:c r="O514" s="7" t="s">
        <x:v>1929</x:v>
      </x:c>
      <x:c r="P514" s="7" t="s">
        <x:v>1921</x:v>
      </x:c>
      <x:c r="Q514" s="7" t="s">
        <x:v>1930</x:v>
      </x:c>
      <x:c r="R514" s="7" t="s">
        <x:v>1931</x:v>
      </x:c>
      <x:c r="S514" s="7" t="s">
        <x:v>53</x:v>
      </x:c>
      <x:c r="T514" s="7" t="s">
        <x:v>53</x:v>
      </x:c>
      <x:c r="U514" s="7" t="s">
        <x:v>53</x:v>
      </x:c>
      <x:c r="V514" s="7" t="s">
        <x:v>1932</x:v>
      </x:c>
      <x:c r="W514" s="7" t="s">
        <x:v>58</x:v>
      </x:c>
      <x:c r="X514" s="7" t="s">
        <x:v>3012</x:v>
      </x:c>
      <x:c r="Y514" s="7" t="s">
        <x:v>1195</x:v>
      </x:c>
      <x:c r="Z514" s="7" t="s">
        <x:v>1933</x:v>
      </x:c>
      <x:c r="AA514" s="7" t="s">
        <x:v>58</x:v>
      </x:c>
      <x:c r="AB514" s="8" t="s">
        <x:v>58</x:v>
      </x:c>
      <x:c r="AC514" s="8" t="s">
        <x:v>58</x:v>
      </x:c>
      <x:c r="AD514" s="8" t="s">
        <x:v>58</x:v>
      </x:c>
      <x:c r="AE514" s="8" t="s">
        <x:v>58</x:v>
      </x:c>
      <x:c r="AF514" s="8" t="s">
        <x:v>58</x:v>
      </x:c>
      <x:c r="AG514" s="7" t="s">
        <x:v>58</x:v>
      </x:c>
    </x:row>
    <x:row r="515" ht="51.75" hidden="0" customHeight="1">
      <x:c r="A515" s="7" t="s">
        <x:v>3015</x:v>
      </x:c>
      <x:c r="B515" s="7" t="s">
        <x:v>330</x:v>
      </x:c>
      <x:c r="C515" s="7" t="s">
        <x:v>332</x:v>
      </x:c>
      <x:c r="D515" s="7" t="s">
        <x:v>1935</x:v>
      </x:c>
      <x:c r="E515" s="7" t="s">
        <x:v>3016</x:v>
      </x:c>
      <x:c r="F515" s="7" t="s">
        <x:v>1929</x:v>
      </x:c>
      <x:c r="G515" s="8" t="n">
        <x:v>1800</x:v>
      </x:c>
      <x:c r="H515" s="8" t="s">
        <x:v>58</x:v>
      </x:c>
      <x:c r="I515" s="8" t="s">
        <x:v>58</x:v>
      </x:c>
      <x:c r="J515" s="7" t="s">
        <x:v>1919</x:v>
      </x:c>
      <x:c r="K515" s="8" t="n">
        <x:v>0.001</x:v>
      </x:c>
      <x:c r="L515" s="8" t="n">
        <x:f aca="0">IF(AND(ISNUMBER(G515),P515&lt;&gt;"Unresolved unit / layout"),G515*K515,"Not applicable")</x:f>
        <x:v>1.8</x:v>
      </x:c>
      <x:c r="M515" s="8" t="str">
        <x:f aca="0">IF(AND(ISNUMBER(H515),P515&lt;&gt;"Unresolved unit / layout"),H515*K515,"Not applicable")</x:f>
        <x:v>Not applicable</x:v>
      </x:c>
      <x:c r="N515" s="8" t="str">
        <x:f aca="0">IF(AND(ISNUMBER(I515),P515&lt;&gt;"Unresolved unit / layout"),I515*K515,"Not applicable")</x:f>
        <x:v>Not applicable</x:v>
      </x:c>
      <x:c r="O515" s="7" t="s">
        <x:v>1937</x:v>
      </x:c>
      <x:c r="P515" s="7" t="s">
        <x:v>1921</x:v>
      </x:c>
      <x:c r="Q515" s="7" t="s">
        <x:v>1930</x:v>
      </x:c>
      <x:c r="R515" s="7" t="s">
        <x:v>1931</x:v>
      </x:c>
      <x:c r="S515" s="7" t="s">
        <x:v>53</x:v>
      </x:c>
      <x:c r="T515" s="7" t="s">
        <x:v>53</x:v>
      </x:c>
      <x:c r="U515" s="7" t="s">
        <x:v>53</x:v>
      </x:c>
      <x:c r="V515" s="7" t="s">
        <x:v>1932</x:v>
      </x:c>
      <x:c r="W515" s="7" t="s">
        <x:v>58</x:v>
      </x:c>
      <x:c r="X515" s="7" t="s">
        <x:v>3012</x:v>
      </x:c>
      <x:c r="Y515" s="7" t="s">
        <x:v>1195</x:v>
      </x:c>
      <x:c r="Z515" s="7" t="s">
        <x:v>1938</x:v>
      </x:c>
      <x:c r="AA515" s="7" t="s">
        <x:v>58</x:v>
      </x:c>
      <x:c r="AB515" s="8" t="s">
        <x:v>58</x:v>
      </x:c>
      <x:c r="AC515" s="8" t="s">
        <x:v>58</x:v>
      </x:c>
      <x:c r="AD515" s="8" t="s">
        <x:v>58</x:v>
      </x:c>
      <x:c r="AE515" s="8" t="s">
        <x:v>58</x:v>
      </x:c>
      <x:c r="AF515" s="8" t="s">
        <x:v>58</x:v>
      </x:c>
      <x:c r="AG515" s="7" t="s">
        <x:v>58</x:v>
      </x:c>
    </x:row>
    <x:row r="516" ht="51.75" hidden="0" customHeight="1">
      <x:c r="A516" s="7" t="s">
        <x:v>3017</x:v>
      </x:c>
      <x:c r="B516" s="7" t="s">
        <x:v>330</x:v>
      </x:c>
      <x:c r="C516" s="7" t="s">
        <x:v>332</x:v>
      </x:c>
      <x:c r="D516" s="7" t="s">
        <x:v>1940</x:v>
      </x:c>
      <x:c r="E516" s="7" t="s">
        <x:v>3018</x:v>
      </x:c>
      <x:c r="F516" s="7" t="s">
        <x:v>1942</x:v>
      </x:c>
      <x:c r="G516" s="8" t="n">
        <x:v>13</x:v>
      </x:c>
      <x:c r="H516" s="8" t="s">
        <x:v>58</x:v>
      </x:c>
      <x:c r="I516" s="8" t="s">
        <x:v>58</x:v>
      </x:c>
      <x:c r="J516" s="7" t="s">
        <x:v>1919</x:v>
      </x:c>
      <x:c r="K516" s="8" t="n">
        <x:v>1</x:v>
      </x:c>
      <x:c r="L516" s="8" t="n">
        <x:f aca="0">IF(AND(ISNUMBER(G516),P516&lt;&gt;"Unresolved unit / layout"),G516*K516,"Not applicable")</x:f>
        <x:v>13</x:v>
      </x:c>
      <x:c r="M516" s="8" t="str">
        <x:f aca="0">IF(AND(ISNUMBER(H516),P516&lt;&gt;"Unresolved unit / layout"),H516*K516,"Not applicable")</x:f>
        <x:v>Not applicable</x:v>
      </x:c>
      <x:c r="N516" s="8" t="str">
        <x:f aca="0">IF(AND(ISNUMBER(I516),P516&lt;&gt;"Unresolved unit / layout"),I516*K516,"Not applicable")</x:f>
        <x:v>Not applicable</x:v>
      </x:c>
      <x:c r="O516" s="7" t="s">
        <x:v>1942</x:v>
      </x:c>
      <x:c r="P516" s="7" t="s">
        <x:v>1921</x:v>
      </x:c>
      <x:c r="Q516" s="7" t="s">
        <x:v>1930</x:v>
      </x:c>
      <x:c r="R516" s="7" t="s">
        <x:v>1931</x:v>
      </x:c>
      <x:c r="S516" s="7" t="s">
        <x:v>53</x:v>
      </x:c>
      <x:c r="T516" s="7" t="s">
        <x:v>53</x:v>
      </x:c>
      <x:c r="U516" s="7" t="s">
        <x:v>53</x:v>
      </x:c>
      <x:c r="V516" s="7" t="s">
        <x:v>1932</x:v>
      </x:c>
      <x:c r="W516" s="7" t="s">
        <x:v>58</x:v>
      </x:c>
      <x:c r="X516" s="7" t="s">
        <x:v>3012</x:v>
      </x:c>
      <x:c r="Y516" s="7" t="s">
        <x:v>1195</x:v>
      </x:c>
      <x:c r="Z516" s="7" t="s">
        <x:v>1943</x:v>
      </x:c>
      <x:c r="AA516" s="7" t="s">
        <x:v>58</x:v>
      </x:c>
      <x:c r="AB516" s="8" t="s">
        <x:v>58</x:v>
      </x:c>
      <x:c r="AC516" s="8" t="s">
        <x:v>58</x:v>
      </x:c>
      <x:c r="AD516" s="8" t="s">
        <x:v>58</x:v>
      </x:c>
      <x:c r="AE516" s="8" t="s">
        <x:v>58</x:v>
      </x:c>
      <x:c r="AF516" s="8" t="s">
        <x:v>58</x:v>
      </x:c>
      <x:c r="AG516" s="7" t="s">
        <x:v>58</x:v>
      </x:c>
    </x:row>
    <x:row r="517" ht="51.75" hidden="0" customHeight="1">
      <x:c r="A517" s="7" t="s">
        <x:v>3019</x:v>
      </x:c>
      <x:c r="B517" s="7" t="s">
        <x:v>330</x:v>
      </x:c>
      <x:c r="C517" s="7" t="s">
        <x:v>332</x:v>
      </x:c>
      <x:c r="D517" s="7" t="s">
        <x:v>1945</x:v>
      </x:c>
      <x:c r="E517" s="7" t="s">
        <x:v>3020</x:v>
      </x:c>
      <x:c r="F517" s="7" t="s">
        <x:v>1929</x:v>
      </x:c>
      <x:c r="G517" s="8" t="n">
        <x:v>74</x:v>
      </x:c>
      <x:c r="H517" s="8" t="s">
        <x:v>58</x:v>
      </x:c>
      <x:c r="I517" s="8" t="s">
        <x:v>58</x:v>
      </x:c>
      <x:c r="J517" s="7" t="s">
        <x:v>1919</x:v>
      </x:c>
      <x:c r="K517" s="8" t="n">
        <x:v>1</x:v>
      </x:c>
      <x:c r="L517" s="8" t="n">
        <x:f aca="0">IF(AND(ISNUMBER(G517),P517&lt;&gt;"Unresolved unit / layout"),G517*K517,"Not applicable")</x:f>
        <x:v>74</x:v>
      </x:c>
      <x:c r="M517" s="8" t="str">
        <x:f aca="0">IF(AND(ISNUMBER(H517),P517&lt;&gt;"Unresolved unit / layout"),H517*K517,"Not applicable")</x:f>
        <x:v>Not applicable</x:v>
      </x:c>
      <x:c r="N517" s="8" t="str">
        <x:f aca="0">IF(AND(ISNUMBER(I517),P517&lt;&gt;"Unresolved unit / layout"),I517*K517,"Not applicable")</x:f>
        <x:v>Not applicable</x:v>
      </x:c>
      <x:c r="O517" s="7" t="s">
        <x:v>1929</x:v>
      </x:c>
      <x:c r="P517" s="7" t="s">
        <x:v>1921</x:v>
      </x:c>
      <x:c r="Q517" s="7" t="s">
        <x:v>1930</x:v>
      </x:c>
      <x:c r="R517" s="7" t="s">
        <x:v>1931</x:v>
      </x:c>
      <x:c r="S517" s="7" t="s">
        <x:v>53</x:v>
      </x:c>
      <x:c r="T517" s="7" t="s">
        <x:v>53</x:v>
      </x:c>
      <x:c r="U517" s="7" t="s">
        <x:v>53</x:v>
      </x:c>
      <x:c r="V517" s="7" t="s">
        <x:v>1947</x:v>
      </x:c>
      <x:c r="W517" s="7" t="s">
        <x:v>58</x:v>
      </x:c>
      <x:c r="X517" s="7" t="s">
        <x:v>3012</x:v>
      </x:c>
      <x:c r="Y517" s="7" t="s">
        <x:v>1195</x:v>
      </x:c>
      <x:c r="Z517" s="7" t="s">
        <x:v>1948</x:v>
      </x:c>
      <x:c r="AA517" s="7" t="s">
        <x:v>58</x:v>
      </x:c>
      <x:c r="AB517" s="8" t="s">
        <x:v>58</x:v>
      </x:c>
      <x:c r="AC517" s="8" t="s">
        <x:v>58</x:v>
      </x:c>
      <x:c r="AD517" s="8" t="s">
        <x:v>58</x:v>
      </x:c>
      <x:c r="AE517" s="8" t="s">
        <x:v>58</x:v>
      </x:c>
      <x:c r="AF517" s="8" t="s">
        <x:v>58</x:v>
      </x:c>
      <x:c r="AG517" s="7" t="s">
        <x:v>58</x:v>
      </x:c>
    </x:row>
    <x:row r="518" ht="51.75" hidden="0" customHeight="1">
      <x:c r="A518" s="7" t="s">
        <x:v>3021</x:v>
      </x:c>
      <x:c r="B518" s="7" t="s">
        <x:v>330</x:v>
      </x:c>
      <x:c r="C518" s="7" t="s">
        <x:v>332</x:v>
      </x:c>
      <x:c r="D518" s="7" t="s">
        <x:v>1950</x:v>
      </x:c>
      <x:c r="E518" s="7" t="s">
        <x:v>3022</x:v>
      </x:c>
      <x:c r="F518" s="7" t="s">
        <x:v>1929</x:v>
      </x:c>
      <x:c r="G518" s="8" t="n">
        <x:v>1780</x:v>
      </x:c>
      <x:c r="H518" s="8" t="s">
        <x:v>58</x:v>
      </x:c>
      <x:c r="I518" s="8" t="s">
        <x:v>58</x:v>
      </x:c>
      <x:c r="J518" s="7" t="s">
        <x:v>1919</x:v>
      </x:c>
      <x:c r="K518" s="8" t="n">
        <x:v>0.001</x:v>
      </x:c>
      <x:c r="L518" s="8" t="n">
        <x:f aca="0">IF(AND(ISNUMBER(G518),P518&lt;&gt;"Unresolved unit / layout"),G518*K518,"Not applicable")</x:f>
        <x:v>1.78</x:v>
      </x:c>
      <x:c r="M518" s="8" t="str">
        <x:f aca="0">IF(AND(ISNUMBER(H518),P518&lt;&gt;"Unresolved unit / layout"),H518*K518,"Not applicable")</x:f>
        <x:v>Not applicable</x:v>
      </x:c>
      <x:c r="N518" s="8" t="str">
        <x:f aca="0">IF(AND(ISNUMBER(I518),P518&lt;&gt;"Unresolved unit / layout"),I518*K518,"Not applicable")</x:f>
        <x:v>Not applicable</x:v>
      </x:c>
      <x:c r="O518" s="7" t="s">
        <x:v>1937</x:v>
      </x:c>
      <x:c r="P518" s="7" t="s">
        <x:v>1921</x:v>
      </x:c>
      <x:c r="Q518" s="7" t="s">
        <x:v>1930</x:v>
      </x:c>
      <x:c r="R518" s="7" t="s">
        <x:v>1931</x:v>
      </x:c>
      <x:c r="S518" s="7" t="s">
        <x:v>53</x:v>
      </x:c>
      <x:c r="T518" s="7" t="s">
        <x:v>53</x:v>
      </x:c>
      <x:c r="U518" s="7" t="s">
        <x:v>53</x:v>
      </x:c>
      <x:c r="V518" s="7" t="s">
        <x:v>1947</x:v>
      </x:c>
      <x:c r="W518" s="7" t="s">
        <x:v>58</x:v>
      </x:c>
      <x:c r="X518" s="7" t="s">
        <x:v>3012</x:v>
      </x:c>
      <x:c r="Y518" s="7" t="s">
        <x:v>1195</x:v>
      </x:c>
      <x:c r="Z518" s="7" t="s">
        <x:v>1952</x:v>
      </x:c>
      <x:c r="AA518" s="7" t="s">
        <x:v>58</x:v>
      </x:c>
      <x:c r="AB518" s="8" t="s">
        <x:v>58</x:v>
      </x:c>
      <x:c r="AC518" s="8" t="s">
        <x:v>58</x:v>
      </x:c>
      <x:c r="AD518" s="8" t="s">
        <x:v>58</x:v>
      </x:c>
      <x:c r="AE518" s="8" t="s">
        <x:v>58</x:v>
      </x:c>
      <x:c r="AF518" s="8" t="s">
        <x:v>58</x:v>
      </x:c>
      <x:c r="AG518" s="7" t="s">
        <x:v>58</x:v>
      </x:c>
    </x:row>
    <x:row r="519" ht="51.75" hidden="0" customHeight="1">
      <x:c r="A519" s="7" t="s">
        <x:v>3023</x:v>
      </x:c>
      <x:c r="B519" s="7" t="s">
        <x:v>330</x:v>
      </x:c>
      <x:c r="C519" s="7" t="s">
        <x:v>332</x:v>
      </x:c>
      <x:c r="D519" s="7" t="s">
        <x:v>1954</x:v>
      </x:c>
      <x:c r="E519" s="7" t="s">
        <x:v>1960</x:v>
      </x:c>
      <x:c r="F519" s="7" t="s">
        <x:v>1956</x:v>
      </x:c>
      <x:c r="G519" s="8" t="n">
        <x:v>80</x:v>
      </x:c>
      <x:c r="H519" s="8" t="s">
        <x:v>58</x:v>
      </x:c>
      <x:c r="I519" s="8" t="s">
        <x:v>58</x:v>
      </x:c>
      <x:c r="J519" s="7" t="s">
        <x:v>1919</x:v>
      </x:c>
      <x:c r="K519" s="8" t="n">
        <x:v>1</x:v>
      </x:c>
      <x:c r="L519" s="8" t="n">
        <x:f aca="0">IF(AND(ISNUMBER(G519),P519&lt;&gt;"Unresolved unit / layout"),G519*K519,"Not applicable")</x:f>
        <x:v>80</x:v>
      </x:c>
      <x:c r="M519" s="8" t="str">
        <x:f aca="0">IF(AND(ISNUMBER(H519),P519&lt;&gt;"Unresolved unit / layout"),H519*K519,"Not applicable")</x:f>
        <x:v>Not applicable</x:v>
      </x:c>
      <x:c r="N519" s="8" t="str">
        <x:f aca="0">IF(AND(ISNUMBER(I519),P519&lt;&gt;"Unresolved unit / layout"),I519*K519,"Not applicable")</x:f>
        <x:v>Not applicable</x:v>
      </x:c>
      <x:c r="O519" s="7" t="s">
        <x:v>1956</x:v>
      </x:c>
      <x:c r="P519" s="7" t="s">
        <x:v>1921</x:v>
      </x:c>
      <x:c r="Q519" s="7" t="s">
        <x:v>1930</x:v>
      </x:c>
      <x:c r="R519" s="7" t="s">
        <x:v>58</x:v>
      </x:c>
      <x:c r="S519" s="7" t="s">
        <x:v>53</x:v>
      </x:c>
      <x:c r="T519" s="7" t="s">
        <x:v>53</x:v>
      </x:c>
      <x:c r="U519" s="7" t="s">
        <x:v>53</x:v>
      </x:c>
      <x:c r="V519" s="7" t="s">
        <x:v>1957</x:v>
      </x:c>
      <x:c r="W519" s="7" t="s">
        <x:v>58</x:v>
      </x:c>
      <x:c r="X519" s="7" t="s">
        <x:v>3012</x:v>
      </x:c>
      <x:c r="Y519" s="7" t="s">
        <x:v>1195</x:v>
      </x:c>
      <x:c r="Z519" s="7" t="s">
        <x:v>1958</x:v>
      </x:c>
      <x:c r="AA519" s="7" t="s">
        <x:v>58</x:v>
      </x:c>
      <x:c r="AB519" s="8" t="s">
        <x:v>58</x:v>
      </x:c>
      <x:c r="AC519" s="8" t="s">
        <x:v>58</x:v>
      </x:c>
      <x:c r="AD519" s="8" t="s">
        <x:v>58</x:v>
      </x:c>
      <x:c r="AE519" s="8" t="s">
        <x:v>58</x:v>
      </x:c>
      <x:c r="AF519" s="8" t="s">
        <x:v>58</x:v>
      </x:c>
      <x:c r="AG519" s="7" t="s">
        <x:v>58</x:v>
      </x:c>
    </x:row>
    <x:row r="520" ht="51.75" hidden="0" customHeight="1">
      <x:c r="A520" s="7" t="s">
        <x:v>337</x:v>
      </x:c>
      <x:c r="B520" s="7" t="s">
        <x:v>330</x:v>
      </x:c>
      <x:c r="C520" s="7" t="s">
        <x:v>332</x:v>
      </x:c>
      <x:c r="D520" s="7" t="s">
        <x:v>1959</x:v>
      </x:c>
      <x:c r="E520" s="7" t="s">
        <x:v>2763</x:v>
      </x:c>
      <x:c r="F520" s="7" t="s">
        <x:v>1956</x:v>
      </x:c>
      <x:c r="G520" s="8" t="n">
        <x:v>75</x:v>
      </x:c>
      <x:c r="H520" s="8" t="s">
        <x:v>58</x:v>
      </x:c>
      <x:c r="I520" s="8" t="s">
        <x:v>58</x:v>
      </x:c>
      <x:c r="J520" s="7" t="s">
        <x:v>1919</x:v>
      </x:c>
      <x:c r="K520" s="8" t="n">
        <x:v>1</x:v>
      </x:c>
      <x:c r="L520" s="8" t="n">
        <x:f aca="0">IF(AND(ISNUMBER(G520),P520&lt;&gt;"Unresolved unit / layout"),G520*K520,"Not applicable")</x:f>
        <x:v>75</x:v>
      </x:c>
      <x:c r="M520" s="8" t="str">
        <x:f aca="0">IF(AND(ISNUMBER(H520),P520&lt;&gt;"Unresolved unit / layout"),H520*K520,"Not applicable")</x:f>
        <x:v>Not applicable</x:v>
      </x:c>
      <x:c r="N520" s="8" t="str">
        <x:f aca="0">IF(AND(ISNUMBER(I520),P520&lt;&gt;"Unresolved unit / layout"),I520*K520,"Not applicable")</x:f>
        <x:v>Not applicable</x:v>
      </x:c>
      <x:c r="O520" s="7" t="s">
        <x:v>1956</x:v>
      </x:c>
      <x:c r="P520" s="7" t="s">
        <x:v>1921</x:v>
      </x:c>
      <x:c r="Q520" s="7" t="s">
        <x:v>1930</x:v>
      </x:c>
      <x:c r="R520" s="7" t="s">
        <x:v>58</x:v>
      </x:c>
      <x:c r="S520" s="7" t="s">
        <x:v>53</x:v>
      </x:c>
      <x:c r="T520" s="7" t="s">
        <x:v>53</x:v>
      </x:c>
      <x:c r="U520" s="7" t="s">
        <x:v>53</x:v>
      </x:c>
      <x:c r="V520" s="7" t="s">
        <x:v>1961</x:v>
      </x:c>
      <x:c r="W520" s="7" t="s">
        <x:v>58</x:v>
      </x:c>
      <x:c r="X520" s="7" t="s">
        <x:v>3012</x:v>
      </x:c>
      <x:c r="Y520" s="7" t="s">
        <x:v>1195</x:v>
      </x:c>
      <x:c r="Z520" s="7" t="s">
        <x:v>1962</x:v>
      </x:c>
      <x:c r="AA520" s="7" t="s">
        <x:v>58</x:v>
      </x:c>
      <x:c r="AB520" s="8" t="s">
        <x:v>58</x:v>
      </x:c>
      <x:c r="AC520" s="8" t="s">
        <x:v>58</x:v>
      </x:c>
      <x:c r="AD520" s="8" t="s">
        <x:v>58</x:v>
      </x:c>
      <x:c r="AE520" s="8" t="s">
        <x:v>58</x:v>
      </x:c>
      <x:c r="AF520" s="8" t="s">
        <x:v>58</x:v>
      </x:c>
      <x:c r="AG520" s="7" t="s">
        <x:v>58</x:v>
      </x:c>
    </x:row>
    <x:row r="521" ht="66" hidden="0" customHeight="1">
      <x:c r="A521" s="7" t="s">
        <x:v>3024</x:v>
      </x:c>
      <x:c r="B521" s="7" t="s">
        <x:v>330</x:v>
      </x:c>
      <x:c r="C521" s="7" t="s">
        <x:v>1197</x:v>
      </x:c>
      <x:c r="D521" s="7" t="s">
        <x:v>1916</x:v>
      </x:c>
      <x:c r="E521" s="7" t="s">
        <x:v>3025</x:v>
      </x:c>
      <x:c r="F521" s="7" t="s">
        <x:v>1965</x:v>
      </x:c>
      <x:c r="G521" s="8" t="n">
        <x:v>1.24</x:v>
      </x:c>
      <x:c r="H521" s="8" t="s">
        <x:v>58</x:v>
      </x:c>
      <x:c r="I521" s="8" t="s">
        <x:v>58</x:v>
      </x:c>
      <x:c r="J521" s="7" t="s">
        <x:v>1919</x:v>
      </x:c>
      <x:c r="K521" s="8" t="n">
        <x:v>1000</x:v>
      </x:c>
      <x:c r="L521" s="8" t="n">
        <x:f aca="0">IF(AND(ISNUMBER(G521),P521&lt;&gt;"Unresolved unit / layout"),G521*K521,"Not applicable")</x:f>
        <x:v>1240</x:v>
      </x:c>
      <x:c r="M521" s="8" t="str">
        <x:f aca="0">IF(AND(ISNUMBER(H521),P521&lt;&gt;"Unresolved unit / layout"),H521*K521,"Not applicable")</x:f>
        <x:v>Not applicable</x:v>
      </x:c>
      <x:c r="N521" s="8" t="str">
        <x:f aca="0">IF(AND(ISNUMBER(I521),P521&lt;&gt;"Unresolved unit / layout"),I521*K521,"Not applicable")</x:f>
        <x:v>Not applicable</x:v>
      </x:c>
      <x:c r="O521" s="7" t="s">
        <x:v>1920</x:v>
      </x:c>
      <x:c r="P521" s="7" t="s">
        <x:v>1921</x:v>
      </x:c>
      <x:c r="Q521" s="7" t="s">
        <x:v>1922</x:v>
      </x:c>
      <x:c r="R521" s="7" t="s">
        <x:v>58</x:v>
      </x:c>
      <x:c r="S521" s="7" t="s">
        <x:v>53</x:v>
      </x:c>
      <x:c r="T521" s="7" t="s">
        <x:v>53</x:v>
      </x:c>
      <x:c r="U521" s="7" t="s">
        <x:v>53</x:v>
      </x:c>
      <x:c r="V521" s="7" t="s">
        <x:v>1966</x:v>
      </x:c>
      <x:c r="W521" s="7" t="s">
        <x:v>58</x:v>
      </x:c>
      <x:c r="X521" s="7" t="s">
        <x:v>3026</x:v>
      </x:c>
      <x:c r="Y521" s="7" t="s">
        <x:v>1199</x:v>
      </x:c>
      <x:c r="Z521" s="7" t="s">
        <x:v>1968</x:v>
      </x:c>
      <x:c r="AA521" s="7" t="s">
        <x:v>58</x:v>
      </x:c>
      <x:c r="AB521" s="8" t="s">
        <x:v>58</x:v>
      </x:c>
      <x:c r="AC521" s="8" t="s">
        <x:v>58</x:v>
      </x:c>
      <x:c r="AD521" s="8" t="s">
        <x:v>58</x:v>
      </x:c>
      <x:c r="AE521" s="8" t="s">
        <x:v>58</x:v>
      </x:c>
      <x:c r="AF521" s="8" t="s">
        <x:v>58</x:v>
      </x:c>
      <x:c r="AG521" s="7" t="s">
        <x:v>58</x:v>
      </x:c>
    </x:row>
    <x:row r="522" ht="66" hidden="0" customHeight="1">
      <x:c r="A522" s="7" t="s">
        <x:v>3027</x:v>
      </x:c>
      <x:c r="B522" s="7" t="s">
        <x:v>330</x:v>
      </x:c>
      <x:c r="C522" s="7" t="s">
        <x:v>1197</x:v>
      </x:c>
      <x:c r="D522" s="7" t="s">
        <x:v>1954</x:v>
      </x:c>
      <x:c r="E522" s="7" t="s">
        <x:v>3028</x:v>
      </x:c>
      <x:c r="F522" s="7" t="s">
        <x:v>1956</x:v>
      </x:c>
      <x:c r="G522" s="8" t="n">
        <x:v>77</x:v>
      </x:c>
      <x:c r="H522" s="8" t="s">
        <x:v>58</x:v>
      </x:c>
      <x:c r="I522" s="8" t="s">
        <x:v>58</x:v>
      </x:c>
      <x:c r="J522" s="7" t="s">
        <x:v>1919</x:v>
      </x:c>
      <x:c r="K522" s="8" t="n">
        <x:v>1</x:v>
      </x:c>
      <x:c r="L522" s="8" t="n">
        <x:f aca="0">IF(AND(ISNUMBER(G522),P522&lt;&gt;"Unresolved unit / layout"),G522*K522,"Not applicable")</x:f>
        <x:v>77</x:v>
      </x:c>
      <x:c r="M522" s="8" t="str">
        <x:f aca="0">IF(AND(ISNUMBER(H522),P522&lt;&gt;"Unresolved unit / layout"),H522*K522,"Not applicable")</x:f>
        <x:v>Not applicable</x:v>
      </x:c>
      <x:c r="N522" s="8" t="str">
        <x:f aca="0">IF(AND(ISNUMBER(I522),P522&lt;&gt;"Unresolved unit / layout"),I522*K522,"Not applicable")</x:f>
        <x:v>Not applicable</x:v>
      </x:c>
      <x:c r="O522" s="7" t="s">
        <x:v>1956</x:v>
      </x:c>
      <x:c r="P522" s="7" t="s">
        <x:v>1921</x:v>
      </x:c>
      <x:c r="Q522" s="7" t="s">
        <x:v>1930</x:v>
      </x:c>
      <x:c r="R522" s="7" t="s">
        <x:v>58</x:v>
      </x:c>
      <x:c r="S522" s="7" t="s">
        <x:v>53</x:v>
      </x:c>
      <x:c r="T522" s="7" t="s">
        <x:v>53</x:v>
      </x:c>
      <x:c r="U522" s="7" t="s">
        <x:v>53</x:v>
      </x:c>
      <x:c r="V522" s="7" t="s">
        <x:v>1971</x:v>
      </x:c>
      <x:c r="W522" s="7" t="s">
        <x:v>58</x:v>
      </x:c>
      <x:c r="X522" s="7" t="s">
        <x:v>3026</x:v>
      </x:c>
      <x:c r="Y522" s="7" t="s">
        <x:v>1199</x:v>
      </x:c>
      <x:c r="Z522" s="7" t="s">
        <x:v>1972</x:v>
      </x:c>
      <x:c r="AA522" s="7" t="s">
        <x:v>58</x:v>
      </x:c>
      <x:c r="AB522" s="8" t="s">
        <x:v>58</x:v>
      </x:c>
      <x:c r="AC522" s="8" t="s">
        <x:v>58</x:v>
      </x:c>
      <x:c r="AD522" s="8" t="s">
        <x:v>58</x:v>
      </x:c>
      <x:c r="AE522" s="8" t="s">
        <x:v>58</x:v>
      </x:c>
      <x:c r="AF522" s="8" t="s">
        <x:v>58</x:v>
      </x:c>
      <x:c r="AG522" s="7" t="s">
        <x:v>58</x:v>
      </x:c>
    </x:row>
    <x:row r="523" ht="66" hidden="0" customHeight="1">
      <x:c r="A523" s="7" t="s">
        <x:v>3029</x:v>
      </x:c>
      <x:c r="B523" s="7" t="s">
        <x:v>330</x:v>
      </x:c>
      <x:c r="C523" s="7" t="s">
        <x:v>1197</x:v>
      </x:c>
      <x:c r="D523" s="7" t="s">
        <x:v>1974</x:v>
      </x:c>
      <x:c r="E523" s="7" t="s">
        <x:v>1995</x:v>
      </x:c>
      <x:c r="F523" s="7" t="s">
        <x:v>1956</x:v>
      </x:c>
      <x:c r="G523" s="8" t="s">
        <x:v>53</x:v>
      </x:c>
      <x:c r="H523" s="8" t="s">
        <x:v>58</x:v>
      </x:c>
      <x:c r="I523" s="8" t="s">
        <x:v>58</x:v>
      </x:c>
      <x:c r="J523" s="7" t="s">
        <x:v>58</x:v>
      </x:c>
      <x:c r="K523" s="8" t="n">
        <x:v>1</x:v>
      </x:c>
      <x:c r="L523" s="8" t="str">
        <x:f aca="0">IF(AND(ISNUMBER(G523),P523&lt;&gt;"Unresolved unit / layout"),G523*K523,"Not published")</x:f>
        <x:v>Not published</x:v>
      </x:c>
      <x:c r="M523" s="8" t="str">
        <x:f aca="0">IF(AND(ISNUMBER(H523),P523&lt;&gt;"Unresolved unit / layout"),H523*K523,"Not applicable")</x:f>
        <x:v>Not applicable</x:v>
      </x:c>
      <x:c r="N523" s="8" t="str">
        <x:f aca="0">IF(AND(ISNUMBER(I523),P523&lt;&gt;"Unresolved unit / layout"),I523*K523,"Not applicable")</x:f>
        <x:v>Not applicable</x:v>
      </x:c>
      <x:c r="O523" s="7" t="s">
        <x:v>1956</x:v>
      </x:c>
      <x:c r="P523" s="7" t="s">
        <x:v>53</x:v>
      </x:c>
      <x:c r="Q523" s="7" t="s">
        <x:v>1930</x:v>
      </x:c>
      <x:c r="R523" s="7" t="s">
        <x:v>58</x:v>
      </x:c>
      <x:c r="S523" s="7" t="s">
        <x:v>53</x:v>
      </x:c>
      <x:c r="T523" s="7" t="s">
        <x:v>53</x:v>
      </x:c>
      <x:c r="U523" s="7" t="s">
        <x:v>53</x:v>
      </x:c>
      <x:c r="V523" s="7" t="s">
        <x:v>1971</x:v>
      </x:c>
      <x:c r="W523" s="7" t="s">
        <x:v>58</x:v>
      </x:c>
      <x:c r="X523" s="7" t="s">
        <x:v>3026</x:v>
      </x:c>
      <x:c r="Y523" s="7" t="s">
        <x:v>1199</x:v>
      </x:c>
      <x:c r="Z523" s="7" t="s">
        <x:v>1976</x:v>
      </x:c>
      <x:c r="AA523" s="7" t="s">
        <x:v>58</x:v>
      </x:c>
      <x:c r="AB523" s="8" t="s">
        <x:v>58</x:v>
      </x:c>
      <x:c r="AC523" s="8" t="s">
        <x:v>58</x:v>
      </x:c>
      <x:c r="AD523" s="8" t="s">
        <x:v>58</x:v>
      </x:c>
      <x:c r="AE523" s="8" t="s">
        <x:v>58</x:v>
      </x:c>
      <x:c r="AF523" s="8" t="s">
        <x:v>58</x:v>
      </x:c>
      <x:c r="AG523" s="7" t="s">
        <x:v>58</x:v>
      </x:c>
    </x:row>
    <x:row r="524" ht="66" hidden="0" customHeight="1">
      <x:c r="A524" s="7" t="s">
        <x:v>3030</x:v>
      </x:c>
      <x:c r="B524" s="7" t="s">
        <x:v>330</x:v>
      </x:c>
      <x:c r="C524" s="7" t="s">
        <x:v>1197</x:v>
      </x:c>
      <x:c r="D524" s="7" t="s">
        <x:v>1978</x:v>
      </x:c>
      <x:c r="E524" s="7" t="s">
        <x:v>1995</x:v>
      </x:c>
      <x:c r="F524" s="7" t="s">
        <x:v>1956</x:v>
      </x:c>
      <x:c r="G524" s="8" t="s">
        <x:v>53</x:v>
      </x:c>
      <x:c r="H524" s="8" t="s">
        <x:v>58</x:v>
      </x:c>
      <x:c r="I524" s="8" t="s">
        <x:v>58</x:v>
      </x:c>
      <x:c r="J524" s="7" t="s">
        <x:v>58</x:v>
      </x:c>
      <x:c r="K524" s="8" t="n">
        <x:v>1</x:v>
      </x:c>
      <x:c r="L524" s="8" t="str">
        <x:f aca="0">IF(AND(ISNUMBER(G524),P524&lt;&gt;"Unresolved unit / layout"),G524*K524,"Not published")</x:f>
        <x:v>Not published</x:v>
      </x:c>
      <x:c r="M524" s="8" t="str">
        <x:f aca="0">IF(AND(ISNUMBER(H524),P524&lt;&gt;"Unresolved unit / layout"),H524*K524,"Not applicable")</x:f>
        <x:v>Not applicable</x:v>
      </x:c>
      <x:c r="N524" s="8" t="str">
        <x:f aca="0">IF(AND(ISNUMBER(I524),P524&lt;&gt;"Unresolved unit / layout"),I524*K524,"Not applicable")</x:f>
        <x:v>Not applicable</x:v>
      </x:c>
      <x:c r="O524" s="7" t="s">
        <x:v>1956</x:v>
      </x:c>
      <x:c r="P524" s="7" t="s">
        <x:v>53</x:v>
      </x:c>
      <x:c r="Q524" s="7" t="s">
        <x:v>1930</x:v>
      </x:c>
      <x:c r="R524" s="7" t="s">
        <x:v>58</x:v>
      </x:c>
      <x:c r="S524" s="7" t="s">
        <x:v>53</x:v>
      </x:c>
      <x:c r="T524" s="7" t="s">
        <x:v>53</x:v>
      </x:c>
      <x:c r="U524" s="7" t="s">
        <x:v>53</x:v>
      </x:c>
      <x:c r="V524" s="7" t="s">
        <x:v>1971</x:v>
      </x:c>
      <x:c r="W524" s="7" t="s">
        <x:v>58</x:v>
      </x:c>
      <x:c r="X524" s="7" t="s">
        <x:v>3026</x:v>
      </x:c>
      <x:c r="Y524" s="7" t="s">
        <x:v>1199</x:v>
      </x:c>
      <x:c r="Z524" s="7" t="s">
        <x:v>1980</x:v>
      </x:c>
      <x:c r="AA524" s="7" t="s">
        <x:v>58</x:v>
      </x:c>
      <x:c r="AB524" s="8" t="s">
        <x:v>58</x:v>
      </x:c>
      <x:c r="AC524" s="8" t="s">
        <x:v>58</x:v>
      </x:c>
      <x:c r="AD524" s="8" t="s">
        <x:v>58</x:v>
      </x:c>
      <x:c r="AE524" s="8" t="s">
        <x:v>58</x:v>
      </x:c>
      <x:c r="AF524" s="8" t="s">
        <x:v>58</x:v>
      </x:c>
      <x:c r="AG524" s="7" t="s">
        <x:v>58</x:v>
      </x:c>
    </x:row>
    <x:row r="525" ht="66" hidden="0" customHeight="1">
      <x:c r="A525" s="7" t="s">
        <x:v>3031</x:v>
      </x:c>
      <x:c r="B525" s="7" t="s">
        <x:v>330</x:v>
      </x:c>
      <x:c r="C525" s="7" t="s">
        <x:v>1197</x:v>
      </x:c>
      <x:c r="D525" s="7" t="s">
        <x:v>1982</x:v>
      </x:c>
      <x:c r="E525" s="7" t="s">
        <x:v>3032</x:v>
      </x:c>
      <x:c r="F525" s="7" t="s">
        <x:v>1956</x:v>
      </x:c>
      <x:c r="G525" s="8" t="n">
        <x:v>86</x:v>
      </x:c>
      <x:c r="H525" s="8" t="s">
        <x:v>58</x:v>
      </x:c>
      <x:c r="I525" s="8" t="s">
        <x:v>58</x:v>
      </x:c>
      <x:c r="J525" s="7" t="s">
        <x:v>1919</x:v>
      </x:c>
      <x:c r="K525" s="8" t="n">
        <x:v>1</x:v>
      </x:c>
      <x:c r="L525" s="8" t="n">
        <x:f aca="0">IF(AND(ISNUMBER(G525),P525&lt;&gt;"Unresolved unit / layout"),G525*K525,"Not applicable")</x:f>
        <x:v>86</x:v>
      </x:c>
      <x:c r="M525" s="8" t="str">
        <x:f aca="0">IF(AND(ISNUMBER(H525),P525&lt;&gt;"Unresolved unit / layout"),H525*K525,"Not applicable")</x:f>
        <x:v>Not applicable</x:v>
      </x:c>
      <x:c r="N525" s="8" t="str">
        <x:f aca="0">IF(AND(ISNUMBER(I525),P525&lt;&gt;"Unresolved unit / layout"),I525*K525,"Not applicable")</x:f>
        <x:v>Not applicable</x:v>
      </x:c>
      <x:c r="O525" s="7" t="s">
        <x:v>1956</x:v>
      </x:c>
      <x:c r="P525" s="7" t="s">
        <x:v>1921</x:v>
      </x:c>
      <x:c r="Q525" s="7" t="s">
        <x:v>1930</x:v>
      </x:c>
      <x:c r="R525" s="7" t="s">
        <x:v>58</x:v>
      </x:c>
      <x:c r="S525" s="7" t="s">
        <x:v>53</x:v>
      </x:c>
      <x:c r="T525" s="7" t="s">
        <x:v>53</x:v>
      </x:c>
      <x:c r="U525" s="7" t="s">
        <x:v>53</x:v>
      </x:c>
      <x:c r="V525" s="7" t="s">
        <x:v>1984</x:v>
      </x:c>
      <x:c r="W525" s="7" t="s">
        <x:v>58</x:v>
      </x:c>
      <x:c r="X525" s="7" t="s">
        <x:v>3026</x:v>
      </x:c>
      <x:c r="Y525" s="7" t="s">
        <x:v>1199</x:v>
      </x:c>
      <x:c r="Z525" s="7" t="s">
        <x:v>1985</x:v>
      </x:c>
      <x:c r="AA525" s="7" t="s">
        <x:v>58</x:v>
      </x:c>
      <x:c r="AB525" s="8" t="s">
        <x:v>58</x:v>
      </x:c>
      <x:c r="AC525" s="8" t="s">
        <x:v>58</x:v>
      </x:c>
      <x:c r="AD525" s="8" t="s">
        <x:v>58</x:v>
      </x:c>
      <x:c r="AE525" s="8" t="s">
        <x:v>58</x:v>
      </x:c>
      <x:c r="AF525" s="8" t="s">
        <x:v>58</x:v>
      </x:c>
      <x:c r="AG525" s="7" t="s">
        <x:v>58</x:v>
      </x:c>
    </x:row>
    <x:row r="526" ht="66" hidden="0" customHeight="1">
      <x:c r="A526" s="7" t="s">
        <x:v>3033</x:v>
      </x:c>
      <x:c r="B526" s="7" t="s">
        <x:v>330</x:v>
      </x:c>
      <x:c r="C526" s="7" t="s">
        <x:v>1197</x:v>
      </x:c>
      <x:c r="D526" s="7" t="s">
        <x:v>1959</x:v>
      </x:c>
      <x:c r="E526" s="7" t="s">
        <x:v>3034</x:v>
      </x:c>
      <x:c r="F526" s="7" t="s">
        <x:v>1956</x:v>
      </x:c>
      <x:c r="G526" s="8" t="n">
        <x:v>72</x:v>
      </x:c>
      <x:c r="H526" s="8" t="s">
        <x:v>58</x:v>
      </x:c>
      <x:c r="I526" s="8" t="s">
        <x:v>58</x:v>
      </x:c>
      <x:c r="J526" s="7" t="s">
        <x:v>1919</x:v>
      </x:c>
      <x:c r="K526" s="8" t="n">
        <x:v>1</x:v>
      </x:c>
      <x:c r="L526" s="8" t="n">
        <x:f aca="0">IF(AND(ISNUMBER(G526),P526&lt;&gt;"Unresolved unit / layout"),G526*K526,"Not applicable")</x:f>
        <x:v>72</x:v>
      </x:c>
      <x:c r="M526" s="8" t="str">
        <x:f aca="0">IF(AND(ISNUMBER(H526),P526&lt;&gt;"Unresolved unit / layout"),H526*K526,"Not applicable")</x:f>
        <x:v>Not applicable</x:v>
      </x:c>
      <x:c r="N526" s="8" t="str">
        <x:f aca="0">IF(AND(ISNUMBER(I526),P526&lt;&gt;"Unresolved unit / layout"),I526*K526,"Not applicable")</x:f>
        <x:v>Not applicable</x:v>
      </x:c>
      <x:c r="O526" s="7" t="s">
        <x:v>1956</x:v>
      </x:c>
      <x:c r="P526" s="7" t="s">
        <x:v>1921</x:v>
      </x:c>
      <x:c r="Q526" s="7" t="s">
        <x:v>1930</x:v>
      </x:c>
      <x:c r="R526" s="7" t="s">
        <x:v>58</x:v>
      </x:c>
      <x:c r="S526" s="7" t="s">
        <x:v>53</x:v>
      </x:c>
      <x:c r="T526" s="7" t="s">
        <x:v>53</x:v>
      </x:c>
      <x:c r="U526" s="7" t="s">
        <x:v>53</x:v>
      </x:c>
      <x:c r="V526" s="7" t="s">
        <x:v>1988</x:v>
      </x:c>
      <x:c r="W526" s="7" t="s">
        <x:v>58</x:v>
      </x:c>
      <x:c r="X526" s="7" t="s">
        <x:v>3026</x:v>
      </x:c>
      <x:c r="Y526" s="7" t="s">
        <x:v>1199</x:v>
      </x:c>
      <x:c r="Z526" s="7" t="s">
        <x:v>1989</x:v>
      </x:c>
      <x:c r="AA526" s="7" t="s">
        <x:v>58</x:v>
      </x:c>
      <x:c r="AB526" s="8" t="s">
        <x:v>58</x:v>
      </x:c>
      <x:c r="AC526" s="8" t="s">
        <x:v>58</x:v>
      </x:c>
      <x:c r="AD526" s="8" t="s">
        <x:v>58</x:v>
      </x:c>
      <x:c r="AE526" s="8" t="s">
        <x:v>58</x:v>
      </x:c>
      <x:c r="AF526" s="8" t="s">
        <x:v>58</x:v>
      </x:c>
      <x:c r="AG526" s="7" t="s">
        <x:v>58</x:v>
      </x:c>
    </x:row>
    <x:row r="527" ht="66" hidden="0" customHeight="1">
      <x:c r="A527" s="7" t="s">
        <x:v>3035</x:v>
      </x:c>
      <x:c r="B527" s="7" t="s">
        <x:v>330</x:v>
      </x:c>
      <x:c r="C527" s="7" t="s">
        <x:v>1197</x:v>
      </x:c>
      <x:c r="D527" s="7" t="s">
        <x:v>1959</x:v>
      </x:c>
      <x:c r="E527" s="7" t="s">
        <x:v>3036</x:v>
      </x:c>
      <x:c r="F527" s="7" t="s">
        <x:v>1956</x:v>
      </x:c>
      <x:c r="G527" s="8" t="n">
        <x:v>76</x:v>
      </x:c>
      <x:c r="H527" s="8" t="s">
        <x:v>58</x:v>
      </x:c>
      <x:c r="I527" s="8" t="s">
        <x:v>58</x:v>
      </x:c>
      <x:c r="J527" s="7" t="s">
        <x:v>1919</x:v>
      </x:c>
      <x:c r="K527" s="8" t="n">
        <x:v>1</x:v>
      </x:c>
      <x:c r="L527" s="8" t="n">
        <x:f aca="0">IF(AND(ISNUMBER(G527),P527&lt;&gt;"Unresolved unit / layout"),G527*K527,"Not applicable")</x:f>
        <x:v>76</x:v>
      </x:c>
      <x:c r="M527" s="8" t="str">
        <x:f aca="0">IF(AND(ISNUMBER(H527),P527&lt;&gt;"Unresolved unit / layout"),H527*K527,"Not applicable")</x:f>
        <x:v>Not applicable</x:v>
      </x:c>
      <x:c r="N527" s="8" t="str">
        <x:f aca="0">IF(AND(ISNUMBER(I527),P527&lt;&gt;"Unresolved unit / layout"),I527*K527,"Not applicable")</x:f>
        <x:v>Not applicable</x:v>
      </x:c>
      <x:c r="O527" s="7" t="s">
        <x:v>1956</x:v>
      </x:c>
      <x:c r="P527" s="7" t="s">
        <x:v>1921</x:v>
      </x:c>
      <x:c r="Q527" s="7" t="s">
        <x:v>1930</x:v>
      </x:c>
      <x:c r="R527" s="7" t="s">
        <x:v>58</x:v>
      </x:c>
      <x:c r="S527" s="7" t="s">
        <x:v>53</x:v>
      </x:c>
      <x:c r="T527" s="7" t="s">
        <x:v>53</x:v>
      </x:c>
      <x:c r="U527" s="7" t="s">
        <x:v>53</x:v>
      </x:c>
      <x:c r="V527" s="7" t="s">
        <x:v>1992</x:v>
      </x:c>
      <x:c r="W527" s="7" t="s">
        <x:v>58</x:v>
      </x:c>
      <x:c r="X527" s="7" t="s">
        <x:v>3026</x:v>
      </x:c>
      <x:c r="Y527" s="7" t="s">
        <x:v>1199</x:v>
      </x:c>
      <x:c r="Z527" s="7" t="s">
        <x:v>1989</x:v>
      </x:c>
      <x:c r="AA527" s="7" t="s">
        <x:v>58</x:v>
      </x:c>
      <x:c r="AB527" s="8" t="s">
        <x:v>58</x:v>
      </x:c>
      <x:c r="AC527" s="8" t="s">
        <x:v>58</x:v>
      </x:c>
      <x:c r="AD527" s="8" t="s">
        <x:v>58</x:v>
      </x:c>
      <x:c r="AE527" s="8" t="s">
        <x:v>58</x:v>
      </x:c>
      <x:c r="AF527" s="8" t="s">
        <x:v>58</x:v>
      </x:c>
      <x:c r="AG527" s="7" t="s">
        <x:v>58</x:v>
      </x:c>
    </x:row>
    <x:row r="528" ht="66" hidden="0" customHeight="1">
      <x:c r="A528" s="7" t="s">
        <x:v>3037</x:v>
      </x:c>
      <x:c r="B528" s="7" t="s">
        <x:v>330</x:v>
      </x:c>
      <x:c r="C528" s="7" t="s">
        <x:v>1197</x:v>
      </x:c>
      <x:c r="D528" s="7" t="s">
        <x:v>1994</x:v>
      </x:c>
      <x:c r="E528" s="7" t="s">
        <x:v>1995</x:v>
      </x:c>
      <x:c r="F528" s="7" t="s">
        <x:v>53</x:v>
      </x:c>
      <x:c r="G528" s="8" t="s">
        <x:v>53</x:v>
      </x:c>
      <x:c r="H528" s="8" t="s">
        <x:v>58</x:v>
      </x:c>
      <x:c r="I528" s="8" t="s">
        <x:v>58</x:v>
      </x:c>
      <x:c r="J528" s="7" t="s">
        <x:v>58</x:v>
      </x:c>
      <x:c r="K528" s="8" t="n">
        <x:v>1</x:v>
      </x:c>
      <x:c r="L528" s="8" t="str">
        <x:f aca="0">IF(AND(ISNUMBER(G528),P528&lt;&gt;"Unresolved unit / layout"),G528*K528,"Not published")</x:f>
        <x:v>Not published</x:v>
      </x:c>
      <x:c r="M528" s="8" t="str">
        <x:f aca="0">IF(AND(ISNUMBER(H528),P528&lt;&gt;"Unresolved unit / layout"),H528*K528,"Not applicable")</x:f>
        <x:v>Not applicable</x:v>
      </x:c>
      <x:c r="N528" s="8" t="str">
        <x:f aca="0">IF(AND(ISNUMBER(I528),P528&lt;&gt;"Unresolved unit / layout"),I528*K528,"Not applicable")</x:f>
        <x:v>Not applicable</x:v>
      </x:c>
      <x:c r="O528" s="7" t="s">
        <x:v>53</x:v>
      </x:c>
      <x:c r="P528" s="7" t="s">
        <x:v>53</x:v>
      </x:c>
      <x:c r="Q528" s="7" t="s">
        <x:v>1930</x:v>
      </x:c>
      <x:c r="R528" s="7" t="s">
        <x:v>53</x:v>
      </x:c>
      <x:c r="S528" s="7" t="s">
        <x:v>53</x:v>
      </x:c>
      <x:c r="T528" s="7" t="s">
        <x:v>53</x:v>
      </x:c>
      <x:c r="U528" s="7" t="s">
        <x:v>53</x:v>
      </x:c>
      <x:c r="V528" s="7" t="s">
        <x:v>1995</x:v>
      </x:c>
      <x:c r="W528" s="7" t="s">
        <x:v>58</x:v>
      </x:c>
      <x:c r="X528" s="7" t="s">
        <x:v>3026</x:v>
      </x:c>
      <x:c r="Y528" s="7" t="s">
        <x:v>1199</x:v>
      </x:c>
      <x:c r="Z528" s="7" t="s">
        <x:v>1996</x:v>
      </x:c>
      <x:c r="AA528" s="7" t="s">
        <x:v>58</x:v>
      </x:c>
      <x:c r="AB528" s="8" t="s">
        <x:v>58</x:v>
      </x:c>
      <x:c r="AC528" s="8" t="s">
        <x:v>58</x:v>
      </x:c>
      <x:c r="AD528" s="8" t="s">
        <x:v>58</x:v>
      </x:c>
      <x:c r="AE528" s="8" t="s">
        <x:v>58</x:v>
      </x:c>
      <x:c r="AF528" s="8" t="s">
        <x:v>58</x:v>
      </x:c>
      <x:c r="AG528" s="7" t="s">
        <x:v>58</x:v>
      </x:c>
    </x:row>
    <x:row r="529" ht="66" hidden="0" customHeight="1">
      <x:c r="A529" s="7" t="s">
        <x:v>3038</x:v>
      </x:c>
      <x:c r="B529" s="7" t="s">
        <x:v>330</x:v>
      </x:c>
      <x:c r="C529" s="7" t="s">
        <x:v>1197</x:v>
      </x:c>
      <x:c r="D529" s="7" t="s">
        <x:v>1935</x:v>
      </x:c>
      <x:c r="E529" s="7" t="s">
        <x:v>3039</x:v>
      </x:c>
      <x:c r="F529" s="7" t="s">
        <x:v>1929</x:v>
      </x:c>
      <x:c r="G529" s="8" t="n">
        <x:v>1983</x:v>
      </x:c>
      <x:c r="H529" s="8" t="n">
        <x:v>66</x:v>
      </x:c>
      <x:c r="I529" s="8" t="s">
        <x:v>58</x:v>
      </x:c>
      <x:c r="J529" s="7" t="s">
        <x:v>1919</x:v>
      </x:c>
      <x:c r="K529" s="8" t="n">
        <x:v>0.001</x:v>
      </x:c>
      <x:c r="L529" s="8" t="n">
        <x:f aca="0">IF(AND(ISNUMBER(G529),P529&lt;&gt;"Unresolved unit / layout"),G529*K529,"Not applicable")</x:f>
        <x:v>1.983</x:v>
      </x:c>
      <x:c r="M529" s="8" t="n">
        <x:f aca="0">IF(AND(ISNUMBER(H529),P529&lt;&gt;"Unresolved unit / layout"),H529*K529,"Not applicable")</x:f>
        <x:v>0.066</x:v>
      </x:c>
      <x:c r="N529" s="8" t="str">
        <x:f aca="0">IF(AND(ISNUMBER(I529),P529&lt;&gt;"Unresolved unit / layout"),I529*K529,"Not applicable")</x:f>
        <x:v>Not applicable</x:v>
      </x:c>
      <x:c r="O529" s="7" t="s">
        <x:v>1937</x:v>
      </x:c>
      <x:c r="P529" s="7" t="s">
        <x:v>1921</x:v>
      </x:c>
      <x:c r="Q529" s="7" t="s">
        <x:v>1930</x:v>
      </x:c>
      <x:c r="R529" s="7" t="s">
        <x:v>1931</x:v>
      </x:c>
      <x:c r="S529" s="7" t="s">
        <x:v>53</x:v>
      </x:c>
      <x:c r="T529" s="7" t="s">
        <x:v>53</x:v>
      </x:c>
      <x:c r="U529" s="7" t="s">
        <x:v>53</x:v>
      </x:c>
      <x:c r="V529" s="7" t="s">
        <x:v>1999</x:v>
      </x:c>
      <x:c r="W529" s="7" t="s">
        <x:v>58</x:v>
      </x:c>
      <x:c r="X529" s="7" t="s">
        <x:v>3026</x:v>
      </x:c>
      <x:c r="Y529" s="7" t="s">
        <x:v>1199</x:v>
      </x:c>
      <x:c r="Z529" s="7" t="s">
        <x:v>2040</x:v>
      </x:c>
      <x:c r="AA529" s="7" t="s">
        <x:v>58</x:v>
      </x:c>
      <x:c r="AB529" s="8" t="s">
        <x:v>58</x:v>
      </x:c>
      <x:c r="AC529" s="8" t="s">
        <x:v>58</x:v>
      </x:c>
      <x:c r="AD529" s="8" t="s">
        <x:v>58</x:v>
      </x:c>
      <x:c r="AE529" s="8" t="s">
        <x:v>58</x:v>
      </x:c>
      <x:c r="AF529" s="8" t="s">
        <x:v>58</x:v>
      </x:c>
      <x:c r="AG529" s="7" t="s">
        <x:v>58</x:v>
      </x:c>
    </x:row>
    <x:row r="530" ht="66" hidden="0" customHeight="1">
      <x:c r="A530" s="7" t="s">
        <x:v>3040</x:v>
      </x:c>
      <x:c r="B530" s="7" t="s">
        <x:v>330</x:v>
      </x:c>
      <x:c r="C530" s="7" t="s">
        <x:v>1197</x:v>
      </x:c>
      <x:c r="D530" s="7" t="s">
        <x:v>1935</x:v>
      </x:c>
      <x:c r="E530" s="7" t="s">
        <x:v>3041</x:v>
      </x:c>
      <x:c r="F530" s="7" t="s">
        <x:v>1929</x:v>
      </x:c>
      <x:c r="G530" s="8" t="n">
        <x:v>1626</x:v>
      </x:c>
      <x:c r="H530" s="8" t="n">
        <x:v>34</x:v>
      </x:c>
      <x:c r="I530" s="8" t="s">
        <x:v>58</x:v>
      </x:c>
      <x:c r="J530" s="7" t="s">
        <x:v>1919</x:v>
      </x:c>
      <x:c r="K530" s="8" t="n">
        <x:v>0.001</x:v>
      </x:c>
      <x:c r="L530" s="8" t="n">
        <x:f aca="0">IF(AND(ISNUMBER(G530),P530&lt;&gt;"Unresolved unit / layout"),G530*K530,"Not applicable")</x:f>
        <x:v>1.6260000000000001</x:v>
      </x:c>
      <x:c r="M530" s="8" t="n">
        <x:f aca="0">IF(AND(ISNUMBER(H530),P530&lt;&gt;"Unresolved unit / layout"),H530*K530,"Not applicable")</x:f>
        <x:v>0.034</x:v>
      </x:c>
      <x:c r="N530" s="8" t="str">
        <x:f aca="0">IF(AND(ISNUMBER(I530),P530&lt;&gt;"Unresolved unit / layout"),I530*K530,"Not applicable")</x:f>
        <x:v>Not applicable</x:v>
      </x:c>
      <x:c r="O530" s="7" t="s">
        <x:v>1937</x:v>
      </x:c>
      <x:c r="P530" s="7" t="s">
        <x:v>1921</x:v>
      </x:c>
      <x:c r="Q530" s="7" t="s">
        <x:v>1930</x:v>
      </x:c>
      <x:c r="R530" s="7" t="s">
        <x:v>2003</x:v>
      </x:c>
      <x:c r="S530" s="7" t="s">
        <x:v>53</x:v>
      </x:c>
      <x:c r="T530" s="7" t="s">
        <x:v>53</x:v>
      </x:c>
      <x:c r="U530" s="7" t="s">
        <x:v>53</x:v>
      </x:c>
      <x:c r="V530" s="7" t="s">
        <x:v>1999</x:v>
      </x:c>
      <x:c r="W530" s="7" t="s">
        <x:v>58</x:v>
      </x:c>
      <x:c r="X530" s="7" t="s">
        <x:v>3026</x:v>
      </x:c>
      <x:c r="Y530" s="7" t="s">
        <x:v>1199</x:v>
      </x:c>
      <x:c r="Z530" s="7" t="s">
        <x:v>2004</x:v>
      </x:c>
      <x:c r="AA530" s="7" t="s">
        <x:v>58</x:v>
      </x:c>
      <x:c r="AB530" s="8" t="s">
        <x:v>58</x:v>
      </x:c>
      <x:c r="AC530" s="8" t="s">
        <x:v>58</x:v>
      </x:c>
      <x:c r="AD530" s="8" t="s">
        <x:v>58</x:v>
      </x:c>
      <x:c r="AE530" s="8" t="s">
        <x:v>58</x:v>
      </x:c>
      <x:c r="AF530" s="8" t="s">
        <x:v>58</x:v>
      </x:c>
      <x:c r="AG530" s="7" t="s">
        <x:v>58</x:v>
      </x:c>
    </x:row>
    <x:row r="531" ht="66" hidden="0" customHeight="1">
      <x:c r="A531" s="7" t="s">
        <x:v>3042</x:v>
      </x:c>
      <x:c r="B531" s="7" t="s">
        <x:v>330</x:v>
      </x:c>
      <x:c r="C531" s="7" t="s">
        <x:v>1197</x:v>
      </x:c>
      <x:c r="D531" s="7" t="s">
        <x:v>2006</x:v>
      </x:c>
      <x:c r="E531" s="7" t="s">
        <x:v>3043</x:v>
      </x:c>
      <x:c r="F531" s="7" t="s">
        <x:v>1929</x:v>
      </x:c>
      <x:c r="G531" s="8" t="n">
        <x:v>36.1</x:v>
      </x:c>
      <x:c r="H531" s="8" t="n">
        <x:v>0.7</x:v>
      </x:c>
      <x:c r="I531" s="8" t="s">
        <x:v>58</x:v>
      </x:c>
      <x:c r="J531" s="7" t="s">
        <x:v>1919</x:v>
      </x:c>
      <x:c r="K531" s="8" t="n">
        <x:v>1</x:v>
      </x:c>
      <x:c r="L531" s="8" t="n">
        <x:f aca="0">IF(AND(ISNUMBER(G531),P531&lt;&gt;"Unresolved unit / layout"),G531*K531,"Not applicable")</x:f>
        <x:v>36.1</x:v>
      </x:c>
      <x:c r="M531" s="8" t="n">
        <x:f aca="0">IF(AND(ISNUMBER(H531),P531&lt;&gt;"Unresolved unit / layout"),H531*K531,"Not applicable")</x:f>
        <x:v>0.7</x:v>
      </x:c>
      <x:c r="N531" s="8" t="str">
        <x:f aca="0">IF(AND(ISNUMBER(I531),P531&lt;&gt;"Unresolved unit / layout"),I531*K531,"Not applicable")</x:f>
        <x:v>Not applicable</x:v>
      </x:c>
      <x:c r="O531" s="7" t="s">
        <x:v>1929</x:v>
      </x:c>
      <x:c r="P531" s="7" t="s">
        <x:v>1921</x:v>
      </x:c>
      <x:c r="Q531" s="7" t="s">
        <x:v>1930</x:v>
      </x:c>
      <x:c r="R531" s="7" t="s">
        <x:v>1931</x:v>
      </x:c>
      <x:c r="S531" s="7" t="s">
        <x:v>53</x:v>
      </x:c>
      <x:c r="T531" s="7" t="s">
        <x:v>53</x:v>
      </x:c>
      <x:c r="U531" s="7" t="s">
        <x:v>53</x:v>
      </x:c>
      <x:c r="V531" s="7" t="s">
        <x:v>1999</x:v>
      </x:c>
      <x:c r="W531" s="7" t="s">
        <x:v>58</x:v>
      </x:c>
      <x:c r="X531" s="7" t="s">
        <x:v>3026</x:v>
      </x:c>
      <x:c r="Y531" s="7" t="s">
        <x:v>1199</x:v>
      </x:c>
      <x:c r="Z531" s="7" t="s">
        <x:v>2008</x:v>
      </x:c>
      <x:c r="AA531" s="7" t="s">
        <x:v>58</x:v>
      </x:c>
      <x:c r="AB531" s="8" t="s">
        <x:v>58</x:v>
      </x:c>
      <x:c r="AC531" s="8" t="s">
        <x:v>58</x:v>
      </x:c>
      <x:c r="AD531" s="8" t="s">
        <x:v>58</x:v>
      </x:c>
      <x:c r="AE531" s="8" t="s">
        <x:v>58</x:v>
      </x:c>
      <x:c r="AF531" s="8" t="s">
        <x:v>58</x:v>
      </x:c>
      <x:c r="AG531" s="7" t="s">
        <x:v>58</x:v>
      </x:c>
    </x:row>
    <x:row r="532" ht="66" hidden="0" customHeight="1">
      <x:c r="A532" s="7" t="s">
        <x:v>3044</x:v>
      </x:c>
      <x:c r="B532" s="7" t="s">
        <x:v>330</x:v>
      </x:c>
      <x:c r="C532" s="7" t="s">
        <x:v>1197</x:v>
      </x:c>
      <x:c r="D532" s="7" t="s">
        <x:v>2006</x:v>
      </x:c>
      <x:c r="E532" s="7" t="s">
        <x:v>3045</x:v>
      </x:c>
      <x:c r="F532" s="7" t="s">
        <x:v>1929</x:v>
      </x:c>
      <x:c r="G532" s="8" t="n">
        <x:v>20.7</x:v>
      </x:c>
      <x:c r="H532" s="8" t="n">
        <x:v>0.6</x:v>
      </x:c>
      <x:c r="I532" s="8" t="s">
        <x:v>58</x:v>
      </x:c>
      <x:c r="J532" s="7" t="s">
        <x:v>1919</x:v>
      </x:c>
      <x:c r="K532" s="8" t="n">
        <x:v>1</x:v>
      </x:c>
      <x:c r="L532" s="8" t="n">
        <x:f aca="0">IF(AND(ISNUMBER(G532),P532&lt;&gt;"Unresolved unit / layout"),G532*K532,"Not applicable")</x:f>
        <x:v>20.7</x:v>
      </x:c>
      <x:c r="M532" s="8" t="n">
        <x:f aca="0">IF(AND(ISNUMBER(H532),P532&lt;&gt;"Unresolved unit / layout"),H532*K532,"Not applicable")</x:f>
        <x:v>0.6</x:v>
      </x:c>
      <x:c r="N532" s="8" t="str">
        <x:f aca="0">IF(AND(ISNUMBER(I532),P532&lt;&gt;"Unresolved unit / layout"),I532*K532,"Not applicable")</x:f>
        <x:v>Not applicable</x:v>
      </x:c>
      <x:c r="O532" s="7" t="s">
        <x:v>1929</x:v>
      </x:c>
      <x:c r="P532" s="7" t="s">
        <x:v>1921</x:v>
      </x:c>
      <x:c r="Q532" s="7" t="s">
        <x:v>1930</x:v>
      </x:c>
      <x:c r="R532" s="7" t="s">
        <x:v>2003</x:v>
      </x:c>
      <x:c r="S532" s="7" t="s">
        <x:v>53</x:v>
      </x:c>
      <x:c r="T532" s="7" t="s">
        <x:v>53</x:v>
      </x:c>
      <x:c r="U532" s="7" t="s">
        <x:v>53</x:v>
      </x:c>
      <x:c r="V532" s="7" t="s">
        <x:v>1999</x:v>
      </x:c>
      <x:c r="W532" s="7" t="s">
        <x:v>58</x:v>
      </x:c>
      <x:c r="X532" s="7" t="s">
        <x:v>3026</x:v>
      </x:c>
      <x:c r="Y532" s="7" t="s">
        <x:v>1199</x:v>
      </x:c>
      <x:c r="Z532" s="7" t="s">
        <x:v>2011</x:v>
      </x:c>
      <x:c r="AA532" s="7" t="s">
        <x:v>58</x:v>
      </x:c>
      <x:c r="AB532" s="8" t="s">
        <x:v>58</x:v>
      </x:c>
      <x:c r="AC532" s="8" t="s">
        <x:v>58</x:v>
      </x:c>
      <x:c r="AD532" s="8" t="s">
        <x:v>58</x:v>
      </x:c>
      <x:c r="AE532" s="8" t="s">
        <x:v>58</x:v>
      </x:c>
      <x:c r="AF532" s="8" t="s">
        <x:v>58</x:v>
      </x:c>
      <x:c r="AG532" s="7" t="s">
        <x:v>58</x:v>
      </x:c>
    </x:row>
    <x:row r="533" ht="66" hidden="0" customHeight="1">
      <x:c r="A533" s="7" t="s">
        <x:v>3046</x:v>
      </x:c>
      <x:c r="B533" s="7" t="s">
        <x:v>330</x:v>
      </x:c>
      <x:c r="C533" s="7" t="s">
        <x:v>1197</x:v>
      </x:c>
      <x:c r="D533" s="7" t="s">
        <x:v>1940</x:v>
      </x:c>
      <x:c r="E533" s="7" t="s">
        <x:v>3047</x:v>
      </x:c>
      <x:c r="F533" s="7" t="s">
        <x:v>1942</x:v>
      </x:c>
      <x:c r="G533" s="8" t="n">
        <x:v>7.3</x:v>
      </x:c>
      <x:c r="H533" s="8" t="n">
        <x:v>0.5</x:v>
      </x:c>
      <x:c r="I533" s="8" t="s">
        <x:v>58</x:v>
      </x:c>
      <x:c r="J533" s="7" t="s">
        <x:v>1919</x:v>
      </x:c>
      <x:c r="K533" s="8" t="n">
        <x:v>1</x:v>
      </x:c>
      <x:c r="L533" s="8" t="n">
        <x:f aca="0">IF(AND(ISNUMBER(G533),P533&lt;&gt;"Unresolved unit / layout"),G533*K533,"Not applicable")</x:f>
        <x:v>7.3</x:v>
      </x:c>
      <x:c r="M533" s="8" t="n">
        <x:f aca="0">IF(AND(ISNUMBER(H533),P533&lt;&gt;"Unresolved unit / layout"),H533*K533,"Not applicable")</x:f>
        <x:v>0.5</x:v>
      </x:c>
      <x:c r="N533" s="8" t="str">
        <x:f aca="0">IF(AND(ISNUMBER(I533),P533&lt;&gt;"Unresolved unit / layout"),I533*K533,"Not applicable")</x:f>
        <x:v>Not applicable</x:v>
      </x:c>
      <x:c r="O533" s="7" t="s">
        <x:v>1942</x:v>
      </x:c>
      <x:c r="P533" s="7" t="s">
        <x:v>1921</x:v>
      </x:c>
      <x:c r="Q533" s="7" t="s">
        <x:v>1930</x:v>
      </x:c>
      <x:c r="R533" s="7" t="s">
        <x:v>1931</x:v>
      </x:c>
      <x:c r="S533" s="7" t="s">
        <x:v>53</x:v>
      </x:c>
      <x:c r="T533" s="7" t="s">
        <x:v>53</x:v>
      </x:c>
      <x:c r="U533" s="7" t="s">
        <x:v>53</x:v>
      </x:c>
      <x:c r="V533" s="7" t="s">
        <x:v>1999</x:v>
      </x:c>
      <x:c r="W533" s="7" t="s">
        <x:v>58</x:v>
      </x:c>
      <x:c r="X533" s="7" t="s">
        <x:v>3026</x:v>
      </x:c>
      <x:c r="Y533" s="7" t="s">
        <x:v>1199</x:v>
      </x:c>
      <x:c r="Z533" s="7" t="s">
        <x:v>2014</x:v>
      </x:c>
      <x:c r="AA533" s="7" t="s">
        <x:v>58</x:v>
      </x:c>
      <x:c r="AB533" s="8" t="s">
        <x:v>58</x:v>
      </x:c>
      <x:c r="AC533" s="8" t="s">
        <x:v>58</x:v>
      </x:c>
      <x:c r="AD533" s="8" t="s">
        <x:v>58</x:v>
      </x:c>
      <x:c r="AE533" s="8" t="s">
        <x:v>58</x:v>
      </x:c>
      <x:c r="AF533" s="8" t="s">
        <x:v>58</x:v>
      </x:c>
      <x:c r="AG533" s="7" t="s">
        <x:v>58</x:v>
      </x:c>
    </x:row>
    <x:row r="534" ht="66" hidden="0" customHeight="1">
      <x:c r="A534" s="7" t="s">
        <x:v>3048</x:v>
      </x:c>
      <x:c r="B534" s="7" t="s">
        <x:v>330</x:v>
      </x:c>
      <x:c r="C534" s="7" t="s">
        <x:v>1197</x:v>
      </x:c>
      <x:c r="D534" s="7" t="s">
        <x:v>1940</x:v>
      </x:c>
      <x:c r="E534" s="7" t="s">
        <x:v>3049</x:v>
      </x:c>
      <x:c r="F534" s="7" t="s">
        <x:v>1942</x:v>
      </x:c>
      <x:c r="G534" s="8" t="n">
        <x:v>1.8</x:v>
      </x:c>
      <x:c r="H534" s="8" t="n">
        <x:v>0.1</x:v>
      </x:c>
      <x:c r="I534" s="8" t="s">
        <x:v>58</x:v>
      </x:c>
      <x:c r="J534" s="7" t="s">
        <x:v>1919</x:v>
      </x:c>
      <x:c r="K534" s="8" t="n">
        <x:v>1</x:v>
      </x:c>
      <x:c r="L534" s="8" t="n">
        <x:f aca="0">IF(AND(ISNUMBER(G534),P534&lt;&gt;"Unresolved unit / layout"),G534*K534,"Not applicable")</x:f>
        <x:v>1.8</x:v>
      </x:c>
      <x:c r="M534" s="8" t="n">
        <x:f aca="0">IF(AND(ISNUMBER(H534),P534&lt;&gt;"Unresolved unit / layout"),H534*K534,"Not applicable")</x:f>
        <x:v>0.1</x:v>
      </x:c>
      <x:c r="N534" s="8" t="str">
        <x:f aca="0">IF(AND(ISNUMBER(I534),P534&lt;&gt;"Unresolved unit / layout"),I534*K534,"Not applicable")</x:f>
        <x:v>Not applicable</x:v>
      </x:c>
      <x:c r="O534" s="7" t="s">
        <x:v>1942</x:v>
      </x:c>
      <x:c r="P534" s="7" t="s">
        <x:v>1921</x:v>
      </x:c>
      <x:c r="Q534" s="7" t="s">
        <x:v>1930</x:v>
      </x:c>
      <x:c r="R534" s="7" t="s">
        <x:v>2003</x:v>
      </x:c>
      <x:c r="S534" s="7" t="s">
        <x:v>53</x:v>
      </x:c>
      <x:c r="T534" s="7" t="s">
        <x:v>53</x:v>
      </x:c>
      <x:c r="U534" s="7" t="s">
        <x:v>53</x:v>
      </x:c>
      <x:c r="V534" s="7" t="s">
        <x:v>1999</x:v>
      </x:c>
      <x:c r="W534" s="7" t="s">
        <x:v>58</x:v>
      </x:c>
      <x:c r="X534" s="7" t="s">
        <x:v>3026</x:v>
      </x:c>
      <x:c r="Y534" s="7" t="s">
        <x:v>1199</x:v>
      </x:c>
      <x:c r="Z534" s="7" t="s">
        <x:v>2017</x:v>
      </x:c>
      <x:c r="AA534" s="7" t="s">
        <x:v>58</x:v>
      </x:c>
      <x:c r="AB534" s="8" t="s">
        <x:v>58</x:v>
      </x:c>
      <x:c r="AC534" s="8" t="s">
        <x:v>58</x:v>
      </x:c>
      <x:c r="AD534" s="8" t="s">
        <x:v>58</x:v>
      </x:c>
      <x:c r="AE534" s="8" t="s">
        <x:v>58</x:v>
      </x:c>
      <x:c r="AF534" s="8" t="s">
        <x:v>58</x:v>
      </x:c>
      <x:c r="AG534" s="7" t="s">
        <x:v>58</x:v>
      </x:c>
    </x:row>
    <x:row r="535" ht="66" hidden="0" customHeight="1">
      <x:c r="A535" s="7" t="s">
        <x:v>3050</x:v>
      </x:c>
      <x:c r="B535" s="7" t="s">
        <x:v>330</x:v>
      </x:c>
      <x:c r="C535" s="7" t="s">
        <x:v>1197</x:v>
      </x:c>
      <x:c r="D535" s="7" t="s">
        <x:v>1950</x:v>
      </x:c>
      <x:c r="E535" s="7" t="s">
        <x:v>3051</x:v>
      </x:c>
      <x:c r="F535" s="7" t="s">
        <x:v>1929</x:v>
      </x:c>
      <x:c r="G535" s="8" t="n">
        <x:v>1658</x:v>
      </x:c>
      <x:c r="H535" s="8" t="n">
        <x:v>164</x:v>
      </x:c>
      <x:c r="I535" s="8" t="s">
        <x:v>58</x:v>
      </x:c>
      <x:c r="J535" s="7" t="s">
        <x:v>1919</x:v>
      </x:c>
      <x:c r="K535" s="8" t="n">
        <x:v>0.001</x:v>
      </x:c>
      <x:c r="L535" s="8" t="n">
        <x:f aca="0">IF(AND(ISNUMBER(G535),P535&lt;&gt;"Unresolved unit / layout"),G535*K535,"Not applicable")</x:f>
        <x:v>1.6580000000000001</x:v>
      </x:c>
      <x:c r="M535" s="8" t="n">
        <x:f aca="0">IF(AND(ISNUMBER(H535),P535&lt;&gt;"Unresolved unit / layout"),H535*K535,"Not applicable")</x:f>
        <x:v>0.164</x:v>
      </x:c>
      <x:c r="N535" s="8" t="str">
        <x:f aca="0">IF(AND(ISNUMBER(I535),P535&lt;&gt;"Unresolved unit / layout"),I535*K535,"Not applicable")</x:f>
        <x:v>Not applicable</x:v>
      </x:c>
      <x:c r="O535" s="7" t="s">
        <x:v>1937</x:v>
      </x:c>
      <x:c r="P535" s="7" t="s">
        <x:v>1921</x:v>
      </x:c>
      <x:c r="Q535" s="7" t="s">
        <x:v>1930</x:v>
      </x:c>
      <x:c r="R535" s="7" t="s">
        <x:v>1931</x:v>
      </x:c>
      <x:c r="S535" s="7" t="s">
        <x:v>53</x:v>
      </x:c>
      <x:c r="T535" s="7" t="s">
        <x:v>53</x:v>
      </x:c>
      <x:c r="U535" s="7" t="s">
        <x:v>53</x:v>
      </x:c>
      <x:c r="V535" s="7" t="s">
        <x:v>2020</x:v>
      </x:c>
      <x:c r="W535" s="7" t="s">
        <x:v>58</x:v>
      </x:c>
      <x:c r="X535" s="7" t="s">
        <x:v>3026</x:v>
      </x:c>
      <x:c r="Y535" s="7" t="s">
        <x:v>1199</x:v>
      </x:c>
      <x:c r="Z535" s="7" t="s">
        <x:v>2021</x:v>
      </x:c>
      <x:c r="AA535" s="7" t="s">
        <x:v>58</x:v>
      </x:c>
      <x:c r="AB535" s="8" t="s">
        <x:v>58</x:v>
      </x:c>
      <x:c r="AC535" s="8" t="s">
        <x:v>58</x:v>
      </x:c>
      <x:c r="AD535" s="8" t="s">
        <x:v>58</x:v>
      </x:c>
      <x:c r="AE535" s="8" t="s">
        <x:v>58</x:v>
      </x:c>
      <x:c r="AF535" s="8" t="s">
        <x:v>58</x:v>
      </x:c>
      <x:c r="AG535" s="7" t="s">
        <x:v>58</x:v>
      </x:c>
    </x:row>
    <x:row r="536" ht="66" hidden="0" customHeight="1">
      <x:c r="A536" s="7" t="s">
        <x:v>3052</x:v>
      </x:c>
      <x:c r="B536" s="7" t="s">
        <x:v>330</x:v>
      </x:c>
      <x:c r="C536" s="7" t="s">
        <x:v>1197</x:v>
      </x:c>
      <x:c r="D536" s="7" t="s">
        <x:v>1945</x:v>
      </x:c>
      <x:c r="E536" s="7" t="s">
        <x:v>3053</x:v>
      </x:c>
      <x:c r="F536" s="7" t="s">
        <x:v>1929</x:v>
      </x:c>
      <x:c r="G536" s="8" t="n">
        <x:v>54</x:v>
      </x:c>
      <x:c r="H536" s="8" t="n">
        <x:v>3</x:v>
      </x:c>
      <x:c r="I536" s="8" t="s">
        <x:v>58</x:v>
      </x:c>
      <x:c r="J536" s="7" t="s">
        <x:v>1919</x:v>
      </x:c>
      <x:c r="K536" s="8" t="n">
        <x:v>1</x:v>
      </x:c>
      <x:c r="L536" s="8" t="n">
        <x:f aca="0">IF(AND(ISNUMBER(G536),P536&lt;&gt;"Unresolved unit / layout"),G536*K536,"Not applicable")</x:f>
        <x:v>54</x:v>
      </x:c>
      <x:c r="M536" s="8" t="n">
        <x:f aca="0">IF(AND(ISNUMBER(H536),P536&lt;&gt;"Unresolved unit / layout"),H536*K536,"Not applicable")</x:f>
        <x:v>3</x:v>
      </x:c>
      <x:c r="N536" s="8" t="str">
        <x:f aca="0">IF(AND(ISNUMBER(I536),P536&lt;&gt;"Unresolved unit / layout"),I536*K536,"Not applicable")</x:f>
        <x:v>Not applicable</x:v>
      </x:c>
      <x:c r="O536" s="7" t="s">
        <x:v>1929</x:v>
      </x:c>
      <x:c r="P536" s="7" t="s">
        <x:v>1921</x:v>
      </x:c>
      <x:c r="Q536" s="7" t="s">
        <x:v>1930</x:v>
      </x:c>
      <x:c r="R536" s="7" t="s">
        <x:v>1931</x:v>
      </x:c>
      <x:c r="S536" s="7" t="s">
        <x:v>53</x:v>
      </x:c>
      <x:c r="T536" s="7" t="s">
        <x:v>53</x:v>
      </x:c>
      <x:c r="U536" s="7" t="s">
        <x:v>53</x:v>
      </x:c>
      <x:c r="V536" s="7" t="s">
        <x:v>2020</x:v>
      </x:c>
      <x:c r="W536" s="7" t="s">
        <x:v>58</x:v>
      </x:c>
      <x:c r="X536" s="7" t="s">
        <x:v>3026</x:v>
      </x:c>
      <x:c r="Y536" s="7" t="s">
        <x:v>1199</x:v>
      </x:c>
      <x:c r="Z536" s="7" t="s">
        <x:v>2026</x:v>
      </x:c>
      <x:c r="AA536" s="7" t="s">
        <x:v>58</x:v>
      </x:c>
      <x:c r="AB536" s="8" t="s">
        <x:v>58</x:v>
      </x:c>
      <x:c r="AC536" s="8" t="s">
        <x:v>58</x:v>
      </x:c>
      <x:c r="AD536" s="8" t="s">
        <x:v>58</x:v>
      </x:c>
      <x:c r="AE536" s="8" t="s">
        <x:v>58</x:v>
      </x:c>
      <x:c r="AF536" s="8" t="s">
        <x:v>58</x:v>
      </x:c>
      <x:c r="AG536" s="7" t="s">
        <x:v>58</x:v>
      </x:c>
    </x:row>
    <x:row r="537" ht="66" hidden="0" customHeight="1">
      <x:c r="A537" s="7" t="s">
        <x:v>3054</x:v>
      </x:c>
      <x:c r="B537" s="7" t="s">
        <x:v>330</x:v>
      </x:c>
      <x:c r="C537" s="7" t="s">
        <x:v>1197</x:v>
      </x:c>
      <x:c r="D537" s="7" t="s">
        <x:v>2030</x:v>
      </x:c>
      <x:c r="E537" s="7" t="s">
        <x:v>3055</x:v>
      </x:c>
      <x:c r="F537" s="7" t="s">
        <x:v>2032</x:v>
      </x:c>
      <x:c r="G537" s="8" t="n">
        <x:v>5.7</x:v>
      </x:c>
      <x:c r="H537" s="8" t="n">
        <x:v>0.6</x:v>
      </x:c>
      <x:c r="I537" s="8" t="s">
        <x:v>58</x:v>
      </x:c>
      <x:c r="J537" s="7" t="s">
        <x:v>1919</x:v>
      </x:c>
      <x:c r="K537" s="8" t="n">
        <x:v>1</x:v>
      </x:c>
      <x:c r="L537" s="8" t="n">
        <x:f aca="0">IF(AND(ISNUMBER(G537),P537&lt;&gt;"Unresolved unit / layout"),G537*K537,"Not applicable")</x:f>
        <x:v>5.7</x:v>
      </x:c>
      <x:c r="M537" s="8" t="n">
        <x:f aca="0">IF(AND(ISNUMBER(H537),P537&lt;&gt;"Unresolved unit / layout"),H537*K537,"Not applicable")</x:f>
        <x:v>0.6</x:v>
      </x:c>
      <x:c r="N537" s="8" t="str">
        <x:f aca="0">IF(AND(ISNUMBER(I537),P537&lt;&gt;"Unresolved unit / layout"),I537*K537,"Not applicable")</x:f>
        <x:v>Not applicable</x:v>
      </x:c>
      <x:c r="O537" s="7" t="s">
        <x:v>2033</x:v>
      </x:c>
      <x:c r="P537" s="7" t="s">
        <x:v>1921</x:v>
      </x:c>
      <x:c r="Q537" s="7" t="s">
        <x:v>1930</x:v>
      </x:c>
      <x:c r="R537" s="7" t="s">
        <x:v>53</x:v>
      </x:c>
      <x:c r="S537" s="7" t="s">
        <x:v>53</x:v>
      </x:c>
      <x:c r="T537" s="7" t="s">
        <x:v>53</x:v>
      </x:c>
      <x:c r="U537" s="7" t="s">
        <x:v>53</x:v>
      </x:c>
      <x:c r="V537" s="7" t="s">
        <x:v>2036</x:v>
      </x:c>
      <x:c r="W537" s="7" t="s">
        <x:v>2139</x:v>
      </x:c>
      <x:c r="X537" s="7" t="s">
        <x:v>3026</x:v>
      </x:c>
      <x:c r="Y537" s="7" t="s">
        <x:v>1199</x:v>
      </x:c>
      <x:c r="Z537" s="7" t="s">
        <x:v>3056</x:v>
      </x:c>
      <x:c r="AA537" s="7" t="s">
        <x:v>58</x:v>
      </x:c>
      <x:c r="AB537" s="8" t="s">
        <x:v>58</x:v>
      </x:c>
      <x:c r="AC537" s="8" t="s">
        <x:v>58</x:v>
      </x:c>
      <x:c r="AD537" s="8" t="s">
        <x:v>58</x:v>
      </x:c>
      <x:c r="AE537" s="8" t="s">
        <x:v>58</x:v>
      </x:c>
      <x:c r="AF537" s="8" t="s">
        <x:v>58</x:v>
      </x:c>
      <x:c r="AG537" s="7" t="s">
        <x:v>58</x:v>
      </x:c>
    </x:row>
    <x:row r="538" ht="51.75" hidden="0" customHeight="1">
      <x:c r="A538" s="7" t="s">
        <x:v>3057</x:v>
      </x:c>
      <x:c r="B538" s="7" t="s">
        <x:v>330</x:v>
      </x:c>
      <x:c r="C538" s="7" t="s">
        <x:v>1200</x:v>
      </x:c>
      <x:c r="D538" s="7" t="s">
        <x:v>1916</x:v>
      </x:c>
      <x:c r="E538" s="7" t="s">
        <x:v>1964</x:v>
      </x:c>
      <x:c r="F538" s="7" t="s">
        <x:v>1965</x:v>
      </x:c>
      <x:c r="G538" s="8" t="n">
        <x:v>1.23</x:v>
      </x:c>
      <x:c r="H538" s="8" t="s">
        <x:v>58</x:v>
      </x:c>
      <x:c r="I538" s="8" t="s">
        <x:v>58</x:v>
      </x:c>
      <x:c r="J538" s="7" t="s">
        <x:v>1919</x:v>
      </x:c>
      <x:c r="K538" s="8" t="n">
        <x:v>1000</x:v>
      </x:c>
      <x:c r="L538" s="8" t="n">
        <x:f aca="0">IF(AND(ISNUMBER(G538),P538&lt;&gt;"Unresolved unit / layout"),G538*K538,"Not applicable")</x:f>
        <x:v>1230</x:v>
      </x:c>
      <x:c r="M538" s="8" t="str">
        <x:f aca="0">IF(AND(ISNUMBER(H538),P538&lt;&gt;"Unresolved unit / layout"),H538*K538,"Not applicable")</x:f>
        <x:v>Not applicable</x:v>
      </x:c>
      <x:c r="N538" s="8" t="str">
        <x:f aca="0">IF(AND(ISNUMBER(I538),P538&lt;&gt;"Unresolved unit / layout"),I538*K538,"Not applicable")</x:f>
        <x:v>Not applicable</x:v>
      </x:c>
      <x:c r="O538" s="7" t="s">
        <x:v>1920</x:v>
      </x:c>
      <x:c r="P538" s="7" t="s">
        <x:v>1921</x:v>
      </x:c>
      <x:c r="Q538" s="7" t="s">
        <x:v>1922</x:v>
      </x:c>
      <x:c r="R538" s="7" t="s">
        <x:v>58</x:v>
      </x:c>
      <x:c r="S538" s="7" t="s">
        <x:v>53</x:v>
      </x:c>
      <x:c r="T538" s="7" t="s">
        <x:v>53</x:v>
      </x:c>
      <x:c r="U538" s="7" t="s">
        <x:v>53</x:v>
      </x:c>
      <x:c r="V538" s="7" t="s">
        <x:v>3058</x:v>
      </x:c>
      <x:c r="W538" s="7" t="s">
        <x:v>58</x:v>
      </x:c>
      <x:c r="X538" s="7" t="s">
        <x:v>53</x:v>
      </x:c>
      <x:c r="Y538" s="7" t="s">
        <x:v>1203</x:v>
      </x:c>
      <x:c r="Z538" s="7" t="s">
        <x:v>3059</x:v>
      </x:c>
      <x:c r="AA538" s="7" t="s">
        <x:v>58</x:v>
      </x:c>
      <x:c r="AB538" s="8" t="s">
        <x:v>58</x:v>
      </x:c>
      <x:c r="AC538" s="8" t="s">
        <x:v>58</x:v>
      </x:c>
      <x:c r="AD538" s="8" t="s">
        <x:v>58</x:v>
      </x:c>
      <x:c r="AE538" s="8" t="s">
        <x:v>58</x:v>
      </x:c>
      <x:c r="AF538" s="8" t="s">
        <x:v>58</x:v>
      </x:c>
      <x:c r="AG538" s="7" t="s">
        <x:v>58</x:v>
      </x:c>
    </x:row>
    <x:row r="539" ht="37.5" hidden="0" customHeight="1">
      <x:c r="A539" s="7" t="s">
        <x:v>3060</x:v>
      </x:c>
      <x:c r="B539" s="7" t="s">
        <x:v>330</x:v>
      </x:c>
      <x:c r="C539" s="7" t="s">
        <x:v>1200</x:v>
      </x:c>
      <x:c r="D539" s="7" t="s">
        <x:v>3061</x:v>
      </x:c>
      <x:c r="E539" s="7" t="s">
        <x:v>3062</x:v>
      </x:c>
      <x:c r="F539" s="7" t="s">
        <x:v>1929</x:v>
      </x:c>
      <x:c r="G539" s="8" t="n">
        <x:v>26</x:v>
      </x:c>
      <x:c r="H539" s="8" t="s">
        <x:v>58</x:v>
      </x:c>
      <x:c r="I539" s="8" t="s">
        <x:v>58</x:v>
      </x:c>
      <x:c r="J539" s="7" t="s">
        <x:v>1919</x:v>
      </x:c>
      <x:c r="K539" s="8" t="n">
        <x:v>1</x:v>
      </x:c>
      <x:c r="L539" s="8" t="n">
        <x:f aca="0">IF(AND(ISNUMBER(G539),P539&lt;&gt;"Unresolved unit / layout"),G539*K539,"Not applicable")</x:f>
        <x:v>26</x:v>
      </x:c>
      <x:c r="M539" s="8" t="str">
        <x:f aca="0">IF(AND(ISNUMBER(H539),P539&lt;&gt;"Unresolved unit / layout"),H539*K539,"Not applicable")</x:f>
        <x:v>Not applicable</x:v>
      </x:c>
      <x:c r="N539" s="8" t="str">
        <x:f aca="0">IF(AND(ISNUMBER(I539),P539&lt;&gt;"Unresolved unit / layout"),I539*K539,"Not applicable")</x:f>
        <x:v>Not applicable</x:v>
      </x:c>
      <x:c r="O539" s="7" t="s">
        <x:v>1929</x:v>
      </x:c>
      <x:c r="P539" s="7" t="s">
        <x:v>1921</x:v>
      </x:c>
      <x:c r="Q539" s="7" t="s">
        <x:v>2064</x:v>
      </x:c>
      <x:c r="R539" s="7" t="s">
        <x:v>53</x:v>
      </x:c>
      <x:c r="S539" s="7" t="s">
        <x:v>53</x:v>
      </x:c>
      <x:c r="T539" s="7" t="s">
        <x:v>53</x:v>
      </x:c>
      <x:c r="U539" s="7" t="s">
        <x:v>53</x:v>
      </x:c>
      <x:c r="V539" s="7" t="s">
        <x:v>3063</x:v>
      </x:c>
      <x:c r="W539" s="7" t="s">
        <x:v>58</x:v>
      </x:c>
      <x:c r="X539" s="7" t="s">
        <x:v>53</x:v>
      </x:c>
      <x:c r="Y539" s="7" t="s">
        <x:v>1203</x:v>
      </x:c>
      <x:c r="Z539" s="7" t="s">
        <x:v>3064</x:v>
      </x:c>
      <x:c r="AA539" s="7" t="s">
        <x:v>58</x:v>
      </x:c>
      <x:c r="AB539" s="8" t="s">
        <x:v>58</x:v>
      </x:c>
      <x:c r="AC539" s="8" t="s">
        <x:v>58</x:v>
      </x:c>
      <x:c r="AD539" s="8" t="s">
        <x:v>58</x:v>
      </x:c>
      <x:c r="AE539" s="8" t="s">
        <x:v>58</x:v>
      </x:c>
      <x:c r="AF539" s="8" t="s">
        <x:v>58</x:v>
      </x:c>
      <x:c r="AG539" s="7" t="s">
        <x:v>58</x:v>
      </x:c>
    </x:row>
    <x:row r="540" ht="37.5" hidden="0" customHeight="1">
      <x:c r="A540" s="7" t="s">
        <x:v>3065</x:v>
      </x:c>
      <x:c r="B540" s="7" t="s">
        <x:v>330</x:v>
      </x:c>
      <x:c r="C540" s="7" t="s">
        <x:v>1200</x:v>
      </x:c>
      <x:c r="D540" s="7" t="s">
        <x:v>1927</x:v>
      </x:c>
      <x:c r="E540" s="7" t="s">
        <x:v>3066</x:v>
      </x:c>
      <x:c r="F540" s="7" t="s">
        <x:v>1929</x:v>
      </x:c>
      <x:c r="G540" s="8" t="n">
        <x:v>48</x:v>
      </x:c>
      <x:c r="H540" s="8" t="s">
        <x:v>58</x:v>
      </x:c>
      <x:c r="I540" s="8" t="s">
        <x:v>58</x:v>
      </x:c>
      <x:c r="J540" s="7" t="s">
        <x:v>1919</x:v>
      </x:c>
      <x:c r="K540" s="8" t="n">
        <x:v>1</x:v>
      </x:c>
      <x:c r="L540" s="8" t="n">
        <x:f aca="0">IF(AND(ISNUMBER(G540),P540&lt;&gt;"Unresolved unit / layout"),G540*K540,"Not applicable")</x:f>
        <x:v>48</x:v>
      </x:c>
      <x:c r="M540" s="8" t="str">
        <x:f aca="0">IF(AND(ISNUMBER(H540),P540&lt;&gt;"Unresolved unit / layout"),H540*K540,"Not applicable")</x:f>
        <x:v>Not applicable</x:v>
      </x:c>
      <x:c r="N540" s="8" t="str">
        <x:f aca="0">IF(AND(ISNUMBER(I540),P540&lt;&gt;"Unresolved unit / layout"),I540*K540,"Not applicable")</x:f>
        <x:v>Not applicable</x:v>
      </x:c>
      <x:c r="O540" s="7" t="s">
        <x:v>1929</x:v>
      </x:c>
      <x:c r="P540" s="7" t="s">
        <x:v>1921</x:v>
      </x:c>
      <x:c r="Q540" s="7" t="s">
        <x:v>2064</x:v>
      </x:c>
      <x:c r="R540" s="7" t="s">
        <x:v>53</x:v>
      </x:c>
      <x:c r="S540" s="7" t="s">
        <x:v>53</x:v>
      </x:c>
      <x:c r="T540" s="7" t="s">
        <x:v>53</x:v>
      </x:c>
      <x:c r="U540" s="7" t="s">
        <x:v>53</x:v>
      </x:c>
      <x:c r="V540" s="7" t="s">
        <x:v>3063</x:v>
      </x:c>
      <x:c r="W540" s="7" t="s">
        <x:v>58</x:v>
      </x:c>
      <x:c r="X540" s="7" t="s">
        <x:v>53</x:v>
      </x:c>
      <x:c r="Y540" s="7" t="s">
        <x:v>1203</x:v>
      </x:c>
      <x:c r="Z540" s="7" t="s">
        <x:v>3067</x:v>
      </x:c>
      <x:c r="AA540" s="7" t="s">
        <x:v>58</x:v>
      </x:c>
      <x:c r="AB540" s="8" t="s">
        <x:v>58</x:v>
      </x:c>
      <x:c r="AC540" s="8" t="s">
        <x:v>58</x:v>
      </x:c>
      <x:c r="AD540" s="8" t="s">
        <x:v>58</x:v>
      </x:c>
      <x:c r="AE540" s="8" t="s">
        <x:v>58</x:v>
      </x:c>
      <x:c r="AF540" s="8" t="s">
        <x:v>58</x:v>
      </x:c>
      <x:c r="AG540" s="7" t="s">
        <x:v>58</x:v>
      </x:c>
    </x:row>
    <x:row r="541" ht="37.5" hidden="0" customHeight="1">
      <x:c r="A541" s="7" t="s">
        <x:v>3068</x:v>
      </x:c>
      <x:c r="B541" s="7" t="s">
        <x:v>330</x:v>
      </x:c>
      <x:c r="C541" s="7" t="s">
        <x:v>1200</x:v>
      </x:c>
      <x:c r="D541" s="7" t="s">
        <x:v>1940</x:v>
      </x:c>
      <x:c r="E541" s="7" t="s">
        <x:v>3069</x:v>
      </x:c>
      <x:c r="F541" s="7" t="s">
        <x:v>1942</x:v>
      </x:c>
      <x:c r="G541" s="8" t="n">
        <x:v>58</x:v>
      </x:c>
      <x:c r="H541" s="8" t="s">
        <x:v>58</x:v>
      </x:c>
      <x:c r="I541" s="8" t="s">
        <x:v>58</x:v>
      </x:c>
      <x:c r="J541" s="7" t="s">
        <x:v>1919</x:v>
      </x:c>
      <x:c r="K541" s="8" t="n">
        <x:v>1</x:v>
      </x:c>
      <x:c r="L541" s="8" t="n">
        <x:f aca="0">IF(AND(ISNUMBER(G541),P541&lt;&gt;"Unresolved unit / layout"),G541*K541,"Not applicable")</x:f>
        <x:v>58</x:v>
      </x:c>
      <x:c r="M541" s="8" t="str">
        <x:f aca="0">IF(AND(ISNUMBER(H541),P541&lt;&gt;"Unresolved unit / layout"),H541*K541,"Not applicable")</x:f>
        <x:v>Not applicable</x:v>
      </x:c>
      <x:c r="N541" s="8" t="str">
        <x:f aca="0">IF(AND(ISNUMBER(I541),P541&lt;&gt;"Unresolved unit / layout"),I541*K541,"Not applicable")</x:f>
        <x:v>Not applicable</x:v>
      </x:c>
      <x:c r="O541" s="7" t="s">
        <x:v>1942</x:v>
      </x:c>
      <x:c r="P541" s="7" t="s">
        <x:v>1921</x:v>
      </x:c>
      <x:c r="Q541" s="7" t="s">
        <x:v>2064</x:v>
      </x:c>
      <x:c r="R541" s="7" t="s">
        <x:v>53</x:v>
      </x:c>
      <x:c r="S541" s="7" t="s">
        <x:v>53</x:v>
      </x:c>
      <x:c r="T541" s="7" t="s">
        <x:v>53</x:v>
      </x:c>
      <x:c r="U541" s="7" t="s">
        <x:v>53</x:v>
      </x:c>
      <x:c r="V541" s="7" t="s">
        <x:v>3063</x:v>
      </x:c>
      <x:c r="W541" s="7" t="s">
        <x:v>58</x:v>
      </x:c>
      <x:c r="X541" s="7" t="s">
        <x:v>53</x:v>
      </x:c>
      <x:c r="Y541" s="7" t="s">
        <x:v>1203</x:v>
      </x:c>
      <x:c r="Z541" s="7" t="s">
        <x:v>3070</x:v>
      </x:c>
      <x:c r="AA541" s="7" t="s">
        <x:v>58</x:v>
      </x:c>
      <x:c r="AB541" s="8" t="s">
        <x:v>58</x:v>
      </x:c>
      <x:c r="AC541" s="8" t="s">
        <x:v>58</x:v>
      </x:c>
      <x:c r="AD541" s="8" t="s">
        <x:v>58</x:v>
      </x:c>
      <x:c r="AE541" s="8" t="s">
        <x:v>58</x:v>
      </x:c>
      <x:c r="AF541" s="8" t="s">
        <x:v>58</x:v>
      </x:c>
      <x:c r="AG541" s="7" t="s">
        <x:v>58</x:v>
      </x:c>
    </x:row>
    <x:row r="542" ht="37.5" hidden="0" customHeight="1">
      <x:c r="A542" s="7" t="s">
        <x:v>3071</x:v>
      </x:c>
      <x:c r="B542" s="7" t="s">
        <x:v>330</x:v>
      </x:c>
      <x:c r="C542" s="7" t="s">
        <x:v>1200</x:v>
      </x:c>
      <x:c r="D542" s="7" t="s">
        <x:v>2820</x:v>
      </x:c>
      <x:c r="E542" s="7" t="s">
        <x:v>3072</x:v>
      </x:c>
      <x:c r="F542" s="7" t="s">
        <x:v>1942</x:v>
      </x:c>
      <x:c r="G542" s="8" t="n">
        <x:v>4.3</x:v>
      </x:c>
      <x:c r="H542" s="8" t="s">
        <x:v>58</x:v>
      </x:c>
      <x:c r="I542" s="8" t="s">
        <x:v>58</x:v>
      </x:c>
      <x:c r="J542" s="7" t="s">
        <x:v>1919</x:v>
      </x:c>
      <x:c r="K542" s="8" t="n">
        <x:v>1</x:v>
      </x:c>
      <x:c r="L542" s="8" t="n">
        <x:f aca="0">IF(AND(ISNUMBER(G542),P542&lt;&gt;"Unresolved unit / layout"),G542*K542,"Not applicable")</x:f>
        <x:v>4.3</x:v>
      </x:c>
      <x:c r="M542" s="8" t="str">
        <x:f aca="0">IF(AND(ISNUMBER(H542),P542&lt;&gt;"Unresolved unit / layout"),H542*K542,"Not applicable")</x:f>
        <x:v>Not applicable</x:v>
      </x:c>
      <x:c r="N542" s="8" t="str">
        <x:f aca="0">IF(AND(ISNUMBER(I542),P542&lt;&gt;"Unresolved unit / layout"),I542*K542,"Not applicable")</x:f>
        <x:v>Not applicable</x:v>
      </x:c>
      <x:c r="O542" s="7" t="s">
        <x:v>1942</x:v>
      </x:c>
      <x:c r="P542" s="7" t="str">
        <x:v>Published value (transcription corrected)</x:v>
      </x:c>
      <x:c r="Q542" s="7" t="s">
        <x:v>2064</x:v>
      </x:c>
      <x:c r="R542" s="7" t="s">
        <x:v>53</x:v>
      </x:c>
      <x:c r="S542" s="7" t="s">
        <x:v>53</x:v>
      </x:c>
      <x:c r="T542" s="7" t="s">
        <x:v>53</x:v>
      </x:c>
      <x:c r="U542" s="7" t="s">
        <x:v>53</x:v>
      </x:c>
      <x:c r="V542" s="7" t="s">
        <x:v>3063</x:v>
      </x:c>
      <x:c r="W542" s="7" t="s">
        <x:v>58</x:v>
      </x:c>
      <x:c r="X542" s="7" t="s">
        <x:v>53</x:v>
      </x:c>
      <x:c r="Y542" s="7" t="s">
        <x:v>1203</x:v>
      </x:c>
      <x:c r="Z542" s="7" t="s">
        <x:v>2822</x:v>
      </x:c>
      <x:c r="AA542" s="7" t="str">
        <x:v>Decimal comma preserved from the cited manufacturer PDF; re-read and source SHA256 matched 2026-09-13. Systematic audit SD-01.</x:v>
      </x:c>
      <x:c r="AB542" s="8" t="s">
        <x:v>58</x:v>
      </x:c>
      <x:c r="AC542" s="8" t="s">
        <x:v>58</x:v>
      </x:c>
      <x:c r="AD542" s="8" t="s">
        <x:v>58</x:v>
      </x:c>
      <x:c r="AE542" s="8" t="s">
        <x:v>58</x:v>
      </x:c>
      <x:c r="AF542" s="8" t="s">
        <x:v>58</x:v>
      </x:c>
      <x:c r="AG542" s="7" t="s">
        <x:v>58</x:v>
      </x:c>
    </x:row>
    <x:row r="543" ht="37.5" hidden="0" customHeight="1">
      <x:c r="A543" s="7" t="s">
        <x:v>3073</x:v>
      </x:c>
      <x:c r="B543" s="7" t="s">
        <x:v>330</x:v>
      </x:c>
      <x:c r="C543" s="7" t="s">
        <x:v>1200</x:v>
      </x:c>
      <x:c r="D543" s="7" t="s">
        <x:v>1935</x:v>
      </x:c>
      <x:c r="E543" s="7" t="s">
        <x:v>3074</x:v>
      </x:c>
      <x:c r="F543" s="7" t="s">
        <x:v>1929</x:v>
      </x:c>
      <x:c r="G543" s="8" t="n">
        <x:v>1950</x:v>
      </x:c>
      <x:c r="H543" s="8" t="s">
        <x:v>58</x:v>
      </x:c>
      <x:c r="I543" s="8" t="s">
        <x:v>58</x:v>
      </x:c>
      <x:c r="J543" s="7" t="s">
        <x:v>1919</x:v>
      </x:c>
      <x:c r="K543" s="8" t="n">
        <x:v>0.001</x:v>
      </x:c>
      <x:c r="L543" s="8" t="n">
        <x:f aca="0">IF(AND(ISNUMBER(G543),P543&lt;&gt;"Unresolved unit / layout"),G543*K543,"Not applicable")</x:f>
        <x:v>1.95</x:v>
      </x:c>
      <x:c r="M543" s="8" t="str">
        <x:f aca="0">IF(AND(ISNUMBER(H543),P543&lt;&gt;"Unresolved unit / layout"),H543*K543,"Not applicable")</x:f>
        <x:v>Not applicable</x:v>
      </x:c>
      <x:c r="N543" s="8" t="str">
        <x:f aca="0">IF(AND(ISNUMBER(I543),P543&lt;&gt;"Unresolved unit / layout"),I543*K543,"Not applicable")</x:f>
        <x:v>Not applicable</x:v>
      </x:c>
      <x:c r="O543" s="7" t="s">
        <x:v>1937</x:v>
      </x:c>
      <x:c r="P543" s="7" t="s">
        <x:v>1921</x:v>
      </x:c>
      <x:c r="Q543" s="7" t="s">
        <x:v>2064</x:v>
      </x:c>
      <x:c r="R543" s="7" t="s">
        <x:v>53</x:v>
      </x:c>
      <x:c r="S543" s="7" t="s">
        <x:v>53</x:v>
      </x:c>
      <x:c r="T543" s="7" t="s">
        <x:v>53</x:v>
      </x:c>
      <x:c r="U543" s="7" t="s">
        <x:v>53</x:v>
      </x:c>
      <x:c r="V543" s="7" t="s">
        <x:v>3063</x:v>
      </x:c>
      <x:c r="W543" s="7" t="s">
        <x:v>58</x:v>
      </x:c>
      <x:c r="X543" s="7" t="s">
        <x:v>53</x:v>
      </x:c>
      <x:c r="Y543" s="7" t="s">
        <x:v>1203</x:v>
      </x:c>
      <x:c r="Z543" s="7" t="s">
        <x:v>1938</x:v>
      </x:c>
      <x:c r="AA543" s="7" t="s">
        <x:v>58</x:v>
      </x:c>
      <x:c r="AB543" s="8" t="s">
        <x:v>58</x:v>
      </x:c>
      <x:c r="AC543" s="8" t="s">
        <x:v>58</x:v>
      </x:c>
      <x:c r="AD543" s="8" t="s">
        <x:v>58</x:v>
      </x:c>
      <x:c r="AE543" s="8" t="s">
        <x:v>58</x:v>
      </x:c>
      <x:c r="AF543" s="8" t="s">
        <x:v>58</x:v>
      </x:c>
      <x:c r="AG543" s="7" t="s">
        <x:v>58</x:v>
      </x:c>
    </x:row>
    <x:row r="544" ht="37.5" hidden="0" customHeight="1">
      <x:c r="A544" s="7" t="s">
        <x:v>3075</x:v>
      </x:c>
      <x:c r="B544" s="7" t="s">
        <x:v>330</x:v>
      </x:c>
      <x:c r="C544" s="7" t="s">
        <x:v>1200</x:v>
      </x:c>
      <x:c r="D544" s="7" t="s">
        <x:v>1945</x:v>
      </x:c>
      <x:c r="E544" s="7" t="s">
        <x:v>3076</x:v>
      </x:c>
      <x:c r="F544" s="7" t="s">
        <x:v>1929</x:v>
      </x:c>
      <x:c r="G544" s="8" t="n">
        <x:v>64</x:v>
      </x:c>
      <x:c r="H544" s="8" t="s">
        <x:v>58</x:v>
      </x:c>
      <x:c r="I544" s="8" t="s">
        <x:v>58</x:v>
      </x:c>
      <x:c r="J544" s="7" t="s">
        <x:v>1919</x:v>
      </x:c>
      <x:c r="K544" s="8" t="n">
        <x:v>1</x:v>
      </x:c>
      <x:c r="L544" s="8" t="n">
        <x:f aca="0">IF(AND(ISNUMBER(G544),P544&lt;&gt;"Unresolved unit / layout"),G544*K544,"Not applicable")</x:f>
        <x:v>64</x:v>
      </x:c>
      <x:c r="M544" s="8" t="str">
        <x:f aca="0">IF(AND(ISNUMBER(H544),P544&lt;&gt;"Unresolved unit / layout"),H544*K544,"Not applicable")</x:f>
        <x:v>Not applicable</x:v>
      </x:c>
      <x:c r="N544" s="8" t="str">
        <x:f aca="0">IF(AND(ISNUMBER(I544),P544&lt;&gt;"Unresolved unit / layout"),I544*K544,"Not applicable")</x:f>
        <x:v>Not applicable</x:v>
      </x:c>
      <x:c r="O544" s="7" t="s">
        <x:v>1929</x:v>
      </x:c>
      <x:c r="P544" s="7" t="s">
        <x:v>1921</x:v>
      </x:c>
      <x:c r="Q544" s="7" t="s">
        <x:v>2064</x:v>
      </x:c>
      <x:c r="R544" s="7" t="s">
        <x:v>53</x:v>
      </x:c>
      <x:c r="S544" s="7" t="s">
        <x:v>53</x:v>
      </x:c>
      <x:c r="T544" s="7" t="s">
        <x:v>53</x:v>
      </x:c>
      <x:c r="U544" s="7" t="s">
        <x:v>53</x:v>
      </x:c>
      <x:c r="V544" s="7" t="s">
        <x:v>3077</x:v>
      </x:c>
      <x:c r="W544" s="7" t="s">
        <x:v>58</x:v>
      </x:c>
      <x:c r="X544" s="7" t="s">
        <x:v>53</x:v>
      </x:c>
      <x:c r="Y544" s="7" t="s">
        <x:v>1203</x:v>
      </x:c>
      <x:c r="Z544" s="7" t="s">
        <x:v>1948</x:v>
      </x:c>
      <x:c r="AA544" s="7" t="s">
        <x:v>58</x:v>
      </x:c>
      <x:c r="AB544" s="8" t="s">
        <x:v>58</x:v>
      </x:c>
      <x:c r="AC544" s="8" t="s">
        <x:v>58</x:v>
      </x:c>
      <x:c r="AD544" s="8" t="s">
        <x:v>58</x:v>
      </x:c>
      <x:c r="AE544" s="8" t="s">
        <x:v>58</x:v>
      </x:c>
      <x:c r="AF544" s="8" t="s">
        <x:v>58</x:v>
      </x:c>
      <x:c r="AG544" s="7" t="s">
        <x:v>58</x:v>
      </x:c>
    </x:row>
    <x:row r="545" ht="37.5" hidden="0" customHeight="1">
      <x:c r="A545" s="7" t="s">
        <x:v>3078</x:v>
      </x:c>
      <x:c r="B545" s="7" t="s">
        <x:v>330</x:v>
      </x:c>
      <x:c r="C545" s="7" t="s">
        <x:v>1200</x:v>
      </x:c>
      <x:c r="D545" s="7" t="s">
        <x:v>1950</x:v>
      </x:c>
      <x:c r="E545" s="7" t="s">
        <x:v>3079</x:v>
      </x:c>
      <x:c r="F545" s="7" t="s">
        <x:v>1929</x:v>
      </x:c>
      <x:c r="G545" s="8" t="n">
        <x:v>1980</x:v>
      </x:c>
      <x:c r="H545" s="8" t="s">
        <x:v>58</x:v>
      </x:c>
      <x:c r="I545" s="8" t="s">
        <x:v>58</x:v>
      </x:c>
      <x:c r="J545" s="7" t="s">
        <x:v>1919</x:v>
      </x:c>
      <x:c r="K545" s="8" t="n">
        <x:v>0.001</x:v>
      </x:c>
      <x:c r="L545" s="8" t="n">
        <x:f aca="0">IF(AND(ISNUMBER(G545),P545&lt;&gt;"Unresolved unit / layout"),G545*K545,"Not applicable")</x:f>
        <x:v>1.98</x:v>
      </x:c>
      <x:c r="M545" s="8" t="str">
        <x:f aca="0">IF(AND(ISNUMBER(H545),P545&lt;&gt;"Unresolved unit / layout"),H545*K545,"Not applicable")</x:f>
        <x:v>Not applicable</x:v>
      </x:c>
      <x:c r="N545" s="8" t="str">
        <x:f aca="0">IF(AND(ISNUMBER(I545),P545&lt;&gt;"Unresolved unit / layout"),I545*K545,"Not applicable")</x:f>
        <x:v>Not applicable</x:v>
      </x:c>
      <x:c r="O545" s="7" t="s">
        <x:v>1937</x:v>
      </x:c>
      <x:c r="P545" s="7" t="s">
        <x:v>1921</x:v>
      </x:c>
      <x:c r="Q545" s="7" t="s">
        <x:v>2064</x:v>
      </x:c>
      <x:c r="R545" s="7" t="s">
        <x:v>53</x:v>
      </x:c>
      <x:c r="S545" s="7" t="s">
        <x:v>53</x:v>
      </x:c>
      <x:c r="T545" s="7" t="s">
        <x:v>53</x:v>
      </x:c>
      <x:c r="U545" s="7" t="s">
        <x:v>53</x:v>
      </x:c>
      <x:c r="V545" s="7" t="s">
        <x:v>3077</x:v>
      </x:c>
      <x:c r="W545" s="7" t="s">
        <x:v>58</x:v>
      </x:c>
      <x:c r="X545" s="7" t="s">
        <x:v>53</x:v>
      </x:c>
      <x:c r="Y545" s="7" t="s">
        <x:v>1203</x:v>
      </x:c>
      <x:c r="Z545" s="7" t="s">
        <x:v>1952</x:v>
      </x:c>
      <x:c r="AA545" s="7" t="s">
        <x:v>58</x:v>
      </x:c>
      <x:c r="AB545" s="8" t="s">
        <x:v>58</x:v>
      </x:c>
      <x:c r="AC545" s="8" t="s">
        <x:v>58</x:v>
      </x:c>
      <x:c r="AD545" s="8" t="s">
        <x:v>58</x:v>
      </x:c>
      <x:c r="AE545" s="8" t="s">
        <x:v>58</x:v>
      </x:c>
      <x:c r="AF545" s="8" t="s">
        <x:v>58</x:v>
      </x:c>
      <x:c r="AG545" s="7" t="s">
        <x:v>58</x:v>
      </x:c>
    </x:row>
    <x:row r="546" ht="37.5" hidden="0" customHeight="1">
      <x:c r="A546" s="7" t="s">
        <x:v>3080</x:v>
      </x:c>
      <x:c r="B546" s="7" t="s">
        <x:v>330</x:v>
      </x:c>
      <x:c r="C546" s="7" t="s">
        <x:v>1200</x:v>
      </x:c>
      <x:c r="D546" s="7" t="s">
        <x:v>2846</x:v>
      </x:c>
      <x:c r="E546" s="7" t="s">
        <x:v>3081</x:v>
      </x:c>
      <x:c r="F546" s="7" t="s">
        <x:v>3082</x:v>
      </x:c>
      <x:c r="G546" s="8" t="n">
        <x:v>108</x:v>
      </x:c>
      <x:c r="H546" s="8" t="s">
        <x:v>58</x:v>
      </x:c>
      <x:c r="I546" s="8" t="s">
        <x:v>58</x:v>
      </x:c>
      <x:c r="J546" s="7" t="s">
        <x:v>1919</x:v>
      </x:c>
      <x:c r="K546" s="8" t="n">
        <x:v>1</x:v>
      </x:c>
      <x:c r="L546" s="8" t="n">
        <x:f aca="0">IF(AND(ISNUMBER(G546),P546&lt;&gt;"Unresolved unit / layout"),G546*K546,"Insufficient comparable data")</x:f>
        <x:v>108</x:v>
      </x:c>
      <x:c r="M546" s="8" t="str">
        <x:f aca="0">IF(AND(ISNUMBER(H546),P546&lt;&gt;"Unresolved unit / layout"),H546*K546,"Not applicable")</x:f>
        <x:v>Not applicable</x:v>
      </x:c>
      <x:c r="N546" s="8" t="str">
        <x:f aca="0">IF(AND(ISNUMBER(I546),P546&lt;&gt;"Unresolved unit / layout"),I546*K546,"Not applicable")</x:f>
        <x:v>Not applicable</x:v>
      </x:c>
      <x:c r="O546" s="7" t="s">
        <x:v>3082</x:v>
      </x:c>
      <x:c r="P546" s="7" t="s">
        <x:v>2732</x:v>
      </x:c>
      <x:c r="Q546" s="7" t="s">
        <x:v>2064</x:v>
      </x:c>
      <x:c r="R546" s="7" t="s">
        <x:v>53</x:v>
      </x:c>
      <x:c r="S546" s="7" t="s">
        <x:v>53</x:v>
      </x:c>
      <x:c r="T546" s="7" t="s">
        <x:v>53</x:v>
      </x:c>
      <x:c r="U546" s="7" t="s">
        <x:v>53</x:v>
      </x:c>
      <x:c r="V546" s="7" t="s">
        <x:v>3083</x:v>
      </x:c>
      <x:c r="W546" s="7" t="s">
        <x:v>58</x:v>
      </x:c>
      <x:c r="X546" s="7" t="s">
        <x:v>53</x:v>
      </x:c>
      <x:c r="Y546" s="7" t="s">
        <x:v>1203</x:v>
      </x:c>
      <x:c r="Z546" s="7" t="s">
        <x:v>3084</x:v>
      </x:c>
      <x:c r="AA546" s="7" t="s">
        <x:v>3085</x:v>
      </x:c>
      <x:c r="AB546" s="8" t="s">
        <x:v>58</x:v>
      </x:c>
      <x:c r="AC546" s="8" t="s">
        <x:v>58</x:v>
      </x:c>
      <x:c r="AD546" s="8" t="s">
        <x:v>58</x:v>
      </x:c>
      <x:c r="AE546" s="8" t="s">
        <x:v>58</x:v>
      </x:c>
      <x:c r="AF546" s="8" t="s">
        <x:v>58</x:v>
      </x:c>
      <x:c r="AG546" s="7" t="s">
        <x:v>58</x:v>
      </x:c>
    </x:row>
    <x:row r="547" ht="37.5" hidden="0" customHeight="1">
      <x:c r="A547" s="7" t="s">
        <x:v>3086</x:v>
      </x:c>
      <x:c r="B547" s="7" t="s">
        <x:v>330</x:v>
      </x:c>
      <x:c r="C547" s="7" t="s">
        <x:v>1200</x:v>
      </x:c>
      <x:c r="D547" s="7" t="s">
        <x:v>1959</x:v>
      </x:c>
      <x:c r="E547" s="7" t="s">
        <x:v>3087</x:v>
      </x:c>
      <x:c r="F547" s="7" t="s">
        <x:v>1956</x:v>
      </x:c>
      <x:c r="G547" s="8" t="n">
        <x:v>72</x:v>
      </x:c>
      <x:c r="H547" s="8" t="s">
        <x:v>58</x:v>
      </x:c>
      <x:c r="I547" s="8" t="s">
        <x:v>58</x:v>
      </x:c>
      <x:c r="J547" s="7" t="s">
        <x:v>1919</x:v>
      </x:c>
      <x:c r="K547" s="8" t="n">
        <x:v>1</x:v>
      </x:c>
      <x:c r="L547" s="8" t="n">
        <x:f aca="0">IF(AND(ISNUMBER(G547),P547&lt;&gt;"Unresolved unit / layout"),G547*K547,"Not applicable")</x:f>
        <x:v>72</x:v>
      </x:c>
      <x:c r="M547" s="8" t="str">
        <x:f aca="0">IF(AND(ISNUMBER(H547),P547&lt;&gt;"Unresolved unit / layout"),H547*K547,"Not applicable")</x:f>
        <x:v>Not applicable</x:v>
      </x:c>
      <x:c r="N547" s="8" t="str">
        <x:f aca="0">IF(AND(ISNUMBER(I547),P547&lt;&gt;"Unresolved unit / layout"),I547*K547,"Not applicable")</x:f>
        <x:v>Not applicable</x:v>
      </x:c>
      <x:c r="O547" s="7" t="s">
        <x:v>1956</x:v>
      </x:c>
      <x:c r="P547" s="7" t="s">
        <x:v>1921</x:v>
      </x:c>
      <x:c r="Q547" s="7" t="s">
        <x:v>2064</x:v>
      </x:c>
      <x:c r="R547" s="7" t="s">
        <x:v>58</x:v>
      </x:c>
      <x:c r="S547" s="7" t="s">
        <x:v>53</x:v>
      </x:c>
      <x:c r="T547" s="7" t="s">
        <x:v>53</x:v>
      </x:c>
      <x:c r="U547" s="7" t="s">
        <x:v>53</x:v>
      </x:c>
      <x:c r="V547" s="7" t="s">
        <x:v>3088</x:v>
      </x:c>
      <x:c r="W547" s="7" t="s">
        <x:v>58</x:v>
      </x:c>
      <x:c r="X547" s="7" t="s">
        <x:v>53</x:v>
      </x:c>
      <x:c r="Y547" s="7" t="s">
        <x:v>1203</x:v>
      </x:c>
      <x:c r="Z547" s="7" t="s">
        <x:v>3089</x:v>
      </x:c>
      <x:c r="AA547" s="7" t="s">
        <x:v>3090</x:v>
      </x:c>
      <x:c r="AB547" s="8" t="s">
        <x:v>58</x:v>
      </x:c>
      <x:c r="AC547" s="8" t="s">
        <x:v>58</x:v>
      </x:c>
      <x:c r="AD547" s="8" t="s">
        <x:v>58</x:v>
      </x:c>
      <x:c r="AE547" s="8" t="s">
        <x:v>58</x:v>
      </x:c>
      <x:c r="AF547" s="8" t="s">
        <x:v>58</x:v>
      </x:c>
      <x:c r="AG547" s="7" t="s">
        <x:v>58</x:v>
      </x:c>
    </x:row>
    <x:row r="548" ht="51.75" hidden="0" customHeight="1">
      <x:c r="A548" s="7" t="s">
        <x:v>3091</x:v>
      </x:c>
      <x:c r="B548" s="7" t="s">
        <x:v>330</x:v>
      </x:c>
      <x:c r="C548" s="7" t="s">
        <x:v>1200</x:v>
      </x:c>
      <x:c r="D548" s="7" t="s">
        <x:v>1916</x:v>
      </x:c>
      <x:c r="E548" s="7" t="s">
        <x:v>3092</x:v>
      </x:c>
      <x:c r="F548" s="7" t="s">
        <x:v>1965</x:v>
      </x:c>
      <x:c r="G548" s="8" t="n">
        <x:v>1.19</x:v>
      </x:c>
      <x:c r="H548" s="8" t="s">
        <x:v>58</x:v>
      </x:c>
      <x:c r="I548" s="8" t="s">
        <x:v>58</x:v>
      </x:c>
      <x:c r="J548" s="7" t="s">
        <x:v>1919</x:v>
      </x:c>
      <x:c r="K548" s="8" t="n">
        <x:v>1000</x:v>
      </x:c>
      <x:c r="L548" s="8" t="n">
        <x:f aca="0">IF(AND(ISNUMBER(G548),P548&lt;&gt;"Unresolved unit / layout"),G548*K548,"Not applicable")</x:f>
        <x:v>1190</x:v>
      </x:c>
      <x:c r="M548" s="8" t="str">
        <x:f aca="0">IF(AND(ISNUMBER(H548),P548&lt;&gt;"Unresolved unit / layout"),H548*K548,"Not applicable")</x:f>
        <x:v>Not applicable</x:v>
      </x:c>
      <x:c r="N548" s="8" t="str">
        <x:f aca="0">IF(AND(ISNUMBER(I548),P548&lt;&gt;"Unresolved unit / layout"),I548*K548,"Not applicable")</x:f>
        <x:v>Not applicable</x:v>
      </x:c>
      <x:c r="O548" s="7" t="s">
        <x:v>1920</x:v>
      </x:c>
      <x:c r="P548" s="7" t="s">
        <x:v>1921</x:v>
      </x:c>
      <x:c r="Q548" s="7" t="s">
        <x:v>1922</x:v>
      </x:c>
      <x:c r="R548" s="7" t="s">
        <x:v>58</x:v>
      </x:c>
      <x:c r="S548" s="7" t="s">
        <x:v>53</x:v>
      </x:c>
      <x:c r="T548" s="7" t="s">
        <x:v>53</x:v>
      </x:c>
      <x:c r="U548" s="7" t="s">
        <x:v>53</x:v>
      </x:c>
      <x:c r="V548" s="7" t="s">
        <x:v>53</x:v>
      </x:c>
      <x:c r="W548" s="7" t="s">
        <x:v>58</x:v>
      </x:c>
      <x:c r="X548" s="7" t="s">
        <x:v>53</x:v>
      </x:c>
      <x:c r="Y548" s="7" t="s">
        <x:v>1203</x:v>
      </x:c>
      <x:c r="Z548" s="7" t="s">
        <x:v>1925</x:v>
      </x:c>
      <x:c r="AA548" s="7" t="s">
        <x:v>58</x:v>
      </x:c>
      <x:c r="AB548" s="8" t="s">
        <x:v>58</x:v>
      </x:c>
      <x:c r="AC548" s="8" t="s">
        <x:v>58</x:v>
      </x:c>
      <x:c r="AD548" s="8" t="s">
        <x:v>58</x:v>
      </x:c>
      <x:c r="AE548" s="8" t="s">
        <x:v>58</x:v>
      </x:c>
      <x:c r="AF548" s="8" t="s">
        <x:v>58</x:v>
      </x:c>
      <x:c r="AG548" s="7" t="s">
        <x:v>58</x:v>
      </x:c>
    </x:row>
    <x:row r="549" ht="79.5" hidden="0" customHeight="1">
      <x:c r="A549" s="7" t="s">
        <x:v>3093</x:v>
      </x:c>
      <x:c r="B549" s="7" t="s">
        <x:v>342</x:v>
      </x:c>
      <x:c r="C549" s="7" t="s">
        <x:v>344</x:v>
      </x:c>
      <x:c r="D549" s="7" t="s">
        <x:v>1916</x:v>
      </x:c>
      <x:c r="E549" s="7" t="s">
        <x:v>3094</x:v>
      </x:c>
      <x:c r="F549" s="7" t="s">
        <x:v>2076</x:v>
      </x:c>
      <x:c r="G549" s="8" t="n">
        <x:v>1.05</x:v>
      </x:c>
      <x:c r="H549" s="8" t="s">
        <x:v>58</x:v>
      </x:c>
      <x:c r="I549" s="8" t="s">
        <x:v>58</x:v>
      </x:c>
      <x:c r="J549" s="7" t="s">
        <x:v>1919</x:v>
      </x:c>
      <x:c r="K549" s="8" t="n">
        <x:v>1000</x:v>
      </x:c>
      <x:c r="L549" s="8" t="n">
        <x:f aca="0">IF(AND(ISNUMBER(G549),P549&lt;&gt;"Unresolved unit / layout"),G549*K549,"Not applicable")</x:f>
        <x:v>1050</x:v>
      </x:c>
      <x:c r="M549" s="8" t="str">
        <x:f aca="0">IF(AND(ISNUMBER(H549),P549&lt;&gt;"Unresolved unit / layout"),H549*K549,"Not applicable")</x:f>
        <x:v>Not applicable</x:v>
      </x:c>
      <x:c r="N549" s="8" t="str">
        <x:f aca="0">IF(AND(ISNUMBER(I549),P549&lt;&gt;"Unresolved unit / layout"),I549*K549,"Not applicable")</x:f>
        <x:v>Not applicable</x:v>
      </x:c>
      <x:c r="O549" s="7" t="s">
        <x:v>1920</x:v>
      </x:c>
      <x:c r="P549" s="7" t="s">
        <x:v>1921</x:v>
      </x:c>
      <x:c r="Q549" s="7" t="s">
        <x:v>1922</x:v>
      </x:c>
      <x:c r="R549" s="7" t="s">
        <x:v>58</x:v>
      </x:c>
      <x:c r="S549" s="7" t="s">
        <x:v>2077</x:v>
      </x:c>
      <x:c r="T549" s="7" t="s">
        <x:v>3095</x:v>
      </x:c>
      <x:c r="U549" s="7" t="s">
        <x:v>53</x:v>
      </x:c>
      <x:c r="V549" s="7" t="s">
        <x:v>1923</x:v>
      </x:c>
      <x:c r="W549" s="7" t="s">
        <x:v>58</x:v>
      </x:c>
      <x:c r="X549" s="7" t="s">
        <x:v>3096</x:v>
      </x:c>
      <x:c r="Y549" s="7" t="s">
        <x:v>1204</x:v>
      </x:c>
      <x:c r="Z549" s="7" t="s">
        <x:v>1968</x:v>
      </x:c>
      <x:c r="AA549" s="7" t="s">
        <x:v>58</x:v>
      </x:c>
      <x:c r="AB549" s="8" t="s">
        <x:v>58</x:v>
      </x:c>
      <x:c r="AC549" s="8" t="s">
        <x:v>58</x:v>
      </x:c>
      <x:c r="AD549" s="8" t="s">
        <x:v>58</x:v>
      </x:c>
      <x:c r="AE549" s="8" t="s">
        <x:v>58</x:v>
      </x:c>
      <x:c r="AF549" s="8" t="s">
        <x:v>58</x:v>
      </x:c>
      <x:c r="AG549" s="7" t="s">
        <x:v>58</x:v>
      </x:c>
    </x:row>
    <x:row r="550" ht="79.5" hidden="0" customHeight="1">
      <x:c r="A550" s="7" t="s">
        <x:v>3097</x:v>
      </x:c>
      <x:c r="B550" s="7" t="s">
        <x:v>342</x:v>
      </x:c>
      <x:c r="C550" s="7" t="s">
        <x:v>344</x:v>
      </x:c>
      <x:c r="D550" s="7" t="s">
        <x:v>1974</x:v>
      </x:c>
      <x:c r="E550" s="7" t="s">
        <x:v>3098</x:v>
      </x:c>
      <x:c r="F550" s="7" t="s">
        <x:v>1956</x:v>
      </x:c>
      <x:c r="G550" s="8" t="n">
        <x:v>200</x:v>
      </x:c>
      <x:c r="H550" s="8" t="s">
        <x:v>58</x:v>
      </x:c>
      <x:c r="I550" s="8" t="s">
        <x:v>58</x:v>
      </x:c>
      <x:c r="J550" s="7" t="s">
        <x:v>1919</x:v>
      </x:c>
      <x:c r="K550" s="8" t="n">
        <x:v>1</x:v>
      </x:c>
      <x:c r="L550" s="8" t="n">
        <x:f aca="0">IF(AND(ISNUMBER(G550),P550&lt;&gt;"Unresolved unit / layout"),G550*K550,"Not applicable")</x:f>
        <x:v>200</x:v>
      </x:c>
      <x:c r="M550" s="8" t="str">
        <x:f aca="0">IF(AND(ISNUMBER(H550),P550&lt;&gt;"Unresolved unit / layout"),H550*K550,"Not applicable")</x:f>
        <x:v>Not applicable</x:v>
      </x:c>
      <x:c r="N550" s="8" t="str">
        <x:f aca="0">IF(AND(ISNUMBER(I550),P550&lt;&gt;"Unresolved unit / layout"),I550*K550,"Not applicable")</x:f>
        <x:v>Not applicable</x:v>
      </x:c>
      <x:c r="O550" s="7" t="s">
        <x:v>1956</x:v>
      </x:c>
      <x:c r="P550" s="7" t="s">
        <x:v>1921</x:v>
      </x:c>
      <x:c r="Q550" s="7" t="s">
        <x:v>1930</x:v>
      </x:c>
      <x:c r="R550" s="7" t="s">
        <x:v>58</x:v>
      </x:c>
      <x:c r="S550" s="7" t="s">
        <x:v>2077</x:v>
      </x:c>
      <x:c r="T550" s="7" t="s">
        <x:v>3095</x:v>
      </x:c>
      <x:c r="U550" s="7" t="s">
        <x:v>53</x:v>
      </x:c>
      <x:c r="V550" s="7" t="s">
        <x:v>2082</x:v>
      </x:c>
      <x:c r="W550" s="7" t="s">
        <x:v>58</x:v>
      </x:c>
      <x:c r="X550" s="7" t="s">
        <x:v>3096</x:v>
      </x:c>
      <x:c r="Y550" s="7" t="s">
        <x:v>1204</x:v>
      </x:c>
      <x:c r="Z550" s="7" t="s">
        <x:v>2083</x:v>
      </x:c>
      <x:c r="AA550" s="7" t="s">
        <x:v>58</x:v>
      </x:c>
      <x:c r="AB550" s="8" t="s">
        <x:v>58</x:v>
      </x:c>
      <x:c r="AC550" s="8" t="s">
        <x:v>58</x:v>
      </x:c>
      <x:c r="AD550" s="8" t="s">
        <x:v>58</x:v>
      </x:c>
      <x:c r="AE550" s="8" t="s">
        <x:v>58</x:v>
      </x:c>
      <x:c r="AF550" s="8" t="s">
        <x:v>58</x:v>
      </x:c>
      <x:c r="AG550" s="7" t="s">
        <x:v>58</x:v>
      </x:c>
    </x:row>
    <x:row r="551" ht="79.5" hidden="0" customHeight="1">
      <x:c r="A551" s="7" t="s">
        <x:v>3099</x:v>
      </x:c>
      <x:c r="B551" s="7" t="s">
        <x:v>342</x:v>
      </x:c>
      <x:c r="C551" s="7" t="s">
        <x:v>344</x:v>
      </x:c>
      <x:c r="D551" s="7" t="s">
        <x:v>1954</x:v>
      </x:c>
      <x:c r="E551" s="7" t="s">
        <x:v>1995</x:v>
      </x:c>
      <x:c r="F551" s="7" t="s">
        <x:v>1956</x:v>
      </x:c>
      <x:c r="G551" s="8" t="s">
        <x:v>53</x:v>
      </x:c>
      <x:c r="H551" s="8" t="s">
        <x:v>58</x:v>
      </x:c>
      <x:c r="I551" s="8" t="s">
        <x:v>58</x:v>
      </x:c>
      <x:c r="J551" s="7" t="s">
        <x:v>58</x:v>
      </x:c>
      <x:c r="K551" s="8" t="n">
        <x:v>1</x:v>
      </x:c>
      <x:c r="L551" s="8" t="str">
        <x:f aca="0">IF(AND(ISNUMBER(G551),P551&lt;&gt;"Unresolved unit / layout"),G551*K551,"Not published")</x:f>
        <x:v>Not published</x:v>
      </x:c>
      <x:c r="M551" s="8" t="str">
        <x:f aca="0">IF(AND(ISNUMBER(H551),P551&lt;&gt;"Unresolved unit / layout"),H551*K551,"Not applicable")</x:f>
        <x:v>Not applicable</x:v>
      </x:c>
      <x:c r="N551" s="8" t="str">
        <x:f aca="0">IF(AND(ISNUMBER(I551),P551&lt;&gt;"Unresolved unit / layout"),I551*K551,"Not applicable")</x:f>
        <x:v>Not applicable</x:v>
      </x:c>
      <x:c r="O551" s="7" t="s">
        <x:v>1956</x:v>
      </x:c>
      <x:c r="P551" s="7" t="s">
        <x:v>53</x:v>
      </x:c>
      <x:c r="Q551" s="7" t="s">
        <x:v>1930</x:v>
      </x:c>
      <x:c r="R551" s="7" t="s">
        <x:v>58</x:v>
      </x:c>
      <x:c r="S551" s="7" t="s">
        <x:v>2077</x:v>
      </x:c>
      <x:c r="T551" s="7" t="s">
        <x:v>3095</x:v>
      </x:c>
      <x:c r="U551" s="7" t="s">
        <x:v>53</x:v>
      </x:c>
      <x:c r="V551" s="7" t="s">
        <x:v>2082</x:v>
      </x:c>
      <x:c r="W551" s="7" t="s">
        <x:v>58</x:v>
      </x:c>
      <x:c r="X551" s="7" t="s">
        <x:v>3096</x:v>
      </x:c>
      <x:c r="Y551" s="7" t="s">
        <x:v>1204</x:v>
      </x:c>
      <x:c r="Z551" s="7" t="s">
        <x:v>2086</x:v>
      </x:c>
      <x:c r="AA551" s="7" t="s">
        <x:v>58</x:v>
      </x:c>
      <x:c r="AB551" s="8" t="s">
        <x:v>58</x:v>
      </x:c>
      <x:c r="AC551" s="8" t="s">
        <x:v>58</x:v>
      </x:c>
      <x:c r="AD551" s="8" t="s">
        <x:v>58</x:v>
      </x:c>
      <x:c r="AE551" s="8" t="s">
        <x:v>58</x:v>
      </x:c>
      <x:c r="AF551" s="8" t="s">
        <x:v>58</x:v>
      </x:c>
      <x:c r="AG551" s="7" t="s">
        <x:v>58</x:v>
      </x:c>
    </x:row>
    <x:row r="552" ht="79.5" hidden="0" customHeight="1">
      <x:c r="A552" s="7" t="s">
        <x:v>3100</x:v>
      </x:c>
      <x:c r="B552" s="7" t="s">
        <x:v>342</x:v>
      </x:c>
      <x:c r="C552" s="7" t="s">
        <x:v>344</x:v>
      </x:c>
      <x:c r="D552" s="7" t="s">
        <x:v>1978</x:v>
      </x:c>
      <x:c r="E552" s="7" t="s">
        <x:v>1995</x:v>
      </x:c>
      <x:c r="F552" s="7" t="s">
        <x:v>1956</x:v>
      </x:c>
      <x:c r="G552" s="8" t="s">
        <x:v>53</x:v>
      </x:c>
      <x:c r="H552" s="8" t="s">
        <x:v>58</x:v>
      </x:c>
      <x:c r="I552" s="8" t="s">
        <x:v>58</x:v>
      </x:c>
      <x:c r="J552" s="7" t="s">
        <x:v>58</x:v>
      </x:c>
      <x:c r="K552" s="8" t="n">
        <x:v>1</x:v>
      </x:c>
      <x:c r="L552" s="8" t="str">
        <x:f aca="0">IF(AND(ISNUMBER(G552),P552&lt;&gt;"Unresolved unit / layout"),G552*K552,"Not published")</x:f>
        <x:v>Not published</x:v>
      </x:c>
      <x:c r="M552" s="8" t="str">
        <x:f aca="0">IF(AND(ISNUMBER(H552),P552&lt;&gt;"Unresolved unit / layout"),H552*K552,"Not applicable")</x:f>
        <x:v>Not applicable</x:v>
      </x:c>
      <x:c r="N552" s="8" t="str">
        <x:f aca="0">IF(AND(ISNUMBER(I552),P552&lt;&gt;"Unresolved unit / layout"),I552*K552,"Not applicable")</x:f>
        <x:v>Not applicable</x:v>
      </x:c>
      <x:c r="O552" s="7" t="s">
        <x:v>1956</x:v>
      </x:c>
      <x:c r="P552" s="7" t="s">
        <x:v>53</x:v>
      </x:c>
      <x:c r="Q552" s="7" t="s">
        <x:v>1930</x:v>
      </x:c>
      <x:c r="R552" s="7" t="s">
        <x:v>58</x:v>
      </x:c>
      <x:c r="S552" s="7" t="s">
        <x:v>2077</x:v>
      </x:c>
      <x:c r="T552" s="7" t="s">
        <x:v>3095</x:v>
      </x:c>
      <x:c r="U552" s="7" t="s">
        <x:v>53</x:v>
      </x:c>
      <x:c r="V552" s="7" t="s">
        <x:v>2082</x:v>
      </x:c>
      <x:c r="W552" s="7" t="s">
        <x:v>58</x:v>
      </x:c>
      <x:c r="X552" s="7" t="s">
        <x:v>3096</x:v>
      </x:c>
      <x:c r="Y552" s="7" t="s">
        <x:v>1204</x:v>
      </x:c>
      <x:c r="Z552" s="7" t="s">
        <x:v>2188</x:v>
      </x:c>
      <x:c r="AA552" s="7" t="s">
        <x:v>58</x:v>
      </x:c>
      <x:c r="AB552" s="8" t="s">
        <x:v>58</x:v>
      </x:c>
      <x:c r="AC552" s="8" t="s">
        <x:v>58</x:v>
      </x:c>
      <x:c r="AD552" s="8" t="s">
        <x:v>58</x:v>
      </x:c>
      <x:c r="AE552" s="8" t="s">
        <x:v>58</x:v>
      </x:c>
      <x:c r="AF552" s="8" t="s">
        <x:v>58</x:v>
      </x:c>
      <x:c r="AG552" s="7" t="s">
        <x:v>58</x:v>
      </x:c>
    </x:row>
    <x:row r="553" ht="79.5" hidden="0" customHeight="1">
      <x:c r="A553" s="7" t="s">
        <x:v>3101</x:v>
      </x:c>
      <x:c r="B553" s="7" t="s">
        <x:v>342</x:v>
      </x:c>
      <x:c r="C553" s="7" t="s">
        <x:v>344</x:v>
      </x:c>
      <x:c r="D553" s="7" t="s">
        <x:v>1982</x:v>
      </x:c>
      <x:c r="E553" s="7" t="s">
        <x:v>3102</x:v>
      </x:c>
      <x:c r="F553" s="7" t="s">
        <x:v>1956</x:v>
      </x:c>
      <x:c r="G553" s="8" t="n">
        <x:v>94</x:v>
      </x:c>
      <x:c r="H553" s="8" t="s">
        <x:v>58</x:v>
      </x:c>
      <x:c r="I553" s="8" t="s">
        <x:v>58</x:v>
      </x:c>
      <x:c r="J553" s="7" t="s">
        <x:v>1919</x:v>
      </x:c>
      <x:c r="K553" s="8" t="n">
        <x:v>1</x:v>
      </x:c>
      <x:c r="L553" s="8" t="n">
        <x:f aca="0">IF(AND(ISNUMBER(G553),P553&lt;&gt;"Unresolved unit / layout"),G553*K553,"Not applicable")</x:f>
        <x:v>94</x:v>
      </x:c>
      <x:c r="M553" s="8" t="str">
        <x:f aca="0">IF(AND(ISNUMBER(H553),P553&lt;&gt;"Unresolved unit / layout"),H553*K553,"Not applicable")</x:f>
        <x:v>Not applicable</x:v>
      </x:c>
      <x:c r="N553" s="8" t="str">
        <x:f aca="0">IF(AND(ISNUMBER(I553),P553&lt;&gt;"Unresolved unit / layout"),I553*K553,"Not applicable")</x:f>
        <x:v>Not applicable</x:v>
      </x:c>
      <x:c r="O553" s="7" t="s">
        <x:v>1956</x:v>
      </x:c>
      <x:c r="P553" s="7" t="s">
        <x:v>1921</x:v>
      </x:c>
      <x:c r="Q553" s="7" t="s">
        <x:v>1930</x:v>
      </x:c>
      <x:c r="R553" s="7" t="s">
        <x:v>58</x:v>
      </x:c>
      <x:c r="S553" s="7" t="s">
        <x:v>2077</x:v>
      </x:c>
      <x:c r="T553" s="7" t="s">
        <x:v>3095</x:v>
      </x:c>
      <x:c r="U553" s="7" t="s">
        <x:v>53</x:v>
      </x:c>
      <x:c r="V553" s="7" t="s">
        <x:v>1984</x:v>
      </x:c>
      <x:c r="W553" s="7" t="s">
        <x:v>58</x:v>
      </x:c>
      <x:c r="X553" s="7" t="s">
        <x:v>3096</x:v>
      </x:c>
      <x:c r="Y553" s="7" t="s">
        <x:v>1204</x:v>
      </x:c>
      <x:c r="Z553" s="7" t="s">
        <x:v>2092</x:v>
      </x:c>
      <x:c r="AA553" s="7" t="s">
        <x:v>58</x:v>
      </x:c>
      <x:c r="AB553" s="8" t="s">
        <x:v>58</x:v>
      </x:c>
      <x:c r="AC553" s="8" t="s">
        <x:v>58</x:v>
      </x:c>
      <x:c r="AD553" s="8" t="s">
        <x:v>58</x:v>
      </x:c>
      <x:c r="AE553" s="8" t="s">
        <x:v>58</x:v>
      </x:c>
      <x:c r="AF553" s="8" t="s">
        <x:v>58</x:v>
      </x:c>
      <x:c r="AG553" s="7" t="s">
        <x:v>58</x:v>
      </x:c>
    </x:row>
    <x:row r="554" ht="79.5" hidden="0" customHeight="1">
      <x:c r="A554" s="7" t="s">
        <x:v>3103</x:v>
      </x:c>
      <x:c r="B554" s="7" t="s">
        <x:v>342</x:v>
      </x:c>
      <x:c r="C554" s="7" t="s">
        <x:v>344</x:v>
      </x:c>
      <x:c r="D554" s="7" t="s">
        <x:v>1959</x:v>
      </x:c>
      <x:c r="E554" s="7" t="s">
        <x:v>2673</x:v>
      </x:c>
      <x:c r="F554" s="7" t="s">
        <x:v>1956</x:v>
      </x:c>
      <x:c r="G554" s="8" t="n">
        <x:v>84</x:v>
      </x:c>
      <x:c r="H554" s="8" t="s">
        <x:v>58</x:v>
      </x:c>
      <x:c r="I554" s="8" t="s">
        <x:v>58</x:v>
      </x:c>
      <x:c r="J554" s="7" t="s">
        <x:v>1919</x:v>
      </x:c>
      <x:c r="K554" s="8" t="n">
        <x:v>1</x:v>
      </x:c>
      <x:c r="L554" s="8" t="n">
        <x:f aca="0">IF(AND(ISNUMBER(G554),P554&lt;&gt;"Unresolved unit / layout"),G554*K554,"Not applicable")</x:f>
        <x:v>84</x:v>
      </x:c>
      <x:c r="M554" s="8" t="str">
        <x:f aca="0">IF(AND(ISNUMBER(H554),P554&lt;&gt;"Unresolved unit / layout"),H554*K554,"Not applicable")</x:f>
        <x:v>Not applicable</x:v>
      </x:c>
      <x:c r="N554" s="8" t="str">
        <x:f aca="0">IF(AND(ISNUMBER(I554),P554&lt;&gt;"Unresolved unit / layout"),I554*K554,"Not applicable")</x:f>
        <x:v>Not applicable</x:v>
      </x:c>
      <x:c r="O554" s="7" t="s">
        <x:v>1956</x:v>
      </x:c>
      <x:c r="P554" s="7" t="s">
        <x:v>1921</x:v>
      </x:c>
      <x:c r="Q554" s="7" t="s">
        <x:v>1930</x:v>
      </x:c>
      <x:c r="R554" s="7" t="s">
        <x:v>58</x:v>
      </x:c>
      <x:c r="S554" s="7" t="s">
        <x:v>2077</x:v>
      </x:c>
      <x:c r="T554" s="7" t="s">
        <x:v>3095</x:v>
      </x:c>
      <x:c r="U554" s="7" t="s">
        <x:v>53</x:v>
      </x:c>
      <x:c r="V554" s="7" t="s">
        <x:v>2095</x:v>
      </x:c>
      <x:c r="W554" s="7" t="s">
        <x:v>58</x:v>
      </x:c>
      <x:c r="X554" s="7" t="s">
        <x:v>3096</x:v>
      </x:c>
      <x:c r="Y554" s="7" t="s">
        <x:v>1204</x:v>
      </x:c>
      <x:c r="Z554" s="7" t="s">
        <x:v>2096</x:v>
      </x:c>
      <x:c r="AA554" s="7" t="s">
        <x:v>58</x:v>
      </x:c>
      <x:c r="AB554" s="8" t="s">
        <x:v>58</x:v>
      </x:c>
      <x:c r="AC554" s="8" t="s">
        <x:v>58</x:v>
      </x:c>
      <x:c r="AD554" s="8" t="s">
        <x:v>58</x:v>
      </x:c>
      <x:c r="AE554" s="8" t="s">
        <x:v>58</x:v>
      </x:c>
      <x:c r="AF554" s="8" t="s">
        <x:v>58</x:v>
      </x:c>
      <x:c r="AG554" s="7" t="s">
        <x:v>58</x:v>
      </x:c>
    </x:row>
    <x:row r="555" ht="79.5" hidden="0" customHeight="1">
      <x:c r="A555" s="7" t="s">
        <x:v>350</x:v>
      </x:c>
      <x:c r="B555" s="7" t="s">
        <x:v>342</x:v>
      </x:c>
      <x:c r="C555" s="7" t="s">
        <x:v>344</x:v>
      </x:c>
      <x:c r="D555" s="7" t="s">
        <x:v>1959</x:v>
      </x:c>
      <x:c r="E555" s="7" t="s">
        <x:v>3104</x:v>
      </x:c>
      <x:c r="F555" s="7" t="s">
        <x:v>1956</x:v>
      </x:c>
      <x:c r="G555" s="8" t="n">
        <x:v>87</x:v>
      </x:c>
      <x:c r="H555" s="8" t="s">
        <x:v>58</x:v>
      </x:c>
      <x:c r="I555" s="8" t="s">
        <x:v>58</x:v>
      </x:c>
      <x:c r="J555" s="7" t="s">
        <x:v>1919</x:v>
      </x:c>
      <x:c r="K555" s="8" t="n">
        <x:v>1</x:v>
      </x:c>
      <x:c r="L555" s="8" t="n">
        <x:f aca="0">IF(AND(ISNUMBER(G555),P555&lt;&gt;"Unresolved unit / layout"),G555*K555,"Not applicable")</x:f>
        <x:v>87</x:v>
      </x:c>
      <x:c r="M555" s="8" t="str">
        <x:f aca="0">IF(AND(ISNUMBER(H555),P555&lt;&gt;"Unresolved unit / layout"),H555*K555,"Not applicable")</x:f>
        <x:v>Not applicable</x:v>
      </x:c>
      <x:c r="N555" s="8" t="str">
        <x:f aca="0">IF(AND(ISNUMBER(I555),P555&lt;&gt;"Unresolved unit / layout"),I555*K555,"Not applicable")</x:f>
        <x:v>Not applicable</x:v>
      </x:c>
      <x:c r="O555" s="7" t="s">
        <x:v>1956</x:v>
      </x:c>
      <x:c r="P555" s="7" t="s">
        <x:v>1921</x:v>
      </x:c>
      <x:c r="Q555" s="7" t="s">
        <x:v>1930</x:v>
      </x:c>
      <x:c r="R555" s="7" t="s">
        <x:v>58</x:v>
      </x:c>
      <x:c r="S555" s="7" t="s">
        <x:v>2077</x:v>
      </x:c>
      <x:c r="T555" s="7" t="s">
        <x:v>3095</x:v>
      </x:c>
      <x:c r="U555" s="7" t="s">
        <x:v>53</x:v>
      </x:c>
      <x:c r="V555" s="7" t="s">
        <x:v>2097</x:v>
      </x:c>
      <x:c r="W555" s="7" t="s">
        <x:v>58</x:v>
      </x:c>
      <x:c r="X555" s="7" t="s">
        <x:v>3096</x:v>
      </x:c>
      <x:c r="Y555" s="7" t="s">
        <x:v>1204</x:v>
      </x:c>
      <x:c r="Z555" s="7" t="s">
        <x:v>2096</x:v>
      </x:c>
      <x:c r="AA555" s="7" t="s">
        <x:v>58</x:v>
      </x:c>
      <x:c r="AB555" s="8" t="s">
        <x:v>58</x:v>
      </x:c>
      <x:c r="AC555" s="8" t="s">
        <x:v>58</x:v>
      </x:c>
      <x:c r="AD555" s="8" t="s">
        <x:v>58</x:v>
      </x:c>
      <x:c r="AE555" s="8" t="s">
        <x:v>58</x:v>
      </x:c>
      <x:c r="AF555" s="8" t="s">
        <x:v>58</x:v>
      </x:c>
      <x:c r="AG555" s="7" t="s">
        <x:v>58</x:v>
      </x:c>
    </x:row>
    <x:row r="556" ht="79.5" hidden="0" customHeight="1">
      <x:c r="A556" s="7" t="s">
        <x:v>3105</x:v>
      </x:c>
      <x:c r="B556" s="7" t="s">
        <x:v>342</x:v>
      </x:c>
      <x:c r="C556" s="7" t="s">
        <x:v>344</x:v>
      </x:c>
      <x:c r="D556" s="7" t="s">
        <x:v>2099</x:v>
      </x:c>
      <x:c r="E556" s="7" t="s">
        <x:v>3106</x:v>
      </x:c>
      <x:c r="F556" s="7" t="s">
        <x:v>1942</x:v>
      </x:c>
      <x:c r="G556" s="8" t="n">
        <x:v>0.65</x:v>
      </x:c>
      <x:c r="H556" s="8" t="s">
        <x:v>58</x:v>
      </x:c>
      <x:c r="I556" s="8" t="s">
        <x:v>58</x:v>
      </x:c>
      <x:c r="J556" s="7" t="s">
        <x:v>1919</x:v>
      </x:c>
      <x:c r="K556" s="8" t="n">
        <x:v>1</x:v>
      </x:c>
      <x:c r="L556" s="8" t="n">
        <x:f aca="0">IF(AND(ISNUMBER(G556),P556&lt;&gt;"Unresolved unit / layout"),G556*K556,"Not applicable")</x:f>
        <x:v>0.65</x:v>
      </x:c>
      <x:c r="M556" s="8" t="str">
        <x:f aca="0">IF(AND(ISNUMBER(H556),P556&lt;&gt;"Unresolved unit / layout"),H556*K556,"Not applicable")</x:f>
        <x:v>Not applicable</x:v>
      </x:c>
      <x:c r="N556" s="8" t="str">
        <x:f aca="0">IF(AND(ISNUMBER(I556),P556&lt;&gt;"Unresolved unit / layout"),I556*K556,"Not applicable")</x:f>
        <x:v>Not applicable</x:v>
      </x:c>
      <x:c r="O556" s="7" t="s">
        <x:v>1942</x:v>
      </x:c>
      <x:c r="P556" s="7" t="s">
        <x:v>1921</x:v>
      </x:c>
      <x:c r="Q556" s="7" t="s">
        <x:v>1930</x:v>
      </x:c>
      <x:c r="R556" s="7" t="s">
        <x:v>58</x:v>
      </x:c>
      <x:c r="S556" s="7" t="s">
        <x:v>2077</x:v>
      </x:c>
      <x:c r="T556" s="7" t="s">
        <x:v>3095</x:v>
      </x:c>
      <x:c r="U556" s="7" t="s">
        <x:v>53</x:v>
      </x:c>
      <x:c r="V556" s="7" t="s">
        <x:v>2192</x:v>
      </x:c>
      <x:c r="W556" s="7" t="s">
        <x:v>58</x:v>
      </x:c>
      <x:c r="X556" s="7" t="s">
        <x:v>3096</x:v>
      </x:c>
      <x:c r="Y556" s="7" t="s">
        <x:v>1204</x:v>
      </x:c>
      <x:c r="Z556" s="7" t="s">
        <x:v>2193</x:v>
      </x:c>
      <x:c r="AA556" s="7" t="s">
        <x:v>58</x:v>
      </x:c>
      <x:c r="AB556" s="8" t="s">
        <x:v>58</x:v>
      </x:c>
      <x:c r="AC556" s="8" t="s">
        <x:v>58</x:v>
      </x:c>
      <x:c r="AD556" s="8" t="s">
        <x:v>58</x:v>
      </x:c>
      <x:c r="AE556" s="8" t="s">
        <x:v>58</x:v>
      </x:c>
      <x:c r="AF556" s="8" t="s">
        <x:v>58</x:v>
      </x:c>
      <x:c r="AG556" s="7" t="s">
        <x:v>58</x:v>
      </x:c>
    </x:row>
    <x:row r="557" ht="79.5" hidden="0" customHeight="1">
      <x:c r="A557" s="7" t="s">
        <x:v>3107</x:v>
      </x:c>
      <x:c r="B557" s="7" t="s">
        <x:v>342</x:v>
      </x:c>
      <x:c r="C557" s="7" t="s">
        <x:v>344</x:v>
      </x:c>
      <x:c r="D557" s="7" t="s">
        <x:v>1935</x:v>
      </x:c>
      <x:c r="E557" s="7" t="s">
        <x:v>3108</x:v>
      </x:c>
      <x:c r="F557" s="7" t="s">
        <x:v>1929</x:v>
      </x:c>
      <x:c r="G557" s="8" t="n">
        <x:v>2200</x:v>
      </x:c>
      <x:c r="H557" s="8" t="n">
        <x:v>190</x:v>
      </x:c>
      <x:c r="I557" s="8" t="s">
        <x:v>58</x:v>
      </x:c>
      <x:c r="J557" s="7" t="s">
        <x:v>1919</x:v>
      </x:c>
      <x:c r="K557" s="8" t="n">
        <x:v>0.001</x:v>
      </x:c>
      <x:c r="L557" s="8" t="n">
        <x:f aca="0">IF(AND(ISNUMBER(G557),P557&lt;&gt;"Unresolved unit / layout"),G557*K557,"Not applicable")</x:f>
        <x:v>2.2</x:v>
      </x:c>
      <x:c r="M557" s="8" t="n">
        <x:f aca="0">IF(AND(ISNUMBER(H557),P557&lt;&gt;"Unresolved unit / layout"),H557*K557,"Not applicable")</x:f>
        <x:v>0.19</x:v>
      </x:c>
      <x:c r="N557" s="8" t="str">
        <x:f aca="0">IF(AND(ISNUMBER(I557),P557&lt;&gt;"Unresolved unit / layout"),I557*K557,"Not applicable")</x:f>
        <x:v>Not applicable</x:v>
      </x:c>
      <x:c r="O557" s="7" t="s">
        <x:v>1937</x:v>
      </x:c>
      <x:c r="P557" s="7" t="s">
        <x:v>1921</x:v>
      </x:c>
      <x:c r="Q557" s="7" t="s">
        <x:v>1930</x:v>
      </x:c>
      <x:c r="R557" s="7" t="s">
        <x:v>1931</x:v>
      </x:c>
      <x:c r="S557" s="7" t="s">
        <x:v>2077</x:v>
      </x:c>
      <x:c r="T557" s="7" t="s">
        <x:v>3095</x:v>
      </x:c>
      <x:c r="U557" s="7" t="s">
        <x:v>53</x:v>
      </x:c>
      <x:c r="V557" s="7" t="s">
        <x:v>1999</x:v>
      </x:c>
      <x:c r="W557" s="7" t="s">
        <x:v>58</x:v>
      </x:c>
      <x:c r="X557" s="7" t="s">
        <x:v>3096</x:v>
      </x:c>
      <x:c r="Y557" s="7" t="s">
        <x:v>1204</x:v>
      </x:c>
      <x:c r="Z557" s="7" t="s">
        <x:v>2105</x:v>
      </x:c>
      <x:c r="AA557" s="7" t="s">
        <x:v>58</x:v>
      </x:c>
      <x:c r="AB557" s="8" t="s">
        <x:v>58</x:v>
      </x:c>
      <x:c r="AC557" s="8" t="s">
        <x:v>58</x:v>
      </x:c>
      <x:c r="AD557" s="8" t="s">
        <x:v>58</x:v>
      </x:c>
      <x:c r="AE557" s="8" t="s">
        <x:v>58</x:v>
      </x:c>
      <x:c r="AF557" s="8" t="s">
        <x:v>58</x:v>
      </x:c>
      <x:c r="AG557" s="7" t="s">
        <x:v>58</x:v>
      </x:c>
    </x:row>
    <x:row r="558" ht="79.5" hidden="0" customHeight="1">
      <x:c r="A558" s="7" t="s">
        <x:v>3109</x:v>
      </x:c>
      <x:c r="B558" s="7" t="s">
        <x:v>342</x:v>
      </x:c>
      <x:c r="C558" s="7" t="s">
        <x:v>344</x:v>
      </x:c>
      <x:c r="D558" s="7" t="s">
        <x:v>1935</x:v>
      </x:c>
      <x:c r="E558" s="7" t="s">
        <x:v>3110</x:v>
      </x:c>
      <x:c r="F558" s="7" t="s">
        <x:v>3111</x:v>
      </x:c>
      <x:c r="G558" s="8" t="n">
        <x:v>1960</x:v>
      </x:c>
      <x:c r="H558" s="8" t="n">
        <x:v>110</x:v>
      </x:c>
      <x:c r="I558" s="8" t="s">
        <x:v>58</x:v>
      </x:c>
      <x:c r="J558" s="7" t="s">
        <x:v>1919</x:v>
      </x:c>
      <x:c r="K558" s="8" t="n">
        <x:v>0.001</x:v>
      </x:c>
      <x:c r="L558" s="8" t="n">
        <x:f aca="0">IF(AND(ISNUMBER(G558),P558&lt;&gt;"Unresolved unit / layout"),G558*K558,"Not applicable")</x:f>
        <x:v>1.96</x:v>
      </x:c>
      <x:c r="M558" s="8" t="n">
        <x:f aca="0">IF(AND(ISNUMBER(H558),P558&lt;&gt;"Unresolved unit / layout"),H558*K558,"Not applicable")</x:f>
        <x:v>0.11</x:v>
      </x:c>
      <x:c r="N558" s="8" t="str">
        <x:f aca="0">IF(AND(ISNUMBER(I558),P558&lt;&gt;"Unresolved unit / layout"),I558*K558,"Not applicable")</x:f>
        <x:v>Not applicable</x:v>
      </x:c>
      <x:c r="O558" s="7" t="s">
        <x:v>1937</x:v>
      </x:c>
      <x:c r="P558" s="7" t="s">
        <x:v>1921</x:v>
      </x:c>
      <x:c r="Q558" s="7" t="s">
        <x:v>1930</x:v>
      </x:c>
      <x:c r="R558" s="7" t="s">
        <x:v>2003</x:v>
      </x:c>
      <x:c r="S558" s="7" t="s">
        <x:v>2077</x:v>
      </x:c>
      <x:c r="T558" s="7" t="s">
        <x:v>3095</x:v>
      </x:c>
      <x:c r="U558" s="7" t="s">
        <x:v>53</x:v>
      </x:c>
      <x:c r="V558" s="7" t="s">
        <x:v>1999</x:v>
      </x:c>
      <x:c r="W558" s="7" t="s">
        <x:v>58</x:v>
      </x:c>
      <x:c r="X558" s="7" t="s">
        <x:v>3096</x:v>
      </x:c>
      <x:c r="Y558" s="7" t="s">
        <x:v>1204</x:v>
      </x:c>
      <x:c r="Z558" s="7" t="s">
        <x:v>2108</x:v>
      </x:c>
      <x:c r="AA558" s="7" t="s">
        <x:v>58</x:v>
      </x:c>
      <x:c r="AB558" s="8" t="s">
        <x:v>58</x:v>
      </x:c>
      <x:c r="AC558" s="8" t="s">
        <x:v>58</x:v>
      </x:c>
      <x:c r="AD558" s="8" t="s">
        <x:v>58</x:v>
      </x:c>
      <x:c r="AE558" s="8" t="s">
        <x:v>58</x:v>
      </x:c>
      <x:c r="AF558" s="8" t="s">
        <x:v>58</x:v>
      </x:c>
      <x:c r="AG558" s="7" t="s">
        <x:v>58</x:v>
      </x:c>
    </x:row>
    <x:row r="559" ht="79.5" hidden="0" customHeight="1">
      <x:c r="A559" s="7" t="s">
        <x:v>3112</x:v>
      </x:c>
      <x:c r="B559" s="7" t="s">
        <x:v>342</x:v>
      </x:c>
      <x:c r="C559" s="7" t="s">
        <x:v>344</x:v>
      </x:c>
      <x:c r="D559" s="7" t="s">
        <x:v>2006</x:v>
      </x:c>
      <x:c r="E559" s="7" t="s">
        <x:v>3113</x:v>
      </x:c>
      <x:c r="F559" s="7" t="s">
        <x:v>1929</x:v>
      </x:c>
      <x:c r="G559" s="8" t="n">
        <x:v>33</x:v>
      </x:c>
      <x:c r="H559" s="8" t="n">
        <x:v>3</x:v>
      </x:c>
      <x:c r="I559" s="8" t="s">
        <x:v>58</x:v>
      </x:c>
      <x:c r="J559" s="7" t="s">
        <x:v>1919</x:v>
      </x:c>
      <x:c r="K559" s="8" t="n">
        <x:v>1</x:v>
      </x:c>
      <x:c r="L559" s="8" t="n">
        <x:f aca="0">IF(AND(ISNUMBER(G559),P559&lt;&gt;"Unresolved unit / layout"),G559*K559,"Not applicable")</x:f>
        <x:v>33</x:v>
      </x:c>
      <x:c r="M559" s="8" t="n">
        <x:f aca="0">IF(AND(ISNUMBER(H559),P559&lt;&gt;"Unresolved unit / layout"),H559*K559,"Not applicable")</x:f>
        <x:v>3</x:v>
      </x:c>
      <x:c r="N559" s="8" t="str">
        <x:f aca="0">IF(AND(ISNUMBER(I559),P559&lt;&gt;"Unresolved unit / layout"),I559*K559,"Not applicable")</x:f>
        <x:v>Not applicable</x:v>
      </x:c>
      <x:c r="O559" s="7" t="s">
        <x:v>1929</x:v>
      </x:c>
      <x:c r="P559" s="7" t="s">
        <x:v>1921</x:v>
      </x:c>
      <x:c r="Q559" s="7" t="s">
        <x:v>1930</x:v>
      </x:c>
      <x:c r="R559" s="7" t="s">
        <x:v>1931</x:v>
      </x:c>
      <x:c r="S559" s="7" t="s">
        <x:v>2077</x:v>
      </x:c>
      <x:c r="T559" s="7" t="s">
        <x:v>3095</x:v>
      </x:c>
      <x:c r="U559" s="7" t="s">
        <x:v>53</x:v>
      </x:c>
      <x:c r="V559" s="7" t="s">
        <x:v>1999</x:v>
      </x:c>
      <x:c r="W559" s="7" t="s">
        <x:v>58</x:v>
      </x:c>
      <x:c r="X559" s="7" t="s">
        <x:v>3096</x:v>
      </x:c>
      <x:c r="Y559" s="7" t="s">
        <x:v>1204</x:v>
      </x:c>
      <x:c r="Z559" s="7" t="s">
        <x:v>2111</x:v>
      </x:c>
      <x:c r="AA559" s="7" t="s">
        <x:v>58</x:v>
      </x:c>
      <x:c r="AB559" s="8" t="s">
        <x:v>58</x:v>
      </x:c>
      <x:c r="AC559" s="8" t="s">
        <x:v>58</x:v>
      </x:c>
      <x:c r="AD559" s="8" t="s">
        <x:v>58</x:v>
      </x:c>
      <x:c r="AE559" s="8" t="s">
        <x:v>58</x:v>
      </x:c>
      <x:c r="AF559" s="8" t="s">
        <x:v>58</x:v>
      </x:c>
      <x:c r="AG559" s="7" t="s">
        <x:v>58</x:v>
      </x:c>
    </x:row>
    <x:row r="560" ht="79.5" hidden="0" customHeight="1">
      <x:c r="A560" s="7" t="s">
        <x:v>3114</x:v>
      </x:c>
      <x:c r="B560" s="7" t="s">
        <x:v>342</x:v>
      </x:c>
      <x:c r="C560" s="7" t="s">
        <x:v>344</x:v>
      </x:c>
      <x:c r="D560" s="7" t="s">
        <x:v>2006</x:v>
      </x:c>
      <x:c r="E560" s="7" t="s">
        <x:v>3115</x:v>
      </x:c>
      <x:c r="F560" s="7" t="s">
        <x:v>1929</x:v>
      </x:c>
      <x:c r="G560" s="8" t="n">
        <x:v>28</x:v>
      </x:c>
      <x:c r="H560" s="8" t="n">
        <x:v>2</x:v>
      </x:c>
      <x:c r="I560" s="8" t="s">
        <x:v>58</x:v>
      </x:c>
      <x:c r="J560" s="7" t="s">
        <x:v>1919</x:v>
      </x:c>
      <x:c r="K560" s="8" t="n">
        <x:v>1</x:v>
      </x:c>
      <x:c r="L560" s="8" t="n">
        <x:f aca="0">IF(AND(ISNUMBER(G560),P560&lt;&gt;"Unresolved unit / layout"),G560*K560,"Not applicable")</x:f>
        <x:v>28</x:v>
      </x:c>
      <x:c r="M560" s="8" t="n">
        <x:f aca="0">IF(AND(ISNUMBER(H560),P560&lt;&gt;"Unresolved unit / layout"),H560*K560,"Not applicable")</x:f>
        <x:v>2</x:v>
      </x:c>
      <x:c r="N560" s="8" t="str">
        <x:f aca="0">IF(AND(ISNUMBER(I560),P560&lt;&gt;"Unresolved unit / layout"),I560*K560,"Not applicable")</x:f>
        <x:v>Not applicable</x:v>
      </x:c>
      <x:c r="O560" s="7" t="s">
        <x:v>1929</x:v>
      </x:c>
      <x:c r="P560" s="7" t="s">
        <x:v>1921</x:v>
      </x:c>
      <x:c r="Q560" s="7" t="s">
        <x:v>1930</x:v>
      </x:c>
      <x:c r="R560" s="7" t="s">
        <x:v>2003</x:v>
      </x:c>
      <x:c r="S560" s="7" t="s">
        <x:v>2077</x:v>
      </x:c>
      <x:c r="T560" s="7" t="s">
        <x:v>3095</x:v>
      </x:c>
      <x:c r="U560" s="7" t="s">
        <x:v>53</x:v>
      </x:c>
      <x:c r="V560" s="7" t="s">
        <x:v>1999</x:v>
      </x:c>
      <x:c r="W560" s="7" t="s">
        <x:v>58</x:v>
      </x:c>
      <x:c r="X560" s="7" t="s">
        <x:v>3096</x:v>
      </x:c>
      <x:c r="Y560" s="7" t="s">
        <x:v>1204</x:v>
      </x:c>
      <x:c r="Z560" s="7" t="s">
        <x:v>2114</x:v>
      </x:c>
      <x:c r="AA560" s="7" t="s">
        <x:v>58</x:v>
      </x:c>
      <x:c r="AB560" s="8" t="s">
        <x:v>58</x:v>
      </x:c>
      <x:c r="AC560" s="8" t="s">
        <x:v>58</x:v>
      </x:c>
      <x:c r="AD560" s="8" t="s">
        <x:v>58</x:v>
      </x:c>
      <x:c r="AE560" s="8" t="s">
        <x:v>58</x:v>
      </x:c>
      <x:c r="AF560" s="8" t="s">
        <x:v>58</x:v>
      </x:c>
      <x:c r="AG560" s="7" t="s">
        <x:v>58</x:v>
      </x:c>
    </x:row>
    <x:row r="561" ht="79.5" hidden="0" customHeight="1">
      <x:c r="A561" s="7" t="s">
        <x:v>3116</x:v>
      </x:c>
      <x:c r="B561" s="7" t="s">
        <x:v>342</x:v>
      </x:c>
      <x:c r="C561" s="7" t="s">
        <x:v>344</x:v>
      </x:c>
      <x:c r="D561" s="7" t="s">
        <x:v>1940</x:v>
      </x:c>
      <x:c r="E561" s="7" t="s">
        <x:v>3117</x:v>
      </x:c>
      <x:c r="F561" s="7" t="s">
        <x:v>1942</x:v>
      </x:c>
      <x:c r="G561" s="8" t="n">
        <x:v>10.5</x:v>
      </x:c>
      <x:c r="H561" s="8" t="n">
        <x:v>1</x:v>
      </x:c>
      <x:c r="I561" s="8" t="s">
        <x:v>58</x:v>
      </x:c>
      <x:c r="J561" s="7" t="s">
        <x:v>1919</x:v>
      </x:c>
      <x:c r="K561" s="8" t="n">
        <x:v>1</x:v>
      </x:c>
      <x:c r="L561" s="8" t="n">
        <x:f aca="0">IF(AND(ISNUMBER(G561),P561&lt;&gt;"Unresolved unit / layout"),G561*K561,"Not applicable")</x:f>
        <x:v>10.5</x:v>
      </x:c>
      <x:c r="M561" s="8" t="n">
        <x:f aca="0">IF(AND(ISNUMBER(H561),P561&lt;&gt;"Unresolved unit / layout"),H561*K561,"Not applicable")</x:f>
        <x:v>1</x:v>
      </x:c>
      <x:c r="N561" s="8" t="str">
        <x:f aca="0">IF(AND(ISNUMBER(I561),P561&lt;&gt;"Unresolved unit / layout"),I561*K561,"Not applicable")</x:f>
        <x:v>Not applicable</x:v>
      </x:c>
      <x:c r="O561" s="7" t="s">
        <x:v>1942</x:v>
      </x:c>
      <x:c r="P561" s="7" t="s">
        <x:v>1921</x:v>
      </x:c>
      <x:c r="Q561" s="7" t="s">
        <x:v>1930</x:v>
      </x:c>
      <x:c r="R561" s="7" t="s">
        <x:v>1931</x:v>
      </x:c>
      <x:c r="S561" s="7" t="s">
        <x:v>2077</x:v>
      </x:c>
      <x:c r="T561" s="7" t="s">
        <x:v>3095</x:v>
      </x:c>
      <x:c r="U561" s="7" t="s">
        <x:v>53</x:v>
      </x:c>
      <x:c r="V561" s="7" t="s">
        <x:v>1999</x:v>
      </x:c>
      <x:c r="W561" s="7" t="s">
        <x:v>58</x:v>
      </x:c>
      <x:c r="X561" s="7" t="s">
        <x:v>3096</x:v>
      </x:c>
      <x:c r="Y561" s="7" t="s">
        <x:v>1204</x:v>
      </x:c>
      <x:c r="Z561" s="7" t="s">
        <x:v>2117</x:v>
      </x:c>
      <x:c r="AA561" s="7" t="s">
        <x:v>58</x:v>
      </x:c>
      <x:c r="AB561" s="8" t="s">
        <x:v>58</x:v>
      </x:c>
      <x:c r="AC561" s="8" t="s">
        <x:v>58</x:v>
      </x:c>
      <x:c r="AD561" s="8" t="s">
        <x:v>58</x:v>
      </x:c>
      <x:c r="AE561" s="8" t="s">
        <x:v>58</x:v>
      </x:c>
      <x:c r="AF561" s="8" t="s">
        <x:v>58</x:v>
      </x:c>
      <x:c r="AG561" s="7" t="s">
        <x:v>58</x:v>
      </x:c>
    </x:row>
    <x:row r="562" ht="79.5" hidden="0" customHeight="1">
      <x:c r="A562" s="7" t="s">
        <x:v>3118</x:v>
      </x:c>
      <x:c r="B562" s="7" t="s">
        <x:v>342</x:v>
      </x:c>
      <x:c r="C562" s="7" t="s">
        <x:v>344</x:v>
      </x:c>
      <x:c r="D562" s="7" t="s">
        <x:v>1940</x:v>
      </x:c>
      <x:c r="E562" s="7" t="s">
        <x:v>3119</x:v>
      </x:c>
      <x:c r="F562" s="7" t="s">
        <x:v>1942</x:v>
      </x:c>
      <x:c r="G562" s="8" t="n">
        <x:v>4.7</x:v>
      </x:c>
      <x:c r="H562" s="8" t="n">
        <x:v>0.8</x:v>
      </x:c>
      <x:c r="I562" s="8" t="s">
        <x:v>58</x:v>
      </x:c>
      <x:c r="J562" s="7" t="s">
        <x:v>1919</x:v>
      </x:c>
      <x:c r="K562" s="8" t="n">
        <x:v>1</x:v>
      </x:c>
      <x:c r="L562" s="8" t="n">
        <x:f aca="0">IF(AND(ISNUMBER(G562),P562&lt;&gt;"Unresolved unit / layout"),G562*K562,"Not applicable")</x:f>
        <x:v>4.7</x:v>
      </x:c>
      <x:c r="M562" s="8" t="n">
        <x:f aca="0">IF(AND(ISNUMBER(H562),P562&lt;&gt;"Unresolved unit / layout"),H562*K562,"Not applicable")</x:f>
        <x:v>0.8</x:v>
      </x:c>
      <x:c r="N562" s="8" t="str">
        <x:f aca="0">IF(AND(ISNUMBER(I562),P562&lt;&gt;"Unresolved unit / layout"),I562*K562,"Not applicable")</x:f>
        <x:v>Not applicable</x:v>
      </x:c>
      <x:c r="O562" s="7" t="s">
        <x:v>1942</x:v>
      </x:c>
      <x:c r="P562" s="7" t="s">
        <x:v>1921</x:v>
      </x:c>
      <x:c r="Q562" s="7" t="s">
        <x:v>1930</x:v>
      </x:c>
      <x:c r="R562" s="7" t="s">
        <x:v>2003</x:v>
      </x:c>
      <x:c r="S562" s="7" t="s">
        <x:v>2077</x:v>
      </x:c>
      <x:c r="T562" s="7" t="s">
        <x:v>3095</x:v>
      </x:c>
      <x:c r="U562" s="7" t="s">
        <x:v>53</x:v>
      </x:c>
      <x:c r="V562" s="7" t="s">
        <x:v>1999</x:v>
      </x:c>
      <x:c r="W562" s="7" t="s">
        <x:v>58</x:v>
      </x:c>
      <x:c r="X562" s="7" t="s">
        <x:v>3096</x:v>
      </x:c>
      <x:c r="Y562" s="7" t="s">
        <x:v>1204</x:v>
      </x:c>
      <x:c r="Z562" s="7" t="s">
        <x:v>2120</x:v>
      </x:c>
      <x:c r="AA562" s="7" t="s">
        <x:v>58</x:v>
      </x:c>
      <x:c r="AB562" s="8" t="s">
        <x:v>58</x:v>
      </x:c>
      <x:c r="AC562" s="8" t="s">
        <x:v>58</x:v>
      </x:c>
      <x:c r="AD562" s="8" t="s">
        <x:v>58</x:v>
      </x:c>
      <x:c r="AE562" s="8" t="s">
        <x:v>58</x:v>
      </x:c>
      <x:c r="AF562" s="8" t="s">
        <x:v>58</x:v>
      </x:c>
      <x:c r="AG562" s="7" t="s">
        <x:v>58</x:v>
      </x:c>
    </x:row>
    <x:row r="563" ht="79.5" hidden="0" customHeight="1">
      <x:c r="A563" s="7" t="s">
        <x:v>3120</x:v>
      </x:c>
      <x:c r="B563" s="7" t="s">
        <x:v>342</x:v>
      </x:c>
      <x:c r="C563" s="7" t="s">
        <x:v>344</x:v>
      </x:c>
      <x:c r="D563" s="7" t="s">
        <x:v>1950</x:v>
      </x:c>
      <x:c r="E563" s="7" t="s">
        <x:v>3121</x:v>
      </x:c>
      <x:c r="F563" s="7" t="s">
        <x:v>1929</x:v>
      </x:c>
      <x:c r="G563" s="8" t="n">
        <x:v>1880</x:v>
      </x:c>
      <x:c r="H563" s="8" t="n">
        <x:v>110</x:v>
      </x:c>
      <x:c r="I563" s="8" t="s">
        <x:v>58</x:v>
      </x:c>
      <x:c r="J563" s="7" t="s">
        <x:v>1919</x:v>
      </x:c>
      <x:c r="K563" s="8" t="n">
        <x:v>0.001</x:v>
      </x:c>
      <x:c r="L563" s="8" t="n">
        <x:f aca="0">IF(AND(ISNUMBER(G563),P563&lt;&gt;"Unresolved unit / layout"),G563*K563,"Not applicable")</x:f>
        <x:v>1.8800000000000001</x:v>
      </x:c>
      <x:c r="M563" s="8" t="n">
        <x:f aca="0">IF(AND(ISNUMBER(H563),P563&lt;&gt;"Unresolved unit / layout"),H563*K563,"Not applicable")</x:f>
        <x:v>0.11</x:v>
      </x:c>
      <x:c r="N563" s="8" t="str">
        <x:f aca="0">IF(AND(ISNUMBER(I563),P563&lt;&gt;"Unresolved unit / layout"),I563*K563,"Not applicable")</x:f>
        <x:v>Not applicable</x:v>
      </x:c>
      <x:c r="O563" s="7" t="s">
        <x:v>1937</x:v>
      </x:c>
      <x:c r="P563" s="7" t="s">
        <x:v>1921</x:v>
      </x:c>
      <x:c r="Q563" s="7" t="s">
        <x:v>1930</x:v>
      </x:c>
      <x:c r="R563" s="7" t="s">
        <x:v>1931</x:v>
      </x:c>
      <x:c r="S563" s="7" t="s">
        <x:v>2077</x:v>
      </x:c>
      <x:c r="T563" s="7" t="s">
        <x:v>3095</x:v>
      </x:c>
      <x:c r="U563" s="7" t="s">
        <x:v>53</x:v>
      </x:c>
      <x:c r="V563" s="7" t="s">
        <x:v>2020</x:v>
      </x:c>
      <x:c r="W563" s="7" t="s">
        <x:v>58</x:v>
      </x:c>
      <x:c r="X563" s="7" t="s">
        <x:v>3096</x:v>
      </x:c>
      <x:c r="Y563" s="7" t="s">
        <x:v>1204</x:v>
      </x:c>
      <x:c r="Z563" s="7" t="s">
        <x:v>2123</x:v>
      </x:c>
      <x:c r="AA563" s="7" t="s">
        <x:v>58</x:v>
      </x:c>
      <x:c r="AB563" s="8" t="s">
        <x:v>58</x:v>
      </x:c>
      <x:c r="AC563" s="8" t="s">
        <x:v>58</x:v>
      </x:c>
      <x:c r="AD563" s="8" t="s">
        <x:v>58</x:v>
      </x:c>
      <x:c r="AE563" s="8" t="s">
        <x:v>58</x:v>
      </x:c>
      <x:c r="AF563" s="8" t="s">
        <x:v>58</x:v>
      </x:c>
      <x:c r="AG563" s="7" t="s">
        <x:v>58</x:v>
      </x:c>
    </x:row>
    <x:row r="564" ht="79.5" hidden="0" customHeight="1">
      <x:c r="A564" s="7" t="s">
        <x:v>3122</x:v>
      </x:c>
      <x:c r="B564" s="7" t="s">
        <x:v>342</x:v>
      </x:c>
      <x:c r="C564" s="7" t="s">
        <x:v>344</x:v>
      </x:c>
      <x:c r="D564" s="7" t="s">
        <x:v>1950</x:v>
      </x:c>
      <x:c r="E564" s="7" t="s">
        <x:v>3123</x:v>
      </x:c>
      <x:c r="F564" s="7" t="s">
        <x:v>1929</x:v>
      </x:c>
      <x:c r="G564" s="8" t="n">
        <x:v>1590</x:v>
      </x:c>
      <x:c r="H564" s="8" t="n">
        <x:v>100</x:v>
      </x:c>
      <x:c r="I564" s="8" t="s">
        <x:v>58</x:v>
      </x:c>
      <x:c r="J564" s="7" t="s">
        <x:v>1919</x:v>
      </x:c>
      <x:c r="K564" s="8" t="n">
        <x:v>0.001</x:v>
      </x:c>
      <x:c r="L564" s="8" t="n">
        <x:f aca="0">IF(AND(ISNUMBER(G564),P564&lt;&gt;"Unresolved unit / layout"),G564*K564,"Not applicable")</x:f>
        <x:v>1.59</x:v>
      </x:c>
      <x:c r="M564" s="8" t="n">
        <x:f aca="0">IF(AND(ISNUMBER(H564),P564&lt;&gt;"Unresolved unit / layout"),H564*K564,"Not applicable")</x:f>
        <x:v>0.1</x:v>
      </x:c>
      <x:c r="N564" s="8" t="str">
        <x:f aca="0">IF(AND(ISNUMBER(I564),P564&lt;&gt;"Unresolved unit / layout"),I564*K564,"Not applicable")</x:f>
        <x:v>Not applicable</x:v>
      </x:c>
      <x:c r="O564" s="7" t="s">
        <x:v>1937</x:v>
      </x:c>
      <x:c r="P564" s="7" t="s">
        <x:v>1921</x:v>
      </x:c>
      <x:c r="Q564" s="7" t="s">
        <x:v>1930</x:v>
      </x:c>
      <x:c r="R564" s="7" t="s">
        <x:v>2003</x:v>
      </x:c>
      <x:c r="S564" s="7" t="s">
        <x:v>2077</x:v>
      </x:c>
      <x:c r="T564" s="7" t="s">
        <x:v>3095</x:v>
      </x:c>
      <x:c r="U564" s="7" t="s">
        <x:v>53</x:v>
      </x:c>
      <x:c r="V564" s="7" t="s">
        <x:v>2020</x:v>
      </x:c>
      <x:c r="W564" s="7" t="s">
        <x:v>58</x:v>
      </x:c>
      <x:c r="X564" s="7" t="s">
        <x:v>3096</x:v>
      </x:c>
      <x:c r="Y564" s="7" t="s">
        <x:v>1204</x:v>
      </x:c>
      <x:c r="Z564" s="7" t="s">
        <x:v>2210</x:v>
      </x:c>
      <x:c r="AA564" s="7" t="s">
        <x:v>58</x:v>
      </x:c>
      <x:c r="AB564" s="8" t="s">
        <x:v>58</x:v>
      </x:c>
      <x:c r="AC564" s="8" t="s">
        <x:v>58</x:v>
      </x:c>
      <x:c r="AD564" s="8" t="s">
        <x:v>58</x:v>
      </x:c>
      <x:c r="AE564" s="8" t="s">
        <x:v>58</x:v>
      </x:c>
      <x:c r="AF564" s="8" t="s">
        <x:v>58</x:v>
      </x:c>
      <x:c r="AG564" s="7" t="s">
        <x:v>58</x:v>
      </x:c>
    </x:row>
    <x:row r="565" ht="79.5" hidden="0" customHeight="1">
      <x:c r="A565" s="7" t="s">
        <x:v>3124</x:v>
      </x:c>
      <x:c r="B565" s="7" t="s">
        <x:v>342</x:v>
      </x:c>
      <x:c r="C565" s="7" t="s">
        <x:v>344</x:v>
      </x:c>
      <x:c r="D565" s="7" t="s">
        <x:v>1945</x:v>
      </x:c>
      <x:c r="E565" s="7" t="s">
        <x:v>3125</x:v>
      </x:c>
      <x:c r="F565" s="7" t="s">
        <x:v>1929</x:v>
      </x:c>
      <x:c r="G565" s="8" t="n">
        <x:v>62</x:v>
      </x:c>
      <x:c r="H565" s="8" t="n">
        <x:v>4</x:v>
      </x:c>
      <x:c r="I565" s="8" t="s">
        <x:v>58</x:v>
      </x:c>
      <x:c r="J565" s="7" t="s">
        <x:v>1919</x:v>
      </x:c>
      <x:c r="K565" s="8" t="n">
        <x:v>1</x:v>
      </x:c>
      <x:c r="L565" s="8" t="n">
        <x:f aca="0">IF(AND(ISNUMBER(G565),P565&lt;&gt;"Unresolved unit / layout"),G565*K565,"Not applicable")</x:f>
        <x:v>62</x:v>
      </x:c>
      <x:c r="M565" s="8" t="n">
        <x:f aca="0">IF(AND(ISNUMBER(H565),P565&lt;&gt;"Unresolved unit / layout"),H565*K565,"Not applicable")</x:f>
        <x:v>4</x:v>
      </x:c>
      <x:c r="N565" s="8" t="str">
        <x:f aca="0">IF(AND(ISNUMBER(I565),P565&lt;&gt;"Unresolved unit / layout"),I565*K565,"Not applicable")</x:f>
        <x:v>Not applicable</x:v>
      </x:c>
      <x:c r="O565" s="7" t="s">
        <x:v>1929</x:v>
      </x:c>
      <x:c r="P565" s="7" t="s">
        <x:v>1921</x:v>
      </x:c>
      <x:c r="Q565" s="7" t="s">
        <x:v>1930</x:v>
      </x:c>
      <x:c r="R565" s="7" t="s">
        <x:v>1931</x:v>
      </x:c>
      <x:c r="S565" s="7" t="s">
        <x:v>2077</x:v>
      </x:c>
      <x:c r="T565" s="7" t="s">
        <x:v>3095</x:v>
      </x:c>
      <x:c r="U565" s="7" t="s">
        <x:v>53</x:v>
      </x:c>
      <x:c r="V565" s="7" t="s">
        <x:v>2020</x:v>
      </x:c>
      <x:c r="W565" s="7" t="s">
        <x:v>58</x:v>
      </x:c>
      <x:c r="X565" s="7" t="s">
        <x:v>3096</x:v>
      </x:c>
      <x:c r="Y565" s="7" t="s">
        <x:v>1204</x:v>
      </x:c>
      <x:c r="Z565" s="7" t="s">
        <x:v>2213</x:v>
      </x:c>
      <x:c r="AA565" s="7" t="s">
        <x:v>58</x:v>
      </x:c>
      <x:c r="AB565" s="8" t="s">
        <x:v>58</x:v>
      </x:c>
      <x:c r="AC565" s="8" t="s">
        <x:v>58</x:v>
      </x:c>
      <x:c r="AD565" s="8" t="s">
        <x:v>58</x:v>
      </x:c>
      <x:c r="AE565" s="8" t="s">
        <x:v>58</x:v>
      </x:c>
      <x:c r="AF565" s="8" t="s">
        <x:v>58</x:v>
      </x:c>
      <x:c r="AG565" s="7" t="s">
        <x:v>58</x:v>
      </x:c>
    </x:row>
    <x:row r="566" ht="79.5" hidden="0" customHeight="1">
      <x:c r="A566" s="7" t="s">
        <x:v>3126</x:v>
      </x:c>
      <x:c r="B566" s="7" t="s">
        <x:v>342</x:v>
      </x:c>
      <x:c r="C566" s="7" t="s">
        <x:v>344</x:v>
      </x:c>
      <x:c r="D566" s="7" t="s">
        <x:v>1945</x:v>
      </x:c>
      <x:c r="E566" s="7" t="s">
        <x:v>3127</x:v>
      </x:c>
      <x:c r="F566" s="7" t="s">
        <x:v>1929</x:v>
      </x:c>
      <x:c r="G566" s="8" t="n">
        <x:v>39</x:v>
      </x:c>
      <x:c r="H566" s="8" t="n">
        <x:v>4</x:v>
      </x:c>
      <x:c r="I566" s="8" t="s">
        <x:v>58</x:v>
      </x:c>
      <x:c r="J566" s="7" t="s">
        <x:v>1919</x:v>
      </x:c>
      <x:c r="K566" s="8" t="n">
        <x:v>1</x:v>
      </x:c>
      <x:c r="L566" s="8" t="n">
        <x:f aca="0">IF(AND(ISNUMBER(G566),P566&lt;&gt;"Unresolved unit / layout"),G566*K566,"Not applicable")</x:f>
        <x:v>39</x:v>
      </x:c>
      <x:c r="M566" s="8" t="n">
        <x:f aca="0">IF(AND(ISNUMBER(H566),P566&lt;&gt;"Unresolved unit / layout"),H566*K566,"Not applicable")</x:f>
        <x:v>4</x:v>
      </x:c>
      <x:c r="N566" s="8" t="str">
        <x:f aca="0">IF(AND(ISNUMBER(I566),P566&lt;&gt;"Unresolved unit / layout"),I566*K566,"Not applicable")</x:f>
        <x:v>Not applicable</x:v>
      </x:c>
      <x:c r="O566" s="7" t="s">
        <x:v>1929</x:v>
      </x:c>
      <x:c r="P566" s="7" t="s">
        <x:v>1921</x:v>
      </x:c>
      <x:c r="Q566" s="7" t="s">
        <x:v>1930</x:v>
      </x:c>
      <x:c r="R566" s="7" t="s">
        <x:v>2003</x:v>
      </x:c>
      <x:c r="S566" s="7" t="s">
        <x:v>2077</x:v>
      </x:c>
      <x:c r="T566" s="7" t="s">
        <x:v>3095</x:v>
      </x:c>
      <x:c r="U566" s="7" t="s">
        <x:v>53</x:v>
      </x:c>
      <x:c r="V566" s="7" t="s">
        <x:v>2020</x:v>
      </x:c>
      <x:c r="W566" s="7" t="s">
        <x:v>58</x:v>
      </x:c>
      <x:c r="X566" s="7" t="s">
        <x:v>3096</x:v>
      </x:c>
      <x:c r="Y566" s="7" t="s">
        <x:v>1204</x:v>
      </x:c>
      <x:c r="Z566" s="7" t="s">
        <x:v>2216</x:v>
      </x:c>
      <x:c r="AA566" s="7" t="s">
        <x:v>58</x:v>
      </x:c>
      <x:c r="AB566" s="8" t="s">
        <x:v>58</x:v>
      </x:c>
      <x:c r="AC566" s="8" t="s">
        <x:v>58</x:v>
      </x:c>
      <x:c r="AD566" s="8" t="s">
        <x:v>58</x:v>
      </x:c>
      <x:c r="AE566" s="8" t="s">
        <x:v>58</x:v>
      </x:c>
      <x:c r="AF566" s="8" t="s">
        <x:v>58</x:v>
      </x:c>
      <x:c r="AG566" s="7" t="s">
        <x:v>58</x:v>
      </x:c>
    </x:row>
    <x:row r="567" ht="79.5" hidden="0" customHeight="1">
      <x:c r="A567" s="7" t="s">
        <x:v>3128</x:v>
      </x:c>
      <x:c r="B567" s="7" t="s">
        <x:v>342</x:v>
      </x:c>
      <x:c r="C567" s="7" t="s">
        <x:v>344</x:v>
      </x:c>
      <x:c r="D567" s="7" t="s">
        <x:v>2030</x:v>
      </x:c>
      <x:c r="E567" s="7" t="s">
        <x:v>3129</x:v>
      </x:c>
      <x:c r="F567" s="7" t="s">
        <x:v>2033</x:v>
      </x:c>
      <x:c r="G567" s="8" t="n">
        <x:v>39.3</x:v>
      </x:c>
      <x:c r="H567" s="8" t="n">
        <x:v>3.6</x:v>
      </x:c>
      <x:c r="I567" s="8" t="s">
        <x:v>58</x:v>
      </x:c>
      <x:c r="J567" s="7" t="s">
        <x:v>1919</x:v>
      </x:c>
      <x:c r="K567" s="8" t="n">
        <x:v>1</x:v>
      </x:c>
      <x:c r="L567" s="8" t="n">
        <x:f aca="0">IF(AND(ISNUMBER(G567),P567&lt;&gt;"Unresolved unit / layout"),G567*K567,"Not applicable")</x:f>
        <x:v>39.3</x:v>
      </x:c>
      <x:c r="M567" s="8" t="n">
        <x:f aca="0">IF(AND(ISNUMBER(H567),P567&lt;&gt;"Unresolved unit / layout"),H567*K567,"Not applicable")</x:f>
        <x:v>3.6</x:v>
      </x:c>
      <x:c r="N567" s="8" t="str">
        <x:f aca="0">IF(AND(ISNUMBER(I567),P567&lt;&gt;"Unresolved unit / layout"),I567*K567,"Not applicable")</x:f>
        <x:v>Not applicable</x:v>
      </x:c>
      <x:c r="O567" s="7" t="s">
        <x:v>2033</x:v>
      </x:c>
      <x:c r="P567" s="7" t="s">
        <x:v>1921</x:v>
      </x:c>
      <x:c r="Q567" s="7" t="s">
        <x:v>1930</x:v>
      </x:c>
      <x:c r="R567" s="7" t="s">
        <x:v>1931</x:v>
      </x:c>
      <x:c r="S567" s="7" t="s">
        <x:v>2077</x:v>
      </x:c>
      <x:c r="T567" s="7" t="s">
        <x:v>3095</x:v>
      </x:c>
      <x:c r="U567" s="7" t="s">
        <x:v>53</x:v>
      </x:c>
      <x:c r="V567" s="7" t="s">
        <x:v>2036</x:v>
      </x:c>
      <x:c r="W567" s="7" t="s">
        <x:v>2135</x:v>
      </x:c>
      <x:c r="X567" s="7" t="s">
        <x:v>3096</x:v>
      </x:c>
      <x:c r="Y567" s="7" t="s">
        <x:v>1204</x:v>
      </x:c>
      <x:c r="Z567" s="7" t="s">
        <x:v>2219</x:v>
      </x:c>
      <x:c r="AA567" s="7" t="s">
        <x:v>58</x:v>
      </x:c>
      <x:c r="AB567" s="8" t="s">
        <x:v>58</x:v>
      </x:c>
      <x:c r="AC567" s="8" t="s">
        <x:v>58</x:v>
      </x:c>
      <x:c r="AD567" s="8" t="s">
        <x:v>58</x:v>
      </x:c>
      <x:c r="AE567" s="8" t="s">
        <x:v>58</x:v>
      </x:c>
      <x:c r="AF567" s="8" t="s">
        <x:v>58</x:v>
      </x:c>
      <x:c r="AG567" s="7" t="s">
        <x:v>58</x:v>
      </x:c>
    </x:row>
    <x:row r="568" ht="79.5" hidden="0" customHeight="1">
      <x:c r="A568" s="7" t="s">
        <x:v>3130</x:v>
      </x:c>
      <x:c r="B568" s="7" t="s">
        <x:v>342</x:v>
      </x:c>
      <x:c r="C568" s="7" t="s">
        <x:v>344</x:v>
      </x:c>
      <x:c r="D568" s="7" t="s">
        <x:v>2030</x:v>
      </x:c>
      <x:c r="E568" s="7" t="s">
        <x:v>3131</x:v>
      </x:c>
      <x:c r="F568" s="7" t="s">
        <x:v>2033</x:v>
      </x:c>
      <x:c r="G568" s="8" t="n">
        <x:v>21.5</x:v>
      </x:c>
      <x:c r="H568" s="8" t="n">
        <x:v>2.2</x:v>
      </x:c>
      <x:c r="I568" s="8" t="s">
        <x:v>58</x:v>
      </x:c>
      <x:c r="J568" s="7" t="s">
        <x:v>1919</x:v>
      </x:c>
      <x:c r="K568" s="8" t="n">
        <x:v>1</x:v>
      </x:c>
      <x:c r="L568" s="8" t="n">
        <x:f aca="0">IF(AND(ISNUMBER(G568),P568&lt;&gt;"Unresolved unit / layout"),G568*K568,"Not applicable")</x:f>
        <x:v>21.5</x:v>
      </x:c>
      <x:c r="M568" s="8" t="n">
        <x:f aca="0">IF(AND(ISNUMBER(H568),P568&lt;&gt;"Unresolved unit / layout"),H568*K568,"Not applicable")</x:f>
        <x:v>2.2</x:v>
      </x:c>
      <x:c r="N568" s="8" t="str">
        <x:f aca="0">IF(AND(ISNUMBER(I568),P568&lt;&gt;"Unresolved unit / layout"),I568*K568,"Not applicable")</x:f>
        <x:v>Not applicable</x:v>
      </x:c>
      <x:c r="O568" s="7" t="s">
        <x:v>2033</x:v>
      </x:c>
      <x:c r="P568" s="7" t="s">
        <x:v>1921</x:v>
      </x:c>
      <x:c r="Q568" s="7" t="s">
        <x:v>1930</x:v>
      </x:c>
      <x:c r="R568" s="7" t="s">
        <x:v>1931</x:v>
      </x:c>
      <x:c r="S568" s="7" t="s">
        <x:v>2077</x:v>
      </x:c>
      <x:c r="T568" s="7" t="s">
        <x:v>3095</x:v>
      </x:c>
      <x:c r="U568" s="7" t="s">
        <x:v>53</x:v>
      </x:c>
      <x:c r="V568" s="7" t="s">
        <x:v>2036</x:v>
      </x:c>
      <x:c r="W568" s="7" t="s">
        <x:v>2139</x:v>
      </x:c>
      <x:c r="X568" s="7" t="s">
        <x:v>3096</x:v>
      </x:c>
      <x:c r="Y568" s="7" t="s">
        <x:v>1204</x:v>
      </x:c>
      <x:c r="Z568" s="7" t="s">
        <x:v>2222</x:v>
      </x:c>
      <x:c r="AA568" s="7" t="s">
        <x:v>58</x:v>
      </x:c>
      <x:c r="AB568" s="8" t="s">
        <x:v>58</x:v>
      </x:c>
      <x:c r="AC568" s="8" t="s">
        <x:v>58</x:v>
      </x:c>
      <x:c r="AD568" s="8" t="s">
        <x:v>58</x:v>
      </x:c>
      <x:c r="AE568" s="8" t="s">
        <x:v>58</x:v>
      </x:c>
      <x:c r="AF568" s="8" t="s">
        <x:v>58</x:v>
      </x:c>
      <x:c r="AG568" s="7" t="s">
        <x:v>58</x:v>
      </x:c>
    </x:row>
    <x:row r="569" ht="79.5" hidden="0" customHeight="1">
      <x:c r="A569" s="7" t="s">
        <x:v>3132</x:v>
      </x:c>
      <x:c r="B569" s="7" t="s">
        <x:v>342</x:v>
      </x:c>
      <x:c r="C569" s="7" t="s">
        <x:v>344</x:v>
      </x:c>
      <x:c r="D569" s="7" t="s">
        <x:v>2030</x:v>
      </x:c>
      <x:c r="E569" s="7" t="s">
        <x:v>3133</x:v>
      </x:c>
      <x:c r="F569" s="7" t="s">
        <x:v>2033</x:v>
      </x:c>
      <x:c r="G569" s="8" t="n">
        <x:v>7.4</x:v>
      </x:c>
      <x:c r="H569" s="8" t="n">
        <x:v>1.2</x:v>
      </x:c>
      <x:c r="I569" s="8" t="s">
        <x:v>58</x:v>
      </x:c>
      <x:c r="J569" s="7" t="s">
        <x:v>1919</x:v>
      </x:c>
      <x:c r="K569" s="8" t="n">
        <x:v>1</x:v>
      </x:c>
      <x:c r="L569" s="8" t="n">
        <x:f aca="0">IF(AND(ISNUMBER(G569),P569&lt;&gt;"Unresolved unit / layout"),G569*K569,"Not applicable")</x:f>
        <x:v>7.4</x:v>
      </x:c>
      <x:c r="M569" s="8" t="n">
        <x:f aca="0">IF(AND(ISNUMBER(H569),P569&lt;&gt;"Unresolved unit / layout"),H569*K569,"Not applicable")</x:f>
        <x:v>1.2</x:v>
      </x:c>
      <x:c r="N569" s="8" t="str">
        <x:f aca="0">IF(AND(ISNUMBER(I569),P569&lt;&gt;"Unresolved unit / layout"),I569*K569,"Not applicable")</x:f>
        <x:v>Not applicable</x:v>
      </x:c>
      <x:c r="O569" s="7" t="s">
        <x:v>2033</x:v>
      </x:c>
      <x:c r="P569" s="7" t="s">
        <x:v>1921</x:v>
      </x:c>
      <x:c r="Q569" s="7" t="s">
        <x:v>1930</x:v>
      </x:c>
      <x:c r="R569" s="7" t="s">
        <x:v>2003</x:v>
      </x:c>
      <x:c r="S569" s="7" t="s">
        <x:v>2077</x:v>
      </x:c>
      <x:c r="T569" s="7" t="s">
        <x:v>3095</x:v>
      </x:c>
      <x:c r="U569" s="7" t="s">
        <x:v>53</x:v>
      </x:c>
      <x:c r="V569" s="7" t="s">
        <x:v>2036</x:v>
      </x:c>
      <x:c r="W569" s="7" t="s">
        <x:v>53</x:v>
      </x:c>
      <x:c r="X569" s="7" t="s">
        <x:v>3096</x:v>
      </x:c>
      <x:c r="Y569" s="7" t="s">
        <x:v>1204</x:v>
      </x:c>
      <x:c r="Z569" s="7" t="s">
        <x:v>2225</x:v>
      </x:c>
      <x:c r="AA569" s="7" t="s">
        <x:v>58</x:v>
      </x:c>
      <x:c r="AB569" s="8" t="s">
        <x:v>58</x:v>
      </x:c>
      <x:c r="AC569" s="8" t="s">
        <x:v>58</x:v>
      </x:c>
      <x:c r="AD569" s="8" t="s">
        <x:v>58</x:v>
      </x:c>
      <x:c r="AE569" s="8" t="s">
        <x:v>58</x:v>
      </x:c>
      <x:c r="AF569" s="8" t="s">
        <x:v>58</x:v>
      </x:c>
      <x:c r="AG569" s="7" t="s">
        <x:v>58</x:v>
      </x:c>
    </x:row>
    <x:row r="570" ht="79.5" hidden="0" customHeight="1">
      <x:c r="A570" s="7" t="s">
        <x:v>3134</x:v>
      </x:c>
      <x:c r="B570" s="7" t="s">
        <x:v>356</x:v>
      </x:c>
      <x:c r="C570" s="7" t="s">
        <x:v>358</x:v>
      </x:c>
      <x:c r="D570" s="7" t="s">
        <x:v>1916</x:v>
      </x:c>
      <x:c r="E570" s="7" t="s">
        <x:v>3135</x:v>
      </x:c>
      <x:c r="F570" s="7" t="s">
        <x:v>2076</x:v>
      </x:c>
      <x:c r="G570" s="8" t="n">
        <x:v>1.08</x:v>
      </x:c>
      <x:c r="H570" s="8" t="s">
        <x:v>58</x:v>
      </x:c>
      <x:c r="I570" s="8" t="s">
        <x:v>58</x:v>
      </x:c>
      <x:c r="J570" s="7" t="s">
        <x:v>1919</x:v>
      </x:c>
      <x:c r="K570" s="8" t="n">
        <x:v>1000</x:v>
      </x:c>
      <x:c r="L570" s="8" t="n">
        <x:f aca="0">IF(AND(ISNUMBER(G570),P570&lt;&gt;"Unresolved unit / layout"),G570*K570,"Not applicable")</x:f>
        <x:v>1080</x:v>
      </x:c>
      <x:c r="M570" s="8" t="str">
        <x:f aca="0">IF(AND(ISNUMBER(H570),P570&lt;&gt;"Unresolved unit / layout"),H570*K570,"Not applicable")</x:f>
        <x:v>Not applicable</x:v>
      </x:c>
      <x:c r="N570" s="8" t="str">
        <x:f aca="0">IF(AND(ISNUMBER(I570),P570&lt;&gt;"Unresolved unit / layout"),I570*K570,"Not applicable")</x:f>
        <x:v>Not applicable</x:v>
      </x:c>
      <x:c r="O570" s="7" t="s">
        <x:v>1920</x:v>
      </x:c>
      <x:c r="P570" s="7" t="s">
        <x:v>1921</x:v>
      </x:c>
      <x:c r="Q570" s="7" t="s">
        <x:v>1922</x:v>
      </x:c>
      <x:c r="R570" s="7" t="s">
        <x:v>58</x:v>
      </x:c>
      <x:c r="S570" s="7" t="s">
        <x:v>2077</x:v>
      </x:c>
      <x:c r="T570" s="7" t="s">
        <x:v>3095</x:v>
      </x:c>
      <x:c r="U570" s="7" t="s">
        <x:v>53</x:v>
      </x:c>
      <x:c r="V570" s="7" t="s">
        <x:v>1923</x:v>
      </x:c>
      <x:c r="W570" s="7" t="s">
        <x:v>58</x:v>
      </x:c>
      <x:c r="X570" s="7" t="s">
        <x:v>3136</x:v>
      </x:c>
      <x:c r="Y570" s="7" t="s">
        <x:v>1205</x:v>
      </x:c>
      <x:c r="Z570" s="7" t="s">
        <x:v>1968</x:v>
      </x:c>
      <x:c r="AA570" s="7" t="s">
        <x:v>58</x:v>
      </x:c>
      <x:c r="AB570" s="8" t="s">
        <x:v>58</x:v>
      </x:c>
      <x:c r="AC570" s="8" t="s">
        <x:v>58</x:v>
      </x:c>
      <x:c r="AD570" s="8" t="s">
        <x:v>58</x:v>
      </x:c>
      <x:c r="AE570" s="8" t="s">
        <x:v>58</x:v>
      </x:c>
      <x:c r="AF570" s="8" t="s">
        <x:v>58</x:v>
      </x:c>
      <x:c r="AG570" s="7" t="s">
        <x:v>58</x:v>
      </x:c>
    </x:row>
    <x:row r="571" ht="79.5" hidden="0" customHeight="1">
      <x:c r="A571" s="7" t="s">
        <x:v>3137</x:v>
      </x:c>
      <x:c r="B571" s="7" t="s">
        <x:v>356</x:v>
      </x:c>
      <x:c r="C571" s="7" t="s">
        <x:v>358</x:v>
      </x:c>
      <x:c r="D571" s="7" t="s">
        <x:v>1974</x:v>
      </x:c>
      <x:c r="E571" s="7" t="s">
        <x:v>3138</x:v>
      </x:c>
      <x:c r="F571" s="7" t="s">
        <x:v>1956</x:v>
      </x:c>
      <x:c r="G571" s="8" t="n">
        <x:v>202</x:v>
      </x:c>
      <x:c r="H571" s="8" t="s">
        <x:v>58</x:v>
      </x:c>
      <x:c r="I571" s="8" t="s">
        <x:v>58</x:v>
      </x:c>
      <x:c r="J571" s="7" t="s">
        <x:v>1919</x:v>
      </x:c>
      <x:c r="K571" s="8" t="n">
        <x:v>1</x:v>
      </x:c>
      <x:c r="L571" s="8" t="n">
        <x:f aca="0">IF(AND(ISNUMBER(G571),P571&lt;&gt;"Unresolved unit / layout"),G571*K571,"Not applicable")</x:f>
        <x:v>202</x:v>
      </x:c>
      <x:c r="M571" s="8" t="str">
        <x:f aca="0">IF(AND(ISNUMBER(H571),P571&lt;&gt;"Unresolved unit / layout"),H571*K571,"Not applicable")</x:f>
        <x:v>Not applicable</x:v>
      </x:c>
      <x:c r="N571" s="8" t="str">
        <x:f aca="0">IF(AND(ISNUMBER(I571),P571&lt;&gt;"Unresolved unit / layout"),I571*K571,"Not applicable")</x:f>
        <x:v>Not applicable</x:v>
      </x:c>
      <x:c r="O571" s="7" t="s">
        <x:v>1956</x:v>
      </x:c>
      <x:c r="P571" s="7" t="s">
        <x:v>1921</x:v>
      </x:c>
      <x:c r="Q571" s="7" t="s">
        <x:v>2064</x:v>
      </x:c>
      <x:c r="R571" s="7" t="s">
        <x:v>58</x:v>
      </x:c>
      <x:c r="S571" s="7" t="s">
        <x:v>2077</x:v>
      </x:c>
      <x:c r="T571" s="7" t="s">
        <x:v>3095</x:v>
      </x:c>
      <x:c r="U571" s="7" t="s">
        <x:v>53</x:v>
      </x:c>
      <x:c r="V571" s="7" t="s">
        <x:v>2082</x:v>
      </x:c>
      <x:c r="W571" s="7" t="s">
        <x:v>58</x:v>
      </x:c>
      <x:c r="X571" s="7" t="s">
        <x:v>3136</x:v>
      </x:c>
      <x:c r="Y571" s="7" t="s">
        <x:v>1205</x:v>
      </x:c>
      <x:c r="Z571" s="7" t="s">
        <x:v>2083</x:v>
      </x:c>
      <x:c r="AA571" s="7" t="s">
        <x:v>58</x:v>
      </x:c>
      <x:c r="AB571" s="8" t="s">
        <x:v>58</x:v>
      </x:c>
      <x:c r="AC571" s="8" t="s">
        <x:v>58</x:v>
      </x:c>
      <x:c r="AD571" s="8" t="s">
        <x:v>58</x:v>
      </x:c>
      <x:c r="AE571" s="8" t="s">
        <x:v>58</x:v>
      </x:c>
      <x:c r="AF571" s="8" t="s">
        <x:v>58</x:v>
      </x:c>
      <x:c r="AG571" s="7" t="s">
        <x:v>58</x:v>
      </x:c>
    </x:row>
    <x:row r="572" ht="79.5" hidden="0" customHeight="1">
      <x:c r="A572" s="7" t="s">
        <x:v>3139</x:v>
      </x:c>
      <x:c r="B572" s="7" t="s">
        <x:v>356</x:v>
      </x:c>
      <x:c r="C572" s="7" t="s">
        <x:v>358</x:v>
      </x:c>
      <x:c r="D572" s="7" t="s">
        <x:v>1954</x:v>
      </x:c>
      <x:c r="E572" s="7" t="s">
        <x:v>1995</x:v>
      </x:c>
      <x:c r="F572" s="7" t="s">
        <x:v>1956</x:v>
      </x:c>
      <x:c r="G572" s="8" t="s">
        <x:v>53</x:v>
      </x:c>
      <x:c r="H572" s="8" t="s">
        <x:v>58</x:v>
      </x:c>
      <x:c r="I572" s="8" t="s">
        <x:v>58</x:v>
      </x:c>
      <x:c r="J572" s="7" t="s">
        <x:v>58</x:v>
      </x:c>
      <x:c r="K572" s="8" t="n">
        <x:v>1</x:v>
      </x:c>
      <x:c r="L572" s="8" t="str">
        <x:f aca="0">IF(AND(ISNUMBER(G572),P572&lt;&gt;"Unresolved unit / layout"),G572*K572,"Not published")</x:f>
        <x:v>Not published</x:v>
      </x:c>
      <x:c r="M572" s="8" t="str">
        <x:f aca="0">IF(AND(ISNUMBER(H572),P572&lt;&gt;"Unresolved unit / layout"),H572*K572,"Not applicable")</x:f>
        <x:v>Not applicable</x:v>
      </x:c>
      <x:c r="N572" s="8" t="str">
        <x:f aca="0">IF(AND(ISNUMBER(I572),P572&lt;&gt;"Unresolved unit / layout"),I572*K572,"Not applicable")</x:f>
        <x:v>Not applicable</x:v>
      </x:c>
      <x:c r="O572" s="7" t="s">
        <x:v>1956</x:v>
      </x:c>
      <x:c r="P572" s="7" t="s">
        <x:v>53</x:v>
      </x:c>
      <x:c r="Q572" s="7" t="s">
        <x:v>2064</x:v>
      </x:c>
      <x:c r="R572" s="7" t="s">
        <x:v>58</x:v>
      </x:c>
      <x:c r="S572" s="7" t="s">
        <x:v>2077</x:v>
      </x:c>
      <x:c r="T572" s="7" t="s">
        <x:v>3095</x:v>
      </x:c>
      <x:c r="U572" s="7" t="s">
        <x:v>53</x:v>
      </x:c>
      <x:c r="V572" s="7" t="s">
        <x:v>3140</x:v>
      </x:c>
      <x:c r="W572" s="7" t="s">
        <x:v>58</x:v>
      </x:c>
      <x:c r="X572" s="7" t="s">
        <x:v>3136</x:v>
      </x:c>
      <x:c r="Y572" s="7" t="s">
        <x:v>1205</x:v>
      </x:c>
      <x:c r="Z572" s="7" t="s">
        <x:v>3141</x:v>
      </x:c>
      <x:c r="AA572" s="7" t="s">
        <x:v>58</x:v>
      </x:c>
      <x:c r="AB572" s="8" t="s">
        <x:v>58</x:v>
      </x:c>
      <x:c r="AC572" s="8" t="s">
        <x:v>58</x:v>
      </x:c>
      <x:c r="AD572" s="8" t="s">
        <x:v>58</x:v>
      </x:c>
      <x:c r="AE572" s="8" t="s">
        <x:v>58</x:v>
      </x:c>
      <x:c r="AF572" s="8" t="s">
        <x:v>58</x:v>
      </x:c>
      <x:c r="AG572" s="7" t="s">
        <x:v>58</x:v>
      </x:c>
    </x:row>
    <x:row r="573" ht="79.5" hidden="0" customHeight="1">
      <x:c r="A573" s="7" t="s">
        <x:v>3142</x:v>
      </x:c>
      <x:c r="B573" s="7" t="s">
        <x:v>356</x:v>
      </x:c>
      <x:c r="C573" s="7" t="s">
        <x:v>358</x:v>
      </x:c>
      <x:c r="D573" s="7" t="s">
        <x:v>1978</x:v>
      </x:c>
      <x:c r="E573" s="7" t="s">
        <x:v>1995</x:v>
      </x:c>
      <x:c r="F573" s="7" t="s">
        <x:v>1956</x:v>
      </x:c>
      <x:c r="G573" s="8" t="s">
        <x:v>53</x:v>
      </x:c>
      <x:c r="H573" s="8" t="s">
        <x:v>58</x:v>
      </x:c>
      <x:c r="I573" s="8" t="s">
        <x:v>58</x:v>
      </x:c>
      <x:c r="J573" s="7" t="s">
        <x:v>58</x:v>
      </x:c>
      <x:c r="K573" s="8" t="n">
        <x:v>1</x:v>
      </x:c>
      <x:c r="L573" s="8" t="str">
        <x:f aca="0">IF(AND(ISNUMBER(G573),P573&lt;&gt;"Unresolved unit / layout"),G573*K573,"Not published")</x:f>
        <x:v>Not published</x:v>
      </x:c>
      <x:c r="M573" s="8" t="str">
        <x:f aca="0">IF(AND(ISNUMBER(H573),P573&lt;&gt;"Unresolved unit / layout"),H573*K573,"Not applicable")</x:f>
        <x:v>Not applicable</x:v>
      </x:c>
      <x:c r="N573" s="8" t="str">
        <x:f aca="0">IF(AND(ISNUMBER(I573),P573&lt;&gt;"Unresolved unit / layout"),I573*K573,"Not applicable")</x:f>
        <x:v>Not applicable</x:v>
      </x:c>
      <x:c r="O573" s="7" t="s">
        <x:v>1956</x:v>
      </x:c>
      <x:c r="P573" s="7" t="s">
        <x:v>53</x:v>
      </x:c>
      <x:c r="Q573" s="7" t="s">
        <x:v>2064</x:v>
      </x:c>
      <x:c r="R573" s="7" t="s">
        <x:v>58</x:v>
      </x:c>
      <x:c r="S573" s="7" t="s">
        <x:v>2077</x:v>
      </x:c>
      <x:c r="T573" s="7" t="s">
        <x:v>3095</x:v>
      </x:c>
      <x:c r="U573" s="7" t="s">
        <x:v>53</x:v>
      </x:c>
      <x:c r="V573" s="7" t="s">
        <x:v>2351</x:v>
      </x:c>
      <x:c r="W573" s="7" t="s">
        <x:v>58</x:v>
      </x:c>
      <x:c r="X573" s="7" t="s">
        <x:v>3136</x:v>
      </x:c>
      <x:c r="Y573" s="7" t="s">
        <x:v>1205</x:v>
      </x:c>
      <x:c r="Z573" s="7" t="s">
        <x:v>2188</x:v>
      </x:c>
      <x:c r="AA573" s="7" t="s">
        <x:v>58</x:v>
      </x:c>
      <x:c r="AB573" s="8" t="s">
        <x:v>58</x:v>
      </x:c>
      <x:c r="AC573" s="8" t="s">
        <x:v>58</x:v>
      </x:c>
      <x:c r="AD573" s="8" t="s">
        <x:v>58</x:v>
      </x:c>
      <x:c r="AE573" s="8" t="s">
        <x:v>58</x:v>
      </x:c>
      <x:c r="AF573" s="8" t="s">
        <x:v>58</x:v>
      </x:c>
      <x:c r="AG573" s="7" t="s">
        <x:v>58</x:v>
      </x:c>
    </x:row>
    <x:row r="574" ht="79.5" hidden="0" customHeight="1">
      <x:c r="A574" s="7" t="s">
        <x:v>3143</x:v>
      </x:c>
      <x:c r="B574" s="7" t="s">
        <x:v>356</x:v>
      </x:c>
      <x:c r="C574" s="7" t="s">
        <x:v>358</x:v>
      </x:c>
      <x:c r="D574" s="7" t="s">
        <x:v>1982</x:v>
      </x:c>
      <x:c r="E574" s="7" t="s">
        <x:v>3144</x:v>
      </x:c>
      <x:c r="F574" s="7" t="s">
        <x:v>1956</x:v>
      </x:c>
      <x:c r="G574" s="8" t="n">
        <x:v>103</x:v>
      </x:c>
      <x:c r="H574" s="8" t="s">
        <x:v>58</x:v>
      </x:c>
      <x:c r="I574" s="8" t="s">
        <x:v>58</x:v>
      </x:c>
      <x:c r="J574" s="7" t="s">
        <x:v>1919</x:v>
      </x:c>
      <x:c r="K574" s="8" t="n">
        <x:v>1</x:v>
      </x:c>
      <x:c r="L574" s="8" t="n">
        <x:f aca="0">IF(AND(ISNUMBER(G574),P574&lt;&gt;"Unresolved unit / layout"),G574*K574,"Not applicable")</x:f>
        <x:v>103</x:v>
      </x:c>
      <x:c r="M574" s="8" t="str">
        <x:f aca="0">IF(AND(ISNUMBER(H574),P574&lt;&gt;"Unresolved unit / layout"),H574*K574,"Not applicable")</x:f>
        <x:v>Not applicable</x:v>
      </x:c>
      <x:c r="N574" s="8" t="str">
        <x:f aca="0">IF(AND(ISNUMBER(I574),P574&lt;&gt;"Unresolved unit / layout"),I574*K574,"Not applicable")</x:f>
        <x:v>Not applicable</x:v>
      </x:c>
      <x:c r="O574" s="7" t="s">
        <x:v>1956</x:v>
      </x:c>
      <x:c r="P574" s="7" t="s">
        <x:v>1921</x:v>
      </x:c>
      <x:c r="Q574" s="7" t="s">
        <x:v>2064</x:v>
      </x:c>
      <x:c r="R574" s="7" t="s">
        <x:v>58</x:v>
      </x:c>
      <x:c r="S574" s="7" t="s">
        <x:v>2077</x:v>
      </x:c>
      <x:c r="T574" s="7" t="s">
        <x:v>3095</x:v>
      </x:c>
      <x:c r="U574" s="7" t="s">
        <x:v>53</x:v>
      </x:c>
      <x:c r="V574" s="7" t="s">
        <x:v>1984</x:v>
      </x:c>
      <x:c r="W574" s="7" t="s">
        <x:v>58</x:v>
      </x:c>
      <x:c r="X574" s="7" t="s">
        <x:v>3136</x:v>
      </x:c>
      <x:c r="Y574" s="7" t="s">
        <x:v>1205</x:v>
      </x:c>
      <x:c r="Z574" s="7" t="s">
        <x:v>2092</x:v>
      </x:c>
      <x:c r="AA574" s="7" t="s">
        <x:v>58</x:v>
      </x:c>
      <x:c r="AB574" s="8" t="s">
        <x:v>58</x:v>
      </x:c>
      <x:c r="AC574" s="8" t="s">
        <x:v>58</x:v>
      </x:c>
      <x:c r="AD574" s="8" t="s">
        <x:v>58</x:v>
      </x:c>
      <x:c r="AE574" s="8" t="s">
        <x:v>58</x:v>
      </x:c>
      <x:c r="AF574" s="8" t="s">
        <x:v>58</x:v>
      </x:c>
      <x:c r="AG574" s="7" t="s">
        <x:v>58</x:v>
      </x:c>
    </x:row>
    <x:row r="575" ht="79.5" hidden="0" customHeight="1">
      <x:c r="A575" s="7" t="s">
        <x:v>3145</x:v>
      </x:c>
      <x:c r="B575" s="7" t="s">
        <x:v>356</x:v>
      </x:c>
      <x:c r="C575" s="7" t="s">
        <x:v>358</x:v>
      </x:c>
      <x:c r="D575" s="7" t="s">
        <x:v>1959</x:v>
      </x:c>
      <x:c r="E575" s="7" t="s">
        <x:v>3146</x:v>
      </x:c>
      <x:c r="F575" s="7" t="s">
        <x:v>1956</x:v>
      </x:c>
      <x:c r="G575" s="8" t="n">
        <x:v>88</x:v>
      </x:c>
      <x:c r="H575" s="8" t="s">
        <x:v>58</x:v>
      </x:c>
      <x:c r="I575" s="8" t="s">
        <x:v>58</x:v>
      </x:c>
      <x:c r="J575" s="7" t="s">
        <x:v>1919</x:v>
      </x:c>
      <x:c r="K575" s="8" t="n">
        <x:v>1</x:v>
      </x:c>
      <x:c r="L575" s="8" t="n">
        <x:f aca="0">IF(AND(ISNUMBER(G575),P575&lt;&gt;"Unresolved unit / layout"),G575*K575,"Not applicable")</x:f>
        <x:v>88</x:v>
      </x:c>
      <x:c r="M575" s="8" t="str">
        <x:f aca="0">IF(AND(ISNUMBER(H575),P575&lt;&gt;"Unresolved unit / layout"),H575*K575,"Not applicable")</x:f>
        <x:v>Not applicable</x:v>
      </x:c>
      <x:c r="N575" s="8" t="str">
        <x:f aca="0">IF(AND(ISNUMBER(I575),P575&lt;&gt;"Unresolved unit / layout"),I575*K575,"Not applicable")</x:f>
        <x:v>Not applicable</x:v>
      </x:c>
      <x:c r="O575" s="7" t="s">
        <x:v>1956</x:v>
      </x:c>
      <x:c r="P575" s="7" t="s">
        <x:v>1921</x:v>
      </x:c>
      <x:c r="Q575" s="7" t="s">
        <x:v>2064</x:v>
      </x:c>
      <x:c r="R575" s="7" t="s">
        <x:v>58</x:v>
      </x:c>
      <x:c r="S575" s="7" t="s">
        <x:v>2077</x:v>
      </x:c>
      <x:c r="T575" s="7" t="s">
        <x:v>3095</x:v>
      </x:c>
      <x:c r="U575" s="7" t="s">
        <x:v>53</x:v>
      </x:c>
      <x:c r="V575" s="7" t="s">
        <x:v>2095</x:v>
      </x:c>
      <x:c r="W575" s="7" t="s">
        <x:v>58</x:v>
      </x:c>
      <x:c r="X575" s="7" t="s">
        <x:v>3136</x:v>
      </x:c>
      <x:c r="Y575" s="7" t="s">
        <x:v>1205</x:v>
      </x:c>
      <x:c r="Z575" s="7" t="s">
        <x:v>2096</x:v>
      </x:c>
      <x:c r="AA575" s="7" t="s">
        <x:v>58</x:v>
      </x:c>
      <x:c r="AB575" s="8" t="s">
        <x:v>58</x:v>
      </x:c>
      <x:c r="AC575" s="8" t="s">
        <x:v>58</x:v>
      </x:c>
      <x:c r="AD575" s="8" t="s">
        <x:v>58</x:v>
      </x:c>
      <x:c r="AE575" s="8" t="s">
        <x:v>58</x:v>
      </x:c>
      <x:c r="AF575" s="8" t="s">
        <x:v>58</x:v>
      </x:c>
      <x:c r="AG575" s="7" t="s">
        <x:v>58</x:v>
      </x:c>
    </x:row>
    <x:row r="576" ht="79.5" hidden="0" customHeight="1">
      <x:c r="A576" s="7" t="s">
        <x:v>363</x:v>
      </x:c>
      <x:c r="B576" s="7" t="s">
        <x:v>356</x:v>
      </x:c>
      <x:c r="C576" s="7" t="s">
        <x:v>358</x:v>
      </x:c>
      <x:c r="D576" s="7" t="s">
        <x:v>1959</x:v>
      </x:c>
      <x:c r="E576" s="7" t="s">
        <x:v>3147</x:v>
      </x:c>
      <x:c r="F576" s="7" t="s">
        <x:v>1956</x:v>
      </x:c>
      <x:c r="G576" s="8" t="n">
        <x:v>99</x:v>
      </x:c>
      <x:c r="H576" s="8" t="s">
        <x:v>58</x:v>
      </x:c>
      <x:c r="I576" s="8" t="s">
        <x:v>58</x:v>
      </x:c>
      <x:c r="J576" s="7" t="s">
        <x:v>1919</x:v>
      </x:c>
      <x:c r="K576" s="8" t="n">
        <x:v>1</x:v>
      </x:c>
      <x:c r="L576" s="8" t="n">
        <x:f aca="0">IF(AND(ISNUMBER(G576),P576&lt;&gt;"Unresolved unit / layout"),G576*K576,"Not applicable")</x:f>
        <x:v>99</x:v>
      </x:c>
      <x:c r="M576" s="8" t="str">
        <x:f aca="0">IF(AND(ISNUMBER(H576),P576&lt;&gt;"Unresolved unit / layout"),H576*K576,"Not applicable")</x:f>
        <x:v>Not applicable</x:v>
      </x:c>
      <x:c r="N576" s="8" t="str">
        <x:f aca="0">IF(AND(ISNUMBER(I576),P576&lt;&gt;"Unresolved unit / layout"),I576*K576,"Not applicable")</x:f>
        <x:v>Not applicable</x:v>
      </x:c>
      <x:c r="O576" s="7" t="s">
        <x:v>1956</x:v>
      </x:c>
      <x:c r="P576" s="7" t="s">
        <x:v>1921</x:v>
      </x:c>
      <x:c r="Q576" s="7" t="s">
        <x:v>2064</x:v>
      </x:c>
      <x:c r="R576" s="7" t="s">
        <x:v>58</x:v>
      </x:c>
      <x:c r="S576" s="7" t="s">
        <x:v>2077</x:v>
      </x:c>
      <x:c r="T576" s="7" t="s">
        <x:v>3095</x:v>
      </x:c>
      <x:c r="U576" s="7" t="s">
        <x:v>53</x:v>
      </x:c>
      <x:c r="V576" s="7" t="s">
        <x:v>2097</x:v>
      </x:c>
      <x:c r="W576" s="7" t="s">
        <x:v>58</x:v>
      </x:c>
      <x:c r="X576" s="7" t="s">
        <x:v>3136</x:v>
      </x:c>
      <x:c r="Y576" s="7" t="s">
        <x:v>1205</x:v>
      </x:c>
      <x:c r="Z576" s="7" t="s">
        <x:v>2096</x:v>
      </x:c>
      <x:c r="AA576" s="7" t="s">
        <x:v>58</x:v>
      </x:c>
      <x:c r="AB576" s="8" t="s">
        <x:v>58</x:v>
      </x:c>
      <x:c r="AC576" s="8" t="s">
        <x:v>58</x:v>
      </x:c>
      <x:c r="AD576" s="8" t="s">
        <x:v>58</x:v>
      </x:c>
      <x:c r="AE576" s="8" t="s">
        <x:v>58</x:v>
      </x:c>
      <x:c r="AF576" s="8" t="s">
        <x:v>58</x:v>
      </x:c>
      <x:c r="AG576" s="7" t="s">
        <x:v>58</x:v>
      </x:c>
    </x:row>
    <x:row r="577" ht="79.5" hidden="0" customHeight="1">
      <x:c r="A577" s="7" t="s">
        <x:v>3148</x:v>
      </x:c>
      <x:c r="B577" s="7" t="s">
        <x:v>356</x:v>
      </x:c>
      <x:c r="C577" s="7" t="s">
        <x:v>358</x:v>
      </x:c>
      <x:c r="D577" s="7" t="s">
        <x:v>2099</x:v>
      </x:c>
      <x:c r="E577" s="7" t="s">
        <x:v>3149</x:v>
      </x:c>
      <x:c r="F577" s="7" t="s">
        <x:v>1942</x:v>
      </x:c>
      <x:c r="G577" s="8" t="n">
        <x:v>0.53</x:v>
      </x:c>
      <x:c r="H577" s="8" t="s">
        <x:v>58</x:v>
      </x:c>
      <x:c r="I577" s="8" t="s">
        <x:v>58</x:v>
      </x:c>
      <x:c r="J577" s="7" t="s">
        <x:v>1919</x:v>
      </x:c>
      <x:c r="K577" s="8" t="n">
        <x:v>1</x:v>
      </x:c>
      <x:c r="L577" s="8" t="n">
        <x:f aca="0">IF(AND(ISNUMBER(G577),P577&lt;&gt;"Unresolved unit / layout"),G577*K577,"Not applicable")</x:f>
        <x:v>0.53</x:v>
      </x:c>
      <x:c r="M577" s="8" t="str">
        <x:f aca="0">IF(AND(ISNUMBER(H577),P577&lt;&gt;"Unresolved unit / layout"),H577*K577,"Not applicable")</x:f>
        <x:v>Not applicable</x:v>
      </x:c>
      <x:c r="N577" s="8" t="str">
        <x:f aca="0">IF(AND(ISNUMBER(I577),P577&lt;&gt;"Unresolved unit / layout"),I577*K577,"Not applicable")</x:f>
        <x:v>Not applicable</x:v>
      </x:c>
      <x:c r="O577" s="7" t="s">
        <x:v>1942</x:v>
      </x:c>
      <x:c r="P577" s="7" t="s">
        <x:v>1921</x:v>
      </x:c>
      <x:c r="Q577" s="7" t="s">
        <x:v>2064</x:v>
      </x:c>
      <x:c r="R577" s="7" t="s">
        <x:v>58</x:v>
      </x:c>
      <x:c r="S577" s="7" t="s">
        <x:v>2077</x:v>
      </x:c>
      <x:c r="T577" s="7" t="s">
        <x:v>3095</x:v>
      </x:c>
      <x:c r="U577" s="7" t="s">
        <x:v>53</x:v>
      </x:c>
      <x:c r="V577" s="7" t="s">
        <x:v>2238</x:v>
      </x:c>
      <x:c r="W577" s="7" t="s">
        <x:v>58</x:v>
      </x:c>
      <x:c r="X577" s="7" t="s">
        <x:v>3136</x:v>
      </x:c>
      <x:c r="Y577" s="7" t="s">
        <x:v>1205</x:v>
      </x:c>
      <x:c r="Z577" s="7" t="s">
        <x:v>2239</x:v>
      </x:c>
      <x:c r="AA577" s="7" t="s">
        <x:v>58</x:v>
      </x:c>
      <x:c r="AB577" s="8" t="s">
        <x:v>58</x:v>
      </x:c>
      <x:c r="AC577" s="8" t="s">
        <x:v>58</x:v>
      </x:c>
      <x:c r="AD577" s="8" t="s">
        <x:v>58</x:v>
      </x:c>
      <x:c r="AE577" s="8" t="s">
        <x:v>58</x:v>
      </x:c>
      <x:c r="AF577" s="8" t="s">
        <x:v>58</x:v>
      </x:c>
      <x:c r="AG577" s="7" t="s">
        <x:v>58</x:v>
      </x:c>
    </x:row>
    <x:row r="578" ht="79.5" hidden="0" customHeight="1">
      <x:c r="A578" s="7" t="s">
        <x:v>3150</x:v>
      </x:c>
      <x:c r="B578" s="7" t="s">
        <x:v>356</x:v>
      </x:c>
      <x:c r="C578" s="7" t="s">
        <x:v>358</x:v>
      </x:c>
      <x:c r="D578" s="7" t="s">
        <x:v>1935</x:v>
      </x:c>
      <x:c r="E578" s="7" t="s">
        <x:v>3151</x:v>
      </x:c>
      <x:c r="F578" s="7" t="s">
        <x:v>1929</x:v>
      </x:c>
      <x:c r="G578" s="8" t="n">
        <x:v>3160</x:v>
      </x:c>
      <x:c r="H578" s="8" t="n">
        <x:v>170</x:v>
      </x:c>
      <x:c r="I578" s="8" t="s">
        <x:v>58</x:v>
      </x:c>
      <x:c r="J578" s="7" t="s">
        <x:v>1919</x:v>
      </x:c>
      <x:c r="K578" s="8" t="n">
        <x:v>0.001</x:v>
      </x:c>
      <x:c r="L578" s="8" t="n">
        <x:f aca="0">IF(AND(ISNUMBER(G578),P578&lt;&gt;"Unresolved unit / layout"),G578*K578,"Not applicable")</x:f>
        <x:v>3.16</x:v>
      </x:c>
      <x:c r="M578" s="8" t="n">
        <x:f aca="0">IF(AND(ISNUMBER(H578),P578&lt;&gt;"Unresolved unit / layout"),H578*K578,"Not applicable")</x:f>
        <x:v>0.17</x:v>
      </x:c>
      <x:c r="N578" s="8" t="str">
        <x:f aca="0">IF(AND(ISNUMBER(I578),P578&lt;&gt;"Unresolved unit / layout"),I578*K578,"Not applicable")</x:f>
        <x:v>Not applicable</x:v>
      </x:c>
      <x:c r="O578" s="7" t="s">
        <x:v>1937</x:v>
      </x:c>
      <x:c r="P578" s="7" t="s">
        <x:v>1921</x:v>
      </x:c>
      <x:c r="Q578" s="7" t="s">
        <x:v>2064</x:v>
      </x:c>
      <x:c r="R578" s="7" t="s">
        <x:v>1931</x:v>
      </x:c>
      <x:c r="S578" s="7" t="s">
        <x:v>2077</x:v>
      </x:c>
      <x:c r="T578" s="7" t="s">
        <x:v>3095</x:v>
      </x:c>
      <x:c r="U578" s="7" t="s">
        <x:v>53</x:v>
      </x:c>
      <x:c r="V578" s="7" t="s">
        <x:v>1999</x:v>
      </x:c>
      <x:c r="W578" s="7" t="s">
        <x:v>58</x:v>
      </x:c>
      <x:c r="X578" s="7" t="s">
        <x:v>3136</x:v>
      </x:c>
      <x:c r="Y578" s="7" t="s">
        <x:v>1205</x:v>
      </x:c>
      <x:c r="Z578" s="7" t="s">
        <x:v>2105</x:v>
      </x:c>
      <x:c r="AA578" s="7" t="s">
        <x:v>58</x:v>
      </x:c>
      <x:c r="AB578" s="8" t="s">
        <x:v>58</x:v>
      </x:c>
      <x:c r="AC578" s="8" t="s">
        <x:v>58</x:v>
      </x:c>
      <x:c r="AD578" s="8" t="s">
        <x:v>58</x:v>
      </x:c>
      <x:c r="AE578" s="8" t="s">
        <x:v>58</x:v>
      </x:c>
      <x:c r="AF578" s="8" t="s">
        <x:v>58</x:v>
      </x:c>
      <x:c r="AG578" s="7" t="s">
        <x:v>58</x:v>
      </x:c>
    </x:row>
    <x:row r="579" ht="79.5" hidden="0" customHeight="1">
      <x:c r="A579" s="7" t="s">
        <x:v>3152</x:v>
      </x:c>
      <x:c r="B579" s="7" t="s">
        <x:v>356</x:v>
      </x:c>
      <x:c r="C579" s="7" t="s">
        <x:v>358</x:v>
      </x:c>
      <x:c r="D579" s="7" t="s">
        <x:v>1935</x:v>
      </x:c>
      <x:c r="E579" s="7" t="s">
        <x:v>3153</x:v>
      </x:c>
      <x:c r="F579" s="7" t="s">
        <x:v>3111</x:v>
      </x:c>
      <x:c r="G579" s="8" t="n">
        <x:v>2250</x:v>
      </x:c>
      <x:c r="H579" s="8" t="n">
        <x:v>130</x:v>
      </x:c>
      <x:c r="I579" s="8" t="s">
        <x:v>58</x:v>
      </x:c>
      <x:c r="J579" s="7" t="s">
        <x:v>1919</x:v>
      </x:c>
      <x:c r="K579" s="8" t="n">
        <x:v>0.001</x:v>
      </x:c>
      <x:c r="L579" s="8" t="n">
        <x:f aca="0">IF(AND(ISNUMBER(G579),P579&lt;&gt;"Unresolved unit / layout"),G579*K579,"Not applicable")</x:f>
        <x:v>2.25</x:v>
      </x:c>
      <x:c r="M579" s="8" t="n">
        <x:f aca="0">IF(AND(ISNUMBER(H579),P579&lt;&gt;"Unresolved unit / layout"),H579*K579,"Not applicable")</x:f>
        <x:v>0.13</x:v>
      </x:c>
      <x:c r="N579" s="8" t="str">
        <x:f aca="0">IF(AND(ISNUMBER(I579),P579&lt;&gt;"Unresolved unit / layout"),I579*K579,"Not applicable")</x:f>
        <x:v>Not applicable</x:v>
      </x:c>
      <x:c r="O579" s="7" t="s">
        <x:v>1937</x:v>
      </x:c>
      <x:c r="P579" s="7" t="s">
        <x:v>1921</x:v>
      </x:c>
      <x:c r="Q579" s="7" t="s">
        <x:v>2064</x:v>
      </x:c>
      <x:c r="R579" s="7" t="s">
        <x:v>2003</x:v>
      </x:c>
      <x:c r="S579" s="7" t="s">
        <x:v>2077</x:v>
      </x:c>
      <x:c r="T579" s="7" t="s">
        <x:v>3095</x:v>
      </x:c>
      <x:c r="U579" s="7" t="s">
        <x:v>53</x:v>
      </x:c>
      <x:c r="V579" s="7" t="s">
        <x:v>1999</x:v>
      </x:c>
      <x:c r="W579" s="7" t="s">
        <x:v>58</x:v>
      </x:c>
      <x:c r="X579" s="7" t="s">
        <x:v>3136</x:v>
      </x:c>
      <x:c r="Y579" s="7" t="s">
        <x:v>1205</x:v>
      </x:c>
      <x:c r="Z579" s="7" t="s">
        <x:v>2108</x:v>
      </x:c>
      <x:c r="AA579" s="7" t="s">
        <x:v>58</x:v>
      </x:c>
      <x:c r="AB579" s="8" t="s">
        <x:v>58</x:v>
      </x:c>
      <x:c r="AC579" s="8" t="s">
        <x:v>58</x:v>
      </x:c>
      <x:c r="AD579" s="8" t="s">
        <x:v>58</x:v>
      </x:c>
      <x:c r="AE579" s="8" t="s">
        <x:v>58</x:v>
      </x:c>
      <x:c r="AF579" s="8" t="s">
        <x:v>58</x:v>
      </x:c>
      <x:c r="AG579" s="7" t="s">
        <x:v>58</x:v>
      </x:c>
    </x:row>
    <x:row r="580" ht="79.5" hidden="0" customHeight="1">
      <x:c r="A580" s="7" t="s">
        <x:v>3154</x:v>
      </x:c>
      <x:c r="B580" s="7" t="s">
        <x:v>356</x:v>
      </x:c>
      <x:c r="C580" s="7" t="s">
        <x:v>358</x:v>
      </x:c>
      <x:c r="D580" s="7" t="s">
        <x:v>2006</x:v>
      </x:c>
      <x:c r="E580" s="7" t="s">
        <x:v>3155</x:v>
      </x:c>
      <x:c r="F580" s="7" t="s">
        <x:v>1929</x:v>
      </x:c>
      <x:c r="G580" s="8" t="n">
        <x:v>36</x:v>
      </x:c>
      <x:c r="H580" s="8" t="n">
        <x:v>3</x:v>
      </x:c>
      <x:c r="I580" s="8" t="s">
        <x:v>58</x:v>
      </x:c>
      <x:c r="J580" s="7" t="s">
        <x:v>1919</x:v>
      </x:c>
      <x:c r="K580" s="8" t="n">
        <x:v>1</x:v>
      </x:c>
      <x:c r="L580" s="8" t="n">
        <x:f aca="0">IF(AND(ISNUMBER(G580),P580&lt;&gt;"Unresolved unit / layout"),G580*K580,"Not applicable")</x:f>
        <x:v>36</x:v>
      </x:c>
      <x:c r="M580" s="8" t="n">
        <x:f aca="0">IF(AND(ISNUMBER(H580),P580&lt;&gt;"Unresolved unit / layout"),H580*K580,"Not applicable")</x:f>
        <x:v>3</x:v>
      </x:c>
      <x:c r="N580" s="8" t="str">
        <x:f aca="0">IF(AND(ISNUMBER(I580),P580&lt;&gt;"Unresolved unit / layout"),I580*K580,"Not applicable")</x:f>
        <x:v>Not applicable</x:v>
      </x:c>
      <x:c r="O580" s="7" t="s">
        <x:v>1929</x:v>
      </x:c>
      <x:c r="P580" s="7" t="s">
        <x:v>1921</x:v>
      </x:c>
      <x:c r="Q580" s="7" t="s">
        <x:v>2064</x:v>
      </x:c>
      <x:c r="R580" s="7" t="s">
        <x:v>1931</x:v>
      </x:c>
      <x:c r="S580" s="7" t="s">
        <x:v>2077</x:v>
      </x:c>
      <x:c r="T580" s="7" t="s">
        <x:v>3095</x:v>
      </x:c>
      <x:c r="U580" s="7" t="s">
        <x:v>53</x:v>
      </x:c>
      <x:c r="V580" s="7" t="s">
        <x:v>1999</x:v>
      </x:c>
      <x:c r="W580" s="7" t="s">
        <x:v>58</x:v>
      </x:c>
      <x:c r="X580" s="7" t="s">
        <x:v>3136</x:v>
      </x:c>
      <x:c r="Y580" s="7" t="s">
        <x:v>1205</x:v>
      </x:c>
      <x:c r="Z580" s="7" t="s">
        <x:v>2111</x:v>
      </x:c>
      <x:c r="AA580" s="7" t="s">
        <x:v>58</x:v>
      </x:c>
      <x:c r="AB580" s="8" t="s">
        <x:v>58</x:v>
      </x:c>
      <x:c r="AC580" s="8" t="s">
        <x:v>58</x:v>
      </x:c>
      <x:c r="AD580" s="8" t="s">
        <x:v>58</x:v>
      </x:c>
      <x:c r="AE580" s="8" t="s">
        <x:v>58</x:v>
      </x:c>
      <x:c r="AF580" s="8" t="s">
        <x:v>58</x:v>
      </x:c>
      <x:c r="AG580" s="7" t="s">
        <x:v>58</x:v>
      </x:c>
    </x:row>
    <x:row r="581" ht="79.5" hidden="0" customHeight="1">
      <x:c r="A581" s="7" t="s">
        <x:v>3156</x:v>
      </x:c>
      <x:c r="B581" s="7" t="s">
        <x:v>356</x:v>
      </x:c>
      <x:c r="C581" s="7" t="s">
        <x:v>358</x:v>
      </x:c>
      <x:c r="D581" s="7" t="s">
        <x:v>2006</x:v>
      </x:c>
      <x:c r="E581" s="7" t="s">
        <x:v>3157</x:v>
      </x:c>
      <x:c r="F581" s="7" t="s">
        <x:v>1929</x:v>
      </x:c>
      <x:c r="G581" s="8" t="n">
        <x:v>29</x:v>
      </x:c>
      <x:c r="H581" s="8" t="n">
        <x:v>3</x:v>
      </x:c>
      <x:c r="I581" s="8" t="s">
        <x:v>58</x:v>
      </x:c>
      <x:c r="J581" s="7" t="s">
        <x:v>1919</x:v>
      </x:c>
      <x:c r="K581" s="8" t="n">
        <x:v>1</x:v>
      </x:c>
      <x:c r="L581" s="8" t="n">
        <x:f aca="0">IF(AND(ISNUMBER(G581),P581&lt;&gt;"Unresolved unit / layout"),G581*K581,"Not applicable")</x:f>
        <x:v>29</x:v>
      </x:c>
      <x:c r="M581" s="8" t="n">
        <x:f aca="0">IF(AND(ISNUMBER(H581),P581&lt;&gt;"Unresolved unit / layout"),H581*K581,"Not applicable")</x:f>
        <x:v>3</x:v>
      </x:c>
      <x:c r="N581" s="8" t="str">
        <x:f aca="0">IF(AND(ISNUMBER(I581),P581&lt;&gt;"Unresolved unit / layout"),I581*K581,"Not applicable")</x:f>
        <x:v>Not applicable</x:v>
      </x:c>
      <x:c r="O581" s="7" t="s">
        <x:v>1929</x:v>
      </x:c>
      <x:c r="P581" s="7" t="s">
        <x:v>1921</x:v>
      </x:c>
      <x:c r="Q581" s="7" t="s">
        <x:v>2064</x:v>
      </x:c>
      <x:c r="R581" s="7" t="s">
        <x:v>2003</x:v>
      </x:c>
      <x:c r="S581" s="7" t="s">
        <x:v>2077</x:v>
      </x:c>
      <x:c r="T581" s="7" t="s">
        <x:v>3095</x:v>
      </x:c>
      <x:c r="U581" s="7" t="s">
        <x:v>53</x:v>
      </x:c>
      <x:c r="V581" s="7" t="s">
        <x:v>1999</x:v>
      </x:c>
      <x:c r="W581" s="7" t="s">
        <x:v>58</x:v>
      </x:c>
      <x:c r="X581" s="7" t="s">
        <x:v>3136</x:v>
      </x:c>
      <x:c r="Y581" s="7" t="s">
        <x:v>1205</x:v>
      </x:c>
      <x:c r="Z581" s="7" t="s">
        <x:v>2114</x:v>
      </x:c>
      <x:c r="AA581" s="7" t="s">
        <x:v>58</x:v>
      </x:c>
      <x:c r="AB581" s="8" t="s">
        <x:v>58</x:v>
      </x:c>
      <x:c r="AC581" s="8" t="s">
        <x:v>58</x:v>
      </x:c>
      <x:c r="AD581" s="8" t="s">
        <x:v>58</x:v>
      </x:c>
      <x:c r="AE581" s="8" t="s">
        <x:v>58</x:v>
      </x:c>
      <x:c r="AF581" s="8" t="s">
        <x:v>58</x:v>
      </x:c>
      <x:c r="AG581" s="7" t="s">
        <x:v>58</x:v>
      </x:c>
    </x:row>
    <x:row r="582" ht="79.5" hidden="0" customHeight="1">
      <x:c r="A582" s="7" t="s">
        <x:v>3158</x:v>
      </x:c>
      <x:c r="B582" s="7" t="s">
        <x:v>356</x:v>
      </x:c>
      <x:c r="C582" s="7" t="s">
        <x:v>358</x:v>
      </x:c>
      <x:c r="D582" s="7" t="s">
        <x:v>1940</x:v>
      </x:c>
      <x:c r="E582" s="7" t="s">
        <x:v>3159</x:v>
      </x:c>
      <x:c r="F582" s="7" t="s">
        <x:v>1942</x:v>
      </x:c>
      <x:c r="G582" s="8" t="n">
        <x:v>1.2</x:v>
      </x:c>
      <x:c r="H582" s="8" t="s">
        <x:v>58</x:v>
      </x:c>
      <x:c r="I582" s="8" t="s">
        <x:v>58</x:v>
      </x:c>
      <x:c r="J582" s="7" t="s">
        <x:v>1919</x:v>
      </x:c>
      <x:c r="K582" s="8" t="n">
        <x:v>1</x:v>
      </x:c>
      <x:c r="L582" s="8" t="n">
        <x:f aca="0">IF(AND(ISNUMBER(G582),P582&lt;&gt;"Unresolved unit / layout"),G582*K582,"Not applicable")</x:f>
        <x:v>1.2</x:v>
      </x:c>
      <x:c r="M582" s="8" t="str">
        <x:f aca="0">IF(AND(ISNUMBER(H582),P582&lt;&gt;"Unresolved unit / layout"),H582*K582,"Not applicable")</x:f>
        <x:v>Not applicable</x:v>
      </x:c>
      <x:c r="N582" s="8" t="str">
        <x:f aca="0">IF(AND(ISNUMBER(I582),P582&lt;&gt;"Unresolved unit / layout"),I582*K582,"Not applicable")</x:f>
        <x:v>Not applicable</x:v>
      </x:c>
      <x:c r="O582" s="7" t="s">
        <x:v>1942</x:v>
      </x:c>
      <x:c r="P582" s="7" t="s">
        <x:v>1921</x:v>
      </x:c>
      <x:c r="Q582" s="7" t="s">
        <x:v>2064</x:v>
      </x:c>
      <x:c r="R582" s="7" t="s">
        <x:v>1931</x:v>
      </x:c>
      <x:c r="S582" s="7" t="s">
        <x:v>2077</x:v>
      </x:c>
      <x:c r="T582" s="7" t="s">
        <x:v>3095</x:v>
      </x:c>
      <x:c r="U582" s="7" t="s">
        <x:v>53</x:v>
      </x:c>
      <x:c r="V582" s="7" t="s">
        <x:v>3160</x:v>
      </x:c>
      <x:c r="W582" s="7" t="s">
        <x:v>58</x:v>
      </x:c>
      <x:c r="X582" s="7" t="s">
        <x:v>3136</x:v>
      </x:c>
      <x:c r="Y582" s="7" t="s">
        <x:v>1205</x:v>
      </x:c>
      <x:c r="Z582" s="7" t="s">
        <x:v>2117</x:v>
      </x:c>
      <x:c r="AA582" s="7" t="s">
        <x:v>58</x:v>
      </x:c>
      <x:c r="AB582" s="8" t="s">
        <x:v>58</x:v>
      </x:c>
      <x:c r="AC582" s="8" t="s">
        <x:v>58</x:v>
      </x:c>
      <x:c r="AD582" s="8" t="s">
        <x:v>58</x:v>
      </x:c>
      <x:c r="AE582" s="8" t="s">
        <x:v>58</x:v>
      </x:c>
      <x:c r="AF582" s="8" t="s">
        <x:v>58</x:v>
      </x:c>
      <x:c r="AG582" s="7" t="s">
        <x:v>58</x:v>
      </x:c>
    </x:row>
    <x:row r="583" ht="79.5" hidden="0" customHeight="1">
      <x:c r="A583" s="7" t="s">
        <x:v>3161</x:v>
      </x:c>
      <x:c r="B583" s="7" t="s">
        <x:v>356</x:v>
      </x:c>
      <x:c r="C583" s="7" t="s">
        <x:v>358</x:v>
      </x:c>
      <x:c r="D583" s="7" t="s">
        <x:v>1940</x:v>
      </x:c>
      <x:c r="E583" s="7" t="s">
        <x:v>3162</x:v>
      </x:c>
      <x:c r="F583" s="7" t="s">
        <x:v>1942</x:v>
      </x:c>
      <x:c r="G583" s="8" t="n">
        <x:v>0.8</x:v>
      </x:c>
      <x:c r="H583" s="8" t="s">
        <x:v>58</x:v>
      </x:c>
      <x:c r="I583" s="8" t="s">
        <x:v>58</x:v>
      </x:c>
      <x:c r="J583" s="7" t="s">
        <x:v>1919</x:v>
      </x:c>
      <x:c r="K583" s="8" t="n">
        <x:v>1</x:v>
      </x:c>
      <x:c r="L583" s="8" t="n">
        <x:f aca="0">IF(AND(ISNUMBER(G583),P583&lt;&gt;"Unresolved unit / layout"),G583*K583,"Not applicable")</x:f>
        <x:v>0.8</x:v>
      </x:c>
      <x:c r="M583" s="8" t="str">
        <x:f aca="0">IF(AND(ISNUMBER(H583),P583&lt;&gt;"Unresolved unit / layout"),H583*K583,"Not applicable")</x:f>
        <x:v>Not applicable</x:v>
      </x:c>
      <x:c r="N583" s="8" t="str">
        <x:f aca="0">IF(AND(ISNUMBER(I583),P583&lt;&gt;"Unresolved unit / layout"),I583*K583,"Not applicable")</x:f>
        <x:v>Not applicable</x:v>
      </x:c>
      <x:c r="O583" s="7" t="s">
        <x:v>1942</x:v>
      </x:c>
      <x:c r="P583" s="7" t="s">
        <x:v>1921</x:v>
      </x:c>
      <x:c r="Q583" s="7" t="s">
        <x:v>2064</x:v>
      </x:c>
      <x:c r="R583" s="7" t="s">
        <x:v>2003</x:v>
      </x:c>
      <x:c r="S583" s="7" t="s">
        <x:v>2077</x:v>
      </x:c>
      <x:c r="T583" s="7" t="s">
        <x:v>3095</x:v>
      </x:c>
      <x:c r="U583" s="7" t="s">
        <x:v>53</x:v>
      </x:c>
      <x:c r="V583" s="7" t="s">
        <x:v>3163</x:v>
      </x:c>
      <x:c r="W583" s="7" t="s">
        <x:v>58</x:v>
      </x:c>
      <x:c r="X583" s="7" t="s">
        <x:v>3136</x:v>
      </x:c>
      <x:c r="Y583" s="7" t="s">
        <x:v>1205</x:v>
      </x:c>
      <x:c r="Z583" s="7" t="s">
        <x:v>2120</x:v>
      </x:c>
      <x:c r="AA583" s="7" t="s">
        <x:v>58</x:v>
      </x:c>
      <x:c r="AB583" s="8" t="s">
        <x:v>58</x:v>
      </x:c>
      <x:c r="AC583" s="8" t="s">
        <x:v>58</x:v>
      </x:c>
      <x:c r="AD583" s="8" t="s">
        <x:v>58</x:v>
      </x:c>
      <x:c r="AE583" s="8" t="s">
        <x:v>58</x:v>
      </x:c>
      <x:c r="AF583" s="8" t="s">
        <x:v>58</x:v>
      </x:c>
      <x:c r="AG583" s="7" t="s">
        <x:v>58</x:v>
      </x:c>
    </x:row>
    <x:row r="584" ht="79.5" hidden="0" customHeight="1">
      <x:c r="A584" s="7" t="s">
        <x:v>3164</x:v>
      </x:c>
      <x:c r="B584" s="7" t="s">
        <x:v>356</x:v>
      </x:c>
      <x:c r="C584" s="7" t="s">
        <x:v>358</x:v>
      </x:c>
      <x:c r="D584" s="7" t="s">
        <x:v>1950</x:v>
      </x:c>
      <x:c r="E584" s="7" t="s">
        <x:v>3165</x:v>
      </x:c>
      <x:c r="F584" s="7" t="s">
        <x:v>1929</x:v>
      </x:c>
      <x:c r="G584" s="8" t="n">
        <x:v>2860</x:v>
      </x:c>
      <x:c r="H584" s="8" t="n">
        <x:v>130</x:v>
      </x:c>
      <x:c r="I584" s="8" t="s">
        <x:v>58</x:v>
      </x:c>
      <x:c r="J584" s="7" t="s">
        <x:v>1919</x:v>
      </x:c>
      <x:c r="K584" s="8" t="n">
        <x:v>0.001</x:v>
      </x:c>
      <x:c r="L584" s="8" t="n">
        <x:f aca="0">IF(AND(ISNUMBER(G584),P584&lt;&gt;"Unresolved unit / layout"),G584*K584,"Not applicable")</x:f>
        <x:v>2.86</x:v>
      </x:c>
      <x:c r="M584" s="8" t="n">
        <x:f aca="0">IF(AND(ISNUMBER(H584),P584&lt;&gt;"Unresolved unit / layout"),H584*K584,"Not applicable")</x:f>
        <x:v>0.13</x:v>
      </x:c>
      <x:c r="N584" s="8" t="str">
        <x:f aca="0">IF(AND(ISNUMBER(I584),P584&lt;&gt;"Unresolved unit / layout"),I584*K584,"Not applicable")</x:f>
        <x:v>Not applicable</x:v>
      </x:c>
      <x:c r="O584" s="7" t="s">
        <x:v>1937</x:v>
      </x:c>
      <x:c r="P584" s="7" t="s">
        <x:v>1921</x:v>
      </x:c>
      <x:c r="Q584" s="7" t="s">
        <x:v>2064</x:v>
      </x:c>
      <x:c r="R584" s="7" t="s">
        <x:v>1931</x:v>
      </x:c>
      <x:c r="S584" s="7" t="s">
        <x:v>2077</x:v>
      </x:c>
      <x:c r="T584" s="7" t="s">
        <x:v>3095</x:v>
      </x:c>
      <x:c r="U584" s="7" t="s">
        <x:v>53</x:v>
      </x:c>
      <x:c r="V584" s="7" t="s">
        <x:v>2020</x:v>
      </x:c>
      <x:c r="W584" s="7" t="s">
        <x:v>58</x:v>
      </x:c>
      <x:c r="X584" s="7" t="s">
        <x:v>3136</x:v>
      </x:c>
      <x:c r="Y584" s="7" t="s">
        <x:v>1205</x:v>
      </x:c>
      <x:c r="Z584" s="7" t="s">
        <x:v>2123</x:v>
      </x:c>
      <x:c r="AA584" s="7" t="s">
        <x:v>58</x:v>
      </x:c>
      <x:c r="AB584" s="8" t="s">
        <x:v>58</x:v>
      </x:c>
      <x:c r="AC584" s="8" t="s">
        <x:v>58</x:v>
      </x:c>
      <x:c r="AD584" s="8" t="s">
        <x:v>58</x:v>
      </x:c>
      <x:c r="AE584" s="8" t="s">
        <x:v>58</x:v>
      </x:c>
      <x:c r="AF584" s="8" t="s">
        <x:v>58</x:v>
      </x:c>
      <x:c r="AG584" s="7" t="s">
        <x:v>58</x:v>
      </x:c>
    </x:row>
    <x:row r="585" ht="79.5" hidden="0" customHeight="1">
      <x:c r="A585" s="7" t="s">
        <x:v>3166</x:v>
      </x:c>
      <x:c r="B585" s="7" t="s">
        <x:v>356</x:v>
      </x:c>
      <x:c r="C585" s="7" t="s">
        <x:v>358</x:v>
      </x:c>
      <x:c r="D585" s="7" t="s">
        <x:v>1950</x:v>
      </x:c>
      <x:c r="E585" s="7" t="s">
        <x:v>3167</x:v>
      </x:c>
      <x:c r="F585" s="7" t="s">
        <x:v>1929</x:v>
      </x:c>
      <x:c r="G585" s="8" t="n">
        <x:v>1970</x:v>
      </x:c>
      <x:c r="H585" s="8" t="n">
        <x:v>110</x:v>
      </x:c>
      <x:c r="I585" s="8" t="s">
        <x:v>58</x:v>
      </x:c>
      <x:c r="J585" s="7" t="s">
        <x:v>1919</x:v>
      </x:c>
      <x:c r="K585" s="8" t="n">
        <x:v>0.001</x:v>
      </x:c>
      <x:c r="L585" s="8" t="n">
        <x:f aca="0">IF(AND(ISNUMBER(G585),P585&lt;&gt;"Unresolved unit / layout"),G585*K585,"Not applicable")</x:f>
        <x:v>1.97</x:v>
      </x:c>
      <x:c r="M585" s="8" t="n">
        <x:f aca="0">IF(AND(ISNUMBER(H585),P585&lt;&gt;"Unresolved unit / layout"),H585*K585,"Not applicable")</x:f>
        <x:v>0.11</x:v>
      </x:c>
      <x:c r="N585" s="8" t="str">
        <x:f aca="0">IF(AND(ISNUMBER(I585),P585&lt;&gt;"Unresolved unit / layout"),I585*K585,"Not applicable")</x:f>
        <x:v>Not applicable</x:v>
      </x:c>
      <x:c r="O585" s="7" t="s">
        <x:v>1937</x:v>
      </x:c>
      <x:c r="P585" s="7" t="s">
        <x:v>1921</x:v>
      </x:c>
      <x:c r="Q585" s="7" t="s">
        <x:v>2064</x:v>
      </x:c>
      <x:c r="R585" s="7" t="s">
        <x:v>2003</x:v>
      </x:c>
      <x:c r="S585" s="7" t="s">
        <x:v>2077</x:v>
      </x:c>
      <x:c r="T585" s="7" t="s">
        <x:v>3095</x:v>
      </x:c>
      <x:c r="U585" s="7" t="s">
        <x:v>53</x:v>
      </x:c>
      <x:c r="V585" s="7" t="s">
        <x:v>2020</x:v>
      </x:c>
      <x:c r="W585" s="7" t="s">
        <x:v>58</x:v>
      </x:c>
      <x:c r="X585" s="7" t="s">
        <x:v>3136</x:v>
      </x:c>
      <x:c r="Y585" s="7" t="s">
        <x:v>1205</x:v>
      </x:c>
      <x:c r="Z585" s="7" t="s">
        <x:v>2210</x:v>
      </x:c>
      <x:c r="AA585" s="7" t="s">
        <x:v>58</x:v>
      </x:c>
      <x:c r="AB585" s="8" t="s">
        <x:v>58</x:v>
      </x:c>
      <x:c r="AC585" s="8" t="s">
        <x:v>58</x:v>
      </x:c>
      <x:c r="AD585" s="8" t="s">
        <x:v>58</x:v>
      </x:c>
      <x:c r="AE585" s="8" t="s">
        <x:v>58</x:v>
      </x:c>
      <x:c r="AF585" s="8" t="s">
        <x:v>58</x:v>
      </x:c>
      <x:c r="AG585" s="7" t="s">
        <x:v>58</x:v>
      </x:c>
    </x:row>
    <x:row r="586" ht="79.5" hidden="0" customHeight="1">
      <x:c r="A586" s="7" t="s">
        <x:v>3168</x:v>
      </x:c>
      <x:c r="B586" s="7" t="s">
        <x:v>356</x:v>
      </x:c>
      <x:c r="C586" s="7" t="s">
        <x:v>358</x:v>
      </x:c>
      <x:c r="D586" s="7" t="s">
        <x:v>1945</x:v>
      </x:c>
      <x:c r="E586" s="7" t="s">
        <x:v>3169</x:v>
      </x:c>
      <x:c r="F586" s="7" t="s">
        <x:v>1929</x:v>
      </x:c>
      <x:c r="G586" s="8" t="n">
        <x:v>68</x:v>
      </x:c>
      <x:c r="H586" s="8" t="n">
        <x:v>4</x:v>
      </x:c>
      <x:c r="I586" s="8" t="s">
        <x:v>58</x:v>
      </x:c>
      <x:c r="J586" s="7" t="s">
        <x:v>1919</x:v>
      </x:c>
      <x:c r="K586" s="8" t="n">
        <x:v>1</x:v>
      </x:c>
      <x:c r="L586" s="8" t="n">
        <x:f aca="0">IF(AND(ISNUMBER(G586),P586&lt;&gt;"Unresolved unit / layout"),G586*K586,"Not applicable")</x:f>
        <x:v>68</x:v>
      </x:c>
      <x:c r="M586" s="8" t="n">
        <x:f aca="0">IF(AND(ISNUMBER(H586),P586&lt;&gt;"Unresolved unit / layout"),H586*K586,"Not applicable")</x:f>
        <x:v>4</x:v>
      </x:c>
      <x:c r="N586" s="8" t="str">
        <x:f aca="0">IF(AND(ISNUMBER(I586),P586&lt;&gt;"Unresolved unit / layout"),I586*K586,"Not applicable")</x:f>
        <x:v>Not applicable</x:v>
      </x:c>
      <x:c r="O586" s="7" t="s">
        <x:v>1929</x:v>
      </x:c>
      <x:c r="P586" s="7" t="s">
        <x:v>1921</x:v>
      </x:c>
      <x:c r="Q586" s="7" t="s">
        <x:v>2064</x:v>
      </x:c>
      <x:c r="R586" s="7" t="s">
        <x:v>1931</x:v>
      </x:c>
      <x:c r="S586" s="7" t="s">
        <x:v>2077</x:v>
      </x:c>
      <x:c r="T586" s="7" t="s">
        <x:v>3095</x:v>
      </x:c>
      <x:c r="U586" s="7" t="s">
        <x:v>53</x:v>
      </x:c>
      <x:c r="V586" s="7" t="s">
        <x:v>2020</x:v>
      </x:c>
      <x:c r="W586" s="7" t="s">
        <x:v>58</x:v>
      </x:c>
      <x:c r="X586" s="7" t="s">
        <x:v>3136</x:v>
      </x:c>
      <x:c r="Y586" s="7" t="s">
        <x:v>1205</x:v>
      </x:c>
      <x:c r="Z586" s="7" t="s">
        <x:v>2213</x:v>
      </x:c>
      <x:c r="AA586" s="7" t="s">
        <x:v>58</x:v>
      </x:c>
      <x:c r="AB586" s="8" t="s">
        <x:v>58</x:v>
      </x:c>
      <x:c r="AC586" s="8" t="s">
        <x:v>58</x:v>
      </x:c>
      <x:c r="AD586" s="8" t="s">
        <x:v>58</x:v>
      </x:c>
      <x:c r="AE586" s="8" t="s">
        <x:v>58</x:v>
      </x:c>
      <x:c r="AF586" s="8" t="s">
        <x:v>58</x:v>
      </x:c>
      <x:c r="AG586" s="7" t="s">
        <x:v>58</x:v>
      </x:c>
    </x:row>
    <x:row r="587" ht="79.5" hidden="0" customHeight="1">
      <x:c r="A587" s="7" t="s">
        <x:v>3170</x:v>
      </x:c>
      <x:c r="B587" s="7" t="s">
        <x:v>356</x:v>
      </x:c>
      <x:c r="C587" s="7" t="s">
        <x:v>358</x:v>
      </x:c>
      <x:c r="D587" s="7" t="s">
        <x:v>1945</x:v>
      </x:c>
      <x:c r="E587" s="7" t="s">
        <x:v>3171</x:v>
      </x:c>
      <x:c r="F587" s="7" t="s">
        <x:v>1929</x:v>
      </x:c>
      <x:c r="G587" s="8" t="n">
        <x:v>46</x:v>
      </x:c>
      <x:c r="H587" s="8" t="n">
        <x:v>3</x:v>
      </x:c>
      <x:c r="I587" s="8" t="s">
        <x:v>58</x:v>
      </x:c>
      <x:c r="J587" s="7" t="s">
        <x:v>1919</x:v>
      </x:c>
      <x:c r="K587" s="8" t="n">
        <x:v>1</x:v>
      </x:c>
      <x:c r="L587" s="8" t="n">
        <x:f aca="0">IF(AND(ISNUMBER(G587),P587&lt;&gt;"Unresolved unit / layout"),G587*K587,"Not applicable")</x:f>
        <x:v>46</x:v>
      </x:c>
      <x:c r="M587" s="8" t="n">
        <x:f aca="0">IF(AND(ISNUMBER(H587),P587&lt;&gt;"Unresolved unit / layout"),H587*K587,"Not applicable")</x:f>
        <x:v>3</x:v>
      </x:c>
      <x:c r="N587" s="8" t="str">
        <x:f aca="0">IF(AND(ISNUMBER(I587),P587&lt;&gt;"Unresolved unit / layout"),I587*K587,"Not applicable")</x:f>
        <x:v>Not applicable</x:v>
      </x:c>
      <x:c r="O587" s="7" t="s">
        <x:v>1929</x:v>
      </x:c>
      <x:c r="P587" s="7" t="s">
        <x:v>1921</x:v>
      </x:c>
      <x:c r="Q587" s="7" t="s">
        <x:v>2064</x:v>
      </x:c>
      <x:c r="R587" s="7" t="s">
        <x:v>2003</x:v>
      </x:c>
      <x:c r="S587" s="7" t="s">
        <x:v>2077</x:v>
      </x:c>
      <x:c r="T587" s="7" t="s">
        <x:v>3095</x:v>
      </x:c>
      <x:c r="U587" s="7" t="s">
        <x:v>53</x:v>
      </x:c>
      <x:c r="V587" s="7" t="s">
        <x:v>2020</x:v>
      </x:c>
      <x:c r="W587" s="7" t="s">
        <x:v>58</x:v>
      </x:c>
      <x:c r="X587" s="7" t="s">
        <x:v>3136</x:v>
      </x:c>
      <x:c r="Y587" s="7" t="s">
        <x:v>1205</x:v>
      </x:c>
      <x:c r="Z587" s="7" t="s">
        <x:v>2216</x:v>
      </x:c>
      <x:c r="AA587" s="7" t="s">
        <x:v>58</x:v>
      </x:c>
      <x:c r="AB587" s="8" t="s">
        <x:v>58</x:v>
      </x:c>
      <x:c r="AC587" s="8" t="s">
        <x:v>58</x:v>
      </x:c>
      <x:c r="AD587" s="8" t="s">
        <x:v>58</x:v>
      </x:c>
      <x:c r="AE587" s="8" t="s">
        <x:v>58</x:v>
      </x:c>
      <x:c r="AF587" s="8" t="s">
        <x:v>58</x:v>
      </x:c>
      <x:c r="AG587" s="7" t="s">
        <x:v>58</x:v>
      </x:c>
    </x:row>
    <x:row r="588" ht="79.5" hidden="0" customHeight="1">
      <x:c r="A588" s="7" t="s">
        <x:v>3172</x:v>
      </x:c>
      <x:c r="B588" s="7" t="s">
        <x:v>356</x:v>
      </x:c>
      <x:c r="C588" s="7" t="s">
        <x:v>358</x:v>
      </x:c>
      <x:c r="D588" s="7" t="s">
        <x:v>2030</x:v>
      </x:c>
      <x:c r="E588" s="7" t="s">
        <x:v>3173</x:v>
      </x:c>
      <x:c r="F588" s="7" t="s">
        <x:v>2033</x:v>
      </x:c>
      <x:c r="G588" s="8" t="n">
        <x:v>14.5</x:v>
      </x:c>
      <x:c r="H588" s="8" t="n">
        <x:v>1.5</x:v>
      </x:c>
      <x:c r="I588" s="8" t="s">
        <x:v>58</x:v>
      </x:c>
      <x:c r="J588" s="7" t="s">
        <x:v>1919</x:v>
      </x:c>
      <x:c r="K588" s="8" t="n">
        <x:v>1</x:v>
      </x:c>
      <x:c r="L588" s="8" t="n">
        <x:f aca="0">IF(AND(ISNUMBER(G588),P588&lt;&gt;"Unresolved unit / layout"),G588*K588,"Not applicable")</x:f>
        <x:v>14.5</x:v>
      </x:c>
      <x:c r="M588" s="8" t="n">
        <x:f aca="0">IF(AND(ISNUMBER(H588),P588&lt;&gt;"Unresolved unit / layout"),H588*K588,"Not applicable")</x:f>
        <x:v>1.5</x:v>
      </x:c>
      <x:c r="N588" s="8" t="str">
        <x:f aca="0">IF(AND(ISNUMBER(I588),P588&lt;&gt;"Unresolved unit / layout"),I588*K588,"Not applicable")</x:f>
        <x:v>Not applicable</x:v>
      </x:c>
      <x:c r="O588" s="7" t="s">
        <x:v>2033</x:v>
      </x:c>
      <x:c r="P588" s="7" t="s">
        <x:v>1921</x:v>
      </x:c>
      <x:c r="Q588" s="7" t="s">
        <x:v>2064</x:v>
      </x:c>
      <x:c r="R588" s="7" t="s">
        <x:v>1931</x:v>
      </x:c>
      <x:c r="S588" s="7" t="s">
        <x:v>2077</x:v>
      </x:c>
      <x:c r="T588" s="7" t="s">
        <x:v>3095</x:v>
      </x:c>
      <x:c r="U588" s="7" t="s">
        <x:v>53</x:v>
      </x:c>
      <x:c r="V588" s="7" t="s">
        <x:v>2036</x:v>
      </x:c>
      <x:c r="W588" s="7" t="s">
        <x:v>53</x:v>
      </x:c>
      <x:c r="X588" s="7" t="s">
        <x:v>3136</x:v>
      </x:c>
      <x:c r="Y588" s="7" t="s">
        <x:v>1205</x:v>
      </x:c>
      <x:c r="Z588" s="7" t="s">
        <x:v>2378</x:v>
      </x:c>
      <x:c r="AA588" s="7" t="s">
        <x:v>58</x:v>
      </x:c>
      <x:c r="AB588" s="8" t="s">
        <x:v>58</x:v>
      </x:c>
      <x:c r="AC588" s="8" t="s">
        <x:v>58</x:v>
      </x:c>
      <x:c r="AD588" s="8" t="s">
        <x:v>58</x:v>
      </x:c>
      <x:c r="AE588" s="8" t="s">
        <x:v>58</x:v>
      </x:c>
      <x:c r="AF588" s="8" t="s">
        <x:v>58</x:v>
      </x:c>
      <x:c r="AG588" s="7" t="s">
        <x:v>58</x:v>
      </x:c>
    </x:row>
    <x:row r="589" ht="79.5" hidden="0" customHeight="1">
      <x:c r="A589" s="7" t="s">
        <x:v>3174</x:v>
      </x:c>
      <x:c r="B589" s="7" t="s">
        <x:v>356</x:v>
      </x:c>
      <x:c r="C589" s="7" t="s">
        <x:v>358</x:v>
      </x:c>
      <x:c r="D589" s="7" t="s">
        <x:v>2030</x:v>
      </x:c>
      <x:c r="E589" s="7" t="s">
        <x:v>3175</x:v>
      </x:c>
      <x:c r="F589" s="7" t="s">
        <x:v>2033</x:v>
      </x:c>
      <x:c r="G589" s="8" t="n">
        <x:v>5.3</x:v>
      </x:c>
      <x:c r="H589" s="8" t="n">
        <x:v>1.4</x:v>
      </x:c>
      <x:c r="I589" s="8" t="s">
        <x:v>58</x:v>
      </x:c>
      <x:c r="J589" s="7" t="s">
        <x:v>1919</x:v>
      </x:c>
      <x:c r="K589" s="8" t="n">
        <x:v>1</x:v>
      </x:c>
      <x:c r="L589" s="8" t="n">
        <x:f aca="0">IF(AND(ISNUMBER(G589),P589&lt;&gt;"Unresolved unit / layout"),G589*K589,"Not applicable")</x:f>
        <x:v>5.3</x:v>
      </x:c>
      <x:c r="M589" s="8" t="n">
        <x:f aca="0">IF(AND(ISNUMBER(H589),P589&lt;&gt;"Unresolved unit / layout"),H589*K589,"Not applicable")</x:f>
        <x:v>1.4</x:v>
      </x:c>
      <x:c r="N589" s="8" t="str">
        <x:f aca="0">IF(AND(ISNUMBER(I589),P589&lt;&gt;"Unresolved unit / layout"),I589*K589,"Not applicable")</x:f>
        <x:v>Not applicable</x:v>
      </x:c>
      <x:c r="O589" s="7" t="s">
        <x:v>2033</x:v>
      </x:c>
      <x:c r="P589" s="7" t="s">
        <x:v>1921</x:v>
      </x:c>
      <x:c r="Q589" s="7" t="s">
        <x:v>2064</x:v>
      </x:c>
      <x:c r="R589" s="7" t="s">
        <x:v>2003</x:v>
      </x:c>
      <x:c r="S589" s="7" t="s">
        <x:v>2077</x:v>
      </x:c>
      <x:c r="T589" s="7" t="s">
        <x:v>3095</x:v>
      </x:c>
      <x:c r="U589" s="7" t="s">
        <x:v>53</x:v>
      </x:c>
      <x:c r="V589" s="7" t="s">
        <x:v>2343</x:v>
      </x:c>
      <x:c r="W589" s="7" t="s">
        <x:v>53</x:v>
      </x:c>
      <x:c r="X589" s="7" t="s">
        <x:v>3136</x:v>
      </x:c>
      <x:c r="Y589" s="7" t="s">
        <x:v>1205</x:v>
      </x:c>
      <x:c r="Z589" s="7" t="s">
        <x:v>2225</x:v>
      </x:c>
      <x:c r="AA589" s="7" t="s">
        <x:v>58</x:v>
      </x:c>
      <x:c r="AB589" s="8" t="s">
        <x:v>58</x:v>
      </x:c>
      <x:c r="AC589" s="8" t="s">
        <x:v>58</x:v>
      </x:c>
      <x:c r="AD589" s="8" t="s">
        <x:v>58</x:v>
      </x:c>
      <x:c r="AE589" s="8" t="s">
        <x:v>58</x:v>
      </x:c>
      <x:c r="AF589" s="8" t="s">
        <x:v>58</x:v>
      </x:c>
      <x:c r="AG589" s="7" t="s">
        <x:v>58</x:v>
      </x:c>
    </x:row>
    <x:row r="590" ht="51.75" hidden="0" customHeight="1">
      <x:c r="A590" s="7" t="s">
        <x:v>3176</x:v>
      </x:c>
      <x:c r="B590" s="7" t="s">
        <x:v>369</x:v>
      </x:c>
      <x:c r="C590" s="7" t="s">
        <x:v>371</x:v>
      </x:c>
      <x:c r="D590" s="7" t="s">
        <x:v>1916</x:v>
      </x:c>
      <x:c r="E590" s="7" t="s">
        <x:v>3177</x:v>
      </x:c>
      <x:c r="F590" s="7" t="s">
        <x:v>1918</x:v>
      </x:c>
      <x:c r="G590" s="8" t="n">
        <x:v>1.11</x:v>
      </x:c>
      <x:c r="H590" s="8" t="s">
        <x:v>58</x:v>
      </x:c>
      <x:c r="I590" s="8" t="s">
        <x:v>58</x:v>
      </x:c>
      <x:c r="J590" s="7" t="s">
        <x:v>1919</x:v>
      </x:c>
      <x:c r="K590" s="8" t="n">
        <x:v>1000</x:v>
      </x:c>
      <x:c r="L590" s="8" t="n">
        <x:f aca="0">IF(AND(ISNUMBER(G590),P590&lt;&gt;"Unresolved unit / layout"),G590*K590,"Not applicable")</x:f>
        <x:v>1110</x:v>
      </x:c>
      <x:c r="M590" s="8" t="str">
        <x:f aca="0">IF(AND(ISNUMBER(H590),P590&lt;&gt;"Unresolved unit / layout"),H590*K590,"Not applicable")</x:f>
        <x:v>Not applicable</x:v>
      </x:c>
      <x:c r="N590" s="8" t="str">
        <x:f aca="0">IF(AND(ISNUMBER(I590),P590&lt;&gt;"Unresolved unit / layout"),I590*K590,"Not applicable")</x:f>
        <x:v>Not applicable</x:v>
      </x:c>
      <x:c r="O590" s="7" t="s">
        <x:v>1920</x:v>
      </x:c>
      <x:c r="P590" s="7" t="s">
        <x:v>1921</x:v>
      </x:c>
      <x:c r="Q590" s="7" t="s">
        <x:v>1922</x:v>
      </x:c>
      <x:c r="R590" s="7" t="s">
        <x:v>58</x:v>
      </x:c>
      <x:c r="S590" s="7" t="s">
        <x:v>53</x:v>
      </x:c>
      <x:c r="T590" s="7" t="s">
        <x:v>53</x:v>
      </x:c>
      <x:c r="U590" s="7" t="s">
        <x:v>53</x:v>
      </x:c>
      <x:c r="V590" s="7" t="s">
        <x:v>1923</x:v>
      </x:c>
      <x:c r="W590" s="7" t="s">
        <x:v>58</x:v>
      </x:c>
      <x:c r="X590" s="7" t="s">
        <x:v>3178</x:v>
      </x:c>
      <x:c r="Y590" s="7" t="s">
        <x:v>1208</x:v>
      </x:c>
      <x:c r="Z590" s="7" t="s">
        <x:v>1925</x:v>
      </x:c>
      <x:c r="AA590" s="7" t="s">
        <x:v>58</x:v>
      </x:c>
      <x:c r="AB590" s="8" t="s">
        <x:v>58</x:v>
      </x:c>
      <x:c r="AC590" s="8" t="s">
        <x:v>58</x:v>
      </x:c>
      <x:c r="AD590" s="8" t="s">
        <x:v>58</x:v>
      </x:c>
      <x:c r="AE590" s="8" t="s">
        <x:v>58</x:v>
      </x:c>
      <x:c r="AF590" s="8" t="s">
        <x:v>58</x:v>
      </x:c>
      <x:c r="AG590" s="7" t="s">
        <x:v>58</x:v>
      </x:c>
    </x:row>
    <x:row r="591" ht="51.75" hidden="0" customHeight="1">
      <x:c r="A591" s="7" t="s">
        <x:v>3179</x:v>
      </x:c>
      <x:c r="B591" s="7" t="s">
        <x:v>369</x:v>
      </x:c>
      <x:c r="C591" s="7" t="s">
        <x:v>371</x:v>
      </x:c>
      <x:c r="D591" s="7" t="s">
        <x:v>1927</x:v>
      </x:c>
      <x:c r="E591" s="7" t="s">
        <x:v>3180</x:v>
      </x:c>
      <x:c r="F591" s="7" t="s">
        <x:v>1929</x:v>
      </x:c>
      <x:c r="G591" s="8" t="n">
        <x:v>46</x:v>
      </x:c>
      <x:c r="H591" s="8" t="s">
        <x:v>58</x:v>
      </x:c>
      <x:c r="I591" s="8" t="s">
        <x:v>58</x:v>
      </x:c>
      <x:c r="J591" s="7" t="s">
        <x:v>1919</x:v>
      </x:c>
      <x:c r="K591" s="8" t="n">
        <x:v>1</x:v>
      </x:c>
      <x:c r="L591" s="8" t="n">
        <x:f aca="0">IF(AND(ISNUMBER(G591),P591&lt;&gt;"Unresolved unit / layout"),G591*K591,"Not applicable")</x:f>
        <x:v>46</x:v>
      </x:c>
      <x:c r="M591" s="8" t="str">
        <x:f aca="0">IF(AND(ISNUMBER(H591),P591&lt;&gt;"Unresolved unit / layout"),H591*K591,"Not applicable")</x:f>
        <x:v>Not applicable</x:v>
      </x:c>
      <x:c r="N591" s="8" t="str">
        <x:f aca="0">IF(AND(ISNUMBER(I591),P591&lt;&gt;"Unresolved unit / layout"),I591*K591,"Not applicable")</x:f>
        <x:v>Not applicable</x:v>
      </x:c>
      <x:c r="O591" s="7" t="s">
        <x:v>1929</x:v>
      </x:c>
      <x:c r="P591" s="7" t="s">
        <x:v>1921</x:v>
      </x:c>
      <x:c r="Q591" s="7" t="s">
        <x:v>1930</x:v>
      </x:c>
      <x:c r="R591" s="7" t="s">
        <x:v>1931</x:v>
      </x:c>
      <x:c r="S591" s="7" t="s">
        <x:v>53</x:v>
      </x:c>
      <x:c r="T591" s="7" t="s">
        <x:v>53</x:v>
      </x:c>
      <x:c r="U591" s="7" t="s">
        <x:v>53</x:v>
      </x:c>
      <x:c r="V591" s="7" t="s">
        <x:v>1932</x:v>
      </x:c>
      <x:c r="W591" s="7" t="s">
        <x:v>58</x:v>
      </x:c>
      <x:c r="X591" s="7" t="s">
        <x:v>3178</x:v>
      </x:c>
      <x:c r="Y591" s="7" t="s">
        <x:v>1208</x:v>
      </x:c>
      <x:c r="Z591" s="7" t="s">
        <x:v>1933</x:v>
      </x:c>
      <x:c r="AA591" s="7" t="s">
        <x:v>58</x:v>
      </x:c>
      <x:c r="AB591" s="8" t="s">
        <x:v>58</x:v>
      </x:c>
      <x:c r="AC591" s="8" t="s">
        <x:v>58</x:v>
      </x:c>
      <x:c r="AD591" s="8" t="s">
        <x:v>58</x:v>
      </x:c>
      <x:c r="AE591" s="8" t="s">
        <x:v>58</x:v>
      </x:c>
      <x:c r="AF591" s="8" t="s">
        <x:v>58</x:v>
      </x:c>
      <x:c r="AG591" s="7" t="s">
        <x:v>58</x:v>
      </x:c>
    </x:row>
    <x:row r="592" ht="51.75" hidden="0" customHeight="1">
      <x:c r="A592" s="7" t="s">
        <x:v>3181</x:v>
      </x:c>
      <x:c r="B592" s="7" t="s">
        <x:v>369</x:v>
      </x:c>
      <x:c r="C592" s="7" t="s">
        <x:v>371</x:v>
      </x:c>
      <x:c r="D592" s="7" t="s">
        <x:v>1935</x:v>
      </x:c>
      <x:c r="E592" s="7" t="s">
        <x:v>3182</x:v>
      </x:c>
      <x:c r="F592" s="7" t="s">
        <x:v>1929</x:v>
      </x:c>
      <x:c r="G592" s="8" t="n">
        <x:v>5210</x:v>
      </x:c>
      <x:c r="H592" s="8" t="s">
        <x:v>58</x:v>
      </x:c>
      <x:c r="I592" s="8" t="s">
        <x:v>58</x:v>
      </x:c>
      <x:c r="J592" s="7" t="s">
        <x:v>1919</x:v>
      </x:c>
      <x:c r="K592" s="8" t="n">
        <x:v>0.001</x:v>
      </x:c>
      <x:c r="L592" s="8" t="n">
        <x:f aca="0">IF(AND(ISNUMBER(G592),P592&lt;&gt;"Unresolved unit / layout"),G592*K592,"Not applicable")</x:f>
        <x:v>5.21</x:v>
      </x:c>
      <x:c r="M592" s="8" t="str">
        <x:f aca="0">IF(AND(ISNUMBER(H592),P592&lt;&gt;"Unresolved unit / layout"),H592*K592,"Not applicable")</x:f>
        <x:v>Not applicable</x:v>
      </x:c>
      <x:c r="N592" s="8" t="str">
        <x:f aca="0">IF(AND(ISNUMBER(I592),P592&lt;&gt;"Unresolved unit / layout"),I592*K592,"Not applicable")</x:f>
        <x:v>Not applicable</x:v>
      </x:c>
      <x:c r="O592" s="7" t="s">
        <x:v>1937</x:v>
      </x:c>
      <x:c r="P592" s="7" t="s">
        <x:v>1921</x:v>
      </x:c>
      <x:c r="Q592" s="7" t="s">
        <x:v>1930</x:v>
      </x:c>
      <x:c r="R592" s="7" t="s">
        <x:v>1931</x:v>
      </x:c>
      <x:c r="S592" s="7" t="s">
        <x:v>53</x:v>
      </x:c>
      <x:c r="T592" s="7" t="s">
        <x:v>53</x:v>
      </x:c>
      <x:c r="U592" s="7" t="s">
        <x:v>53</x:v>
      </x:c>
      <x:c r="V592" s="7" t="s">
        <x:v>1932</x:v>
      </x:c>
      <x:c r="W592" s="7" t="s">
        <x:v>58</x:v>
      </x:c>
      <x:c r="X592" s="7" t="s">
        <x:v>3178</x:v>
      </x:c>
      <x:c r="Y592" s="7" t="s">
        <x:v>1208</x:v>
      </x:c>
      <x:c r="Z592" s="7" t="s">
        <x:v>1938</x:v>
      </x:c>
      <x:c r="AA592" s="7" t="s">
        <x:v>58</x:v>
      </x:c>
      <x:c r="AB592" s="8" t="s">
        <x:v>58</x:v>
      </x:c>
      <x:c r="AC592" s="8" t="s">
        <x:v>58</x:v>
      </x:c>
      <x:c r="AD592" s="8" t="s">
        <x:v>58</x:v>
      </x:c>
      <x:c r="AE592" s="8" t="s">
        <x:v>58</x:v>
      </x:c>
      <x:c r="AF592" s="8" t="s">
        <x:v>58</x:v>
      </x:c>
      <x:c r="AG592" s="7" t="s">
        <x:v>58</x:v>
      </x:c>
    </x:row>
    <x:row r="593" ht="51.75" hidden="0" customHeight="1">
      <x:c r="A593" s="7" t="s">
        <x:v>3183</x:v>
      </x:c>
      <x:c r="B593" s="7" t="s">
        <x:v>369</x:v>
      </x:c>
      <x:c r="C593" s="7" t="s">
        <x:v>371</x:v>
      </x:c>
      <x:c r="D593" s="7" t="s">
        <x:v>1940</x:v>
      </x:c>
      <x:c r="E593" s="7" t="s">
        <x:v>3184</x:v>
      </x:c>
      <x:c r="F593" s="7" t="s">
        <x:v>1942</x:v>
      </x:c>
      <x:c r="G593" s="8" t="n">
        <x:v>2</x:v>
      </x:c>
      <x:c r="H593" s="8" t="s">
        <x:v>58</x:v>
      </x:c>
      <x:c r="I593" s="8" t="s">
        <x:v>58</x:v>
      </x:c>
      <x:c r="J593" s="7" t="s">
        <x:v>1919</x:v>
      </x:c>
      <x:c r="K593" s="8" t="n">
        <x:v>1</x:v>
      </x:c>
      <x:c r="L593" s="8" t="n">
        <x:f aca="0">IF(AND(ISNUMBER(G593),P593&lt;&gt;"Unresolved unit / layout"),G593*K593,"Not applicable")</x:f>
        <x:v>2</x:v>
      </x:c>
      <x:c r="M593" s="8" t="str">
        <x:f aca="0">IF(AND(ISNUMBER(H593),P593&lt;&gt;"Unresolved unit / layout"),H593*K593,"Not applicable")</x:f>
        <x:v>Not applicable</x:v>
      </x:c>
      <x:c r="N593" s="8" t="str">
        <x:f aca="0">IF(AND(ISNUMBER(I593),P593&lt;&gt;"Unresolved unit / layout"),I593*K593,"Not applicable")</x:f>
        <x:v>Not applicable</x:v>
      </x:c>
      <x:c r="O593" s="7" t="s">
        <x:v>1942</x:v>
      </x:c>
      <x:c r="P593" s="7" t="s">
        <x:v>1921</x:v>
      </x:c>
      <x:c r="Q593" s="7" t="s">
        <x:v>1930</x:v>
      </x:c>
      <x:c r="R593" s="7" t="s">
        <x:v>1931</x:v>
      </x:c>
      <x:c r="S593" s="7" t="s">
        <x:v>53</x:v>
      </x:c>
      <x:c r="T593" s="7" t="s">
        <x:v>53</x:v>
      </x:c>
      <x:c r="U593" s="7" t="s">
        <x:v>53</x:v>
      </x:c>
      <x:c r="V593" s="7" t="s">
        <x:v>1932</x:v>
      </x:c>
      <x:c r="W593" s="7" t="s">
        <x:v>58</x:v>
      </x:c>
      <x:c r="X593" s="7" t="s">
        <x:v>3178</x:v>
      </x:c>
      <x:c r="Y593" s="7" t="s">
        <x:v>1208</x:v>
      </x:c>
      <x:c r="Z593" s="7" t="s">
        <x:v>1943</x:v>
      </x:c>
      <x:c r="AA593" s="7" t="s">
        <x:v>58</x:v>
      </x:c>
      <x:c r="AB593" s="8" t="s">
        <x:v>58</x:v>
      </x:c>
      <x:c r="AC593" s="8" t="s">
        <x:v>58</x:v>
      </x:c>
      <x:c r="AD593" s="8" t="s">
        <x:v>58</x:v>
      </x:c>
      <x:c r="AE593" s="8" t="s">
        <x:v>58</x:v>
      </x:c>
      <x:c r="AF593" s="8" t="s">
        <x:v>58</x:v>
      </x:c>
      <x:c r="AG593" s="7" t="s">
        <x:v>58</x:v>
      </x:c>
    </x:row>
    <x:row r="594" ht="51.75" hidden="0" customHeight="1">
      <x:c r="A594" s="7" t="s">
        <x:v>3185</x:v>
      </x:c>
      <x:c r="B594" s="7" t="s">
        <x:v>369</x:v>
      </x:c>
      <x:c r="C594" s="7" t="s">
        <x:v>371</x:v>
      </x:c>
      <x:c r="D594" s="7" t="s">
        <x:v>1945</x:v>
      </x:c>
      <x:c r="E594" s="7" t="s">
        <x:v>3186</x:v>
      </x:c>
      <x:c r="F594" s="7" t="s">
        <x:v>1929</x:v>
      </x:c>
      <x:c r="G594" s="8" t="n">
        <x:v>76</x:v>
      </x:c>
      <x:c r="H594" s="8" t="s">
        <x:v>58</x:v>
      </x:c>
      <x:c r="I594" s="8" t="s">
        <x:v>58</x:v>
      </x:c>
      <x:c r="J594" s="7" t="s">
        <x:v>1919</x:v>
      </x:c>
      <x:c r="K594" s="8" t="n">
        <x:v>1</x:v>
      </x:c>
      <x:c r="L594" s="8" t="n">
        <x:f aca="0">IF(AND(ISNUMBER(G594),P594&lt;&gt;"Unresolved unit / layout"),G594*K594,"Not applicable")</x:f>
        <x:v>76</x:v>
      </x:c>
      <x:c r="M594" s="8" t="str">
        <x:f aca="0">IF(AND(ISNUMBER(H594),P594&lt;&gt;"Unresolved unit / layout"),H594*K594,"Not applicable")</x:f>
        <x:v>Not applicable</x:v>
      </x:c>
      <x:c r="N594" s="8" t="str">
        <x:f aca="0">IF(AND(ISNUMBER(I594),P594&lt;&gt;"Unresolved unit / layout"),I594*K594,"Not applicable")</x:f>
        <x:v>Not applicable</x:v>
      </x:c>
      <x:c r="O594" s="7" t="s">
        <x:v>1929</x:v>
      </x:c>
      <x:c r="P594" s="7" t="s">
        <x:v>1921</x:v>
      </x:c>
      <x:c r="Q594" s="7" t="s">
        <x:v>1930</x:v>
      </x:c>
      <x:c r="R594" s="7" t="s">
        <x:v>1931</x:v>
      </x:c>
      <x:c r="S594" s="7" t="s">
        <x:v>53</x:v>
      </x:c>
      <x:c r="T594" s="7" t="s">
        <x:v>53</x:v>
      </x:c>
      <x:c r="U594" s="7" t="s">
        <x:v>53</x:v>
      </x:c>
      <x:c r="V594" s="7" t="s">
        <x:v>1947</x:v>
      </x:c>
      <x:c r="W594" s="7" t="s">
        <x:v>58</x:v>
      </x:c>
      <x:c r="X594" s="7" t="s">
        <x:v>3178</x:v>
      </x:c>
      <x:c r="Y594" s="7" t="s">
        <x:v>1208</x:v>
      </x:c>
      <x:c r="Z594" s="7" t="s">
        <x:v>1948</x:v>
      </x:c>
      <x:c r="AA594" s="7" t="s">
        <x:v>58</x:v>
      </x:c>
      <x:c r="AB594" s="8" t="s">
        <x:v>58</x:v>
      </x:c>
      <x:c r="AC594" s="8" t="s">
        <x:v>58</x:v>
      </x:c>
      <x:c r="AD594" s="8" t="s">
        <x:v>58</x:v>
      </x:c>
      <x:c r="AE594" s="8" t="s">
        <x:v>58</x:v>
      </x:c>
      <x:c r="AF594" s="8" t="s">
        <x:v>58</x:v>
      </x:c>
      <x:c r="AG594" s="7" t="s">
        <x:v>58</x:v>
      </x:c>
    </x:row>
    <x:row r="595" ht="51.75" hidden="0" customHeight="1">
      <x:c r="A595" s="7" t="s">
        <x:v>3187</x:v>
      </x:c>
      <x:c r="B595" s="7" t="s">
        <x:v>369</x:v>
      </x:c>
      <x:c r="C595" s="7" t="s">
        <x:v>371</x:v>
      </x:c>
      <x:c r="D595" s="7" t="s">
        <x:v>1950</x:v>
      </x:c>
      <x:c r="E595" s="7" t="s">
        <x:v>3188</x:v>
      </x:c>
      <x:c r="F595" s="7" t="s">
        <x:v>1929</x:v>
      </x:c>
      <x:c r="G595" s="8" t="n">
        <x:v>5260</x:v>
      </x:c>
      <x:c r="H595" s="8" t="s">
        <x:v>58</x:v>
      </x:c>
      <x:c r="I595" s="8" t="s">
        <x:v>58</x:v>
      </x:c>
      <x:c r="J595" s="7" t="s">
        <x:v>1919</x:v>
      </x:c>
      <x:c r="K595" s="8" t="n">
        <x:v>0.001</x:v>
      </x:c>
      <x:c r="L595" s="8" t="n">
        <x:f aca="0">IF(AND(ISNUMBER(G595),P595&lt;&gt;"Unresolved unit / layout"),G595*K595,"Not applicable")</x:f>
        <x:v>5.26</x:v>
      </x:c>
      <x:c r="M595" s="8" t="str">
        <x:f aca="0">IF(AND(ISNUMBER(H595),P595&lt;&gt;"Unresolved unit / layout"),H595*K595,"Not applicable")</x:f>
        <x:v>Not applicable</x:v>
      </x:c>
      <x:c r="N595" s="8" t="str">
        <x:f aca="0">IF(AND(ISNUMBER(I595),P595&lt;&gt;"Unresolved unit / layout"),I595*K595,"Not applicable")</x:f>
        <x:v>Not applicable</x:v>
      </x:c>
      <x:c r="O595" s="7" t="s">
        <x:v>1937</x:v>
      </x:c>
      <x:c r="P595" s="7" t="s">
        <x:v>1921</x:v>
      </x:c>
      <x:c r="Q595" s="7" t="s">
        <x:v>1930</x:v>
      </x:c>
      <x:c r="R595" s="7" t="s">
        <x:v>1931</x:v>
      </x:c>
      <x:c r="S595" s="7" t="s">
        <x:v>53</x:v>
      </x:c>
      <x:c r="T595" s="7" t="s">
        <x:v>53</x:v>
      </x:c>
      <x:c r="U595" s="7" t="s">
        <x:v>53</x:v>
      </x:c>
      <x:c r="V595" s="7" t="s">
        <x:v>1947</x:v>
      </x:c>
      <x:c r="W595" s="7" t="s">
        <x:v>58</x:v>
      </x:c>
      <x:c r="X595" s="7" t="s">
        <x:v>3178</x:v>
      </x:c>
      <x:c r="Y595" s="7" t="s">
        <x:v>1208</x:v>
      </x:c>
      <x:c r="Z595" s="7" t="s">
        <x:v>1952</x:v>
      </x:c>
      <x:c r="AA595" s="7" t="s">
        <x:v>58</x:v>
      </x:c>
      <x:c r="AB595" s="8" t="s">
        <x:v>58</x:v>
      </x:c>
      <x:c r="AC595" s="8" t="s">
        <x:v>58</x:v>
      </x:c>
      <x:c r="AD595" s="8" t="s">
        <x:v>58</x:v>
      </x:c>
      <x:c r="AE595" s="8" t="s">
        <x:v>58</x:v>
      </x:c>
      <x:c r="AF595" s="8" t="s">
        <x:v>58</x:v>
      </x:c>
      <x:c r="AG595" s="7" t="s">
        <x:v>58</x:v>
      </x:c>
    </x:row>
    <x:row r="596" ht="51.75" hidden="0" customHeight="1">
      <x:c r="A596" s="7" t="s">
        <x:v>3189</x:v>
      </x:c>
      <x:c r="B596" s="7" t="s">
        <x:v>369</x:v>
      </x:c>
      <x:c r="C596" s="7" t="s">
        <x:v>371</x:v>
      </x:c>
      <x:c r="D596" s="7" t="s">
        <x:v>1954</x:v>
      </x:c>
      <x:c r="E596" s="7" t="s">
        <x:v>3190</x:v>
      </x:c>
      <x:c r="F596" s="7" t="s">
        <x:v>1956</x:v>
      </x:c>
      <x:c r="G596" s="8" t="n">
        <x:v>105</x:v>
      </x:c>
      <x:c r="H596" s="8" t="s">
        <x:v>58</x:v>
      </x:c>
      <x:c r="I596" s="8" t="s">
        <x:v>58</x:v>
      </x:c>
      <x:c r="J596" s="7" t="s">
        <x:v>1919</x:v>
      </x:c>
      <x:c r="K596" s="8" t="n">
        <x:v>1</x:v>
      </x:c>
      <x:c r="L596" s="8" t="n">
        <x:f aca="0">IF(AND(ISNUMBER(G596),P596&lt;&gt;"Unresolved unit / layout"),G596*K596,"Not applicable")</x:f>
        <x:v>105</x:v>
      </x:c>
      <x:c r="M596" s="8" t="str">
        <x:f aca="0">IF(AND(ISNUMBER(H596),P596&lt;&gt;"Unresolved unit / layout"),H596*K596,"Not applicable")</x:f>
        <x:v>Not applicable</x:v>
      </x:c>
      <x:c r="N596" s="8" t="str">
        <x:f aca="0">IF(AND(ISNUMBER(I596),P596&lt;&gt;"Unresolved unit / layout"),I596*K596,"Not applicable")</x:f>
        <x:v>Not applicable</x:v>
      </x:c>
      <x:c r="O596" s="7" t="s">
        <x:v>1956</x:v>
      </x:c>
      <x:c r="P596" s="7" t="s">
        <x:v>1921</x:v>
      </x:c>
      <x:c r="Q596" s="7" t="s">
        <x:v>1930</x:v>
      </x:c>
      <x:c r="R596" s="7" t="s">
        <x:v>58</x:v>
      </x:c>
      <x:c r="S596" s="7" t="s">
        <x:v>53</x:v>
      </x:c>
      <x:c r="T596" s="7" t="s">
        <x:v>53</x:v>
      </x:c>
      <x:c r="U596" s="7" t="s">
        <x:v>53</x:v>
      </x:c>
      <x:c r="V596" s="7" t="s">
        <x:v>1957</x:v>
      </x:c>
      <x:c r="W596" s="7" t="s">
        <x:v>58</x:v>
      </x:c>
      <x:c r="X596" s="7" t="s">
        <x:v>3178</x:v>
      </x:c>
      <x:c r="Y596" s="7" t="s">
        <x:v>1208</x:v>
      </x:c>
      <x:c r="Z596" s="7" t="s">
        <x:v>1958</x:v>
      </x:c>
      <x:c r="AA596" s="7" t="s">
        <x:v>58</x:v>
      </x:c>
      <x:c r="AB596" s="8" t="s">
        <x:v>58</x:v>
      </x:c>
      <x:c r="AC596" s="8" t="s">
        <x:v>58</x:v>
      </x:c>
      <x:c r="AD596" s="8" t="s">
        <x:v>58</x:v>
      </x:c>
      <x:c r="AE596" s="8" t="s">
        <x:v>58</x:v>
      </x:c>
      <x:c r="AF596" s="8" t="s">
        <x:v>58</x:v>
      </x:c>
      <x:c r="AG596" s="7" t="s">
        <x:v>58</x:v>
      </x:c>
    </x:row>
    <x:row r="597" ht="51.75" hidden="0" customHeight="1">
      <x:c r="A597" s="7" t="s">
        <x:v>377</x:v>
      </x:c>
      <x:c r="B597" s="7" t="s">
        <x:v>369</x:v>
      </x:c>
      <x:c r="C597" s="7" t="s">
        <x:v>371</x:v>
      </x:c>
      <x:c r="D597" s="7" t="s">
        <x:v>1959</x:v>
      </x:c>
      <x:c r="E597" s="7" t="s">
        <x:v>3186</x:v>
      </x:c>
      <x:c r="F597" s="7" t="s">
        <x:v>1956</x:v>
      </x:c>
      <x:c r="G597" s="8" t="n">
        <x:v>76</x:v>
      </x:c>
      <x:c r="H597" s="8" t="s">
        <x:v>58</x:v>
      </x:c>
      <x:c r="I597" s="8" t="s">
        <x:v>58</x:v>
      </x:c>
      <x:c r="J597" s="7" t="s">
        <x:v>1919</x:v>
      </x:c>
      <x:c r="K597" s="8" t="n">
        <x:v>1</x:v>
      </x:c>
      <x:c r="L597" s="8" t="n">
        <x:f aca="0">IF(AND(ISNUMBER(G597),P597&lt;&gt;"Unresolved unit / layout"),G597*K597,"Not applicable")</x:f>
        <x:v>76</x:v>
      </x:c>
      <x:c r="M597" s="8" t="str">
        <x:f aca="0">IF(AND(ISNUMBER(H597),P597&lt;&gt;"Unresolved unit / layout"),H597*K597,"Not applicable")</x:f>
        <x:v>Not applicable</x:v>
      </x:c>
      <x:c r="N597" s="8" t="str">
        <x:f aca="0">IF(AND(ISNUMBER(I597),P597&lt;&gt;"Unresolved unit / layout"),I597*K597,"Not applicable")</x:f>
        <x:v>Not applicable</x:v>
      </x:c>
      <x:c r="O597" s="7" t="s">
        <x:v>1956</x:v>
      </x:c>
      <x:c r="P597" s="7" t="s">
        <x:v>1921</x:v>
      </x:c>
      <x:c r="Q597" s="7" t="s">
        <x:v>1930</x:v>
      </x:c>
      <x:c r="R597" s="7" t="s">
        <x:v>58</x:v>
      </x:c>
      <x:c r="S597" s="7" t="s">
        <x:v>53</x:v>
      </x:c>
      <x:c r="T597" s="7" t="s">
        <x:v>53</x:v>
      </x:c>
      <x:c r="U597" s="7" t="s">
        <x:v>53</x:v>
      </x:c>
      <x:c r="V597" s="7" t="s">
        <x:v>1961</x:v>
      </x:c>
      <x:c r="W597" s="7" t="s">
        <x:v>58</x:v>
      </x:c>
      <x:c r="X597" s="7" t="s">
        <x:v>3178</x:v>
      </x:c>
      <x:c r="Y597" s="7" t="s">
        <x:v>1208</x:v>
      </x:c>
      <x:c r="Z597" s="7" t="s">
        <x:v>1962</x:v>
      </x:c>
      <x:c r="AA597" s="7" t="s">
        <x:v>58</x:v>
      </x:c>
      <x:c r="AB597" s="8" t="s">
        <x:v>58</x:v>
      </x:c>
      <x:c r="AC597" s="8" t="s">
        <x:v>58</x:v>
      </x:c>
      <x:c r="AD597" s="8" t="s">
        <x:v>58</x:v>
      </x:c>
      <x:c r="AE597" s="8" t="s">
        <x:v>58</x:v>
      </x:c>
      <x:c r="AF597" s="8" t="s">
        <x:v>58</x:v>
      </x:c>
      <x:c r="AG597" s="7" t="s">
        <x:v>58</x:v>
      </x:c>
    </x:row>
    <x:row r="598" ht="66" hidden="0" customHeight="1">
      <x:c r="A598" s="7" t="s">
        <x:v>3191</x:v>
      </x:c>
      <x:c r="B598" s="7" t="s">
        <x:v>369</x:v>
      </x:c>
      <x:c r="C598" s="7" t="s">
        <x:v>1210</x:v>
      </x:c>
      <x:c r="D598" s="7" t="s">
        <x:v>1940</x:v>
      </x:c>
      <x:c r="E598" s="7" t="s">
        <x:v>3192</x:v>
      </x:c>
      <x:c r="F598" s="7" t="s">
        <x:v>1942</x:v>
      </x:c>
      <x:c r="G598" s="8" t="n">
        <x:v>3</x:v>
      </x:c>
      <x:c r="H598" s="8" t="s">
        <x:v>58</x:v>
      </x:c>
      <x:c r="I598" s="8" t="s">
        <x:v>58</x:v>
      </x:c>
      <x:c r="J598" s="7" t="s">
        <x:v>1919</x:v>
      </x:c>
      <x:c r="K598" s="8" t="n">
        <x:v>1</x:v>
      </x:c>
      <x:c r="L598" s="8" t="n">
        <x:f aca="0">IF(AND(ISNUMBER(G598),P598&lt;&gt;"Unresolved unit / layout"),G598*K598,"Insufficient comparable data")</x:f>
        <x:v>3</x:v>
      </x:c>
      <x:c r="M598" s="8" t="str">
        <x:f aca="0">IF(AND(ISNUMBER(H598),P598&lt;&gt;"Unresolved unit / layout"),H598*K598,"Not applicable")</x:f>
        <x:v>Not applicable</x:v>
      </x:c>
      <x:c r="N598" s="8" t="str">
        <x:f aca="0">IF(AND(ISNUMBER(I598),P598&lt;&gt;"Unresolved unit / layout"),I598*K598,"Not applicable")</x:f>
        <x:v>Not applicable</x:v>
      </x:c>
      <x:c r="O598" s="7" t="s">
        <x:v>1942</x:v>
      </x:c>
      <x:c r="P598" s="7" t="s">
        <x:v>2732</x:v>
      </x:c>
      <x:c r="Q598" s="7" t="s">
        <x:v>2064</x:v>
      </x:c>
      <x:c r="R598" s="7" t="s">
        <x:v>53</x:v>
      </x:c>
      <x:c r="S598" s="7" t="s">
        <x:v>53</x:v>
      </x:c>
      <x:c r="T598" s="7" t="s">
        <x:v>53</x:v>
      </x:c>
      <x:c r="U598" s="7" t="s">
        <x:v>53</x:v>
      </x:c>
      <x:c r="V598" s="7" t="s">
        <x:v>1932</x:v>
      </x:c>
      <x:c r="W598" s="7" t="s">
        <x:v>58</x:v>
      </x:c>
      <x:c r="X598" s="7" t="s">
        <x:v>3193</x:v>
      </x:c>
      <x:c r="Y598" s="7" t="s">
        <x:v>1212</x:v>
      </x:c>
      <x:c r="Z598" s="7" t="s">
        <x:v>3194</x:v>
      </x:c>
      <x:c r="AA598" s="7" t="s">
        <x:v>3195</x:v>
      </x:c>
      <x:c r="AB598" s="8" t="s">
        <x:v>58</x:v>
      </x:c>
      <x:c r="AC598" s="8" t="s">
        <x:v>58</x:v>
      </x:c>
      <x:c r="AD598" s="8" t="s">
        <x:v>58</x:v>
      </x:c>
      <x:c r="AE598" s="8" t="s">
        <x:v>58</x:v>
      </x:c>
      <x:c r="AF598" s="8" t="s">
        <x:v>58</x:v>
      </x:c>
      <x:c r="AG598" s="7" t="s">
        <x:v>58</x:v>
      </x:c>
    </x:row>
    <x:row r="599" ht="51.75" hidden="0" customHeight="1">
      <x:c r="A599" s="7" t="s">
        <x:v>3196</x:v>
      </x:c>
      <x:c r="B599" s="7" t="s">
        <x:v>380</x:v>
      </x:c>
      <x:c r="C599" s="7" t="s">
        <x:v>382</x:v>
      </x:c>
      <x:c r="D599" s="7" t="s">
        <x:v>1916</x:v>
      </x:c>
      <x:c r="E599" s="7" t="s">
        <x:v>3197</x:v>
      </x:c>
      <x:c r="F599" s="7" t="s">
        <x:v>1918</x:v>
      </x:c>
      <x:c r="G599" s="8" t="n">
        <x:v>1.09</x:v>
      </x:c>
      <x:c r="H599" s="8" t="s">
        <x:v>58</x:v>
      </x:c>
      <x:c r="I599" s="8" t="s">
        <x:v>58</x:v>
      </x:c>
      <x:c r="J599" s="7" t="s">
        <x:v>1919</x:v>
      </x:c>
      <x:c r="K599" s="8" t="n">
        <x:v>1000</x:v>
      </x:c>
      <x:c r="L599" s="8" t="n">
        <x:f aca="0">IF(AND(ISNUMBER(G599),P599&lt;&gt;"Unresolved unit / layout"),G599*K599,"Not applicable")</x:f>
        <x:v>1090</x:v>
      </x:c>
      <x:c r="M599" s="8" t="str">
        <x:f aca="0">IF(AND(ISNUMBER(H599),P599&lt;&gt;"Unresolved unit / layout"),H599*K599,"Not applicable")</x:f>
        <x:v>Not applicable</x:v>
      </x:c>
      <x:c r="N599" s="8" t="str">
        <x:f aca="0">IF(AND(ISNUMBER(I599),P599&lt;&gt;"Unresolved unit / layout"),I599*K599,"Not applicable")</x:f>
        <x:v>Not applicable</x:v>
      </x:c>
      <x:c r="O599" s="7" t="s">
        <x:v>1920</x:v>
      </x:c>
      <x:c r="P599" s="7" t="s">
        <x:v>1921</x:v>
      </x:c>
      <x:c r="Q599" s="7" t="s">
        <x:v>1922</x:v>
      </x:c>
      <x:c r="R599" s="7" t="s">
        <x:v>58</x:v>
      </x:c>
      <x:c r="S599" s="7" t="s">
        <x:v>53</x:v>
      </x:c>
      <x:c r="T599" s="7" t="s">
        <x:v>53</x:v>
      </x:c>
      <x:c r="U599" s="7" t="s">
        <x:v>53</x:v>
      </x:c>
      <x:c r="V599" s="7" t="s">
        <x:v>1923</x:v>
      </x:c>
      <x:c r="W599" s="7" t="s">
        <x:v>58</x:v>
      </x:c>
      <x:c r="X599" s="7" t="s">
        <x:v>3178</x:v>
      </x:c>
      <x:c r="Y599" s="7" t="s">
        <x:v>1214</x:v>
      </x:c>
      <x:c r="Z599" s="7" t="s">
        <x:v>1925</x:v>
      </x:c>
      <x:c r="AA599" s="7" t="s">
        <x:v>58</x:v>
      </x:c>
      <x:c r="AB599" s="8" t="s">
        <x:v>58</x:v>
      </x:c>
      <x:c r="AC599" s="8" t="s">
        <x:v>58</x:v>
      </x:c>
      <x:c r="AD599" s="8" t="s">
        <x:v>58</x:v>
      </x:c>
      <x:c r="AE599" s="8" t="s">
        <x:v>58</x:v>
      </x:c>
      <x:c r="AF599" s="8" t="s">
        <x:v>58</x:v>
      </x:c>
      <x:c r="AG599" s="7" t="s">
        <x:v>58</x:v>
      </x:c>
    </x:row>
    <x:row r="600" ht="51.75" hidden="0" customHeight="1">
      <x:c r="A600" s="7" t="s">
        <x:v>3198</x:v>
      </x:c>
      <x:c r="B600" s="7" t="s">
        <x:v>380</x:v>
      </x:c>
      <x:c r="C600" s="7" t="s">
        <x:v>382</x:v>
      </x:c>
      <x:c r="D600" s="7" t="s">
        <x:v>1927</x:v>
      </x:c>
      <x:c r="E600" s="7" t="s">
        <x:v>3199</x:v>
      </x:c>
      <x:c r="F600" s="7" t="s">
        <x:v>1929</x:v>
      </x:c>
      <x:c r="G600" s="8" t="n">
        <x:v>58</x:v>
      </x:c>
      <x:c r="H600" s="8" t="s">
        <x:v>58</x:v>
      </x:c>
      <x:c r="I600" s="8" t="s">
        <x:v>58</x:v>
      </x:c>
      <x:c r="J600" s="7" t="s">
        <x:v>1919</x:v>
      </x:c>
      <x:c r="K600" s="8" t="n">
        <x:v>1</x:v>
      </x:c>
      <x:c r="L600" s="8" t="n">
        <x:f aca="0">IF(AND(ISNUMBER(G600),P600&lt;&gt;"Unresolved unit / layout"),G600*K600,"Not applicable")</x:f>
        <x:v>58</x:v>
      </x:c>
      <x:c r="M600" s="8" t="str">
        <x:f aca="0">IF(AND(ISNUMBER(H600),P600&lt;&gt;"Unresolved unit / layout"),H600*K600,"Not applicable")</x:f>
        <x:v>Not applicable</x:v>
      </x:c>
      <x:c r="N600" s="8" t="str">
        <x:f aca="0">IF(AND(ISNUMBER(I600),P600&lt;&gt;"Unresolved unit / layout"),I600*K600,"Not applicable")</x:f>
        <x:v>Not applicable</x:v>
      </x:c>
      <x:c r="O600" s="7" t="s">
        <x:v>1929</x:v>
      </x:c>
      <x:c r="P600" s="7" t="s">
        <x:v>1921</x:v>
      </x:c>
      <x:c r="Q600" s="7" t="s">
        <x:v>1930</x:v>
      </x:c>
      <x:c r="R600" s="7" t="s">
        <x:v>1931</x:v>
      </x:c>
      <x:c r="S600" s="7" t="s">
        <x:v>53</x:v>
      </x:c>
      <x:c r="T600" s="7" t="s">
        <x:v>53</x:v>
      </x:c>
      <x:c r="U600" s="7" t="s">
        <x:v>53</x:v>
      </x:c>
      <x:c r="V600" s="7" t="s">
        <x:v>1932</x:v>
      </x:c>
      <x:c r="W600" s="7" t="s">
        <x:v>58</x:v>
      </x:c>
      <x:c r="X600" s="7" t="s">
        <x:v>3178</x:v>
      </x:c>
      <x:c r="Y600" s="7" t="s">
        <x:v>1214</x:v>
      </x:c>
      <x:c r="Z600" s="7" t="s">
        <x:v>1933</x:v>
      </x:c>
      <x:c r="AA600" s="7" t="s">
        <x:v>58</x:v>
      </x:c>
      <x:c r="AB600" s="8" t="s">
        <x:v>58</x:v>
      </x:c>
      <x:c r="AC600" s="8" t="s">
        <x:v>58</x:v>
      </x:c>
      <x:c r="AD600" s="8" t="s">
        <x:v>58</x:v>
      </x:c>
      <x:c r="AE600" s="8" t="s">
        <x:v>58</x:v>
      </x:c>
      <x:c r="AF600" s="8" t="s">
        <x:v>58</x:v>
      </x:c>
      <x:c r="AG600" s="7" t="s">
        <x:v>58</x:v>
      </x:c>
    </x:row>
    <x:row r="601" ht="51.75" hidden="0" customHeight="1">
      <x:c r="A601" s="7" t="s">
        <x:v>3200</x:v>
      </x:c>
      <x:c r="B601" s="7" t="s">
        <x:v>380</x:v>
      </x:c>
      <x:c r="C601" s="7" t="s">
        <x:v>382</x:v>
      </x:c>
      <x:c r="D601" s="7" t="s">
        <x:v>1935</x:v>
      </x:c>
      <x:c r="E601" s="7" t="s">
        <x:v>3201</x:v>
      </x:c>
      <x:c r="F601" s="7" t="s">
        <x:v>1929</x:v>
      </x:c>
      <x:c r="G601" s="8" t="n">
        <x:v>2130</x:v>
      </x:c>
      <x:c r="H601" s="8" t="s">
        <x:v>58</x:v>
      </x:c>
      <x:c r="I601" s="8" t="s">
        <x:v>58</x:v>
      </x:c>
      <x:c r="J601" s="7" t="s">
        <x:v>1919</x:v>
      </x:c>
      <x:c r="K601" s="8" t="n">
        <x:v>0.001</x:v>
      </x:c>
      <x:c r="L601" s="8" t="n">
        <x:f aca="0">IF(AND(ISNUMBER(G601),P601&lt;&gt;"Unresolved unit / layout"),G601*K601,"Not applicable")</x:f>
        <x:v>2.13</x:v>
      </x:c>
      <x:c r="M601" s="8" t="str">
        <x:f aca="0">IF(AND(ISNUMBER(H601),P601&lt;&gt;"Unresolved unit / layout"),H601*K601,"Not applicable")</x:f>
        <x:v>Not applicable</x:v>
      </x:c>
      <x:c r="N601" s="8" t="str">
        <x:f aca="0">IF(AND(ISNUMBER(I601),P601&lt;&gt;"Unresolved unit / layout"),I601*K601,"Not applicable")</x:f>
        <x:v>Not applicable</x:v>
      </x:c>
      <x:c r="O601" s="7" t="s">
        <x:v>1937</x:v>
      </x:c>
      <x:c r="P601" s="7" t="s">
        <x:v>1921</x:v>
      </x:c>
      <x:c r="Q601" s="7" t="s">
        <x:v>1930</x:v>
      </x:c>
      <x:c r="R601" s="7" t="s">
        <x:v>1931</x:v>
      </x:c>
      <x:c r="S601" s="7" t="s">
        <x:v>53</x:v>
      </x:c>
      <x:c r="T601" s="7" t="s">
        <x:v>53</x:v>
      </x:c>
      <x:c r="U601" s="7" t="s">
        <x:v>53</x:v>
      </x:c>
      <x:c r="V601" s="7" t="s">
        <x:v>1932</x:v>
      </x:c>
      <x:c r="W601" s="7" t="s">
        <x:v>58</x:v>
      </x:c>
      <x:c r="X601" s="7" t="s">
        <x:v>3178</x:v>
      </x:c>
      <x:c r="Y601" s="7" t="s">
        <x:v>1214</x:v>
      </x:c>
      <x:c r="Z601" s="7" t="s">
        <x:v>1938</x:v>
      </x:c>
      <x:c r="AA601" s="7" t="s">
        <x:v>58</x:v>
      </x:c>
      <x:c r="AB601" s="8" t="s">
        <x:v>58</x:v>
      </x:c>
      <x:c r="AC601" s="8" t="s">
        <x:v>58</x:v>
      </x:c>
      <x:c r="AD601" s="8" t="s">
        <x:v>58</x:v>
      </x:c>
      <x:c r="AE601" s="8" t="s">
        <x:v>58</x:v>
      </x:c>
      <x:c r="AF601" s="8" t="s">
        <x:v>58</x:v>
      </x:c>
      <x:c r="AG601" s="7" t="s">
        <x:v>58</x:v>
      </x:c>
    </x:row>
    <x:row r="602" ht="51.75" hidden="0" customHeight="1">
      <x:c r="A602" s="7" t="s">
        <x:v>3202</x:v>
      </x:c>
      <x:c r="B602" s="7" t="s">
        <x:v>380</x:v>
      </x:c>
      <x:c r="C602" s="7" t="s">
        <x:v>382</x:v>
      </x:c>
      <x:c r="D602" s="7" t="s">
        <x:v>1940</x:v>
      </x:c>
      <x:c r="E602" s="7" t="s">
        <x:v>3203</x:v>
      </x:c>
      <x:c r="F602" s="7" t="s">
        <x:v>1942</x:v>
      </x:c>
      <x:c r="G602" s="8" t="n">
        <x:v>4</x:v>
      </x:c>
      <x:c r="H602" s="8" t="s">
        <x:v>58</x:v>
      </x:c>
      <x:c r="I602" s="8" t="s">
        <x:v>58</x:v>
      </x:c>
      <x:c r="J602" s="7" t="s">
        <x:v>1919</x:v>
      </x:c>
      <x:c r="K602" s="8" t="n">
        <x:v>1</x:v>
      </x:c>
      <x:c r="L602" s="8" t="n">
        <x:f aca="0">IF(AND(ISNUMBER(G602),P602&lt;&gt;"Unresolved unit / layout"),G602*K602,"Not applicable")</x:f>
        <x:v>4</x:v>
      </x:c>
      <x:c r="M602" s="8" t="str">
        <x:f aca="0">IF(AND(ISNUMBER(H602),P602&lt;&gt;"Unresolved unit / layout"),H602*K602,"Not applicable")</x:f>
        <x:v>Not applicable</x:v>
      </x:c>
      <x:c r="N602" s="8" t="str">
        <x:f aca="0">IF(AND(ISNUMBER(I602),P602&lt;&gt;"Unresolved unit / layout"),I602*K602,"Not applicable")</x:f>
        <x:v>Not applicable</x:v>
      </x:c>
      <x:c r="O602" s="7" t="s">
        <x:v>1942</x:v>
      </x:c>
      <x:c r="P602" s="7" t="s">
        <x:v>1921</x:v>
      </x:c>
      <x:c r="Q602" s="7" t="s">
        <x:v>1930</x:v>
      </x:c>
      <x:c r="R602" s="7" t="s">
        <x:v>1931</x:v>
      </x:c>
      <x:c r="S602" s="7" t="s">
        <x:v>53</x:v>
      </x:c>
      <x:c r="T602" s="7" t="s">
        <x:v>53</x:v>
      </x:c>
      <x:c r="U602" s="7" t="s">
        <x:v>53</x:v>
      </x:c>
      <x:c r="V602" s="7" t="s">
        <x:v>1932</x:v>
      </x:c>
      <x:c r="W602" s="7" t="s">
        <x:v>58</x:v>
      </x:c>
      <x:c r="X602" s="7" t="s">
        <x:v>3178</x:v>
      </x:c>
      <x:c r="Y602" s="7" t="s">
        <x:v>1214</x:v>
      </x:c>
      <x:c r="Z602" s="7" t="s">
        <x:v>1943</x:v>
      </x:c>
      <x:c r="AA602" s="7" t="s">
        <x:v>58</x:v>
      </x:c>
      <x:c r="AB602" s="8" t="s">
        <x:v>58</x:v>
      </x:c>
      <x:c r="AC602" s="8" t="s">
        <x:v>58</x:v>
      </x:c>
      <x:c r="AD602" s="8" t="s">
        <x:v>58</x:v>
      </x:c>
      <x:c r="AE602" s="8" t="s">
        <x:v>58</x:v>
      </x:c>
      <x:c r="AF602" s="8" t="s">
        <x:v>58</x:v>
      </x:c>
      <x:c r="AG602" s="7" t="s">
        <x:v>58</x:v>
      </x:c>
    </x:row>
    <x:row r="603" ht="51.75" hidden="0" customHeight="1">
      <x:c r="A603" s="7" t="s">
        <x:v>3204</x:v>
      </x:c>
      <x:c r="B603" s="7" t="s">
        <x:v>380</x:v>
      </x:c>
      <x:c r="C603" s="7" t="s">
        <x:v>382</x:v>
      </x:c>
      <x:c r="D603" s="7" t="s">
        <x:v>1945</x:v>
      </x:c>
      <x:c r="E603" s="7" t="s">
        <x:v>1960</x:v>
      </x:c>
      <x:c r="F603" s="7" t="s">
        <x:v>1929</x:v>
      </x:c>
      <x:c r="G603" s="8" t="n">
        <x:v>80</x:v>
      </x:c>
      <x:c r="H603" s="8" t="s">
        <x:v>58</x:v>
      </x:c>
      <x:c r="I603" s="8" t="s">
        <x:v>58</x:v>
      </x:c>
      <x:c r="J603" s="7" t="s">
        <x:v>1919</x:v>
      </x:c>
      <x:c r="K603" s="8" t="n">
        <x:v>1</x:v>
      </x:c>
      <x:c r="L603" s="8" t="n">
        <x:f aca="0">IF(AND(ISNUMBER(G603),P603&lt;&gt;"Unresolved unit / layout"),G603*K603,"Not applicable")</x:f>
        <x:v>80</x:v>
      </x:c>
      <x:c r="M603" s="8" t="str">
        <x:f aca="0">IF(AND(ISNUMBER(H603),P603&lt;&gt;"Unresolved unit / layout"),H603*K603,"Not applicable")</x:f>
        <x:v>Not applicable</x:v>
      </x:c>
      <x:c r="N603" s="8" t="str">
        <x:f aca="0">IF(AND(ISNUMBER(I603),P603&lt;&gt;"Unresolved unit / layout"),I603*K603,"Not applicable")</x:f>
        <x:v>Not applicable</x:v>
      </x:c>
      <x:c r="O603" s="7" t="s">
        <x:v>1929</x:v>
      </x:c>
      <x:c r="P603" s="7" t="s">
        <x:v>1921</x:v>
      </x:c>
      <x:c r="Q603" s="7" t="s">
        <x:v>1930</x:v>
      </x:c>
      <x:c r="R603" s="7" t="s">
        <x:v>1931</x:v>
      </x:c>
      <x:c r="S603" s="7" t="s">
        <x:v>53</x:v>
      </x:c>
      <x:c r="T603" s="7" t="s">
        <x:v>53</x:v>
      </x:c>
      <x:c r="U603" s="7" t="s">
        <x:v>53</x:v>
      </x:c>
      <x:c r="V603" s="7" t="s">
        <x:v>1947</x:v>
      </x:c>
      <x:c r="W603" s="7" t="s">
        <x:v>58</x:v>
      </x:c>
      <x:c r="X603" s="7" t="s">
        <x:v>3178</x:v>
      </x:c>
      <x:c r="Y603" s="7" t="s">
        <x:v>1214</x:v>
      </x:c>
      <x:c r="Z603" s="7" t="s">
        <x:v>1948</x:v>
      </x:c>
      <x:c r="AA603" s="7" t="s">
        <x:v>58</x:v>
      </x:c>
      <x:c r="AB603" s="8" t="s">
        <x:v>58</x:v>
      </x:c>
      <x:c r="AC603" s="8" t="s">
        <x:v>58</x:v>
      </x:c>
      <x:c r="AD603" s="8" t="s">
        <x:v>58</x:v>
      </x:c>
      <x:c r="AE603" s="8" t="s">
        <x:v>58</x:v>
      </x:c>
      <x:c r="AF603" s="8" t="s">
        <x:v>58</x:v>
      </x:c>
      <x:c r="AG603" s="7" t="s">
        <x:v>58</x:v>
      </x:c>
    </x:row>
    <x:row r="604" ht="51.75" hidden="0" customHeight="1">
      <x:c r="A604" s="7" t="s">
        <x:v>3205</x:v>
      </x:c>
      <x:c r="B604" s="7" t="s">
        <x:v>380</x:v>
      </x:c>
      <x:c r="C604" s="7" t="s">
        <x:v>382</x:v>
      </x:c>
      <x:c r="D604" s="7" t="s">
        <x:v>1950</x:v>
      </x:c>
      <x:c r="E604" s="7" t="s">
        <x:v>3206</x:v>
      </x:c>
      <x:c r="F604" s="7" t="s">
        <x:v>1929</x:v>
      </x:c>
      <x:c r="G604" s="8" t="n">
        <x:v>2275</x:v>
      </x:c>
      <x:c r="H604" s="8" t="s">
        <x:v>58</x:v>
      </x:c>
      <x:c r="I604" s="8" t="s">
        <x:v>58</x:v>
      </x:c>
      <x:c r="J604" s="7" t="s">
        <x:v>1919</x:v>
      </x:c>
      <x:c r="K604" s="8" t="n">
        <x:v>0.001</x:v>
      </x:c>
      <x:c r="L604" s="8" t="n">
        <x:f aca="0">IF(AND(ISNUMBER(G604),P604&lt;&gt;"Unresolved unit / layout"),G604*K604,"Not applicable")</x:f>
        <x:v>2.275</x:v>
      </x:c>
      <x:c r="M604" s="8" t="str">
        <x:f aca="0">IF(AND(ISNUMBER(H604),P604&lt;&gt;"Unresolved unit / layout"),H604*K604,"Not applicable")</x:f>
        <x:v>Not applicable</x:v>
      </x:c>
      <x:c r="N604" s="8" t="str">
        <x:f aca="0">IF(AND(ISNUMBER(I604),P604&lt;&gt;"Unresolved unit / layout"),I604*K604,"Not applicable")</x:f>
        <x:v>Not applicable</x:v>
      </x:c>
      <x:c r="O604" s="7" t="s">
        <x:v>1937</x:v>
      </x:c>
      <x:c r="P604" s="7" t="s">
        <x:v>1921</x:v>
      </x:c>
      <x:c r="Q604" s="7" t="s">
        <x:v>1930</x:v>
      </x:c>
      <x:c r="R604" s="7" t="s">
        <x:v>1931</x:v>
      </x:c>
      <x:c r="S604" s="7" t="s">
        <x:v>53</x:v>
      </x:c>
      <x:c r="T604" s="7" t="s">
        <x:v>53</x:v>
      </x:c>
      <x:c r="U604" s="7" t="s">
        <x:v>53</x:v>
      </x:c>
      <x:c r="V604" s="7" t="s">
        <x:v>1947</x:v>
      </x:c>
      <x:c r="W604" s="7" t="s">
        <x:v>58</x:v>
      </x:c>
      <x:c r="X604" s="7" t="s">
        <x:v>3178</x:v>
      </x:c>
      <x:c r="Y604" s="7" t="s">
        <x:v>1214</x:v>
      </x:c>
      <x:c r="Z604" s="7" t="s">
        <x:v>1952</x:v>
      </x:c>
      <x:c r="AA604" s="7" t="s">
        <x:v>58</x:v>
      </x:c>
      <x:c r="AB604" s="8" t="s">
        <x:v>58</x:v>
      </x:c>
      <x:c r="AC604" s="8" t="s">
        <x:v>58</x:v>
      </x:c>
      <x:c r="AD604" s="8" t="s">
        <x:v>58</x:v>
      </x:c>
      <x:c r="AE604" s="8" t="s">
        <x:v>58</x:v>
      </x:c>
      <x:c r="AF604" s="8" t="s">
        <x:v>58</x:v>
      </x:c>
      <x:c r="AG604" s="7" t="s">
        <x:v>58</x:v>
      </x:c>
    </x:row>
    <x:row r="605" ht="51.75" hidden="0" customHeight="1">
      <x:c r="A605" s="7" t="s">
        <x:v>3207</x:v>
      </x:c>
      <x:c r="B605" s="7" t="s">
        <x:v>380</x:v>
      </x:c>
      <x:c r="C605" s="7" t="s">
        <x:v>382</x:v>
      </x:c>
      <x:c r="D605" s="7" t="s">
        <x:v>1954</x:v>
      </x:c>
      <x:c r="E605" s="7" t="s">
        <x:v>3190</x:v>
      </x:c>
      <x:c r="F605" s="7" t="s">
        <x:v>1956</x:v>
      </x:c>
      <x:c r="G605" s="8" t="n">
        <x:v>105</x:v>
      </x:c>
      <x:c r="H605" s="8" t="s">
        <x:v>58</x:v>
      </x:c>
      <x:c r="I605" s="8" t="s">
        <x:v>58</x:v>
      </x:c>
      <x:c r="J605" s="7" t="s">
        <x:v>1919</x:v>
      </x:c>
      <x:c r="K605" s="8" t="n">
        <x:v>1</x:v>
      </x:c>
      <x:c r="L605" s="8" t="n">
        <x:f aca="0">IF(AND(ISNUMBER(G605),P605&lt;&gt;"Unresolved unit / layout"),G605*K605,"Not applicable")</x:f>
        <x:v>105</x:v>
      </x:c>
      <x:c r="M605" s="8" t="str">
        <x:f aca="0">IF(AND(ISNUMBER(H605),P605&lt;&gt;"Unresolved unit / layout"),H605*K605,"Not applicable")</x:f>
        <x:v>Not applicable</x:v>
      </x:c>
      <x:c r="N605" s="8" t="str">
        <x:f aca="0">IF(AND(ISNUMBER(I605),P605&lt;&gt;"Unresolved unit / layout"),I605*K605,"Not applicable")</x:f>
        <x:v>Not applicable</x:v>
      </x:c>
      <x:c r="O605" s="7" t="s">
        <x:v>1956</x:v>
      </x:c>
      <x:c r="P605" s="7" t="s">
        <x:v>1921</x:v>
      </x:c>
      <x:c r="Q605" s="7" t="s">
        <x:v>1930</x:v>
      </x:c>
      <x:c r="R605" s="7" t="s">
        <x:v>58</x:v>
      </x:c>
      <x:c r="S605" s="7" t="s">
        <x:v>53</x:v>
      </x:c>
      <x:c r="T605" s="7" t="s">
        <x:v>53</x:v>
      </x:c>
      <x:c r="U605" s="7" t="s">
        <x:v>53</x:v>
      </x:c>
      <x:c r="V605" s="7" t="s">
        <x:v>1957</x:v>
      </x:c>
      <x:c r="W605" s="7" t="s">
        <x:v>58</x:v>
      </x:c>
      <x:c r="X605" s="7" t="s">
        <x:v>3178</x:v>
      </x:c>
      <x:c r="Y605" s="7" t="s">
        <x:v>1214</x:v>
      </x:c>
      <x:c r="Z605" s="7" t="s">
        <x:v>1958</x:v>
      </x:c>
      <x:c r="AA605" s="7" t="s">
        <x:v>58</x:v>
      </x:c>
      <x:c r="AB605" s="8" t="s">
        <x:v>58</x:v>
      </x:c>
      <x:c r="AC605" s="8" t="s">
        <x:v>58</x:v>
      </x:c>
      <x:c r="AD605" s="8" t="s">
        <x:v>58</x:v>
      </x:c>
      <x:c r="AE605" s="8" t="s">
        <x:v>58</x:v>
      </x:c>
      <x:c r="AF605" s="8" t="s">
        <x:v>58</x:v>
      </x:c>
      <x:c r="AG605" s="7" t="s">
        <x:v>58</x:v>
      </x:c>
    </x:row>
    <x:row r="606" ht="51.75" hidden="0" customHeight="1">
      <x:c r="A606" s="7" t="s">
        <x:v>387</x:v>
      </x:c>
      <x:c r="B606" s="7" t="s">
        <x:v>380</x:v>
      </x:c>
      <x:c r="C606" s="7" t="s">
        <x:v>382</x:v>
      </x:c>
      <x:c r="D606" s="7" t="s">
        <x:v>1959</x:v>
      </x:c>
      <x:c r="E606" s="7" t="s">
        <x:v>3208</x:v>
      </x:c>
      <x:c r="F606" s="7" t="s">
        <x:v>1956</x:v>
      </x:c>
      <x:c r="G606" s="8" t="n">
        <x:v>97</x:v>
      </x:c>
      <x:c r="H606" s="8" t="s">
        <x:v>58</x:v>
      </x:c>
      <x:c r="I606" s="8" t="s">
        <x:v>58</x:v>
      </x:c>
      <x:c r="J606" s="7" t="s">
        <x:v>1919</x:v>
      </x:c>
      <x:c r="K606" s="8" t="n">
        <x:v>1</x:v>
      </x:c>
      <x:c r="L606" s="8" t="n">
        <x:f aca="0">IF(AND(ISNUMBER(G606),P606&lt;&gt;"Unresolved unit / layout"),G606*K606,"Not applicable")</x:f>
        <x:v>97</x:v>
      </x:c>
      <x:c r="M606" s="8" t="str">
        <x:f aca="0">IF(AND(ISNUMBER(H606),P606&lt;&gt;"Unresolved unit / layout"),H606*K606,"Not applicable")</x:f>
        <x:v>Not applicable</x:v>
      </x:c>
      <x:c r="N606" s="8" t="str">
        <x:f aca="0">IF(AND(ISNUMBER(I606),P606&lt;&gt;"Unresolved unit / layout"),I606*K606,"Not applicable")</x:f>
        <x:v>Not applicable</x:v>
      </x:c>
      <x:c r="O606" s="7" t="s">
        <x:v>1956</x:v>
      </x:c>
      <x:c r="P606" s="7" t="s">
        <x:v>1921</x:v>
      </x:c>
      <x:c r="Q606" s="7" t="s">
        <x:v>1930</x:v>
      </x:c>
      <x:c r="R606" s="7" t="s">
        <x:v>58</x:v>
      </x:c>
      <x:c r="S606" s="7" t="s">
        <x:v>53</x:v>
      </x:c>
      <x:c r="T606" s="7" t="s">
        <x:v>53</x:v>
      </x:c>
      <x:c r="U606" s="7" t="s">
        <x:v>53</x:v>
      </x:c>
      <x:c r="V606" s="7" t="s">
        <x:v>1961</x:v>
      </x:c>
      <x:c r="W606" s="7" t="s">
        <x:v>58</x:v>
      </x:c>
      <x:c r="X606" s="7" t="s">
        <x:v>3178</x:v>
      </x:c>
      <x:c r="Y606" s="7" t="s">
        <x:v>1214</x:v>
      </x:c>
      <x:c r="Z606" s="7" t="s">
        <x:v>1962</x:v>
      </x:c>
      <x:c r="AA606" s="7" t="s">
        <x:v>58</x:v>
      </x:c>
      <x:c r="AB606" s="8" t="s">
        <x:v>58</x:v>
      </x:c>
      <x:c r="AC606" s="8" t="s">
        <x:v>58</x:v>
      </x:c>
      <x:c r="AD606" s="8" t="s">
        <x:v>58</x:v>
      </x:c>
      <x:c r="AE606" s="8" t="s">
        <x:v>58</x:v>
      </x:c>
      <x:c r="AF606" s="8" t="s">
        <x:v>58</x:v>
      </x:c>
      <x:c r="AG606" s="7" t="s">
        <x:v>58</x:v>
      </x:c>
    </x:row>
    <x:row r="607" ht="51.75" hidden="0" customHeight="1">
      <x:c r="A607" s="7" t="s">
        <x:v>3209</x:v>
      </x:c>
      <x:c r="B607" s="7" t="s">
        <x:v>380</x:v>
      </x:c>
      <x:c r="C607" s="7" t="s">
        <x:v>1216</x:v>
      </x:c>
      <x:c r="D607" s="7" t="s">
        <x:v>1916</x:v>
      </x:c>
      <x:c r="E607" s="7" t="s">
        <x:v>3210</x:v>
      </x:c>
      <x:c r="F607" s="7" t="s">
        <x:v>1965</x:v>
      </x:c>
      <x:c r="G607" s="8" t="n">
        <x:v>1.05</x:v>
      </x:c>
      <x:c r="H607" s="8" t="s">
        <x:v>58</x:v>
      </x:c>
      <x:c r="I607" s="8" t="s">
        <x:v>58</x:v>
      </x:c>
      <x:c r="J607" s="7" t="s">
        <x:v>1919</x:v>
      </x:c>
      <x:c r="K607" s="8" t="n">
        <x:v>1000</x:v>
      </x:c>
      <x:c r="L607" s="8" t="n">
        <x:f aca="0">IF(AND(ISNUMBER(G607),P607&lt;&gt;"Unresolved unit / layout"),G607*K607,"Not applicable")</x:f>
        <x:v>1050</x:v>
      </x:c>
      <x:c r="M607" s="8" t="str">
        <x:f aca="0">IF(AND(ISNUMBER(H607),P607&lt;&gt;"Unresolved unit / layout"),H607*K607,"Not applicable")</x:f>
        <x:v>Not applicable</x:v>
      </x:c>
      <x:c r="N607" s="8" t="str">
        <x:f aca="0">IF(AND(ISNUMBER(I607),P607&lt;&gt;"Unresolved unit / layout"),I607*K607,"Not applicable")</x:f>
        <x:v>Not applicable</x:v>
      </x:c>
      <x:c r="O607" s="7" t="s">
        <x:v>1920</x:v>
      </x:c>
      <x:c r="P607" s="7" t="s">
        <x:v>1921</x:v>
      </x:c>
      <x:c r="Q607" s="7" t="s">
        <x:v>1922</x:v>
      </x:c>
      <x:c r="R607" s="7" t="s">
        <x:v>58</x:v>
      </x:c>
      <x:c r="S607" s="7" t="s">
        <x:v>53</x:v>
      </x:c>
      <x:c r="T607" s="7" t="s">
        <x:v>53</x:v>
      </x:c>
      <x:c r="U607" s="7" t="s">
        <x:v>53</x:v>
      </x:c>
      <x:c r="V607" s="7" t="s">
        <x:v>3211</x:v>
      </x:c>
      <x:c r="W607" s="7" t="s">
        <x:v>58</x:v>
      </x:c>
      <x:c r="X607" s="7" t="s">
        <x:v>53</x:v>
      </x:c>
      <x:c r="Y607" s="7" t="s">
        <x:v>1218</x:v>
      </x:c>
      <x:c r="Z607" s="7" t="s">
        <x:v>1925</x:v>
      </x:c>
      <x:c r="AA607" s="7" t="s">
        <x:v>58</x:v>
      </x:c>
      <x:c r="AB607" s="8" t="s">
        <x:v>58</x:v>
      </x:c>
      <x:c r="AC607" s="8" t="s">
        <x:v>58</x:v>
      </x:c>
      <x:c r="AD607" s="8" t="s">
        <x:v>58</x:v>
      </x:c>
      <x:c r="AE607" s="8" t="s">
        <x:v>58</x:v>
      </x:c>
      <x:c r="AF607" s="8" t="s">
        <x:v>58</x:v>
      </x:c>
      <x:c r="AG607" s="7" t="s">
        <x:v>58</x:v>
      </x:c>
    </x:row>
    <x:row r="608" ht="37.5" hidden="0" customHeight="1">
      <x:c r="A608" s="7" t="s">
        <x:v>3212</x:v>
      </x:c>
      <x:c r="B608" s="7" t="s">
        <x:v>380</x:v>
      </x:c>
      <x:c r="C608" s="7" t="s">
        <x:v>1216</x:v>
      </x:c>
      <x:c r="D608" s="7" t="s">
        <x:v>1954</x:v>
      </x:c>
      <x:c r="E608" s="7" t="s">
        <x:v>3213</x:v>
      </x:c>
      <x:c r="F608" s="7" t="s">
        <x:v>1956</x:v>
      </x:c>
      <x:c r="G608" s="8" t="n">
        <x:v>1135780</x:v>
      </x:c>
      <x:c r="H608" s="8" t="s">
        <x:v>58</x:v>
      </x:c>
      <x:c r="I608" s="8" t="s">
        <x:v>58</x:v>
      </x:c>
      <x:c r="J608" s="7" t="s">
        <x:v>1919</x:v>
      </x:c>
      <x:c r="K608" s="8" t="n">
        <x:v>1</x:v>
      </x:c>
      <x:c r="L608" s="8" t="n">
        <x:f aca="0">IF(AND(ISNUMBER(G608),P608&lt;&gt;"Unresolved unit / layout"),G608*K608,"Not applicable")</x:f>
        <x:v>1135780</x:v>
      </x:c>
      <x:c r="M608" s="8" t="str">
        <x:f aca="0">IF(AND(ISNUMBER(H608),P608&lt;&gt;"Unresolved unit / layout"),H608*K608,"Not applicable")</x:f>
        <x:v>Not applicable</x:v>
      </x:c>
      <x:c r="N608" s="8" t="str">
        <x:f aca="0">IF(AND(ISNUMBER(I608),P608&lt;&gt;"Unresolved unit / layout"),I608*K608,"Not applicable")</x:f>
        <x:v>Not applicable</x:v>
      </x:c>
      <x:c r="O608" s="7" t="s">
        <x:v>1956</x:v>
      </x:c>
      <x:c r="P608" s="7" t="s">
        <x:v>1921</x:v>
      </x:c>
      <x:c r="Q608" s="7" t="s">
        <x:v>2064</x:v>
      </x:c>
      <x:c r="R608" s="7" t="s">
        <x:v>58</x:v>
      </x:c>
      <x:c r="S608" s="7" t="s">
        <x:v>53</x:v>
      </x:c>
      <x:c r="T608" s="7" t="s">
        <x:v>53</x:v>
      </x:c>
      <x:c r="U608" s="7" t="s">
        <x:v>53</x:v>
      </x:c>
      <x:c r="V608" s="7" t="s">
        <x:v>3214</x:v>
      </x:c>
      <x:c r="W608" s="7" t="s">
        <x:v>58</x:v>
      </x:c>
      <x:c r="X608" s="7" t="s">
        <x:v>53</x:v>
      </x:c>
      <x:c r="Y608" s="7" t="s">
        <x:v>1218</x:v>
      </x:c>
      <x:c r="Z608" s="7" t="s">
        <x:v>3215</x:v>
      </x:c>
      <x:c r="AA608" s="7" t="s">
        <x:v>58</x:v>
      </x:c>
      <x:c r="AB608" s="8" t="s">
        <x:v>58</x:v>
      </x:c>
      <x:c r="AC608" s="8" t="s">
        <x:v>58</x:v>
      </x:c>
      <x:c r="AD608" s="8" t="s">
        <x:v>58</x:v>
      </x:c>
      <x:c r="AE608" s="8" t="s">
        <x:v>58</x:v>
      </x:c>
      <x:c r="AF608" s="8" t="s">
        <x:v>58</x:v>
      </x:c>
      <x:c r="AG608" s="7" t="s">
        <x:v>58</x:v>
      </x:c>
    </x:row>
    <x:row r="609" ht="37.5" hidden="0" customHeight="1">
      <x:c r="A609" s="7" t="s">
        <x:v>3216</x:v>
      </x:c>
      <x:c r="B609" s="7" t="s">
        <x:v>380</x:v>
      </x:c>
      <x:c r="C609" s="7" t="s">
        <x:v>1216</x:v>
      </x:c>
      <x:c r="D609" s="7" t="s">
        <x:v>2006</x:v>
      </x:c>
      <x:c r="E609" s="7" t="s">
        <x:v>3217</x:v>
      </x:c>
      <x:c r="F609" s="7" t="s">
        <x:v>1929</x:v>
      </x:c>
      <x:c r="G609" s="8" t="n">
        <x:v>19.38</x:v>
      </x:c>
      <x:c r="H609" s="8" t="n">
        <x:v>0.16</x:v>
      </x:c>
      <x:c r="I609" s="8" t="s">
        <x:v>58</x:v>
      </x:c>
      <x:c r="J609" s="7" t="s">
        <x:v>1919</x:v>
      </x:c>
      <x:c r="K609" s="8" t="n">
        <x:v>1</x:v>
      </x:c>
      <x:c r="L609" s="8" t="n">
        <x:f aca="0">IF(AND(ISNUMBER(G609),P609&lt;&gt;"Unresolved unit / layout"),G609*K609,"Not applicable")</x:f>
        <x:v>19.38</x:v>
      </x:c>
      <x:c r="M609" s="8" t="n">
        <x:f aca="0">IF(AND(ISNUMBER(H609),P609&lt;&gt;"Unresolved unit / layout"),H609*K609,"Not applicable")</x:f>
        <x:v>0.16</x:v>
      </x:c>
      <x:c r="N609" s="8" t="str">
        <x:f aca="0">IF(AND(ISNUMBER(I609),P609&lt;&gt;"Unresolved unit / layout"),I609*K609,"Not applicable")</x:f>
        <x:v>Not applicable</x:v>
      </x:c>
      <x:c r="O609" s="7" t="s">
        <x:v>1929</x:v>
      </x:c>
      <x:c r="P609" s="7" t="s">
        <x:v>1921</x:v>
      </x:c>
      <x:c r="Q609" s="7" t="s">
        <x:v>2064</x:v>
      </x:c>
      <x:c r="R609" s="7" t="s">
        <x:v>2003</x:v>
      </x:c>
      <x:c r="S609" s="7" t="s">
        <x:v>53</x:v>
      </x:c>
      <x:c r="T609" s="7" t="s">
        <x:v>53</x:v>
      </x:c>
      <x:c r="U609" s="7" t="s">
        <x:v>53</x:v>
      </x:c>
      <x:c r="V609" s="7" t="s">
        <x:v>3218</x:v>
      </x:c>
      <x:c r="W609" s="7" t="s">
        <x:v>58</x:v>
      </x:c>
      <x:c r="X609" s="7" t="s">
        <x:v>53</x:v>
      </x:c>
      <x:c r="Y609" s="7" t="s">
        <x:v>1218</x:v>
      </x:c>
      <x:c r="Z609" s="7" t="s">
        <x:v>3219</x:v>
      </x:c>
      <x:c r="AA609" s="7" t="s">
        <x:v>58</x:v>
      </x:c>
      <x:c r="AB609" s="8" t="s">
        <x:v>58</x:v>
      </x:c>
      <x:c r="AC609" s="8" t="s">
        <x:v>58</x:v>
      </x:c>
      <x:c r="AD609" s="8" t="s">
        <x:v>58</x:v>
      </x:c>
      <x:c r="AE609" s="8" t="s">
        <x:v>58</x:v>
      </x:c>
      <x:c r="AF609" s="8" t="s">
        <x:v>58</x:v>
      </x:c>
      <x:c r="AG609" s="7" t="s">
        <x:v>58</x:v>
      </x:c>
    </x:row>
    <x:row r="610" ht="37.5" hidden="0" customHeight="1">
      <x:c r="A610" s="7" t="s">
        <x:v>3220</x:v>
      </x:c>
      <x:c r="B610" s="7" t="s">
        <x:v>380</x:v>
      </x:c>
      <x:c r="C610" s="7" t="s">
        <x:v>1216</x:v>
      </x:c>
      <x:c r="D610" s="7" t="s">
        <x:v>1935</x:v>
      </x:c>
      <x:c r="E610" s="7" t="s">
        <x:v>3221</x:v>
      </x:c>
      <x:c r="F610" s="7" t="s">
        <x:v>1929</x:v>
      </x:c>
      <x:c r="G610" s="8" t="n">
        <x:v>2352.06</x:v>
      </x:c>
      <x:c r="H610" s="8" t="n">
        <x:v>30.47</x:v>
      </x:c>
      <x:c r="I610" s="8" t="s">
        <x:v>58</x:v>
      </x:c>
      <x:c r="J610" s="7" t="s">
        <x:v>1919</x:v>
      </x:c>
      <x:c r="K610" s="8" t="n">
        <x:v>0.001</x:v>
      </x:c>
      <x:c r="L610" s="8" t="n">
        <x:f aca="0">IF(AND(ISNUMBER(G610),P610&lt;&gt;"Unresolved unit / layout"),G610*K610,"Not applicable")</x:f>
        <x:v>2.35206</x:v>
      </x:c>
      <x:c r="M610" s="8" t="n">
        <x:f aca="0">IF(AND(ISNUMBER(H610),P610&lt;&gt;"Unresolved unit / layout"),H610*K610,"Not applicable")</x:f>
        <x:v>0.03047</x:v>
      </x:c>
      <x:c r="N610" s="8" t="str">
        <x:f aca="0">IF(AND(ISNUMBER(I610),P610&lt;&gt;"Unresolved unit / layout"),I610*K610,"Not applicable")</x:f>
        <x:v>Not applicable</x:v>
      </x:c>
      <x:c r="O610" s="7" t="s">
        <x:v>1937</x:v>
      </x:c>
      <x:c r="P610" s="7" t="s">
        <x:v>1921</x:v>
      </x:c>
      <x:c r="Q610" s="7" t="s">
        <x:v>2064</x:v>
      </x:c>
      <x:c r="R610" s="7" t="s">
        <x:v>1931</x:v>
      </x:c>
      <x:c r="S610" s="7" t="s">
        <x:v>53</x:v>
      </x:c>
      <x:c r="T610" s="7" t="s">
        <x:v>53</x:v>
      </x:c>
      <x:c r="U610" s="7" t="s">
        <x:v>53</x:v>
      </x:c>
      <x:c r="V610" s="7" t="s">
        <x:v>3218</x:v>
      </x:c>
      <x:c r="W610" s="7" t="s">
        <x:v>58</x:v>
      </x:c>
      <x:c r="X610" s="7" t="s">
        <x:v>53</x:v>
      </x:c>
      <x:c r="Y610" s="7" t="s">
        <x:v>1218</x:v>
      </x:c>
      <x:c r="Z610" s="7" t="s">
        <x:v>3222</x:v>
      </x:c>
      <x:c r="AA610" s="7" t="s">
        <x:v>58</x:v>
      </x:c>
      <x:c r="AB610" s="8" t="s">
        <x:v>58</x:v>
      </x:c>
      <x:c r="AC610" s="8" t="s">
        <x:v>58</x:v>
      </x:c>
      <x:c r="AD610" s="8" t="s">
        <x:v>58</x:v>
      </x:c>
      <x:c r="AE610" s="8" t="s">
        <x:v>58</x:v>
      </x:c>
      <x:c r="AF610" s="8" t="s">
        <x:v>58</x:v>
      </x:c>
      <x:c r="AG610" s="7" t="s">
        <x:v>58</x:v>
      </x:c>
    </x:row>
    <x:row r="611" ht="37.5" hidden="0" customHeight="1">
      <x:c r="A611" s="7" t="s">
        <x:v>3223</x:v>
      </x:c>
      <x:c r="B611" s="7" t="s">
        <x:v>380</x:v>
      </x:c>
      <x:c r="C611" s="7" t="s">
        <x:v>1216</x:v>
      </x:c>
      <x:c r="D611" s="7" t="s">
        <x:v>1940</x:v>
      </x:c>
      <x:c r="E611" s="7" t="s">
        <x:v>3224</x:v>
      </x:c>
      <x:c r="F611" s="7" t="s">
        <x:v>1942</x:v>
      </x:c>
      <x:c r="G611" s="8" t="n">
        <x:v>2.21</x:v>
      </x:c>
      <x:c r="H611" s="8" t="n">
        <x:v>0.08</x:v>
      </x:c>
      <x:c r="I611" s="8" t="s">
        <x:v>58</x:v>
      </x:c>
      <x:c r="J611" s="7" t="s">
        <x:v>1919</x:v>
      </x:c>
      <x:c r="K611" s="8" t="n">
        <x:v>1</x:v>
      </x:c>
      <x:c r="L611" s="8" t="n">
        <x:f aca="0">IF(AND(ISNUMBER(G611),P611&lt;&gt;"Unresolved unit / layout"),G611*K611,"Not applicable")</x:f>
        <x:v>2.21</x:v>
      </x:c>
      <x:c r="M611" s="8" t="n">
        <x:f aca="0">IF(AND(ISNUMBER(H611),P611&lt;&gt;"Unresolved unit / layout"),H611*K611,"Not applicable")</x:f>
        <x:v>0.08</x:v>
      </x:c>
      <x:c r="N611" s="8" t="str">
        <x:f aca="0">IF(AND(ISNUMBER(I611),P611&lt;&gt;"Unresolved unit / layout"),I611*K611,"Not applicable")</x:f>
        <x:v>Not applicable</x:v>
      </x:c>
      <x:c r="O611" s="7" t="s">
        <x:v>1942</x:v>
      </x:c>
      <x:c r="P611" s="7" t="s">
        <x:v>1921</x:v>
      </x:c>
      <x:c r="Q611" s="7" t="s">
        <x:v>2064</x:v>
      </x:c>
      <x:c r="R611" s="7" t="s">
        <x:v>1931</x:v>
      </x:c>
      <x:c r="S611" s="7" t="s">
        <x:v>53</x:v>
      </x:c>
      <x:c r="T611" s="7" t="s">
        <x:v>53</x:v>
      </x:c>
      <x:c r="U611" s="7" t="s">
        <x:v>53</x:v>
      </x:c>
      <x:c r="V611" s="7" t="s">
        <x:v>3218</x:v>
      </x:c>
      <x:c r="W611" s="7" t="s">
        <x:v>58</x:v>
      </x:c>
      <x:c r="X611" s="7" t="s">
        <x:v>53</x:v>
      </x:c>
      <x:c r="Y611" s="7" t="s">
        <x:v>1218</x:v>
      </x:c>
      <x:c r="Z611" s="7" t="s">
        <x:v>3225</x:v>
      </x:c>
      <x:c r="AA611" s="7" t="s">
        <x:v>58</x:v>
      </x:c>
      <x:c r="AB611" s="8" t="s">
        <x:v>58</x:v>
      </x:c>
      <x:c r="AC611" s="8" t="s">
        <x:v>58</x:v>
      </x:c>
      <x:c r="AD611" s="8" t="s">
        <x:v>58</x:v>
      </x:c>
      <x:c r="AE611" s="8" t="s">
        <x:v>58</x:v>
      </x:c>
      <x:c r="AF611" s="8" t="s">
        <x:v>58</x:v>
      </x:c>
      <x:c r="AG611" s="7" t="s">
        <x:v>58</x:v>
      </x:c>
    </x:row>
    <x:row r="612" ht="37.5" hidden="0" customHeight="1">
      <x:c r="A612" s="7" t="s">
        <x:v>3226</x:v>
      </x:c>
      <x:c r="B612" s="7" t="s">
        <x:v>380</x:v>
      </x:c>
      <x:c r="C612" s="7" t="s">
        <x:v>1216</x:v>
      </x:c>
      <x:c r="D612" s="7" t="s">
        <x:v>1950</x:v>
      </x:c>
      <x:c r="E612" s="7" t="s">
        <x:v>3227</x:v>
      </x:c>
      <x:c r="F612" s="7" t="s">
        <x:v>1929</x:v>
      </x:c>
      <x:c r="G612" s="8" t="n">
        <x:v>2337.91</x:v>
      </x:c>
      <x:c r="H612" s="8" t="n">
        <x:v>20.62</x:v>
      </x:c>
      <x:c r="I612" s="8" t="s">
        <x:v>58</x:v>
      </x:c>
      <x:c r="J612" s="7" t="s">
        <x:v>1919</x:v>
      </x:c>
      <x:c r="K612" s="8" t="n">
        <x:v>0.001</x:v>
      </x:c>
      <x:c r="L612" s="8" t="n">
        <x:f aca="0">IF(AND(ISNUMBER(G612),P612&lt;&gt;"Unresolved unit / layout"),G612*K612,"Not applicable")</x:f>
        <x:v>2.33791</x:v>
      </x:c>
      <x:c r="M612" s="8" t="n">
        <x:f aca="0">IF(AND(ISNUMBER(H612),P612&lt;&gt;"Unresolved unit / layout"),H612*K612,"Not applicable")</x:f>
        <x:v>0.020620000000000003</x:v>
      </x:c>
      <x:c r="N612" s="8" t="str">
        <x:f aca="0">IF(AND(ISNUMBER(I612),P612&lt;&gt;"Unresolved unit / layout"),I612*K612,"Not applicable")</x:f>
        <x:v>Not applicable</x:v>
      </x:c>
      <x:c r="O612" s="7" t="s">
        <x:v>1937</x:v>
      </x:c>
      <x:c r="P612" s="7" t="s">
        <x:v>1921</x:v>
      </x:c>
      <x:c r="Q612" s="7" t="s">
        <x:v>2064</x:v>
      </x:c>
      <x:c r="R612" s="7" t="s">
        <x:v>1931</x:v>
      </x:c>
      <x:c r="S612" s="7" t="s">
        <x:v>53</x:v>
      </x:c>
      <x:c r="T612" s="7" t="s">
        <x:v>53</x:v>
      </x:c>
      <x:c r="U612" s="7" t="s">
        <x:v>53</x:v>
      </x:c>
      <x:c r="V612" s="7" t="s">
        <x:v>3228</x:v>
      </x:c>
      <x:c r="W612" s="7" t="s">
        <x:v>58</x:v>
      </x:c>
      <x:c r="X612" s="7" t="s">
        <x:v>53</x:v>
      </x:c>
      <x:c r="Y612" s="7" t="s">
        <x:v>1218</x:v>
      </x:c>
      <x:c r="Z612" s="7" t="s">
        <x:v>3229</x:v>
      </x:c>
      <x:c r="AA612" s="7" t="s">
        <x:v>58</x:v>
      </x:c>
      <x:c r="AB612" s="8" t="s">
        <x:v>58</x:v>
      </x:c>
      <x:c r="AC612" s="8" t="s">
        <x:v>58</x:v>
      </x:c>
      <x:c r="AD612" s="8" t="s">
        <x:v>58</x:v>
      </x:c>
      <x:c r="AE612" s="8" t="s">
        <x:v>58</x:v>
      </x:c>
      <x:c r="AF612" s="8" t="s">
        <x:v>58</x:v>
      </x:c>
      <x:c r="AG612" s="7" t="s">
        <x:v>58</x:v>
      </x:c>
    </x:row>
    <x:row r="613" ht="37.5" hidden="0" customHeight="1">
      <x:c r="A613" s="7" t="s">
        <x:v>3230</x:v>
      </x:c>
      <x:c r="B613" s="7" t="s">
        <x:v>380</x:v>
      </x:c>
      <x:c r="C613" s="7" t="s">
        <x:v>1216</x:v>
      </x:c>
      <x:c r="D613" s="7" t="s">
        <x:v>1945</x:v>
      </x:c>
      <x:c r="E613" s="7" t="s">
        <x:v>3231</x:v>
      </x:c>
      <x:c r="F613" s="7" t="s">
        <x:v>1929</x:v>
      </x:c>
      <x:c r="G613" s="8" t="n">
        <x:v>54.28</x:v>
      </x:c>
      <x:c r="H613" s="8" t="n">
        <x:v>0.56</x:v>
      </x:c>
      <x:c r="I613" s="8" t="s">
        <x:v>58</x:v>
      </x:c>
      <x:c r="J613" s="7" t="s">
        <x:v>1919</x:v>
      </x:c>
      <x:c r="K613" s="8" t="n">
        <x:v>1</x:v>
      </x:c>
      <x:c r="L613" s="8" t="n">
        <x:f aca="0">IF(AND(ISNUMBER(G613),P613&lt;&gt;"Unresolved unit / layout"),G613*K613,"Not applicable")</x:f>
        <x:v>54.28</x:v>
      </x:c>
      <x:c r="M613" s="8" t="n">
        <x:f aca="0">IF(AND(ISNUMBER(H613),P613&lt;&gt;"Unresolved unit / layout"),H613*K613,"Not applicable")</x:f>
        <x:v>0.56</x:v>
      </x:c>
      <x:c r="N613" s="8" t="str">
        <x:f aca="0">IF(AND(ISNUMBER(I613),P613&lt;&gt;"Unresolved unit / layout"),I613*K613,"Not applicable")</x:f>
        <x:v>Not applicable</x:v>
      </x:c>
      <x:c r="O613" s="7" t="s">
        <x:v>1929</x:v>
      </x:c>
      <x:c r="P613" s="7" t="s">
        <x:v>1921</x:v>
      </x:c>
      <x:c r="Q613" s="7" t="s">
        <x:v>2064</x:v>
      </x:c>
      <x:c r="R613" s="7" t="s">
        <x:v>1931</x:v>
      </x:c>
      <x:c r="S613" s="7" t="s">
        <x:v>53</x:v>
      </x:c>
      <x:c r="T613" s="7" t="s">
        <x:v>53</x:v>
      </x:c>
      <x:c r="U613" s="7" t="s">
        <x:v>53</x:v>
      </x:c>
      <x:c r="V613" s="7" t="s">
        <x:v>3228</x:v>
      </x:c>
      <x:c r="W613" s="7" t="s">
        <x:v>58</x:v>
      </x:c>
      <x:c r="X613" s="7" t="s">
        <x:v>53</x:v>
      </x:c>
      <x:c r="Y613" s="7" t="s">
        <x:v>1218</x:v>
      </x:c>
      <x:c r="Z613" s="7" t="s">
        <x:v>3232</x:v>
      </x:c>
      <x:c r="AA613" s="7" t="s">
        <x:v>58</x:v>
      </x:c>
      <x:c r="AB613" s="8" t="s">
        <x:v>58</x:v>
      </x:c>
      <x:c r="AC613" s="8" t="s">
        <x:v>58</x:v>
      </x:c>
      <x:c r="AD613" s="8" t="s">
        <x:v>58</x:v>
      </x:c>
      <x:c r="AE613" s="8" t="s">
        <x:v>58</x:v>
      </x:c>
      <x:c r="AF613" s="8" t="s">
        <x:v>58</x:v>
      </x:c>
      <x:c r="AG613" s="7" t="s">
        <x:v>58</x:v>
      </x:c>
    </x:row>
    <x:row r="614" ht="37.5" hidden="0" customHeight="1">
      <x:c r="A614" s="7" t="s">
        <x:v>3233</x:v>
      </x:c>
      <x:c r="B614" s="7" t="s">
        <x:v>380</x:v>
      </x:c>
      <x:c r="C614" s="7" t="s">
        <x:v>1216</x:v>
      </x:c>
      <x:c r="D614" s="7" t="s">
        <x:v>2030</x:v>
      </x:c>
      <x:c r="E614" s="7" t="s">
        <x:v>3234</x:v>
      </x:c>
      <x:c r="F614" s="7" t="s">
        <x:v>3235</x:v>
      </x:c>
      <x:c r="G614" s="8" t="n">
        <x:v>6.47</x:v>
      </x:c>
      <x:c r="H614" s="8" t="n">
        <x:v>0.6</x:v>
      </x:c>
      <x:c r="I614" s="8" t="s">
        <x:v>58</x:v>
      </x:c>
      <x:c r="J614" s="7" t="s">
        <x:v>1919</x:v>
      </x:c>
      <x:c r="K614" s="8" t="n">
        <x:v>1</x:v>
      </x:c>
      <x:c r="L614" s="8" t="n">
        <x:f aca="0">IF(AND(ISNUMBER(G614),P614&lt;&gt;"Unresolved unit / layout"),G614*K614,"Not applicable")</x:f>
        <x:v>6.47</x:v>
      </x:c>
      <x:c r="M614" s="8" t="n">
        <x:f aca="0">IF(AND(ISNUMBER(H614),P614&lt;&gt;"Unresolved unit / layout"),H614*K614,"Not applicable")</x:f>
        <x:v>0.6</x:v>
      </x:c>
      <x:c r="N614" s="8" t="str">
        <x:f aca="0">IF(AND(ISNUMBER(I614),P614&lt;&gt;"Unresolved unit / layout"),I614*K614,"Not applicable")</x:f>
        <x:v>Not applicable</x:v>
      </x:c>
      <x:c r="O614" s="7" t="s">
        <x:v>2033</x:v>
      </x:c>
      <x:c r="P614" s="7" t="s">
        <x:v>1921</x:v>
      </x:c>
      <x:c r="Q614" s="7" t="s">
        <x:v>2064</x:v>
      </x:c>
      <x:c r="R614" s="7" t="s">
        <x:v>1931</x:v>
      </x:c>
      <x:c r="S614" s="7" t="s">
        <x:v>53</x:v>
      </x:c>
      <x:c r="T614" s="7" t="s">
        <x:v>53</x:v>
      </x:c>
      <x:c r="U614" s="7" t="s">
        <x:v>53</x:v>
      </x:c>
      <x:c r="V614" s="7" t="s">
        <x:v>3236</x:v>
      </x:c>
      <x:c r="W614" s="7" t="s">
        <x:v>53</x:v>
      </x:c>
      <x:c r="X614" s="7" t="s">
        <x:v>53</x:v>
      </x:c>
      <x:c r="Y614" s="7" t="s">
        <x:v>1218</x:v>
      </x:c>
      <x:c r="Z614" s="7" t="s">
        <x:v>3237</x:v>
      </x:c>
      <x:c r="AA614" s="7" t="s">
        <x:v>58</x:v>
      </x:c>
      <x:c r="AB614" s="8" t="s">
        <x:v>58</x:v>
      </x:c>
      <x:c r="AC614" s="8" t="s">
        <x:v>58</x:v>
      </x:c>
      <x:c r="AD614" s="8" t="s">
        <x:v>58</x:v>
      </x:c>
      <x:c r="AE614" s="8" t="s">
        <x:v>58</x:v>
      </x:c>
      <x:c r="AF614" s="8" t="s">
        <x:v>58</x:v>
      </x:c>
      <x:c r="AG614" s="7" t="s">
        <x:v>58</x:v>
      </x:c>
    </x:row>
    <x:row r="615" ht="79.5" hidden="0" customHeight="1">
      <x:c r="A615" s="7" t="s">
        <x:v>3238</x:v>
      </x:c>
      <x:c r="B615" s="7" t="s">
        <x:v>390</x:v>
      </x:c>
      <x:c r="C615" s="7" t="s">
        <x:v>392</x:v>
      </x:c>
      <x:c r="D615" s="7" t="s">
        <x:v>1916</x:v>
      </x:c>
      <x:c r="E615" s="7" t="s">
        <x:v>3094</x:v>
      </x:c>
      <x:c r="F615" s="7" t="s">
        <x:v>2076</x:v>
      </x:c>
      <x:c r="G615" s="8" t="n">
        <x:v>1.05</x:v>
      </x:c>
      <x:c r="H615" s="8" t="s">
        <x:v>58</x:v>
      </x:c>
      <x:c r="I615" s="8" t="s">
        <x:v>58</x:v>
      </x:c>
      <x:c r="J615" s="7" t="s">
        <x:v>1919</x:v>
      </x:c>
      <x:c r="K615" s="8" t="n">
        <x:v>1000</x:v>
      </x:c>
      <x:c r="L615" s="8" t="n">
        <x:f aca="0">IF(AND(ISNUMBER(G615),P615&lt;&gt;"Unresolved unit / layout"),G615*K615,"Not applicable")</x:f>
        <x:v>1050</x:v>
      </x:c>
      <x:c r="M615" s="8" t="str">
        <x:f aca="0">IF(AND(ISNUMBER(H615),P615&lt;&gt;"Unresolved unit / layout"),H615*K615,"Not applicable")</x:f>
        <x:v>Not applicable</x:v>
      </x:c>
      <x:c r="N615" s="8" t="str">
        <x:f aca="0">IF(AND(ISNUMBER(I615),P615&lt;&gt;"Unresolved unit / layout"),I615*K615,"Not applicable")</x:f>
        <x:v>Not applicable</x:v>
      </x:c>
      <x:c r="O615" s="7" t="s">
        <x:v>1920</x:v>
      </x:c>
      <x:c r="P615" s="7" t="s">
        <x:v>1921</x:v>
      </x:c>
      <x:c r="Q615" s="7" t="s">
        <x:v>1922</x:v>
      </x:c>
      <x:c r="R615" s="7" t="s">
        <x:v>58</x:v>
      </x:c>
      <x:c r="S615" s="7" t="s">
        <x:v>2077</x:v>
      </x:c>
      <x:c r="T615" s="7" t="s">
        <x:v>3095</x:v>
      </x:c>
      <x:c r="U615" s="7" t="s">
        <x:v>53</x:v>
      </x:c>
      <x:c r="V615" s="7" t="s">
        <x:v>1923</x:v>
      </x:c>
      <x:c r="W615" s="7" t="s">
        <x:v>58</x:v>
      </x:c>
      <x:c r="X615" s="7" t="s">
        <x:v>3239</x:v>
      </x:c>
      <x:c r="Y615" s="7" t="s">
        <x:v>1219</x:v>
      </x:c>
      <x:c r="Z615" s="7" t="s">
        <x:v>1968</x:v>
      </x:c>
      <x:c r="AA615" s="7" t="s">
        <x:v>58</x:v>
      </x:c>
      <x:c r="AB615" s="8" t="s">
        <x:v>58</x:v>
      </x:c>
      <x:c r="AC615" s="8" t="s">
        <x:v>58</x:v>
      </x:c>
      <x:c r="AD615" s="8" t="s">
        <x:v>58</x:v>
      </x:c>
      <x:c r="AE615" s="8" t="s">
        <x:v>58</x:v>
      </x:c>
      <x:c r="AF615" s="8" t="s">
        <x:v>58</x:v>
      </x:c>
      <x:c r="AG615" s="7" t="s">
        <x:v>58</x:v>
      </x:c>
    </x:row>
    <x:row r="616" ht="79.5" hidden="0" customHeight="1">
      <x:c r="A616" s="7" t="s">
        <x:v>3240</x:v>
      </x:c>
      <x:c r="B616" s="7" t="s">
        <x:v>390</x:v>
      </x:c>
      <x:c r="C616" s="7" t="s">
        <x:v>392</x:v>
      </x:c>
      <x:c r="D616" s="7" t="s">
        <x:v>1974</x:v>
      </x:c>
      <x:c r="E616" s="7" t="s">
        <x:v>3241</x:v>
      </x:c>
      <x:c r="F616" s="7" t="s">
        <x:v>1956</x:v>
      </x:c>
      <x:c r="G616" s="8" t="n">
        <x:v>210</x:v>
      </x:c>
      <x:c r="H616" s="8" t="s">
        <x:v>58</x:v>
      </x:c>
      <x:c r="I616" s="8" t="s">
        <x:v>58</x:v>
      </x:c>
      <x:c r="J616" s="7" t="s">
        <x:v>1919</x:v>
      </x:c>
      <x:c r="K616" s="8" t="n">
        <x:v>1</x:v>
      </x:c>
      <x:c r="L616" s="8" t="n">
        <x:f aca="0">IF(AND(ISNUMBER(G616),P616&lt;&gt;"Unresolved unit / layout"),G616*K616,"Not applicable")</x:f>
        <x:v>210</x:v>
      </x:c>
      <x:c r="M616" s="8" t="str">
        <x:f aca="0">IF(AND(ISNUMBER(H616),P616&lt;&gt;"Unresolved unit / layout"),H616*K616,"Not applicable")</x:f>
        <x:v>Not applicable</x:v>
      </x:c>
      <x:c r="N616" s="8" t="str">
        <x:f aca="0">IF(AND(ISNUMBER(I616),P616&lt;&gt;"Unresolved unit / layout"),I616*K616,"Not applicable")</x:f>
        <x:v>Not applicable</x:v>
      </x:c>
      <x:c r="O616" s="7" t="s">
        <x:v>1956</x:v>
      </x:c>
      <x:c r="P616" s="7" t="s">
        <x:v>1921</x:v>
      </x:c>
      <x:c r="Q616" s="7" t="s">
        <x:v>1930</x:v>
      </x:c>
      <x:c r="R616" s="7" t="s">
        <x:v>58</x:v>
      </x:c>
      <x:c r="S616" s="7" t="s">
        <x:v>2077</x:v>
      </x:c>
      <x:c r="T616" s="7" t="s">
        <x:v>3095</x:v>
      </x:c>
      <x:c r="U616" s="7" t="s">
        <x:v>53</x:v>
      </x:c>
      <x:c r="V616" s="7" t="s">
        <x:v>2082</x:v>
      </x:c>
      <x:c r="W616" s="7" t="s">
        <x:v>58</x:v>
      </x:c>
      <x:c r="X616" s="7" t="s">
        <x:v>3239</x:v>
      </x:c>
      <x:c r="Y616" s="7" t="s">
        <x:v>1219</x:v>
      </x:c>
      <x:c r="Z616" s="7" t="s">
        <x:v>2083</x:v>
      </x:c>
      <x:c r="AA616" s="7" t="s">
        <x:v>58</x:v>
      </x:c>
      <x:c r="AB616" s="8" t="s">
        <x:v>58</x:v>
      </x:c>
      <x:c r="AC616" s="8" t="s">
        <x:v>58</x:v>
      </x:c>
      <x:c r="AD616" s="8" t="s">
        <x:v>58</x:v>
      </x:c>
      <x:c r="AE616" s="8" t="s">
        <x:v>58</x:v>
      </x:c>
      <x:c r="AF616" s="8" t="s">
        <x:v>58</x:v>
      </x:c>
      <x:c r="AG616" s="7" t="s">
        <x:v>58</x:v>
      </x:c>
    </x:row>
    <x:row r="617" ht="79.5" hidden="0" customHeight="1">
      <x:c r="A617" s="7" t="s">
        <x:v>3242</x:v>
      </x:c>
      <x:c r="B617" s="7" t="s">
        <x:v>390</x:v>
      </x:c>
      <x:c r="C617" s="7" t="s">
        <x:v>392</x:v>
      </x:c>
      <x:c r="D617" s="7" t="s">
        <x:v>1954</x:v>
      </x:c>
      <x:c r="E617" s="7" t="s">
        <x:v>1995</x:v>
      </x:c>
      <x:c r="F617" s="7" t="s">
        <x:v>1956</x:v>
      </x:c>
      <x:c r="G617" s="8" t="s">
        <x:v>53</x:v>
      </x:c>
      <x:c r="H617" s="8" t="s">
        <x:v>58</x:v>
      </x:c>
      <x:c r="I617" s="8" t="s">
        <x:v>58</x:v>
      </x:c>
      <x:c r="J617" s="7" t="s">
        <x:v>58</x:v>
      </x:c>
      <x:c r="K617" s="8" t="n">
        <x:v>1</x:v>
      </x:c>
      <x:c r="L617" s="8" t="str">
        <x:f aca="0">IF(AND(ISNUMBER(G617),P617&lt;&gt;"Unresolved unit / layout"),G617*K617,"Not published")</x:f>
        <x:v>Not published</x:v>
      </x:c>
      <x:c r="M617" s="8" t="str">
        <x:f aca="0">IF(AND(ISNUMBER(H617),P617&lt;&gt;"Unresolved unit / layout"),H617*K617,"Not applicable")</x:f>
        <x:v>Not applicable</x:v>
      </x:c>
      <x:c r="N617" s="8" t="str">
        <x:f aca="0">IF(AND(ISNUMBER(I617),P617&lt;&gt;"Unresolved unit / layout"),I617*K617,"Not applicable")</x:f>
        <x:v>Not applicable</x:v>
      </x:c>
      <x:c r="O617" s="7" t="s">
        <x:v>1956</x:v>
      </x:c>
      <x:c r="P617" s="7" t="s">
        <x:v>53</x:v>
      </x:c>
      <x:c r="Q617" s="7" t="s">
        <x:v>1930</x:v>
      </x:c>
      <x:c r="R617" s="7" t="s">
        <x:v>58</x:v>
      </x:c>
      <x:c r="S617" s="7" t="s">
        <x:v>2077</x:v>
      </x:c>
      <x:c r="T617" s="7" t="s">
        <x:v>3095</x:v>
      </x:c>
      <x:c r="U617" s="7" t="s">
        <x:v>53</x:v>
      </x:c>
      <x:c r="V617" s="7" t="s">
        <x:v>2082</x:v>
      </x:c>
      <x:c r="W617" s="7" t="s">
        <x:v>58</x:v>
      </x:c>
      <x:c r="X617" s="7" t="s">
        <x:v>3239</x:v>
      </x:c>
      <x:c r="Y617" s="7" t="s">
        <x:v>1219</x:v>
      </x:c>
      <x:c r="Z617" s="7" t="s">
        <x:v>2086</x:v>
      </x:c>
      <x:c r="AA617" s="7" t="s">
        <x:v>58</x:v>
      </x:c>
      <x:c r="AB617" s="8" t="s">
        <x:v>58</x:v>
      </x:c>
      <x:c r="AC617" s="8" t="s">
        <x:v>58</x:v>
      </x:c>
      <x:c r="AD617" s="8" t="s">
        <x:v>58</x:v>
      </x:c>
      <x:c r="AE617" s="8" t="s">
        <x:v>58</x:v>
      </x:c>
      <x:c r="AF617" s="8" t="s">
        <x:v>58</x:v>
      </x:c>
      <x:c r="AG617" s="7" t="s">
        <x:v>58</x:v>
      </x:c>
    </x:row>
    <x:row r="618" ht="79.5" hidden="0" customHeight="1">
      <x:c r="A618" s="7" t="s">
        <x:v>3243</x:v>
      </x:c>
      <x:c r="B618" s="7" t="s">
        <x:v>390</x:v>
      </x:c>
      <x:c r="C618" s="7" t="s">
        <x:v>392</x:v>
      </x:c>
      <x:c r="D618" s="7" t="s">
        <x:v>1978</x:v>
      </x:c>
      <x:c r="E618" s="7" t="s">
        <x:v>1995</x:v>
      </x:c>
      <x:c r="F618" s="7" t="s">
        <x:v>1956</x:v>
      </x:c>
      <x:c r="G618" s="8" t="s">
        <x:v>53</x:v>
      </x:c>
      <x:c r="H618" s="8" t="s">
        <x:v>58</x:v>
      </x:c>
      <x:c r="I618" s="8" t="s">
        <x:v>58</x:v>
      </x:c>
      <x:c r="J618" s="7" t="s">
        <x:v>58</x:v>
      </x:c>
      <x:c r="K618" s="8" t="n">
        <x:v>1</x:v>
      </x:c>
      <x:c r="L618" s="8" t="str">
        <x:f aca="0">IF(AND(ISNUMBER(G618),P618&lt;&gt;"Unresolved unit / layout"),G618*K618,"Not published")</x:f>
        <x:v>Not published</x:v>
      </x:c>
      <x:c r="M618" s="8" t="str">
        <x:f aca="0">IF(AND(ISNUMBER(H618),P618&lt;&gt;"Unresolved unit / layout"),H618*K618,"Not applicable")</x:f>
        <x:v>Not applicable</x:v>
      </x:c>
      <x:c r="N618" s="8" t="str">
        <x:f aca="0">IF(AND(ISNUMBER(I618),P618&lt;&gt;"Unresolved unit / layout"),I618*K618,"Not applicable")</x:f>
        <x:v>Not applicable</x:v>
      </x:c>
      <x:c r="O618" s="7" t="s">
        <x:v>1956</x:v>
      </x:c>
      <x:c r="P618" s="7" t="s">
        <x:v>53</x:v>
      </x:c>
      <x:c r="Q618" s="7" t="s">
        <x:v>1930</x:v>
      </x:c>
      <x:c r="R618" s="7" t="s">
        <x:v>58</x:v>
      </x:c>
      <x:c r="S618" s="7" t="s">
        <x:v>2077</x:v>
      </x:c>
      <x:c r="T618" s="7" t="s">
        <x:v>3095</x:v>
      </x:c>
      <x:c r="U618" s="7" t="s">
        <x:v>53</x:v>
      </x:c>
      <x:c r="V618" s="7" t="s">
        <x:v>2082</x:v>
      </x:c>
      <x:c r="W618" s="7" t="s">
        <x:v>58</x:v>
      </x:c>
      <x:c r="X618" s="7" t="s">
        <x:v>3239</x:v>
      </x:c>
      <x:c r="Y618" s="7" t="s">
        <x:v>1219</x:v>
      </x:c>
      <x:c r="Z618" s="7" t="s">
        <x:v>2188</x:v>
      </x:c>
      <x:c r="AA618" s="7" t="s">
        <x:v>58</x:v>
      </x:c>
      <x:c r="AB618" s="8" t="s">
        <x:v>58</x:v>
      </x:c>
      <x:c r="AC618" s="8" t="s">
        <x:v>58</x:v>
      </x:c>
      <x:c r="AD618" s="8" t="s">
        <x:v>58</x:v>
      </x:c>
      <x:c r="AE618" s="8" t="s">
        <x:v>58</x:v>
      </x:c>
      <x:c r="AF618" s="8" t="s">
        <x:v>58</x:v>
      </x:c>
      <x:c r="AG618" s="7" t="s">
        <x:v>58</x:v>
      </x:c>
    </x:row>
    <x:row r="619" ht="79.5" hidden="0" customHeight="1">
      <x:c r="A619" s="7" t="s">
        <x:v>3244</x:v>
      </x:c>
      <x:c r="B619" s="7" t="s">
        <x:v>390</x:v>
      </x:c>
      <x:c r="C619" s="7" t="s">
        <x:v>392</x:v>
      </x:c>
      <x:c r="D619" s="7" t="s">
        <x:v>1982</x:v>
      </x:c>
      <x:c r="E619" s="7" t="s">
        <x:v>3245</x:v>
      </x:c>
      <x:c r="F619" s="7" t="s">
        <x:v>1956</x:v>
      </x:c>
      <x:c r="G619" s="8" t="n">
        <x:v>106</x:v>
      </x:c>
      <x:c r="H619" s="8" t="s">
        <x:v>58</x:v>
      </x:c>
      <x:c r="I619" s="8" t="s">
        <x:v>58</x:v>
      </x:c>
      <x:c r="J619" s="7" t="s">
        <x:v>1919</x:v>
      </x:c>
      <x:c r="K619" s="8" t="n">
        <x:v>1</x:v>
      </x:c>
      <x:c r="L619" s="8" t="n">
        <x:f aca="0">IF(AND(ISNUMBER(G619),P619&lt;&gt;"Unresolved unit / layout"),G619*K619,"Not applicable")</x:f>
        <x:v>106</x:v>
      </x:c>
      <x:c r="M619" s="8" t="str">
        <x:f aca="0">IF(AND(ISNUMBER(H619),P619&lt;&gt;"Unresolved unit / layout"),H619*K619,"Not applicable")</x:f>
        <x:v>Not applicable</x:v>
      </x:c>
      <x:c r="N619" s="8" t="str">
        <x:f aca="0">IF(AND(ISNUMBER(I619),P619&lt;&gt;"Unresolved unit / layout"),I619*K619,"Not applicable")</x:f>
        <x:v>Not applicable</x:v>
      </x:c>
      <x:c r="O619" s="7" t="s">
        <x:v>1956</x:v>
      </x:c>
      <x:c r="P619" s="7" t="s">
        <x:v>1921</x:v>
      </x:c>
      <x:c r="Q619" s="7" t="s">
        <x:v>1930</x:v>
      </x:c>
      <x:c r="R619" s="7" t="s">
        <x:v>58</x:v>
      </x:c>
      <x:c r="S619" s="7" t="s">
        <x:v>2077</x:v>
      </x:c>
      <x:c r="T619" s="7" t="s">
        <x:v>3095</x:v>
      </x:c>
      <x:c r="U619" s="7" t="s">
        <x:v>53</x:v>
      </x:c>
      <x:c r="V619" s="7" t="s">
        <x:v>1984</x:v>
      </x:c>
      <x:c r="W619" s="7" t="s">
        <x:v>58</x:v>
      </x:c>
      <x:c r="X619" s="7" t="s">
        <x:v>3239</x:v>
      </x:c>
      <x:c r="Y619" s="7" t="s">
        <x:v>1219</x:v>
      </x:c>
      <x:c r="Z619" s="7" t="s">
        <x:v>2092</x:v>
      </x:c>
      <x:c r="AA619" s="7" t="s">
        <x:v>58</x:v>
      </x:c>
      <x:c r="AB619" s="8" t="s">
        <x:v>58</x:v>
      </x:c>
      <x:c r="AC619" s="8" t="s">
        <x:v>58</x:v>
      </x:c>
      <x:c r="AD619" s="8" t="s">
        <x:v>58</x:v>
      </x:c>
      <x:c r="AE619" s="8" t="s">
        <x:v>58</x:v>
      </x:c>
      <x:c r="AF619" s="8" t="s">
        <x:v>58</x:v>
      </x:c>
      <x:c r="AG619" s="7" t="s">
        <x:v>58</x:v>
      </x:c>
    </x:row>
    <x:row r="620" ht="79.5" hidden="0" customHeight="1">
      <x:c r="A620" s="7" t="s">
        <x:v>3246</x:v>
      </x:c>
      <x:c r="B620" s="7" t="s">
        <x:v>390</x:v>
      </x:c>
      <x:c r="C620" s="7" t="s">
        <x:v>392</x:v>
      </x:c>
      <x:c r="D620" s="7" t="s">
        <x:v>1959</x:v>
      </x:c>
      <x:c r="E620" s="7" t="s">
        <x:v>3247</x:v>
      </x:c>
      <x:c r="F620" s="7" t="s">
        <x:v>1956</x:v>
      </x:c>
      <x:c r="G620" s="8" t="n">
        <x:v>92</x:v>
      </x:c>
      <x:c r="H620" s="8" t="s">
        <x:v>58</x:v>
      </x:c>
      <x:c r="I620" s="8" t="s">
        <x:v>58</x:v>
      </x:c>
      <x:c r="J620" s="7" t="s">
        <x:v>1919</x:v>
      </x:c>
      <x:c r="K620" s="8" t="n">
        <x:v>1</x:v>
      </x:c>
      <x:c r="L620" s="8" t="n">
        <x:f aca="0">IF(AND(ISNUMBER(G620),P620&lt;&gt;"Unresolved unit / layout"),G620*K620,"Not applicable")</x:f>
        <x:v>92</x:v>
      </x:c>
      <x:c r="M620" s="8" t="str">
        <x:f aca="0">IF(AND(ISNUMBER(H620),P620&lt;&gt;"Unresolved unit / layout"),H620*K620,"Not applicable")</x:f>
        <x:v>Not applicable</x:v>
      </x:c>
      <x:c r="N620" s="8" t="str">
        <x:f aca="0">IF(AND(ISNUMBER(I620),P620&lt;&gt;"Unresolved unit / layout"),I620*K620,"Not applicable")</x:f>
        <x:v>Not applicable</x:v>
      </x:c>
      <x:c r="O620" s="7" t="s">
        <x:v>1956</x:v>
      </x:c>
      <x:c r="P620" s="7" t="s">
        <x:v>1921</x:v>
      </x:c>
      <x:c r="Q620" s="7" t="s">
        <x:v>1930</x:v>
      </x:c>
      <x:c r="R620" s="7" t="s">
        <x:v>58</x:v>
      </x:c>
      <x:c r="S620" s="7" t="s">
        <x:v>2077</x:v>
      </x:c>
      <x:c r="T620" s="7" t="s">
        <x:v>3095</x:v>
      </x:c>
      <x:c r="U620" s="7" t="s">
        <x:v>53</x:v>
      </x:c>
      <x:c r="V620" s="7" t="s">
        <x:v>2095</x:v>
      </x:c>
      <x:c r="W620" s="7" t="s">
        <x:v>58</x:v>
      </x:c>
      <x:c r="X620" s="7" t="s">
        <x:v>3239</x:v>
      </x:c>
      <x:c r="Y620" s="7" t="s">
        <x:v>1219</x:v>
      </x:c>
      <x:c r="Z620" s="7" t="s">
        <x:v>2096</x:v>
      </x:c>
      <x:c r="AA620" s="7" t="s">
        <x:v>58</x:v>
      </x:c>
      <x:c r="AB620" s="8" t="s">
        <x:v>58</x:v>
      </x:c>
      <x:c r="AC620" s="8" t="s">
        <x:v>58</x:v>
      </x:c>
      <x:c r="AD620" s="8" t="s">
        <x:v>58</x:v>
      </x:c>
      <x:c r="AE620" s="8" t="s">
        <x:v>58</x:v>
      </x:c>
      <x:c r="AF620" s="8" t="s">
        <x:v>58</x:v>
      </x:c>
      <x:c r="AG620" s="7" t="s">
        <x:v>58</x:v>
      </x:c>
    </x:row>
    <x:row r="621" ht="79.5" hidden="0" customHeight="1">
      <x:c r="A621" s="7" t="s">
        <x:v>395</x:v>
      </x:c>
      <x:c r="B621" s="7" t="s">
        <x:v>390</x:v>
      </x:c>
      <x:c r="C621" s="7" t="s">
        <x:v>392</x:v>
      </x:c>
      <x:c r="D621" s="7" t="s">
        <x:v>1959</x:v>
      </x:c>
      <x:c r="E621" s="7" t="s">
        <x:v>3248</x:v>
      </x:c>
      <x:c r="F621" s="7" t="s">
        <x:v>1956</x:v>
      </x:c>
      <x:c r="G621" s="8" t="n">
        <x:v>100</x:v>
      </x:c>
      <x:c r="H621" s="8" t="s">
        <x:v>58</x:v>
      </x:c>
      <x:c r="I621" s="8" t="s">
        <x:v>58</x:v>
      </x:c>
      <x:c r="J621" s="7" t="s">
        <x:v>1919</x:v>
      </x:c>
      <x:c r="K621" s="8" t="n">
        <x:v>1</x:v>
      </x:c>
      <x:c r="L621" s="8" t="n">
        <x:f aca="0">IF(AND(ISNUMBER(G621),P621&lt;&gt;"Unresolved unit / layout"),G621*K621,"Not applicable")</x:f>
        <x:v>100</x:v>
      </x:c>
      <x:c r="M621" s="8" t="str">
        <x:f aca="0">IF(AND(ISNUMBER(H621),P621&lt;&gt;"Unresolved unit / layout"),H621*K621,"Not applicable")</x:f>
        <x:v>Not applicable</x:v>
      </x:c>
      <x:c r="N621" s="8" t="str">
        <x:f aca="0">IF(AND(ISNUMBER(I621),P621&lt;&gt;"Unresolved unit / layout"),I621*K621,"Not applicable")</x:f>
        <x:v>Not applicable</x:v>
      </x:c>
      <x:c r="O621" s="7" t="s">
        <x:v>1956</x:v>
      </x:c>
      <x:c r="P621" s="7" t="s">
        <x:v>1921</x:v>
      </x:c>
      <x:c r="Q621" s="7" t="s">
        <x:v>1930</x:v>
      </x:c>
      <x:c r="R621" s="7" t="s">
        <x:v>58</x:v>
      </x:c>
      <x:c r="S621" s="7" t="s">
        <x:v>2077</x:v>
      </x:c>
      <x:c r="T621" s="7" t="s">
        <x:v>3095</x:v>
      </x:c>
      <x:c r="U621" s="7" t="s">
        <x:v>53</x:v>
      </x:c>
      <x:c r="V621" s="7" t="s">
        <x:v>2097</x:v>
      </x:c>
      <x:c r="W621" s="7" t="s">
        <x:v>58</x:v>
      </x:c>
      <x:c r="X621" s="7" t="s">
        <x:v>3239</x:v>
      </x:c>
      <x:c r="Y621" s="7" t="s">
        <x:v>1219</x:v>
      </x:c>
      <x:c r="Z621" s="7" t="s">
        <x:v>2096</x:v>
      </x:c>
      <x:c r="AA621" s="7" t="s">
        <x:v>58</x:v>
      </x:c>
      <x:c r="AB621" s="8" t="s">
        <x:v>58</x:v>
      </x:c>
      <x:c r="AC621" s="8" t="s">
        <x:v>58</x:v>
      </x:c>
      <x:c r="AD621" s="8" t="s">
        <x:v>58</x:v>
      </x:c>
      <x:c r="AE621" s="8" t="s">
        <x:v>58</x:v>
      </x:c>
      <x:c r="AF621" s="8" t="s">
        <x:v>58</x:v>
      </x:c>
      <x:c r="AG621" s="7" t="s">
        <x:v>58</x:v>
      </x:c>
    </x:row>
    <x:row r="622" ht="79.5" hidden="0" customHeight="1">
      <x:c r="A622" s="7" t="s">
        <x:v>3249</x:v>
      </x:c>
      <x:c r="B622" s="7" t="s">
        <x:v>390</x:v>
      </x:c>
      <x:c r="C622" s="7" t="s">
        <x:v>392</x:v>
      </x:c>
      <x:c r="D622" s="7" t="s">
        <x:v>2099</x:v>
      </x:c>
      <x:c r="E622" s="7" t="s">
        <x:v>2525</x:v>
      </x:c>
      <x:c r="F622" s="7" t="s">
        <x:v>1942</x:v>
      </x:c>
      <x:c r="G622" s="8" t="n">
        <x:v>0.45</x:v>
      </x:c>
      <x:c r="H622" s="8" t="s">
        <x:v>58</x:v>
      </x:c>
      <x:c r="I622" s="8" t="s">
        <x:v>58</x:v>
      </x:c>
      <x:c r="J622" s="7" t="s">
        <x:v>1919</x:v>
      </x:c>
      <x:c r="K622" s="8" t="n">
        <x:v>1</x:v>
      </x:c>
      <x:c r="L622" s="8" t="n">
        <x:f aca="0">IF(AND(ISNUMBER(G622),P622&lt;&gt;"Unresolved unit / layout"),G622*K622,"Not applicable")</x:f>
        <x:v>0.45</x:v>
      </x:c>
      <x:c r="M622" s="8" t="str">
        <x:f aca="0">IF(AND(ISNUMBER(H622),P622&lt;&gt;"Unresolved unit / layout"),H622*K622,"Not applicable")</x:f>
        <x:v>Not applicable</x:v>
      </x:c>
      <x:c r="N622" s="8" t="str">
        <x:f aca="0">IF(AND(ISNUMBER(I622),P622&lt;&gt;"Unresolved unit / layout"),I622*K622,"Not applicable")</x:f>
        <x:v>Not applicable</x:v>
      </x:c>
      <x:c r="O622" s="7" t="s">
        <x:v>1942</x:v>
      </x:c>
      <x:c r="P622" s="7" t="s">
        <x:v>1921</x:v>
      </x:c>
      <x:c r="Q622" s="7" t="s">
        <x:v>1930</x:v>
      </x:c>
      <x:c r="R622" s="7" t="s">
        <x:v>58</x:v>
      </x:c>
      <x:c r="S622" s="7" t="s">
        <x:v>2077</x:v>
      </x:c>
      <x:c r="T622" s="7" t="s">
        <x:v>3095</x:v>
      </x:c>
      <x:c r="U622" s="7" t="s">
        <x:v>53</x:v>
      </x:c>
      <x:c r="V622" s="7" t="s">
        <x:v>2192</x:v>
      </x:c>
      <x:c r="W622" s="7" t="s">
        <x:v>58</x:v>
      </x:c>
      <x:c r="X622" s="7" t="s">
        <x:v>3239</x:v>
      </x:c>
      <x:c r="Y622" s="7" t="s">
        <x:v>1219</x:v>
      </x:c>
      <x:c r="Z622" s="7" t="s">
        <x:v>2193</x:v>
      </x:c>
      <x:c r="AA622" s="7" t="s">
        <x:v>58</x:v>
      </x:c>
      <x:c r="AB622" s="8" t="s">
        <x:v>58</x:v>
      </x:c>
      <x:c r="AC622" s="8" t="s">
        <x:v>58</x:v>
      </x:c>
      <x:c r="AD622" s="8" t="s">
        <x:v>58</x:v>
      </x:c>
      <x:c r="AE622" s="8" t="s">
        <x:v>58</x:v>
      </x:c>
      <x:c r="AF622" s="8" t="s">
        <x:v>58</x:v>
      </x:c>
      <x:c r="AG622" s="7" t="s">
        <x:v>58</x:v>
      </x:c>
    </x:row>
    <x:row r="623" ht="79.5" hidden="0" customHeight="1">
      <x:c r="A623" s="7" t="s">
        <x:v>3250</x:v>
      </x:c>
      <x:c r="B623" s="7" t="s">
        <x:v>390</x:v>
      </x:c>
      <x:c r="C623" s="7" t="s">
        <x:v>392</x:v>
      </x:c>
      <x:c r="D623" s="7" t="s">
        <x:v>1935</x:v>
      </x:c>
      <x:c r="E623" s="7" t="s">
        <x:v>3251</x:v>
      </x:c>
      <x:c r="F623" s="7" t="s">
        <x:v>1929</x:v>
      </x:c>
      <x:c r="G623" s="8" t="n">
        <x:v>2450</x:v>
      </x:c>
      <x:c r="H623" s="8" t="n">
        <x:v>270</x:v>
      </x:c>
      <x:c r="I623" s="8" t="s">
        <x:v>58</x:v>
      </x:c>
      <x:c r="J623" s="7" t="s">
        <x:v>1919</x:v>
      </x:c>
      <x:c r="K623" s="8" t="n">
        <x:v>0.001</x:v>
      </x:c>
      <x:c r="L623" s="8" t="n">
        <x:f aca="0">IF(AND(ISNUMBER(G623),P623&lt;&gt;"Unresolved unit / layout"),G623*K623,"Not applicable")</x:f>
        <x:v>2.45</x:v>
      </x:c>
      <x:c r="M623" s="8" t="n">
        <x:f aca="0">IF(AND(ISNUMBER(H623),P623&lt;&gt;"Unresolved unit / layout"),H623*K623,"Not applicable")</x:f>
        <x:v>0.27</x:v>
      </x:c>
      <x:c r="N623" s="8" t="str">
        <x:f aca="0">IF(AND(ISNUMBER(I623),P623&lt;&gt;"Unresolved unit / layout"),I623*K623,"Not applicable")</x:f>
        <x:v>Not applicable</x:v>
      </x:c>
      <x:c r="O623" s="7" t="s">
        <x:v>1937</x:v>
      </x:c>
      <x:c r="P623" s="7" t="s">
        <x:v>1921</x:v>
      </x:c>
      <x:c r="Q623" s="7" t="s">
        <x:v>1930</x:v>
      </x:c>
      <x:c r="R623" s="7" t="s">
        <x:v>1931</x:v>
      </x:c>
      <x:c r="S623" s="7" t="s">
        <x:v>2077</x:v>
      </x:c>
      <x:c r="T623" s="7" t="s">
        <x:v>3095</x:v>
      </x:c>
      <x:c r="U623" s="7" t="s">
        <x:v>53</x:v>
      </x:c>
      <x:c r="V623" s="7" t="s">
        <x:v>1999</x:v>
      </x:c>
      <x:c r="W623" s="7" t="s">
        <x:v>58</x:v>
      </x:c>
      <x:c r="X623" s="7" t="s">
        <x:v>3239</x:v>
      </x:c>
      <x:c r="Y623" s="7" t="s">
        <x:v>1219</x:v>
      </x:c>
      <x:c r="Z623" s="7" t="s">
        <x:v>2105</x:v>
      </x:c>
      <x:c r="AA623" s="7" t="s">
        <x:v>58</x:v>
      </x:c>
      <x:c r="AB623" s="8" t="s">
        <x:v>58</x:v>
      </x:c>
      <x:c r="AC623" s="8" t="s">
        <x:v>58</x:v>
      </x:c>
      <x:c r="AD623" s="8" t="s">
        <x:v>58</x:v>
      </x:c>
      <x:c r="AE623" s="8" t="s">
        <x:v>58</x:v>
      </x:c>
      <x:c r="AF623" s="8" t="s">
        <x:v>58</x:v>
      </x:c>
      <x:c r="AG623" s="7" t="s">
        <x:v>58</x:v>
      </x:c>
    </x:row>
    <x:row r="624" ht="79.5" hidden="0" customHeight="1">
      <x:c r="A624" s="7" t="s">
        <x:v>3252</x:v>
      </x:c>
      <x:c r="B624" s="7" t="s">
        <x:v>390</x:v>
      </x:c>
      <x:c r="C624" s="7" t="s">
        <x:v>392</x:v>
      </x:c>
      <x:c r="D624" s="7" t="s">
        <x:v>1935</x:v>
      </x:c>
      <x:c r="E624" s="7" t="s">
        <x:v>3253</x:v>
      </x:c>
      <x:c r="F624" s="7" t="s">
        <x:v>3111</x:v>
      </x:c>
      <x:c r="G624" s="8" t="n">
        <x:v>2120</x:v>
      </x:c>
      <x:c r="H624" s="8" t="n">
        <x:v>260</x:v>
      </x:c>
      <x:c r="I624" s="8" t="s">
        <x:v>58</x:v>
      </x:c>
      <x:c r="J624" s="7" t="s">
        <x:v>1919</x:v>
      </x:c>
      <x:c r="K624" s="8" t="n">
        <x:v>0.001</x:v>
      </x:c>
      <x:c r="L624" s="8" t="n">
        <x:f aca="0">IF(AND(ISNUMBER(G624),P624&lt;&gt;"Unresolved unit / layout"),G624*K624,"Not applicable")</x:f>
        <x:v>2.12</x:v>
      </x:c>
      <x:c r="M624" s="8" t="n">
        <x:f aca="0">IF(AND(ISNUMBER(H624),P624&lt;&gt;"Unresolved unit / layout"),H624*K624,"Not applicable")</x:f>
        <x:v>0.26</x:v>
      </x:c>
      <x:c r="N624" s="8" t="str">
        <x:f aca="0">IF(AND(ISNUMBER(I624),P624&lt;&gt;"Unresolved unit / layout"),I624*K624,"Not applicable")</x:f>
        <x:v>Not applicable</x:v>
      </x:c>
      <x:c r="O624" s="7" t="s">
        <x:v>1937</x:v>
      </x:c>
      <x:c r="P624" s="7" t="s">
        <x:v>1921</x:v>
      </x:c>
      <x:c r="Q624" s="7" t="s">
        <x:v>1930</x:v>
      </x:c>
      <x:c r="R624" s="7" t="s">
        <x:v>2003</x:v>
      </x:c>
      <x:c r="S624" s="7" t="s">
        <x:v>2077</x:v>
      </x:c>
      <x:c r="T624" s="7" t="s">
        <x:v>3095</x:v>
      </x:c>
      <x:c r="U624" s="7" t="s">
        <x:v>53</x:v>
      </x:c>
      <x:c r="V624" s="7" t="s">
        <x:v>1999</x:v>
      </x:c>
      <x:c r="W624" s="7" t="s">
        <x:v>58</x:v>
      </x:c>
      <x:c r="X624" s="7" t="s">
        <x:v>3239</x:v>
      </x:c>
      <x:c r="Y624" s="7" t="s">
        <x:v>1219</x:v>
      </x:c>
      <x:c r="Z624" s="7" t="s">
        <x:v>2108</x:v>
      </x:c>
      <x:c r="AA624" s="7" t="s">
        <x:v>58</x:v>
      </x:c>
      <x:c r="AB624" s="8" t="s">
        <x:v>58</x:v>
      </x:c>
      <x:c r="AC624" s="8" t="s">
        <x:v>58</x:v>
      </x:c>
      <x:c r="AD624" s="8" t="s">
        <x:v>58</x:v>
      </x:c>
      <x:c r="AE624" s="8" t="s">
        <x:v>58</x:v>
      </x:c>
      <x:c r="AF624" s="8" t="s">
        <x:v>58</x:v>
      </x:c>
      <x:c r="AG624" s="7" t="s">
        <x:v>58</x:v>
      </x:c>
    </x:row>
    <x:row r="625" ht="79.5" hidden="0" customHeight="1">
      <x:c r="A625" s="7" t="s">
        <x:v>3254</x:v>
      </x:c>
      <x:c r="B625" s="7" t="s">
        <x:v>390</x:v>
      </x:c>
      <x:c r="C625" s="7" t="s">
        <x:v>392</x:v>
      </x:c>
      <x:c r="D625" s="7" t="s">
        <x:v>2006</x:v>
      </x:c>
      <x:c r="E625" s="7" t="s">
        <x:v>2544</x:v>
      </x:c>
      <x:c r="F625" s="7" t="s">
        <x:v>1929</x:v>
      </x:c>
      <x:c r="G625" s="8" t="n">
        <x:v>37</x:v>
      </x:c>
      <x:c r="H625" s="8" t="n">
        <x:v>3</x:v>
      </x:c>
      <x:c r="I625" s="8" t="s">
        <x:v>58</x:v>
      </x:c>
      <x:c r="J625" s="7" t="s">
        <x:v>1919</x:v>
      </x:c>
      <x:c r="K625" s="8" t="n">
        <x:v>1</x:v>
      </x:c>
      <x:c r="L625" s="8" t="n">
        <x:f aca="0">IF(AND(ISNUMBER(G625),P625&lt;&gt;"Unresolved unit / layout"),G625*K625,"Not applicable")</x:f>
        <x:v>37</x:v>
      </x:c>
      <x:c r="M625" s="8" t="n">
        <x:f aca="0">IF(AND(ISNUMBER(H625),P625&lt;&gt;"Unresolved unit / layout"),H625*K625,"Not applicable")</x:f>
        <x:v>3</x:v>
      </x:c>
      <x:c r="N625" s="8" t="str">
        <x:f aca="0">IF(AND(ISNUMBER(I625),P625&lt;&gt;"Unresolved unit / layout"),I625*K625,"Not applicable")</x:f>
        <x:v>Not applicable</x:v>
      </x:c>
      <x:c r="O625" s="7" t="s">
        <x:v>1929</x:v>
      </x:c>
      <x:c r="P625" s="7" t="s">
        <x:v>1921</x:v>
      </x:c>
      <x:c r="Q625" s="7" t="s">
        <x:v>1930</x:v>
      </x:c>
      <x:c r="R625" s="7" t="s">
        <x:v>1931</x:v>
      </x:c>
      <x:c r="S625" s="7" t="s">
        <x:v>2077</x:v>
      </x:c>
      <x:c r="T625" s="7" t="s">
        <x:v>3095</x:v>
      </x:c>
      <x:c r="U625" s="7" t="s">
        <x:v>53</x:v>
      </x:c>
      <x:c r="V625" s="7" t="s">
        <x:v>1999</x:v>
      </x:c>
      <x:c r="W625" s="7" t="s">
        <x:v>58</x:v>
      </x:c>
      <x:c r="X625" s="7" t="s">
        <x:v>3239</x:v>
      </x:c>
      <x:c r="Y625" s="7" t="s">
        <x:v>1219</x:v>
      </x:c>
      <x:c r="Z625" s="7" t="s">
        <x:v>2111</x:v>
      </x:c>
      <x:c r="AA625" s="7" t="s">
        <x:v>58</x:v>
      </x:c>
      <x:c r="AB625" s="8" t="s">
        <x:v>58</x:v>
      </x:c>
      <x:c r="AC625" s="8" t="s">
        <x:v>58</x:v>
      </x:c>
      <x:c r="AD625" s="8" t="s">
        <x:v>58</x:v>
      </x:c>
      <x:c r="AE625" s="8" t="s">
        <x:v>58</x:v>
      </x:c>
      <x:c r="AF625" s="8" t="s">
        <x:v>58</x:v>
      </x:c>
      <x:c r="AG625" s="7" t="s">
        <x:v>58</x:v>
      </x:c>
    </x:row>
    <x:row r="626" ht="79.5" hidden="0" customHeight="1">
      <x:c r="A626" s="7" t="s">
        <x:v>3255</x:v>
      </x:c>
      <x:c r="B626" s="7" t="s">
        <x:v>390</x:v>
      </x:c>
      <x:c r="C626" s="7" t="s">
        <x:v>392</x:v>
      </x:c>
      <x:c r="D626" s="7" t="s">
        <x:v>2006</x:v>
      </x:c>
      <x:c r="E626" s="7" t="s">
        <x:v>3256</x:v>
      </x:c>
      <x:c r="F626" s="7" t="s">
        <x:v>1929</x:v>
      </x:c>
      <x:c r="G626" s="8" t="n">
        <x:v>31</x:v>
      </x:c>
      <x:c r="H626" s="8" t="n">
        <x:v>4</x:v>
      </x:c>
      <x:c r="I626" s="8" t="s">
        <x:v>58</x:v>
      </x:c>
      <x:c r="J626" s="7" t="s">
        <x:v>1919</x:v>
      </x:c>
      <x:c r="K626" s="8" t="n">
        <x:v>1</x:v>
      </x:c>
      <x:c r="L626" s="8" t="n">
        <x:f aca="0">IF(AND(ISNUMBER(G626),P626&lt;&gt;"Unresolved unit / layout"),G626*K626,"Not applicable")</x:f>
        <x:v>31</x:v>
      </x:c>
      <x:c r="M626" s="8" t="n">
        <x:f aca="0">IF(AND(ISNUMBER(H626),P626&lt;&gt;"Unresolved unit / layout"),H626*K626,"Not applicable")</x:f>
        <x:v>4</x:v>
      </x:c>
      <x:c r="N626" s="8" t="str">
        <x:f aca="0">IF(AND(ISNUMBER(I626),P626&lt;&gt;"Unresolved unit / layout"),I626*K626,"Not applicable")</x:f>
        <x:v>Not applicable</x:v>
      </x:c>
      <x:c r="O626" s="7" t="s">
        <x:v>1929</x:v>
      </x:c>
      <x:c r="P626" s="7" t="s">
        <x:v>1921</x:v>
      </x:c>
      <x:c r="Q626" s="7" t="s">
        <x:v>1930</x:v>
      </x:c>
      <x:c r="R626" s="7" t="s">
        <x:v>2003</x:v>
      </x:c>
      <x:c r="S626" s="7" t="s">
        <x:v>2077</x:v>
      </x:c>
      <x:c r="T626" s="7" t="s">
        <x:v>3095</x:v>
      </x:c>
      <x:c r="U626" s="7" t="s">
        <x:v>53</x:v>
      </x:c>
      <x:c r="V626" s="7" t="s">
        <x:v>1999</x:v>
      </x:c>
      <x:c r="W626" s="7" t="s">
        <x:v>58</x:v>
      </x:c>
      <x:c r="X626" s="7" t="s">
        <x:v>3239</x:v>
      </x:c>
      <x:c r="Y626" s="7" t="s">
        <x:v>1219</x:v>
      </x:c>
      <x:c r="Z626" s="7" t="s">
        <x:v>2114</x:v>
      </x:c>
      <x:c r="AA626" s="7" t="s">
        <x:v>58</x:v>
      </x:c>
      <x:c r="AB626" s="8" t="s">
        <x:v>58</x:v>
      </x:c>
      <x:c r="AC626" s="8" t="s">
        <x:v>58</x:v>
      </x:c>
      <x:c r="AD626" s="8" t="s">
        <x:v>58</x:v>
      </x:c>
      <x:c r="AE626" s="8" t="s">
        <x:v>58</x:v>
      </x:c>
      <x:c r="AF626" s="8" t="s">
        <x:v>58</x:v>
      </x:c>
      <x:c r="AG626" s="7" t="s">
        <x:v>58</x:v>
      </x:c>
    </x:row>
    <x:row r="627" ht="79.5" hidden="0" customHeight="1">
      <x:c r="A627" s="7" t="s">
        <x:v>3257</x:v>
      </x:c>
      <x:c r="B627" s="7" t="s">
        <x:v>390</x:v>
      </x:c>
      <x:c r="C627" s="7" t="s">
        <x:v>392</x:v>
      </x:c>
      <x:c r="D627" s="7" t="s">
        <x:v>1940</x:v>
      </x:c>
      <x:c r="E627" s="7" t="s">
        <x:v>3258</x:v>
      </x:c>
      <x:c r="F627" s="7" t="s">
        <x:v>1942</x:v>
      </x:c>
      <x:c r="G627" s="8" t="n">
        <x:v>9.2</x:v>
      </x:c>
      <x:c r="H627" s="8" t="n">
        <x:v>1.4</x:v>
      </x:c>
      <x:c r="I627" s="8" t="s">
        <x:v>58</x:v>
      </x:c>
      <x:c r="J627" s="7" t="s">
        <x:v>1919</x:v>
      </x:c>
      <x:c r="K627" s="8" t="n">
        <x:v>1</x:v>
      </x:c>
      <x:c r="L627" s="8" t="n">
        <x:f aca="0">IF(AND(ISNUMBER(G627),P627&lt;&gt;"Unresolved unit / layout"),G627*K627,"Not applicable")</x:f>
        <x:v>9.2</x:v>
      </x:c>
      <x:c r="M627" s="8" t="n">
        <x:f aca="0">IF(AND(ISNUMBER(H627),P627&lt;&gt;"Unresolved unit / layout"),H627*K627,"Not applicable")</x:f>
        <x:v>1.4</x:v>
      </x:c>
      <x:c r="N627" s="8" t="str">
        <x:f aca="0">IF(AND(ISNUMBER(I627),P627&lt;&gt;"Unresolved unit / layout"),I627*K627,"Not applicable")</x:f>
        <x:v>Not applicable</x:v>
      </x:c>
      <x:c r="O627" s="7" t="s">
        <x:v>1942</x:v>
      </x:c>
      <x:c r="P627" s="7" t="s">
        <x:v>1921</x:v>
      </x:c>
      <x:c r="Q627" s="7" t="s">
        <x:v>1930</x:v>
      </x:c>
      <x:c r="R627" s="7" t="s">
        <x:v>1931</x:v>
      </x:c>
      <x:c r="S627" s="7" t="s">
        <x:v>2077</x:v>
      </x:c>
      <x:c r="T627" s="7" t="s">
        <x:v>3095</x:v>
      </x:c>
      <x:c r="U627" s="7" t="s">
        <x:v>53</x:v>
      </x:c>
      <x:c r="V627" s="7" t="s">
        <x:v>1999</x:v>
      </x:c>
      <x:c r="W627" s="7" t="s">
        <x:v>58</x:v>
      </x:c>
      <x:c r="X627" s="7" t="s">
        <x:v>3239</x:v>
      </x:c>
      <x:c r="Y627" s="7" t="s">
        <x:v>1219</x:v>
      </x:c>
      <x:c r="Z627" s="7" t="s">
        <x:v>2117</x:v>
      </x:c>
      <x:c r="AA627" s="7" t="s">
        <x:v>58</x:v>
      </x:c>
      <x:c r="AB627" s="8" t="s">
        <x:v>58</x:v>
      </x:c>
      <x:c r="AC627" s="8" t="s">
        <x:v>58</x:v>
      </x:c>
      <x:c r="AD627" s="8" t="s">
        <x:v>58</x:v>
      </x:c>
      <x:c r="AE627" s="8" t="s">
        <x:v>58</x:v>
      </x:c>
      <x:c r="AF627" s="8" t="s">
        <x:v>58</x:v>
      </x:c>
      <x:c r="AG627" s="7" t="s">
        <x:v>58</x:v>
      </x:c>
    </x:row>
    <x:row r="628" ht="79.5" hidden="0" customHeight="1">
      <x:c r="A628" s="7" t="s">
        <x:v>3259</x:v>
      </x:c>
      <x:c r="B628" s="7" t="s">
        <x:v>390</x:v>
      </x:c>
      <x:c r="C628" s="7" t="s">
        <x:v>392</x:v>
      </x:c>
      <x:c r="D628" s="7" t="s">
        <x:v>1940</x:v>
      </x:c>
      <x:c r="E628" s="7" t="s">
        <x:v>3260</x:v>
      </x:c>
      <x:c r="F628" s="7" t="s">
        <x:v>1942</x:v>
      </x:c>
      <x:c r="G628" s="8" t="n">
        <x:v>4.6</x:v>
      </x:c>
      <x:c r="H628" s="8" t="n">
        <x:v>0.8</x:v>
      </x:c>
      <x:c r="I628" s="8" t="s">
        <x:v>58</x:v>
      </x:c>
      <x:c r="J628" s="7" t="s">
        <x:v>1919</x:v>
      </x:c>
      <x:c r="K628" s="8" t="n">
        <x:v>1</x:v>
      </x:c>
      <x:c r="L628" s="8" t="n">
        <x:f aca="0">IF(AND(ISNUMBER(G628),P628&lt;&gt;"Unresolved unit / layout"),G628*K628,"Not applicable")</x:f>
        <x:v>4.6</x:v>
      </x:c>
      <x:c r="M628" s="8" t="n">
        <x:f aca="0">IF(AND(ISNUMBER(H628),P628&lt;&gt;"Unresolved unit / layout"),H628*K628,"Not applicable")</x:f>
        <x:v>0.8</x:v>
      </x:c>
      <x:c r="N628" s="8" t="str">
        <x:f aca="0">IF(AND(ISNUMBER(I628),P628&lt;&gt;"Unresolved unit / layout"),I628*K628,"Not applicable")</x:f>
        <x:v>Not applicable</x:v>
      </x:c>
      <x:c r="O628" s="7" t="s">
        <x:v>1942</x:v>
      </x:c>
      <x:c r="P628" s="7" t="s">
        <x:v>1921</x:v>
      </x:c>
      <x:c r="Q628" s="7" t="s">
        <x:v>1930</x:v>
      </x:c>
      <x:c r="R628" s="7" t="s">
        <x:v>2003</x:v>
      </x:c>
      <x:c r="S628" s="7" t="s">
        <x:v>2077</x:v>
      </x:c>
      <x:c r="T628" s="7" t="s">
        <x:v>3095</x:v>
      </x:c>
      <x:c r="U628" s="7" t="s">
        <x:v>53</x:v>
      </x:c>
      <x:c r="V628" s="7" t="s">
        <x:v>1999</x:v>
      </x:c>
      <x:c r="W628" s="7" t="s">
        <x:v>58</x:v>
      </x:c>
      <x:c r="X628" s="7" t="s">
        <x:v>3239</x:v>
      </x:c>
      <x:c r="Y628" s="7" t="s">
        <x:v>1219</x:v>
      </x:c>
      <x:c r="Z628" s="7" t="s">
        <x:v>2120</x:v>
      </x:c>
      <x:c r="AA628" s="7" t="s">
        <x:v>58</x:v>
      </x:c>
      <x:c r="AB628" s="8" t="s">
        <x:v>58</x:v>
      </x:c>
      <x:c r="AC628" s="8" t="s">
        <x:v>58</x:v>
      </x:c>
      <x:c r="AD628" s="8" t="s">
        <x:v>58</x:v>
      </x:c>
      <x:c r="AE628" s="8" t="s">
        <x:v>58</x:v>
      </x:c>
      <x:c r="AF628" s="8" t="s">
        <x:v>58</x:v>
      </x:c>
      <x:c r="AG628" s="7" t="s">
        <x:v>58</x:v>
      </x:c>
    </x:row>
    <x:row r="629" ht="79.5" hidden="0" customHeight="1">
      <x:c r="A629" s="7" t="s">
        <x:v>3261</x:v>
      </x:c>
      <x:c r="B629" s="7" t="s">
        <x:v>390</x:v>
      </x:c>
      <x:c r="C629" s="7" t="s">
        <x:v>392</x:v>
      </x:c>
      <x:c r="D629" s="7" t="s">
        <x:v>1950</x:v>
      </x:c>
      <x:c r="E629" s="7" t="s">
        <x:v>3262</x:v>
      </x:c>
      <x:c r="F629" s="7" t="s">
        <x:v>1929</x:v>
      </x:c>
      <x:c r="G629" s="8" t="n">
        <x:v>1920</x:v>
      </x:c>
      <x:c r="H629" s="8" t="n">
        <x:v>130</x:v>
      </x:c>
      <x:c r="I629" s="8" t="s">
        <x:v>58</x:v>
      </x:c>
      <x:c r="J629" s="7" t="s">
        <x:v>1919</x:v>
      </x:c>
      <x:c r="K629" s="8" t="n">
        <x:v>0.001</x:v>
      </x:c>
      <x:c r="L629" s="8" t="n">
        <x:f aca="0">IF(AND(ISNUMBER(G629),P629&lt;&gt;"Unresolved unit / layout"),G629*K629,"Not applicable")</x:f>
        <x:v>1.92</x:v>
      </x:c>
      <x:c r="M629" s="8" t="n">
        <x:f aca="0">IF(AND(ISNUMBER(H629),P629&lt;&gt;"Unresolved unit / layout"),H629*K629,"Not applicable")</x:f>
        <x:v>0.13</x:v>
      </x:c>
      <x:c r="N629" s="8" t="str">
        <x:f aca="0">IF(AND(ISNUMBER(I629),P629&lt;&gt;"Unresolved unit / layout"),I629*K629,"Not applicable")</x:f>
        <x:v>Not applicable</x:v>
      </x:c>
      <x:c r="O629" s="7" t="s">
        <x:v>1937</x:v>
      </x:c>
      <x:c r="P629" s="7" t="s">
        <x:v>1921</x:v>
      </x:c>
      <x:c r="Q629" s="7" t="s">
        <x:v>1930</x:v>
      </x:c>
      <x:c r="R629" s="7" t="s">
        <x:v>1931</x:v>
      </x:c>
      <x:c r="S629" s="7" t="s">
        <x:v>2077</x:v>
      </x:c>
      <x:c r="T629" s="7" t="s">
        <x:v>3095</x:v>
      </x:c>
      <x:c r="U629" s="7" t="s">
        <x:v>53</x:v>
      </x:c>
      <x:c r="V629" s="7" t="s">
        <x:v>2020</x:v>
      </x:c>
      <x:c r="W629" s="7" t="s">
        <x:v>58</x:v>
      </x:c>
      <x:c r="X629" s="7" t="s">
        <x:v>3239</x:v>
      </x:c>
      <x:c r="Y629" s="7" t="s">
        <x:v>1219</x:v>
      </x:c>
      <x:c r="Z629" s="7" t="s">
        <x:v>2123</x:v>
      </x:c>
      <x:c r="AA629" s="7" t="s">
        <x:v>58</x:v>
      </x:c>
      <x:c r="AB629" s="8" t="s">
        <x:v>58</x:v>
      </x:c>
      <x:c r="AC629" s="8" t="s">
        <x:v>58</x:v>
      </x:c>
      <x:c r="AD629" s="8" t="s">
        <x:v>58</x:v>
      </x:c>
      <x:c r="AE629" s="8" t="s">
        <x:v>58</x:v>
      </x:c>
      <x:c r="AF629" s="8" t="s">
        <x:v>58</x:v>
      </x:c>
      <x:c r="AG629" s="7" t="s">
        <x:v>58</x:v>
      </x:c>
    </x:row>
    <x:row r="630" ht="79.5" hidden="0" customHeight="1">
      <x:c r="A630" s="7" t="s">
        <x:v>3263</x:v>
      </x:c>
      <x:c r="B630" s="7" t="s">
        <x:v>390</x:v>
      </x:c>
      <x:c r="C630" s="7" t="s">
        <x:v>392</x:v>
      </x:c>
      <x:c r="D630" s="7" t="s">
        <x:v>1950</x:v>
      </x:c>
      <x:c r="E630" s="7" t="s">
        <x:v>3264</x:v>
      </x:c>
      <x:c r="F630" s="7" t="s">
        <x:v>1929</x:v>
      </x:c>
      <x:c r="G630" s="8" t="n">
        <x:v>1650</x:v>
      </x:c>
      <x:c r="H630" s="8" t="n">
        <x:v>120</x:v>
      </x:c>
      <x:c r="I630" s="8" t="s">
        <x:v>58</x:v>
      </x:c>
      <x:c r="J630" s="7" t="s">
        <x:v>1919</x:v>
      </x:c>
      <x:c r="K630" s="8" t="n">
        <x:v>0.001</x:v>
      </x:c>
      <x:c r="L630" s="8" t="n">
        <x:f aca="0">IF(AND(ISNUMBER(G630),P630&lt;&gt;"Unresolved unit / layout"),G630*K630,"Not applicable")</x:f>
        <x:v>1.6500000000000001</x:v>
      </x:c>
      <x:c r="M630" s="8" t="n">
        <x:f aca="0">IF(AND(ISNUMBER(H630),P630&lt;&gt;"Unresolved unit / layout"),H630*K630,"Not applicable")</x:f>
        <x:v>0.12</x:v>
      </x:c>
      <x:c r="N630" s="8" t="str">
        <x:f aca="0">IF(AND(ISNUMBER(I630),P630&lt;&gt;"Unresolved unit / layout"),I630*K630,"Not applicable")</x:f>
        <x:v>Not applicable</x:v>
      </x:c>
      <x:c r="O630" s="7" t="s">
        <x:v>1937</x:v>
      </x:c>
      <x:c r="P630" s="7" t="s">
        <x:v>1921</x:v>
      </x:c>
      <x:c r="Q630" s="7" t="s">
        <x:v>1930</x:v>
      </x:c>
      <x:c r="R630" s="7" t="s">
        <x:v>2003</x:v>
      </x:c>
      <x:c r="S630" s="7" t="s">
        <x:v>2077</x:v>
      </x:c>
      <x:c r="T630" s="7" t="s">
        <x:v>3095</x:v>
      </x:c>
      <x:c r="U630" s="7" t="s">
        <x:v>53</x:v>
      </x:c>
      <x:c r="V630" s="7" t="s">
        <x:v>2020</x:v>
      </x:c>
      <x:c r="W630" s="7" t="s">
        <x:v>58</x:v>
      </x:c>
      <x:c r="X630" s="7" t="s">
        <x:v>3239</x:v>
      </x:c>
      <x:c r="Y630" s="7" t="s">
        <x:v>1219</x:v>
      </x:c>
      <x:c r="Z630" s="7" t="s">
        <x:v>2210</x:v>
      </x:c>
      <x:c r="AA630" s="7" t="s">
        <x:v>58</x:v>
      </x:c>
      <x:c r="AB630" s="8" t="s">
        <x:v>58</x:v>
      </x:c>
      <x:c r="AC630" s="8" t="s">
        <x:v>58</x:v>
      </x:c>
      <x:c r="AD630" s="8" t="s">
        <x:v>58</x:v>
      </x:c>
      <x:c r="AE630" s="8" t="s">
        <x:v>58</x:v>
      </x:c>
      <x:c r="AF630" s="8" t="s">
        <x:v>58</x:v>
      </x:c>
      <x:c r="AG630" s="7" t="s">
        <x:v>58</x:v>
      </x:c>
    </x:row>
    <x:row r="631" ht="79.5" hidden="0" customHeight="1">
      <x:c r="A631" s="7" t="s">
        <x:v>3265</x:v>
      </x:c>
      <x:c r="B631" s="7" t="s">
        <x:v>390</x:v>
      </x:c>
      <x:c r="C631" s="7" t="s">
        <x:v>392</x:v>
      </x:c>
      <x:c r="D631" s="7" t="s">
        <x:v>1945</x:v>
      </x:c>
      <x:c r="E631" s="7" t="s">
        <x:v>3266</x:v>
      </x:c>
      <x:c r="F631" s="7" t="s">
        <x:v>1929</x:v>
      </x:c>
      <x:c r="G631" s="8" t="n">
        <x:v>65</x:v>
      </x:c>
      <x:c r="H631" s="8" t="n">
        <x:v>5</x:v>
      </x:c>
      <x:c r="I631" s="8" t="s">
        <x:v>58</x:v>
      </x:c>
      <x:c r="J631" s="7" t="s">
        <x:v>1919</x:v>
      </x:c>
      <x:c r="K631" s="8" t="n">
        <x:v>1</x:v>
      </x:c>
      <x:c r="L631" s="8" t="n">
        <x:f aca="0">IF(AND(ISNUMBER(G631),P631&lt;&gt;"Unresolved unit / layout"),G631*K631,"Not applicable")</x:f>
        <x:v>65</x:v>
      </x:c>
      <x:c r="M631" s="8" t="n">
        <x:f aca="0">IF(AND(ISNUMBER(H631),P631&lt;&gt;"Unresolved unit / layout"),H631*K631,"Not applicable")</x:f>
        <x:v>5</x:v>
      </x:c>
      <x:c r="N631" s="8" t="str">
        <x:f aca="0">IF(AND(ISNUMBER(I631),P631&lt;&gt;"Unresolved unit / layout"),I631*K631,"Not applicable")</x:f>
        <x:v>Not applicable</x:v>
      </x:c>
      <x:c r="O631" s="7" t="s">
        <x:v>1929</x:v>
      </x:c>
      <x:c r="P631" s="7" t="s">
        <x:v>1921</x:v>
      </x:c>
      <x:c r="Q631" s="7" t="s">
        <x:v>1930</x:v>
      </x:c>
      <x:c r="R631" s="7" t="s">
        <x:v>1931</x:v>
      </x:c>
      <x:c r="S631" s="7" t="s">
        <x:v>2077</x:v>
      </x:c>
      <x:c r="T631" s="7" t="s">
        <x:v>3095</x:v>
      </x:c>
      <x:c r="U631" s="7" t="s">
        <x:v>53</x:v>
      </x:c>
      <x:c r="V631" s="7" t="s">
        <x:v>2020</x:v>
      </x:c>
      <x:c r="W631" s="7" t="s">
        <x:v>58</x:v>
      </x:c>
      <x:c r="X631" s="7" t="s">
        <x:v>3239</x:v>
      </x:c>
      <x:c r="Y631" s="7" t="s">
        <x:v>1219</x:v>
      </x:c>
      <x:c r="Z631" s="7" t="s">
        <x:v>2213</x:v>
      </x:c>
      <x:c r="AA631" s="7" t="s">
        <x:v>58</x:v>
      </x:c>
      <x:c r="AB631" s="8" t="s">
        <x:v>58</x:v>
      </x:c>
      <x:c r="AC631" s="8" t="s">
        <x:v>58</x:v>
      </x:c>
      <x:c r="AD631" s="8" t="s">
        <x:v>58</x:v>
      </x:c>
      <x:c r="AE631" s="8" t="s">
        <x:v>58</x:v>
      </x:c>
      <x:c r="AF631" s="8" t="s">
        <x:v>58</x:v>
      </x:c>
      <x:c r="AG631" s="7" t="s">
        <x:v>58</x:v>
      </x:c>
    </x:row>
    <x:row r="632" ht="79.5" hidden="0" customHeight="1">
      <x:c r="A632" s="7" t="s">
        <x:v>3267</x:v>
      </x:c>
      <x:c r="B632" s="7" t="s">
        <x:v>390</x:v>
      </x:c>
      <x:c r="C632" s="7" t="s">
        <x:v>392</x:v>
      </x:c>
      <x:c r="D632" s="7" t="s">
        <x:v>1945</x:v>
      </x:c>
      <x:c r="E632" s="7" t="s">
        <x:v>3268</x:v>
      </x:c>
      <x:c r="F632" s="7" t="s">
        <x:v>1929</x:v>
      </x:c>
      <x:c r="G632" s="8" t="n">
        <x:v>40</x:v>
      </x:c>
      <x:c r="H632" s="8" t="n">
        <x:v>3</x:v>
      </x:c>
      <x:c r="I632" s="8" t="s">
        <x:v>58</x:v>
      </x:c>
      <x:c r="J632" s="7" t="s">
        <x:v>1919</x:v>
      </x:c>
      <x:c r="K632" s="8" t="n">
        <x:v>1</x:v>
      </x:c>
      <x:c r="L632" s="8" t="n">
        <x:f aca="0">IF(AND(ISNUMBER(G632),P632&lt;&gt;"Unresolved unit / layout"),G632*K632,"Not applicable")</x:f>
        <x:v>40</x:v>
      </x:c>
      <x:c r="M632" s="8" t="n">
        <x:f aca="0">IF(AND(ISNUMBER(H632),P632&lt;&gt;"Unresolved unit / layout"),H632*K632,"Not applicable")</x:f>
        <x:v>3</x:v>
      </x:c>
      <x:c r="N632" s="8" t="str">
        <x:f aca="0">IF(AND(ISNUMBER(I632),P632&lt;&gt;"Unresolved unit / layout"),I632*K632,"Not applicable")</x:f>
        <x:v>Not applicable</x:v>
      </x:c>
      <x:c r="O632" s="7" t="s">
        <x:v>1929</x:v>
      </x:c>
      <x:c r="P632" s="7" t="s">
        <x:v>1921</x:v>
      </x:c>
      <x:c r="Q632" s="7" t="s">
        <x:v>1930</x:v>
      </x:c>
      <x:c r="R632" s="7" t="s">
        <x:v>2003</x:v>
      </x:c>
      <x:c r="S632" s="7" t="s">
        <x:v>2077</x:v>
      </x:c>
      <x:c r="T632" s="7" t="s">
        <x:v>3095</x:v>
      </x:c>
      <x:c r="U632" s="7" t="s">
        <x:v>53</x:v>
      </x:c>
      <x:c r="V632" s="7" t="s">
        <x:v>2020</x:v>
      </x:c>
      <x:c r="W632" s="7" t="s">
        <x:v>58</x:v>
      </x:c>
      <x:c r="X632" s="7" t="s">
        <x:v>3239</x:v>
      </x:c>
      <x:c r="Y632" s="7" t="s">
        <x:v>1219</x:v>
      </x:c>
      <x:c r="Z632" s="7" t="s">
        <x:v>2216</x:v>
      </x:c>
      <x:c r="AA632" s="7" t="s">
        <x:v>58</x:v>
      </x:c>
      <x:c r="AB632" s="8" t="s">
        <x:v>58</x:v>
      </x:c>
      <x:c r="AC632" s="8" t="s">
        <x:v>58</x:v>
      </x:c>
      <x:c r="AD632" s="8" t="s">
        <x:v>58</x:v>
      </x:c>
      <x:c r="AE632" s="8" t="s">
        <x:v>58</x:v>
      </x:c>
      <x:c r="AF632" s="8" t="s">
        <x:v>58</x:v>
      </x:c>
      <x:c r="AG632" s="7" t="s">
        <x:v>58</x:v>
      </x:c>
    </x:row>
    <x:row r="633" ht="79.5" hidden="0" customHeight="1">
      <x:c r="A633" s="7" t="s">
        <x:v>3269</x:v>
      </x:c>
      <x:c r="B633" s="7" t="s">
        <x:v>390</x:v>
      </x:c>
      <x:c r="C633" s="7" t="s">
        <x:v>392</x:v>
      </x:c>
      <x:c r="D633" s="7" t="s">
        <x:v>2030</x:v>
      </x:c>
      <x:c r="E633" s="7" t="s">
        <x:v>3270</x:v>
      </x:c>
      <x:c r="F633" s="7" t="s">
        <x:v>2033</x:v>
      </x:c>
      <x:c r="G633" s="8" t="n">
        <x:v>41</x:v>
      </x:c>
      <x:c r="H633" s="8" t="n">
        <x:v>2.3</x:v>
      </x:c>
      <x:c r="I633" s="8" t="s">
        <x:v>58</x:v>
      </x:c>
      <x:c r="J633" s="7" t="s">
        <x:v>1919</x:v>
      </x:c>
      <x:c r="K633" s="8" t="n">
        <x:v>1</x:v>
      </x:c>
      <x:c r="L633" s="8" t="n">
        <x:f aca="0">IF(AND(ISNUMBER(G633),P633&lt;&gt;"Unresolved unit / layout"),G633*K633,"Not applicable")</x:f>
        <x:v>41</x:v>
      </x:c>
      <x:c r="M633" s="8" t="n">
        <x:f aca="0">IF(AND(ISNUMBER(H633),P633&lt;&gt;"Unresolved unit / layout"),H633*K633,"Not applicable")</x:f>
        <x:v>2.3</x:v>
      </x:c>
      <x:c r="N633" s="8" t="str">
        <x:f aca="0">IF(AND(ISNUMBER(I633),P633&lt;&gt;"Unresolved unit / layout"),I633*K633,"Not applicable")</x:f>
        <x:v>Not applicable</x:v>
      </x:c>
      <x:c r="O633" s="7" t="s">
        <x:v>2033</x:v>
      </x:c>
      <x:c r="P633" s="7" t="s">
        <x:v>1921</x:v>
      </x:c>
      <x:c r="Q633" s="7" t="s">
        <x:v>1930</x:v>
      </x:c>
      <x:c r="R633" s="7" t="s">
        <x:v>1931</x:v>
      </x:c>
      <x:c r="S633" s="7" t="s">
        <x:v>2077</x:v>
      </x:c>
      <x:c r="T633" s="7" t="s">
        <x:v>3095</x:v>
      </x:c>
      <x:c r="U633" s="7" t="s">
        <x:v>53</x:v>
      </x:c>
      <x:c r="V633" s="7" t="s">
        <x:v>2036</x:v>
      </x:c>
      <x:c r="W633" s="7" t="s">
        <x:v>2135</x:v>
      </x:c>
      <x:c r="X633" s="7" t="s">
        <x:v>3239</x:v>
      </x:c>
      <x:c r="Y633" s="7" t="s">
        <x:v>1219</x:v>
      </x:c>
      <x:c r="Z633" s="7" t="s">
        <x:v>2219</x:v>
      </x:c>
      <x:c r="AA633" s="7" t="s">
        <x:v>58</x:v>
      </x:c>
      <x:c r="AB633" s="8" t="s">
        <x:v>58</x:v>
      </x:c>
      <x:c r="AC633" s="8" t="s">
        <x:v>58</x:v>
      </x:c>
      <x:c r="AD633" s="8" t="s">
        <x:v>58</x:v>
      </x:c>
      <x:c r="AE633" s="8" t="s">
        <x:v>58</x:v>
      </x:c>
      <x:c r="AF633" s="8" t="s">
        <x:v>58</x:v>
      </x:c>
      <x:c r="AG633" s="7" t="s">
        <x:v>58</x:v>
      </x:c>
    </x:row>
    <x:row r="634" ht="79.5" hidden="0" customHeight="1">
      <x:c r="A634" s="7" t="s">
        <x:v>3271</x:v>
      </x:c>
      <x:c r="B634" s="7" t="s">
        <x:v>390</x:v>
      </x:c>
      <x:c r="C634" s="7" t="s">
        <x:v>392</x:v>
      </x:c>
      <x:c r="D634" s="7" t="s">
        <x:v>2030</x:v>
      </x:c>
      <x:c r="E634" s="7" t="s">
        <x:v>3272</x:v>
      </x:c>
      <x:c r="F634" s="7" t="s">
        <x:v>2033</x:v>
      </x:c>
      <x:c r="G634" s="8" t="n">
        <x:v>19.6</x:v>
      </x:c>
      <x:c r="H634" s="8" t="n">
        <x:v>1.8</x:v>
      </x:c>
      <x:c r="I634" s="8" t="s">
        <x:v>58</x:v>
      </x:c>
      <x:c r="J634" s="7" t="s">
        <x:v>1919</x:v>
      </x:c>
      <x:c r="K634" s="8" t="n">
        <x:v>1</x:v>
      </x:c>
      <x:c r="L634" s="8" t="n">
        <x:f aca="0">IF(AND(ISNUMBER(G634),P634&lt;&gt;"Unresolved unit / layout"),G634*K634,"Not applicable")</x:f>
        <x:v>19.6</x:v>
      </x:c>
      <x:c r="M634" s="8" t="n">
        <x:f aca="0">IF(AND(ISNUMBER(H634),P634&lt;&gt;"Unresolved unit / layout"),H634*K634,"Not applicable")</x:f>
        <x:v>1.8</x:v>
      </x:c>
      <x:c r="N634" s="8" t="str">
        <x:f aca="0">IF(AND(ISNUMBER(I634),P634&lt;&gt;"Unresolved unit / layout"),I634*K634,"Not applicable")</x:f>
        <x:v>Not applicable</x:v>
      </x:c>
      <x:c r="O634" s="7" t="s">
        <x:v>2033</x:v>
      </x:c>
      <x:c r="P634" s="7" t="s">
        <x:v>1921</x:v>
      </x:c>
      <x:c r="Q634" s="7" t="s">
        <x:v>1930</x:v>
      </x:c>
      <x:c r="R634" s="7" t="s">
        <x:v>1931</x:v>
      </x:c>
      <x:c r="S634" s="7" t="s">
        <x:v>2077</x:v>
      </x:c>
      <x:c r="T634" s="7" t="s">
        <x:v>3095</x:v>
      </x:c>
      <x:c r="U634" s="7" t="s">
        <x:v>53</x:v>
      </x:c>
      <x:c r="V634" s="7" t="s">
        <x:v>2036</x:v>
      </x:c>
      <x:c r="W634" s="7" t="s">
        <x:v>2139</x:v>
      </x:c>
      <x:c r="X634" s="7" t="s">
        <x:v>3239</x:v>
      </x:c>
      <x:c r="Y634" s="7" t="s">
        <x:v>1219</x:v>
      </x:c>
      <x:c r="Z634" s="7" t="s">
        <x:v>2222</x:v>
      </x:c>
      <x:c r="AA634" s="7" t="s">
        <x:v>58</x:v>
      </x:c>
      <x:c r="AB634" s="8" t="s">
        <x:v>58</x:v>
      </x:c>
      <x:c r="AC634" s="8" t="s">
        <x:v>58</x:v>
      </x:c>
      <x:c r="AD634" s="8" t="s">
        <x:v>58</x:v>
      </x:c>
      <x:c r="AE634" s="8" t="s">
        <x:v>58</x:v>
      </x:c>
      <x:c r="AF634" s="8" t="s">
        <x:v>58</x:v>
      </x:c>
      <x:c r="AG634" s="7" t="s">
        <x:v>58</x:v>
      </x:c>
    </x:row>
    <x:row r="635" ht="79.5" hidden="0" customHeight="1">
      <x:c r="A635" s="7" t="s">
        <x:v>3273</x:v>
      </x:c>
      <x:c r="B635" s="7" t="s">
        <x:v>390</x:v>
      </x:c>
      <x:c r="C635" s="7" t="s">
        <x:v>392</x:v>
      </x:c>
      <x:c r="D635" s="7" t="s">
        <x:v>2030</x:v>
      </x:c>
      <x:c r="E635" s="7" t="s">
        <x:v>3274</x:v>
      </x:c>
      <x:c r="F635" s="7" t="s">
        <x:v>2033</x:v>
      </x:c>
      <x:c r="G635" s="8" t="n">
        <x:v>4.9</x:v>
      </x:c>
      <x:c r="H635" s="8" t="n">
        <x:v>0.6</x:v>
      </x:c>
      <x:c r="I635" s="8" t="s">
        <x:v>58</x:v>
      </x:c>
      <x:c r="J635" s="7" t="s">
        <x:v>1919</x:v>
      </x:c>
      <x:c r="K635" s="8" t="n">
        <x:v>1</x:v>
      </x:c>
      <x:c r="L635" s="8" t="n">
        <x:f aca="0">IF(AND(ISNUMBER(G635),P635&lt;&gt;"Unresolved unit / layout"),G635*K635,"Not applicable")</x:f>
        <x:v>4.9</x:v>
      </x:c>
      <x:c r="M635" s="8" t="n">
        <x:f aca="0">IF(AND(ISNUMBER(H635),P635&lt;&gt;"Unresolved unit / layout"),H635*K635,"Not applicable")</x:f>
        <x:v>0.6</x:v>
      </x:c>
      <x:c r="N635" s="8" t="str">
        <x:f aca="0">IF(AND(ISNUMBER(I635),P635&lt;&gt;"Unresolved unit / layout"),I635*K635,"Not applicable")</x:f>
        <x:v>Not applicable</x:v>
      </x:c>
      <x:c r="O635" s="7" t="s">
        <x:v>2033</x:v>
      </x:c>
      <x:c r="P635" s="7" t="s">
        <x:v>1921</x:v>
      </x:c>
      <x:c r="Q635" s="7" t="s">
        <x:v>1930</x:v>
      </x:c>
      <x:c r="R635" s="7" t="s">
        <x:v>2003</x:v>
      </x:c>
      <x:c r="S635" s="7" t="s">
        <x:v>2077</x:v>
      </x:c>
      <x:c r="T635" s="7" t="s">
        <x:v>3095</x:v>
      </x:c>
      <x:c r="U635" s="7" t="s">
        <x:v>53</x:v>
      </x:c>
      <x:c r="V635" s="7" t="s">
        <x:v>2036</x:v>
      </x:c>
      <x:c r="W635" s="7" t="s">
        <x:v>53</x:v>
      </x:c>
      <x:c r="X635" s="7" t="s">
        <x:v>3239</x:v>
      </x:c>
      <x:c r="Y635" s="7" t="s">
        <x:v>1219</x:v>
      </x:c>
      <x:c r="Z635" s="7" t="s">
        <x:v>2225</x:v>
      </x:c>
      <x:c r="AA635" s="7" t="s">
        <x:v>58</x:v>
      </x:c>
      <x:c r="AB635" s="8" t="s">
        <x:v>58</x:v>
      </x:c>
      <x:c r="AC635" s="8" t="s">
        <x:v>58</x:v>
      </x:c>
      <x:c r="AD635" s="8" t="s">
        <x:v>58</x:v>
      </x:c>
      <x:c r="AE635" s="8" t="s">
        <x:v>58</x:v>
      </x:c>
      <x:c r="AF635" s="8" t="s">
        <x:v>58</x:v>
      </x:c>
      <x:c r="AG635" s="7" t="s">
        <x:v>58</x:v>
      </x:c>
    </x:row>
    <x:row r="636" ht="79.5" hidden="0" customHeight="1">
      <x:c r="A636" s="7" t="s">
        <x:v>3275</x:v>
      </x:c>
      <x:c r="B636" s="7" t="s">
        <x:v>404</x:v>
      </x:c>
      <x:c r="C636" s="7" t="s">
        <x:v>406</x:v>
      </x:c>
      <x:c r="D636" s="7" t="s">
        <x:v>1916</x:v>
      </x:c>
      <x:c r="E636" s="7" t="s">
        <x:v>3276</x:v>
      </x:c>
      <x:c r="F636" s="7" t="s">
        <x:v>2076</x:v>
      </x:c>
      <x:c r="G636" s="8" t="n">
        <x:v>0.99</x:v>
      </x:c>
      <x:c r="H636" s="8" t="s">
        <x:v>58</x:v>
      </x:c>
      <x:c r="I636" s="8" t="s">
        <x:v>58</x:v>
      </x:c>
      <x:c r="J636" s="7" t="s">
        <x:v>1919</x:v>
      </x:c>
      <x:c r="K636" s="8" t="n">
        <x:v>1000</x:v>
      </x:c>
      <x:c r="L636" s="8" t="n">
        <x:f aca="0">IF(AND(ISNUMBER(G636),P636&lt;&gt;"Unresolved unit / layout"),G636*K636,"Not applicable")</x:f>
        <x:v>990</x:v>
      </x:c>
      <x:c r="M636" s="8" t="str">
        <x:f aca="0">IF(AND(ISNUMBER(H636),P636&lt;&gt;"Unresolved unit / layout"),H636*K636,"Not applicable")</x:f>
        <x:v>Not applicable</x:v>
      </x:c>
      <x:c r="N636" s="8" t="str">
        <x:f aca="0">IF(AND(ISNUMBER(I636),P636&lt;&gt;"Unresolved unit / layout"),I636*K636,"Not applicable")</x:f>
        <x:v>Not applicable</x:v>
      </x:c>
      <x:c r="O636" s="7" t="s">
        <x:v>1920</x:v>
      </x:c>
      <x:c r="P636" s="7" t="s">
        <x:v>1921</x:v>
      </x:c>
      <x:c r="Q636" s="7" t="s">
        <x:v>1922</x:v>
      </x:c>
      <x:c r="R636" s="7" t="s">
        <x:v>58</x:v>
      </x:c>
      <x:c r="S636" s="7" t="s">
        <x:v>2077</x:v>
      </x:c>
      <x:c r="T636" s="7" t="s">
        <x:v>3095</x:v>
      </x:c>
      <x:c r="U636" s="7" t="s">
        <x:v>53</x:v>
      </x:c>
      <x:c r="V636" s="7" t="s">
        <x:v>1923</x:v>
      </x:c>
      <x:c r="W636" s="7" t="s">
        <x:v>58</x:v>
      </x:c>
      <x:c r="X636" s="7" t="s">
        <x:v>3277</x:v>
      </x:c>
      <x:c r="Y636" s="7" t="s">
        <x:v>1221</x:v>
      </x:c>
      <x:c r="Z636" s="7" t="s">
        <x:v>1968</x:v>
      </x:c>
      <x:c r="AA636" s="7" t="s">
        <x:v>58</x:v>
      </x:c>
      <x:c r="AB636" s="8" t="s">
        <x:v>58</x:v>
      </x:c>
      <x:c r="AC636" s="8" t="s">
        <x:v>58</x:v>
      </x:c>
      <x:c r="AD636" s="8" t="s">
        <x:v>58</x:v>
      </x:c>
      <x:c r="AE636" s="8" t="s">
        <x:v>58</x:v>
      </x:c>
      <x:c r="AF636" s="8" t="s">
        <x:v>58</x:v>
      </x:c>
      <x:c r="AG636" s="7" t="s">
        <x:v>58</x:v>
      </x:c>
    </x:row>
    <x:row r="637" ht="79.5" hidden="0" customHeight="1">
      <x:c r="A637" s="7" t="s">
        <x:v>3278</x:v>
      </x:c>
      <x:c r="B637" s="7" t="s">
        <x:v>404</x:v>
      </x:c>
      <x:c r="C637" s="7" t="s">
        <x:v>406</x:v>
      </x:c>
      <x:c r="D637" s="7" t="s">
        <x:v>1974</x:v>
      </x:c>
      <x:c r="E637" s="7" t="s">
        <x:v>3279</x:v>
      </x:c>
      <x:c r="F637" s="7" t="s">
        <x:v>1956</x:v>
      </x:c>
      <x:c r="G637" s="8" t="n">
        <x:v>204</x:v>
      </x:c>
      <x:c r="H637" s="8" t="s">
        <x:v>58</x:v>
      </x:c>
      <x:c r="I637" s="8" t="s">
        <x:v>58</x:v>
      </x:c>
      <x:c r="J637" s="7" t="s">
        <x:v>1919</x:v>
      </x:c>
      <x:c r="K637" s="8" t="n">
        <x:v>1</x:v>
      </x:c>
      <x:c r="L637" s="8" t="n">
        <x:f aca="0">IF(AND(ISNUMBER(G637),P637&lt;&gt;"Unresolved unit / layout"),G637*K637,"Not applicable")</x:f>
        <x:v>204</x:v>
      </x:c>
      <x:c r="M637" s="8" t="str">
        <x:f aca="0">IF(AND(ISNUMBER(H637),P637&lt;&gt;"Unresolved unit / layout"),H637*K637,"Not applicable")</x:f>
        <x:v>Not applicable</x:v>
      </x:c>
      <x:c r="N637" s="8" t="str">
        <x:f aca="0">IF(AND(ISNUMBER(I637),P637&lt;&gt;"Unresolved unit / layout"),I637*K637,"Not applicable")</x:f>
        <x:v>Not applicable</x:v>
      </x:c>
      <x:c r="O637" s="7" t="s">
        <x:v>1956</x:v>
      </x:c>
      <x:c r="P637" s="7" t="s">
        <x:v>1921</x:v>
      </x:c>
      <x:c r="Q637" s="7" t="s">
        <x:v>1930</x:v>
      </x:c>
      <x:c r="R637" s="7" t="s">
        <x:v>58</x:v>
      </x:c>
      <x:c r="S637" s="7" t="s">
        <x:v>2077</x:v>
      </x:c>
      <x:c r="T637" s="7" t="s">
        <x:v>3095</x:v>
      </x:c>
      <x:c r="U637" s="7" t="s">
        <x:v>53</x:v>
      </x:c>
      <x:c r="V637" s="7" t="s">
        <x:v>2082</x:v>
      </x:c>
      <x:c r="W637" s="7" t="s">
        <x:v>58</x:v>
      </x:c>
      <x:c r="X637" s="7" t="s">
        <x:v>3277</x:v>
      </x:c>
      <x:c r="Y637" s="7" t="s">
        <x:v>1221</x:v>
      </x:c>
      <x:c r="Z637" s="7" t="s">
        <x:v>2083</x:v>
      </x:c>
      <x:c r="AA637" s="7" t="s">
        <x:v>58</x:v>
      </x:c>
      <x:c r="AB637" s="8" t="s">
        <x:v>58</x:v>
      </x:c>
      <x:c r="AC637" s="8" t="s">
        <x:v>58</x:v>
      </x:c>
      <x:c r="AD637" s="8" t="s">
        <x:v>58</x:v>
      </x:c>
      <x:c r="AE637" s="8" t="s">
        <x:v>58</x:v>
      </x:c>
      <x:c r="AF637" s="8" t="s">
        <x:v>58</x:v>
      </x:c>
      <x:c r="AG637" s="7" t="s">
        <x:v>58</x:v>
      </x:c>
    </x:row>
    <x:row r="638" ht="79.5" hidden="0" customHeight="1">
      <x:c r="A638" s="7" t="s">
        <x:v>3280</x:v>
      </x:c>
      <x:c r="B638" s="7" t="s">
        <x:v>404</x:v>
      </x:c>
      <x:c r="C638" s="7" t="s">
        <x:v>406</x:v>
      </x:c>
      <x:c r="D638" s="7" t="s">
        <x:v>1954</x:v>
      </x:c>
      <x:c r="E638" s="7" t="s">
        <x:v>1995</x:v>
      </x:c>
      <x:c r="F638" s="7" t="s">
        <x:v>1956</x:v>
      </x:c>
      <x:c r="G638" s="8" t="s">
        <x:v>53</x:v>
      </x:c>
      <x:c r="H638" s="8" t="s">
        <x:v>58</x:v>
      </x:c>
      <x:c r="I638" s="8" t="s">
        <x:v>58</x:v>
      </x:c>
      <x:c r="J638" s="7" t="s">
        <x:v>58</x:v>
      </x:c>
      <x:c r="K638" s="8" t="n">
        <x:v>1</x:v>
      </x:c>
      <x:c r="L638" s="8" t="str">
        <x:f aca="0">IF(AND(ISNUMBER(G638),P638&lt;&gt;"Unresolved unit / layout"),G638*K638,"Not published")</x:f>
        <x:v>Not published</x:v>
      </x:c>
      <x:c r="M638" s="8" t="str">
        <x:f aca="0">IF(AND(ISNUMBER(H638),P638&lt;&gt;"Unresolved unit / layout"),H638*K638,"Not applicable")</x:f>
        <x:v>Not applicable</x:v>
      </x:c>
      <x:c r="N638" s="8" t="str">
        <x:f aca="0">IF(AND(ISNUMBER(I638),P638&lt;&gt;"Unresolved unit / layout"),I638*K638,"Not applicable")</x:f>
        <x:v>Not applicable</x:v>
      </x:c>
      <x:c r="O638" s="7" t="s">
        <x:v>1956</x:v>
      </x:c>
      <x:c r="P638" s="7" t="s">
        <x:v>53</x:v>
      </x:c>
      <x:c r="Q638" s="7" t="s">
        <x:v>1930</x:v>
      </x:c>
      <x:c r="R638" s="7" t="s">
        <x:v>58</x:v>
      </x:c>
      <x:c r="S638" s="7" t="s">
        <x:v>2077</x:v>
      </x:c>
      <x:c r="T638" s="7" t="s">
        <x:v>3095</x:v>
      </x:c>
      <x:c r="U638" s="7" t="s">
        <x:v>53</x:v>
      </x:c>
      <x:c r="V638" s="7" t="s">
        <x:v>2082</x:v>
      </x:c>
      <x:c r="W638" s="7" t="s">
        <x:v>58</x:v>
      </x:c>
      <x:c r="X638" s="7" t="s">
        <x:v>3277</x:v>
      </x:c>
      <x:c r="Y638" s="7" t="s">
        <x:v>1221</x:v>
      </x:c>
      <x:c r="Z638" s="7" t="s">
        <x:v>2086</x:v>
      </x:c>
      <x:c r="AA638" s="7" t="s">
        <x:v>58</x:v>
      </x:c>
      <x:c r="AB638" s="8" t="s">
        <x:v>58</x:v>
      </x:c>
      <x:c r="AC638" s="8" t="s">
        <x:v>58</x:v>
      </x:c>
      <x:c r="AD638" s="8" t="s">
        <x:v>58</x:v>
      </x:c>
      <x:c r="AE638" s="8" t="s">
        <x:v>58</x:v>
      </x:c>
      <x:c r="AF638" s="8" t="s">
        <x:v>58</x:v>
      </x:c>
      <x:c r="AG638" s="7" t="s">
        <x:v>58</x:v>
      </x:c>
    </x:row>
    <x:row r="639" ht="79.5" hidden="0" customHeight="1">
      <x:c r="A639" s="7" t="s">
        <x:v>3281</x:v>
      </x:c>
      <x:c r="B639" s="7" t="s">
        <x:v>404</x:v>
      </x:c>
      <x:c r="C639" s="7" t="s">
        <x:v>406</x:v>
      </x:c>
      <x:c r="D639" s="7" t="s">
        <x:v>1978</x:v>
      </x:c>
      <x:c r="E639" s="7" t="s">
        <x:v>1995</x:v>
      </x:c>
      <x:c r="F639" s="7" t="s">
        <x:v>1956</x:v>
      </x:c>
      <x:c r="G639" s="8" t="s">
        <x:v>53</x:v>
      </x:c>
      <x:c r="H639" s="8" t="s">
        <x:v>58</x:v>
      </x:c>
      <x:c r="I639" s="8" t="s">
        <x:v>58</x:v>
      </x:c>
      <x:c r="J639" s="7" t="s">
        <x:v>58</x:v>
      </x:c>
      <x:c r="K639" s="8" t="n">
        <x:v>1</x:v>
      </x:c>
      <x:c r="L639" s="8" t="str">
        <x:f aca="0">IF(AND(ISNUMBER(G639),P639&lt;&gt;"Unresolved unit / layout"),G639*K639,"Not published")</x:f>
        <x:v>Not published</x:v>
      </x:c>
      <x:c r="M639" s="8" t="str">
        <x:f aca="0">IF(AND(ISNUMBER(H639),P639&lt;&gt;"Unresolved unit / layout"),H639*K639,"Not applicable")</x:f>
        <x:v>Not applicable</x:v>
      </x:c>
      <x:c r="N639" s="8" t="str">
        <x:f aca="0">IF(AND(ISNUMBER(I639),P639&lt;&gt;"Unresolved unit / layout"),I639*K639,"Not applicable")</x:f>
        <x:v>Not applicable</x:v>
      </x:c>
      <x:c r="O639" s="7" t="s">
        <x:v>1956</x:v>
      </x:c>
      <x:c r="P639" s="7" t="s">
        <x:v>53</x:v>
      </x:c>
      <x:c r="Q639" s="7" t="s">
        <x:v>1930</x:v>
      </x:c>
      <x:c r="R639" s="7" t="s">
        <x:v>58</x:v>
      </x:c>
      <x:c r="S639" s="7" t="s">
        <x:v>2077</x:v>
      </x:c>
      <x:c r="T639" s="7" t="s">
        <x:v>3095</x:v>
      </x:c>
      <x:c r="U639" s="7" t="s">
        <x:v>53</x:v>
      </x:c>
      <x:c r="V639" s="7" t="s">
        <x:v>2082</x:v>
      </x:c>
      <x:c r="W639" s="7" t="s">
        <x:v>58</x:v>
      </x:c>
      <x:c r="X639" s="7" t="s">
        <x:v>3277</x:v>
      </x:c>
      <x:c r="Y639" s="7" t="s">
        <x:v>1221</x:v>
      </x:c>
      <x:c r="Z639" s="7" t="s">
        <x:v>2188</x:v>
      </x:c>
      <x:c r="AA639" s="7" t="s">
        <x:v>58</x:v>
      </x:c>
      <x:c r="AB639" s="8" t="s">
        <x:v>58</x:v>
      </x:c>
      <x:c r="AC639" s="8" t="s">
        <x:v>58</x:v>
      </x:c>
      <x:c r="AD639" s="8" t="s">
        <x:v>58</x:v>
      </x:c>
      <x:c r="AE639" s="8" t="s">
        <x:v>58</x:v>
      </x:c>
      <x:c r="AF639" s="8" t="s">
        <x:v>58</x:v>
      </x:c>
      <x:c r="AG639" s="7" t="s">
        <x:v>58</x:v>
      </x:c>
    </x:row>
    <x:row r="640" ht="79.5" hidden="0" customHeight="1">
      <x:c r="A640" s="7" t="s">
        <x:v>3282</x:v>
      </x:c>
      <x:c r="B640" s="7" t="s">
        <x:v>404</x:v>
      </x:c>
      <x:c r="C640" s="7" t="s">
        <x:v>406</x:v>
      </x:c>
      <x:c r="D640" s="7" t="s">
        <x:v>1982</x:v>
      </x:c>
      <x:c r="E640" s="7" t="s">
        <x:v>3283</x:v>
      </x:c>
      <x:c r="F640" s="7" t="s">
        <x:v>1956</x:v>
      </x:c>
      <x:c r="G640" s="8" t="n">
        <x:v>80</x:v>
      </x:c>
      <x:c r="H640" s="8" t="s">
        <x:v>58</x:v>
      </x:c>
      <x:c r="I640" s="8" t="s">
        <x:v>58</x:v>
      </x:c>
      <x:c r="J640" s="7" t="s">
        <x:v>1919</x:v>
      </x:c>
      <x:c r="K640" s="8" t="n">
        <x:v>1</x:v>
      </x:c>
      <x:c r="L640" s="8" t="n">
        <x:f aca="0">IF(AND(ISNUMBER(G640),P640&lt;&gt;"Unresolved unit / layout"),G640*K640,"Not applicable")</x:f>
        <x:v>80</x:v>
      </x:c>
      <x:c r="M640" s="8" t="str">
        <x:f aca="0">IF(AND(ISNUMBER(H640),P640&lt;&gt;"Unresolved unit / layout"),H640*K640,"Not applicable")</x:f>
        <x:v>Not applicable</x:v>
      </x:c>
      <x:c r="N640" s="8" t="str">
        <x:f aca="0">IF(AND(ISNUMBER(I640),P640&lt;&gt;"Unresolved unit / layout"),I640*K640,"Not applicable")</x:f>
        <x:v>Not applicable</x:v>
      </x:c>
      <x:c r="O640" s="7" t="s">
        <x:v>1956</x:v>
      </x:c>
      <x:c r="P640" s="7" t="s">
        <x:v>1921</x:v>
      </x:c>
      <x:c r="Q640" s="7" t="s">
        <x:v>1930</x:v>
      </x:c>
      <x:c r="R640" s="7" t="s">
        <x:v>58</x:v>
      </x:c>
      <x:c r="S640" s="7" t="s">
        <x:v>2077</x:v>
      </x:c>
      <x:c r="T640" s="7" t="s">
        <x:v>3095</x:v>
      </x:c>
      <x:c r="U640" s="7" t="s">
        <x:v>53</x:v>
      </x:c>
      <x:c r="V640" s="7" t="s">
        <x:v>1984</x:v>
      </x:c>
      <x:c r="W640" s="7" t="s">
        <x:v>58</x:v>
      </x:c>
      <x:c r="X640" s="7" t="s">
        <x:v>3277</x:v>
      </x:c>
      <x:c r="Y640" s="7" t="s">
        <x:v>1221</x:v>
      </x:c>
      <x:c r="Z640" s="7" t="s">
        <x:v>2092</x:v>
      </x:c>
      <x:c r="AA640" s="7" t="s">
        <x:v>58</x:v>
      </x:c>
      <x:c r="AB640" s="8" t="s">
        <x:v>58</x:v>
      </x:c>
      <x:c r="AC640" s="8" t="s">
        <x:v>58</x:v>
      </x:c>
      <x:c r="AD640" s="8" t="s">
        <x:v>58</x:v>
      </x:c>
      <x:c r="AE640" s="8" t="s">
        <x:v>58</x:v>
      </x:c>
      <x:c r="AF640" s="8" t="s">
        <x:v>58</x:v>
      </x:c>
      <x:c r="AG640" s="7" t="s">
        <x:v>58</x:v>
      </x:c>
    </x:row>
    <x:row r="641" ht="79.5" hidden="0" customHeight="1">
      <x:c r="A641" s="7" t="s">
        <x:v>3284</x:v>
      </x:c>
      <x:c r="B641" s="7" t="s">
        <x:v>404</x:v>
      </x:c>
      <x:c r="C641" s="7" t="s">
        <x:v>406</x:v>
      </x:c>
      <x:c r="D641" s="7" t="s">
        <x:v>1959</x:v>
      </x:c>
      <x:c r="E641" s="7" t="s">
        <x:v>3285</x:v>
      </x:c>
      <x:c r="F641" s="7" t="s">
        <x:v>1956</x:v>
      </x:c>
      <x:c r="G641" s="8" t="n">
        <x:v>78</x:v>
      </x:c>
      <x:c r="H641" s="8" t="s">
        <x:v>58</x:v>
      </x:c>
      <x:c r="I641" s="8" t="s">
        <x:v>58</x:v>
      </x:c>
      <x:c r="J641" s="7" t="s">
        <x:v>1919</x:v>
      </x:c>
      <x:c r="K641" s="8" t="n">
        <x:v>1</x:v>
      </x:c>
      <x:c r="L641" s="8" t="n">
        <x:f aca="0">IF(AND(ISNUMBER(G641),P641&lt;&gt;"Unresolved unit / layout"),G641*K641,"Not applicable")</x:f>
        <x:v>78</x:v>
      </x:c>
      <x:c r="M641" s="8" t="str">
        <x:f aca="0">IF(AND(ISNUMBER(H641),P641&lt;&gt;"Unresolved unit / layout"),H641*K641,"Not applicable")</x:f>
        <x:v>Not applicable</x:v>
      </x:c>
      <x:c r="N641" s="8" t="str">
        <x:f aca="0">IF(AND(ISNUMBER(I641),P641&lt;&gt;"Unresolved unit / layout"),I641*K641,"Not applicable")</x:f>
        <x:v>Not applicable</x:v>
      </x:c>
      <x:c r="O641" s="7" t="s">
        <x:v>1956</x:v>
      </x:c>
      <x:c r="P641" s="7" t="s">
        <x:v>1921</x:v>
      </x:c>
      <x:c r="Q641" s="7" t="s">
        <x:v>1930</x:v>
      </x:c>
      <x:c r="R641" s="7" t="s">
        <x:v>58</x:v>
      </x:c>
      <x:c r="S641" s="7" t="s">
        <x:v>2077</x:v>
      </x:c>
      <x:c r="T641" s="7" t="s">
        <x:v>3095</x:v>
      </x:c>
      <x:c r="U641" s="7" t="s">
        <x:v>53</x:v>
      </x:c>
      <x:c r="V641" s="7" t="s">
        <x:v>2095</x:v>
      </x:c>
      <x:c r="W641" s="7" t="s">
        <x:v>58</x:v>
      </x:c>
      <x:c r="X641" s="7" t="s">
        <x:v>3277</x:v>
      </x:c>
      <x:c r="Y641" s="7" t="s">
        <x:v>1221</x:v>
      </x:c>
      <x:c r="Z641" s="7" t="s">
        <x:v>2096</x:v>
      </x:c>
      <x:c r="AA641" s="7" t="s">
        <x:v>58</x:v>
      </x:c>
      <x:c r="AB641" s="8" t="s">
        <x:v>58</x:v>
      </x:c>
      <x:c r="AC641" s="8" t="s">
        <x:v>58</x:v>
      </x:c>
      <x:c r="AD641" s="8" t="s">
        <x:v>58</x:v>
      </x:c>
      <x:c r="AE641" s="8" t="s">
        <x:v>58</x:v>
      </x:c>
      <x:c r="AF641" s="8" t="s">
        <x:v>58</x:v>
      </x:c>
      <x:c r="AG641" s="7" t="s">
        <x:v>58</x:v>
      </x:c>
    </x:row>
    <x:row r="642" ht="79.5" hidden="0" customHeight="1">
      <x:c r="A642" s="7" t="s">
        <x:v>411</x:v>
      </x:c>
      <x:c r="B642" s="7" t="s">
        <x:v>404</x:v>
      </x:c>
      <x:c r="C642" s="7" t="s">
        <x:v>406</x:v>
      </x:c>
      <x:c r="D642" s="7" t="s">
        <x:v>1959</x:v>
      </x:c>
      <x:c r="E642" s="7" t="s">
        <x:v>2971</x:v>
      </x:c>
      <x:c r="F642" s="7" t="s">
        <x:v>1956</x:v>
      </x:c>
      <x:c r="G642" s="8" t="n">
        <x:v>85</x:v>
      </x:c>
      <x:c r="H642" s="8" t="s">
        <x:v>58</x:v>
      </x:c>
      <x:c r="I642" s="8" t="s">
        <x:v>58</x:v>
      </x:c>
      <x:c r="J642" s="7" t="s">
        <x:v>1919</x:v>
      </x:c>
      <x:c r="K642" s="8" t="n">
        <x:v>1</x:v>
      </x:c>
      <x:c r="L642" s="8" t="n">
        <x:f aca="0">IF(AND(ISNUMBER(G642),P642&lt;&gt;"Unresolved unit / layout"),G642*K642,"Not applicable")</x:f>
        <x:v>85</x:v>
      </x:c>
      <x:c r="M642" s="8" t="str">
        <x:f aca="0">IF(AND(ISNUMBER(H642),P642&lt;&gt;"Unresolved unit / layout"),H642*K642,"Not applicable")</x:f>
        <x:v>Not applicable</x:v>
      </x:c>
      <x:c r="N642" s="8" t="str">
        <x:f aca="0">IF(AND(ISNUMBER(I642),P642&lt;&gt;"Unresolved unit / layout"),I642*K642,"Not applicable")</x:f>
        <x:v>Not applicable</x:v>
      </x:c>
      <x:c r="O642" s="7" t="s">
        <x:v>1956</x:v>
      </x:c>
      <x:c r="P642" s="7" t="s">
        <x:v>1921</x:v>
      </x:c>
      <x:c r="Q642" s="7" t="s">
        <x:v>1930</x:v>
      </x:c>
      <x:c r="R642" s="7" t="s">
        <x:v>58</x:v>
      </x:c>
      <x:c r="S642" s="7" t="s">
        <x:v>2077</x:v>
      </x:c>
      <x:c r="T642" s="7" t="s">
        <x:v>3095</x:v>
      </x:c>
      <x:c r="U642" s="7" t="s">
        <x:v>53</x:v>
      </x:c>
      <x:c r="V642" s="7" t="s">
        <x:v>2097</x:v>
      </x:c>
      <x:c r="W642" s="7" t="s">
        <x:v>58</x:v>
      </x:c>
      <x:c r="X642" s="7" t="s">
        <x:v>3277</x:v>
      </x:c>
      <x:c r="Y642" s="7" t="s">
        <x:v>1221</x:v>
      </x:c>
      <x:c r="Z642" s="7" t="s">
        <x:v>2096</x:v>
      </x:c>
      <x:c r="AA642" s="7" t="s">
        <x:v>58</x:v>
      </x:c>
      <x:c r="AB642" s="8" t="s">
        <x:v>58</x:v>
      </x:c>
      <x:c r="AC642" s="8" t="s">
        <x:v>58</x:v>
      </x:c>
      <x:c r="AD642" s="8" t="s">
        <x:v>58</x:v>
      </x:c>
      <x:c r="AE642" s="8" t="s">
        <x:v>58</x:v>
      </x:c>
      <x:c r="AF642" s="8" t="s">
        <x:v>58</x:v>
      </x:c>
      <x:c r="AG642" s="7" t="s">
        <x:v>58</x:v>
      </x:c>
    </x:row>
    <x:row r="643" ht="79.5" hidden="0" customHeight="1">
      <x:c r="A643" s="7" t="s">
        <x:v>3286</x:v>
      </x:c>
      <x:c r="B643" s="7" t="s">
        <x:v>404</x:v>
      </x:c>
      <x:c r="C643" s="7" t="s">
        <x:v>406</x:v>
      </x:c>
      <x:c r="D643" s="7" t="s">
        <x:v>2099</x:v>
      </x:c>
      <x:c r="E643" s="7" t="s">
        <x:v>3287</x:v>
      </x:c>
      <x:c r="F643" s="7" t="s">
        <x:v>1942</x:v>
      </x:c>
      <x:c r="G643" s="8" t="n">
        <x:v>0.8</x:v>
      </x:c>
      <x:c r="H643" s="8" t="s">
        <x:v>58</x:v>
      </x:c>
      <x:c r="I643" s="8" t="s">
        <x:v>58</x:v>
      </x:c>
      <x:c r="J643" s="7" t="s">
        <x:v>1919</x:v>
      </x:c>
      <x:c r="K643" s="8" t="n">
        <x:v>1</x:v>
      </x:c>
      <x:c r="L643" s="8" t="n">
        <x:f aca="0">IF(AND(ISNUMBER(G643),P643&lt;&gt;"Unresolved unit / layout"),G643*K643,"Not applicable")</x:f>
        <x:v>0.8</x:v>
      </x:c>
      <x:c r="M643" s="8" t="str">
        <x:f aca="0">IF(AND(ISNUMBER(H643),P643&lt;&gt;"Unresolved unit / layout"),H643*K643,"Not applicable")</x:f>
        <x:v>Not applicable</x:v>
      </x:c>
      <x:c r="N643" s="8" t="str">
        <x:f aca="0">IF(AND(ISNUMBER(I643),P643&lt;&gt;"Unresolved unit / layout"),I643*K643,"Not applicable")</x:f>
        <x:v>Not applicable</x:v>
      </x:c>
      <x:c r="O643" s="7" t="s">
        <x:v>1942</x:v>
      </x:c>
      <x:c r="P643" s="7" t="s">
        <x:v>1921</x:v>
      </x:c>
      <x:c r="Q643" s="7" t="s">
        <x:v>1930</x:v>
      </x:c>
      <x:c r="R643" s="7" t="s">
        <x:v>58</x:v>
      </x:c>
      <x:c r="S643" s="7" t="s">
        <x:v>2077</x:v>
      </x:c>
      <x:c r="T643" s="7" t="s">
        <x:v>3095</x:v>
      </x:c>
      <x:c r="U643" s="7" t="s">
        <x:v>53</x:v>
      </x:c>
      <x:c r="V643" s="7" t="s">
        <x:v>2192</x:v>
      </x:c>
      <x:c r="W643" s="7" t="s">
        <x:v>58</x:v>
      </x:c>
      <x:c r="X643" s="7" t="s">
        <x:v>3277</x:v>
      </x:c>
      <x:c r="Y643" s="7" t="s">
        <x:v>1221</x:v>
      </x:c>
      <x:c r="Z643" s="7" t="s">
        <x:v>2193</x:v>
      </x:c>
      <x:c r="AA643" s="7" t="s">
        <x:v>58</x:v>
      </x:c>
      <x:c r="AB643" s="8" t="s">
        <x:v>58</x:v>
      </x:c>
      <x:c r="AC643" s="8" t="s">
        <x:v>58</x:v>
      </x:c>
      <x:c r="AD643" s="8" t="s">
        <x:v>58</x:v>
      </x:c>
      <x:c r="AE643" s="8" t="s">
        <x:v>58</x:v>
      </x:c>
      <x:c r="AF643" s="8" t="s">
        <x:v>58</x:v>
      </x:c>
      <x:c r="AG643" s="7" t="s">
        <x:v>58</x:v>
      </x:c>
    </x:row>
    <x:row r="644" ht="79.5" hidden="0" customHeight="1">
      <x:c r="A644" s="7" t="s">
        <x:v>3288</x:v>
      </x:c>
      <x:c r="B644" s="7" t="s">
        <x:v>404</x:v>
      </x:c>
      <x:c r="C644" s="7" t="s">
        <x:v>406</x:v>
      </x:c>
      <x:c r="D644" s="7" t="s">
        <x:v>1935</x:v>
      </x:c>
      <x:c r="E644" s="7" t="s">
        <x:v>3289</x:v>
      </x:c>
      <x:c r="F644" s="7" t="s">
        <x:v>1929</x:v>
      </x:c>
      <x:c r="G644" s="8" t="n">
        <x:v>2010</x:v>
      </x:c>
      <x:c r="H644" s="8" t="n">
        <x:v>260</x:v>
      </x:c>
      <x:c r="I644" s="8" t="s">
        <x:v>58</x:v>
      </x:c>
      <x:c r="J644" s="7" t="s">
        <x:v>1919</x:v>
      </x:c>
      <x:c r="K644" s="8" t="n">
        <x:v>0.001</x:v>
      </x:c>
      <x:c r="L644" s="8" t="n">
        <x:f aca="0">IF(AND(ISNUMBER(G644),P644&lt;&gt;"Unresolved unit / layout"),G644*K644,"Not applicable")</x:f>
        <x:v>2.0100000000000002</x:v>
      </x:c>
      <x:c r="M644" s="8" t="n">
        <x:f aca="0">IF(AND(ISNUMBER(H644),P644&lt;&gt;"Unresolved unit / layout"),H644*K644,"Not applicable")</x:f>
        <x:v>0.26</x:v>
      </x:c>
      <x:c r="N644" s="8" t="str">
        <x:f aca="0">IF(AND(ISNUMBER(I644),P644&lt;&gt;"Unresolved unit / layout"),I644*K644,"Not applicable")</x:f>
        <x:v>Not applicable</x:v>
      </x:c>
      <x:c r="O644" s="7" t="s">
        <x:v>1937</x:v>
      </x:c>
      <x:c r="P644" s="7" t="s">
        <x:v>1921</x:v>
      </x:c>
      <x:c r="Q644" s="7" t="s">
        <x:v>1930</x:v>
      </x:c>
      <x:c r="R644" s="7" t="s">
        <x:v>1931</x:v>
      </x:c>
      <x:c r="S644" s="7" t="s">
        <x:v>2077</x:v>
      </x:c>
      <x:c r="T644" s="7" t="s">
        <x:v>3095</x:v>
      </x:c>
      <x:c r="U644" s="7" t="s">
        <x:v>53</x:v>
      </x:c>
      <x:c r="V644" s="7" t="s">
        <x:v>1999</x:v>
      </x:c>
      <x:c r="W644" s="7" t="s">
        <x:v>58</x:v>
      </x:c>
      <x:c r="X644" s="7" t="s">
        <x:v>3277</x:v>
      </x:c>
      <x:c r="Y644" s="7" t="s">
        <x:v>1221</x:v>
      </x:c>
      <x:c r="Z644" s="7" t="s">
        <x:v>2105</x:v>
      </x:c>
      <x:c r="AA644" s="7" t="s">
        <x:v>58</x:v>
      </x:c>
      <x:c r="AB644" s="8" t="s">
        <x:v>58</x:v>
      </x:c>
      <x:c r="AC644" s="8" t="s">
        <x:v>58</x:v>
      </x:c>
      <x:c r="AD644" s="8" t="s">
        <x:v>58</x:v>
      </x:c>
      <x:c r="AE644" s="8" t="s">
        <x:v>58</x:v>
      </x:c>
      <x:c r="AF644" s="8" t="s">
        <x:v>58</x:v>
      </x:c>
      <x:c r="AG644" s="7" t="s">
        <x:v>58</x:v>
      </x:c>
    </x:row>
    <x:row r="645" ht="79.5" hidden="0" customHeight="1">
      <x:c r="A645" s="7" t="s">
        <x:v>3290</x:v>
      </x:c>
      <x:c r="B645" s="7" t="s">
        <x:v>404</x:v>
      </x:c>
      <x:c r="C645" s="7" t="s">
        <x:v>406</x:v>
      </x:c>
      <x:c r="D645" s="7" t="s">
        <x:v>1935</x:v>
      </x:c>
      <x:c r="E645" s="7" t="s">
        <x:v>3291</x:v>
      </x:c>
      <x:c r="F645" s="7" t="s">
        <x:v>3111</x:v>
      </x:c>
      <x:c r="G645" s="8" t="n">
        <x:v>1180</x:v>
      </x:c>
      <x:c r="H645" s="8" t="n">
        <x:v>210</x:v>
      </x:c>
      <x:c r="I645" s="8" t="s">
        <x:v>58</x:v>
      </x:c>
      <x:c r="J645" s="7" t="s">
        <x:v>1919</x:v>
      </x:c>
      <x:c r="K645" s="8" t="n">
        <x:v>0.001</x:v>
      </x:c>
      <x:c r="L645" s="8" t="n">
        <x:f aca="0">IF(AND(ISNUMBER(G645),P645&lt;&gt;"Unresolved unit / layout"),G645*K645,"Not applicable")</x:f>
        <x:v>1.18</x:v>
      </x:c>
      <x:c r="M645" s="8" t="n">
        <x:f aca="0">IF(AND(ISNUMBER(H645),P645&lt;&gt;"Unresolved unit / layout"),H645*K645,"Not applicable")</x:f>
        <x:v>0.21</x:v>
      </x:c>
      <x:c r="N645" s="8" t="str">
        <x:f aca="0">IF(AND(ISNUMBER(I645),P645&lt;&gt;"Unresolved unit / layout"),I645*K645,"Not applicable")</x:f>
        <x:v>Not applicable</x:v>
      </x:c>
      <x:c r="O645" s="7" t="s">
        <x:v>1937</x:v>
      </x:c>
      <x:c r="P645" s="7" t="s">
        <x:v>1921</x:v>
      </x:c>
      <x:c r="Q645" s="7" t="s">
        <x:v>1930</x:v>
      </x:c>
      <x:c r="R645" s="7" t="s">
        <x:v>2003</x:v>
      </x:c>
      <x:c r="S645" s="7" t="s">
        <x:v>2077</x:v>
      </x:c>
      <x:c r="T645" s="7" t="s">
        <x:v>3095</x:v>
      </x:c>
      <x:c r="U645" s="7" t="s">
        <x:v>53</x:v>
      </x:c>
      <x:c r="V645" s="7" t="s">
        <x:v>1999</x:v>
      </x:c>
      <x:c r="W645" s="7" t="s">
        <x:v>58</x:v>
      </x:c>
      <x:c r="X645" s="7" t="s">
        <x:v>3277</x:v>
      </x:c>
      <x:c r="Y645" s="7" t="s">
        <x:v>1221</x:v>
      </x:c>
      <x:c r="Z645" s="7" t="s">
        <x:v>2108</x:v>
      </x:c>
      <x:c r="AA645" s="7" t="s">
        <x:v>58</x:v>
      </x:c>
      <x:c r="AB645" s="8" t="s">
        <x:v>58</x:v>
      </x:c>
      <x:c r="AC645" s="8" t="s">
        <x:v>58</x:v>
      </x:c>
      <x:c r="AD645" s="8" t="s">
        <x:v>58</x:v>
      </x:c>
      <x:c r="AE645" s="8" t="s">
        <x:v>58</x:v>
      </x:c>
      <x:c r="AF645" s="8" t="s">
        <x:v>58</x:v>
      </x:c>
      <x:c r="AG645" s="7" t="s">
        <x:v>58</x:v>
      </x:c>
    </x:row>
    <x:row r="646" ht="79.5" hidden="0" customHeight="1">
      <x:c r="A646" s="7" t="s">
        <x:v>3292</x:v>
      </x:c>
      <x:c r="B646" s="7" t="s">
        <x:v>404</x:v>
      </x:c>
      <x:c r="C646" s="7" t="s">
        <x:v>406</x:v>
      </x:c>
      <x:c r="D646" s="7" t="s">
        <x:v>2006</x:v>
      </x:c>
      <x:c r="E646" s="7" t="s">
        <x:v>3293</x:v>
      </x:c>
      <x:c r="F646" s="7" t="s">
        <x:v>1929</x:v>
      </x:c>
      <x:c r="G646" s="8" t="n">
        <x:v>32</x:v>
      </x:c>
      <x:c r="H646" s="8" t="n">
        <x:v>4</x:v>
      </x:c>
      <x:c r="I646" s="8" t="s">
        <x:v>58</x:v>
      </x:c>
      <x:c r="J646" s="7" t="s">
        <x:v>1919</x:v>
      </x:c>
      <x:c r="K646" s="8" t="n">
        <x:v>1</x:v>
      </x:c>
      <x:c r="L646" s="8" t="n">
        <x:f aca="0">IF(AND(ISNUMBER(G646),P646&lt;&gt;"Unresolved unit / layout"),G646*K646,"Not applicable")</x:f>
        <x:v>32</x:v>
      </x:c>
      <x:c r="M646" s="8" t="n">
        <x:f aca="0">IF(AND(ISNUMBER(H646),P646&lt;&gt;"Unresolved unit / layout"),H646*K646,"Not applicable")</x:f>
        <x:v>4</x:v>
      </x:c>
      <x:c r="N646" s="8" t="str">
        <x:f aca="0">IF(AND(ISNUMBER(I646),P646&lt;&gt;"Unresolved unit / layout"),I646*K646,"Not applicable")</x:f>
        <x:v>Not applicable</x:v>
      </x:c>
      <x:c r="O646" s="7" t="s">
        <x:v>1929</x:v>
      </x:c>
      <x:c r="P646" s="7" t="s">
        <x:v>1921</x:v>
      </x:c>
      <x:c r="Q646" s="7" t="s">
        <x:v>1930</x:v>
      </x:c>
      <x:c r="R646" s="7" t="s">
        <x:v>1931</x:v>
      </x:c>
      <x:c r="S646" s="7" t="s">
        <x:v>2077</x:v>
      </x:c>
      <x:c r="T646" s="7" t="s">
        <x:v>3095</x:v>
      </x:c>
      <x:c r="U646" s="7" t="s">
        <x:v>53</x:v>
      </x:c>
      <x:c r="V646" s="7" t="s">
        <x:v>1999</x:v>
      </x:c>
      <x:c r="W646" s="7" t="s">
        <x:v>58</x:v>
      </x:c>
      <x:c r="X646" s="7" t="s">
        <x:v>3277</x:v>
      </x:c>
      <x:c r="Y646" s="7" t="s">
        <x:v>1221</x:v>
      </x:c>
      <x:c r="Z646" s="7" t="s">
        <x:v>2111</x:v>
      </x:c>
      <x:c r="AA646" s="7" t="s">
        <x:v>58</x:v>
      </x:c>
      <x:c r="AB646" s="8" t="s">
        <x:v>58</x:v>
      </x:c>
      <x:c r="AC646" s="8" t="s">
        <x:v>58</x:v>
      </x:c>
      <x:c r="AD646" s="8" t="s">
        <x:v>58</x:v>
      </x:c>
      <x:c r="AE646" s="8" t="s">
        <x:v>58</x:v>
      </x:c>
      <x:c r="AF646" s="8" t="s">
        <x:v>58</x:v>
      </x:c>
      <x:c r="AG646" s="7" t="s">
        <x:v>58</x:v>
      </x:c>
    </x:row>
    <x:row r="647" ht="79.5" hidden="0" customHeight="1">
      <x:c r="A647" s="7" t="s">
        <x:v>3294</x:v>
      </x:c>
      <x:c r="B647" s="7" t="s">
        <x:v>404</x:v>
      </x:c>
      <x:c r="C647" s="7" t="s">
        <x:v>406</x:v>
      </x:c>
      <x:c r="D647" s="7" t="s">
        <x:v>2006</x:v>
      </x:c>
      <x:c r="E647" s="7" t="s">
        <x:v>2533</x:v>
      </x:c>
      <x:c r="F647" s="7" t="s">
        <x:v>1929</x:v>
      </x:c>
      <x:c r="G647" s="8" t="n">
        <x:v>21</x:v>
      </x:c>
      <x:c r="H647" s="8" t="n">
        <x:v>4</x:v>
      </x:c>
      <x:c r="I647" s="8" t="s">
        <x:v>58</x:v>
      </x:c>
      <x:c r="J647" s="7" t="s">
        <x:v>1919</x:v>
      </x:c>
      <x:c r="K647" s="8" t="n">
        <x:v>1</x:v>
      </x:c>
      <x:c r="L647" s="8" t="n">
        <x:f aca="0">IF(AND(ISNUMBER(G647),P647&lt;&gt;"Unresolved unit / layout"),G647*K647,"Not applicable")</x:f>
        <x:v>21</x:v>
      </x:c>
      <x:c r="M647" s="8" t="n">
        <x:f aca="0">IF(AND(ISNUMBER(H647),P647&lt;&gt;"Unresolved unit / layout"),H647*K647,"Not applicable")</x:f>
        <x:v>4</x:v>
      </x:c>
      <x:c r="N647" s="8" t="str">
        <x:f aca="0">IF(AND(ISNUMBER(I647),P647&lt;&gt;"Unresolved unit / layout"),I647*K647,"Not applicable")</x:f>
        <x:v>Not applicable</x:v>
      </x:c>
      <x:c r="O647" s="7" t="s">
        <x:v>1929</x:v>
      </x:c>
      <x:c r="P647" s="7" t="s">
        <x:v>1921</x:v>
      </x:c>
      <x:c r="Q647" s="7" t="s">
        <x:v>1930</x:v>
      </x:c>
      <x:c r="R647" s="7" t="s">
        <x:v>2003</x:v>
      </x:c>
      <x:c r="S647" s="7" t="s">
        <x:v>2077</x:v>
      </x:c>
      <x:c r="T647" s="7" t="s">
        <x:v>3095</x:v>
      </x:c>
      <x:c r="U647" s="7" t="s">
        <x:v>53</x:v>
      </x:c>
      <x:c r="V647" s="7" t="s">
        <x:v>1999</x:v>
      </x:c>
      <x:c r="W647" s="7" t="s">
        <x:v>58</x:v>
      </x:c>
      <x:c r="X647" s="7" t="s">
        <x:v>3277</x:v>
      </x:c>
      <x:c r="Y647" s="7" t="s">
        <x:v>1221</x:v>
      </x:c>
      <x:c r="Z647" s="7" t="s">
        <x:v>2114</x:v>
      </x:c>
      <x:c r="AA647" s="7" t="s">
        <x:v>58</x:v>
      </x:c>
      <x:c r="AB647" s="8" t="s">
        <x:v>58</x:v>
      </x:c>
      <x:c r="AC647" s="8" t="s">
        <x:v>58</x:v>
      </x:c>
      <x:c r="AD647" s="8" t="s">
        <x:v>58</x:v>
      </x:c>
      <x:c r="AE647" s="8" t="s">
        <x:v>58</x:v>
      </x:c>
      <x:c r="AF647" s="8" t="s">
        <x:v>58</x:v>
      </x:c>
      <x:c r="AG647" s="7" t="s">
        <x:v>58</x:v>
      </x:c>
    </x:row>
    <x:row r="648" ht="79.5" hidden="0" customHeight="1">
      <x:c r="A648" s="7" t="s">
        <x:v>3295</x:v>
      </x:c>
      <x:c r="B648" s="7" t="s">
        <x:v>404</x:v>
      </x:c>
      <x:c r="C648" s="7" t="s">
        <x:v>406</x:v>
      </x:c>
      <x:c r="D648" s="7" t="s">
        <x:v>1940</x:v>
      </x:c>
      <x:c r="E648" s="7" t="s">
        <x:v>3296</x:v>
      </x:c>
      <x:c r="F648" s="7" t="s">
        <x:v>1942</x:v>
      </x:c>
      <x:c r="G648" s="8" t="n">
        <x:v>1.6</x:v>
      </x:c>
      <x:c r="H648" s="8" t="s">
        <x:v>58</x:v>
      </x:c>
      <x:c r="I648" s="8" t="s">
        <x:v>58</x:v>
      </x:c>
      <x:c r="J648" s="7" t="s">
        <x:v>1919</x:v>
      </x:c>
      <x:c r="K648" s="8" t="n">
        <x:v>1</x:v>
      </x:c>
      <x:c r="L648" s="8" t="n">
        <x:f aca="0">IF(AND(ISNUMBER(G648),P648&lt;&gt;"Unresolved unit / layout"),G648*K648,"Not applicable")</x:f>
        <x:v>1.6</x:v>
      </x:c>
      <x:c r="M648" s="8" t="str">
        <x:f aca="0">IF(AND(ISNUMBER(H648),P648&lt;&gt;"Unresolved unit / layout"),H648*K648,"Not applicable")</x:f>
        <x:v>Not applicable</x:v>
      </x:c>
      <x:c r="N648" s="8" t="str">
        <x:f aca="0">IF(AND(ISNUMBER(I648),P648&lt;&gt;"Unresolved unit / layout"),I648*K648,"Not applicable")</x:f>
        <x:v>Not applicable</x:v>
      </x:c>
      <x:c r="O648" s="7" t="s">
        <x:v>1942</x:v>
      </x:c>
      <x:c r="P648" s="7" t="s">
        <x:v>1921</x:v>
      </x:c>
      <x:c r="Q648" s="7" t="s">
        <x:v>1930</x:v>
      </x:c>
      <x:c r="R648" s="7" t="s">
        <x:v>1931</x:v>
      </x:c>
      <x:c r="S648" s="7" t="s">
        <x:v>2077</x:v>
      </x:c>
      <x:c r="T648" s="7" t="s">
        <x:v>3095</x:v>
      </x:c>
      <x:c r="U648" s="7" t="s">
        <x:v>53</x:v>
      </x:c>
      <x:c r="V648" s="7" t="s">
        <x:v>3297</x:v>
      </x:c>
      <x:c r="W648" s="7" t="s">
        <x:v>58</x:v>
      </x:c>
      <x:c r="X648" s="7" t="s">
        <x:v>3277</x:v>
      </x:c>
      <x:c r="Y648" s="7" t="s">
        <x:v>1221</x:v>
      </x:c>
      <x:c r="Z648" s="7" t="s">
        <x:v>2117</x:v>
      </x:c>
      <x:c r="AA648" s="7" t="s">
        <x:v>58</x:v>
      </x:c>
      <x:c r="AB648" s="8" t="s">
        <x:v>58</x:v>
      </x:c>
      <x:c r="AC648" s="8" t="s">
        <x:v>58</x:v>
      </x:c>
      <x:c r="AD648" s="8" t="s">
        <x:v>58</x:v>
      </x:c>
      <x:c r="AE648" s="8" t="s">
        <x:v>58</x:v>
      </x:c>
      <x:c r="AF648" s="8" t="s">
        <x:v>58</x:v>
      </x:c>
      <x:c r="AG648" s="7" t="s">
        <x:v>58</x:v>
      </x:c>
    </x:row>
    <x:row r="649" ht="79.5" hidden="0" customHeight="1">
      <x:c r="A649" s="7" t="s">
        <x:v>3298</x:v>
      </x:c>
      <x:c r="B649" s="7" t="s">
        <x:v>404</x:v>
      </x:c>
      <x:c r="C649" s="7" t="s">
        <x:v>406</x:v>
      </x:c>
      <x:c r="D649" s="7" t="s">
        <x:v>1940</x:v>
      </x:c>
      <x:c r="E649" s="7" t="s">
        <x:v>3299</x:v>
      </x:c>
      <x:c r="F649" s="7" t="s">
        <x:v>1942</x:v>
      </x:c>
      <x:c r="G649" s="8" t="n">
        <x:v>0.9</x:v>
      </x:c>
      <x:c r="H649" s="8" t="s">
        <x:v>58</x:v>
      </x:c>
      <x:c r="I649" s="8" t="s">
        <x:v>58</x:v>
      </x:c>
      <x:c r="J649" s="7" t="s">
        <x:v>1919</x:v>
      </x:c>
      <x:c r="K649" s="8" t="n">
        <x:v>1</x:v>
      </x:c>
      <x:c r="L649" s="8" t="n">
        <x:f aca="0">IF(AND(ISNUMBER(G649),P649&lt;&gt;"Unresolved unit / layout"),G649*K649,"Not applicable")</x:f>
        <x:v>0.9</x:v>
      </x:c>
      <x:c r="M649" s="8" t="str">
        <x:f aca="0">IF(AND(ISNUMBER(H649),P649&lt;&gt;"Unresolved unit / layout"),H649*K649,"Not applicable")</x:f>
        <x:v>Not applicable</x:v>
      </x:c>
      <x:c r="N649" s="8" t="str">
        <x:f aca="0">IF(AND(ISNUMBER(I649),P649&lt;&gt;"Unresolved unit / layout"),I649*K649,"Not applicable")</x:f>
        <x:v>Not applicable</x:v>
      </x:c>
      <x:c r="O649" s="7" t="s">
        <x:v>1942</x:v>
      </x:c>
      <x:c r="P649" s="7" t="s">
        <x:v>1921</x:v>
      </x:c>
      <x:c r="Q649" s="7" t="s">
        <x:v>1930</x:v>
      </x:c>
      <x:c r="R649" s="7" t="s">
        <x:v>2003</x:v>
      </x:c>
      <x:c r="S649" s="7" t="s">
        <x:v>2077</x:v>
      </x:c>
      <x:c r="T649" s="7" t="s">
        <x:v>3095</x:v>
      </x:c>
      <x:c r="U649" s="7" t="s">
        <x:v>53</x:v>
      </x:c>
      <x:c r="V649" s="7" t="s">
        <x:v>3163</x:v>
      </x:c>
      <x:c r="W649" s="7" t="s">
        <x:v>58</x:v>
      </x:c>
      <x:c r="X649" s="7" t="s">
        <x:v>3277</x:v>
      </x:c>
      <x:c r="Y649" s="7" t="s">
        <x:v>1221</x:v>
      </x:c>
      <x:c r="Z649" s="7" t="s">
        <x:v>2120</x:v>
      </x:c>
      <x:c r="AA649" s="7" t="s">
        <x:v>58</x:v>
      </x:c>
      <x:c r="AB649" s="8" t="s">
        <x:v>58</x:v>
      </x:c>
      <x:c r="AC649" s="8" t="s">
        <x:v>58</x:v>
      </x:c>
      <x:c r="AD649" s="8" t="s">
        <x:v>58</x:v>
      </x:c>
      <x:c r="AE649" s="8" t="s">
        <x:v>58</x:v>
      </x:c>
      <x:c r="AF649" s="8" t="s">
        <x:v>58</x:v>
      </x:c>
      <x:c r="AG649" s="7" t="s">
        <x:v>58</x:v>
      </x:c>
    </x:row>
    <x:row r="650" ht="79.5" hidden="0" customHeight="1">
      <x:c r="A650" s="7" t="s">
        <x:v>3300</x:v>
      </x:c>
      <x:c r="B650" s="7" t="s">
        <x:v>404</x:v>
      </x:c>
      <x:c r="C650" s="7" t="s">
        <x:v>406</x:v>
      </x:c>
      <x:c r="D650" s="7" t="s">
        <x:v>1950</x:v>
      </x:c>
      <x:c r="E650" s="7" t="s">
        <x:v>3301</x:v>
      </x:c>
      <x:c r="F650" s="7" t="s">
        <x:v>1929</x:v>
      </x:c>
      <x:c r="G650" s="8" t="n">
        <x:v>1510</x:v>
      </x:c>
      <x:c r="H650" s="8" t="n">
        <x:v>120</x:v>
      </x:c>
      <x:c r="I650" s="8" t="s">
        <x:v>58</x:v>
      </x:c>
      <x:c r="J650" s="7" t="s">
        <x:v>1919</x:v>
      </x:c>
      <x:c r="K650" s="8" t="n">
        <x:v>0.001</x:v>
      </x:c>
      <x:c r="L650" s="8" t="n">
        <x:f aca="0">IF(AND(ISNUMBER(G650),P650&lt;&gt;"Unresolved unit / layout"),G650*K650,"Not applicable")</x:f>
        <x:v>1.51</x:v>
      </x:c>
      <x:c r="M650" s="8" t="n">
        <x:f aca="0">IF(AND(ISNUMBER(H650),P650&lt;&gt;"Unresolved unit / layout"),H650*K650,"Not applicable")</x:f>
        <x:v>0.12</x:v>
      </x:c>
      <x:c r="N650" s="8" t="str">
        <x:f aca="0">IF(AND(ISNUMBER(I650),P650&lt;&gt;"Unresolved unit / layout"),I650*K650,"Not applicable")</x:f>
        <x:v>Not applicable</x:v>
      </x:c>
      <x:c r="O650" s="7" t="s">
        <x:v>1937</x:v>
      </x:c>
      <x:c r="P650" s="7" t="s">
        <x:v>1921</x:v>
      </x:c>
      <x:c r="Q650" s="7" t="s">
        <x:v>1930</x:v>
      </x:c>
      <x:c r="R650" s="7" t="s">
        <x:v>1931</x:v>
      </x:c>
      <x:c r="S650" s="7" t="s">
        <x:v>2077</x:v>
      </x:c>
      <x:c r="T650" s="7" t="s">
        <x:v>3095</x:v>
      </x:c>
      <x:c r="U650" s="7" t="s">
        <x:v>53</x:v>
      </x:c>
      <x:c r="V650" s="7" t="s">
        <x:v>2020</x:v>
      </x:c>
      <x:c r="W650" s="7" t="s">
        <x:v>58</x:v>
      </x:c>
      <x:c r="X650" s="7" t="s">
        <x:v>3277</x:v>
      </x:c>
      <x:c r="Y650" s="7" t="s">
        <x:v>1221</x:v>
      </x:c>
      <x:c r="Z650" s="7" t="s">
        <x:v>2123</x:v>
      </x:c>
      <x:c r="AA650" s="7" t="s">
        <x:v>58</x:v>
      </x:c>
      <x:c r="AB650" s="8" t="s">
        <x:v>58</x:v>
      </x:c>
      <x:c r="AC650" s="8" t="s">
        <x:v>58</x:v>
      </x:c>
      <x:c r="AD650" s="8" t="s">
        <x:v>58</x:v>
      </x:c>
      <x:c r="AE650" s="8" t="s">
        <x:v>58</x:v>
      </x:c>
      <x:c r="AF650" s="8" t="s">
        <x:v>58</x:v>
      </x:c>
      <x:c r="AG650" s="7" t="s">
        <x:v>58</x:v>
      </x:c>
    </x:row>
    <x:row r="651" ht="79.5" hidden="0" customHeight="1">
      <x:c r="A651" s="7" t="s">
        <x:v>3302</x:v>
      </x:c>
      <x:c r="B651" s="7" t="s">
        <x:v>404</x:v>
      </x:c>
      <x:c r="C651" s="7" t="s">
        <x:v>406</x:v>
      </x:c>
      <x:c r="D651" s="7" t="s">
        <x:v>1950</x:v>
      </x:c>
      <x:c r="E651" s="7" t="s">
        <x:v>3303</x:v>
      </x:c>
      <x:c r="F651" s="7" t="s">
        <x:v>1929</x:v>
      </x:c>
      <x:c r="G651" s="8" t="n">
        <x:v>1220</x:v>
      </x:c>
      <x:c r="H651" s="8" t="n">
        <x:v>110</x:v>
      </x:c>
      <x:c r="I651" s="8" t="s">
        <x:v>58</x:v>
      </x:c>
      <x:c r="J651" s="7" t="s">
        <x:v>1919</x:v>
      </x:c>
      <x:c r="K651" s="8" t="n">
        <x:v>0.001</x:v>
      </x:c>
      <x:c r="L651" s="8" t="n">
        <x:f aca="0">IF(AND(ISNUMBER(G651),P651&lt;&gt;"Unresolved unit / layout"),G651*K651,"Not applicable")</x:f>
        <x:v>1.22</x:v>
      </x:c>
      <x:c r="M651" s="8" t="n">
        <x:f aca="0">IF(AND(ISNUMBER(H651),P651&lt;&gt;"Unresolved unit / layout"),H651*K651,"Not applicable")</x:f>
        <x:v>0.11</x:v>
      </x:c>
      <x:c r="N651" s="8" t="str">
        <x:f aca="0">IF(AND(ISNUMBER(I651),P651&lt;&gt;"Unresolved unit / layout"),I651*K651,"Not applicable")</x:f>
        <x:v>Not applicable</x:v>
      </x:c>
      <x:c r="O651" s="7" t="s">
        <x:v>1937</x:v>
      </x:c>
      <x:c r="P651" s="7" t="s">
        <x:v>1921</x:v>
      </x:c>
      <x:c r="Q651" s="7" t="s">
        <x:v>1930</x:v>
      </x:c>
      <x:c r="R651" s="7" t="s">
        <x:v>2003</x:v>
      </x:c>
      <x:c r="S651" s="7" t="s">
        <x:v>2077</x:v>
      </x:c>
      <x:c r="T651" s="7" t="s">
        <x:v>3095</x:v>
      </x:c>
      <x:c r="U651" s="7" t="s">
        <x:v>53</x:v>
      </x:c>
      <x:c r="V651" s="7" t="s">
        <x:v>2020</x:v>
      </x:c>
      <x:c r="W651" s="7" t="s">
        <x:v>58</x:v>
      </x:c>
      <x:c r="X651" s="7" t="s">
        <x:v>3277</x:v>
      </x:c>
      <x:c r="Y651" s="7" t="s">
        <x:v>1221</x:v>
      </x:c>
      <x:c r="Z651" s="7" t="s">
        <x:v>2210</x:v>
      </x:c>
      <x:c r="AA651" s="7" t="s">
        <x:v>58</x:v>
      </x:c>
      <x:c r="AB651" s="8" t="s">
        <x:v>58</x:v>
      </x:c>
      <x:c r="AC651" s="8" t="s">
        <x:v>58</x:v>
      </x:c>
      <x:c r="AD651" s="8" t="s">
        <x:v>58</x:v>
      </x:c>
      <x:c r="AE651" s="8" t="s">
        <x:v>58</x:v>
      </x:c>
      <x:c r="AF651" s="8" t="s">
        <x:v>58</x:v>
      </x:c>
      <x:c r="AG651" s="7" t="s">
        <x:v>58</x:v>
      </x:c>
    </x:row>
    <x:row r="652" ht="79.5" hidden="0" customHeight="1">
      <x:c r="A652" s="7" t="s">
        <x:v>3304</x:v>
      </x:c>
      <x:c r="B652" s="7" t="s">
        <x:v>404</x:v>
      </x:c>
      <x:c r="C652" s="7" t="s">
        <x:v>406</x:v>
      </x:c>
      <x:c r="D652" s="7" t="s">
        <x:v>1945</x:v>
      </x:c>
      <x:c r="E652" s="7" t="s">
        <x:v>3305</x:v>
      </x:c>
      <x:c r="F652" s="7" t="s">
        <x:v>1929</x:v>
      </x:c>
      <x:c r="G652" s="8" t="n">
        <x:v>58</x:v>
      </x:c>
      <x:c r="H652" s="8" t="n">
        <x:v>6</x:v>
      </x:c>
      <x:c r="I652" s="8" t="s">
        <x:v>58</x:v>
      </x:c>
      <x:c r="J652" s="7" t="s">
        <x:v>1919</x:v>
      </x:c>
      <x:c r="K652" s="8" t="n">
        <x:v>1</x:v>
      </x:c>
      <x:c r="L652" s="8" t="n">
        <x:f aca="0">IF(AND(ISNUMBER(G652),P652&lt;&gt;"Unresolved unit / layout"),G652*K652,"Not applicable")</x:f>
        <x:v>58</x:v>
      </x:c>
      <x:c r="M652" s="8" t="n">
        <x:f aca="0">IF(AND(ISNUMBER(H652),P652&lt;&gt;"Unresolved unit / layout"),H652*K652,"Not applicable")</x:f>
        <x:v>6</x:v>
      </x:c>
      <x:c r="N652" s="8" t="str">
        <x:f aca="0">IF(AND(ISNUMBER(I652),P652&lt;&gt;"Unresolved unit / layout"),I652*K652,"Not applicable")</x:f>
        <x:v>Not applicable</x:v>
      </x:c>
      <x:c r="O652" s="7" t="s">
        <x:v>1929</x:v>
      </x:c>
      <x:c r="P652" s="7" t="s">
        <x:v>1921</x:v>
      </x:c>
      <x:c r="Q652" s="7" t="s">
        <x:v>1930</x:v>
      </x:c>
      <x:c r="R652" s="7" t="s">
        <x:v>1931</x:v>
      </x:c>
      <x:c r="S652" s="7" t="s">
        <x:v>2077</x:v>
      </x:c>
      <x:c r="T652" s="7" t="s">
        <x:v>3095</x:v>
      </x:c>
      <x:c r="U652" s="7" t="s">
        <x:v>53</x:v>
      </x:c>
      <x:c r="V652" s="7" t="s">
        <x:v>2020</x:v>
      </x:c>
      <x:c r="W652" s="7" t="s">
        <x:v>58</x:v>
      </x:c>
      <x:c r="X652" s="7" t="s">
        <x:v>3277</x:v>
      </x:c>
      <x:c r="Y652" s="7" t="s">
        <x:v>1221</x:v>
      </x:c>
      <x:c r="Z652" s="7" t="s">
        <x:v>2213</x:v>
      </x:c>
      <x:c r="AA652" s="7" t="s">
        <x:v>58</x:v>
      </x:c>
      <x:c r="AB652" s="8" t="s">
        <x:v>58</x:v>
      </x:c>
      <x:c r="AC652" s="8" t="s">
        <x:v>58</x:v>
      </x:c>
      <x:c r="AD652" s="8" t="s">
        <x:v>58</x:v>
      </x:c>
      <x:c r="AE652" s="8" t="s">
        <x:v>58</x:v>
      </x:c>
      <x:c r="AF652" s="8" t="s">
        <x:v>58</x:v>
      </x:c>
      <x:c r="AG652" s="7" t="s">
        <x:v>58</x:v>
      </x:c>
    </x:row>
    <x:row r="653" ht="79.5" hidden="0" customHeight="1">
      <x:c r="A653" s="7" t="s">
        <x:v>3306</x:v>
      </x:c>
      <x:c r="B653" s="7" t="s">
        <x:v>404</x:v>
      </x:c>
      <x:c r="C653" s="7" t="s">
        <x:v>406</x:v>
      </x:c>
      <x:c r="D653" s="7" t="s">
        <x:v>1945</x:v>
      </x:c>
      <x:c r="E653" s="7" t="s">
        <x:v>3307</x:v>
      </x:c>
      <x:c r="F653" s="7" t="s">
        <x:v>1929</x:v>
      </x:c>
      <x:c r="G653" s="8" t="n">
        <x:v>24</x:v>
      </x:c>
      <x:c r="H653" s="8" t="n">
        <x:v>3</x:v>
      </x:c>
      <x:c r="I653" s="8" t="s">
        <x:v>58</x:v>
      </x:c>
      <x:c r="J653" s="7" t="s">
        <x:v>1919</x:v>
      </x:c>
      <x:c r="K653" s="8" t="n">
        <x:v>1</x:v>
      </x:c>
      <x:c r="L653" s="8" t="n">
        <x:f aca="0">IF(AND(ISNUMBER(G653),P653&lt;&gt;"Unresolved unit / layout"),G653*K653,"Not applicable")</x:f>
        <x:v>24</x:v>
      </x:c>
      <x:c r="M653" s="8" t="n">
        <x:f aca="0">IF(AND(ISNUMBER(H653),P653&lt;&gt;"Unresolved unit / layout"),H653*K653,"Not applicable")</x:f>
        <x:v>3</x:v>
      </x:c>
      <x:c r="N653" s="8" t="str">
        <x:f aca="0">IF(AND(ISNUMBER(I653),P653&lt;&gt;"Unresolved unit / layout"),I653*K653,"Not applicable")</x:f>
        <x:v>Not applicable</x:v>
      </x:c>
      <x:c r="O653" s="7" t="s">
        <x:v>1929</x:v>
      </x:c>
      <x:c r="P653" s="7" t="s">
        <x:v>1921</x:v>
      </x:c>
      <x:c r="Q653" s="7" t="s">
        <x:v>1930</x:v>
      </x:c>
      <x:c r="R653" s="7" t="s">
        <x:v>2003</x:v>
      </x:c>
      <x:c r="S653" s="7" t="s">
        <x:v>2077</x:v>
      </x:c>
      <x:c r="T653" s="7" t="s">
        <x:v>3095</x:v>
      </x:c>
      <x:c r="U653" s="7" t="s">
        <x:v>53</x:v>
      </x:c>
      <x:c r="V653" s="7" t="s">
        <x:v>2020</x:v>
      </x:c>
      <x:c r="W653" s="7" t="s">
        <x:v>58</x:v>
      </x:c>
      <x:c r="X653" s="7" t="s">
        <x:v>3277</x:v>
      </x:c>
      <x:c r="Y653" s="7" t="s">
        <x:v>1221</x:v>
      </x:c>
      <x:c r="Z653" s="7" t="s">
        <x:v>2216</x:v>
      </x:c>
      <x:c r="AA653" s="7" t="s">
        <x:v>58</x:v>
      </x:c>
      <x:c r="AB653" s="8" t="s">
        <x:v>58</x:v>
      </x:c>
      <x:c r="AC653" s="8" t="s">
        <x:v>58</x:v>
      </x:c>
      <x:c r="AD653" s="8" t="s">
        <x:v>58</x:v>
      </x:c>
      <x:c r="AE653" s="8" t="s">
        <x:v>58</x:v>
      </x:c>
      <x:c r="AF653" s="8" t="s">
        <x:v>58</x:v>
      </x:c>
      <x:c r="AG653" s="7" t="s">
        <x:v>58</x:v>
      </x:c>
    </x:row>
    <x:row r="654" ht="79.5" hidden="0" customHeight="1">
      <x:c r="A654" s="7" t="s">
        <x:v>3308</x:v>
      </x:c>
      <x:c r="B654" s="7" t="s">
        <x:v>404</x:v>
      </x:c>
      <x:c r="C654" s="7" t="s">
        <x:v>406</x:v>
      </x:c>
      <x:c r="D654" s="7" t="s">
        <x:v>2030</x:v>
      </x:c>
      <x:c r="E654" s="7" t="s">
        <x:v>3309</x:v>
      </x:c>
      <x:c r="F654" s="7" t="s">
        <x:v>2033</x:v>
      </x:c>
      <x:c r="G654" s="8" t="n">
        <x:v>32</x:v>
      </x:c>
      <x:c r="H654" s="8" t="n">
        <x:v>2.5</x:v>
      </x:c>
      <x:c r="I654" s="8" t="s">
        <x:v>58</x:v>
      </x:c>
      <x:c r="J654" s="7" t="s">
        <x:v>1919</x:v>
      </x:c>
      <x:c r="K654" s="8" t="n">
        <x:v>1</x:v>
      </x:c>
      <x:c r="L654" s="8" t="n">
        <x:f aca="0">IF(AND(ISNUMBER(G654),P654&lt;&gt;"Unresolved unit / layout"),G654*K654,"Not applicable")</x:f>
        <x:v>32</x:v>
      </x:c>
      <x:c r="M654" s="8" t="n">
        <x:f aca="0">IF(AND(ISNUMBER(H654),P654&lt;&gt;"Unresolved unit / layout"),H654*K654,"Not applicable")</x:f>
        <x:v>2.5</x:v>
      </x:c>
      <x:c r="N654" s="8" t="str">
        <x:f aca="0">IF(AND(ISNUMBER(I654),P654&lt;&gt;"Unresolved unit / layout"),I654*K654,"Not applicable")</x:f>
        <x:v>Not applicable</x:v>
      </x:c>
      <x:c r="O654" s="7" t="s">
        <x:v>2033</x:v>
      </x:c>
      <x:c r="P654" s="7" t="s">
        <x:v>1921</x:v>
      </x:c>
      <x:c r="Q654" s="7" t="s">
        <x:v>1930</x:v>
      </x:c>
      <x:c r="R654" s="7" t="s">
        <x:v>1931</x:v>
      </x:c>
      <x:c r="S654" s="7" t="s">
        <x:v>2077</x:v>
      </x:c>
      <x:c r="T654" s="7" t="s">
        <x:v>3095</x:v>
      </x:c>
      <x:c r="U654" s="7" t="s">
        <x:v>53</x:v>
      </x:c>
      <x:c r="V654" s="7" t="s">
        <x:v>2036</x:v>
      </x:c>
      <x:c r="W654" s="7" t="s">
        <x:v>53</x:v>
      </x:c>
      <x:c r="X654" s="7" t="s">
        <x:v>3277</x:v>
      </x:c>
      <x:c r="Y654" s="7" t="s">
        <x:v>1221</x:v>
      </x:c>
      <x:c r="Z654" s="7" t="s">
        <x:v>2378</x:v>
      </x:c>
      <x:c r="AA654" s="7" t="s">
        <x:v>58</x:v>
      </x:c>
      <x:c r="AB654" s="8" t="s">
        <x:v>58</x:v>
      </x:c>
      <x:c r="AC654" s="8" t="s">
        <x:v>58</x:v>
      </x:c>
      <x:c r="AD654" s="8" t="s">
        <x:v>58</x:v>
      </x:c>
      <x:c r="AE654" s="8" t="s">
        <x:v>58</x:v>
      </x:c>
      <x:c r="AF654" s="8" t="s">
        <x:v>58</x:v>
      </x:c>
      <x:c r="AG654" s="7" t="s">
        <x:v>58</x:v>
      </x:c>
    </x:row>
    <x:row r="655" ht="79.5" hidden="0" customHeight="1">
      <x:c r="A655" s="7" t="s">
        <x:v>3310</x:v>
      </x:c>
      <x:c r="B655" s="7" t="s">
        <x:v>404</x:v>
      </x:c>
      <x:c r="C655" s="7" t="s">
        <x:v>406</x:v>
      </x:c>
      <x:c r="D655" s="7" t="s">
        <x:v>2030</x:v>
      </x:c>
      <x:c r="E655" s="7" t="s">
        <x:v>3311</x:v>
      </x:c>
      <x:c r="F655" s="7" t="s">
        <x:v>2033</x:v>
      </x:c>
      <x:c r="G655" s="8" t="n">
        <x:v>3.4</x:v>
      </x:c>
      <x:c r="H655" s="8" t="n">
        <x:v>0.5</x:v>
      </x:c>
      <x:c r="I655" s="8" t="s">
        <x:v>58</x:v>
      </x:c>
      <x:c r="J655" s="7" t="s">
        <x:v>1919</x:v>
      </x:c>
      <x:c r="K655" s="8" t="n">
        <x:v>1</x:v>
      </x:c>
      <x:c r="L655" s="8" t="n">
        <x:f aca="0">IF(AND(ISNUMBER(G655),P655&lt;&gt;"Unresolved unit / layout"),G655*K655,"Not applicable")</x:f>
        <x:v>3.4</x:v>
      </x:c>
      <x:c r="M655" s="8" t="n">
        <x:f aca="0">IF(AND(ISNUMBER(H655),P655&lt;&gt;"Unresolved unit / layout"),H655*K655,"Not applicable")</x:f>
        <x:v>0.5</x:v>
      </x:c>
      <x:c r="N655" s="8" t="str">
        <x:f aca="0">IF(AND(ISNUMBER(I655),P655&lt;&gt;"Unresolved unit / layout"),I655*K655,"Not applicable")</x:f>
        <x:v>Not applicable</x:v>
      </x:c>
      <x:c r="O655" s="7" t="s">
        <x:v>2033</x:v>
      </x:c>
      <x:c r="P655" s="7" t="s">
        <x:v>1921</x:v>
      </x:c>
      <x:c r="Q655" s="7" t="s">
        <x:v>1930</x:v>
      </x:c>
      <x:c r="R655" s="7" t="s">
        <x:v>2003</x:v>
      </x:c>
      <x:c r="S655" s="7" t="s">
        <x:v>2077</x:v>
      </x:c>
      <x:c r="T655" s="7" t="s">
        <x:v>3095</x:v>
      </x:c>
      <x:c r="U655" s="7" t="s">
        <x:v>53</x:v>
      </x:c>
      <x:c r="V655" s="7" t="s">
        <x:v>2343</x:v>
      </x:c>
      <x:c r="W655" s="7" t="s">
        <x:v>53</x:v>
      </x:c>
      <x:c r="X655" s="7" t="s">
        <x:v>3277</x:v>
      </x:c>
      <x:c r="Y655" s="7" t="s">
        <x:v>1221</x:v>
      </x:c>
      <x:c r="Z655" s="7" t="s">
        <x:v>2225</x:v>
      </x:c>
      <x:c r="AA655" s="7" t="s">
        <x:v>58</x:v>
      </x:c>
      <x:c r="AB655" s="8" t="s">
        <x:v>58</x:v>
      </x:c>
      <x:c r="AC655" s="8" t="s">
        <x:v>58</x:v>
      </x:c>
      <x:c r="AD655" s="8" t="s">
        <x:v>58</x:v>
      </x:c>
      <x:c r="AE655" s="8" t="s">
        <x:v>58</x:v>
      </x:c>
      <x:c r="AF655" s="8" t="s">
        <x:v>58</x:v>
      </x:c>
      <x:c r="AG655" s="7" t="s">
        <x:v>58</x:v>
      </x:c>
    </x:row>
    <x:row r="656" ht="79.5" hidden="0" customHeight="1">
      <x:c r="A656" s="7" t="s">
        <x:v>3312</x:v>
      </x:c>
      <x:c r="B656" s="7" t="s">
        <x:v>417</x:v>
      </x:c>
      <x:c r="C656" s="7" t="s">
        <x:v>419</x:v>
      </x:c>
      <x:c r="D656" s="7" t="s">
        <x:v>1916</x:v>
      </x:c>
      <x:c r="E656" s="7" t="s">
        <x:v>3313</x:v>
      </x:c>
      <x:c r="F656" s="7" t="s">
        <x:v>2076</x:v>
      </x:c>
      <x:c r="G656" s="8" t="n">
        <x:v>1.02</x:v>
      </x:c>
      <x:c r="H656" s="8" t="s">
        <x:v>58</x:v>
      </x:c>
      <x:c r="I656" s="8" t="s">
        <x:v>58</x:v>
      </x:c>
      <x:c r="J656" s="7" t="s">
        <x:v>1919</x:v>
      </x:c>
      <x:c r="K656" s="8" t="n">
        <x:v>1000</x:v>
      </x:c>
      <x:c r="L656" s="8" t="n">
        <x:f aca="0">IF(AND(ISNUMBER(G656),P656&lt;&gt;"Unresolved unit / layout"),G656*K656,"Not applicable")</x:f>
        <x:v>1020</x:v>
      </x:c>
      <x:c r="M656" s="8" t="str">
        <x:f aca="0">IF(AND(ISNUMBER(H656),P656&lt;&gt;"Unresolved unit / layout"),H656*K656,"Not applicable")</x:f>
        <x:v>Not applicable</x:v>
      </x:c>
      <x:c r="N656" s="8" t="str">
        <x:f aca="0">IF(AND(ISNUMBER(I656),P656&lt;&gt;"Unresolved unit / layout"),I656*K656,"Not applicable")</x:f>
        <x:v>Not applicable</x:v>
      </x:c>
      <x:c r="O656" s="7" t="s">
        <x:v>1920</x:v>
      </x:c>
      <x:c r="P656" s="7" t="s">
        <x:v>1921</x:v>
      </x:c>
      <x:c r="Q656" s="7" t="s">
        <x:v>1922</x:v>
      </x:c>
      <x:c r="R656" s="7" t="s">
        <x:v>58</x:v>
      </x:c>
      <x:c r="S656" s="7" t="s">
        <x:v>2077</x:v>
      </x:c>
      <x:c r="T656" s="7" t="s">
        <x:v>3095</x:v>
      </x:c>
      <x:c r="U656" s="7" t="s">
        <x:v>53</x:v>
      </x:c>
      <x:c r="V656" s="7" t="s">
        <x:v>1923</x:v>
      </x:c>
      <x:c r="W656" s="7" t="s">
        <x:v>58</x:v>
      </x:c>
      <x:c r="X656" s="7" t="s">
        <x:v>3314</x:v>
      </x:c>
      <x:c r="Y656" s="7" t="s">
        <x:v>1222</x:v>
      </x:c>
      <x:c r="Z656" s="7" t="s">
        <x:v>1968</x:v>
      </x:c>
      <x:c r="AA656" s="7" t="s">
        <x:v>58</x:v>
      </x:c>
      <x:c r="AB656" s="8" t="s">
        <x:v>58</x:v>
      </x:c>
      <x:c r="AC656" s="8" t="s">
        <x:v>58</x:v>
      </x:c>
      <x:c r="AD656" s="8" t="s">
        <x:v>58</x:v>
      </x:c>
      <x:c r="AE656" s="8" t="s">
        <x:v>58</x:v>
      </x:c>
      <x:c r="AF656" s="8" t="s">
        <x:v>58</x:v>
      </x:c>
      <x:c r="AG656" s="7" t="s">
        <x:v>58</x:v>
      </x:c>
    </x:row>
    <x:row r="657" ht="79.5" hidden="0" customHeight="1">
      <x:c r="A657" s="7" t="s">
        <x:v>3315</x:v>
      </x:c>
      <x:c r="B657" s="7" t="s">
        <x:v>417</x:v>
      </x:c>
      <x:c r="C657" s="7" t="s">
        <x:v>419</x:v>
      </x:c>
      <x:c r="D657" s="7" t="s">
        <x:v>1974</x:v>
      </x:c>
      <x:c r="E657" s="7" t="s">
        <x:v>3241</x:v>
      </x:c>
      <x:c r="F657" s="7" t="s">
        <x:v>1956</x:v>
      </x:c>
      <x:c r="G657" s="8" t="n">
        <x:v>210</x:v>
      </x:c>
      <x:c r="H657" s="8" t="s">
        <x:v>58</x:v>
      </x:c>
      <x:c r="I657" s="8" t="s">
        <x:v>58</x:v>
      </x:c>
      <x:c r="J657" s="7" t="s">
        <x:v>1919</x:v>
      </x:c>
      <x:c r="K657" s="8" t="n">
        <x:v>1</x:v>
      </x:c>
      <x:c r="L657" s="8" t="n">
        <x:f aca="0">IF(AND(ISNUMBER(G657),P657&lt;&gt;"Unresolved unit / layout"),G657*K657,"Not applicable")</x:f>
        <x:v>210</x:v>
      </x:c>
      <x:c r="M657" s="8" t="str">
        <x:f aca="0">IF(AND(ISNUMBER(H657),P657&lt;&gt;"Unresolved unit / layout"),H657*K657,"Not applicable")</x:f>
        <x:v>Not applicable</x:v>
      </x:c>
      <x:c r="N657" s="8" t="str">
        <x:f aca="0">IF(AND(ISNUMBER(I657),P657&lt;&gt;"Unresolved unit / layout"),I657*K657,"Not applicable")</x:f>
        <x:v>Not applicable</x:v>
      </x:c>
      <x:c r="O657" s="7" t="s">
        <x:v>1956</x:v>
      </x:c>
      <x:c r="P657" s="7" t="s">
        <x:v>1921</x:v>
      </x:c>
      <x:c r="Q657" s="7" t="s">
        <x:v>1930</x:v>
      </x:c>
      <x:c r="R657" s="7" t="s">
        <x:v>58</x:v>
      </x:c>
      <x:c r="S657" s="7" t="s">
        <x:v>2077</x:v>
      </x:c>
      <x:c r="T657" s="7" t="s">
        <x:v>3095</x:v>
      </x:c>
      <x:c r="U657" s="7" t="s">
        <x:v>53</x:v>
      </x:c>
      <x:c r="V657" s="7" t="s">
        <x:v>2082</x:v>
      </x:c>
      <x:c r="W657" s="7" t="s">
        <x:v>58</x:v>
      </x:c>
      <x:c r="X657" s="7" t="s">
        <x:v>3314</x:v>
      </x:c>
      <x:c r="Y657" s="7" t="s">
        <x:v>1222</x:v>
      </x:c>
      <x:c r="Z657" s="7" t="s">
        <x:v>2083</x:v>
      </x:c>
      <x:c r="AA657" s="7" t="s">
        <x:v>58</x:v>
      </x:c>
      <x:c r="AB657" s="8" t="s">
        <x:v>58</x:v>
      </x:c>
      <x:c r="AC657" s="8" t="s">
        <x:v>58</x:v>
      </x:c>
      <x:c r="AD657" s="8" t="s">
        <x:v>58</x:v>
      </x:c>
      <x:c r="AE657" s="8" t="s">
        <x:v>58</x:v>
      </x:c>
      <x:c r="AF657" s="8" t="s">
        <x:v>58</x:v>
      </x:c>
      <x:c r="AG657" s="7" t="s">
        <x:v>58</x:v>
      </x:c>
    </x:row>
    <x:row r="658" ht="79.5" hidden="0" customHeight="1">
      <x:c r="A658" s="7" t="s">
        <x:v>3316</x:v>
      </x:c>
      <x:c r="B658" s="7" t="s">
        <x:v>417</x:v>
      </x:c>
      <x:c r="C658" s="7" t="s">
        <x:v>419</x:v>
      </x:c>
      <x:c r="D658" s="7" t="s">
        <x:v>1982</x:v>
      </x:c>
      <x:c r="E658" s="7" t="s">
        <x:v>3317</x:v>
      </x:c>
      <x:c r="F658" s="7" t="s">
        <x:v>1956</x:v>
      </x:c>
      <x:c r="G658" s="8" t="n">
        <x:v>108</x:v>
      </x:c>
      <x:c r="H658" s="8" t="s">
        <x:v>58</x:v>
      </x:c>
      <x:c r="I658" s="8" t="s">
        <x:v>58</x:v>
      </x:c>
      <x:c r="J658" s="7" t="s">
        <x:v>1919</x:v>
      </x:c>
      <x:c r="K658" s="8" t="n">
        <x:v>1</x:v>
      </x:c>
      <x:c r="L658" s="8" t="n">
        <x:f aca="0">IF(AND(ISNUMBER(G658),P658&lt;&gt;"Unresolved unit / layout"),G658*K658,"Not applicable")</x:f>
        <x:v>108</x:v>
      </x:c>
      <x:c r="M658" s="8" t="str">
        <x:f aca="0">IF(AND(ISNUMBER(H658),P658&lt;&gt;"Unresolved unit / layout"),H658*K658,"Not applicable")</x:f>
        <x:v>Not applicable</x:v>
      </x:c>
      <x:c r="N658" s="8" t="str">
        <x:f aca="0">IF(AND(ISNUMBER(I658),P658&lt;&gt;"Unresolved unit / layout"),I658*K658,"Not applicable")</x:f>
        <x:v>Not applicable</x:v>
      </x:c>
      <x:c r="O658" s="7" t="s">
        <x:v>1956</x:v>
      </x:c>
      <x:c r="P658" s="7" t="s">
        <x:v>1921</x:v>
      </x:c>
      <x:c r="Q658" s="7" t="s">
        <x:v>1930</x:v>
      </x:c>
      <x:c r="R658" s="7" t="s">
        <x:v>58</x:v>
      </x:c>
      <x:c r="S658" s="7" t="s">
        <x:v>2077</x:v>
      </x:c>
      <x:c r="T658" s="7" t="s">
        <x:v>3095</x:v>
      </x:c>
      <x:c r="U658" s="7" t="s">
        <x:v>53</x:v>
      </x:c>
      <x:c r="V658" s="7" t="s">
        <x:v>1984</x:v>
      </x:c>
      <x:c r="W658" s="7" t="s">
        <x:v>58</x:v>
      </x:c>
      <x:c r="X658" s="7" t="s">
        <x:v>3314</x:v>
      </x:c>
      <x:c r="Y658" s="7" t="s">
        <x:v>1222</x:v>
      </x:c>
      <x:c r="Z658" s="7" t="s">
        <x:v>2092</x:v>
      </x:c>
      <x:c r="AA658" s="7" t="s">
        <x:v>58</x:v>
      </x:c>
      <x:c r="AB658" s="8" t="s">
        <x:v>58</x:v>
      </x:c>
      <x:c r="AC658" s="8" t="s">
        <x:v>58</x:v>
      </x:c>
      <x:c r="AD658" s="8" t="s">
        <x:v>58</x:v>
      </x:c>
      <x:c r="AE658" s="8" t="s">
        <x:v>58</x:v>
      </x:c>
      <x:c r="AF658" s="8" t="s">
        <x:v>58</x:v>
      </x:c>
      <x:c r="AG658" s="7" t="s">
        <x:v>58</x:v>
      </x:c>
    </x:row>
    <x:row r="659" ht="79.5" hidden="0" customHeight="1">
      <x:c r="A659" s="7" t="s">
        <x:v>3318</x:v>
      </x:c>
      <x:c r="B659" s="7" t="s">
        <x:v>417</x:v>
      </x:c>
      <x:c r="C659" s="7" t="s">
        <x:v>419</x:v>
      </x:c>
      <x:c r="D659" s="7" t="s">
        <x:v>1959</x:v>
      </x:c>
      <x:c r="E659" s="7" t="s">
        <x:v>3319</x:v>
      </x:c>
      <x:c r="F659" s="7" t="s">
        <x:v>1956</x:v>
      </x:c>
      <x:c r="G659" s="8" t="n">
        <x:v>102</x:v>
      </x:c>
      <x:c r="H659" s="8" t="s">
        <x:v>58</x:v>
      </x:c>
      <x:c r="I659" s="8" t="s">
        <x:v>58</x:v>
      </x:c>
      <x:c r="J659" s="7" t="s">
        <x:v>1919</x:v>
      </x:c>
      <x:c r="K659" s="8" t="n">
        <x:v>1</x:v>
      </x:c>
      <x:c r="L659" s="8" t="n">
        <x:f aca="0">IF(AND(ISNUMBER(G659),P659&lt;&gt;"Unresolved unit / layout"),G659*K659,"Not applicable")</x:f>
        <x:v>102</x:v>
      </x:c>
      <x:c r="M659" s="8" t="str">
        <x:f aca="0">IF(AND(ISNUMBER(H659),P659&lt;&gt;"Unresolved unit / layout"),H659*K659,"Not applicable")</x:f>
        <x:v>Not applicable</x:v>
      </x:c>
      <x:c r="N659" s="8" t="str">
        <x:f aca="0">IF(AND(ISNUMBER(I659),P659&lt;&gt;"Unresolved unit / layout"),I659*K659,"Not applicable")</x:f>
        <x:v>Not applicable</x:v>
      </x:c>
      <x:c r="O659" s="7" t="s">
        <x:v>1956</x:v>
      </x:c>
      <x:c r="P659" s="7" t="s">
        <x:v>1921</x:v>
      </x:c>
      <x:c r="Q659" s="7" t="s">
        <x:v>1930</x:v>
      </x:c>
      <x:c r="R659" s="7" t="s">
        <x:v>58</x:v>
      </x:c>
      <x:c r="S659" s="7" t="s">
        <x:v>2077</x:v>
      </x:c>
      <x:c r="T659" s="7" t="s">
        <x:v>3095</x:v>
      </x:c>
      <x:c r="U659" s="7" t="s">
        <x:v>53</x:v>
      </x:c>
      <x:c r="V659" s="7" t="s">
        <x:v>2095</x:v>
      </x:c>
      <x:c r="W659" s="7" t="s">
        <x:v>58</x:v>
      </x:c>
      <x:c r="X659" s="7" t="s">
        <x:v>3314</x:v>
      </x:c>
      <x:c r="Y659" s="7" t="s">
        <x:v>1222</x:v>
      </x:c>
      <x:c r="Z659" s="7" t="s">
        <x:v>2096</x:v>
      </x:c>
      <x:c r="AA659" s="7" t="s">
        <x:v>58</x:v>
      </x:c>
      <x:c r="AB659" s="8" t="s">
        <x:v>58</x:v>
      </x:c>
      <x:c r="AC659" s="8" t="s">
        <x:v>58</x:v>
      </x:c>
      <x:c r="AD659" s="8" t="s">
        <x:v>58</x:v>
      </x:c>
      <x:c r="AE659" s="8" t="s">
        <x:v>58</x:v>
      </x:c>
      <x:c r="AF659" s="8" t="s">
        <x:v>58</x:v>
      </x:c>
      <x:c r="AG659" s="7" t="s">
        <x:v>58</x:v>
      </x:c>
    </x:row>
    <x:row r="660" ht="79.5" hidden="0" customHeight="1">
      <x:c r="A660" s="7" t="s">
        <x:v>424</x:v>
      </x:c>
      <x:c r="B660" s="7" t="s">
        <x:v>417</x:v>
      </x:c>
      <x:c r="C660" s="7" t="s">
        <x:v>419</x:v>
      </x:c>
      <x:c r="D660" s="7" t="s">
        <x:v>1959</x:v>
      </x:c>
      <x:c r="E660" s="7" t="s">
        <x:v>3320</x:v>
      </x:c>
      <x:c r="F660" s="7" t="s">
        <x:v>1956</x:v>
      </x:c>
      <x:c r="G660" s="8" t="n">
        <x:v>110</x:v>
      </x:c>
      <x:c r="H660" s="8" t="s">
        <x:v>58</x:v>
      </x:c>
      <x:c r="I660" s="8" t="s">
        <x:v>58</x:v>
      </x:c>
      <x:c r="J660" s="7" t="s">
        <x:v>1919</x:v>
      </x:c>
      <x:c r="K660" s="8" t="n">
        <x:v>1</x:v>
      </x:c>
      <x:c r="L660" s="8" t="n">
        <x:f aca="0">IF(AND(ISNUMBER(G660),P660&lt;&gt;"Unresolved unit / layout"),G660*K660,"Not applicable")</x:f>
        <x:v>110</x:v>
      </x:c>
      <x:c r="M660" s="8" t="str">
        <x:f aca="0">IF(AND(ISNUMBER(H660),P660&lt;&gt;"Unresolved unit / layout"),H660*K660,"Not applicable")</x:f>
        <x:v>Not applicable</x:v>
      </x:c>
      <x:c r="N660" s="8" t="str">
        <x:f aca="0">IF(AND(ISNUMBER(I660),P660&lt;&gt;"Unresolved unit / layout"),I660*K660,"Not applicable")</x:f>
        <x:v>Not applicable</x:v>
      </x:c>
      <x:c r="O660" s="7" t="s">
        <x:v>1956</x:v>
      </x:c>
      <x:c r="P660" s="7" t="s">
        <x:v>1921</x:v>
      </x:c>
      <x:c r="Q660" s="7" t="s">
        <x:v>1930</x:v>
      </x:c>
      <x:c r="R660" s="7" t="s">
        <x:v>58</x:v>
      </x:c>
      <x:c r="S660" s="7" t="s">
        <x:v>2077</x:v>
      </x:c>
      <x:c r="T660" s="7" t="s">
        <x:v>3095</x:v>
      </x:c>
      <x:c r="U660" s="7" t="s">
        <x:v>53</x:v>
      </x:c>
      <x:c r="V660" s="7" t="s">
        <x:v>2097</x:v>
      </x:c>
      <x:c r="W660" s="7" t="s">
        <x:v>58</x:v>
      </x:c>
      <x:c r="X660" s="7" t="s">
        <x:v>3314</x:v>
      </x:c>
      <x:c r="Y660" s="7" t="s">
        <x:v>1222</x:v>
      </x:c>
      <x:c r="Z660" s="7" t="s">
        <x:v>2096</x:v>
      </x:c>
      <x:c r="AA660" s="7" t="s">
        <x:v>58</x:v>
      </x:c>
      <x:c r="AB660" s="8" t="s">
        <x:v>58</x:v>
      </x:c>
      <x:c r="AC660" s="8" t="s">
        <x:v>58</x:v>
      </x:c>
      <x:c r="AD660" s="8" t="s">
        <x:v>58</x:v>
      </x:c>
      <x:c r="AE660" s="8" t="s">
        <x:v>58</x:v>
      </x:c>
      <x:c r="AF660" s="8" t="s">
        <x:v>58</x:v>
      </x:c>
      <x:c r="AG660" s="7" t="s">
        <x:v>58</x:v>
      </x:c>
    </x:row>
    <x:row r="661" ht="79.5" hidden="0" customHeight="1">
      <x:c r="A661" s="7" t="s">
        <x:v>3321</x:v>
      </x:c>
      <x:c r="B661" s="7" t="s">
        <x:v>417</x:v>
      </x:c>
      <x:c r="C661" s="7" t="s">
        <x:v>419</x:v>
      </x:c>
      <x:c r="D661" s="7" t="s">
        <x:v>2099</x:v>
      </x:c>
      <x:c r="E661" s="7" t="s">
        <x:v>3322</x:v>
      </x:c>
      <x:c r="F661" s="7" t="s">
        <x:v>1942</x:v>
      </x:c>
      <x:c r="G661" s="8" t="n">
        <x:v>0.33</x:v>
      </x:c>
      <x:c r="H661" s="8" t="s">
        <x:v>58</x:v>
      </x:c>
      <x:c r="I661" s="8" t="s">
        <x:v>58</x:v>
      </x:c>
      <x:c r="J661" s="7" t="s">
        <x:v>1919</x:v>
      </x:c>
      <x:c r="K661" s="8" t="n">
        <x:v>1</x:v>
      </x:c>
      <x:c r="L661" s="8" t="n">
        <x:f aca="0">IF(AND(ISNUMBER(G661),P661&lt;&gt;"Unresolved unit / layout"),G661*K661,"Not applicable")</x:f>
        <x:v>0.33</x:v>
      </x:c>
      <x:c r="M661" s="8" t="str">
        <x:f aca="0">IF(AND(ISNUMBER(H661),P661&lt;&gt;"Unresolved unit / layout"),H661*K661,"Not applicable")</x:f>
        <x:v>Not applicable</x:v>
      </x:c>
      <x:c r="N661" s="8" t="str">
        <x:f aca="0">IF(AND(ISNUMBER(I661),P661&lt;&gt;"Unresolved unit / layout"),I661*K661,"Not applicable")</x:f>
        <x:v>Not applicable</x:v>
      </x:c>
      <x:c r="O661" s="7" t="s">
        <x:v>1942</x:v>
      </x:c>
      <x:c r="P661" s="7" t="s">
        <x:v>1921</x:v>
      </x:c>
      <x:c r="Q661" s="7" t="s">
        <x:v>1930</x:v>
      </x:c>
      <x:c r="R661" s="7" t="s">
        <x:v>58</x:v>
      </x:c>
      <x:c r="S661" s="7" t="s">
        <x:v>2077</x:v>
      </x:c>
      <x:c r="T661" s="7" t="s">
        <x:v>3095</x:v>
      </x:c>
      <x:c r="U661" s="7" t="s">
        <x:v>53</x:v>
      </x:c>
      <x:c r="V661" s="7" t="s">
        <x:v>2192</x:v>
      </x:c>
      <x:c r="W661" s="7" t="s">
        <x:v>58</x:v>
      </x:c>
      <x:c r="X661" s="7" t="s">
        <x:v>3314</x:v>
      </x:c>
      <x:c r="Y661" s="7" t="s">
        <x:v>1222</x:v>
      </x:c>
      <x:c r="Z661" s="7" t="s">
        <x:v>2193</x:v>
      </x:c>
      <x:c r="AA661" s="7" t="s">
        <x:v>58</x:v>
      </x:c>
      <x:c r="AB661" s="8" t="s">
        <x:v>58</x:v>
      </x:c>
      <x:c r="AC661" s="8" t="s">
        <x:v>58</x:v>
      </x:c>
      <x:c r="AD661" s="8" t="s">
        <x:v>58</x:v>
      </x:c>
      <x:c r="AE661" s="8" t="s">
        <x:v>58</x:v>
      </x:c>
      <x:c r="AF661" s="8" t="s">
        <x:v>58</x:v>
      </x:c>
      <x:c r="AG661" s="7" t="s">
        <x:v>58</x:v>
      </x:c>
    </x:row>
    <x:row r="662" ht="79.5" hidden="0" customHeight="1">
      <x:c r="A662" s="7" t="s">
        <x:v>3323</x:v>
      </x:c>
      <x:c r="B662" s="7" t="s">
        <x:v>417</x:v>
      </x:c>
      <x:c r="C662" s="7" t="s">
        <x:v>419</x:v>
      </x:c>
      <x:c r="D662" s="7" t="s">
        <x:v>1935</x:v>
      </x:c>
      <x:c r="E662" s="7" t="s">
        <x:v>3324</x:v>
      </x:c>
      <x:c r="F662" s="7" t="s">
        <x:v>1929</x:v>
      </x:c>
      <x:c r="G662" s="8" t="n">
        <x:v>4200</x:v>
      </x:c>
      <x:c r="H662" s="8" t="n">
        <x:v>270</x:v>
      </x:c>
      <x:c r="I662" s="8" t="s">
        <x:v>58</x:v>
      </x:c>
      <x:c r="J662" s="7" t="s">
        <x:v>1919</x:v>
      </x:c>
      <x:c r="K662" s="8" t="n">
        <x:v>0.001</x:v>
      </x:c>
      <x:c r="L662" s="8" t="n">
        <x:f aca="0">IF(AND(ISNUMBER(G662),P662&lt;&gt;"Unresolved unit / layout"),G662*K662,"Not applicable")</x:f>
        <x:v>4.2</x:v>
      </x:c>
      <x:c r="M662" s="8" t="n">
        <x:f aca="0">IF(AND(ISNUMBER(H662),P662&lt;&gt;"Unresolved unit / layout"),H662*K662,"Not applicable")</x:f>
        <x:v>0.27</x:v>
      </x:c>
      <x:c r="N662" s="8" t="str">
        <x:f aca="0">IF(AND(ISNUMBER(I662),P662&lt;&gt;"Unresolved unit / layout"),I662*K662,"Not applicable")</x:f>
        <x:v>Not applicable</x:v>
      </x:c>
      <x:c r="O662" s="7" t="s">
        <x:v>1937</x:v>
      </x:c>
      <x:c r="P662" s="7" t="s">
        <x:v>1921</x:v>
      </x:c>
      <x:c r="Q662" s="7" t="s">
        <x:v>1930</x:v>
      </x:c>
      <x:c r="R662" s="7" t="s">
        <x:v>1931</x:v>
      </x:c>
      <x:c r="S662" s="7" t="s">
        <x:v>2077</x:v>
      </x:c>
      <x:c r="T662" s="7" t="s">
        <x:v>3095</x:v>
      </x:c>
      <x:c r="U662" s="7" t="s">
        <x:v>53</x:v>
      </x:c>
      <x:c r="V662" s="7" t="s">
        <x:v>1999</x:v>
      </x:c>
      <x:c r="W662" s="7" t="s">
        <x:v>58</x:v>
      </x:c>
      <x:c r="X662" s="7" t="s">
        <x:v>3314</x:v>
      </x:c>
      <x:c r="Y662" s="7" t="s">
        <x:v>1222</x:v>
      </x:c>
      <x:c r="Z662" s="7" t="s">
        <x:v>2105</x:v>
      </x:c>
      <x:c r="AA662" s="7" t="s">
        <x:v>58</x:v>
      </x:c>
      <x:c r="AB662" s="8" t="s">
        <x:v>58</x:v>
      </x:c>
      <x:c r="AC662" s="8" t="s">
        <x:v>58</x:v>
      </x:c>
      <x:c r="AD662" s="8" t="s">
        <x:v>58</x:v>
      </x:c>
      <x:c r="AE662" s="8" t="s">
        <x:v>58</x:v>
      </x:c>
      <x:c r="AF662" s="8" t="s">
        <x:v>58</x:v>
      </x:c>
      <x:c r="AG662" s="7" t="s">
        <x:v>58</x:v>
      </x:c>
    </x:row>
    <x:row r="663" ht="79.5" hidden="0" customHeight="1">
      <x:c r="A663" s="7" t="s">
        <x:v>3325</x:v>
      </x:c>
      <x:c r="B663" s="7" t="s">
        <x:v>417</x:v>
      </x:c>
      <x:c r="C663" s="7" t="s">
        <x:v>419</x:v>
      </x:c>
      <x:c r="D663" s="7" t="s">
        <x:v>1935</x:v>
      </x:c>
      <x:c r="E663" s="7" t="s">
        <x:v>3326</x:v>
      </x:c>
      <x:c r="F663" s="7" t="s">
        <x:v>3111</x:v>
      </x:c>
      <x:c r="G663" s="8" t="n">
        <x:v>2290</x:v>
      </x:c>
      <x:c r="H663" s="8" t="n">
        <x:v>260</x:v>
      </x:c>
      <x:c r="I663" s="8" t="s">
        <x:v>58</x:v>
      </x:c>
      <x:c r="J663" s="7" t="s">
        <x:v>1919</x:v>
      </x:c>
      <x:c r="K663" s="8" t="n">
        <x:v>0.001</x:v>
      </x:c>
      <x:c r="L663" s="8" t="n">
        <x:f aca="0">IF(AND(ISNUMBER(G663),P663&lt;&gt;"Unresolved unit / layout"),G663*K663,"Not applicable")</x:f>
        <x:v>2.29</x:v>
      </x:c>
      <x:c r="M663" s="8" t="n">
        <x:f aca="0">IF(AND(ISNUMBER(H663),P663&lt;&gt;"Unresolved unit / layout"),H663*K663,"Not applicable")</x:f>
        <x:v>0.26</x:v>
      </x:c>
      <x:c r="N663" s="8" t="str">
        <x:f aca="0">IF(AND(ISNUMBER(I663),P663&lt;&gt;"Unresolved unit / layout"),I663*K663,"Not applicable")</x:f>
        <x:v>Not applicable</x:v>
      </x:c>
      <x:c r="O663" s="7" t="s">
        <x:v>1937</x:v>
      </x:c>
      <x:c r="P663" s="7" t="s">
        <x:v>1921</x:v>
      </x:c>
      <x:c r="Q663" s="7" t="s">
        <x:v>1930</x:v>
      </x:c>
      <x:c r="R663" s="7" t="s">
        <x:v>2003</x:v>
      </x:c>
      <x:c r="S663" s="7" t="s">
        <x:v>2077</x:v>
      </x:c>
      <x:c r="T663" s="7" t="s">
        <x:v>3095</x:v>
      </x:c>
      <x:c r="U663" s="7" t="s">
        <x:v>53</x:v>
      </x:c>
      <x:c r="V663" s="7" t="s">
        <x:v>1999</x:v>
      </x:c>
      <x:c r="W663" s="7" t="s">
        <x:v>58</x:v>
      </x:c>
      <x:c r="X663" s="7" t="s">
        <x:v>3314</x:v>
      </x:c>
      <x:c r="Y663" s="7" t="s">
        <x:v>1222</x:v>
      </x:c>
      <x:c r="Z663" s="7" t="s">
        <x:v>2108</x:v>
      </x:c>
      <x:c r="AA663" s="7" t="s">
        <x:v>58</x:v>
      </x:c>
      <x:c r="AB663" s="8" t="s">
        <x:v>58</x:v>
      </x:c>
      <x:c r="AC663" s="8" t="s">
        <x:v>58</x:v>
      </x:c>
      <x:c r="AD663" s="8" t="s">
        <x:v>58</x:v>
      </x:c>
      <x:c r="AE663" s="8" t="s">
        <x:v>58</x:v>
      </x:c>
      <x:c r="AF663" s="8" t="s">
        <x:v>58</x:v>
      </x:c>
      <x:c r="AG663" s="7" t="s">
        <x:v>58</x:v>
      </x:c>
    </x:row>
    <x:row r="664" ht="79.5" hidden="0" customHeight="1">
      <x:c r="A664" s="7" t="s">
        <x:v>3327</x:v>
      </x:c>
      <x:c r="B664" s="7" t="s">
        <x:v>417</x:v>
      </x:c>
      <x:c r="C664" s="7" t="s">
        <x:v>419</x:v>
      </x:c>
      <x:c r="D664" s="7" t="s">
        <x:v>2006</x:v>
      </x:c>
      <x:c r="E664" s="7" t="s">
        <x:v>3328</x:v>
      </x:c>
      <x:c r="F664" s="7" t="s">
        <x:v>1929</x:v>
      </x:c>
      <x:c r="G664" s="8" t="n">
        <x:v>34</x:v>
      </x:c>
      <x:c r="H664" s="8" t="n">
        <x:v>3</x:v>
      </x:c>
      <x:c r="I664" s="8" t="s">
        <x:v>58</x:v>
      </x:c>
      <x:c r="J664" s="7" t="s">
        <x:v>1919</x:v>
      </x:c>
      <x:c r="K664" s="8" t="n">
        <x:v>1</x:v>
      </x:c>
      <x:c r="L664" s="8" t="n">
        <x:f aca="0">IF(AND(ISNUMBER(G664),P664&lt;&gt;"Unresolved unit / layout"),G664*K664,"Not applicable")</x:f>
        <x:v>34</x:v>
      </x:c>
      <x:c r="M664" s="8" t="n">
        <x:f aca="0">IF(AND(ISNUMBER(H664),P664&lt;&gt;"Unresolved unit / layout"),H664*K664,"Not applicable")</x:f>
        <x:v>3</x:v>
      </x:c>
      <x:c r="N664" s="8" t="str">
        <x:f aca="0">IF(AND(ISNUMBER(I664),P664&lt;&gt;"Unresolved unit / layout"),I664*K664,"Not applicable")</x:f>
        <x:v>Not applicable</x:v>
      </x:c>
      <x:c r="O664" s="7" t="s">
        <x:v>1929</x:v>
      </x:c>
      <x:c r="P664" s="7" t="s">
        <x:v>1921</x:v>
      </x:c>
      <x:c r="Q664" s="7" t="s">
        <x:v>1930</x:v>
      </x:c>
      <x:c r="R664" s="7" t="s">
        <x:v>1931</x:v>
      </x:c>
      <x:c r="S664" s="7" t="s">
        <x:v>2077</x:v>
      </x:c>
      <x:c r="T664" s="7" t="s">
        <x:v>3095</x:v>
      </x:c>
      <x:c r="U664" s="7" t="s">
        <x:v>53</x:v>
      </x:c>
      <x:c r="V664" s="7" t="s">
        <x:v>1999</x:v>
      </x:c>
      <x:c r="W664" s="7" t="s">
        <x:v>58</x:v>
      </x:c>
      <x:c r="X664" s="7" t="s">
        <x:v>3314</x:v>
      </x:c>
      <x:c r="Y664" s="7" t="s">
        <x:v>1222</x:v>
      </x:c>
      <x:c r="Z664" s="7" t="s">
        <x:v>2111</x:v>
      </x:c>
      <x:c r="AA664" s="7" t="s">
        <x:v>58</x:v>
      </x:c>
      <x:c r="AB664" s="8" t="s">
        <x:v>58</x:v>
      </x:c>
      <x:c r="AC664" s="8" t="s">
        <x:v>58</x:v>
      </x:c>
      <x:c r="AD664" s="8" t="s">
        <x:v>58</x:v>
      </x:c>
      <x:c r="AE664" s="8" t="s">
        <x:v>58</x:v>
      </x:c>
      <x:c r="AF664" s="8" t="s">
        <x:v>58</x:v>
      </x:c>
      <x:c r="AG664" s="7" t="s">
        <x:v>58</x:v>
      </x:c>
    </x:row>
    <x:row r="665" ht="79.5" hidden="0" customHeight="1">
      <x:c r="A665" s="7" t="s">
        <x:v>3329</x:v>
      </x:c>
      <x:c r="B665" s="7" t="s">
        <x:v>417</x:v>
      </x:c>
      <x:c r="C665" s="7" t="s">
        <x:v>419</x:v>
      </x:c>
      <x:c r="D665" s="7" t="s">
        <x:v>2006</x:v>
      </x:c>
      <x:c r="E665" s="7" t="s">
        <x:v>2428</x:v>
      </x:c>
      <x:c r="F665" s="7" t="s">
        <x:v>1929</x:v>
      </x:c>
      <x:c r="G665" s="8" t="n">
        <x:v>30</x:v>
      </x:c>
      <x:c r="H665" s="8" t="n">
        <x:v>4</x:v>
      </x:c>
      <x:c r="I665" s="8" t="s">
        <x:v>58</x:v>
      </x:c>
      <x:c r="J665" s="7" t="s">
        <x:v>1919</x:v>
      </x:c>
      <x:c r="K665" s="8" t="n">
        <x:v>1</x:v>
      </x:c>
      <x:c r="L665" s="8" t="n">
        <x:f aca="0">IF(AND(ISNUMBER(G665),P665&lt;&gt;"Unresolved unit / layout"),G665*K665,"Not applicable")</x:f>
        <x:v>30</x:v>
      </x:c>
      <x:c r="M665" s="8" t="n">
        <x:f aca="0">IF(AND(ISNUMBER(H665),P665&lt;&gt;"Unresolved unit / layout"),H665*K665,"Not applicable")</x:f>
        <x:v>4</x:v>
      </x:c>
      <x:c r="N665" s="8" t="str">
        <x:f aca="0">IF(AND(ISNUMBER(I665),P665&lt;&gt;"Unresolved unit / layout"),I665*K665,"Not applicable")</x:f>
        <x:v>Not applicable</x:v>
      </x:c>
      <x:c r="O665" s="7" t="s">
        <x:v>1929</x:v>
      </x:c>
      <x:c r="P665" s="7" t="s">
        <x:v>1921</x:v>
      </x:c>
      <x:c r="Q665" s="7" t="s">
        <x:v>1930</x:v>
      </x:c>
      <x:c r="R665" s="7" t="s">
        <x:v>2003</x:v>
      </x:c>
      <x:c r="S665" s="7" t="s">
        <x:v>2077</x:v>
      </x:c>
      <x:c r="T665" s="7" t="s">
        <x:v>3095</x:v>
      </x:c>
      <x:c r="U665" s="7" t="s">
        <x:v>53</x:v>
      </x:c>
      <x:c r="V665" s="7" t="s">
        <x:v>1999</x:v>
      </x:c>
      <x:c r="W665" s="7" t="s">
        <x:v>58</x:v>
      </x:c>
      <x:c r="X665" s="7" t="s">
        <x:v>3314</x:v>
      </x:c>
      <x:c r="Y665" s="7" t="s">
        <x:v>1222</x:v>
      </x:c>
      <x:c r="Z665" s="7" t="s">
        <x:v>2114</x:v>
      </x:c>
      <x:c r="AA665" s="7" t="s">
        <x:v>58</x:v>
      </x:c>
      <x:c r="AB665" s="8" t="s">
        <x:v>58</x:v>
      </x:c>
      <x:c r="AC665" s="8" t="s">
        <x:v>58</x:v>
      </x:c>
      <x:c r="AD665" s="8" t="s">
        <x:v>58</x:v>
      </x:c>
      <x:c r="AE665" s="8" t="s">
        <x:v>58</x:v>
      </x:c>
      <x:c r="AF665" s="8" t="s">
        <x:v>58</x:v>
      </x:c>
      <x:c r="AG665" s="7" t="s">
        <x:v>58</x:v>
      </x:c>
    </x:row>
    <x:row r="666" ht="79.5" hidden="0" customHeight="1">
      <x:c r="A666" s="7" t="s">
        <x:v>3330</x:v>
      </x:c>
      <x:c r="B666" s="7" t="s">
        <x:v>417</x:v>
      </x:c>
      <x:c r="C666" s="7" t="s">
        <x:v>419</x:v>
      </x:c>
      <x:c r="D666" s="7" t="s">
        <x:v>1940</x:v>
      </x:c>
      <x:c r="E666" s="7" t="s">
        <x:v>3331</x:v>
      </x:c>
      <x:c r="F666" s="7" t="s">
        <x:v>1942</x:v>
      </x:c>
      <x:c r="G666" s="8" t="n">
        <x:v>9.6</x:v>
      </x:c>
      <x:c r="H666" s="8" t="n">
        <x:v>1.4</x:v>
      </x:c>
      <x:c r="I666" s="8" t="s">
        <x:v>58</x:v>
      </x:c>
      <x:c r="J666" s="7" t="s">
        <x:v>1919</x:v>
      </x:c>
      <x:c r="K666" s="8" t="n">
        <x:v>1</x:v>
      </x:c>
      <x:c r="L666" s="8" t="n">
        <x:f aca="0">IF(AND(ISNUMBER(G666),P666&lt;&gt;"Unresolved unit / layout"),G666*K666,"Not applicable")</x:f>
        <x:v>9.6</x:v>
      </x:c>
      <x:c r="M666" s="8" t="n">
        <x:f aca="0">IF(AND(ISNUMBER(H666),P666&lt;&gt;"Unresolved unit / layout"),H666*K666,"Not applicable")</x:f>
        <x:v>1.4</x:v>
      </x:c>
      <x:c r="N666" s="8" t="str">
        <x:f aca="0">IF(AND(ISNUMBER(I666),P666&lt;&gt;"Unresolved unit / layout"),I666*K666,"Not applicable")</x:f>
        <x:v>Not applicable</x:v>
      </x:c>
      <x:c r="O666" s="7" t="s">
        <x:v>1942</x:v>
      </x:c>
      <x:c r="P666" s="7" t="s">
        <x:v>1921</x:v>
      </x:c>
      <x:c r="Q666" s="7" t="s">
        <x:v>1930</x:v>
      </x:c>
      <x:c r="R666" s="7" t="s">
        <x:v>1931</x:v>
      </x:c>
      <x:c r="S666" s="7" t="s">
        <x:v>2077</x:v>
      </x:c>
      <x:c r="T666" s="7" t="s">
        <x:v>3095</x:v>
      </x:c>
      <x:c r="U666" s="7" t="s">
        <x:v>53</x:v>
      </x:c>
      <x:c r="V666" s="7" t="s">
        <x:v>1999</x:v>
      </x:c>
      <x:c r="W666" s="7" t="s">
        <x:v>58</x:v>
      </x:c>
      <x:c r="X666" s="7" t="s">
        <x:v>3314</x:v>
      </x:c>
      <x:c r="Y666" s="7" t="s">
        <x:v>1222</x:v>
      </x:c>
      <x:c r="Z666" s="7" t="s">
        <x:v>2117</x:v>
      </x:c>
      <x:c r="AA666" s="7" t="s">
        <x:v>58</x:v>
      </x:c>
      <x:c r="AB666" s="8" t="s">
        <x:v>58</x:v>
      </x:c>
      <x:c r="AC666" s="8" t="s">
        <x:v>58</x:v>
      </x:c>
      <x:c r="AD666" s="8" t="s">
        <x:v>58</x:v>
      </x:c>
      <x:c r="AE666" s="8" t="s">
        <x:v>58</x:v>
      </x:c>
      <x:c r="AF666" s="8" t="s">
        <x:v>58</x:v>
      </x:c>
      <x:c r="AG666" s="7" t="s">
        <x:v>58</x:v>
      </x:c>
    </x:row>
    <x:row r="667" ht="79.5" hidden="0" customHeight="1">
      <x:c r="A667" s="7" t="s">
        <x:v>3332</x:v>
      </x:c>
      <x:c r="B667" s="7" t="s">
        <x:v>417</x:v>
      </x:c>
      <x:c r="C667" s="7" t="s">
        <x:v>419</x:v>
      </x:c>
      <x:c r="D667" s="7" t="s">
        <x:v>1940</x:v>
      </x:c>
      <x:c r="E667" s="7" t="s">
        <x:v>3333</x:v>
      </x:c>
      <x:c r="F667" s="7" t="s">
        <x:v>1942</x:v>
      </x:c>
      <x:c r="G667" s="8" t="n">
        <x:v>4.4</x:v>
      </x:c>
      <x:c r="H667" s="8" t="n">
        <x:v>0.8</x:v>
      </x:c>
      <x:c r="I667" s="8" t="s">
        <x:v>58</x:v>
      </x:c>
      <x:c r="J667" s="7" t="s">
        <x:v>1919</x:v>
      </x:c>
      <x:c r="K667" s="8" t="n">
        <x:v>1</x:v>
      </x:c>
      <x:c r="L667" s="8" t="n">
        <x:f aca="0">IF(AND(ISNUMBER(G667),P667&lt;&gt;"Unresolved unit / layout"),G667*K667,"Not applicable")</x:f>
        <x:v>4.4</x:v>
      </x:c>
      <x:c r="M667" s="8" t="n">
        <x:f aca="0">IF(AND(ISNUMBER(H667),P667&lt;&gt;"Unresolved unit / layout"),H667*K667,"Not applicable")</x:f>
        <x:v>0.8</x:v>
      </x:c>
      <x:c r="N667" s="8" t="str">
        <x:f aca="0">IF(AND(ISNUMBER(I667),P667&lt;&gt;"Unresolved unit / layout"),I667*K667,"Not applicable")</x:f>
        <x:v>Not applicable</x:v>
      </x:c>
      <x:c r="O667" s="7" t="s">
        <x:v>1942</x:v>
      </x:c>
      <x:c r="P667" s="7" t="s">
        <x:v>1921</x:v>
      </x:c>
      <x:c r="Q667" s="7" t="s">
        <x:v>1930</x:v>
      </x:c>
      <x:c r="R667" s="7" t="s">
        <x:v>2003</x:v>
      </x:c>
      <x:c r="S667" s="7" t="s">
        <x:v>2077</x:v>
      </x:c>
      <x:c r="T667" s="7" t="s">
        <x:v>3095</x:v>
      </x:c>
      <x:c r="U667" s="7" t="s">
        <x:v>53</x:v>
      </x:c>
      <x:c r="V667" s="7" t="s">
        <x:v>1999</x:v>
      </x:c>
      <x:c r="W667" s="7" t="s">
        <x:v>58</x:v>
      </x:c>
      <x:c r="X667" s="7" t="s">
        <x:v>3314</x:v>
      </x:c>
      <x:c r="Y667" s="7" t="s">
        <x:v>1222</x:v>
      </x:c>
      <x:c r="Z667" s="7" t="s">
        <x:v>2120</x:v>
      </x:c>
      <x:c r="AA667" s="7" t="s">
        <x:v>58</x:v>
      </x:c>
      <x:c r="AB667" s="8" t="s">
        <x:v>58</x:v>
      </x:c>
      <x:c r="AC667" s="8" t="s">
        <x:v>58</x:v>
      </x:c>
      <x:c r="AD667" s="8" t="s">
        <x:v>58</x:v>
      </x:c>
      <x:c r="AE667" s="8" t="s">
        <x:v>58</x:v>
      </x:c>
      <x:c r="AF667" s="8" t="s">
        <x:v>58</x:v>
      </x:c>
      <x:c r="AG667" s="7" t="s">
        <x:v>58</x:v>
      </x:c>
    </x:row>
    <x:row r="668" ht="79.5" hidden="0" customHeight="1">
      <x:c r="A668" s="7" t="s">
        <x:v>3334</x:v>
      </x:c>
      <x:c r="B668" s="7" t="s">
        <x:v>417</x:v>
      </x:c>
      <x:c r="C668" s="7" t="s">
        <x:v>419</x:v>
      </x:c>
      <x:c r="D668" s="7" t="s">
        <x:v>1950</x:v>
      </x:c>
      <x:c r="E668" s="7" t="s">
        <x:v>3335</x:v>
      </x:c>
      <x:c r="F668" s="7" t="s">
        <x:v>1929</x:v>
      </x:c>
      <x:c r="G668" s="8" t="n">
        <x:v>3740</x:v>
      </x:c>
      <x:c r="H668" s="8" t="n">
        <x:v>130</x:v>
      </x:c>
      <x:c r="I668" s="8" t="s">
        <x:v>58</x:v>
      </x:c>
      <x:c r="J668" s="7" t="s">
        <x:v>1919</x:v>
      </x:c>
      <x:c r="K668" s="8" t="n">
        <x:v>0.001</x:v>
      </x:c>
      <x:c r="L668" s="8" t="n">
        <x:f aca="0">IF(AND(ISNUMBER(G668),P668&lt;&gt;"Unresolved unit / layout"),G668*K668,"Not applicable")</x:f>
        <x:v>3.74</x:v>
      </x:c>
      <x:c r="M668" s="8" t="n">
        <x:f aca="0">IF(AND(ISNUMBER(H668),P668&lt;&gt;"Unresolved unit / layout"),H668*K668,"Not applicable")</x:f>
        <x:v>0.13</x:v>
      </x:c>
      <x:c r="N668" s="8" t="str">
        <x:f aca="0">IF(AND(ISNUMBER(I668),P668&lt;&gt;"Unresolved unit / layout"),I668*K668,"Not applicable")</x:f>
        <x:v>Not applicable</x:v>
      </x:c>
      <x:c r="O668" s="7" t="s">
        <x:v>1937</x:v>
      </x:c>
      <x:c r="P668" s="7" t="s">
        <x:v>1921</x:v>
      </x:c>
      <x:c r="Q668" s="7" t="s">
        <x:v>1930</x:v>
      </x:c>
      <x:c r="R668" s="7" t="s">
        <x:v>1931</x:v>
      </x:c>
      <x:c r="S668" s="7" t="s">
        <x:v>2077</x:v>
      </x:c>
      <x:c r="T668" s="7" t="s">
        <x:v>3095</x:v>
      </x:c>
      <x:c r="U668" s="7" t="s">
        <x:v>53</x:v>
      </x:c>
      <x:c r="V668" s="7" t="s">
        <x:v>2020</x:v>
      </x:c>
      <x:c r="W668" s="7" t="s">
        <x:v>58</x:v>
      </x:c>
      <x:c r="X668" s="7" t="s">
        <x:v>3314</x:v>
      </x:c>
      <x:c r="Y668" s="7" t="s">
        <x:v>1222</x:v>
      </x:c>
      <x:c r="Z668" s="7" t="s">
        <x:v>2123</x:v>
      </x:c>
      <x:c r="AA668" s="7" t="s">
        <x:v>58</x:v>
      </x:c>
      <x:c r="AB668" s="8" t="s">
        <x:v>58</x:v>
      </x:c>
      <x:c r="AC668" s="8" t="s">
        <x:v>58</x:v>
      </x:c>
      <x:c r="AD668" s="8" t="s">
        <x:v>58</x:v>
      </x:c>
      <x:c r="AE668" s="8" t="s">
        <x:v>58</x:v>
      </x:c>
      <x:c r="AF668" s="8" t="s">
        <x:v>58</x:v>
      </x:c>
      <x:c r="AG668" s="7" t="s">
        <x:v>58</x:v>
      </x:c>
    </x:row>
    <x:row r="669" ht="79.5" hidden="0" customHeight="1">
      <x:c r="A669" s="7" t="s">
        <x:v>3336</x:v>
      </x:c>
      <x:c r="B669" s="7" t="s">
        <x:v>417</x:v>
      </x:c>
      <x:c r="C669" s="7" t="s">
        <x:v>419</x:v>
      </x:c>
      <x:c r="D669" s="7" t="s">
        <x:v>1950</x:v>
      </x:c>
      <x:c r="E669" s="7" t="s">
        <x:v>3337</x:v>
      </x:c>
      <x:c r="F669" s="7" t="s">
        <x:v>1929</x:v>
      </x:c>
      <x:c r="G669" s="8" t="n">
        <x:v>1350</x:v>
      </x:c>
      <x:c r="H669" s="8" t="n">
        <x:v>120</x:v>
      </x:c>
      <x:c r="I669" s="8" t="s">
        <x:v>58</x:v>
      </x:c>
      <x:c r="J669" s="7" t="s">
        <x:v>1919</x:v>
      </x:c>
      <x:c r="K669" s="8" t="n">
        <x:v>0.001</x:v>
      </x:c>
      <x:c r="L669" s="8" t="n">
        <x:f aca="0">IF(AND(ISNUMBER(G669),P669&lt;&gt;"Unresolved unit / layout"),G669*K669,"Not applicable")</x:f>
        <x:v>1.35</x:v>
      </x:c>
      <x:c r="M669" s="8" t="n">
        <x:f aca="0">IF(AND(ISNUMBER(H669),P669&lt;&gt;"Unresolved unit / layout"),H669*K669,"Not applicable")</x:f>
        <x:v>0.12</x:v>
      </x:c>
      <x:c r="N669" s="8" t="str">
        <x:f aca="0">IF(AND(ISNUMBER(I669),P669&lt;&gt;"Unresolved unit / layout"),I669*K669,"Not applicable")</x:f>
        <x:v>Not applicable</x:v>
      </x:c>
      <x:c r="O669" s="7" t="s">
        <x:v>1937</x:v>
      </x:c>
      <x:c r="P669" s="7" t="s">
        <x:v>1921</x:v>
      </x:c>
      <x:c r="Q669" s="7" t="s">
        <x:v>1930</x:v>
      </x:c>
      <x:c r="R669" s="7" t="s">
        <x:v>2003</x:v>
      </x:c>
      <x:c r="S669" s="7" t="s">
        <x:v>2077</x:v>
      </x:c>
      <x:c r="T669" s="7" t="s">
        <x:v>3095</x:v>
      </x:c>
      <x:c r="U669" s="7" t="s">
        <x:v>53</x:v>
      </x:c>
      <x:c r="V669" s="7" t="s">
        <x:v>2020</x:v>
      </x:c>
      <x:c r="W669" s="7" t="s">
        <x:v>58</x:v>
      </x:c>
      <x:c r="X669" s="7" t="s">
        <x:v>3314</x:v>
      </x:c>
      <x:c r="Y669" s="7" t="s">
        <x:v>1222</x:v>
      </x:c>
      <x:c r="Z669" s="7" t="s">
        <x:v>2210</x:v>
      </x:c>
      <x:c r="AA669" s="7" t="s">
        <x:v>58</x:v>
      </x:c>
      <x:c r="AB669" s="8" t="s">
        <x:v>58</x:v>
      </x:c>
      <x:c r="AC669" s="8" t="s">
        <x:v>58</x:v>
      </x:c>
      <x:c r="AD669" s="8" t="s">
        <x:v>58</x:v>
      </x:c>
      <x:c r="AE669" s="8" t="s">
        <x:v>58</x:v>
      </x:c>
      <x:c r="AF669" s="8" t="s">
        <x:v>58</x:v>
      </x:c>
      <x:c r="AG669" s="7" t="s">
        <x:v>58</x:v>
      </x:c>
    </x:row>
    <x:row r="670" ht="79.5" hidden="0" customHeight="1">
      <x:c r="A670" s="7" t="s">
        <x:v>3338</x:v>
      </x:c>
      <x:c r="B670" s="7" t="s">
        <x:v>417</x:v>
      </x:c>
      <x:c r="C670" s="7" t="s">
        <x:v>419</x:v>
      </x:c>
      <x:c r="D670" s="7" t="s">
        <x:v>1945</x:v>
      </x:c>
      <x:c r="E670" s="7" t="s">
        <x:v>3339</x:v>
      </x:c>
      <x:c r="F670" s="7" t="s">
        <x:v>1929</x:v>
      </x:c>
      <x:c r="G670" s="8" t="n">
        <x:v>72</x:v>
      </x:c>
      <x:c r="H670" s="8" t="n">
        <x:v>5</x:v>
      </x:c>
      <x:c r="I670" s="8" t="s">
        <x:v>58</x:v>
      </x:c>
      <x:c r="J670" s="7" t="s">
        <x:v>1919</x:v>
      </x:c>
      <x:c r="K670" s="8" t="n">
        <x:v>1</x:v>
      </x:c>
      <x:c r="L670" s="8" t="n">
        <x:f aca="0">IF(AND(ISNUMBER(G670),P670&lt;&gt;"Unresolved unit / layout"),G670*K670,"Not applicable")</x:f>
        <x:v>72</x:v>
      </x:c>
      <x:c r="M670" s="8" t="n">
        <x:f aca="0">IF(AND(ISNUMBER(H670),P670&lt;&gt;"Unresolved unit / layout"),H670*K670,"Not applicable")</x:f>
        <x:v>5</x:v>
      </x:c>
      <x:c r="N670" s="8" t="str">
        <x:f aca="0">IF(AND(ISNUMBER(I670),P670&lt;&gt;"Unresolved unit / layout"),I670*K670,"Not applicable")</x:f>
        <x:v>Not applicable</x:v>
      </x:c>
      <x:c r="O670" s="7" t="s">
        <x:v>1929</x:v>
      </x:c>
      <x:c r="P670" s="7" t="s">
        <x:v>1921</x:v>
      </x:c>
      <x:c r="Q670" s="7" t="s">
        <x:v>1930</x:v>
      </x:c>
      <x:c r="R670" s="7" t="s">
        <x:v>1931</x:v>
      </x:c>
      <x:c r="S670" s="7" t="s">
        <x:v>2077</x:v>
      </x:c>
      <x:c r="T670" s="7" t="s">
        <x:v>3095</x:v>
      </x:c>
      <x:c r="U670" s="7" t="s">
        <x:v>53</x:v>
      </x:c>
      <x:c r="V670" s="7" t="s">
        <x:v>2020</x:v>
      </x:c>
      <x:c r="W670" s="7" t="s">
        <x:v>58</x:v>
      </x:c>
      <x:c r="X670" s="7" t="s">
        <x:v>3314</x:v>
      </x:c>
      <x:c r="Y670" s="7" t="s">
        <x:v>1222</x:v>
      </x:c>
      <x:c r="Z670" s="7" t="s">
        <x:v>2213</x:v>
      </x:c>
      <x:c r="AA670" s="7" t="s">
        <x:v>58</x:v>
      </x:c>
      <x:c r="AB670" s="8" t="s">
        <x:v>58</x:v>
      </x:c>
      <x:c r="AC670" s="8" t="s">
        <x:v>58</x:v>
      </x:c>
      <x:c r="AD670" s="8" t="s">
        <x:v>58</x:v>
      </x:c>
      <x:c r="AE670" s="8" t="s">
        <x:v>58</x:v>
      </x:c>
      <x:c r="AF670" s="8" t="s">
        <x:v>58</x:v>
      </x:c>
      <x:c r="AG670" s="7" t="s">
        <x:v>58</x:v>
      </x:c>
    </x:row>
    <x:row r="671" ht="79.5" hidden="0" customHeight="1">
      <x:c r="A671" s="7" t="s">
        <x:v>3340</x:v>
      </x:c>
      <x:c r="B671" s="7" t="s">
        <x:v>417</x:v>
      </x:c>
      <x:c r="C671" s="7" t="s">
        <x:v>419</x:v>
      </x:c>
      <x:c r="D671" s="7" t="s">
        <x:v>1945</x:v>
      </x:c>
      <x:c r="E671" s="7" t="s">
        <x:v>3113</x:v>
      </x:c>
      <x:c r="F671" s="7" t="s">
        <x:v>1929</x:v>
      </x:c>
      <x:c r="G671" s="8" t="n">
        <x:v>33</x:v>
      </x:c>
      <x:c r="H671" s="8" t="n">
        <x:v>3</x:v>
      </x:c>
      <x:c r="I671" s="8" t="s">
        <x:v>58</x:v>
      </x:c>
      <x:c r="J671" s="7" t="s">
        <x:v>1919</x:v>
      </x:c>
      <x:c r="K671" s="8" t="n">
        <x:v>1</x:v>
      </x:c>
      <x:c r="L671" s="8" t="n">
        <x:f aca="0">IF(AND(ISNUMBER(G671),P671&lt;&gt;"Unresolved unit / layout"),G671*K671,"Not applicable")</x:f>
        <x:v>33</x:v>
      </x:c>
      <x:c r="M671" s="8" t="n">
        <x:f aca="0">IF(AND(ISNUMBER(H671),P671&lt;&gt;"Unresolved unit / layout"),H671*K671,"Not applicable")</x:f>
        <x:v>3</x:v>
      </x:c>
      <x:c r="N671" s="8" t="str">
        <x:f aca="0">IF(AND(ISNUMBER(I671),P671&lt;&gt;"Unresolved unit / layout"),I671*K671,"Not applicable")</x:f>
        <x:v>Not applicable</x:v>
      </x:c>
      <x:c r="O671" s="7" t="s">
        <x:v>1929</x:v>
      </x:c>
      <x:c r="P671" s="7" t="s">
        <x:v>1921</x:v>
      </x:c>
      <x:c r="Q671" s="7" t="s">
        <x:v>1930</x:v>
      </x:c>
      <x:c r="R671" s="7" t="s">
        <x:v>2003</x:v>
      </x:c>
      <x:c r="S671" s="7" t="s">
        <x:v>2077</x:v>
      </x:c>
      <x:c r="T671" s="7" t="s">
        <x:v>3095</x:v>
      </x:c>
      <x:c r="U671" s="7" t="s">
        <x:v>53</x:v>
      </x:c>
      <x:c r="V671" s="7" t="s">
        <x:v>2020</x:v>
      </x:c>
      <x:c r="W671" s="7" t="s">
        <x:v>58</x:v>
      </x:c>
      <x:c r="X671" s="7" t="s">
        <x:v>3314</x:v>
      </x:c>
      <x:c r="Y671" s="7" t="s">
        <x:v>1222</x:v>
      </x:c>
      <x:c r="Z671" s="7" t="s">
        <x:v>2216</x:v>
      </x:c>
      <x:c r="AA671" s="7" t="s">
        <x:v>58</x:v>
      </x:c>
      <x:c r="AB671" s="8" t="s">
        <x:v>58</x:v>
      </x:c>
      <x:c r="AC671" s="8" t="s">
        <x:v>58</x:v>
      </x:c>
      <x:c r="AD671" s="8" t="s">
        <x:v>58</x:v>
      </x:c>
      <x:c r="AE671" s="8" t="s">
        <x:v>58</x:v>
      </x:c>
      <x:c r="AF671" s="8" t="s">
        <x:v>58</x:v>
      </x:c>
      <x:c r="AG671" s="7" t="s">
        <x:v>58</x:v>
      </x:c>
    </x:row>
    <x:row r="672" ht="79.5" hidden="0" customHeight="1">
      <x:c r="A672" s="7" t="s">
        <x:v>3341</x:v>
      </x:c>
      <x:c r="B672" s="7" t="s">
        <x:v>417</x:v>
      </x:c>
      <x:c r="C672" s="7" t="s">
        <x:v>419</x:v>
      </x:c>
      <x:c r="D672" s="7" t="s">
        <x:v>2030</x:v>
      </x:c>
      <x:c r="E672" s="7" t="s">
        <x:v>3342</x:v>
      </x:c>
      <x:c r="F672" s="7" t="s">
        <x:v>2033</x:v>
      </x:c>
      <x:c r="G672" s="8" t="n">
        <x:v>14</x:v>
      </x:c>
      <x:c r="H672" s="8" t="n">
        <x:v>2.2</x:v>
      </x:c>
      <x:c r="I672" s="8" t="s">
        <x:v>58</x:v>
      </x:c>
      <x:c r="J672" s="7" t="s">
        <x:v>1919</x:v>
      </x:c>
      <x:c r="K672" s="8" t="n">
        <x:v>1</x:v>
      </x:c>
      <x:c r="L672" s="8" t="n">
        <x:f aca="0">IF(AND(ISNUMBER(G672),P672&lt;&gt;"Unresolved unit / layout"),G672*K672,"Not applicable")</x:f>
        <x:v>14</x:v>
      </x:c>
      <x:c r="M672" s="8" t="n">
        <x:f aca="0">IF(AND(ISNUMBER(H672),P672&lt;&gt;"Unresolved unit / layout"),H672*K672,"Not applicable")</x:f>
        <x:v>2.2</x:v>
      </x:c>
      <x:c r="N672" s="8" t="str">
        <x:f aca="0">IF(AND(ISNUMBER(I672),P672&lt;&gt;"Unresolved unit / layout"),I672*K672,"Not applicable")</x:f>
        <x:v>Not applicable</x:v>
      </x:c>
      <x:c r="O672" s="7" t="s">
        <x:v>2033</x:v>
      </x:c>
      <x:c r="P672" s="7" t="s">
        <x:v>1921</x:v>
      </x:c>
      <x:c r="Q672" s="7" t="s">
        <x:v>1930</x:v>
      </x:c>
      <x:c r="R672" s="7" t="s">
        <x:v>1931</x:v>
      </x:c>
      <x:c r="S672" s="7" t="s">
        <x:v>2077</x:v>
      </x:c>
      <x:c r="T672" s="7" t="s">
        <x:v>3095</x:v>
      </x:c>
      <x:c r="U672" s="7" t="s">
        <x:v>53</x:v>
      </x:c>
      <x:c r="V672" s="7" t="s">
        <x:v>2036</x:v>
      </x:c>
      <x:c r="W672" s="7" t="s">
        <x:v>53</x:v>
      </x:c>
      <x:c r="X672" s="7" t="s">
        <x:v>3314</x:v>
      </x:c>
      <x:c r="Y672" s="7" t="s">
        <x:v>1222</x:v>
      </x:c>
      <x:c r="Z672" s="7" t="s">
        <x:v>2378</x:v>
      </x:c>
      <x:c r="AA672" s="7" t="s">
        <x:v>58</x:v>
      </x:c>
      <x:c r="AB672" s="8" t="s">
        <x:v>58</x:v>
      </x:c>
      <x:c r="AC672" s="8" t="s">
        <x:v>58</x:v>
      </x:c>
      <x:c r="AD672" s="8" t="s">
        <x:v>58</x:v>
      </x:c>
      <x:c r="AE672" s="8" t="s">
        <x:v>58</x:v>
      </x:c>
      <x:c r="AF672" s="8" t="s">
        <x:v>58</x:v>
      </x:c>
      <x:c r="AG672" s="7" t="s">
        <x:v>58</x:v>
      </x:c>
    </x:row>
    <x:row r="673" ht="79.5" hidden="0" customHeight="1">
      <x:c r="A673" s="7" t="s">
        <x:v>3343</x:v>
      </x:c>
      <x:c r="B673" s="7" t="s">
        <x:v>417</x:v>
      </x:c>
      <x:c r="C673" s="7" t="s">
        <x:v>419</x:v>
      </x:c>
      <x:c r="D673" s="7" t="s">
        <x:v>2030</x:v>
      </x:c>
      <x:c r="E673" s="7" t="s">
        <x:v>3344</x:v>
      </x:c>
      <x:c r="F673" s="7" t="s">
        <x:v>2033</x:v>
      </x:c>
      <x:c r="G673" s="8" t="n">
        <x:v>9.4</x:v>
      </x:c>
      <x:c r="H673" s="8" t="n">
        <x:v>0.6</x:v>
      </x:c>
      <x:c r="I673" s="8" t="s">
        <x:v>58</x:v>
      </x:c>
      <x:c r="J673" s="7" t="s">
        <x:v>1919</x:v>
      </x:c>
      <x:c r="K673" s="8" t="n">
        <x:v>1</x:v>
      </x:c>
      <x:c r="L673" s="8" t="n">
        <x:f aca="0">IF(AND(ISNUMBER(G673),P673&lt;&gt;"Unresolved unit / layout"),G673*K673,"Not applicable")</x:f>
        <x:v>9.4</x:v>
      </x:c>
      <x:c r="M673" s="8" t="n">
        <x:f aca="0">IF(AND(ISNUMBER(H673),P673&lt;&gt;"Unresolved unit / layout"),H673*K673,"Not applicable")</x:f>
        <x:v>0.6</x:v>
      </x:c>
      <x:c r="N673" s="8" t="str">
        <x:f aca="0">IF(AND(ISNUMBER(I673),P673&lt;&gt;"Unresolved unit / layout"),I673*K673,"Not applicable")</x:f>
        <x:v>Not applicable</x:v>
      </x:c>
      <x:c r="O673" s="7" t="s">
        <x:v>2033</x:v>
      </x:c>
      <x:c r="P673" s="7" t="s">
        <x:v>1921</x:v>
      </x:c>
      <x:c r="Q673" s="7" t="s">
        <x:v>1930</x:v>
      </x:c>
      <x:c r="R673" s="7" t="s">
        <x:v>2003</x:v>
      </x:c>
      <x:c r="S673" s="7" t="s">
        <x:v>2077</x:v>
      </x:c>
      <x:c r="T673" s="7" t="s">
        <x:v>3095</x:v>
      </x:c>
      <x:c r="U673" s="7" t="s">
        <x:v>53</x:v>
      </x:c>
      <x:c r="V673" s="7" t="s">
        <x:v>2343</x:v>
      </x:c>
      <x:c r="W673" s="7" t="s">
        <x:v>53</x:v>
      </x:c>
      <x:c r="X673" s="7" t="s">
        <x:v>3314</x:v>
      </x:c>
      <x:c r="Y673" s="7" t="s">
        <x:v>1222</x:v>
      </x:c>
      <x:c r="Z673" s="7" t="s">
        <x:v>2225</x:v>
      </x:c>
      <x:c r="AA673" s="7" t="s">
        <x:v>58</x:v>
      </x:c>
      <x:c r="AB673" s="8" t="s">
        <x:v>58</x:v>
      </x:c>
      <x:c r="AC673" s="8" t="s">
        <x:v>58</x:v>
      </x:c>
      <x:c r="AD673" s="8" t="s">
        <x:v>58</x:v>
      </x:c>
      <x:c r="AE673" s="8" t="s">
        <x:v>58</x:v>
      </x:c>
      <x:c r="AF673" s="8" t="s">
        <x:v>58</x:v>
      </x:c>
      <x:c r="AG673" s="7" t="s">
        <x:v>58</x:v>
      </x:c>
    </x:row>
    <x:row r="674" ht="51.75" hidden="0" customHeight="1">
      <x:c r="A674" s="7" t="s">
        <x:v>433</x:v>
      </x:c>
      <x:c r="B674" s="7" t="s">
        <x:v>428</x:v>
      </x:c>
      <x:c r="C674" s="7" t="s">
        <x:v>430</x:v>
      </x:c>
      <x:c r="D674" s="7" t="s">
        <x:v>1916</x:v>
      </x:c>
      <x:c r="E674" s="7" t="s">
        <x:v>3345</x:v>
      </x:c>
      <x:c r="F674" s="7" t="s">
        <x:v>1965</x:v>
      </x:c>
      <x:c r="G674" s="8" t="n">
        <x:v>1.11</x:v>
      </x:c>
      <x:c r="H674" s="8" t="s">
        <x:v>58</x:v>
      </x:c>
      <x:c r="I674" s="8" t="s">
        <x:v>58</x:v>
      </x:c>
      <x:c r="J674" s="7" t="s">
        <x:v>1919</x:v>
      </x:c>
      <x:c r="K674" s="8" t="n">
        <x:v>1000</x:v>
      </x:c>
      <x:c r="L674" s="8" t="n">
        <x:f aca="0">IF(AND(ISNUMBER(G674),P674&lt;&gt;"Unresolved unit / layout"),G674*K674,"Not applicable")</x:f>
        <x:v>1110</x:v>
      </x:c>
      <x:c r="M674" s="8" t="str">
        <x:f aca="0">IF(AND(ISNUMBER(H674),P674&lt;&gt;"Unresolved unit / layout"),H674*K674,"Not applicable")</x:f>
        <x:v>Not applicable</x:v>
      </x:c>
      <x:c r="N674" s="8" t="str">
        <x:f aca="0">IF(AND(ISNUMBER(I674),P674&lt;&gt;"Unresolved unit / layout"),I674*K674,"Not applicable")</x:f>
        <x:v>Not applicable</x:v>
      </x:c>
      <x:c r="O674" s="7" t="s">
        <x:v>1920</x:v>
      </x:c>
      <x:c r="P674" s="7" t="s">
        <x:v>1921</x:v>
      </x:c>
      <x:c r="Q674" s="7" t="s">
        <x:v>1922</x:v>
      </x:c>
      <x:c r="R674" s="7" t="s">
        <x:v>58</x:v>
      </x:c>
      <x:c r="S674" s="7" t="s">
        <x:v>53</x:v>
      </x:c>
      <x:c r="T674" s="7" t="s">
        <x:v>53</x:v>
      </x:c>
      <x:c r="U674" s="7" t="s">
        <x:v>53</x:v>
      </x:c>
      <x:c r="V674" s="7" t="s">
        <x:v>1923</x:v>
      </x:c>
      <x:c r="W674" s="7" t="s">
        <x:v>58</x:v>
      </x:c>
      <x:c r="X674" s="7" t="s">
        <x:v>53</x:v>
      </x:c>
      <x:c r="Y674" s="7" t="s">
        <x:v>1224</x:v>
      </x:c>
      <x:c r="Z674" s="7" t="s">
        <x:v>1925</x:v>
      </x:c>
      <x:c r="AA674" s="7" t="s">
        <x:v>58</x:v>
      </x:c>
      <x:c r="AB674" s="8" t="s">
        <x:v>58</x:v>
      </x:c>
      <x:c r="AC674" s="8" t="s">
        <x:v>58</x:v>
      </x:c>
      <x:c r="AD674" s="8" t="s">
        <x:v>58</x:v>
      </x:c>
      <x:c r="AE674" s="8" t="s">
        <x:v>58</x:v>
      </x:c>
      <x:c r="AF674" s="8" t="s">
        <x:v>58</x:v>
      </x:c>
      <x:c r="AG674" s="7" t="s">
        <x:v>58</x:v>
      </x:c>
    </x:row>
    <x:row r="675" ht="37.5" hidden="0" customHeight="1">
      <x:c r="A675" s="7" t="s">
        <x:v>3346</x:v>
      </x:c>
      <x:c r="B675" s="7" t="s">
        <x:v>428</x:v>
      </x:c>
      <x:c r="C675" s="7" t="s">
        <x:v>430</x:v>
      </x:c>
      <x:c r="D675" s="7" t="s">
        <x:v>1982</x:v>
      </x:c>
      <x:c r="E675" s="7" t="s">
        <x:v>3347</x:v>
      </x:c>
      <x:c r="F675" s="7" t="s">
        <x:v>1956</x:v>
      </x:c>
      <x:c r="G675" s="8" t="n">
        <x:v>98</x:v>
      </x:c>
      <x:c r="H675" s="8" t="s">
        <x:v>58</x:v>
      </x:c>
      <x:c r="I675" s="8" t="s">
        <x:v>58</x:v>
      </x:c>
      <x:c r="J675" s="7" t="s">
        <x:v>1919</x:v>
      </x:c>
      <x:c r="K675" s="8" t="n">
        <x:v>1</x:v>
      </x:c>
      <x:c r="L675" s="8" t="n">
        <x:f aca="0">IF(AND(ISNUMBER(G675),P675&lt;&gt;"Unresolved unit / layout"),G675*K675,"Not applicable")</x:f>
        <x:v>98</x:v>
      </x:c>
      <x:c r="M675" s="8" t="str">
        <x:f aca="0">IF(AND(ISNUMBER(H675),P675&lt;&gt;"Unresolved unit / layout"),H675*K675,"Not applicable")</x:f>
        <x:v>Not applicable</x:v>
      </x:c>
      <x:c r="N675" s="8" t="str">
        <x:f aca="0">IF(AND(ISNUMBER(I675),P675&lt;&gt;"Unresolved unit / layout"),I675*K675,"Not applicable")</x:f>
        <x:v>Not applicable</x:v>
      </x:c>
      <x:c r="O675" s="7" t="s">
        <x:v>1956</x:v>
      </x:c>
      <x:c r="P675" s="7" t="s">
        <x:v>1921</x:v>
      </x:c>
      <x:c r="Q675" s="7" t="s">
        <x:v>2064</x:v>
      </x:c>
      <x:c r="R675" s="7" t="s">
        <x:v>58</x:v>
      </x:c>
      <x:c r="S675" s="7" t="s">
        <x:v>53</x:v>
      </x:c>
      <x:c r="T675" s="7" t="s">
        <x:v>53</x:v>
      </x:c>
      <x:c r="U675" s="7" t="s">
        <x:v>53</x:v>
      </x:c>
      <x:c r="V675" s="7" t="s">
        <x:v>2854</x:v>
      </x:c>
      <x:c r="W675" s="7" t="s">
        <x:v>58</x:v>
      </x:c>
      <x:c r="X675" s="7" t="s">
        <x:v>53</x:v>
      </x:c>
      <x:c r="Y675" s="7" t="s">
        <x:v>1224</x:v>
      </x:c>
      <x:c r="Z675" s="7" t="s">
        <x:v>3348</x:v>
      </x:c>
      <x:c r="AA675" s="7" t="s">
        <x:v>58</x:v>
      </x:c>
      <x:c r="AB675" s="8" t="s">
        <x:v>58</x:v>
      </x:c>
      <x:c r="AC675" s="8" t="s">
        <x:v>58</x:v>
      </x:c>
      <x:c r="AD675" s="8" t="s">
        <x:v>58</x:v>
      </x:c>
      <x:c r="AE675" s="8" t="s">
        <x:v>58</x:v>
      </x:c>
      <x:c r="AF675" s="8" t="s">
        <x:v>58</x:v>
      </x:c>
      <x:c r="AG675" s="7" t="s">
        <x:v>58</x:v>
      </x:c>
    </x:row>
    <x:row r="676" ht="51.75" hidden="0" customHeight="1">
      <x:c r="A676" s="7" t="s">
        <x:v>3349</x:v>
      </x:c>
      <x:c r="B676" s="7" t="s">
        <x:v>428</x:v>
      </x:c>
      <x:c r="C676" s="7" t="s">
        <x:v>1225</x:v>
      </x:c>
      <x:c r="D676" s="7" t="s">
        <x:v>1916</x:v>
      </x:c>
      <x:c r="E676" s="7" t="s">
        <x:v>3350</x:v>
      </x:c>
      <x:c r="F676" s="7" t="s">
        <x:v>2076</x:v>
      </x:c>
      <x:c r="G676" s="8" t="n">
        <x:v>1.15</x:v>
      </x:c>
      <x:c r="H676" s="8" t="s">
        <x:v>58</x:v>
      </x:c>
      <x:c r="I676" s="8" t="n">
        <x:v>1.2</x:v>
      </x:c>
      <x:c r="J676" s="7" t="s">
        <x:v>1919</x:v>
      </x:c>
      <x:c r="K676" s="8" t="n">
        <x:v>1000</x:v>
      </x:c>
      <x:c r="L676" s="8" t="n">
        <x:f aca="0">IF(AND(ISNUMBER(G676),P676&lt;&gt;"Unresolved unit / layout"),G676*K676,"Not applicable")</x:f>
        <x:v>1150</x:v>
      </x:c>
      <x:c r="M676" s="8" t="str">
        <x:f aca="0">IF(AND(ISNUMBER(H676),P676&lt;&gt;"Unresolved unit / layout"),H676*K676,"Not applicable")</x:f>
        <x:v>Not applicable</x:v>
      </x:c>
      <x:c r="N676" s="8" t="n">
        <x:f aca="0">IF(AND(ISNUMBER(I676),P676&lt;&gt;"Unresolved unit / layout"),I676*K676,"Not applicable")</x:f>
        <x:v>1200</x:v>
      </x:c>
      <x:c r="O676" s="7" t="s">
        <x:v>1920</x:v>
      </x:c>
      <x:c r="P676" s="7" t="s">
        <x:v>1921</x:v>
      </x:c>
      <x:c r="Q676" s="7" t="s">
        <x:v>1922</x:v>
      </x:c>
      <x:c r="R676" s="7" t="s">
        <x:v>58</x:v>
      </x:c>
      <x:c r="S676" s="7" t="s">
        <x:v>53</x:v>
      </x:c>
      <x:c r="T676" s="7" t="s">
        <x:v>53</x:v>
      </x:c>
      <x:c r="U676" s="7" t="s">
        <x:v>53</x:v>
      </x:c>
      <x:c r="V676" s="7" t="s">
        <x:v>1923</x:v>
      </x:c>
      <x:c r="W676" s="7" t="s">
        <x:v>58</x:v>
      </x:c>
      <x:c r="X676" s="7" t="s">
        <x:v>53</x:v>
      </x:c>
      <x:c r="Y676" s="7" t="s">
        <x:v>1227</x:v>
      </x:c>
      <x:c r="Z676" s="7" t="s">
        <x:v>1925</x:v>
      </x:c>
      <x:c r="AA676" s="7" t="s">
        <x:v>58</x:v>
      </x:c>
      <x:c r="AB676" s="8" t="s">
        <x:v>58</x:v>
      </x:c>
      <x:c r="AC676" s="8" t="s">
        <x:v>58</x:v>
      </x:c>
      <x:c r="AD676" s="8" t="s">
        <x:v>58</x:v>
      </x:c>
      <x:c r="AE676" s="8" t="s">
        <x:v>58</x:v>
      </x:c>
      <x:c r="AF676" s="8" t="s">
        <x:v>58</x:v>
      </x:c>
      <x:c r="AG676" s="7" t="s">
        <x:v>58</x:v>
      </x:c>
    </x:row>
    <x:row r="677" ht="37.5" hidden="0" customHeight="1">
      <x:c r="A677" s="7" t="s">
        <x:v>3351</x:v>
      </x:c>
      <x:c r="B677" s="7" t="s">
        <x:v>428</x:v>
      </x:c>
      <x:c r="C677" s="7" t="s">
        <x:v>1225</x:v>
      </x:c>
      <x:c r="D677" s="7" t="s">
        <x:v>1974</x:v>
      </x:c>
      <x:c r="E677" s="7" t="s">
        <x:v>3352</x:v>
      </x:c>
      <x:c r="F677" s="7" t="s">
        <x:v>2273</x:v>
      </x:c>
      <x:c r="G677" s="8" t="n">
        <x:v>220</x:v>
      </x:c>
      <x:c r="H677" s="8" t="s">
        <x:v>58</x:v>
      </x:c>
      <x:c r="I677" s="8" t="s">
        <x:v>58</x:v>
      </x:c>
      <x:c r="J677" s="7" t="s">
        <x:v>1919</x:v>
      </x:c>
      <x:c r="K677" s="8" t="n">
        <x:v>1</x:v>
      </x:c>
      <x:c r="L677" s="8" t="n">
        <x:f aca="0">IF(AND(ISNUMBER(G677),P677&lt;&gt;"Unresolved unit / layout"),G677*K677,"Not applicable")</x:f>
        <x:v>220</x:v>
      </x:c>
      <x:c r="M677" s="8" t="str">
        <x:f aca="0">IF(AND(ISNUMBER(H677),P677&lt;&gt;"Unresolved unit / layout"),H677*K677,"Not applicable")</x:f>
        <x:v>Not applicable</x:v>
      </x:c>
      <x:c r="N677" s="8" t="str">
        <x:f aca="0">IF(AND(ISNUMBER(I677),P677&lt;&gt;"Unresolved unit / layout"),I677*K677,"Not applicable")</x:f>
        <x:v>Not applicable</x:v>
      </x:c>
      <x:c r="O677" s="7" t="s">
        <x:v>1956</x:v>
      </x:c>
      <x:c r="P677" s="7" t="s">
        <x:v>1921</x:v>
      </x:c>
      <x:c r="Q677" s="7" t="s">
        <x:v>2064</x:v>
      </x:c>
      <x:c r="R677" s="7" t="s">
        <x:v>58</x:v>
      </x:c>
      <x:c r="S677" s="7" t="s">
        <x:v>53</x:v>
      </x:c>
      <x:c r="T677" s="7" t="s">
        <x:v>53</x:v>
      </x:c>
      <x:c r="U677" s="7" t="s">
        <x:v>53</x:v>
      </x:c>
      <x:c r="V677" s="7" t="s">
        <x:v>53</x:v>
      </x:c>
      <x:c r="W677" s="7" t="s">
        <x:v>58</x:v>
      </x:c>
      <x:c r="X677" s="7" t="s">
        <x:v>53</x:v>
      </x:c>
      <x:c r="Y677" s="7" t="s">
        <x:v>1227</x:v>
      </x:c>
      <x:c r="Z677" s="7" t="s">
        <x:v>3003</x:v>
      </x:c>
      <x:c r="AA677" s="7" t="s">
        <x:v>58</x:v>
      </x:c>
      <x:c r="AB677" s="8" t="s">
        <x:v>58</x:v>
      </x:c>
      <x:c r="AC677" s="8" t="s">
        <x:v>58</x:v>
      </x:c>
      <x:c r="AD677" s="8" t="s">
        <x:v>58</x:v>
      </x:c>
      <x:c r="AE677" s="8" t="s">
        <x:v>58</x:v>
      </x:c>
      <x:c r="AF677" s="8" t="s">
        <x:v>58</x:v>
      </x:c>
      <x:c r="AG677" s="7" t="s">
        <x:v>58</x:v>
      </x:c>
    </x:row>
    <x:row r="678" ht="37.5" hidden="0" customHeight="1">
      <x:c r="A678" s="7" t="s">
        <x:v>3353</x:v>
      </x:c>
      <x:c r="B678" s="7" t="s">
        <x:v>428</x:v>
      </x:c>
      <x:c r="C678" s="7" t="s">
        <x:v>1225</x:v>
      </x:c>
      <x:c r="D678" s="7" t="s">
        <x:v>1945</x:v>
      </x:c>
      <x:c r="E678" s="7" t="s">
        <x:v>3354</x:v>
      </x:c>
      <x:c r="F678" s="7" t="s">
        <x:v>1929</x:v>
      </x:c>
      <x:c r="G678" s="8" t="n">
        <x:v>82</x:v>
      </x:c>
      <x:c r="H678" s="8" t="s">
        <x:v>58</x:v>
      </x:c>
      <x:c r="I678" s="8" t="s">
        <x:v>58</x:v>
      </x:c>
      <x:c r="J678" s="7" t="s">
        <x:v>1919</x:v>
      </x:c>
      <x:c r="K678" s="8" t="n">
        <x:v>1</x:v>
      </x:c>
      <x:c r="L678" s="8" t="n">
        <x:f aca="0">IF(AND(ISNUMBER(G678),P678&lt;&gt;"Unresolved unit / layout"),G678*K678,"Not applicable")</x:f>
        <x:v>82</x:v>
      </x:c>
      <x:c r="M678" s="8" t="str">
        <x:f aca="0">IF(AND(ISNUMBER(H678),P678&lt;&gt;"Unresolved unit / layout"),H678*K678,"Not applicable")</x:f>
        <x:v>Not applicable</x:v>
      </x:c>
      <x:c r="N678" s="8" t="str">
        <x:f aca="0">IF(AND(ISNUMBER(I678),P678&lt;&gt;"Unresolved unit / layout"),I678*K678,"Not applicable")</x:f>
        <x:v>Not applicable</x:v>
      </x:c>
      <x:c r="O678" s="7" t="s">
        <x:v>1929</x:v>
      </x:c>
      <x:c r="P678" s="7" t="s">
        <x:v>1921</x:v>
      </x:c>
      <x:c r="Q678" s="7" t="s">
        <x:v>2064</x:v>
      </x:c>
      <x:c r="R678" s="7" t="s">
        <x:v>53</x:v>
      </x:c>
      <x:c r="S678" s="7" t="s">
        <x:v>53</x:v>
      </x:c>
      <x:c r="T678" s="7" t="s">
        <x:v>53</x:v>
      </x:c>
      <x:c r="U678" s="7" t="s">
        <x:v>53</x:v>
      </x:c>
      <x:c r="V678" s="7" t="s">
        <x:v>1947</x:v>
      </x:c>
      <x:c r="W678" s="7" t="s">
        <x:v>58</x:v>
      </x:c>
      <x:c r="X678" s="7" t="s">
        <x:v>53</x:v>
      </x:c>
      <x:c r="Y678" s="7" t="s">
        <x:v>1227</x:v>
      </x:c>
      <x:c r="Z678" s="7" t="s">
        <x:v>3355</x:v>
      </x:c>
      <x:c r="AA678" s="7" t="s">
        <x:v>58</x:v>
      </x:c>
      <x:c r="AB678" s="8" t="s">
        <x:v>58</x:v>
      </x:c>
      <x:c r="AC678" s="8" t="s">
        <x:v>58</x:v>
      </x:c>
      <x:c r="AD678" s="8" t="s">
        <x:v>58</x:v>
      </x:c>
      <x:c r="AE678" s="8" t="s">
        <x:v>58</x:v>
      </x:c>
      <x:c r="AF678" s="8" t="s">
        <x:v>58</x:v>
      </x:c>
      <x:c r="AG678" s="7" t="s">
        <x:v>58</x:v>
      </x:c>
    </x:row>
    <x:row r="679" ht="37.5" hidden="0" customHeight="1">
      <x:c r="A679" s="7" t="s">
        <x:v>3356</x:v>
      </x:c>
      <x:c r="B679" s="7" t="s">
        <x:v>428</x:v>
      </x:c>
      <x:c r="C679" s="7" t="s">
        <x:v>1225</x:v>
      </x:c>
      <x:c r="D679" s="7" t="s">
        <x:v>3357</x:v>
      </x:c>
      <x:c r="E679" s="7" t="s">
        <x:v>3358</x:v>
      </x:c>
      <x:c r="F679" s="7" t="s">
        <x:v>3359</x:v>
      </x:c>
      <x:c r="G679" s="8" t="n">
        <x:v>9</x:v>
      </x:c>
      <x:c r="H679" s="8" t="s">
        <x:v>58</x:v>
      </x:c>
      <x:c r="I679" s="8" t="s">
        <x:v>58</x:v>
      </x:c>
      <x:c r="J679" s="7" t="s">
        <x:v>1919</x:v>
      </x:c>
      <x:c r="K679" s="8" t="n">
        <x:v>1</x:v>
      </x:c>
      <x:c r="L679" s="8" t="n">
        <x:f aca="0">IF(AND(ISNUMBER(G679),P679&lt;&gt;"Unresolved unit / layout"),G679*K679,"Not applicable")</x:f>
        <x:v>9</x:v>
      </x:c>
      <x:c r="M679" s="8" t="str">
        <x:f aca="0">IF(AND(ISNUMBER(H679),P679&lt;&gt;"Unresolved unit / layout"),H679*K679,"Not applicable")</x:f>
        <x:v>Not applicable</x:v>
      </x:c>
      <x:c r="N679" s="8" t="str">
        <x:f aca="0">IF(AND(ISNUMBER(I679),P679&lt;&gt;"Unresolved unit / layout"),I679*K679,"Not applicable")</x:f>
        <x:v>Not applicable</x:v>
      </x:c>
      <x:c r="O679" s="7" t="s">
        <x:v>2033</x:v>
      </x:c>
      <x:c r="P679" s="7" t="s">
        <x:v>1921</x:v>
      </x:c>
      <x:c r="Q679" s="7" t="s">
        <x:v>2064</x:v>
      </x:c>
      <x:c r="R679" s="7" t="s">
        <x:v>53</x:v>
      </x:c>
      <x:c r="S679" s="7" t="s">
        <x:v>53</x:v>
      </x:c>
      <x:c r="T679" s="7" t="s">
        <x:v>53</x:v>
      </x:c>
      <x:c r="U679" s="7" t="s">
        <x:v>53</x:v>
      </x:c>
      <x:c r="V679" s="7" t="s">
        <x:v>2836</x:v>
      </x:c>
      <x:c r="W679" s="7" t="s">
        <x:v>2139</x:v>
      </x:c>
      <x:c r="X679" s="7" t="s">
        <x:v>53</x:v>
      </x:c>
      <x:c r="Y679" s="7" t="s">
        <x:v>1227</x:v>
      </x:c>
      <x:c r="Z679" s="7" t="s">
        <x:v>3360</x:v>
      </x:c>
      <x:c r="AA679" s="7" t="s">
        <x:v>58</x:v>
      </x:c>
      <x:c r="AB679" s="8" t="s">
        <x:v>58</x:v>
      </x:c>
      <x:c r="AC679" s="8" t="s">
        <x:v>58</x:v>
      </x:c>
      <x:c r="AD679" s="8" t="s">
        <x:v>58</x:v>
      </x:c>
      <x:c r="AE679" s="8" t="s">
        <x:v>58</x:v>
      </x:c>
      <x:c r="AF679" s="8" t="s">
        <x:v>58</x:v>
      </x:c>
      <x:c r="AG679" s="7" t="s">
        <x:v>58</x:v>
      </x:c>
    </x:row>
    <x:row r="680" ht="79.5" hidden="0" customHeight="1">
      <x:c r="A680" s="7" t="s">
        <x:v>3361</x:v>
      </x:c>
      <x:c r="B680" s="7" t="s">
        <x:v>437</x:v>
      </x:c>
      <x:c r="C680" s="7" t="s">
        <x:v>440</x:v>
      </x:c>
      <x:c r="D680" s="7" t="s">
        <x:v>1916</x:v>
      </x:c>
      <x:c r="E680" s="7" t="s">
        <x:v>3362</x:v>
      </x:c>
      <x:c r="F680" s="7" t="s">
        <x:v>2076</x:v>
      </x:c>
      <x:c r="G680" s="8" t="n">
        <x:v>1.2</x:v>
      </x:c>
      <x:c r="H680" s="8" t="s">
        <x:v>58</x:v>
      </x:c>
      <x:c r="I680" s="8" t="s">
        <x:v>58</x:v>
      </x:c>
      <x:c r="J680" s="7" t="s">
        <x:v>1919</x:v>
      </x:c>
      <x:c r="K680" s="8" t="n">
        <x:v>1000</x:v>
      </x:c>
      <x:c r="L680" s="8" t="n">
        <x:f aca="0">IF(AND(ISNUMBER(G680),P680&lt;&gt;"Unresolved unit / layout"),G680*K680,"Not applicable")</x:f>
        <x:v>1200</x:v>
      </x:c>
      <x:c r="M680" s="8" t="str">
        <x:f aca="0">IF(AND(ISNUMBER(H680),P680&lt;&gt;"Unresolved unit / layout"),H680*K680,"Not applicable")</x:f>
        <x:v>Not applicable</x:v>
      </x:c>
      <x:c r="N680" s="8" t="str">
        <x:f aca="0">IF(AND(ISNUMBER(I680),P680&lt;&gt;"Unresolved unit / layout"),I680*K680,"Not applicable")</x:f>
        <x:v>Not applicable</x:v>
      </x:c>
      <x:c r="O680" s="7" t="s">
        <x:v>1920</x:v>
      </x:c>
      <x:c r="P680" s="7" t="s">
        <x:v>1921</x:v>
      </x:c>
      <x:c r="Q680" s="7" t="s">
        <x:v>1922</x:v>
      </x:c>
      <x:c r="R680" s="7" t="s">
        <x:v>58</x:v>
      </x:c>
      <x:c r="S680" s="7" t="s">
        <x:v>2077</x:v>
      </x:c>
      <x:c r="T680" s="7" t="s">
        <x:v>3363</x:v>
      </x:c>
      <x:c r="U680" s="7" t="s">
        <x:v>53</x:v>
      </x:c>
      <x:c r="V680" s="7" t="s">
        <x:v>1923</x:v>
      </x:c>
      <x:c r="W680" s="7" t="s">
        <x:v>58</x:v>
      </x:c>
      <x:c r="X680" s="7" t="s">
        <x:v>3364</x:v>
      </x:c>
      <x:c r="Y680" s="7" t="s">
        <x:v>1228</x:v>
      </x:c>
      <x:c r="Z680" s="7" t="s">
        <x:v>1968</x:v>
      </x:c>
      <x:c r="AA680" s="7" t="s">
        <x:v>58</x:v>
      </x:c>
      <x:c r="AB680" s="8" t="s">
        <x:v>58</x:v>
      </x:c>
      <x:c r="AC680" s="8" t="s">
        <x:v>58</x:v>
      </x:c>
      <x:c r="AD680" s="8" t="s">
        <x:v>58</x:v>
      </x:c>
      <x:c r="AE680" s="8" t="s">
        <x:v>58</x:v>
      </x:c>
      <x:c r="AF680" s="8" t="s">
        <x:v>58</x:v>
      </x:c>
      <x:c r="AG680" s="7" t="s">
        <x:v>58</x:v>
      </x:c>
    </x:row>
    <x:row r="681" ht="79.5" hidden="0" customHeight="1">
      <x:c r="A681" s="7" t="s">
        <x:v>3365</x:v>
      </x:c>
      <x:c r="B681" s="7" t="s">
        <x:v>437</x:v>
      </x:c>
      <x:c r="C681" s="7" t="s">
        <x:v>440</x:v>
      </x:c>
      <x:c r="D681" s="7" t="s">
        <x:v>1974</x:v>
      </x:c>
      <x:c r="E681" s="7" t="s">
        <x:v>2931</x:v>
      </x:c>
      <x:c r="F681" s="7" t="s">
        <x:v>1956</x:v>
      </x:c>
      <x:c r="G681" s="8" t="n">
        <x:v>228</x:v>
      </x:c>
      <x:c r="H681" s="8" t="s">
        <x:v>58</x:v>
      </x:c>
      <x:c r="I681" s="8" t="s">
        <x:v>58</x:v>
      </x:c>
      <x:c r="J681" s="7" t="s">
        <x:v>1919</x:v>
      </x:c>
      <x:c r="K681" s="8" t="n">
        <x:v>1</x:v>
      </x:c>
      <x:c r="L681" s="8" t="n">
        <x:f aca="0">IF(AND(ISNUMBER(G681),P681&lt;&gt;"Unresolved unit / layout"),G681*K681,"Not applicable")</x:f>
        <x:v>228</x:v>
      </x:c>
      <x:c r="M681" s="8" t="str">
        <x:f aca="0">IF(AND(ISNUMBER(H681),P681&lt;&gt;"Unresolved unit / layout"),H681*K681,"Not applicable")</x:f>
        <x:v>Not applicable</x:v>
      </x:c>
      <x:c r="N681" s="8" t="str">
        <x:f aca="0">IF(AND(ISNUMBER(I681),P681&lt;&gt;"Unresolved unit / layout"),I681*K681,"Not applicable")</x:f>
        <x:v>Not applicable</x:v>
      </x:c>
      <x:c r="O681" s="7" t="s">
        <x:v>1956</x:v>
      </x:c>
      <x:c r="P681" s="7" t="s">
        <x:v>1921</x:v>
      </x:c>
      <x:c r="Q681" s="7" t="s">
        <x:v>1930</x:v>
      </x:c>
      <x:c r="R681" s="7" t="s">
        <x:v>58</x:v>
      </x:c>
      <x:c r="S681" s="7" t="s">
        <x:v>2077</x:v>
      </x:c>
      <x:c r="T681" s="7" t="s">
        <x:v>3363</x:v>
      </x:c>
      <x:c r="U681" s="7" t="s">
        <x:v>53</x:v>
      </x:c>
      <x:c r="V681" s="7" t="s">
        <x:v>2082</x:v>
      </x:c>
      <x:c r="W681" s="7" t="s">
        <x:v>58</x:v>
      </x:c>
      <x:c r="X681" s="7" t="s">
        <x:v>3364</x:v>
      </x:c>
      <x:c r="Y681" s="7" t="s">
        <x:v>1228</x:v>
      </x:c>
      <x:c r="Z681" s="7" t="s">
        <x:v>2083</x:v>
      </x:c>
      <x:c r="AA681" s="7" t="s">
        <x:v>58</x:v>
      </x:c>
      <x:c r="AB681" s="8" t="s">
        <x:v>58</x:v>
      </x:c>
      <x:c r="AC681" s="8" t="s">
        <x:v>58</x:v>
      </x:c>
      <x:c r="AD681" s="8" t="s">
        <x:v>58</x:v>
      </x:c>
      <x:c r="AE681" s="8" t="s">
        <x:v>58</x:v>
      </x:c>
      <x:c r="AF681" s="8" t="s">
        <x:v>58</x:v>
      </x:c>
      <x:c r="AG681" s="7" t="s">
        <x:v>58</x:v>
      </x:c>
    </x:row>
    <x:row r="682" ht="79.5" hidden="0" customHeight="1">
      <x:c r="A682" s="7" t="s">
        <x:v>3366</x:v>
      </x:c>
      <x:c r="B682" s="7" t="s">
        <x:v>437</x:v>
      </x:c>
      <x:c r="C682" s="7" t="s">
        <x:v>440</x:v>
      </x:c>
      <x:c r="D682" s="7" t="s">
        <x:v>1954</x:v>
      </x:c>
      <x:c r="E682" s="7" t="s">
        <x:v>3367</x:v>
      </x:c>
      <x:c r="F682" s="7" t="s">
        <x:v>1956</x:v>
      </x:c>
      <x:c r="G682" s="8" t="n">
        <x:v>145</x:v>
      </x:c>
      <x:c r="H682" s="8" t="s">
        <x:v>58</x:v>
      </x:c>
      <x:c r="I682" s="8" t="s">
        <x:v>58</x:v>
      </x:c>
      <x:c r="J682" s="7" t="s">
        <x:v>1919</x:v>
      </x:c>
      <x:c r="K682" s="8" t="n">
        <x:v>1</x:v>
      </x:c>
      <x:c r="L682" s="8" t="n">
        <x:f aca="0">IF(AND(ISNUMBER(G682),P682&lt;&gt;"Unresolved unit / layout"),G682*K682,"Not applicable")</x:f>
        <x:v>145</x:v>
      </x:c>
      <x:c r="M682" s="8" t="str">
        <x:f aca="0">IF(AND(ISNUMBER(H682),P682&lt;&gt;"Unresolved unit / layout"),H682*K682,"Not applicable")</x:f>
        <x:v>Not applicable</x:v>
      </x:c>
      <x:c r="N682" s="8" t="str">
        <x:f aca="0">IF(AND(ISNUMBER(I682),P682&lt;&gt;"Unresolved unit / layout"),I682*K682,"Not applicable")</x:f>
        <x:v>Not applicable</x:v>
      </x:c>
      <x:c r="O682" s="7" t="s">
        <x:v>1956</x:v>
      </x:c>
      <x:c r="P682" s="7" t="s">
        <x:v>1921</x:v>
      </x:c>
      <x:c r="Q682" s="7" t="s">
        <x:v>1930</x:v>
      </x:c>
      <x:c r="R682" s="7" t="s">
        <x:v>58</x:v>
      </x:c>
      <x:c r="S682" s="7" t="s">
        <x:v>2077</x:v>
      </x:c>
      <x:c r="T682" s="7" t="s">
        <x:v>3363</x:v>
      </x:c>
      <x:c r="U682" s="7" t="s">
        <x:v>53</x:v>
      </x:c>
      <x:c r="V682" s="7" t="s">
        <x:v>2082</x:v>
      </x:c>
      <x:c r="W682" s="7" t="s">
        <x:v>58</x:v>
      </x:c>
      <x:c r="X682" s="7" t="s">
        <x:v>3364</x:v>
      </x:c>
      <x:c r="Y682" s="7" t="s">
        <x:v>1228</x:v>
      </x:c>
      <x:c r="Z682" s="7" t="s">
        <x:v>2086</x:v>
      </x:c>
      <x:c r="AA682" s="7" t="s">
        <x:v>58</x:v>
      </x:c>
      <x:c r="AB682" s="8" t="s">
        <x:v>58</x:v>
      </x:c>
      <x:c r="AC682" s="8" t="s">
        <x:v>58</x:v>
      </x:c>
      <x:c r="AD682" s="8" t="s">
        <x:v>58</x:v>
      </x:c>
      <x:c r="AE682" s="8" t="s">
        <x:v>58</x:v>
      </x:c>
      <x:c r="AF682" s="8" t="s">
        <x:v>58</x:v>
      </x:c>
      <x:c r="AG682" s="7" t="s">
        <x:v>58</x:v>
      </x:c>
    </x:row>
    <x:row r="683" ht="79.5" hidden="0" customHeight="1">
      <x:c r="A683" s="7" t="s">
        <x:v>3368</x:v>
      </x:c>
      <x:c r="B683" s="7" t="s">
        <x:v>437</x:v>
      </x:c>
      <x:c r="C683" s="7" t="s">
        <x:v>440</x:v>
      </x:c>
      <x:c r="D683" s="7" t="s">
        <x:v>1978</x:v>
      </x:c>
      <x:c r="E683" s="7" t="s">
        <x:v>1995</x:v>
      </x:c>
      <x:c r="F683" s="7" t="s">
        <x:v>1956</x:v>
      </x:c>
      <x:c r="G683" s="8" t="s">
        <x:v>53</x:v>
      </x:c>
      <x:c r="H683" s="8" t="s">
        <x:v>58</x:v>
      </x:c>
      <x:c r="I683" s="8" t="s">
        <x:v>58</x:v>
      </x:c>
      <x:c r="J683" s="7" t="s">
        <x:v>58</x:v>
      </x:c>
      <x:c r="K683" s="8" t="n">
        <x:v>1</x:v>
      </x:c>
      <x:c r="L683" s="8" t="str">
        <x:f aca="0">IF(AND(ISNUMBER(G683),P683&lt;&gt;"Unresolved unit / layout"),G683*K683,"Not published")</x:f>
        <x:v>Not published</x:v>
      </x:c>
      <x:c r="M683" s="8" t="str">
        <x:f aca="0">IF(AND(ISNUMBER(H683),P683&lt;&gt;"Unresolved unit / layout"),H683*K683,"Not applicable")</x:f>
        <x:v>Not applicable</x:v>
      </x:c>
      <x:c r="N683" s="8" t="str">
        <x:f aca="0">IF(AND(ISNUMBER(I683),P683&lt;&gt;"Unresolved unit / layout"),I683*K683,"Not applicable")</x:f>
        <x:v>Not applicable</x:v>
      </x:c>
      <x:c r="O683" s="7" t="s">
        <x:v>1956</x:v>
      </x:c>
      <x:c r="P683" s="7" t="s">
        <x:v>53</x:v>
      </x:c>
      <x:c r="Q683" s="7" t="s">
        <x:v>1930</x:v>
      </x:c>
      <x:c r="R683" s="7" t="s">
        <x:v>58</x:v>
      </x:c>
      <x:c r="S683" s="7" t="s">
        <x:v>2077</x:v>
      </x:c>
      <x:c r="T683" s="7" t="s">
        <x:v>3363</x:v>
      </x:c>
      <x:c r="U683" s="7" t="s">
        <x:v>53</x:v>
      </x:c>
      <x:c r="V683" s="7" t="s">
        <x:v>2082</x:v>
      </x:c>
      <x:c r="W683" s="7" t="s">
        <x:v>58</x:v>
      </x:c>
      <x:c r="X683" s="7" t="s">
        <x:v>3364</x:v>
      </x:c>
      <x:c r="Y683" s="7" t="s">
        <x:v>1228</x:v>
      </x:c>
      <x:c r="Z683" s="7" t="s">
        <x:v>2188</x:v>
      </x:c>
      <x:c r="AA683" s="7" t="s">
        <x:v>58</x:v>
      </x:c>
      <x:c r="AB683" s="8" t="s">
        <x:v>58</x:v>
      </x:c>
      <x:c r="AC683" s="8" t="s">
        <x:v>58</x:v>
      </x:c>
      <x:c r="AD683" s="8" t="s">
        <x:v>58</x:v>
      </x:c>
      <x:c r="AE683" s="8" t="s">
        <x:v>58</x:v>
      </x:c>
      <x:c r="AF683" s="8" t="s">
        <x:v>58</x:v>
      </x:c>
      <x:c r="AG683" s="7" t="s">
        <x:v>58</x:v>
      </x:c>
    </x:row>
    <x:row r="684" ht="79.5" hidden="0" customHeight="1">
      <x:c r="A684" s="7" t="s">
        <x:v>3369</x:v>
      </x:c>
      <x:c r="B684" s="7" t="s">
        <x:v>437</x:v>
      </x:c>
      <x:c r="C684" s="7" t="s">
        <x:v>440</x:v>
      </x:c>
      <x:c r="D684" s="7" t="s">
        <x:v>1982</x:v>
      </x:c>
      <x:c r="E684" s="7" t="s">
        <x:v>3370</x:v>
      </x:c>
      <x:c r="F684" s="7" t="s">
        <x:v>1956</x:v>
      </x:c>
      <x:c r="G684" s="8" t="n">
        <x:v>119</x:v>
      </x:c>
      <x:c r="H684" s="8" t="s">
        <x:v>58</x:v>
      </x:c>
      <x:c r="I684" s="8" t="s">
        <x:v>58</x:v>
      </x:c>
      <x:c r="J684" s="7" t="s">
        <x:v>1919</x:v>
      </x:c>
      <x:c r="K684" s="8" t="n">
        <x:v>1</x:v>
      </x:c>
      <x:c r="L684" s="8" t="n">
        <x:f aca="0">IF(AND(ISNUMBER(G684),P684&lt;&gt;"Unresolved unit / layout"),G684*K684,"Not applicable")</x:f>
        <x:v>119</x:v>
      </x:c>
      <x:c r="M684" s="8" t="str">
        <x:f aca="0">IF(AND(ISNUMBER(H684),P684&lt;&gt;"Unresolved unit / layout"),H684*K684,"Not applicable")</x:f>
        <x:v>Not applicable</x:v>
      </x:c>
      <x:c r="N684" s="8" t="str">
        <x:f aca="0">IF(AND(ISNUMBER(I684),P684&lt;&gt;"Unresolved unit / layout"),I684*K684,"Not applicable")</x:f>
        <x:v>Not applicable</x:v>
      </x:c>
      <x:c r="O684" s="7" t="s">
        <x:v>1956</x:v>
      </x:c>
      <x:c r="P684" s="7" t="s">
        <x:v>1921</x:v>
      </x:c>
      <x:c r="Q684" s="7" t="s">
        <x:v>1930</x:v>
      </x:c>
      <x:c r="R684" s="7" t="s">
        <x:v>58</x:v>
      </x:c>
      <x:c r="S684" s="7" t="s">
        <x:v>2077</x:v>
      </x:c>
      <x:c r="T684" s="7" t="s">
        <x:v>3363</x:v>
      </x:c>
      <x:c r="U684" s="7" t="s">
        <x:v>53</x:v>
      </x:c>
      <x:c r="V684" s="7" t="s">
        <x:v>1984</x:v>
      </x:c>
      <x:c r="W684" s="7" t="s">
        <x:v>58</x:v>
      </x:c>
      <x:c r="X684" s="7" t="s">
        <x:v>3364</x:v>
      </x:c>
      <x:c r="Y684" s="7" t="s">
        <x:v>1228</x:v>
      </x:c>
      <x:c r="Z684" s="7" t="s">
        <x:v>2092</x:v>
      </x:c>
      <x:c r="AA684" s="7" t="s">
        <x:v>58</x:v>
      </x:c>
      <x:c r="AB684" s="8" t="s">
        <x:v>58</x:v>
      </x:c>
      <x:c r="AC684" s="8" t="s">
        <x:v>58</x:v>
      </x:c>
      <x:c r="AD684" s="8" t="s">
        <x:v>58</x:v>
      </x:c>
      <x:c r="AE684" s="8" t="s">
        <x:v>58</x:v>
      </x:c>
      <x:c r="AF684" s="8" t="s">
        <x:v>58</x:v>
      </x:c>
      <x:c r="AG684" s="7" t="s">
        <x:v>58</x:v>
      </x:c>
    </x:row>
    <x:row r="685" ht="79.5" hidden="0" customHeight="1">
      <x:c r="A685" s="7" t="s">
        <x:v>3371</x:v>
      </x:c>
      <x:c r="B685" s="7" t="s">
        <x:v>437</x:v>
      </x:c>
      <x:c r="C685" s="7" t="s">
        <x:v>440</x:v>
      </x:c>
      <x:c r="D685" s="7" t="s">
        <x:v>1959</x:v>
      </x:c>
      <x:c r="E685" s="7" t="s">
        <x:v>3372</x:v>
      </x:c>
      <x:c r="F685" s="7" t="s">
        <x:v>1956</x:v>
      </x:c>
      <x:c r="G685" s="8" t="n">
        <x:v>117</x:v>
      </x:c>
      <x:c r="H685" s="8" t="s">
        <x:v>58</x:v>
      </x:c>
      <x:c r="I685" s="8" t="s">
        <x:v>58</x:v>
      </x:c>
      <x:c r="J685" s="7" t="s">
        <x:v>1919</x:v>
      </x:c>
      <x:c r="K685" s="8" t="n">
        <x:v>1</x:v>
      </x:c>
      <x:c r="L685" s="8" t="n">
        <x:f aca="0">IF(AND(ISNUMBER(G685),P685&lt;&gt;"Unresolved unit / layout"),G685*K685,"Not applicable")</x:f>
        <x:v>117</x:v>
      </x:c>
      <x:c r="M685" s="8" t="str">
        <x:f aca="0">IF(AND(ISNUMBER(H685),P685&lt;&gt;"Unresolved unit / layout"),H685*K685,"Not applicable")</x:f>
        <x:v>Not applicable</x:v>
      </x:c>
      <x:c r="N685" s="8" t="str">
        <x:f aca="0">IF(AND(ISNUMBER(I685),P685&lt;&gt;"Unresolved unit / layout"),I685*K685,"Not applicable")</x:f>
        <x:v>Not applicable</x:v>
      </x:c>
      <x:c r="O685" s="7" t="s">
        <x:v>1956</x:v>
      </x:c>
      <x:c r="P685" s="7" t="s">
        <x:v>1921</x:v>
      </x:c>
      <x:c r="Q685" s="7" t="s">
        <x:v>1930</x:v>
      </x:c>
      <x:c r="R685" s="7" t="s">
        <x:v>58</x:v>
      </x:c>
      <x:c r="S685" s="7" t="s">
        <x:v>2077</x:v>
      </x:c>
      <x:c r="T685" s="7" t="s">
        <x:v>3363</x:v>
      </x:c>
      <x:c r="U685" s="7" t="s">
        <x:v>53</x:v>
      </x:c>
      <x:c r="V685" s="7" t="s">
        <x:v>2095</x:v>
      </x:c>
      <x:c r="W685" s="7" t="s">
        <x:v>58</x:v>
      </x:c>
      <x:c r="X685" s="7" t="s">
        <x:v>3364</x:v>
      </x:c>
      <x:c r="Y685" s="7" t="s">
        <x:v>1228</x:v>
      </x:c>
      <x:c r="Z685" s="7" t="s">
        <x:v>2096</x:v>
      </x:c>
      <x:c r="AA685" s="7" t="s">
        <x:v>58</x:v>
      </x:c>
      <x:c r="AB685" s="8" t="s">
        <x:v>58</x:v>
      </x:c>
      <x:c r="AC685" s="8" t="s">
        <x:v>58</x:v>
      </x:c>
      <x:c r="AD685" s="8" t="s">
        <x:v>58</x:v>
      </x:c>
      <x:c r="AE685" s="8" t="s">
        <x:v>58</x:v>
      </x:c>
      <x:c r="AF685" s="8" t="s">
        <x:v>58</x:v>
      </x:c>
      <x:c r="AG685" s="7" t="s">
        <x:v>58</x:v>
      </x:c>
    </x:row>
    <x:row r="686" ht="79.5" hidden="0" customHeight="1">
      <x:c r="A686" s="7" t="s">
        <x:v>446</x:v>
      </x:c>
      <x:c r="B686" s="7" t="s">
        <x:v>437</x:v>
      </x:c>
      <x:c r="C686" s="7" t="s">
        <x:v>440</x:v>
      </x:c>
      <x:c r="D686" s="7" t="s">
        <x:v>1959</x:v>
      </x:c>
      <x:c r="E686" s="7" t="s">
        <x:v>3373</x:v>
      </x:c>
      <x:c r="F686" s="7" t="s">
        <x:v>1956</x:v>
      </x:c>
      <x:c r="G686" s="8" t="n">
        <x:v>112</x:v>
      </x:c>
      <x:c r="H686" s="8" t="s">
        <x:v>58</x:v>
      </x:c>
      <x:c r="I686" s="8" t="s">
        <x:v>58</x:v>
      </x:c>
      <x:c r="J686" s="7" t="s">
        <x:v>1919</x:v>
      </x:c>
      <x:c r="K686" s="8" t="n">
        <x:v>1</x:v>
      </x:c>
      <x:c r="L686" s="8" t="n">
        <x:f aca="0">IF(AND(ISNUMBER(G686),P686&lt;&gt;"Unresolved unit / layout"),G686*K686,"Not applicable")</x:f>
        <x:v>112</x:v>
      </x:c>
      <x:c r="M686" s="8" t="str">
        <x:f aca="0">IF(AND(ISNUMBER(H686),P686&lt;&gt;"Unresolved unit / layout"),H686*K686,"Not applicable")</x:f>
        <x:v>Not applicable</x:v>
      </x:c>
      <x:c r="N686" s="8" t="str">
        <x:f aca="0">IF(AND(ISNUMBER(I686),P686&lt;&gt;"Unresolved unit / layout"),I686*K686,"Not applicable")</x:f>
        <x:v>Not applicable</x:v>
      </x:c>
      <x:c r="O686" s="7" t="s">
        <x:v>1956</x:v>
      </x:c>
      <x:c r="P686" s="7" t="s">
        <x:v>1921</x:v>
      </x:c>
      <x:c r="Q686" s="7" t="s">
        <x:v>1930</x:v>
      </x:c>
      <x:c r="R686" s="7" t="s">
        <x:v>58</x:v>
      </x:c>
      <x:c r="S686" s="7" t="s">
        <x:v>2077</x:v>
      </x:c>
      <x:c r="T686" s="7" t="s">
        <x:v>3363</x:v>
      </x:c>
      <x:c r="U686" s="7" t="s">
        <x:v>53</x:v>
      </x:c>
      <x:c r="V686" s="7" t="s">
        <x:v>2097</x:v>
      </x:c>
      <x:c r="W686" s="7" t="s">
        <x:v>58</x:v>
      </x:c>
      <x:c r="X686" s="7" t="s">
        <x:v>3364</x:v>
      </x:c>
      <x:c r="Y686" s="7" t="s">
        <x:v>1228</x:v>
      </x:c>
      <x:c r="Z686" s="7" t="s">
        <x:v>2096</x:v>
      </x:c>
      <x:c r="AA686" s="7" t="s">
        <x:v>58</x:v>
      </x:c>
      <x:c r="AB686" s="8" t="s">
        <x:v>58</x:v>
      </x:c>
      <x:c r="AC686" s="8" t="s">
        <x:v>58</x:v>
      </x:c>
      <x:c r="AD686" s="8" t="s">
        <x:v>58</x:v>
      </x:c>
      <x:c r="AE686" s="8" t="s">
        <x:v>58</x:v>
      </x:c>
      <x:c r="AF686" s="8" t="s">
        <x:v>58</x:v>
      </x:c>
      <x:c r="AG686" s="7" t="s">
        <x:v>58</x:v>
      </x:c>
    </x:row>
    <x:row r="687" ht="79.5" hidden="0" customHeight="1">
      <x:c r="A687" s="7" t="s">
        <x:v>3374</x:v>
      </x:c>
      <x:c r="B687" s="7" t="s">
        <x:v>437</x:v>
      </x:c>
      <x:c r="C687" s="7" t="s">
        <x:v>440</x:v>
      </x:c>
      <x:c r="D687" s="7" t="s">
        <x:v>2099</x:v>
      </x:c>
      <x:c r="E687" s="7" t="s">
        <x:v>3375</x:v>
      </x:c>
      <x:c r="F687" s="7" t="s">
        <x:v>1942</x:v>
      </x:c>
      <x:c r="G687" s="8" t="n">
        <x:v>0.25</x:v>
      </x:c>
      <x:c r="H687" s="8" t="s">
        <x:v>58</x:v>
      </x:c>
      <x:c r="I687" s="8" t="s">
        <x:v>58</x:v>
      </x:c>
      <x:c r="J687" s="7" t="s">
        <x:v>1919</x:v>
      </x:c>
      <x:c r="K687" s="8" t="n">
        <x:v>1</x:v>
      </x:c>
      <x:c r="L687" s="8" t="n">
        <x:f aca="0">IF(AND(ISNUMBER(G687),P687&lt;&gt;"Unresolved unit / layout"),G687*K687,"Not applicable")</x:f>
        <x:v>0.25</x:v>
      </x:c>
      <x:c r="M687" s="8" t="str">
        <x:f aca="0">IF(AND(ISNUMBER(H687),P687&lt;&gt;"Unresolved unit / layout"),H687*K687,"Not applicable")</x:f>
        <x:v>Not applicable</x:v>
      </x:c>
      <x:c r="N687" s="8" t="str">
        <x:f aca="0">IF(AND(ISNUMBER(I687),P687&lt;&gt;"Unresolved unit / layout"),I687*K687,"Not applicable")</x:f>
        <x:v>Not applicable</x:v>
      </x:c>
      <x:c r="O687" s="7" t="s">
        <x:v>1942</x:v>
      </x:c>
      <x:c r="P687" s="7" t="s">
        <x:v>1921</x:v>
      </x:c>
      <x:c r="Q687" s="7" t="s">
        <x:v>1930</x:v>
      </x:c>
      <x:c r="R687" s="7" t="s">
        <x:v>58</x:v>
      </x:c>
      <x:c r="S687" s="7" t="s">
        <x:v>2077</x:v>
      </x:c>
      <x:c r="T687" s="7" t="s">
        <x:v>3363</x:v>
      </x:c>
      <x:c r="U687" s="7" t="s">
        <x:v>53</x:v>
      </x:c>
      <x:c r="V687" s="7" t="s">
        <x:v>2192</x:v>
      </x:c>
      <x:c r="W687" s="7" t="s">
        <x:v>58</x:v>
      </x:c>
      <x:c r="X687" s="7" t="s">
        <x:v>3364</x:v>
      </x:c>
      <x:c r="Y687" s="7" t="s">
        <x:v>1228</x:v>
      </x:c>
      <x:c r="Z687" s="7" t="s">
        <x:v>2193</x:v>
      </x:c>
      <x:c r="AA687" s="7" t="s">
        <x:v>58</x:v>
      </x:c>
      <x:c r="AB687" s="8" t="s">
        <x:v>58</x:v>
      </x:c>
      <x:c r="AC687" s="8" t="s">
        <x:v>58</x:v>
      </x:c>
      <x:c r="AD687" s="8" t="s">
        <x:v>58</x:v>
      </x:c>
      <x:c r="AE687" s="8" t="s">
        <x:v>58</x:v>
      </x:c>
      <x:c r="AF687" s="8" t="s">
        <x:v>58</x:v>
      </x:c>
      <x:c r="AG687" s="7" t="s">
        <x:v>58</x:v>
      </x:c>
    </x:row>
    <x:row r="688" ht="79.5" hidden="0" customHeight="1">
      <x:c r="A688" s="7" t="s">
        <x:v>3376</x:v>
      </x:c>
      <x:c r="B688" s="7" t="s">
        <x:v>437</x:v>
      </x:c>
      <x:c r="C688" s="7" t="s">
        <x:v>440</x:v>
      </x:c>
      <x:c r="D688" s="7" t="s">
        <x:v>1935</x:v>
      </x:c>
      <x:c r="E688" s="7" t="s">
        <x:v>3377</x:v>
      </x:c>
      <x:c r="F688" s="7" t="s">
        <x:v>1929</x:v>
      </x:c>
      <x:c r="G688" s="8" t="n">
        <x:v>2110</x:v>
      </x:c>
      <x:c r="H688" s="8" t="n">
        <x:v>40</x:v>
      </x:c>
      <x:c r="I688" s="8" t="s">
        <x:v>58</x:v>
      </x:c>
      <x:c r="J688" s="7" t="s">
        <x:v>1919</x:v>
      </x:c>
      <x:c r="K688" s="8" t="n">
        <x:v>0.001</x:v>
      </x:c>
      <x:c r="L688" s="8" t="n">
        <x:f aca="0">IF(AND(ISNUMBER(G688),P688&lt;&gt;"Unresolved unit / layout"),G688*K688,"Not applicable")</x:f>
        <x:v>2.11</x:v>
      </x:c>
      <x:c r="M688" s="8" t="n">
        <x:f aca="0">IF(AND(ISNUMBER(H688),P688&lt;&gt;"Unresolved unit / layout"),H688*K688,"Not applicable")</x:f>
        <x:v>0.04</x:v>
      </x:c>
      <x:c r="N688" s="8" t="str">
        <x:f aca="0">IF(AND(ISNUMBER(I688),P688&lt;&gt;"Unresolved unit / layout"),I688*K688,"Not applicable")</x:f>
        <x:v>Not applicable</x:v>
      </x:c>
      <x:c r="O688" s="7" t="s">
        <x:v>1937</x:v>
      </x:c>
      <x:c r="P688" s="7" t="s">
        <x:v>1921</x:v>
      </x:c>
      <x:c r="Q688" s="7" t="s">
        <x:v>1930</x:v>
      </x:c>
      <x:c r="R688" s="7" t="s">
        <x:v>1931</x:v>
      </x:c>
      <x:c r="S688" s="7" t="s">
        <x:v>3378</x:v>
      </x:c>
      <x:c r="T688" s="7" t="s">
        <x:v>3363</x:v>
      </x:c>
      <x:c r="U688" s="7" t="s">
        <x:v>53</x:v>
      </x:c>
      <x:c r="V688" s="7" t="s">
        <x:v>1999</x:v>
      </x:c>
      <x:c r="W688" s="7" t="s">
        <x:v>58</x:v>
      </x:c>
      <x:c r="X688" s="7" t="s">
        <x:v>3364</x:v>
      </x:c>
      <x:c r="Y688" s="7" t="s">
        <x:v>1228</x:v>
      </x:c>
      <x:c r="Z688" s="7" t="s">
        <x:v>2105</x:v>
      </x:c>
      <x:c r="AA688" s="7" t="s">
        <x:v>58</x:v>
      </x:c>
      <x:c r="AB688" s="8" t="s">
        <x:v>58</x:v>
      </x:c>
      <x:c r="AC688" s="8" t="s">
        <x:v>58</x:v>
      </x:c>
      <x:c r="AD688" s="8" t="s">
        <x:v>58</x:v>
      </x:c>
      <x:c r="AE688" s="8" t="s">
        <x:v>58</x:v>
      </x:c>
      <x:c r="AF688" s="8" t="s">
        <x:v>58</x:v>
      </x:c>
      <x:c r="AG688" s="7" t="s">
        <x:v>58</x:v>
      </x:c>
    </x:row>
    <x:row r="689" ht="79.5" hidden="0" customHeight="1">
      <x:c r="A689" s="7" t="s">
        <x:v>3379</x:v>
      </x:c>
      <x:c r="B689" s="7" t="s">
        <x:v>437</x:v>
      </x:c>
      <x:c r="C689" s="7" t="s">
        <x:v>440</x:v>
      </x:c>
      <x:c r="D689" s="7" t="s">
        <x:v>1935</x:v>
      </x:c>
      <x:c r="E689" s="7" t="s">
        <x:v>3380</x:v>
      </x:c>
      <x:c r="F689" s="7" t="s">
        <x:v>1929</x:v>
      </x:c>
      <x:c r="G689" s="8" t="n">
        <x:v>1450</x:v>
      </x:c>
      <x:c r="H689" s="8" t="n">
        <x:v>60</x:v>
      </x:c>
      <x:c r="I689" s="8" t="s">
        <x:v>58</x:v>
      </x:c>
      <x:c r="J689" s="7" t="s">
        <x:v>1919</x:v>
      </x:c>
      <x:c r="K689" s="8" t="n">
        <x:v>0.001</x:v>
      </x:c>
      <x:c r="L689" s="8" t="n">
        <x:f aca="0">IF(AND(ISNUMBER(G689),P689&lt;&gt;"Unresolved unit / layout"),G689*K689,"Not applicable")</x:f>
        <x:v>1.45</x:v>
      </x:c>
      <x:c r="M689" s="8" t="n">
        <x:f aca="0">IF(AND(ISNUMBER(H689),P689&lt;&gt;"Unresolved unit / layout"),H689*K689,"Not applicable")</x:f>
        <x:v>0.06</x:v>
      </x:c>
      <x:c r="N689" s="8" t="str">
        <x:f aca="0">IF(AND(ISNUMBER(I689),P689&lt;&gt;"Unresolved unit / layout"),I689*K689,"Not applicable")</x:f>
        <x:v>Not applicable</x:v>
      </x:c>
      <x:c r="O689" s="7" t="s">
        <x:v>1937</x:v>
      </x:c>
      <x:c r="P689" s="7" t="s">
        <x:v>1921</x:v>
      </x:c>
      <x:c r="Q689" s="7" t="s">
        <x:v>1930</x:v>
      </x:c>
      <x:c r="R689" s="7" t="s">
        <x:v>2003</x:v>
      </x:c>
      <x:c r="S689" s="7" t="s">
        <x:v>3378</x:v>
      </x:c>
      <x:c r="T689" s="7" t="s">
        <x:v>3363</x:v>
      </x:c>
      <x:c r="U689" s="7" t="s">
        <x:v>53</x:v>
      </x:c>
      <x:c r="V689" s="7" t="s">
        <x:v>1999</x:v>
      </x:c>
      <x:c r="W689" s="7" t="s">
        <x:v>58</x:v>
      </x:c>
      <x:c r="X689" s="7" t="s">
        <x:v>3364</x:v>
      </x:c>
      <x:c r="Y689" s="7" t="s">
        <x:v>1228</x:v>
      </x:c>
      <x:c r="Z689" s="7" t="s">
        <x:v>2108</x:v>
      </x:c>
      <x:c r="AA689" s="7" t="s">
        <x:v>58</x:v>
      </x:c>
      <x:c r="AB689" s="8" t="s">
        <x:v>58</x:v>
      </x:c>
      <x:c r="AC689" s="8" t="s">
        <x:v>58</x:v>
      </x:c>
      <x:c r="AD689" s="8" t="s">
        <x:v>58</x:v>
      </x:c>
      <x:c r="AE689" s="8" t="s">
        <x:v>58</x:v>
      </x:c>
      <x:c r="AF689" s="8" t="s">
        <x:v>58</x:v>
      </x:c>
      <x:c r="AG689" s="7" t="s">
        <x:v>58</x:v>
      </x:c>
    </x:row>
    <x:row r="690" ht="79.5" hidden="0" customHeight="1">
      <x:c r="A690" s="7" t="s">
        <x:v>3381</x:v>
      </x:c>
      <x:c r="B690" s="7" t="s">
        <x:v>437</x:v>
      </x:c>
      <x:c r="C690" s="7" t="s">
        <x:v>440</x:v>
      </x:c>
      <x:c r="D690" s="7" t="s">
        <x:v>2006</x:v>
      </x:c>
      <x:c r="E690" s="7" t="s">
        <x:v>3382</x:v>
      </x:c>
      <x:c r="F690" s="7" t="s">
        <x:v>1929</x:v>
      </x:c>
      <x:c r="G690" s="8" t="n">
        <x:v>62</x:v>
      </x:c>
      <x:c r="H690" s="8" t="n">
        <x:v>2</x:v>
      </x:c>
      <x:c r="I690" s="8" t="s">
        <x:v>58</x:v>
      </x:c>
      <x:c r="J690" s="7" t="s">
        <x:v>1919</x:v>
      </x:c>
      <x:c r="K690" s="8" t="n">
        <x:v>1</x:v>
      </x:c>
      <x:c r="L690" s="8" t="n">
        <x:f aca="0">IF(AND(ISNUMBER(G690),P690&lt;&gt;"Unresolved unit / layout"),G690*K690,"Not applicable")</x:f>
        <x:v>62</x:v>
      </x:c>
      <x:c r="M690" s="8" t="n">
        <x:f aca="0">IF(AND(ISNUMBER(H690),P690&lt;&gt;"Unresolved unit / layout"),H690*K690,"Not applicable")</x:f>
        <x:v>2</x:v>
      </x:c>
      <x:c r="N690" s="8" t="str">
        <x:f aca="0">IF(AND(ISNUMBER(I690),P690&lt;&gt;"Unresolved unit / layout"),I690*K690,"Not applicable")</x:f>
        <x:v>Not applicable</x:v>
      </x:c>
      <x:c r="O690" s="7" t="s">
        <x:v>1929</x:v>
      </x:c>
      <x:c r="P690" s="7" t="s">
        <x:v>1921</x:v>
      </x:c>
      <x:c r="Q690" s="7" t="s">
        <x:v>1930</x:v>
      </x:c>
      <x:c r="R690" s="7" t="s">
        <x:v>1931</x:v>
      </x:c>
      <x:c r="S690" s="7" t="s">
        <x:v>3378</x:v>
      </x:c>
      <x:c r="T690" s="7" t="s">
        <x:v>3363</x:v>
      </x:c>
      <x:c r="U690" s="7" t="s">
        <x:v>53</x:v>
      </x:c>
      <x:c r="V690" s="7" t="s">
        <x:v>1999</x:v>
      </x:c>
      <x:c r="W690" s="7" t="s">
        <x:v>58</x:v>
      </x:c>
      <x:c r="X690" s="7" t="s">
        <x:v>3364</x:v>
      </x:c>
      <x:c r="Y690" s="7" t="s">
        <x:v>1228</x:v>
      </x:c>
      <x:c r="Z690" s="7" t="s">
        <x:v>2111</x:v>
      </x:c>
      <x:c r="AA690" s="7" t="s">
        <x:v>58</x:v>
      </x:c>
      <x:c r="AB690" s="8" t="s">
        <x:v>58</x:v>
      </x:c>
      <x:c r="AC690" s="8" t="s">
        <x:v>58</x:v>
      </x:c>
      <x:c r="AD690" s="8" t="s">
        <x:v>58</x:v>
      </x:c>
      <x:c r="AE690" s="8" t="s">
        <x:v>58</x:v>
      </x:c>
      <x:c r="AF690" s="8" t="s">
        <x:v>58</x:v>
      </x:c>
      <x:c r="AG690" s="7" t="s">
        <x:v>58</x:v>
      </x:c>
    </x:row>
    <x:row r="691" ht="79.5" hidden="0" customHeight="1">
      <x:c r="A691" s="7" t="s">
        <x:v>3383</x:v>
      </x:c>
      <x:c r="B691" s="7" t="s">
        <x:v>437</x:v>
      </x:c>
      <x:c r="C691" s="7" t="s">
        <x:v>440</x:v>
      </x:c>
      <x:c r="D691" s="7" t="s">
        <x:v>2006</x:v>
      </x:c>
      <x:c r="E691" s="7" t="s">
        <x:v>3384</x:v>
      </x:c>
      <x:c r="F691" s="7" t="s">
        <x:v>1929</x:v>
      </x:c>
      <x:c r="G691" s="8" t="n">
        <x:v>56</x:v>
      </x:c>
      <x:c r="H691" s="8" t="n">
        <x:v>2</x:v>
      </x:c>
      <x:c r="I691" s="8" t="s">
        <x:v>58</x:v>
      </x:c>
      <x:c r="J691" s="7" t="s">
        <x:v>1919</x:v>
      </x:c>
      <x:c r="K691" s="8" t="n">
        <x:v>1</x:v>
      </x:c>
      <x:c r="L691" s="8" t="n">
        <x:f aca="0">IF(AND(ISNUMBER(G691),P691&lt;&gt;"Unresolved unit / layout"),G691*K691,"Not applicable")</x:f>
        <x:v>56</x:v>
      </x:c>
      <x:c r="M691" s="8" t="n">
        <x:f aca="0">IF(AND(ISNUMBER(H691),P691&lt;&gt;"Unresolved unit / layout"),H691*K691,"Not applicable")</x:f>
        <x:v>2</x:v>
      </x:c>
      <x:c r="N691" s="8" t="str">
        <x:f aca="0">IF(AND(ISNUMBER(I691),P691&lt;&gt;"Unresolved unit / layout"),I691*K691,"Not applicable")</x:f>
        <x:v>Not applicable</x:v>
      </x:c>
      <x:c r="O691" s="7" t="s">
        <x:v>1929</x:v>
      </x:c>
      <x:c r="P691" s="7" t="s">
        <x:v>1921</x:v>
      </x:c>
      <x:c r="Q691" s="7" t="s">
        <x:v>1930</x:v>
      </x:c>
      <x:c r="R691" s="7" t="s">
        <x:v>2003</x:v>
      </x:c>
      <x:c r="S691" s="7" t="s">
        <x:v>3378</x:v>
      </x:c>
      <x:c r="T691" s="7" t="s">
        <x:v>3363</x:v>
      </x:c>
      <x:c r="U691" s="7" t="s">
        <x:v>53</x:v>
      </x:c>
      <x:c r="V691" s="7" t="s">
        <x:v>1999</x:v>
      </x:c>
      <x:c r="W691" s="7" t="s">
        <x:v>58</x:v>
      </x:c>
      <x:c r="X691" s="7" t="s">
        <x:v>3364</x:v>
      </x:c>
      <x:c r="Y691" s="7" t="s">
        <x:v>1228</x:v>
      </x:c>
      <x:c r="Z691" s="7" t="s">
        <x:v>2114</x:v>
      </x:c>
      <x:c r="AA691" s="7" t="s">
        <x:v>58</x:v>
      </x:c>
      <x:c r="AB691" s="8" t="s">
        <x:v>58</x:v>
      </x:c>
      <x:c r="AC691" s="8" t="s">
        <x:v>58</x:v>
      </x:c>
      <x:c r="AD691" s="8" t="s">
        <x:v>58</x:v>
      </x:c>
      <x:c r="AE691" s="8" t="s">
        <x:v>58</x:v>
      </x:c>
      <x:c r="AF691" s="8" t="s">
        <x:v>58</x:v>
      </x:c>
      <x:c r="AG691" s="7" t="s">
        <x:v>58</x:v>
      </x:c>
    </x:row>
    <x:row r="692" ht="79.5" hidden="0" customHeight="1">
      <x:c r="A692" s="7" t="s">
        <x:v>3385</x:v>
      </x:c>
      <x:c r="B692" s="7" t="s">
        <x:v>437</x:v>
      </x:c>
      <x:c r="C692" s="7" t="s">
        <x:v>440</x:v>
      </x:c>
      <x:c r="D692" s="7" t="s">
        <x:v>1940</x:v>
      </x:c>
      <x:c r="E692" s="7" t="s">
        <x:v>3386</x:v>
      </x:c>
      <x:c r="F692" s="7" t="s">
        <x:v>1942</x:v>
      </x:c>
      <x:c r="G692" s="8" t="n">
        <x:v>3.8</x:v>
      </x:c>
      <x:c r="H692" s="8" t="n">
        <x:v>0.3</x:v>
      </x:c>
      <x:c r="I692" s="8" t="s">
        <x:v>58</x:v>
      </x:c>
      <x:c r="J692" s="7" t="s">
        <x:v>1919</x:v>
      </x:c>
      <x:c r="K692" s="8" t="n">
        <x:v>1</x:v>
      </x:c>
      <x:c r="L692" s="8" t="n">
        <x:f aca="0">IF(AND(ISNUMBER(G692),P692&lt;&gt;"Unresolved unit / layout"),G692*K692,"Not applicable")</x:f>
        <x:v>3.8</x:v>
      </x:c>
      <x:c r="M692" s="8" t="n">
        <x:f aca="0">IF(AND(ISNUMBER(H692),P692&lt;&gt;"Unresolved unit / layout"),H692*K692,"Not applicable")</x:f>
        <x:v>0.3</x:v>
      </x:c>
      <x:c r="N692" s="8" t="str">
        <x:f aca="0">IF(AND(ISNUMBER(I692),P692&lt;&gt;"Unresolved unit / layout"),I692*K692,"Not applicable")</x:f>
        <x:v>Not applicable</x:v>
      </x:c>
      <x:c r="O692" s="7" t="s">
        <x:v>1942</x:v>
      </x:c>
      <x:c r="P692" s="7" t="s">
        <x:v>1921</x:v>
      </x:c>
      <x:c r="Q692" s="7" t="s">
        <x:v>1930</x:v>
      </x:c>
      <x:c r="R692" s="7" t="s">
        <x:v>1931</x:v>
      </x:c>
      <x:c r="S692" s="7" t="s">
        <x:v>3378</x:v>
      </x:c>
      <x:c r="T692" s="7" t="s">
        <x:v>3363</x:v>
      </x:c>
      <x:c r="U692" s="7" t="s">
        <x:v>53</x:v>
      </x:c>
      <x:c r="V692" s="7" t="s">
        <x:v>1999</x:v>
      </x:c>
      <x:c r="W692" s="7" t="s">
        <x:v>58</x:v>
      </x:c>
      <x:c r="X692" s="7" t="s">
        <x:v>3364</x:v>
      </x:c>
      <x:c r="Y692" s="7" t="s">
        <x:v>1228</x:v>
      </x:c>
      <x:c r="Z692" s="7" t="s">
        <x:v>2117</x:v>
      </x:c>
      <x:c r="AA692" s="7" t="s">
        <x:v>58</x:v>
      </x:c>
      <x:c r="AB692" s="8" t="s">
        <x:v>58</x:v>
      </x:c>
      <x:c r="AC692" s="8" t="s">
        <x:v>58</x:v>
      </x:c>
      <x:c r="AD692" s="8" t="s">
        <x:v>58</x:v>
      </x:c>
      <x:c r="AE692" s="8" t="s">
        <x:v>58</x:v>
      </x:c>
      <x:c r="AF692" s="8" t="s">
        <x:v>58</x:v>
      </x:c>
      <x:c r="AG692" s="7" t="s">
        <x:v>58</x:v>
      </x:c>
    </x:row>
    <x:row r="693" ht="79.5" hidden="0" customHeight="1">
      <x:c r="A693" s="7" t="s">
        <x:v>3387</x:v>
      </x:c>
      <x:c r="B693" s="7" t="s">
        <x:v>437</x:v>
      </x:c>
      <x:c r="C693" s="7" t="s">
        <x:v>440</x:v>
      </x:c>
      <x:c r="D693" s="7" t="s">
        <x:v>1940</x:v>
      </x:c>
      <x:c r="E693" s="7" t="s">
        <x:v>3388</x:v>
      </x:c>
      <x:c r="F693" s="7" t="s">
        <x:v>1942</x:v>
      </x:c>
      <x:c r="G693" s="8" t="n">
        <x:v>2.1</x:v>
      </x:c>
      <x:c r="H693" s="8" t="n">
        <x:v>0.4</x:v>
      </x:c>
      <x:c r="I693" s="8" t="s">
        <x:v>58</x:v>
      </x:c>
      <x:c r="J693" s="7" t="s">
        <x:v>1919</x:v>
      </x:c>
      <x:c r="K693" s="8" t="n">
        <x:v>1</x:v>
      </x:c>
      <x:c r="L693" s="8" t="n">
        <x:f aca="0">IF(AND(ISNUMBER(G693),P693&lt;&gt;"Unresolved unit / layout"),G693*K693,"Not applicable")</x:f>
        <x:v>2.1</x:v>
      </x:c>
      <x:c r="M693" s="8" t="n">
        <x:f aca="0">IF(AND(ISNUMBER(H693),P693&lt;&gt;"Unresolved unit / layout"),H693*K693,"Not applicable")</x:f>
        <x:v>0.4</x:v>
      </x:c>
      <x:c r="N693" s="8" t="str">
        <x:f aca="0">IF(AND(ISNUMBER(I693),P693&lt;&gt;"Unresolved unit / layout"),I693*K693,"Not applicable")</x:f>
        <x:v>Not applicable</x:v>
      </x:c>
      <x:c r="O693" s="7" t="s">
        <x:v>1942</x:v>
      </x:c>
      <x:c r="P693" s="7" t="s">
        <x:v>1921</x:v>
      </x:c>
      <x:c r="Q693" s="7" t="s">
        <x:v>1930</x:v>
      </x:c>
      <x:c r="R693" s="7" t="s">
        <x:v>2003</x:v>
      </x:c>
      <x:c r="S693" s="7" t="s">
        <x:v>3378</x:v>
      </x:c>
      <x:c r="T693" s="7" t="s">
        <x:v>3363</x:v>
      </x:c>
      <x:c r="U693" s="7" t="s">
        <x:v>53</x:v>
      </x:c>
      <x:c r="V693" s="7" t="s">
        <x:v>1999</x:v>
      </x:c>
      <x:c r="W693" s="7" t="s">
        <x:v>58</x:v>
      </x:c>
      <x:c r="X693" s="7" t="s">
        <x:v>3364</x:v>
      </x:c>
      <x:c r="Y693" s="7" t="s">
        <x:v>1228</x:v>
      </x:c>
      <x:c r="Z693" s="7" t="s">
        <x:v>2120</x:v>
      </x:c>
      <x:c r="AA693" s="7" t="s">
        <x:v>58</x:v>
      </x:c>
      <x:c r="AB693" s="8" t="s">
        <x:v>58</x:v>
      </x:c>
      <x:c r="AC693" s="8" t="s">
        <x:v>58</x:v>
      </x:c>
      <x:c r="AD693" s="8" t="s">
        <x:v>58</x:v>
      </x:c>
      <x:c r="AE693" s="8" t="s">
        <x:v>58</x:v>
      </x:c>
      <x:c r="AF693" s="8" t="s">
        <x:v>58</x:v>
      </x:c>
      <x:c r="AG693" s="7" t="s">
        <x:v>58</x:v>
      </x:c>
    </x:row>
    <x:row r="694" ht="79.5" hidden="0" customHeight="1">
      <x:c r="A694" s="7" t="s">
        <x:v>3389</x:v>
      </x:c>
      <x:c r="B694" s="7" t="s">
        <x:v>437</x:v>
      </x:c>
      <x:c r="C694" s="7" t="s">
        <x:v>440</x:v>
      </x:c>
      <x:c r="D694" s="7" t="s">
        <x:v>1950</x:v>
      </x:c>
      <x:c r="E694" s="7" t="s">
        <x:v>3390</x:v>
      </x:c>
      <x:c r="F694" s="7" t="s">
        <x:v>1929</x:v>
      </x:c>
      <x:c r="G694" s="8" t="n">
        <x:v>2310</x:v>
      </x:c>
      <x:c r="H694" s="8" t="n">
        <x:v>70</x:v>
      </x:c>
      <x:c r="I694" s="8" t="s">
        <x:v>58</x:v>
      </x:c>
      <x:c r="J694" s="7" t="s">
        <x:v>1919</x:v>
      </x:c>
      <x:c r="K694" s="8" t="n">
        <x:v>0.001</x:v>
      </x:c>
      <x:c r="L694" s="8" t="n">
        <x:f aca="0">IF(AND(ISNUMBER(G694),P694&lt;&gt;"Unresolved unit / layout"),G694*K694,"Not applicable")</x:f>
        <x:v>2.31</x:v>
      </x:c>
      <x:c r="M694" s="8" t="n">
        <x:f aca="0">IF(AND(ISNUMBER(H694),P694&lt;&gt;"Unresolved unit / layout"),H694*K694,"Not applicable")</x:f>
        <x:v>0.07</x:v>
      </x:c>
      <x:c r="N694" s="8" t="str">
        <x:f aca="0">IF(AND(ISNUMBER(I694),P694&lt;&gt;"Unresolved unit / layout"),I694*K694,"Not applicable")</x:f>
        <x:v>Not applicable</x:v>
      </x:c>
      <x:c r="O694" s="7" t="s">
        <x:v>1937</x:v>
      </x:c>
      <x:c r="P694" s="7" t="s">
        <x:v>1921</x:v>
      </x:c>
      <x:c r="Q694" s="7" t="s">
        <x:v>1930</x:v>
      </x:c>
      <x:c r="R694" s="7" t="s">
        <x:v>1931</x:v>
      </x:c>
      <x:c r="S694" s="7" t="s">
        <x:v>3378</x:v>
      </x:c>
      <x:c r="T694" s="7" t="s">
        <x:v>3363</x:v>
      </x:c>
      <x:c r="U694" s="7" t="s">
        <x:v>53</x:v>
      </x:c>
      <x:c r="V694" s="7" t="s">
        <x:v>2020</x:v>
      </x:c>
      <x:c r="W694" s="7" t="s">
        <x:v>58</x:v>
      </x:c>
      <x:c r="X694" s="7" t="s">
        <x:v>3364</x:v>
      </x:c>
      <x:c r="Y694" s="7" t="s">
        <x:v>1228</x:v>
      </x:c>
      <x:c r="Z694" s="7" t="s">
        <x:v>2123</x:v>
      </x:c>
      <x:c r="AA694" s="7" t="s">
        <x:v>58</x:v>
      </x:c>
      <x:c r="AB694" s="8" t="s">
        <x:v>58</x:v>
      </x:c>
      <x:c r="AC694" s="8" t="s">
        <x:v>58</x:v>
      </x:c>
      <x:c r="AD694" s="8" t="s">
        <x:v>58</x:v>
      </x:c>
      <x:c r="AE694" s="8" t="s">
        <x:v>58</x:v>
      </x:c>
      <x:c r="AF694" s="8" t="s">
        <x:v>58</x:v>
      </x:c>
      <x:c r="AG694" s="7" t="s">
        <x:v>58</x:v>
      </x:c>
    </x:row>
    <x:row r="695" ht="79.5" hidden="0" customHeight="1">
      <x:c r="A695" s="7" t="s">
        <x:v>3391</x:v>
      </x:c>
      <x:c r="B695" s="7" t="s">
        <x:v>437</x:v>
      </x:c>
      <x:c r="C695" s="7" t="s">
        <x:v>440</x:v>
      </x:c>
      <x:c r="D695" s="7" t="s">
        <x:v>1950</x:v>
      </x:c>
      <x:c r="E695" s="7" t="s">
        <x:v>3392</x:v>
      </x:c>
      <x:c r="F695" s="7" t="s">
        <x:v>1929</x:v>
      </x:c>
      <x:c r="G695" s="8" t="n">
        <x:v>1620</x:v>
      </x:c>
      <x:c r="H695" s="8" t="n">
        <x:v>80</x:v>
      </x:c>
      <x:c r="I695" s="8" t="s">
        <x:v>58</x:v>
      </x:c>
      <x:c r="J695" s="7" t="s">
        <x:v>1919</x:v>
      </x:c>
      <x:c r="K695" s="8" t="n">
        <x:v>0.001</x:v>
      </x:c>
      <x:c r="L695" s="8" t="n">
        <x:f aca="0">IF(AND(ISNUMBER(G695),P695&lt;&gt;"Unresolved unit / layout"),G695*K695,"Not applicable")</x:f>
        <x:v>1.62</x:v>
      </x:c>
      <x:c r="M695" s="8" t="n">
        <x:f aca="0">IF(AND(ISNUMBER(H695),P695&lt;&gt;"Unresolved unit / layout"),H695*K695,"Not applicable")</x:f>
        <x:v>0.08</x:v>
      </x:c>
      <x:c r="N695" s="8" t="str">
        <x:f aca="0">IF(AND(ISNUMBER(I695),P695&lt;&gt;"Unresolved unit / layout"),I695*K695,"Not applicable")</x:f>
        <x:v>Not applicable</x:v>
      </x:c>
      <x:c r="O695" s="7" t="s">
        <x:v>1937</x:v>
      </x:c>
      <x:c r="P695" s="7" t="s">
        <x:v>1921</x:v>
      </x:c>
      <x:c r="Q695" s="7" t="s">
        <x:v>1930</x:v>
      </x:c>
      <x:c r="R695" s="7" t="s">
        <x:v>2003</x:v>
      </x:c>
      <x:c r="S695" s="7" t="s">
        <x:v>3378</x:v>
      </x:c>
      <x:c r="T695" s="7" t="s">
        <x:v>3363</x:v>
      </x:c>
      <x:c r="U695" s="7" t="s">
        <x:v>53</x:v>
      </x:c>
      <x:c r="V695" s="7" t="s">
        <x:v>2020</x:v>
      </x:c>
      <x:c r="W695" s="7" t="s">
        <x:v>58</x:v>
      </x:c>
      <x:c r="X695" s="7" t="s">
        <x:v>3364</x:v>
      </x:c>
      <x:c r="Y695" s="7" t="s">
        <x:v>1228</x:v>
      </x:c>
      <x:c r="Z695" s="7" t="s">
        <x:v>2210</x:v>
      </x:c>
      <x:c r="AA695" s="7" t="s">
        <x:v>58</x:v>
      </x:c>
      <x:c r="AB695" s="8" t="s">
        <x:v>58</x:v>
      </x:c>
      <x:c r="AC695" s="8" t="s">
        <x:v>58</x:v>
      </x:c>
      <x:c r="AD695" s="8" t="s">
        <x:v>58</x:v>
      </x:c>
      <x:c r="AE695" s="8" t="s">
        <x:v>58</x:v>
      </x:c>
      <x:c r="AF695" s="8" t="s">
        <x:v>58</x:v>
      </x:c>
      <x:c r="AG695" s="7" t="s">
        <x:v>58</x:v>
      </x:c>
    </x:row>
    <x:row r="696" ht="79.5" hidden="0" customHeight="1">
      <x:c r="A696" s="7" t="s">
        <x:v>3393</x:v>
      </x:c>
      <x:c r="B696" s="7" t="s">
        <x:v>437</x:v>
      </x:c>
      <x:c r="C696" s="7" t="s">
        <x:v>440</x:v>
      </x:c>
      <x:c r="D696" s="7" t="s">
        <x:v>1945</x:v>
      </x:c>
      <x:c r="E696" s="7" t="s">
        <x:v>3394</x:v>
      </x:c>
      <x:c r="F696" s="7" t="s">
        <x:v>1929</x:v>
      </x:c>
      <x:c r="G696" s="8" t="n">
        <x:v>108</x:v>
      </x:c>
      <x:c r="H696" s="8" t="n">
        <x:v>4</x:v>
      </x:c>
      <x:c r="I696" s="8" t="s">
        <x:v>58</x:v>
      </x:c>
      <x:c r="J696" s="7" t="s">
        <x:v>1919</x:v>
      </x:c>
      <x:c r="K696" s="8" t="n">
        <x:v>1</x:v>
      </x:c>
      <x:c r="L696" s="8" t="n">
        <x:f aca="0">IF(AND(ISNUMBER(G696),P696&lt;&gt;"Unresolved unit / layout"),G696*K696,"Not applicable")</x:f>
        <x:v>108</x:v>
      </x:c>
      <x:c r="M696" s="8" t="n">
        <x:f aca="0">IF(AND(ISNUMBER(H696),P696&lt;&gt;"Unresolved unit / layout"),H696*K696,"Not applicable")</x:f>
        <x:v>4</x:v>
      </x:c>
      <x:c r="N696" s="8" t="str">
        <x:f aca="0">IF(AND(ISNUMBER(I696),P696&lt;&gt;"Unresolved unit / layout"),I696*K696,"Not applicable")</x:f>
        <x:v>Not applicable</x:v>
      </x:c>
      <x:c r="O696" s="7" t="s">
        <x:v>1929</x:v>
      </x:c>
      <x:c r="P696" s="7" t="s">
        <x:v>1921</x:v>
      </x:c>
      <x:c r="Q696" s="7" t="s">
        <x:v>1930</x:v>
      </x:c>
      <x:c r="R696" s="7" t="s">
        <x:v>1931</x:v>
      </x:c>
      <x:c r="S696" s="7" t="s">
        <x:v>3378</x:v>
      </x:c>
      <x:c r="T696" s="7" t="s">
        <x:v>3363</x:v>
      </x:c>
      <x:c r="U696" s="7" t="s">
        <x:v>53</x:v>
      </x:c>
      <x:c r="V696" s="7" t="s">
        <x:v>2020</x:v>
      </x:c>
      <x:c r="W696" s="7" t="s">
        <x:v>58</x:v>
      </x:c>
      <x:c r="X696" s="7" t="s">
        <x:v>3364</x:v>
      </x:c>
      <x:c r="Y696" s="7" t="s">
        <x:v>1228</x:v>
      </x:c>
      <x:c r="Z696" s="7" t="s">
        <x:v>2213</x:v>
      </x:c>
      <x:c r="AA696" s="7" t="s">
        <x:v>58</x:v>
      </x:c>
      <x:c r="AB696" s="8" t="s">
        <x:v>58</x:v>
      </x:c>
      <x:c r="AC696" s="8" t="s">
        <x:v>58</x:v>
      </x:c>
      <x:c r="AD696" s="8" t="s">
        <x:v>58</x:v>
      </x:c>
      <x:c r="AE696" s="8" t="s">
        <x:v>58</x:v>
      </x:c>
      <x:c r="AF696" s="8" t="s">
        <x:v>58</x:v>
      </x:c>
      <x:c r="AG696" s="7" t="s">
        <x:v>58</x:v>
      </x:c>
    </x:row>
    <x:row r="697" ht="79.5" hidden="0" customHeight="1">
      <x:c r="A697" s="7" t="s">
        <x:v>3395</x:v>
      </x:c>
      <x:c r="B697" s="7" t="s">
        <x:v>437</x:v>
      </x:c>
      <x:c r="C697" s="7" t="s">
        <x:v>440</x:v>
      </x:c>
      <x:c r="D697" s="7" t="s">
        <x:v>1945</x:v>
      </x:c>
      <x:c r="E697" s="7" t="s">
        <x:v>3396</x:v>
      </x:c>
      <x:c r="F697" s="7" t="s">
        <x:v>1929</x:v>
      </x:c>
      <x:c r="G697" s="8" t="n">
        <x:v>55</x:v>
      </x:c>
      <x:c r="H697" s="8" t="n">
        <x:v>2</x:v>
      </x:c>
      <x:c r="I697" s="8" t="s">
        <x:v>58</x:v>
      </x:c>
      <x:c r="J697" s="7" t="s">
        <x:v>1919</x:v>
      </x:c>
      <x:c r="K697" s="8" t="n">
        <x:v>1</x:v>
      </x:c>
      <x:c r="L697" s="8" t="n">
        <x:f aca="0">IF(AND(ISNUMBER(G697),P697&lt;&gt;"Unresolved unit / layout"),G697*K697,"Not applicable")</x:f>
        <x:v>55</x:v>
      </x:c>
      <x:c r="M697" s="8" t="n">
        <x:f aca="0">IF(AND(ISNUMBER(H697),P697&lt;&gt;"Unresolved unit / layout"),H697*K697,"Not applicable")</x:f>
        <x:v>2</x:v>
      </x:c>
      <x:c r="N697" s="8" t="str">
        <x:f aca="0">IF(AND(ISNUMBER(I697),P697&lt;&gt;"Unresolved unit / layout"),I697*K697,"Not applicable")</x:f>
        <x:v>Not applicable</x:v>
      </x:c>
      <x:c r="O697" s="7" t="s">
        <x:v>1929</x:v>
      </x:c>
      <x:c r="P697" s="7" t="s">
        <x:v>1921</x:v>
      </x:c>
      <x:c r="Q697" s="7" t="s">
        <x:v>1930</x:v>
      </x:c>
      <x:c r="R697" s="7" t="s">
        <x:v>2003</x:v>
      </x:c>
      <x:c r="S697" s="7" t="s">
        <x:v>3378</x:v>
      </x:c>
      <x:c r="T697" s="7" t="s">
        <x:v>3363</x:v>
      </x:c>
      <x:c r="U697" s="7" t="s">
        <x:v>53</x:v>
      </x:c>
      <x:c r="V697" s="7" t="s">
        <x:v>2020</x:v>
      </x:c>
      <x:c r="W697" s="7" t="s">
        <x:v>58</x:v>
      </x:c>
      <x:c r="X697" s="7" t="s">
        <x:v>3364</x:v>
      </x:c>
      <x:c r="Y697" s="7" t="s">
        <x:v>1228</x:v>
      </x:c>
      <x:c r="Z697" s="7" t="s">
        <x:v>2216</x:v>
      </x:c>
      <x:c r="AA697" s="7" t="s">
        <x:v>58</x:v>
      </x:c>
      <x:c r="AB697" s="8" t="s">
        <x:v>58</x:v>
      </x:c>
      <x:c r="AC697" s="8" t="s">
        <x:v>58</x:v>
      </x:c>
      <x:c r="AD697" s="8" t="s">
        <x:v>58</x:v>
      </x:c>
      <x:c r="AE697" s="8" t="s">
        <x:v>58</x:v>
      </x:c>
      <x:c r="AF697" s="8" t="s">
        <x:v>58</x:v>
      </x:c>
      <x:c r="AG697" s="7" t="s">
        <x:v>58</x:v>
      </x:c>
    </x:row>
    <x:row r="698" ht="79.5" hidden="0" customHeight="1">
      <x:c r="A698" s="7" t="s">
        <x:v>3397</x:v>
      </x:c>
      <x:c r="B698" s="7" t="s">
        <x:v>437</x:v>
      </x:c>
      <x:c r="C698" s="7" t="s">
        <x:v>440</x:v>
      </x:c>
      <x:c r="D698" s="7" t="s">
        <x:v>2030</x:v>
      </x:c>
      <x:c r="E698" s="7" t="s">
        <x:v>3398</x:v>
      </x:c>
      <x:c r="F698" s="7" t="s">
        <x:v>2033</x:v>
      </x:c>
      <x:c r="G698" s="8" t="n">
        <x:v>34.8</x:v>
      </x:c>
      <x:c r="H698" s="8" t="n">
        <x:v>2.1</x:v>
      </x:c>
      <x:c r="I698" s="8" t="s">
        <x:v>58</x:v>
      </x:c>
      <x:c r="J698" s="7" t="s">
        <x:v>1919</x:v>
      </x:c>
      <x:c r="K698" s="8" t="n">
        <x:v>1</x:v>
      </x:c>
      <x:c r="L698" s="8" t="n">
        <x:f aca="0">IF(AND(ISNUMBER(G698),P698&lt;&gt;"Unresolved unit / layout"),G698*K698,"Not applicable")</x:f>
        <x:v>34.8</x:v>
      </x:c>
      <x:c r="M698" s="8" t="n">
        <x:f aca="0">IF(AND(ISNUMBER(H698),P698&lt;&gt;"Unresolved unit / layout"),H698*K698,"Not applicable")</x:f>
        <x:v>2.1</x:v>
      </x:c>
      <x:c r="N698" s="8" t="str">
        <x:f aca="0">IF(AND(ISNUMBER(I698),P698&lt;&gt;"Unresolved unit / layout"),I698*K698,"Not applicable")</x:f>
        <x:v>Not applicable</x:v>
      </x:c>
      <x:c r="O698" s="7" t="s">
        <x:v>2033</x:v>
      </x:c>
      <x:c r="P698" s="7" t="s">
        <x:v>1921</x:v>
      </x:c>
      <x:c r="Q698" s="7" t="s">
        <x:v>1930</x:v>
      </x:c>
      <x:c r="R698" s="7" t="s">
        <x:v>1931</x:v>
      </x:c>
      <x:c r="S698" s="7" t="s">
        <x:v>3378</x:v>
      </x:c>
      <x:c r="T698" s="7" t="s">
        <x:v>3363</x:v>
      </x:c>
      <x:c r="U698" s="7" t="s">
        <x:v>53</x:v>
      </x:c>
      <x:c r="V698" s="7" t="s">
        <x:v>2036</x:v>
      </x:c>
      <x:c r="W698" s="7" t="s">
        <x:v>2135</x:v>
      </x:c>
      <x:c r="X698" s="7" t="s">
        <x:v>3364</x:v>
      </x:c>
      <x:c r="Y698" s="7" t="s">
        <x:v>1228</x:v>
      </x:c>
      <x:c r="Z698" s="7" t="s">
        <x:v>2219</x:v>
      </x:c>
      <x:c r="AA698" s="7" t="s">
        <x:v>58</x:v>
      </x:c>
      <x:c r="AB698" s="8" t="s">
        <x:v>58</x:v>
      </x:c>
      <x:c r="AC698" s="8" t="s">
        <x:v>58</x:v>
      </x:c>
      <x:c r="AD698" s="8" t="s">
        <x:v>58</x:v>
      </x:c>
      <x:c r="AE698" s="8" t="s">
        <x:v>58</x:v>
      </x:c>
      <x:c r="AF698" s="8" t="s">
        <x:v>58</x:v>
      </x:c>
      <x:c r="AG698" s="7" t="s">
        <x:v>58</x:v>
      </x:c>
    </x:row>
    <x:row r="699" ht="79.5" hidden="0" customHeight="1">
      <x:c r="A699" s="7" t="s">
        <x:v>3399</x:v>
      </x:c>
      <x:c r="B699" s="7" t="s">
        <x:v>437</x:v>
      </x:c>
      <x:c r="C699" s="7" t="s">
        <x:v>440</x:v>
      </x:c>
      <x:c r="D699" s="7" t="s">
        <x:v>2030</x:v>
      </x:c>
      <x:c r="E699" s="7" t="s">
        <x:v>3400</x:v>
      </x:c>
      <x:c r="F699" s="7" t="s">
        <x:v>2033</x:v>
      </x:c>
      <x:c r="G699" s="8" t="n">
        <x:v>7.5</x:v>
      </x:c>
      <x:c r="H699" s="8" t="n">
        <x:v>1.3</x:v>
      </x:c>
      <x:c r="I699" s="8" t="s">
        <x:v>58</x:v>
      </x:c>
      <x:c r="J699" s="7" t="s">
        <x:v>1919</x:v>
      </x:c>
      <x:c r="K699" s="8" t="n">
        <x:v>1</x:v>
      </x:c>
      <x:c r="L699" s="8" t="n">
        <x:f aca="0">IF(AND(ISNUMBER(G699),P699&lt;&gt;"Unresolved unit / layout"),G699*K699,"Not applicable")</x:f>
        <x:v>7.5</x:v>
      </x:c>
      <x:c r="M699" s="8" t="n">
        <x:f aca="0">IF(AND(ISNUMBER(H699),P699&lt;&gt;"Unresolved unit / layout"),H699*K699,"Not applicable")</x:f>
        <x:v>1.3</x:v>
      </x:c>
      <x:c r="N699" s="8" t="str">
        <x:f aca="0">IF(AND(ISNUMBER(I699),P699&lt;&gt;"Unresolved unit / layout"),I699*K699,"Not applicable")</x:f>
        <x:v>Not applicable</x:v>
      </x:c>
      <x:c r="O699" s="7" t="s">
        <x:v>2033</x:v>
      </x:c>
      <x:c r="P699" s="7" t="s">
        <x:v>1921</x:v>
      </x:c>
      <x:c r="Q699" s="7" t="s">
        <x:v>1930</x:v>
      </x:c>
      <x:c r="R699" s="7" t="s">
        <x:v>1931</x:v>
      </x:c>
      <x:c r="S699" s="7" t="s">
        <x:v>3378</x:v>
      </x:c>
      <x:c r="T699" s="7" t="s">
        <x:v>3363</x:v>
      </x:c>
      <x:c r="U699" s="7" t="s">
        <x:v>53</x:v>
      </x:c>
      <x:c r="V699" s="7" t="s">
        <x:v>2036</x:v>
      </x:c>
      <x:c r="W699" s="7" t="s">
        <x:v>2139</x:v>
      </x:c>
      <x:c r="X699" s="7" t="s">
        <x:v>3364</x:v>
      </x:c>
      <x:c r="Y699" s="7" t="s">
        <x:v>1228</x:v>
      </x:c>
      <x:c r="Z699" s="7" t="s">
        <x:v>2222</x:v>
      </x:c>
      <x:c r="AA699" s="7" t="s">
        <x:v>58</x:v>
      </x:c>
      <x:c r="AB699" s="8" t="s">
        <x:v>58</x:v>
      </x:c>
      <x:c r="AC699" s="8" t="s">
        <x:v>58</x:v>
      </x:c>
      <x:c r="AD699" s="8" t="s">
        <x:v>58</x:v>
      </x:c>
      <x:c r="AE699" s="8" t="s">
        <x:v>58</x:v>
      </x:c>
      <x:c r="AF699" s="8" t="s">
        <x:v>58</x:v>
      </x:c>
      <x:c r="AG699" s="7" t="s">
        <x:v>58</x:v>
      </x:c>
    </x:row>
    <x:row r="700" ht="79.5" hidden="0" customHeight="1">
      <x:c r="A700" s="7" t="s">
        <x:v>3401</x:v>
      </x:c>
      <x:c r="B700" s="7" t="s">
        <x:v>437</x:v>
      </x:c>
      <x:c r="C700" s="7" t="s">
        <x:v>440</x:v>
      </x:c>
      <x:c r="D700" s="7" t="s">
        <x:v>2030</x:v>
      </x:c>
      <x:c r="E700" s="7" t="s">
        <x:v>3402</x:v>
      </x:c>
      <x:c r="F700" s="7" t="s">
        <x:v>2033</x:v>
      </x:c>
      <x:c r="G700" s="8" t="n">
        <x:v>9</x:v>
      </x:c>
      <x:c r="H700" s="8" t="n">
        <x:v>0.4</x:v>
      </x:c>
      <x:c r="I700" s="8" t="s">
        <x:v>58</x:v>
      </x:c>
      <x:c r="J700" s="7" t="s">
        <x:v>1919</x:v>
      </x:c>
      <x:c r="K700" s="8" t="n">
        <x:v>1</x:v>
      </x:c>
      <x:c r="L700" s="8" t="n">
        <x:f aca="0">IF(AND(ISNUMBER(G700),P700&lt;&gt;"Unresolved unit / layout"),G700*K700,"Not applicable")</x:f>
        <x:v>9</x:v>
      </x:c>
      <x:c r="M700" s="8" t="n">
        <x:f aca="0">IF(AND(ISNUMBER(H700),P700&lt;&gt;"Unresolved unit / layout"),H700*K700,"Not applicable")</x:f>
        <x:v>0.4</x:v>
      </x:c>
      <x:c r="N700" s="8" t="str">
        <x:f aca="0">IF(AND(ISNUMBER(I700),P700&lt;&gt;"Unresolved unit / layout"),I700*K700,"Not applicable")</x:f>
        <x:v>Not applicable</x:v>
      </x:c>
      <x:c r="O700" s="7" t="s">
        <x:v>2033</x:v>
      </x:c>
      <x:c r="P700" s="7" t="s">
        <x:v>1921</x:v>
      </x:c>
      <x:c r="Q700" s="7" t="s">
        <x:v>1930</x:v>
      </x:c>
      <x:c r="R700" s="7" t="s">
        <x:v>2003</x:v>
      </x:c>
      <x:c r="S700" s="7" t="s">
        <x:v>3378</x:v>
      </x:c>
      <x:c r="T700" s="7" t="s">
        <x:v>3363</x:v>
      </x:c>
      <x:c r="U700" s="7" t="s">
        <x:v>53</x:v>
      </x:c>
      <x:c r="V700" s="7" t="s">
        <x:v>2036</x:v>
      </x:c>
      <x:c r="W700" s="7" t="s">
        <x:v>53</x:v>
      </x:c>
      <x:c r="X700" s="7" t="s">
        <x:v>3364</x:v>
      </x:c>
      <x:c r="Y700" s="7" t="s">
        <x:v>1228</x:v>
      </x:c>
      <x:c r="Z700" s="7" t="s">
        <x:v>2225</x:v>
      </x:c>
      <x:c r="AA700" s="7" t="s">
        <x:v>58</x:v>
      </x:c>
      <x:c r="AB700" s="8" t="s">
        <x:v>58</x:v>
      </x:c>
      <x:c r="AC700" s="8" t="s">
        <x:v>58</x:v>
      </x:c>
      <x:c r="AD700" s="8" t="s">
        <x:v>58</x:v>
      </x:c>
      <x:c r="AE700" s="8" t="s">
        <x:v>58</x:v>
      </x:c>
      <x:c r="AF700" s="8" t="s">
        <x:v>58</x:v>
      </x:c>
      <x:c r="AG700" s="7" t="s">
        <x:v>58</x:v>
      </x:c>
    </x:row>
    <x:row r="701" ht="79.5" hidden="0" customHeight="1">
      <x:c r="A701" s="7" t="s">
        <x:v>3403</x:v>
      </x:c>
      <x:c r="B701" s="7" t="s">
        <x:v>452</x:v>
      </x:c>
      <x:c r="C701" s="7" t="s">
        <x:v>454</x:v>
      </x:c>
      <x:c r="D701" s="7" t="s">
        <x:v>1916</x:v>
      </x:c>
      <x:c r="E701" s="7" t="s">
        <x:v>3404</x:v>
      </x:c>
      <x:c r="F701" s="7" t="s">
        <x:v>2076</x:v>
      </x:c>
      <x:c r="G701" s="8" t="n">
        <x:v>1.18</x:v>
      </x:c>
      <x:c r="H701" s="8" t="s">
        <x:v>58</x:v>
      </x:c>
      <x:c r="I701" s="8" t="s">
        <x:v>58</x:v>
      </x:c>
      <x:c r="J701" s="7" t="s">
        <x:v>1919</x:v>
      </x:c>
      <x:c r="K701" s="8" t="n">
        <x:v>1000</x:v>
      </x:c>
      <x:c r="L701" s="8" t="n">
        <x:f aca="0">IF(AND(ISNUMBER(G701),P701&lt;&gt;"Unresolved unit / layout"),G701*K701,"Not applicable")</x:f>
        <x:v>1180</x:v>
      </x:c>
      <x:c r="M701" s="8" t="str">
        <x:f aca="0">IF(AND(ISNUMBER(H701),P701&lt;&gt;"Unresolved unit / layout"),H701*K701,"Not applicable")</x:f>
        <x:v>Not applicable</x:v>
      </x:c>
      <x:c r="N701" s="8" t="str">
        <x:f aca="0">IF(AND(ISNUMBER(I701),P701&lt;&gt;"Unresolved unit / layout"),I701*K701,"Not applicable")</x:f>
        <x:v>Not applicable</x:v>
      </x:c>
      <x:c r="O701" s="7" t="s">
        <x:v>1920</x:v>
      </x:c>
      <x:c r="P701" s="7" t="s">
        <x:v>1921</x:v>
      </x:c>
      <x:c r="Q701" s="7" t="s">
        <x:v>1922</x:v>
      </x:c>
      <x:c r="R701" s="7" t="s">
        <x:v>58</x:v>
      </x:c>
      <x:c r="S701" s="7" t="s">
        <x:v>53</x:v>
      </x:c>
      <x:c r="T701" s="7" t="s">
        <x:v>53</x:v>
      </x:c>
      <x:c r="U701" s="7" t="s">
        <x:v>53</x:v>
      </x:c>
      <x:c r="V701" s="7" t="s">
        <x:v>1923</x:v>
      </x:c>
      <x:c r="W701" s="7" t="s">
        <x:v>58</x:v>
      </x:c>
      <x:c r="X701" s="7" t="s">
        <x:v>3405</x:v>
      </x:c>
      <x:c r="Y701" s="7" t="s">
        <x:v>1229</x:v>
      </x:c>
      <x:c r="Z701" s="7" t="s">
        <x:v>1968</x:v>
      </x:c>
      <x:c r="AA701" s="7" t="s">
        <x:v>58</x:v>
      </x:c>
      <x:c r="AB701" s="8" t="s">
        <x:v>58</x:v>
      </x:c>
      <x:c r="AC701" s="8" t="s">
        <x:v>58</x:v>
      </x:c>
      <x:c r="AD701" s="8" t="s">
        <x:v>58</x:v>
      </x:c>
      <x:c r="AE701" s="8" t="s">
        <x:v>58</x:v>
      </x:c>
      <x:c r="AF701" s="8" t="s">
        <x:v>58</x:v>
      </x:c>
      <x:c r="AG701" s="7" t="s">
        <x:v>58</x:v>
      </x:c>
    </x:row>
    <x:row r="702" ht="79.5" hidden="0" customHeight="1">
      <x:c r="A702" s="7" t="s">
        <x:v>3406</x:v>
      </x:c>
      <x:c r="B702" s="7" t="s">
        <x:v>452</x:v>
      </x:c>
      <x:c r="C702" s="7" t="s">
        <x:v>454</x:v>
      </x:c>
      <x:c r="D702" s="7" t="s">
        <x:v>1974</x:v>
      </x:c>
      <x:c r="E702" s="7" t="s">
        <x:v>2967</x:v>
      </x:c>
      <x:c r="F702" s="7" t="s">
        <x:v>1956</x:v>
      </x:c>
      <x:c r="G702" s="8" t="n">
        <x:v>225</x:v>
      </x:c>
      <x:c r="H702" s="8" t="s">
        <x:v>58</x:v>
      </x:c>
      <x:c r="I702" s="8" t="s">
        <x:v>58</x:v>
      </x:c>
      <x:c r="J702" s="7" t="s">
        <x:v>1919</x:v>
      </x:c>
      <x:c r="K702" s="8" t="n">
        <x:v>1</x:v>
      </x:c>
      <x:c r="L702" s="8" t="n">
        <x:f aca="0">IF(AND(ISNUMBER(G702),P702&lt;&gt;"Unresolved unit / layout"),G702*K702,"Not applicable")</x:f>
        <x:v>225</x:v>
      </x:c>
      <x:c r="M702" s="8" t="str">
        <x:f aca="0">IF(AND(ISNUMBER(H702),P702&lt;&gt;"Unresolved unit / layout"),H702*K702,"Not applicable")</x:f>
        <x:v>Not applicable</x:v>
      </x:c>
      <x:c r="N702" s="8" t="str">
        <x:f aca="0">IF(AND(ISNUMBER(I702),P702&lt;&gt;"Unresolved unit / layout"),I702*K702,"Not applicable")</x:f>
        <x:v>Not applicable</x:v>
      </x:c>
      <x:c r="O702" s="7" t="s">
        <x:v>1956</x:v>
      </x:c>
      <x:c r="P702" s="7" t="s">
        <x:v>1921</x:v>
      </x:c>
      <x:c r="Q702" s="7" t="s">
        <x:v>2064</x:v>
      </x:c>
      <x:c r="R702" s="7" t="s">
        <x:v>58</x:v>
      </x:c>
      <x:c r="S702" s="7" t="s">
        <x:v>53</x:v>
      </x:c>
      <x:c r="T702" s="7" t="s">
        <x:v>53</x:v>
      </x:c>
      <x:c r="U702" s="7" t="s">
        <x:v>53</x:v>
      </x:c>
      <x:c r="V702" s="7" t="s">
        <x:v>2082</x:v>
      </x:c>
      <x:c r="W702" s="7" t="s">
        <x:v>58</x:v>
      </x:c>
      <x:c r="X702" s="7" t="s">
        <x:v>3405</x:v>
      </x:c>
      <x:c r="Y702" s="7" t="s">
        <x:v>1229</x:v>
      </x:c>
      <x:c r="Z702" s="7" t="s">
        <x:v>2083</x:v>
      </x:c>
      <x:c r="AA702" s="7" t="s">
        <x:v>58</x:v>
      </x:c>
      <x:c r="AB702" s="8" t="s">
        <x:v>58</x:v>
      </x:c>
      <x:c r="AC702" s="8" t="s">
        <x:v>58</x:v>
      </x:c>
      <x:c r="AD702" s="8" t="s">
        <x:v>58</x:v>
      </x:c>
      <x:c r="AE702" s="8" t="s">
        <x:v>58</x:v>
      </x:c>
      <x:c r="AF702" s="8" t="s">
        <x:v>58</x:v>
      </x:c>
      <x:c r="AG702" s="7" t="s">
        <x:v>58</x:v>
      </x:c>
    </x:row>
    <x:row r="703" ht="79.5" hidden="0" customHeight="1">
      <x:c r="A703" s="7" t="s">
        <x:v>3407</x:v>
      </x:c>
      <x:c r="B703" s="7" t="s">
        <x:v>452</x:v>
      </x:c>
      <x:c r="C703" s="7" t="s">
        <x:v>454</x:v>
      </x:c>
      <x:c r="D703" s="7" t="s">
        <x:v>1954</x:v>
      </x:c>
      <x:c r="E703" s="7" t="s">
        <x:v>3367</x:v>
      </x:c>
      <x:c r="F703" s="7" t="s">
        <x:v>1956</x:v>
      </x:c>
      <x:c r="G703" s="8" t="n">
        <x:v>145</x:v>
      </x:c>
      <x:c r="H703" s="8" t="s">
        <x:v>58</x:v>
      </x:c>
      <x:c r="I703" s="8" t="s">
        <x:v>58</x:v>
      </x:c>
      <x:c r="J703" s="7" t="s">
        <x:v>1919</x:v>
      </x:c>
      <x:c r="K703" s="8" t="n">
        <x:v>1</x:v>
      </x:c>
      <x:c r="L703" s="8" t="n">
        <x:f aca="0">IF(AND(ISNUMBER(G703),P703&lt;&gt;"Unresolved unit / layout"),G703*K703,"Not applicable")</x:f>
        <x:v>145</x:v>
      </x:c>
      <x:c r="M703" s="8" t="str">
        <x:f aca="0">IF(AND(ISNUMBER(H703),P703&lt;&gt;"Unresolved unit / layout"),H703*K703,"Not applicable")</x:f>
        <x:v>Not applicable</x:v>
      </x:c>
      <x:c r="N703" s="8" t="str">
        <x:f aca="0">IF(AND(ISNUMBER(I703),P703&lt;&gt;"Unresolved unit / layout"),I703*K703,"Not applicable")</x:f>
        <x:v>Not applicable</x:v>
      </x:c>
      <x:c r="O703" s="7" t="s">
        <x:v>1956</x:v>
      </x:c>
      <x:c r="P703" s="7" t="s">
        <x:v>1921</x:v>
      </x:c>
      <x:c r="Q703" s="7" t="s">
        <x:v>2064</x:v>
      </x:c>
      <x:c r="R703" s="7" t="s">
        <x:v>58</x:v>
      </x:c>
      <x:c r="S703" s="7" t="s">
        <x:v>53</x:v>
      </x:c>
      <x:c r="T703" s="7" t="s">
        <x:v>53</x:v>
      </x:c>
      <x:c r="U703" s="7" t="s">
        <x:v>53</x:v>
      </x:c>
      <x:c r="V703" s="7" t="s">
        <x:v>2082</x:v>
      </x:c>
      <x:c r="W703" s="7" t="s">
        <x:v>58</x:v>
      </x:c>
      <x:c r="X703" s="7" t="s">
        <x:v>3405</x:v>
      </x:c>
      <x:c r="Y703" s="7" t="s">
        <x:v>1229</x:v>
      </x:c>
      <x:c r="Z703" s="7" t="s">
        <x:v>2086</x:v>
      </x:c>
      <x:c r="AA703" s="7" t="s">
        <x:v>58</x:v>
      </x:c>
      <x:c r="AB703" s="8" t="s">
        <x:v>58</x:v>
      </x:c>
      <x:c r="AC703" s="8" t="s">
        <x:v>58</x:v>
      </x:c>
      <x:c r="AD703" s="8" t="s">
        <x:v>58</x:v>
      </x:c>
      <x:c r="AE703" s="8" t="s">
        <x:v>58</x:v>
      </x:c>
      <x:c r="AF703" s="8" t="s">
        <x:v>58</x:v>
      </x:c>
      <x:c r="AG703" s="7" t="s">
        <x:v>58</x:v>
      </x:c>
    </x:row>
    <x:row r="704" ht="79.5" hidden="0" customHeight="1">
      <x:c r="A704" s="7" t="s">
        <x:v>3408</x:v>
      </x:c>
      <x:c r="B704" s="7" t="s">
        <x:v>452</x:v>
      </x:c>
      <x:c r="C704" s="7" t="s">
        <x:v>454</x:v>
      </x:c>
      <x:c r="D704" s="7" t="s">
        <x:v>1978</x:v>
      </x:c>
      <x:c r="E704" s="7" t="s">
        <x:v>1995</x:v>
      </x:c>
      <x:c r="F704" s="7" t="s">
        <x:v>1956</x:v>
      </x:c>
      <x:c r="G704" s="8" t="s">
        <x:v>53</x:v>
      </x:c>
      <x:c r="H704" s="8" t="s">
        <x:v>58</x:v>
      </x:c>
      <x:c r="I704" s="8" t="s">
        <x:v>58</x:v>
      </x:c>
      <x:c r="J704" s="7" t="s">
        <x:v>58</x:v>
      </x:c>
      <x:c r="K704" s="8" t="n">
        <x:v>1</x:v>
      </x:c>
      <x:c r="L704" s="8" t="str">
        <x:f aca="0">IF(AND(ISNUMBER(G704),P704&lt;&gt;"Unresolved unit / layout"),G704*K704,"Not published")</x:f>
        <x:v>Not published</x:v>
      </x:c>
      <x:c r="M704" s="8" t="str">
        <x:f aca="0">IF(AND(ISNUMBER(H704),P704&lt;&gt;"Unresolved unit / layout"),H704*K704,"Not applicable")</x:f>
        <x:v>Not applicable</x:v>
      </x:c>
      <x:c r="N704" s="8" t="str">
        <x:f aca="0">IF(AND(ISNUMBER(I704),P704&lt;&gt;"Unresolved unit / layout"),I704*K704,"Not applicable")</x:f>
        <x:v>Not applicable</x:v>
      </x:c>
      <x:c r="O704" s="7" t="s">
        <x:v>1956</x:v>
      </x:c>
      <x:c r="P704" s="7" t="s">
        <x:v>53</x:v>
      </x:c>
      <x:c r="Q704" s="7" t="s">
        <x:v>2064</x:v>
      </x:c>
      <x:c r="R704" s="7" t="s">
        <x:v>58</x:v>
      </x:c>
      <x:c r="S704" s="7" t="s">
        <x:v>53</x:v>
      </x:c>
      <x:c r="T704" s="7" t="s">
        <x:v>53</x:v>
      </x:c>
      <x:c r="U704" s="7" t="s">
        <x:v>53</x:v>
      </x:c>
      <x:c r="V704" s="7" t="s">
        <x:v>2351</x:v>
      </x:c>
      <x:c r="W704" s="7" t="s">
        <x:v>58</x:v>
      </x:c>
      <x:c r="X704" s="7" t="s">
        <x:v>3405</x:v>
      </x:c>
      <x:c r="Y704" s="7" t="s">
        <x:v>1229</x:v>
      </x:c>
      <x:c r="Z704" s="7" t="s">
        <x:v>2188</x:v>
      </x:c>
      <x:c r="AA704" s="7" t="s">
        <x:v>58</x:v>
      </x:c>
      <x:c r="AB704" s="8" t="s">
        <x:v>58</x:v>
      </x:c>
      <x:c r="AC704" s="8" t="s">
        <x:v>58</x:v>
      </x:c>
      <x:c r="AD704" s="8" t="s">
        <x:v>58</x:v>
      </x:c>
      <x:c r="AE704" s="8" t="s">
        <x:v>58</x:v>
      </x:c>
      <x:c r="AF704" s="8" t="s">
        <x:v>58</x:v>
      </x:c>
      <x:c r="AG704" s="7" t="s">
        <x:v>58</x:v>
      </x:c>
    </x:row>
    <x:row r="705" ht="79.5" hidden="0" customHeight="1">
      <x:c r="A705" s="7" t="s">
        <x:v>3409</x:v>
      </x:c>
      <x:c r="B705" s="7" t="s">
        <x:v>452</x:v>
      </x:c>
      <x:c r="C705" s="7" t="s">
        <x:v>454</x:v>
      </x:c>
      <x:c r="D705" s="7" t="s">
        <x:v>1982</x:v>
      </x:c>
      <x:c r="E705" s="7" t="s">
        <x:v>3410</x:v>
      </x:c>
      <x:c r="F705" s="7" t="s">
        <x:v>1956</x:v>
      </x:c>
      <x:c r="G705" s="8" t="n">
        <x:v>114</x:v>
      </x:c>
      <x:c r="H705" s="8" t="s">
        <x:v>58</x:v>
      </x:c>
      <x:c r="I705" s="8" t="s">
        <x:v>58</x:v>
      </x:c>
      <x:c r="J705" s="7" t="s">
        <x:v>1919</x:v>
      </x:c>
      <x:c r="K705" s="8" t="n">
        <x:v>1</x:v>
      </x:c>
      <x:c r="L705" s="8" t="n">
        <x:f aca="0">IF(AND(ISNUMBER(G705),P705&lt;&gt;"Unresolved unit / layout"),G705*K705,"Not applicable")</x:f>
        <x:v>114</x:v>
      </x:c>
      <x:c r="M705" s="8" t="str">
        <x:f aca="0">IF(AND(ISNUMBER(H705),P705&lt;&gt;"Unresolved unit / layout"),H705*K705,"Not applicable")</x:f>
        <x:v>Not applicable</x:v>
      </x:c>
      <x:c r="N705" s="8" t="str">
        <x:f aca="0">IF(AND(ISNUMBER(I705),P705&lt;&gt;"Unresolved unit / layout"),I705*K705,"Not applicable")</x:f>
        <x:v>Not applicable</x:v>
      </x:c>
      <x:c r="O705" s="7" t="s">
        <x:v>1956</x:v>
      </x:c>
      <x:c r="P705" s="7" t="s">
        <x:v>1921</x:v>
      </x:c>
      <x:c r="Q705" s="7" t="s">
        <x:v>2064</x:v>
      </x:c>
      <x:c r="R705" s="7" t="s">
        <x:v>58</x:v>
      </x:c>
      <x:c r="S705" s="7" t="s">
        <x:v>53</x:v>
      </x:c>
      <x:c r="T705" s="7" t="s">
        <x:v>53</x:v>
      </x:c>
      <x:c r="U705" s="7" t="s">
        <x:v>53</x:v>
      </x:c>
      <x:c r="V705" s="7" t="s">
        <x:v>1984</x:v>
      </x:c>
      <x:c r="W705" s="7" t="s">
        <x:v>58</x:v>
      </x:c>
      <x:c r="X705" s="7" t="s">
        <x:v>3405</x:v>
      </x:c>
      <x:c r="Y705" s="7" t="s">
        <x:v>1229</x:v>
      </x:c>
      <x:c r="Z705" s="7" t="s">
        <x:v>2234</x:v>
      </x:c>
      <x:c r="AA705" s="7" t="s">
        <x:v>58</x:v>
      </x:c>
      <x:c r="AB705" s="8" t="s">
        <x:v>58</x:v>
      </x:c>
      <x:c r="AC705" s="8" t="s">
        <x:v>58</x:v>
      </x:c>
      <x:c r="AD705" s="8" t="s">
        <x:v>58</x:v>
      </x:c>
      <x:c r="AE705" s="8" t="s">
        <x:v>58</x:v>
      </x:c>
      <x:c r="AF705" s="8" t="s">
        <x:v>58</x:v>
      </x:c>
      <x:c r="AG705" s="7" t="s">
        <x:v>58</x:v>
      </x:c>
    </x:row>
    <x:row r="706" ht="79.5" hidden="0" customHeight="1">
      <x:c r="A706" s="7" t="s">
        <x:v>3411</x:v>
      </x:c>
      <x:c r="B706" s="7" t="s">
        <x:v>452</x:v>
      </x:c>
      <x:c r="C706" s="7" t="s">
        <x:v>454</x:v>
      </x:c>
      <x:c r="D706" s="7" t="s">
        <x:v>1959</x:v>
      </x:c>
      <x:c r="E706" s="7" t="s">
        <x:v>3317</x:v>
      </x:c>
      <x:c r="F706" s="7" t="s">
        <x:v>1956</x:v>
      </x:c>
      <x:c r="G706" s="8" t="n">
        <x:v>108</x:v>
      </x:c>
      <x:c r="H706" s="8" t="s">
        <x:v>58</x:v>
      </x:c>
      <x:c r="I706" s="8" t="s">
        <x:v>58</x:v>
      </x:c>
      <x:c r="J706" s="7" t="s">
        <x:v>1919</x:v>
      </x:c>
      <x:c r="K706" s="8" t="n">
        <x:v>1</x:v>
      </x:c>
      <x:c r="L706" s="8" t="n">
        <x:f aca="0">IF(AND(ISNUMBER(G706),P706&lt;&gt;"Unresolved unit / layout"),G706*K706,"Not applicable")</x:f>
        <x:v>108</x:v>
      </x:c>
      <x:c r="M706" s="8" t="str">
        <x:f aca="0">IF(AND(ISNUMBER(H706),P706&lt;&gt;"Unresolved unit / layout"),H706*K706,"Not applicable")</x:f>
        <x:v>Not applicable</x:v>
      </x:c>
      <x:c r="N706" s="8" t="str">
        <x:f aca="0">IF(AND(ISNUMBER(I706),P706&lt;&gt;"Unresolved unit / layout"),I706*K706,"Not applicable")</x:f>
        <x:v>Not applicable</x:v>
      </x:c>
      <x:c r="O706" s="7" t="s">
        <x:v>1956</x:v>
      </x:c>
      <x:c r="P706" s="7" t="s">
        <x:v>1921</x:v>
      </x:c>
      <x:c r="Q706" s="7" t="s">
        <x:v>2064</x:v>
      </x:c>
      <x:c r="R706" s="7" t="s">
        <x:v>58</x:v>
      </x:c>
      <x:c r="S706" s="7" t="s">
        <x:v>53</x:v>
      </x:c>
      <x:c r="T706" s="7" t="s">
        <x:v>53</x:v>
      </x:c>
      <x:c r="U706" s="7" t="s">
        <x:v>53</x:v>
      </x:c>
      <x:c r="V706" s="7" t="s">
        <x:v>2095</x:v>
      </x:c>
      <x:c r="W706" s="7" t="s">
        <x:v>58</x:v>
      </x:c>
      <x:c r="X706" s="7" t="s">
        <x:v>3405</x:v>
      </x:c>
      <x:c r="Y706" s="7" t="s">
        <x:v>1229</x:v>
      </x:c>
      <x:c r="Z706" s="7" t="s">
        <x:v>2096</x:v>
      </x:c>
      <x:c r="AA706" s="7" t="s">
        <x:v>58</x:v>
      </x:c>
      <x:c r="AB706" s="8" t="s">
        <x:v>58</x:v>
      </x:c>
      <x:c r="AC706" s="8" t="s">
        <x:v>58</x:v>
      </x:c>
      <x:c r="AD706" s="8" t="s">
        <x:v>58</x:v>
      </x:c>
      <x:c r="AE706" s="8" t="s">
        <x:v>58</x:v>
      </x:c>
      <x:c r="AF706" s="8" t="s">
        <x:v>58</x:v>
      </x:c>
      <x:c r="AG706" s="7" t="s">
        <x:v>58</x:v>
      </x:c>
    </x:row>
    <x:row r="707" ht="79.5" hidden="0" customHeight="1">
      <x:c r="A707" s="7" t="s">
        <x:v>458</x:v>
      </x:c>
      <x:c r="B707" s="7" t="s">
        <x:v>452</x:v>
      </x:c>
      <x:c r="C707" s="7" t="s">
        <x:v>454</x:v>
      </x:c>
      <x:c r="D707" s="7" t="s">
        <x:v>1959</x:v>
      </x:c>
      <x:c r="E707" s="7" t="s">
        <x:v>3412</x:v>
      </x:c>
      <x:c r="F707" s="7" t="s">
        <x:v>1956</x:v>
      </x:c>
      <x:c r="G707" s="8" t="n">
        <x:v>113</x:v>
      </x:c>
      <x:c r="H707" s="8" t="s">
        <x:v>58</x:v>
      </x:c>
      <x:c r="I707" s="8" t="s">
        <x:v>58</x:v>
      </x:c>
      <x:c r="J707" s="7" t="s">
        <x:v>1919</x:v>
      </x:c>
      <x:c r="K707" s="8" t="n">
        <x:v>1</x:v>
      </x:c>
      <x:c r="L707" s="8" t="n">
        <x:f aca="0">IF(AND(ISNUMBER(G707),P707&lt;&gt;"Unresolved unit / layout"),G707*K707,"Not applicable")</x:f>
        <x:v>113</x:v>
      </x:c>
      <x:c r="M707" s="8" t="str">
        <x:f aca="0">IF(AND(ISNUMBER(H707),P707&lt;&gt;"Unresolved unit / layout"),H707*K707,"Not applicable")</x:f>
        <x:v>Not applicable</x:v>
      </x:c>
      <x:c r="N707" s="8" t="str">
        <x:f aca="0">IF(AND(ISNUMBER(I707),P707&lt;&gt;"Unresolved unit / layout"),I707*K707,"Not applicable")</x:f>
        <x:v>Not applicable</x:v>
      </x:c>
      <x:c r="O707" s="7" t="s">
        <x:v>1956</x:v>
      </x:c>
      <x:c r="P707" s="7" t="s">
        <x:v>1921</x:v>
      </x:c>
      <x:c r="Q707" s="7" t="s">
        <x:v>2064</x:v>
      </x:c>
      <x:c r="R707" s="7" t="s">
        <x:v>58</x:v>
      </x:c>
      <x:c r="S707" s="7" t="s">
        <x:v>53</x:v>
      </x:c>
      <x:c r="T707" s="7" t="s">
        <x:v>53</x:v>
      </x:c>
      <x:c r="U707" s="7" t="s">
        <x:v>53</x:v>
      </x:c>
      <x:c r="V707" s="7" t="s">
        <x:v>2097</x:v>
      </x:c>
      <x:c r="W707" s="7" t="s">
        <x:v>58</x:v>
      </x:c>
      <x:c r="X707" s="7" t="s">
        <x:v>3405</x:v>
      </x:c>
      <x:c r="Y707" s="7" t="s">
        <x:v>1229</x:v>
      </x:c>
      <x:c r="Z707" s="7" t="s">
        <x:v>2096</x:v>
      </x:c>
      <x:c r="AA707" s="7" t="s">
        <x:v>58</x:v>
      </x:c>
      <x:c r="AB707" s="8" t="s">
        <x:v>58</x:v>
      </x:c>
      <x:c r="AC707" s="8" t="s">
        <x:v>58</x:v>
      </x:c>
      <x:c r="AD707" s="8" t="s">
        <x:v>58</x:v>
      </x:c>
      <x:c r="AE707" s="8" t="s">
        <x:v>58</x:v>
      </x:c>
      <x:c r="AF707" s="8" t="s">
        <x:v>58</x:v>
      </x:c>
      <x:c r="AG707" s="7" t="s">
        <x:v>58</x:v>
      </x:c>
    </x:row>
    <x:row r="708" ht="79.5" hidden="0" customHeight="1">
      <x:c r="A708" s="7" t="s">
        <x:v>3413</x:v>
      </x:c>
      <x:c r="B708" s="7" t="s">
        <x:v>452</x:v>
      </x:c>
      <x:c r="C708" s="7" t="s">
        <x:v>454</x:v>
      </x:c>
      <x:c r="D708" s="7" t="s">
        <x:v>2099</x:v>
      </x:c>
      <x:c r="E708" s="7" t="s">
        <x:v>2813</x:v>
      </x:c>
      <x:c r="F708" s="7" t="s">
        <x:v>1942</x:v>
      </x:c>
      <x:c r="G708" s="8" t="n">
        <x:v>0.12</x:v>
      </x:c>
      <x:c r="H708" s="8" t="s">
        <x:v>58</x:v>
      </x:c>
      <x:c r="I708" s="8" t="s">
        <x:v>58</x:v>
      </x:c>
      <x:c r="J708" s="7" t="s">
        <x:v>1919</x:v>
      </x:c>
      <x:c r="K708" s="8" t="n">
        <x:v>1</x:v>
      </x:c>
      <x:c r="L708" s="8" t="n">
        <x:f aca="0">IF(AND(ISNUMBER(G708),P708&lt;&gt;"Unresolved unit / layout"),G708*K708,"Not applicable")</x:f>
        <x:v>0.12</x:v>
      </x:c>
      <x:c r="M708" s="8" t="str">
        <x:f aca="0">IF(AND(ISNUMBER(H708),P708&lt;&gt;"Unresolved unit / layout"),H708*K708,"Not applicable")</x:f>
        <x:v>Not applicable</x:v>
      </x:c>
      <x:c r="N708" s="8" t="str">
        <x:f aca="0">IF(AND(ISNUMBER(I708),P708&lt;&gt;"Unresolved unit / layout"),I708*K708,"Not applicable")</x:f>
        <x:v>Not applicable</x:v>
      </x:c>
      <x:c r="O708" s="7" t="s">
        <x:v>1942</x:v>
      </x:c>
      <x:c r="P708" s="7" t="s">
        <x:v>1921</x:v>
      </x:c>
      <x:c r="Q708" s="7" t="s">
        <x:v>2064</x:v>
      </x:c>
      <x:c r="R708" s="7" t="s">
        <x:v>58</x:v>
      </x:c>
      <x:c r="S708" s="7" t="s">
        <x:v>53</x:v>
      </x:c>
      <x:c r="T708" s="7" t="s">
        <x:v>53</x:v>
      </x:c>
      <x:c r="U708" s="7" t="s">
        <x:v>53</x:v>
      </x:c>
      <x:c r="V708" s="7" t="s">
        <x:v>2238</x:v>
      </x:c>
      <x:c r="W708" s="7" t="s">
        <x:v>58</x:v>
      </x:c>
      <x:c r="X708" s="7" t="s">
        <x:v>3405</x:v>
      </x:c>
      <x:c r="Y708" s="7" t="s">
        <x:v>1229</x:v>
      </x:c>
      <x:c r="Z708" s="7" t="s">
        <x:v>2239</x:v>
      </x:c>
      <x:c r="AA708" s="7" t="s">
        <x:v>58</x:v>
      </x:c>
      <x:c r="AB708" s="8" t="s">
        <x:v>58</x:v>
      </x:c>
      <x:c r="AC708" s="8" t="s">
        <x:v>58</x:v>
      </x:c>
      <x:c r="AD708" s="8" t="s">
        <x:v>58</x:v>
      </x:c>
      <x:c r="AE708" s="8" t="s">
        <x:v>58</x:v>
      </x:c>
      <x:c r="AF708" s="8" t="s">
        <x:v>58</x:v>
      </x:c>
      <x:c r="AG708" s="7" t="s">
        <x:v>58</x:v>
      </x:c>
    </x:row>
    <x:row r="709" ht="79.5" hidden="0" customHeight="1">
      <x:c r="A709" s="7" t="s">
        <x:v>3414</x:v>
      </x:c>
      <x:c r="B709" s="7" t="s">
        <x:v>452</x:v>
      </x:c>
      <x:c r="C709" s="7" t="s">
        <x:v>454</x:v>
      </x:c>
      <x:c r="D709" s="7" t="s">
        <x:v>1935</x:v>
      </x:c>
      <x:c r="E709" s="7" t="s">
        <x:v>3415</x:v>
      </x:c>
      <x:c r="F709" s="7" t="s">
        <x:v>1929</x:v>
      </x:c>
      <x:c r="G709" s="8" t="n">
        <x:v>1670</x:v>
      </x:c>
      <x:c r="H709" s="8" t="n">
        <x:v>40</x:v>
      </x:c>
      <x:c r="I709" s="8" t="s">
        <x:v>58</x:v>
      </x:c>
      <x:c r="J709" s="7" t="s">
        <x:v>1919</x:v>
      </x:c>
      <x:c r="K709" s="8" t="n">
        <x:v>0.001</x:v>
      </x:c>
      <x:c r="L709" s="8" t="n">
        <x:f aca="0">IF(AND(ISNUMBER(G709),P709&lt;&gt;"Unresolved unit / layout"),G709*K709,"Not applicable")</x:f>
        <x:v>1.67</x:v>
      </x:c>
      <x:c r="M709" s="8" t="n">
        <x:f aca="0">IF(AND(ISNUMBER(H709),P709&lt;&gt;"Unresolved unit / layout"),H709*K709,"Not applicable")</x:f>
        <x:v>0.04</x:v>
      </x:c>
      <x:c r="N709" s="8" t="str">
        <x:f aca="0">IF(AND(ISNUMBER(I709),P709&lt;&gt;"Unresolved unit / layout"),I709*K709,"Not applicable")</x:f>
        <x:v>Not applicable</x:v>
      </x:c>
      <x:c r="O709" s="7" t="s">
        <x:v>1937</x:v>
      </x:c>
      <x:c r="P709" s="7" t="s">
        <x:v>1921</x:v>
      </x:c>
      <x:c r="Q709" s="7" t="s">
        <x:v>2064</x:v>
      </x:c>
      <x:c r="R709" s="7" t="s">
        <x:v>1931</x:v>
      </x:c>
      <x:c r="S709" s="7" t="s">
        <x:v>53</x:v>
      </x:c>
      <x:c r="T709" s="7" t="s">
        <x:v>53</x:v>
      </x:c>
      <x:c r="U709" s="7" t="s">
        <x:v>53</x:v>
      </x:c>
      <x:c r="V709" s="7" t="s">
        <x:v>1999</x:v>
      </x:c>
      <x:c r="W709" s="7" t="s">
        <x:v>58</x:v>
      </x:c>
      <x:c r="X709" s="7" t="s">
        <x:v>3405</x:v>
      </x:c>
      <x:c r="Y709" s="7" t="s">
        <x:v>1229</x:v>
      </x:c>
      <x:c r="Z709" s="7" t="s">
        <x:v>2105</x:v>
      </x:c>
      <x:c r="AA709" s="7" t="s">
        <x:v>58</x:v>
      </x:c>
      <x:c r="AB709" s="8" t="s">
        <x:v>58</x:v>
      </x:c>
      <x:c r="AC709" s="8" t="s">
        <x:v>58</x:v>
      </x:c>
      <x:c r="AD709" s="8" t="s">
        <x:v>58</x:v>
      </x:c>
      <x:c r="AE709" s="8" t="s">
        <x:v>58</x:v>
      </x:c>
      <x:c r="AF709" s="8" t="s">
        <x:v>58</x:v>
      </x:c>
      <x:c r="AG709" s="7" t="s">
        <x:v>58</x:v>
      </x:c>
    </x:row>
    <x:row r="710" ht="79.5" hidden="0" customHeight="1">
      <x:c r="A710" s="7" t="s">
        <x:v>3416</x:v>
      </x:c>
      <x:c r="B710" s="7" t="s">
        <x:v>452</x:v>
      </x:c>
      <x:c r="C710" s="7" t="s">
        <x:v>454</x:v>
      </x:c>
      <x:c r="D710" s="7" t="s">
        <x:v>1935</x:v>
      </x:c>
      <x:c r="E710" s="7" t="s">
        <x:v>3380</x:v>
      </x:c>
      <x:c r="F710" s="7" t="s">
        <x:v>1929</x:v>
      </x:c>
      <x:c r="G710" s="8" t="n">
        <x:v>1450</x:v>
      </x:c>
      <x:c r="H710" s="8" t="n">
        <x:v>60</x:v>
      </x:c>
      <x:c r="I710" s="8" t="s">
        <x:v>58</x:v>
      </x:c>
      <x:c r="J710" s="7" t="s">
        <x:v>1919</x:v>
      </x:c>
      <x:c r="K710" s="8" t="n">
        <x:v>0.001</x:v>
      </x:c>
      <x:c r="L710" s="8" t="n">
        <x:f aca="0">IF(AND(ISNUMBER(G710),P710&lt;&gt;"Unresolved unit / layout"),G710*K710,"Not applicable")</x:f>
        <x:v>1.45</x:v>
      </x:c>
      <x:c r="M710" s="8" t="n">
        <x:f aca="0">IF(AND(ISNUMBER(H710),P710&lt;&gt;"Unresolved unit / layout"),H710*K710,"Not applicable")</x:f>
        <x:v>0.06</x:v>
      </x:c>
      <x:c r="N710" s="8" t="str">
        <x:f aca="0">IF(AND(ISNUMBER(I710),P710&lt;&gt;"Unresolved unit / layout"),I710*K710,"Not applicable")</x:f>
        <x:v>Not applicable</x:v>
      </x:c>
      <x:c r="O710" s="7" t="s">
        <x:v>1937</x:v>
      </x:c>
      <x:c r="P710" s="7" t="s">
        <x:v>1921</x:v>
      </x:c>
      <x:c r="Q710" s="7" t="s">
        <x:v>2064</x:v>
      </x:c>
      <x:c r="R710" s="7" t="s">
        <x:v>2003</x:v>
      </x:c>
      <x:c r="S710" s="7" t="s">
        <x:v>53</x:v>
      </x:c>
      <x:c r="T710" s="7" t="s">
        <x:v>53</x:v>
      </x:c>
      <x:c r="U710" s="7" t="s">
        <x:v>53</x:v>
      </x:c>
      <x:c r="V710" s="7" t="s">
        <x:v>1999</x:v>
      </x:c>
      <x:c r="W710" s="7" t="s">
        <x:v>58</x:v>
      </x:c>
      <x:c r="X710" s="7" t="s">
        <x:v>3405</x:v>
      </x:c>
      <x:c r="Y710" s="7" t="s">
        <x:v>1229</x:v>
      </x:c>
      <x:c r="Z710" s="7" t="s">
        <x:v>2108</x:v>
      </x:c>
      <x:c r="AA710" s="7" t="s">
        <x:v>58</x:v>
      </x:c>
      <x:c r="AB710" s="8" t="s">
        <x:v>58</x:v>
      </x:c>
      <x:c r="AC710" s="8" t="s">
        <x:v>58</x:v>
      </x:c>
      <x:c r="AD710" s="8" t="s">
        <x:v>58</x:v>
      </x:c>
      <x:c r="AE710" s="8" t="s">
        <x:v>58</x:v>
      </x:c>
      <x:c r="AF710" s="8" t="s">
        <x:v>58</x:v>
      </x:c>
      <x:c r="AG710" s="7" t="s">
        <x:v>58</x:v>
      </x:c>
    </x:row>
    <x:row r="711" ht="79.5" hidden="0" customHeight="1">
      <x:c r="A711" s="7" t="s">
        <x:v>3417</x:v>
      </x:c>
      <x:c r="B711" s="7" t="s">
        <x:v>452</x:v>
      </x:c>
      <x:c r="C711" s="7" t="s">
        <x:v>454</x:v>
      </x:c>
      <x:c r="D711" s="7" t="s">
        <x:v>2006</x:v>
      </x:c>
      <x:c r="E711" s="7" t="s">
        <x:v>3418</x:v>
      </x:c>
      <x:c r="F711" s="7" t="s">
        <x:v>1929</x:v>
      </x:c>
      <x:c r="G711" s="8" t="n">
        <x:v>60</x:v>
      </x:c>
      <x:c r="H711" s="8" t="n">
        <x:v>4</x:v>
      </x:c>
      <x:c r="I711" s="8" t="s">
        <x:v>58</x:v>
      </x:c>
      <x:c r="J711" s="7" t="s">
        <x:v>1919</x:v>
      </x:c>
      <x:c r="K711" s="8" t="n">
        <x:v>1</x:v>
      </x:c>
      <x:c r="L711" s="8" t="n">
        <x:f aca="0">IF(AND(ISNUMBER(G711),P711&lt;&gt;"Unresolved unit / layout"),G711*K711,"Not applicable")</x:f>
        <x:v>60</x:v>
      </x:c>
      <x:c r="M711" s="8" t="n">
        <x:f aca="0">IF(AND(ISNUMBER(H711),P711&lt;&gt;"Unresolved unit / layout"),H711*K711,"Not applicable")</x:f>
        <x:v>4</x:v>
      </x:c>
      <x:c r="N711" s="8" t="str">
        <x:f aca="0">IF(AND(ISNUMBER(I711),P711&lt;&gt;"Unresolved unit / layout"),I711*K711,"Not applicable")</x:f>
        <x:v>Not applicable</x:v>
      </x:c>
      <x:c r="O711" s="7" t="s">
        <x:v>1929</x:v>
      </x:c>
      <x:c r="P711" s="7" t="s">
        <x:v>1921</x:v>
      </x:c>
      <x:c r="Q711" s="7" t="s">
        <x:v>2064</x:v>
      </x:c>
      <x:c r="R711" s="7" t="s">
        <x:v>1931</x:v>
      </x:c>
      <x:c r="S711" s="7" t="s">
        <x:v>53</x:v>
      </x:c>
      <x:c r="T711" s="7" t="s">
        <x:v>53</x:v>
      </x:c>
      <x:c r="U711" s="7" t="s">
        <x:v>53</x:v>
      </x:c>
      <x:c r="V711" s="7" t="s">
        <x:v>1999</x:v>
      </x:c>
      <x:c r="W711" s="7" t="s">
        <x:v>58</x:v>
      </x:c>
      <x:c r="X711" s="7" t="s">
        <x:v>3405</x:v>
      </x:c>
      <x:c r="Y711" s="7" t="s">
        <x:v>1229</x:v>
      </x:c>
      <x:c r="Z711" s="7" t="s">
        <x:v>2111</x:v>
      </x:c>
      <x:c r="AA711" s="7" t="s">
        <x:v>58</x:v>
      </x:c>
      <x:c r="AB711" s="8" t="s">
        <x:v>58</x:v>
      </x:c>
      <x:c r="AC711" s="8" t="s">
        <x:v>58</x:v>
      </x:c>
      <x:c r="AD711" s="8" t="s">
        <x:v>58</x:v>
      </x:c>
      <x:c r="AE711" s="8" t="s">
        <x:v>58</x:v>
      </x:c>
      <x:c r="AF711" s="8" t="s">
        <x:v>58</x:v>
      </x:c>
      <x:c r="AG711" s="7" t="s">
        <x:v>58</x:v>
      </x:c>
    </x:row>
    <x:row r="712" ht="79.5" hidden="0" customHeight="1">
      <x:c r="A712" s="7" t="s">
        <x:v>3419</x:v>
      </x:c>
      <x:c r="B712" s="7" t="s">
        <x:v>452</x:v>
      </x:c>
      <x:c r="C712" s="7" t="s">
        <x:v>454</x:v>
      </x:c>
      <x:c r="D712" s="7" t="s">
        <x:v>2006</x:v>
      </x:c>
      <x:c r="E712" s="7" t="s">
        <x:v>3420</x:v>
      </x:c>
      <x:c r="F712" s="7" t="s">
        <x:v>1929</x:v>
      </x:c>
      <x:c r="G712" s="8" t="n">
        <x:v>21</x:v>
      </x:c>
      <x:c r="H712" s="8" t="n">
        <x:v>3</x:v>
      </x:c>
      <x:c r="I712" s="8" t="s">
        <x:v>58</x:v>
      </x:c>
      <x:c r="J712" s="7" t="s">
        <x:v>1919</x:v>
      </x:c>
      <x:c r="K712" s="8" t="n">
        <x:v>1</x:v>
      </x:c>
      <x:c r="L712" s="8" t="n">
        <x:f aca="0">IF(AND(ISNUMBER(G712),P712&lt;&gt;"Unresolved unit / layout"),G712*K712,"Not applicable")</x:f>
        <x:v>21</x:v>
      </x:c>
      <x:c r="M712" s="8" t="n">
        <x:f aca="0">IF(AND(ISNUMBER(H712),P712&lt;&gt;"Unresolved unit / layout"),H712*K712,"Not applicable")</x:f>
        <x:v>3</x:v>
      </x:c>
      <x:c r="N712" s="8" t="str">
        <x:f aca="0">IF(AND(ISNUMBER(I712),P712&lt;&gt;"Unresolved unit / layout"),I712*K712,"Not applicable")</x:f>
        <x:v>Not applicable</x:v>
      </x:c>
      <x:c r="O712" s="7" t="s">
        <x:v>1929</x:v>
      </x:c>
      <x:c r="P712" s="7" t="s">
        <x:v>1921</x:v>
      </x:c>
      <x:c r="Q712" s="7" t="s">
        <x:v>2064</x:v>
      </x:c>
      <x:c r="R712" s="7" t="s">
        <x:v>2003</x:v>
      </x:c>
      <x:c r="S712" s="7" t="s">
        <x:v>53</x:v>
      </x:c>
      <x:c r="T712" s="7" t="s">
        <x:v>53</x:v>
      </x:c>
      <x:c r="U712" s="7" t="s">
        <x:v>53</x:v>
      </x:c>
      <x:c r="V712" s="7" t="s">
        <x:v>1999</x:v>
      </x:c>
      <x:c r="W712" s="7" t="s">
        <x:v>58</x:v>
      </x:c>
      <x:c r="X712" s="7" t="s">
        <x:v>3405</x:v>
      </x:c>
      <x:c r="Y712" s="7" t="s">
        <x:v>1229</x:v>
      </x:c>
      <x:c r="Z712" s="7" t="s">
        <x:v>2114</x:v>
      </x:c>
      <x:c r="AA712" s="7" t="s">
        <x:v>58</x:v>
      </x:c>
      <x:c r="AB712" s="8" t="s">
        <x:v>58</x:v>
      </x:c>
      <x:c r="AC712" s="8" t="s">
        <x:v>58</x:v>
      </x:c>
      <x:c r="AD712" s="8" t="s">
        <x:v>58</x:v>
      </x:c>
      <x:c r="AE712" s="8" t="s">
        <x:v>58</x:v>
      </x:c>
      <x:c r="AF712" s="8" t="s">
        <x:v>58</x:v>
      </x:c>
      <x:c r="AG712" s="7" t="s">
        <x:v>58</x:v>
      </x:c>
    </x:row>
    <x:row r="713" ht="79.5" hidden="0" customHeight="1">
      <x:c r="A713" s="7" t="s">
        <x:v>3421</x:v>
      </x:c>
      <x:c r="B713" s="7" t="s">
        <x:v>452</x:v>
      </x:c>
      <x:c r="C713" s="7" t="s">
        <x:v>454</x:v>
      </x:c>
      <x:c r="D713" s="7" t="s">
        <x:v>1940</x:v>
      </x:c>
      <x:c r="E713" s="7" t="s">
        <x:v>3422</x:v>
      </x:c>
      <x:c r="F713" s="7" t="s">
        <x:v>1942</x:v>
      </x:c>
      <x:c r="G713" s="8" t="n">
        <x:v>2.4</x:v>
      </x:c>
      <x:c r="H713" s="8" t="n">
        <x:v>0.3</x:v>
      </x:c>
      <x:c r="I713" s="8" t="s">
        <x:v>58</x:v>
      </x:c>
      <x:c r="J713" s="7" t="s">
        <x:v>1919</x:v>
      </x:c>
      <x:c r="K713" s="8" t="n">
        <x:v>1</x:v>
      </x:c>
      <x:c r="L713" s="8" t="n">
        <x:f aca="0">IF(AND(ISNUMBER(G713),P713&lt;&gt;"Unresolved unit / layout"),G713*K713,"Not applicable")</x:f>
        <x:v>2.4</x:v>
      </x:c>
      <x:c r="M713" s="8" t="n">
        <x:f aca="0">IF(AND(ISNUMBER(H713),P713&lt;&gt;"Unresolved unit / layout"),H713*K713,"Not applicable")</x:f>
        <x:v>0.3</x:v>
      </x:c>
      <x:c r="N713" s="8" t="str">
        <x:f aca="0">IF(AND(ISNUMBER(I713),P713&lt;&gt;"Unresolved unit / layout"),I713*K713,"Not applicable")</x:f>
        <x:v>Not applicable</x:v>
      </x:c>
      <x:c r="O713" s="7" t="s">
        <x:v>1942</x:v>
      </x:c>
      <x:c r="P713" s="7" t="s">
        <x:v>1921</x:v>
      </x:c>
      <x:c r="Q713" s="7" t="s">
        <x:v>2064</x:v>
      </x:c>
      <x:c r="R713" s="7" t="s">
        <x:v>1931</x:v>
      </x:c>
      <x:c r="S713" s="7" t="s">
        <x:v>53</x:v>
      </x:c>
      <x:c r="T713" s="7" t="s">
        <x:v>53</x:v>
      </x:c>
      <x:c r="U713" s="7" t="s">
        <x:v>53</x:v>
      </x:c>
      <x:c r="V713" s="7" t="s">
        <x:v>1999</x:v>
      </x:c>
      <x:c r="W713" s="7" t="s">
        <x:v>58</x:v>
      </x:c>
      <x:c r="X713" s="7" t="s">
        <x:v>3405</x:v>
      </x:c>
      <x:c r="Y713" s="7" t="s">
        <x:v>1229</x:v>
      </x:c>
      <x:c r="Z713" s="7" t="s">
        <x:v>2117</x:v>
      </x:c>
      <x:c r="AA713" s="7" t="s">
        <x:v>58</x:v>
      </x:c>
      <x:c r="AB713" s="8" t="s">
        <x:v>58</x:v>
      </x:c>
      <x:c r="AC713" s="8" t="s">
        <x:v>58</x:v>
      </x:c>
      <x:c r="AD713" s="8" t="s">
        <x:v>58</x:v>
      </x:c>
      <x:c r="AE713" s="8" t="s">
        <x:v>58</x:v>
      </x:c>
      <x:c r="AF713" s="8" t="s">
        <x:v>58</x:v>
      </x:c>
      <x:c r="AG713" s="7" t="s">
        <x:v>58</x:v>
      </x:c>
    </x:row>
    <x:row r="714" ht="79.5" hidden="0" customHeight="1">
      <x:c r="A714" s="7" t="s">
        <x:v>3423</x:v>
      </x:c>
      <x:c r="B714" s="7" t="s">
        <x:v>452</x:v>
      </x:c>
      <x:c r="C714" s="7" t="s">
        <x:v>454</x:v>
      </x:c>
      <x:c r="D714" s="7" t="s">
        <x:v>1940</x:v>
      </x:c>
      <x:c r="E714" s="7" t="s">
        <x:v>3424</x:v>
      </x:c>
      <x:c r="F714" s="7" t="s">
        <x:v>1942</x:v>
      </x:c>
      <x:c r="G714" s="8" t="n">
        <x:v>1.5</x:v>
      </x:c>
      <x:c r="H714" s="8" t="n">
        <x:v>0.4</x:v>
      </x:c>
      <x:c r="I714" s="8" t="s">
        <x:v>58</x:v>
      </x:c>
      <x:c r="J714" s="7" t="s">
        <x:v>1919</x:v>
      </x:c>
      <x:c r="K714" s="8" t="n">
        <x:v>1</x:v>
      </x:c>
      <x:c r="L714" s="8" t="n">
        <x:f aca="0">IF(AND(ISNUMBER(G714),P714&lt;&gt;"Unresolved unit / layout"),G714*K714,"Not applicable")</x:f>
        <x:v>1.5</x:v>
      </x:c>
      <x:c r="M714" s="8" t="n">
        <x:f aca="0">IF(AND(ISNUMBER(H714),P714&lt;&gt;"Unresolved unit / layout"),H714*K714,"Not applicable")</x:f>
        <x:v>0.4</x:v>
      </x:c>
      <x:c r="N714" s="8" t="str">
        <x:f aca="0">IF(AND(ISNUMBER(I714),P714&lt;&gt;"Unresolved unit / layout"),I714*K714,"Not applicable")</x:f>
        <x:v>Not applicable</x:v>
      </x:c>
      <x:c r="O714" s="7" t="s">
        <x:v>1942</x:v>
      </x:c>
      <x:c r="P714" s="7" t="s">
        <x:v>1921</x:v>
      </x:c>
      <x:c r="Q714" s="7" t="s">
        <x:v>2064</x:v>
      </x:c>
      <x:c r="R714" s="7" t="s">
        <x:v>2003</x:v>
      </x:c>
      <x:c r="S714" s="7" t="s">
        <x:v>53</x:v>
      </x:c>
      <x:c r="T714" s="7" t="s">
        <x:v>53</x:v>
      </x:c>
      <x:c r="U714" s="7" t="s">
        <x:v>53</x:v>
      </x:c>
      <x:c r="V714" s="7" t="s">
        <x:v>1999</x:v>
      </x:c>
      <x:c r="W714" s="7" t="s">
        <x:v>58</x:v>
      </x:c>
      <x:c r="X714" s="7" t="s">
        <x:v>3405</x:v>
      </x:c>
      <x:c r="Y714" s="7" t="s">
        <x:v>1229</x:v>
      </x:c>
      <x:c r="Z714" s="7" t="s">
        <x:v>2120</x:v>
      </x:c>
      <x:c r="AA714" s="7" t="s">
        <x:v>58</x:v>
      </x:c>
      <x:c r="AB714" s="8" t="s">
        <x:v>58</x:v>
      </x:c>
      <x:c r="AC714" s="8" t="s">
        <x:v>58</x:v>
      </x:c>
      <x:c r="AD714" s="8" t="s">
        <x:v>58</x:v>
      </x:c>
      <x:c r="AE714" s="8" t="s">
        <x:v>58</x:v>
      </x:c>
      <x:c r="AF714" s="8" t="s">
        <x:v>58</x:v>
      </x:c>
      <x:c r="AG714" s="7" t="s">
        <x:v>58</x:v>
      </x:c>
    </x:row>
    <x:row r="715" ht="79.5" hidden="0" customHeight="1">
      <x:c r="A715" s="7" t="s">
        <x:v>3425</x:v>
      </x:c>
      <x:c r="B715" s="7" t="s">
        <x:v>452</x:v>
      </x:c>
      <x:c r="C715" s="7" t="s">
        <x:v>454</x:v>
      </x:c>
      <x:c r="D715" s="7" t="s">
        <x:v>1950</x:v>
      </x:c>
      <x:c r="E715" s="7" t="s">
        <x:v>3426</x:v>
      </x:c>
      <x:c r="F715" s="7" t="s">
        <x:v>1929</x:v>
      </x:c>
      <x:c r="G715" s="8" t="n">
        <x:v>1890</x:v>
      </x:c>
      <x:c r="H715" s="8" t="n">
        <x:v>70</x:v>
      </x:c>
      <x:c r="I715" s="8" t="s">
        <x:v>58</x:v>
      </x:c>
      <x:c r="J715" s="7" t="s">
        <x:v>1919</x:v>
      </x:c>
      <x:c r="K715" s="8" t="n">
        <x:v>0.001</x:v>
      </x:c>
      <x:c r="L715" s="8" t="n">
        <x:f aca="0">IF(AND(ISNUMBER(G715),P715&lt;&gt;"Unresolved unit / layout"),G715*K715,"Not applicable")</x:f>
        <x:v>1.8900000000000001</x:v>
      </x:c>
      <x:c r="M715" s="8" t="n">
        <x:f aca="0">IF(AND(ISNUMBER(H715),P715&lt;&gt;"Unresolved unit / layout"),H715*K715,"Not applicable")</x:f>
        <x:v>0.07</x:v>
      </x:c>
      <x:c r="N715" s="8" t="str">
        <x:f aca="0">IF(AND(ISNUMBER(I715),P715&lt;&gt;"Unresolved unit / layout"),I715*K715,"Not applicable")</x:f>
        <x:v>Not applicable</x:v>
      </x:c>
      <x:c r="O715" s="7" t="s">
        <x:v>1937</x:v>
      </x:c>
      <x:c r="P715" s="7" t="s">
        <x:v>1921</x:v>
      </x:c>
      <x:c r="Q715" s="7" t="s">
        <x:v>2064</x:v>
      </x:c>
      <x:c r="R715" s="7" t="s">
        <x:v>1931</x:v>
      </x:c>
      <x:c r="S715" s="7" t="s">
        <x:v>53</x:v>
      </x:c>
      <x:c r="T715" s="7" t="s">
        <x:v>53</x:v>
      </x:c>
      <x:c r="U715" s="7" t="s">
        <x:v>53</x:v>
      </x:c>
      <x:c r="V715" s="7" t="s">
        <x:v>2020</x:v>
      </x:c>
      <x:c r="W715" s="7" t="s">
        <x:v>58</x:v>
      </x:c>
      <x:c r="X715" s="7" t="s">
        <x:v>3405</x:v>
      </x:c>
      <x:c r="Y715" s="7" t="s">
        <x:v>1229</x:v>
      </x:c>
      <x:c r="Z715" s="7" t="s">
        <x:v>2123</x:v>
      </x:c>
      <x:c r="AA715" s="7" t="s">
        <x:v>58</x:v>
      </x:c>
      <x:c r="AB715" s="8" t="s">
        <x:v>58</x:v>
      </x:c>
      <x:c r="AC715" s="8" t="s">
        <x:v>58</x:v>
      </x:c>
      <x:c r="AD715" s="8" t="s">
        <x:v>58</x:v>
      </x:c>
      <x:c r="AE715" s="8" t="s">
        <x:v>58</x:v>
      </x:c>
      <x:c r="AF715" s="8" t="s">
        <x:v>58</x:v>
      </x:c>
      <x:c r="AG715" s="7" t="s">
        <x:v>58</x:v>
      </x:c>
    </x:row>
    <x:row r="716" ht="79.5" hidden="0" customHeight="1">
      <x:c r="A716" s="7" t="s">
        <x:v>3427</x:v>
      </x:c>
      <x:c r="B716" s="7" t="s">
        <x:v>452</x:v>
      </x:c>
      <x:c r="C716" s="7" t="s">
        <x:v>454</x:v>
      </x:c>
      <x:c r="D716" s="7" t="s">
        <x:v>1950</x:v>
      </x:c>
      <x:c r="E716" s="7" t="s">
        <x:v>3428</x:v>
      </x:c>
      <x:c r="F716" s="7" t="s">
        <x:v>1929</x:v>
      </x:c>
      <x:c r="G716" s="8" t="n">
        <x:v>1660</x:v>
      </x:c>
      <x:c r="H716" s="8" t="n">
        <x:v>80</x:v>
      </x:c>
      <x:c r="I716" s="8" t="s">
        <x:v>58</x:v>
      </x:c>
      <x:c r="J716" s="7" t="s">
        <x:v>1919</x:v>
      </x:c>
      <x:c r="K716" s="8" t="n">
        <x:v>0.001</x:v>
      </x:c>
      <x:c r="L716" s="8" t="n">
        <x:f aca="0">IF(AND(ISNUMBER(G716),P716&lt;&gt;"Unresolved unit / layout"),G716*K716,"Not applicable")</x:f>
        <x:v>1.6600000000000001</x:v>
      </x:c>
      <x:c r="M716" s="8" t="n">
        <x:f aca="0">IF(AND(ISNUMBER(H716),P716&lt;&gt;"Unresolved unit / layout"),H716*K716,"Not applicable")</x:f>
        <x:v>0.08</x:v>
      </x:c>
      <x:c r="N716" s="8" t="str">
        <x:f aca="0">IF(AND(ISNUMBER(I716),P716&lt;&gt;"Unresolved unit / layout"),I716*K716,"Not applicable")</x:f>
        <x:v>Not applicable</x:v>
      </x:c>
      <x:c r="O716" s="7" t="s">
        <x:v>1937</x:v>
      </x:c>
      <x:c r="P716" s="7" t="s">
        <x:v>1921</x:v>
      </x:c>
      <x:c r="Q716" s="7" t="s">
        <x:v>2064</x:v>
      </x:c>
      <x:c r="R716" s="7" t="s">
        <x:v>2003</x:v>
      </x:c>
      <x:c r="S716" s="7" t="s">
        <x:v>53</x:v>
      </x:c>
      <x:c r="T716" s="7" t="s">
        <x:v>53</x:v>
      </x:c>
      <x:c r="U716" s="7" t="s">
        <x:v>53</x:v>
      </x:c>
      <x:c r="V716" s="7" t="s">
        <x:v>2020</x:v>
      </x:c>
      <x:c r="W716" s="7" t="s">
        <x:v>58</x:v>
      </x:c>
      <x:c r="X716" s="7" t="s">
        <x:v>3405</x:v>
      </x:c>
      <x:c r="Y716" s="7" t="s">
        <x:v>1229</x:v>
      </x:c>
      <x:c r="Z716" s="7" t="s">
        <x:v>2210</x:v>
      </x:c>
      <x:c r="AA716" s="7" t="s">
        <x:v>58</x:v>
      </x:c>
      <x:c r="AB716" s="8" t="s">
        <x:v>58</x:v>
      </x:c>
      <x:c r="AC716" s="8" t="s">
        <x:v>58</x:v>
      </x:c>
      <x:c r="AD716" s="8" t="s">
        <x:v>58</x:v>
      </x:c>
      <x:c r="AE716" s="8" t="s">
        <x:v>58</x:v>
      </x:c>
      <x:c r="AF716" s="8" t="s">
        <x:v>58</x:v>
      </x:c>
      <x:c r="AG716" s="7" t="s">
        <x:v>58</x:v>
      </x:c>
    </x:row>
    <x:row r="717" ht="79.5" hidden="0" customHeight="1">
      <x:c r="A717" s="7" t="s">
        <x:v>3429</x:v>
      </x:c>
      <x:c r="B717" s="7" t="s">
        <x:v>452</x:v>
      </x:c>
      <x:c r="C717" s="7" t="s">
        <x:v>454</x:v>
      </x:c>
      <x:c r="D717" s="7" t="s">
        <x:v>1945</x:v>
      </x:c>
      <x:c r="E717" s="7" t="s">
        <x:v>3430</x:v>
      </x:c>
      <x:c r="F717" s="7" t="s">
        <x:v>1929</x:v>
      </x:c>
      <x:c r="G717" s="8" t="n">
        <x:v>90</x:v>
      </x:c>
      <x:c r="H717" s="8" t="n">
        <x:v>4</x:v>
      </x:c>
      <x:c r="I717" s="8" t="s">
        <x:v>58</x:v>
      </x:c>
      <x:c r="J717" s="7" t="s">
        <x:v>1919</x:v>
      </x:c>
      <x:c r="K717" s="8" t="n">
        <x:v>1</x:v>
      </x:c>
      <x:c r="L717" s="8" t="n">
        <x:f aca="0">IF(AND(ISNUMBER(G717),P717&lt;&gt;"Unresolved unit / layout"),G717*K717,"Not applicable")</x:f>
        <x:v>90</x:v>
      </x:c>
      <x:c r="M717" s="8" t="n">
        <x:f aca="0">IF(AND(ISNUMBER(H717),P717&lt;&gt;"Unresolved unit / layout"),H717*K717,"Not applicable")</x:f>
        <x:v>4</x:v>
      </x:c>
      <x:c r="N717" s="8" t="str">
        <x:f aca="0">IF(AND(ISNUMBER(I717),P717&lt;&gt;"Unresolved unit / layout"),I717*K717,"Not applicable")</x:f>
        <x:v>Not applicable</x:v>
      </x:c>
      <x:c r="O717" s="7" t="s">
        <x:v>1929</x:v>
      </x:c>
      <x:c r="P717" s="7" t="s">
        <x:v>1921</x:v>
      </x:c>
      <x:c r="Q717" s="7" t="s">
        <x:v>2064</x:v>
      </x:c>
      <x:c r="R717" s="7" t="s">
        <x:v>1931</x:v>
      </x:c>
      <x:c r="S717" s="7" t="s">
        <x:v>53</x:v>
      </x:c>
      <x:c r="T717" s="7" t="s">
        <x:v>53</x:v>
      </x:c>
      <x:c r="U717" s="7" t="s">
        <x:v>53</x:v>
      </x:c>
      <x:c r="V717" s="7" t="s">
        <x:v>2020</x:v>
      </x:c>
      <x:c r="W717" s="7" t="s">
        <x:v>58</x:v>
      </x:c>
      <x:c r="X717" s="7" t="s">
        <x:v>3405</x:v>
      </x:c>
      <x:c r="Y717" s="7" t="s">
        <x:v>1229</x:v>
      </x:c>
      <x:c r="Z717" s="7" t="s">
        <x:v>2213</x:v>
      </x:c>
      <x:c r="AA717" s="7" t="s">
        <x:v>58</x:v>
      </x:c>
      <x:c r="AB717" s="8" t="s">
        <x:v>58</x:v>
      </x:c>
      <x:c r="AC717" s="8" t="s">
        <x:v>58</x:v>
      </x:c>
      <x:c r="AD717" s="8" t="s">
        <x:v>58</x:v>
      </x:c>
      <x:c r="AE717" s="8" t="s">
        <x:v>58</x:v>
      </x:c>
      <x:c r="AF717" s="8" t="s">
        <x:v>58</x:v>
      </x:c>
      <x:c r="AG717" s="7" t="s">
        <x:v>58</x:v>
      </x:c>
    </x:row>
    <x:row r="718" ht="79.5" hidden="0" customHeight="1">
      <x:c r="A718" s="7" t="s">
        <x:v>3431</x:v>
      </x:c>
      <x:c r="B718" s="7" t="s">
        <x:v>452</x:v>
      </x:c>
      <x:c r="C718" s="7" t="s">
        <x:v>454</x:v>
      </x:c>
      <x:c r="D718" s="7" t="s">
        <x:v>1945</x:v>
      </x:c>
      <x:c r="E718" s="7" t="s">
        <x:v>3432</x:v>
      </x:c>
      <x:c r="F718" s="7" t="s">
        <x:v>1929</x:v>
      </x:c>
      <x:c r="G718" s="8" t="n">
        <x:v>47</x:v>
      </x:c>
      <x:c r="H718" s="8" t="n">
        <x:v>2</x:v>
      </x:c>
      <x:c r="I718" s="8" t="s">
        <x:v>58</x:v>
      </x:c>
      <x:c r="J718" s="7" t="s">
        <x:v>1919</x:v>
      </x:c>
      <x:c r="K718" s="8" t="n">
        <x:v>1</x:v>
      </x:c>
      <x:c r="L718" s="8" t="n">
        <x:f aca="0">IF(AND(ISNUMBER(G718),P718&lt;&gt;"Unresolved unit / layout"),G718*K718,"Not applicable")</x:f>
        <x:v>47</x:v>
      </x:c>
      <x:c r="M718" s="8" t="n">
        <x:f aca="0">IF(AND(ISNUMBER(H718),P718&lt;&gt;"Unresolved unit / layout"),H718*K718,"Not applicable")</x:f>
        <x:v>2</x:v>
      </x:c>
      <x:c r="N718" s="8" t="str">
        <x:f aca="0">IF(AND(ISNUMBER(I718),P718&lt;&gt;"Unresolved unit / layout"),I718*K718,"Not applicable")</x:f>
        <x:v>Not applicable</x:v>
      </x:c>
      <x:c r="O718" s="7" t="s">
        <x:v>1929</x:v>
      </x:c>
      <x:c r="P718" s="7" t="s">
        <x:v>1921</x:v>
      </x:c>
      <x:c r="Q718" s="7" t="s">
        <x:v>2064</x:v>
      </x:c>
      <x:c r="R718" s="7" t="s">
        <x:v>2003</x:v>
      </x:c>
      <x:c r="S718" s="7" t="s">
        <x:v>53</x:v>
      </x:c>
      <x:c r="T718" s="7" t="s">
        <x:v>53</x:v>
      </x:c>
      <x:c r="U718" s="7" t="s">
        <x:v>53</x:v>
      </x:c>
      <x:c r="V718" s="7" t="s">
        <x:v>2020</x:v>
      </x:c>
      <x:c r="W718" s="7" t="s">
        <x:v>58</x:v>
      </x:c>
      <x:c r="X718" s="7" t="s">
        <x:v>3405</x:v>
      </x:c>
      <x:c r="Y718" s="7" t="s">
        <x:v>1229</x:v>
      </x:c>
      <x:c r="Z718" s="7" t="s">
        <x:v>2216</x:v>
      </x:c>
      <x:c r="AA718" s="7" t="s">
        <x:v>58</x:v>
      </x:c>
      <x:c r="AB718" s="8" t="s">
        <x:v>58</x:v>
      </x:c>
      <x:c r="AC718" s="8" t="s">
        <x:v>58</x:v>
      </x:c>
      <x:c r="AD718" s="8" t="s">
        <x:v>58</x:v>
      </x:c>
      <x:c r="AE718" s="8" t="s">
        <x:v>58</x:v>
      </x:c>
      <x:c r="AF718" s="8" t="s">
        <x:v>58</x:v>
      </x:c>
      <x:c r="AG718" s="7" t="s">
        <x:v>58</x:v>
      </x:c>
    </x:row>
    <x:row r="719" ht="79.5" hidden="0" customHeight="1">
      <x:c r="A719" s="7" t="s">
        <x:v>3433</x:v>
      </x:c>
      <x:c r="B719" s="7" t="s">
        <x:v>452</x:v>
      </x:c>
      <x:c r="C719" s="7" t="s">
        <x:v>454</x:v>
      </x:c>
      <x:c r="D719" s="7" t="s">
        <x:v>2030</x:v>
      </x:c>
      <x:c r="E719" s="7" t="s">
        <x:v>3434</x:v>
      </x:c>
      <x:c r="F719" s="7" t="s">
        <x:v>2033</x:v>
      </x:c>
      <x:c r="G719" s="8" t="n">
        <x:v>55</x:v>
      </x:c>
      <x:c r="H719" s="8" t="n">
        <x:v>2.1</x:v>
      </x:c>
      <x:c r="I719" s="8" t="s">
        <x:v>58</x:v>
      </x:c>
      <x:c r="J719" s="7" t="s">
        <x:v>1919</x:v>
      </x:c>
      <x:c r="K719" s="8" t="n">
        <x:v>1</x:v>
      </x:c>
      <x:c r="L719" s="8" t="n">
        <x:f aca="0">IF(AND(ISNUMBER(G719),P719&lt;&gt;"Unresolved unit / layout"),G719*K719,"Not applicable")</x:f>
        <x:v>55</x:v>
      </x:c>
      <x:c r="M719" s="8" t="n">
        <x:f aca="0">IF(AND(ISNUMBER(H719),P719&lt;&gt;"Unresolved unit / layout"),H719*K719,"Not applicable")</x:f>
        <x:v>2.1</x:v>
      </x:c>
      <x:c r="N719" s="8" t="str">
        <x:f aca="0">IF(AND(ISNUMBER(I719),P719&lt;&gt;"Unresolved unit / layout"),I719*K719,"Not applicable")</x:f>
        <x:v>Not applicable</x:v>
      </x:c>
      <x:c r="O719" s="7" t="s">
        <x:v>2033</x:v>
      </x:c>
      <x:c r="P719" s="7" t="s">
        <x:v>1921</x:v>
      </x:c>
      <x:c r="Q719" s="7" t="s">
        <x:v>2064</x:v>
      </x:c>
      <x:c r="R719" s="7" t="s">
        <x:v>1931</x:v>
      </x:c>
      <x:c r="S719" s="7" t="s">
        <x:v>53</x:v>
      </x:c>
      <x:c r="T719" s="7" t="s">
        <x:v>53</x:v>
      </x:c>
      <x:c r="U719" s="7" t="s">
        <x:v>53</x:v>
      </x:c>
      <x:c r="V719" s="7" t="s">
        <x:v>2036</x:v>
      </x:c>
      <x:c r="W719" s="7" t="s">
        <x:v>2135</x:v>
      </x:c>
      <x:c r="X719" s="7" t="s">
        <x:v>3405</x:v>
      </x:c>
      <x:c r="Y719" s="7" t="s">
        <x:v>1229</x:v>
      </x:c>
      <x:c r="Z719" s="7" t="s">
        <x:v>2219</x:v>
      </x:c>
      <x:c r="AA719" s="7" t="s">
        <x:v>58</x:v>
      </x:c>
      <x:c r="AB719" s="8" t="s">
        <x:v>58</x:v>
      </x:c>
      <x:c r="AC719" s="8" t="s">
        <x:v>58</x:v>
      </x:c>
      <x:c r="AD719" s="8" t="s">
        <x:v>58</x:v>
      </x:c>
      <x:c r="AE719" s="8" t="s">
        <x:v>58</x:v>
      </x:c>
      <x:c r="AF719" s="8" t="s">
        <x:v>58</x:v>
      </x:c>
      <x:c r="AG719" s="7" t="s">
        <x:v>58</x:v>
      </x:c>
    </x:row>
    <x:row r="720" ht="79.5" hidden="0" customHeight="1">
      <x:c r="A720" s="7" t="s">
        <x:v>3435</x:v>
      </x:c>
      <x:c r="B720" s="7" t="s">
        <x:v>452</x:v>
      </x:c>
      <x:c r="C720" s="7" t="s">
        <x:v>454</x:v>
      </x:c>
      <x:c r="D720" s="7" t="s">
        <x:v>2030</x:v>
      </x:c>
      <x:c r="E720" s="7" t="s">
        <x:v>3436</x:v>
      </x:c>
      <x:c r="F720" s="7" t="s">
        <x:v>2033</x:v>
      </x:c>
      <x:c r="G720" s="8" t="n">
        <x:v>8.4</x:v>
      </x:c>
      <x:c r="H720" s="8" t="n">
        <x:v>1.3</x:v>
      </x:c>
      <x:c r="I720" s="8" t="s">
        <x:v>58</x:v>
      </x:c>
      <x:c r="J720" s="7" t="s">
        <x:v>1919</x:v>
      </x:c>
      <x:c r="K720" s="8" t="n">
        <x:v>1</x:v>
      </x:c>
      <x:c r="L720" s="8" t="n">
        <x:f aca="0">IF(AND(ISNUMBER(G720),P720&lt;&gt;"Unresolved unit / layout"),G720*K720,"Not applicable")</x:f>
        <x:v>8.4</x:v>
      </x:c>
      <x:c r="M720" s="8" t="n">
        <x:f aca="0">IF(AND(ISNUMBER(H720),P720&lt;&gt;"Unresolved unit / layout"),H720*K720,"Not applicable")</x:f>
        <x:v>1.3</x:v>
      </x:c>
      <x:c r="N720" s="8" t="str">
        <x:f aca="0">IF(AND(ISNUMBER(I720),P720&lt;&gt;"Unresolved unit / layout"),I720*K720,"Not applicable")</x:f>
        <x:v>Not applicable</x:v>
      </x:c>
      <x:c r="O720" s="7" t="s">
        <x:v>2033</x:v>
      </x:c>
      <x:c r="P720" s="7" t="s">
        <x:v>1921</x:v>
      </x:c>
      <x:c r="Q720" s="7" t="s">
        <x:v>2064</x:v>
      </x:c>
      <x:c r="R720" s="7" t="s">
        <x:v>1931</x:v>
      </x:c>
      <x:c r="S720" s="7" t="s">
        <x:v>53</x:v>
      </x:c>
      <x:c r="T720" s="7" t="s">
        <x:v>53</x:v>
      </x:c>
      <x:c r="U720" s="7" t="s">
        <x:v>53</x:v>
      </x:c>
      <x:c r="V720" s="7" t="s">
        <x:v>2036</x:v>
      </x:c>
      <x:c r="W720" s="7" t="s">
        <x:v>2139</x:v>
      </x:c>
      <x:c r="X720" s="7" t="s">
        <x:v>3405</x:v>
      </x:c>
      <x:c r="Y720" s="7" t="s">
        <x:v>1229</x:v>
      </x:c>
      <x:c r="Z720" s="7" t="str">
        <x:v>p. 2: Impact Strength (X-Y) — notched</x:v>
      </x:c>
      <x:c r="AA720" s="7" t="str">
        <x:v>Locator corrected 2026-09-13 from explicit notched label in the current manufacturer TDS.</x:v>
      </x:c>
      <x:c r="AB720" s="8" t="s">
        <x:v>58</x:v>
      </x:c>
      <x:c r="AC720" s="8" t="s">
        <x:v>58</x:v>
      </x:c>
      <x:c r="AD720" s="8" t="s">
        <x:v>58</x:v>
      </x:c>
      <x:c r="AE720" s="8" t="s">
        <x:v>58</x:v>
      </x:c>
      <x:c r="AF720" s="8" t="s">
        <x:v>58</x:v>
      </x:c>
      <x:c r="AG720" s="7" t="s">
        <x:v>58</x:v>
      </x:c>
    </x:row>
    <x:row r="721" ht="79.5" hidden="0" customHeight="1">
      <x:c r="A721" s="7" t="s">
        <x:v>3437</x:v>
      </x:c>
      <x:c r="B721" s="7" t="s">
        <x:v>452</x:v>
      </x:c>
      <x:c r="C721" s="7" t="s">
        <x:v>454</x:v>
      </x:c>
      <x:c r="D721" s="7" t="s">
        <x:v>2030</x:v>
      </x:c>
      <x:c r="E721" s="7" t="s">
        <x:v>3438</x:v>
      </x:c>
      <x:c r="F721" s="7" t="s">
        <x:v>2033</x:v>
      </x:c>
      <x:c r="G721" s="8" t="n">
        <x:v>8</x:v>
      </x:c>
      <x:c r="H721" s="8" t="n">
        <x:v>0.4</x:v>
      </x:c>
      <x:c r="I721" s="8" t="s">
        <x:v>58</x:v>
      </x:c>
      <x:c r="J721" s="7" t="s">
        <x:v>1919</x:v>
      </x:c>
      <x:c r="K721" s="8" t="n">
        <x:v>1</x:v>
      </x:c>
      <x:c r="L721" s="8" t="n">
        <x:f aca="0">IF(AND(ISNUMBER(G721),P721&lt;&gt;"Unresolved unit / layout"),G721*K721,"Not applicable")</x:f>
        <x:v>8</x:v>
      </x:c>
      <x:c r="M721" s="8" t="n">
        <x:f aca="0">IF(AND(ISNUMBER(H721),P721&lt;&gt;"Unresolved unit / layout"),H721*K721,"Not applicable")</x:f>
        <x:v>0.4</x:v>
      </x:c>
      <x:c r="N721" s="8" t="str">
        <x:f aca="0">IF(AND(ISNUMBER(I721),P721&lt;&gt;"Unresolved unit / layout"),I721*K721,"Not applicable")</x:f>
        <x:v>Not applicable</x:v>
      </x:c>
      <x:c r="O721" s="7" t="s">
        <x:v>2033</x:v>
      </x:c>
      <x:c r="P721" s="7" t="s">
        <x:v>1921</x:v>
      </x:c>
      <x:c r="Q721" s="7" t="s">
        <x:v>2064</x:v>
      </x:c>
      <x:c r="R721" s="7" t="s">
        <x:v>2003</x:v>
      </x:c>
      <x:c r="S721" s="7" t="s">
        <x:v>53</x:v>
      </x:c>
      <x:c r="T721" s="7" t="s">
        <x:v>53</x:v>
      </x:c>
      <x:c r="U721" s="7" t="s">
        <x:v>53</x:v>
      </x:c>
      <x:c r="V721" s="7" t="s">
        <x:v>2036</x:v>
      </x:c>
      <x:c r="W721" s="7" t="s">
        <x:v>53</x:v>
      </x:c>
      <x:c r="X721" s="7" t="s">
        <x:v>3405</x:v>
      </x:c>
      <x:c r="Y721" s="7" t="s">
        <x:v>1229</x:v>
      </x:c>
      <x:c r="Z721" s="7" t="s">
        <x:v>2225</x:v>
      </x:c>
      <x:c r="AA721" s="7" t="s">
        <x:v>58</x:v>
      </x:c>
      <x:c r="AB721" s="8" t="s">
        <x:v>58</x:v>
      </x:c>
      <x:c r="AC721" s="8" t="s">
        <x:v>58</x:v>
      </x:c>
      <x:c r="AD721" s="8" t="s">
        <x:v>58</x:v>
      </x:c>
      <x:c r="AE721" s="8" t="s">
        <x:v>58</x:v>
      </x:c>
      <x:c r="AF721" s="8" t="s">
        <x:v>58</x:v>
      </x:c>
      <x:c r="AG721" s="7" t="s">
        <x:v>58</x:v>
      </x:c>
    </x:row>
    <x:row r="722" ht="51.75" hidden="0" customHeight="1">
      <x:c r="A722" s="7" t="s">
        <x:v>3439</x:v>
      </x:c>
      <x:c r="B722" s="7" t="s">
        <x:v>463</x:v>
      </x:c>
      <x:c r="C722" s="7" t="s">
        <x:v>465</x:v>
      </x:c>
      <x:c r="D722" s="7" t="s">
        <x:v>1916</x:v>
      </x:c>
      <x:c r="E722" s="7" t="s">
        <x:v>3440</x:v>
      </x:c>
      <x:c r="F722" s="7" t="s">
        <x:v>1918</x:v>
      </x:c>
      <x:c r="G722" s="8" t="n">
        <x:v>1.36</x:v>
      </x:c>
      <x:c r="H722" s="8" t="s">
        <x:v>58</x:v>
      </x:c>
      <x:c r="I722" s="8" t="s">
        <x:v>58</x:v>
      </x:c>
      <x:c r="J722" s="7" t="s">
        <x:v>1919</x:v>
      </x:c>
      <x:c r="K722" s="8" t="n">
        <x:v>1000</x:v>
      </x:c>
      <x:c r="L722" s="8" t="n">
        <x:f aca="0">IF(AND(ISNUMBER(G722),P722&lt;&gt;"Unresolved unit / layout"),G722*K722,"Not applicable")</x:f>
        <x:v>1360</x:v>
      </x:c>
      <x:c r="M722" s="8" t="str">
        <x:f aca="0">IF(AND(ISNUMBER(H722),P722&lt;&gt;"Unresolved unit / layout"),H722*K722,"Not applicable")</x:f>
        <x:v>Not applicable</x:v>
      </x:c>
      <x:c r="N722" s="8" t="str">
        <x:f aca="0">IF(AND(ISNUMBER(I722),P722&lt;&gt;"Unresolved unit / layout"),I722*K722,"Not applicable")</x:f>
        <x:v>Not applicable</x:v>
      </x:c>
      <x:c r="O722" s="7" t="s">
        <x:v>1920</x:v>
      </x:c>
      <x:c r="P722" s="7" t="s">
        <x:v>1921</x:v>
      </x:c>
      <x:c r="Q722" s="7" t="s">
        <x:v>1922</x:v>
      </x:c>
      <x:c r="R722" s="7" t="s">
        <x:v>58</x:v>
      </x:c>
      <x:c r="S722" s="7" t="s">
        <x:v>53</x:v>
      </x:c>
      <x:c r="T722" s="7" t="s">
        <x:v>53</x:v>
      </x:c>
      <x:c r="U722" s="7" t="s">
        <x:v>53</x:v>
      </x:c>
      <x:c r="V722" s="7" t="s">
        <x:v>1923</x:v>
      </x:c>
      <x:c r="W722" s="7" t="s">
        <x:v>58</x:v>
      </x:c>
      <x:c r="X722" s="7" t="s">
        <x:v>3441</x:v>
      </x:c>
      <x:c r="Y722" s="7" t="s">
        <x:v>1231</x:v>
      </x:c>
      <x:c r="Z722" s="7" t="s">
        <x:v>1925</x:v>
      </x:c>
      <x:c r="AA722" s="7" t="s">
        <x:v>58</x:v>
      </x:c>
      <x:c r="AB722" s="8" t="s">
        <x:v>58</x:v>
      </x:c>
      <x:c r="AC722" s="8" t="s">
        <x:v>58</x:v>
      </x:c>
      <x:c r="AD722" s="8" t="s">
        <x:v>58</x:v>
      </x:c>
      <x:c r="AE722" s="8" t="s">
        <x:v>58</x:v>
      </x:c>
      <x:c r="AF722" s="8" t="s">
        <x:v>58</x:v>
      </x:c>
      <x:c r="AG722" s="7" t="s">
        <x:v>58</x:v>
      </x:c>
    </x:row>
    <x:row r="723" ht="51.75" hidden="0" customHeight="1">
      <x:c r="A723" s="7" t="s">
        <x:v>3442</x:v>
      </x:c>
      <x:c r="B723" s="7" t="s">
        <x:v>463</x:v>
      </x:c>
      <x:c r="C723" s="7" t="s">
        <x:v>465</x:v>
      </x:c>
      <x:c r="D723" s="7" t="s">
        <x:v>1927</x:v>
      </x:c>
      <x:c r="E723" s="7" t="s">
        <x:v>2767</x:v>
      </x:c>
      <x:c r="F723" s="7" t="s">
        <x:v>1929</x:v>
      </x:c>
      <x:c r="G723" s="8" t="n">
        <x:v>70</x:v>
      </x:c>
      <x:c r="H723" s="8" t="s">
        <x:v>58</x:v>
      </x:c>
      <x:c r="I723" s="8" t="s">
        <x:v>58</x:v>
      </x:c>
      <x:c r="J723" s="7" t="s">
        <x:v>1919</x:v>
      </x:c>
      <x:c r="K723" s="8" t="n">
        <x:v>1</x:v>
      </x:c>
      <x:c r="L723" s="8" t="n">
        <x:f aca="0">IF(AND(ISNUMBER(G723),P723&lt;&gt;"Unresolved unit / layout"),G723*K723,"Not applicable")</x:f>
        <x:v>70</x:v>
      </x:c>
      <x:c r="M723" s="8" t="str">
        <x:f aca="0">IF(AND(ISNUMBER(H723),P723&lt;&gt;"Unresolved unit / layout"),H723*K723,"Not applicable")</x:f>
        <x:v>Not applicable</x:v>
      </x:c>
      <x:c r="N723" s="8" t="str">
        <x:f aca="0">IF(AND(ISNUMBER(I723),P723&lt;&gt;"Unresolved unit / layout"),I723*K723,"Not applicable")</x:f>
        <x:v>Not applicable</x:v>
      </x:c>
      <x:c r="O723" s="7" t="s">
        <x:v>1929</x:v>
      </x:c>
      <x:c r="P723" s="7" t="s">
        <x:v>1921</x:v>
      </x:c>
      <x:c r="Q723" s="7" t="s">
        <x:v>1930</x:v>
      </x:c>
      <x:c r="R723" s="7" t="s">
        <x:v>1931</x:v>
      </x:c>
      <x:c r="S723" s="7" t="s">
        <x:v>53</x:v>
      </x:c>
      <x:c r="T723" s="7" t="s">
        <x:v>53</x:v>
      </x:c>
      <x:c r="U723" s="7" t="s">
        <x:v>53</x:v>
      </x:c>
      <x:c r="V723" s="7" t="s">
        <x:v>1932</x:v>
      </x:c>
      <x:c r="W723" s="7" t="s">
        <x:v>58</x:v>
      </x:c>
      <x:c r="X723" s="7" t="s">
        <x:v>3441</x:v>
      </x:c>
      <x:c r="Y723" s="7" t="s">
        <x:v>1231</x:v>
      </x:c>
      <x:c r="Z723" s="7" t="s">
        <x:v>1933</x:v>
      </x:c>
      <x:c r="AA723" s="7" t="s">
        <x:v>58</x:v>
      </x:c>
      <x:c r="AB723" s="8" t="s">
        <x:v>58</x:v>
      </x:c>
      <x:c r="AC723" s="8" t="s">
        <x:v>58</x:v>
      </x:c>
      <x:c r="AD723" s="8" t="s">
        <x:v>58</x:v>
      </x:c>
      <x:c r="AE723" s="8" t="s">
        <x:v>58</x:v>
      </x:c>
      <x:c r="AF723" s="8" t="s">
        <x:v>58</x:v>
      </x:c>
      <x:c r="AG723" s="7" t="s">
        <x:v>58</x:v>
      </x:c>
    </x:row>
    <x:row r="724" ht="51.75" hidden="0" customHeight="1">
      <x:c r="A724" s="7" t="s">
        <x:v>3443</x:v>
      </x:c>
      <x:c r="B724" s="7" t="s">
        <x:v>463</x:v>
      </x:c>
      <x:c r="C724" s="7" t="s">
        <x:v>465</x:v>
      </x:c>
      <x:c r="D724" s="7" t="s">
        <x:v>1935</x:v>
      </x:c>
      <x:c r="E724" s="7" t="s">
        <x:v>3444</x:v>
      </x:c>
      <x:c r="F724" s="7" t="s">
        <x:v>1929</x:v>
      </x:c>
      <x:c r="G724" s="8" t="n">
        <x:v>6200</x:v>
      </x:c>
      <x:c r="H724" s="8" t="s">
        <x:v>58</x:v>
      </x:c>
      <x:c r="I724" s="8" t="s">
        <x:v>58</x:v>
      </x:c>
      <x:c r="J724" s="7" t="s">
        <x:v>1919</x:v>
      </x:c>
      <x:c r="K724" s="8" t="n">
        <x:v>0.001</x:v>
      </x:c>
      <x:c r="L724" s="8" t="n">
        <x:f aca="0">IF(AND(ISNUMBER(G724),P724&lt;&gt;"Unresolved unit / layout"),G724*K724,"Not applicable")</x:f>
        <x:v>6.2</x:v>
      </x:c>
      <x:c r="M724" s="8" t="str">
        <x:f aca="0">IF(AND(ISNUMBER(H724),P724&lt;&gt;"Unresolved unit / layout"),H724*K724,"Not applicable")</x:f>
        <x:v>Not applicable</x:v>
      </x:c>
      <x:c r="N724" s="8" t="str">
        <x:f aca="0">IF(AND(ISNUMBER(I724),P724&lt;&gt;"Unresolved unit / layout"),I724*K724,"Not applicable")</x:f>
        <x:v>Not applicable</x:v>
      </x:c>
      <x:c r="O724" s="7" t="s">
        <x:v>1937</x:v>
      </x:c>
      <x:c r="P724" s="7" t="s">
        <x:v>1921</x:v>
      </x:c>
      <x:c r="Q724" s="7" t="s">
        <x:v>1930</x:v>
      </x:c>
      <x:c r="R724" s="7" t="s">
        <x:v>1931</x:v>
      </x:c>
      <x:c r="S724" s="7" t="s">
        <x:v>53</x:v>
      </x:c>
      <x:c r="T724" s="7" t="s">
        <x:v>53</x:v>
      </x:c>
      <x:c r="U724" s="7" t="s">
        <x:v>53</x:v>
      </x:c>
      <x:c r="V724" s="7" t="s">
        <x:v>1932</x:v>
      </x:c>
      <x:c r="W724" s="7" t="s">
        <x:v>58</x:v>
      </x:c>
      <x:c r="X724" s="7" t="s">
        <x:v>3441</x:v>
      </x:c>
      <x:c r="Y724" s="7" t="s">
        <x:v>1231</x:v>
      </x:c>
      <x:c r="Z724" s="7" t="s">
        <x:v>1938</x:v>
      </x:c>
      <x:c r="AA724" s="7" t="s">
        <x:v>58</x:v>
      </x:c>
      <x:c r="AB724" s="8" t="s">
        <x:v>58</x:v>
      </x:c>
      <x:c r="AC724" s="8" t="s">
        <x:v>58</x:v>
      </x:c>
      <x:c r="AD724" s="8" t="s">
        <x:v>58</x:v>
      </x:c>
      <x:c r="AE724" s="8" t="s">
        <x:v>58</x:v>
      </x:c>
      <x:c r="AF724" s="8" t="s">
        <x:v>58</x:v>
      </x:c>
      <x:c r="AG724" s="7" t="s">
        <x:v>58</x:v>
      </x:c>
    </x:row>
    <x:row r="725" ht="51.75" hidden="0" customHeight="1">
      <x:c r="A725" s="7" t="s">
        <x:v>3445</x:v>
      </x:c>
      <x:c r="B725" s="7" t="s">
        <x:v>463</x:v>
      </x:c>
      <x:c r="C725" s="7" t="s">
        <x:v>465</x:v>
      </x:c>
      <x:c r="D725" s="7" t="s">
        <x:v>1940</x:v>
      </x:c>
      <x:c r="E725" s="7" t="s">
        <x:v>3184</x:v>
      </x:c>
      <x:c r="F725" s="7" t="s">
        <x:v>1942</x:v>
      </x:c>
      <x:c r="G725" s="8" t="n">
        <x:v>2</x:v>
      </x:c>
      <x:c r="H725" s="8" t="s">
        <x:v>58</x:v>
      </x:c>
      <x:c r="I725" s="8" t="s">
        <x:v>58</x:v>
      </x:c>
      <x:c r="J725" s="7" t="s">
        <x:v>1919</x:v>
      </x:c>
      <x:c r="K725" s="8" t="n">
        <x:v>1</x:v>
      </x:c>
      <x:c r="L725" s="8" t="n">
        <x:f aca="0">IF(AND(ISNUMBER(G725),P725&lt;&gt;"Unresolved unit / layout"),G725*K725,"Not applicable")</x:f>
        <x:v>2</x:v>
      </x:c>
      <x:c r="M725" s="8" t="str">
        <x:f aca="0">IF(AND(ISNUMBER(H725),P725&lt;&gt;"Unresolved unit / layout"),H725*K725,"Not applicable")</x:f>
        <x:v>Not applicable</x:v>
      </x:c>
      <x:c r="N725" s="8" t="str">
        <x:f aca="0">IF(AND(ISNUMBER(I725),P725&lt;&gt;"Unresolved unit / layout"),I725*K725,"Not applicable")</x:f>
        <x:v>Not applicable</x:v>
      </x:c>
      <x:c r="O725" s="7" t="s">
        <x:v>1942</x:v>
      </x:c>
      <x:c r="P725" s="7" t="s">
        <x:v>1921</x:v>
      </x:c>
      <x:c r="Q725" s="7" t="s">
        <x:v>1930</x:v>
      </x:c>
      <x:c r="R725" s="7" t="s">
        <x:v>1931</x:v>
      </x:c>
      <x:c r="S725" s="7" t="s">
        <x:v>53</x:v>
      </x:c>
      <x:c r="T725" s="7" t="s">
        <x:v>53</x:v>
      </x:c>
      <x:c r="U725" s="7" t="s">
        <x:v>53</x:v>
      </x:c>
      <x:c r="V725" s="7" t="s">
        <x:v>1932</x:v>
      </x:c>
      <x:c r="W725" s="7" t="s">
        <x:v>58</x:v>
      </x:c>
      <x:c r="X725" s="7" t="s">
        <x:v>3441</x:v>
      </x:c>
      <x:c r="Y725" s="7" t="s">
        <x:v>1231</x:v>
      </x:c>
      <x:c r="Z725" s="7" t="s">
        <x:v>1943</x:v>
      </x:c>
      <x:c r="AA725" s="7" t="s">
        <x:v>58</x:v>
      </x:c>
      <x:c r="AB725" s="8" t="s">
        <x:v>58</x:v>
      </x:c>
      <x:c r="AC725" s="8" t="s">
        <x:v>58</x:v>
      </x:c>
      <x:c r="AD725" s="8" t="s">
        <x:v>58</x:v>
      </x:c>
      <x:c r="AE725" s="8" t="s">
        <x:v>58</x:v>
      </x:c>
      <x:c r="AF725" s="8" t="s">
        <x:v>58</x:v>
      </x:c>
      <x:c r="AG725" s="7" t="s">
        <x:v>58</x:v>
      </x:c>
    </x:row>
    <x:row r="726" ht="51.75" hidden="0" customHeight="1">
      <x:c r="A726" s="7" t="s">
        <x:v>3446</x:v>
      </x:c>
      <x:c r="B726" s="7" t="s">
        <x:v>463</x:v>
      </x:c>
      <x:c r="C726" s="7" t="s">
        <x:v>465</x:v>
      </x:c>
      <x:c r="D726" s="7" t="s">
        <x:v>1945</x:v>
      </x:c>
      <x:c r="E726" s="7" t="s">
        <x:v>3447</x:v>
      </x:c>
      <x:c r="F726" s="7" t="s">
        <x:v>1929</x:v>
      </x:c>
      <x:c r="G726" s="8" t="n">
        <x:v>90</x:v>
      </x:c>
      <x:c r="H726" s="8" t="s">
        <x:v>58</x:v>
      </x:c>
      <x:c r="I726" s="8" t="s">
        <x:v>58</x:v>
      </x:c>
      <x:c r="J726" s="7" t="s">
        <x:v>1919</x:v>
      </x:c>
      <x:c r="K726" s="8" t="n">
        <x:v>1</x:v>
      </x:c>
      <x:c r="L726" s="8" t="n">
        <x:f aca="0">IF(AND(ISNUMBER(G726),P726&lt;&gt;"Unresolved unit / layout"),G726*K726,"Not applicable")</x:f>
        <x:v>90</x:v>
      </x:c>
      <x:c r="M726" s="8" t="str">
        <x:f aca="0">IF(AND(ISNUMBER(H726),P726&lt;&gt;"Unresolved unit / layout"),H726*K726,"Not applicable")</x:f>
        <x:v>Not applicable</x:v>
      </x:c>
      <x:c r="N726" s="8" t="str">
        <x:f aca="0">IF(AND(ISNUMBER(I726),P726&lt;&gt;"Unresolved unit / layout"),I726*K726,"Not applicable")</x:f>
        <x:v>Not applicable</x:v>
      </x:c>
      <x:c r="O726" s="7" t="s">
        <x:v>1929</x:v>
      </x:c>
      <x:c r="P726" s="7" t="s">
        <x:v>1921</x:v>
      </x:c>
      <x:c r="Q726" s="7" t="s">
        <x:v>1930</x:v>
      </x:c>
      <x:c r="R726" s="7" t="s">
        <x:v>1931</x:v>
      </x:c>
      <x:c r="S726" s="7" t="s">
        <x:v>53</x:v>
      </x:c>
      <x:c r="T726" s="7" t="s">
        <x:v>53</x:v>
      </x:c>
      <x:c r="U726" s="7" t="s">
        <x:v>53</x:v>
      </x:c>
      <x:c r="V726" s="7" t="s">
        <x:v>1947</x:v>
      </x:c>
      <x:c r="W726" s="7" t="s">
        <x:v>58</x:v>
      </x:c>
      <x:c r="X726" s="7" t="s">
        <x:v>3441</x:v>
      </x:c>
      <x:c r="Y726" s="7" t="s">
        <x:v>1231</x:v>
      </x:c>
      <x:c r="Z726" s="7" t="s">
        <x:v>1948</x:v>
      </x:c>
      <x:c r="AA726" s="7" t="s">
        <x:v>58</x:v>
      </x:c>
      <x:c r="AB726" s="8" t="s">
        <x:v>58</x:v>
      </x:c>
      <x:c r="AC726" s="8" t="s">
        <x:v>58</x:v>
      </x:c>
      <x:c r="AD726" s="8" t="s">
        <x:v>58</x:v>
      </x:c>
      <x:c r="AE726" s="8" t="s">
        <x:v>58</x:v>
      </x:c>
      <x:c r="AF726" s="8" t="s">
        <x:v>58</x:v>
      </x:c>
      <x:c r="AG726" s="7" t="s">
        <x:v>58</x:v>
      </x:c>
    </x:row>
    <x:row r="727" ht="51.75" hidden="0" customHeight="1">
      <x:c r="A727" s="7" t="s">
        <x:v>3448</x:v>
      </x:c>
      <x:c r="B727" s="7" t="s">
        <x:v>463</x:v>
      </x:c>
      <x:c r="C727" s="7" t="s">
        <x:v>465</x:v>
      </x:c>
      <x:c r="D727" s="7" t="s">
        <x:v>1950</x:v>
      </x:c>
      <x:c r="E727" s="7" t="s">
        <x:v>3449</x:v>
      </x:c>
      <x:c r="F727" s="7" t="s">
        <x:v>1929</x:v>
      </x:c>
      <x:c r="G727" s="8" t="n">
        <x:v>5890</x:v>
      </x:c>
      <x:c r="H727" s="8" t="s">
        <x:v>58</x:v>
      </x:c>
      <x:c r="I727" s="8" t="s">
        <x:v>58</x:v>
      </x:c>
      <x:c r="J727" s="7" t="s">
        <x:v>1919</x:v>
      </x:c>
      <x:c r="K727" s="8" t="n">
        <x:v>0.001</x:v>
      </x:c>
      <x:c r="L727" s="8" t="n">
        <x:f aca="0">IF(AND(ISNUMBER(G727),P727&lt;&gt;"Unresolved unit / layout"),G727*K727,"Not applicable")</x:f>
        <x:v>5.89</x:v>
      </x:c>
      <x:c r="M727" s="8" t="str">
        <x:f aca="0">IF(AND(ISNUMBER(H727),P727&lt;&gt;"Unresolved unit / layout"),H727*K727,"Not applicable")</x:f>
        <x:v>Not applicable</x:v>
      </x:c>
      <x:c r="N727" s="8" t="str">
        <x:f aca="0">IF(AND(ISNUMBER(I727),P727&lt;&gt;"Unresolved unit / layout"),I727*K727,"Not applicable")</x:f>
        <x:v>Not applicable</x:v>
      </x:c>
      <x:c r="O727" s="7" t="s">
        <x:v>1937</x:v>
      </x:c>
      <x:c r="P727" s="7" t="s">
        <x:v>1921</x:v>
      </x:c>
      <x:c r="Q727" s="7" t="s">
        <x:v>1930</x:v>
      </x:c>
      <x:c r="R727" s="7" t="s">
        <x:v>1931</x:v>
      </x:c>
      <x:c r="S727" s="7" t="s">
        <x:v>53</x:v>
      </x:c>
      <x:c r="T727" s="7" t="s">
        <x:v>53</x:v>
      </x:c>
      <x:c r="U727" s="7" t="s">
        <x:v>53</x:v>
      </x:c>
      <x:c r="V727" s="7" t="s">
        <x:v>1947</x:v>
      </x:c>
      <x:c r="W727" s="7" t="s">
        <x:v>58</x:v>
      </x:c>
      <x:c r="X727" s="7" t="s">
        <x:v>3441</x:v>
      </x:c>
      <x:c r="Y727" s="7" t="s">
        <x:v>1231</x:v>
      </x:c>
      <x:c r="Z727" s="7" t="s">
        <x:v>1952</x:v>
      </x:c>
      <x:c r="AA727" s="7" t="s">
        <x:v>58</x:v>
      </x:c>
      <x:c r="AB727" s="8" t="s">
        <x:v>58</x:v>
      </x:c>
      <x:c r="AC727" s="8" t="s">
        <x:v>58</x:v>
      </x:c>
      <x:c r="AD727" s="8" t="s">
        <x:v>58</x:v>
      </x:c>
      <x:c r="AE727" s="8" t="s">
        <x:v>58</x:v>
      </x:c>
      <x:c r="AF727" s="8" t="s">
        <x:v>58</x:v>
      </x:c>
      <x:c r="AG727" s="7" t="s">
        <x:v>58</x:v>
      </x:c>
    </x:row>
    <x:row r="728" ht="51.75" hidden="0" customHeight="1">
      <x:c r="A728" s="7" t="s">
        <x:v>3450</x:v>
      </x:c>
      <x:c r="B728" s="7" t="s">
        <x:v>463</x:v>
      </x:c>
      <x:c r="C728" s="7" t="s">
        <x:v>465</x:v>
      </x:c>
      <x:c r="D728" s="7" t="s">
        <x:v>1954</x:v>
      </x:c>
      <x:c r="E728" s="7" t="s">
        <x:v>3451</x:v>
      </x:c>
      <x:c r="F728" s="7" t="s">
        <x:v>1956</x:v>
      </x:c>
      <x:c r="G728" s="8" t="n">
        <x:v>143</x:v>
      </x:c>
      <x:c r="H728" s="8" t="s">
        <x:v>58</x:v>
      </x:c>
      <x:c r="I728" s="8" t="s">
        <x:v>58</x:v>
      </x:c>
      <x:c r="J728" s="7" t="s">
        <x:v>1919</x:v>
      </x:c>
      <x:c r="K728" s="8" t="n">
        <x:v>1</x:v>
      </x:c>
      <x:c r="L728" s="8" t="n">
        <x:f aca="0">IF(AND(ISNUMBER(G728),P728&lt;&gt;"Unresolved unit / layout"),G728*K728,"Not applicable")</x:f>
        <x:v>143</x:v>
      </x:c>
      <x:c r="M728" s="8" t="str">
        <x:f aca="0">IF(AND(ISNUMBER(H728),P728&lt;&gt;"Unresolved unit / layout"),H728*K728,"Not applicable")</x:f>
        <x:v>Not applicable</x:v>
      </x:c>
      <x:c r="N728" s="8" t="str">
        <x:f aca="0">IF(AND(ISNUMBER(I728),P728&lt;&gt;"Unresolved unit / layout"),I728*K728,"Not applicable")</x:f>
        <x:v>Not applicable</x:v>
      </x:c>
      <x:c r="O728" s="7" t="s">
        <x:v>1956</x:v>
      </x:c>
      <x:c r="P728" s="7" t="s">
        <x:v>1921</x:v>
      </x:c>
      <x:c r="Q728" s="7" t="s">
        <x:v>1930</x:v>
      </x:c>
      <x:c r="R728" s="7" t="s">
        <x:v>58</x:v>
      </x:c>
      <x:c r="S728" s="7" t="s">
        <x:v>53</x:v>
      </x:c>
      <x:c r="T728" s="7" t="s">
        <x:v>53</x:v>
      </x:c>
      <x:c r="U728" s="7" t="s">
        <x:v>53</x:v>
      </x:c>
      <x:c r="V728" s="7" t="s">
        <x:v>1957</x:v>
      </x:c>
      <x:c r="W728" s="7" t="s">
        <x:v>58</x:v>
      </x:c>
      <x:c r="X728" s="7" t="s">
        <x:v>3441</x:v>
      </x:c>
      <x:c r="Y728" s="7" t="s">
        <x:v>1231</x:v>
      </x:c>
      <x:c r="Z728" s="7" t="s">
        <x:v>1958</x:v>
      </x:c>
      <x:c r="AA728" s="7" t="s">
        <x:v>58</x:v>
      </x:c>
      <x:c r="AB728" s="8" t="s">
        <x:v>58</x:v>
      </x:c>
      <x:c r="AC728" s="8" t="s">
        <x:v>58</x:v>
      </x:c>
      <x:c r="AD728" s="8" t="s">
        <x:v>58</x:v>
      </x:c>
      <x:c r="AE728" s="8" t="s">
        <x:v>58</x:v>
      </x:c>
      <x:c r="AF728" s="8" t="s">
        <x:v>58</x:v>
      </x:c>
      <x:c r="AG728" s="7" t="s">
        <x:v>58</x:v>
      </x:c>
    </x:row>
    <x:row r="729" ht="51.75" hidden="0" customHeight="1">
      <x:c r="A729" s="7" t="s">
        <x:v>470</x:v>
      </x:c>
      <x:c r="B729" s="7" t="s">
        <x:v>463</x:v>
      </x:c>
      <x:c r="C729" s="7" t="s">
        <x:v>465</x:v>
      </x:c>
      <x:c r="D729" s="7" t="s">
        <x:v>1959</x:v>
      </x:c>
      <x:c r="E729" s="7" t="s">
        <x:v>3452</x:v>
      </x:c>
      <x:c r="F729" s="7" t="s">
        <x:v>1956</x:v>
      </x:c>
      <x:c r="G729" s="8" t="n">
        <x:v>135</x:v>
      </x:c>
      <x:c r="H729" s="8" t="s">
        <x:v>58</x:v>
      </x:c>
      <x:c r="I729" s="8" t="s">
        <x:v>58</x:v>
      </x:c>
      <x:c r="J729" s="7" t="s">
        <x:v>1919</x:v>
      </x:c>
      <x:c r="K729" s="8" t="n">
        <x:v>1</x:v>
      </x:c>
      <x:c r="L729" s="8" t="n">
        <x:f aca="0">IF(AND(ISNUMBER(G729),P729&lt;&gt;"Unresolved unit / layout"),G729*K729,"Not applicable")</x:f>
        <x:v>135</x:v>
      </x:c>
      <x:c r="M729" s="8" t="str">
        <x:f aca="0">IF(AND(ISNUMBER(H729),P729&lt;&gt;"Unresolved unit / layout"),H729*K729,"Not applicable")</x:f>
        <x:v>Not applicable</x:v>
      </x:c>
      <x:c r="N729" s="8" t="str">
        <x:f aca="0">IF(AND(ISNUMBER(I729),P729&lt;&gt;"Unresolved unit / layout"),I729*K729,"Not applicable")</x:f>
        <x:v>Not applicable</x:v>
      </x:c>
      <x:c r="O729" s="7" t="s">
        <x:v>1956</x:v>
      </x:c>
      <x:c r="P729" s="7" t="s">
        <x:v>1921</x:v>
      </x:c>
      <x:c r="Q729" s="7" t="s">
        <x:v>1930</x:v>
      </x:c>
      <x:c r="R729" s="7" t="s">
        <x:v>58</x:v>
      </x:c>
      <x:c r="S729" s="7" t="s">
        <x:v>53</x:v>
      </x:c>
      <x:c r="T729" s="7" t="s">
        <x:v>53</x:v>
      </x:c>
      <x:c r="U729" s="7" t="s">
        <x:v>53</x:v>
      </x:c>
      <x:c r="V729" s="7" t="s">
        <x:v>1961</x:v>
      </x:c>
      <x:c r="W729" s="7" t="s">
        <x:v>58</x:v>
      </x:c>
      <x:c r="X729" s="7" t="s">
        <x:v>3441</x:v>
      </x:c>
      <x:c r="Y729" s="7" t="s">
        <x:v>1231</x:v>
      </x:c>
      <x:c r="Z729" s="7" t="s">
        <x:v>1962</x:v>
      </x:c>
      <x:c r="AA729" s="7" t="s">
        <x:v>58</x:v>
      </x:c>
      <x:c r="AB729" s="8" t="s">
        <x:v>58</x:v>
      </x:c>
      <x:c r="AC729" s="8" t="s">
        <x:v>58</x:v>
      </x:c>
      <x:c r="AD729" s="8" t="s">
        <x:v>58</x:v>
      </x:c>
      <x:c r="AE729" s="8" t="s">
        <x:v>58</x:v>
      </x:c>
      <x:c r="AF729" s="8" t="s">
        <x:v>58</x:v>
      </x:c>
      <x:c r="AG729" s="7" t="s">
        <x:v>58</x:v>
      </x:c>
    </x:row>
    <x:row r="730" ht="51.75" hidden="0" customHeight="1">
      <x:c r="A730" s="7" t="s">
        <x:v>3453</x:v>
      </x:c>
      <x:c r="B730" s="7" t="s">
        <x:v>463</x:v>
      </x:c>
      <x:c r="C730" s="7" t="s">
        <x:v>1233</x:v>
      </x:c>
      <x:c r="D730" s="7" t="s">
        <x:v>1916</x:v>
      </x:c>
      <x:c r="E730" s="7" t="s">
        <x:v>3454</x:v>
      </x:c>
      <x:c r="F730" s="7" t="s">
        <x:v>1965</x:v>
      </x:c>
      <x:c r="G730" s="8" t="n">
        <x:v>1.22</x:v>
      </x:c>
      <x:c r="H730" s="8" t="s">
        <x:v>58</x:v>
      </x:c>
      <x:c r="I730" s="8" t="s">
        <x:v>58</x:v>
      </x:c>
      <x:c r="J730" s="7" t="s">
        <x:v>1919</x:v>
      </x:c>
      <x:c r="K730" s="8" t="n">
        <x:v>1000</x:v>
      </x:c>
      <x:c r="L730" s="8" t="n">
        <x:f aca="0">IF(AND(ISNUMBER(G730),P730&lt;&gt;"Unresolved unit / layout"),G730*K730,"Not applicable")</x:f>
        <x:v>1220</x:v>
      </x:c>
      <x:c r="M730" s="8" t="str">
        <x:f aca="0">IF(AND(ISNUMBER(H730),P730&lt;&gt;"Unresolved unit / layout"),H730*K730,"Not applicable")</x:f>
        <x:v>Not applicable</x:v>
      </x:c>
      <x:c r="N730" s="8" t="str">
        <x:f aca="0">IF(AND(ISNUMBER(I730),P730&lt;&gt;"Unresolved unit / layout"),I730*K730,"Not applicable")</x:f>
        <x:v>Not applicable</x:v>
      </x:c>
      <x:c r="O730" s="7" t="s">
        <x:v>1920</x:v>
      </x:c>
      <x:c r="P730" s="7" t="s">
        <x:v>1921</x:v>
      </x:c>
      <x:c r="Q730" s="7" t="s">
        <x:v>1922</x:v>
      </x:c>
      <x:c r="R730" s="7" t="s">
        <x:v>58</x:v>
      </x:c>
      <x:c r="S730" s="7" t="s">
        <x:v>53</x:v>
      </x:c>
      <x:c r="T730" s="7" t="s">
        <x:v>53</x:v>
      </x:c>
      <x:c r="U730" s="7" t="s">
        <x:v>53</x:v>
      </x:c>
      <x:c r="V730" s="7" t="s">
        <x:v>3058</x:v>
      </x:c>
      <x:c r="W730" s="7" t="s">
        <x:v>58</x:v>
      </x:c>
      <x:c r="X730" s="7" t="s">
        <x:v>53</x:v>
      </x:c>
      <x:c r="Y730" s="7" t="s">
        <x:v>1235</x:v>
      </x:c>
      <x:c r="Z730" s="7" t="s">
        <x:v>3059</x:v>
      </x:c>
      <x:c r="AA730" s="7" t="s">
        <x:v>58</x:v>
      </x:c>
      <x:c r="AB730" s="8" t="s">
        <x:v>58</x:v>
      </x:c>
      <x:c r="AC730" s="8" t="s">
        <x:v>58</x:v>
      </x:c>
      <x:c r="AD730" s="8" t="s">
        <x:v>58</x:v>
      </x:c>
      <x:c r="AE730" s="8" t="s">
        <x:v>58</x:v>
      </x:c>
      <x:c r="AF730" s="8" t="s">
        <x:v>58</x:v>
      </x:c>
      <x:c r="AG730" s="7" t="s">
        <x:v>58</x:v>
      </x:c>
    </x:row>
    <x:row r="731" ht="37.5" hidden="0" customHeight="1">
      <x:c r="A731" s="7" t="s">
        <x:v>3455</x:v>
      </x:c>
      <x:c r="B731" s="7" t="s">
        <x:v>463</x:v>
      </x:c>
      <x:c r="C731" s="7" t="s">
        <x:v>1233</x:v>
      </x:c>
      <x:c r="D731" s="7" t="s">
        <x:v>3061</x:v>
      </x:c>
      <x:c r="E731" s="7" t="s">
        <x:v>3456</x:v>
      </x:c>
      <x:c r="F731" s="7" t="s">
        <x:v>1929</x:v>
      </x:c>
      <x:c r="G731" s="8" t="n">
        <x:v>76</x:v>
      </x:c>
      <x:c r="H731" s="8" t="s">
        <x:v>58</x:v>
      </x:c>
      <x:c r="I731" s="8" t="s">
        <x:v>58</x:v>
      </x:c>
      <x:c r="J731" s="7" t="s">
        <x:v>1919</x:v>
      </x:c>
      <x:c r="K731" s="8" t="n">
        <x:v>1</x:v>
      </x:c>
      <x:c r="L731" s="8" t="n">
        <x:f aca="0">IF(AND(ISNUMBER(G731),P731&lt;&gt;"Unresolved unit / layout"),G731*K731,"Not applicable")</x:f>
        <x:v>76</x:v>
      </x:c>
      <x:c r="M731" s="8" t="str">
        <x:f aca="0">IF(AND(ISNUMBER(H731),P731&lt;&gt;"Unresolved unit / layout"),H731*K731,"Not applicable")</x:f>
        <x:v>Not applicable</x:v>
      </x:c>
      <x:c r="N731" s="8" t="str">
        <x:f aca="0">IF(AND(ISNUMBER(I731),P731&lt;&gt;"Unresolved unit / layout"),I731*K731,"Not applicable")</x:f>
        <x:v>Not applicable</x:v>
      </x:c>
      <x:c r="O731" s="7" t="s">
        <x:v>1929</x:v>
      </x:c>
      <x:c r="P731" s="7" t="s">
        <x:v>1921</x:v>
      </x:c>
      <x:c r="Q731" s="7" t="s">
        <x:v>2064</x:v>
      </x:c>
      <x:c r="R731" s="7" t="s">
        <x:v>53</x:v>
      </x:c>
      <x:c r="S731" s="7" t="s">
        <x:v>53</x:v>
      </x:c>
      <x:c r="T731" s="7" t="s">
        <x:v>53</x:v>
      </x:c>
      <x:c r="U731" s="7" t="s">
        <x:v>53</x:v>
      </x:c>
      <x:c r="V731" s="7" t="s">
        <x:v>1932</x:v>
      </x:c>
      <x:c r="W731" s="7" t="s">
        <x:v>58</x:v>
      </x:c>
      <x:c r="X731" s="7" t="s">
        <x:v>53</x:v>
      </x:c>
      <x:c r="Y731" s="7" t="s">
        <x:v>1235</x:v>
      </x:c>
      <x:c r="Z731" s="7" t="s">
        <x:v>3457</x:v>
      </x:c>
      <x:c r="AA731" s="7" t="s">
        <x:v>58</x:v>
      </x:c>
      <x:c r="AB731" s="8" t="s">
        <x:v>58</x:v>
      </x:c>
      <x:c r="AC731" s="8" t="s">
        <x:v>58</x:v>
      </x:c>
      <x:c r="AD731" s="8" t="s">
        <x:v>58</x:v>
      </x:c>
      <x:c r="AE731" s="8" t="s">
        <x:v>58</x:v>
      </x:c>
      <x:c r="AF731" s="8" t="s">
        <x:v>58</x:v>
      </x:c>
      <x:c r="AG731" s="7" t="s">
        <x:v>58</x:v>
      </x:c>
    </x:row>
    <x:row r="732" ht="37.5" hidden="0" customHeight="1">
      <x:c r="A732" s="7" t="s">
        <x:v>3458</x:v>
      </x:c>
      <x:c r="B732" s="7" t="s">
        <x:v>463</x:v>
      </x:c>
      <x:c r="C732" s="7" t="s">
        <x:v>1233</x:v>
      </x:c>
      <x:c r="D732" s="7" t="s">
        <x:v>1940</x:v>
      </x:c>
      <x:c r="E732" s="7" t="s">
        <x:v>3459</x:v>
      </x:c>
      <x:c r="F732" s="7" t="s">
        <x:v>1942</x:v>
      </x:c>
      <x:c r="G732" s="8" t="n">
        <x:v>100</x:v>
      </x:c>
      <x:c r="H732" s="8" t="s">
        <x:v>58</x:v>
      </x:c>
      <x:c r="I732" s="8" t="s">
        <x:v>58</x:v>
      </x:c>
      <x:c r="J732" s="7" t="s">
        <x:v>3460</x:v>
      </x:c>
      <x:c r="K732" s="8" t="n">
        <x:v>1</x:v>
      </x:c>
      <x:c r="L732" s="8" t="n">
        <x:f aca="0">IF(AND(ISNUMBER(G732),P732&lt;&gt;"Unresolved unit / layout"),G732*K732,"Not applicable")</x:f>
        <x:v>100</x:v>
      </x:c>
      <x:c r="M732" s="8" t="str">
        <x:f aca="0">IF(AND(ISNUMBER(H732),P732&lt;&gt;"Unresolved unit / layout"),H732*K732,"Not applicable")</x:f>
        <x:v>Not applicable</x:v>
      </x:c>
      <x:c r="N732" s="8" t="str">
        <x:f aca="0">IF(AND(ISNUMBER(I732),P732&lt;&gt;"Unresolved unit / layout"),I732*K732,"Not applicable")</x:f>
        <x:v>Not applicable</x:v>
      </x:c>
      <x:c r="O732" s="7" t="s">
        <x:v>1942</x:v>
      </x:c>
      <x:c r="P732" s="7" t="s">
        <x:v>1921</x:v>
      </x:c>
      <x:c r="Q732" s="7" t="s">
        <x:v>2064</x:v>
      </x:c>
      <x:c r="R732" s="7" t="s">
        <x:v>53</x:v>
      </x:c>
      <x:c r="S732" s="7" t="s">
        <x:v>53</x:v>
      </x:c>
      <x:c r="T732" s="7" t="s">
        <x:v>53</x:v>
      </x:c>
      <x:c r="U732" s="7" t="s">
        <x:v>53</x:v>
      </x:c>
      <x:c r="V732" s="7" t="s">
        <x:v>3063</x:v>
      </x:c>
      <x:c r="W732" s="7" t="s">
        <x:v>58</x:v>
      </x:c>
      <x:c r="X732" s="7" t="s">
        <x:v>53</x:v>
      </x:c>
      <x:c r="Y732" s="7" t="s">
        <x:v>1235</x:v>
      </x:c>
      <x:c r="Z732" s="7" t="s">
        <x:v>3461</x:v>
      </x:c>
      <x:c r="AA732" s="7" t="s">
        <x:v>58</x:v>
      </x:c>
      <x:c r="AB732" s="8" t="s">
        <x:v>58</x:v>
      </x:c>
      <x:c r="AC732" s="8" t="s">
        <x:v>58</x:v>
      </x:c>
      <x:c r="AD732" s="8" t="s">
        <x:v>58</x:v>
      </x:c>
      <x:c r="AE732" s="8" t="s">
        <x:v>58</x:v>
      </x:c>
      <x:c r="AF732" s="8" t="s">
        <x:v>58</x:v>
      </x:c>
      <x:c r="AG732" s="7" t="s">
        <x:v>58</x:v>
      </x:c>
    </x:row>
    <x:row r="733" ht="37.5" hidden="0" customHeight="1">
      <x:c r="A733" s="7" t="s">
        <x:v>3462</x:v>
      </x:c>
      <x:c r="B733" s="7" t="s">
        <x:v>463</x:v>
      </x:c>
      <x:c r="C733" s="7" t="s">
        <x:v>1233</x:v>
      </x:c>
      <x:c r="D733" s="7" t="s">
        <x:v>1945</x:v>
      </x:c>
      <x:c r="E733" s="7" t="s">
        <x:v>3463</x:v>
      </x:c>
      <x:c r="F733" s="7" t="s">
        <x:v>3464</x:v>
      </x:c>
      <x:c r="G733" s="8" t="n">
        <x:v>920</x:v>
      </x:c>
      <x:c r="H733" s="8" t="s">
        <x:v>58</x:v>
      </x:c>
      <x:c r="I733" s="8" t="s">
        <x:v>58</x:v>
      </x:c>
      <x:c r="J733" s="7" t="s">
        <x:v>1919</x:v>
      </x:c>
      <x:c r="K733" s="8" t="n">
        <x:v>0.0980665</x:v>
      </x:c>
      <x:c r="L733" s="8" t="n">
        <x:f aca="0">IF(AND(ISNUMBER(G733),P733&lt;&gt;"Unresolved unit / layout"),G733*K733,"Insufficient comparable data")</x:f>
        <x:v>90.22118</x:v>
      </x:c>
      <x:c r="M733" s="8" t="str">
        <x:f aca="0">IF(AND(ISNUMBER(H733),P733&lt;&gt;"Unresolved unit / layout"),H733*K733,"Not applicable")</x:f>
        <x:v>Not applicable</x:v>
      </x:c>
      <x:c r="N733" s="8" t="str">
        <x:f aca="0">IF(AND(ISNUMBER(I733),P733&lt;&gt;"Unresolved unit / layout"),I733*K733,"Not applicable")</x:f>
        <x:v>Not applicable</x:v>
      </x:c>
      <x:c r="O733" s="7" t="s">
        <x:v>1929</x:v>
      </x:c>
      <x:c r="P733" s="7" t="s">
        <x:v>2732</x:v>
      </x:c>
      <x:c r="Q733" s="7" t="s">
        <x:v>2064</x:v>
      </x:c>
      <x:c r="R733" s="7" t="s">
        <x:v>53</x:v>
      </x:c>
      <x:c r="S733" s="7" t="s">
        <x:v>53</x:v>
      </x:c>
      <x:c r="T733" s="7" t="s">
        <x:v>53</x:v>
      </x:c>
      <x:c r="U733" s="7" t="s">
        <x:v>53</x:v>
      </x:c>
      <x:c r="V733" s="7" t="s">
        <x:v>3465</x:v>
      </x:c>
      <x:c r="W733" s="7" t="s">
        <x:v>58</x:v>
      </x:c>
      <x:c r="X733" s="7" t="s">
        <x:v>53</x:v>
      </x:c>
      <x:c r="Y733" s="7" t="s">
        <x:v>1235</x:v>
      </x:c>
      <x:c r="Z733" s="7" t="s">
        <x:v>3466</x:v>
      </x:c>
      <x:c r="AA733" s="7" t="s">
        <x:v>3467</x:v>
      </x:c>
      <x:c r="AB733" s="8" t="s">
        <x:v>58</x:v>
      </x:c>
      <x:c r="AC733" s="8" t="s">
        <x:v>58</x:v>
      </x:c>
      <x:c r="AD733" s="8" t="s">
        <x:v>58</x:v>
      </x:c>
      <x:c r="AE733" s="8" t="s">
        <x:v>58</x:v>
      </x:c>
      <x:c r="AF733" s="8" t="s">
        <x:v>58</x:v>
      </x:c>
      <x:c r="AG733" s="7" t="s">
        <x:v>58</x:v>
      </x:c>
    </x:row>
    <x:row r="734" ht="37.5" hidden="0" customHeight="1">
      <x:c r="A734" s="7" t="s">
        <x:v>3468</x:v>
      </x:c>
      <x:c r="B734" s="7" t="s">
        <x:v>463</x:v>
      </x:c>
      <x:c r="C734" s="7" t="s">
        <x:v>1233</x:v>
      </x:c>
      <x:c r="D734" s="7" t="s">
        <x:v>1950</x:v>
      </x:c>
      <x:c r="E734" s="7" t="s">
        <x:v>3469</x:v>
      </x:c>
      <x:c r="F734" s="7" t="s">
        <x:v>3464</x:v>
      </x:c>
      <x:c r="G734" s="8" t="n">
        <x:v>24000</x:v>
      </x:c>
      <x:c r="H734" s="8" t="s">
        <x:v>58</x:v>
      </x:c>
      <x:c r="I734" s="8" t="s">
        <x:v>58</x:v>
      </x:c>
      <x:c r="J734" s="7" t="s">
        <x:v>1919</x:v>
      </x:c>
      <x:c r="K734" s="8" t="n">
        <x:v>9.80665E-005</x:v>
      </x:c>
      <x:c r="L734" s="8" t="n">
        <x:f aca="0">IF(AND(ISNUMBER(G734),P734&lt;&gt;"Unresolved unit / layout"),G734*K734,"Insufficient comparable data")</x:f>
        <x:v>2.353596</x:v>
      </x:c>
      <x:c r="M734" s="8" t="str">
        <x:f aca="0">IF(AND(ISNUMBER(H734),P734&lt;&gt;"Unresolved unit / layout"),H734*K734,"Not applicable")</x:f>
        <x:v>Not applicable</x:v>
      </x:c>
      <x:c r="N734" s="8" t="str">
        <x:f aca="0">IF(AND(ISNUMBER(I734),P734&lt;&gt;"Unresolved unit / layout"),I734*K734,"Not applicable")</x:f>
        <x:v>Not applicable</x:v>
      </x:c>
      <x:c r="O734" s="7" t="s">
        <x:v>1937</x:v>
      </x:c>
      <x:c r="P734" s="7" t="s">
        <x:v>2732</x:v>
      </x:c>
      <x:c r="Q734" s="7" t="s">
        <x:v>2064</x:v>
      </x:c>
      <x:c r="R734" s="7" t="s">
        <x:v>53</x:v>
      </x:c>
      <x:c r="S734" s="7" t="s">
        <x:v>53</x:v>
      </x:c>
      <x:c r="T734" s="7" t="s">
        <x:v>53</x:v>
      </x:c>
      <x:c r="U734" s="7" t="s">
        <x:v>53</x:v>
      </x:c>
      <x:c r="V734" s="7" t="s">
        <x:v>3465</x:v>
      </x:c>
      <x:c r="W734" s="7" t="s">
        <x:v>58</x:v>
      </x:c>
      <x:c r="X734" s="7" t="s">
        <x:v>53</x:v>
      </x:c>
      <x:c r="Y734" s="7" t="s">
        <x:v>1235</x:v>
      </x:c>
      <x:c r="Z734" s="7" t="s">
        <x:v>3470</x:v>
      </x:c>
      <x:c r="AA734" s="7" t="s">
        <x:v>3471</x:v>
      </x:c>
      <x:c r="AB734" s="8" t="s">
        <x:v>58</x:v>
      </x:c>
      <x:c r="AC734" s="8" t="s">
        <x:v>58</x:v>
      </x:c>
      <x:c r="AD734" s="8" t="s">
        <x:v>58</x:v>
      </x:c>
      <x:c r="AE734" s="8" t="s">
        <x:v>58</x:v>
      </x:c>
      <x:c r="AF734" s="8" t="s">
        <x:v>58</x:v>
      </x:c>
      <x:c r="AG734" s="7" t="s">
        <x:v>58</x:v>
      </x:c>
    </x:row>
    <x:row r="735" ht="37.5" hidden="0" customHeight="1">
      <x:c r="A735" s="7" t="s">
        <x:v>3472</x:v>
      </x:c>
      <x:c r="B735" s="7" t="s">
        <x:v>463</x:v>
      </x:c>
      <x:c r="C735" s="7" t="s">
        <x:v>1233</x:v>
      </x:c>
      <x:c r="D735" s="7" t="s">
        <x:v>1982</x:v>
      </x:c>
      <x:c r="E735" s="7" t="s">
        <x:v>3473</x:v>
      </x:c>
      <x:c r="F735" s="7" t="s">
        <x:v>1956</x:v>
      </x:c>
      <x:c r="G735" s="8" t="n">
        <x:v>150</x:v>
      </x:c>
      <x:c r="H735" s="8" t="s">
        <x:v>58</x:v>
      </x:c>
      <x:c r="I735" s="8" t="s">
        <x:v>58</x:v>
      </x:c>
      <x:c r="J735" s="7" t="s">
        <x:v>1919</x:v>
      </x:c>
      <x:c r="K735" s="8" t="n">
        <x:v>1</x:v>
      </x:c>
      <x:c r="L735" s="8" t="n">
        <x:f aca="0">IF(AND(ISNUMBER(G735),P735&lt;&gt;"Unresolved unit / layout"),G735*K735,"Not applicable")</x:f>
        <x:v>150</x:v>
      </x:c>
      <x:c r="M735" s="8" t="str">
        <x:f aca="0">IF(AND(ISNUMBER(H735),P735&lt;&gt;"Unresolved unit / layout"),H735*K735,"Not applicable")</x:f>
        <x:v>Not applicable</x:v>
      </x:c>
      <x:c r="N735" s="8" t="str">
        <x:f aca="0">IF(AND(ISNUMBER(I735),P735&lt;&gt;"Unresolved unit / layout"),I735*K735,"Not applicable")</x:f>
        <x:v>Not applicable</x:v>
      </x:c>
      <x:c r="O735" s="7" t="s">
        <x:v>1956</x:v>
      </x:c>
      <x:c r="P735" s="7" t="s">
        <x:v>1921</x:v>
      </x:c>
      <x:c r="Q735" s="7" t="s">
        <x:v>2064</x:v>
      </x:c>
      <x:c r="R735" s="7" t="s">
        <x:v>58</x:v>
      </x:c>
      <x:c r="S735" s="7" t="s">
        <x:v>53</x:v>
      </x:c>
      <x:c r="T735" s="7" t="s">
        <x:v>53</x:v>
      </x:c>
      <x:c r="U735" s="7" t="s">
        <x:v>53</x:v>
      </x:c>
      <x:c r="V735" s="7" t="s">
        <x:v>3474</x:v>
      </x:c>
      <x:c r="W735" s="7" t="s">
        <x:v>58</x:v>
      </x:c>
      <x:c r="X735" s="7" t="s">
        <x:v>53</x:v>
      </x:c>
      <x:c r="Y735" s="7" t="s">
        <x:v>1235</x:v>
      </x:c>
      <x:c r="Z735" s="7" t="s">
        <x:v>3475</x:v>
      </x:c>
      <x:c r="AA735" s="7" t="s">
        <x:v>58</x:v>
      </x:c>
      <x:c r="AB735" s="8" t="s">
        <x:v>58</x:v>
      </x:c>
      <x:c r="AC735" s="8" t="s">
        <x:v>58</x:v>
      </x:c>
      <x:c r="AD735" s="8" t="s">
        <x:v>58</x:v>
      </x:c>
      <x:c r="AE735" s="8" t="s">
        <x:v>58</x:v>
      </x:c>
      <x:c r="AF735" s="8" t="s">
        <x:v>58</x:v>
      </x:c>
      <x:c r="AG735" s="7" t="s">
        <x:v>58</x:v>
      </x:c>
    </x:row>
    <x:row r="736" ht="51.75" hidden="0" customHeight="1">
      <x:c r="A736" s="7" t="s">
        <x:v>3476</x:v>
      </x:c>
      <x:c r="B736" s="7" t="s">
        <x:v>463</x:v>
      </x:c>
      <x:c r="C736" s="7" t="s">
        <x:v>1236</x:v>
      </x:c>
      <x:c r="D736" s="7" t="s">
        <x:v>1916</x:v>
      </x:c>
      <x:c r="E736" s="7" t="s">
        <x:v>3477</x:v>
      </x:c>
      <x:c r="F736" s="7" t="s">
        <x:v>1965</x:v>
      </x:c>
      <x:c r="G736" s="8" t="n">
        <x:v>1.18</x:v>
      </x:c>
      <x:c r="H736" s="8" t="s">
        <x:v>58</x:v>
      </x:c>
      <x:c r="I736" s="8" t="s">
        <x:v>58</x:v>
      </x:c>
      <x:c r="J736" s="7" t="s">
        <x:v>1919</x:v>
      </x:c>
      <x:c r="K736" s="8" t="n">
        <x:v>1000</x:v>
      </x:c>
      <x:c r="L736" s="8" t="n">
        <x:f aca="0">IF(AND(ISNUMBER(G736),P736&lt;&gt;"Unresolved unit / layout"),G736*K736,"Not applicable")</x:f>
        <x:v>1180</x:v>
      </x:c>
      <x:c r="M736" s="8" t="str">
        <x:f aca="0">IF(AND(ISNUMBER(H736),P736&lt;&gt;"Unresolved unit / layout"),H736*K736,"Not applicable")</x:f>
        <x:v>Not applicable</x:v>
      </x:c>
      <x:c r="N736" s="8" t="str">
        <x:f aca="0">IF(AND(ISNUMBER(I736),P736&lt;&gt;"Unresolved unit / layout"),I736*K736,"Not applicable")</x:f>
        <x:v>Not applicable</x:v>
      </x:c>
      <x:c r="O736" s="7" t="s">
        <x:v>1920</x:v>
      </x:c>
      <x:c r="P736" s="7" t="s">
        <x:v>1921</x:v>
      </x:c>
      <x:c r="Q736" s="7" t="s">
        <x:v>1922</x:v>
      </x:c>
      <x:c r="R736" s="7" t="s">
        <x:v>58</x:v>
      </x:c>
      <x:c r="S736" s="7" t="s">
        <x:v>53</x:v>
      </x:c>
      <x:c r="T736" s="7" t="s">
        <x:v>53</x:v>
      </x:c>
      <x:c r="U736" s="7" t="s">
        <x:v>53</x:v>
      </x:c>
      <x:c r="V736" s="7" t="s">
        <x:v>2739</x:v>
      </x:c>
      <x:c r="W736" s="7" t="s">
        <x:v>58</x:v>
      </x:c>
      <x:c r="X736" s="7" t="s">
        <x:v>53</x:v>
      </x:c>
      <x:c r="Y736" s="7" t="s">
        <x:v>1238</x:v>
      </x:c>
      <x:c r="Z736" s="7" t="s">
        <x:v>1925</x:v>
      </x:c>
      <x:c r="AA736" s="7" t="s">
        <x:v>58</x:v>
      </x:c>
      <x:c r="AB736" s="8" t="s">
        <x:v>58</x:v>
      </x:c>
      <x:c r="AC736" s="8" t="s">
        <x:v>58</x:v>
      </x:c>
      <x:c r="AD736" s="8" t="s">
        <x:v>58</x:v>
      </x:c>
      <x:c r="AE736" s="8" t="s">
        <x:v>58</x:v>
      </x:c>
      <x:c r="AF736" s="8" t="s">
        <x:v>58</x:v>
      </x:c>
      <x:c r="AG736" s="7" t="s">
        <x:v>58</x:v>
      </x:c>
    </x:row>
    <x:row r="737" ht="37.5" hidden="0" customHeight="1">
      <x:c r="A737" s="7" t="s">
        <x:v>3478</x:v>
      </x:c>
      <x:c r="B737" s="7" t="s">
        <x:v>463</x:v>
      </x:c>
      <x:c r="C737" s="7" t="s">
        <x:v>1236</x:v>
      </x:c>
      <x:c r="D737" s="7" t="s">
        <x:v>1974</x:v>
      </x:c>
      <x:c r="E737" s="7" t="s">
        <x:v>3479</x:v>
      </x:c>
      <x:c r="F737" s="7" t="s">
        <x:v>2273</x:v>
      </x:c>
      <x:c r="G737" s="8" t="n">
        <x:v>270</x:v>
      </x:c>
      <x:c r="H737" s="8" t="s">
        <x:v>58</x:v>
      </x:c>
      <x:c r="I737" s="8" t="s">
        <x:v>58</x:v>
      </x:c>
      <x:c r="J737" s="7" t="s">
        <x:v>1919</x:v>
      </x:c>
      <x:c r="K737" s="8" t="n">
        <x:v>1</x:v>
      </x:c>
      <x:c r="L737" s="8" t="n">
        <x:f aca="0">IF(AND(ISNUMBER(G737),P737&lt;&gt;"Unresolved unit / layout"),G737*K737,"Not applicable")</x:f>
        <x:v>270</x:v>
      </x:c>
      <x:c r="M737" s="8" t="str">
        <x:f aca="0">IF(AND(ISNUMBER(H737),P737&lt;&gt;"Unresolved unit / layout"),H737*K737,"Not applicable")</x:f>
        <x:v>Not applicable</x:v>
      </x:c>
      <x:c r="N737" s="8" t="str">
        <x:f aca="0">IF(AND(ISNUMBER(I737),P737&lt;&gt;"Unresolved unit / layout"),I737*K737,"Not applicable")</x:f>
        <x:v>Not applicable</x:v>
      </x:c>
      <x:c r="O737" s="7" t="s">
        <x:v>1956</x:v>
      </x:c>
      <x:c r="P737" s="7" t="s">
        <x:v>1921</x:v>
      </x:c>
      <x:c r="Q737" s="7" t="s">
        <x:v>2064</x:v>
      </x:c>
      <x:c r="R737" s="7" t="s">
        <x:v>58</x:v>
      </x:c>
      <x:c r="S737" s="7" t="s">
        <x:v>53</x:v>
      </x:c>
      <x:c r="T737" s="7" t="s">
        <x:v>53</x:v>
      </x:c>
      <x:c r="U737" s="7" t="s">
        <x:v>53</x:v>
      </x:c>
      <x:c r="V737" s="7" t="s">
        <x:v>53</x:v>
      </x:c>
      <x:c r="W737" s="7" t="s">
        <x:v>58</x:v>
      </x:c>
      <x:c r="X737" s="7" t="s">
        <x:v>53</x:v>
      </x:c>
      <x:c r="Y737" s="7" t="s">
        <x:v>1238</x:v>
      </x:c>
      <x:c r="Z737" s="7" t="s">
        <x:v>3480</x:v>
      </x:c>
      <x:c r="AA737" s="7" t="s">
        <x:v>58</x:v>
      </x:c>
      <x:c r="AB737" s="8" t="s">
        <x:v>58</x:v>
      </x:c>
      <x:c r="AC737" s="8" t="s">
        <x:v>58</x:v>
      </x:c>
      <x:c r="AD737" s="8" t="s">
        <x:v>58</x:v>
      </x:c>
      <x:c r="AE737" s="8" t="s">
        <x:v>58</x:v>
      </x:c>
      <x:c r="AF737" s="8" t="s">
        <x:v>58</x:v>
      </x:c>
      <x:c r="AG737" s="7" t="s">
        <x:v>58</x:v>
      </x:c>
    </x:row>
    <x:row r="738" ht="37.5" hidden="0" customHeight="1">
      <x:c r="A738" s="7" t="s">
        <x:v>3481</x:v>
      </x:c>
      <x:c r="B738" s="7" t="s">
        <x:v>463</x:v>
      </x:c>
      <x:c r="C738" s="7" t="s">
        <x:v>1236</x:v>
      </x:c>
      <x:c r="D738" s="7" t="s">
        <x:v>1982</x:v>
      </x:c>
      <x:c r="E738" s="7" t="s">
        <x:v>3005</x:v>
      </x:c>
      <x:c r="F738" s="7" t="s">
        <x:v>2273</x:v>
      </x:c>
      <x:c r="G738" s="8" t="n">
        <x:v>120</x:v>
      </x:c>
      <x:c r="H738" s="8" t="s">
        <x:v>58</x:v>
      </x:c>
      <x:c r="I738" s="8" t="s">
        <x:v>58</x:v>
      </x:c>
      <x:c r="J738" s="7" t="s">
        <x:v>1919</x:v>
      </x:c>
      <x:c r="K738" s="8" t="n">
        <x:v>1</x:v>
      </x:c>
      <x:c r="L738" s="8" t="n">
        <x:f aca="0">IF(AND(ISNUMBER(G738),P738&lt;&gt;"Unresolved unit / layout"),G738*K738,"Not applicable")</x:f>
        <x:v>120</x:v>
      </x:c>
      <x:c r="M738" s="8" t="str">
        <x:f aca="0">IF(AND(ISNUMBER(H738),P738&lt;&gt;"Unresolved unit / layout"),H738*K738,"Not applicable")</x:f>
        <x:v>Not applicable</x:v>
      </x:c>
      <x:c r="N738" s="8" t="str">
        <x:f aca="0">IF(AND(ISNUMBER(I738),P738&lt;&gt;"Unresolved unit / layout"),I738*K738,"Not applicable")</x:f>
        <x:v>Not applicable</x:v>
      </x:c>
      <x:c r="O738" s="7" t="s">
        <x:v>1956</x:v>
      </x:c>
      <x:c r="P738" s="7" t="s">
        <x:v>1921</x:v>
      </x:c>
      <x:c r="Q738" s="7" t="s">
        <x:v>2064</x:v>
      </x:c>
      <x:c r="R738" s="7" t="s">
        <x:v>58</x:v>
      </x:c>
      <x:c r="S738" s="7" t="s">
        <x:v>53</x:v>
      </x:c>
      <x:c r="T738" s="7" t="s">
        <x:v>53</x:v>
      </x:c>
      <x:c r="U738" s="7" t="s">
        <x:v>53</x:v>
      </x:c>
      <x:c r="V738" s="7" t="s">
        <x:v>53</x:v>
      </x:c>
      <x:c r="W738" s="7" t="s">
        <x:v>58</x:v>
      </x:c>
      <x:c r="X738" s="7" t="s">
        <x:v>53</x:v>
      </x:c>
      <x:c r="Y738" s="7" t="s">
        <x:v>1238</x:v>
      </x:c>
      <x:c r="Z738" s="7" t="s">
        <x:v>3482</x:v>
      </x:c>
      <x:c r="AA738" s="7" t="s">
        <x:v>58</x:v>
      </x:c>
      <x:c r="AB738" s="8" t="s">
        <x:v>58</x:v>
      </x:c>
      <x:c r="AC738" s="8" t="s">
        <x:v>58</x:v>
      </x:c>
      <x:c r="AD738" s="8" t="s">
        <x:v>58</x:v>
      </x:c>
      <x:c r="AE738" s="8" t="s">
        <x:v>58</x:v>
      </x:c>
      <x:c r="AF738" s="8" t="s">
        <x:v>58</x:v>
      </x:c>
      <x:c r="AG738" s="7" t="s">
        <x:v>58</x:v>
      </x:c>
    </x:row>
    <x:row r="739" ht="37.5" hidden="0" customHeight="1">
      <x:c r="A739" s="7" t="s">
        <x:v>3483</x:v>
      </x:c>
      <x:c r="B739" s="7" t="s">
        <x:v>463</x:v>
      </x:c>
      <x:c r="C739" s="7" t="s">
        <x:v>1236</x:v>
      </x:c>
      <x:c r="D739" s="7" t="s">
        <x:v>2006</x:v>
      </x:c>
      <x:c r="E739" s="7" t="s">
        <x:v>3199</x:v>
      </x:c>
      <x:c r="F739" s="7" t="s">
        <x:v>1929</x:v>
      </x:c>
      <x:c r="G739" s="8" t="n">
        <x:v>58</x:v>
      </x:c>
      <x:c r="H739" s="8" t="s">
        <x:v>58</x:v>
      </x:c>
      <x:c r="I739" s="8" t="s">
        <x:v>58</x:v>
      </x:c>
      <x:c r="J739" s="7" t="s">
        <x:v>1919</x:v>
      </x:c>
      <x:c r="K739" s="8" t="n">
        <x:v>1</x:v>
      </x:c>
      <x:c r="L739" s="8" t="n">
        <x:f aca="0">IF(AND(ISNUMBER(G739),P739&lt;&gt;"Unresolved unit / layout"),G739*K739,"Not applicable")</x:f>
        <x:v>58</x:v>
      </x:c>
      <x:c r="M739" s="8" t="str">
        <x:f aca="0">IF(AND(ISNUMBER(H739),P739&lt;&gt;"Unresolved unit / layout"),H739*K739,"Not applicable")</x:f>
        <x:v>Not applicable</x:v>
      </x:c>
      <x:c r="N739" s="8" t="str">
        <x:f aca="0">IF(AND(ISNUMBER(I739),P739&lt;&gt;"Unresolved unit / layout"),I739*K739,"Not applicable")</x:f>
        <x:v>Not applicable</x:v>
      </x:c>
      <x:c r="O739" s="7" t="s">
        <x:v>1929</x:v>
      </x:c>
      <x:c r="P739" s="7" t="s">
        <x:v>1921</x:v>
      </x:c>
      <x:c r="Q739" s="7" t="s">
        <x:v>2064</x:v>
      </x:c>
      <x:c r="R739" s="7" t="s">
        <x:v>53</x:v>
      </x:c>
      <x:c r="S739" s="7" t="s">
        <x:v>53</x:v>
      </x:c>
      <x:c r="T739" s="7" t="s">
        <x:v>53</x:v>
      </x:c>
      <x:c r="U739" s="7" t="s">
        <x:v>53</x:v>
      </x:c>
      <x:c r="V739" s="7" t="s">
        <x:v>2739</x:v>
      </x:c>
      <x:c r="W739" s="7" t="s">
        <x:v>58</x:v>
      </x:c>
      <x:c r="X739" s="7" t="s">
        <x:v>53</x:v>
      </x:c>
      <x:c r="Y739" s="7" t="s">
        <x:v>1238</x:v>
      </x:c>
      <x:c r="Z739" s="7" t="s">
        <x:v>3484</x:v>
      </x:c>
      <x:c r="AA739" s="7" t="s">
        <x:v>58</x:v>
      </x:c>
      <x:c r="AB739" s="8" t="s">
        <x:v>58</x:v>
      </x:c>
      <x:c r="AC739" s="8" t="s">
        <x:v>58</x:v>
      </x:c>
      <x:c r="AD739" s="8" t="s">
        <x:v>58</x:v>
      </x:c>
      <x:c r="AE739" s="8" t="s">
        <x:v>58</x:v>
      </x:c>
      <x:c r="AF739" s="8" t="s">
        <x:v>58</x:v>
      </x:c>
      <x:c r="AG739" s="7" t="s">
        <x:v>58</x:v>
      </x:c>
    </x:row>
    <x:row r="740" ht="37.5" hidden="0" customHeight="1">
      <x:c r="A740" s="7" t="s">
        <x:v>3485</x:v>
      </x:c>
      <x:c r="B740" s="7" t="s">
        <x:v>463</x:v>
      </x:c>
      <x:c r="C740" s="7" t="s">
        <x:v>1236</x:v>
      </x:c>
      <x:c r="D740" s="7" t="s">
        <x:v>1940</x:v>
      </x:c>
      <x:c r="E740" s="7" t="s">
        <x:v>3486</x:v>
      </x:c>
      <x:c r="F740" s="7" t="s">
        <x:v>1942</x:v>
      </x:c>
      <x:c r="G740" s="8" t="n">
        <x:v>15</x:v>
      </x:c>
      <x:c r="H740" s="8" t="s">
        <x:v>58</x:v>
      </x:c>
      <x:c r="I740" s="8" t="s">
        <x:v>58</x:v>
      </x:c>
      <x:c r="J740" s="7" t="s">
        <x:v>1919</x:v>
      </x:c>
      <x:c r="K740" s="8" t="n">
        <x:v>1</x:v>
      </x:c>
      <x:c r="L740" s="8" t="n">
        <x:f aca="0">IF(AND(ISNUMBER(G740),P740&lt;&gt;"Unresolved unit / layout"),G740*K740,"Not applicable")</x:f>
        <x:v>15</x:v>
      </x:c>
      <x:c r="M740" s="8" t="str">
        <x:f aca="0">IF(AND(ISNUMBER(H740),P740&lt;&gt;"Unresolved unit / layout"),H740*K740,"Not applicable")</x:f>
        <x:v>Not applicable</x:v>
      </x:c>
      <x:c r="N740" s="8" t="str">
        <x:f aca="0">IF(AND(ISNUMBER(I740),P740&lt;&gt;"Unresolved unit / layout"),I740*K740,"Not applicable")</x:f>
        <x:v>Not applicable</x:v>
      </x:c>
      <x:c r="O740" s="7" t="s">
        <x:v>1942</x:v>
      </x:c>
      <x:c r="P740" s="7" t="s">
        <x:v>1921</x:v>
      </x:c>
      <x:c r="Q740" s="7" t="s">
        <x:v>2064</x:v>
      </x:c>
      <x:c r="R740" s="7" t="s">
        <x:v>53</x:v>
      </x:c>
      <x:c r="S740" s="7" t="s">
        <x:v>53</x:v>
      </x:c>
      <x:c r="T740" s="7" t="s">
        <x:v>53</x:v>
      </x:c>
      <x:c r="U740" s="7" t="s">
        <x:v>53</x:v>
      </x:c>
      <x:c r="V740" s="7" t="s">
        <x:v>2739</x:v>
      </x:c>
      <x:c r="W740" s="7" t="s">
        <x:v>58</x:v>
      </x:c>
      <x:c r="X740" s="7" t="s">
        <x:v>53</x:v>
      </x:c>
      <x:c r="Y740" s="7" t="s">
        <x:v>1238</x:v>
      </x:c>
      <x:c r="Z740" s="7" t="s">
        <x:v>2743</x:v>
      </x:c>
      <x:c r="AA740" s="7" t="s">
        <x:v>58</x:v>
      </x:c>
      <x:c r="AB740" s="8" t="s">
        <x:v>58</x:v>
      </x:c>
      <x:c r="AC740" s="8" t="s">
        <x:v>58</x:v>
      </x:c>
      <x:c r="AD740" s="8" t="s">
        <x:v>58</x:v>
      </x:c>
      <x:c r="AE740" s="8" t="s">
        <x:v>58</x:v>
      </x:c>
      <x:c r="AF740" s="8" t="s">
        <x:v>58</x:v>
      </x:c>
      <x:c r="AG740" s="7" t="s">
        <x:v>58</x:v>
      </x:c>
    </x:row>
    <x:row r="741" ht="37.5" hidden="0" customHeight="1">
      <x:c r="A741" s="7" t="s">
        <x:v>3487</x:v>
      </x:c>
      <x:c r="B741" s="7" t="s">
        <x:v>463</x:v>
      </x:c>
      <x:c r="C741" s="7" t="s">
        <x:v>1236</x:v>
      </x:c>
      <x:c r="D741" s="7" t="s">
        <x:v>1950</x:v>
      </x:c>
      <x:c r="E741" s="7" t="s">
        <x:v>3488</x:v>
      </x:c>
      <x:c r="F741" s="7" t="s">
        <x:v>1929</x:v>
      </x:c>
      <x:c r="G741" s="8" t="n">
        <x:v>2650</x:v>
      </x:c>
      <x:c r="H741" s="8" t="s">
        <x:v>58</x:v>
      </x:c>
      <x:c r="I741" s="8" t="s">
        <x:v>58</x:v>
      </x:c>
      <x:c r="J741" s="7" t="s">
        <x:v>1919</x:v>
      </x:c>
      <x:c r="K741" s="8" t="n">
        <x:v>0.001</x:v>
      </x:c>
      <x:c r="L741" s="8" t="n">
        <x:f aca="0">IF(AND(ISNUMBER(G741),P741&lt;&gt;"Unresolved unit / layout"),G741*K741,"Not applicable")</x:f>
        <x:v>2.65</x:v>
      </x:c>
      <x:c r="M741" s="8" t="str">
        <x:f aca="0">IF(AND(ISNUMBER(H741),P741&lt;&gt;"Unresolved unit / layout"),H741*K741,"Not applicable")</x:f>
        <x:v>Not applicable</x:v>
      </x:c>
      <x:c r="N741" s="8" t="str">
        <x:f aca="0">IF(AND(ISNUMBER(I741),P741&lt;&gt;"Unresolved unit / layout"),I741*K741,"Not applicable")</x:f>
        <x:v>Not applicable</x:v>
      </x:c>
      <x:c r="O741" s="7" t="s">
        <x:v>1937</x:v>
      </x:c>
      <x:c r="P741" s="7" t="s">
        <x:v>1921</x:v>
      </x:c>
      <x:c r="Q741" s="7" t="s">
        <x:v>2064</x:v>
      </x:c>
      <x:c r="R741" s="7" t="s">
        <x:v>53</x:v>
      </x:c>
      <x:c r="S741" s="7" t="s">
        <x:v>53</x:v>
      </x:c>
      <x:c r="T741" s="7" t="s">
        <x:v>53</x:v>
      </x:c>
      <x:c r="U741" s="7" t="s">
        <x:v>53</x:v>
      </x:c>
      <x:c r="V741" s="7" t="s">
        <x:v>2739</x:v>
      </x:c>
      <x:c r="W741" s="7" t="s">
        <x:v>58</x:v>
      </x:c>
      <x:c r="X741" s="7" t="s">
        <x:v>53</x:v>
      </x:c>
      <x:c r="Y741" s="7" t="s">
        <x:v>1238</x:v>
      </x:c>
      <x:c r="Z741" s="7" t="s">
        <x:v>3489</x:v>
      </x:c>
      <x:c r="AA741" s="7" t="s">
        <x:v>58</x:v>
      </x:c>
      <x:c r="AB741" s="8" t="s">
        <x:v>58</x:v>
      </x:c>
      <x:c r="AC741" s="8" t="s">
        <x:v>58</x:v>
      </x:c>
      <x:c r="AD741" s="8" t="s">
        <x:v>58</x:v>
      </x:c>
      <x:c r="AE741" s="8" t="s">
        <x:v>58</x:v>
      </x:c>
      <x:c r="AF741" s="8" t="s">
        <x:v>58</x:v>
      </x:c>
      <x:c r="AG741" s="7" t="s">
        <x:v>58</x:v>
      </x:c>
    </x:row>
    <x:row r="742" ht="37.5" hidden="0" customHeight="1">
      <x:c r="A742" s="7" t="s">
        <x:v>3490</x:v>
      </x:c>
      <x:c r="B742" s="7" t="s">
        <x:v>463</x:v>
      </x:c>
      <x:c r="C742" s="7" t="s">
        <x:v>1236</x:v>
      </x:c>
      <x:c r="D742" s="7" t="s">
        <x:v>2099</x:v>
      </x:c>
      <x:c r="E742" s="7" t="s">
        <x:v>3491</x:v>
      </x:c>
      <x:c r="F742" s="7" t="s">
        <x:v>1942</x:v>
      </x:c>
      <x:c r="G742" s="8" t="n">
        <x:v>0.8</x:v>
      </x:c>
      <x:c r="H742" s="8" t="s">
        <x:v>58</x:v>
      </x:c>
      <x:c r="I742" s="8" t="s">
        <x:v>58</x:v>
      </x:c>
      <x:c r="J742" s="7" t="s">
        <x:v>2752</x:v>
      </x:c>
      <x:c r="K742" s="8" t="n">
        <x:v>1</x:v>
      </x:c>
      <x:c r="L742" s="8" t="n">
        <x:f aca="0">IF(AND(ISNUMBER(G742),P742&lt;&gt;"Unresolved unit / layout"),G742*K742,"Not applicable")</x:f>
        <x:v>0.8</x:v>
      </x:c>
      <x:c r="M742" s="8" t="str">
        <x:f aca="0">IF(AND(ISNUMBER(H742),P742&lt;&gt;"Unresolved unit / layout"),H742*K742,"Not applicable")</x:f>
        <x:v>Not applicable</x:v>
      </x:c>
      <x:c r="N742" s="8" t="str">
        <x:f aca="0">IF(AND(ISNUMBER(I742),P742&lt;&gt;"Unresolved unit / layout"),I742*K742,"Not applicable")</x:f>
        <x:v>Not applicable</x:v>
      </x:c>
      <x:c r="O742" s="7" t="s">
        <x:v>1942</x:v>
      </x:c>
      <x:c r="P742" s="7" t="s">
        <x:v>1921</x:v>
      </x:c>
      <x:c r="Q742" s="7" t="s">
        <x:v>2064</x:v>
      </x:c>
      <x:c r="R742" s="7" t="s">
        <x:v>58</x:v>
      </x:c>
      <x:c r="S742" s="7" t="s">
        <x:v>53</x:v>
      </x:c>
      <x:c r="T742" s="7" t="s">
        <x:v>53</x:v>
      </x:c>
      <x:c r="U742" s="7" t="s">
        <x:v>53</x:v>
      </x:c>
      <x:c r="V742" s="7" t="s">
        <x:v>2739</x:v>
      </x:c>
      <x:c r="W742" s="7" t="s">
        <x:v>58</x:v>
      </x:c>
      <x:c r="X742" s="7" t="s">
        <x:v>53</x:v>
      </x:c>
      <x:c r="Y742" s="7" t="s">
        <x:v>1238</x:v>
      </x:c>
      <x:c r="Z742" s="7" t="s">
        <x:v>2753</x:v>
      </x:c>
      <x:c r="AA742" s="7" t="s">
        <x:v>58</x:v>
      </x:c>
      <x:c r="AB742" s="8" t="s">
        <x:v>58</x:v>
      </x:c>
      <x:c r="AC742" s="8" t="s">
        <x:v>58</x:v>
      </x:c>
      <x:c r="AD742" s="8" t="s">
        <x:v>58</x:v>
      </x:c>
      <x:c r="AE742" s="8" t="s">
        <x:v>58</x:v>
      </x:c>
      <x:c r="AF742" s="8" t="s">
        <x:v>58</x:v>
      </x:c>
      <x:c r="AG742" s="7" t="s">
        <x:v>58</x:v>
      </x:c>
    </x:row>
    <x:row r="743" ht="37.5" hidden="0" customHeight="1">
      <x:c r="A743" s="7" t="s">
        <x:v>3492</x:v>
      </x:c>
      <x:c r="B743" s="7" t="s">
        <x:v>473</x:v>
      </x:c>
      <x:c r="C743" s="7" t="s">
        <x:v>475</x:v>
      </x:c>
      <x:c r="D743" s="7" t="s">
        <x:v>2006</x:v>
      </x:c>
      <x:c r="E743" s="7" t="s">
        <x:v>3493</x:v>
      </x:c>
      <x:c r="F743" s="7" t="s">
        <x:v>1929</x:v>
      </x:c>
      <x:c r="G743" s="8" t="n">
        <x:v>40</x:v>
      </x:c>
      <x:c r="H743" s="8" t="n">
        <x:v>3</x:v>
      </x:c>
      <x:c r="I743" s="8" t="s">
        <x:v>58</x:v>
      </x:c>
      <x:c r="J743" s="7" t="s">
        <x:v>1919</x:v>
      </x:c>
      <x:c r="K743" s="8" t="n">
        <x:v>1</x:v>
      </x:c>
      <x:c r="L743" s="8" t="n">
        <x:f aca="0">IF(AND(ISNUMBER(G743),P743&lt;&gt;"Unresolved unit / layout"),G743*K743,"Not applicable")</x:f>
        <x:v>40</x:v>
      </x:c>
      <x:c r="M743" s="8" t="n">
        <x:f aca="0">IF(AND(ISNUMBER(H743),P743&lt;&gt;"Unresolved unit / layout"),H743*K743,"Not applicable")</x:f>
        <x:v>3</x:v>
      </x:c>
      <x:c r="N743" s="8" t="str">
        <x:f aca="0">IF(AND(ISNUMBER(I743),P743&lt;&gt;"Unresolved unit / layout"),I743*K743,"Not applicable")</x:f>
        <x:v>Not applicable</x:v>
      </x:c>
      <x:c r="O743" s="7" t="s">
        <x:v>1929</x:v>
      </x:c>
      <x:c r="P743" s="7" t="s">
        <x:v>1921</x:v>
      </x:c>
      <x:c r="Q743" s="7" t="s">
        <x:v>2064</x:v>
      </x:c>
      <x:c r="R743" s="7" t="s">
        <x:v>1931</x:v>
      </x:c>
      <x:c r="S743" s="7" t="s">
        <x:v>53</x:v>
      </x:c>
      <x:c r="T743" s="7" t="s">
        <x:v>53</x:v>
      </x:c>
      <x:c r="U743" s="7" t="s">
        <x:v>53</x:v>
      </x:c>
      <x:c r="V743" s="7" t="s">
        <x:v>53</x:v>
      </x:c>
      <x:c r="W743" s="7" t="s">
        <x:v>58</x:v>
      </x:c>
      <x:c r="X743" s="7" t="s">
        <x:v>53</x:v>
      </x:c>
      <x:c r="Y743" s="7" t="s">
        <x:v>1241</x:v>
      </x:c>
      <x:c r="Z743" s="7" t="s">
        <x:v>3494</x:v>
      </x:c>
      <x:c r="AA743" s="7" t="s">
        <x:v>58</x:v>
      </x:c>
      <x:c r="AB743" s="8" t="s">
        <x:v>58</x:v>
      </x:c>
      <x:c r="AC743" s="8" t="s">
        <x:v>58</x:v>
      </x:c>
      <x:c r="AD743" s="8" t="s">
        <x:v>58</x:v>
      </x:c>
      <x:c r="AE743" s="8" t="s">
        <x:v>58</x:v>
      </x:c>
      <x:c r="AF743" s="8" t="s">
        <x:v>58</x:v>
      </x:c>
      <x:c r="AG743" s="7" t="s">
        <x:v>58</x:v>
      </x:c>
    </x:row>
    <x:row r="744" ht="37.5" hidden="0" customHeight="1">
      <x:c r="A744" s="7" t="s">
        <x:v>3495</x:v>
      </x:c>
      <x:c r="B744" s="7" t="s">
        <x:v>473</x:v>
      </x:c>
      <x:c r="C744" s="7" t="s">
        <x:v>475</x:v>
      </x:c>
      <x:c r="D744" s="7" t="s">
        <x:v>2006</x:v>
      </x:c>
      <x:c r="E744" s="7" t="s">
        <x:v>3496</x:v>
      </x:c>
      <x:c r="F744" s="7" t="s">
        <x:v>1929</x:v>
      </x:c>
      <x:c r="G744" s="8" t="n">
        <x:v>30</x:v>
      </x:c>
      <x:c r="H744" s="8" t="n">
        <x:v>3</x:v>
      </x:c>
      <x:c r="I744" s="8" t="s">
        <x:v>58</x:v>
      </x:c>
      <x:c r="J744" s="7" t="s">
        <x:v>1919</x:v>
      </x:c>
      <x:c r="K744" s="8" t="n">
        <x:v>1</x:v>
      </x:c>
      <x:c r="L744" s="8" t="n">
        <x:f aca="0">IF(AND(ISNUMBER(G744),P744&lt;&gt;"Unresolved unit / layout"),G744*K744,"Not applicable")</x:f>
        <x:v>30</x:v>
      </x:c>
      <x:c r="M744" s="8" t="n">
        <x:f aca="0">IF(AND(ISNUMBER(H744),P744&lt;&gt;"Unresolved unit / layout"),H744*K744,"Not applicable")</x:f>
        <x:v>3</x:v>
      </x:c>
      <x:c r="N744" s="8" t="str">
        <x:f aca="0">IF(AND(ISNUMBER(I744),P744&lt;&gt;"Unresolved unit / layout"),I744*K744,"Not applicable")</x:f>
        <x:v>Not applicable</x:v>
      </x:c>
      <x:c r="O744" s="7" t="s">
        <x:v>1929</x:v>
      </x:c>
      <x:c r="P744" s="7" t="s">
        <x:v>1921</x:v>
      </x:c>
      <x:c r="Q744" s="7" t="s">
        <x:v>2064</x:v>
      </x:c>
      <x:c r="R744" s="7" t="s">
        <x:v>2003</x:v>
      </x:c>
      <x:c r="S744" s="7" t="s">
        <x:v>53</x:v>
      </x:c>
      <x:c r="T744" s="7" t="s">
        <x:v>53</x:v>
      </x:c>
      <x:c r="U744" s="7" t="s">
        <x:v>53</x:v>
      </x:c>
      <x:c r="V744" s="7" t="s">
        <x:v>53</x:v>
      </x:c>
      <x:c r="W744" s="7" t="s">
        <x:v>58</x:v>
      </x:c>
      <x:c r="X744" s="7" t="s">
        <x:v>53</x:v>
      </x:c>
      <x:c r="Y744" s="7" t="s">
        <x:v>1241</x:v>
      </x:c>
      <x:c r="Z744" s="7" t="s">
        <x:v>3497</x:v>
      </x:c>
      <x:c r="AA744" s="7" t="s">
        <x:v>58</x:v>
      </x:c>
      <x:c r="AB744" s="8" t="s">
        <x:v>58</x:v>
      </x:c>
      <x:c r="AC744" s="8" t="s">
        <x:v>58</x:v>
      </x:c>
      <x:c r="AD744" s="8" t="s">
        <x:v>58</x:v>
      </x:c>
      <x:c r="AE744" s="8" t="s">
        <x:v>58</x:v>
      </x:c>
      <x:c r="AF744" s="8" t="s">
        <x:v>58</x:v>
      </x:c>
      <x:c r="AG744" s="7" t="s">
        <x:v>58</x:v>
      </x:c>
    </x:row>
    <x:row r="745" ht="37.5" hidden="0" customHeight="1">
      <x:c r="A745" s="7" t="s">
        <x:v>3498</x:v>
      </x:c>
      <x:c r="B745" s="7" t="s">
        <x:v>473</x:v>
      </x:c>
      <x:c r="C745" s="7" t="s">
        <x:v>475</x:v>
      </x:c>
      <x:c r="D745" s="7" t="s">
        <x:v>1940</x:v>
      </x:c>
      <x:c r="E745" s="7" t="s">
        <x:v>3499</x:v>
      </x:c>
      <x:c r="F745" s="7" t="s">
        <x:v>1942</x:v>
      </x:c>
      <x:c r="G745" s="8" t="n">
        <x:v>9.5</x:v>
      </x:c>
      <x:c r="H745" s="8" t="n">
        <x:v>1.5</x:v>
      </x:c>
      <x:c r="I745" s="8" t="s">
        <x:v>58</x:v>
      </x:c>
      <x:c r="J745" s="7" t="s">
        <x:v>1919</x:v>
      </x:c>
      <x:c r="K745" s="8" t="n">
        <x:v>1</x:v>
      </x:c>
      <x:c r="L745" s="8" t="n">
        <x:f aca="0">IF(AND(ISNUMBER(G745),P745&lt;&gt;"Unresolved unit / layout"),G745*K745,"Not applicable")</x:f>
        <x:v>9.5</x:v>
      </x:c>
      <x:c r="M745" s="8" t="n">
        <x:f aca="0">IF(AND(ISNUMBER(H745),P745&lt;&gt;"Unresolved unit / layout"),H745*K745,"Not applicable")</x:f>
        <x:v>1.5</x:v>
      </x:c>
      <x:c r="N745" s="8" t="str">
        <x:f aca="0">IF(AND(ISNUMBER(I745),P745&lt;&gt;"Unresolved unit / layout"),I745*K745,"Not applicable")</x:f>
        <x:v>Not applicable</x:v>
      </x:c>
      <x:c r="O745" s="7" t="s">
        <x:v>1942</x:v>
      </x:c>
      <x:c r="P745" s="7" t="s">
        <x:v>1921</x:v>
      </x:c>
      <x:c r="Q745" s="7" t="s">
        <x:v>2064</x:v>
      </x:c>
      <x:c r="R745" s="7" t="s">
        <x:v>1931</x:v>
      </x:c>
      <x:c r="S745" s="7" t="s">
        <x:v>53</x:v>
      </x:c>
      <x:c r="T745" s="7" t="s">
        <x:v>53</x:v>
      </x:c>
      <x:c r="U745" s="7" t="s">
        <x:v>53</x:v>
      </x:c>
      <x:c r="V745" s="7" t="s">
        <x:v>53</x:v>
      </x:c>
      <x:c r="W745" s="7" t="s">
        <x:v>58</x:v>
      </x:c>
      <x:c r="X745" s="7" t="s">
        <x:v>53</x:v>
      </x:c>
      <x:c r="Y745" s="7" t="s">
        <x:v>1241</x:v>
      </x:c>
      <x:c r="Z745" s="7" t="s">
        <x:v>3500</x:v>
      </x:c>
      <x:c r="AA745" s="7" t="s">
        <x:v>58</x:v>
      </x:c>
      <x:c r="AB745" s="8" t="s">
        <x:v>58</x:v>
      </x:c>
      <x:c r="AC745" s="8" t="s">
        <x:v>58</x:v>
      </x:c>
      <x:c r="AD745" s="8" t="s">
        <x:v>58</x:v>
      </x:c>
      <x:c r="AE745" s="8" t="s">
        <x:v>58</x:v>
      </x:c>
      <x:c r="AF745" s="8" t="s">
        <x:v>58</x:v>
      </x:c>
      <x:c r="AG745" s="7" t="s">
        <x:v>58</x:v>
      </x:c>
    </x:row>
    <x:row r="746" ht="37.5" hidden="0" customHeight="1">
      <x:c r="A746" s="7" t="s">
        <x:v>3501</x:v>
      </x:c>
      <x:c r="B746" s="7" t="s">
        <x:v>473</x:v>
      </x:c>
      <x:c r="C746" s="7" t="s">
        <x:v>475</x:v>
      </x:c>
      <x:c r="D746" s="7" t="s">
        <x:v>1940</x:v>
      </x:c>
      <x:c r="E746" s="7" t="s">
        <x:v>3502</x:v>
      </x:c>
      <x:c r="F746" s="7" t="s">
        <x:v>1942</x:v>
      </x:c>
      <x:c r="G746" s="8" t="n">
        <x:v>7.5</x:v>
      </x:c>
      <x:c r="H746" s="8" t="n">
        <x:v>1.2</x:v>
      </x:c>
      <x:c r="I746" s="8" t="s">
        <x:v>58</x:v>
      </x:c>
      <x:c r="J746" s="7" t="s">
        <x:v>1919</x:v>
      </x:c>
      <x:c r="K746" s="8" t="n">
        <x:v>1</x:v>
      </x:c>
      <x:c r="L746" s="8" t="n">
        <x:f aca="0">IF(AND(ISNUMBER(G746),P746&lt;&gt;"Unresolved unit / layout"),G746*K746,"Not applicable")</x:f>
        <x:v>7.5</x:v>
      </x:c>
      <x:c r="M746" s="8" t="n">
        <x:f aca="0">IF(AND(ISNUMBER(H746),P746&lt;&gt;"Unresolved unit / layout"),H746*K746,"Not applicable")</x:f>
        <x:v>1.2</x:v>
      </x:c>
      <x:c r="N746" s="8" t="str">
        <x:f aca="0">IF(AND(ISNUMBER(I746),P746&lt;&gt;"Unresolved unit / layout"),I746*K746,"Not applicable")</x:f>
        <x:v>Not applicable</x:v>
      </x:c>
      <x:c r="O746" s="7" t="s">
        <x:v>1942</x:v>
      </x:c>
      <x:c r="P746" s="7" t="s">
        <x:v>1921</x:v>
      </x:c>
      <x:c r="Q746" s="7" t="s">
        <x:v>2064</x:v>
      </x:c>
      <x:c r="R746" s="7" t="s">
        <x:v>2003</x:v>
      </x:c>
      <x:c r="S746" s="7" t="s">
        <x:v>53</x:v>
      </x:c>
      <x:c r="T746" s="7" t="s">
        <x:v>53</x:v>
      </x:c>
      <x:c r="U746" s="7" t="s">
        <x:v>53</x:v>
      </x:c>
      <x:c r="V746" s="7" t="s">
        <x:v>53</x:v>
      </x:c>
      <x:c r="W746" s="7" t="s">
        <x:v>58</x:v>
      </x:c>
      <x:c r="X746" s="7" t="s">
        <x:v>53</x:v>
      </x:c>
      <x:c r="Y746" s="7" t="s">
        <x:v>1241</x:v>
      </x:c>
      <x:c r="Z746" s="7" t="s">
        <x:v>3503</x:v>
      </x:c>
      <x:c r="AA746" s="7" t="s">
        <x:v>58</x:v>
      </x:c>
      <x:c r="AB746" s="8" t="s">
        <x:v>58</x:v>
      </x:c>
      <x:c r="AC746" s="8" t="s">
        <x:v>58</x:v>
      </x:c>
      <x:c r="AD746" s="8" t="s">
        <x:v>58</x:v>
      </x:c>
      <x:c r="AE746" s="8" t="s">
        <x:v>58</x:v>
      </x:c>
      <x:c r="AF746" s="8" t="s">
        <x:v>58</x:v>
      </x:c>
      <x:c r="AG746" s="7" t="s">
        <x:v>58</x:v>
      </x:c>
    </x:row>
    <x:row r="747" ht="37.5" hidden="0" customHeight="1">
      <x:c r="A747" s="7" t="s">
        <x:v>3504</x:v>
      </x:c>
      <x:c r="B747" s="7" t="s">
        <x:v>473</x:v>
      </x:c>
      <x:c r="C747" s="7" t="s">
        <x:v>475</x:v>
      </x:c>
      <x:c r="D747" s="7" t="s">
        <x:v>1945</x:v>
      </x:c>
      <x:c r="E747" s="7" t="s">
        <x:v>3505</x:v>
      </x:c>
      <x:c r="F747" s="7" t="s">
        <x:v>1929</x:v>
      </x:c>
      <x:c r="G747" s="8" t="n">
        <x:v>62</x:v>
      </x:c>
      <x:c r="H747" s="8" t="n">
        <x:v>3</x:v>
      </x:c>
      <x:c r="I747" s="8" t="s">
        <x:v>58</x:v>
      </x:c>
      <x:c r="J747" s="7" t="s">
        <x:v>1919</x:v>
      </x:c>
      <x:c r="K747" s="8" t="n">
        <x:v>1</x:v>
      </x:c>
      <x:c r="L747" s="8" t="n">
        <x:f aca="0">IF(AND(ISNUMBER(G747),P747&lt;&gt;"Unresolved unit / layout"),G747*K747,"Not applicable")</x:f>
        <x:v>62</x:v>
      </x:c>
      <x:c r="M747" s="8" t="n">
        <x:f aca="0">IF(AND(ISNUMBER(H747),P747&lt;&gt;"Unresolved unit / layout"),H747*K747,"Not applicable")</x:f>
        <x:v>3</x:v>
      </x:c>
      <x:c r="N747" s="8" t="str">
        <x:f aca="0">IF(AND(ISNUMBER(I747),P747&lt;&gt;"Unresolved unit / layout"),I747*K747,"Not applicable")</x:f>
        <x:v>Not applicable</x:v>
      </x:c>
      <x:c r="O747" s="7" t="s">
        <x:v>1929</x:v>
      </x:c>
      <x:c r="P747" s="7" t="s">
        <x:v>1921</x:v>
      </x:c>
      <x:c r="Q747" s="7" t="s">
        <x:v>2064</x:v>
      </x:c>
      <x:c r="R747" s="7" t="s">
        <x:v>1931</x:v>
      </x:c>
      <x:c r="S747" s="7" t="s">
        <x:v>53</x:v>
      </x:c>
      <x:c r="T747" s="7" t="s">
        <x:v>53</x:v>
      </x:c>
      <x:c r="U747" s="7" t="s">
        <x:v>53</x:v>
      </x:c>
      <x:c r="V747" s="7" t="s">
        <x:v>53</x:v>
      </x:c>
      <x:c r="W747" s="7" t="s">
        <x:v>58</x:v>
      </x:c>
      <x:c r="X747" s="7" t="s">
        <x:v>53</x:v>
      </x:c>
      <x:c r="Y747" s="7" t="s">
        <x:v>1241</x:v>
      </x:c>
      <x:c r="Z747" s="7" t="s">
        <x:v>3506</x:v>
      </x:c>
      <x:c r="AA747" s="7" t="s">
        <x:v>58</x:v>
      </x:c>
      <x:c r="AB747" s="8" t="s">
        <x:v>58</x:v>
      </x:c>
      <x:c r="AC747" s="8" t="s">
        <x:v>58</x:v>
      </x:c>
      <x:c r="AD747" s="8" t="s">
        <x:v>58</x:v>
      </x:c>
      <x:c r="AE747" s="8" t="s">
        <x:v>58</x:v>
      </x:c>
      <x:c r="AF747" s="8" t="s">
        <x:v>58</x:v>
      </x:c>
      <x:c r="AG747" s="7" t="s">
        <x:v>58</x:v>
      </x:c>
    </x:row>
    <x:row r="748" ht="37.5" hidden="0" customHeight="1">
      <x:c r="A748" s="7" t="s">
        <x:v>3507</x:v>
      </x:c>
      <x:c r="B748" s="7" t="s">
        <x:v>473</x:v>
      </x:c>
      <x:c r="C748" s="7" t="s">
        <x:v>475</x:v>
      </x:c>
      <x:c r="D748" s="7" t="s">
        <x:v>1945</x:v>
      </x:c>
      <x:c r="E748" s="7" t="s">
        <x:v>3508</x:v>
      </x:c>
      <x:c r="F748" s="7" t="s">
        <x:v>1929</x:v>
      </x:c>
      <x:c r="G748" s="8" t="n">
        <x:v>50</x:v>
      </x:c>
      <x:c r="H748" s="8" t="n">
        <x:v>3</x:v>
      </x:c>
      <x:c r="I748" s="8" t="s">
        <x:v>58</x:v>
      </x:c>
      <x:c r="J748" s="7" t="s">
        <x:v>1919</x:v>
      </x:c>
      <x:c r="K748" s="8" t="n">
        <x:v>1</x:v>
      </x:c>
      <x:c r="L748" s="8" t="n">
        <x:f aca="0">IF(AND(ISNUMBER(G748),P748&lt;&gt;"Unresolved unit / layout"),G748*K748,"Not applicable")</x:f>
        <x:v>50</x:v>
      </x:c>
      <x:c r="M748" s="8" t="n">
        <x:f aca="0">IF(AND(ISNUMBER(H748),P748&lt;&gt;"Unresolved unit / layout"),H748*K748,"Not applicable")</x:f>
        <x:v>3</x:v>
      </x:c>
      <x:c r="N748" s="8" t="str">
        <x:f aca="0">IF(AND(ISNUMBER(I748),P748&lt;&gt;"Unresolved unit / layout"),I748*K748,"Not applicable")</x:f>
        <x:v>Not applicable</x:v>
      </x:c>
      <x:c r="O748" s="7" t="s">
        <x:v>1929</x:v>
      </x:c>
      <x:c r="P748" s="7" t="s">
        <x:v>1921</x:v>
      </x:c>
      <x:c r="Q748" s="7" t="s">
        <x:v>2064</x:v>
      </x:c>
      <x:c r="R748" s="7" t="s">
        <x:v>2003</x:v>
      </x:c>
      <x:c r="S748" s="7" t="s">
        <x:v>53</x:v>
      </x:c>
      <x:c r="T748" s="7" t="s">
        <x:v>53</x:v>
      </x:c>
      <x:c r="U748" s="7" t="s">
        <x:v>53</x:v>
      </x:c>
      <x:c r="V748" s="7" t="s">
        <x:v>53</x:v>
      </x:c>
      <x:c r="W748" s="7" t="s">
        <x:v>58</x:v>
      </x:c>
      <x:c r="X748" s="7" t="s">
        <x:v>53</x:v>
      </x:c>
      <x:c r="Y748" s="7" t="s">
        <x:v>1241</x:v>
      </x:c>
      <x:c r="Z748" s="7" t="s">
        <x:v>3509</x:v>
      </x:c>
      <x:c r="AA748" s="7" t="s">
        <x:v>58</x:v>
      </x:c>
      <x:c r="AB748" s="8" t="s">
        <x:v>58</x:v>
      </x:c>
      <x:c r="AC748" s="8" t="s">
        <x:v>58</x:v>
      </x:c>
      <x:c r="AD748" s="8" t="s">
        <x:v>58</x:v>
      </x:c>
      <x:c r="AE748" s="8" t="s">
        <x:v>58</x:v>
      </x:c>
      <x:c r="AF748" s="8" t="s">
        <x:v>58</x:v>
      </x:c>
      <x:c r="AG748" s="7" t="s">
        <x:v>58</x:v>
      </x:c>
    </x:row>
    <x:row r="749" ht="37.5" hidden="0" customHeight="1">
      <x:c r="A749" s="7" t="s">
        <x:v>3510</x:v>
      </x:c>
      <x:c r="B749" s="7" t="s">
        <x:v>473</x:v>
      </x:c>
      <x:c r="C749" s="7" t="s">
        <x:v>475</x:v>
      </x:c>
      <x:c r="D749" s="7" t="s">
        <x:v>1950</x:v>
      </x:c>
      <x:c r="E749" s="7" t="s">
        <x:v>3511</x:v>
      </x:c>
      <x:c r="F749" s="7" t="s">
        <x:v>1929</x:v>
      </x:c>
      <x:c r="G749" s="8" t="n">
        <x:v>2100</x:v>
      </x:c>
      <x:c r="H749" s="8" t="n">
        <x:v>110</x:v>
      </x:c>
      <x:c r="I749" s="8" t="s">
        <x:v>58</x:v>
      </x:c>
      <x:c r="J749" s="7" t="s">
        <x:v>1919</x:v>
      </x:c>
      <x:c r="K749" s="8" t="n">
        <x:v>0.001</x:v>
      </x:c>
      <x:c r="L749" s="8" t="n">
        <x:f aca="0">IF(AND(ISNUMBER(G749),P749&lt;&gt;"Unresolved unit / layout"),G749*K749,"Not applicable")</x:f>
        <x:v>2.1</x:v>
      </x:c>
      <x:c r="M749" s="8" t="n">
        <x:f aca="0">IF(AND(ISNUMBER(H749),P749&lt;&gt;"Unresolved unit / layout"),H749*K749,"Not applicable")</x:f>
        <x:v>0.11</x:v>
      </x:c>
      <x:c r="N749" s="8" t="str">
        <x:f aca="0">IF(AND(ISNUMBER(I749),P749&lt;&gt;"Unresolved unit / layout"),I749*K749,"Not applicable")</x:f>
        <x:v>Not applicable</x:v>
      </x:c>
      <x:c r="O749" s="7" t="s">
        <x:v>1937</x:v>
      </x:c>
      <x:c r="P749" s="7" t="s">
        <x:v>1921</x:v>
      </x:c>
      <x:c r="Q749" s="7" t="s">
        <x:v>2064</x:v>
      </x:c>
      <x:c r="R749" s="7" t="s">
        <x:v>1931</x:v>
      </x:c>
      <x:c r="S749" s="7" t="s">
        <x:v>53</x:v>
      </x:c>
      <x:c r="T749" s="7" t="s">
        <x:v>53</x:v>
      </x:c>
      <x:c r="U749" s="7" t="s">
        <x:v>53</x:v>
      </x:c>
      <x:c r="V749" s="7" t="s">
        <x:v>53</x:v>
      </x:c>
      <x:c r="W749" s="7" t="s">
        <x:v>58</x:v>
      </x:c>
      <x:c r="X749" s="7" t="s">
        <x:v>53</x:v>
      </x:c>
      <x:c r="Y749" s="7" t="s">
        <x:v>1241</x:v>
      </x:c>
      <x:c r="Z749" s="7" t="s">
        <x:v>3512</x:v>
      </x:c>
      <x:c r="AA749" s="7" t="s">
        <x:v>58</x:v>
      </x:c>
      <x:c r="AB749" s="8" t="s">
        <x:v>58</x:v>
      </x:c>
      <x:c r="AC749" s="8" t="s">
        <x:v>58</x:v>
      </x:c>
      <x:c r="AD749" s="8" t="s">
        <x:v>58</x:v>
      </x:c>
      <x:c r="AE749" s="8" t="s">
        <x:v>58</x:v>
      </x:c>
      <x:c r="AF749" s="8" t="s">
        <x:v>58</x:v>
      </x:c>
      <x:c r="AG749" s="7" t="s">
        <x:v>58</x:v>
      </x:c>
    </x:row>
    <x:row r="750" ht="37.5" hidden="0" customHeight="1">
      <x:c r="A750" s="7" t="s">
        <x:v>3513</x:v>
      </x:c>
      <x:c r="B750" s="7" t="s">
        <x:v>473</x:v>
      </x:c>
      <x:c r="C750" s="7" t="s">
        <x:v>475</x:v>
      </x:c>
      <x:c r="D750" s="7" t="s">
        <x:v>1950</x:v>
      </x:c>
      <x:c r="E750" s="7" t="s">
        <x:v>3514</x:v>
      </x:c>
      <x:c r="F750" s="7" t="s">
        <x:v>1929</x:v>
      </x:c>
      <x:c r="G750" s="8" t="n">
        <x:v>1650</x:v>
      </x:c>
      <x:c r="H750" s="8" t="n">
        <x:v>110</x:v>
      </x:c>
      <x:c r="I750" s="8" t="s">
        <x:v>58</x:v>
      </x:c>
      <x:c r="J750" s="7" t="s">
        <x:v>1919</x:v>
      </x:c>
      <x:c r="K750" s="8" t="n">
        <x:v>0.001</x:v>
      </x:c>
      <x:c r="L750" s="8" t="n">
        <x:f aca="0">IF(AND(ISNUMBER(G750),P750&lt;&gt;"Unresolved unit / layout"),G750*K750,"Not applicable")</x:f>
        <x:v>1.6500000000000001</x:v>
      </x:c>
      <x:c r="M750" s="8" t="n">
        <x:f aca="0">IF(AND(ISNUMBER(H750),P750&lt;&gt;"Unresolved unit / layout"),H750*K750,"Not applicable")</x:f>
        <x:v>0.11</x:v>
      </x:c>
      <x:c r="N750" s="8" t="str">
        <x:f aca="0">IF(AND(ISNUMBER(I750),P750&lt;&gt;"Unresolved unit / layout"),I750*K750,"Not applicable")</x:f>
        <x:v>Not applicable</x:v>
      </x:c>
      <x:c r="O750" s="7" t="s">
        <x:v>1937</x:v>
      </x:c>
      <x:c r="P750" s="7" t="s">
        <x:v>1921</x:v>
      </x:c>
      <x:c r="Q750" s="7" t="s">
        <x:v>2064</x:v>
      </x:c>
      <x:c r="R750" s="7" t="s">
        <x:v>2003</x:v>
      </x:c>
      <x:c r="S750" s="7" t="s">
        <x:v>53</x:v>
      </x:c>
      <x:c r="T750" s="7" t="s">
        <x:v>53</x:v>
      </x:c>
      <x:c r="U750" s="7" t="s">
        <x:v>53</x:v>
      </x:c>
      <x:c r="V750" s="7" t="s">
        <x:v>53</x:v>
      </x:c>
      <x:c r="W750" s="7" t="s">
        <x:v>58</x:v>
      </x:c>
      <x:c r="X750" s="7" t="s">
        <x:v>53</x:v>
      </x:c>
      <x:c r="Y750" s="7" t="s">
        <x:v>1241</x:v>
      </x:c>
      <x:c r="Z750" s="7" t="s">
        <x:v>3515</x:v>
      </x:c>
      <x:c r="AA750" s="7" t="s">
        <x:v>58</x:v>
      </x:c>
      <x:c r="AB750" s="8" t="s">
        <x:v>58</x:v>
      </x:c>
      <x:c r="AC750" s="8" t="s">
        <x:v>58</x:v>
      </x:c>
      <x:c r="AD750" s="8" t="s">
        <x:v>58</x:v>
      </x:c>
      <x:c r="AE750" s="8" t="s">
        <x:v>58</x:v>
      </x:c>
      <x:c r="AF750" s="8" t="s">
        <x:v>58</x:v>
      </x:c>
      <x:c r="AG750" s="7" t="s">
        <x:v>58</x:v>
      </x:c>
    </x:row>
    <x:row r="751" ht="37.5" hidden="0" customHeight="1">
      <x:c r="A751" s="7" t="s">
        <x:v>3516</x:v>
      </x:c>
      <x:c r="B751" s="7" t="s">
        <x:v>473</x:v>
      </x:c>
      <x:c r="C751" s="7" t="s">
        <x:v>475</x:v>
      </x:c>
      <x:c r="D751" s="7" t="s">
        <x:v>3357</x:v>
      </x:c>
      <x:c r="E751" s="7" t="s">
        <x:v>3517</x:v>
      </x:c>
      <x:c r="F751" s="7" t="s">
        <x:v>3518</x:v>
      </x:c>
      <x:c r="G751" s="8" t="n">
        <x:v>50</x:v>
      </x:c>
      <x:c r="H751" s="8" t="n">
        <x:v>3</x:v>
      </x:c>
      <x:c r="I751" s="8" t="s">
        <x:v>58</x:v>
      </x:c>
      <x:c r="J751" s="7" t="s">
        <x:v>1919</x:v>
      </x:c>
      <x:c r="K751" s="8" t="n">
        <x:v>1</x:v>
      </x:c>
      <x:c r="L751" s="8" t="n">
        <x:f aca="0">IF(AND(ISNUMBER(G751),P751&lt;&gt;"Unresolved unit / layout"),G751*K751,"Not applicable")</x:f>
        <x:v>50</x:v>
      </x:c>
      <x:c r="M751" s="8" t="n">
        <x:f aca="0">IF(AND(ISNUMBER(H751),P751&lt;&gt;"Unresolved unit / layout"),H751*K751,"Not applicable")</x:f>
        <x:v>3</x:v>
      </x:c>
      <x:c r="N751" s="8" t="str">
        <x:f aca="0">IF(AND(ISNUMBER(I751),P751&lt;&gt;"Unresolved unit / layout"),I751*K751,"Not applicable")</x:f>
        <x:v>Not applicable</x:v>
      </x:c>
      <x:c r="O751" s="7" t="s">
        <x:v>2033</x:v>
      </x:c>
      <x:c r="P751" s="7" t="s">
        <x:v>1921</x:v>
      </x:c>
      <x:c r="Q751" s="7" t="s">
        <x:v>2064</x:v>
      </x:c>
      <x:c r="R751" s="7" t="s">
        <x:v>1931</x:v>
      </x:c>
      <x:c r="S751" s="7" t="s">
        <x:v>53</x:v>
      </x:c>
      <x:c r="T751" s="7" t="s">
        <x:v>53</x:v>
      </x:c>
      <x:c r="U751" s="7" t="s">
        <x:v>53</x:v>
      </x:c>
      <x:c r="V751" s="7" t="s">
        <x:v>53</x:v>
      </x:c>
      <x:c r="W751" s="7" t="s">
        <x:v>53</x:v>
      </x:c>
      <x:c r="X751" s="7" t="s">
        <x:v>53</x:v>
      </x:c>
      <x:c r="Y751" s="7" t="s">
        <x:v>1241</x:v>
      </x:c>
      <x:c r="Z751" s="7" t="s">
        <x:v>3519</x:v>
      </x:c>
      <x:c r="AA751" s="7" t="s">
        <x:v>58</x:v>
      </x:c>
      <x:c r="AB751" s="8" t="s">
        <x:v>58</x:v>
      </x:c>
      <x:c r="AC751" s="8" t="s">
        <x:v>58</x:v>
      </x:c>
      <x:c r="AD751" s="8" t="s">
        <x:v>58</x:v>
      </x:c>
      <x:c r="AE751" s="8" t="s">
        <x:v>58</x:v>
      </x:c>
      <x:c r="AF751" s="8" t="s">
        <x:v>58</x:v>
      </x:c>
      <x:c r="AG751" s="7" t="s">
        <x:v>58</x:v>
      </x:c>
    </x:row>
    <x:row r="752" ht="37.5" hidden="0" customHeight="1">
      <x:c r="A752" s="7" t="s">
        <x:v>3520</x:v>
      </x:c>
      <x:c r="B752" s="7" t="s">
        <x:v>473</x:v>
      </x:c>
      <x:c r="C752" s="7" t="s">
        <x:v>475</x:v>
      </x:c>
      <x:c r="D752" s="7" t="s">
        <x:v>3357</x:v>
      </x:c>
      <x:c r="E752" s="7" t="s">
        <x:v>3521</x:v>
      </x:c>
      <x:c r="F752" s="7" t="s">
        <x:v>3518</x:v>
      </x:c>
      <x:c r="G752" s="8" t="n">
        <x:v>15</x:v>
      </x:c>
      <x:c r="H752" s="8" t="n">
        <x:v>2</x:v>
      </x:c>
      <x:c r="I752" s="8" t="s">
        <x:v>58</x:v>
      </x:c>
      <x:c r="J752" s="7" t="s">
        <x:v>1919</x:v>
      </x:c>
      <x:c r="K752" s="8" t="n">
        <x:v>1</x:v>
      </x:c>
      <x:c r="L752" s="8" t="n">
        <x:f aca="0">IF(AND(ISNUMBER(G752),P752&lt;&gt;"Unresolved unit / layout"),G752*K752,"Not applicable")</x:f>
        <x:v>15</x:v>
      </x:c>
      <x:c r="M752" s="8" t="n">
        <x:f aca="0">IF(AND(ISNUMBER(H752),P752&lt;&gt;"Unresolved unit / layout"),H752*K752,"Not applicable")</x:f>
        <x:v>2</x:v>
      </x:c>
      <x:c r="N752" s="8" t="str">
        <x:f aca="0">IF(AND(ISNUMBER(I752),P752&lt;&gt;"Unresolved unit / layout"),I752*K752,"Not applicable")</x:f>
        <x:v>Not applicable</x:v>
      </x:c>
      <x:c r="O752" s="7" t="s">
        <x:v>2033</x:v>
      </x:c>
      <x:c r="P752" s="7" t="s">
        <x:v>1921</x:v>
      </x:c>
      <x:c r="Q752" s="7" t="s">
        <x:v>2064</x:v>
      </x:c>
      <x:c r="R752" s="7" t="s">
        <x:v>2003</x:v>
      </x:c>
      <x:c r="S752" s="7" t="s">
        <x:v>53</x:v>
      </x:c>
      <x:c r="T752" s="7" t="s">
        <x:v>53</x:v>
      </x:c>
      <x:c r="U752" s="7" t="s">
        <x:v>53</x:v>
      </x:c>
      <x:c r="V752" s="7" t="s">
        <x:v>53</x:v>
      </x:c>
      <x:c r="W752" s="7" t="s">
        <x:v>53</x:v>
      </x:c>
      <x:c r="X752" s="7" t="s">
        <x:v>53</x:v>
      </x:c>
      <x:c r="Y752" s="7" t="s">
        <x:v>1241</x:v>
      </x:c>
      <x:c r="Z752" s="7" t="s">
        <x:v>3522</x:v>
      </x:c>
      <x:c r="AA752" s="7" t="s">
        <x:v>58</x:v>
      </x:c>
      <x:c r="AB752" s="8" t="s">
        <x:v>58</x:v>
      </x:c>
      <x:c r="AC752" s="8" t="s">
        <x:v>58</x:v>
      </x:c>
      <x:c r="AD752" s="8" t="s">
        <x:v>58</x:v>
      </x:c>
      <x:c r="AE752" s="8" t="s">
        <x:v>58</x:v>
      </x:c>
      <x:c r="AF752" s="8" t="s">
        <x:v>58</x:v>
      </x:c>
      <x:c r="AG752" s="7" t="s">
        <x:v>58</x:v>
      </x:c>
    </x:row>
    <x:row r="753" ht="37.5" hidden="0" customHeight="1">
      <x:c r="A753" s="7" t="s">
        <x:v>3523</x:v>
      </x:c>
      <x:c r="B753" s="7" t="s">
        <x:v>473</x:v>
      </x:c>
      <x:c r="C753" s="7" t="s">
        <x:v>475</x:v>
      </x:c>
      <x:c r="D753" s="7" t="s">
        <x:v>1959</x:v>
      </x:c>
      <x:c r="E753" s="7" t="s">
        <x:v>3524</x:v>
      </x:c>
      <x:c r="F753" s="7" t="s">
        <x:v>1956</x:v>
      </x:c>
      <x:c r="G753" s="8" t="n">
        <x:v>125</x:v>
      </x:c>
      <x:c r="H753" s="8" t="s">
        <x:v>58</x:v>
      </x:c>
      <x:c r="I753" s="8" t="n">
        <x:v>140</x:v>
      </x:c>
      <x:c r="J753" s="7" t="s">
        <x:v>1919</x:v>
      </x:c>
      <x:c r="K753" s="8" t="n">
        <x:v>1</x:v>
      </x:c>
      <x:c r="L753" s="8" t="n">
        <x:f aca="0">IF(AND(ISNUMBER(G753),P753&lt;&gt;"Unresolved unit / layout"),G753*K753,"Not applicable")</x:f>
        <x:v>125</x:v>
      </x:c>
      <x:c r="M753" s="8" t="str">
        <x:f aca="0">IF(AND(ISNUMBER(H753),P753&lt;&gt;"Unresolved unit / layout"),H753*K753,"Not applicable")</x:f>
        <x:v>Not applicable</x:v>
      </x:c>
      <x:c r="N753" s="8" t="n">
        <x:f aca="0">IF(AND(ISNUMBER(I753),P753&lt;&gt;"Unresolved unit / layout"),I753*K753,"Not applicable")</x:f>
        <x:v>140</x:v>
      </x:c>
      <x:c r="O753" s="7" t="s">
        <x:v>1956</x:v>
      </x:c>
      <x:c r="P753" s="7" t="s">
        <x:v>1921</x:v>
      </x:c>
      <x:c r="Q753" s="7" t="s">
        <x:v>2064</x:v>
      </x:c>
      <x:c r="R753" s="7" t="s">
        <x:v>58</x:v>
      </x:c>
      <x:c r="S753" s="7" t="s">
        <x:v>53</x:v>
      </x:c>
      <x:c r="T753" s="7" t="s">
        <x:v>53</x:v>
      </x:c>
      <x:c r="U753" s="7" t="s">
        <x:v>53</x:v>
      </x:c>
      <x:c r="V753" s="7" t="s">
        <x:v>53</x:v>
      </x:c>
      <x:c r="W753" s="7" t="s">
        <x:v>58</x:v>
      </x:c>
      <x:c r="X753" s="7" t="s">
        <x:v>53</x:v>
      </x:c>
      <x:c r="Y753" s="7" t="s">
        <x:v>1241</x:v>
      </x:c>
      <x:c r="Z753" s="7" t="s">
        <x:v>3525</x:v>
      </x:c>
      <x:c r="AA753" s="7" t="s">
        <x:v>3090</x:v>
      </x:c>
      <x:c r="AB753" s="8" t="s">
        <x:v>58</x:v>
      </x:c>
      <x:c r="AC753" s="8" t="s">
        <x:v>58</x:v>
      </x:c>
      <x:c r="AD753" s="8" t="s">
        <x:v>58</x:v>
      </x:c>
      <x:c r="AE753" s="8" t="s">
        <x:v>58</x:v>
      </x:c>
      <x:c r="AF753" s="8" t="s">
        <x:v>58</x:v>
      </x:c>
      <x:c r="AG753" s="7" t="s">
        <x:v>58</x:v>
      </x:c>
    </x:row>
    <x:row r="754" ht="37.5" hidden="0" customHeight="1">
      <x:c r="A754" s="7" t="s">
        <x:v>3526</x:v>
      </x:c>
      <x:c r="B754" s="7" t="s">
        <x:v>473</x:v>
      </x:c>
      <x:c r="C754" s="7" t="s">
        <x:v>475</x:v>
      </x:c>
      <x:c r="D754" s="7" t="s">
        <x:v>1974</x:v>
      </x:c>
      <x:c r="E754" s="7" t="s">
        <x:v>3527</x:v>
      </x:c>
      <x:c r="F754" s="7" t="s">
        <x:v>1956</x:v>
      </x:c>
      <x:c r="G754" s="8" t="n">
        <x:v>240</x:v>
      </x:c>
      <x:c r="H754" s="8" t="s">
        <x:v>58</x:v>
      </x:c>
      <x:c r="I754" s="8" t="n">
        <x:v>280</x:v>
      </x:c>
      <x:c r="J754" s="7" t="s">
        <x:v>1919</x:v>
      </x:c>
      <x:c r="K754" s="8" t="n">
        <x:v>1</x:v>
      </x:c>
      <x:c r="L754" s="8" t="n">
        <x:f aca="0">IF(AND(ISNUMBER(G754),P754&lt;&gt;"Unresolved unit / layout"),G754*K754,"Not applicable")</x:f>
        <x:v>240</x:v>
      </x:c>
      <x:c r="M754" s="8" t="str">
        <x:f aca="0">IF(AND(ISNUMBER(H754),P754&lt;&gt;"Unresolved unit / layout"),H754*K754,"Not applicable")</x:f>
        <x:v>Not applicable</x:v>
      </x:c>
      <x:c r="N754" s="8" t="n">
        <x:f aca="0">IF(AND(ISNUMBER(I754),P754&lt;&gt;"Unresolved unit / layout"),I754*K754,"Not applicable")</x:f>
        <x:v>280</x:v>
      </x:c>
      <x:c r="O754" s="7" t="s">
        <x:v>1956</x:v>
      </x:c>
      <x:c r="P754" s="7" t="s">
        <x:v>1921</x:v>
      </x:c>
      <x:c r="Q754" s="7" t="s">
        <x:v>2064</x:v>
      </x:c>
      <x:c r="R754" s="7" t="s">
        <x:v>58</x:v>
      </x:c>
      <x:c r="S754" s="7" t="s">
        <x:v>53</x:v>
      </x:c>
      <x:c r="T754" s="7" t="s">
        <x:v>53</x:v>
      </x:c>
      <x:c r="U754" s="7" t="s">
        <x:v>53</x:v>
      </x:c>
      <x:c r="V754" s="7" t="s">
        <x:v>53</x:v>
      </x:c>
      <x:c r="W754" s="7" t="s">
        <x:v>58</x:v>
      </x:c>
      <x:c r="X754" s="7" t="s">
        <x:v>53</x:v>
      </x:c>
      <x:c r="Y754" s="7" t="s">
        <x:v>1241</x:v>
      </x:c>
      <x:c r="Z754" s="7" t="s">
        <x:v>3003</x:v>
      </x:c>
      <x:c r="AA754" s="7" t="s">
        <x:v>58</x:v>
      </x:c>
      <x:c r="AB754" s="8" t="s">
        <x:v>58</x:v>
      </x:c>
      <x:c r="AC754" s="8" t="s">
        <x:v>58</x:v>
      </x:c>
      <x:c r="AD754" s="8" t="s">
        <x:v>58</x:v>
      </x:c>
      <x:c r="AE754" s="8" t="s">
        <x:v>58</x:v>
      </x:c>
      <x:c r="AF754" s="8" t="s">
        <x:v>58</x:v>
      </x:c>
      <x:c r="AG754" s="7" t="s">
        <x:v>58</x:v>
      </x:c>
    </x:row>
    <x:row r="755" ht="66" hidden="0" customHeight="1">
      <x:c r="A755" s="7" t="s">
        <x:v>3528</x:v>
      </x:c>
      <x:c r="B755" s="7" t="s">
        <x:v>481</x:v>
      </x:c>
      <x:c r="C755" s="7" t="s">
        <x:v>484</x:v>
      </x:c>
      <x:c r="D755" s="7" t="s">
        <x:v>1916</x:v>
      </x:c>
      <x:c r="E755" s="7" t="s">
        <x:v>3529</x:v>
      </x:c>
      <x:c r="F755" s="7" t="s">
        <x:v>1965</x:v>
      </x:c>
      <x:c r="G755" s="8" t="n">
        <x:v>1.2</x:v>
      </x:c>
      <x:c r="H755" s="8" t="s">
        <x:v>58</x:v>
      </x:c>
      <x:c r="I755" s="8" t="n">
        <x:v>1.24</x:v>
      </x:c>
      <x:c r="J755" s="7" t="s">
        <x:v>1919</x:v>
      </x:c>
      <x:c r="K755" s="8" t="n">
        <x:v>1000</x:v>
      </x:c>
      <x:c r="L755" s="8" t="n">
        <x:f aca="0">IF(AND(ISNUMBER(G755),P755&lt;&gt;"Unresolved unit / layout"),G755*K755,"Not applicable")</x:f>
        <x:v>1200</x:v>
      </x:c>
      <x:c r="M755" s="8" t="str">
        <x:f aca="0">IF(AND(ISNUMBER(H755),P755&lt;&gt;"Unresolved unit / layout"),H755*K755,"Not applicable")</x:f>
        <x:v>Not applicable</x:v>
      </x:c>
      <x:c r="N755" s="8" t="n">
        <x:f aca="0">IF(AND(ISNUMBER(I755),P755&lt;&gt;"Unresolved unit / layout"),I755*K755,"Not applicable")</x:f>
        <x:v>1240</x:v>
      </x:c>
      <x:c r="O755" s="7" t="s">
        <x:v>1920</x:v>
      </x:c>
      <x:c r="P755" s="7" t="s">
        <x:v>1921</x:v>
      </x:c>
      <x:c r="Q755" s="7" t="s">
        <x:v>1922</x:v>
      </x:c>
      <x:c r="R755" s="7" t="s">
        <x:v>58</x:v>
      </x:c>
      <x:c r="S755" s="7" t="s">
        <x:v>53</x:v>
      </x:c>
      <x:c r="T755" s="7" t="s">
        <x:v>53</x:v>
      </x:c>
      <x:c r="U755" s="7" t="s">
        <x:v>53</x:v>
      </x:c>
      <x:c r="V755" s="7" t="s">
        <x:v>1966</x:v>
      </x:c>
      <x:c r="W755" s="7" t="s">
        <x:v>58</x:v>
      </x:c>
      <x:c r="X755" s="7" t="s">
        <x:v>3530</x:v>
      </x:c>
      <x:c r="Y755" s="7" t="s">
        <x:v>1243</x:v>
      </x:c>
      <x:c r="Z755" s="7" t="s">
        <x:v>1968</x:v>
      </x:c>
      <x:c r="AA755" s="7" t="s">
        <x:v>58</x:v>
      </x:c>
      <x:c r="AB755" s="8" t="s">
        <x:v>58</x:v>
      </x:c>
      <x:c r="AC755" s="8" t="s">
        <x:v>58</x:v>
      </x:c>
      <x:c r="AD755" s="8" t="s">
        <x:v>58</x:v>
      </x:c>
      <x:c r="AE755" s="8" t="s">
        <x:v>58</x:v>
      </x:c>
      <x:c r="AF755" s="8" t="s">
        <x:v>58</x:v>
      </x:c>
      <x:c r="AG755" s="7" t="s">
        <x:v>58</x:v>
      </x:c>
    </x:row>
    <x:row r="756" ht="66" hidden="0" customHeight="1">
      <x:c r="A756" s="7" t="s">
        <x:v>3531</x:v>
      </x:c>
      <x:c r="B756" s="7" t="s">
        <x:v>481</x:v>
      </x:c>
      <x:c r="C756" s="7" t="s">
        <x:v>484</x:v>
      </x:c>
      <x:c r="D756" s="7" t="s">
        <x:v>1935</x:v>
      </x:c>
      <x:c r="E756" s="7" t="s">
        <x:v>3532</x:v>
      </x:c>
      <x:c r="F756" s="7" t="s">
        <x:v>1929</x:v>
      </x:c>
      <x:c r="G756" s="8" t="n">
        <x:v>29</x:v>
      </x:c>
      <x:c r="H756" s="8" t="n">
        <x:v>2.8</x:v>
      </x:c>
      <x:c r="I756" s="8" t="s">
        <x:v>58</x:v>
      </x:c>
      <x:c r="J756" s="7" t="s">
        <x:v>1919</x:v>
      </x:c>
      <x:c r="K756" s="8" t="n">
        <x:v>0.001</x:v>
      </x:c>
      <x:c r="L756" s="8" t="n">
        <x:f aca="0">IF(AND(ISNUMBER(G756),P756&lt;&gt;"Unresolved unit / layout"),G756*K756,"Not applicable")</x:f>
        <x:v>0.029</x:v>
      </x:c>
      <x:c r="M756" s="8" t="n">
        <x:f aca="0">IF(AND(ISNUMBER(H756),P756&lt;&gt;"Unresolved unit / layout"),H756*K756,"Not applicable")</x:f>
        <x:v>0.0028</x:v>
      </x:c>
      <x:c r="N756" s="8" t="str">
        <x:f aca="0">IF(AND(ISNUMBER(I756),P756&lt;&gt;"Unresolved unit / layout"),I756*K756,"Not applicable")</x:f>
        <x:v>Not applicable</x:v>
      </x:c>
      <x:c r="O756" s="7" t="s">
        <x:v>1937</x:v>
      </x:c>
      <x:c r="P756" s="7" t="s">
        <x:v>1921</x:v>
      </x:c>
      <x:c r="Q756" s="7" t="s">
        <x:v>1930</x:v>
      </x:c>
      <x:c r="R756" s="7" t="s">
        <x:v>1931</x:v>
      </x:c>
      <x:c r="S756" s="7" t="s">
        <x:v>53</x:v>
      </x:c>
      <x:c r="T756" s="7" t="s">
        <x:v>53</x:v>
      </x:c>
      <x:c r="U756" s="7" t="s">
        <x:v>53</x:v>
      </x:c>
      <x:c r="V756" s="7" t="s">
        <x:v>3533</x:v>
      </x:c>
      <x:c r="W756" s="7" t="s">
        <x:v>58</x:v>
      </x:c>
      <x:c r="X756" s="7" t="s">
        <x:v>3530</x:v>
      </x:c>
      <x:c r="Y756" s="7" t="s">
        <x:v>1243</x:v>
      </x:c>
      <x:c r="Z756" s="7" t="s">
        <x:v>2040</x:v>
      </x:c>
      <x:c r="AA756" s="7" t="s">
        <x:v>58</x:v>
      </x:c>
      <x:c r="AB756" s="8" t="s">
        <x:v>58</x:v>
      </x:c>
      <x:c r="AC756" s="8" t="s">
        <x:v>58</x:v>
      </x:c>
      <x:c r="AD756" s="8" t="s">
        <x:v>58</x:v>
      </x:c>
      <x:c r="AE756" s="8" t="s">
        <x:v>58</x:v>
      </x:c>
      <x:c r="AF756" s="8" t="s">
        <x:v>58</x:v>
      </x:c>
      <x:c r="AG756" s="7" t="s">
        <x:v>58</x:v>
      </x:c>
    </x:row>
    <x:row r="757" ht="66" hidden="0" customHeight="1">
      <x:c r="A757" s="7" t="s">
        <x:v>3534</x:v>
      </x:c>
      <x:c r="B757" s="7" t="s">
        <x:v>481</x:v>
      </x:c>
      <x:c r="C757" s="7" t="s">
        <x:v>484</x:v>
      </x:c>
      <x:c r="D757" s="7" t="s">
        <x:v>1940</x:v>
      </x:c>
      <x:c r="E757" s="7" t="s">
        <x:v>3535</x:v>
      </x:c>
      <x:c r="F757" s="7" t="s">
        <x:v>1942</x:v>
      </x:c>
      <x:c r="G757" s="8" t="n">
        <x:v>330.1</x:v>
      </x:c>
      <x:c r="H757" s="8" t="n">
        <x:v>14</x:v>
      </x:c>
      <x:c r="I757" s="8" t="s">
        <x:v>58</x:v>
      </x:c>
      <x:c r="J757" s="7" t="s">
        <x:v>1919</x:v>
      </x:c>
      <x:c r="K757" s="8" t="n">
        <x:v>1</x:v>
      </x:c>
      <x:c r="L757" s="8" t="n">
        <x:f aca="0">IF(AND(ISNUMBER(G757),P757&lt;&gt;"Unresolved unit / layout"),G757*K757,"Not applicable")</x:f>
        <x:v>330.1</x:v>
      </x:c>
      <x:c r="M757" s="8" t="n">
        <x:f aca="0">IF(AND(ISNUMBER(H757),P757&lt;&gt;"Unresolved unit / layout"),H757*K757,"Not applicable")</x:f>
        <x:v>14</x:v>
      </x:c>
      <x:c r="N757" s="8" t="str">
        <x:f aca="0">IF(AND(ISNUMBER(I757),P757&lt;&gt;"Unresolved unit / layout"),I757*K757,"Not applicable")</x:f>
        <x:v>Not applicable</x:v>
      </x:c>
      <x:c r="O757" s="7" t="s">
        <x:v>1942</x:v>
      </x:c>
      <x:c r="P757" s="7" t="s">
        <x:v>1921</x:v>
      </x:c>
      <x:c r="Q757" s="7" t="s">
        <x:v>1930</x:v>
      </x:c>
      <x:c r="R757" s="7" t="s">
        <x:v>1931</x:v>
      </x:c>
      <x:c r="S757" s="7" t="s">
        <x:v>53</x:v>
      </x:c>
      <x:c r="T757" s="7" t="s">
        <x:v>53</x:v>
      </x:c>
      <x:c r="U757" s="7" t="s">
        <x:v>53</x:v>
      </x:c>
      <x:c r="V757" s="7" t="s">
        <x:v>3533</x:v>
      </x:c>
      <x:c r="W757" s="7" t="s">
        <x:v>58</x:v>
      </x:c>
      <x:c r="X757" s="7" t="s">
        <x:v>3530</x:v>
      </x:c>
      <x:c r="Y757" s="7" t="s">
        <x:v>1243</x:v>
      </x:c>
      <x:c r="Z757" s="7" t="s">
        <x:v>2014</x:v>
      </x:c>
      <x:c r="AA757" s="7" t="s">
        <x:v>58</x:v>
      </x:c>
      <x:c r="AB757" s="8" t="s">
        <x:v>58</x:v>
      </x:c>
      <x:c r="AC757" s="8" t="s">
        <x:v>58</x:v>
      </x:c>
      <x:c r="AD757" s="8" t="s">
        <x:v>58</x:v>
      </x:c>
      <x:c r="AE757" s="8" t="s">
        <x:v>58</x:v>
      </x:c>
      <x:c r="AF757" s="8" t="s">
        <x:v>58</x:v>
      </x:c>
      <x:c r="AG757" s="7" t="s">
        <x:v>58</x:v>
      </x:c>
    </x:row>
    <x:row r="758" ht="66" hidden="0" customHeight="1">
      <x:c r="A758" s="7" t="s">
        <x:v>3536</x:v>
      </x:c>
      <x:c r="B758" s="7" t="s">
        <x:v>481</x:v>
      </x:c>
      <x:c r="C758" s="7" t="s">
        <x:v>1244</x:v>
      </x:c>
      <x:c r="D758" s="7" t="s">
        <x:v>1935</x:v>
      </x:c>
      <x:c r="E758" s="7" t="s">
        <x:v>3062</x:v>
      </x:c>
      <x:c r="F758" s="7" t="s">
        <x:v>1929</x:v>
      </x:c>
      <x:c r="G758" s="8" t="n">
        <x:v>26</x:v>
      </x:c>
      <x:c r="H758" s="8" t="s">
        <x:v>58</x:v>
      </x:c>
      <x:c r="I758" s="8" t="s">
        <x:v>58</x:v>
      </x:c>
      <x:c r="J758" s="7" t="s">
        <x:v>1919</x:v>
      </x:c>
      <x:c r="K758" s="8" t="n">
        <x:v>0.001</x:v>
      </x:c>
      <x:c r="L758" s="8" t="n">
        <x:f aca="0">IF(AND(ISNUMBER(G758),P758&lt;&gt;"Unresolved unit / layout"),G758*K758,"Not applicable")</x:f>
        <x:v>0.026000000000000002</x:v>
      </x:c>
      <x:c r="M758" s="8" t="str">
        <x:f aca="0">IF(AND(ISNUMBER(H758),P758&lt;&gt;"Unresolved unit / layout"),H758*K758,"Not applicable")</x:f>
        <x:v>Not applicable</x:v>
      </x:c>
      <x:c r="N758" s="8" t="str">
        <x:f aca="0">IF(AND(ISNUMBER(I758),P758&lt;&gt;"Unresolved unit / layout"),I758*K758,"Not applicable")</x:f>
        <x:v>Not applicable</x:v>
      </x:c>
      <x:c r="O758" s="7" t="s">
        <x:v>1937</x:v>
      </x:c>
      <x:c r="P758" s="7" t="s">
        <x:v>1921</x:v>
      </x:c>
      <x:c r="Q758" s="7" t="s">
        <x:v>2064</x:v>
      </x:c>
      <x:c r="R758" s="7" t="s">
        <x:v>53</x:v>
      </x:c>
      <x:c r="S758" s="7" t="s">
        <x:v>53</x:v>
      </x:c>
      <x:c r="T758" s="7" t="s">
        <x:v>53</x:v>
      </x:c>
      <x:c r="U758" s="7" t="s">
        <x:v>53</x:v>
      </x:c>
      <x:c r="V758" s="7" t="s">
        <x:v>53</x:v>
      </x:c>
      <x:c r="W758" s="7" t="s">
        <x:v>58</x:v>
      </x:c>
      <x:c r="X758" s="7" t="s">
        <x:v>3537</x:v>
      </x:c>
      <x:c r="Y758" s="7" t="s">
        <x:v>1245</x:v>
      </x:c>
      <x:c r="Z758" s="7" t="s">
        <x:v>1938</x:v>
      </x:c>
      <x:c r="AA758" s="7" t="s">
        <x:v>58</x:v>
      </x:c>
      <x:c r="AB758" s="8" t="s">
        <x:v>58</x:v>
      </x:c>
      <x:c r="AC758" s="8" t="s">
        <x:v>58</x:v>
      </x:c>
      <x:c r="AD758" s="8" t="s">
        <x:v>58</x:v>
      </x:c>
      <x:c r="AE758" s="8" t="s">
        <x:v>58</x:v>
      </x:c>
      <x:c r="AF758" s="8" t="s">
        <x:v>58</x:v>
      </x:c>
      <x:c r="AG758" s="7" t="s">
        <x:v>58</x:v>
      </x:c>
    </x:row>
    <x:row r="759" ht="66" hidden="0" customHeight="1">
      <x:c r="A759" s="7" t="s">
        <x:v>3538</x:v>
      </x:c>
      <x:c r="B759" s="7" t="s">
        <x:v>481</x:v>
      </x:c>
      <x:c r="C759" s="7" t="s">
        <x:v>1244</x:v>
      </x:c>
      <x:c r="D759" s="7" t="s">
        <x:v>3061</x:v>
      </x:c>
      <x:c r="E759" s="7" t="s">
        <x:v>3539</x:v>
      </x:c>
      <x:c r="F759" s="7" t="s">
        <x:v>1929</x:v>
      </x:c>
      <x:c r="G759" s="8" t="n">
        <x:v>8.6</x:v>
      </x:c>
      <x:c r="H759" s="8" t="s">
        <x:v>58</x:v>
      </x:c>
      <x:c r="I759" s="8" t="s">
        <x:v>58</x:v>
      </x:c>
      <x:c r="J759" s="7" t="s">
        <x:v>1919</x:v>
      </x:c>
      <x:c r="K759" s="8" t="n">
        <x:v>1</x:v>
      </x:c>
      <x:c r="L759" s="8" t="n">
        <x:f aca="0">IF(AND(ISNUMBER(G759),P759&lt;&gt;"Unresolved unit / layout"),G759*K759,"Not applicable")</x:f>
        <x:v>8.6</x:v>
      </x:c>
      <x:c r="M759" s="8" t="str">
        <x:f aca="0">IF(AND(ISNUMBER(H759),P759&lt;&gt;"Unresolved unit / layout"),H759*K759,"Not applicable")</x:f>
        <x:v>Not applicable</x:v>
      </x:c>
      <x:c r="N759" s="8" t="str">
        <x:f aca="0">IF(AND(ISNUMBER(I759),P759&lt;&gt;"Unresolved unit / layout"),I759*K759,"Not applicable")</x:f>
        <x:v>Not applicable</x:v>
      </x:c>
      <x:c r="O759" s="7" t="s">
        <x:v>1929</x:v>
      </x:c>
      <x:c r="P759" s="7" t="s">
        <x:v>1921</x:v>
      </x:c>
      <x:c r="Q759" s="7" t="s">
        <x:v>2064</x:v>
      </x:c>
      <x:c r="R759" s="7" t="s">
        <x:v>53</x:v>
      </x:c>
      <x:c r="S759" s="7" t="s">
        <x:v>53</x:v>
      </x:c>
      <x:c r="T759" s="7" t="s">
        <x:v>53</x:v>
      </x:c>
      <x:c r="U759" s="7" t="s">
        <x:v>53</x:v>
      </x:c>
      <x:c r="V759" s="7" t="s">
        <x:v>53</x:v>
      </x:c>
      <x:c r="W759" s="7" t="s">
        <x:v>58</x:v>
      </x:c>
      <x:c r="X759" s="7" t="s">
        <x:v>3537</x:v>
      </x:c>
      <x:c r="Y759" s="7" t="s">
        <x:v>1245</x:v>
      </x:c>
      <x:c r="Z759" s="7" t="s">
        <x:v>3064</x:v>
      </x:c>
      <x:c r="AA759" s="7" t="s">
        <x:v>58</x:v>
      </x:c>
      <x:c r="AB759" s="8" t="s">
        <x:v>58</x:v>
      </x:c>
      <x:c r="AC759" s="8" t="s">
        <x:v>58</x:v>
      </x:c>
      <x:c r="AD759" s="8" t="s">
        <x:v>58</x:v>
      </x:c>
      <x:c r="AE759" s="8" t="s">
        <x:v>58</x:v>
      </x:c>
      <x:c r="AF759" s="8" t="s">
        <x:v>58</x:v>
      </x:c>
      <x:c r="AG759" s="7" t="s">
        <x:v>58</x:v>
      </x:c>
    </x:row>
    <x:row r="760" ht="66" hidden="0" customHeight="1">
      <x:c r="A760" s="7" t="s">
        <x:v>3540</x:v>
      </x:c>
      <x:c r="B760" s="7" t="s">
        <x:v>481</x:v>
      </x:c>
      <x:c r="C760" s="7" t="s">
        <x:v>1244</x:v>
      </x:c>
      <x:c r="D760" s="7" t="s">
        <x:v>1927</x:v>
      </x:c>
      <x:c r="E760" s="7" t="s">
        <x:v>3541</x:v>
      </x:c>
      <x:c r="F760" s="7" t="s">
        <x:v>1929</x:v>
      </x:c>
      <x:c r="G760" s="8" t="n">
        <x:v>39</x:v>
      </x:c>
      <x:c r="H760" s="8" t="s">
        <x:v>58</x:v>
      </x:c>
      <x:c r="I760" s="8" t="s">
        <x:v>58</x:v>
      </x:c>
      <x:c r="J760" s="7" t="s">
        <x:v>1919</x:v>
      </x:c>
      <x:c r="K760" s="8" t="n">
        <x:v>1</x:v>
      </x:c>
      <x:c r="L760" s="8" t="n">
        <x:f aca="0">IF(AND(ISNUMBER(G760),P760&lt;&gt;"Unresolved unit / layout"),G760*K760,"Not applicable")</x:f>
        <x:v>39</x:v>
      </x:c>
      <x:c r="M760" s="8" t="str">
        <x:f aca="0">IF(AND(ISNUMBER(H760),P760&lt;&gt;"Unresolved unit / layout"),H760*K760,"Not applicable")</x:f>
        <x:v>Not applicable</x:v>
      </x:c>
      <x:c r="N760" s="8" t="str">
        <x:f aca="0">IF(AND(ISNUMBER(I760),P760&lt;&gt;"Unresolved unit / layout"),I760*K760,"Not applicable")</x:f>
        <x:v>Not applicable</x:v>
      </x:c>
      <x:c r="O760" s="7" t="s">
        <x:v>1929</x:v>
      </x:c>
      <x:c r="P760" s="7" t="s">
        <x:v>1921</x:v>
      </x:c>
      <x:c r="Q760" s="7" t="s">
        <x:v>2064</x:v>
      </x:c>
      <x:c r="R760" s="7" t="s">
        <x:v>53</x:v>
      </x:c>
      <x:c r="S760" s="7" t="s">
        <x:v>53</x:v>
      </x:c>
      <x:c r="T760" s="7" t="s">
        <x:v>53</x:v>
      </x:c>
      <x:c r="U760" s="7" t="s">
        <x:v>53</x:v>
      </x:c>
      <x:c r="V760" s="7" t="s">
        <x:v>53</x:v>
      </x:c>
      <x:c r="W760" s="7" t="s">
        <x:v>58</x:v>
      </x:c>
      <x:c r="X760" s="7" t="s">
        <x:v>3537</x:v>
      </x:c>
      <x:c r="Y760" s="7" t="s">
        <x:v>1245</x:v>
      </x:c>
      <x:c r="Z760" s="7" t="s">
        <x:v>3067</x:v>
      </x:c>
      <x:c r="AA760" s="7" t="s">
        <x:v>58</x:v>
      </x:c>
      <x:c r="AB760" s="8" t="s">
        <x:v>58</x:v>
      </x:c>
      <x:c r="AC760" s="8" t="s">
        <x:v>58</x:v>
      </x:c>
      <x:c r="AD760" s="8" t="s">
        <x:v>58</x:v>
      </x:c>
      <x:c r="AE760" s="8" t="s">
        <x:v>58</x:v>
      </x:c>
      <x:c r="AF760" s="8" t="s">
        <x:v>58</x:v>
      </x:c>
      <x:c r="AG760" s="7" t="s">
        <x:v>58</x:v>
      </x:c>
    </x:row>
    <x:row r="761" ht="66" hidden="0" customHeight="1">
      <x:c r="A761" s="7" t="s">
        <x:v>3542</x:v>
      </x:c>
      <x:c r="B761" s="7" t="s">
        <x:v>481</x:v>
      </x:c>
      <x:c r="C761" s="7" t="s">
        <x:v>1244</x:v>
      </x:c>
      <x:c r="D761" s="7" t="s">
        <x:v>2820</x:v>
      </x:c>
      <x:c r="E761" s="7" t="s">
        <x:v>3543</x:v>
      </x:c>
      <x:c r="F761" s="7" t="s">
        <x:v>1942</x:v>
      </x:c>
      <x:c r="G761" s="8" t="n">
        <x:v>55</x:v>
      </x:c>
      <x:c r="H761" s="8" t="s">
        <x:v>58</x:v>
      </x:c>
      <x:c r="I761" s="8" t="s">
        <x:v>58</x:v>
      </x:c>
      <x:c r="J761" s="7" t="s">
        <x:v>1919</x:v>
      </x:c>
      <x:c r="K761" s="8" t="n">
        <x:v>1</x:v>
      </x:c>
      <x:c r="L761" s="8" t="n">
        <x:f aca="0">IF(AND(ISNUMBER(G761),P761&lt;&gt;"Unresolved unit / layout"),G761*K761,"Not applicable")</x:f>
        <x:v>55</x:v>
      </x:c>
      <x:c r="M761" s="8" t="str">
        <x:f aca="0">IF(AND(ISNUMBER(H761),P761&lt;&gt;"Unresolved unit / layout"),H761*K761,"Not applicable")</x:f>
        <x:v>Not applicable</x:v>
      </x:c>
      <x:c r="N761" s="8" t="str">
        <x:f aca="0">IF(AND(ISNUMBER(I761),P761&lt;&gt;"Unresolved unit / layout"),I761*K761,"Not applicable")</x:f>
        <x:v>Not applicable</x:v>
      </x:c>
      <x:c r="O761" s="7" t="s">
        <x:v>1942</x:v>
      </x:c>
      <x:c r="P761" s="7" t="s">
        <x:v>1921</x:v>
      </x:c>
      <x:c r="Q761" s="7" t="s">
        <x:v>2064</x:v>
      </x:c>
      <x:c r="R761" s="7" t="s">
        <x:v>53</x:v>
      </x:c>
      <x:c r="S761" s="7" t="s">
        <x:v>53</x:v>
      </x:c>
      <x:c r="T761" s="7" t="s">
        <x:v>53</x:v>
      </x:c>
      <x:c r="U761" s="7" t="s">
        <x:v>53</x:v>
      </x:c>
      <x:c r="V761" s="7" t="s">
        <x:v>53</x:v>
      </x:c>
      <x:c r="W761" s="7" t="s">
        <x:v>58</x:v>
      </x:c>
      <x:c r="X761" s="7" t="s">
        <x:v>3537</x:v>
      </x:c>
      <x:c r="Y761" s="7" t="s">
        <x:v>1245</x:v>
      </x:c>
      <x:c r="Z761" s="7" t="s">
        <x:v>2822</x:v>
      </x:c>
      <x:c r="AA761" s="7" t="s">
        <x:v>58</x:v>
      </x:c>
      <x:c r="AB761" s="8" t="s">
        <x:v>58</x:v>
      </x:c>
      <x:c r="AC761" s="8" t="s">
        <x:v>58</x:v>
      </x:c>
      <x:c r="AD761" s="8" t="s">
        <x:v>58</x:v>
      </x:c>
      <x:c r="AE761" s="8" t="s">
        <x:v>58</x:v>
      </x:c>
      <x:c r="AF761" s="8" t="s">
        <x:v>58</x:v>
      </x:c>
      <x:c r="AG761" s="7" t="s">
        <x:v>58</x:v>
      </x:c>
    </x:row>
    <x:row r="762" ht="66" hidden="0" customHeight="1">
      <x:c r="A762" s="7" t="s">
        <x:v>3544</x:v>
      </x:c>
      <x:c r="B762" s="7" t="s">
        <x:v>481</x:v>
      </x:c>
      <x:c r="C762" s="7" t="s">
        <x:v>1244</x:v>
      </x:c>
      <x:c r="D762" s="7" t="s">
        <x:v>1940</x:v>
      </x:c>
      <x:c r="E762" s="7" t="s">
        <x:v>3545</x:v>
      </x:c>
      <x:c r="F762" s="7" t="s">
        <x:v>1942</x:v>
      </x:c>
      <x:c r="G762" s="8" t="n">
        <x:v>580</x:v>
      </x:c>
      <x:c r="H762" s="8" t="s">
        <x:v>58</x:v>
      </x:c>
      <x:c r="I762" s="8" t="s">
        <x:v>58</x:v>
      </x:c>
      <x:c r="J762" s="7" t="s">
        <x:v>1919</x:v>
      </x:c>
      <x:c r="K762" s="8" t="n">
        <x:v>1</x:v>
      </x:c>
      <x:c r="L762" s="8" t="n">
        <x:f aca="0">IF(AND(ISNUMBER(G762),P762&lt;&gt;"Unresolved unit / layout"),G762*K762,"Not applicable")</x:f>
        <x:v>580</x:v>
      </x:c>
      <x:c r="M762" s="8" t="str">
        <x:f aca="0">IF(AND(ISNUMBER(H762),P762&lt;&gt;"Unresolved unit / layout"),H762*K762,"Not applicable")</x:f>
        <x:v>Not applicable</x:v>
      </x:c>
      <x:c r="N762" s="8" t="str">
        <x:f aca="0">IF(AND(ISNUMBER(I762),P762&lt;&gt;"Unresolved unit / layout"),I762*K762,"Not applicable")</x:f>
        <x:v>Not applicable</x:v>
      </x:c>
      <x:c r="O762" s="7" t="s">
        <x:v>1942</x:v>
      </x:c>
      <x:c r="P762" s="7" t="s">
        <x:v>1921</x:v>
      </x:c>
      <x:c r="Q762" s="7" t="s">
        <x:v>2064</x:v>
      </x:c>
      <x:c r="R762" s="7" t="s">
        <x:v>53</x:v>
      </x:c>
      <x:c r="S762" s="7" t="s">
        <x:v>53</x:v>
      </x:c>
      <x:c r="T762" s="7" t="s">
        <x:v>53</x:v>
      </x:c>
      <x:c r="U762" s="7" t="s">
        <x:v>53</x:v>
      </x:c>
      <x:c r="V762" s="7" t="s">
        <x:v>53</x:v>
      </x:c>
      <x:c r="W762" s="7" t="s">
        <x:v>58</x:v>
      </x:c>
      <x:c r="X762" s="7" t="s">
        <x:v>3537</x:v>
      </x:c>
      <x:c r="Y762" s="7" t="s">
        <x:v>1245</x:v>
      </x:c>
      <x:c r="Z762" s="7" t="s">
        <x:v>3070</x:v>
      </x:c>
      <x:c r="AA762" s="7" t="s">
        <x:v>58</x:v>
      </x:c>
      <x:c r="AB762" s="8" t="s">
        <x:v>58</x:v>
      </x:c>
      <x:c r="AC762" s="8" t="s">
        <x:v>58</x:v>
      </x:c>
      <x:c r="AD762" s="8" t="s">
        <x:v>58</x:v>
      </x:c>
      <x:c r="AE762" s="8" t="s">
        <x:v>58</x:v>
      </x:c>
      <x:c r="AF762" s="8" t="s">
        <x:v>58</x:v>
      </x:c>
      <x:c r="AG762" s="7" t="s">
        <x:v>58</x:v>
      </x:c>
    </x:row>
    <x:row r="763" ht="66" hidden="0" customHeight="1">
      <x:c r="A763" s="7" t="s">
        <x:v>3546</x:v>
      </x:c>
      <x:c r="B763" s="7" t="s">
        <x:v>481</x:v>
      </x:c>
      <x:c r="C763" s="7" t="s">
        <x:v>1244</x:v>
      </x:c>
      <x:c r="D763" s="7" t="s">
        <x:v>1945</x:v>
      </x:c>
      <x:c r="E763" s="7" t="s">
        <x:v>3547</x:v>
      </x:c>
      <x:c r="F763" s="7" t="s">
        <x:v>53</x:v>
      </x:c>
      <x:c r="G763" s="8" t="s">
        <x:v>53</x:v>
      </x:c>
      <x:c r="H763" s="8" t="s">
        <x:v>58</x:v>
      </x:c>
      <x:c r="I763" s="8" t="s">
        <x:v>58</x:v>
      </x:c>
      <x:c r="J763" s="7" t="s">
        <x:v>58</x:v>
      </x:c>
      <x:c r="K763" s="8" t="n">
        <x:v>1</x:v>
      </x:c>
      <x:c r="L763" s="8" t="str">
        <x:f aca="0">IF(AND(ISNUMBER(G763),P763&lt;&gt;"Unresolved unit / layout"),G763*K763,"Not published")</x:f>
        <x:v>Not published</x:v>
      </x:c>
      <x:c r="M763" s="8" t="str">
        <x:f aca="0">IF(AND(ISNUMBER(H763),P763&lt;&gt;"Unresolved unit / layout"),H763*K763,"Not applicable")</x:f>
        <x:v>Not applicable</x:v>
      </x:c>
      <x:c r="N763" s="8" t="str">
        <x:f aca="0">IF(AND(ISNUMBER(I763),P763&lt;&gt;"Unresolved unit / layout"),I763*K763,"Not applicable")</x:f>
        <x:v>Not applicable</x:v>
      </x:c>
      <x:c r="O763" s="7" t="s">
        <x:v>53</x:v>
      </x:c>
      <x:c r="P763" s="7" t="s">
        <x:v>53</x:v>
      </x:c>
      <x:c r="Q763" s="7" t="s">
        <x:v>2064</x:v>
      </x:c>
      <x:c r="R763" s="7" t="s">
        <x:v>53</x:v>
      </x:c>
      <x:c r="S763" s="7" t="s">
        <x:v>53</x:v>
      </x:c>
      <x:c r="T763" s="7" t="s">
        <x:v>53</x:v>
      </x:c>
      <x:c r="U763" s="7" t="s">
        <x:v>53</x:v>
      </x:c>
      <x:c r="V763" s="7" t="s">
        <x:v>53</x:v>
      </x:c>
      <x:c r="W763" s="7" t="s">
        <x:v>58</x:v>
      </x:c>
      <x:c r="X763" s="7" t="s">
        <x:v>3537</x:v>
      </x:c>
      <x:c r="Y763" s="7" t="s">
        <x:v>1245</x:v>
      </x:c>
      <x:c r="Z763" s="7" t="s">
        <x:v>1948</x:v>
      </x:c>
      <x:c r="AA763" s="7" t="s">
        <x:v>58</x:v>
      </x:c>
      <x:c r="AB763" s="8" t="s">
        <x:v>58</x:v>
      </x:c>
      <x:c r="AC763" s="8" t="s">
        <x:v>58</x:v>
      </x:c>
      <x:c r="AD763" s="8" t="s">
        <x:v>58</x:v>
      </x:c>
      <x:c r="AE763" s="8" t="s">
        <x:v>58</x:v>
      </x:c>
      <x:c r="AF763" s="8" t="s">
        <x:v>58</x:v>
      </x:c>
      <x:c r="AG763" s="7" t="s">
        <x:v>58</x:v>
      </x:c>
    </x:row>
    <x:row r="764" ht="66" hidden="0" customHeight="1">
      <x:c r="A764" s="7" t="s">
        <x:v>3548</x:v>
      </x:c>
      <x:c r="B764" s="7" t="s">
        <x:v>481</x:v>
      </x:c>
      <x:c r="C764" s="7" t="s">
        <x:v>1244</x:v>
      </x:c>
      <x:c r="D764" s="7" t="s">
        <x:v>1950</x:v>
      </x:c>
      <x:c r="E764" s="7" t="s">
        <x:v>3547</x:v>
      </x:c>
      <x:c r="F764" s="7" t="s">
        <x:v>53</x:v>
      </x:c>
      <x:c r="G764" s="8" t="s">
        <x:v>53</x:v>
      </x:c>
      <x:c r="H764" s="8" t="s">
        <x:v>58</x:v>
      </x:c>
      <x:c r="I764" s="8" t="s">
        <x:v>58</x:v>
      </x:c>
      <x:c r="J764" s="7" t="s">
        <x:v>58</x:v>
      </x:c>
      <x:c r="K764" s="8" t="n">
        <x:v>1</x:v>
      </x:c>
      <x:c r="L764" s="8" t="str">
        <x:f aca="0">IF(AND(ISNUMBER(G764),P764&lt;&gt;"Unresolved unit / layout"),G764*K764,"Not published")</x:f>
        <x:v>Not published</x:v>
      </x:c>
      <x:c r="M764" s="8" t="str">
        <x:f aca="0">IF(AND(ISNUMBER(H764),P764&lt;&gt;"Unresolved unit / layout"),H764*K764,"Not applicable")</x:f>
        <x:v>Not applicable</x:v>
      </x:c>
      <x:c r="N764" s="8" t="str">
        <x:f aca="0">IF(AND(ISNUMBER(I764),P764&lt;&gt;"Unresolved unit / layout"),I764*K764,"Not applicable")</x:f>
        <x:v>Not applicable</x:v>
      </x:c>
      <x:c r="O764" s="7" t="s">
        <x:v>53</x:v>
      </x:c>
      <x:c r="P764" s="7" t="s">
        <x:v>53</x:v>
      </x:c>
      <x:c r="Q764" s="7" t="s">
        <x:v>2064</x:v>
      </x:c>
      <x:c r="R764" s="7" t="s">
        <x:v>53</x:v>
      </x:c>
      <x:c r="S764" s="7" t="s">
        <x:v>53</x:v>
      </x:c>
      <x:c r="T764" s="7" t="s">
        <x:v>53</x:v>
      </x:c>
      <x:c r="U764" s="7" t="s">
        <x:v>53</x:v>
      </x:c>
      <x:c r="V764" s="7" t="s">
        <x:v>53</x:v>
      </x:c>
      <x:c r="W764" s="7" t="s">
        <x:v>58</x:v>
      </x:c>
      <x:c r="X764" s="7" t="s">
        <x:v>3537</x:v>
      </x:c>
      <x:c r="Y764" s="7" t="s">
        <x:v>1245</x:v>
      </x:c>
      <x:c r="Z764" s="7" t="s">
        <x:v>1952</x:v>
      </x:c>
      <x:c r="AA764" s="7" t="s">
        <x:v>58</x:v>
      </x:c>
      <x:c r="AB764" s="8" t="s">
        <x:v>58</x:v>
      </x:c>
      <x:c r="AC764" s="8" t="s">
        <x:v>58</x:v>
      </x:c>
      <x:c r="AD764" s="8" t="s">
        <x:v>58</x:v>
      </x:c>
      <x:c r="AE764" s="8" t="s">
        <x:v>58</x:v>
      </x:c>
      <x:c r="AF764" s="8" t="s">
        <x:v>58</x:v>
      </x:c>
      <x:c r="AG764" s="7" t="s">
        <x:v>58</x:v>
      </x:c>
    </x:row>
    <x:row r="765" ht="66" hidden="0" customHeight="1">
      <x:c r="A765" s="7" t="s">
        <x:v>3549</x:v>
      </x:c>
      <x:c r="B765" s="7" t="s">
        <x:v>481</x:v>
      </x:c>
      <x:c r="C765" s="7" t="s">
        <x:v>1244</x:v>
      </x:c>
      <x:c r="D765" s="7" t="s">
        <x:v>2834</x:v>
      </x:c>
      <x:c r="E765" s="7" t="s">
        <x:v>3550</x:v>
      </x:c>
      <x:c r="F765" s="7" t="s">
        <x:v>2032</x:v>
      </x:c>
      <x:c r="G765" s="8" t="n">
        <x:v>19.1</x:v>
      </x:c>
      <x:c r="H765" s="8" t="s">
        <x:v>58</x:v>
      </x:c>
      <x:c r="I765" s="8" t="s">
        <x:v>58</x:v>
      </x:c>
      <x:c r="J765" s="7" t="s">
        <x:v>1919</x:v>
      </x:c>
      <x:c r="K765" s="8" t="n">
        <x:v>1</x:v>
      </x:c>
      <x:c r="L765" s="8" t="n">
        <x:f aca="0">IF(AND(ISNUMBER(G765),P765&lt;&gt;"Unresolved unit / layout"),G765*K765,"Not applicable")</x:f>
        <x:v>19.1</x:v>
      </x:c>
      <x:c r="M765" s="8" t="str">
        <x:f aca="0">IF(AND(ISNUMBER(H765),P765&lt;&gt;"Unresolved unit / layout"),H765*K765,"Not applicable")</x:f>
        <x:v>Not applicable</x:v>
      </x:c>
      <x:c r="N765" s="8" t="str">
        <x:f aca="0">IF(AND(ISNUMBER(I765),P765&lt;&gt;"Unresolved unit / layout"),I765*K765,"Not applicable")</x:f>
        <x:v>Not applicable</x:v>
      </x:c>
      <x:c r="O765" s="7" t="s">
        <x:v>2033</x:v>
      </x:c>
      <x:c r="P765" s="7" t="s">
        <x:v>1921</x:v>
      </x:c>
      <x:c r="Q765" s="7" t="s">
        <x:v>2064</x:v>
      </x:c>
      <x:c r="R765" s="7" t="s">
        <x:v>53</x:v>
      </x:c>
      <x:c r="S765" s="7" t="s">
        <x:v>53</x:v>
      </x:c>
      <x:c r="T765" s="7" t="s">
        <x:v>53</x:v>
      </x:c>
      <x:c r="U765" s="7" t="s">
        <x:v>53</x:v>
      </x:c>
      <x:c r="V765" s="7" t="s">
        <x:v>53</x:v>
      </x:c>
      <x:c r="W765" s="7" t="s">
        <x:v>2139</x:v>
      </x:c>
      <x:c r="X765" s="7" t="s">
        <x:v>3537</x:v>
      </x:c>
      <x:c r="Y765" s="7" t="s">
        <x:v>1245</x:v>
      </x:c>
      <x:c r="Z765" s="7" t="s">
        <x:v>3551</x:v>
      </x:c>
      <x:c r="AA765" s="7" t="s">
        <x:v>58</x:v>
      </x:c>
      <x:c r="AB765" s="8" t="s">
        <x:v>58</x:v>
      </x:c>
      <x:c r="AC765" s="8" t="s">
        <x:v>58</x:v>
      </x:c>
      <x:c r="AD765" s="8" t="s">
        <x:v>58</x:v>
      </x:c>
      <x:c r="AE765" s="8" t="s">
        <x:v>58</x:v>
      </x:c>
      <x:c r="AF765" s="8" t="s">
        <x:v>58</x:v>
      </x:c>
      <x:c r="AG765" s="7" t="s">
        <x:v>58</x:v>
      </x:c>
    </x:row>
    <x:row r="766" ht="66" hidden="0" customHeight="1">
      <x:c r="A766" s="7" t="s">
        <x:v>3552</x:v>
      </x:c>
      <x:c r="B766" s="7" t="s">
        <x:v>481</x:v>
      </x:c>
      <x:c r="C766" s="7" t="s">
        <x:v>1244</x:v>
      </x:c>
      <x:c r="D766" s="7" t="s">
        <x:v>2834</x:v>
      </x:c>
      <x:c r="E766" s="7" t="s">
        <x:v>3547</x:v>
      </x:c>
      <x:c r="F766" s="7" t="s">
        <x:v>53</x:v>
      </x:c>
      <x:c r="G766" s="8" t="s">
        <x:v>53</x:v>
      </x:c>
      <x:c r="H766" s="8" t="s">
        <x:v>58</x:v>
      </x:c>
      <x:c r="I766" s="8" t="s">
        <x:v>58</x:v>
      </x:c>
      <x:c r="J766" s="7" t="s">
        <x:v>58</x:v>
      </x:c>
      <x:c r="K766" s="8" t="n">
        <x:v>1</x:v>
      </x:c>
      <x:c r="L766" s="8" t="str">
        <x:f aca="0">IF(AND(ISNUMBER(G766),P766&lt;&gt;"Unresolved unit / layout"),G766*K766,"Not published")</x:f>
        <x:v>Not published</x:v>
      </x:c>
      <x:c r="M766" s="8" t="str">
        <x:f aca="0">IF(AND(ISNUMBER(H766),P766&lt;&gt;"Unresolved unit / layout"),H766*K766,"Not applicable")</x:f>
        <x:v>Not applicable</x:v>
      </x:c>
      <x:c r="N766" s="8" t="str">
        <x:f aca="0">IF(AND(ISNUMBER(I766),P766&lt;&gt;"Unresolved unit / layout"),I766*K766,"Not applicable")</x:f>
        <x:v>Not applicable</x:v>
      </x:c>
      <x:c r="O766" s="7" t="s">
        <x:v>53</x:v>
      </x:c>
      <x:c r="P766" s="7" t="s">
        <x:v>53</x:v>
      </x:c>
      <x:c r="Q766" s="7" t="s">
        <x:v>2064</x:v>
      </x:c>
      <x:c r="R766" s="7" t="s">
        <x:v>53</x:v>
      </x:c>
      <x:c r="S766" s="7" t="s">
        <x:v>53</x:v>
      </x:c>
      <x:c r="T766" s="7" t="s">
        <x:v>53</x:v>
      </x:c>
      <x:c r="U766" s="7" t="s">
        <x:v>53</x:v>
      </x:c>
      <x:c r="V766" s="7" t="s">
        <x:v>53</x:v>
      </x:c>
      <x:c r="W766" s="7" t="s">
        <x:v>53</x:v>
      </x:c>
      <x:c r="X766" s="7" t="s">
        <x:v>3537</x:v>
      </x:c>
      <x:c r="Y766" s="7" t="s">
        <x:v>1245</x:v>
      </x:c>
      <x:c r="Z766" s="7" t="s">
        <x:v>3553</x:v>
      </x:c>
      <x:c r="AA766" s="7" t="s">
        <x:v>58</x:v>
      </x:c>
      <x:c r="AB766" s="8" t="s">
        <x:v>58</x:v>
      </x:c>
      <x:c r="AC766" s="8" t="s">
        <x:v>58</x:v>
      </x:c>
      <x:c r="AD766" s="8" t="s">
        <x:v>58</x:v>
      </x:c>
      <x:c r="AE766" s="8" t="s">
        <x:v>58</x:v>
      </x:c>
      <x:c r="AF766" s="8" t="s">
        <x:v>58</x:v>
      </x:c>
      <x:c r="AG766" s="7" t="s">
        <x:v>58</x:v>
      </x:c>
    </x:row>
    <x:row r="767" ht="66" hidden="0" customHeight="1">
      <x:c r="A767" s="7" t="s">
        <x:v>3554</x:v>
      </x:c>
      <x:c r="B767" s="7" t="s">
        <x:v>481</x:v>
      </x:c>
      <x:c r="C767" s="7" t="s">
        <x:v>1244</x:v>
      </x:c>
      <x:c r="D767" s="7" t="s">
        <x:v>2030</x:v>
      </x:c>
      <x:c r="E767" s="7" t="s">
        <x:v>3547</x:v>
      </x:c>
      <x:c r="F767" s="7" t="s">
        <x:v>53</x:v>
      </x:c>
      <x:c r="G767" s="8" t="s">
        <x:v>53</x:v>
      </x:c>
      <x:c r="H767" s="8" t="s">
        <x:v>58</x:v>
      </x:c>
      <x:c r="I767" s="8" t="s">
        <x:v>58</x:v>
      </x:c>
      <x:c r="J767" s="7" t="s">
        <x:v>58</x:v>
      </x:c>
      <x:c r="K767" s="8" t="n">
        <x:v>1</x:v>
      </x:c>
      <x:c r="L767" s="8" t="str">
        <x:f aca="0">IF(AND(ISNUMBER(G767),P767&lt;&gt;"Unresolved unit / layout"),G767*K767,"Not published")</x:f>
        <x:v>Not published</x:v>
      </x:c>
      <x:c r="M767" s="8" t="str">
        <x:f aca="0">IF(AND(ISNUMBER(H767),P767&lt;&gt;"Unresolved unit / layout"),H767*K767,"Not applicable")</x:f>
        <x:v>Not applicable</x:v>
      </x:c>
      <x:c r="N767" s="8" t="str">
        <x:f aca="0">IF(AND(ISNUMBER(I767),P767&lt;&gt;"Unresolved unit / layout"),I767*K767,"Not applicable")</x:f>
        <x:v>Not applicable</x:v>
      </x:c>
      <x:c r="O767" s="7" t="s">
        <x:v>53</x:v>
      </x:c>
      <x:c r="P767" s="7" t="s">
        <x:v>53</x:v>
      </x:c>
      <x:c r="Q767" s="7" t="s">
        <x:v>2064</x:v>
      </x:c>
      <x:c r="R767" s="7" t="s">
        <x:v>53</x:v>
      </x:c>
      <x:c r="S767" s="7" t="s">
        <x:v>53</x:v>
      </x:c>
      <x:c r="T767" s="7" t="s">
        <x:v>53</x:v>
      </x:c>
      <x:c r="U767" s="7" t="s">
        <x:v>53</x:v>
      </x:c>
      <x:c r="V767" s="7" t="s">
        <x:v>53</x:v>
      </x:c>
      <x:c r="W767" s="7" t="s">
        <x:v>53</x:v>
      </x:c>
      <x:c r="X767" s="7" t="s">
        <x:v>3537</x:v>
      </x:c>
      <x:c r="Y767" s="7" t="s">
        <x:v>1245</x:v>
      </x:c>
      <x:c r="Z767" s="7" t="s">
        <x:v>3555</x:v>
      </x:c>
      <x:c r="AA767" s="7" t="s">
        <x:v>58</x:v>
      </x:c>
      <x:c r="AB767" s="8" t="s">
        <x:v>58</x:v>
      </x:c>
      <x:c r="AC767" s="8" t="s">
        <x:v>58</x:v>
      </x:c>
      <x:c r="AD767" s="8" t="s">
        <x:v>58</x:v>
      </x:c>
      <x:c r="AE767" s="8" t="s">
        <x:v>58</x:v>
      </x:c>
      <x:c r="AF767" s="8" t="s">
        <x:v>58</x:v>
      </x:c>
      <x:c r="AG767" s="7" t="s">
        <x:v>58</x:v>
      </x:c>
    </x:row>
    <x:row r="768" ht="66" hidden="0" customHeight="1">
      <x:c r="A768" s="7" t="s">
        <x:v>3556</x:v>
      </x:c>
      <x:c r="B768" s="7" t="s">
        <x:v>481</x:v>
      </x:c>
      <x:c r="C768" s="7" t="s">
        <x:v>1244</x:v>
      </x:c>
      <x:c r="D768" s="7" t="s">
        <x:v>1959</x:v>
      </x:c>
      <x:c r="E768" s="7" t="s">
        <x:v>3020</x:v>
      </x:c>
      <x:c r="F768" s="7" t="s">
        <x:v>1956</x:v>
      </x:c>
      <x:c r="G768" s="8" t="n">
        <x:v>74</x:v>
      </x:c>
      <x:c r="H768" s="8" t="s">
        <x:v>58</x:v>
      </x:c>
      <x:c r="I768" s="8" t="s">
        <x:v>58</x:v>
      </x:c>
      <x:c r="J768" s="7" t="s">
        <x:v>1919</x:v>
      </x:c>
      <x:c r="K768" s="8" t="n">
        <x:v>1</x:v>
      </x:c>
      <x:c r="L768" s="8" t="n">
        <x:f aca="0">IF(AND(ISNUMBER(G768),P768&lt;&gt;"Unresolved unit / layout"),G768*K768,"Insufficient comparable data")</x:f>
        <x:v>74</x:v>
      </x:c>
      <x:c r="M768" s="8" t="str">
        <x:f aca="0">IF(AND(ISNUMBER(H768),P768&lt;&gt;"Unresolved unit / layout"),H768*K768,"Not applicable")</x:f>
        <x:v>Not applicable</x:v>
      </x:c>
      <x:c r="N768" s="8" t="str">
        <x:f aca="0">IF(AND(ISNUMBER(I768),P768&lt;&gt;"Unresolved unit / layout"),I768*K768,"Not applicable")</x:f>
        <x:v>Not applicable</x:v>
      </x:c>
      <x:c r="O768" s="7" t="s">
        <x:v>1956</x:v>
      </x:c>
      <x:c r="P768" s="7" t="s">
        <x:v>2732</x:v>
      </x:c>
      <x:c r="Q768" s="7" t="s">
        <x:v>2064</x:v>
      </x:c>
      <x:c r="R768" s="7" t="s">
        <x:v>58</x:v>
      </x:c>
      <x:c r="S768" s="7" t="s">
        <x:v>53</x:v>
      </x:c>
      <x:c r="T768" s="7" t="s">
        <x:v>53</x:v>
      </x:c>
      <x:c r="U768" s="7" t="s">
        <x:v>53</x:v>
      </x:c>
      <x:c r="V768" s="7" t="s">
        <x:v>3557</x:v>
      </x:c>
      <x:c r="W768" s="7" t="s">
        <x:v>58</x:v>
      </x:c>
      <x:c r="X768" s="7" t="s">
        <x:v>3537</x:v>
      </x:c>
      <x:c r="Y768" s="7" t="s">
        <x:v>1245</x:v>
      </x:c>
      <x:c r="Z768" s="7" t="s">
        <x:v>3558</x:v>
      </x:c>
      <x:c r="AA768" s="7" t="s">
        <x:v>3559</x:v>
      </x:c>
      <x:c r="AB768" s="8" t="s">
        <x:v>58</x:v>
      </x:c>
      <x:c r="AC768" s="8" t="s">
        <x:v>58</x:v>
      </x:c>
      <x:c r="AD768" s="8" t="s">
        <x:v>58</x:v>
      </x:c>
      <x:c r="AE768" s="8" t="s">
        <x:v>58</x:v>
      </x:c>
      <x:c r="AF768" s="8" t="s">
        <x:v>58</x:v>
      </x:c>
      <x:c r="AG768" s="7" t="s">
        <x:v>58</x:v>
      </x:c>
    </x:row>
    <x:row r="769" ht="66" hidden="0" customHeight="1">
      <x:c r="A769" s="7" t="s">
        <x:v>3560</x:v>
      </x:c>
      <x:c r="B769" s="7" t="s">
        <x:v>481</x:v>
      </x:c>
      <x:c r="C769" s="7" t="s">
        <x:v>1244</x:v>
      </x:c>
      <x:c r="D769" s="7" t="s">
        <x:v>1959</x:v>
      </x:c>
      <x:c r="E769" s="7" t="s">
        <x:v>3561</x:v>
      </x:c>
      <x:c r="F769" s="7" t="s">
        <x:v>1956</x:v>
      </x:c>
      <x:c r="G769" s="8" t="n">
        <x:v>49</x:v>
      </x:c>
      <x:c r="H769" s="8" t="s">
        <x:v>58</x:v>
      </x:c>
      <x:c r="I769" s="8" t="s">
        <x:v>58</x:v>
      </x:c>
      <x:c r="J769" s="7" t="s">
        <x:v>1919</x:v>
      </x:c>
      <x:c r="K769" s="8" t="n">
        <x:v>1</x:v>
      </x:c>
      <x:c r="L769" s="8" t="n">
        <x:f aca="0">IF(AND(ISNUMBER(G769),P769&lt;&gt;"Unresolved unit / layout"),G769*K769,"Insufficient comparable data")</x:f>
        <x:v>49</x:v>
      </x:c>
      <x:c r="M769" s="8" t="str">
        <x:f aca="0">IF(AND(ISNUMBER(H769),P769&lt;&gt;"Unresolved unit / layout"),H769*K769,"Not applicable")</x:f>
        <x:v>Not applicable</x:v>
      </x:c>
      <x:c r="N769" s="8" t="str">
        <x:f aca="0">IF(AND(ISNUMBER(I769),P769&lt;&gt;"Unresolved unit / layout"),I769*K769,"Not applicable")</x:f>
        <x:v>Not applicable</x:v>
      </x:c>
      <x:c r="O769" s="7" t="s">
        <x:v>1956</x:v>
      </x:c>
      <x:c r="P769" s="7" t="s">
        <x:v>2732</x:v>
      </x:c>
      <x:c r="Q769" s="7" t="s">
        <x:v>2064</x:v>
      </x:c>
      <x:c r="R769" s="7" t="s">
        <x:v>58</x:v>
      </x:c>
      <x:c r="S769" s="7" t="s">
        <x:v>53</x:v>
      </x:c>
      <x:c r="T769" s="7" t="s">
        <x:v>53</x:v>
      </x:c>
      <x:c r="U769" s="7" t="s">
        <x:v>53</x:v>
      </x:c>
      <x:c r="V769" s="7" t="s">
        <x:v>3562</x:v>
      </x:c>
      <x:c r="W769" s="7" t="s">
        <x:v>58</x:v>
      </x:c>
      <x:c r="X769" s="7" t="s">
        <x:v>3537</x:v>
      </x:c>
      <x:c r="Y769" s="7" t="s">
        <x:v>1245</x:v>
      </x:c>
      <x:c r="Z769" s="7" t="s">
        <x:v>3558</x:v>
      </x:c>
      <x:c r="AA769" s="7" t="s">
        <x:v>3563</x:v>
      </x:c>
      <x:c r="AB769" s="8" t="s">
        <x:v>58</x:v>
      </x:c>
      <x:c r="AC769" s="8" t="s">
        <x:v>58</x:v>
      </x:c>
      <x:c r="AD769" s="8" t="s">
        <x:v>58</x:v>
      </x:c>
      <x:c r="AE769" s="8" t="s">
        <x:v>58</x:v>
      </x:c>
      <x:c r="AF769" s="8" t="s">
        <x:v>58</x:v>
      </x:c>
      <x:c r="AG769" s="7" t="s">
        <x:v>58</x:v>
      </x:c>
    </x:row>
    <x:row r="770" ht="66" hidden="0" customHeight="1">
      <x:c r="A770" s="7" t="s">
        <x:v>3564</x:v>
      </x:c>
      <x:c r="B770" s="7" t="s">
        <x:v>481</x:v>
      </x:c>
      <x:c r="C770" s="7" t="s">
        <x:v>1244</x:v>
      </x:c>
      <x:c r="D770" s="7" t="s">
        <x:v>2099</x:v>
      </x:c>
      <x:c r="E770" s="7" t="s">
        <x:v>3565</x:v>
      </x:c>
      <x:c r="F770" s="7" t="s">
        <x:v>1942</x:v>
      </x:c>
      <x:c r="G770" s="8" t="n">
        <x:v>0.18</x:v>
      </x:c>
      <x:c r="H770" s="8" t="s">
        <x:v>58</x:v>
      </x:c>
      <x:c r="I770" s="8" t="s">
        <x:v>58</x:v>
      </x:c>
      <x:c r="J770" s="7" t="s">
        <x:v>1919</x:v>
      </x:c>
      <x:c r="K770" s="8" t="n">
        <x:v>1</x:v>
      </x:c>
      <x:c r="L770" s="8" t="n">
        <x:f aca="0">IF(AND(ISNUMBER(G770),P770&lt;&gt;"Unresolved unit / layout"),G770*K770,"Not applicable")</x:f>
        <x:v>0.18</x:v>
      </x:c>
      <x:c r="M770" s="8" t="str">
        <x:f aca="0">IF(AND(ISNUMBER(H770),P770&lt;&gt;"Unresolved unit / layout"),H770*K770,"Not applicable")</x:f>
        <x:v>Not applicable</x:v>
      </x:c>
      <x:c r="N770" s="8" t="str">
        <x:f aca="0">IF(AND(ISNUMBER(I770),P770&lt;&gt;"Unresolved unit / layout"),I770*K770,"Not applicable")</x:f>
        <x:v>Not applicable</x:v>
      </x:c>
      <x:c r="O770" s="7" t="s">
        <x:v>1942</x:v>
      </x:c>
      <x:c r="P770" s="7" t="s">
        <x:v>1921</x:v>
      </x:c>
      <x:c r="Q770" s="7" t="s">
        <x:v>2064</x:v>
      </x:c>
      <x:c r="R770" s="7" t="s">
        <x:v>58</x:v>
      </x:c>
      <x:c r="S770" s="7" t="s">
        <x:v>53</x:v>
      </x:c>
      <x:c r="T770" s="7" t="s">
        <x:v>53</x:v>
      </x:c>
      <x:c r="U770" s="7" t="s">
        <x:v>53</x:v>
      </x:c>
      <x:c r="V770" s="7" t="s">
        <x:v>3566</x:v>
      </x:c>
      <x:c r="W770" s="7" t="s">
        <x:v>58</x:v>
      </x:c>
      <x:c r="X770" s="7" t="s">
        <x:v>3537</x:v>
      </x:c>
      <x:c r="Y770" s="7" t="s">
        <x:v>1245</x:v>
      </x:c>
      <x:c r="Z770" s="7" t="s">
        <x:v>3567</x:v>
      </x:c>
      <x:c r="AA770" s="7" t="s">
        <x:v>58</x:v>
      </x:c>
      <x:c r="AB770" s="8" t="s">
        <x:v>58</x:v>
      </x:c>
      <x:c r="AC770" s="8" t="s">
        <x:v>58</x:v>
      </x:c>
      <x:c r="AD770" s="8" t="s">
        <x:v>58</x:v>
      </x:c>
      <x:c r="AE770" s="8" t="s">
        <x:v>58</x:v>
      </x:c>
      <x:c r="AF770" s="8" t="s">
        <x:v>58</x:v>
      </x:c>
      <x:c r="AG770" s="7" t="s">
        <x:v>58</x:v>
      </x:c>
    </x:row>
    <x:row r="771" ht="79.5" hidden="0" customHeight="1">
      <x:c r="A771" s="7" t="s">
        <x:v>3568</x:v>
      </x:c>
      <x:c r="B771" s="7" t="s">
        <x:v>495</x:v>
      </x:c>
      <x:c r="C771" s="7" t="s">
        <x:v>497</x:v>
      </x:c>
      <x:c r="D771" s="7" t="s">
        <x:v>1916</x:v>
      </x:c>
      <x:c r="E771" s="7" t="s">
        <x:v>2448</x:v>
      </x:c>
      <x:c r="F771" s="7" t="s">
        <x:v>2076</x:v>
      </x:c>
      <x:c r="G771" s="8" t="n">
        <x:v>1.26</x:v>
      </x:c>
      <x:c r="H771" s="8" t="s">
        <x:v>58</x:v>
      </x:c>
      <x:c r="I771" s="8" t="s">
        <x:v>58</x:v>
      </x:c>
      <x:c r="J771" s="7" t="s">
        <x:v>1919</x:v>
      </x:c>
      <x:c r="K771" s="8" t="n">
        <x:v>1000</x:v>
      </x:c>
      <x:c r="L771" s="8" t="n">
        <x:f aca="0">IF(AND(ISNUMBER(G771),P771&lt;&gt;"Unresolved unit / layout"),G771*K771,"Not applicable")</x:f>
        <x:v>1260</x:v>
      </x:c>
      <x:c r="M771" s="8" t="str">
        <x:f aca="0">IF(AND(ISNUMBER(H771),P771&lt;&gt;"Unresolved unit / layout"),H771*K771,"Not applicable")</x:f>
        <x:v>Not applicable</x:v>
      </x:c>
      <x:c r="N771" s="8" t="str">
        <x:f aca="0">IF(AND(ISNUMBER(I771),P771&lt;&gt;"Unresolved unit / layout"),I771*K771,"Not applicable")</x:f>
        <x:v>Not applicable</x:v>
      </x:c>
      <x:c r="O771" s="7" t="s">
        <x:v>1920</x:v>
      </x:c>
      <x:c r="P771" s="7" t="s">
        <x:v>1921</x:v>
      </x:c>
      <x:c r="Q771" s="7" t="s">
        <x:v>1922</x:v>
      </x:c>
      <x:c r="R771" s="7" t="s">
        <x:v>58</x:v>
      </x:c>
      <x:c r="S771" s="7" t="s">
        <x:v>53</x:v>
      </x:c>
      <x:c r="T771" s="7" t="s">
        <x:v>53</x:v>
      </x:c>
      <x:c r="U771" s="7" t="s">
        <x:v>53</x:v>
      </x:c>
      <x:c r="V771" s="7" t="s">
        <x:v>1923</x:v>
      </x:c>
      <x:c r="W771" s="7" t="s">
        <x:v>58</x:v>
      </x:c>
      <x:c r="X771" s="7" t="s">
        <x:v>3569</x:v>
      </x:c>
      <x:c r="Y771" s="7" t="s">
        <x:v>1246</x:v>
      </x:c>
      <x:c r="Z771" s="7" t="s">
        <x:v>1968</x:v>
      </x:c>
      <x:c r="AA771" s="7" t="s">
        <x:v>58</x:v>
      </x:c>
      <x:c r="AB771" s="8" t="s">
        <x:v>58</x:v>
      </x:c>
      <x:c r="AC771" s="8" t="s">
        <x:v>58</x:v>
      </x:c>
      <x:c r="AD771" s="8" t="s">
        <x:v>58</x:v>
      </x:c>
      <x:c r="AE771" s="8" t="s">
        <x:v>58</x:v>
      </x:c>
      <x:c r="AF771" s="8" t="s">
        <x:v>58</x:v>
      </x:c>
      <x:c r="AG771" s="7" t="s">
        <x:v>58</x:v>
      </x:c>
    </x:row>
    <x:row r="772" ht="79.5" hidden="0" customHeight="1">
      <x:c r="A772" s="7" t="s">
        <x:v>3570</x:v>
      </x:c>
      <x:c r="B772" s="7" t="s">
        <x:v>495</x:v>
      </x:c>
      <x:c r="C772" s="7" t="s">
        <x:v>497</x:v>
      </x:c>
      <x:c r="D772" s="7" t="s">
        <x:v>1974</x:v>
      </x:c>
      <x:c r="E772" s="7" t="s">
        <x:v>3571</x:v>
      </x:c>
      <x:c r="F772" s="7" t="s">
        <x:v>1956</x:v>
      </x:c>
      <x:c r="G772" s="8" t="n">
        <x:v>183</x:v>
      </x:c>
      <x:c r="H772" s="8" t="s">
        <x:v>58</x:v>
      </x:c>
      <x:c r="I772" s="8" t="s">
        <x:v>58</x:v>
      </x:c>
      <x:c r="J772" s="7" t="s">
        <x:v>1919</x:v>
      </x:c>
      <x:c r="K772" s="8" t="n">
        <x:v>1</x:v>
      </x:c>
      <x:c r="L772" s="8" t="n">
        <x:f aca="0">IF(AND(ISNUMBER(G772),P772&lt;&gt;"Unresolved unit / layout"),G772*K772,"Not applicable")</x:f>
        <x:v>183</x:v>
      </x:c>
      <x:c r="M772" s="8" t="str">
        <x:f aca="0">IF(AND(ISNUMBER(H772),P772&lt;&gt;"Unresolved unit / layout"),H772*K772,"Not applicable")</x:f>
        <x:v>Not applicable</x:v>
      </x:c>
      <x:c r="N772" s="8" t="str">
        <x:f aca="0">IF(AND(ISNUMBER(I772),P772&lt;&gt;"Unresolved unit / layout"),I772*K772,"Not applicable")</x:f>
        <x:v>Not applicable</x:v>
      </x:c>
      <x:c r="O772" s="7" t="s">
        <x:v>1956</x:v>
      </x:c>
      <x:c r="P772" s="7" t="s">
        <x:v>1921</x:v>
      </x:c>
      <x:c r="Q772" s="7" t="s">
        <x:v>2064</x:v>
      </x:c>
      <x:c r="R772" s="7" t="s">
        <x:v>58</x:v>
      </x:c>
      <x:c r="S772" s="7" t="s">
        <x:v>53</x:v>
      </x:c>
      <x:c r="T772" s="7" t="s">
        <x:v>53</x:v>
      </x:c>
      <x:c r="U772" s="7" t="s">
        <x:v>53</x:v>
      </x:c>
      <x:c r="V772" s="7" t="s">
        <x:v>2082</x:v>
      </x:c>
      <x:c r="W772" s="7" t="s">
        <x:v>58</x:v>
      </x:c>
      <x:c r="X772" s="7" t="s">
        <x:v>3569</x:v>
      </x:c>
      <x:c r="Y772" s="7" t="s">
        <x:v>1246</x:v>
      </x:c>
      <x:c r="Z772" s="7" t="s">
        <x:v>2083</x:v>
      </x:c>
      <x:c r="AA772" s="7" t="s">
        <x:v>58</x:v>
      </x:c>
      <x:c r="AB772" s="8" t="s">
        <x:v>58</x:v>
      </x:c>
      <x:c r="AC772" s="8" t="s">
        <x:v>58</x:v>
      </x:c>
      <x:c r="AD772" s="8" t="s">
        <x:v>58</x:v>
      </x:c>
      <x:c r="AE772" s="8" t="s">
        <x:v>58</x:v>
      </x:c>
      <x:c r="AF772" s="8" t="s">
        <x:v>58</x:v>
      </x:c>
      <x:c r="AG772" s="7" t="s">
        <x:v>58</x:v>
      </x:c>
    </x:row>
    <x:row r="773" ht="79.5" hidden="0" customHeight="1">
      <x:c r="A773" s="7" t="s">
        <x:v>3572</x:v>
      </x:c>
      <x:c r="B773" s="7" t="s">
        <x:v>495</x:v>
      </x:c>
      <x:c r="C773" s="7" t="s">
        <x:v>497</x:v>
      </x:c>
      <x:c r="D773" s="7" t="s">
        <x:v>1954</x:v>
      </x:c>
      <x:c r="E773" s="7" t="s">
        <x:v>1995</x:v>
      </x:c>
      <x:c r="F773" s="7" t="s">
        <x:v>1956</x:v>
      </x:c>
      <x:c r="G773" s="8" t="s">
        <x:v>53</x:v>
      </x:c>
      <x:c r="H773" s="8" t="s">
        <x:v>58</x:v>
      </x:c>
      <x:c r="I773" s="8" t="s">
        <x:v>58</x:v>
      </x:c>
      <x:c r="J773" s="7" t="s">
        <x:v>58</x:v>
      </x:c>
      <x:c r="K773" s="8" t="n">
        <x:v>1</x:v>
      </x:c>
      <x:c r="L773" s="8" t="str">
        <x:f aca="0">IF(AND(ISNUMBER(G773),P773&lt;&gt;"Unresolved unit / layout"),G773*K773,"Not published")</x:f>
        <x:v>Not published</x:v>
      </x:c>
      <x:c r="M773" s="8" t="str">
        <x:f aca="0">IF(AND(ISNUMBER(H773),P773&lt;&gt;"Unresolved unit / layout"),H773*K773,"Not applicable")</x:f>
        <x:v>Not applicable</x:v>
      </x:c>
      <x:c r="N773" s="8" t="str">
        <x:f aca="0">IF(AND(ISNUMBER(I773),P773&lt;&gt;"Unresolved unit / layout"),I773*K773,"Not applicable")</x:f>
        <x:v>Not applicable</x:v>
      </x:c>
      <x:c r="O773" s="7" t="s">
        <x:v>1956</x:v>
      </x:c>
      <x:c r="P773" s="7" t="s">
        <x:v>53</x:v>
      </x:c>
      <x:c r="Q773" s="7" t="s">
        <x:v>2064</x:v>
      </x:c>
      <x:c r="R773" s="7" t="s">
        <x:v>58</x:v>
      </x:c>
      <x:c r="S773" s="7" t="s">
        <x:v>53</x:v>
      </x:c>
      <x:c r="T773" s="7" t="s">
        <x:v>53</x:v>
      </x:c>
      <x:c r="U773" s="7" t="s">
        <x:v>53</x:v>
      </x:c>
      <x:c r="V773" s="7" t="s">
        <x:v>3140</x:v>
      </x:c>
      <x:c r="W773" s="7" t="s">
        <x:v>58</x:v>
      </x:c>
      <x:c r="X773" s="7" t="s">
        <x:v>3569</x:v>
      </x:c>
      <x:c r="Y773" s="7" t="s">
        <x:v>1246</x:v>
      </x:c>
      <x:c r="Z773" s="7" t="s">
        <x:v>3141</x:v>
      </x:c>
      <x:c r="AA773" s="7" t="s">
        <x:v>58</x:v>
      </x:c>
      <x:c r="AB773" s="8" t="s">
        <x:v>58</x:v>
      </x:c>
      <x:c r="AC773" s="8" t="s">
        <x:v>58</x:v>
      </x:c>
      <x:c r="AD773" s="8" t="s">
        <x:v>58</x:v>
      </x:c>
      <x:c r="AE773" s="8" t="s">
        <x:v>58</x:v>
      </x:c>
      <x:c r="AF773" s="8" t="s">
        <x:v>58</x:v>
      </x:c>
      <x:c r="AG773" s="7" t="s">
        <x:v>58</x:v>
      </x:c>
    </x:row>
    <x:row r="774" ht="79.5" hidden="0" customHeight="1">
      <x:c r="A774" s="7" t="s">
        <x:v>3573</x:v>
      </x:c>
      <x:c r="B774" s="7" t="s">
        <x:v>495</x:v>
      </x:c>
      <x:c r="C774" s="7" t="s">
        <x:v>497</x:v>
      </x:c>
      <x:c r="D774" s="7" t="s">
        <x:v>1978</x:v>
      </x:c>
      <x:c r="E774" s="7" t="s">
        <x:v>1995</x:v>
      </x:c>
      <x:c r="F774" s="7" t="s">
        <x:v>1956</x:v>
      </x:c>
      <x:c r="G774" s="8" t="s">
        <x:v>53</x:v>
      </x:c>
      <x:c r="H774" s="8" t="s">
        <x:v>58</x:v>
      </x:c>
      <x:c r="I774" s="8" t="s">
        <x:v>58</x:v>
      </x:c>
      <x:c r="J774" s="7" t="s">
        <x:v>58</x:v>
      </x:c>
      <x:c r="K774" s="8" t="n">
        <x:v>1</x:v>
      </x:c>
      <x:c r="L774" s="8" t="str">
        <x:f aca="0">IF(AND(ISNUMBER(G774),P774&lt;&gt;"Unresolved unit / layout"),G774*K774,"Not published")</x:f>
        <x:v>Not published</x:v>
      </x:c>
      <x:c r="M774" s="8" t="str">
        <x:f aca="0">IF(AND(ISNUMBER(H774),P774&lt;&gt;"Unresolved unit / layout"),H774*K774,"Not applicable")</x:f>
        <x:v>Not applicable</x:v>
      </x:c>
      <x:c r="N774" s="8" t="str">
        <x:f aca="0">IF(AND(ISNUMBER(I774),P774&lt;&gt;"Unresolved unit / layout"),I774*K774,"Not applicable")</x:f>
        <x:v>Not applicable</x:v>
      </x:c>
      <x:c r="O774" s="7" t="s">
        <x:v>1956</x:v>
      </x:c>
      <x:c r="P774" s="7" t="s">
        <x:v>53</x:v>
      </x:c>
      <x:c r="Q774" s="7" t="s">
        <x:v>2064</x:v>
      </x:c>
      <x:c r="R774" s="7" t="s">
        <x:v>58</x:v>
      </x:c>
      <x:c r="S774" s="7" t="s">
        <x:v>53</x:v>
      </x:c>
      <x:c r="T774" s="7" t="s">
        <x:v>53</x:v>
      </x:c>
      <x:c r="U774" s="7" t="s">
        <x:v>53</x:v>
      </x:c>
      <x:c r="V774" s="7" t="s">
        <x:v>2082</x:v>
      </x:c>
      <x:c r="W774" s="7" t="s">
        <x:v>58</x:v>
      </x:c>
      <x:c r="X774" s="7" t="s">
        <x:v>3569</x:v>
      </x:c>
      <x:c r="Y774" s="7" t="s">
        <x:v>1246</x:v>
      </x:c>
      <x:c r="Z774" s="7" t="s">
        <x:v>2188</x:v>
      </x:c>
      <x:c r="AA774" s="7" t="s">
        <x:v>58</x:v>
      </x:c>
      <x:c r="AB774" s="8" t="s">
        <x:v>58</x:v>
      </x:c>
      <x:c r="AC774" s="8" t="s">
        <x:v>58</x:v>
      </x:c>
      <x:c r="AD774" s="8" t="s">
        <x:v>58</x:v>
      </x:c>
      <x:c r="AE774" s="8" t="s">
        <x:v>58</x:v>
      </x:c>
      <x:c r="AF774" s="8" t="s">
        <x:v>58</x:v>
      </x:c>
      <x:c r="AG774" s="7" t="s">
        <x:v>58</x:v>
      </x:c>
    </x:row>
    <x:row r="775" ht="79.5" hidden="0" customHeight="1">
      <x:c r="A775" s="7" t="s">
        <x:v>3574</x:v>
      </x:c>
      <x:c r="B775" s="7" t="s">
        <x:v>495</x:v>
      </x:c>
      <x:c r="C775" s="7" t="s">
        <x:v>497</x:v>
      </x:c>
      <x:c r="D775" s="7" t="s">
        <x:v>1982</x:v>
      </x:c>
      <x:c r="E775" s="7" t="s">
        <x:v>1995</x:v>
      </x:c>
      <x:c r="F775" s="7" t="s">
        <x:v>1956</x:v>
      </x:c>
      <x:c r="G775" s="8" t="s">
        <x:v>53</x:v>
      </x:c>
      <x:c r="H775" s="8" t="s">
        <x:v>58</x:v>
      </x:c>
      <x:c r="I775" s="8" t="s">
        <x:v>58</x:v>
      </x:c>
      <x:c r="J775" s="7" t="s">
        <x:v>58</x:v>
      </x:c>
      <x:c r="K775" s="8" t="n">
        <x:v>1</x:v>
      </x:c>
      <x:c r="L775" s="8" t="str">
        <x:f aca="0">IF(AND(ISNUMBER(G775),P775&lt;&gt;"Unresolved unit / layout"),G775*K775,"Not published")</x:f>
        <x:v>Not published</x:v>
      </x:c>
      <x:c r="M775" s="8" t="str">
        <x:f aca="0">IF(AND(ISNUMBER(H775),P775&lt;&gt;"Unresolved unit / layout"),H775*K775,"Not applicable")</x:f>
        <x:v>Not applicable</x:v>
      </x:c>
      <x:c r="N775" s="8" t="str">
        <x:f aca="0">IF(AND(ISNUMBER(I775),P775&lt;&gt;"Unresolved unit / layout"),I775*K775,"Not applicable")</x:f>
        <x:v>Not applicable</x:v>
      </x:c>
      <x:c r="O775" s="7" t="s">
        <x:v>1956</x:v>
      </x:c>
      <x:c r="P775" s="7" t="s">
        <x:v>53</x:v>
      </x:c>
      <x:c r="Q775" s="7" t="s">
        <x:v>2064</x:v>
      </x:c>
      <x:c r="R775" s="7" t="s">
        <x:v>58</x:v>
      </x:c>
      <x:c r="S775" s="7" t="s">
        <x:v>53</x:v>
      </x:c>
      <x:c r="T775" s="7" t="s">
        <x:v>53</x:v>
      </x:c>
      <x:c r="U775" s="7" t="s">
        <x:v>53</x:v>
      </x:c>
      <x:c r="V775" s="7" t="s">
        <x:v>2088</x:v>
      </x:c>
      <x:c r="W775" s="7" t="s">
        <x:v>58</x:v>
      </x:c>
      <x:c r="X775" s="7" t="s">
        <x:v>3569</x:v>
      </x:c>
      <x:c r="Y775" s="7" t="s">
        <x:v>1246</x:v>
      </x:c>
      <x:c r="Z775" s="7" t="s">
        <x:v>3575</x:v>
      </x:c>
      <x:c r="AA775" s="7" t="s">
        <x:v>58</x:v>
      </x:c>
      <x:c r="AB775" s="8" t="s">
        <x:v>58</x:v>
      </x:c>
      <x:c r="AC775" s="8" t="s">
        <x:v>58</x:v>
      </x:c>
      <x:c r="AD775" s="8" t="s">
        <x:v>58</x:v>
      </x:c>
      <x:c r="AE775" s="8" t="s">
        <x:v>58</x:v>
      </x:c>
      <x:c r="AF775" s="8" t="s">
        <x:v>58</x:v>
      </x:c>
      <x:c r="AG775" s="7" t="s">
        <x:v>58</x:v>
      </x:c>
    </x:row>
    <x:row r="776" ht="79.5" hidden="0" customHeight="1">
      <x:c r="A776" s="7" t="s">
        <x:v>3576</x:v>
      </x:c>
      <x:c r="B776" s="7" t="s">
        <x:v>495</x:v>
      </x:c>
      <x:c r="C776" s="7" t="s">
        <x:v>497</x:v>
      </x:c>
      <x:c r="D776" s="7" t="s">
        <x:v>1959</x:v>
      </x:c>
      <x:c r="E776" s="7" t="s">
        <x:v>1995</x:v>
      </x:c>
      <x:c r="F776" s="7" t="s">
        <x:v>1956</x:v>
      </x:c>
      <x:c r="G776" s="8" t="s">
        <x:v>53</x:v>
      </x:c>
      <x:c r="H776" s="8" t="s">
        <x:v>58</x:v>
      </x:c>
      <x:c r="I776" s="8" t="s">
        <x:v>58</x:v>
      </x:c>
      <x:c r="J776" s="7" t="s">
        <x:v>58</x:v>
      </x:c>
      <x:c r="K776" s="8" t="n">
        <x:v>1</x:v>
      </x:c>
      <x:c r="L776" s="8" t="str">
        <x:f aca="0">IF(AND(ISNUMBER(G776),P776&lt;&gt;"Unresolved unit / layout"),G776*K776,"Not published")</x:f>
        <x:v>Not published</x:v>
      </x:c>
      <x:c r="M776" s="8" t="str">
        <x:f aca="0">IF(AND(ISNUMBER(H776),P776&lt;&gt;"Unresolved unit / layout"),H776*K776,"Not applicable")</x:f>
        <x:v>Not applicable</x:v>
      </x:c>
      <x:c r="N776" s="8" t="str">
        <x:f aca="0">IF(AND(ISNUMBER(I776),P776&lt;&gt;"Unresolved unit / layout"),I776*K776,"Not applicable")</x:f>
        <x:v>Not applicable</x:v>
      </x:c>
      <x:c r="O776" s="7" t="s">
        <x:v>1956</x:v>
      </x:c>
      <x:c r="P776" s="7" t="s">
        <x:v>53</x:v>
      </x:c>
      <x:c r="Q776" s="7" t="s">
        <x:v>2064</x:v>
      </x:c>
      <x:c r="R776" s="7" t="s">
        <x:v>58</x:v>
      </x:c>
      <x:c r="S776" s="7" t="s">
        <x:v>53</x:v>
      </x:c>
      <x:c r="T776" s="7" t="s">
        <x:v>53</x:v>
      </x:c>
      <x:c r="U776" s="7" t="s">
        <x:v>53</x:v>
      </x:c>
      <x:c r="V776" s="7" t="s">
        <x:v>3577</x:v>
      </x:c>
      <x:c r="W776" s="7" t="s">
        <x:v>58</x:v>
      </x:c>
      <x:c r="X776" s="7" t="s">
        <x:v>3569</x:v>
      </x:c>
      <x:c r="Y776" s="7" t="s">
        <x:v>1246</x:v>
      </x:c>
      <x:c r="Z776" s="7" t="s">
        <x:v>3578</x:v>
      </x:c>
      <x:c r="AA776" s="7" t="s">
        <x:v>3090</x:v>
      </x:c>
      <x:c r="AB776" s="8" t="s">
        <x:v>58</x:v>
      </x:c>
      <x:c r="AC776" s="8" t="s">
        <x:v>58</x:v>
      </x:c>
      <x:c r="AD776" s="8" t="s">
        <x:v>58</x:v>
      </x:c>
      <x:c r="AE776" s="8" t="s">
        <x:v>58</x:v>
      </x:c>
      <x:c r="AF776" s="8" t="s">
        <x:v>58</x:v>
      </x:c>
      <x:c r="AG776" s="7" t="s">
        <x:v>58</x:v>
      </x:c>
    </x:row>
    <x:row r="777" ht="79.5" hidden="0" customHeight="1">
      <x:c r="A777" s="7" t="s">
        <x:v>3579</x:v>
      </x:c>
      <x:c r="B777" s="7" t="s">
        <x:v>495</x:v>
      </x:c>
      <x:c r="C777" s="7" t="s">
        <x:v>497</x:v>
      </x:c>
      <x:c r="D777" s="7" t="s">
        <x:v>2099</x:v>
      </x:c>
      <x:c r="E777" s="7" t="s">
        <x:v>3580</x:v>
      </x:c>
      <x:c r="F777" s="7" t="s">
        <x:v>1942</x:v>
      </x:c>
      <x:c r="G777" s="8" t="n">
        <x:v>1.2</x:v>
      </x:c>
      <x:c r="H777" s="8" t="s">
        <x:v>58</x:v>
      </x:c>
      <x:c r="I777" s="8" t="s">
        <x:v>58</x:v>
      </x:c>
      <x:c r="J777" s="7" t="s">
        <x:v>1919</x:v>
      </x:c>
      <x:c r="K777" s="8" t="n">
        <x:v>1</x:v>
      </x:c>
      <x:c r="L777" s="8" t="n">
        <x:f aca="0">IF(AND(ISNUMBER(G777),P777&lt;&gt;"Unresolved unit / layout"),G777*K777,"Not applicable")</x:f>
        <x:v>1.2</x:v>
      </x:c>
      <x:c r="M777" s="8" t="str">
        <x:f aca="0">IF(AND(ISNUMBER(H777),P777&lt;&gt;"Unresolved unit / layout"),H777*K777,"Not applicable")</x:f>
        <x:v>Not applicable</x:v>
      </x:c>
      <x:c r="N777" s="8" t="str">
        <x:f aca="0">IF(AND(ISNUMBER(I777),P777&lt;&gt;"Unresolved unit / layout"),I777*K777,"Not applicable")</x:f>
        <x:v>Not applicable</x:v>
      </x:c>
      <x:c r="O777" s="7" t="s">
        <x:v>1942</x:v>
      </x:c>
      <x:c r="P777" s="7" t="s">
        <x:v>1921</x:v>
      </x:c>
      <x:c r="Q777" s="7" t="s">
        <x:v>2064</x:v>
      </x:c>
      <x:c r="R777" s="7" t="s">
        <x:v>58</x:v>
      </x:c>
      <x:c r="S777" s="7" t="s">
        <x:v>53</x:v>
      </x:c>
      <x:c r="T777" s="7" t="s">
        <x:v>53</x:v>
      </x:c>
      <x:c r="U777" s="7" t="s">
        <x:v>53</x:v>
      </x:c>
      <x:c r="V777" s="7" t="s">
        <x:v>2238</x:v>
      </x:c>
      <x:c r="W777" s="7" t="s">
        <x:v>58</x:v>
      </x:c>
      <x:c r="X777" s="7" t="s">
        <x:v>3569</x:v>
      </x:c>
      <x:c r="Y777" s="7" t="s">
        <x:v>1246</x:v>
      </x:c>
      <x:c r="Z777" s="7" t="s">
        <x:v>2239</x:v>
      </x:c>
      <x:c r="AA777" s="7" t="s">
        <x:v>58</x:v>
      </x:c>
      <x:c r="AB777" s="8" t="s">
        <x:v>58</x:v>
      </x:c>
      <x:c r="AC777" s="8" t="s">
        <x:v>58</x:v>
      </x:c>
      <x:c r="AD777" s="8" t="s">
        <x:v>58</x:v>
      </x:c>
      <x:c r="AE777" s="8" t="s">
        <x:v>58</x:v>
      </x:c>
      <x:c r="AF777" s="8" t="s">
        <x:v>58</x:v>
      </x:c>
      <x:c r="AG777" s="7" t="s">
        <x:v>58</x:v>
      </x:c>
    </x:row>
    <x:row r="778" ht="79.5" hidden="0" customHeight="1">
      <x:c r="A778" s="7" t="s">
        <x:v>3581</x:v>
      </x:c>
      <x:c r="B778" s="7" t="s">
        <x:v>495</x:v>
      </x:c>
      <x:c r="C778" s="7" t="s">
        <x:v>497</x:v>
      </x:c>
      <x:c r="D778" s="7" t="s">
        <x:v>1935</x:v>
      </x:c>
      <x:c r="E778" s="7" t="s">
        <x:v>3582</x:v>
      </x:c>
      <x:c r="F778" s="7" t="s">
        <x:v>1929</x:v>
      </x:c>
      <x:c r="G778" s="8" t="n">
        <x:v>1190</x:v>
      </x:c>
      <x:c r="H778" s="8" t="n">
        <x:v>0.4</x:v>
      </x:c>
      <x:c r="I778" s="8" t="s">
        <x:v>58</x:v>
      </x:c>
      <x:c r="J778" s="7" t="s">
        <x:v>1919</x:v>
      </x:c>
      <x:c r="K778" s="8" t="n">
        <x:v>0.001</x:v>
      </x:c>
      <x:c r="L778" s="8" t="n">
        <x:f aca="0">IF(AND(ISNUMBER(G778),P778&lt;&gt;"Unresolved unit / layout"),G778*K778,"Not applicable")</x:f>
        <x:v>1.19</x:v>
      </x:c>
      <x:c r="M778" s="8" t="n">
        <x:f aca="0">IF(AND(ISNUMBER(H778),P778&lt;&gt;"Unresolved unit / layout"),H778*K778,"Not applicable")</x:f>
        <x:v>0.0004</x:v>
      </x:c>
      <x:c r="N778" s="8" t="str">
        <x:f aca="0">IF(AND(ISNUMBER(I778),P778&lt;&gt;"Unresolved unit / layout"),I778*K778,"Not applicable")</x:f>
        <x:v>Not applicable</x:v>
      </x:c>
      <x:c r="O778" s="7" t="s">
        <x:v>1937</x:v>
      </x:c>
      <x:c r="P778" s="7" t="s">
        <x:v>1921</x:v>
      </x:c>
      <x:c r="Q778" s="7" t="s">
        <x:v>2064</x:v>
      </x:c>
      <x:c r="R778" s="7" t="s">
        <x:v>1931</x:v>
      </x:c>
      <x:c r="S778" s="7" t="s">
        <x:v>53</x:v>
      </x:c>
      <x:c r="T778" s="7" t="s">
        <x:v>53</x:v>
      </x:c>
      <x:c r="U778" s="7" t="s">
        <x:v>53</x:v>
      </x:c>
      <x:c r="V778" s="7" t="s">
        <x:v>1999</x:v>
      </x:c>
      <x:c r="W778" s="7" t="s">
        <x:v>58</x:v>
      </x:c>
      <x:c r="X778" s="7" t="s">
        <x:v>3569</x:v>
      </x:c>
      <x:c r="Y778" s="7" t="s">
        <x:v>1246</x:v>
      </x:c>
      <x:c r="Z778" s="7" t="s">
        <x:v>2105</x:v>
      </x:c>
      <x:c r="AA778" s="7" t="s">
        <x:v>58</x:v>
      </x:c>
      <x:c r="AB778" s="8" t="s">
        <x:v>58</x:v>
      </x:c>
      <x:c r="AC778" s="8" t="s">
        <x:v>58</x:v>
      </x:c>
      <x:c r="AD778" s="8" t="s">
        <x:v>58</x:v>
      </x:c>
      <x:c r="AE778" s="8" t="s">
        <x:v>58</x:v>
      </x:c>
      <x:c r="AF778" s="8" t="s">
        <x:v>58</x:v>
      </x:c>
      <x:c r="AG778" s="7" t="s">
        <x:v>58</x:v>
      </x:c>
    </x:row>
    <x:row r="779" ht="79.5" hidden="0" customHeight="1">
      <x:c r="A779" s="7" t="s">
        <x:v>3583</x:v>
      </x:c>
      <x:c r="B779" s="7" t="s">
        <x:v>495</x:v>
      </x:c>
      <x:c r="C779" s="7" t="s">
        <x:v>497</x:v>
      </x:c>
      <x:c r="D779" s="7" t="s">
        <x:v>1935</x:v>
      </x:c>
      <x:c r="E779" s="7" t="s">
        <x:v>3584</x:v>
      </x:c>
      <x:c r="F779" s="7" t="s">
        <x:v>1929</x:v>
      </x:c>
      <x:c r="G779" s="8" t="n">
        <x:v>600</x:v>
      </x:c>
      <x:c r="H779" s="8" t="n">
        <x:v>0.5</x:v>
      </x:c>
      <x:c r="I779" s="8" t="s">
        <x:v>58</x:v>
      </x:c>
      <x:c r="J779" s="7" t="s">
        <x:v>1919</x:v>
      </x:c>
      <x:c r="K779" s="8" t="n">
        <x:v>0.001</x:v>
      </x:c>
      <x:c r="L779" s="8" t="n">
        <x:f aca="0">IF(AND(ISNUMBER(G779),P779&lt;&gt;"Unresolved unit / layout"),G779*K779,"Not applicable")</x:f>
        <x:v>0.6</x:v>
      </x:c>
      <x:c r="M779" s="8" t="n">
        <x:f aca="0">IF(AND(ISNUMBER(H779),P779&lt;&gt;"Unresolved unit / layout"),H779*K779,"Not applicable")</x:f>
        <x:v>0.0005</x:v>
      </x:c>
      <x:c r="N779" s="8" t="str">
        <x:f aca="0">IF(AND(ISNUMBER(I779),P779&lt;&gt;"Unresolved unit / layout"),I779*K779,"Not applicable")</x:f>
        <x:v>Not applicable</x:v>
      </x:c>
      <x:c r="O779" s="7" t="s">
        <x:v>1937</x:v>
      </x:c>
      <x:c r="P779" s="7" t="s">
        <x:v>1921</x:v>
      </x:c>
      <x:c r="Q779" s="7" t="s">
        <x:v>2064</x:v>
      </x:c>
      <x:c r="R779" s="7" t="s">
        <x:v>2003</x:v>
      </x:c>
      <x:c r="S779" s="7" t="s">
        <x:v>53</x:v>
      </x:c>
      <x:c r="T779" s="7" t="s">
        <x:v>53</x:v>
      </x:c>
      <x:c r="U779" s="7" t="s">
        <x:v>53</x:v>
      </x:c>
      <x:c r="V779" s="7" t="s">
        <x:v>1999</x:v>
      </x:c>
      <x:c r="W779" s="7" t="s">
        <x:v>58</x:v>
      </x:c>
      <x:c r="X779" s="7" t="s">
        <x:v>3569</x:v>
      </x:c>
      <x:c r="Y779" s="7" t="s">
        <x:v>1246</x:v>
      </x:c>
      <x:c r="Z779" s="7" t="s">
        <x:v>2108</x:v>
      </x:c>
      <x:c r="AA779" s="7" t="s">
        <x:v>58</x:v>
      </x:c>
      <x:c r="AB779" s="8" t="s">
        <x:v>58</x:v>
      </x:c>
      <x:c r="AC779" s="8" t="s">
        <x:v>58</x:v>
      </x:c>
      <x:c r="AD779" s="8" t="s">
        <x:v>58</x:v>
      </x:c>
      <x:c r="AE779" s="8" t="s">
        <x:v>58</x:v>
      </x:c>
      <x:c r="AF779" s="8" t="s">
        <x:v>58</x:v>
      </x:c>
      <x:c r="AG779" s="7" t="s">
        <x:v>58</x:v>
      </x:c>
    </x:row>
    <x:row r="780" ht="79.5" hidden="0" customHeight="1">
      <x:c r="A780" s="7" t="s">
        <x:v>3585</x:v>
      </x:c>
      <x:c r="B780" s="7" t="s">
        <x:v>495</x:v>
      </x:c>
      <x:c r="C780" s="7" t="s">
        <x:v>497</x:v>
      </x:c>
      <x:c r="D780" s="7" t="s">
        <x:v>2006</x:v>
      </x:c>
      <x:c r="E780" s="7" t="s">
        <x:v>3586</x:v>
      </x:c>
      <x:c r="F780" s="7" t="s">
        <x:v>1929</x:v>
      </x:c>
      <x:c r="G780" s="8" t="n">
        <x:v>22.4</x:v>
      </x:c>
      <x:c r="H780" s="8" t="n">
        <x:v>0.6</x:v>
      </x:c>
      <x:c r="I780" s="8" t="s">
        <x:v>58</x:v>
      </x:c>
      <x:c r="J780" s="7" t="s">
        <x:v>1919</x:v>
      </x:c>
      <x:c r="K780" s="8" t="n">
        <x:v>1</x:v>
      </x:c>
      <x:c r="L780" s="8" t="n">
        <x:f aca="0">IF(AND(ISNUMBER(G780),P780&lt;&gt;"Unresolved unit / layout"),G780*K780,"Not applicable")</x:f>
        <x:v>22.4</x:v>
      </x:c>
      <x:c r="M780" s="8" t="n">
        <x:f aca="0">IF(AND(ISNUMBER(H780),P780&lt;&gt;"Unresolved unit / layout"),H780*K780,"Not applicable")</x:f>
        <x:v>0.6</x:v>
      </x:c>
      <x:c r="N780" s="8" t="str">
        <x:f aca="0">IF(AND(ISNUMBER(I780),P780&lt;&gt;"Unresolved unit / layout"),I780*K780,"Not applicable")</x:f>
        <x:v>Not applicable</x:v>
      </x:c>
      <x:c r="O780" s="7" t="s">
        <x:v>1929</x:v>
      </x:c>
      <x:c r="P780" s="7" t="s">
        <x:v>1921</x:v>
      </x:c>
      <x:c r="Q780" s="7" t="s">
        <x:v>2064</x:v>
      </x:c>
      <x:c r="R780" s="7" t="s">
        <x:v>1931</x:v>
      </x:c>
      <x:c r="S780" s="7" t="s">
        <x:v>53</x:v>
      </x:c>
      <x:c r="T780" s="7" t="s">
        <x:v>53</x:v>
      </x:c>
      <x:c r="U780" s="7" t="s">
        <x:v>53</x:v>
      </x:c>
      <x:c r="V780" s="7" t="s">
        <x:v>1999</x:v>
      </x:c>
      <x:c r="W780" s="7" t="s">
        <x:v>58</x:v>
      </x:c>
      <x:c r="X780" s="7" t="s">
        <x:v>3569</x:v>
      </x:c>
      <x:c r="Y780" s="7" t="s">
        <x:v>1246</x:v>
      </x:c>
      <x:c r="Z780" s="7" t="s">
        <x:v>2111</x:v>
      </x:c>
      <x:c r="AA780" s="7" t="s">
        <x:v>58</x:v>
      </x:c>
      <x:c r="AB780" s="8" t="s">
        <x:v>58</x:v>
      </x:c>
      <x:c r="AC780" s="8" t="s">
        <x:v>58</x:v>
      </x:c>
      <x:c r="AD780" s="8" t="s">
        <x:v>58</x:v>
      </x:c>
      <x:c r="AE780" s="8" t="s">
        <x:v>58</x:v>
      </x:c>
      <x:c r="AF780" s="8" t="s">
        <x:v>58</x:v>
      </x:c>
      <x:c r="AG780" s="7" t="s">
        <x:v>58</x:v>
      </x:c>
    </x:row>
    <x:row r="781" ht="79.5" hidden="0" customHeight="1">
      <x:c r="A781" s="7" t="s">
        <x:v>3587</x:v>
      </x:c>
      <x:c r="B781" s="7" t="s">
        <x:v>495</x:v>
      </x:c>
      <x:c r="C781" s="7" t="s">
        <x:v>497</x:v>
      </x:c>
      <x:c r="D781" s="7" t="s">
        <x:v>2006</x:v>
      </x:c>
      <x:c r="E781" s="7" t="s">
        <x:v>3588</x:v>
      </x:c>
      <x:c r="F781" s="7" t="s">
        <x:v>1929</x:v>
      </x:c>
      <x:c r="G781" s="8" t="n">
        <x:v>11.2</x:v>
      </x:c>
      <x:c r="H781" s="8" t="n">
        <x:v>0.5</x:v>
      </x:c>
      <x:c r="I781" s="8" t="s">
        <x:v>58</x:v>
      </x:c>
      <x:c r="J781" s="7" t="s">
        <x:v>1919</x:v>
      </x:c>
      <x:c r="K781" s="8" t="n">
        <x:v>1</x:v>
      </x:c>
      <x:c r="L781" s="8" t="n">
        <x:f aca="0">IF(AND(ISNUMBER(G781),P781&lt;&gt;"Unresolved unit / layout"),G781*K781,"Not applicable")</x:f>
        <x:v>11.2</x:v>
      </x:c>
      <x:c r="M781" s="8" t="n">
        <x:f aca="0">IF(AND(ISNUMBER(H781),P781&lt;&gt;"Unresolved unit / layout"),H781*K781,"Not applicable")</x:f>
        <x:v>0.5</x:v>
      </x:c>
      <x:c r="N781" s="8" t="str">
        <x:f aca="0">IF(AND(ISNUMBER(I781),P781&lt;&gt;"Unresolved unit / layout"),I781*K781,"Not applicable")</x:f>
        <x:v>Not applicable</x:v>
      </x:c>
      <x:c r="O781" s="7" t="s">
        <x:v>1929</x:v>
      </x:c>
      <x:c r="P781" s="7" t="s">
        <x:v>1921</x:v>
      </x:c>
      <x:c r="Q781" s="7" t="s">
        <x:v>2064</x:v>
      </x:c>
      <x:c r="R781" s="7" t="s">
        <x:v>2003</x:v>
      </x:c>
      <x:c r="S781" s="7" t="s">
        <x:v>53</x:v>
      </x:c>
      <x:c r="T781" s="7" t="s">
        <x:v>53</x:v>
      </x:c>
      <x:c r="U781" s="7" t="s">
        <x:v>53</x:v>
      </x:c>
      <x:c r="V781" s="7" t="s">
        <x:v>1999</x:v>
      </x:c>
      <x:c r="W781" s="7" t="s">
        <x:v>58</x:v>
      </x:c>
      <x:c r="X781" s="7" t="s">
        <x:v>3569</x:v>
      </x:c>
      <x:c r="Y781" s="7" t="s">
        <x:v>1246</x:v>
      </x:c>
      <x:c r="Z781" s="7" t="s">
        <x:v>2114</x:v>
      </x:c>
      <x:c r="AA781" s="7" t="s">
        <x:v>58</x:v>
      </x:c>
      <x:c r="AB781" s="8" t="s">
        <x:v>58</x:v>
      </x:c>
      <x:c r="AC781" s="8" t="s">
        <x:v>58</x:v>
      </x:c>
      <x:c r="AD781" s="8" t="s">
        <x:v>58</x:v>
      </x:c>
      <x:c r="AE781" s="8" t="s">
        <x:v>58</x:v>
      </x:c>
      <x:c r="AF781" s="8" t="s">
        <x:v>58</x:v>
      </x:c>
      <x:c r="AG781" s="7" t="s">
        <x:v>58</x:v>
      </x:c>
    </x:row>
    <x:row r="782" ht="79.5" hidden="0" customHeight="1">
      <x:c r="A782" s="7" t="s">
        <x:v>3589</x:v>
      </x:c>
      <x:c r="B782" s="7" t="s">
        <x:v>495</x:v>
      </x:c>
      <x:c r="C782" s="7" t="s">
        <x:v>497</x:v>
      </x:c>
      <x:c r="D782" s="7" t="s">
        <x:v>1940</x:v>
      </x:c>
      <x:c r="E782" s="7" t="s">
        <x:v>3590</x:v>
      </x:c>
      <x:c r="F782" s="7" t="s">
        <x:v>1942</x:v>
      </x:c>
      <x:c r="G782" s="8" t="n">
        <x:v>650</x:v>
      </x:c>
      <x:c r="H782" s="8" t="s">
        <x:v>58</x:v>
      </x:c>
      <x:c r="I782" s="8" t="s">
        <x:v>58</x:v>
      </x:c>
      <x:c r="J782" s="7" t="s">
        <x:v>3460</x:v>
      </x:c>
      <x:c r="K782" s="8" t="n">
        <x:v>1</x:v>
      </x:c>
      <x:c r="L782" s="8" t="n">
        <x:f aca="0">IF(AND(ISNUMBER(G782),P782&lt;&gt;"Unresolved unit / layout"),G782*K782,"Not applicable")</x:f>
        <x:v>650</x:v>
      </x:c>
      <x:c r="M782" s="8" t="str">
        <x:f aca="0">IF(AND(ISNUMBER(H782),P782&lt;&gt;"Unresolved unit / layout"),H782*K782,"Not applicable")</x:f>
        <x:v>Not applicable</x:v>
      </x:c>
      <x:c r="N782" s="8" t="str">
        <x:f aca="0">IF(AND(ISNUMBER(I782),P782&lt;&gt;"Unresolved unit / layout"),I782*K782,"Not applicable")</x:f>
        <x:v>Not applicable</x:v>
      </x:c>
      <x:c r="O782" s="7" t="s">
        <x:v>1942</x:v>
      </x:c>
      <x:c r="P782" s="7" t="s">
        <x:v>1921</x:v>
      </x:c>
      <x:c r="Q782" s="7" t="s">
        <x:v>2064</x:v>
      </x:c>
      <x:c r="R782" s="7" t="s">
        <x:v>1931</x:v>
      </x:c>
      <x:c r="S782" s="7" t="s">
        <x:v>53</x:v>
      </x:c>
      <x:c r="T782" s="7" t="s">
        <x:v>53</x:v>
      </x:c>
      <x:c r="U782" s="7" t="s">
        <x:v>53</x:v>
      </x:c>
      <x:c r="V782" s="7" t="s">
        <x:v>1999</x:v>
      </x:c>
      <x:c r="W782" s="7" t="s">
        <x:v>58</x:v>
      </x:c>
      <x:c r="X782" s="7" t="s">
        <x:v>3569</x:v>
      </x:c>
      <x:c r="Y782" s="7" t="s">
        <x:v>1246</x:v>
      </x:c>
      <x:c r="Z782" s="7" t="s">
        <x:v>2117</x:v>
      </x:c>
      <x:c r="AA782" s="7" t="s">
        <x:v>58</x:v>
      </x:c>
      <x:c r="AB782" s="8" t="s">
        <x:v>58</x:v>
      </x:c>
      <x:c r="AC782" s="8" t="s">
        <x:v>58</x:v>
      </x:c>
      <x:c r="AD782" s="8" t="s">
        <x:v>58</x:v>
      </x:c>
      <x:c r="AE782" s="8" t="s">
        <x:v>58</x:v>
      </x:c>
      <x:c r="AF782" s="8" t="s">
        <x:v>58</x:v>
      </x:c>
      <x:c r="AG782" s="7" t="s">
        <x:v>58</x:v>
      </x:c>
    </x:row>
    <x:row r="783" ht="79.5" hidden="0" customHeight="1">
      <x:c r="A783" s="7" t="s">
        <x:v>3591</x:v>
      </x:c>
      <x:c r="B783" s="7" t="s">
        <x:v>495</x:v>
      </x:c>
      <x:c r="C783" s="7" t="s">
        <x:v>497</x:v>
      </x:c>
      <x:c r="D783" s="7" t="s">
        <x:v>1940</x:v>
      </x:c>
      <x:c r="E783" s="7" t="s">
        <x:v>3592</x:v>
      </x:c>
      <x:c r="F783" s="7" t="s">
        <x:v>1942</x:v>
      </x:c>
      <x:c r="G783" s="8" t="n">
        <x:v>31</x:v>
      </x:c>
      <x:c r="H783" s="8" t="s">
        <x:v>58</x:v>
      </x:c>
      <x:c r="I783" s="8" t="s">
        <x:v>58</x:v>
      </x:c>
      <x:c r="J783" s="7" t="s">
        <x:v>1919</x:v>
      </x:c>
      <x:c r="K783" s="8" t="n">
        <x:v>1</x:v>
      </x:c>
      <x:c r="L783" s="8" t="n">
        <x:f aca="0">IF(AND(ISNUMBER(G783),P783&lt;&gt;"Unresolved unit / layout"),G783*K783,"Not applicable")</x:f>
        <x:v>31</x:v>
      </x:c>
      <x:c r="M783" s="8" t="str">
        <x:f aca="0">IF(AND(ISNUMBER(H783),P783&lt;&gt;"Unresolved unit / layout"),H783*K783,"Not applicable")</x:f>
        <x:v>Not applicable</x:v>
      </x:c>
      <x:c r="N783" s="8" t="str">
        <x:f aca="0">IF(AND(ISNUMBER(I783),P783&lt;&gt;"Unresolved unit / layout"),I783*K783,"Not applicable")</x:f>
        <x:v>Not applicable</x:v>
      </x:c>
      <x:c r="O783" s="7" t="s">
        <x:v>1942</x:v>
      </x:c>
      <x:c r="P783" s="7" t="s">
        <x:v>1921</x:v>
      </x:c>
      <x:c r="Q783" s="7" t="s">
        <x:v>2064</x:v>
      </x:c>
      <x:c r="R783" s="7" t="s">
        <x:v>2003</x:v>
      </x:c>
      <x:c r="S783" s="7" t="s">
        <x:v>53</x:v>
      </x:c>
      <x:c r="T783" s="7" t="s">
        <x:v>53</x:v>
      </x:c>
      <x:c r="U783" s="7" t="s">
        <x:v>53</x:v>
      </x:c>
      <x:c r="V783" s="7" t="s">
        <x:v>1999</x:v>
      </x:c>
      <x:c r="W783" s="7" t="s">
        <x:v>58</x:v>
      </x:c>
      <x:c r="X783" s="7" t="s">
        <x:v>3569</x:v>
      </x:c>
      <x:c r="Y783" s="7" t="s">
        <x:v>1246</x:v>
      </x:c>
      <x:c r="Z783" s="7" t="s">
        <x:v>2120</x:v>
      </x:c>
      <x:c r="AA783" s="7" t="s">
        <x:v>58</x:v>
      </x:c>
      <x:c r="AB783" s="8" t="s">
        <x:v>58</x:v>
      </x:c>
      <x:c r="AC783" s="8" t="s">
        <x:v>58</x:v>
      </x:c>
      <x:c r="AD783" s="8" t="s">
        <x:v>58</x:v>
      </x:c>
      <x:c r="AE783" s="8" t="s">
        <x:v>58</x:v>
      </x:c>
      <x:c r="AF783" s="8" t="s">
        <x:v>58</x:v>
      </x:c>
      <x:c r="AG783" s="7" t="s">
        <x:v>58</x:v>
      </x:c>
    </x:row>
    <x:row r="784" ht="79.5" hidden="0" customHeight="1">
      <x:c r="A784" s="7" t="s">
        <x:v>3593</x:v>
      </x:c>
      <x:c r="B784" s="7" t="s">
        <x:v>495</x:v>
      </x:c>
      <x:c r="C784" s="7" t="s">
        <x:v>497</x:v>
      </x:c>
      <x:c r="D784" s="7" t="s">
        <x:v>1950</x:v>
      </x:c>
      <x:c r="E784" s="7" t="s">
        <x:v>1995</x:v>
      </x:c>
      <x:c r="F784" s="7" t="s">
        <x:v>53</x:v>
      </x:c>
      <x:c r="G784" s="8" t="s">
        <x:v>53</x:v>
      </x:c>
      <x:c r="H784" s="8" t="s">
        <x:v>58</x:v>
      </x:c>
      <x:c r="I784" s="8" t="s">
        <x:v>58</x:v>
      </x:c>
      <x:c r="J784" s="7" t="s">
        <x:v>58</x:v>
      </x:c>
      <x:c r="K784" s="8" t="n">
        <x:v>1</x:v>
      </x:c>
      <x:c r="L784" s="8" t="str">
        <x:f aca="0">IF(AND(ISNUMBER(G784),P784&lt;&gt;"Unresolved unit / layout"),G784*K784,"Not published")</x:f>
        <x:v>Not published</x:v>
      </x:c>
      <x:c r="M784" s="8" t="str">
        <x:f aca="0">IF(AND(ISNUMBER(H784),P784&lt;&gt;"Unresolved unit / layout"),H784*K784,"Not applicable")</x:f>
        <x:v>Not applicable</x:v>
      </x:c>
      <x:c r="N784" s="8" t="str">
        <x:f aca="0">IF(AND(ISNUMBER(I784),P784&lt;&gt;"Unresolved unit / layout"),I784*K784,"Not applicable")</x:f>
        <x:v>Not applicable</x:v>
      </x:c>
      <x:c r="O784" s="7" t="s">
        <x:v>53</x:v>
      </x:c>
      <x:c r="P784" s="7" t="s">
        <x:v>53</x:v>
      </x:c>
      <x:c r="Q784" s="7" t="s">
        <x:v>2064</x:v>
      </x:c>
      <x:c r="R784" s="7" t="s">
        <x:v>53</x:v>
      </x:c>
      <x:c r="S784" s="7" t="s">
        <x:v>53</x:v>
      </x:c>
      <x:c r="T784" s="7" t="s">
        <x:v>53</x:v>
      </x:c>
      <x:c r="U784" s="7" t="s">
        <x:v>53</x:v>
      </x:c>
      <x:c r="V784" s="7" t="s">
        <x:v>3594</x:v>
      </x:c>
      <x:c r="W784" s="7" t="s">
        <x:v>58</x:v>
      </x:c>
      <x:c r="X784" s="7" t="s">
        <x:v>3569</x:v>
      </x:c>
      <x:c r="Y784" s="7" t="s">
        <x:v>1246</x:v>
      </x:c>
      <x:c r="Z784" s="7" t="s">
        <x:v>3595</x:v>
      </x:c>
      <x:c r="AA784" s="7" t="s">
        <x:v>58</x:v>
      </x:c>
      <x:c r="AB784" s="8" t="s">
        <x:v>58</x:v>
      </x:c>
      <x:c r="AC784" s="8" t="s">
        <x:v>58</x:v>
      </x:c>
      <x:c r="AD784" s="8" t="s">
        <x:v>58</x:v>
      </x:c>
      <x:c r="AE784" s="8" t="s">
        <x:v>58</x:v>
      </x:c>
      <x:c r="AF784" s="8" t="s">
        <x:v>58</x:v>
      </x:c>
      <x:c r="AG784" s="7" t="s">
        <x:v>58</x:v>
      </x:c>
    </x:row>
    <x:row r="785" ht="79.5" hidden="0" customHeight="1">
      <x:c r="A785" s="7" t="s">
        <x:v>3596</x:v>
      </x:c>
      <x:c r="B785" s="7" t="s">
        <x:v>495</x:v>
      </x:c>
      <x:c r="C785" s="7" t="s">
        <x:v>497</x:v>
      </x:c>
      <x:c r="D785" s="7" t="s">
        <x:v>2030</x:v>
      </x:c>
      <x:c r="E785" s="7" t="s">
        <x:v>3597</x:v>
      </x:c>
      <x:c r="F785" s="7" t="s">
        <x:v>2033</x:v>
      </x:c>
      <x:c r="G785" s="8" t="n">
        <x:v>124.3</x:v>
      </x:c>
      <x:c r="H785" s="8" t="s">
        <x:v>58</x:v>
      </x:c>
      <x:c r="I785" s="8" t="s">
        <x:v>58</x:v>
      </x:c>
      <x:c r="J785" s="7" t="s">
        <x:v>1919</x:v>
      </x:c>
      <x:c r="K785" s="8" t="n">
        <x:v>1</x:v>
      </x:c>
      <x:c r="L785" s="8" t="n">
        <x:f aca="0">IF(AND(ISNUMBER(G785),P785&lt;&gt;"Unresolved unit / layout"),G785*K785,"Not applicable")</x:f>
        <x:v>124.3</x:v>
      </x:c>
      <x:c r="M785" s="8" t="str">
        <x:f aca="0">IF(AND(ISNUMBER(H785),P785&lt;&gt;"Unresolved unit / layout"),H785*K785,"Not applicable")</x:f>
        <x:v>Not applicable</x:v>
      </x:c>
      <x:c r="N785" s="8" t="str">
        <x:f aca="0">IF(AND(ISNUMBER(I785),P785&lt;&gt;"Unresolved unit / layout"),I785*K785,"Not applicable")</x:f>
        <x:v>Not applicable</x:v>
      </x:c>
      <x:c r="O785" s="7" t="s">
        <x:v>2033</x:v>
      </x:c>
      <x:c r="P785" s="7" t="s">
        <x:v>1921</x:v>
      </x:c>
      <x:c r="Q785" s="7" t="s">
        <x:v>2064</x:v>
      </x:c>
      <x:c r="R785" s="7" t="s">
        <x:v>1931</x:v>
      </x:c>
      <x:c r="S785" s="7" t="s">
        <x:v>53</x:v>
      </x:c>
      <x:c r="T785" s="7" t="s">
        <x:v>53</x:v>
      </x:c>
      <x:c r="U785" s="7" t="s">
        <x:v>53</x:v>
      </x:c>
      <x:c r="V785" s="7" t="s">
        <x:v>2036</x:v>
      </x:c>
      <x:c r="W785" s="7" t="s">
        <x:v>53</x:v>
      </x:c>
      <x:c r="X785" s="7" t="s">
        <x:v>3569</x:v>
      </x:c>
      <x:c r="Y785" s="7" t="s">
        <x:v>1246</x:v>
      </x:c>
      <x:c r="Z785" s="7" t="s">
        <x:v>2378</x:v>
      </x:c>
      <x:c r="AA785" s="7" t="s">
        <x:v>58</x:v>
      </x:c>
      <x:c r="AB785" s="8" t="s">
        <x:v>58</x:v>
      </x:c>
      <x:c r="AC785" s="8" t="s">
        <x:v>58</x:v>
      </x:c>
      <x:c r="AD785" s="8" t="s">
        <x:v>58</x:v>
      </x:c>
      <x:c r="AE785" s="8" t="s">
        <x:v>58</x:v>
      </x:c>
      <x:c r="AF785" s="8" t="s">
        <x:v>58</x:v>
      </x:c>
      <x:c r="AG785" s="7" t="s">
        <x:v>58</x:v>
      </x:c>
    </x:row>
    <x:row r="786" ht="79.5" hidden="0" customHeight="1">
      <x:c r="A786" s="7" t="s">
        <x:v>3598</x:v>
      </x:c>
      <x:c r="B786" s="7" t="s">
        <x:v>495</x:v>
      </x:c>
      <x:c r="C786" s="7" t="s">
        <x:v>497</x:v>
      </x:c>
      <x:c r="D786" s="7" t="s">
        <x:v>2030</x:v>
      </x:c>
      <x:c r="E786" s="7" t="s">
        <x:v>3599</x:v>
      </x:c>
      <x:c r="F786" s="7" t="s">
        <x:v>2033</x:v>
      </x:c>
      <x:c r="G786" s="8" t="n">
        <x:v>9.6</x:v>
      </x:c>
      <x:c r="H786" s="8" t="n">
        <x:v>0.3</x:v>
      </x:c>
      <x:c r="I786" s="8" t="s">
        <x:v>58</x:v>
      </x:c>
      <x:c r="J786" s="7" t="s">
        <x:v>1919</x:v>
      </x:c>
      <x:c r="K786" s="8" t="n">
        <x:v>1</x:v>
      </x:c>
      <x:c r="L786" s="8" t="n">
        <x:f aca="0">IF(AND(ISNUMBER(G786),P786&lt;&gt;"Unresolved unit / layout"),G786*K786,"Not applicable")</x:f>
        <x:v>9.6</x:v>
      </x:c>
      <x:c r="M786" s="8" t="n">
        <x:f aca="0">IF(AND(ISNUMBER(H786),P786&lt;&gt;"Unresolved unit / layout"),H786*K786,"Not applicable")</x:f>
        <x:v>0.3</x:v>
      </x:c>
      <x:c r="N786" s="8" t="str">
        <x:f aca="0">IF(AND(ISNUMBER(I786),P786&lt;&gt;"Unresolved unit / layout"),I786*K786,"Not applicable")</x:f>
        <x:v>Not applicable</x:v>
      </x:c>
      <x:c r="O786" s="7" t="s">
        <x:v>2033</x:v>
      </x:c>
      <x:c r="P786" s="7" t="s">
        <x:v>1921</x:v>
      </x:c>
      <x:c r="Q786" s="7" t="s">
        <x:v>2064</x:v>
      </x:c>
      <x:c r="R786" s="7" t="s">
        <x:v>2003</x:v>
      </x:c>
      <x:c r="S786" s="7" t="s">
        <x:v>53</x:v>
      </x:c>
      <x:c r="T786" s="7" t="s">
        <x:v>53</x:v>
      </x:c>
      <x:c r="U786" s="7" t="s">
        <x:v>53</x:v>
      </x:c>
      <x:c r="V786" s="7" t="s">
        <x:v>2036</x:v>
      </x:c>
      <x:c r="W786" s="7" t="s">
        <x:v>53</x:v>
      </x:c>
      <x:c r="X786" s="7" t="s">
        <x:v>3569</x:v>
      </x:c>
      <x:c r="Y786" s="7" t="s">
        <x:v>1246</x:v>
      </x:c>
      <x:c r="Z786" s="7" t="s">
        <x:v>2225</x:v>
      </x:c>
      <x:c r="AA786" s="7" t="s">
        <x:v>58</x:v>
      </x:c>
      <x:c r="AB786" s="8" t="s">
        <x:v>58</x:v>
      </x:c>
      <x:c r="AC786" s="8" t="s">
        <x:v>58</x:v>
      </x:c>
      <x:c r="AD786" s="8" t="s">
        <x:v>58</x:v>
      </x:c>
      <x:c r="AE786" s="8" t="s">
        <x:v>58</x:v>
      </x:c>
      <x:c r="AF786" s="8" t="s">
        <x:v>58</x:v>
      </x:c>
      <x:c r="AG786" s="7" t="s">
        <x:v>58</x:v>
      </x:c>
    </x:row>
    <x:row r="787" ht="79.5" hidden="0" customHeight="1">
      <x:c r="A787" s="7" t="s">
        <x:v>3600</x:v>
      </x:c>
      <x:c r="B787" s="7" t="s">
        <x:v>507</x:v>
      </x:c>
      <x:c r="C787" s="7" t="s">
        <x:v>509</x:v>
      </x:c>
      <x:c r="D787" s="7" t="s">
        <x:v>1916</x:v>
      </x:c>
      <x:c r="E787" s="7" t="s">
        <x:v>2267</x:v>
      </x:c>
      <x:c r="F787" s="7" t="s">
        <x:v>2076</x:v>
      </x:c>
      <x:c r="G787" s="8" t="n">
        <x:v>1.22</x:v>
      </x:c>
      <x:c r="H787" s="8" t="s">
        <x:v>58</x:v>
      </x:c>
      <x:c r="I787" s="8" t="s">
        <x:v>58</x:v>
      </x:c>
      <x:c r="J787" s="7" t="s">
        <x:v>1919</x:v>
      </x:c>
      <x:c r="K787" s="8" t="n">
        <x:v>1000</x:v>
      </x:c>
      <x:c r="L787" s="8" t="n">
        <x:f aca="0">IF(AND(ISNUMBER(G787),P787&lt;&gt;"Unresolved unit / layout"),G787*K787,"Not applicable")</x:f>
        <x:v>1220</x:v>
      </x:c>
      <x:c r="M787" s="8" t="str">
        <x:f aca="0">IF(AND(ISNUMBER(H787),P787&lt;&gt;"Unresolved unit / layout"),H787*K787,"Not applicable")</x:f>
        <x:v>Not applicable</x:v>
      </x:c>
      <x:c r="N787" s="8" t="str">
        <x:f aca="0">IF(AND(ISNUMBER(I787),P787&lt;&gt;"Unresolved unit / layout"),I787*K787,"Not applicable")</x:f>
        <x:v>Not applicable</x:v>
      </x:c>
      <x:c r="O787" s="7" t="s">
        <x:v>1920</x:v>
      </x:c>
      <x:c r="P787" s="7" t="s">
        <x:v>1921</x:v>
      </x:c>
      <x:c r="Q787" s="7" t="s">
        <x:v>1922</x:v>
      </x:c>
      <x:c r="R787" s="7" t="s">
        <x:v>58</x:v>
      </x:c>
      <x:c r="S787" s="7" t="s">
        <x:v>2077</x:v>
      </x:c>
      <x:c r="T787" s="7" t="s">
        <x:v>3601</x:v>
      </x:c>
      <x:c r="U787" s="7" t="s">
        <x:v>53</x:v>
      </x:c>
      <x:c r="V787" s="7" t="s">
        <x:v>1923</x:v>
      </x:c>
      <x:c r="W787" s="7" t="s">
        <x:v>58</x:v>
      </x:c>
      <x:c r="X787" s="7" t="s">
        <x:v>3602</x:v>
      </x:c>
      <x:c r="Y787" s="7" t="s">
        <x:v>1248</x:v>
      </x:c>
      <x:c r="Z787" s="7" t="s">
        <x:v>1968</x:v>
      </x:c>
      <x:c r="AA787" s="7" t="s">
        <x:v>58</x:v>
      </x:c>
      <x:c r="AB787" s="8" t="s">
        <x:v>58</x:v>
      </x:c>
      <x:c r="AC787" s="8" t="s">
        <x:v>58</x:v>
      </x:c>
      <x:c r="AD787" s="8" t="s">
        <x:v>58</x:v>
      </x:c>
      <x:c r="AE787" s="8" t="s">
        <x:v>58</x:v>
      </x:c>
      <x:c r="AF787" s="8" t="s">
        <x:v>58</x:v>
      </x:c>
      <x:c r="AG787" s="7" t="s">
        <x:v>58</x:v>
      </x:c>
    </x:row>
    <x:row r="788" ht="79.5" hidden="0" customHeight="1">
      <x:c r="A788" s="7" t="s">
        <x:v>3603</x:v>
      </x:c>
      <x:c r="B788" s="7" t="s">
        <x:v>507</x:v>
      </x:c>
      <x:c r="C788" s="7" t="s">
        <x:v>509</x:v>
      </x:c>
      <x:c r="D788" s="7" t="s">
        <x:v>1974</x:v>
      </x:c>
      <x:c r="E788" s="7" t="s">
        <x:v>3571</x:v>
      </x:c>
      <x:c r="F788" s="7" t="s">
        <x:v>1956</x:v>
      </x:c>
      <x:c r="G788" s="8" t="n">
        <x:v>183</x:v>
      </x:c>
      <x:c r="H788" s="8" t="s">
        <x:v>58</x:v>
      </x:c>
      <x:c r="I788" s="8" t="s">
        <x:v>58</x:v>
      </x:c>
      <x:c r="J788" s="7" t="s">
        <x:v>1919</x:v>
      </x:c>
      <x:c r="K788" s="8" t="n">
        <x:v>1</x:v>
      </x:c>
      <x:c r="L788" s="8" t="n">
        <x:f aca="0">IF(AND(ISNUMBER(G788),P788&lt;&gt;"Unresolved unit / layout"),G788*K788,"Not applicable")</x:f>
        <x:v>183</x:v>
      </x:c>
      <x:c r="M788" s="8" t="str">
        <x:f aca="0">IF(AND(ISNUMBER(H788),P788&lt;&gt;"Unresolved unit / layout"),H788*K788,"Not applicable")</x:f>
        <x:v>Not applicable</x:v>
      </x:c>
      <x:c r="N788" s="8" t="str">
        <x:f aca="0">IF(AND(ISNUMBER(I788),P788&lt;&gt;"Unresolved unit / layout"),I788*K788,"Not applicable")</x:f>
        <x:v>Not applicable</x:v>
      </x:c>
      <x:c r="O788" s="7" t="s">
        <x:v>1956</x:v>
      </x:c>
      <x:c r="P788" s="7" t="s">
        <x:v>1921</x:v>
      </x:c>
      <x:c r="Q788" s="7" t="s">
        <x:v>1930</x:v>
      </x:c>
      <x:c r="R788" s="7" t="s">
        <x:v>58</x:v>
      </x:c>
      <x:c r="S788" s="7" t="s">
        <x:v>2077</x:v>
      </x:c>
      <x:c r="T788" s="7" t="s">
        <x:v>3601</x:v>
      </x:c>
      <x:c r="U788" s="7" t="s">
        <x:v>53</x:v>
      </x:c>
      <x:c r="V788" s="7" t="s">
        <x:v>2082</x:v>
      </x:c>
      <x:c r="W788" s="7" t="s">
        <x:v>58</x:v>
      </x:c>
      <x:c r="X788" s="7" t="s">
        <x:v>3602</x:v>
      </x:c>
      <x:c r="Y788" s="7" t="s">
        <x:v>1248</x:v>
      </x:c>
      <x:c r="Z788" s="7" t="s">
        <x:v>2083</x:v>
      </x:c>
      <x:c r="AA788" s="7" t="s">
        <x:v>58</x:v>
      </x:c>
      <x:c r="AB788" s="8" t="s">
        <x:v>58</x:v>
      </x:c>
      <x:c r="AC788" s="8" t="s">
        <x:v>58</x:v>
      </x:c>
      <x:c r="AD788" s="8" t="s">
        <x:v>58</x:v>
      </x:c>
      <x:c r="AE788" s="8" t="s">
        <x:v>58</x:v>
      </x:c>
      <x:c r="AF788" s="8" t="s">
        <x:v>58</x:v>
      </x:c>
      <x:c r="AG788" s="7" t="s">
        <x:v>58</x:v>
      </x:c>
    </x:row>
    <x:row r="789" ht="79.5" hidden="0" customHeight="1">
      <x:c r="A789" s="7" t="s">
        <x:v>3604</x:v>
      </x:c>
      <x:c r="B789" s="7" t="s">
        <x:v>507</x:v>
      </x:c>
      <x:c r="C789" s="7" t="s">
        <x:v>509</x:v>
      </x:c>
      <x:c r="D789" s="7" t="s">
        <x:v>1954</x:v>
      </x:c>
      <x:c r="E789" s="7" t="s">
        <x:v>1995</x:v>
      </x:c>
      <x:c r="F789" s="7" t="s">
        <x:v>1956</x:v>
      </x:c>
      <x:c r="G789" s="8" t="s">
        <x:v>53</x:v>
      </x:c>
      <x:c r="H789" s="8" t="s">
        <x:v>58</x:v>
      </x:c>
      <x:c r="I789" s="8" t="s">
        <x:v>58</x:v>
      </x:c>
      <x:c r="J789" s="7" t="s">
        <x:v>58</x:v>
      </x:c>
      <x:c r="K789" s="8" t="n">
        <x:v>1</x:v>
      </x:c>
      <x:c r="L789" s="8" t="str">
        <x:f aca="0">IF(AND(ISNUMBER(G789),P789&lt;&gt;"Unresolved unit / layout"),G789*K789,"Not published")</x:f>
        <x:v>Not published</x:v>
      </x:c>
      <x:c r="M789" s="8" t="str">
        <x:f aca="0">IF(AND(ISNUMBER(H789),P789&lt;&gt;"Unresolved unit / layout"),H789*K789,"Not applicable")</x:f>
        <x:v>Not applicable</x:v>
      </x:c>
      <x:c r="N789" s="8" t="str">
        <x:f aca="0">IF(AND(ISNUMBER(I789),P789&lt;&gt;"Unresolved unit / layout"),I789*K789,"Not applicable")</x:f>
        <x:v>Not applicable</x:v>
      </x:c>
      <x:c r="O789" s="7" t="s">
        <x:v>1956</x:v>
      </x:c>
      <x:c r="P789" s="7" t="s">
        <x:v>53</x:v>
      </x:c>
      <x:c r="Q789" s="7" t="s">
        <x:v>1930</x:v>
      </x:c>
      <x:c r="R789" s="7" t="s">
        <x:v>58</x:v>
      </x:c>
      <x:c r="S789" s="7" t="s">
        <x:v>2077</x:v>
      </x:c>
      <x:c r="T789" s="7" t="s">
        <x:v>3601</x:v>
      </x:c>
      <x:c r="U789" s="7" t="s">
        <x:v>53</x:v>
      </x:c>
      <x:c r="V789" s="7" t="s">
        <x:v>2082</x:v>
      </x:c>
      <x:c r="W789" s="7" t="s">
        <x:v>58</x:v>
      </x:c>
      <x:c r="X789" s="7" t="s">
        <x:v>3602</x:v>
      </x:c>
      <x:c r="Y789" s="7" t="s">
        <x:v>1248</x:v>
      </x:c>
      <x:c r="Z789" s="7" t="s">
        <x:v>2086</x:v>
      </x:c>
      <x:c r="AA789" s="7" t="s">
        <x:v>58</x:v>
      </x:c>
      <x:c r="AB789" s="8" t="s">
        <x:v>58</x:v>
      </x:c>
      <x:c r="AC789" s="8" t="s">
        <x:v>58</x:v>
      </x:c>
      <x:c r="AD789" s="8" t="s">
        <x:v>58</x:v>
      </x:c>
      <x:c r="AE789" s="8" t="s">
        <x:v>58</x:v>
      </x:c>
      <x:c r="AF789" s="8" t="s">
        <x:v>58</x:v>
      </x:c>
      <x:c r="AG789" s="7" t="s">
        <x:v>58</x:v>
      </x:c>
    </x:row>
    <x:row r="790" ht="79.5" hidden="0" customHeight="1">
      <x:c r="A790" s="7" t="s">
        <x:v>3605</x:v>
      </x:c>
      <x:c r="B790" s="7" t="s">
        <x:v>507</x:v>
      </x:c>
      <x:c r="C790" s="7" t="s">
        <x:v>509</x:v>
      </x:c>
      <x:c r="D790" s="7" t="s">
        <x:v>1978</x:v>
      </x:c>
      <x:c r="E790" s="7" t="s">
        <x:v>1995</x:v>
      </x:c>
      <x:c r="F790" s="7" t="s">
        <x:v>1956</x:v>
      </x:c>
      <x:c r="G790" s="8" t="s">
        <x:v>53</x:v>
      </x:c>
      <x:c r="H790" s="8" t="s">
        <x:v>58</x:v>
      </x:c>
      <x:c r="I790" s="8" t="s">
        <x:v>58</x:v>
      </x:c>
      <x:c r="J790" s="7" t="s">
        <x:v>58</x:v>
      </x:c>
      <x:c r="K790" s="8" t="n">
        <x:v>1</x:v>
      </x:c>
      <x:c r="L790" s="8" t="str">
        <x:f aca="0">IF(AND(ISNUMBER(G790),P790&lt;&gt;"Unresolved unit / layout"),G790*K790,"Not published")</x:f>
        <x:v>Not published</x:v>
      </x:c>
      <x:c r="M790" s="8" t="str">
        <x:f aca="0">IF(AND(ISNUMBER(H790),P790&lt;&gt;"Unresolved unit / layout"),H790*K790,"Not applicable")</x:f>
        <x:v>Not applicable</x:v>
      </x:c>
      <x:c r="N790" s="8" t="str">
        <x:f aca="0">IF(AND(ISNUMBER(I790),P790&lt;&gt;"Unresolved unit / layout"),I790*K790,"Not applicable")</x:f>
        <x:v>Not applicable</x:v>
      </x:c>
      <x:c r="O790" s="7" t="s">
        <x:v>1956</x:v>
      </x:c>
      <x:c r="P790" s="7" t="s">
        <x:v>53</x:v>
      </x:c>
      <x:c r="Q790" s="7" t="s">
        <x:v>1930</x:v>
      </x:c>
      <x:c r="R790" s="7" t="s">
        <x:v>58</x:v>
      </x:c>
      <x:c r="S790" s="7" t="s">
        <x:v>2077</x:v>
      </x:c>
      <x:c r="T790" s="7" t="s">
        <x:v>3601</x:v>
      </x:c>
      <x:c r="U790" s="7" t="s">
        <x:v>53</x:v>
      </x:c>
      <x:c r="V790" s="7" t="s">
        <x:v>2082</x:v>
      </x:c>
      <x:c r="W790" s="7" t="s">
        <x:v>58</x:v>
      </x:c>
      <x:c r="X790" s="7" t="s">
        <x:v>3602</x:v>
      </x:c>
      <x:c r="Y790" s="7" t="s">
        <x:v>1248</x:v>
      </x:c>
      <x:c r="Z790" s="7" t="s">
        <x:v>2188</x:v>
      </x:c>
      <x:c r="AA790" s="7" t="s">
        <x:v>58</x:v>
      </x:c>
      <x:c r="AB790" s="8" t="s">
        <x:v>58</x:v>
      </x:c>
      <x:c r="AC790" s="8" t="s">
        <x:v>58</x:v>
      </x:c>
      <x:c r="AD790" s="8" t="s">
        <x:v>58</x:v>
      </x:c>
      <x:c r="AE790" s="8" t="s">
        <x:v>58</x:v>
      </x:c>
      <x:c r="AF790" s="8" t="s">
        <x:v>58</x:v>
      </x:c>
      <x:c r="AG790" s="7" t="s">
        <x:v>58</x:v>
      </x:c>
    </x:row>
    <x:row r="791" ht="79.5" hidden="0" customHeight="1">
      <x:c r="A791" s="7" t="s">
        <x:v>3606</x:v>
      </x:c>
      <x:c r="B791" s="7" t="s">
        <x:v>507</x:v>
      </x:c>
      <x:c r="C791" s="7" t="s">
        <x:v>509</x:v>
      </x:c>
      <x:c r="D791" s="7" t="s">
        <x:v>1982</x:v>
      </x:c>
      <x:c r="E791" s="7" t="s">
        <x:v>1995</x:v>
      </x:c>
      <x:c r="F791" s="7" t="s">
        <x:v>1956</x:v>
      </x:c>
      <x:c r="G791" s="8" t="s">
        <x:v>53</x:v>
      </x:c>
      <x:c r="H791" s="8" t="s">
        <x:v>58</x:v>
      </x:c>
      <x:c r="I791" s="8" t="s">
        <x:v>58</x:v>
      </x:c>
      <x:c r="J791" s="7" t="s">
        <x:v>58</x:v>
      </x:c>
      <x:c r="K791" s="8" t="n">
        <x:v>1</x:v>
      </x:c>
      <x:c r="L791" s="8" t="str">
        <x:f aca="0">IF(AND(ISNUMBER(G791),P791&lt;&gt;"Unresolved unit / layout"),G791*K791,"Not published")</x:f>
        <x:v>Not published</x:v>
      </x:c>
      <x:c r="M791" s="8" t="str">
        <x:f aca="0">IF(AND(ISNUMBER(H791),P791&lt;&gt;"Unresolved unit / layout"),H791*K791,"Not applicable")</x:f>
        <x:v>Not applicable</x:v>
      </x:c>
      <x:c r="N791" s="8" t="str">
        <x:f aca="0">IF(AND(ISNUMBER(I791),P791&lt;&gt;"Unresolved unit / layout"),I791*K791,"Not applicable")</x:f>
        <x:v>Not applicable</x:v>
      </x:c>
      <x:c r="O791" s="7" t="s">
        <x:v>1956</x:v>
      </x:c>
      <x:c r="P791" s="7" t="s">
        <x:v>53</x:v>
      </x:c>
      <x:c r="Q791" s="7" t="s">
        <x:v>1930</x:v>
      </x:c>
      <x:c r="R791" s="7" t="s">
        <x:v>58</x:v>
      </x:c>
      <x:c r="S791" s="7" t="s">
        <x:v>2077</x:v>
      </x:c>
      <x:c r="T791" s="7" t="s">
        <x:v>3601</x:v>
      </x:c>
      <x:c r="U791" s="7" t="s">
        <x:v>53</x:v>
      </x:c>
      <x:c r="V791" s="7" t="s">
        <x:v>1984</x:v>
      </x:c>
      <x:c r="W791" s="7" t="s">
        <x:v>58</x:v>
      </x:c>
      <x:c r="X791" s="7" t="s">
        <x:v>3602</x:v>
      </x:c>
      <x:c r="Y791" s="7" t="s">
        <x:v>1248</x:v>
      </x:c>
      <x:c r="Z791" s="7" t="s">
        <x:v>2092</x:v>
      </x:c>
      <x:c r="AA791" s="7" t="s">
        <x:v>58</x:v>
      </x:c>
      <x:c r="AB791" s="8" t="s">
        <x:v>58</x:v>
      </x:c>
      <x:c r="AC791" s="8" t="s">
        <x:v>58</x:v>
      </x:c>
      <x:c r="AD791" s="8" t="s">
        <x:v>58</x:v>
      </x:c>
      <x:c r="AE791" s="8" t="s">
        <x:v>58</x:v>
      </x:c>
      <x:c r="AF791" s="8" t="s">
        <x:v>58</x:v>
      </x:c>
      <x:c r="AG791" s="7" t="s">
        <x:v>58</x:v>
      </x:c>
    </x:row>
    <x:row r="792" ht="79.5" hidden="0" customHeight="1">
      <x:c r="A792" s="7" t="s">
        <x:v>3607</x:v>
      </x:c>
      <x:c r="B792" s="7" t="s">
        <x:v>507</x:v>
      </x:c>
      <x:c r="C792" s="7" t="s">
        <x:v>509</x:v>
      </x:c>
      <x:c r="D792" s="7" t="s">
        <x:v>1959</x:v>
      </x:c>
      <x:c r="E792" s="7" t="s">
        <x:v>1995</x:v>
      </x:c>
      <x:c r="F792" s="7" t="s">
        <x:v>1956</x:v>
      </x:c>
      <x:c r="G792" s="8" t="s">
        <x:v>53</x:v>
      </x:c>
      <x:c r="H792" s="8" t="s">
        <x:v>58</x:v>
      </x:c>
      <x:c r="I792" s="8" t="s">
        <x:v>58</x:v>
      </x:c>
      <x:c r="J792" s="7" t="s">
        <x:v>58</x:v>
      </x:c>
      <x:c r="K792" s="8" t="n">
        <x:v>1</x:v>
      </x:c>
      <x:c r="L792" s="8" t="str">
        <x:f aca="0">IF(AND(ISNUMBER(G792),P792&lt;&gt;"Unresolved unit / layout"),G792*K792,"Not published")</x:f>
        <x:v>Not published</x:v>
      </x:c>
      <x:c r="M792" s="8" t="str">
        <x:f aca="0">IF(AND(ISNUMBER(H792),P792&lt;&gt;"Unresolved unit / layout"),H792*K792,"Not applicable")</x:f>
        <x:v>Not applicable</x:v>
      </x:c>
      <x:c r="N792" s="8" t="str">
        <x:f aca="0">IF(AND(ISNUMBER(I792),P792&lt;&gt;"Unresolved unit / layout"),I792*K792,"Not applicable")</x:f>
        <x:v>Not applicable</x:v>
      </x:c>
      <x:c r="O792" s="7" t="s">
        <x:v>1956</x:v>
      </x:c>
      <x:c r="P792" s="7" t="s">
        <x:v>53</x:v>
      </x:c>
      <x:c r="Q792" s="7" t="s">
        <x:v>1930</x:v>
      </x:c>
      <x:c r="R792" s="7" t="s">
        <x:v>58</x:v>
      </x:c>
      <x:c r="S792" s="7" t="s">
        <x:v>2077</x:v>
      </x:c>
      <x:c r="T792" s="7" t="s">
        <x:v>3601</x:v>
      </x:c>
      <x:c r="U792" s="7" t="s">
        <x:v>53</x:v>
      </x:c>
      <x:c r="V792" s="7" t="s">
        <x:v>2095</x:v>
      </x:c>
      <x:c r="W792" s="7" t="s">
        <x:v>58</x:v>
      </x:c>
      <x:c r="X792" s="7" t="s">
        <x:v>3602</x:v>
      </x:c>
      <x:c r="Y792" s="7" t="s">
        <x:v>1248</x:v>
      </x:c>
      <x:c r="Z792" s="7" t="s">
        <x:v>2096</x:v>
      </x:c>
      <x:c r="AA792" s="7" t="s">
        <x:v>58</x:v>
      </x:c>
      <x:c r="AB792" s="8" t="s">
        <x:v>58</x:v>
      </x:c>
      <x:c r="AC792" s="8" t="s">
        <x:v>58</x:v>
      </x:c>
      <x:c r="AD792" s="8" t="s">
        <x:v>58</x:v>
      </x:c>
      <x:c r="AE792" s="8" t="s">
        <x:v>58</x:v>
      </x:c>
      <x:c r="AF792" s="8" t="s">
        <x:v>58</x:v>
      </x:c>
      <x:c r="AG792" s="7" t="s">
        <x:v>58</x:v>
      </x:c>
    </x:row>
    <x:row r="793" ht="79.5" hidden="0" customHeight="1">
      <x:c r="A793" s="7" t="s">
        <x:v>3608</x:v>
      </x:c>
      <x:c r="B793" s="7" t="s">
        <x:v>507</x:v>
      </x:c>
      <x:c r="C793" s="7" t="s">
        <x:v>509</x:v>
      </x:c>
      <x:c r="D793" s="7" t="s">
        <x:v>2099</x:v>
      </x:c>
      <x:c r="E793" s="7" t="s">
        <x:v>3609</x:v>
      </x:c>
      <x:c r="F793" s="7" t="s">
        <x:v>1942</x:v>
      </x:c>
      <x:c r="G793" s="8" t="n">
        <x:v>1.08</x:v>
      </x:c>
      <x:c r="H793" s="8" t="s">
        <x:v>58</x:v>
      </x:c>
      <x:c r="I793" s="8" t="s">
        <x:v>58</x:v>
      </x:c>
      <x:c r="J793" s="7" t="s">
        <x:v>1919</x:v>
      </x:c>
      <x:c r="K793" s="8" t="n">
        <x:v>1</x:v>
      </x:c>
      <x:c r="L793" s="8" t="n">
        <x:f aca="0">IF(AND(ISNUMBER(G793),P793&lt;&gt;"Unresolved unit / layout"),G793*K793,"Not applicable")</x:f>
        <x:v>1.08</x:v>
      </x:c>
      <x:c r="M793" s="8" t="str">
        <x:f aca="0">IF(AND(ISNUMBER(H793),P793&lt;&gt;"Unresolved unit / layout"),H793*K793,"Not applicable")</x:f>
        <x:v>Not applicable</x:v>
      </x:c>
      <x:c r="N793" s="8" t="str">
        <x:f aca="0">IF(AND(ISNUMBER(I793),P793&lt;&gt;"Unresolved unit / layout"),I793*K793,"Not applicable")</x:f>
        <x:v>Not applicable</x:v>
      </x:c>
      <x:c r="O793" s="7" t="s">
        <x:v>1942</x:v>
      </x:c>
      <x:c r="P793" s="7" t="s">
        <x:v>1921</x:v>
      </x:c>
      <x:c r="Q793" s="7" t="s">
        <x:v>1930</x:v>
      </x:c>
      <x:c r="R793" s="7" t="s">
        <x:v>58</x:v>
      </x:c>
      <x:c r="S793" s="7" t="s">
        <x:v>2077</x:v>
      </x:c>
      <x:c r="T793" s="7" t="s">
        <x:v>3601</x:v>
      </x:c>
      <x:c r="U793" s="7" t="s">
        <x:v>53</x:v>
      </x:c>
      <x:c r="V793" s="7" t="s">
        <x:v>2192</x:v>
      </x:c>
      <x:c r="W793" s="7" t="s">
        <x:v>58</x:v>
      </x:c>
      <x:c r="X793" s="7" t="s">
        <x:v>3602</x:v>
      </x:c>
      <x:c r="Y793" s="7" t="s">
        <x:v>1248</x:v>
      </x:c>
      <x:c r="Z793" s="7" t="s">
        <x:v>2193</x:v>
      </x:c>
      <x:c r="AA793" s="7" t="s">
        <x:v>58</x:v>
      </x:c>
      <x:c r="AB793" s="8" t="s">
        <x:v>58</x:v>
      </x:c>
      <x:c r="AC793" s="8" t="s">
        <x:v>58</x:v>
      </x:c>
      <x:c r="AD793" s="8" t="s">
        <x:v>58</x:v>
      </x:c>
      <x:c r="AE793" s="8" t="s">
        <x:v>58</x:v>
      </x:c>
      <x:c r="AF793" s="8" t="s">
        <x:v>58</x:v>
      </x:c>
      <x:c r="AG793" s="7" t="s">
        <x:v>58</x:v>
      </x:c>
    </x:row>
    <x:row r="794" ht="79.5" hidden="0" customHeight="1">
      <x:c r="A794" s="7" t="s">
        <x:v>3610</x:v>
      </x:c>
      <x:c r="B794" s="7" t="s">
        <x:v>507</x:v>
      </x:c>
      <x:c r="C794" s="7" t="s">
        <x:v>509</x:v>
      </x:c>
      <x:c r="D794" s="7" t="s">
        <x:v>1935</x:v>
      </x:c>
      <x:c r="E794" s="7" t="s">
        <x:v>3611</x:v>
      </x:c>
      <x:c r="F794" s="7" t="s">
        <x:v>1929</x:v>
      </x:c>
      <x:c r="G794" s="8" t="n">
        <x:v>9.8</x:v>
      </x:c>
      <x:c r="H794" s="8" t="n">
        <x:v>0.7</x:v>
      </x:c>
      <x:c r="I794" s="8" t="s">
        <x:v>58</x:v>
      </x:c>
      <x:c r="J794" s="7" t="s">
        <x:v>1919</x:v>
      </x:c>
      <x:c r="K794" s="8" t="n">
        <x:v>0.001</x:v>
      </x:c>
      <x:c r="L794" s="8" t="n">
        <x:f aca="0">IF(AND(ISNUMBER(G794),P794&lt;&gt;"Unresolved unit / layout"),G794*K794,"Not applicable")</x:f>
        <x:v>0.009800000000000001</x:v>
      </x:c>
      <x:c r="M794" s="8" t="n">
        <x:f aca="0">IF(AND(ISNUMBER(H794),P794&lt;&gt;"Unresolved unit / layout"),H794*K794,"Not applicable")</x:f>
        <x:v>0.0007</x:v>
      </x:c>
      <x:c r="N794" s="8" t="str">
        <x:f aca="0">IF(AND(ISNUMBER(I794),P794&lt;&gt;"Unresolved unit / layout"),I794*K794,"Not applicable")</x:f>
        <x:v>Not applicable</x:v>
      </x:c>
      <x:c r="O794" s="7" t="s">
        <x:v>1937</x:v>
      </x:c>
      <x:c r="P794" s="7" t="s">
        <x:v>1921</x:v>
      </x:c>
      <x:c r="Q794" s="7" t="s">
        <x:v>1930</x:v>
      </x:c>
      <x:c r="R794" s="7" t="s">
        <x:v>1931</x:v>
      </x:c>
      <x:c r="S794" s="7" t="s">
        <x:v>2077</x:v>
      </x:c>
      <x:c r="T794" s="7" t="s">
        <x:v>3601</x:v>
      </x:c>
      <x:c r="U794" s="7" t="s">
        <x:v>53</x:v>
      </x:c>
      <x:c r="V794" s="7" t="s">
        <x:v>1999</x:v>
      </x:c>
      <x:c r="W794" s="7" t="s">
        <x:v>58</x:v>
      </x:c>
      <x:c r="X794" s="7" t="s">
        <x:v>3602</x:v>
      </x:c>
      <x:c r="Y794" s="7" t="s">
        <x:v>1248</x:v>
      </x:c>
      <x:c r="Z794" s="7" t="s">
        <x:v>2105</x:v>
      </x:c>
      <x:c r="AA794" s="7" t="s">
        <x:v>58</x:v>
      </x:c>
      <x:c r="AB794" s="8" t="s">
        <x:v>58</x:v>
      </x:c>
      <x:c r="AC794" s="8" t="s">
        <x:v>58</x:v>
      </x:c>
      <x:c r="AD794" s="8" t="s">
        <x:v>58</x:v>
      </x:c>
      <x:c r="AE794" s="8" t="s">
        <x:v>58</x:v>
      </x:c>
      <x:c r="AF794" s="8" t="s">
        <x:v>58</x:v>
      </x:c>
      <x:c r="AG794" s="7" t="s">
        <x:v>58</x:v>
      </x:c>
    </x:row>
    <x:row r="795" ht="79.5" hidden="0" customHeight="1">
      <x:c r="A795" s="7" t="s">
        <x:v>3612</x:v>
      </x:c>
      <x:c r="B795" s="7" t="s">
        <x:v>507</x:v>
      </x:c>
      <x:c r="C795" s="7" t="s">
        <x:v>509</x:v>
      </x:c>
      <x:c r="D795" s="7" t="s">
        <x:v>1935</x:v>
      </x:c>
      <x:c r="E795" s="7" t="s">
        <x:v>3613</x:v>
      </x:c>
      <x:c r="F795" s="7" t="s">
        <x:v>1929</x:v>
      </x:c>
      <x:c r="G795" s="8" t="n">
        <x:v>7.4</x:v>
      </x:c>
      <x:c r="H795" s="8" t="n">
        <x:v>0.6</x:v>
      </x:c>
      <x:c r="I795" s="8" t="s">
        <x:v>58</x:v>
      </x:c>
      <x:c r="J795" s="7" t="s">
        <x:v>1919</x:v>
      </x:c>
      <x:c r="K795" s="8" t="n">
        <x:v>0.001</x:v>
      </x:c>
      <x:c r="L795" s="8" t="n">
        <x:f aca="0">IF(AND(ISNUMBER(G795),P795&lt;&gt;"Unresolved unit / layout"),G795*K795,"Not applicable")</x:f>
        <x:v>0.0074</x:v>
      </x:c>
      <x:c r="M795" s="8" t="n">
        <x:f aca="0">IF(AND(ISNUMBER(H795),P795&lt;&gt;"Unresolved unit / layout"),H795*K795,"Not applicable")</x:f>
        <x:v>0.0006</x:v>
      </x:c>
      <x:c r="N795" s="8" t="str">
        <x:f aca="0">IF(AND(ISNUMBER(I795),P795&lt;&gt;"Unresolved unit / layout"),I795*K795,"Not applicable")</x:f>
        <x:v>Not applicable</x:v>
      </x:c>
      <x:c r="O795" s="7" t="s">
        <x:v>1937</x:v>
      </x:c>
      <x:c r="P795" s="7" t="s">
        <x:v>1921</x:v>
      </x:c>
      <x:c r="Q795" s="7" t="s">
        <x:v>1930</x:v>
      </x:c>
      <x:c r="R795" s="7" t="s">
        <x:v>2003</x:v>
      </x:c>
      <x:c r="S795" s="7" t="s">
        <x:v>2077</x:v>
      </x:c>
      <x:c r="T795" s="7" t="s">
        <x:v>3601</x:v>
      </x:c>
      <x:c r="U795" s="7" t="s">
        <x:v>53</x:v>
      </x:c>
      <x:c r="V795" s="7" t="s">
        <x:v>1999</x:v>
      </x:c>
      <x:c r="W795" s="7" t="s">
        <x:v>58</x:v>
      </x:c>
      <x:c r="X795" s="7" t="s">
        <x:v>3602</x:v>
      </x:c>
      <x:c r="Y795" s="7" t="s">
        <x:v>1248</x:v>
      </x:c>
      <x:c r="Z795" s="7" t="s">
        <x:v>2108</x:v>
      </x:c>
      <x:c r="AA795" s="7" t="s">
        <x:v>58</x:v>
      </x:c>
      <x:c r="AB795" s="8" t="s">
        <x:v>58</x:v>
      </x:c>
      <x:c r="AC795" s="8" t="s">
        <x:v>58</x:v>
      </x:c>
      <x:c r="AD795" s="8" t="s">
        <x:v>58</x:v>
      </x:c>
      <x:c r="AE795" s="8" t="s">
        <x:v>58</x:v>
      </x:c>
      <x:c r="AF795" s="8" t="s">
        <x:v>58</x:v>
      </x:c>
      <x:c r="AG795" s="7" t="s">
        <x:v>58</x:v>
      </x:c>
    </x:row>
    <x:row r="796" ht="79.5" hidden="0" customHeight="1">
      <x:c r="A796" s="7" t="s">
        <x:v>3614</x:v>
      </x:c>
      <x:c r="B796" s="7" t="s">
        <x:v>507</x:v>
      </x:c>
      <x:c r="C796" s="7" t="s">
        <x:v>509</x:v>
      </x:c>
      <x:c r="D796" s="7" t="s">
        <x:v>2006</x:v>
      </x:c>
      <x:c r="E796" s="7" t="s">
        <x:v>3615</x:v>
      </x:c>
      <x:c r="F796" s="7" t="s">
        <x:v>1929</x:v>
      </x:c>
      <x:c r="G796" s="8" t="n">
        <x:v>27.3</x:v>
      </x:c>
      <x:c r="H796" s="8" t="n">
        <x:v>0.8</x:v>
      </x:c>
      <x:c r="I796" s="8" t="s">
        <x:v>58</x:v>
      </x:c>
      <x:c r="J796" s="7" t="s">
        <x:v>1919</x:v>
      </x:c>
      <x:c r="K796" s="8" t="n">
        <x:v>1</x:v>
      </x:c>
      <x:c r="L796" s="8" t="n">
        <x:f aca="0">IF(AND(ISNUMBER(G796),P796&lt;&gt;"Unresolved unit / layout"),G796*K796,"Not applicable")</x:f>
        <x:v>27.3</x:v>
      </x:c>
      <x:c r="M796" s="8" t="n">
        <x:f aca="0">IF(AND(ISNUMBER(H796),P796&lt;&gt;"Unresolved unit / layout"),H796*K796,"Not applicable")</x:f>
        <x:v>0.8</x:v>
      </x:c>
      <x:c r="N796" s="8" t="str">
        <x:f aca="0">IF(AND(ISNUMBER(I796),P796&lt;&gt;"Unresolved unit / layout"),I796*K796,"Not applicable")</x:f>
        <x:v>Not applicable</x:v>
      </x:c>
      <x:c r="O796" s="7" t="s">
        <x:v>1929</x:v>
      </x:c>
      <x:c r="P796" s="7" t="s">
        <x:v>1921</x:v>
      </x:c>
      <x:c r="Q796" s="7" t="s">
        <x:v>1930</x:v>
      </x:c>
      <x:c r="R796" s="7" t="s">
        <x:v>1931</x:v>
      </x:c>
      <x:c r="S796" s="7" t="s">
        <x:v>2077</x:v>
      </x:c>
      <x:c r="T796" s="7" t="s">
        <x:v>3601</x:v>
      </x:c>
      <x:c r="U796" s="7" t="s">
        <x:v>53</x:v>
      </x:c>
      <x:c r="V796" s="7" t="s">
        <x:v>1999</x:v>
      </x:c>
      <x:c r="W796" s="7" t="s">
        <x:v>58</x:v>
      </x:c>
      <x:c r="X796" s="7" t="s">
        <x:v>3602</x:v>
      </x:c>
      <x:c r="Y796" s="7" t="s">
        <x:v>1248</x:v>
      </x:c>
      <x:c r="Z796" s="7" t="s">
        <x:v>2111</x:v>
      </x:c>
      <x:c r="AA796" s="7" t="s">
        <x:v>58</x:v>
      </x:c>
      <x:c r="AB796" s="8" t="s">
        <x:v>58</x:v>
      </x:c>
      <x:c r="AC796" s="8" t="s">
        <x:v>58</x:v>
      </x:c>
      <x:c r="AD796" s="8" t="s">
        <x:v>58</x:v>
      </x:c>
      <x:c r="AE796" s="8" t="s">
        <x:v>58</x:v>
      </x:c>
      <x:c r="AF796" s="8" t="s">
        <x:v>58</x:v>
      </x:c>
      <x:c r="AG796" s="7" t="s">
        <x:v>58</x:v>
      </x:c>
    </x:row>
    <x:row r="797" ht="79.5" hidden="0" customHeight="1">
      <x:c r="A797" s="7" t="s">
        <x:v>3616</x:v>
      </x:c>
      <x:c r="B797" s="7" t="s">
        <x:v>507</x:v>
      </x:c>
      <x:c r="C797" s="7" t="s">
        <x:v>509</x:v>
      </x:c>
      <x:c r="D797" s="7" t="s">
        <x:v>2006</x:v>
      </x:c>
      <x:c r="E797" s="7" t="s">
        <x:v>3617</x:v>
      </x:c>
      <x:c r="F797" s="7" t="s">
        <x:v>1929</x:v>
      </x:c>
      <x:c r="G797" s="8" t="n">
        <x:v>22.3</x:v>
      </x:c>
      <x:c r="H797" s="8" t="n">
        <x:v>0.6</x:v>
      </x:c>
      <x:c r="I797" s="8" t="s">
        <x:v>58</x:v>
      </x:c>
      <x:c r="J797" s="7" t="s">
        <x:v>1919</x:v>
      </x:c>
      <x:c r="K797" s="8" t="n">
        <x:v>1</x:v>
      </x:c>
      <x:c r="L797" s="8" t="n">
        <x:f aca="0">IF(AND(ISNUMBER(G797),P797&lt;&gt;"Unresolved unit / layout"),G797*K797,"Not applicable")</x:f>
        <x:v>22.3</x:v>
      </x:c>
      <x:c r="M797" s="8" t="n">
        <x:f aca="0">IF(AND(ISNUMBER(H797),P797&lt;&gt;"Unresolved unit / layout"),H797*K797,"Not applicable")</x:f>
        <x:v>0.6</x:v>
      </x:c>
      <x:c r="N797" s="8" t="str">
        <x:f aca="0">IF(AND(ISNUMBER(I797),P797&lt;&gt;"Unresolved unit / layout"),I797*K797,"Not applicable")</x:f>
        <x:v>Not applicable</x:v>
      </x:c>
      <x:c r="O797" s="7" t="s">
        <x:v>1929</x:v>
      </x:c>
      <x:c r="P797" s="7" t="s">
        <x:v>1921</x:v>
      </x:c>
      <x:c r="Q797" s="7" t="s">
        <x:v>1930</x:v>
      </x:c>
      <x:c r="R797" s="7" t="s">
        <x:v>2003</x:v>
      </x:c>
      <x:c r="S797" s="7" t="s">
        <x:v>2077</x:v>
      </x:c>
      <x:c r="T797" s="7" t="s">
        <x:v>3601</x:v>
      </x:c>
      <x:c r="U797" s="7" t="s">
        <x:v>53</x:v>
      </x:c>
      <x:c r="V797" s="7" t="s">
        <x:v>1999</x:v>
      </x:c>
      <x:c r="W797" s="7" t="s">
        <x:v>58</x:v>
      </x:c>
      <x:c r="X797" s="7" t="s">
        <x:v>3602</x:v>
      </x:c>
      <x:c r="Y797" s="7" t="s">
        <x:v>1248</x:v>
      </x:c>
      <x:c r="Z797" s="7" t="s">
        <x:v>2114</x:v>
      </x:c>
      <x:c r="AA797" s="7" t="s">
        <x:v>58</x:v>
      </x:c>
      <x:c r="AB797" s="8" t="s">
        <x:v>58</x:v>
      </x:c>
      <x:c r="AC797" s="8" t="s">
        <x:v>58</x:v>
      </x:c>
      <x:c r="AD797" s="8" t="s">
        <x:v>58</x:v>
      </x:c>
      <x:c r="AE797" s="8" t="s">
        <x:v>58</x:v>
      </x:c>
      <x:c r="AF797" s="8" t="s">
        <x:v>58</x:v>
      </x:c>
      <x:c r="AG797" s="7" t="s">
        <x:v>58</x:v>
      </x:c>
    </x:row>
    <x:row r="798" ht="79.5" hidden="0" customHeight="1">
      <x:c r="A798" s="7" t="s">
        <x:v>3618</x:v>
      </x:c>
      <x:c r="B798" s="7" t="s">
        <x:v>507</x:v>
      </x:c>
      <x:c r="C798" s="7" t="s">
        <x:v>509</x:v>
      </x:c>
      <x:c r="D798" s="7" t="s">
        <x:v>1940</x:v>
      </x:c>
      <x:c r="E798" s="7" t="s">
        <x:v>3590</x:v>
      </x:c>
      <x:c r="F798" s="7" t="s">
        <x:v>1942</x:v>
      </x:c>
      <x:c r="G798" s="8" t="n">
        <x:v>650</x:v>
      </x:c>
      <x:c r="H798" s="8" t="s">
        <x:v>58</x:v>
      </x:c>
      <x:c r="I798" s="8" t="s">
        <x:v>58</x:v>
      </x:c>
      <x:c r="J798" s="7" t="s">
        <x:v>3460</x:v>
      </x:c>
      <x:c r="K798" s="8" t="n">
        <x:v>1</x:v>
      </x:c>
      <x:c r="L798" s="8" t="n">
        <x:f aca="0">IF(AND(ISNUMBER(G798),P798&lt;&gt;"Unresolved unit / layout"),G798*K798,"Not applicable")</x:f>
        <x:v>650</x:v>
      </x:c>
      <x:c r="M798" s="8" t="str">
        <x:f aca="0">IF(AND(ISNUMBER(H798),P798&lt;&gt;"Unresolved unit / layout"),H798*K798,"Not applicable")</x:f>
        <x:v>Not applicable</x:v>
      </x:c>
      <x:c r="N798" s="8" t="str">
        <x:f aca="0">IF(AND(ISNUMBER(I798),P798&lt;&gt;"Unresolved unit / layout"),I798*K798,"Not applicable")</x:f>
        <x:v>Not applicable</x:v>
      </x:c>
      <x:c r="O798" s="7" t="s">
        <x:v>1942</x:v>
      </x:c>
      <x:c r="P798" s="7" t="s">
        <x:v>1921</x:v>
      </x:c>
      <x:c r="Q798" s="7" t="s">
        <x:v>1930</x:v>
      </x:c>
      <x:c r="R798" s="7" t="s">
        <x:v>1931</x:v>
      </x:c>
      <x:c r="S798" s="7" t="s">
        <x:v>2077</x:v>
      </x:c>
      <x:c r="T798" s="7" t="s">
        <x:v>3601</x:v>
      </x:c>
      <x:c r="U798" s="7" t="s">
        <x:v>53</x:v>
      </x:c>
      <x:c r="V798" s="7" t="s">
        <x:v>1999</x:v>
      </x:c>
      <x:c r="W798" s="7" t="s">
        <x:v>58</x:v>
      </x:c>
      <x:c r="X798" s="7" t="s">
        <x:v>3602</x:v>
      </x:c>
      <x:c r="Y798" s="7" t="s">
        <x:v>1248</x:v>
      </x:c>
      <x:c r="Z798" s="7" t="s">
        <x:v>2117</x:v>
      </x:c>
      <x:c r="AA798" s="7" t="s">
        <x:v>58</x:v>
      </x:c>
      <x:c r="AB798" s="8" t="s">
        <x:v>58</x:v>
      </x:c>
      <x:c r="AC798" s="8" t="s">
        <x:v>58</x:v>
      </x:c>
      <x:c r="AD798" s="8" t="s">
        <x:v>58</x:v>
      </x:c>
      <x:c r="AE798" s="8" t="s">
        <x:v>58</x:v>
      </x:c>
      <x:c r="AF798" s="8" t="s">
        <x:v>58</x:v>
      </x:c>
      <x:c r="AG798" s="7" t="s">
        <x:v>58</x:v>
      </x:c>
    </x:row>
    <x:row r="799" ht="79.5" hidden="0" customHeight="1">
      <x:c r="A799" s="7" t="s">
        <x:v>3619</x:v>
      </x:c>
      <x:c r="B799" s="7" t="s">
        <x:v>507</x:v>
      </x:c>
      <x:c r="C799" s="7" t="s">
        <x:v>509</x:v>
      </x:c>
      <x:c r="D799" s="7" t="s">
        <x:v>1940</x:v>
      </x:c>
      <x:c r="E799" s="7" t="s">
        <x:v>3620</x:v>
      </x:c>
      <x:c r="F799" s="7" t="s">
        <x:v>1942</x:v>
      </x:c>
      <x:c r="G799" s="8" t="n">
        <x:v>480</x:v>
      </x:c>
      <x:c r="H799" s="8" t="s">
        <x:v>58</x:v>
      </x:c>
      <x:c r="I799" s="8" t="s">
        <x:v>58</x:v>
      </x:c>
      <x:c r="J799" s="7" t="s">
        <x:v>3460</x:v>
      </x:c>
      <x:c r="K799" s="8" t="n">
        <x:v>1</x:v>
      </x:c>
      <x:c r="L799" s="8" t="n">
        <x:f aca="0">IF(AND(ISNUMBER(G799),P799&lt;&gt;"Unresolved unit / layout"),G799*K799,"Not applicable")</x:f>
        <x:v>480</x:v>
      </x:c>
      <x:c r="M799" s="8" t="str">
        <x:f aca="0">IF(AND(ISNUMBER(H799),P799&lt;&gt;"Unresolved unit / layout"),H799*K799,"Not applicable")</x:f>
        <x:v>Not applicable</x:v>
      </x:c>
      <x:c r="N799" s="8" t="str">
        <x:f aca="0">IF(AND(ISNUMBER(I799),P799&lt;&gt;"Unresolved unit / layout"),I799*K799,"Not applicable")</x:f>
        <x:v>Not applicable</x:v>
      </x:c>
      <x:c r="O799" s="7" t="s">
        <x:v>1942</x:v>
      </x:c>
      <x:c r="P799" s="7" t="s">
        <x:v>1921</x:v>
      </x:c>
      <x:c r="Q799" s="7" t="s">
        <x:v>1930</x:v>
      </x:c>
      <x:c r="R799" s="7" t="s">
        <x:v>2003</x:v>
      </x:c>
      <x:c r="S799" s="7" t="s">
        <x:v>2077</x:v>
      </x:c>
      <x:c r="T799" s="7" t="s">
        <x:v>3601</x:v>
      </x:c>
      <x:c r="U799" s="7" t="s">
        <x:v>53</x:v>
      </x:c>
      <x:c r="V799" s="7" t="s">
        <x:v>1999</x:v>
      </x:c>
      <x:c r="W799" s="7" t="s">
        <x:v>58</x:v>
      </x:c>
      <x:c r="X799" s="7" t="s">
        <x:v>3602</x:v>
      </x:c>
      <x:c r="Y799" s="7" t="s">
        <x:v>1248</x:v>
      </x:c>
      <x:c r="Z799" s="7" t="s">
        <x:v>2120</x:v>
      </x:c>
      <x:c r="AA799" s="7" t="s">
        <x:v>58</x:v>
      </x:c>
      <x:c r="AB799" s="8" t="s">
        <x:v>58</x:v>
      </x:c>
      <x:c r="AC799" s="8" t="s">
        <x:v>58</x:v>
      </x:c>
      <x:c r="AD799" s="8" t="s">
        <x:v>58</x:v>
      </x:c>
      <x:c r="AE799" s="8" t="s">
        <x:v>58</x:v>
      </x:c>
      <x:c r="AF799" s="8" t="s">
        <x:v>58</x:v>
      </x:c>
      <x:c r="AG799" s="7" t="s">
        <x:v>58</x:v>
      </x:c>
    </x:row>
    <x:row r="800" ht="79.5" hidden="0" customHeight="1">
      <x:c r="A800" s="7" t="s">
        <x:v>3621</x:v>
      </x:c>
      <x:c r="B800" s="7" t="s">
        <x:v>507</x:v>
      </x:c>
      <x:c r="C800" s="7" t="s">
        <x:v>509</x:v>
      </x:c>
      <x:c r="D800" s="7" t="s">
        <x:v>1950</x:v>
      </x:c>
      <x:c r="E800" s="7" t="s">
        <x:v>1995</x:v>
      </x:c>
      <x:c r="F800" s="7" t="s">
        <x:v>53</x:v>
      </x:c>
      <x:c r="G800" s="8" t="s">
        <x:v>53</x:v>
      </x:c>
      <x:c r="H800" s="8" t="s">
        <x:v>58</x:v>
      </x:c>
      <x:c r="I800" s="8" t="s">
        <x:v>58</x:v>
      </x:c>
      <x:c r="J800" s="7" t="s">
        <x:v>58</x:v>
      </x:c>
      <x:c r="K800" s="8" t="n">
        <x:v>1</x:v>
      </x:c>
      <x:c r="L800" s="8" t="str">
        <x:f aca="0">IF(AND(ISNUMBER(G800),P800&lt;&gt;"Unresolved unit / layout"),G800*K800,"Not published")</x:f>
        <x:v>Not published</x:v>
      </x:c>
      <x:c r="M800" s="8" t="str">
        <x:f aca="0">IF(AND(ISNUMBER(H800),P800&lt;&gt;"Unresolved unit / layout"),H800*K800,"Not applicable")</x:f>
        <x:v>Not applicable</x:v>
      </x:c>
      <x:c r="N800" s="8" t="str">
        <x:f aca="0">IF(AND(ISNUMBER(I800),P800&lt;&gt;"Unresolved unit / layout"),I800*K800,"Not applicable")</x:f>
        <x:v>Not applicable</x:v>
      </x:c>
      <x:c r="O800" s="7" t="s">
        <x:v>53</x:v>
      </x:c>
      <x:c r="P800" s="7" t="s">
        <x:v>53</x:v>
      </x:c>
      <x:c r="Q800" s="7" t="s">
        <x:v>1930</x:v>
      </x:c>
      <x:c r="R800" s="7" t="s">
        <x:v>1931</x:v>
      </x:c>
      <x:c r="S800" s="7" t="s">
        <x:v>2077</x:v>
      </x:c>
      <x:c r="T800" s="7" t="s">
        <x:v>3601</x:v>
      </x:c>
      <x:c r="U800" s="7" t="s">
        <x:v>53</x:v>
      </x:c>
      <x:c r="V800" s="7" t="s">
        <x:v>2020</x:v>
      </x:c>
      <x:c r="W800" s="7" t="s">
        <x:v>58</x:v>
      </x:c>
      <x:c r="X800" s="7" t="s">
        <x:v>3602</x:v>
      </x:c>
      <x:c r="Y800" s="7" t="s">
        <x:v>1248</x:v>
      </x:c>
      <x:c r="Z800" s="7" t="s">
        <x:v>2123</x:v>
      </x:c>
      <x:c r="AA800" s="7" t="s">
        <x:v>58</x:v>
      </x:c>
      <x:c r="AB800" s="8" t="s">
        <x:v>58</x:v>
      </x:c>
      <x:c r="AC800" s="8" t="s">
        <x:v>58</x:v>
      </x:c>
      <x:c r="AD800" s="8" t="s">
        <x:v>58</x:v>
      </x:c>
      <x:c r="AE800" s="8" t="s">
        <x:v>58</x:v>
      </x:c>
      <x:c r="AF800" s="8" t="s">
        <x:v>58</x:v>
      </x:c>
      <x:c r="AG800" s="7" t="s">
        <x:v>58</x:v>
      </x:c>
    </x:row>
    <x:row r="801" ht="79.5" hidden="0" customHeight="1">
      <x:c r="A801" s="7" t="s">
        <x:v>3622</x:v>
      </x:c>
      <x:c r="B801" s="7" t="s">
        <x:v>507</x:v>
      </x:c>
      <x:c r="C801" s="7" t="s">
        <x:v>509</x:v>
      </x:c>
      <x:c r="D801" s="7" t="s">
        <x:v>1950</x:v>
      </x:c>
      <x:c r="E801" s="7" t="s">
        <x:v>1995</x:v>
      </x:c>
      <x:c r="F801" s="7" t="s">
        <x:v>53</x:v>
      </x:c>
      <x:c r="G801" s="8" t="s">
        <x:v>53</x:v>
      </x:c>
      <x:c r="H801" s="8" t="s">
        <x:v>58</x:v>
      </x:c>
      <x:c r="I801" s="8" t="s">
        <x:v>58</x:v>
      </x:c>
      <x:c r="J801" s="7" t="s">
        <x:v>58</x:v>
      </x:c>
      <x:c r="K801" s="8" t="n">
        <x:v>1</x:v>
      </x:c>
      <x:c r="L801" s="8" t="str">
        <x:f aca="0">IF(AND(ISNUMBER(G801),P801&lt;&gt;"Unresolved unit / layout"),G801*K801,"Not published")</x:f>
        <x:v>Not published</x:v>
      </x:c>
      <x:c r="M801" s="8" t="str">
        <x:f aca="0">IF(AND(ISNUMBER(H801),P801&lt;&gt;"Unresolved unit / layout"),H801*K801,"Not applicable")</x:f>
        <x:v>Not applicable</x:v>
      </x:c>
      <x:c r="N801" s="8" t="str">
        <x:f aca="0">IF(AND(ISNUMBER(I801),P801&lt;&gt;"Unresolved unit / layout"),I801*K801,"Not applicable")</x:f>
        <x:v>Not applicable</x:v>
      </x:c>
      <x:c r="O801" s="7" t="s">
        <x:v>53</x:v>
      </x:c>
      <x:c r="P801" s="7" t="s">
        <x:v>53</x:v>
      </x:c>
      <x:c r="Q801" s="7" t="s">
        <x:v>1930</x:v>
      </x:c>
      <x:c r="R801" s="7" t="s">
        <x:v>2003</x:v>
      </x:c>
      <x:c r="S801" s="7" t="s">
        <x:v>2077</x:v>
      </x:c>
      <x:c r="T801" s="7" t="s">
        <x:v>3601</x:v>
      </x:c>
      <x:c r="U801" s="7" t="s">
        <x:v>53</x:v>
      </x:c>
      <x:c r="V801" s="7" t="s">
        <x:v>2020</x:v>
      </x:c>
      <x:c r="W801" s="7" t="s">
        <x:v>58</x:v>
      </x:c>
      <x:c r="X801" s="7" t="s">
        <x:v>3602</x:v>
      </x:c>
      <x:c r="Y801" s="7" t="s">
        <x:v>1248</x:v>
      </x:c>
      <x:c r="Z801" s="7" t="s">
        <x:v>2210</x:v>
      </x:c>
      <x:c r="AA801" s="7" t="s">
        <x:v>58</x:v>
      </x:c>
      <x:c r="AB801" s="8" t="s">
        <x:v>58</x:v>
      </x:c>
      <x:c r="AC801" s="8" t="s">
        <x:v>58</x:v>
      </x:c>
      <x:c r="AD801" s="8" t="s">
        <x:v>58</x:v>
      </x:c>
      <x:c r="AE801" s="8" t="s">
        <x:v>58</x:v>
      </x:c>
      <x:c r="AF801" s="8" t="s">
        <x:v>58</x:v>
      </x:c>
      <x:c r="AG801" s="7" t="s">
        <x:v>58</x:v>
      </x:c>
    </x:row>
    <x:row r="802" ht="79.5" hidden="0" customHeight="1">
      <x:c r="A802" s="7" t="s">
        <x:v>3623</x:v>
      </x:c>
      <x:c r="B802" s="7" t="s">
        <x:v>507</x:v>
      </x:c>
      <x:c r="C802" s="7" t="s">
        <x:v>509</x:v>
      </x:c>
      <x:c r="D802" s="7" t="s">
        <x:v>1945</x:v>
      </x:c>
      <x:c r="E802" s="7" t="s">
        <x:v>1995</x:v>
      </x:c>
      <x:c r="F802" s="7" t="s">
        <x:v>53</x:v>
      </x:c>
      <x:c r="G802" s="8" t="s">
        <x:v>53</x:v>
      </x:c>
      <x:c r="H802" s="8" t="s">
        <x:v>58</x:v>
      </x:c>
      <x:c r="I802" s="8" t="s">
        <x:v>58</x:v>
      </x:c>
      <x:c r="J802" s="7" t="s">
        <x:v>58</x:v>
      </x:c>
      <x:c r="K802" s="8" t="n">
        <x:v>1</x:v>
      </x:c>
      <x:c r="L802" s="8" t="str">
        <x:f aca="0">IF(AND(ISNUMBER(G802),P802&lt;&gt;"Unresolved unit / layout"),G802*K802,"Not published")</x:f>
        <x:v>Not published</x:v>
      </x:c>
      <x:c r="M802" s="8" t="str">
        <x:f aca="0">IF(AND(ISNUMBER(H802),P802&lt;&gt;"Unresolved unit / layout"),H802*K802,"Not applicable")</x:f>
        <x:v>Not applicable</x:v>
      </x:c>
      <x:c r="N802" s="8" t="str">
        <x:f aca="0">IF(AND(ISNUMBER(I802),P802&lt;&gt;"Unresolved unit / layout"),I802*K802,"Not applicable")</x:f>
        <x:v>Not applicable</x:v>
      </x:c>
      <x:c r="O802" s="7" t="s">
        <x:v>53</x:v>
      </x:c>
      <x:c r="P802" s="7" t="s">
        <x:v>53</x:v>
      </x:c>
      <x:c r="Q802" s="7" t="s">
        <x:v>1930</x:v>
      </x:c>
      <x:c r="R802" s="7" t="s">
        <x:v>1931</x:v>
      </x:c>
      <x:c r="S802" s="7" t="s">
        <x:v>2077</x:v>
      </x:c>
      <x:c r="T802" s="7" t="s">
        <x:v>3601</x:v>
      </x:c>
      <x:c r="U802" s="7" t="s">
        <x:v>53</x:v>
      </x:c>
      <x:c r="V802" s="7" t="s">
        <x:v>2020</x:v>
      </x:c>
      <x:c r="W802" s="7" t="s">
        <x:v>58</x:v>
      </x:c>
      <x:c r="X802" s="7" t="s">
        <x:v>3602</x:v>
      </x:c>
      <x:c r="Y802" s="7" t="s">
        <x:v>1248</x:v>
      </x:c>
      <x:c r="Z802" s="7" t="s">
        <x:v>2213</x:v>
      </x:c>
      <x:c r="AA802" s="7" t="s">
        <x:v>58</x:v>
      </x:c>
      <x:c r="AB802" s="8" t="s">
        <x:v>58</x:v>
      </x:c>
      <x:c r="AC802" s="8" t="s">
        <x:v>58</x:v>
      </x:c>
      <x:c r="AD802" s="8" t="s">
        <x:v>58</x:v>
      </x:c>
      <x:c r="AE802" s="8" t="s">
        <x:v>58</x:v>
      </x:c>
      <x:c r="AF802" s="8" t="s">
        <x:v>58</x:v>
      </x:c>
      <x:c r="AG802" s="7" t="s">
        <x:v>58</x:v>
      </x:c>
    </x:row>
    <x:row r="803" ht="79.5" hidden="0" customHeight="1">
      <x:c r="A803" s="7" t="s">
        <x:v>3624</x:v>
      </x:c>
      <x:c r="B803" s="7" t="s">
        <x:v>507</x:v>
      </x:c>
      <x:c r="C803" s="7" t="s">
        <x:v>509</x:v>
      </x:c>
      <x:c r="D803" s="7" t="s">
        <x:v>1945</x:v>
      </x:c>
      <x:c r="E803" s="7" t="s">
        <x:v>1995</x:v>
      </x:c>
      <x:c r="F803" s="7" t="s">
        <x:v>53</x:v>
      </x:c>
      <x:c r="G803" s="8" t="s">
        <x:v>53</x:v>
      </x:c>
      <x:c r="H803" s="8" t="s">
        <x:v>58</x:v>
      </x:c>
      <x:c r="I803" s="8" t="s">
        <x:v>58</x:v>
      </x:c>
      <x:c r="J803" s="7" t="s">
        <x:v>58</x:v>
      </x:c>
      <x:c r="K803" s="8" t="n">
        <x:v>1</x:v>
      </x:c>
      <x:c r="L803" s="8" t="str">
        <x:f aca="0">IF(AND(ISNUMBER(G803),P803&lt;&gt;"Unresolved unit / layout"),G803*K803,"Not published")</x:f>
        <x:v>Not published</x:v>
      </x:c>
      <x:c r="M803" s="8" t="str">
        <x:f aca="0">IF(AND(ISNUMBER(H803),P803&lt;&gt;"Unresolved unit / layout"),H803*K803,"Not applicable")</x:f>
        <x:v>Not applicable</x:v>
      </x:c>
      <x:c r="N803" s="8" t="str">
        <x:f aca="0">IF(AND(ISNUMBER(I803),P803&lt;&gt;"Unresolved unit / layout"),I803*K803,"Not applicable")</x:f>
        <x:v>Not applicable</x:v>
      </x:c>
      <x:c r="O803" s="7" t="s">
        <x:v>53</x:v>
      </x:c>
      <x:c r="P803" s="7" t="s">
        <x:v>53</x:v>
      </x:c>
      <x:c r="Q803" s="7" t="s">
        <x:v>1930</x:v>
      </x:c>
      <x:c r="R803" s="7" t="s">
        <x:v>2003</x:v>
      </x:c>
      <x:c r="S803" s="7" t="s">
        <x:v>2077</x:v>
      </x:c>
      <x:c r="T803" s="7" t="s">
        <x:v>3601</x:v>
      </x:c>
      <x:c r="U803" s="7" t="s">
        <x:v>53</x:v>
      </x:c>
      <x:c r="V803" s="7" t="s">
        <x:v>2020</x:v>
      </x:c>
      <x:c r="W803" s="7" t="s">
        <x:v>58</x:v>
      </x:c>
      <x:c r="X803" s="7" t="s">
        <x:v>3602</x:v>
      </x:c>
      <x:c r="Y803" s="7" t="s">
        <x:v>1248</x:v>
      </x:c>
      <x:c r="Z803" s="7" t="s">
        <x:v>2216</x:v>
      </x:c>
      <x:c r="AA803" s="7" t="s">
        <x:v>58</x:v>
      </x:c>
      <x:c r="AB803" s="8" t="s">
        <x:v>58</x:v>
      </x:c>
      <x:c r="AC803" s="8" t="s">
        <x:v>58</x:v>
      </x:c>
      <x:c r="AD803" s="8" t="s">
        <x:v>58</x:v>
      </x:c>
      <x:c r="AE803" s="8" t="s">
        <x:v>58</x:v>
      </x:c>
      <x:c r="AF803" s="8" t="s">
        <x:v>58</x:v>
      </x:c>
      <x:c r="AG803" s="7" t="s">
        <x:v>58</x:v>
      </x:c>
    </x:row>
    <x:row r="804" ht="79.5" hidden="0" customHeight="1">
      <x:c r="A804" s="7" t="s">
        <x:v>3625</x:v>
      </x:c>
      <x:c r="B804" s="7" t="s">
        <x:v>507</x:v>
      </x:c>
      <x:c r="C804" s="7" t="s">
        <x:v>509</x:v>
      </x:c>
      <x:c r="D804" s="7" t="s">
        <x:v>2030</x:v>
      </x:c>
      <x:c r="E804" s="7" t="s">
        <x:v>3626</x:v>
      </x:c>
      <x:c r="F804" s="7" t="s">
        <x:v>2033</x:v>
      </x:c>
      <x:c r="G804" s="8" t="n">
        <x:v>123.2</x:v>
      </x:c>
      <x:c r="H804" s="8" t="s">
        <x:v>58</x:v>
      </x:c>
      <x:c r="I804" s="8" t="s">
        <x:v>58</x:v>
      </x:c>
      <x:c r="J804" s="7" t="s">
        <x:v>1919</x:v>
      </x:c>
      <x:c r="K804" s="8" t="n">
        <x:v>1</x:v>
      </x:c>
      <x:c r="L804" s="8" t="n">
        <x:f aca="0">IF(AND(ISNUMBER(G804),P804&lt;&gt;"Unresolved unit / layout"),G804*K804,"Not applicable")</x:f>
        <x:v>123.2</x:v>
      </x:c>
      <x:c r="M804" s="8" t="str">
        <x:f aca="0">IF(AND(ISNUMBER(H804),P804&lt;&gt;"Unresolved unit / layout"),H804*K804,"Not applicable")</x:f>
        <x:v>Not applicable</x:v>
      </x:c>
      <x:c r="N804" s="8" t="str">
        <x:f aca="0">IF(AND(ISNUMBER(I804),P804&lt;&gt;"Unresolved unit / layout"),I804*K804,"Not applicable")</x:f>
        <x:v>Not applicable</x:v>
      </x:c>
      <x:c r="O804" s="7" t="s">
        <x:v>2033</x:v>
      </x:c>
      <x:c r="P804" s="7" t="s">
        <x:v>1921</x:v>
      </x:c>
      <x:c r="Q804" s="7" t="s">
        <x:v>1930</x:v>
      </x:c>
      <x:c r="R804" s="7" t="s">
        <x:v>1931</x:v>
      </x:c>
      <x:c r="S804" s="7" t="s">
        <x:v>2077</x:v>
      </x:c>
      <x:c r="T804" s="7" t="s">
        <x:v>3601</x:v>
      </x:c>
      <x:c r="U804" s="7" t="s">
        <x:v>53</x:v>
      </x:c>
      <x:c r="V804" s="7" t="s">
        <x:v>2036</x:v>
      </x:c>
      <x:c r="W804" s="7" t="s">
        <x:v>53</x:v>
      </x:c>
      <x:c r="X804" s="7" t="s">
        <x:v>3602</x:v>
      </x:c>
      <x:c r="Y804" s="7" t="s">
        <x:v>1248</x:v>
      </x:c>
      <x:c r="Z804" s="7" t="s">
        <x:v>2378</x:v>
      </x:c>
      <x:c r="AA804" s="7" t="s">
        <x:v>58</x:v>
      </x:c>
      <x:c r="AB804" s="8" t="s">
        <x:v>58</x:v>
      </x:c>
      <x:c r="AC804" s="8" t="s">
        <x:v>58</x:v>
      </x:c>
      <x:c r="AD804" s="8" t="s">
        <x:v>58</x:v>
      </x:c>
      <x:c r="AE804" s="8" t="s">
        <x:v>58</x:v>
      </x:c>
      <x:c r="AF804" s="8" t="s">
        <x:v>58</x:v>
      </x:c>
      <x:c r="AG804" s="7" t="s">
        <x:v>58</x:v>
      </x:c>
    </x:row>
    <x:row r="805" ht="79.5" hidden="0" customHeight="1">
      <x:c r="A805" s="7" t="s">
        <x:v>3627</x:v>
      </x:c>
      <x:c r="B805" s="7" t="s">
        <x:v>507</x:v>
      </x:c>
      <x:c r="C805" s="7" t="s">
        <x:v>509</x:v>
      </x:c>
      <x:c r="D805" s="7" t="s">
        <x:v>2030</x:v>
      </x:c>
      <x:c r="E805" s="7" t="s">
        <x:v>3628</x:v>
      </x:c>
      <x:c r="F805" s="7" t="s">
        <x:v>2033</x:v>
      </x:c>
      <x:c r="G805" s="8" t="n">
        <x:v>86.3</x:v>
      </x:c>
      <x:c r="H805" s="8" t="s">
        <x:v>58</x:v>
      </x:c>
      <x:c r="I805" s="8" t="s">
        <x:v>58</x:v>
      </x:c>
      <x:c r="J805" s="7" t="s">
        <x:v>1919</x:v>
      </x:c>
      <x:c r="K805" s="8" t="n">
        <x:v>1</x:v>
      </x:c>
      <x:c r="L805" s="8" t="n">
        <x:f aca="0">IF(AND(ISNUMBER(G805),P805&lt;&gt;"Unresolved unit / layout"),G805*K805,"Not applicable")</x:f>
        <x:v>86.3</x:v>
      </x:c>
      <x:c r="M805" s="8" t="str">
        <x:f aca="0">IF(AND(ISNUMBER(H805),P805&lt;&gt;"Unresolved unit / layout"),H805*K805,"Not applicable")</x:f>
        <x:v>Not applicable</x:v>
      </x:c>
      <x:c r="N805" s="8" t="str">
        <x:f aca="0">IF(AND(ISNUMBER(I805),P805&lt;&gt;"Unresolved unit / layout"),I805*K805,"Not applicable")</x:f>
        <x:v>Not applicable</x:v>
      </x:c>
      <x:c r="O805" s="7" t="s">
        <x:v>2033</x:v>
      </x:c>
      <x:c r="P805" s="7" t="s">
        <x:v>1921</x:v>
      </x:c>
      <x:c r="Q805" s="7" t="s">
        <x:v>1930</x:v>
      </x:c>
      <x:c r="R805" s="7" t="s">
        <x:v>2003</x:v>
      </x:c>
      <x:c r="S805" s="7" t="s">
        <x:v>2077</x:v>
      </x:c>
      <x:c r="T805" s="7" t="s">
        <x:v>3601</x:v>
      </x:c>
      <x:c r="U805" s="7" t="s">
        <x:v>53</x:v>
      </x:c>
      <x:c r="V805" s="7" t="s">
        <x:v>2036</x:v>
      </x:c>
      <x:c r="W805" s="7" t="s">
        <x:v>53</x:v>
      </x:c>
      <x:c r="X805" s="7" t="s">
        <x:v>3602</x:v>
      </x:c>
      <x:c r="Y805" s="7" t="s">
        <x:v>1248</x:v>
      </x:c>
      <x:c r="Z805" s="7" t="s">
        <x:v>2225</x:v>
      </x:c>
      <x:c r="AA805" s="7" t="s">
        <x:v>58</x:v>
      </x:c>
      <x:c r="AB805" s="8" t="s">
        <x:v>58</x:v>
      </x:c>
      <x:c r="AC805" s="8" t="s">
        <x:v>58</x:v>
      </x:c>
      <x:c r="AD805" s="8" t="s">
        <x:v>58</x:v>
      </x:c>
      <x:c r="AE805" s="8" t="s">
        <x:v>58</x:v>
      </x:c>
      <x:c r="AF805" s="8" t="s">
        <x:v>58</x:v>
      </x:c>
      <x:c r="AG805" s="7" t="s">
        <x:v>58</x:v>
      </x:c>
    </x:row>
    <x:row r="806" ht="79.5" hidden="0" customHeight="1">
      <x:c r="A806" s="7" t="s">
        <x:v>3629</x:v>
      </x:c>
      <x:c r="B806" s="7" t="s">
        <x:v>519</x:v>
      </x:c>
      <x:c r="C806" s="7" t="s">
        <x:v>521</x:v>
      </x:c>
      <x:c r="D806" s="7" t="s">
        <x:v>1916</x:v>
      </x:c>
      <x:c r="E806" s="7" t="s">
        <x:v>2075</x:v>
      </x:c>
      <x:c r="F806" s="7" t="s">
        <x:v>2076</x:v>
      </x:c>
      <x:c r="G806" s="8" t="n">
        <x:v>1.24</x:v>
      </x:c>
      <x:c r="H806" s="8" t="s">
        <x:v>58</x:v>
      </x:c>
      <x:c r="I806" s="8" t="s">
        <x:v>58</x:v>
      </x:c>
      <x:c r="J806" s="7" t="s">
        <x:v>1919</x:v>
      </x:c>
      <x:c r="K806" s="8" t="n">
        <x:v>1000</x:v>
      </x:c>
      <x:c r="L806" s="8" t="n">
        <x:f aca="0">IF(AND(ISNUMBER(G806),P806&lt;&gt;"Unresolved unit / layout"),G806*K806,"Not applicable")</x:f>
        <x:v>1240</x:v>
      </x:c>
      <x:c r="M806" s="8" t="str">
        <x:f aca="0">IF(AND(ISNUMBER(H806),P806&lt;&gt;"Unresolved unit / layout"),H806*K806,"Not applicable")</x:f>
        <x:v>Not applicable</x:v>
      </x:c>
      <x:c r="N806" s="8" t="str">
        <x:f aca="0">IF(AND(ISNUMBER(I806),P806&lt;&gt;"Unresolved unit / layout"),I806*K806,"Not applicable")</x:f>
        <x:v>Not applicable</x:v>
      </x:c>
      <x:c r="O806" s="7" t="s">
        <x:v>1920</x:v>
      </x:c>
      <x:c r="P806" s="7" t="s">
        <x:v>1921</x:v>
      </x:c>
      <x:c r="Q806" s="7" t="s">
        <x:v>1922</x:v>
      </x:c>
      <x:c r="R806" s="7" t="s">
        <x:v>58</x:v>
      </x:c>
      <x:c r="S806" s="7" t="s">
        <x:v>53</x:v>
      </x:c>
      <x:c r="T806" s="7" t="s">
        <x:v>53</x:v>
      </x:c>
      <x:c r="U806" s="7" t="s">
        <x:v>53</x:v>
      </x:c>
      <x:c r="V806" s="7" t="s">
        <x:v>1923</x:v>
      </x:c>
      <x:c r="W806" s="7" t="s">
        <x:v>58</x:v>
      </x:c>
      <x:c r="X806" s="7" t="s">
        <x:v>3630</x:v>
      </x:c>
      <x:c r="Y806" s="7" t="s">
        <x:v>1249</x:v>
      </x:c>
      <x:c r="Z806" s="7" t="s">
        <x:v>1968</x:v>
      </x:c>
      <x:c r="AA806" s="7" t="s">
        <x:v>58</x:v>
      </x:c>
      <x:c r="AB806" s="8" t="s">
        <x:v>58</x:v>
      </x:c>
      <x:c r="AC806" s="8" t="s">
        <x:v>58</x:v>
      </x:c>
      <x:c r="AD806" s="8" t="s">
        <x:v>58</x:v>
      </x:c>
      <x:c r="AE806" s="8" t="s">
        <x:v>58</x:v>
      </x:c>
      <x:c r="AF806" s="8" t="s">
        <x:v>58</x:v>
      </x:c>
      <x:c r="AG806" s="7" t="s">
        <x:v>58</x:v>
      </x:c>
    </x:row>
    <x:row r="807" ht="79.5" hidden="0" customHeight="1">
      <x:c r="A807" s="7" t="s">
        <x:v>3631</x:v>
      </x:c>
      <x:c r="B807" s="7" t="s">
        <x:v>519</x:v>
      </x:c>
      <x:c r="C807" s="7" t="s">
        <x:v>521</x:v>
      </x:c>
      <x:c r="D807" s="7" t="s">
        <x:v>1974</x:v>
      </x:c>
      <x:c r="E807" s="7" t="s">
        <x:v>3632</x:v>
      </x:c>
      <x:c r="F807" s="7" t="s">
        <x:v>1956</x:v>
      </x:c>
      <x:c r="G807" s="8" t="n">
        <x:v>180</x:v>
      </x:c>
      <x:c r="H807" s="8" t="s">
        <x:v>58</x:v>
      </x:c>
      <x:c r="I807" s="8" t="s">
        <x:v>58</x:v>
      </x:c>
      <x:c r="J807" s="7" t="s">
        <x:v>1919</x:v>
      </x:c>
      <x:c r="K807" s="8" t="n">
        <x:v>1</x:v>
      </x:c>
      <x:c r="L807" s="8" t="n">
        <x:f aca="0">IF(AND(ISNUMBER(G807),P807&lt;&gt;"Unresolved unit / layout"),G807*K807,"Not applicable")</x:f>
        <x:v>180</x:v>
      </x:c>
      <x:c r="M807" s="8" t="str">
        <x:f aca="0">IF(AND(ISNUMBER(H807),P807&lt;&gt;"Unresolved unit / layout"),H807*K807,"Not applicable")</x:f>
        <x:v>Not applicable</x:v>
      </x:c>
      <x:c r="N807" s="8" t="str">
        <x:f aca="0">IF(AND(ISNUMBER(I807),P807&lt;&gt;"Unresolved unit / layout"),I807*K807,"Not applicable")</x:f>
        <x:v>Not applicable</x:v>
      </x:c>
      <x:c r="O807" s="7" t="s">
        <x:v>1956</x:v>
      </x:c>
      <x:c r="P807" s="7" t="s">
        <x:v>1921</x:v>
      </x:c>
      <x:c r="Q807" s="7" t="s">
        <x:v>2064</x:v>
      </x:c>
      <x:c r="R807" s="7" t="s">
        <x:v>58</x:v>
      </x:c>
      <x:c r="S807" s="7" t="s">
        <x:v>53</x:v>
      </x:c>
      <x:c r="T807" s="7" t="s">
        <x:v>53</x:v>
      </x:c>
      <x:c r="U807" s="7" t="s">
        <x:v>53</x:v>
      </x:c>
      <x:c r="V807" s="7" t="s">
        <x:v>2082</x:v>
      </x:c>
      <x:c r="W807" s="7" t="s">
        <x:v>58</x:v>
      </x:c>
      <x:c r="X807" s="7" t="s">
        <x:v>3630</x:v>
      </x:c>
      <x:c r="Y807" s="7" t="s">
        <x:v>1249</x:v>
      </x:c>
      <x:c r="Z807" s="7" t="s">
        <x:v>2083</x:v>
      </x:c>
      <x:c r="AA807" s="7" t="s">
        <x:v>58</x:v>
      </x:c>
      <x:c r="AB807" s="8" t="s">
        <x:v>58</x:v>
      </x:c>
      <x:c r="AC807" s="8" t="s">
        <x:v>58</x:v>
      </x:c>
      <x:c r="AD807" s="8" t="s">
        <x:v>58</x:v>
      </x:c>
      <x:c r="AE807" s="8" t="s">
        <x:v>58</x:v>
      </x:c>
      <x:c r="AF807" s="8" t="s">
        <x:v>58</x:v>
      </x:c>
      <x:c r="AG807" s="7" t="s">
        <x:v>58</x:v>
      </x:c>
    </x:row>
    <x:row r="808" ht="79.5" hidden="0" customHeight="1">
      <x:c r="A808" s="7" t="s">
        <x:v>3633</x:v>
      </x:c>
      <x:c r="B808" s="7" t="s">
        <x:v>519</x:v>
      </x:c>
      <x:c r="C808" s="7" t="s">
        <x:v>521</x:v>
      </x:c>
      <x:c r="D808" s="7" t="s">
        <x:v>1954</x:v>
      </x:c>
      <x:c r="E808" s="7" t="s">
        <x:v>1995</x:v>
      </x:c>
      <x:c r="F808" s="7" t="s">
        <x:v>1956</x:v>
      </x:c>
      <x:c r="G808" s="8" t="s">
        <x:v>53</x:v>
      </x:c>
      <x:c r="H808" s="8" t="s">
        <x:v>58</x:v>
      </x:c>
      <x:c r="I808" s="8" t="s">
        <x:v>58</x:v>
      </x:c>
      <x:c r="J808" s="7" t="s">
        <x:v>58</x:v>
      </x:c>
      <x:c r="K808" s="8" t="n">
        <x:v>1</x:v>
      </x:c>
      <x:c r="L808" s="8" t="str">
        <x:f aca="0">IF(AND(ISNUMBER(G808),P808&lt;&gt;"Unresolved unit / layout"),G808*K808,"Not published")</x:f>
        <x:v>Not published</x:v>
      </x:c>
      <x:c r="M808" s="8" t="str">
        <x:f aca="0">IF(AND(ISNUMBER(H808),P808&lt;&gt;"Unresolved unit / layout"),H808*K808,"Not applicable")</x:f>
        <x:v>Not applicable</x:v>
      </x:c>
      <x:c r="N808" s="8" t="str">
        <x:f aca="0">IF(AND(ISNUMBER(I808),P808&lt;&gt;"Unresolved unit / layout"),I808*K808,"Not applicable")</x:f>
        <x:v>Not applicable</x:v>
      </x:c>
      <x:c r="O808" s="7" t="s">
        <x:v>1956</x:v>
      </x:c>
      <x:c r="P808" s="7" t="s">
        <x:v>53</x:v>
      </x:c>
      <x:c r="Q808" s="7" t="s">
        <x:v>2064</x:v>
      </x:c>
      <x:c r="R808" s="7" t="s">
        <x:v>58</x:v>
      </x:c>
      <x:c r="S808" s="7" t="s">
        <x:v>53</x:v>
      </x:c>
      <x:c r="T808" s="7" t="s">
        <x:v>53</x:v>
      </x:c>
      <x:c r="U808" s="7" t="s">
        <x:v>53</x:v>
      </x:c>
      <x:c r="V808" s="7" t="s">
        <x:v>3140</x:v>
      </x:c>
      <x:c r="W808" s="7" t="s">
        <x:v>58</x:v>
      </x:c>
      <x:c r="X808" s="7" t="s">
        <x:v>3630</x:v>
      </x:c>
      <x:c r="Y808" s="7" t="s">
        <x:v>1249</x:v>
      </x:c>
      <x:c r="Z808" s="7" t="s">
        <x:v>3141</x:v>
      </x:c>
      <x:c r="AA808" s="7" t="s">
        <x:v>58</x:v>
      </x:c>
      <x:c r="AB808" s="8" t="s">
        <x:v>58</x:v>
      </x:c>
      <x:c r="AC808" s="8" t="s">
        <x:v>58</x:v>
      </x:c>
      <x:c r="AD808" s="8" t="s">
        <x:v>58</x:v>
      </x:c>
      <x:c r="AE808" s="8" t="s">
        <x:v>58</x:v>
      </x:c>
      <x:c r="AF808" s="8" t="s">
        <x:v>58</x:v>
      </x:c>
      <x:c r="AG808" s="7" t="s">
        <x:v>58</x:v>
      </x:c>
    </x:row>
    <x:row r="809" ht="79.5" hidden="0" customHeight="1">
      <x:c r="A809" s="7" t="s">
        <x:v>3634</x:v>
      </x:c>
      <x:c r="B809" s="7" t="s">
        <x:v>519</x:v>
      </x:c>
      <x:c r="C809" s="7" t="s">
        <x:v>521</x:v>
      </x:c>
      <x:c r="D809" s="7" t="s">
        <x:v>1978</x:v>
      </x:c>
      <x:c r="E809" s="7" t="s">
        <x:v>1995</x:v>
      </x:c>
      <x:c r="F809" s="7" t="s">
        <x:v>1956</x:v>
      </x:c>
      <x:c r="G809" s="8" t="s">
        <x:v>53</x:v>
      </x:c>
      <x:c r="H809" s="8" t="s">
        <x:v>58</x:v>
      </x:c>
      <x:c r="I809" s="8" t="s">
        <x:v>58</x:v>
      </x:c>
      <x:c r="J809" s="7" t="s">
        <x:v>58</x:v>
      </x:c>
      <x:c r="K809" s="8" t="n">
        <x:v>1</x:v>
      </x:c>
      <x:c r="L809" s="8" t="str">
        <x:f aca="0">IF(AND(ISNUMBER(G809),P809&lt;&gt;"Unresolved unit / layout"),G809*K809,"Not published")</x:f>
        <x:v>Not published</x:v>
      </x:c>
      <x:c r="M809" s="8" t="str">
        <x:f aca="0">IF(AND(ISNUMBER(H809),P809&lt;&gt;"Unresolved unit / layout"),H809*K809,"Not applicable")</x:f>
        <x:v>Not applicable</x:v>
      </x:c>
      <x:c r="N809" s="8" t="str">
        <x:f aca="0">IF(AND(ISNUMBER(I809),P809&lt;&gt;"Unresolved unit / layout"),I809*K809,"Not applicable")</x:f>
        <x:v>Not applicable</x:v>
      </x:c>
      <x:c r="O809" s="7" t="s">
        <x:v>1956</x:v>
      </x:c>
      <x:c r="P809" s="7" t="s">
        <x:v>53</x:v>
      </x:c>
      <x:c r="Q809" s="7" t="s">
        <x:v>2064</x:v>
      </x:c>
      <x:c r="R809" s="7" t="s">
        <x:v>58</x:v>
      </x:c>
      <x:c r="S809" s="7" t="s">
        <x:v>53</x:v>
      </x:c>
      <x:c r="T809" s="7" t="s">
        <x:v>53</x:v>
      </x:c>
      <x:c r="U809" s="7" t="s">
        <x:v>53</x:v>
      </x:c>
      <x:c r="V809" s="7" t="s">
        <x:v>2351</x:v>
      </x:c>
      <x:c r="W809" s="7" t="s">
        <x:v>58</x:v>
      </x:c>
      <x:c r="X809" s="7" t="s">
        <x:v>3630</x:v>
      </x:c>
      <x:c r="Y809" s="7" t="s">
        <x:v>1249</x:v>
      </x:c>
      <x:c r="Z809" s="7" t="s">
        <x:v>2188</x:v>
      </x:c>
      <x:c r="AA809" s="7" t="s">
        <x:v>58</x:v>
      </x:c>
      <x:c r="AB809" s="8" t="s">
        <x:v>58</x:v>
      </x:c>
      <x:c r="AC809" s="8" t="s">
        <x:v>58</x:v>
      </x:c>
      <x:c r="AD809" s="8" t="s">
        <x:v>58</x:v>
      </x:c>
      <x:c r="AE809" s="8" t="s">
        <x:v>58</x:v>
      </x:c>
      <x:c r="AF809" s="8" t="s">
        <x:v>58</x:v>
      </x:c>
      <x:c r="AG809" s="7" t="s">
        <x:v>58</x:v>
      </x:c>
    </x:row>
    <x:row r="810" ht="79.5" hidden="0" customHeight="1">
      <x:c r="A810" s="7" t="s">
        <x:v>3635</x:v>
      </x:c>
      <x:c r="B810" s="7" t="s">
        <x:v>519</x:v>
      </x:c>
      <x:c r="C810" s="7" t="s">
        <x:v>521</x:v>
      </x:c>
      <x:c r="D810" s="7" t="s">
        <x:v>1982</x:v>
      </x:c>
      <x:c r="E810" s="7" t="s">
        <x:v>1995</x:v>
      </x:c>
      <x:c r="F810" s="7" t="s">
        <x:v>1956</x:v>
      </x:c>
      <x:c r="G810" s="8" t="s">
        <x:v>53</x:v>
      </x:c>
      <x:c r="H810" s="8" t="s">
        <x:v>58</x:v>
      </x:c>
      <x:c r="I810" s="8" t="s">
        <x:v>58</x:v>
      </x:c>
      <x:c r="J810" s="7" t="s">
        <x:v>58</x:v>
      </x:c>
      <x:c r="K810" s="8" t="n">
        <x:v>1</x:v>
      </x:c>
      <x:c r="L810" s="8" t="str">
        <x:f aca="0">IF(AND(ISNUMBER(G810),P810&lt;&gt;"Unresolved unit / layout"),G810*K810,"Not published")</x:f>
        <x:v>Not published</x:v>
      </x:c>
      <x:c r="M810" s="8" t="str">
        <x:f aca="0">IF(AND(ISNUMBER(H810),P810&lt;&gt;"Unresolved unit / layout"),H810*K810,"Not applicable")</x:f>
        <x:v>Not applicable</x:v>
      </x:c>
      <x:c r="N810" s="8" t="str">
        <x:f aca="0">IF(AND(ISNUMBER(I810),P810&lt;&gt;"Unresolved unit / layout"),I810*K810,"Not applicable")</x:f>
        <x:v>Not applicable</x:v>
      </x:c>
      <x:c r="O810" s="7" t="s">
        <x:v>1956</x:v>
      </x:c>
      <x:c r="P810" s="7" t="s">
        <x:v>53</x:v>
      </x:c>
      <x:c r="Q810" s="7" t="s">
        <x:v>2064</x:v>
      </x:c>
      <x:c r="R810" s="7" t="s">
        <x:v>58</x:v>
      </x:c>
      <x:c r="S810" s="7" t="s">
        <x:v>53</x:v>
      </x:c>
      <x:c r="T810" s="7" t="s">
        <x:v>53</x:v>
      </x:c>
      <x:c r="U810" s="7" t="s">
        <x:v>53</x:v>
      </x:c>
      <x:c r="V810" s="7" t="s">
        <x:v>2088</x:v>
      </x:c>
      <x:c r="W810" s="7" t="s">
        <x:v>58</x:v>
      </x:c>
      <x:c r="X810" s="7" t="s">
        <x:v>3630</x:v>
      </x:c>
      <x:c r="Y810" s="7" t="s">
        <x:v>1249</x:v>
      </x:c>
      <x:c r="Z810" s="7" t="s">
        <x:v>3636</x:v>
      </x:c>
      <x:c r="AA810" s="7" t="s">
        <x:v>58</x:v>
      </x:c>
      <x:c r="AB810" s="8" t="s">
        <x:v>58</x:v>
      </x:c>
      <x:c r="AC810" s="8" t="s">
        <x:v>58</x:v>
      </x:c>
      <x:c r="AD810" s="8" t="s">
        <x:v>58</x:v>
      </x:c>
      <x:c r="AE810" s="8" t="s">
        <x:v>58</x:v>
      </x:c>
      <x:c r="AF810" s="8" t="s">
        <x:v>58</x:v>
      </x:c>
      <x:c r="AG810" s="7" t="s">
        <x:v>58</x:v>
      </x:c>
    </x:row>
    <x:row r="811" ht="79.5" hidden="0" customHeight="1">
      <x:c r="A811" s="7" t="s">
        <x:v>3637</x:v>
      </x:c>
      <x:c r="B811" s="7" t="s">
        <x:v>519</x:v>
      </x:c>
      <x:c r="C811" s="7" t="s">
        <x:v>521</x:v>
      </x:c>
      <x:c r="D811" s="7" t="s">
        <x:v>1959</x:v>
      </x:c>
      <x:c r="E811" s="7" t="s">
        <x:v>1995</x:v>
      </x:c>
      <x:c r="F811" s="7" t="s">
        <x:v>1956</x:v>
      </x:c>
      <x:c r="G811" s="8" t="s">
        <x:v>53</x:v>
      </x:c>
      <x:c r="H811" s="8" t="s">
        <x:v>58</x:v>
      </x:c>
      <x:c r="I811" s="8" t="s">
        <x:v>58</x:v>
      </x:c>
      <x:c r="J811" s="7" t="s">
        <x:v>58</x:v>
      </x:c>
      <x:c r="K811" s="8" t="n">
        <x:v>1</x:v>
      </x:c>
      <x:c r="L811" s="8" t="str">
        <x:f aca="0">IF(AND(ISNUMBER(G811),P811&lt;&gt;"Unresolved unit / layout"),G811*K811,"Not published")</x:f>
        <x:v>Not published</x:v>
      </x:c>
      <x:c r="M811" s="8" t="str">
        <x:f aca="0">IF(AND(ISNUMBER(H811),P811&lt;&gt;"Unresolved unit / layout"),H811*K811,"Not applicable")</x:f>
        <x:v>Not applicable</x:v>
      </x:c>
      <x:c r="N811" s="8" t="str">
        <x:f aca="0">IF(AND(ISNUMBER(I811),P811&lt;&gt;"Unresolved unit / layout"),I811*K811,"Not applicable")</x:f>
        <x:v>Not applicable</x:v>
      </x:c>
      <x:c r="O811" s="7" t="s">
        <x:v>1956</x:v>
      </x:c>
      <x:c r="P811" s="7" t="s">
        <x:v>53</x:v>
      </x:c>
      <x:c r="Q811" s="7" t="s">
        <x:v>2064</x:v>
      </x:c>
      <x:c r="R811" s="7" t="s">
        <x:v>58</x:v>
      </x:c>
      <x:c r="S811" s="7" t="s">
        <x:v>53</x:v>
      </x:c>
      <x:c r="T811" s="7" t="s">
        <x:v>53</x:v>
      </x:c>
      <x:c r="U811" s="7" t="s">
        <x:v>53</x:v>
      </x:c>
      <x:c r="V811" s="7" t="s">
        <x:v>3577</x:v>
      </x:c>
      <x:c r="W811" s="7" t="s">
        <x:v>58</x:v>
      </x:c>
      <x:c r="X811" s="7" t="s">
        <x:v>3630</x:v>
      </x:c>
      <x:c r="Y811" s="7" t="s">
        <x:v>1249</x:v>
      </x:c>
      <x:c r="Z811" s="7" t="s">
        <x:v>3578</x:v>
      </x:c>
      <x:c r="AA811" s="7" t="s">
        <x:v>3090</x:v>
      </x:c>
      <x:c r="AB811" s="8" t="s">
        <x:v>58</x:v>
      </x:c>
      <x:c r="AC811" s="8" t="s">
        <x:v>58</x:v>
      </x:c>
      <x:c r="AD811" s="8" t="s">
        <x:v>58</x:v>
      </x:c>
      <x:c r="AE811" s="8" t="s">
        <x:v>58</x:v>
      </x:c>
      <x:c r="AF811" s="8" t="s">
        <x:v>58</x:v>
      </x:c>
      <x:c r="AG811" s="7" t="s">
        <x:v>58</x:v>
      </x:c>
    </x:row>
    <x:row r="812" ht="79.5" hidden="0" customHeight="1">
      <x:c r="A812" s="7" t="s">
        <x:v>3638</x:v>
      </x:c>
      <x:c r="B812" s="7" t="s">
        <x:v>519</x:v>
      </x:c>
      <x:c r="C812" s="7" t="s">
        <x:v>521</x:v>
      </x:c>
      <x:c r="D812" s="7" t="s">
        <x:v>2099</x:v>
      </x:c>
      <x:c r="E812" s="7" t="s">
        <x:v>3639</x:v>
      </x:c>
      <x:c r="F812" s="7" t="s">
        <x:v>1942</x:v>
      </x:c>
      <x:c r="G812" s="8" t="n">
        <x:v>0.61</x:v>
      </x:c>
      <x:c r="H812" s="8" t="s">
        <x:v>58</x:v>
      </x:c>
      <x:c r="I812" s="8" t="s">
        <x:v>58</x:v>
      </x:c>
      <x:c r="J812" s="7" t="s">
        <x:v>1919</x:v>
      </x:c>
      <x:c r="K812" s="8" t="n">
        <x:v>1</x:v>
      </x:c>
      <x:c r="L812" s="8" t="n">
        <x:f aca="0">IF(AND(ISNUMBER(G812),P812&lt;&gt;"Unresolved unit / layout"),G812*K812,"Not applicable")</x:f>
        <x:v>0.61</x:v>
      </x:c>
      <x:c r="M812" s="8" t="str">
        <x:f aca="0">IF(AND(ISNUMBER(H812),P812&lt;&gt;"Unresolved unit / layout"),H812*K812,"Not applicable")</x:f>
        <x:v>Not applicable</x:v>
      </x:c>
      <x:c r="N812" s="8" t="str">
        <x:f aca="0">IF(AND(ISNUMBER(I812),P812&lt;&gt;"Unresolved unit / layout"),I812*K812,"Not applicable")</x:f>
        <x:v>Not applicable</x:v>
      </x:c>
      <x:c r="O812" s="7" t="s">
        <x:v>1942</x:v>
      </x:c>
      <x:c r="P812" s="7" t="s">
        <x:v>1921</x:v>
      </x:c>
      <x:c r="Q812" s="7" t="s">
        <x:v>2064</x:v>
      </x:c>
      <x:c r="R812" s="7" t="s">
        <x:v>58</x:v>
      </x:c>
      <x:c r="S812" s="7" t="s">
        <x:v>53</x:v>
      </x:c>
      <x:c r="T812" s="7" t="s">
        <x:v>53</x:v>
      </x:c>
      <x:c r="U812" s="7" t="s">
        <x:v>53</x:v>
      </x:c>
      <x:c r="V812" s="7" t="s">
        <x:v>2238</x:v>
      </x:c>
      <x:c r="W812" s="7" t="s">
        <x:v>58</x:v>
      </x:c>
      <x:c r="X812" s="7" t="s">
        <x:v>3630</x:v>
      </x:c>
      <x:c r="Y812" s="7" t="s">
        <x:v>1249</x:v>
      </x:c>
      <x:c r="Z812" s="7" t="s">
        <x:v>2239</x:v>
      </x:c>
      <x:c r="AA812" s="7" t="s">
        <x:v>58</x:v>
      </x:c>
      <x:c r="AB812" s="8" t="s">
        <x:v>58</x:v>
      </x:c>
      <x:c r="AC812" s="8" t="s">
        <x:v>58</x:v>
      </x:c>
      <x:c r="AD812" s="8" t="s">
        <x:v>58</x:v>
      </x:c>
      <x:c r="AE812" s="8" t="s">
        <x:v>58</x:v>
      </x:c>
      <x:c r="AF812" s="8" t="s">
        <x:v>58</x:v>
      </x:c>
      <x:c r="AG812" s="7" t="s">
        <x:v>58</x:v>
      </x:c>
    </x:row>
    <x:row r="813" ht="79.5" hidden="0" customHeight="1">
      <x:c r="A813" s="7" t="s">
        <x:v>3640</x:v>
      </x:c>
      <x:c r="B813" s="7" t="s">
        <x:v>519</x:v>
      </x:c>
      <x:c r="C813" s="7" t="s">
        <x:v>521</x:v>
      </x:c>
      <x:c r="D813" s="7" t="s">
        <x:v>1935</x:v>
      </x:c>
      <x:c r="E813" s="7" t="s">
        <x:v>3641</x:v>
      </x:c>
      <x:c r="F813" s="7" t="s">
        <x:v>1929</x:v>
      </x:c>
      <x:c r="G813" s="8" t="n">
        <x:v>5.3</x:v>
      </x:c>
      <x:c r="H813" s="8" t="n">
        <x:v>0.7</x:v>
      </x:c>
      <x:c r="I813" s="8" t="s">
        <x:v>58</x:v>
      </x:c>
      <x:c r="J813" s="7" t="s">
        <x:v>1919</x:v>
      </x:c>
      <x:c r="K813" s="8" t="n">
        <x:v>0.001</x:v>
      </x:c>
      <x:c r="L813" s="8" t="n">
        <x:f aca="0">IF(AND(ISNUMBER(G813),P813&lt;&gt;"Unresolved unit / layout"),G813*K813,"Not applicable")</x:f>
        <x:v>0.0053</x:v>
      </x:c>
      <x:c r="M813" s="8" t="n">
        <x:f aca="0">IF(AND(ISNUMBER(H813),P813&lt;&gt;"Unresolved unit / layout"),H813*K813,"Not applicable")</x:f>
        <x:v>0.0007</x:v>
      </x:c>
      <x:c r="N813" s="8" t="str">
        <x:f aca="0">IF(AND(ISNUMBER(I813),P813&lt;&gt;"Unresolved unit / layout"),I813*K813,"Not applicable")</x:f>
        <x:v>Not applicable</x:v>
      </x:c>
      <x:c r="O813" s="7" t="s">
        <x:v>1937</x:v>
      </x:c>
      <x:c r="P813" s="7" t="s">
        <x:v>1921</x:v>
      </x:c>
      <x:c r="Q813" s="7" t="s">
        <x:v>2064</x:v>
      </x:c>
      <x:c r="R813" s="7" t="s">
        <x:v>1931</x:v>
      </x:c>
      <x:c r="S813" s="7" t="s">
        <x:v>53</x:v>
      </x:c>
      <x:c r="T813" s="7" t="s">
        <x:v>53</x:v>
      </x:c>
      <x:c r="U813" s="7" t="s">
        <x:v>53</x:v>
      </x:c>
      <x:c r="V813" s="7" t="s">
        <x:v>1999</x:v>
      </x:c>
      <x:c r="W813" s="7" t="s">
        <x:v>58</x:v>
      </x:c>
      <x:c r="X813" s="7" t="s">
        <x:v>3630</x:v>
      </x:c>
      <x:c r="Y813" s="7" t="s">
        <x:v>1249</x:v>
      </x:c>
      <x:c r="Z813" s="7" t="s">
        <x:v>2105</x:v>
      </x:c>
      <x:c r="AA813" s="7" t="s">
        <x:v>58</x:v>
      </x:c>
      <x:c r="AB813" s="8" t="s">
        <x:v>58</x:v>
      </x:c>
      <x:c r="AC813" s="8" t="s">
        <x:v>58</x:v>
      </x:c>
      <x:c r="AD813" s="8" t="s">
        <x:v>58</x:v>
      </x:c>
      <x:c r="AE813" s="8" t="s">
        <x:v>58</x:v>
      </x:c>
      <x:c r="AF813" s="8" t="s">
        <x:v>58</x:v>
      </x:c>
      <x:c r="AG813" s="7" t="s">
        <x:v>58</x:v>
      </x:c>
    </x:row>
    <x:row r="814" ht="79.5" hidden="0" customHeight="1">
      <x:c r="A814" s="7" t="s">
        <x:v>3642</x:v>
      </x:c>
      <x:c r="B814" s="7" t="s">
        <x:v>519</x:v>
      </x:c>
      <x:c r="C814" s="7" t="s">
        <x:v>521</x:v>
      </x:c>
      <x:c r="D814" s="7" t="s">
        <x:v>1935</x:v>
      </x:c>
      <x:c r="E814" s="7" t="s">
        <x:v>3643</x:v>
      </x:c>
      <x:c r="F814" s="7" t="s">
        <x:v>1929</x:v>
      </x:c>
      <x:c r="G814" s="8" t="n">
        <x:v>4.4</x:v>
      </x:c>
      <x:c r="H814" s="8" t="n">
        <x:v>0.6</x:v>
      </x:c>
      <x:c r="I814" s="8" t="s">
        <x:v>58</x:v>
      </x:c>
      <x:c r="J814" s="7" t="s">
        <x:v>1919</x:v>
      </x:c>
      <x:c r="K814" s="8" t="n">
        <x:v>0.001</x:v>
      </x:c>
      <x:c r="L814" s="8" t="n">
        <x:f aca="0">IF(AND(ISNUMBER(G814),P814&lt;&gt;"Unresolved unit / layout"),G814*K814,"Not applicable")</x:f>
        <x:v>0.0044</x:v>
      </x:c>
      <x:c r="M814" s="8" t="n">
        <x:f aca="0">IF(AND(ISNUMBER(H814),P814&lt;&gt;"Unresolved unit / layout"),H814*K814,"Not applicable")</x:f>
        <x:v>0.0006</x:v>
      </x:c>
      <x:c r="N814" s="8" t="str">
        <x:f aca="0">IF(AND(ISNUMBER(I814),P814&lt;&gt;"Unresolved unit / layout"),I814*K814,"Not applicable")</x:f>
        <x:v>Not applicable</x:v>
      </x:c>
      <x:c r="O814" s="7" t="s">
        <x:v>1937</x:v>
      </x:c>
      <x:c r="P814" s="7" t="s">
        <x:v>1921</x:v>
      </x:c>
      <x:c r="Q814" s="7" t="s">
        <x:v>2064</x:v>
      </x:c>
      <x:c r="R814" s="7" t="s">
        <x:v>2003</x:v>
      </x:c>
      <x:c r="S814" s="7" t="s">
        <x:v>53</x:v>
      </x:c>
      <x:c r="T814" s="7" t="s">
        <x:v>53</x:v>
      </x:c>
      <x:c r="U814" s="7" t="s">
        <x:v>53</x:v>
      </x:c>
      <x:c r="V814" s="7" t="s">
        <x:v>1999</x:v>
      </x:c>
      <x:c r="W814" s="7" t="s">
        <x:v>58</x:v>
      </x:c>
      <x:c r="X814" s="7" t="s">
        <x:v>3630</x:v>
      </x:c>
      <x:c r="Y814" s="7" t="s">
        <x:v>1249</x:v>
      </x:c>
      <x:c r="Z814" s="7" t="s">
        <x:v>2108</x:v>
      </x:c>
      <x:c r="AA814" s="7" t="s">
        <x:v>58</x:v>
      </x:c>
      <x:c r="AB814" s="8" t="s">
        <x:v>58</x:v>
      </x:c>
      <x:c r="AC814" s="8" t="s">
        <x:v>58</x:v>
      </x:c>
      <x:c r="AD814" s="8" t="s">
        <x:v>58</x:v>
      </x:c>
      <x:c r="AE814" s="8" t="s">
        <x:v>58</x:v>
      </x:c>
      <x:c r="AF814" s="8" t="s">
        <x:v>58</x:v>
      </x:c>
      <x:c r="AG814" s="7" t="s">
        <x:v>58</x:v>
      </x:c>
    </x:row>
    <x:row r="815" ht="79.5" hidden="0" customHeight="1">
      <x:c r="A815" s="7" t="s">
        <x:v>3644</x:v>
      </x:c>
      <x:c r="B815" s="7" t="s">
        <x:v>519</x:v>
      </x:c>
      <x:c r="C815" s="7" t="s">
        <x:v>521</x:v>
      </x:c>
      <x:c r="D815" s="7" t="s">
        <x:v>2006</x:v>
      </x:c>
      <x:c r="E815" s="7" t="s">
        <x:v>3645</x:v>
      </x:c>
      <x:c r="F815" s="7" t="s">
        <x:v>1929</x:v>
      </x:c>
      <x:c r="G815" s="8" t="n">
        <x:v>12.5</x:v>
      </x:c>
      <x:c r="H815" s="8" t="n">
        <x:v>0.8</x:v>
      </x:c>
      <x:c r="I815" s="8" t="s">
        <x:v>58</x:v>
      </x:c>
      <x:c r="J815" s="7" t="s">
        <x:v>1919</x:v>
      </x:c>
      <x:c r="K815" s="8" t="n">
        <x:v>1</x:v>
      </x:c>
      <x:c r="L815" s="8" t="n">
        <x:f aca="0">IF(AND(ISNUMBER(G815),P815&lt;&gt;"Unresolved unit / layout"),G815*K815,"Not applicable")</x:f>
        <x:v>12.5</x:v>
      </x:c>
      <x:c r="M815" s="8" t="n">
        <x:f aca="0">IF(AND(ISNUMBER(H815),P815&lt;&gt;"Unresolved unit / layout"),H815*K815,"Not applicable")</x:f>
        <x:v>0.8</x:v>
      </x:c>
      <x:c r="N815" s="8" t="str">
        <x:f aca="0">IF(AND(ISNUMBER(I815),P815&lt;&gt;"Unresolved unit / layout"),I815*K815,"Not applicable")</x:f>
        <x:v>Not applicable</x:v>
      </x:c>
      <x:c r="O815" s="7" t="s">
        <x:v>1929</x:v>
      </x:c>
      <x:c r="P815" s="7" t="s">
        <x:v>1921</x:v>
      </x:c>
      <x:c r="Q815" s="7" t="s">
        <x:v>2064</x:v>
      </x:c>
      <x:c r="R815" s="7" t="s">
        <x:v>1931</x:v>
      </x:c>
      <x:c r="S815" s="7" t="s">
        <x:v>53</x:v>
      </x:c>
      <x:c r="T815" s="7" t="s">
        <x:v>53</x:v>
      </x:c>
      <x:c r="U815" s="7" t="s">
        <x:v>53</x:v>
      </x:c>
      <x:c r="V815" s="7" t="s">
        <x:v>1999</x:v>
      </x:c>
      <x:c r="W815" s="7" t="s">
        <x:v>58</x:v>
      </x:c>
      <x:c r="X815" s="7" t="s">
        <x:v>3630</x:v>
      </x:c>
      <x:c r="Y815" s="7" t="s">
        <x:v>1249</x:v>
      </x:c>
      <x:c r="Z815" s="7" t="s">
        <x:v>2111</x:v>
      </x:c>
      <x:c r="AA815" s="7" t="s">
        <x:v>58</x:v>
      </x:c>
      <x:c r="AB815" s="8" t="s">
        <x:v>58</x:v>
      </x:c>
      <x:c r="AC815" s="8" t="s">
        <x:v>58</x:v>
      </x:c>
      <x:c r="AD815" s="8" t="s">
        <x:v>58</x:v>
      </x:c>
      <x:c r="AE815" s="8" t="s">
        <x:v>58</x:v>
      </x:c>
      <x:c r="AF815" s="8" t="s">
        <x:v>58</x:v>
      </x:c>
      <x:c r="AG815" s="7" t="s">
        <x:v>58</x:v>
      </x:c>
    </x:row>
    <x:row r="816" ht="79.5" hidden="0" customHeight="1">
      <x:c r="A816" s="7" t="s">
        <x:v>3646</x:v>
      </x:c>
      <x:c r="B816" s="7" t="s">
        <x:v>519</x:v>
      </x:c>
      <x:c r="C816" s="7" t="s">
        <x:v>521</x:v>
      </x:c>
      <x:c r="D816" s="7" t="s">
        <x:v>2006</x:v>
      </x:c>
      <x:c r="E816" s="7" t="s">
        <x:v>3647</x:v>
      </x:c>
      <x:c r="F816" s="7" t="s">
        <x:v>1929</x:v>
      </x:c>
      <x:c r="G816" s="8" t="n">
        <x:v>10.1</x:v>
      </x:c>
      <x:c r="H816" s="8" t="n">
        <x:v>0.6</x:v>
      </x:c>
      <x:c r="I816" s="8" t="s">
        <x:v>58</x:v>
      </x:c>
      <x:c r="J816" s="7" t="s">
        <x:v>1919</x:v>
      </x:c>
      <x:c r="K816" s="8" t="n">
        <x:v>1</x:v>
      </x:c>
      <x:c r="L816" s="8" t="n">
        <x:f aca="0">IF(AND(ISNUMBER(G816),P816&lt;&gt;"Unresolved unit / layout"),G816*K816,"Not applicable")</x:f>
        <x:v>10.1</x:v>
      </x:c>
      <x:c r="M816" s="8" t="n">
        <x:f aca="0">IF(AND(ISNUMBER(H816),P816&lt;&gt;"Unresolved unit / layout"),H816*K816,"Not applicable")</x:f>
        <x:v>0.6</x:v>
      </x:c>
      <x:c r="N816" s="8" t="str">
        <x:f aca="0">IF(AND(ISNUMBER(I816),P816&lt;&gt;"Unresolved unit / layout"),I816*K816,"Not applicable")</x:f>
        <x:v>Not applicable</x:v>
      </x:c>
      <x:c r="O816" s="7" t="s">
        <x:v>1929</x:v>
      </x:c>
      <x:c r="P816" s="7" t="s">
        <x:v>1921</x:v>
      </x:c>
      <x:c r="Q816" s="7" t="s">
        <x:v>2064</x:v>
      </x:c>
      <x:c r="R816" s="7" t="s">
        <x:v>2003</x:v>
      </x:c>
      <x:c r="S816" s="7" t="s">
        <x:v>53</x:v>
      </x:c>
      <x:c r="T816" s="7" t="s">
        <x:v>53</x:v>
      </x:c>
      <x:c r="U816" s="7" t="s">
        <x:v>53</x:v>
      </x:c>
      <x:c r="V816" s="7" t="s">
        <x:v>1999</x:v>
      </x:c>
      <x:c r="W816" s="7" t="s">
        <x:v>58</x:v>
      </x:c>
      <x:c r="X816" s="7" t="s">
        <x:v>3630</x:v>
      </x:c>
      <x:c r="Y816" s="7" t="s">
        <x:v>1249</x:v>
      </x:c>
      <x:c r="Z816" s="7" t="s">
        <x:v>2114</x:v>
      </x:c>
      <x:c r="AA816" s="7" t="s">
        <x:v>58</x:v>
      </x:c>
      <x:c r="AB816" s="8" t="s">
        <x:v>58</x:v>
      </x:c>
      <x:c r="AC816" s="8" t="s">
        <x:v>58</x:v>
      </x:c>
      <x:c r="AD816" s="8" t="s">
        <x:v>58</x:v>
      </x:c>
      <x:c r="AE816" s="8" t="s">
        <x:v>58</x:v>
      </x:c>
      <x:c r="AF816" s="8" t="s">
        <x:v>58</x:v>
      </x:c>
      <x:c r="AG816" s="7" t="s">
        <x:v>58</x:v>
      </x:c>
    </x:row>
    <x:row r="817" ht="79.5" hidden="0" customHeight="1">
      <x:c r="A817" s="7" t="s">
        <x:v>3648</x:v>
      </x:c>
      <x:c r="B817" s="7" t="s">
        <x:v>519</x:v>
      </x:c>
      <x:c r="C817" s="7" t="s">
        <x:v>521</x:v>
      </x:c>
      <x:c r="D817" s="7" t="s">
        <x:v>1940</x:v>
      </x:c>
      <x:c r="E817" s="7" t="s">
        <x:v>3590</x:v>
      </x:c>
      <x:c r="F817" s="7" t="s">
        <x:v>1942</x:v>
      </x:c>
      <x:c r="G817" s="8" t="n">
        <x:v>650</x:v>
      </x:c>
      <x:c r="H817" s="8" t="s">
        <x:v>58</x:v>
      </x:c>
      <x:c r="I817" s="8" t="s">
        <x:v>58</x:v>
      </x:c>
      <x:c r="J817" s="7" t="s">
        <x:v>3460</x:v>
      </x:c>
      <x:c r="K817" s="8" t="n">
        <x:v>1</x:v>
      </x:c>
      <x:c r="L817" s="8" t="n">
        <x:f aca="0">IF(AND(ISNUMBER(G817),P817&lt;&gt;"Unresolved unit / layout"),G817*K817,"Not applicable")</x:f>
        <x:v>650</x:v>
      </x:c>
      <x:c r="M817" s="8" t="str">
        <x:f aca="0">IF(AND(ISNUMBER(H817),P817&lt;&gt;"Unresolved unit / layout"),H817*K817,"Not applicable")</x:f>
        <x:v>Not applicable</x:v>
      </x:c>
      <x:c r="N817" s="8" t="str">
        <x:f aca="0">IF(AND(ISNUMBER(I817),P817&lt;&gt;"Unresolved unit / layout"),I817*K817,"Not applicable")</x:f>
        <x:v>Not applicable</x:v>
      </x:c>
      <x:c r="O817" s="7" t="s">
        <x:v>1942</x:v>
      </x:c>
      <x:c r="P817" s="7" t="s">
        <x:v>1921</x:v>
      </x:c>
      <x:c r="Q817" s="7" t="s">
        <x:v>2064</x:v>
      </x:c>
      <x:c r="R817" s="7" t="s">
        <x:v>1931</x:v>
      </x:c>
      <x:c r="S817" s="7" t="s">
        <x:v>53</x:v>
      </x:c>
      <x:c r="T817" s="7" t="s">
        <x:v>53</x:v>
      </x:c>
      <x:c r="U817" s="7" t="s">
        <x:v>53</x:v>
      </x:c>
      <x:c r="V817" s="7" t="s">
        <x:v>1999</x:v>
      </x:c>
      <x:c r="W817" s="7" t="s">
        <x:v>58</x:v>
      </x:c>
      <x:c r="X817" s="7" t="s">
        <x:v>3630</x:v>
      </x:c>
      <x:c r="Y817" s="7" t="s">
        <x:v>1249</x:v>
      </x:c>
      <x:c r="Z817" s="7" t="s">
        <x:v>2117</x:v>
      </x:c>
      <x:c r="AA817" s="7" t="s">
        <x:v>58</x:v>
      </x:c>
      <x:c r="AB817" s="8" t="s">
        <x:v>58</x:v>
      </x:c>
      <x:c r="AC817" s="8" t="s">
        <x:v>58</x:v>
      </x:c>
      <x:c r="AD817" s="8" t="s">
        <x:v>58</x:v>
      </x:c>
      <x:c r="AE817" s="8" t="s">
        <x:v>58</x:v>
      </x:c>
      <x:c r="AF817" s="8" t="s">
        <x:v>58</x:v>
      </x:c>
      <x:c r="AG817" s="7" t="s">
        <x:v>58</x:v>
      </x:c>
    </x:row>
    <x:row r="818" ht="79.5" hidden="0" customHeight="1">
      <x:c r="A818" s="7" t="s">
        <x:v>3649</x:v>
      </x:c>
      <x:c r="B818" s="7" t="s">
        <x:v>519</x:v>
      </x:c>
      <x:c r="C818" s="7" t="s">
        <x:v>521</x:v>
      </x:c>
      <x:c r="D818" s="7" t="s">
        <x:v>1940</x:v>
      </x:c>
      <x:c r="E818" s="7" t="s">
        <x:v>3650</x:v>
      </x:c>
      <x:c r="F818" s="7" t="s">
        <x:v>1942</x:v>
      </x:c>
      <x:c r="G818" s="8" t="n">
        <x:v>350</x:v>
      </x:c>
      <x:c r="H818" s="8" t="s">
        <x:v>58</x:v>
      </x:c>
      <x:c r="I818" s="8" t="s">
        <x:v>58</x:v>
      </x:c>
      <x:c r="J818" s="7" t="s">
        <x:v>3460</x:v>
      </x:c>
      <x:c r="K818" s="8" t="n">
        <x:v>1</x:v>
      </x:c>
      <x:c r="L818" s="8" t="n">
        <x:f aca="0">IF(AND(ISNUMBER(G818),P818&lt;&gt;"Unresolved unit / layout"),G818*K818,"Not applicable")</x:f>
        <x:v>350</x:v>
      </x:c>
      <x:c r="M818" s="8" t="str">
        <x:f aca="0">IF(AND(ISNUMBER(H818),P818&lt;&gt;"Unresolved unit / layout"),H818*K818,"Not applicable")</x:f>
        <x:v>Not applicable</x:v>
      </x:c>
      <x:c r="N818" s="8" t="str">
        <x:f aca="0">IF(AND(ISNUMBER(I818),P818&lt;&gt;"Unresolved unit / layout"),I818*K818,"Not applicable")</x:f>
        <x:v>Not applicable</x:v>
      </x:c>
      <x:c r="O818" s="7" t="s">
        <x:v>1942</x:v>
      </x:c>
      <x:c r="P818" s="7" t="s">
        <x:v>1921</x:v>
      </x:c>
      <x:c r="Q818" s="7" t="s">
        <x:v>2064</x:v>
      </x:c>
      <x:c r="R818" s="7" t="s">
        <x:v>2003</x:v>
      </x:c>
      <x:c r="S818" s="7" t="s">
        <x:v>53</x:v>
      </x:c>
      <x:c r="T818" s="7" t="s">
        <x:v>53</x:v>
      </x:c>
      <x:c r="U818" s="7" t="s">
        <x:v>53</x:v>
      </x:c>
      <x:c r="V818" s="7" t="s">
        <x:v>1999</x:v>
      </x:c>
      <x:c r="W818" s="7" t="s">
        <x:v>58</x:v>
      </x:c>
      <x:c r="X818" s="7" t="s">
        <x:v>3630</x:v>
      </x:c>
      <x:c r="Y818" s="7" t="s">
        <x:v>1249</x:v>
      </x:c>
      <x:c r="Z818" s="7" t="s">
        <x:v>2120</x:v>
      </x:c>
      <x:c r="AA818" s="7" t="s">
        <x:v>58</x:v>
      </x:c>
      <x:c r="AB818" s="8" t="s">
        <x:v>58</x:v>
      </x:c>
      <x:c r="AC818" s="8" t="s">
        <x:v>58</x:v>
      </x:c>
      <x:c r="AD818" s="8" t="s">
        <x:v>58</x:v>
      </x:c>
      <x:c r="AE818" s="8" t="s">
        <x:v>58</x:v>
      </x:c>
      <x:c r="AF818" s="8" t="s">
        <x:v>58</x:v>
      </x:c>
      <x:c r="AG818" s="7" t="s">
        <x:v>58</x:v>
      </x:c>
    </x:row>
    <x:row r="819" ht="79.5" hidden="0" customHeight="1">
      <x:c r="A819" s="7" t="s">
        <x:v>3651</x:v>
      </x:c>
      <x:c r="B819" s="7" t="s">
        <x:v>519</x:v>
      </x:c>
      <x:c r="C819" s="7" t="s">
        <x:v>521</x:v>
      </x:c>
      <x:c r="D819" s="7" t="s">
        <x:v>1950</x:v>
      </x:c>
      <x:c r="E819" s="7" t="s">
        <x:v>1995</x:v>
      </x:c>
      <x:c r="F819" s="7" t="s">
        <x:v>53</x:v>
      </x:c>
      <x:c r="G819" s="8" t="s">
        <x:v>53</x:v>
      </x:c>
      <x:c r="H819" s="8" t="s">
        <x:v>58</x:v>
      </x:c>
      <x:c r="I819" s="8" t="s">
        <x:v>58</x:v>
      </x:c>
      <x:c r="J819" s="7" t="s">
        <x:v>58</x:v>
      </x:c>
      <x:c r="K819" s="8" t="n">
        <x:v>1</x:v>
      </x:c>
      <x:c r="L819" s="8" t="str">
        <x:f aca="0">IF(AND(ISNUMBER(G819),P819&lt;&gt;"Unresolved unit / layout"),G819*K819,"Not published")</x:f>
        <x:v>Not published</x:v>
      </x:c>
      <x:c r="M819" s="8" t="str">
        <x:f aca="0">IF(AND(ISNUMBER(H819),P819&lt;&gt;"Unresolved unit / layout"),H819*K819,"Not applicable")</x:f>
        <x:v>Not applicable</x:v>
      </x:c>
      <x:c r="N819" s="8" t="str">
        <x:f aca="0">IF(AND(ISNUMBER(I819),P819&lt;&gt;"Unresolved unit / layout"),I819*K819,"Not applicable")</x:f>
        <x:v>Not applicable</x:v>
      </x:c>
      <x:c r="O819" s="7" t="s">
        <x:v>53</x:v>
      </x:c>
      <x:c r="P819" s="7" t="s">
        <x:v>53</x:v>
      </x:c>
      <x:c r="Q819" s="7" t="s">
        <x:v>2064</x:v>
      </x:c>
      <x:c r="R819" s="7" t="s">
        <x:v>53</x:v>
      </x:c>
      <x:c r="S819" s="7" t="s">
        <x:v>53</x:v>
      </x:c>
      <x:c r="T819" s="7" t="s">
        <x:v>53</x:v>
      </x:c>
      <x:c r="U819" s="7" t="s">
        <x:v>53</x:v>
      </x:c>
      <x:c r="V819" s="7" t="s">
        <x:v>3594</x:v>
      </x:c>
      <x:c r="W819" s="7" t="s">
        <x:v>58</x:v>
      </x:c>
      <x:c r="X819" s="7" t="s">
        <x:v>3630</x:v>
      </x:c>
      <x:c r="Y819" s="7" t="s">
        <x:v>1249</x:v>
      </x:c>
      <x:c r="Z819" s="7" t="s">
        <x:v>3595</x:v>
      </x:c>
      <x:c r="AA819" s="7" t="s">
        <x:v>58</x:v>
      </x:c>
      <x:c r="AB819" s="8" t="s">
        <x:v>58</x:v>
      </x:c>
      <x:c r="AC819" s="8" t="s">
        <x:v>58</x:v>
      </x:c>
      <x:c r="AD819" s="8" t="s">
        <x:v>58</x:v>
      </x:c>
      <x:c r="AE819" s="8" t="s">
        <x:v>58</x:v>
      </x:c>
      <x:c r="AF819" s="8" t="s">
        <x:v>58</x:v>
      </x:c>
      <x:c r="AG819" s="7" t="s">
        <x:v>58</x:v>
      </x:c>
    </x:row>
    <x:row r="820" ht="79.5" hidden="0" customHeight="1">
      <x:c r="A820" s="7" t="s">
        <x:v>3652</x:v>
      </x:c>
      <x:c r="B820" s="7" t="s">
        <x:v>519</x:v>
      </x:c>
      <x:c r="C820" s="7" t="s">
        <x:v>521</x:v>
      </x:c>
      <x:c r="D820" s="7" t="s">
        <x:v>2030</x:v>
      </x:c>
      <x:c r="E820" s="7" t="s">
        <x:v>3653</x:v>
      </x:c>
      <x:c r="F820" s="7" t="s">
        <x:v>2033</x:v>
      </x:c>
      <x:c r="G820" s="8" t="n">
        <x:v>124.2</x:v>
      </x:c>
      <x:c r="H820" s="8" t="s">
        <x:v>58</x:v>
      </x:c>
      <x:c r="I820" s="8" t="s">
        <x:v>58</x:v>
      </x:c>
      <x:c r="J820" s="7" t="s">
        <x:v>1919</x:v>
      </x:c>
      <x:c r="K820" s="8" t="n">
        <x:v>1</x:v>
      </x:c>
      <x:c r="L820" s="8" t="n">
        <x:f aca="0">IF(AND(ISNUMBER(G820),P820&lt;&gt;"Unresolved unit / layout"),G820*K820,"Not applicable")</x:f>
        <x:v>124.2</x:v>
      </x:c>
      <x:c r="M820" s="8" t="str">
        <x:f aca="0">IF(AND(ISNUMBER(H820),P820&lt;&gt;"Unresolved unit / layout"),H820*K820,"Not applicable")</x:f>
        <x:v>Not applicable</x:v>
      </x:c>
      <x:c r="N820" s="8" t="str">
        <x:f aca="0">IF(AND(ISNUMBER(I820),P820&lt;&gt;"Unresolved unit / layout"),I820*K820,"Not applicable")</x:f>
        <x:v>Not applicable</x:v>
      </x:c>
      <x:c r="O820" s="7" t="s">
        <x:v>2033</x:v>
      </x:c>
      <x:c r="P820" s="7" t="s">
        <x:v>1921</x:v>
      </x:c>
      <x:c r="Q820" s="7" t="s">
        <x:v>2064</x:v>
      </x:c>
      <x:c r="R820" s="7" t="s">
        <x:v>1931</x:v>
      </x:c>
      <x:c r="S820" s="7" t="s">
        <x:v>53</x:v>
      </x:c>
      <x:c r="T820" s="7" t="s">
        <x:v>53</x:v>
      </x:c>
      <x:c r="U820" s="7" t="s">
        <x:v>53</x:v>
      </x:c>
      <x:c r="V820" s="7" t="s">
        <x:v>2036</x:v>
      </x:c>
      <x:c r="W820" s="7" t="s">
        <x:v>53</x:v>
      </x:c>
      <x:c r="X820" s="7" t="s">
        <x:v>3630</x:v>
      </x:c>
      <x:c r="Y820" s="7" t="s">
        <x:v>1249</x:v>
      </x:c>
      <x:c r="Z820" s="7" t="s">
        <x:v>2378</x:v>
      </x:c>
      <x:c r="AA820" s="7" t="s">
        <x:v>58</x:v>
      </x:c>
      <x:c r="AB820" s="8" t="s">
        <x:v>58</x:v>
      </x:c>
      <x:c r="AC820" s="8" t="s">
        <x:v>58</x:v>
      </x:c>
      <x:c r="AD820" s="8" t="s">
        <x:v>58</x:v>
      </x:c>
      <x:c r="AE820" s="8" t="s">
        <x:v>58</x:v>
      </x:c>
      <x:c r="AF820" s="8" t="s">
        <x:v>58</x:v>
      </x:c>
      <x:c r="AG820" s="7" t="s">
        <x:v>58</x:v>
      </x:c>
    </x:row>
    <x:row r="821" ht="79.5" hidden="0" customHeight="1">
      <x:c r="A821" s="7" t="s">
        <x:v>3654</x:v>
      </x:c>
      <x:c r="B821" s="7" t="s">
        <x:v>519</x:v>
      </x:c>
      <x:c r="C821" s="7" t="s">
        <x:v>521</x:v>
      </x:c>
      <x:c r="D821" s="7" t="s">
        <x:v>2030</x:v>
      </x:c>
      <x:c r="E821" s="7" t="s">
        <x:v>3655</x:v>
      </x:c>
      <x:c r="F821" s="7" t="s">
        <x:v>2033</x:v>
      </x:c>
      <x:c r="G821" s="8" t="n">
        <x:v>87.3</x:v>
      </x:c>
      <x:c r="H821" s="8" t="s">
        <x:v>58</x:v>
      </x:c>
      <x:c r="I821" s="8" t="s">
        <x:v>58</x:v>
      </x:c>
      <x:c r="J821" s="7" t="s">
        <x:v>1919</x:v>
      </x:c>
      <x:c r="K821" s="8" t="n">
        <x:v>1</x:v>
      </x:c>
      <x:c r="L821" s="8" t="n">
        <x:f aca="0">IF(AND(ISNUMBER(G821),P821&lt;&gt;"Unresolved unit / layout"),G821*K821,"Not applicable")</x:f>
        <x:v>87.3</x:v>
      </x:c>
      <x:c r="M821" s="8" t="str">
        <x:f aca="0">IF(AND(ISNUMBER(H821),P821&lt;&gt;"Unresolved unit / layout"),H821*K821,"Not applicable")</x:f>
        <x:v>Not applicable</x:v>
      </x:c>
      <x:c r="N821" s="8" t="str">
        <x:f aca="0">IF(AND(ISNUMBER(I821),P821&lt;&gt;"Unresolved unit / layout"),I821*K821,"Not applicable")</x:f>
        <x:v>Not applicable</x:v>
      </x:c>
      <x:c r="O821" s="7" t="s">
        <x:v>2033</x:v>
      </x:c>
      <x:c r="P821" s="7" t="s">
        <x:v>1921</x:v>
      </x:c>
      <x:c r="Q821" s="7" t="s">
        <x:v>2064</x:v>
      </x:c>
      <x:c r="R821" s="7" t="s">
        <x:v>2003</x:v>
      </x:c>
      <x:c r="S821" s="7" t="s">
        <x:v>53</x:v>
      </x:c>
      <x:c r="T821" s="7" t="s">
        <x:v>53</x:v>
      </x:c>
      <x:c r="U821" s="7" t="s">
        <x:v>53</x:v>
      </x:c>
      <x:c r="V821" s="7" t="s">
        <x:v>2343</x:v>
      </x:c>
      <x:c r="W821" s="7" t="s">
        <x:v>53</x:v>
      </x:c>
      <x:c r="X821" s="7" t="s">
        <x:v>3630</x:v>
      </x:c>
      <x:c r="Y821" s="7" t="s">
        <x:v>1249</x:v>
      </x:c>
      <x:c r="Z821" s="7" t="s">
        <x:v>2225</x:v>
      </x:c>
      <x:c r="AA821" s="7" t="s">
        <x:v>58</x:v>
      </x:c>
      <x:c r="AB821" s="8" t="s">
        <x:v>58</x:v>
      </x:c>
      <x:c r="AC821" s="8" t="s">
        <x:v>58</x:v>
      </x:c>
      <x:c r="AD821" s="8" t="s">
        <x:v>58</x:v>
      </x:c>
      <x:c r="AE821" s="8" t="s">
        <x:v>58</x:v>
      </x:c>
      <x:c r="AF821" s="8" t="s">
        <x:v>58</x:v>
      </x:c>
      <x:c r="AG821" s="7" t="s">
        <x:v>58</x:v>
      </x:c>
    </x:row>
    <x:row r="822" ht="79.5" hidden="0" customHeight="1">
      <x:c r="A822" s="7" t="s">
        <x:v>3656</x:v>
      </x:c>
      <x:c r="B822" s="7" t="s">
        <x:v>527</x:v>
      </x:c>
      <x:c r="C822" s="7" t="s">
        <x:v>529</x:v>
      </x:c>
      <x:c r="D822" s="7" t="s">
        <x:v>1916</x:v>
      </x:c>
      <x:c r="E822" s="7" t="s">
        <x:v>3404</x:v>
      </x:c>
      <x:c r="F822" s="7" t="s">
        <x:v>2076</x:v>
      </x:c>
      <x:c r="G822" s="8" t="n">
        <x:v>1.18</x:v>
      </x:c>
      <x:c r="H822" s="8" t="s">
        <x:v>58</x:v>
      </x:c>
      <x:c r="I822" s="8" t="s">
        <x:v>58</x:v>
      </x:c>
      <x:c r="J822" s="7" t="s">
        <x:v>1919</x:v>
      </x:c>
      <x:c r="K822" s="8" t="n">
        <x:v>1000</x:v>
      </x:c>
      <x:c r="L822" s="8" t="n">
        <x:f aca="0">IF(AND(ISNUMBER(G822),P822&lt;&gt;"Unresolved unit / layout"),G822*K822,"Not applicable")</x:f>
        <x:v>1180</x:v>
      </x:c>
      <x:c r="M822" s="8" t="str">
        <x:f aca="0">IF(AND(ISNUMBER(H822),P822&lt;&gt;"Unresolved unit / layout"),H822*K822,"Not applicable")</x:f>
        <x:v>Not applicable</x:v>
      </x:c>
      <x:c r="N822" s="8" t="str">
        <x:f aca="0">IF(AND(ISNUMBER(I822),P822&lt;&gt;"Unresolved unit / layout"),I822*K822,"Not applicable")</x:f>
        <x:v>Not applicable</x:v>
      </x:c>
      <x:c r="O822" s="7" t="s">
        <x:v>1920</x:v>
      </x:c>
      <x:c r="P822" s="7" t="s">
        <x:v>1921</x:v>
      </x:c>
      <x:c r="Q822" s="7" t="s">
        <x:v>1922</x:v>
      </x:c>
      <x:c r="R822" s="7" t="s">
        <x:v>58</x:v>
      </x:c>
      <x:c r="S822" s="7" t="s">
        <x:v>53</x:v>
      </x:c>
      <x:c r="T822" s="7" t="s">
        <x:v>53</x:v>
      </x:c>
      <x:c r="U822" s="7" t="s">
        <x:v>53</x:v>
      </x:c>
      <x:c r="V822" s="7" t="s">
        <x:v>1923</x:v>
      </x:c>
      <x:c r="W822" s="7" t="s">
        <x:v>58</x:v>
      </x:c>
      <x:c r="X822" s="7" t="s">
        <x:v>3630</x:v>
      </x:c>
      <x:c r="Y822" s="7" t="s">
        <x:v>1250</x:v>
      </x:c>
      <x:c r="Z822" s="7" t="s">
        <x:v>1968</x:v>
      </x:c>
      <x:c r="AA822" s="7" t="s">
        <x:v>58</x:v>
      </x:c>
      <x:c r="AB822" s="8" t="s">
        <x:v>58</x:v>
      </x:c>
      <x:c r="AC822" s="8" t="s">
        <x:v>58</x:v>
      </x:c>
      <x:c r="AD822" s="8" t="s">
        <x:v>58</x:v>
      </x:c>
      <x:c r="AE822" s="8" t="s">
        <x:v>58</x:v>
      </x:c>
      <x:c r="AF822" s="8" t="s">
        <x:v>58</x:v>
      </x:c>
      <x:c r="AG822" s="7" t="s">
        <x:v>58</x:v>
      </x:c>
    </x:row>
    <x:row r="823" ht="79.5" hidden="0" customHeight="1">
      <x:c r="A823" s="7" t="s">
        <x:v>3657</x:v>
      </x:c>
      <x:c r="B823" s="7" t="s">
        <x:v>527</x:v>
      </x:c>
      <x:c r="C823" s="7" t="s">
        <x:v>529</x:v>
      </x:c>
      <x:c r="D823" s="7" t="s">
        <x:v>1974</x:v>
      </x:c>
      <x:c r="E823" s="7" t="s">
        <x:v>3658</x:v>
      </x:c>
      <x:c r="F823" s="7" t="s">
        <x:v>1956</x:v>
      </x:c>
      <x:c r="G823" s="8" t="n">
        <x:v>177</x:v>
      </x:c>
      <x:c r="H823" s="8" t="s">
        <x:v>58</x:v>
      </x:c>
      <x:c r="I823" s="8" t="s">
        <x:v>58</x:v>
      </x:c>
      <x:c r="J823" s="7" t="s">
        <x:v>1919</x:v>
      </x:c>
      <x:c r="K823" s="8" t="n">
        <x:v>1</x:v>
      </x:c>
      <x:c r="L823" s="8" t="n">
        <x:f aca="0">IF(AND(ISNUMBER(G823),P823&lt;&gt;"Unresolved unit / layout"),G823*K823,"Not applicable")</x:f>
        <x:v>177</x:v>
      </x:c>
      <x:c r="M823" s="8" t="str">
        <x:f aca="0">IF(AND(ISNUMBER(H823),P823&lt;&gt;"Unresolved unit / layout"),H823*K823,"Not applicable")</x:f>
        <x:v>Not applicable</x:v>
      </x:c>
      <x:c r="N823" s="8" t="str">
        <x:f aca="0">IF(AND(ISNUMBER(I823),P823&lt;&gt;"Unresolved unit / layout"),I823*K823,"Not applicable")</x:f>
        <x:v>Not applicable</x:v>
      </x:c>
      <x:c r="O823" s="7" t="s">
        <x:v>1956</x:v>
      </x:c>
      <x:c r="P823" s="7" t="s">
        <x:v>1921</x:v>
      </x:c>
      <x:c r="Q823" s="7" t="s">
        <x:v>2064</x:v>
      </x:c>
      <x:c r="R823" s="7" t="s">
        <x:v>58</x:v>
      </x:c>
      <x:c r="S823" s="7" t="s">
        <x:v>53</x:v>
      </x:c>
      <x:c r="T823" s="7" t="s">
        <x:v>53</x:v>
      </x:c>
      <x:c r="U823" s="7" t="s">
        <x:v>53</x:v>
      </x:c>
      <x:c r="V823" s="7" t="s">
        <x:v>2082</x:v>
      </x:c>
      <x:c r="W823" s="7" t="s">
        <x:v>58</x:v>
      </x:c>
      <x:c r="X823" s="7" t="s">
        <x:v>3630</x:v>
      </x:c>
      <x:c r="Y823" s="7" t="s">
        <x:v>1250</x:v>
      </x:c>
      <x:c r="Z823" s="7" t="s">
        <x:v>2083</x:v>
      </x:c>
      <x:c r="AA823" s="7" t="s">
        <x:v>58</x:v>
      </x:c>
      <x:c r="AB823" s="8" t="s">
        <x:v>58</x:v>
      </x:c>
      <x:c r="AC823" s="8" t="s">
        <x:v>58</x:v>
      </x:c>
      <x:c r="AD823" s="8" t="s">
        <x:v>58</x:v>
      </x:c>
      <x:c r="AE823" s="8" t="s">
        <x:v>58</x:v>
      </x:c>
      <x:c r="AF823" s="8" t="s">
        <x:v>58</x:v>
      </x:c>
      <x:c r="AG823" s="7" t="s">
        <x:v>58</x:v>
      </x:c>
    </x:row>
    <x:row r="824" ht="79.5" hidden="0" customHeight="1">
      <x:c r="A824" s="7" t="s">
        <x:v>3659</x:v>
      </x:c>
      <x:c r="B824" s="7" t="s">
        <x:v>527</x:v>
      </x:c>
      <x:c r="C824" s="7" t="s">
        <x:v>529</x:v>
      </x:c>
      <x:c r="D824" s="7" t="s">
        <x:v>1954</x:v>
      </x:c>
      <x:c r="E824" s="7" t="s">
        <x:v>1995</x:v>
      </x:c>
      <x:c r="F824" s="7" t="s">
        <x:v>1956</x:v>
      </x:c>
      <x:c r="G824" s="8" t="s">
        <x:v>53</x:v>
      </x:c>
      <x:c r="H824" s="8" t="s">
        <x:v>58</x:v>
      </x:c>
      <x:c r="I824" s="8" t="s">
        <x:v>58</x:v>
      </x:c>
      <x:c r="J824" s="7" t="s">
        <x:v>58</x:v>
      </x:c>
      <x:c r="K824" s="8" t="n">
        <x:v>1</x:v>
      </x:c>
      <x:c r="L824" s="8" t="str">
        <x:f aca="0">IF(AND(ISNUMBER(G824),P824&lt;&gt;"Unresolved unit / layout"),G824*K824,"Not published")</x:f>
        <x:v>Not published</x:v>
      </x:c>
      <x:c r="M824" s="8" t="str">
        <x:f aca="0">IF(AND(ISNUMBER(H824),P824&lt;&gt;"Unresolved unit / layout"),H824*K824,"Not applicable")</x:f>
        <x:v>Not applicable</x:v>
      </x:c>
      <x:c r="N824" s="8" t="str">
        <x:f aca="0">IF(AND(ISNUMBER(I824),P824&lt;&gt;"Unresolved unit / layout"),I824*K824,"Not applicable")</x:f>
        <x:v>Not applicable</x:v>
      </x:c>
      <x:c r="O824" s="7" t="s">
        <x:v>1956</x:v>
      </x:c>
      <x:c r="P824" s="7" t="s">
        <x:v>53</x:v>
      </x:c>
      <x:c r="Q824" s="7" t="s">
        <x:v>2064</x:v>
      </x:c>
      <x:c r="R824" s="7" t="s">
        <x:v>58</x:v>
      </x:c>
      <x:c r="S824" s="7" t="s">
        <x:v>53</x:v>
      </x:c>
      <x:c r="T824" s="7" t="s">
        <x:v>53</x:v>
      </x:c>
      <x:c r="U824" s="7" t="s">
        <x:v>53</x:v>
      </x:c>
      <x:c r="V824" s="7" t="s">
        <x:v>3140</x:v>
      </x:c>
      <x:c r="W824" s="7" t="s">
        <x:v>58</x:v>
      </x:c>
      <x:c r="X824" s="7" t="s">
        <x:v>3630</x:v>
      </x:c>
      <x:c r="Y824" s="7" t="s">
        <x:v>1250</x:v>
      </x:c>
      <x:c r="Z824" s="7" t="s">
        <x:v>3141</x:v>
      </x:c>
      <x:c r="AA824" s="7" t="s">
        <x:v>58</x:v>
      </x:c>
      <x:c r="AB824" s="8" t="s">
        <x:v>58</x:v>
      </x:c>
      <x:c r="AC824" s="8" t="s">
        <x:v>58</x:v>
      </x:c>
      <x:c r="AD824" s="8" t="s">
        <x:v>58</x:v>
      </x:c>
      <x:c r="AE824" s="8" t="s">
        <x:v>58</x:v>
      </x:c>
      <x:c r="AF824" s="8" t="s">
        <x:v>58</x:v>
      </x:c>
      <x:c r="AG824" s="7" t="s">
        <x:v>58</x:v>
      </x:c>
    </x:row>
    <x:row r="825" ht="79.5" hidden="0" customHeight="1">
      <x:c r="A825" s="7" t="s">
        <x:v>3660</x:v>
      </x:c>
      <x:c r="B825" s="7" t="s">
        <x:v>527</x:v>
      </x:c>
      <x:c r="C825" s="7" t="s">
        <x:v>529</x:v>
      </x:c>
      <x:c r="D825" s="7" t="s">
        <x:v>1978</x:v>
      </x:c>
      <x:c r="E825" s="7" t="s">
        <x:v>1995</x:v>
      </x:c>
      <x:c r="F825" s="7" t="s">
        <x:v>1956</x:v>
      </x:c>
      <x:c r="G825" s="8" t="s">
        <x:v>53</x:v>
      </x:c>
      <x:c r="H825" s="8" t="s">
        <x:v>58</x:v>
      </x:c>
      <x:c r="I825" s="8" t="s">
        <x:v>58</x:v>
      </x:c>
      <x:c r="J825" s="7" t="s">
        <x:v>58</x:v>
      </x:c>
      <x:c r="K825" s="8" t="n">
        <x:v>1</x:v>
      </x:c>
      <x:c r="L825" s="8" t="str">
        <x:f aca="0">IF(AND(ISNUMBER(G825),P825&lt;&gt;"Unresolved unit / layout"),G825*K825,"Not published")</x:f>
        <x:v>Not published</x:v>
      </x:c>
      <x:c r="M825" s="8" t="str">
        <x:f aca="0">IF(AND(ISNUMBER(H825),P825&lt;&gt;"Unresolved unit / layout"),H825*K825,"Not applicable")</x:f>
        <x:v>Not applicable</x:v>
      </x:c>
      <x:c r="N825" s="8" t="str">
        <x:f aca="0">IF(AND(ISNUMBER(I825),P825&lt;&gt;"Unresolved unit / layout"),I825*K825,"Not applicable")</x:f>
        <x:v>Not applicable</x:v>
      </x:c>
      <x:c r="O825" s="7" t="s">
        <x:v>1956</x:v>
      </x:c>
      <x:c r="P825" s="7" t="s">
        <x:v>53</x:v>
      </x:c>
      <x:c r="Q825" s="7" t="s">
        <x:v>2064</x:v>
      </x:c>
      <x:c r="R825" s="7" t="s">
        <x:v>58</x:v>
      </x:c>
      <x:c r="S825" s="7" t="s">
        <x:v>53</x:v>
      </x:c>
      <x:c r="T825" s="7" t="s">
        <x:v>53</x:v>
      </x:c>
      <x:c r="U825" s="7" t="s">
        <x:v>53</x:v>
      </x:c>
      <x:c r="V825" s="7" t="s">
        <x:v>2082</x:v>
      </x:c>
      <x:c r="W825" s="7" t="s">
        <x:v>58</x:v>
      </x:c>
      <x:c r="X825" s="7" t="s">
        <x:v>3630</x:v>
      </x:c>
      <x:c r="Y825" s="7" t="s">
        <x:v>1250</x:v>
      </x:c>
      <x:c r="Z825" s="7" t="s">
        <x:v>2188</x:v>
      </x:c>
      <x:c r="AA825" s="7" t="s">
        <x:v>58</x:v>
      </x:c>
      <x:c r="AB825" s="8" t="s">
        <x:v>58</x:v>
      </x:c>
      <x:c r="AC825" s="8" t="s">
        <x:v>58</x:v>
      </x:c>
      <x:c r="AD825" s="8" t="s">
        <x:v>58</x:v>
      </x:c>
      <x:c r="AE825" s="8" t="s">
        <x:v>58</x:v>
      </x:c>
      <x:c r="AF825" s="8" t="s">
        <x:v>58</x:v>
      </x:c>
      <x:c r="AG825" s="7" t="s">
        <x:v>58</x:v>
      </x:c>
    </x:row>
    <x:row r="826" ht="79.5" hidden="0" customHeight="1">
      <x:c r="A826" s="7" t="s">
        <x:v>3661</x:v>
      </x:c>
      <x:c r="B826" s="7" t="s">
        <x:v>527</x:v>
      </x:c>
      <x:c r="C826" s="7" t="s">
        <x:v>529</x:v>
      </x:c>
      <x:c r="D826" s="7" t="s">
        <x:v>1982</x:v>
      </x:c>
      <x:c r="E826" s="7" t="s">
        <x:v>1995</x:v>
      </x:c>
      <x:c r="F826" s="7" t="s">
        <x:v>1956</x:v>
      </x:c>
      <x:c r="G826" s="8" t="s">
        <x:v>53</x:v>
      </x:c>
      <x:c r="H826" s="8" t="s">
        <x:v>58</x:v>
      </x:c>
      <x:c r="I826" s="8" t="s">
        <x:v>58</x:v>
      </x:c>
      <x:c r="J826" s="7" t="s">
        <x:v>58</x:v>
      </x:c>
      <x:c r="K826" s="8" t="n">
        <x:v>1</x:v>
      </x:c>
      <x:c r="L826" s="8" t="str">
        <x:f aca="0">IF(AND(ISNUMBER(G826),P826&lt;&gt;"Unresolved unit / layout"),G826*K826,"Not published")</x:f>
        <x:v>Not published</x:v>
      </x:c>
      <x:c r="M826" s="8" t="str">
        <x:f aca="0">IF(AND(ISNUMBER(H826),P826&lt;&gt;"Unresolved unit / layout"),H826*K826,"Not applicable")</x:f>
        <x:v>Not applicable</x:v>
      </x:c>
      <x:c r="N826" s="8" t="str">
        <x:f aca="0">IF(AND(ISNUMBER(I826),P826&lt;&gt;"Unresolved unit / layout"),I826*K826,"Not applicable")</x:f>
        <x:v>Not applicable</x:v>
      </x:c>
      <x:c r="O826" s="7" t="s">
        <x:v>1956</x:v>
      </x:c>
      <x:c r="P826" s="7" t="s">
        <x:v>53</x:v>
      </x:c>
      <x:c r="Q826" s="7" t="s">
        <x:v>2064</x:v>
      </x:c>
      <x:c r="R826" s="7" t="s">
        <x:v>58</x:v>
      </x:c>
      <x:c r="S826" s="7" t="s">
        <x:v>53</x:v>
      </x:c>
      <x:c r="T826" s="7" t="s">
        <x:v>53</x:v>
      </x:c>
      <x:c r="U826" s="7" t="s">
        <x:v>53</x:v>
      </x:c>
      <x:c r="V826" s="7" t="s">
        <x:v>2088</x:v>
      </x:c>
      <x:c r="W826" s="7" t="s">
        <x:v>58</x:v>
      </x:c>
      <x:c r="X826" s="7" t="s">
        <x:v>3630</x:v>
      </x:c>
      <x:c r="Y826" s="7" t="s">
        <x:v>1250</x:v>
      </x:c>
      <x:c r="Z826" s="7" t="s">
        <x:v>3636</x:v>
      </x:c>
      <x:c r="AA826" s="7" t="s">
        <x:v>58</x:v>
      </x:c>
      <x:c r="AB826" s="8" t="s">
        <x:v>58</x:v>
      </x:c>
      <x:c r="AC826" s="8" t="s">
        <x:v>58</x:v>
      </x:c>
      <x:c r="AD826" s="8" t="s">
        <x:v>58</x:v>
      </x:c>
      <x:c r="AE826" s="8" t="s">
        <x:v>58</x:v>
      </x:c>
      <x:c r="AF826" s="8" t="s">
        <x:v>58</x:v>
      </x:c>
      <x:c r="AG826" s="7" t="s">
        <x:v>58</x:v>
      </x:c>
    </x:row>
    <x:row r="827" ht="79.5" hidden="0" customHeight="1">
      <x:c r="A827" s="7" t="s">
        <x:v>3662</x:v>
      </x:c>
      <x:c r="B827" s="7" t="s">
        <x:v>527</x:v>
      </x:c>
      <x:c r="C827" s="7" t="s">
        <x:v>529</x:v>
      </x:c>
      <x:c r="D827" s="7" t="s">
        <x:v>1959</x:v>
      </x:c>
      <x:c r="E827" s="7" t="s">
        <x:v>1995</x:v>
      </x:c>
      <x:c r="F827" s="7" t="s">
        <x:v>1956</x:v>
      </x:c>
      <x:c r="G827" s="8" t="s">
        <x:v>53</x:v>
      </x:c>
      <x:c r="H827" s="8" t="s">
        <x:v>58</x:v>
      </x:c>
      <x:c r="I827" s="8" t="s">
        <x:v>58</x:v>
      </x:c>
      <x:c r="J827" s="7" t="s">
        <x:v>58</x:v>
      </x:c>
      <x:c r="K827" s="8" t="n">
        <x:v>1</x:v>
      </x:c>
      <x:c r="L827" s="8" t="str">
        <x:f aca="0">IF(AND(ISNUMBER(G827),P827&lt;&gt;"Unresolved unit / layout"),G827*K827,"Not published")</x:f>
        <x:v>Not published</x:v>
      </x:c>
      <x:c r="M827" s="8" t="str">
        <x:f aca="0">IF(AND(ISNUMBER(H827),P827&lt;&gt;"Unresolved unit / layout"),H827*K827,"Not applicable")</x:f>
        <x:v>Not applicable</x:v>
      </x:c>
      <x:c r="N827" s="8" t="str">
        <x:f aca="0">IF(AND(ISNUMBER(I827),P827&lt;&gt;"Unresolved unit / layout"),I827*K827,"Not applicable")</x:f>
        <x:v>Not applicable</x:v>
      </x:c>
      <x:c r="O827" s="7" t="s">
        <x:v>1956</x:v>
      </x:c>
      <x:c r="P827" s="7" t="s">
        <x:v>53</x:v>
      </x:c>
      <x:c r="Q827" s="7" t="s">
        <x:v>2064</x:v>
      </x:c>
      <x:c r="R827" s="7" t="s">
        <x:v>58</x:v>
      </x:c>
      <x:c r="S827" s="7" t="s">
        <x:v>53</x:v>
      </x:c>
      <x:c r="T827" s="7" t="s">
        <x:v>53</x:v>
      </x:c>
      <x:c r="U827" s="7" t="s">
        <x:v>53</x:v>
      </x:c>
      <x:c r="V827" s="7" t="s">
        <x:v>3577</x:v>
      </x:c>
      <x:c r="W827" s="7" t="s">
        <x:v>58</x:v>
      </x:c>
      <x:c r="X827" s="7" t="s">
        <x:v>3630</x:v>
      </x:c>
      <x:c r="Y827" s="7" t="s">
        <x:v>1250</x:v>
      </x:c>
      <x:c r="Z827" s="7" t="s">
        <x:v>3578</x:v>
      </x:c>
      <x:c r="AA827" s="7" t="s">
        <x:v>3090</x:v>
      </x:c>
      <x:c r="AB827" s="8" t="s">
        <x:v>58</x:v>
      </x:c>
      <x:c r="AC827" s="8" t="s">
        <x:v>58</x:v>
      </x:c>
      <x:c r="AD827" s="8" t="s">
        <x:v>58</x:v>
      </x:c>
      <x:c r="AE827" s="8" t="s">
        <x:v>58</x:v>
      </x:c>
      <x:c r="AF827" s="8" t="s">
        <x:v>58</x:v>
      </x:c>
      <x:c r="AG827" s="7" t="s">
        <x:v>58</x:v>
      </x:c>
    </x:row>
    <x:row r="828" ht="79.5" hidden="0" customHeight="1">
      <x:c r="A828" s="7" t="s">
        <x:v>3663</x:v>
      </x:c>
      <x:c r="B828" s="7" t="s">
        <x:v>527</x:v>
      </x:c>
      <x:c r="C828" s="7" t="s">
        <x:v>529</x:v>
      </x:c>
      <x:c r="D828" s="7" t="s">
        <x:v>2099</x:v>
      </x:c>
      <x:c r="E828" s="7" t="s">
        <x:v>3664</x:v>
      </x:c>
      <x:c r="F828" s="7" t="s">
        <x:v>1942</x:v>
      </x:c>
      <x:c r="G828" s="8" t="n">
        <x:v>0.67</x:v>
      </x:c>
      <x:c r="H828" s="8" t="s">
        <x:v>58</x:v>
      </x:c>
      <x:c r="I828" s="8" t="s">
        <x:v>58</x:v>
      </x:c>
      <x:c r="J828" s="7" t="s">
        <x:v>1919</x:v>
      </x:c>
      <x:c r="K828" s="8" t="n">
        <x:v>1</x:v>
      </x:c>
      <x:c r="L828" s="8" t="n">
        <x:f aca="0">IF(AND(ISNUMBER(G828),P828&lt;&gt;"Unresolved unit / layout"),G828*K828,"Not applicable")</x:f>
        <x:v>0.67</x:v>
      </x:c>
      <x:c r="M828" s="8" t="str">
        <x:f aca="0">IF(AND(ISNUMBER(H828),P828&lt;&gt;"Unresolved unit / layout"),H828*K828,"Not applicable")</x:f>
        <x:v>Not applicable</x:v>
      </x:c>
      <x:c r="N828" s="8" t="str">
        <x:f aca="0">IF(AND(ISNUMBER(I828),P828&lt;&gt;"Unresolved unit / layout"),I828*K828,"Not applicable")</x:f>
        <x:v>Not applicable</x:v>
      </x:c>
      <x:c r="O828" s="7" t="s">
        <x:v>1942</x:v>
      </x:c>
      <x:c r="P828" s="7" t="s">
        <x:v>1921</x:v>
      </x:c>
      <x:c r="Q828" s="7" t="s">
        <x:v>2064</x:v>
      </x:c>
      <x:c r="R828" s="7" t="s">
        <x:v>58</x:v>
      </x:c>
      <x:c r="S828" s="7" t="s">
        <x:v>53</x:v>
      </x:c>
      <x:c r="T828" s="7" t="s">
        <x:v>53</x:v>
      </x:c>
      <x:c r="U828" s="7" t="s">
        <x:v>53</x:v>
      </x:c>
      <x:c r="V828" s="7" t="s">
        <x:v>2238</x:v>
      </x:c>
      <x:c r="W828" s="7" t="s">
        <x:v>58</x:v>
      </x:c>
      <x:c r="X828" s="7" t="s">
        <x:v>3630</x:v>
      </x:c>
      <x:c r="Y828" s="7" t="s">
        <x:v>1250</x:v>
      </x:c>
      <x:c r="Z828" s="7" t="s">
        <x:v>2239</x:v>
      </x:c>
      <x:c r="AA828" s="7" t="s">
        <x:v>58</x:v>
      </x:c>
      <x:c r="AB828" s="8" t="s">
        <x:v>58</x:v>
      </x:c>
      <x:c r="AC828" s="8" t="s">
        <x:v>58</x:v>
      </x:c>
      <x:c r="AD828" s="8" t="s">
        <x:v>58</x:v>
      </x:c>
      <x:c r="AE828" s="8" t="s">
        <x:v>58</x:v>
      </x:c>
      <x:c r="AF828" s="8" t="s">
        <x:v>58</x:v>
      </x:c>
      <x:c r="AG828" s="7" t="s">
        <x:v>58</x:v>
      </x:c>
    </x:row>
    <x:row r="829" ht="79.5" hidden="0" customHeight="1">
      <x:c r="A829" s="7" t="s">
        <x:v>3665</x:v>
      </x:c>
      <x:c r="B829" s="7" t="s">
        <x:v>527</x:v>
      </x:c>
      <x:c r="C829" s="7" t="s">
        <x:v>529</x:v>
      </x:c>
      <x:c r="D829" s="7" t="s">
        <x:v>1935</x:v>
      </x:c>
      <x:c r="E829" s="7" t="s">
        <x:v>3666</x:v>
      </x:c>
      <x:c r="F829" s="7" t="s">
        <x:v>1929</x:v>
      </x:c>
      <x:c r="G829" s="8" t="n">
        <x:v>6.8</x:v>
      </x:c>
      <x:c r="H829" s="8" t="n">
        <x:v>0.7</x:v>
      </x:c>
      <x:c r="I829" s="8" t="s">
        <x:v>58</x:v>
      </x:c>
      <x:c r="J829" s="7" t="s">
        <x:v>1919</x:v>
      </x:c>
      <x:c r="K829" s="8" t="n">
        <x:v>0.001</x:v>
      </x:c>
      <x:c r="L829" s="8" t="n">
        <x:f aca="0">IF(AND(ISNUMBER(G829),P829&lt;&gt;"Unresolved unit / layout"),G829*K829,"Not applicable")</x:f>
        <x:v>0.0068</x:v>
      </x:c>
      <x:c r="M829" s="8" t="n">
        <x:f aca="0">IF(AND(ISNUMBER(H829),P829&lt;&gt;"Unresolved unit / layout"),H829*K829,"Not applicable")</x:f>
        <x:v>0.0007</x:v>
      </x:c>
      <x:c r="N829" s="8" t="str">
        <x:f aca="0">IF(AND(ISNUMBER(I829),P829&lt;&gt;"Unresolved unit / layout"),I829*K829,"Not applicable")</x:f>
        <x:v>Not applicable</x:v>
      </x:c>
      <x:c r="O829" s="7" t="s">
        <x:v>1937</x:v>
      </x:c>
      <x:c r="P829" s="7" t="s">
        <x:v>1921</x:v>
      </x:c>
      <x:c r="Q829" s="7" t="s">
        <x:v>2064</x:v>
      </x:c>
      <x:c r="R829" s="7" t="s">
        <x:v>1931</x:v>
      </x:c>
      <x:c r="S829" s="7" t="s">
        <x:v>53</x:v>
      </x:c>
      <x:c r="T829" s="7" t="s">
        <x:v>53</x:v>
      </x:c>
      <x:c r="U829" s="7" t="s">
        <x:v>53</x:v>
      </x:c>
      <x:c r="V829" s="7" t="s">
        <x:v>1999</x:v>
      </x:c>
      <x:c r="W829" s="7" t="s">
        <x:v>58</x:v>
      </x:c>
      <x:c r="X829" s="7" t="s">
        <x:v>3630</x:v>
      </x:c>
      <x:c r="Y829" s="7" t="s">
        <x:v>1250</x:v>
      </x:c>
      <x:c r="Z829" s="7" t="s">
        <x:v>2105</x:v>
      </x:c>
      <x:c r="AA829" s="7" t="s">
        <x:v>58</x:v>
      </x:c>
      <x:c r="AB829" s="8" t="s">
        <x:v>58</x:v>
      </x:c>
      <x:c r="AC829" s="8" t="s">
        <x:v>58</x:v>
      </x:c>
      <x:c r="AD829" s="8" t="s">
        <x:v>58</x:v>
      </x:c>
      <x:c r="AE829" s="8" t="s">
        <x:v>58</x:v>
      </x:c>
      <x:c r="AF829" s="8" t="s">
        <x:v>58</x:v>
      </x:c>
      <x:c r="AG829" s="7" t="s">
        <x:v>58</x:v>
      </x:c>
    </x:row>
    <x:row r="830" ht="79.5" hidden="0" customHeight="1">
      <x:c r="A830" s="7" t="s">
        <x:v>3667</x:v>
      </x:c>
      <x:c r="B830" s="7" t="s">
        <x:v>527</x:v>
      </x:c>
      <x:c r="C830" s="7" t="s">
        <x:v>529</x:v>
      </x:c>
      <x:c r="D830" s="7" t="s">
        <x:v>1935</x:v>
      </x:c>
      <x:c r="E830" s="7" t="s">
        <x:v>3668</x:v>
      </x:c>
      <x:c r="F830" s="7" t="s">
        <x:v>1929</x:v>
      </x:c>
      <x:c r="G830" s="8" t="n">
        <x:v>5.2</x:v>
      </x:c>
      <x:c r="H830" s="8" t="n">
        <x:v>0.6</x:v>
      </x:c>
      <x:c r="I830" s="8" t="s">
        <x:v>58</x:v>
      </x:c>
      <x:c r="J830" s="7" t="s">
        <x:v>1919</x:v>
      </x:c>
      <x:c r="K830" s="8" t="n">
        <x:v>0.001</x:v>
      </x:c>
      <x:c r="L830" s="8" t="n">
        <x:f aca="0">IF(AND(ISNUMBER(G830),P830&lt;&gt;"Unresolved unit / layout"),G830*K830,"Not applicable")</x:f>
        <x:v>0.005200000000000001</x:v>
      </x:c>
      <x:c r="M830" s="8" t="n">
        <x:f aca="0">IF(AND(ISNUMBER(H830),P830&lt;&gt;"Unresolved unit / layout"),H830*K830,"Not applicable")</x:f>
        <x:v>0.0006</x:v>
      </x:c>
      <x:c r="N830" s="8" t="str">
        <x:f aca="0">IF(AND(ISNUMBER(I830),P830&lt;&gt;"Unresolved unit / layout"),I830*K830,"Not applicable")</x:f>
        <x:v>Not applicable</x:v>
      </x:c>
      <x:c r="O830" s="7" t="s">
        <x:v>1937</x:v>
      </x:c>
      <x:c r="P830" s="7" t="s">
        <x:v>1921</x:v>
      </x:c>
      <x:c r="Q830" s="7" t="s">
        <x:v>2064</x:v>
      </x:c>
      <x:c r="R830" s="7" t="s">
        <x:v>2003</x:v>
      </x:c>
      <x:c r="S830" s="7" t="s">
        <x:v>53</x:v>
      </x:c>
      <x:c r="T830" s="7" t="s">
        <x:v>53</x:v>
      </x:c>
      <x:c r="U830" s="7" t="s">
        <x:v>53</x:v>
      </x:c>
      <x:c r="V830" s="7" t="s">
        <x:v>1999</x:v>
      </x:c>
      <x:c r="W830" s="7" t="s">
        <x:v>58</x:v>
      </x:c>
      <x:c r="X830" s="7" t="s">
        <x:v>3630</x:v>
      </x:c>
      <x:c r="Y830" s="7" t="s">
        <x:v>1250</x:v>
      </x:c>
      <x:c r="Z830" s="7" t="s">
        <x:v>2108</x:v>
      </x:c>
      <x:c r="AA830" s="7" t="s">
        <x:v>58</x:v>
      </x:c>
      <x:c r="AB830" s="8" t="s">
        <x:v>58</x:v>
      </x:c>
      <x:c r="AC830" s="8" t="s">
        <x:v>58</x:v>
      </x:c>
      <x:c r="AD830" s="8" t="s">
        <x:v>58</x:v>
      </x:c>
      <x:c r="AE830" s="8" t="s">
        <x:v>58</x:v>
      </x:c>
      <x:c r="AF830" s="8" t="s">
        <x:v>58</x:v>
      </x:c>
      <x:c r="AG830" s="7" t="s">
        <x:v>58</x:v>
      </x:c>
    </x:row>
    <x:row r="831" ht="79.5" hidden="0" customHeight="1">
      <x:c r="A831" s="7" t="s">
        <x:v>3669</x:v>
      </x:c>
      <x:c r="B831" s="7" t="s">
        <x:v>527</x:v>
      </x:c>
      <x:c r="C831" s="7" t="s">
        <x:v>529</x:v>
      </x:c>
      <x:c r="D831" s="7" t="s">
        <x:v>2006</x:v>
      </x:c>
      <x:c r="E831" s="7" t="s">
        <x:v>3670</x:v>
      </x:c>
      <x:c r="F831" s="7" t="s">
        <x:v>1929</x:v>
      </x:c>
      <x:c r="G831" s="8" t="n">
        <x:v>12</x:v>
      </x:c>
      <x:c r="H831" s="8" t="n">
        <x:v>0.8</x:v>
      </x:c>
      <x:c r="I831" s="8" t="s">
        <x:v>58</x:v>
      </x:c>
      <x:c r="J831" s="7" t="s">
        <x:v>1919</x:v>
      </x:c>
      <x:c r="K831" s="8" t="n">
        <x:v>1</x:v>
      </x:c>
      <x:c r="L831" s="8" t="n">
        <x:f aca="0">IF(AND(ISNUMBER(G831),P831&lt;&gt;"Unresolved unit / layout"),G831*K831,"Not applicable")</x:f>
        <x:v>12</x:v>
      </x:c>
      <x:c r="M831" s="8" t="n">
        <x:f aca="0">IF(AND(ISNUMBER(H831),P831&lt;&gt;"Unresolved unit / layout"),H831*K831,"Not applicable")</x:f>
        <x:v>0.8</x:v>
      </x:c>
      <x:c r="N831" s="8" t="str">
        <x:f aca="0">IF(AND(ISNUMBER(I831),P831&lt;&gt;"Unresolved unit / layout"),I831*K831,"Not applicable")</x:f>
        <x:v>Not applicable</x:v>
      </x:c>
      <x:c r="O831" s="7" t="s">
        <x:v>1929</x:v>
      </x:c>
      <x:c r="P831" s="7" t="s">
        <x:v>1921</x:v>
      </x:c>
      <x:c r="Q831" s="7" t="s">
        <x:v>2064</x:v>
      </x:c>
      <x:c r="R831" s="7" t="s">
        <x:v>1931</x:v>
      </x:c>
      <x:c r="S831" s="7" t="s">
        <x:v>53</x:v>
      </x:c>
      <x:c r="T831" s="7" t="s">
        <x:v>53</x:v>
      </x:c>
      <x:c r="U831" s="7" t="s">
        <x:v>53</x:v>
      </x:c>
      <x:c r="V831" s="7" t="s">
        <x:v>1999</x:v>
      </x:c>
      <x:c r="W831" s="7" t="s">
        <x:v>58</x:v>
      </x:c>
      <x:c r="X831" s="7" t="s">
        <x:v>3630</x:v>
      </x:c>
      <x:c r="Y831" s="7" t="s">
        <x:v>1250</x:v>
      </x:c>
      <x:c r="Z831" s="7" t="s">
        <x:v>2111</x:v>
      </x:c>
      <x:c r="AA831" s="7" t="s">
        <x:v>58</x:v>
      </x:c>
      <x:c r="AB831" s="8" t="s">
        <x:v>58</x:v>
      </x:c>
      <x:c r="AC831" s="8" t="s">
        <x:v>58</x:v>
      </x:c>
      <x:c r="AD831" s="8" t="s">
        <x:v>58</x:v>
      </x:c>
      <x:c r="AE831" s="8" t="s">
        <x:v>58</x:v>
      </x:c>
      <x:c r="AF831" s="8" t="s">
        <x:v>58</x:v>
      </x:c>
      <x:c r="AG831" s="7" t="s">
        <x:v>58</x:v>
      </x:c>
    </x:row>
    <x:row r="832" ht="79.5" hidden="0" customHeight="1">
      <x:c r="A832" s="7" t="s">
        <x:v>3671</x:v>
      </x:c>
      <x:c r="B832" s="7" t="s">
        <x:v>527</x:v>
      </x:c>
      <x:c r="C832" s="7" t="s">
        <x:v>529</x:v>
      </x:c>
      <x:c r="D832" s="7" t="s">
        <x:v>2006</x:v>
      </x:c>
      <x:c r="E832" s="7" t="s">
        <x:v>3672</x:v>
      </x:c>
      <x:c r="F832" s="7" t="s">
        <x:v>1929</x:v>
      </x:c>
      <x:c r="G832" s="8" t="n">
        <x:v>10.5</x:v>
      </x:c>
      <x:c r="H832" s="8" t="n">
        <x:v>0.6</x:v>
      </x:c>
      <x:c r="I832" s="8" t="s">
        <x:v>58</x:v>
      </x:c>
      <x:c r="J832" s="7" t="s">
        <x:v>1919</x:v>
      </x:c>
      <x:c r="K832" s="8" t="n">
        <x:v>1</x:v>
      </x:c>
      <x:c r="L832" s="8" t="n">
        <x:f aca="0">IF(AND(ISNUMBER(G832),P832&lt;&gt;"Unresolved unit / layout"),G832*K832,"Not applicable")</x:f>
        <x:v>10.5</x:v>
      </x:c>
      <x:c r="M832" s="8" t="n">
        <x:f aca="0">IF(AND(ISNUMBER(H832),P832&lt;&gt;"Unresolved unit / layout"),H832*K832,"Not applicable")</x:f>
        <x:v>0.6</x:v>
      </x:c>
      <x:c r="N832" s="8" t="str">
        <x:f aca="0">IF(AND(ISNUMBER(I832),P832&lt;&gt;"Unresolved unit / layout"),I832*K832,"Not applicable")</x:f>
        <x:v>Not applicable</x:v>
      </x:c>
      <x:c r="O832" s="7" t="s">
        <x:v>1929</x:v>
      </x:c>
      <x:c r="P832" s="7" t="s">
        <x:v>1921</x:v>
      </x:c>
      <x:c r="Q832" s="7" t="s">
        <x:v>2064</x:v>
      </x:c>
      <x:c r="R832" s="7" t="s">
        <x:v>2003</x:v>
      </x:c>
      <x:c r="S832" s="7" t="s">
        <x:v>53</x:v>
      </x:c>
      <x:c r="T832" s="7" t="s">
        <x:v>53</x:v>
      </x:c>
      <x:c r="U832" s="7" t="s">
        <x:v>53</x:v>
      </x:c>
      <x:c r="V832" s="7" t="s">
        <x:v>1999</x:v>
      </x:c>
      <x:c r="W832" s="7" t="s">
        <x:v>58</x:v>
      </x:c>
      <x:c r="X832" s="7" t="s">
        <x:v>3630</x:v>
      </x:c>
      <x:c r="Y832" s="7" t="s">
        <x:v>1250</x:v>
      </x:c>
      <x:c r="Z832" s="7" t="s">
        <x:v>2114</x:v>
      </x:c>
      <x:c r="AA832" s="7" t="s">
        <x:v>58</x:v>
      </x:c>
      <x:c r="AB832" s="8" t="s">
        <x:v>58</x:v>
      </x:c>
      <x:c r="AC832" s="8" t="s">
        <x:v>58</x:v>
      </x:c>
      <x:c r="AD832" s="8" t="s">
        <x:v>58</x:v>
      </x:c>
      <x:c r="AE832" s="8" t="s">
        <x:v>58</x:v>
      </x:c>
      <x:c r="AF832" s="8" t="s">
        <x:v>58</x:v>
      </x:c>
      <x:c r="AG832" s="7" t="s">
        <x:v>58</x:v>
      </x:c>
    </x:row>
    <x:row r="833" ht="79.5" hidden="0" customHeight="1">
      <x:c r="A833" s="7" t="s">
        <x:v>3673</x:v>
      </x:c>
      <x:c r="B833" s="7" t="s">
        <x:v>527</x:v>
      </x:c>
      <x:c r="C833" s="7" t="s">
        <x:v>529</x:v>
      </x:c>
      <x:c r="D833" s="7" t="s">
        <x:v>1940</x:v>
      </x:c>
      <x:c r="E833" s="7" t="s">
        <x:v>3674</x:v>
      </x:c>
      <x:c r="F833" s="7" t="s">
        <x:v>1942</x:v>
      </x:c>
      <x:c r="G833" s="8" t="n">
        <x:v>700</x:v>
      </x:c>
      <x:c r="H833" s="8" t="s">
        <x:v>58</x:v>
      </x:c>
      <x:c r="I833" s="8" t="s">
        <x:v>58</x:v>
      </x:c>
      <x:c r="J833" s="7" t="s">
        <x:v>3460</x:v>
      </x:c>
      <x:c r="K833" s="8" t="n">
        <x:v>1</x:v>
      </x:c>
      <x:c r="L833" s="8" t="n">
        <x:f aca="0">IF(AND(ISNUMBER(G833),P833&lt;&gt;"Unresolved unit / layout"),G833*K833,"Not applicable")</x:f>
        <x:v>700</x:v>
      </x:c>
      <x:c r="M833" s="8" t="str">
        <x:f aca="0">IF(AND(ISNUMBER(H833),P833&lt;&gt;"Unresolved unit / layout"),H833*K833,"Not applicable")</x:f>
        <x:v>Not applicable</x:v>
      </x:c>
      <x:c r="N833" s="8" t="str">
        <x:f aca="0">IF(AND(ISNUMBER(I833),P833&lt;&gt;"Unresolved unit / layout"),I833*K833,"Not applicable")</x:f>
        <x:v>Not applicable</x:v>
      </x:c>
      <x:c r="O833" s="7" t="s">
        <x:v>1942</x:v>
      </x:c>
      <x:c r="P833" s="7" t="s">
        <x:v>1921</x:v>
      </x:c>
      <x:c r="Q833" s="7" t="s">
        <x:v>2064</x:v>
      </x:c>
      <x:c r="R833" s="7" t="s">
        <x:v>1931</x:v>
      </x:c>
      <x:c r="S833" s="7" t="s">
        <x:v>53</x:v>
      </x:c>
      <x:c r="T833" s="7" t="s">
        <x:v>53</x:v>
      </x:c>
      <x:c r="U833" s="7" t="s">
        <x:v>53</x:v>
      </x:c>
      <x:c r="V833" s="7" t="s">
        <x:v>1999</x:v>
      </x:c>
      <x:c r="W833" s="7" t="s">
        <x:v>58</x:v>
      </x:c>
      <x:c r="X833" s="7" t="s">
        <x:v>3630</x:v>
      </x:c>
      <x:c r="Y833" s="7" t="s">
        <x:v>1250</x:v>
      </x:c>
      <x:c r="Z833" s="7" t="s">
        <x:v>2117</x:v>
      </x:c>
      <x:c r="AA833" s="7" t="s">
        <x:v>58</x:v>
      </x:c>
      <x:c r="AB833" s="8" t="s">
        <x:v>58</x:v>
      </x:c>
      <x:c r="AC833" s="8" t="s">
        <x:v>58</x:v>
      </x:c>
      <x:c r="AD833" s="8" t="s">
        <x:v>58</x:v>
      </x:c>
      <x:c r="AE833" s="8" t="s">
        <x:v>58</x:v>
      </x:c>
      <x:c r="AF833" s="8" t="s">
        <x:v>58</x:v>
      </x:c>
      <x:c r="AG833" s="7" t="s">
        <x:v>58</x:v>
      </x:c>
    </x:row>
    <x:row r="834" ht="79.5" hidden="0" customHeight="1">
      <x:c r="A834" s="7" t="s">
        <x:v>3675</x:v>
      </x:c>
      <x:c r="B834" s="7" t="s">
        <x:v>527</x:v>
      </x:c>
      <x:c r="C834" s="7" t="s">
        <x:v>529</x:v>
      </x:c>
      <x:c r="D834" s="7" t="s">
        <x:v>1940</x:v>
      </x:c>
      <x:c r="E834" s="7" t="s">
        <x:v>3650</x:v>
      </x:c>
      <x:c r="F834" s="7" t="s">
        <x:v>1942</x:v>
      </x:c>
      <x:c r="G834" s="8" t="n">
        <x:v>350</x:v>
      </x:c>
      <x:c r="H834" s="8" t="s">
        <x:v>58</x:v>
      </x:c>
      <x:c r="I834" s="8" t="s">
        <x:v>58</x:v>
      </x:c>
      <x:c r="J834" s="7" t="s">
        <x:v>3460</x:v>
      </x:c>
      <x:c r="K834" s="8" t="n">
        <x:v>1</x:v>
      </x:c>
      <x:c r="L834" s="8" t="n">
        <x:f aca="0">IF(AND(ISNUMBER(G834),P834&lt;&gt;"Unresolved unit / layout"),G834*K834,"Not applicable")</x:f>
        <x:v>350</x:v>
      </x:c>
      <x:c r="M834" s="8" t="str">
        <x:f aca="0">IF(AND(ISNUMBER(H834),P834&lt;&gt;"Unresolved unit / layout"),H834*K834,"Not applicable")</x:f>
        <x:v>Not applicable</x:v>
      </x:c>
      <x:c r="N834" s="8" t="str">
        <x:f aca="0">IF(AND(ISNUMBER(I834),P834&lt;&gt;"Unresolved unit / layout"),I834*K834,"Not applicable")</x:f>
        <x:v>Not applicable</x:v>
      </x:c>
      <x:c r="O834" s="7" t="s">
        <x:v>1942</x:v>
      </x:c>
      <x:c r="P834" s="7" t="s">
        <x:v>1921</x:v>
      </x:c>
      <x:c r="Q834" s="7" t="s">
        <x:v>2064</x:v>
      </x:c>
      <x:c r="R834" s="7" t="s">
        <x:v>2003</x:v>
      </x:c>
      <x:c r="S834" s="7" t="s">
        <x:v>53</x:v>
      </x:c>
      <x:c r="T834" s="7" t="s">
        <x:v>53</x:v>
      </x:c>
      <x:c r="U834" s="7" t="s">
        <x:v>53</x:v>
      </x:c>
      <x:c r="V834" s="7" t="s">
        <x:v>1999</x:v>
      </x:c>
      <x:c r="W834" s="7" t="s">
        <x:v>58</x:v>
      </x:c>
      <x:c r="X834" s="7" t="s">
        <x:v>3630</x:v>
      </x:c>
      <x:c r="Y834" s="7" t="s">
        <x:v>1250</x:v>
      </x:c>
      <x:c r="Z834" s="7" t="s">
        <x:v>2120</x:v>
      </x:c>
      <x:c r="AA834" s="7" t="s">
        <x:v>58</x:v>
      </x:c>
      <x:c r="AB834" s="8" t="s">
        <x:v>58</x:v>
      </x:c>
      <x:c r="AC834" s="8" t="s">
        <x:v>58</x:v>
      </x:c>
      <x:c r="AD834" s="8" t="s">
        <x:v>58</x:v>
      </x:c>
      <x:c r="AE834" s="8" t="s">
        <x:v>58</x:v>
      </x:c>
      <x:c r="AF834" s="8" t="s">
        <x:v>58</x:v>
      </x:c>
      <x:c r="AG834" s="7" t="s">
        <x:v>58</x:v>
      </x:c>
    </x:row>
    <x:row r="835" ht="79.5" hidden="0" customHeight="1">
      <x:c r="A835" s="7" t="s">
        <x:v>3676</x:v>
      </x:c>
      <x:c r="B835" s="7" t="s">
        <x:v>527</x:v>
      </x:c>
      <x:c r="C835" s="7" t="s">
        <x:v>529</x:v>
      </x:c>
      <x:c r="D835" s="7" t="s">
        <x:v>1950</x:v>
      </x:c>
      <x:c r="E835" s="7" t="s">
        <x:v>1995</x:v>
      </x:c>
      <x:c r="F835" s="7" t="s">
        <x:v>53</x:v>
      </x:c>
      <x:c r="G835" s="8" t="s">
        <x:v>53</x:v>
      </x:c>
      <x:c r="H835" s="8" t="s">
        <x:v>58</x:v>
      </x:c>
      <x:c r="I835" s="8" t="s">
        <x:v>58</x:v>
      </x:c>
      <x:c r="J835" s="7" t="s">
        <x:v>58</x:v>
      </x:c>
      <x:c r="K835" s="8" t="n">
        <x:v>1</x:v>
      </x:c>
      <x:c r="L835" s="8" t="str">
        <x:f aca="0">IF(AND(ISNUMBER(G835),P835&lt;&gt;"Unresolved unit / layout"),G835*K835,"Not published")</x:f>
        <x:v>Not published</x:v>
      </x:c>
      <x:c r="M835" s="8" t="str">
        <x:f aca="0">IF(AND(ISNUMBER(H835),P835&lt;&gt;"Unresolved unit / layout"),H835*K835,"Not applicable")</x:f>
        <x:v>Not applicable</x:v>
      </x:c>
      <x:c r="N835" s="8" t="str">
        <x:f aca="0">IF(AND(ISNUMBER(I835),P835&lt;&gt;"Unresolved unit / layout"),I835*K835,"Not applicable")</x:f>
        <x:v>Not applicable</x:v>
      </x:c>
      <x:c r="O835" s="7" t="s">
        <x:v>53</x:v>
      </x:c>
      <x:c r="P835" s="7" t="s">
        <x:v>53</x:v>
      </x:c>
      <x:c r="Q835" s="7" t="s">
        <x:v>2064</x:v>
      </x:c>
      <x:c r="R835" s="7" t="s">
        <x:v>53</x:v>
      </x:c>
      <x:c r="S835" s="7" t="s">
        <x:v>53</x:v>
      </x:c>
      <x:c r="T835" s="7" t="s">
        <x:v>53</x:v>
      </x:c>
      <x:c r="U835" s="7" t="s">
        <x:v>53</x:v>
      </x:c>
      <x:c r="V835" s="7" t="s">
        <x:v>3594</x:v>
      </x:c>
      <x:c r="W835" s="7" t="s">
        <x:v>58</x:v>
      </x:c>
      <x:c r="X835" s="7" t="s">
        <x:v>3630</x:v>
      </x:c>
      <x:c r="Y835" s="7" t="s">
        <x:v>1250</x:v>
      </x:c>
      <x:c r="Z835" s="7" t="s">
        <x:v>3595</x:v>
      </x:c>
      <x:c r="AA835" s="7" t="s">
        <x:v>58</x:v>
      </x:c>
      <x:c r="AB835" s="8" t="s">
        <x:v>58</x:v>
      </x:c>
      <x:c r="AC835" s="8" t="s">
        <x:v>58</x:v>
      </x:c>
      <x:c r="AD835" s="8" t="s">
        <x:v>58</x:v>
      </x:c>
      <x:c r="AE835" s="8" t="s">
        <x:v>58</x:v>
      </x:c>
      <x:c r="AF835" s="8" t="s">
        <x:v>58</x:v>
      </x:c>
      <x:c r="AG835" s="7" t="s">
        <x:v>58</x:v>
      </x:c>
    </x:row>
    <x:row r="836" ht="79.5" hidden="0" customHeight="1">
      <x:c r="A836" s="7" t="s">
        <x:v>3677</x:v>
      </x:c>
      <x:c r="B836" s="7" t="s">
        <x:v>527</x:v>
      </x:c>
      <x:c r="C836" s="7" t="s">
        <x:v>529</x:v>
      </x:c>
      <x:c r="D836" s="7" t="s">
        <x:v>2030</x:v>
      </x:c>
      <x:c r="E836" s="7" t="s">
        <x:v>3597</x:v>
      </x:c>
      <x:c r="F836" s="7" t="s">
        <x:v>2033</x:v>
      </x:c>
      <x:c r="G836" s="8" t="n">
        <x:v>124.3</x:v>
      </x:c>
      <x:c r="H836" s="8" t="s">
        <x:v>58</x:v>
      </x:c>
      <x:c r="I836" s="8" t="s">
        <x:v>58</x:v>
      </x:c>
      <x:c r="J836" s="7" t="s">
        <x:v>1919</x:v>
      </x:c>
      <x:c r="K836" s="8" t="n">
        <x:v>1</x:v>
      </x:c>
      <x:c r="L836" s="8" t="n">
        <x:f aca="0">IF(AND(ISNUMBER(G836),P836&lt;&gt;"Unresolved unit / layout"),G836*K836,"Not applicable")</x:f>
        <x:v>124.3</x:v>
      </x:c>
      <x:c r="M836" s="8" t="str">
        <x:f aca="0">IF(AND(ISNUMBER(H836),P836&lt;&gt;"Unresolved unit / layout"),H836*K836,"Not applicable")</x:f>
        <x:v>Not applicable</x:v>
      </x:c>
      <x:c r="N836" s="8" t="str">
        <x:f aca="0">IF(AND(ISNUMBER(I836),P836&lt;&gt;"Unresolved unit / layout"),I836*K836,"Not applicable")</x:f>
        <x:v>Not applicable</x:v>
      </x:c>
      <x:c r="O836" s="7" t="s">
        <x:v>2033</x:v>
      </x:c>
      <x:c r="P836" s="7" t="s">
        <x:v>1921</x:v>
      </x:c>
      <x:c r="Q836" s="7" t="s">
        <x:v>2064</x:v>
      </x:c>
      <x:c r="R836" s="7" t="s">
        <x:v>1931</x:v>
      </x:c>
      <x:c r="S836" s="7" t="s">
        <x:v>53</x:v>
      </x:c>
      <x:c r="T836" s="7" t="s">
        <x:v>53</x:v>
      </x:c>
      <x:c r="U836" s="7" t="s">
        <x:v>53</x:v>
      </x:c>
      <x:c r="V836" s="7" t="s">
        <x:v>2036</x:v>
      </x:c>
      <x:c r="W836" s="7" t="s">
        <x:v>53</x:v>
      </x:c>
      <x:c r="X836" s="7" t="s">
        <x:v>3630</x:v>
      </x:c>
      <x:c r="Y836" s="7" t="s">
        <x:v>1250</x:v>
      </x:c>
      <x:c r="Z836" s="7" t="s">
        <x:v>2378</x:v>
      </x:c>
      <x:c r="AA836" s="7" t="s">
        <x:v>58</x:v>
      </x:c>
      <x:c r="AB836" s="8" t="s">
        <x:v>58</x:v>
      </x:c>
      <x:c r="AC836" s="8" t="s">
        <x:v>58</x:v>
      </x:c>
      <x:c r="AD836" s="8" t="s">
        <x:v>58</x:v>
      </x:c>
      <x:c r="AE836" s="8" t="s">
        <x:v>58</x:v>
      </x:c>
      <x:c r="AF836" s="8" t="s">
        <x:v>58</x:v>
      </x:c>
      <x:c r="AG836" s="7" t="s">
        <x:v>58</x:v>
      </x:c>
    </x:row>
    <x:row r="837" ht="79.5" hidden="0" customHeight="1">
      <x:c r="A837" s="7" t="s">
        <x:v>3678</x:v>
      </x:c>
      <x:c r="B837" s="7" t="s">
        <x:v>527</x:v>
      </x:c>
      <x:c r="C837" s="7" t="s">
        <x:v>529</x:v>
      </x:c>
      <x:c r="D837" s="7" t="s">
        <x:v>2030</x:v>
      </x:c>
      <x:c r="E837" s="7" t="s">
        <x:v>3679</x:v>
      </x:c>
      <x:c r="F837" s="7" t="s">
        <x:v>2033</x:v>
      </x:c>
      <x:c r="G837" s="8" t="n">
        <x:v>88.5</x:v>
      </x:c>
      <x:c r="H837" s="8" t="s">
        <x:v>58</x:v>
      </x:c>
      <x:c r="I837" s="8" t="s">
        <x:v>58</x:v>
      </x:c>
      <x:c r="J837" s="7" t="s">
        <x:v>1919</x:v>
      </x:c>
      <x:c r="K837" s="8" t="n">
        <x:v>1</x:v>
      </x:c>
      <x:c r="L837" s="8" t="n">
        <x:f aca="0">IF(AND(ISNUMBER(G837),P837&lt;&gt;"Unresolved unit / layout"),G837*K837,"Not applicable")</x:f>
        <x:v>88.5</x:v>
      </x:c>
      <x:c r="M837" s="8" t="str">
        <x:f aca="0">IF(AND(ISNUMBER(H837),P837&lt;&gt;"Unresolved unit / layout"),H837*K837,"Not applicable")</x:f>
        <x:v>Not applicable</x:v>
      </x:c>
      <x:c r="N837" s="8" t="str">
        <x:f aca="0">IF(AND(ISNUMBER(I837),P837&lt;&gt;"Unresolved unit / layout"),I837*K837,"Not applicable")</x:f>
        <x:v>Not applicable</x:v>
      </x:c>
      <x:c r="O837" s="7" t="s">
        <x:v>2033</x:v>
      </x:c>
      <x:c r="P837" s="7" t="s">
        <x:v>1921</x:v>
      </x:c>
      <x:c r="Q837" s="7" t="s">
        <x:v>2064</x:v>
      </x:c>
      <x:c r="R837" s="7" t="s">
        <x:v>2003</x:v>
      </x:c>
      <x:c r="S837" s="7" t="s">
        <x:v>53</x:v>
      </x:c>
      <x:c r="T837" s="7" t="s">
        <x:v>53</x:v>
      </x:c>
      <x:c r="U837" s="7" t="s">
        <x:v>53</x:v>
      </x:c>
      <x:c r="V837" s="7" t="s">
        <x:v>2343</x:v>
      </x:c>
      <x:c r="W837" s="7" t="s">
        <x:v>53</x:v>
      </x:c>
      <x:c r="X837" s="7" t="s">
        <x:v>3630</x:v>
      </x:c>
      <x:c r="Y837" s="7" t="s">
        <x:v>1250</x:v>
      </x:c>
      <x:c r="Z837" s="7" t="s">
        <x:v>2225</x:v>
      </x:c>
      <x:c r="AA837" s="7" t="s">
        <x:v>58</x:v>
      </x:c>
      <x:c r="AB837" s="8" t="s">
        <x:v>58</x:v>
      </x:c>
      <x:c r="AC837" s="8" t="s">
        <x:v>58</x:v>
      </x:c>
      <x:c r="AD837" s="8" t="s">
        <x:v>58</x:v>
      </x:c>
      <x:c r="AE837" s="8" t="s">
        <x:v>58</x:v>
      </x:c>
      <x:c r="AF837" s="8" t="s">
        <x:v>58</x:v>
      </x:c>
      <x:c r="AG837" s="7" t="s">
        <x:v>58</x:v>
      </x:c>
    </x:row>
    <x:row r="838" ht="66" hidden="0" customHeight="1">
      <x:c r="A838" s="7" t="s">
        <x:v>3680</x:v>
      </x:c>
      <x:c r="B838" s="7" t="s">
        <x:v>533</x:v>
      </x:c>
      <x:c r="C838" s="7" t="s">
        <x:v>1254</x:v>
      </x:c>
      <x:c r="D838" s="7" t="s">
        <x:v>1916</x:v>
      </x:c>
      <x:c r="E838" s="7" t="s">
        <x:v>3681</x:v>
      </x:c>
      <x:c r="F838" s="7" t="s">
        <x:v>1965</x:v>
      </x:c>
      <x:c r="G838" s="8" t="n">
        <x:v>1.12</x:v>
      </x:c>
      <x:c r="H838" s="8" t="s">
        <x:v>58</x:v>
      </x:c>
      <x:c r="I838" s="8" t="s">
        <x:v>58</x:v>
      </x:c>
      <x:c r="J838" s="7" t="s">
        <x:v>1919</x:v>
      </x:c>
      <x:c r="K838" s="8" t="n">
        <x:v>1000</x:v>
      </x:c>
      <x:c r="L838" s="8" t="n">
        <x:f aca="0">IF(AND(ISNUMBER(G838),P838&lt;&gt;"Unresolved unit / layout"),G838*K838,"Not applicable")</x:f>
        <x:v>1120</x:v>
      </x:c>
      <x:c r="M838" s="8" t="str">
        <x:f aca="0">IF(AND(ISNUMBER(H838),P838&lt;&gt;"Unresolved unit / layout"),H838*K838,"Not applicable")</x:f>
        <x:v>Not applicable</x:v>
      </x:c>
      <x:c r="N838" s="8" t="str">
        <x:f aca="0">IF(AND(ISNUMBER(I838),P838&lt;&gt;"Unresolved unit / layout"),I838*K838,"Not applicable")</x:f>
        <x:v>Not applicable</x:v>
      </x:c>
      <x:c r="O838" s="7" t="s">
        <x:v>1920</x:v>
      </x:c>
      <x:c r="P838" s="7" t="s">
        <x:v>1921</x:v>
      </x:c>
      <x:c r="Q838" s="7" t="s">
        <x:v>1922</x:v>
      </x:c>
      <x:c r="R838" s="7" t="s">
        <x:v>58</x:v>
      </x:c>
      <x:c r="S838" s="7" t="s">
        <x:v>53</x:v>
      </x:c>
      <x:c r="T838" s="7" t="s">
        <x:v>53</x:v>
      </x:c>
      <x:c r="U838" s="7" t="s">
        <x:v>53</x:v>
      </x:c>
      <x:c r="V838" s="7" t="s">
        <x:v>1966</x:v>
      </x:c>
      <x:c r="W838" s="7" t="s">
        <x:v>58</x:v>
      </x:c>
      <x:c r="X838" s="7" t="s">
        <x:v>3682</x:v>
      </x:c>
      <x:c r="Y838" s="7" t="s">
        <x:v>1256</x:v>
      </x:c>
      <x:c r="Z838" s="7" t="s">
        <x:v>1968</x:v>
      </x:c>
      <x:c r="AA838" s="7" t="s">
        <x:v>58</x:v>
      </x:c>
      <x:c r="AB838" s="8" t="s">
        <x:v>58</x:v>
      </x:c>
      <x:c r="AC838" s="8" t="s">
        <x:v>58</x:v>
      </x:c>
      <x:c r="AD838" s="8" t="s">
        <x:v>58</x:v>
      </x:c>
      <x:c r="AE838" s="8" t="s">
        <x:v>58</x:v>
      </x:c>
      <x:c r="AF838" s="8" t="s">
        <x:v>58</x:v>
      </x:c>
      <x:c r="AG838" s="7" t="s">
        <x:v>58</x:v>
      </x:c>
    </x:row>
    <x:row r="839" ht="66" hidden="0" customHeight="1">
      <x:c r="A839" s="7" t="s">
        <x:v>3683</x:v>
      </x:c>
      <x:c r="B839" s="7" t="s">
        <x:v>533</x:v>
      </x:c>
      <x:c r="C839" s="7" t="s">
        <x:v>1254</x:v>
      </x:c>
      <x:c r="D839" s="7" t="s">
        <x:v>2006</x:v>
      </x:c>
      <x:c r="E839" s="7" t="s">
        <x:v>3684</x:v>
      </x:c>
      <x:c r="F839" s="7" t="s">
        <x:v>1929</x:v>
      </x:c>
      <x:c r="G839" s="8" t="n">
        <x:v>30</x:v>
      </x:c>
      <x:c r="H839" s="8" t="n">
        <x:v>0.66</x:v>
      </x:c>
      <x:c r="I839" s="8" t="s">
        <x:v>58</x:v>
      </x:c>
      <x:c r="J839" s="7" t="s">
        <x:v>1919</x:v>
      </x:c>
      <x:c r="K839" s="8" t="n">
        <x:v>1</x:v>
      </x:c>
      <x:c r="L839" s="8" t="n">
        <x:f aca="0">IF(AND(ISNUMBER(G839),P839&lt;&gt;"Unresolved unit / layout"),G839*K839,"Not applicable")</x:f>
        <x:v>30</x:v>
      </x:c>
      <x:c r="M839" s="8" t="n">
        <x:f aca="0">IF(AND(ISNUMBER(H839),P839&lt;&gt;"Unresolved unit / layout"),H839*K839,"Not applicable")</x:f>
        <x:v>0.66</x:v>
      </x:c>
      <x:c r="N839" s="8" t="str">
        <x:f aca="0">IF(AND(ISNUMBER(I839),P839&lt;&gt;"Unresolved unit / layout"),I839*K839,"Not applicable")</x:f>
        <x:v>Not applicable</x:v>
      </x:c>
      <x:c r="O839" s="7" t="s">
        <x:v>1929</x:v>
      </x:c>
      <x:c r="P839" s="7" t="s">
        <x:v>1921</x:v>
      </x:c>
      <x:c r="Q839" s="7" t="s">
        <x:v>1930</x:v>
      </x:c>
      <x:c r="R839" s="7" t="s">
        <x:v>1931</x:v>
      </x:c>
      <x:c r="S839" s="7" t="s">
        <x:v>53</x:v>
      </x:c>
      <x:c r="T839" s="7" t="s">
        <x:v>53</x:v>
      </x:c>
      <x:c r="U839" s="7" t="s">
        <x:v>53</x:v>
      </x:c>
      <x:c r="V839" s="7" t="s">
        <x:v>3533</x:v>
      </x:c>
      <x:c r="W839" s="7" t="s">
        <x:v>58</x:v>
      </x:c>
      <x:c r="X839" s="7" t="s">
        <x:v>3682</x:v>
      </x:c>
      <x:c r="Y839" s="7" t="s">
        <x:v>1256</x:v>
      </x:c>
      <x:c r="Z839" s="7" t="s">
        <x:v>2008</x:v>
      </x:c>
      <x:c r="AA839" s="7" t="s">
        <x:v>58</x:v>
      </x:c>
      <x:c r="AB839" s="8" t="s">
        <x:v>58</x:v>
      </x:c>
      <x:c r="AC839" s="8" t="s">
        <x:v>58</x:v>
      </x:c>
      <x:c r="AD839" s="8" t="s">
        <x:v>58</x:v>
      </x:c>
      <x:c r="AE839" s="8" t="s">
        <x:v>58</x:v>
      </x:c>
      <x:c r="AF839" s="8" t="s">
        <x:v>58</x:v>
      </x:c>
      <x:c r="AG839" s="7" t="s">
        <x:v>58</x:v>
      </x:c>
    </x:row>
    <x:row r="840" ht="66" hidden="0" customHeight="1">
      <x:c r="A840" s="7" t="s">
        <x:v>3685</x:v>
      </x:c>
      <x:c r="B840" s="7" t="s">
        <x:v>533</x:v>
      </x:c>
      <x:c r="C840" s="7" t="s">
        <x:v>1254</x:v>
      </x:c>
      <x:c r="D840" s="7" t="s">
        <x:v>1940</x:v>
      </x:c>
      <x:c r="E840" s="7" t="s">
        <x:v>3686</x:v>
      </x:c>
      <x:c r="F840" s="7" t="s">
        <x:v>1942</x:v>
      </x:c>
      <x:c r="G840" s="8" t="n">
        <x:v>586.8</x:v>
      </x:c>
      <x:c r="H840" s="8" t="n">
        <x:v>15.3</x:v>
      </x:c>
      <x:c r="I840" s="8" t="s">
        <x:v>58</x:v>
      </x:c>
      <x:c r="J840" s="7" t="s">
        <x:v>1919</x:v>
      </x:c>
      <x:c r="K840" s="8" t="n">
        <x:v>1</x:v>
      </x:c>
      <x:c r="L840" s="8" t="n">
        <x:f aca="0">IF(AND(ISNUMBER(G840),P840&lt;&gt;"Unresolved unit / layout"),G840*K840,"Not applicable")</x:f>
        <x:v>586.8</x:v>
      </x:c>
      <x:c r="M840" s="8" t="n">
        <x:f aca="0">IF(AND(ISNUMBER(H840),P840&lt;&gt;"Unresolved unit / layout"),H840*K840,"Not applicable")</x:f>
        <x:v>15.3</x:v>
      </x:c>
      <x:c r="N840" s="8" t="str">
        <x:f aca="0">IF(AND(ISNUMBER(I840),P840&lt;&gt;"Unresolved unit / layout"),I840*K840,"Not applicable")</x:f>
        <x:v>Not applicable</x:v>
      </x:c>
      <x:c r="O840" s="7" t="s">
        <x:v>1942</x:v>
      </x:c>
      <x:c r="P840" s="7" t="s">
        <x:v>1921</x:v>
      </x:c>
      <x:c r="Q840" s="7" t="s">
        <x:v>1930</x:v>
      </x:c>
      <x:c r="R840" s="7" t="s">
        <x:v>1931</x:v>
      </x:c>
      <x:c r="S840" s="7" t="s">
        <x:v>53</x:v>
      </x:c>
      <x:c r="T840" s="7" t="s">
        <x:v>53</x:v>
      </x:c>
      <x:c r="U840" s="7" t="s">
        <x:v>53</x:v>
      </x:c>
      <x:c r="V840" s="7" t="s">
        <x:v>3533</x:v>
      </x:c>
      <x:c r="W840" s="7" t="s">
        <x:v>58</x:v>
      </x:c>
      <x:c r="X840" s="7" t="s">
        <x:v>3682</x:v>
      </x:c>
      <x:c r="Y840" s="7" t="s">
        <x:v>1256</x:v>
      </x:c>
      <x:c r="Z840" s="7" t="s">
        <x:v>2014</x:v>
      </x:c>
      <x:c r="AA840" s="7" t="s">
        <x:v>58</x:v>
      </x:c>
      <x:c r="AB840" s="8" t="s">
        <x:v>58</x:v>
      </x:c>
      <x:c r="AC840" s="8" t="s">
        <x:v>58</x:v>
      </x:c>
      <x:c r="AD840" s="8" t="s">
        <x:v>58</x:v>
      </x:c>
      <x:c r="AE840" s="8" t="s">
        <x:v>58</x:v>
      </x:c>
      <x:c r="AF840" s="8" t="s">
        <x:v>58</x:v>
      </x:c>
      <x:c r="AG840" s="7" t="s">
        <x:v>58</x:v>
      </x:c>
    </x:row>
    <x:row r="841" ht="51.75" hidden="0" customHeight="1">
      <x:c r="A841" s="7" t="s">
        <x:v>3687</x:v>
      </x:c>
      <x:c r="B841" s="7" t="s">
        <x:v>543</x:v>
      </x:c>
      <x:c r="C841" s="7" t="s">
        <x:v>545</x:v>
      </x:c>
      <x:c r="D841" s="7" t="s">
        <x:v>1916</x:v>
      </x:c>
      <x:c r="E841" s="7" t="s">
        <x:v>3688</x:v>
      </x:c>
      <x:c r="F841" s="7" t="s">
        <x:v>1965</x:v>
      </x:c>
      <x:c r="G841" s="8" t="n">
        <x:v>1.01</x:v>
      </x:c>
      <x:c r="H841" s="8" t="s">
        <x:v>58</x:v>
      </x:c>
      <x:c r="I841" s="8" t="s">
        <x:v>58</x:v>
      </x:c>
      <x:c r="J841" s="7" t="s">
        <x:v>1919</x:v>
      </x:c>
      <x:c r="K841" s="8" t="n">
        <x:v>1000</x:v>
      </x:c>
      <x:c r="L841" s="8" t="n">
        <x:f aca="0">IF(AND(ISNUMBER(G841),P841&lt;&gt;"Unresolved unit / layout"),G841*K841,"Not applicable")</x:f>
        <x:v>1010</x:v>
      </x:c>
      <x:c r="M841" s="8" t="str">
        <x:f aca="0">IF(AND(ISNUMBER(H841),P841&lt;&gt;"Unresolved unit / layout"),H841*K841,"Not applicable")</x:f>
        <x:v>Not applicable</x:v>
      </x:c>
      <x:c r="N841" s="8" t="str">
        <x:f aca="0">IF(AND(ISNUMBER(I841),P841&lt;&gt;"Unresolved unit / layout"),I841*K841,"Not applicable")</x:f>
        <x:v>Not applicable</x:v>
      </x:c>
      <x:c r="O841" s="7" t="s">
        <x:v>1920</x:v>
      </x:c>
      <x:c r="P841" s="7" t="s">
        <x:v>1921</x:v>
      </x:c>
      <x:c r="Q841" s="7" t="s">
        <x:v>1922</x:v>
      </x:c>
      <x:c r="R841" s="7" t="s">
        <x:v>58</x:v>
      </x:c>
      <x:c r="S841" s="7" t="s">
        <x:v>53</x:v>
      </x:c>
      <x:c r="T841" s="7" t="s">
        <x:v>53</x:v>
      </x:c>
      <x:c r="U841" s="7" t="s">
        <x:v>53</x:v>
      </x:c>
      <x:c r="V841" s="7" t="s">
        <x:v>3689</x:v>
      </x:c>
      <x:c r="W841" s="7" t="s">
        <x:v>58</x:v>
      </x:c>
      <x:c r="X841" s="7" t="s">
        <x:v>53</x:v>
      </x:c>
      <x:c r="Y841" s="7" t="s">
        <x:v>1259</x:v>
      </x:c>
      <x:c r="Z841" s="7" t="s">
        <x:v>1925</x:v>
      </x:c>
      <x:c r="AA841" s="7" t="s">
        <x:v>58</x:v>
      </x:c>
      <x:c r="AB841" s="8" t="s">
        <x:v>58</x:v>
      </x:c>
      <x:c r="AC841" s="8" t="s">
        <x:v>58</x:v>
      </x:c>
      <x:c r="AD841" s="8" t="s">
        <x:v>58</x:v>
      </x:c>
      <x:c r="AE841" s="8" t="s">
        <x:v>58</x:v>
      </x:c>
      <x:c r="AF841" s="8" t="s">
        <x:v>58</x:v>
      </x:c>
      <x:c r="AG841" s="7" t="s">
        <x:v>58</x:v>
      </x:c>
    </x:row>
    <x:row r="842" ht="37.5" hidden="0" customHeight="1">
      <x:c r="A842" s="7" t="s">
        <x:v>3690</x:v>
      </x:c>
      <x:c r="B842" s="7" t="s">
        <x:v>543</x:v>
      </x:c>
      <x:c r="C842" s="7" t="s">
        <x:v>545</x:v>
      </x:c>
      <x:c r="D842" s="7" t="s">
        <x:v>2006</x:v>
      </x:c>
      <x:c r="E842" s="7" t="s">
        <x:v>3691</x:v>
      </x:c>
      <x:c r="F842" s="7" t="s">
        <x:v>1929</x:v>
      </x:c>
      <x:c r="G842" s="8" t="n">
        <x:v>30</x:v>
      </x:c>
      <x:c r="H842" s="8" t="s">
        <x:v>58</x:v>
      </x:c>
      <x:c r="I842" s="8" t="s">
        <x:v>58</x:v>
      </x:c>
      <x:c r="J842" s="7" t="s">
        <x:v>1919</x:v>
      </x:c>
      <x:c r="K842" s="8" t="n">
        <x:v>1</x:v>
      </x:c>
      <x:c r="L842" s="8" t="n">
        <x:f aca="0">IF(AND(ISNUMBER(G842),P842&lt;&gt;"Unresolved unit / layout"),G842*K842,"Not applicable")</x:f>
        <x:v>30</x:v>
      </x:c>
      <x:c r="M842" s="8" t="str">
        <x:f aca="0">IF(AND(ISNUMBER(H842),P842&lt;&gt;"Unresolved unit / layout"),H842*K842,"Not applicable")</x:f>
        <x:v>Not applicable</x:v>
      </x:c>
      <x:c r="N842" s="8" t="str">
        <x:f aca="0">IF(AND(ISNUMBER(I842),P842&lt;&gt;"Unresolved unit / layout"),I842*K842,"Not applicable")</x:f>
        <x:v>Not applicable</x:v>
      </x:c>
      <x:c r="O842" s="7" t="s">
        <x:v>1929</x:v>
      </x:c>
      <x:c r="P842" s="7" t="s">
        <x:v>1921</x:v>
      </x:c>
      <x:c r="Q842" s="7" t="s">
        <x:v>2064</x:v>
      </x:c>
      <x:c r="R842" s="7" t="s">
        <x:v>53</x:v>
      </x:c>
      <x:c r="S842" s="7" t="s">
        <x:v>53</x:v>
      </x:c>
      <x:c r="T842" s="7" t="s">
        <x:v>53</x:v>
      </x:c>
      <x:c r="U842" s="7" t="s">
        <x:v>53</x:v>
      </x:c>
      <x:c r="V842" s="7" t="s">
        <x:v>3692</x:v>
      </x:c>
      <x:c r="W842" s="7" t="s">
        <x:v>58</x:v>
      </x:c>
      <x:c r="X842" s="7" t="s">
        <x:v>53</x:v>
      </x:c>
      <x:c r="Y842" s="7" t="s">
        <x:v>1259</x:v>
      </x:c>
      <x:c r="Z842" s="7" t="s">
        <x:v>2825</x:v>
      </x:c>
      <x:c r="AA842" s="7" t="s">
        <x:v>58</x:v>
      </x:c>
      <x:c r="AB842" s="8" t="s">
        <x:v>58</x:v>
      </x:c>
      <x:c r="AC842" s="8" t="s">
        <x:v>58</x:v>
      </x:c>
      <x:c r="AD842" s="8" t="s">
        <x:v>58</x:v>
      </x:c>
      <x:c r="AE842" s="8" t="s">
        <x:v>58</x:v>
      </x:c>
      <x:c r="AF842" s="8" t="s">
        <x:v>58</x:v>
      </x:c>
      <x:c r="AG842" s="7" t="s">
        <x:v>58</x:v>
      </x:c>
    </x:row>
    <x:row r="843" ht="37.5" hidden="0" customHeight="1">
      <x:c r="A843" s="7" t="s">
        <x:v>3693</x:v>
      </x:c>
      <x:c r="B843" s="7" t="s">
        <x:v>543</x:v>
      </x:c>
      <x:c r="C843" s="7" t="s">
        <x:v>545</x:v>
      </x:c>
      <x:c r="D843" s="7" t="s">
        <x:v>1940</x:v>
      </x:c>
      <x:c r="E843" s="7" t="s">
        <x:v>3694</x:v>
      </x:c>
      <x:c r="F843" s="7" t="s">
        <x:v>1942</x:v>
      </x:c>
      <x:c r="G843" s="8" t="n">
        <x:v>500</x:v>
      </x:c>
      <x:c r="H843" s="8" t="s">
        <x:v>58</x:v>
      </x:c>
      <x:c r="I843" s="8" t="s">
        <x:v>58</x:v>
      </x:c>
      <x:c r="J843" s="7" t="s">
        <x:v>3460</x:v>
      </x:c>
      <x:c r="K843" s="8" t="n">
        <x:v>1</x:v>
      </x:c>
      <x:c r="L843" s="8" t="n">
        <x:f aca="0">IF(AND(ISNUMBER(G843),P843&lt;&gt;"Unresolved unit / layout"),G843*K843,"Not applicable")</x:f>
        <x:v>500</x:v>
      </x:c>
      <x:c r="M843" s="8" t="str">
        <x:f aca="0">IF(AND(ISNUMBER(H843),P843&lt;&gt;"Unresolved unit / layout"),H843*K843,"Not applicable")</x:f>
        <x:v>Not applicable</x:v>
      </x:c>
      <x:c r="N843" s="8" t="str">
        <x:f aca="0">IF(AND(ISNUMBER(I843),P843&lt;&gt;"Unresolved unit / layout"),I843*K843,"Not applicable")</x:f>
        <x:v>Not applicable</x:v>
      </x:c>
      <x:c r="O843" s="7" t="s">
        <x:v>1942</x:v>
      </x:c>
      <x:c r="P843" s="7" t="s">
        <x:v>1921</x:v>
      </x:c>
      <x:c r="Q843" s="7" t="s">
        <x:v>2064</x:v>
      </x:c>
      <x:c r="R843" s="7" t="s">
        <x:v>53</x:v>
      </x:c>
      <x:c r="S843" s="7" t="s">
        <x:v>53</x:v>
      </x:c>
      <x:c r="T843" s="7" t="s">
        <x:v>53</x:v>
      </x:c>
      <x:c r="U843" s="7" t="s">
        <x:v>53</x:v>
      </x:c>
      <x:c r="V843" s="7" t="s">
        <x:v>3692</x:v>
      </x:c>
      <x:c r="W843" s="7" t="s">
        <x:v>58</x:v>
      </x:c>
      <x:c r="X843" s="7" t="s">
        <x:v>53</x:v>
      </x:c>
      <x:c r="Y843" s="7" t="s">
        <x:v>1259</x:v>
      </x:c>
      <x:c r="Z843" s="7" t="s">
        <x:v>3695</x:v>
      </x:c>
      <x:c r="AA843" s="7" t="s">
        <x:v>58</x:v>
      </x:c>
      <x:c r="AB843" s="8" t="s">
        <x:v>58</x:v>
      </x:c>
      <x:c r="AC843" s="8" t="s">
        <x:v>58</x:v>
      </x:c>
      <x:c r="AD843" s="8" t="s">
        <x:v>58</x:v>
      </x:c>
      <x:c r="AE843" s="8" t="s">
        <x:v>58</x:v>
      </x:c>
      <x:c r="AF843" s="8" t="s">
        <x:v>58</x:v>
      </x:c>
      <x:c r="AG843" s="7" t="s">
        <x:v>58</x:v>
      </x:c>
    </x:row>
    <x:row r="844" ht="37.5" hidden="0" customHeight="1">
      <x:c r="A844" s="7" t="s">
        <x:v>3696</x:v>
      </x:c>
      <x:c r="B844" s="7" t="s">
        <x:v>543</x:v>
      </x:c>
      <x:c r="C844" s="7" t="s">
        <x:v>545</x:v>
      </x:c>
      <x:c r="D844" s="7" t="s">
        <x:v>1950</x:v>
      </x:c>
      <x:c r="E844" s="7" t="s">
        <x:v>3697</x:v>
      </x:c>
      <x:c r="F844" s="7" t="s">
        <x:v>1929</x:v>
      </x:c>
      <x:c r="G844" s="8" t="n">
        <x:v>80</x:v>
      </x:c>
      <x:c r="H844" s="8" t="s">
        <x:v>58</x:v>
      </x:c>
      <x:c r="I844" s="8" t="s">
        <x:v>58</x:v>
      </x:c>
      <x:c r="J844" s="7" t="s">
        <x:v>1919</x:v>
      </x:c>
      <x:c r="K844" s="8" t="n">
        <x:v>0.001</x:v>
      </x:c>
      <x:c r="L844" s="8" t="n">
        <x:f aca="0">IF(AND(ISNUMBER(G844),P844&lt;&gt;"Unresolved unit / layout"),G844*K844,"Not applicable")</x:f>
        <x:v>0.08</x:v>
      </x:c>
      <x:c r="M844" s="8" t="str">
        <x:f aca="0">IF(AND(ISNUMBER(H844),P844&lt;&gt;"Unresolved unit / layout"),H844*K844,"Not applicable")</x:f>
        <x:v>Not applicable</x:v>
      </x:c>
      <x:c r="N844" s="8" t="str">
        <x:f aca="0">IF(AND(ISNUMBER(I844),P844&lt;&gt;"Unresolved unit / layout"),I844*K844,"Not applicable")</x:f>
        <x:v>Not applicable</x:v>
      </x:c>
      <x:c r="O844" s="7" t="s">
        <x:v>1937</x:v>
      </x:c>
      <x:c r="P844" s="7" t="s">
        <x:v>1921</x:v>
      </x:c>
      <x:c r="Q844" s="7" t="s">
        <x:v>2064</x:v>
      </x:c>
      <x:c r="R844" s="7" t="s">
        <x:v>53</x:v>
      </x:c>
      <x:c r="S844" s="7" t="s">
        <x:v>53</x:v>
      </x:c>
      <x:c r="T844" s="7" t="s">
        <x:v>53</x:v>
      </x:c>
      <x:c r="U844" s="7" t="s">
        <x:v>53</x:v>
      </x:c>
      <x:c r="V844" s="7" t="s">
        <x:v>3698</x:v>
      </x:c>
      <x:c r="W844" s="7" t="s">
        <x:v>58</x:v>
      </x:c>
      <x:c r="X844" s="7" t="s">
        <x:v>53</x:v>
      </x:c>
      <x:c r="Y844" s="7" t="s">
        <x:v>1259</x:v>
      </x:c>
      <x:c r="Z844" s="7" t="s">
        <x:v>1952</x:v>
      </x:c>
      <x:c r="AA844" s="7" t="s">
        <x:v>58</x:v>
      </x:c>
      <x:c r="AB844" s="8" t="s">
        <x:v>58</x:v>
      </x:c>
      <x:c r="AC844" s="8" t="s">
        <x:v>58</x:v>
      </x:c>
      <x:c r="AD844" s="8" t="s">
        <x:v>58</x:v>
      </x:c>
      <x:c r="AE844" s="8" t="s">
        <x:v>58</x:v>
      </x:c>
      <x:c r="AF844" s="8" t="s">
        <x:v>58</x:v>
      </x:c>
      <x:c r="AG844" s="7" t="s">
        <x:v>58</x:v>
      </x:c>
    </x:row>
    <x:row r="845" ht="37.5" hidden="0" customHeight="1">
      <x:c r="A845" s="7" t="s">
        <x:v>3699</x:v>
      </x:c>
      <x:c r="B845" s="7" t="s">
        <x:v>543</x:v>
      </x:c>
      <x:c r="C845" s="7" t="s">
        <x:v>545</x:v>
      </x:c>
      <x:c r="D845" s="7" t="s">
        <x:v>1982</x:v>
      </x:c>
      <x:c r="E845" s="7" t="s">
        <x:v>3700</x:v>
      </x:c>
      <x:c r="F845" s="7" t="s">
        <x:v>2273</x:v>
      </x:c>
      <x:c r="G845" s="8" t="n">
        <x:v>110</x:v>
      </x:c>
      <x:c r="H845" s="8" t="s">
        <x:v>58</x:v>
      </x:c>
      <x:c r="I845" s="8" t="s">
        <x:v>58</x:v>
      </x:c>
      <x:c r="J845" s="7" t="s">
        <x:v>1919</x:v>
      </x:c>
      <x:c r="K845" s="8" t="n">
        <x:v>1</x:v>
      </x:c>
      <x:c r="L845" s="8" t="n">
        <x:f aca="0">IF(AND(ISNUMBER(G845),P845&lt;&gt;"Unresolved unit / layout"),G845*K845,"Not applicable")</x:f>
        <x:v>110</x:v>
      </x:c>
      <x:c r="M845" s="8" t="str">
        <x:f aca="0">IF(AND(ISNUMBER(H845),P845&lt;&gt;"Unresolved unit / layout"),H845*K845,"Not applicable")</x:f>
        <x:v>Not applicable</x:v>
      </x:c>
      <x:c r="N845" s="8" t="str">
        <x:f aca="0">IF(AND(ISNUMBER(I845),P845&lt;&gt;"Unresolved unit / layout"),I845*K845,"Not applicable")</x:f>
        <x:v>Not applicable</x:v>
      </x:c>
      <x:c r="O845" s="7" t="s">
        <x:v>1956</x:v>
      </x:c>
      <x:c r="P845" s="7" t="s">
        <x:v>1921</x:v>
      </x:c>
      <x:c r="Q845" s="7" t="s">
        <x:v>2064</x:v>
      </x:c>
      <x:c r="R845" s="7" t="s">
        <x:v>58</x:v>
      </x:c>
      <x:c r="S845" s="7" t="s">
        <x:v>53</x:v>
      </x:c>
      <x:c r="T845" s="7" t="s">
        <x:v>53</x:v>
      </x:c>
      <x:c r="U845" s="7" t="s">
        <x:v>53</x:v>
      </x:c>
      <x:c r="V845" s="7" t="s">
        <x:v>3701</x:v>
      </x:c>
      <x:c r="W845" s="7" t="s">
        <x:v>58</x:v>
      </x:c>
      <x:c r="X845" s="7" t="s">
        <x:v>53</x:v>
      </x:c>
      <x:c r="Y845" s="7" t="s">
        <x:v>1259</x:v>
      </x:c>
      <x:c r="Z845" s="7" t="s">
        <x:v>3702</x:v>
      </x:c>
      <x:c r="AA845" s="7" t="s">
        <x:v>58</x:v>
      </x:c>
      <x:c r="AB845" s="8" t="s">
        <x:v>58</x:v>
      </x:c>
      <x:c r="AC845" s="8" t="s">
        <x:v>58</x:v>
      </x:c>
      <x:c r="AD845" s="8" t="s">
        <x:v>58</x:v>
      </x:c>
      <x:c r="AE845" s="8" t="s">
        <x:v>58</x:v>
      </x:c>
      <x:c r="AF845" s="8" t="s">
        <x:v>58</x:v>
      </x:c>
      <x:c r="AG845" s="7" t="s">
        <x:v>58</x:v>
      </x:c>
    </x:row>
    <x:row r="846" ht="37.5" hidden="0" customHeight="1">
      <x:c r="A846" s="7" t="s">
        <x:v>3703</x:v>
      </x:c>
      <x:c r="B846" s="7" t="s">
        <x:v>543</x:v>
      </x:c>
      <x:c r="C846" s="7" t="s">
        <x:v>545</x:v>
      </x:c>
      <x:c r="D846" s="7" t="s">
        <x:v>2006</x:v>
      </x:c>
      <x:c r="E846" s="7" t="s">
        <x:v>3704</x:v>
      </x:c>
      <x:c r="F846" s="7" t="s">
        <x:v>1929</x:v>
      </x:c>
      <x:c r="G846" s="8" t="n">
        <x:v>7.5</x:v>
      </x:c>
      <x:c r="H846" s="8" t="s">
        <x:v>58</x:v>
      </x:c>
      <x:c r="I846" s="8" t="s">
        <x:v>58</x:v>
      </x:c>
      <x:c r="J846" s="7" t="s">
        <x:v>1919</x:v>
      </x:c>
      <x:c r="K846" s="8" t="n">
        <x:v>1</x:v>
      </x:c>
      <x:c r="L846" s="8" t="n">
        <x:f aca="0">IF(AND(ISNUMBER(G846),P846&lt;&gt;"Unresolved unit / layout"),G846*K846,"Not applicable")</x:f>
        <x:v>7.5</x:v>
      </x:c>
      <x:c r="M846" s="8" t="str">
        <x:f aca="0">IF(AND(ISNUMBER(H846),P846&lt;&gt;"Unresolved unit / layout"),H846*K846,"Not applicable")</x:f>
        <x:v>Not applicable</x:v>
      </x:c>
      <x:c r="N846" s="8" t="str">
        <x:f aca="0">IF(AND(ISNUMBER(I846),P846&lt;&gt;"Unresolved unit / layout"),I846*K846,"Not applicable")</x:f>
        <x:v>Not applicable</x:v>
      </x:c>
      <x:c r="O846" s="7" t="s">
        <x:v>1929</x:v>
      </x:c>
      <x:c r="P846" s="7" t="s">
        <x:v>1921</x:v>
      </x:c>
      <x:c r="Q846" s="7" t="s">
        <x:v>2064</x:v>
      </x:c>
      <x:c r="R846" s="7" t="s">
        <x:v>53</x:v>
      </x:c>
      <x:c r="S846" s="7" t="s">
        <x:v>53</x:v>
      </x:c>
      <x:c r="T846" s="7" t="s">
        <x:v>53</x:v>
      </x:c>
      <x:c r="U846" s="7" t="s">
        <x:v>53</x:v>
      </x:c>
      <x:c r="V846" s="7" t="s">
        <x:v>3692</x:v>
      </x:c>
      <x:c r="W846" s="7" t="s">
        <x:v>58</x:v>
      </x:c>
      <x:c r="X846" s="7" t="s">
        <x:v>53</x:v>
      </x:c>
      <x:c r="Y846" s="7" t="s">
        <x:v>1259</x:v>
      </x:c>
      <x:c r="Z846" s="7" t="s">
        <x:v>3705</x:v>
      </x:c>
      <x:c r="AA846" s="7" t="s">
        <x:v>58</x:v>
      </x:c>
      <x:c r="AB846" s="8" t="s">
        <x:v>58</x:v>
      </x:c>
      <x:c r="AC846" s="8" t="s">
        <x:v>58</x:v>
      </x:c>
      <x:c r="AD846" s="8" t="s">
        <x:v>58</x:v>
      </x:c>
      <x:c r="AE846" s="8" t="s">
        <x:v>58</x:v>
      </x:c>
      <x:c r="AF846" s="8" t="s">
        <x:v>58</x:v>
      </x:c>
      <x:c r="AG846" s="7" t="s">
        <x:v>58</x:v>
      </x:c>
    </x:row>
    <x:row r="847" ht="37.5" hidden="0" customHeight="1">
      <x:c r="A847" s="7" t="s">
        <x:v>3706</x:v>
      </x:c>
      <x:c r="B847" s="7" t="s">
        <x:v>543</x:v>
      </x:c>
      <x:c r="C847" s="7" t="s">
        <x:v>545</x:v>
      </x:c>
      <x:c r="D847" s="7" t="s">
        <x:v>1940</x:v>
      </x:c>
      <x:c r="E847" s="7" t="s">
        <x:v>3707</x:v>
      </x:c>
      <x:c r="F847" s="7" t="s">
        <x:v>1942</x:v>
      </x:c>
      <x:c r="G847" s="8" t="n">
        <x:v>150</x:v>
      </x:c>
      <x:c r="H847" s="8" t="s">
        <x:v>58</x:v>
      </x:c>
      <x:c r="I847" s="8" t="s">
        <x:v>58</x:v>
      </x:c>
      <x:c r="J847" s="7" t="s">
        <x:v>1919</x:v>
      </x:c>
      <x:c r="K847" s="8" t="n">
        <x:v>1</x:v>
      </x:c>
      <x:c r="L847" s="8" t="n">
        <x:f aca="0">IF(AND(ISNUMBER(G847),P847&lt;&gt;"Unresolved unit / layout"),G847*K847,"Not applicable")</x:f>
        <x:v>150</x:v>
      </x:c>
      <x:c r="M847" s="8" t="str">
        <x:f aca="0">IF(AND(ISNUMBER(H847),P847&lt;&gt;"Unresolved unit / layout"),H847*K847,"Not applicable")</x:f>
        <x:v>Not applicable</x:v>
      </x:c>
      <x:c r="N847" s="8" t="str">
        <x:f aca="0">IF(AND(ISNUMBER(I847),P847&lt;&gt;"Unresolved unit / layout"),I847*K847,"Not applicable")</x:f>
        <x:v>Not applicable</x:v>
      </x:c>
      <x:c r="O847" s="7" t="s">
        <x:v>1942</x:v>
      </x:c>
      <x:c r="P847" s="7" t="s">
        <x:v>1921</x:v>
      </x:c>
      <x:c r="Q847" s="7" t="s">
        <x:v>2064</x:v>
      </x:c>
      <x:c r="R847" s="7" t="s">
        <x:v>53</x:v>
      </x:c>
      <x:c r="S847" s="7" t="s">
        <x:v>53</x:v>
      </x:c>
      <x:c r="T847" s="7" t="s">
        <x:v>53</x:v>
      </x:c>
      <x:c r="U847" s="7" t="s">
        <x:v>53</x:v>
      </x:c>
      <x:c r="V847" s="7" t="s">
        <x:v>3692</x:v>
      </x:c>
      <x:c r="W847" s="7" t="s">
        <x:v>58</x:v>
      </x:c>
      <x:c r="X847" s="7" t="s">
        <x:v>53</x:v>
      </x:c>
      <x:c r="Y847" s="7" t="s">
        <x:v>1259</x:v>
      </x:c>
      <x:c r="Z847" s="7" t="s">
        <x:v>3708</x:v>
      </x:c>
      <x:c r="AA847" s="7" t="s">
        <x:v>58</x:v>
      </x:c>
      <x:c r="AB847" s="8" t="s">
        <x:v>58</x:v>
      </x:c>
      <x:c r="AC847" s="8" t="s">
        <x:v>58</x:v>
      </x:c>
      <x:c r="AD847" s="8" t="s">
        <x:v>58</x:v>
      </x:c>
      <x:c r="AE847" s="8" t="s">
        <x:v>58</x:v>
      </x:c>
      <x:c r="AF847" s="8" t="s">
        <x:v>58</x:v>
      </x:c>
      <x:c r="AG847" s="7" t="s">
        <x:v>58</x:v>
      </x:c>
    </x:row>
    <x:row r="848" ht="37.5" hidden="0" customHeight="1">
      <x:c r="A848" s="7" t="s">
        <x:v>3709</x:v>
      </x:c>
      <x:c r="B848" s="7" t="s">
        <x:v>543</x:v>
      </x:c>
      <x:c r="C848" s="7" t="s">
        <x:v>545</x:v>
      </x:c>
      <x:c r="D848" s="7" t="s">
        <x:v>1940</x:v>
      </x:c>
      <x:c r="E848" s="7" t="s">
        <x:v>3710</x:v>
      </x:c>
      <x:c r="F848" s="7" t="s">
        <x:v>1942</x:v>
      </x:c>
      <x:c r="G848" s="8" t="n">
        <x:v>520</x:v>
      </x:c>
      <x:c r="H848" s="8" t="s">
        <x:v>58</x:v>
      </x:c>
      <x:c r="I848" s="8" t="s">
        <x:v>58</x:v>
      </x:c>
      <x:c r="J848" s="7" t="s">
        <x:v>3460</x:v>
      </x:c>
      <x:c r="K848" s="8" t="n">
        <x:v>1</x:v>
      </x:c>
      <x:c r="L848" s="8" t="n">
        <x:f aca="0">IF(AND(ISNUMBER(G848),P848&lt;&gt;"Unresolved unit / layout"),G848*K848,"Not applicable")</x:f>
        <x:v>520</x:v>
      </x:c>
      <x:c r="M848" s="8" t="str">
        <x:f aca="0">IF(AND(ISNUMBER(H848),P848&lt;&gt;"Unresolved unit / layout"),H848*K848,"Not applicable")</x:f>
        <x:v>Not applicable</x:v>
      </x:c>
      <x:c r="N848" s="8" t="str">
        <x:f aca="0">IF(AND(ISNUMBER(I848),P848&lt;&gt;"Unresolved unit / layout"),I848*K848,"Not applicable")</x:f>
        <x:v>Not applicable</x:v>
      </x:c>
      <x:c r="O848" s="7" t="s">
        <x:v>1942</x:v>
      </x:c>
      <x:c r="P848" s="7" t="s">
        <x:v>1921</x:v>
      </x:c>
      <x:c r="Q848" s="7" t="s">
        <x:v>2064</x:v>
      </x:c>
      <x:c r="R848" s="7" t="s">
        <x:v>1931</x:v>
      </x:c>
      <x:c r="S848" s="7" t="s">
        <x:v>53</x:v>
      </x:c>
      <x:c r="T848" s="7" t="s">
        <x:v>53</x:v>
      </x:c>
      <x:c r="U848" s="7" t="s">
        <x:v>53</x:v>
      </x:c>
      <x:c r="V848" s="7" t="s">
        <x:v>3692</x:v>
      </x:c>
      <x:c r="W848" s="7" t="s">
        <x:v>58</x:v>
      </x:c>
      <x:c r="X848" s="7" t="s">
        <x:v>53</x:v>
      </x:c>
      <x:c r="Y848" s="7" t="s">
        <x:v>1259</x:v>
      </x:c>
      <x:c r="Z848" s="7" t="s">
        <x:v>3711</x:v>
      </x:c>
      <x:c r="AA848" s="7" t="s">
        <x:v>58</x:v>
      </x:c>
      <x:c r="AB848" s="8" t="s">
        <x:v>58</x:v>
      </x:c>
      <x:c r="AC848" s="8" t="s">
        <x:v>58</x:v>
      </x:c>
      <x:c r="AD848" s="8" t="s">
        <x:v>58</x:v>
      </x:c>
      <x:c r="AE848" s="8" t="s">
        <x:v>58</x:v>
      </x:c>
      <x:c r="AF848" s="8" t="s">
        <x:v>58</x:v>
      </x:c>
      <x:c r="AG848" s="7" t="s">
        <x:v>58</x:v>
      </x:c>
    </x:row>
    <x:row r="849" ht="51.75" hidden="0" customHeight="1">
      <x:c r="A849" s="7" t="s">
        <x:v>3712</x:v>
      </x:c>
      <x:c r="B849" s="7" t="s">
        <x:v>543</x:v>
      </x:c>
      <x:c r="C849" s="7" t="s">
        <x:v>1260</x:v>
      </x:c>
      <x:c r="D849" s="7" t="s">
        <x:v>1916</x:v>
      </x:c>
      <x:c r="E849" s="7" t="s">
        <x:v>3713</x:v>
      </x:c>
      <x:c r="F849" s="7" t="s">
        <x:v>1965</x:v>
      </x:c>
      <x:c r="G849" s="8" t="n">
        <x:v>1.02</x:v>
      </x:c>
      <x:c r="H849" s="8" t="s">
        <x:v>58</x:v>
      </x:c>
      <x:c r="I849" s="8" t="s">
        <x:v>58</x:v>
      </x:c>
      <x:c r="J849" s="7" t="s">
        <x:v>1919</x:v>
      </x:c>
      <x:c r="K849" s="8" t="n">
        <x:v>1000</x:v>
      </x:c>
      <x:c r="L849" s="8" t="n">
        <x:f aca="0">IF(AND(ISNUMBER(G849),P849&lt;&gt;"Unresolved unit / layout"),G849*K849,"Not applicable")</x:f>
        <x:v>1020</x:v>
      </x:c>
      <x:c r="M849" s="8" t="str">
        <x:f aca="0">IF(AND(ISNUMBER(H849),P849&lt;&gt;"Unresolved unit / layout"),H849*K849,"Not applicable")</x:f>
        <x:v>Not applicable</x:v>
      </x:c>
      <x:c r="N849" s="8" t="str">
        <x:f aca="0">IF(AND(ISNUMBER(I849),P849&lt;&gt;"Unresolved unit / layout"),I849*K849,"Not applicable")</x:f>
        <x:v>Not applicable</x:v>
      </x:c>
      <x:c r="O849" s="7" t="s">
        <x:v>1920</x:v>
      </x:c>
      <x:c r="P849" s="7" t="s">
        <x:v>1921</x:v>
      </x:c>
      <x:c r="Q849" s="7" t="s">
        <x:v>1922</x:v>
      </x:c>
      <x:c r="R849" s="7" t="s">
        <x:v>58</x:v>
      </x:c>
      <x:c r="S849" s="7" t="s">
        <x:v>53</x:v>
      </x:c>
      <x:c r="T849" s="7" t="s">
        <x:v>53</x:v>
      </x:c>
      <x:c r="U849" s="7" t="s">
        <x:v>53</x:v>
      </x:c>
      <x:c r="V849" s="7" t="s">
        <x:v>1923</x:v>
      </x:c>
      <x:c r="W849" s="7" t="s">
        <x:v>58</x:v>
      </x:c>
      <x:c r="X849" s="7" t="s">
        <x:v>53</x:v>
      </x:c>
      <x:c r="Y849" s="7" t="s">
        <x:v>1262</x:v>
      </x:c>
      <x:c r="Z849" s="7" t="s">
        <x:v>1925</x:v>
      </x:c>
      <x:c r="AA849" s="7" t="s">
        <x:v>58</x:v>
      </x:c>
      <x:c r="AB849" s="8" t="s">
        <x:v>58</x:v>
      </x:c>
      <x:c r="AC849" s="8" t="s">
        <x:v>58</x:v>
      </x:c>
      <x:c r="AD849" s="8" t="s">
        <x:v>58</x:v>
      </x:c>
      <x:c r="AE849" s="8" t="s">
        <x:v>58</x:v>
      </x:c>
      <x:c r="AF849" s="8" t="s">
        <x:v>58</x:v>
      </x:c>
      <x:c r="AG849" s="7" t="s">
        <x:v>58</x:v>
      </x:c>
    </x:row>
    <x:row r="850" ht="37.5" hidden="0" customHeight="1">
      <x:c r="A850" s="7" t="s">
        <x:v>3714</x:v>
      </x:c>
      <x:c r="B850" s="7" t="s">
        <x:v>543</x:v>
      </x:c>
      <x:c r="C850" s="7" t="s">
        <x:v>1260</x:v>
      </x:c>
      <x:c r="D850" s="7" t="s">
        <x:v>2846</x:v>
      </x:c>
      <x:c r="E850" s="7" t="s">
        <x:v>3715</x:v>
      </x:c>
      <x:c r="F850" s="7" t="s">
        <x:v>3716</x:v>
      </x:c>
      <x:c r="G850" s="8" t="n">
        <x:v>43</x:v>
      </x:c>
      <x:c r="H850" s="8" t="s">
        <x:v>58</x:v>
      </x:c>
      <x:c r="I850" s="8" t="s">
        <x:v>58</x:v>
      </x:c>
      <x:c r="J850" s="7" t="s">
        <x:v>1919</x:v>
      </x:c>
      <x:c r="K850" s="8" t="n">
        <x:v>1</x:v>
      </x:c>
      <x:c r="L850" s="8" t="n">
        <x:f aca="0">IF(AND(ISNUMBER(G850),P850&lt;&gt;"Unresolved unit / layout"),G850*K850,"Insufficient comparable data")</x:f>
        <x:v>43</x:v>
      </x:c>
      <x:c r="M850" s="8" t="str">
        <x:f aca="0">IF(AND(ISNUMBER(H850),P850&lt;&gt;"Unresolved unit / layout"),H850*K850,"Not applicable")</x:f>
        <x:v>Not applicable</x:v>
      </x:c>
      <x:c r="N850" s="8" t="str">
        <x:f aca="0">IF(AND(ISNUMBER(I850),P850&lt;&gt;"Unresolved unit / layout"),I850*K850,"Not applicable")</x:f>
        <x:v>Not applicable</x:v>
      </x:c>
      <x:c r="O850" s="7" t="s">
        <x:v>3716</x:v>
      </x:c>
      <x:c r="P850" s="7" t="s">
        <x:v>2732</x:v>
      </x:c>
      <x:c r="Q850" s="7" t="s">
        <x:v>2064</x:v>
      </x:c>
      <x:c r="R850" s="7" t="s">
        <x:v>53</x:v>
      </x:c>
      <x:c r="S850" s="7" t="s">
        <x:v>53</x:v>
      </x:c>
      <x:c r="T850" s="7" t="s">
        <x:v>53</x:v>
      </x:c>
      <x:c r="U850" s="7" t="s">
        <x:v>53</x:v>
      </x:c>
      <x:c r="V850" s="7" t="s">
        <x:v>3717</x:v>
      </x:c>
      <x:c r="W850" s="7" t="s">
        <x:v>58</x:v>
      </x:c>
      <x:c r="X850" s="7" t="s">
        <x:v>53</x:v>
      </x:c>
      <x:c r="Y850" s="7" t="s">
        <x:v>1262</x:v>
      </x:c>
      <x:c r="Z850" s="7" t="s">
        <x:v>3718</x:v>
      </x:c>
      <x:c r="AA850" s="7" t="s">
        <x:v>3719</x:v>
      </x:c>
      <x:c r="AB850" s="8" t="s">
        <x:v>58</x:v>
      </x:c>
      <x:c r="AC850" s="8" t="s">
        <x:v>58</x:v>
      </x:c>
      <x:c r="AD850" s="8" t="s">
        <x:v>58</x:v>
      </x:c>
      <x:c r="AE850" s="8" t="s">
        <x:v>58</x:v>
      </x:c>
      <x:c r="AF850" s="8" t="s">
        <x:v>58</x:v>
      </x:c>
      <x:c r="AG850" s="7" t="s">
        <x:v>58</x:v>
      </x:c>
    </x:row>
    <x:row r="851" ht="37.5" hidden="0" customHeight="1">
      <x:c r="A851" s="7" t="s">
        <x:v>3720</x:v>
      </x:c>
      <x:c r="B851" s="7" t="s">
        <x:v>543</x:v>
      </x:c>
      <x:c r="C851" s="7" t="s">
        <x:v>1260</x:v>
      </x:c>
      <x:c r="D851" s="7" t="s">
        <x:v>2846</x:v>
      </x:c>
      <x:c r="E851" s="7" t="s">
        <x:v>3721</x:v>
      </x:c>
      <x:c r="F851" s="7" t="s">
        <x:v>3722</x:v>
      </x:c>
      <x:c r="G851" s="8" t="n">
        <x:v>92</x:v>
      </x:c>
      <x:c r="H851" s="8" t="s">
        <x:v>58</x:v>
      </x:c>
      <x:c r="I851" s="8" t="s">
        <x:v>58</x:v>
      </x:c>
      <x:c r="J851" s="7" t="s">
        <x:v>1919</x:v>
      </x:c>
      <x:c r="K851" s="8" t="n">
        <x:v>1</x:v>
      </x:c>
      <x:c r="L851" s="8" t="n">
        <x:f aca="0">IF(AND(ISNUMBER(G851),P851&lt;&gt;"Unresolved unit / layout"),G851*K851,"Insufficient comparable data")</x:f>
        <x:v>92</x:v>
      </x:c>
      <x:c r="M851" s="8" t="str">
        <x:f aca="0">IF(AND(ISNUMBER(H851),P851&lt;&gt;"Unresolved unit / layout"),H851*K851,"Not applicable")</x:f>
        <x:v>Not applicable</x:v>
      </x:c>
      <x:c r="N851" s="8" t="str">
        <x:f aca="0">IF(AND(ISNUMBER(I851),P851&lt;&gt;"Unresolved unit / layout"),I851*K851,"Not applicable")</x:f>
        <x:v>Not applicable</x:v>
      </x:c>
      <x:c r="O851" s="7" t="s">
        <x:v>3722</x:v>
      </x:c>
      <x:c r="P851" s="7" t="s">
        <x:v>2732</x:v>
      </x:c>
      <x:c r="Q851" s="7" t="s">
        <x:v>2064</x:v>
      </x:c>
      <x:c r="R851" s="7" t="s">
        <x:v>53</x:v>
      </x:c>
      <x:c r="S851" s="7" t="s">
        <x:v>53</x:v>
      </x:c>
      <x:c r="T851" s="7" t="s">
        <x:v>53</x:v>
      </x:c>
      <x:c r="U851" s="7" t="s">
        <x:v>53</x:v>
      </x:c>
      <x:c r="V851" s="7" t="s">
        <x:v>3717</x:v>
      </x:c>
      <x:c r="W851" s="7" t="s">
        <x:v>58</x:v>
      </x:c>
      <x:c r="X851" s="7" t="s">
        <x:v>53</x:v>
      </x:c>
      <x:c r="Y851" s="7" t="s">
        <x:v>1262</x:v>
      </x:c>
      <x:c r="Z851" s="7" t="s">
        <x:v>3723</x:v>
      </x:c>
      <x:c r="AA851" s="7" t="s">
        <x:v>3724</x:v>
      </x:c>
      <x:c r="AB851" s="8" t="s">
        <x:v>58</x:v>
      </x:c>
      <x:c r="AC851" s="8" t="s">
        <x:v>58</x:v>
      </x:c>
      <x:c r="AD851" s="8" t="s">
        <x:v>58</x:v>
      </x:c>
      <x:c r="AE851" s="8" t="s">
        <x:v>58</x:v>
      </x:c>
      <x:c r="AF851" s="8" t="s">
        <x:v>58</x:v>
      </x:c>
      <x:c r="AG851" s="7" t="s">
        <x:v>58</x:v>
      </x:c>
    </x:row>
    <x:row r="852" ht="37.5" hidden="0" customHeight="1">
      <x:c r="A852" s="7" t="s">
        <x:v>3725</x:v>
      </x:c>
      <x:c r="B852" s="7" t="s">
        <x:v>543</x:v>
      </x:c>
      <x:c r="C852" s="7" t="s">
        <x:v>1260</x:v>
      </x:c>
      <x:c r="D852" s="7" t="s">
        <x:v>1935</x:v>
      </x:c>
      <x:c r="E852" s="7" t="s">
        <x:v>3726</x:v>
      </x:c>
      <x:c r="F852" s="7" t="s">
        <x:v>2717</x:v>
      </x:c>
      <x:c r="G852" s="8" t="n">
        <x:v>100</x:v>
      </x:c>
      <x:c r="H852" s="8" t="s">
        <x:v>58</x:v>
      </x:c>
      <x:c r="I852" s="8" t="s">
        <x:v>58</x:v>
      </x:c>
      <x:c r="J852" s="7" t="s">
        <x:v>1919</x:v>
      </x:c>
      <x:c r="K852" s="8" t="n">
        <x:v>0.001</x:v>
      </x:c>
      <x:c r="L852" s="8" t="n">
        <x:f aca="0">IF(AND(ISNUMBER(G852),P852&lt;&gt;"Unresolved unit / layout"),G852*K852,"Not applicable")</x:f>
        <x:v>0.1</x:v>
      </x:c>
      <x:c r="M852" s="8" t="str">
        <x:f aca="0">IF(AND(ISNUMBER(H852),P852&lt;&gt;"Unresolved unit / layout"),H852*K852,"Not applicable")</x:f>
        <x:v>Not applicable</x:v>
      </x:c>
      <x:c r="N852" s="8" t="str">
        <x:f aca="0">IF(AND(ISNUMBER(I852),P852&lt;&gt;"Unresolved unit / layout"),I852*K852,"Not applicable")</x:f>
        <x:v>Not applicable</x:v>
      </x:c>
      <x:c r="O852" s="7" t="s">
        <x:v>1937</x:v>
      </x:c>
      <x:c r="P852" s="7" t="s">
        <x:v>1921</x:v>
      </x:c>
      <x:c r="Q852" s="7" t="s">
        <x:v>2064</x:v>
      </x:c>
      <x:c r="R852" s="7" t="s">
        <x:v>53</x:v>
      </x:c>
      <x:c r="S852" s="7" t="s">
        <x:v>53</x:v>
      </x:c>
      <x:c r="T852" s="7" t="s">
        <x:v>53</x:v>
      </x:c>
      <x:c r="U852" s="7" t="s">
        <x:v>53</x:v>
      </x:c>
      <x:c r="V852" s="7" t="s">
        <x:v>3727</x:v>
      </x:c>
      <x:c r="W852" s="7" t="s">
        <x:v>58</x:v>
      </x:c>
      <x:c r="X852" s="7" t="s">
        <x:v>53</x:v>
      </x:c>
      <x:c r="Y852" s="7" t="s">
        <x:v>1262</x:v>
      </x:c>
      <x:c r="Z852" s="7" t="s">
        <x:v>3728</x:v>
      </x:c>
      <x:c r="AA852" s="7" t="s">
        <x:v>58</x:v>
      </x:c>
      <x:c r="AB852" s="8" t="s">
        <x:v>58</x:v>
      </x:c>
      <x:c r="AC852" s="8" t="s">
        <x:v>58</x:v>
      </x:c>
      <x:c r="AD852" s="8" t="s">
        <x:v>58</x:v>
      </x:c>
      <x:c r="AE852" s="8" t="s">
        <x:v>58</x:v>
      </x:c>
      <x:c r="AF852" s="8" t="s">
        <x:v>58</x:v>
      </x:c>
      <x:c r="AG852" s="7" t="s">
        <x:v>58</x:v>
      </x:c>
    </x:row>
    <x:row r="853" ht="37.5" hidden="0" customHeight="1">
      <x:c r="A853" s="7" t="s">
        <x:v>3729</x:v>
      </x:c>
      <x:c r="B853" s="7" t="s">
        <x:v>543</x:v>
      </x:c>
      <x:c r="C853" s="7" t="s">
        <x:v>1260</x:v>
      </x:c>
      <x:c r="D853" s="7" t="s">
        <x:v>2006</x:v>
      </x:c>
      <x:c r="E853" s="7" t="s">
        <x:v>3730</x:v>
      </x:c>
      <x:c r="F853" s="7" t="s">
        <x:v>1929</x:v>
      </x:c>
      <x:c r="G853" s="8" t="n">
        <x:v>25</x:v>
      </x:c>
      <x:c r="H853" s="8" t="s">
        <x:v>58</x:v>
      </x:c>
      <x:c r="I853" s="8" t="s">
        <x:v>58</x:v>
      </x:c>
      <x:c r="J853" s="7" t="s">
        <x:v>1919</x:v>
      </x:c>
      <x:c r="K853" s="8" t="n">
        <x:v>1</x:v>
      </x:c>
      <x:c r="L853" s="8" t="n">
        <x:f aca="0">IF(AND(ISNUMBER(G853),P853&lt;&gt;"Unresolved unit / layout"),G853*K853,"Not applicable")</x:f>
        <x:v>25</x:v>
      </x:c>
      <x:c r="M853" s="8" t="str">
        <x:f aca="0">IF(AND(ISNUMBER(H853),P853&lt;&gt;"Unresolved unit / layout"),H853*K853,"Not applicable")</x:f>
        <x:v>Not applicable</x:v>
      </x:c>
      <x:c r="N853" s="8" t="str">
        <x:f aca="0">IF(AND(ISNUMBER(I853),P853&lt;&gt;"Unresolved unit / layout"),I853*K853,"Not applicable")</x:f>
        <x:v>Not applicable</x:v>
      </x:c>
      <x:c r="O853" s="7" t="s">
        <x:v>1929</x:v>
      </x:c>
      <x:c r="P853" s="7" t="s">
        <x:v>1921</x:v>
      </x:c>
      <x:c r="Q853" s="7" t="s">
        <x:v>2064</x:v>
      </x:c>
      <x:c r="R853" s="7" t="s">
        <x:v>53</x:v>
      </x:c>
      <x:c r="S853" s="7" t="s">
        <x:v>53</x:v>
      </x:c>
      <x:c r="T853" s="7" t="s">
        <x:v>53</x:v>
      </x:c>
      <x:c r="U853" s="7" t="s">
        <x:v>53</x:v>
      </x:c>
      <x:c r="V853" s="7" t="s">
        <x:v>3727</x:v>
      </x:c>
      <x:c r="W853" s="7" t="s">
        <x:v>58</x:v>
      </x:c>
      <x:c r="X853" s="7" t="s">
        <x:v>53</x:v>
      </x:c>
      <x:c r="Y853" s="7" t="s">
        <x:v>1262</x:v>
      </x:c>
      <x:c r="Z853" s="7" t="s">
        <x:v>3731</x:v>
      </x:c>
      <x:c r="AA853" s="7" t="s">
        <x:v>58</x:v>
      </x:c>
      <x:c r="AB853" s="8" t="s">
        <x:v>58</x:v>
      </x:c>
      <x:c r="AC853" s="8" t="s">
        <x:v>58</x:v>
      </x:c>
      <x:c r="AD853" s="8" t="s">
        <x:v>58</x:v>
      </x:c>
      <x:c r="AE853" s="8" t="s">
        <x:v>58</x:v>
      </x:c>
      <x:c r="AF853" s="8" t="s">
        <x:v>58</x:v>
      </x:c>
      <x:c r="AG853" s="7" t="s">
        <x:v>58</x:v>
      </x:c>
    </x:row>
    <x:row r="854" ht="51.75" hidden="0" customHeight="1">
      <x:c r="A854" s="7" t="s">
        <x:v>3732</x:v>
      </x:c>
      <x:c r="B854" s="7" t="s">
        <x:v>543</x:v>
      </x:c>
      <x:c r="C854" s="7" t="s">
        <x:v>1260</x:v>
      </x:c>
      <x:c r="D854" s="7" t="s">
        <x:v>1940</x:v>
      </x:c>
      <x:c r="E854" s="7" t="s">
        <x:v>3694</x:v>
      </x:c>
      <x:c r="F854" s="7" t="s">
        <x:v>1942</x:v>
      </x:c>
      <x:c r="G854" s="8" t="n">
        <x:v>500</x:v>
      </x:c>
      <x:c r="H854" s="8" t="s">
        <x:v>58</x:v>
      </x:c>
      <x:c r="I854" s="8" t="s">
        <x:v>58</x:v>
      </x:c>
      <x:c r="J854" s="7" t="s">
        <x:v>3460</x:v>
      </x:c>
      <x:c r="K854" s="8" t="n">
        <x:v>1</x:v>
      </x:c>
      <x:c r="L854" s="8" t="n">
        <x:f aca="0">IF(AND(ISNUMBER(G854),P854&lt;&gt;"Unresolved unit / layout"),G854*K854,"Not applicable")</x:f>
        <x:v>500</x:v>
      </x:c>
      <x:c r="M854" s="8" t="str">
        <x:f aca="0">IF(AND(ISNUMBER(H854),P854&lt;&gt;"Unresolved unit / layout"),H854*K854,"Not applicable")</x:f>
        <x:v>Not applicable</x:v>
      </x:c>
      <x:c r="N854" s="8" t="str">
        <x:f aca="0">IF(AND(ISNUMBER(I854),P854&lt;&gt;"Unresolved unit / layout"),I854*K854,"Not applicable")</x:f>
        <x:v>Not applicable</x:v>
      </x:c>
      <x:c r="O854" s="7" t="s">
        <x:v>1942</x:v>
      </x:c>
      <x:c r="P854" s="7" t="s">
        <x:v>1921</x:v>
      </x:c>
      <x:c r="Q854" s="7" t="s">
        <x:v>2064</x:v>
      </x:c>
      <x:c r="R854" s="7" t="s">
        <x:v>53</x:v>
      </x:c>
      <x:c r="S854" s="7" t="s">
        <x:v>53</x:v>
      </x:c>
      <x:c r="T854" s="7" t="s">
        <x:v>53</x:v>
      </x:c>
      <x:c r="U854" s="7" t="s">
        <x:v>53</x:v>
      </x:c>
      <x:c r="V854" s="7" t="s">
        <x:v>3727</x:v>
      </x:c>
      <x:c r="W854" s="7" t="s">
        <x:v>58</x:v>
      </x:c>
      <x:c r="X854" s="7" t="s">
        <x:v>53</x:v>
      </x:c>
      <x:c r="Y854" s="7" t="s">
        <x:v>1262</x:v>
      </x:c>
      <x:c r="Z854" s="7" t="s">
        <x:v>3733</x:v>
      </x:c>
      <x:c r="AA854" s="7" t="s">
        <x:v>58</x:v>
      </x:c>
      <x:c r="AB854" s="8" t="s">
        <x:v>58</x:v>
      </x:c>
      <x:c r="AC854" s="8" t="s">
        <x:v>58</x:v>
      </x:c>
      <x:c r="AD854" s="8" t="s">
        <x:v>58</x:v>
      </x:c>
      <x:c r="AE854" s="8" t="s">
        <x:v>58</x:v>
      </x:c>
      <x:c r="AF854" s="8" t="s">
        <x:v>58</x:v>
      </x:c>
      <x:c r="AG854" s="7" t="s">
        <x:v>58</x:v>
      </x:c>
    </x:row>
    <x:row r="855" ht="37.5" hidden="0" customHeight="1">
      <x:c r="A855" s="7" t="s">
        <x:v>3734</x:v>
      </x:c>
      <x:c r="B855" s="7" t="s">
        <x:v>543</x:v>
      </x:c>
      <x:c r="C855" s="7" t="s">
        <x:v>1260</x:v>
      </x:c>
      <x:c r="D855" s="7" t="s">
        <x:v>1950</x:v>
      </x:c>
      <x:c r="E855" s="7" t="s">
        <x:v>3735</x:v>
      </x:c>
      <x:c r="F855" s="7" t="s">
        <x:v>2717</x:v>
      </x:c>
      <x:c r="G855" s="8" t="n">
        <x:v>90</x:v>
      </x:c>
      <x:c r="H855" s="8" t="s">
        <x:v>58</x:v>
      </x:c>
      <x:c r="I855" s="8" t="s">
        <x:v>58</x:v>
      </x:c>
      <x:c r="J855" s="7" t="s">
        <x:v>1919</x:v>
      </x:c>
      <x:c r="K855" s="8" t="n">
        <x:v>0.001</x:v>
      </x:c>
      <x:c r="L855" s="8" t="n">
        <x:f aca="0">IF(AND(ISNUMBER(G855),P855&lt;&gt;"Unresolved unit / layout"),G855*K855,"Not applicable")</x:f>
        <x:v>0.09</x:v>
      </x:c>
      <x:c r="M855" s="8" t="str">
        <x:f aca="0">IF(AND(ISNUMBER(H855),P855&lt;&gt;"Unresolved unit / layout"),H855*K855,"Not applicable")</x:f>
        <x:v>Not applicable</x:v>
      </x:c>
      <x:c r="N855" s="8" t="str">
        <x:f aca="0">IF(AND(ISNUMBER(I855),P855&lt;&gt;"Unresolved unit / layout"),I855*K855,"Not applicable")</x:f>
        <x:v>Not applicable</x:v>
      </x:c>
      <x:c r="O855" s="7" t="s">
        <x:v>1937</x:v>
      </x:c>
      <x:c r="P855" s="7" t="s">
        <x:v>1921</x:v>
      </x:c>
      <x:c r="Q855" s="7" t="s">
        <x:v>2064</x:v>
      </x:c>
      <x:c r="R855" s="7" t="s">
        <x:v>53</x:v>
      </x:c>
      <x:c r="S855" s="7" t="s">
        <x:v>53</x:v>
      </x:c>
      <x:c r="T855" s="7" t="s">
        <x:v>53</x:v>
      </x:c>
      <x:c r="U855" s="7" t="s">
        <x:v>53</x:v>
      </x:c>
      <x:c r="V855" s="7" t="s">
        <x:v>1947</x:v>
      </x:c>
      <x:c r="W855" s="7" t="s">
        <x:v>58</x:v>
      </x:c>
      <x:c r="X855" s="7" t="s">
        <x:v>53</x:v>
      </x:c>
      <x:c r="Y855" s="7" t="s">
        <x:v>1262</x:v>
      </x:c>
      <x:c r="Z855" s="7" t="s">
        <x:v>3736</x:v>
      </x:c>
      <x:c r="AA855" s="7" t="s">
        <x:v>58</x:v>
      </x:c>
      <x:c r="AB855" s="8" t="s">
        <x:v>58</x:v>
      </x:c>
      <x:c r="AC855" s="8" t="s">
        <x:v>58</x:v>
      </x:c>
      <x:c r="AD855" s="8" t="s">
        <x:v>58</x:v>
      </x:c>
      <x:c r="AE855" s="8" t="s">
        <x:v>58</x:v>
      </x:c>
      <x:c r="AF855" s="8" t="s">
        <x:v>58</x:v>
      </x:c>
      <x:c r="AG855" s="7" t="s">
        <x:v>58</x:v>
      </x:c>
    </x:row>
    <x:row r="856" ht="37.5" hidden="0" customHeight="1">
      <x:c r="A856" s="7" t="s">
        <x:v>3737</x:v>
      </x:c>
      <x:c r="B856" s="7" t="s">
        <x:v>543</x:v>
      </x:c>
      <x:c r="C856" s="7" t="s">
        <x:v>1260</x:v>
      </x:c>
      <x:c r="D856" s="7" t="s">
        <x:v>1945</x:v>
      </x:c>
      <x:c r="E856" s="7" t="s">
        <x:v>3738</x:v>
      </x:c>
      <x:c r="F856" s="7" t="s">
        <x:v>2717</x:v>
      </x:c>
      <x:c r="G856" s="8" t="n">
        <x:v>5</x:v>
      </x:c>
      <x:c r="H856" s="8" t="s">
        <x:v>58</x:v>
      </x:c>
      <x:c r="I856" s="8" t="s">
        <x:v>58</x:v>
      </x:c>
      <x:c r="J856" s="7" t="s">
        <x:v>1919</x:v>
      </x:c>
      <x:c r="K856" s="8" t="n">
        <x:v>1</x:v>
      </x:c>
      <x:c r="L856" s="8" t="n">
        <x:f aca="0">IF(AND(ISNUMBER(G856),P856&lt;&gt;"Unresolved unit / layout"),G856*K856,"Not applicable")</x:f>
        <x:v>5</x:v>
      </x:c>
      <x:c r="M856" s="8" t="str">
        <x:f aca="0">IF(AND(ISNUMBER(H856),P856&lt;&gt;"Unresolved unit / layout"),H856*K856,"Not applicable")</x:f>
        <x:v>Not applicable</x:v>
      </x:c>
      <x:c r="N856" s="8" t="str">
        <x:f aca="0">IF(AND(ISNUMBER(I856),P856&lt;&gt;"Unresolved unit / layout"),I856*K856,"Not applicable")</x:f>
        <x:v>Not applicable</x:v>
      </x:c>
      <x:c r="O856" s="7" t="s">
        <x:v>1929</x:v>
      </x:c>
      <x:c r="P856" s="7" t="s">
        <x:v>1921</x:v>
      </x:c>
      <x:c r="Q856" s="7" t="s">
        <x:v>2064</x:v>
      </x:c>
      <x:c r="R856" s="7" t="s">
        <x:v>53</x:v>
      </x:c>
      <x:c r="S856" s="7" t="s">
        <x:v>53</x:v>
      </x:c>
      <x:c r="T856" s="7" t="s">
        <x:v>53</x:v>
      </x:c>
      <x:c r="U856" s="7" t="s">
        <x:v>53</x:v>
      </x:c>
      <x:c r="V856" s="7" t="s">
        <x:v>1947</x:v>
      </x:c>
      <x:c r="W856" s="7" t="s">
        <x:v>58</x:v>
      </x:c>
      <x:c r="X856" s="7" t="s">
        <x:v>53</x:v>
      </x:c>
      <x:c r="Y856" s="7" t="s">
        <x:v>1262</x:v>
      </x:c>
      <x:c r="Z856" s="7" t="s">
        <x:v>3739</x:v>
      </x:c>
      <x:c r="AA856" s="7" t="s">
        <x:v>58</x:v>
      </x:c>
      <x:c r="AB856" s="8" t="s">
        <x:v>58</x:v>
      </x:c>
      <x:c r="AC856" s="8" t="s">
        <x:v>58</x:v>
      </x:c>
      <x:c r="AD856" s="8" t="s">
        <x:v>58</x:v>
      </x:c>
      <x:c r="AE856" s="8" t="s">
        <x:v>58</x:v>
      </x:c>
      <x:c r="AF856" s="8" t="s">
        <x:v>58</x:v>
      </x:c>
      <x:c r="AG856" s="7" t="s">
        <x:v>58</x:v>
      </x:c>
    </x:row>
    <x:row r="857" ht="66" hidden="0" customHeight="1">
      <x:c r="A857" s="7" t="s">
        <x:v>3740</x:v>
      </x:c>
      <x:c r="B857" s="7" t="s">
        <x:v>559</x:v>
      </x:c>
      <x:c r="C857" s="7" t="s">
        <x:v>562</x:v>
      </x:c>
      <x:c r="D857" s="7" t="s">
        <x:v>1916</x:v>
      </x:c>
      <x:c r="E857" s="7" t="s">
        <x:v>3681</x:v>
      </x:c>
      <x:c r="F857" s="7" t="s">
        <x:v>1965</x:v>
      </x:c>
      <x:c r="G857" s="8" t="n">
        <x:v>1.12</x:v>
      </x:c>
      <x:c r="H857" s="8" t="s">
        <x:v>58</x:v>
      </x:c>
      <x:c r="I857" s="8" t="s">
        <x:v>58</x:v>
      </x:c>
      <x:c r="J857" s="7" t="s">
        <x:v>1919</x:v>
      </x:c>
      <x:c r="K857" s="8" t="n">
        <x:v>1000</x:v>
      </x:c>
      <x:c r="L857" s="8" t="n">
        <x:f aca="0">IF(AND(ISNUMBER(G857),P857&lt;&gt;"Unresolved unit / layout"),G857*K857,"Not applicable")</x:f>
        <x:v>1120</x:v>
      </x:c>
      <x:c r="M857" s="8" t="str">
        <x:f aca="0">IF(AND(ISNUMBER(H857),P857&lt;&gt;"Unresolved unit / layout"),H857*K857,"Not applicable")</x:f>
        <x:v>Not applicable</x:v>
      </x:c>
      <x:c r="N857" s="8" t="str">
        <x:f aca="0">IF(AND(ISNUMBER(I857),P857&lt;&gt;"Unresolved unit / layout"),I857*K857,"Not applicable")</x:f>
        <x:v>Not applicable</x:v>
      </x:c>
      <x:c r="O857" s="7" t="s">
        <x:v>1920</x:v>
      </x:c>
      <x:c r="P857" s="7" t="s">
        <x:v>1921</x:v>
      </x:c>
      <x:c r="Q857" s="7" t="s">
        <x:v>1922</x:v>
      </x:c>
      <x:c r="R857" s="7" t="s">
        <x:v>58</x:v>
      </x:c>
      <x:c r="S857" s="7" t="s">
        <x:v>2077</x:v>
      </x:c>
      <x:c r="T857" s="7" t="s">
        <x:v>3741</x:v>
      </x:c>
      <x:c r="U857" s="7" t="s">
        <x:v>53</x:v>
      </x:c>
      <x:c r="V857" s="7" t="s">
        <x:v>1966</x:v>
      </x:c>
      <x:c r="W857" s="7" t="s">
        <x:v>58</x:v>
      </x:c>
      <x:c r="X857" s="7" t="s">
        <x:v>3742</x:v>
      </x:c>
      <x:c r="Y857" s="7" t="s">
        <x:v>1264</x:v>
      </x:c>
      <x:c r="Z857" s="7" t="s">
        <x:v>1968</x:v>
      </x:c>
      <x:c r="AA857" s="7" t="s">
        <x:v>58</x:v>
      </x:c>
      <x:c r="AB857" s="8" t="s">
        <x:v>58</x:v>
      </x:c>
      <x:c r="AC857" s="8" t="s">
        <x:v>58</x:v>
      </x:c>
      <x:c r="AD857" s="8" t="s">
        <x:v>58</x:v>
      </x:c>
      <x:c r="AE857" s="8" t="s">
        <x:v>58</x:v>
      </x:c>
      <x:c r="AF857" s="8" t="s">
        <x:v>58</x:v>
      </x:c>
      <x:c r="AG857" s="7" t="s">
        <x:v>58</x:v>
      </x:c>
    </x:row>
    <x:row r="858" ht="66" hidden="0" customHeight="1">
      <x:c r="A858" s="7" t="s">
        <x:v>3743</x:v>
      </x:c>
      <x:c r="B858" s="7" t="s">
        <x:v>559</x:v>
      </x:c>
      <x:c r="C858" s="7" t="s">
        <x:v>562</x:v>
      </x:c>
      <x:c r="D858" s="7" t="s">
        <x:v>1954</x:v>
      </x:c>
      <x:c r="E858" s="7" t="s">
        <x:v>3744</x:v>
      </x:c>
      <x:c r="F858" s="7" t="s">
        <x:v>1956</x:v>
      </x:c>
      <x:c r="G858" s="8" t="n">
        <x:v>67</x:v>
      </x:c>
      <x:c r="H858" s="8" t="s">
        <x:v>58</x:v>
      </x:c>
      <x:c r="I858" s="8" t="s">
        <x:v>58</x:v>
      </x:c>
      <x:c r="J858" s="7" t="s">
        <x:v>1919</x:v>
      </x:c>
      <x:c r="K858" s="8" t="n">
        <x:v>1</x:v>
      </x:c>
      <x:c r="L858" s="8" t="n">
        <x:f aca="0">IF(AND(ISNUMBER(G858),P858&lt;&gt;"Unresolved unit / layout"),G858*K858,"Not applicable")</x:f>
        <x:v>67</x:v>
      </x:c>
      <x:c r="M858" s="8" t="str">
        <x:f aca="0">IF(AND(ISNUMBER(H858),P858&lt;&gt;"Unresolved unit / layout"),H858*K858,"Not applicable")</x:f>
        <x:v>Not applicable</x:v>
      </x:c>
      <x:c r="N858" s="8" t="str">
        <x:f aca="0">IF(AND(ISNUMBER(I858),P858&lt;&gt;"Unresolved unit / layout"),I858*K858,"Not applicable")</x:f>
        <x:v>Not applicable</x:v>
      </x:c>
      <x:c r="O858" s="7" t="s">
        <x:v>1956</x:v>
      </x:c>
      <x:c r="P858" s="7" t="s">
        <x:v>1921</x:v>
      </x:c>
      <x:c r="Q858" s="7" t="s">
        <x:v>1930</x:v>
      </x:c>
      <x:c r="R858" s="7" t="s">
        <x:v>58</x:v>
      </x:c>
      <x:c r="S858" s="7" t="s">
        <x:v>2077</x:v>
      </x:c>
      <x:c r="T858" s="7" t="s">
        <x:v>3741</x:v>
      </x:c>
      <x:c r="U858" s="7" t="s">
        <x:v>53</x:v>
      </x:c>
      <x:c r="V858" s="7" t="s">
        <x:v>1971</x:v>
      </x:c>
      <x:c r="W858" s="7" t="s">
        <x:v>58</x:v>
      </x:c>
      <x:c r="X858" s="7" t="s">
        <x:v>3742</x:v>
      </x:c>
      <x:c r="Y858" s="7" t="s">
        <x:v>1264</x:v>
      </x:c>
      <x:c r="Z858" s="7" t="s">
        <x:v>1972</x:v>
      </x:c>
      <x:c r="AA858" s="7" t="s">
        <x:v>58</x:v>
      </x:c>
      <x:c r="AB858" s="8" t="s">
        <x:v>58</x:v>
      </x:c>
      <x:c r="AC858" s="8" t="s">
        <x:v>58</x:v>
      </x:c>
      <x:c r="AD858" s="8" t="s">
        <x:v>58</x:v>
      </x:c>
      <x:c r="AE858" s="8" t="s">
        <x:v>58</x:v>
      </x:c>
      <x:c r="AF858" s="8" t="s">
        <x:v>58</x:v>
      </x:c>
      <x:c r="AG858" s="7" t="s">
        <x:v>58</x:v>
      </x:c>
    </x:row>
    <x:row r="859" ht="66" hidden="0" customHeight="1">
      <x:c r="A859" s="7" t="s">
        <x:v>3745</x:v>
      </x:c>
      <x:c r="B859" s="7" t="s">
        <x:v>559</x:v>
      </x:c>
      <x:c r="C859" s="7" t="s">
        <x:v>562</x:v>
      </x:c>
      <x:c r="D859" s="7" t="s">
        <x:v>1974</x:v>
      </x:c>
      <x:c r="E859" s="7" t="s">
        <x:v>3746</x:v>
      </x:c>
      <x:c r="F859" s="7" t="s">
        <x:v>1956</x:v>
      </x:c>
      <x:c r="G859" s="8" t="n">
        <x:v>190</x:v>
      </x:c>
      <x:c r="H859" s="8" t="s">
        <x:v>58</x:v>
      </x:c>
      <x:c r="I859" s="8" t="s">
        <x:v>58</x:v>
      </x:c>
      <x:c r="J859" s="7" t="s">
        <x:v>1919</x:v>
      </x:c>
      <x:c r="K859" s="8" t="n">
        <x:v>1</x:v>
      </x:c>
      <x:c r="L859" s="8" t="n">
        <x:f aca="0">IF(AND(ISNUMBER(G859),P859&lt;&gt;"Unresolved unit / layout"),G859*K859,"Not applicable")</x:f>
        <x:v>190</x:v>
      </x:c>
      <x:c r="M859" s="8" t="str">
        <x:f aca="0">IF(AND(ISNUMBER(H859),P859&lt;&gt;"Unresolved unit / layout"),H859*K859,"Not applicable")</x:f>
        <x:v>Not applicable</x:v>
      </x:c>
      <x:c r="N859" s="8" t="str">
        <x:f aca="0">IF(AND(ISNUMBER(I859),P859&lt;&gt;"Unresolved unit / layout"),I859*K859,"Not applicable")</x:f>
        <x:v>Not applicable</x:v>
      </x:c>
      <x:c r="O859" s="7" t="s">
        <x:v>1956</x:v>
      </x:c>
      <x:c r="P859" s="7" t="s">
        <x:v>1921</x:v>
      </x:c>
      <x:c r="Q859" s="7" t="s">
        <x:v>1930</x:v>
      </x:c>
      <x:c r="R859" s="7" t="s">
        <x:v>58</x:v>
      </x:c>
      <x:c r="S859" s="7" t="s">
        <x:v>2077</x:v>
      </x:c>
      <x:c r="T859" s="7" t="s">
        <x:v>3741</x:v>
      </x:c>
      <x:c r="U859" s="7" t="s">
        <x:v>53</x:v>
      </x:c>
      <x:c r="V859" s="7" t="s">
        <x:v>1971</x:v>
      </x:c>
      <x:c r="W859" s="7" t="s">
        <x:v>58</x:v>
      </x:c>
      <x:c r="X859" s="7" t="s">
        <x:v>3742</x:v>
      </x:c>
      <x:c r="Y859" s="7" t="s">
        <x:v>1264</x:v>
      </x:c>
      <x:c r="Z859" s="7" t="s">
        <x:v>1976</x:v>
      </x:c>
      <x:c r="AA859" s="7" t="s">
        <x:v>58</x:v>
      </x:c>
      <x:c r="AB859" s="8" t="s">
        <x:v>58</x:v>
      </x:c>
      <x:c r="AC859" s="8" t="s">
        <x:v>58</x:v>
      </x:c>
      <x:c r="AD859" s="8" t="s">
        <x:v>58</x:v>
      </x:c>
      <x:c r="AE859" s="8" t="s">
        <x:v>58</x:v>
      </x:c>
      <x:c r="AF859" s="8" t="s">
        <x:v>58</x:v>
      </x:c>
      <x:c r="AG859" s="7" t="s">
        <x:v>58</x:v>
      </x:c>
    </x:row>
    <x:row r="860" ht="66" hidden="0" customHeight="1">
      <x:c r="A860" s="7" t="s">
        <x:v>3747</x:v>
      </x:c>
      <x:c r="B860" s="7" t="s">
        <x:v>559</x:v>
      </x:c>
      <x:c r="C860" s="7" t="s">
        <x:v>562</x:v>
      </x:c>
      <x:c r="D860" s="7" t="s">
        <x:v>1978</x:v>
      </x:c>
      <x:c r="E860" s="7" t="s">
        <x:v>3748</x:v>
      </x:c>
      <x:c r="F860" s="7" t="s">
        <x:v>1956</x:v>
      </x:c>
      <x:c r="G860" s="8" t="n">
        <x:v>128</x:v>
      </x:c>
      <x:c r="H860" s="8" t="s">
        <x:v>58</x:v>
      </x:c>
      <x:c r="I860" s="8" t="s">
        <x:v>58</x:v>
      </x:c>
      <x:c r="J860" s="7" t="s">
        <x:v>1919</x:v>
      </x:c>
      <x:c r="K860" s="8" t="n">
        <x:v>1</x:v>
      </x:c>
      <x:c r="L860" s="8" t="n">
        <x:f aca="0">IF(AND(ISNUMBER(G860),P860&lt;&gt;"Unresolved unit / layout"),G860*K860,"Not applicable")</x:f>
        <x:v>128</x:v>
      </x:c>
      <x:c r="M860" s="8" t="str">
        <x:f aca="0">IF(AND(ISNUMBER(H860),P860&lt;&gt;"Unresolved unit / layout"),H860*K860,"Not applicable")</x:f>
        <x:v>Not applicable</x:v>
      </x:c>
      <x:c r="N860" s="8" t="str">
        <x:f aca="0">IF(AND(ISNUMBER(I860),P860&lt;&gt;"Unresolved unit / layout"),I860*K860,"Not applicable")</x:f>
        <x:v>Not applicable</x:v>
      </x:c>
      <x:c r="O860" s="7" t="s">
        <x:v>1956</x:v>
      </x:c>
      <x:c r="P860" s="7" t="s">
        <x:v>1921</x:v>
      </x:c>
      <x:c r="Q860" s="7" t="s">
        <x:v>1930</x:v>
      </x:c>
      <x:c r="R860" s="7" t="s">
        <x:v>58</x:v>
      </x:c>
      <x:c r="S860" s="7" t="s">
        <x:v>2077</x:v>
      </x:c>
      <x:c r="T860" s="7" t="s">
        <x:v>3741</x:v>
      </x:c>
      <x:c r="U860" s="7" t="s">
        <x:v>53</x:v>
      </x:c>
      <x:c r="V860" s="7" t="s">
        <x:v>1971</x:v>
      </x:c>
      <x:c r="W860" s="7" t="s">
        <x:v>58</x:v>
      </x:c>
      <x:c r="X860" s="7" t="s">
        <x:v>3742</x:v>
      </x:c>
      <x:c r="Y860" s="7" t="s">
        <x:v>1264</x:v>
      </x:c>
      <x:c r="Z860" s="7" t="s">
        <x:v>1980</x:v>
      </x:c>
      <x:c r="AA860" s="7" t="s">
        <x:v>58</x:v>
      </x:c>
      <x:c r="AB860" s="8" t="s">
        <x:v>58</x:v>
      </x:c>
      <x:c r="AC860" s="8" t="s">
        <x:v>58</x:v>
      </x:c>
      <x:c r="AD860" s="8" t="s">
        <x:v>58</x:v>
      </x:c>
      <x:c r="AE860" s="8" t="s">
        <x:v>58</x:v>
      </x:c>
      <x:c r="AF860" s="8" t="s">
        <x:v>58</x:v>
      </x:c>
      <x:c r="AG860" s="7" t="s">
        <x:v>58</x:v>
      </x:c>
    </x:row>
    <x:row r="861" ht="66" hidden="0" customHeight="1">
      <x:c r="A861" s="7" t="s">
        <x:v>3749</x:v>
      </x:c>
      <x:c r="B861" s="7" t="s">
        <x:v>559</x:v>
      </x:c>
      <x:c r="C861" s="7" t="s">
        <x:v>562</x:v>
      </x:c>
      <x:c r="D861" s="7" t="s">
        <x:v>1982</x:v>
      </x:c>
      <x:c r="E861" s="7" t="s">
        <x:v>3632</x:v>
      </x:c>
      <x:c r="F861" s="7" t="s">
        <x:v>1956</x:v>
      </x:c>
      <x:c r="G861" s="8" t="n">
        <x:v>180</x:v>
      </x:c>
      <x:c r="H861" s="8" t="s">
        <x:v>58</x:v>
      </x:c>
      <x:c r="I861" s="8" t="s">
        <x:v>58</x:v>
      </x:c>
      <x:c r="J861" s="7" t="s">
        <x:v>1919</x:v>
      </x:c>
      <x:c r="K861" s="8" t="n">
        <x:v>1</x:v>
      </x:c>
      <x:c r="L861" s="8" t="n">
        <x:f aca="0">IF(AND(ISNUMBER(G861),P861&lt;&gt;"Unresolved unit / layout"),G861*K861,"Not applicable")</x:f>
        <x:v>180</x:v>
      </x:c>
      <x:c r="M861" s="8" t="str">
        <x:f aca="0">IF(AND(ISNUMBER(H861),P861&lt;&gt;"Unresolved unit / layout"),H861*K861,"Not applicable")</x:f>
        <x:v>Not applicable</x:v>
      </x:c>
      <x:c r="N861" s="8" t="str">
        <x:f aca="0">IF(AND(ISNUMBER(I861),P861&lt;&gt;"Unresolved unit / layout"),I861*K861,"Not applicable")</x:f>
        <x:v>Not applicable</x:v>
      </x:c>
      <x:c r="O861" s="7" t="s">
        <x:v>1956</x:v>
      </x:c>
      <x:c r="P861" s="7" t="s">
        <x:v>1921</x:v>
      </x:c>
      <x:c r="Q861" s="7" t="s">
        <x:v>1930</x:v>
      </x:c>
      <x:c r="R861" s="7" t="s">
        <x:v>58</x:v>
      </x:c>
      <x:c r="S861" s="7" t="s">
        <x:v>2077</x:v>
      </x:c>
      <x:c r="T861" s="7" t="s">
        <x:v>3741</x:v>
      </x:c>
      <x:c r="U861" s="7" t="s">
        <x:v>53</x:v>
      </x:c>
      <x:c r="V861" s="7" t="s">
        <x:v>2776</x:v>
      </x:c>
      <x:c r="W861" s="7" t="s">
        <x:v>58</x:v>
      </x:c>
      <x:c r="X861" s="7" t="s">
        <x:v>3742</x:v>
      </x:c>
      <x:c r="Y861" s="7" t="s">
        <x:v>1264</x:v>
      </x:c>
      <x:c r="Z861" s="7" t="s">
        <x:v>1985</x:v>
      </x:c>
      <x:c r="AA861" s="7" t="s">
        <x:v>58</x:v>
      </x:c>
      <x:c r="AB861" s="8" t="s">
        <x:v>58</x:v>
      </x:c>
      <x:c r="AC861" s="8" t="s">
        <x:v>58</x:v>
      </x:c>
      <x:c r="AD861" s="8" t="s">
        <x:v>58</x:v>
      </x:c>
      <x:c r="AE861" s="8" t="s">
        <x:v>58</x:v>
      </x:c>
      <x:c r="AF861" s="8" t="s">
        <x:v>58</x:v>
      </x:c>
      <x:c r="AG861" s="7" t="s">
        <x:v>58</x:v>
      </x:c>
    </x:row>
    <x:row r="862" ht="66" hidden="0" customHeight="1">
      <x:c r="A862" s="7" t="s">
        <x:v>3750</x:v>
      </x:c>
      <x:c r="B862" s="7" t="s">
        <x:v>559</x:v>
      </x:c>
      <x:c r="C862" s="7" t="s">
        <x:v>562</x:v>
      </x:c>
      <x:c r="D862" s="7" t="s">
        <x:v>1959</x:v>
      </x:c>
      <x:c r="E862" s="7" t="s">
        <x:v>3751</x:v>
      </x:c>
      <x:c r="F862" s="7" t="s">
        <x:v>1956</x:v>
      </x:c>
      <x:c r="G862" s="8" t="n">
        <x:v>69.8</x:v>
      </x:c>
      <x:c r="H862" s="8" t="s">
        <x:v>58</x:v>
      </x:c>
      <x:c r="I862" s="8" t="s">
        <x:v>58</x:v>
      </x:c>
      <x:c r="J862" s="7" t="s">
        <x:v>1919</x:v>
      </x:c>
      <x:c r="K862" s="8" t="n">
        <x:v>1</x:v>
      </x:c>
      <x:c r="L862" s="8" t="n">
        <x:f aca="0">IF(AND(ISNUMBER(G862),P862&lt;&gt;"Unresolved unit / layout"),G862*K862,"Not applicable")</x:f>
        <x:v>69.8</x:v>
      </x:c>
      <x:c r="M862" s="8" t="str">
        <x:f aca="0">IF(AND(ISNUMBER(H862),P862&lt;&gt;"Unresolved unit / layout"),H862*K862,"Not applicable")</x:f>
        <x:v>Not applicable</x:v>
      </x:c>
      <x:c r="N862" s="8" t="str">
        <x:f aca="0">IF(AND(ISNUMBER(I862),P862&lt;&gt;"Unresolved unit / layout"),I862*K862,"Not applicable")</x:f>
        <x:v>Not applicable</x:v>
      </x:c>
      <x:c r="O862" s="7" t="s">
        <x:v>1956</x:v>
      </x:c>
      <x:c r="P862" s="7" t="s">
        <x:v>1921</x:v>
      </x:c>
      <x:c r="Q862" s="7" t="s">
        <x:v>1930</x:v>
      </x:c>
      <x:c r="R862" s="7" t="s">
        <x:v>58</x:v>
      </x:c>
      <x:c r="S862" s="7" t="s">
        <x:v>2077</x:v>
      </x:c>
      <x:c r="T862" s="7" t="s">
        <x:v>3741</x:v>
      </x:c>
      <x:c r="U862" s="7" t="s">
        <x:v>53</x:v>
      </x:c>
      <x:c r="V862" s="7" t="s">
        <x:v>1988</x:v>
      </x:c>
      <x:c r="W862" s="7" t="s">
        <x:v>58</x:v>
      </x:c>
      <x:c r="X862" s="7" t="s">
        <x:v>3742</x:v>
      </x:c>
      <x:c r="Y862" s="7" t="s">
        <x:v>1264</x:v>
      </x:c>
      <x:c r="Z862" s="7" t="s">
        <x:v>1989</x:v>
      </x:c>
      <x:c r="AA862" s="7" t="s">
        <x:v>58</x:v>
      </x:c>
      <x:c r="AB862" s="8" t="s">
        <x:v>58</x:v>
      </x:c>
      <x:c r="AC862" s="8" t="s">
        <x:v>58</x:v>
      </x:c>
      <x:c r="AD862" s="8" t="s">
        <x:v>58</x:v>
      </x:c>
      <x:c r="AE862" s="8" t="s">
        <x:v>58</x:v>
      </x:c>
      <x:c r="AF862" s="8" t="s">
        <x:v>58</x:v>
      </x:c>
      <x:c r="AG862" s="7" t="s">
        <x:v>58</x:v>
      </x:c>
    </x:row>
    <x:row r="863" ht="66" hidden="0" customHeight="1">
      <x:c r="A863" s="7" t="s">
        <x:v>569</x:v>
      </x:c>
      <x:c r="B863" s="7" t="s">
        <x:v>559</x:v>
      </x:c>
      <x:c r="C863" s="7" t="s">
        <x:v>562</x:v>
      </x:c>
      <x:c r="D863" s="7" t="s">
        <x:v>1959</x:v>
      </x:c>
      <x:c r="E863" s="7" t="s">
        <x:v>3752</x:v>
      </x:c>
      <x:c r="F863" s="7" t="s">
        <x:v>1956</x:v>
      </x:c>
      <x:c r="G863" s="8" t="n">
        <x:v>110.5</x:v>
      </x:c>
      <x:c r="H863" s="8" t="s">
        <x:v>58</x:v>
      </x:c>
      <x:c r="I863" s="8" t="s">
        <x:v>58</x:v>
      </x:c>
      <x:c r="J863" s="7" t="s">
        <x:v>1919</x:v>
      </x:c>
      <x:c r="K863" s="8" t="n">
        <x:v>1</x:v>
      </x:c>
      <x:c r="L863" s="8" t="n">
        <x:f aca="0">IF(AND(ISNUMBER(G863),P863&lt;&gt;"Unresolved unit / layout"),G863*K863,"Not applicable")</x:f>
        <x:v>110.5</x:v>
      </x:c>
      <x:c r="M863" s="8" t="str">
        <x:f aca="0">IF(AND(ISNUMBER(H863),P863&lt;&gt;"Unresolved unit / layout"),H863*K863,"Not applicable")</x:f>
        <x:v>Not applicable</x:v>
      </x:c>
      <x:c r="N863" s="8" t="str">
        <x:f aca="0">IF(AND(ISNUMBER(I863),P863&lt;&gt;"Unresolved unit / layout"),I863*K863,"Not applicable")</x:f>
        <x:v>Not applicable</x:v>
      </x:c>
      <x:c r="O863" s="7" t="s">
        <x:v>1956</x:v>
      </x:c>
      <x:c r="P863" s="7" t="s">
        <x:v>1921</x:v>
      </x:c>
      <x:c r="Q863" s="7" t="s">
        <x:v>1930</x:v>
      </x:c>
      <x:c r="R863" s="7" t="s">
        <x:v>58</x:v>
      </x:c>
      <x:c r="S863" s="7" t="s">
        <x:v>2077</x:v>
      </x:c>
      <x:c r="T863" s="7" t="s">
        <x:v>3741</x:v>
      </x:c>
      <x:c r="U863" s="7" t="s">
        <x:v>53</x:v>
      </x:c>
      <x:c r="V863" s="7" t="s">
        <x:v>1992</x:v>
      </x:c>
      <x:c r="W863" s="7" t="s">
        <x:v>58</x:v>
      </x:c>
      <x:c r="X863" s="7" t="s">
        <x:v>3742</x:v>
      </x:c>
      <x:c r="Y863" s="7" t="s">
        <x:v>1264</x:v>
      </x:c>
      <x:c r="Z863" s="7" t="s">
        <x:v>1989</x:v>
      </x:c>
      <x:c r="AA863" s="7" t="s">
        <x:v>58</x:v>
      </x:c>
      <x:c r="AB863" s="8" t="s">
        <x:v>58</x:v>
      </x:c>
      <x:c r="AC863" s="8" t="s">
        <x:v>58</x:v>
      </x:c>
      <x:c r="AD863" s="8" t="s">
        <x:v>58</x:v>
      </x:c>
      <x:c r="AE863" s="8" t="s">
        <x:v>58</x:v>
      </x:c>
      <x:c r="AF863" s="8" t="s">
        <x:v>58</x:v>
      </x:c>
      <x:c r="AG863" s="7" t="s">
        <x:v>58</x:v>
      </x:c>
    </x:row>
    <x:row r="864" ht="66" hidden="0" customHeight="1">
      <x:c r="A864" s="7" t="s">
        <x:v>3753</x:v>
      </x:c>
      <x:c r="B864" s="7" t="s">
        <x:v>559</x:v>
      </x:c>
      <x:c r="C864" s="7" t="s">
        <x:v>562</x:v>
      </x:c>
      <x:c r="D864" s="7" t="s">
        <x:v>1994</x:v>
      </x:c>
      <x:c r="E864" s="7" t="s">
        <x:v>1995</x:v>
      </x:c>
      <x:c r="F864" s="7" t="s">
        <x:v>53</x:v>
      </x:c>
      <x:c r="G864" s="8" t="s">
        <x:v>53</x:v>
      </x:c>
      <x:c r="H864" s="8" t="s">
        <x:v>58</x:v>
      </x:c>
      <x:c r="I864" s="8" t="s">
        <x:v>58</x:v>
      </x:c>
      <x:c r="J864" s="7" t="s">
        <x:v>58</x:v>
      </x:c>
      <x:c r="K864" s="8" t="n">
        <x:v>1</x:v>
      </x:c>
      <x:c r="L864" s="8" t="str">
        <x:f aca="0">IF(AND(ISNUMBER(G864),P864&lt;&gt;"Unresolved unit / layout"),G864*K864,"Not published")</x:f>
        <x:v>Not published</x:v>
      </x:c>
      <x:c r="M864" s="8" t="str">
        <x:f aca="0">IF(AND(ISNUMBER(H864),P864&lt;&gt;"Unresolved unit / layout"),H864*K864,"Not applicable")</x:f>
        <x:v>Not applicable</x:v>
      </x:c>
      <x:c r="N864" s="8" t="str">
        <x:f aca="0">IF(AND(ISNUMBER(I864),P864&lt;&gt;"Unresolved unit / layout"),I864*K864,"Not applicable")</x:f>
        <x:v>Not applicable</x:v>
      </x:c>
      <x:c r="O864" s="7" t="s">
        <x:v>53</x:v>
      </x:c>
      <x:c r="P864" s="7" t="s">
        <x:v>53</x:v>
      </x:c>
      <x:c r="Q864" s="7" t="s">
        <x:v>1930</x:v>
      </x:c>
      <x:c r="R864" s="7" t="s">
        <x:v>53</x:v>
      </x:c>
      <x:c r="S864" s="7" t="s">
        <x:v>2077</x:v>
      </x:c>
      <x:c r="T864" s="7" t="s">
        <x:v>3741</x:v>
      </x:c>
      <x:c r="U864" s="7" t="s">
        <x:v>53</x:v>
      </x:c>
      <x:c r="V864" s="7" t="s">
        <x:v>1995</x:v>
      </x:c>
      <x:c r="W864" s="7" t="s">
        <x:v>58</x:v>
      </x:c>
      <x:c r="X864" s="7" t="s">
        <x:v>3742</x:v>
      </x:c>
      <x:c r="Y864" s="7" t="s">
        <x:v>1264</x:v>
      </x:c>
      <x:c r="Z864" s="7" t="s">
        <x:v>1996</x:v>
      </x:c>
      <x:c r="AA864" s="7" t="s">
        <x:v>58</x:v>
      </x:c>
      <x:c r="AB864" s="8" t="s">
        <x:v>58</x:v>
      </x:c>
      <x:c r="AC864" s="8" t="s">
        <x:v>58</x:v>
      </x:c>
      <x:c r="AD864" s="8" t="s">
        <x:v>58</x:v>
      </x:c>
      <x:c r="AE864" s="8" t="s">
        <x:v>58</x:v>
      </x:c>
      <x:c r="AF864" s="8" t="s">
        <x:v>58</x:v>
      </x:c>
      <x:c r="AG864" s="7" t="s">
        <x:v>58</x:v>
      </x:c>
    </x:row>
    <x:row r="865" ht="66" hidden="0" customHeight="1">
      <x:c r="A865" s="7" t="s">
        <x:v>3754</x:v>
      </x:c>
      <x:c r="B865" s="7" t="s">
        <x:v>559</x:v>
      </x:c>
      <x:c r="C865" s="7" t="s">
        <x:v>562</x:v>
      </x:c>
      <x:c r="D865" s="7" t="s">
        <x:v>1935</x:v>
      </x:c>
      <x:c r="E865" s="7" t="s">
        <x:v>3755</x:v>
      </x:c>
      <x:c r="F865" s="7" t="s">
        <x:v>1929</x:v>
      </x:c>
      <x:c r="G865" s="8" t="n">
        <x:v>2223</x:v>
      </x:c>
      <x:c r="H865" s="8" t="n">
        <x:v>199</x:v>
      </x:c>
      <x:c r="I865" s="8" t="s">
        <x:v>58</x:v>
      </x:c>
      <x:c r="J865" s="7" t="s">
        <x:v>1919</x:v>
      </x:c>
      <x:c r="K865" s="8" t="n">
        <x:v>0.001</x:v>
      </x:c>
      <x:c r="L865" s="8" t="n">
        <x:f aca="0">IF(AND(ISNUMBER(G865),P865&lt;&gt;"Unresolved unit / layout"),G865*K865,"Not applicable")</x:f>
        <x:v>2.223</x:v>
      </x:c>
      <x:c r="M865" s="8" t="n">
        <x:f aca="0">IF(AND(ISNUMBER(H865),P865&lt;&gt;"Unresolved unit / layout"),H865*K865,"Not applicable")</x:f>
        <x:v>0.199</x:v>
      </x:c>
      <x:c r="N865" s="8" t="str">
        <x:f aca="0">IF(AND(ISNUMBER(I865),P865&lt;&gt;"Unresolved unit / layout"),I865*K865,"Not applicable")</x:f>
        <x:v>Not applicable</x:v>
      </x:c>
      <x:c r="O865" s="7" t="s">
        <x:v>1937</x:v>
      </x:c>
      <x:c r="P865" s="7" t="s">
        <x:v>1921</x:v>
      </x:c>
      <x:c r="Q865" s="7" t="s">
        <x:v>1930</x:v>
      </x:c>
      <x:c r="R865" s="7" t="s">
        <x:v>1931</x:v>
      </x:c>
      <x:c r="S865" s="7" t="s">
        <x:v>3756</x:v>
      </x:c>
      <x:c r="T865" s="7" t="s">
        <x:v>3741</x:v>
      </x:c>
      <x:c r="U865" s="7" t="s">
        <x:v>53</x:v>
      </x:c>
      <x:c r="V865" s="7" t="s">
        <x:v>1999</x:v>
      </x:c>
      <x:c r="W865" s="7" t="s">
        <x:v>58</x:v>
      </x:c>
      <x:c r="X865" s="7" t="s">
        <x:v>3742</x:v>
      </x:c>
      <x:c r="Y865" s="7" t="s">
        <x:v>1264</x:v>
      </x:c>
      <x:c r="Z865" s="7" t="s">
        <x:v>2784</x:v>
      </x:c>
      <x:c r="AA865" s="7" t="s">
        <x:v>58</x:v>
      </x:c>
      <x:c r="AB865" s="8" t="s">
        <x:v>58</x:v>
      </x:c>
      <x:c r="AC865" s="8" t="s">
        <x:v>58</x:v>
      </x:c>
      <x:c r="AD865" s="8" t="s">
        <x:v>58</x:v>
      </x:c>
      <x:c r="AE865" s="8" t="s">
        <x:v>58</x:v>
      </x:c>
      <x:c r="AF865" s="8" t="s">
        <x:v>58</x:v>
      </x:c>
      <x:c r="AG865" s="7" t="s">
        <x:v>58</x:v>
      </x:c>
    </x:row>
    <x:row r="866" ht="66" hidden="0" customHeight="1">
      <x:c r="A866" s="7" t="s">
        <x:v>3757</x:v>
      </x:c>
      <x:c r="B866" s="7" t="s">
        <x:v>559</x:v>
      </x:c>
      <x:c r="C866" s="7" t="s">
        <x:v>562</x:v>
      </x:c>
      <x:c r="D866" s="7" t="s">
        <x:v>1935</x:v>
      </x:c>
      <x:c r="E866" s="7" t="s">
        <x:v>3758</x:v>
      </x:c>
      <x:c r="F866" s="7" t="s">
        <x:v>1929</x:v>
      </x:c>
      <x:c r="G866" s="8" t="n">
        <x:v>2564</x:v>
      </x:c>
      <x:c r="H866" s="8" t="n">
        <x:v>97</x:v>
      </x:c>
      <x:c r="I866" s="8" t="s">
        <x:v>58</x:v>
      </x:c>
      <x:c r="J866" s="7" t="s">
        <x:v>1919</x:v>
      </x:c>
      <x:c r="K866" s="8" t="n">
        <x:v>0.001</x:v>
      </x:c>
      <x:c r="L866" s="8" t="n">
        <x:f aca="0">IF(AND(ISNUMBER(G866),P866&lt;&gt;"Unresolved unit / layout"),G866*K866,"Not applicable")</x:f>
        <x:v>2.564</x:v>
      </x:c>
      <x:c r="M866" s="8" t="n">
        <x:f aca="0">IF(AND(ISNUMBER(H866),P866&lt;&gt;"Unresolved unit / layout"),H866*K866,"Not applicable")</x:f>
        <x:v>0.097</x:v>
      </x:c>
      <x:c r="N866" s="8" t="str">
        <x:f aca="0">IF(AND(ISNUMBER(I866),P866&lt;&gt;"Unresolved unit / layout"),I866*K866,"Not applicable")</x:f>
        <x:v>Not applicable</x:v>
      </x:c>
      <x:c r="O866" s="7" t="s">
        <x:v>1937</x:v>
      </x:c>
      <x:c r="P866" s="7" t="s">
        <x:v>1921</x:v>
      </x:c>
      <x:c r="Q866" s="7" t="s">
        <x:v>1930</x:v>
      </x:c>
      <x:c r="R866" s="7" t="s">
        <x:v>2003</x:v>
      </x:c>
      <x:c r="S866" s="7" t="s">
        <x:v>3756</x:v>
      </x:c>
      <x:c r="T866" s="7" t="s">
        <x:v>3741</x:v>
      </x:c>
      <x:c r="U866" s="7" t="s">
        <x:v>53</x:v>
      </x:c>
      <x:c r="V866" s="7" t="s">
        <x:v>1999</x:v>
      </x:c>
      <x:c r="W866" s="7" t="s">
        <x:v>58</x:v>
      </x:c>
      <x:c r="X866" s="7" t="s">
        <x:v>3742</x:v>
      </x:c>
      <x:c r="Y866" s="7" t="s">
        <x:v>1264</x:v>
      </x:c>
      <x:c r="Z866" s="7" t="s">
        <x:v>2787</x:v>
      </x:c>
      <x:c r="AA866" s="7" t="s">
        <x:v>58</x:v>
      </x:c>
      <x:c r="AB866" s="8" t="s">
        <x:v>58</x:v>
      </x:c>
      <x:c r="AC866" s="8" t="s">
        <x:v>58</x:v>
      </x:c>
      <x:c r="AD866" s="8" t="s">
        <x:v>58</x:v>
      </x:c>
      <x:c r="AE866" s="8" t="s">
        <x:v>58</x:v>
      </x:c>
      <x:c r="AF866" s="8" t="s">
        <x:v>58</x:v>
      </x:c>
      <x:c r="AG866" s="7" t="s">
        <x:v>58</x:v>
      </x:c>
    </x:row>
    <x:row r="867" ht="66" hidden="0" customHeight="1">
      <x:c r="A867" s="7" t="s">
        <x:v>3759</x:v>
      </x:c>
      <x:c r="B867" s="7" t="s">
        <x:v>559</x:v>
      </x:c>
      <x:c r="C867" s="7" t="s">
        <x:v>562</x:v>
      </x:c>
      <x:c r="D867" s="7" t="s">
        <x:v>2006</x:v>
      </x:c>
      <x:c r="E867" s="7" t="s">
        <x:v>3760</x:v>
      </x:c>
      <x:c r="F867" s="7" t="s">
        <x:v>1929</x:v>
      </x:c>
      <x:c r="G867" s="8" t="n">
        <x:v>66.2</x:v>
      </x:c>
      <x:c r="H867" s="8" t="n">
        <x:v>0.9</x:v>
      </x:c>
      <x:c r="I867" s="8" t="s">
        <x:v>58</x:v>
      </x:c>
      <x:c r="J867" s="7" t="s">
        <x:v>1919</x:v>
      </x:c>
      <x:c r="K867" s="8" t="n">
        <x:v>1</x:v>
      </x:c>
      <x:c r="L867" s="8" t="n">
        <x:f aca="0">IF(AND(ISNUMBER(G867),P867&lt;&gt;"Unresolved unit / layout"),G867*K867,"Not applicable")</x:f>
        <x:v>66.2</x:v>
      </x:c>
      <x:c r="M867" s="8" t="n">
        <x:f aca="0">IF(AND(ISNUMBER(H867),P867&lt;&gt;"Unresolved unit / layout"),H867*K867,"Not applicable")</x:f>
        <x:v>0.9</x:v>
      </x:c>
      <x:c r="N867" s="8" t="str">
        <x:f aca="0">IF(AND(ISNUMBER(I867),P867&lt;&gt;"Unresolved unit / layout"),I867*K867,"Not applicable")</x:f>
        <x:v>Not applicable</x:v>
      </x:c>
      <x:c r="O867" s="7" t="s">
        <x:v>1929</x:v>
      </x:c>
      <x:c r="P867" s="7" t="s">
        <x:v>1921</x:v>
      </x:c>
      <x:c r="Q867" s="7" t="s">
        <x:v>1930</x:v>
      </x:c>
      <x:c r="R867" s="7" t="s">
        <x:v>1931</x:v>
      </x:c>
      <x:c r="S867" s="7" t="s">
        <x:v>3756</x:v>
      </x:c>
      <x:c r="T867" s="7" t="s">
        <x:v>3741</x:v>
      </x:c>
      <x:c r="U867" s="7" t="s">
        <x:v>53</x:v>
      </x:c>
      <x:c r="V867" s="7" t="s">
        <x:v>1999</x:v>
      </x:c>
      <x:c r="W867" s="7" t="s">
        <x:v>58</x:v>
      </x:c>
      <x:c r="X867" s="7" t="s">
        <x:v>3742</x:v>
      </x:c>
      <x:c r="Y867" s="7" t="s">
        <x:v>1264</x:v>
      </x:c>
      <x:c r="Z867" s="7" t="s">
        <x:v>2684</x:v>
      </x:c>
      <x:c r="AA867" s="7" t="s">
        <x:v>58</x:v>
      </x:c>
      <x:c r="AB867" s="8" t="s">
        <x:v>58</x:v>
      </x:c>
      <x:c r="AC867" s="8" t="s">
        <x:v>58</x:v>
      </x:c>
      <x:c r="AD867" s="8" t="s">
        <x:v>58</x:v>
      </x:c>
      <x:c r="AE867" s="8" t="s">
        <x:v>58</x:v>
      </x:c>
      <x:c r="AF867" s="8" t="s">
        <x:v>58</x:v>
      </x:c>
      <x:c r="AG867" s="7" t="s">
        <x:v>58</x:v>
      </x:c>
    </x:row>
    <x:row r="868" ht="66" hidden="0" customHeight="1">
      <x:c r="A868" s="7" t="s">
        <x:v>3761</x:v>
      </x:c>
      <x:c r="B868" s="7" t="s">
        <x:v>559</x:v>
      </x:c>
      <x:c r="C868" s="7" t="s">
        <x:v>562</x:v>
      </x:c>
      <x:c r="D868" s="7" t="s">
        <x:v>2006</x:v>
      </x:c>
      <x:c r="E868" s="7" t="s">
        <x:v>3762</x:v>
      </x:c>
      <x:c r="F868" s="7" t="s">
        <x:v>1929</x:v>
      </x:c>
      <x:c r="G868" s="8" t="n">
        <x:v>43.3</x:v>
      </x:c>
      <x:c r="H868" s="8" t="n">
        <x:v>9.1</x:v>
      </x:c>
      <x:c r="I868" s="8" t="s">
        <x:v>58</x:v>
      </x:c>
      <x:c r="J868" s="7" t="s">
        <x:v>1919</x:v>
      </x:c>
      <x:c r="K868" s="8" t="n">
        <x:v>1</x:v>
      </x:c>
      <x:c r="L868" s="8" t="n">
        <x:f aca="0">IF(AND(ISNUMBER(G868),P868&lt;&gt;"Unresolved unit / layout"),G868*K868,"Not applicable")</x:f>
        <x:v>43.3</x:v>
      </x:c>
      <x:c r="M868" s="8" t="n">
        <x:f aca="0">IF(AND(ISNUMBER(H868),P868&lt;&gt;"Unresolved unit / layout"),H868*K868,"Not applicable")</x:f>
        <x:v>9.1</x:v>
      </x:c>
      <x:c r="N868" s="8" t="str">
        <x:f aca="0">IF(AND(ISNUMBER(I868),P868&lt;&gt;"Unresolved unit / layout"),I868*K868,"Not applicable")</x:f>
        <x:v>Not applicable</x:v>
      </x:c>
      <x:c r="O868" s="7" t="s">
        <x:v>1929</x:v>
      </x:c>
      <x:c r="P868" s="7" t="s">
        <x:v>1921</x:v>
      </x:c>
      <x:c r="Q868" s="7" t="s">
        <x:v>1930</x:v>
      </x:c>
      <x:c r="R868" s="7" t="s">
        <x:v>2003</x:v>
      </x:c>
      <x:c r="S868" s="7" t="s">
        <x:v>3756</x:v>
      </x:c>
      <x:c r="T868" s="7" t="s">
        <x:v>3741</x:v>
      </x:c>
      <x:c r="U868" s="7" t="s">
        <x:v>53</x:v>
      </x:c>
      <x:c r="V868" s="7" t="s">
        <x:v>1999</x:v>
      </x:c>
      <x:c r="W868" s="7" t="s">
        <x:v>58</x:v>
      </x:c>
      <x:c r="X868" s="7" t="s">
        <x:v>3742</x:v>
      </x:c>
      <x:c r="Y868" s="7" t="s">
        <x:v>1264</x:v>
      </x:c>
      <x:c r="Z868" s="7" t="s">
        <x:v>2687</x:v>
      </x:c>
      <x:c r="AA868" s="7" t="s">
        <x:v>58</x:v>
      </x:c>
      <x:c r="AB868" s="8" t="s">
        <x:v>58</x:v>
      </x:c>
      <x:c r="AC868" s="8" t="s">
        <x:v>58</x:v>
      </x:c>
      <x:c r="AD868" s="8" t="s">
        <x:v>58</x:v>
      </x:c>
      <x:c r="AE868" s="8" t="s">
        <x:v>58</x:v>
      </x:c>
      <x:c r="AF868" s="8" t="s">
        <x:v>58</x:v>
      </x:c>
      <x:c r="AG868" s="7" t="s">
        <x:v>58</x:v>
      </x:c>
    </x:row>
    <x:row r="869" ht="66" hidden="0" customHeight="1">
      <x:c r="A869" s="7" t="s">
        <x:v>3763</x:v>
      </x:c>
      <x:c r="B869" s="7" t="s">
        <x:v>559</x:v>
      </x:c>
      <x:c r="C869" s="7" t="s">
        <x:v>562</x:v>
      </x:c>
      <x:c r="D869" s="7" t="s">
        <x:v>1940</x:v>
      </x:c>
      <x:c r="E869" s="7" t="s">
        <x:v>3764</x:v>
      </x:c>
      <x:c r="F869" s="7" t="s">
        <x:v>1942</x:v>
      </x:c>
      <x:c r="G869" s="8" t="n">
        <x:v>9.9</x:v>
      </x:c>
      <x:c r="H869" s="8" t="n">
        <x:v>1.5</x:v>
      </x:c>
      <x:c r="I869" s="8" t="s">
        <x:v>58</x:v>
      </x:c>
      <x:c r="J869" s="7" t="s">
        <x:v>1919</x:v>
      </x:c>
      <x:c r="K869" s="8" t="n">
        <x:v>1</x:v>
      </x:c>
      <x:c r="L869" s="8" t="n">
        <x:f aca="0">IF(AND(ISNUMBER(G869),P869&lt;&gt;"Unresolved unit / layout"),G869*K869,"Not applicable")</x:f>
        <x:v>9.9</x:v>
      </x:c>
      <x:c r="M869" s="8" t="n">
        <x:f aca="0">IF(AND(ISNUMBER(H869),P869&lt;&gt;"Unresolved unit / layout"),H869*K869,"Not applicable")</x:f>
        <x:v>1.5</x:v>
      </x:c>
      <x:c r="N869" s="8" t="str">
        <x:f aca="0">IF(AND(ISNUMBER(I869),P869&lt;&gt;"Unresolved unit / layout"),I869*K869,"Not applicable")</x:f>
        <x:v>Not applicable</x:v>
      </x:c>
      <x:c r="O869" s="7" t="s">
        <x:v>1942</x:v>
      </x:c>
      <x:c r="P869" s="7" t="s">
        <x:v>1921</x:v>
      </x:c>
      <x:c r="Q869" s="7" t="s">
        <x:v>1930</x:v>
      </x:c>
      <x:c r="R869" s="7" t="s">
        <x:v>1931</x:v>
      </x:c>
      <x:c r="S869" s="7" t="s">
        <x:v>3756</x:v>
      </x:c>
      <x:c r="T869" s="7" t="s">
        <x:v>3741</x:v>
      </x:c>
      <x:c r="U869" s="7" t="s">
        <x:v>53</x:v>
      </x:c>
      <x:c r="V869" s="7" t="s">
        <x:v>1999</x:v>
      </x:c>
      <x:c r="W869" s="7" t="s">
        <x:v>58</x:v>
      </x:c>
      <x:c r="X869" s="7" t="s">
        <x:v>3742</x:v>
      </x:c>
      <x:c r="Y869" s="7" t="s">
        <x:v>1264</x:v>
      </x:c>
      <x:c r="Z869" s="7" t="s">
        <x:v>2690</x:v>
      </x:c>
      <x:c r="AA869" s="7" t="s">
        <x:v>58</x:v>
      </x:c>
      <x:c r="AB869" s="8" t="s">
        <x:v>58</x:v>
      </x:c>
      <x:c r="AC869" s="8" t="s">
        <x:v>58</x:v>
      </x:c>
      <x:c r="AD869" s="8" t="s">
        <x:v>58</x:v>
      </x:c>
      <x:c r="AE869" s="8" t="s">
        <x:v>58</x:v>
      </x:c>
      <x:c r="AF869" s="8" t="s">
        <x:v>58</x:v>
      </x:c>
      <x:c r="AG869" s="7" t="s">
        <x:v>58</x:v>
      </x:c>
    </x:row>
    <x:row r="870" ht="66" hidden="0" customHeight="1">
      <x:c r="A870" s="7" t="s">
        <x:v>3765</x:v>
      </x:c>
      <x:c r="B870" s="7" t="s">
        <x:v>559</x:v>
      </x:c>
      <x:c r="C870" s="7" t="s">
        <x:v>562</x:v>
      </x:c>
      <x:c r="D870" s="7" t="s">
        <x:v>1940</x:v>
      </x:c>
      <x:c r="E870" s="7" t="s">
        <x:v>3766</x:v>
      </x:c>
      <x:c r="F870" s="7" t="s">
        <x:v>1942</x:v>
      </x:c>
      <x:c r="G870" s="8" t="n">
        <x:v>1.8</x:v>
      </x:c>
      <x:c r="H870" s="8" t="n">
        <x:v>0.4</x:v>
      </x:c>
      <x:c r="I870" s="8" t="s">
        <x:v>58</x:v>
      </x:c>
      <x:c r="J870" s="7" t="s">
        <x:v>1919</x:v>
      </x:c>
      <x:c r="K870" s="8" t="n">
        <x:v>1</x:v>
      </x:c>
      <x:c r="L870" s="8" t="n">
        <x:f aca="0">IF(AND(ISNUMBER(G870),P870&lt;&gt;"Unresolved unit / layout"),G870*K870,"Not applicable")</x:f>
        <x:v>1.8</x:v>
      </x:c>
      <x:c r="M870" s="8" t="n">
        <x:f aca="0">IF(AND(ISNUMBER(H870),P870&lt;&gt;"Unresolved unit / layout"),H870*K870,"Not applicable")</x:f>
        <x:v>0.4</x:v>
      </x:c>
      <x:c r="N870" s="8" t="str">
        <x:f aca="0">IF(AND(ISNUMBER(I870),P870&lt;&gt;"Unresolved unit / layout"),I870*K870,"Not applicable")</x:f>
        <x:v>Not applicable</x:v>
      </x:c>
      <x:c r="O870" s="7" t="s">
        <x:v>1942</x:v>
      </x:c>
      <x:c r="P870" s="7" t="s">
        <x:v>1921</x:v>
      </x:c>
      <x:c r="Q870" s="7" t="s">
        <x:v>1930</x:v>
      </x:c>
      <x:c r="R870" s="7" t="s">
        <x:v>2003</x:v>
      </x:c>
      <x:c r="S870" s="7" t="s">
        <x:v>3756</x:v>
      </x:c>
      <x:c r="T870" s="7" t="s">
        <x:v>3741</x:v>
      </x:c>
      <x:c r="U870" s="7" t="s">
        <x:v>53</x:v>
      </x:c>
      <x:c r="V870" s="7" t="s">
        <x:v>1999</x:v>
      </x:c>
      <x:c r="W870" s="7" t="s">
        <x:v>58</x:v>
      </x:c>
      <x:c r="X870" s="7" t="s">
        <x:v>3742</x:v>
      </x:c>
      <x:c r="Y870" s="7" t="s">
        <x:v>1264</x:v>
      </x:c>
      <x:c r="Z870" s="7" t="s">
        <x:v>2693</x:v>
      </x:c>
      <x:c r="AA870" s="7" t="s">
        <x:v>58</x:v>
      </x:c>
      <x:c r="AB870" s="8" t="s">
        <x:v>58</x:v>
      </x:c>
      <x:c r="AC870" s="8" t="s">
        <x:v>58</x:v>
      </x:c>
      <x:c r="AD870" s="8" t="s">
        <x:v>58</x:v>
      </x:c>
      <x:c r="AE870" s="8" t="s">
        <x:v>58</x:v>
      </x:c>
      <x:c r="AF870" s="8" t="s">
        <x:v>58</x:v>
      </x:c>
      <x:c r="AG870" s="7" t="s">
        <x:v>58</x:v>
      </x:c>
    </x:row>
    <x:row r="871" ht="66" hidden="0" customHeight="1">
      <x:c r="A871" s="7" t="s">
        <x:v>3767</x:v>
      </x:c>
      <x:c r="B871" s="7" t="s">
        <x:v>559</x:v>
      </x:c>
      <x:c r="C871" s="7" t="s">
        <x:v>562</x:v>
      </x:c>
      <x:c r="D871" s="7" t="s">
        <x:v>1950</x:v>
      </x:c>
      <x:c r="E871" s="7" t="s">
        <x:v>3768</x:v>
      </x:c>
      <x:c r="F871" s="7" t="s">
        <x:v>1929</x:v>
      </x:c>
      <x:c r="G871" s="8" t="n">
        <x:v>1667</x:v>
      </x:c>
      <x:c r="H871" s="8" t="n">
        <x:v>118</x:v>
      </x:c>
      <x:c r="I871" s="8" t="s">
        <x:v>58</x:v>
      </x:c>
      <x:c r="J871" s="7" t="s">
        <x:v>1919</x:v>
      </x:c>
      <x:c r="K871" s="8" t="n">
        <x:v>0.001</x:v>
      </x:c>
      <x:c r="L871" s="8" t="n">
        <x:f aca="0">IF(AND(ISNUMBER(G871),P871&lt;&gt;"Unresolved unit / layout"),G871*K871,"Not applicable")</x:f>
        <x:v>1.667</x:v>
      </x:c>
      <x:c r="M871" s="8" t="n">
        <x:f aca="0">IF(AND(ISNUMBER(H871),P871&lt;&gt;"Unresolved unit / layout"),H871*K871,"Not applicable")</x:f>
        <x:v>0.11800000000000001</x:v>
      </x:c>
      <x:c r="N871" s="8" t="str">
        <x:f aca="0">IF(AND(ISNUMBER(I871),P871&lt;&gt;"Unresolved unit / layout"),I871*K871,"Not applicable")</x:f>
        <x:v>Not applicable</x:v>
      </x:c>
      <x:c r="O871" s="7" t="s">
        <x:v>1937</x:v>
      </x:c>
      <x:c r="P871" s="7" t="s">
        <x:v>1921</x:v>
      </x:c>
      <x:c r="Q871" s="7" t="s">
        <x:v>1930</x:v>
      </x:c>
      <x:c r="R871" s="7" t="s">
        <x:v>1931</x:v>
      </x:c>
      <x:c r="S871" s="7" t="s">
        <x:v>3756</x:v>
      </x:c>
      <x:c r="T871" s="7" t="s">
        <x:v>3741</x:v>
      </x:c>
      <x:c r="U871" s="7" t="s">
        <x:v>53</x:v>
      </x:c>
      <x:c r="V871" s="7" t="s">
        <x:v>2020</x:v>
      </x:c>
      <x:c r="W871" s="7" t="s">
        <x:v>58</x:v>
      </x:c>
      <x:c r="X871" s="7" t="s">
        <x:v>3742</x:v>
      </x:c>
      <x:c r="Y871" s="7" t="s">
        <x:v>1264</x:v>
      </x:c>
      <x:c r="Z871" s="7" t="s">
        <x:v>2696</x:v>
      </x:c>
      <x:c r="AA871" s="7" t="s">
        <x:v>58</x:v>
      </x:c>
      <x:c r="AB871" s="8" t="s">
        <x:v>58</x:v>
      </x:c>
      <x:c r="AC871" s="8" t="s">
        <x:v>58</x:v>
      </x:c>
      <x:c r="AD871" s="8" t="s">
        <x:v>58</x:v>
      </x:c>
      <x:c r="AE871" s="8" t="s">
        <x:v>58</x:v>
      </x:c>
      <x:c r="AF871" s="8" t="s">
        <x:v>58</x:v>
      </x:c>
      <x:c r="AG871" s="7" t="s">
        <x:v>58</x:v>
      </x:c>
    </x:row>
    <x:row r="872" ht="66" hidden="0" customHeight="1">
      <x:c r="A872" s="7" t="s">
        <x:v>3769</x:v>
      </x:c>
      <x:c r="B872" s="7" t="s">
        <x:v>559</x:v>
      </x:c>
      <x:c r="C872" s="7" t="s">
        <x:v>562</x:v>
      </x:c>
      <x:c r="D872" s="7" t="s">
        <x:v>1950</x:v>
      </x:c>
      <x:c r="E872" s="7" t="s">
        <x:v>1995</x:v>
      </x:c>
      <x:c r="F872" s="7" t="s">
        <x:v>53</x:v>
      </x:c>
      <x:c r="G872" s="8" t="s">
        <x:v>53</x:v>
      </x:c>
      <x:c r="H872" s="8" t="s">
        <x:v>58</x:v>
      </x:c>
      <x:c r="I872" s="8" t="s">
        <x:v>58</x:v>
      </x:c>
      <x:c r="J872" s="7" t="s">
        <x:v>58</x:v>
      </x:c>
      <x:c r="K872" s="8" t="n">
        <x:v>1</x:v>
      </x:c>
      <x:c r="L872" s="8" t="str">
        <x:f aca="0">IF(AND(ISNUMBER(G872),P872&lt;&gt;"Unresolved unit / layout"),G872*K872,"Not published")</x:f>
        <x:v>Not published</x:v>
      </x:c>
      <x:c r="M872" s="8" t="str">
        <x:f aca="0">IF(AND(ISNUMBER(H872),P872&lt;&gt;"Unresolved unit / layout"),H872*K872,"Not applicable")</x:f>
        <x:v>Not applicable</x:v>
      </x:c>
      <x:c r="N872" s="8" t="str">
        <x:f aca="0">IF(AND(ISNUMBER(I872),P872&lt;&gt;"Unresolved unit / layout"),I872*K872,"Not applicable")</x:f>
        <x:v>Not applicable</x:v>
      </x:c>
      <x:c r="O872" s="7" t="s">
        <x:v>53</x:v>
      </x:c>
      <x:c r="P872" s="7" t="s">
        <x:v>53</x:v>
      </x:c>
      <x:c r="Q872" s="7" t="s">
        <x:v>1930</x:v>
      </x:c>
      <x:c r="R872" s="7" t="s">
        <x:v>2003</x:v>
      </x:c>
      <x:c r="S872" s="7" t="s">
        <x:v>3756</x:v>
      </x:c>
      <x:c r="T872" s="7" t="s">
        <x:v>3741</x:v>
      </x:c>
      <x:c r="U872" s="7" t="s">
        <x:v>53</x:v>
      </x:c>
      <x:c r="V872" s="7" t="s">
        <x:v>2020</x:v>
      </x:c>
      <x:c r="W872" s="7" t="s">
        <x:v>58</x:v>
      </x:c>
      <x:c r="X872" s="7" t="s">
        <x:v>3742</x:v>
      </x:c>
      <x:c r="Y872" s="7" t="s">
        <x:v>1264</x:v>
      </x:c>
      <x:c r="Z872" s="7" t="s">
        <x:v>2699</x:v>
      </x:c>
      <x:c r="AA872" s="7" t="s">
        <x:v>58</x:v>
      </x:c>
      <x:c r="AB872" s="8" t="s">
        <x:v>58</x:v>
      </x:c>
      <x:c r="AC872" s="8" t="s">
        <x:v>58</x:v>
      </x:c>
      <x:c r="AD872" s="8" t="s">
        <x:v>58</x:v>
      </x:c>
      <x:c r="AE872" s="8" t="s">
        <x:v>58</x:v>
      </x:c>
      <x:c r="AF872" s="8" t="s">
        <x:v>58</x:v>
      </x:c>
      <x:c r="AG872" s="7" t="s">
        <x:v>58</x:v>
      </x:c>
    </x:row>
    <x:row r="873" ht="66" hidden="0" customHeight="1">
      <x:c r="A873" s="7" t="s">
        <x:v>3770</x:v>
      </x:c>
      <x:c r="B873" s="7" t="s">
        <x:v>559</x:v>
      </x:c>
      <x:c r="C873" s="7" t="s">
        <x:v>562</x:v>
      </x:c>
      <x:c r="D873" s="7" t="s">
        <x:v>1945</x:v>
      </x:c>
      <x:c r="E873" s="7" t="s">
        <x:v>3771</x:v>
      </x:c>
      <x:c r="F873" s="7" t="s">
        <x:v>1929</x:v>
      </x:c>
      <x:c r="G873" s="8" t="n">
        <x:v>97</x:v>
      </x:c>
      <x:c r="H873" s="8" t="n">
        <x:v>1.1</x:v>
      </x:c>
      <x:c r="I873" s="8" t="s">
        <x:v>58</x:v>
      </x:c>
      <x:c r="J873" s="7" t="s">
        <x:v>1919</x:v>
      </x:c>
      <x:c r="K873" s="8" t="n">
        <x:v>1</x:v>
      </x:c>
      <x:c r="L873" s="8" t="n">
        <x:f aca="0">IF(AND(ISNUMBER(G873),P873&lt;&gt;"Unresolved unit / layout"),G873*K873,"Not applicable")</x:f>
        <x:v>97</x:v>
      </x:c>
      <x:c r="M873" s="8" t="n">
        <x:f aca="0">IF(AND(ISNUMBER(H873),P873&lt;&gt;"Unresolved unit / layout"),H873*K873,"Not applicable")</x:f>
        <x:v>1.1</x:v>
      </x:c>
      <x:c r="N873" s="8" t="str">
        <x:f aca="0">IF(AND(ISNUMBER(I873),P873&lt;&gt;"Unresolved unit / layout"),I873*K873,"Not applicable")</x:f>
        <x:v>Not applicable</x:v>
      </x:c>
      <x:c r="O873" s="7" t="s">
        <x:v>1929</x:v>
      </x:c>
      <x:c r="P873" s="7" t="s">
        <x:v>1921</x:v>
      </x:c>
      <x:c r="Q873" s="7" t="s">
        <x:v>1930</x:v>
      </x:c>
      <x:c r="R873" s="7" t="s">
        <x:v>1931</x:v>
      </x:c>
      <x:c r="S873" s="7" t="s">
        <x:v>3756</x:v>
      </x:c>
      <x:c r="T873" s="7" t="s">
        <x:v>3741</x:v>
      </x:c>
      <x:c r="U873" s="7" t="s">
        <x:v>53</x:v>
      </x:c>
      <x:c r="V873" s="7" t="s">
        <x:v>2020</x:v>
      </x:c>
      <x:c r="W873" s="7" t="s">
        <x:v>58</x:v>
      </x:c>
      <x:c r="X873" s="7" t="s">
        <x:v>3742</x:v>
      </x:c>
      <x:c r="Y873" s="7" t="s">
        <x:v>1264</x:v>
      </x:c>
      <x:c r="Z873" s="7" t="s">
        <x:v>2702</x:v>
      </x:c>
      <x:c r="AA873" s="7" t="s">
        <x:v>58</x:v>
      </x:c>
      <x:c r="AB873" s="8" t="s">
        <x:v>58</x:v>
      </x:c>
      <x:c r="AC873" s="8" t="s">
        <x:v>58</x:v>
      </x:c>
      <x:c r="AD873" s="8" t="s">
        <x:v>58</x:v>
      </x:c>
      <x:c r="AE873" s="8" t="s">
        <x:v>58</x:v>
      </x:c>
      <x:c r="AF873" s="8" t="s">
        <x:v>58</x:v>
      </x:c>
      <x:c r="AG873" s="7" t="s">
        <x:v>58</x:v>
      </x:c>
    </x:row>
    <x:row r="874" ht="66" hidden="0" customHeight="1">
      <x:c r="A874" s="7" t="s">
        <x:v>3772</x:v>
      </x:c>
      <x:c r="B874" s="7" t="s">
        <x:v>559</x:v>
      </x:c>
      <x:c r="C874" s="7" t="s">
        <x:v>562</x:v>
      </x:c>
      <x:c r="D874" s="7" t="s">
        <x:v>1945</x:v>
      </x:c>
      <x:c r="E874" s="7" t="s">
        <x:v>1995</x:v>
      </x:c>
      <x:c r="F874" s="7" t="s">
        <x:v>53</x:v>
      </x:c>
      <x:c r="G874" s="8" t="s">
        <x:v>53</x:v>
      </x:c>
      <x:c r="H874" s="8" t="s">
        <x:v>58</x:v>
      </x:c>
      <x:c r="I874" s="8" t="s">
        <x:v>58</x:v>
      </x:c>
      <x:c r="J874" s="7" t="s">
        <x:v>58</x:v>
      </x:c>
      <x:c r="K874" s="8" t="n">
        <x:v>1</x:v>
      </x:c>
      <x:c r="L874" s="8" t="str">
        <x:f aca="0">IF(AND(ISNUMBER(G874),P874&lt;&gt;"Unresolved unit / layout"),G874*K874,"Not published")</x:f>
        <x:v>Not published</x:v>
      </x:c>
      <x:c r="M874" s="8" t="str">
        <x:f aca="0">IF(AND(ISNUMBER(H874),P874&lt;&gt;"Unresolved unit / layout"),H874*K874,"Not applicable")</x:f>
        <x:v>Not applicable</x:v>
      </x:c>
      <x:c r="N874" s="8" t="str">
        <x:f aca="0">IF(AND(ISNUMBER(I874),P874&lt;&gt;"Unresolved unit / layout"),I874*K874,"Not applicable")</x:f>
        <x:v>Not applicable</x:v>
      </x:c>
      <x:c r="O874" s="7" t="s">
        <x:v>53</x:v>
      </x:c>
      <x:c r="P874" s="7" t="s">
        <x:v>53</x:v>
      </x:c>
      <x:c r="Q874" s="7" t="s">
        <x:v>1930</x:v>
      </x:c>
      <x:c r="R874" s="7" t="s">
        <x:v>2003</x:v>
      </x:c>
      <x:c r="S874" s="7" t="s">
        <x:v>3756</x:v>
      </x:c>
      <x:c r="T874" s="7" t="s">
        <x:v>3741</x:v>
      </x:c>
      <x:c r="U874" s="7" t="s">
        <x:v>53</x:v>
      </x:c>
      <x:c r="V874" s="7" t="s">
        <x:v>2020</x:v>
      </x:c>
      <x:c r="W874" s="7" t="s">
        <x:v>58</x:v>
      </x:c>
      <x:c r="X874" s="7" t="s">
        <x:v>3742</x:v>
      </x:c>
      <x:c r="Y874" s="7" t="s">
        <x:v>1264</x:v>
      </x:c>
      <x:c r="Z874" s="7" t="s">
        <x:v>2705</x:v>
      </x:c>
      <x:c r="AA874" s="7" t="s">
        <x:v>58</x:v>
      </x:c>
      <x:c r="AB874" s="8" t="s">
        <x:v>58</x:v>
      </x:c>
      <x:c r="AC874" s="8" t="s">
        <x:v>58</x:v>
      </x:c>
      <x:c r="AD874" s="8" t="s">
        <x:v>58</x:v>
      </x:c>
      <x:c r="AE874" s="8" t="s">
        <x:v>58</x:v>
      </x:c>
      <x:c r="AF874" s="8" t="s">
        <x:v>58</x:v>
      </x:c>
      <x:c r="AG874" s="7" t="s">
        <x:v>58</x:v>
      </x:c>
    </x:row>
    <x:row r="875" ht="66" hidden="0" customHeight="1">
      <x:c r="A875" s="7" t="s">
        <x:v>3773</x:v>
      </x:c>
      <x:c r="B875" s="7" t="s">
        <x:v>559</x:v>
      </x:c>
      <x:c r="C875" s="7" t="s">
        <x:v>562</x:v>
      </x:c>
      <x:c r="D875" s="7" t="s">
        <x:v>2030</x:v>
      </x:c>
      <x:c r="E875" s="7" t="s">
        <x:v>3774</x:v>
      </x:c>
      <x:c r="F875" s="7" t="s">
        <x:v>2032</x:v>
      </x:c>
      <x:c r="G875" s="8" t="n">
        <x:v>9.6</x:v>
      </x:c>
      <x:c r="H875" s="8" t="n">
        <x:v>1.4</x:v>
      </x:c>
      <x:c r="I875" s="8" t="s">
        <x:v>58</x:v>
      </x:c>
      <x:c r="J875" s="7" t="s">
        <x:v>1919</x:v>
      </x:c>
      <x:c r="K875" s="8" t="n">
        <x:v>1</x:v>
      </x:c>
      <x:c r="L875" s="8" t="n">
        <x:f aca="0">IF(AND(ISNUMBER(G875),P875&lt;&gt;"Unresolved unit / layout"),G875*K875,"Not applicable")</x:f>
        <x:v>9.6</x:v>
      </x:c>
      <x:c r="M875" s="8" t="n">
        <x:f aca="0">IF(AND(ISNUMBER(H875),P875&lt;&gt;"Unresolved unit / layout"),H875*K875,"Not applicable")</x:f>
        <x:v>1.4</x:v>
      </x:c>
      <x:c r="N875" s="8" t="str">
        <x:f aca="0">IF(AND(ISNUMBER(I875),P875&lt;&gt;"Unresolved unit / layout"),I875*K875,"Not applicable")</x:f>
        <x:v>Not applicable</x:v>
      </x:c>
      <x:c r="O875" s="7" t="s">
        <x:v>2033</x:v>
      </x:c>
      <x:c r="P875" s="7" t="s">
        <x:v>1921</x:v>
      </x:c>
      <x:c r="Q875" s="7" t="s">
        <x:v>1930</x:v>
      </x:c>
      <x:c r="R875" s="7" t="s">
        <x:v>1931</x:v>
      </x:c>
      <x:c r="S875" s="7" t="s">
        <x:v>3756</x:v>
      </x:c>
      <x:c r="T875" s="7" t="s">
        <x:v>3741</x:v>
      </x:c>
      <x:c r="U875" s="7" t="s">
        <x:v>53</x:v>
      </x:c>
      <x:c r="V875" s="7" t="s">
        <x:v>53</x:v>
      </x:c>
      <x:c r="W875" s="7" t="s">
        <x:v>53</x:v>
      </x:c>
      <x:c r="X875" s="7" t="s">
        <x:v>3742</x:v>
      </x:c>
      <x:c r="Y875" s="7" t="s">
        <x:v>1264</x:v>
      </x:c>
      <x:c r="Z875" s="7" t="s">
        <x:v>2804</x:v>
      </x:c>
      <x:c r="AA875" s="7" t="s">
        <x:v>58</x:v>
      </x:c>
      <x:c r="AB875" s="8" t="s">
        <x:v>58</x:v>
      </x:c>
      <x:c r="AC875" s="8" t="s">
        <x:v>58</x:v>
      </x:c>
      <x:c r="AD875" s="8" t="s">
        <x:v>58</x:v>
      </x:c>
      <x:c r="AE875" s="8" t="s">
        <x:v>58</x:v>
      </x:c>
      <x:c r="AF875" s="8" t="s">
        <x:v>58</x:v>
      </x:c>
      <x:c r="AG875" s="7" t="s">
        <x:v>58</x:v>
      </x:c>
    </x:row>
    <x:row r="876" ht="66" hidden="0" customHeight="1">
      <x:c r="A876" s="7" t="s">
        <x:v>3775</x:v>
      </x:c>
      <x:c r="B876" s="7" t="s">
        <x:v>559</x:v>
      </x:c>
      <x:c r="C876" s="7" t="s">
        <x:v>562</x:v>
      </x:c>
      <x:c r="D876" s="7" t="s">
        <x:v>2030</x:v>
      </x:c>
      <x:c r="E876" s="7" t="s">
        <x:v>1995</x:v>
      </x:c>
      <x:c r="F876" s="7" t="s">
        <x:v>53</x:v>
      </x:c>
      <x:c r="G876" s="8" t="s">
        <x:v>53</x:v>
      </x:c>
      <x:c r="H876" s="8" t="s">
        <x:v>58</x:v>
      </x:c>
      <x:c r="I876" s="8" t="s">
        <x:v>58</x:v>
      </x:c>
      <x:c r="J876" s="7" t="s">
        <x:v>58</x:v>
      </x:c>
      <x:c r="K876" s="8" t="n">
        <x:v>1</x:v>
      </x:c>
      <x:c r="L876" s="8" t="str">
        <x:f aca="0">IF(AND(ISNUMBER(G876),P876&lt;&gt;"Unresolved unit / layout"),G876*K876,"Not published")</x:f>
        <x:v>Not published</x:v>
      </x:c>
      <x:c r="M876" s="8" t="str">
        <x:f aca="0">IF(AND(ISNUMBER(H876),P876&lt;&gt;"Unresolved unit / layout"),H876*K876,"Not applicable")</x:f>
        <x:v>Not applicable</x:v>
      </x:c>
      <x:c r="N876" s="8" t="str">
        <x:f aca="0">IF(AND(ISNUMBER(I876),P876&lt;&gt;"Unresolved unit / layout"),I876*K876,"Not applicable")</x:f>
        <x:v>Not applicable</x:v>
      </x:c>
      <x:c r="O876" s="7" t="s">
        <x:v>53</x:v>
      </x:c>
      <x:c r="P876" s="7" t="s">
        <x:v>53</x:v>
      </x:c>
      <x:c r="Q876" s="7" t="s">
        <x:v>1930</x:v>
      </x:c>
      <x:c r="R876" s="7" t="s">
        <x:v>2003</x:v>
      </x:c>
      <x:c r="S876" s="7" t="s">
        <x:v>3756</x:v>
      </x:c>
      <x:c r="T876" s="7" t="s">
        <x:v>3741</x:v>
      </x:c>
      <x:c r="U876" s="7" t="s">
        <x:v>53</x:v>
      </x:c>
      <x:c r="V876" s="7" t="s">
        <x:v>2806</x:v>
      </x:c>
      <x:c r="W876" s="7" t="s">
        <x:v>53</x:v>
      </x:c>
      <x:c r="X876" s="7" t="s">
        <x:v>3742</x:v>
      </x:c>
      <x:c r="Y876" s="7" t="s">
        <x:v>1264</x:v>
      </x:c>
      <x:c r="Z876" s="7" t="s">
        <x:v>2807</x:v>
      </x:c>
      <x:c r="AA876" s="7" t="s">
        <x:v>58</x:v>
      </x:c>
      <x:c r="AB876" s="8" t="s">
        <x:v>58</x:v>
      </x:c>
      <x:c r="AC876" s="8" t="s">
        <x:v>58</x:v>
      </x:c>
      <x:c r="AD876" s="8" t="s">
        <x:v>58</x:v>
      </x:c>
      <x:c r="AE876" s="8" t="s">
        <x:v>58</x:v>
      </x:c>
      <x:c r="AF876" s="8" t="s">
        <x:v>58</x:v>
      </x:c>
      <x:c r="AG876" s="7" t="s">
        <x:v>58</x:v>
      </x:c>
    </x:row>
    <x:row r="877" ht="66" hidden="0" customHeight="1">
      <x:c r="A877" s="7" t="s">
        <x:v>3776</x:v>
      </x:c>
      <x:c r="B877" s="7" t="s">
        <x:v>559</x:v>
      </x:c>
      <x:c r="C877" s="7" t="s">
        <x:v>562</x:v>
      </x:c>
      <x:c r="D877" s="7" t="s">
        <x:v>1935</x:v>
      </x:c>
      <x:c r="E877" s="7" t="s">
        <x:v>3777</x:v>
      </x:c>
      <x:c r="F877" s="7" t="s">
        <x:v>1929</x:v>
      </x:c>
      <x:c r="G877" s="8" t="n">
        <x:v>1053</x:v>
      </x:c>
      <x:c r="H877" s="8" t="n">
        <x:v>235</x:v>
      </x:c>
      <x:c r="I877" s="8" t="s">
        <x:v>58</x:v>
      </x:c>
      <x:c r="J877" s="7" t="s">
        <x:v>1919</x:v>
      </x:c>
      <x:c r="K877" s="8" t="n">
        <x:v>0.001</x:v>
      </x:c>
      <x:c r="L877" s="8" t="n">
        <x:f aca="0">IF(AND(ISNUMBER(G877),P877&lt;&gt;"Unresolved unit / layout"),G877*K877,"Not applicable")</x:f>
        <x:v>1.053</x:v>
      </x:c>
      <x:c r="M877" s="8" t="n">
        <x:f aca="0">IF(AND(ISNUMBER(H877),P877&lt;&gt;"Unresolved unit / layout"),H877*K877,"Not applicable")</x:f>
        <x:v>0.23500000000000001</x:v>
      </x:c>
      <x:c r="N877" s="8" t="str">
        <x:f aca="0">IF(AND(ISNUMBER(I877),P877&lt;&gt;"Unresolved unit / layout"),I877*K877,"Not applicable")</x:f>
        <x:v>Not applicable</x:v>
      </x:c>
      <x:c r="O877" s="7" t="s">
        <x:v>1937</x:v>
      </x:c>
      <x:c r="P877" s="7" t="s">
        <x:v>1921</x:v>
      </x:c>
      <x:c r="Q877" s="7" t="s">
        <x:v>1930</x:v>
      </x:c>
      <x:c r="R877" s="7" t="s">
        <x:v>1931</x:v>
      </x:c>
      <x:c r="S877" s="7" t="s">
        <x:v>3756</x:v>
      </x:c>
      <x:c r="T877" s="7" t="s">
        <x:v>3741</x:v>
      </x:c>
      <x:c r="U877" s="7" t="s">
        <x:v>53</x:v>
      </x:c>
      <x:c r="V877" s="7" t="s">
        <x:v>1999</x:v>
      </x:c>
      <x:c r="W877" s="7" t="s">
        <x:v>58</x:v>
      </x:c>
      <x:c r="X877" s="7" t="s">
        <x:v>3742</x:v>
      </x:c>
      <x:c r="Y877" s="7" t="s">
        <x:v>1264</x:v>
      </x:c>
      <x:c r="Z877" s="7" t="s">
        <x:v>2784</x:v>
      </x:c>
      <x:c r="AA877" s="7" t="s">
        <x:v>58</x:v>
      </x:c>
      <x:c r="AB877" s="8" t="s">
        <x:v>58</x:v>
      </x:c>
      <x:c r="AC877" s="8" t="s">
        <x:v>58</x:v>
      </x:c>
      <x:c r="AD877" s="8" t="s">
        <x:v>58</x:v>
      </x:c>
      <x:c r="AE877" s="8" t="s">
        <x:v>58</x:v>
      </x:c>
      <x:c r="AF877" s="8" t="s">
        <x:v>58</x:v>
      </x:c>
      <x:c r="AG877" s="7" t="s">
        <x:v>58</x:v>
      </x:c>
    </x:row>
    <x:row r="878" ht="66" hidden="0" customHeight="1">
      <x:c r="A878" s="7" t="s">
        <x:v>3778</x:v>
      </x:c>
      <x:c r="B878" s="7" t="s">
        <x:v>559</x:v>
      </x:c>
      <x:c r="C878" s="7" t="s">
        <x:v>562</x:v>
      </x:c>
      <x:c r="D878" s="7" t="s">
        <x:v>1935</x:v>
      </x:c>
      <x:c r="E878" s="7" t="s">
        <x:v>3779</x:v>
      </x:c>
      <x:c r="F878" s="7" t="s">
        <x:v>1929</x:v>
      </x:c>
      <x:c r="G878" s="8" t="n">
        <x:v>702</x:v>
      </x:c>
      <x:c r="H878" s="8" t="n">
        <x:v>16</x:v>
      </x:c>
      <x:c r="I878" s="8" t="s">
        <x:v>58</x:v>
      </x:c>
      <x:c r="J878" s="7" t="s">
        <x:v>1919</x:v>
      </x:c>
      <x:c r="K878" s="8" t="n">
        <x:v>0.001</x:v>
      </x:c>
      <x:c r="L878" s="8" t="n">
        <x:f aca="0">IF(AND(ISNUMBER(G878),P878&lt;&gt;"Unresolved unit / layout"),G878*K878,"Not applicable")</x:f>
        <x:v>0.7020000000000001</x:v>
      </x:c>
      <x:c r="M878" s="8" t="n">
        <x:f aca="0">IF(AND(ISNUMBER(H878),P878&lt;&gt;"Unresolved unit / layout"),H878*K878,"Not applicable")</x:f>
        <x:v>0.016</x:v>
      </x:c>
      <x:c r="N878" s="8" t="str">
        <x:f aca="0">IF(AND(ISNUMBER(I878),P878&lt;&gt;"Unresolved unit / layout"),I878*K878,"Not applicable")</x:f>
        <x:v>Not applicable</x:v>
      </x:c>
      <x:c r="O878" s="7" t="s">
        <x:v>1937</x:v>
      </x:c>
      <x:c r="P878" s="7" t="s">
        <x:v>1921</x:v>
      </x:c>
      <x:c r="Q878" s="7" t="s">
        <x:v>1930</x:v>
      </x:c>
      <x:c r="R878" s="7" t="s">
        <x:v>2003</x:v>
      </x:c>
      <x:c r="S878" s="7" t="s">
        <x:v>3756</x:v>
      </x:c>
      <x:c r="T878" s="7" t="s">
        <x:v>3741</x:v>
      </x:c>
      <x:c r="U878" s="7" t="s">
        <x:v>53</x:v>
      </x:c>
      <x:c r="V878" s="7" t="s">
        <x:v>1999</x:v>
      </x:c>
      <x:c r="W878" s="7" t="s">
        <x:v>58</x:v>
      </x:c>
      <x:c r="X878" s="7" t="s">
        <x:v>3742</x:v>
      </x:c>
      <x:c r="Y878" s="7" t="s">
        <x:v>1264</x:v>
      </x:c>
      <x:c r="Z878" s="7" t="s">
        <x:v>2787</x:v>
      </x:c>
      <x:c r="AA878" s="7" t="s">
        <x:v>58</x:v>
      </x:c>
      <x:c r="AB878" s="8" t="s">
        <x:v>58</x:v>
      </x:c>
      <x:c r="AC878" s="8" t="s">
        <x:v>58</x:v>
      </x:c>
      <x:c r="AD878" s="8" t="s">
        <x:v>58</x:v>
      </x:c>
      <x:c r="AE878" s="8" t="s">
        <x:v>58</x:v>
      </x:c>
      <x:c r="AF878" s="8" t="s">
        <x:v>58</x:v>
      </x:c>
      <x:c r="AG878" s="7" t="s">
        <x:v>58</x:v>
      </x:c>
    </x:row>
    <x:row r="879" ht="66" hidden="0" customHeight="1">
      <x:c r="A879" s="7" t="s">
        <x:v>3780</x:v>
      </x:c>
      <x:c r="B879" s="7" t="s">
        <x:v>559</x:v>
      </x:c>
      <x:c r="C879" s="7" t="s">
        <x:v>562</x:v>
      </x:c>
      <x:c r="D879" s="7" t="s">
        <x:v>2006</x:v>
      </x:c>
      <x:c r="E879" s="7" t="s">
        <x:v>3781</x:v>
      </x:c>
      <x:c r="F879" s="7" t="s">
        <x:v>1929</x:v>
      </x:c>
      <x:c r="G879" s="8" t="n">
        <x:v>31.4</x:v>
      </x:c>
      <x:c r="H879" s="8" t="n">
        <x:v>1.5</x:v>
      </x:c>
      <x:c r="I879" s="8" t="s">
        <x:v>58</x:v>
      </x:c>
      <x:c r="J879" s="7" t="s">
        <x:v>1919</x:v>
      </x:c>
      <x:c r="K879" s="8" t="n">
        <x:v>1</x:v>
      </x:c>
      <x:c r="L879" s="8" t="n">
        <x:f aca="0">IF(AND(ISNUMBER(G879),P879&lt;&gt;"Unresolved unit / layout"),G879*K879,"Not applicable")</x:f>
        <x:v>31.4</x:v>
      </x:c>
      <x:c r="M879" s="8" t="n">
        <x:f aca="0">IF(AND(ISNUMBER(H879),P879&lt;&gt;"Unresolved unit / layout"),H879*K879,"Not applicable")</x:f>
        <x:v>1.5</x:v>
      </x:c>
      <x:c r="N879" s="8" t="str">
        <x:f aca="0">IF(AND(ISNUMBER(I879),P879&lt;&gt;"Unresolved unit / layout"),I879*K879,"Not applicable")</x:f>
        <x:v>Not applicable</x:v>
      </x:c>
      <x:c r="O879" s="7" t="s">
        <x:v>1929</x:v>
      </x:c>
      <x:c r="P879" s="7" t="s">
        <x:v>1921</x:v>
      </x:c>
      <x:c r="Q879" s="7" t="s">
        <x:v>1930</x:v>
      </x:c>
      <x:c r="R879" s="7" t="s">
        <x:v>1931</x:v>
      </x:c>
      <x:c r="S879" s="7" t="s">
        <x:v>3756</x:v>
      </x:c>
      <x:c r="T879" s="7" t="s">
        <x:v>3741</x:v>
      </x:c>
      <x:c r="U879" s="7" t="s">
        <x:v>53</x:v>
      </x:c>
      <x:c r="V879" s="7" t="s">
        <x:v>1999</x:v>
      </x:c>
      <x:c r="W879" s="7" t="s">
        <x:v>58</x:v>
      </x:c>
      <x:c r="X879" s="7" t="s">
        <x:v>3742</x:v>
      </x:c>
      <x:c r="Y879" s="7" t="s">
        <x:v>1264</x:v>
      </x:c>
      <x:c r="Z879" s="7" t="s">
        <x:v>2684</x:v>
      </x:c>
      <x:c r="AA879" s="7" t="s">
        <x:v>58</x:v>
      </x:c>
      <x:c r="AB879" s="8" t="s">
        <x:v>58</x:v>
      </x:c>
      <x:c r="AC879" s="8" t="s">
        <x:v>58</x:v>
      </x:c>
      <x:c r="AD879" s="8" t="s">
        <x:v>58</x:v>
      </x:c>
      <x:c r="AE879" s="8" t="s">
        <x:v>58</x:v>
      </x:c>
      <x:c r="AF879" s="8" t="s">
        <x:v>58</x:v>
      </x:c>
      <x:c r="AG879" s="7" t="s">
        <x:v>58</x:v>
      </x:c>
    </x:row>
    <x:row r="880" ht="66" hidden="0" customHeight="1">
      <x:c r="A880" s="7" t="s">
        <x:v>3782</x:v>
      </x:c>
      <x:c r="B880" s="7" t="s">
        <x:v>559</x:v>
      </x:c>
      <x:c r="C880" s="7" t="s">
        <x:v>562</x:v>
      </x:c>
      <x:c r="D880" s="7" t="s">
        <x:v>2006</x:v>
      </x:c>
      <x:c r="E880" s="7" t="s">
        <x:v>3781</x:v>
      </x:c>
      <x:c r="F880" s="7" t="s">
        <x:v>1929</x:v>
      </x:c>
      <x:c r="G880" s="8" t="n">
        <x:v>31.4</x:v>
      </x:c>
      <x:c r="H880" s="8" t="n">
        <x:v>1.5</x:v>
      </x:c>
      <x:c r="I880" s="8" t="s">
        <x:v>58</x:v>
      </x:c>
      <x:c r="J880" s="7" t="s">
        <x:v>1919</x:v>
      </x:c>
      <x:c r="K880" s="8" t="n">
        <x:v>1</x:v>
      </x:c>
      <x:c r="L880" s="8" t="n">
        <x:f aca="0">IF(AND(ISNUMBER(G880),P880&lt;&gt;"Unresolved unit / layout"),G880*K880,"Not applicable")</x:f>
        <x:v>31.4</x:v>
      </x:c>
      <x:c r="M880" s="8" t="n">
        <x:f aca="0">IF(AND(ISNUMBER(H880),P880&lt;&gt;"Unresolved unit / layout"),H880*K880,"Not applicable")</x:f>
        <x:v>1.5</x:v>
      </x:c>
      <x:c r="N880" s="8" t="str">
        <x:f aca="0">IF(AND(ISNUMBER(I880),P880&lt;&gt;"Unresolved unit / layout"),I880*K880,"Not applicable")</x:f>
        <x:v>Not applicable</x:v>
      </x:c>
      <x:c r="O880" s="7" t="s">
        <x:v>1929</x:v>
      </x:c>
      <x:c r="P880" s="7" t="s">
        <x:v>1921</x:v>
      </x:c>
      <x:c r="Q880" s="7" t="s">
        <x:v>1930</x:v>
      </x:c>
      <x:c r="R880" s="7" t="s">
        <x:v>2003</x:v>
      </x:c>
      <x:c r="S880" s="7" t="s">
        <x:v>3756</x:v>
      </x:c>
      <x:c r="T880" s="7" t="s">
        <x:v>3741</x:v>
      </x:c>
      <x:c r="U880" s="7" t="s">
        <x:v>53</x:v>
      </x:c>
      <x:c r="V880" s="7" t="s">
        <x:v>1999</x:v>
      </x:c>
      <x:c r="W880" s="7" t="s">
        <x:v>58</x:v>
      </x:c>
      <x:c r="X880" s="7" t="s">
        <x:v>3742</x:v>
      </x:c>
      <x:c r="Y880" s="7" t="s">
        <x:v>1264</x:v>
      </x:c>
      <x:c r="Z880" s="7" t="s">
        <x:v>2687</x:v>
      </x:c>
      <x:c r="AA880" s="7" t="s">
        <x:v>58</x:v>
      </x:c>
      <x:c r="AB880" s="8" t="s">
        <x:v>58</x:v>
      </x:c>
      <x:c r="AC880" s="8" t="s">
        <x:v>58</x:v>
      </x:c>
      <x:c r="AD880" s="8" t="s">
        <x:v>58</x:v>
      </x:c>
      <x:c r="AE880" s="8" t="s">
        <x:v>58</x:v>
      </x:c>
      <x:c r="AF880" s="8" t="s">
        <x:v>58</x:v>
      </x:c>
      <x:c r="AG880" s="7" t="s">
        <x:v>58</x:v>
      </x:c>
    </x:row>
    <x:row r="881" ht="66" hidden="0" customHeight="1">
      <x:c r="A881" s="7" t="s">
        <x:v>3783</x:v>
      </x:c>
      <x:c r="B881" s="7" t="s">
        <x:v>559</x:v>
      </x:c>
      <x:c r="C881" s="7" t="s">
        <x:v>562</x:v>
      </x:c>
      <x:c r="D881" s="7" t="s">
        <x:v>1940</x:v>
      </x:c>
      <x:c r="E881" s="7" t="s">
        <x:v>3784</x:v>
      </x:c>
      <x:c r="F881" s="7" t="s">
        <x:v>1942</x:v>
      </x:c>
      <x:c r="G881" s="8" t="n">
        <x:v>216.5</x:v>
      </x:c>
      <x:c r="H881" s="8" t="n">
        <x:v>12.1</x:v>
      </x:c>
      <x:c r="I881" s="8" t="s">
        <x:v>58</x:v>
      </x:c>
      <x:c r="J881" s="7" t="s">
        <x:v>1919</x:v>
      </x:c>
      <x:c r="K881" s="8" t="n">
        <x:v>1</x:v>
      </x:c>
      <x:c r="L881" s="8" t="n">
        <x:f aca="0">IF(AND(ISNUMBER(G881),P881&lt;&gt;"Unresolved unit / layout"),G881*K881,"Not applicable")</x:f>
        <x:v>216.5</x:v>
      </x:c>
      <x:c r="M881" s="8" t="n">
        <x:f aca="0">IF(AND(ISNUMBER(H881),P881&lt;&gt;"Unresolved unit / layout"),H881*K881,"Not applicable")</x:f>
        <x:v>12.1</x:v>
      </x:c>
      <x:c r="N881" s="8" t="str">
        <x:f aca="0">IF(AND(ISNUMBER(I881),P881&lt;&gt;"Unresolved unit / layout"),I881*K881,"Not applicable")</x:f>
        <x:v>Not applicable</x:v>
      </x:c>
      <x:c r="O881" s="7" t="s">
        <x:v>1942</x:v>
      </x:c>
      <x:c r="P881" s="7" t="s">
        <x:v>1921</x:v>
      </x:c>
      <x:c r="Q881" s="7" t="s">
        <x:v>1930</x:v>
      </x:c>
      <x:c r="R881" s="7" t="s">
        <x:v>1931</x:v>
      </x:c>
      <x:c r="S881" s="7" t="s">
        <x:v>3756</x:v>
      </x:c>
      <x:c r="T881" s="7" t="s">
        <x:v>3741</x:v>
      </x:c>
      <x:c r="U881" s="7" t="s">
        <x:v>53</x:v>
      </x:c>
      <x:c r="V881" s="7" t="s">
        <x:v>1999</x:v>
      </x:c>
      <x:c r="W881" s="7" t="s">
        <x:v>58</x:v>
      </x:c>
      <x:c r="X881" s="7" t="s">
        <x:v>3742</x:v>
      </x:c>
      <x:c r="Y881" s="7" t="s">
        <x:v>1264</x:v>
      </x:c>
      <x:c r="Z881" s="7" t="s">
        <x:v>2690</x:v>
      </x:c>
      <x:c r="AA881" s="7" t="s">
        <x:v>58</x:v>
      </x:c>
      <x:c r="AB881" s="8" t="s">
        <x:v>58</x:v>
      </x:c>
      <x:c r="AC881" s="8" t="s">
        <x:v>58</x:v>
      </x:c>
      <x:c r="AD881" s="8" t="s">
        <x:v>58</x:v>
      </x:c>
      <x:c r="AE881" s="8" t="s">
        <x:v>58</x:v>
      </x:c>
      <x:c r="AF881" s="8" t="s">
        <x:v>58</x:v>
      </x:c>
      <x:c r="AG881" s="7" t="s">
        <x:v>58</x:v>
      </x:c>
    </x:row>
    <x:row r="882" ht="66" hidden="0" customHeight="1">
      <x:c r="A882" s="7" t="s">
        <x:v>3785</x:v>
      </x:c>
      <x:c r="B882" s="7" t="s">
        <x:v>559</x:v>
      </x:c>
      <x:c r="C882" s="7" t="s">
        <x:v>562</x:v>
      </x:c>
      <x:c r="D882" s="7" t="s">
        <x:v>1940</x:v>
      </x:c>
      <x:c r="E882" s="7" t="s">
        <x:v>3786</x:v>
      </x:c>
      <x:c r="F882" s="7" t="s">
        <x:v>1942</x:v>
      </x:c>
      <x:c r="G882" s="8" t="n">
        <x:v>4.6</x:v>
      </x:c>
      <x:c r="H882" s="8" t="n">
        <x:v>0.2</x:v>
      </x:c>
      <x:c r="I882" s="8" t="s">
        <x:v>58</x:v>
      </x:c>
      <x:c r="J882" s="7" t="s">
        <x:v>1919</x:v>
      </x:c>
      <x:c r="K882" s="8" t="n">
        <x:v>1</x:v>
      </x:c>
      <x:c r="L882" s="8" t="n">
        <x:f aca="0">IF(AND(ISNUMBER(G882),P882&lt;&gt;"Unresolved unit / layout"),G882*K882,"Not applicable")</x:f>
        <x:v>4.6</x:v>
      </x:c>
      <x:c r="M882" s="8" t="n">
        <x:f aca="0">IF(AND(ISNUMBER(H882),P882&lt;&gt;"Unresolved unit / layout"),H882*K882,"Not applicable")</x:f>
        <x:v>0.2</x:v>
      </x:c>
      <x:c r="N882" s="8" t="str">
        <x:f aca="0">IF(AND(ISNUMBER(I882),P882&lt;&gt;"Unresolved unit / layout"),I882*K882,"Not applicable")</x:f>
        <x:v>Not applicable</x:v>
      </x:c>
      <x:c r="O882" s="7" t="s">
        <x:v>1942</x:v>
      </x:c>
      <x:c r="P882" s="7" t="s">
        <x:v>1921</x:v>
      </x:c>
      <x:c r="Q882" s="7" t="s">
        <x:v>1930</x:v>
      </x:c>
      <x:c r="R882" s="7" t="s">
        <x:v>2003</x:v>
      </x:c>
      <x:c r="S882" s="7" t="s">
        <x:v>3756</x:v>
      </x:c>
      <x:c r="T882" s="7" t="s">
        <x:v>3741</x:v>
      </x:c>
      <x:c r="U882" s="7" t="s">
        <x:v>53</x:v>
      </x:c>
      <x:c r="V882" s="7" t="s">
        <x:v>1999</x:v>
      </x:c>
      <x:c r="W882" s="7" t="s">
        <x:v>58</x:v>
      </x:c>
      <x:c r="X882" s="7" t="s">
        <x:v>3742</x:v>
      </x:c>
      <x:c r="Y882" s="7" t="s">
        <x:v>1264</x:v>
      </x:c>
      <x:c r="Z882" s="7" t="s">
        <x:v>2693</x:v>
      </x:c>
      <x:c r="AA882" s="7" t="s">
        <x:v>58</x:v>
      </x:c>
      <x:c r="AB882" s="8" t="s">
        <x:v>58</x:v>
      </x:c>
      <x:c r="AC882" s="8" t="s">
        <x:v>58</x:v>
      </x:c>
      <x:c r="AD882" s="8" t="s">
        <x:v>58</x:v>
      </x:c>
      <x:c r="AE882" s="8" t="s">
        <x:v>58</x:v>
      </x:c>
      <x:c r="AF882" s="8" t="s">
        <x:v>58</x:v>
      </x:c>
      <x:c r="AG882" s="7" t="s">
        <x:v>58</x:v>
      </x:c>
    </x:row>
    <x:row r="883" ht="66" hidden="0" customHeight="1">
      <x:c r="A883" s="7" t="s">
        <x:v>3787</x:v>
      </x:c>
      <x:c r="B883" s="7" t="s">
        <x:v>559</x:v>
      </x:c>
      <x:c r="C883" s="7" t="s">
        <x:v>562</x:v>
      </x:c>
      <x:c r="D883" s="7" t="s">
        <x:v>1950</x:v>
      </x:c>
      <x:c r="E883" s="7" t="s">
        <x:v>3788</x:v>
      </x:c>
      <x:c r="F883" s="7" t="s">
        <x:v>1929</x:v>
      </x:c>
      <x:c r="G883" s="8" t="n">
        <x:v>862.8</x:v>
      </x:c>
      <x:c r="H883" s="8" t="n">
        <x:v>133.3</x:v>
      </x:c>
      <x:c r="I883" s="8" t="s">
        <x:v>58</x:v>
      </x:c>
      <x:c r="J883" s="7" t="s">
        <x:v>1919</x:v>
      </x:c>
      <x:c r="K883" s="8" t="n">
        <x:v>0.001</x:v>
      </x:c>
      <x:c r="L883" s="8" t="n">
        <x:f aca="0">IF(AND(ISNUMBER(G883),P883&lt;&gt;"Unresolved unit / layout"),G883*K883,"Not applicable")</x:f>
        <x:v>0.8628</x:v>
      </x:c>
      <x:c r="M883" s="8" t="n">
        <x:f aca="0">IF(AND(ISNUMBER(H883),P883&lt;&gt;"Unresolved unit / layout"),H883*K883,"Not applicable")</x:f>
        <x:v>0.1333</x:v>
      </x:c>
      <x:c r="N883" s="8" t="str">
        <x:f aca="0">IF(AND(ISNUMBER(I883),P883&lt;&gt;"Unresolved unit / layout"),I883*K883,"Not applicable")</x:f>
        <x:v>Not applicable</x:v>
      </x:c>
      <x:c r="O883" s="7" t="s">
        <x:v>1937</x:v>
      </x:c>
      <x:c r="P883" s="7" t="s">
        <x:v>1921</x:v>
      </x:c>
      <x:c r="Q883" s="7" t="s">
        <x:v>1930</x:v>
      </x:c>
      <x:c r="R883" s="7" t="s">
        <x:v>1931</x:v>
      </x:c>
      <x:c r="S883" s="7" t="s">
        <x:v>3756</x:v>
      </x:c>
      <x:c r="T883" s="7" t="s">
        <x:v>3741</x:v>
      </x:c>
      <x:c r="U883" s="7" t="s">
        <x:v>53</x:v>
      </x:c>
      <x:c r="V883" s="7" t="s">
        <x:v>2020</x:v>
      </x:c>
      <x:c r="W883" s="7" t="s">
        <x:v>58</x:v>
      </x:c>
      <x:c r="X883" s="7" t="s">
        <x:v>3742</x:v>
      </x:c>
      <x:c r="Y883" s="7" t="s">
        <x:v>1264</x:v>
      </x:c>
      <x:c r="Z883" s="7" t="s">
        <x:v>2696</x:v>
      </x:c>
      <x:c r="AA883" s="7" t="s">
        <x:v>58</x:v>
      </x:c>
      <x:c r="AB883" s="8" t="s">
        <x:v>58</x:v>
      </x:c>
      <x:c r="AC883" s="8" t="s">
        <x:v>58</x:v>
      </x:c>
      <x:c r="AD883" s="8" t="s">
        <x:v>58</x:v>
      </x:c>
      <x:c r="AE883" s="8" t="s">
        <x:v>58</x:v>
      </x:c>
      <x:c r="AF883" s="8" t="s">
        <x:v>58</x:v>
      </x:c>
      <x:c r="AG883" s="7" t="s">
        <x:v>58</x:v>
      </x:c>
    </x:row>
    <x:row r="884" ht="66" hidden="0" customHeight="1">
      <x:c r="A884" s="7" t="s">
        <x:v>3789</x:v>
      </x:c>
      <x:c r="B884" s="7" t="s">
        <x:v>559</x:v>
      </x:c>
      <x:c r="C884" s="7" t="s">
        <x:v>562</x:v>
      </x:c>
      <x:c r="D884" s="7" t="s">
        <x:v>1945</x:v>
      </x:c>
      <x:c r="E884" s="7" t="s">
        <x:v>3790</x:v>
      </x:c>
      <x:c r="F884" s="7" t="s">
        <x:v>1929</x:v>
      </x:c>
      <x:c r="G884" s="8" t="n">
        <x:v>41.6</x:v>
      </x:c>
      <x:c r="H884" s="8" t="n">
        <x:v>11.6</x:v>
      </x:c>
      <x:c r="I884" s="8" t="s">
        <x:v>58</x:v>
      </x:c>
      <x:c r="J884" s="7" t="s">
        <x:v>1919</x:v>
      </x:c>
      <x:c r="K884" s="8" t="n">
        <x:v>1</x:v>
      </x:c>
      <x:c r="L884" s="8" t="n">
        <x:f aca="0">IF(AND(ISNUMBER(G884),P884&lt;&gt;"Unresolved unit / layout"),G884*K884,"Not applicable")</x:f>
        <x:v>41.6</x:v>
      </x:c>
      <x:c r="M884" s="8" t="n">
        <x:f aca="0">IF(AND(ISNUMBER(H884),P884&lt;&gt;"Unresolved unit / layout"),H884*K884,"Not applicable")</x:f>
        <x:v>11.6</x:v>
      </x:c>
      <x:c r="N884" s="8" t="str">
        <x:f aca="0">IF(AND(ISNUMBER(I884),P884&lt;&gt;"Unresolved unit / layout"),I884*K884,"Not applicable")</x:f>
        <x:v>Not applicable</x:v>
      </x:c>
      <x:c r="O884" s="7" t="s">
        <x:v>1929</x:v>
      </x:c>
      <x:c r="P884" s="7" t="s">
        <x:v>1921</x:v>
      </x:c>
      <x:c r="Q884" s="7" t="s">
        <x:v>1930</x:v>
      </x:c>
      <x:c r="R884" s="7" t="s">
        <x:v>1931</x:v>
      </x:c>
      <x:c r="S884" s="7" t="s">
        <x:v>3756</x:v>
      </x:c>
      <x:c r="T884" s="7" t="s">
        <x:v>3741</x:v>
      </x:c>
      <x:c r="U884" s="7" t="s">
        <x:v>53</x:v>
      </x:c>
      <x:c r="V884" s="7" t="s">
        <x:v>2020</x:v>
      </x:c>
      <x:c r="W884" s="7" t="s">
        <x:v>58</x:v>
      </x:c>
      <x:c r="X884" s="7" t="s">
        <x:v>3742</x:v>
      </x:c>
      <x:c r="Y884" s="7" t="s">
        <x:v>1264</x:v>
      </x:c>
      <x:c r="Z884" s="7" t="s">
        <x:v>2702</x:v>
      </x:c>
      <x:c r="AA884" s="7" t="s">
        <x:v>58</x:v>
      </x:c>
      <x:c r="AB884" s="8" t="s">
        <x:v>58</x:v>
      </x:c>
      <x:c r="AC884" s="8" t="s">
        <x:v>58</x:v>
      </x:c>
      <x:c r="AD884" s="8" t="s">
        <x:v>58</x:v>
      </x:c>
      <x:c r="AE884" s="8" t="s">
        <x:v>58</x:v>
      </x:c>
      <x:c r="AF884" s="8" t="s">
        <x:v>58</x:v>
      </x:c>
      <x:c r="AG884" s="7" t="s">
        <x:v>58</x:v>
      </x:c>
    </x:row>
    <x:row r="885" ht="66" hidden="0" customHeight="1">
      <x:c r="A885" s="7" t="s">
        <x:v>3791</x:v>
      </x:c>
      <x:c r="B885" s="7" t="s">
        <x:v>559</x:v>
      </x:c>
      <x:c r="C885" s="7" t="s">
        <x:v>562</x:v>
      </x:c>
      <x:c r="D885" s="7" t="s">
        <x:v>2030</x:v>
      </x:c>
      <x:c r="E885" s="7" t="s">
        <x:v>3792</x:v>
      </x:c>
      <x:c r="F885" s="7" t="s">
        <x:v>2032</x:v>
      </x:c>
      <x:c r="G885" s="8" t="n">
        <x:v>17.2</x:v>
      </x:c>
      <x:c r="H885" s="8" t="n">
        <x:v>1.4</x:v>
      </x:c>
      <x:c r="I885" s="8" t="s">
        <x:v>58</x:v>
      </x:c>
      <x:c r="J885" s="7" t="s">
        <x:v>1919</x:v>
      </x:c>
      <x:c r="K885" s="8" t="n">
        <x:v>1</x:v>
      </x:c>
      <x:c r="L885" s="8" t="n">
        <x:f aca="0">IF(AND(ISNUMBER(G885),P885&lt;&gt;"Unresolved unit / layout"),G885*K885,"Not applicable")</x:f>
        <x:v>17.2</x:v>
      </x:c>
      <x:c r="M885" s="8" t="n">
        <x:f aca="0">IF(AND(ISNUMBER(H885),P885&lt;&gt;"Unresolved unit / layout"),H885*K885,"Not applicable")</x:f>
        <x:v>1.4</x:v>
      </x:c>
      <x:c r="N885" s="8" t="str">
        <x:f aca="0">IF(AND(ISNUMBER(I885),P885&lt;&gt;"Unresolved unit / layout"),I885*K885,"Not applicable")</x:f>
        <x:v>Not applicable</x:v>
      </x:c>
      <x:c r="O885" s="7" t="s">
        <x:v>2033</x:v>
      </x:c>
      <x:c r="P885" s="7" t="s">
        <x:v>1921</x:v>
      </x:c>
      <x:c r="Q885" s="7" t="s">
        <x:v>1930</x:v>
      </x:c>
      <x:c r="R885" s="7" t="s">
        <x:v>53</x:v>
      </x:c>
      <x:c r="S885" s="7" t="s">
        <x:v>3756</x:v>
      </x:c>
      <x:c r="T885" s="7" t="s">
        <x:v>3741</x:v>
      </x:c>
      <x:c r="U885" s="7" t="s">
        <x:v>53</x:v>
      </x:c>
      <x:c r="V885" s="7" t="s">
        <x:v>2806</x:v>
      </x:c>
      <x:c r="W885" s="7" t="s">
        <x:v>53</x:v>
      </x:c>
      <x:c r="X885" s="7" t="s">
        <x:v>3742</x:v>
      </x:c>
      <x:c r="Y885" s="7" t="s">
        <x:v>1264</x:v>
      </x:c>
      <x:c r="Z885" s="7" t="s">
        <x:v>3793</x:v>
      </x:c>
      <x:c r="AA885" s="7" t="s">
        <x:v>58</x:v>
      </x:c>
      <x:c r="AB885" s="8" t="s">
        <x:v>58</x:v>
      </x:c>
      <x:c r="AC885" s="8" t="s">
        <x:v>58</x:v>
      </x:c>
      <x:c r="AD885" s="8" t="s">
        <x:v>58</x:v>
      </x:c>
      <x:c r="AE885" s="8" t="s">
        <x:v>58</x:v>
      </x:c>
      <x:c r="AF885" s="8" t="s">
        <x:v>58</x:v>
      </x:c>
      <x:c r="AG885" s="7" t="s">
        <x:v>58</x:v>
      </x:c>
    </x:row>
    <x:row r="886" ht="51.75" hidden="0" customHeight="1">
      <x:c r="A886" s="7" t="s">
        <x:v>3794</x:v>
      </x:c>
      <x:c r="B886" s="7" t="s">
        <x:v>559</x:v>
      </x:c>
      <x:c r="C886" s="7" t="s">
        <x:v>1265</x:v>
      </x:c>
      <x:c r="D886" s="7" t="s">
        <x:v>1916</x:v>
      </x:c>
      <x:c r="E886" s="7" t="s">
        <x:v>3795</x:v>
      </x:c>
      <x:c r="F886" s="7" t="s">
        <x:v>1918</x:v>
      </x:c>
      <x:c r="G886" s="8" t="n">
        <x:v>1.12</x:v>
      </x:c>
      <x:c r="H886" s="8" t="s">
        <x:v>58</x:v>
      </x:c>
      <x:c r="I886" s="8" t="s">
        <x:v>58</x:v>
      </x:c>
      <x:c r="J886" s="7" t="s">
        <x:v>1919</x:v>
      </x:c>
      <x:c r="K886" s="8" t="n">
        <x:v>1000</x:v>
      </x:c>
      <x:c r="L886" s="8" t="n">
        <x:f aca="0">IF(AND(ISNUMBER(G886),P886&lt;&gt;"Unresolved unit / layout"),G886*K886,"Not applicable")</x:f>
        <x:v>1120</x:v>
      </x:c>
      <x:c r="M886" s="8" t="str">
        <x:f aca="0">IF(AND(ISNUMBER(H886),P886&lt;&gt;"Unresolved unit / layout"),H886*K886,"Not applicable")</x:f>
        <x:v>Not applicable</x:v>
      </x:c>
      <x:c r="N886" s="8" t="str">
        <x:f aca="0">IF(AND(ISNUMBER(I886),P886&lt;&gt;"Unresolved unit / layout"),I886*K886,"Not applicable")</x:f>
        <x:v>Not applicable</x:v>
      </x:c>
      <x:c r="O886" s="7" t="s">
        <x:v>1920</x:v>
      </x:c>
      <x:c r="P886" s="7" t="s">
        <x:v>1921</x:v>
      </x:c>
      <x:c r="Q886" s="7" t="s">
        <x:v>1922</x:v>
      </x:c>
      <x:c r="R886" s="7" t="s">
        <x:v>58</x:v>
      </x:c>
      <x:c r="S886" s="7" t="s">
        <x:v>53</x:v>
      </x:c>
      <x:c r="T886" s="7" t="s">
        <x:v>53</x:v>
      </x:c>
      <x:c r="U886" s="7" t="s">
        <x:v>53</x:v>
      </x:c>
      <x:c r="V886" s="7" t="s">
        <x:v>1923</x:v>
      </x:c>
      <x:c r="W886" s="7" t="s">
        <x:v>58</x:v>
      </x:c>
      <x:c r="X886" s="7" t="s">
        <x:v>3796</x:v>
      </x:c>
      <x:c r="Y886" s="7" t="s">
        <x:v>1267</x:v>
      </x:c>
      <x:c r="Z886" s="7" t="s">
        <x:v>1925</x:v>
      </x:c>
      <x:c r="AA886" s="7" t="s">
        <x:v>58</x:v>
      </x:c>
      <x:c r="AB886" s="8" t="s">
        <x:v>58</x:v>
      </x:c>
      <x:c r="AC886" s="8" t="s">
        <x:v>58</x:v>
      </x:c>
      <x:c r="AD886" s="8" t="s">
        <x:v>58</x:v>
      </x:c>
      <x:c r="AE886" s="8" t="s">
        <x:v>58</x:v>
      </x:c>
      <x:c r="AF886" s="8" t="s">
        <x:v>58</x:v>
      </x:c>
      <x:c r="AG886" s="7" t="s">
        <x:v>58</x:v>
      </x:c>
    </x:row>
    <x:row r="887" ht="51.75" hidden="0" customHeight="1">
      <x:c r="A887" s="7" t="s">
        <x:v>3797</x:v>
      </x:c>
      <x:c r="B887" s="7" t="s">
        <x:v>559</x:v>
      </x:c>
      <x:c r="C887" s="7" t="s">
        <x:v>1265</x:v>
      </x:c>
      <x:c r="D887" s="7" t="s">
        <x:v>1927</x:v>
      </x:c>
      <x:c r="E887" s="7" t="s">
        <x:v>1955</x:v>
      </x:c>
      <x:c r="F887" s="7" t="s">
        <x:v>1929</x:v>
      </x:c>
      <x:c r="G887" s="8" t="n">
        <x:v>55</x:v>
      </x:c>
      <x:c r="H887" s="8" t="s">
        <x:v>58</x:v>
      </x:c>
      <x:c r="I887" s="8" t="s">
        <x:v>58</x:v>
      </x:c>
      <x:c r="J887" s="7" t="s">
        <x:v>1919</x:v>
      </x:c>
      <x:c r="K887" s="8" t="n">
        <x:v>1</x:v>
      </x:c>
      <x:c r="L887" s="8" t="n">
        <x:f aca="0">IF(AND(ISNUMBER(G887),P887&lt;&gt;"Unresolved unit / layout"),G887*K887,"Not applicable")</x:f>
        <x:v>55</x:v>
      </x:c>
      <x:c r="M887" s="8" t="str">
        <x:f aca="0">IF(AND(ISNUMBER(H887),P887&lt;&gt;"Unresolved unit / layout"),H887*K887,"Not applicable")</x:f>
        <x:v>Not applicable</x:v>
      </x:c>
      <x:c r="N887" s="8" t="str">
        <x:f aca="0">IF(AND(ISNUMBER(I887),P887&lt;&gt;"Unresolved unit / layout"),I887*K887,"Not applicable")</x:f>
        <x:v>Not applicable</x:v>
      </x:c>
      <x:c r="O887" s="7" t="s">
        <x:v>1929</x:v>
      </x:c>
      <x:c r="P887" s="7" t="s">
        <x:v>1921</x:v>
      </x:c>
      <x:c r="Q887" s="7" t="s">
        <x:v>1930</x:v>
      </x:c>
      <x:c r="R887" s="7" t="s">
        <x:v>1931</x:v>
      </x:c>
      <x:c r="S887" s="7" t="s">
        <x:v>53</x:v>
      </x:c>
      <x:c r="T887" s="7" t="s">
        <x:v>53</x:v>
      </x:c>
      <x:c r="U887" s="7" t="s">
        <x:v>53</x:v>
      </x:c>
      <x:c r="V887" s="7" t="s">
        <x:v>1932</x:v>
      </x:c>
      <x:c r="W887" s="7" t="s">
        <x:v>58</x:v>
      </x:c>
      <x:c r="X887" s="7" t="s">
        <x:v>3796</x:v>
      </x:c>
      <x:c r="Y887" s="7" t="s">
        <x:v>1267</x:v>
      </x:c>
      <x:c r="Z887" s="7" t="s">
        <x:v>1933</x:v>
      </x:c>
      <x:c r="AA887" s="7" t="s">
        <x:v>58</x:v>
      </x:c>
      <x:c r="AB887" s="8" t="s">
        <x:v>58</x:v>
      </x:c>
      <x:c r="AC887" s="8" t="s">
        <x:v>58</x:v>
      </x:c>
      <x:c r="AD887" s="8" t="s">
        <x:v>58</x:v>
      </x:c>
      <x:c r="AE887" s="8" t="s">
        <x:v>58</x:v>
      </x:c>
      <x:c r="AF887" s="8" t="s">
        <x:v>58</x:v>
      </x:c>
      <x:c r="AG887" s="7" t="s">
        <x:v>58</x:v>
      </x:c>
    </x:row>
    <x:row r="888" ht="51.75" hidden="0" customHeight="1">
      <x:c r="A888" s="7" t="s">
        <x:v>3798</x:v>
      </x:c>
      <x:c r="B888" s="7" t="s">
        <x:v>559</x:v>
      </x:c>
      <x:c r="C888" s="7" t="s">
        <x:v>1265</x:v>
      </x:c>
      <x:c r="D888" s="7" t="s">
        <x:v>1935</x:v>
      </x:c>
      <x:c r="E888" s="7" t="s">
        <x:v>3799</x:v>
      </x:c>
      <x:c r="F888" s="7" t="s">
        <x:v>1929</x:v>
      </x:c>
      <x:c r="G888" s="8" t="n">
        <x:v>1980</x:v>
      </x:c>
      <x:c r="H888" s="8" t="s">
        <x:v>58</x:v>
      </x:c>
      <x:c r="I888" s="8" t="s">
        <x:v>58</x:v>
      </x:c>
      <x:c r="J888" s="7" t="s">
        <x:v>1919</x:v>
      </x:c>
      <x:c r="K888" s="8" t="n">
        <x:v>0.001</x:v>
      </x:c>
      <x:c r="L888" s="8" t="n">
        <x:f aca="0">IF(AND(ISNUMBER(G888),P888&lt;&gt;"Unresolved unit / layout"),G888*K888,"Not applicable")</x:f>
        <x:v>1.98</x:v>
      </x:c>
      <x:c r="M888" s="8" t="str">
        <x:f aca="0">IF(AND(ISNUMBER(H888),P888&lt;&gt;"Unresolved unit / layout"),H888*K888,"Not applicable")</x:f>
        <x:v>Not applicable</x:v>
      </x:c>
      <x:c r="N888" s="8" t="str">
        <x:f aca="0">IF(AND(ISNUMBER(I888),P888&lt;&gt;"Unresolved unit / layout"),I888*K888,"Not applicable")</x:f>
        <x:v>Not applicable</x:v>
      </x:c>
      <x:c r="O888" s="7" t="s">
        <x:v>1937</x:v>
      </x:c>
      <x:c r="P888" s="7" t="s">
        <x:v>1921</x:v>
      </x:c>
      <x:c r="Q888" s="7" t="s">
        <x:v>1930</x:v>
      </x:c>
      <x:c r="R888" s="7" t="s">
        <x:v>1931</x:v>
      </x:c>
      <x:c r="S888" s="7" t="s">
        <x:v>53</x:v>
      </x:c>
      <x:c r="T888" s="7" t="s">
        <x:v>53</x:v>
      </x:c>
      <x:c r="U888" s="7" t="s">
        <x:v>53</x:v>
      </x:c>
      <x:c r="V888" s="7" t="s">
        <x:v>1932</x:v>
      </x:c>
      <x:c r="W888" s="7" t="s">
        <x:v>58</x:v>
      </x:c>
      <x:c r="X888" s="7" t="s">
        <x:v>3796</x:v>
      </x:c>
      <x:c r="Y888" s="7" t="s">
        <x:v>1267</x:v>
      </x:c>
      <x:c r="Z888" s="7" t="s">
        <x:v>1938</x:v>
      </x:c>
      <x:c r="AA888" s="7" t="s">
        <x:v>58</x:v>
      </x:c>
      <x:c r="AB888" s="8" t="s">
        <x:v>58</x:v>
      </x:c>
      <x:c r="AC888" s="8" t="s">
        <x:v>58</x:v>
      </x:c>
      <x:c r="AD888" s="8" t="s">
        <x:v>58</x:v>
      </x:c>
      <x:c r="AE888" s="8" t="s">
        <x:v>58</x:v>
      </x:c>
      <x:c r="AF888" s="8" t="s">
        <x:v>58</x:v>
      </x:c>
      <x:c r="AG888" s="7" t="s">
        <x:v>58</x:v>
      </x:c>
    </x:row>
    <x:row r="889" ht="51.75" hidden="0" customHeight="1">
      <x:c r="A889" s="7" t="s">
        <x:v>3800</x:v>
      </x:c>
      <x:c r="B889" s="7" t="s">
        <x:v>559</x:v>
      </x:c>
      <x:c r="C889" s="7" t="s">
        <x:v>1265</x:v>
      </x:c>
      <x:c r="D889" s="7" t="s">
        <x:v>1940</x:v>
      </x:c>
      <x:c r="E889" s="7" t="s">
        <x:v>3801</x:v>
      </x:c>
      <x:c r="F889" s="7" t="s">
        <x:v>1942</x:v>
      </x:c>
      <x:c r="G889" s="8" t="n">
        <x:v>100</x:v>
      </x:c>
      <x:c r="H889" s="8" t="s">
        <x:v>58</x:v>
      </x:c>
      <x:c r="I889" s="8" t="s">
        <x:v>58</x:v>
      </x:c>
      <x:c r="J889" s="7" t="s">
        <x:v>1919</x:v>
      </x:c>
      <x:c r="K889" s="8" t="n">
        <x:v>1</x:v>
      </x:c>
      <x:c r="L889" s="8" t="n">
        <x:f aca="0">IF(AND(ISNUMBER(G889),P889&lt;&gt;"Unresolved unit / layout"),G889*K889,"Not applicable")</x:f>
        <x:v>100</x:v>
      </x:c>
      <x:c r="M889" s="8" t="str">
        <x:f aca="0">IF(AND(ISNUMBER(H889),P889&lt;&gt;"Unresolved unit / layout"),H889*K889,"Not applicable")</x:f>
        <x:v>Not applicable</x:v>
      </x:c>
      <x:c r="N889" s="8" t="str">
        <x:f aca="0">IF(AND(ISNUMBER(I889),P889&lt;&gt;"Unresolved unit / layout"),I889*K889,"Not applicable")</x:f>
        <x:v>Not applicable</x:v>
      </x:c>
      <x:c r="O889" s="7" t="s">
        <x:v>1942</x:v>
      </x:c>
      <x:c r="P889" s="7" t="s">
        <x:v>1921</x:v>
      </x:c>
      <x:c r="Q889" s="7" t="s">
        <x:v>1930</x:v>
      </x:c>
      <x:c r="R889" s="7" t="s">
        <x:v>1931</x:v>
      </x:c>
      <x:c r="S889" s="7" t="s">
        <x:v>53</x:v>
      </x:c>
      <x:c r="T889" s="7" t="s">
        <x:v>53</x:v>
      </x:c>
      <x:c r="U889" s="7" t="s">
        <x:v>53</x:v>
      </x:c>
      <x:c r="V889" s="7" t="s">
        <x:v>1932</x:v>
      </x:c>
      <x:c r="W889" s="7" t="s">
        <x:v>58</x:v>
      </x:c>
      <x:c r="X889" s="7" t="s">
        <x:v>3796</x:v>
      </x:c>
      <x:c r="Y889" s="7" t="s">
        <x:v>1267</x:v>
      </x:c>
      <x:c r="Z889" s="7" t="s">
        <x:v>1943</x:v>
      </x:c>
      <x:c r="AA889" s="7" t="s">
        <x:v>58</x:v>
      </x:c>
      <x:c r="AB889" s="8" t="s">
        <x:v>58</x:v>
      </x:c>
      <x:c r="AC889" s="8" t="s">
        <x:v>58</x:v>
      </x:c>
      <x:c r="AD889" s="8" t="s">
        <x:v>58</x:v>
      </x:c>
      <x:c r="AE889" s="8" t="s">
        <x:v>58</x:v>
      </x:c>
      <x:c r="AF889" s="8" t="s">
        <x:v>58</x:v>
      </x:c>
      <x:c r="AG889" s="7" t="s">
        <x:v>58</x:v>
      </x:c>
    </x:row>
    <x:row r="890" ht="51.75" hidden="0" customHeight="1">
      <x:c r="A890" s="7" t="s">
        <x:v>3802</x:v>
      </x:c>
      <x:c r="B890" s="7" t="s">
        <x:v>559</x:v>
      </x:c>
      <x:c r="C890" s="7" t="s">
        <x:v>1265</x:v>
      </x:c>
      <x:c r="D890" s="7" t="s">
        <x:v>1945</x:v>
      </x:c>
      <x:c r="E890" s="7" t="s">
        <x:v>3186</x:v>
      </x:c>
      <x:c r="F890" s="7" t="s">
        <x:v>1929</x:v>
      </x:c>
      <x:c r="G890" s="8" t="n">
        <x:v>76</x:v>
      </x:c>
      <x:c r="H890" s="8" t="s">
        <x:v>58</x:v>
      </x:c>
      <x:c r="I890" s="8" t="s">
        <x:v>58</x:v>
      </x:c>
      <x:c r="J890" s="7" t="s">
        <x:v>1919</x:v>
      </x:c>
      <x:c r="K890" s="8" t="n">
        <x:v>1</x:v>
      </x:c>
      <x:c r="L890" s="8" t="n">
        <x:f aca="0">IF(AND(ISNUMBER(G890),P890&lt;&gt;"Unresolved unit / layout"),G890*K890,"Not applicable")</x:f>
        <x:v>76</x:v>
      </x:c>
      <x:c r="M890" s="8" t="str">
        <x:f aca="0">IF(AND(ISNUMBER(H890),P890&lt;&gt;"Unresolved unit / layout"),H890*K890,"Not applicable")</x:f>
        <x:v>Not applicable</x:v>
      </x:c>
      <x:c r="N890" s="8" t="str">
        <x:f aca="0">IF(AND(ISNUMBER(I890),P890&lt;&gt;"Unresolved unit / layout"),I890*K890,"Not applicable")</x:f>
        <x:v>Not applicable</x:v>
      </x:c>
      <x:c r="O890" s="7" t="s">
        <x:v>1929</x:v>
      </x:c>
      <x:c r="P890" s="7" t="s">
        <x:v>1921</x:v>
      </x:c>
      <x:c r="Q890" s="7" t="s">
        <x:v>1930</x:v>
      </x:c>
      <x:c r="R890" s="7" t="s">
        <x:v>1931</x:v>
      </x:c>
      <x:c r="S890" s="7" t="s">
        <x:v>53</x:v>
      </x:c>
      <x:c r="T890" s="7" t="s">
        <x:v>53</x:v>
      </x:c>
      <x:c r="U890" s="7" t="s">
        <x:v>53</x:v>
      </x:c>
      <x:c r="V890" s="7" t="s">
        <x:v>1947</x:v>
      </x:c>
      <x:c r="W890" s="7" t="s">
        <x:v>58</x:v>
      </x:c>
      <x:c r="X890" s="7" t="s">
        <x:v>3796</x:v>
      </x:c>
      <x:c r="Y890" s="7" t="s">
        <x:v>1267</x:v>
      </x:c>
      <x:c r="Z890" s="7" t="s">
        <x:v>1948</x:v>
      </x:c>
      <x:c r="AA890" s="7" t="s">
        <x:v>58</x:v>
      </x:c>
      <x:c r="AB890" s="8" t="s">
        <x:v>58</x:v>
      </x:c>
      <x:c r="AC890" s="8" t="s">
        <x:v>58</x:v>
      </x:c>
      <x:c r="AD890" s="8" t="s">
        <x:v>58</x:v>
      </x:c>
      <x:c r="AE890" s="8" t="s">
        <x:v>58</x:v>
      </x:c>
      <x:c r="AF890" s="8" t="s">
        <x:v>58</x:v>
      </x:c>
      <x:c r="AG890" s="7" t="s">
        <x:v>58</x:v>
      </x:c>
    </x:row>
    <x:row r="891" ht="51.75" hidden="0" customHeight="1">
      <x:c r="A891" s="7" t="s">
        <x:v>3803</x:v>
      </x:c>
      <x:c r="B891" s="7" t="s">
        <x:v>559</x:v>
      </x:c>
      <x:c r="C891" s="7" t="s">
        <x:v>1265</x:v>
      </x:c>
      <x:c r="D891" s="7" t="s">
        <x:v>1950</x:v>
      </x:c>
      <x:c r="E891" s="7" t="s">
        <x:v>3804</x:v>
      </x:c>
      <x:c r="F891" s="7" t="s">
        <x:v>1929</x:v>
      </x:c>
      <x:c r="G891" s="8" t="n">
        <x:v>2050</x:v>
      </x:c>
      <x:c r="H891" s="8" t="s">
        <x:v>58</x:v>
      </x:c>
      <x:c r="I891" s="8" t="s">
        <x:v>58</x:v>
      </x:c>
      <x:c r="J891" s="7" t="s">
        <x:v>1919</x:v>
      </x:c>
      <x:c r="K891" s="8" t="n">
        <x:v>0.001</x:v>
      </x:c>
      <x:c r="L891" s="8" t="n">
        <x:f aca="0">IF(AND(ISNUMBER(G891),P891&lt;&gt;"Unresolved unit / layout"),G891*K891,"Not applicable")</x:f>
        <x:v>2.05</x:v>
      </x:c>
      <x:c r="M891" s="8" t="str">
        <x:f aca="0">IF(AND(ISNUMBER(H891),P891&lt;&gt;"Unresolved unit / layout"),H891*K891,"Not applicable")</x:f>
        <x:v>Not applicable</x:v>
      </x:c>
      <x:c r="N891" s="8" t="str">
        <x:f aca="0">IF(AND(ISNUMBER(I891),P891&lt;&gt;"Unresolved unit / layout"),I891*K891,"Not applicable")</x:f>
        <x:v>Not applicable</x:v>
      </x:c>
      <x:c r="O891" s="7" t="s">
        <x:v>1937</x:v>
      </x:c>
      <x:c r="P891" s="7" t="s">
        <x:v>1921</x:v>
      </x:c>
      <x:c r="Q891" s="7" t="s">
        <x:v>1930</x:v>
      </x:c>
      <x:c r="R891" s="7" t="s">
        <x:v>1931</x:v>
      </x:c>
      <x:c r="S891" s="7" t="s">
        <x:v>53</x:v>
      </x:c>
      <x:c r="T891" s="7" t="s">
        <x:v>53</x:v>
      </x:c>
      <x:c r="U891" s="7" t="s">
        <x:v>53</x:v>
      </x:c>
      <x:c r="V891" s="7" t="s">
        <x:v>1947</x:v>
      </x:c>
      <x:c r="W891" s="7" t="s">
        <x:v>58</x:v>
      </x:c>
      <x:c r="X891" s="7" t="s">
        <x:v>3796</x:v>
      </x:c>
      <x:c r="Y891" s="7" t="s">
        <x:v>1267</x:v>
      </x:c>
      <x:c r="Z891" s="7" t="s">
        <x:v>1952</x:v>
      </x:c>
      <x:c r="AA891" s="7" t="s">
        <x:v>58</x:v>
      </x:c>
      <x:c r="AB891" s="8" t="s">
        <x:v>58</x:v>
      </x:c>
      <x:c r="AC891" s="8" t="s">
        <x:v>58</x:v>
      </x:c>
      <x:c r="AD891" s="8" t="s">
        <x:v>58</x:v>
      </x:c>
      <x:c r="AE891" s="8" t="s">
        <x:v>58</x:v>
      </x:c>
      <x:c r="AF891" s="8" t="s">
        <x:v>58</x:v>
      </x:c>
      <x:c r="AG891" s="7" t="s">
        <x:v>58</x:v>
      </x:c>
    </x:row>
    <x:row r="892" ht="51.75" hidden="0" customHeight="1">
      <x:c r="A892" s="7" t="s">
        <x:v>3805</x:v>
      </x:c>
      <x:c r="B892" s="7" t="s">
        <x:v>559</x:v>
      </x:c>
      <x:c r="C892" s="7" t="s">
        <x:v>1265</x:v>
      </x:c>
      <x:c r="D892" s="7" t="s">
        <x:v>1954</x:v>
      </x:c>
      <x:c r="E892" s="7" t="s">
        <x:v>3186</x:v>
      </x:c>
      <x:c r="F892" s="7" t="s">
        <x:v>1956</x:v>
      </x:c>
      <x:c r="G892" s="8" t="n">
        <x:v>76</x:v>
      </x:c>
      <x:c r="H892" s="8" t="s">
        <x:v>58</x:v>
      </x:c>
      <x:c r="I892" s="8" t="s">
        <x:v>58</x:v>
      </x:c>
      <x:c r="J892" s="7" t="s">
        <x:v>1919</x:v>
      </x:c>
      <x:c r="K892" s="8" t="n">
        <x:v>1</x:v>
      </x:c>
      <x:c r="L892" s="8" t="n">
        <x:f aca="0">IF(AND(ISNUMBER(G892),P892&lt;&gt;"Unresolved unit / layout"),G892*K892,"Not applicable")</x:f>
        <x:v>76</x:v>
      </x:c>
      <x:c r="M892" s="8" t="str">
        <x:f aca="0">IF(AND(ISNUMBER(H892),P892&lt;&gt;"Unresolved unit / layout"),H892*K892,"Not applicable")</x:f>
        <x:v>Not applicable</x:v>
      </x:c>
      <x:c r="N892" s="8" t="str">
        <x:f aca="0">IF(AND(ISNUMBER(I892),P892&lt;&gt;"Unresolved unit / layout"),I892*K892,"Not applicable")</x:f>
        <x:v>Not applicable</x:v>
      </x:c>
      <x:c r="O892" s="7" t="s">
        <x:v>1956</x:v>
      </x:c>
      <x:c r="P892" s="7" t="s">
        <x:v>1921</x:v>
      </x:c>
      <x:c r="Q892" s="7" t="s">
        <x:v>1930</x:v>
      </x:c>
      <x:c r="R892" s="7" t="s">
        <x:v>58</x:v>
      </x:c>
      <x:c r="S892" s="7" t="s">
        <x:v>53</x:v>
      </x:c>
      <x:c r="T892" s="7" t="s">
        <x:v>53</x:v>
      </x:c>
      <x:c r="U892" s="7" t="s">
        <x:v>53</x:v>
      </x:c>
      <x:c r="V892" s="7" t="s">
        <x:v>1957</x:v>
      </x:c>
      <x:c r="W892" s="7" t="s">
        <x:v>58</x:v>
      </x:c>
      <x:c r="X892" s="7" t="s">
        <x:v>3796</x:v>
      </x:c>
      <x:c r="Y892" s="7" t="s">
        <x:v>1267</x:v>
      </x:c>
      <x:c r="Z892" s="7" t="s">
        <x:v>3215</x:v>
      </x:c>
      <x:c r="AA892" s="7" t="s">
        <x:v>58</x:v>
      </x:c>
      <x:c r="AB892" s="8" t="s">
        <x:v>58</x:v>
      </x:c>
      <x:c r="AC892" s="8" t="s">
        <x:v>58</x:v>
      </x:c>
      <x:c r="AD892" s="8" t="s">
        <x:v>58</x:v>
      </x:c>
      <x:c r="AE892" s="8" t="s">
        <x:v>58</x:v>
      </x:c>
      <x:c r="AF892" s="8" t="s">
        <x:v>58</x:v>
      </x:c>
      <x:c r="AG892" s="7" t="s">
        <x:v>58</x:v>
      </x:c>
    </x:row>
    <x:row r="893" ht="51.75" hidden="0" customHeight="1">
      <x:c r="A893" s="7" t="s">
        <x:v>3806</x:v>
      </x:c>
      <x:c r="B893" s="7" t="s">
        <x:v>559</x:v>
      </x:c>
      <x:c r="C893" s="7" t="s">
        <x:v>1265</x:v>
      </x:c>
      <x:c r="D893" s="7" t="s">
        <x:v>1959</x:v>
      </x:c>
      <x:c r="E893" s="7" t="s">
        <x:v>3807</x:v>
      </x:c>
      <x:c r="F893" s="7" t="s">
        <x:v>1956</x:v>
      </x:c>
      <x:c r="G893" s="8" t="n">
        <x:v>140</x:v>
      </x:c>
      <x:c r="H893" s="8" t="s">
        <x:v>58</x:v>
      </x:c>
      <x:c r="I893" s="8" t="s">
        <x:v>58</x:v>
      </x:c>
      <x:c r="J893" s="7" t="s">
        <x:v>1919</x:v>
      </x:c>
      <x:c r="K893" s="8" t="n">
        <x:v>1</x:v>
      </x:c>
      <x:c r="L893" s="8" t="n">
        <x:f aca="0">IF(AND(ISNUMBER(G893),P893&lt;&gt;"Unresolved unit / layout"),G893*K893,"Not applicable")</x:f>
        <x:v>140</x:v>
      </x:c>
      <x:c r="M893" s="8" t="str">
        <x:f aca="0">IF(AND(ISNUMBER(H893),P893&lt;&gt;"Unresolved unit / layout"),H893*K893,"Not applicable")</x:f>
        <x:v>Not applicable</x:v>
      </x:c>
      <x:c r="N893" s="8" t="str">
        <x:f aca="0">IF(AND(ISNUMBER(I893),P893&lt;&gt;"Unresolved unit / layout"),I893*K893,"Not applicable")</x:f>
        <x:v>Not applicable</x:v>
      </x:c>
      <x:c r="O893" s="7" t="s">
        <x:v>1956</x:v>
      </x:c>
      <x:c r="P893" s="7" t="s">
        <x:v>1921</x:v>
      </x:c>
      <x:c r="Q893" s="7" t="s">
        <x:v>1930</x:v>
      </x:c>
      <x:c r="R893" s="7" t="s">
        <x:v>58</x:v>
      </x:c>
      <x:c r="S893" s="7" t="s">
        <x:v>53</x:v>
      </x:c>
      <x:c r="T893" s="7" t="s">
        <x:v>53</x:v>
      </x:c>
      <x:c r="U893" s="7" t="s">
        <x:v>53</x:v>
      </x:c>
      <x:c r="V893" s="7" t="s">
        <x:v>1961</x:v>
      </x:c>
      <x:c r="W893" s="7" t="s">
        <x:v>58</x:v>
      </x:c>
      <x:c r="X893" s="7" t="s">
        <x:v>3796</x:v>
      </x:c>
      <x:c r="Y893" s="7" t="s">
        <x:v>1267</x:v>
      </x:c>
      <x:c r="Z893" s="7" t="s">
        <x:v>1962</x:v>
      </x:c>
      <x:c r="AA893" s="7" t="s">
        <x:v>58</x:v>
      </x:c>
      <x:c r="AB893" s="8" t="s">
        <x:v>58</x:v>
      </x:c>
      <x:c r="AC893" s="8" t="s">
        <x:v>58</x:v>
      </x:c>
      <x:c r="AD893" s="8" t="s">
        <x:v>58</x:v>
      </x:c>
      <x:c r="AE893" s="8" t="s">
        <x:v>58</x:v>
      </x:c>
      <x:c r="AF893" s="8" t="s">
        <x:v>58</x:v>
      </x:c>
      <x:c r="AG893" s="7" t="s">
        <x:v>58</x:v>
      </x:c>
    </x:row>
    <x:row r="894" ht="51.75" hidden="0" customHeight="1">
      <x:c r="A894" s="7" t="s">
        <x:v>3808</x:v>
      </x:c>
      <x:c r="B894" s="7" t="s">
        <x:v>559</x:v>
      </x:c>
      <x:c r="C894" s="7" t="s">
        <x:v>1269</x:v>
      </x:c>
      <x:c r="D894" s="7" t="s">
        <x:v>1916</x:v>
      </x:c>
      <x:c r="E894" s="7" t="s">
        <x:v>2769</x:v>
      </x:c>
      <x:c r="F894" s="7" t="s">
        <x:v>1965</x:v>
      </x:c>
      <x:c r="G894" s="8" t="n">
        <x:v>1.25</x:v>
      </x:c>
      <x:c r="H894" s="8" t="s">
        <x:v>58</x:v>
      </x:c>
      <x:c r="I894" s="8" t="s">
        <x:v>58</x:v>
      </x:c>
      <x:c r="J894" s="7" t="s">
        <x:v>1919</x:v>
      </x:c>
      <x:c r="K894" s="8" t="n">
        <x:v>1000</x:v>
      </x:c>
      <x:c r="L894" s="8" t="n">
        <x:f aca="0">IF(AND(ISNUMBER(G894),P894&lt;&gt;"Unresolved unit / layout"),G894*K894,"Not applicable")</x:f>
        <x:v>1250</x:v>
      </x:c>
      <x:c r="M894" s="8" t="str">
        <x:f aca="0">IF(AND(ISNUMBER(H894),P894&lt;&gt;"Unresolved unit / layout"),H894*K894,"Not applicable")</x:f>
        <x:v>Not applicable</x:v>
      </x:c>
      <x:c r="N894" s="8" t="str">
        <x:f aca="0">IF(AND(ISNUMBER(I894),P894&lt;&gt;"Unresolved unit / layout"),I894*K894,"Not applicable")</x:f>
        <x:v>Not applicable</x:v>
      </x:c>
      <x:c r="O894" s="7" t="s">
        <x:v>1920</x:v>
      </x:c>
      <x:c r="P894" s="7" t="s">
        <x:v>1921</x:v>
      </x:c>
      <x:c r="Q894" s="7" t="s">
        <x:v>1922</x:v>
      </x:c>
      <x:c r="R894" s="7" t="s">
        <x:v>58</x:v>
      </x:c>
      <x:c r="S894" s="7" t="s">
        <x:v>53</x:v>
      </x:c>
      <x:c r="T894" s="7" t="s">
        <x:v>53</x:v>
      </x:c>
      <x:c r="U894" s="7" t="s">
        <x:v>53</x:v>
      </x:c>
      <x:c r="V894" s="7" t="s">
        <x:v>1923</x:v>
      </x:c>
      <x:c r="W894" s="7" t="s">
        <x:v>58</x:v>
      </x:c>
      <x:c r="X894" s="7" t="s">
        <x:v>53</x:v>
      </x:c>
      <x:c r="Y894" s="7" t="s">
        <x:v>1271</x:v>
      </x:c>
      <x:c r="Z894" s="7" t="s">
        <x:v>3809</x:v>
      </x:c>
      <x:c r="AA894" s="7" t="s">
        <x:v>58</x:v>
      </x:c>
      <x:c r="AB894" s="8" t="s">
        <x:v>58</x:v>
      </x:c>
      <x:c r="AC894" s="8" t="s">
        <x:v>58</x:v>
      </x:c>
      <x:c r="AD894" s="8" t="s">
        <x:v>58</x:v>
      </x:c>
      <x:c r="AE894" s="8" t="s">
        <x:v>58</x:v>
      </x:c>
      <x:c r="AF894" s="8" t="s">
        <x:v>58</x:v>
      </x:c>
      <x:c r="AG894" s="7" t="s">
        <x:v>58</x:v>
      </x:c>
    </x:row>
    <x:row r="895" ht="37.5" hidden="0" customHeight="1">
      <x:c r="A895" s="7" t="s">
        <x:v>3810</x:v>
      </x:c>
      <x:c r="B895" s="7" t="s">
        <x:v>559</x:v>
      </x:c>
      <x:c r="C895" s="7" t="s">
        <x:v>1269</x:v>
      </x:c>
      <x:c r="D895" s="7" t="s">
        <x:v>2099</x:v>
      </x:c>
      <x:c r="E895" s="7" t="s">
        <x:v>3811</x:v>
      </x:c>
      <x:c r="F895" s="7" t="s">
        <x:v>1942</x:v>
      </x:c>
      <x:c r="G895" s="8" t="n">
        <x:v>0.3</x:v>
      </x:c>
      <x:c r="H895" s="8" t="s">
        <x:v>58</x:v>
      </x:c>
      <x:c r="I895" s="8" t="s">
        <x:v>58</x:v>
      </x:c>
      <x:c r="J895" s="7" t="s">
        <x:v>2752</x:v>
      </x:c>
      <x:c r="K895" s="8" t="n">
        <x:v>1</x:v>
      </x:c>
      <x:c r="L895" s="8" t="n">
        <x:f aca="0">IF(AND(ISNUMBER(G895),P895&lt;&gt;"Unresolved unit / layout"),G895*K895,"Not applicable")</x:f>
        <x:v>0.3</x:v>
      </x:c>
      <x:c r="M895" s="8" t="str">
        <x:f aca="0">IF(AND(ISNUMBER(H895),P895&lt;&gt;"Unresolved unit / layout"),H895*K895,"Not applicable")</x:f>
        <x:v>Not applicable</x:v>
      </x:c>
      <x:c r="N895" s="8" t="str">
        <x:f aca="0">IF(AND(ISNUMBER(I895),P895&lt;&gt;"Unresolved unit / layout"),I895*K895,"Not applicable")</x:f>
        <x:v>Not applicable</x:v>
      </x:c>
      <x:c r="O895" s="7" t="s">
        <x:v>1942</x:v>
      </x:c>
      <x:c r="P895" s="7" t="s">
        <x:v>1921</x:v>
      </x:c>
      <x:c r="Q895" s="7" t="s">
        <x:v>2064</x:v>
      </x:c>
      <x:c r="R895" s="7" t="s">
        <x:v>58</x:v>
      </x:c>
      <x:c r="S895" s="7" t="s">
        <x:v>53</x:v>
      </x:c>
      <x:c r="T895" s="7" t="s">
        <x:v>53</x:v>
      </x:c>
      <x:c r="U895" s="7" t="s">
        <x:v>53</x:v>
      </x:c>
      <x:c r="V895" s="7" t="s">
        <x:v>3812</x:v>
      </x:c>
      <x:c r="W895" s="7" t="s">
        <x:v>58</x:v>
      </x:c>
      <x:c r="X895" s="7" t="s">
        <x:v>53</x:v>
      </x:c>
      <x:c r="Y895" s="7" t="s">
        <x:v>1271</x:v>
      </x:c>
      <x:c r="Z895" s="7" t="s">
        <x:v>3813</x:v>
      </x:c>
      <x:c r="AA895" s="7" t="s">
        <x:v>58</x:v>
      </x:c>
      <x:c r="AB895" s="8" t="s">
        <x:v>58</x:v>
      </x:c>
      <x:c r="AC895" s="8" t="s">
        <x:v>58</x:v>
      </x:c>
      <x:c r="AD895" s="8" t="s">
        <x:v>58</x:v>
      </x:c>
      <x:c r="AE895" s="8" t="s">
        <x:v>58</x:v>
      </x:c>
      <x:c r="AF895" s="8" t="s">
        <x:v>58</x:v>
      </x:c>
      <x:c r="AG895" s="7" t="s">
        <x:v>58</x:v>
      </x:c>
    </x:row>
    <x:row r="896" ht="37.5" hidden="0" customHeight="1">
      <x:c r="A896" s="7" t="s">
        <x:v>3814</x:v>
      </x:c>
      <x:c r="B896" s="7" t="s">
        <x:v>559</x:v>
      </x:c>
      <x:c r="C896" s="7" t="s">
        <x:v>1269</x:v>
      </x:c>
      <x:c r="D896" s="7" t="s">
        <x:v>2006</x:v>
      </x:c>
      <x:c r="E896" s="7" t="s">
        <x:v>3815</x:v>
      </x:c>
      <x:c r="F896" s="7" t="s">
        <x:v>1929</x:v>
      </x:c>
      <x:c r="G896" s="8" t="n">
        <x:v>78</x:v>
      </x:c>
      <x:c r="H896" s="8" t="s">
        <x:v>58</x:v>
      </x:c>
      <x:c r="I896" s="8" t="s">
        <x:v>58</x:v>
      </x:c>
      <x:c r="J896" s="7" t="s">
        <x:v>1919</x:v>
      </x:c>
      <x:c r="K896" s="8" t="n">
        <x:v>1</x:v>
      </x:c>
      <x:c r="L896" s="8" t="n">
        <x:f aca="0">IF(AND(ISNUMBER(G896),P896&lt;&gt;"Unresolved unit / layout"),G896*K896,"Not applicable")</x:f>
        <x:v>78</x:v>
      </x:c>
      <x:c r="M896" s="8" t="str">
        <x:f aca="0">IF(AND(ISNUMBER(H896),P896&lt;&gt;"Unresolved unit / layout"),H896*K896,"Not applicable")</x:f>
        <x:v>Not applicable</x:v>
      </x:c>
      <x:c r="N896" s="8" t="str">
        <x:f aca="0">IF(AND(ISNUMBER(I896),P896&lt;&gt;"Unresolved unit / layout"),I896*K896,"Not applicable")</x:f>
        <x:v>Not applicable</x:v>
      </x:c>
      <x:c r="O896" s="7" t="s">
        <x:v>1929</x:v>
      </x:c>
      <x:c r="P896" s="7" t="s">
        <x:v>1921</x:v>
      </x:c>
      <x:c r="Q896" s="7" t="s">
        <x:v>2064</x:v>
      </x:c>
      <x:c r="R896" s="7" t="s">
        <x:v>53</x:v>
      </x:c>
      <x:c r="S896" s="7" t="s">
        <x:v>53</x:v>
      </x:c>
      <x:c r="T896" s="7" t="s">
        <x:v>53</x:v>
      </x:c>
      <x:c r="U896" s="7" t="s">
        <x:v>53</x:v>
      </x:c>
      <x:c r="V896" s="7" t="s">
        <x:v>1932</x:v>
      </x:c>
      <x:c r="W896" s="7" t="s">
        <x:v>58</x:v>
      </x:c>
      <x:c r="X896" s="7" t="s">
        <x:v>53</x:v>
      </x:c>
      <x:c r="Y896" s="7" t="s">
        <x:v>1271</x:v>
      </x:c>
      <x:c r="Z896" s="7" t="s">
        <x:v>3816</x:v>
      </x:c>
      <x:c r="AA896" s="7" t="s">
        <x:v>58</x:v>
      </x:c>
      <x:c r="AB896" s="8" t="s">
        <x:v>58</x:v>
      </x:c>
      <x:c r="AC896" s="8" t="s">
        <x:v>58</x:v>
      </x:c>
      <x:c r="AD896" s="8" t="s">
        <x:v>58</x:v>
      </x:c>
      <x:c r="AE896" s="8" t="s">
        <x:v>58</x:v>
      </x:c>
      <x:c r="AF896" s="8" t="s">
        <x:v>58</x:v>
      </x:c>
      <x:c r="AG896" s="7" t="s">
        <x:v>58</x:v>
      </x:c>
    </x:row>
    <x:row r="897" ht="37.5" hidden="0" customHeight="1">
      <x:c r="A897" s="7" t="s">
        <x:v>3817</x:v>
      </x:c>
      <x:c r="B897" s="7" t="s">
        <x:v>559</x:v>
      </x:c>
      <x:c r="C897" s="7" t="s">
        <x:v>1269</x:v>
      </x:c>
      <x:c r="D897" s="7" t="str">
        <x:v>Tensile strain at strength</x:v>
      </x:c>
      <x:c r="E897" s="7" t="s">
        <x:v>3818</x:v>
      </x:c>
      <x:c r="F897" s="7" t="s">
        <x:v>1942</x:v>
      </x:c>
      <x:c r="G897" s="8" t="n">
        <x:v>4.4</x:v>
      </x:c>
      <x:c r="H897" s="8" t="s">
        <x:v>58</x:v>
      </x:c>
      <x:c r="I897" s="8" t="s">
        <x:v>58</x:v>
      </x:c>
      <x:c r="J897" s="7" t="s">
        <x:v>1919</x:v>
      </x:c>
      <x:c r="K897" s="8" t="n">
        <x:v>1</x:v>
      </x:c>
      <x:c r="L897" s="8" t="n">
        <x:f aca="0">IF(AND(ISNUMBER(G897),P897&lt;&gt;"Unresolved unit / layout"),G897*K897,"Not applicable")</x:f>
        <x:v>4.4</x:v>
      </x:c>
      <x:c r="M897" s="8" t="str">
        <x:f aca="0">IF(AND(ISNUMBER(H897),P897&lt;&gt;"Unresolved unit / layout"),H897*K897,"Not applicable")</x:f>
        <x:v>Not applicable</x:v>
      </x:c>
      <x:c r="N897" s="8" t="str">
        <x:f aca="0">IF(AND(ISNUMBER(I897),P897&lt;&gt;"Unresolved unit / layout"),I897*K897,"Not applicable")</x:f>
        <x:v>Not applicable</x:v>
      </x:c>
      <x:c r="O897" s="7" t="s">
        <x:v>1942</x:v>
      </x:c>
      <x:c r="P897" s="7" t="str">
        <x:v>Published value (transcription corrected)</x:v>
      </x:c>
      <x:c r="Q897" s="7" t="s">
        <x:v>2064</x:v>
      </x:c>
      <x:c r="R897" s="7" t="s">
        <x:v>53</x:v>
      </x:c>
      <x:c r="S897" s="7" t="str">
        <x:v>Dry (source row); table heading 50% RH</x:v>
      </x:c>
      <x:c r="T897" s="7" t="s">
        <x:v>53</x:v>
      </x:c>
      <x:c r="U897" s="7" t="str">
        <x:v>23°C</x:v>
      </x:c>
      <x:c r="V897" s="7" t="s">
        <x:v>1932</x:v>
      </x:c>
      <x:c r="W897" s="7" t="s">
        <x:v>58</x:v>
      </x:c>
      <x:c r="X897" s="7" t="s">
        <x:v>53</x:v>
      </x:c>
      <x:c r="Y897" s="7" t="s">
        <x:v>1271</x:v>
      </x:c>
      <x:c r="Z897" s="7" t="s">
        <x:v>3819</x:v>
      </x:c>
      <x:c r="AA897" s="7" t="str">
        <x:v>Source says elongation at maximum force, not at break; 4,40% = 4.4%. Dry, 50 mm/min; table heading 23 C / 50% RH. Source SHA256 matched 2026-09-13. SD-01 / SD-02.</x:v>
      </x:c>
      <x:c r="AB897" s="8" t="s">
        <x:v>58</x:v>
      </x:c>
      <x:c r="AC897" s="8" t="s">
        <x:v>58</x:v>
      </x:c>
      <x:c r="AD897" s="8" t="s">
        <x:v>58</x:v>
      </x:c>
      <x:c r="AE897" s="8" t="s">
        <x:v>58</x:v>
      </x:c>
      <x:c r="AF897" s="8" t="s">
        <x:v>58</x:v>
      </x:c>
      <x:c r="AG897" s="7" t="s">
        <x:v>58</x:v>
      </x:c>
    </x:row>
    <x:row r="898" ht="37.5" hidden="0" customHeight="1">
      <x:c r="A898" s="7" t="s">
        <x:v>3820</x:v>
      </x:c>
      <x:c r="B898" s="7" t="s">
        <x:v>559</x:v>
      </x:c>
      <x:c r="C898" s="7" t="s">
        <x:v>1269</x:v>
      </x:c>
      <x:c r="D898" s="7" t="s">
        <x:v>2030</x:v>
      </x:c>
      <x:c r="E898" s="7" t="s">
        <x:v>3821</x:v>
      </x:c>
      <x:c r="F898" s="7" t="s">
        <x:v>2032</x:v>
      </x:c>
      <x:c r="G898" s="8" t="n">
        <x:v>90</x:v>
      </x:c>
      <x:c r="H898" s="8" t="s">
        <x:v>58</x:v>
      </x:c>
      <x:c r="I898" s="8" t="s">
        <x:v>58</x:v>
      </x:c>
      <x:c r="J898" s="7" t="s">
        <x:v>1919</x:v>
      </x:c>
      <x:c r="K898" s="8" t="n">
        <x:v>1</x:v>
      </x:c>
      <x:c r="L898" s="8" t="n">
        <x:f aca="0">IF(AND(ISNUMBER(G898),P898&lt;&gt;"Unresolved unit / layout"),G898*K898,"Not applicable")</x:f>
        <x:v>90</x:v>
      </x:c>
      <x:c r="M898" s="8" t="str">
        <x:f aca="0">IF(AND(ISNUMBER(H898),P898&lt;&gt;"Unresolved unit / layout"),H898*K898,"Not applicable")</x:f>
        <x:v>Not applicable</x:v>
      </x:c>
      <x:c r="N898" s="8" t="str">
        <x:f aca="0">IF(AND(ISNUMBER(I898),P898&lt;&gt;"Unresolved unit / layout"),I898*K898,"Not applicable")</x:f>
        <x:v>Not applicable</x:v>
      </x:c>
      <x:c r="O898" s="7" t="s">
        <x:v>2033</x:v>
      </x:c>
      <x:c r="P898" s="7" t="s">
        <x:v>1921</x:v>
      </x:c>
      <x:c r="Q898" s="7" t="s">
        <x:v>2064</x:v>
      </x:c>
      <x:c r="R898" s="7" t="s">
        <x:v>53</x:v>
      </x:c>
      <x:c r="S898" s="7" t="s">
        <x:v>53</x:v>
      </x:c>
      <x:c r="T898" s="7" t="s">
        <x:v>53</x:v>
      </x:c>
      <x:c r="U898" s="7" t="s">
        <x:v>53</x:v>
      </x:c>
      <x:c r="V898" s="7" t="s">
        <x:v>3822</x:v>
      </x:c>
      <x:c r="W898" s="7" t="s">
        <x:v>53</x:v>
      </x:c>
      <x:c r="X898" s="7" t="s">
        <x:v>53</x:v>
      </x:c>
      <x:c r="Y898" s="7" t="s">
        <x:v>1271</x:v>
      </x:c>
      <x:c r="Z898" s="7" t="s">
        <x:v>3823</x:v>
      </x:c>
      <x:c r="AA898" s="7" t="s">
        <x:v>58</x:v>
      </x:c>
      <x:c r="AB898" s="8" t="s">
        <x:v>58</x:v>
      </x:c>
      <x:c r="AC898" s="8" t="s">
        <x:v>58</x:v>
      </x:c>
      <x:c r="AD898" s="8" t="s">
        <x:v>58</x:v>
      </x:c>
      <x:c r="AE898" s="8" t="s">
        <x:v>58</x:v>
      </x:c>
      <x:c r="AF898" s="8" t="s">
        <x:v>58</x:v>
      </x:c>
      <x:c r="AG898" s="7" t="s">
        <x:v>58</x:v>
      </x:c>
    </x:row>
    <x:row r="899" ht="79.5" hidden="0" customHeight="1">
      <x:c r="A899" s="7" t="s">
        <x:v>3824</x:v>
      </x:c>
      <x:c r="B899" s="7" t="s">
        <x:v>576</x:v>
      </x:c>
      <x:c r="C899" s="7" t="s">
        <x:v>578</x:v>
      </x:c>
      <x:c r="D899" s="7" t="s">
        <x:v>1916</x:v>
      </x:c>
      <x:c r="E899" s="7" t="s">
        <x:v>3825</x:v>
      </x:c>
      <x:c r="F899" s="7" t="s">
        <x:v>2076</x:v>
      </x:c>
      <x:c r="G899" s="8" t="n">
        <x:v>1.06</x:v>
      </x:c>
      <x:c r="H899" s="8" t="s">
        <x:v>58</x:v>
      </x:c>
      <x:c r="I899" s="8" t="s">
        <x:v>58</x:v>
      </x:c>
      <x:c r="J899" s="7" t="s">
        <x:v>1919</x:v>
      </x:c>
      <x:c r="K899" s="8" t="n">
        <x:v>1000</x:v>
      </x:c>
      <x:c r="L899" s="8" t="n">
        <x:f aca="0">IF(AND(ISNUMBER(G899),P899&lt;&gt;"Unresolved unit / layout"),G899*K899,"Not applicable")</x:f>
        <x:v>1060</x:v>
      </x:c>
      <x:c r="M899" s="8" t="str">
        <x:f aca="0">IF(AND(ISNUMBER(H899),P899&lt;&gt;"Unresolved unit / layout"),H899*K899,"Not applicable")</x:f>
        <x:v>Not applicable</x:v>
      </x:c>
      <x:c r="N899" s="8" t="str">
        <x:f aca="0">IF(AND(ISNUMBER(I899),P899&lt;&gt;"Unresolved unit / layout"),I899*K899,"Not applicable")</x:f>
        <x:v>Not applicable</x:v>
      </x:c>
      <x:c r="O899" s="7" t="s">
        <x:v>1920</x:v>
      </x:c>
      <x:c r="P899" s="7" t="s">
        <x:v>1921</x:v>
      </x:c>
      <x:c r="Q899" s="7" t="s">
        <x:v>1922</x:v>
      </x:c>
      <x:c r="R899" s="7" t="s">
        <x:v>58</x:v>
      </x:c>
      <x:c r="S899" s="7" t="s">
        <x:v>2077</x:v>
      </x:c>
      <x:c r="T899" s="7" t="s">
        <x:v>3095</x:v>
      </x:c>
      <x:c r="U899" s="7" t="s">
        <x:v>53</x:v>
      </x:c>
      <x:c r="V899" s="7" t="s">
        <x:v>1923</x:v>
      </x:c>
      <x:c r="W899" s="7" t="s">
        <x:v>58</x:v>
      </x:c>
      <x:c r="X899" s="7" t="s">
        <x:v>3826</x:v>
      </x:c>
      <x:c r="Y899" s="7" t="s">
        <x:v>1272</x:v>
      </x:c>
      <x:c r="Z899" s="7" t="s">
        <x:v>1968</x:v>
      </x:c>
      <x:c r="AA899" s="7" t="s">
        <x:v>58</x:v>
      </x:c>
      <x:c r="AB899" s="8" t="s">
        <x:v>58</x:v>
      </x:c>
      <x:c r="AC899" s="8" t="s">
        <x:v>58</x:v>
      </x:c>
      <x:c r="AD899" s="8" t="s">
        <x:v>58</x:v>
      </x:c>
      <x:c r="AE899" s="8" t="s">
        <x:v>58</x:v>
      </x:c>
      <x:c r="AF899" s="8" t="s">
        <x:v>58</x:v>
      </x:c>
      <x:c r="AG899" s="7" t="s">
        <x:v>58</x:v>
      </x:c>
    </x:row>
    <x:row r="900" ht="79.5" hidden="0" customHeight="1">
      <x:c r="A900" s="7" t="s">
        <x:v>3827</x:v>
      </x:c>
      <x:c r="B900" s="7" t="s">
        <x:v>576</x:v>
      </x:c>
      <x:c r="C900" s="7" t="s">
        <x:v>578</x:v>
      </x:c>
      <x:c r="D900" s="7" t="s">
        <x:v>1974</x:v>
      </x:c>
      <x:c r="E900" s="7" t="s">
        <x:v>2967</x:v>
      </x:c>
      <x:c r="F900" s="7" t="s">
        <x:v>1956</x:v>
      </x:c>
      <x:c r="G900" s="8" t="n">
        <x:v>225</x:v>
      </x:c>
      <x:c r="H900" s="8" t="s">
        <x:v>58</x:v>
      </x:c>
      <x:c r="I900" s="8" t="s">
        <x:v>58</x:v>
      </x:c>
      <x:c r="J900" s="7" t="s">
        <x:v>1919</x:v>
      </x:c>
      <x:c r="K900" s="8" t="n">
        <x:v>1</x:v>
      </x:c>
      <x:c r="L900" s="8" t="n">
        <x:f aca="0">IF(AND(ISNUMBER(G900),P900&lt;&gt;"Unresolved unit / layout"),G900*K900,"Not applicable")</x:f>
        <x:v>225</x:v>
      </x:c>
      <x:c r="M900" s="8" t="str">
        <x:f aca="0">IF(AND(ISNUMBER(H900),P900&lt;&gt;"Unresolved unit / layout"),H900*K900,"Not applicable")</x:f>
        <x:v>Not applicable</x:v>
      </x:c>
      <x:c r="N900" s="8" t="str">
        <x:f aca="0">IF(AND(ISNUMBER(I900),P900&lt;&gt;"Unresolved unit / layout"),I900*K900,"Not applicable")</x:f>
        <x:v>Not applicable</x:v>
      </x:c>
      <x:c r="O900" s="7" t="s">
        <x:v>1956</x:v>
      </x:c>
      <x:c r="P900" s="7" t="s">
        <x:v>1921</x:v>
      </x:c>
      <x:c r="Q900" s="7" t="s">
        <x:v>1930</x:v>
      </x:c>
      <x:c r="R900" s="7" t="s">
        <x:v>58</x:v>
      </x:c>
      <x:c r="S900" s="7" t="s">
        <x:v>2077</x:v>
      </x:c>
      <x:c r="T900" s="7" t="s">
        <x:v>3095</x:v>
      </x:c>
      <x:c r="U900" s="7" t="s">
        <x:v>53</x:v>
      </x:c>
      <x:c r="V900" s="7" t="s">
        <x:v>2082</x:v>
      </x:c>
      <x:c r="W900" s="7" t="s">
        <x:v>58</x:v>
      </x:c>
      <x:c r="X900" s="7" t="s">
        <x:v>3826</x:v>
      </x:c>
      <x:c r="Y900" s="7" t="s">
        <x:v>1272</x:v>
      </x:c>
      <x:c r="Z900" s="7" t="s">
        <x:v>2083</x:v>
      </x:c>
      <x:c r="AA900" s="7" t="s">
        <x:v>58</x:v>
      </x:c>
      <x:c r="AB900" s="8" t="s">
        <x:v>58</x:v>
      </x:c>
      <x:c r="AC900" s="8" t="s">
        <x:v>58</x:v>
      </x:c>
      <x:c r="AD900" s="8" t="s">
        <x:v>58</x:v>
      </x:c>
      <x:c r="AE900" s="8" t="s">
        <x:v>58</x:v>
      </x:c>
      <x:c r="AF900" s="8" t="s">
        <x:v>58</x:v>
      </x:c>
      <x:c r="AG900" s="7" t="s">
        <x:v>58</x:v>
      </x:c>
    </x:row>
    <x:row r="901" ht="79.5" hidden="0" customHeight="1">
      <x:c r="A901" s="7" t="s">
        <x:v>3828</x:v>
      </x:c>
      <x:c r="B901" s="7" t="s">
        <x:v>576</x:v>
      </x:c>
      <x:c r="C901" s="7" t="s">
        <x:v>578</x:v>
      </x:c>
      <x:c r="D901" s="7" t="s">
        <x:v>1954</x:v>
      </x:c>
      <x:c r="E901" s="7" t="s">
        <x:v>2901</x:v>
      </x:c>
      <x:c r="F901" s="7" t="s">
        <x:v>1956</x:v>
      </x:c>
      <x:c r="G901" s="8" t="n">
        <x:v>70</x:v>
      </x:c>
      <x:c r="H901" s="8" t="s">
        <x:v>58</x:v>
      </x:c>
      <x:c r="I901" s="8" t="s">
        <x:v>58</x:v>
      </x:c>
      <x:c r="J901" s="7" t="s">
        <x:v>1919</x:v>
      </x:c>
      <x:c r="K901" s="8" t="n">
        <x:v>1</x:v>
      </x:c>
      <x:c r="L901" s="8" t="n">
        <x:f aca="0">IF(AND(ISNUMBER(G901),P901&lt;&gt;"Unresolved unit / layout"),G901*K901,"Not applicable")</x:f>
        <x:v>70</x:v>
      </x:c>
      <x:c r="M901" s="8" t="str">
        <x:f aca="0">IF(AND(ISNUMBER(H901),P901&lt;&gt;"Unresolved unit / layout"),H901*K901,"Not applicable")</x:f>
        <x:v>Not applicable</x:v>
      </x:c>
      <x:c r="N901" s="8" t="str">
        <x:f aca="0">IF(AND(ISNUMBER(I901),P901&lt;&gt;"Unresolved unit / layout"),I901*K901,"Not applicable")</x:f>
        <x:v>Not applicable</x:v>
      </x:c>
      <x:c r="O901" s="7" t="s">
        <x:v>1956</x:v>
      </x:c>
      <x:c r="P901" s="7" t="s">
        <x:v>1921</x:v>
      </x:c>
      <x:c r="Q901" s="7" t="s">
        <x:v>1930</x:v>
      </x:c>
      <x:c r="R901" s="7" t="s">
        <x:v>58</x:v>
      </x:c>
      <x:c r="S901" s="7" t="s">
        <x:v>2077</x:v>
      </x:c>
      <x:c r="T901" s="7" t="s">
        <x:v>3095</x:v>
      </x:c>
      <x:c r="U901" s="7" t="s">
        <x:v>53</x:v>
      </x:c>
      <x:c r="V901" s="7" t="s">
        <x:v>2082</x:v>
      </x:c>
      <x:c r="W901" s="7" t="s">
        <x:v>58</x:v>
      </x:c>
      <x:c r="X901" s="7" t="s">
        <x:v>3826</x:v>
      </x:c>
      <x:c r="Y901" s="7" t="s">
        <x:v>1272</x:v>
      </x:c>
      <x:c r="Z901" s="7" t="s">
        <x:v>2086</x:v>
      </x:c>
      <x:c r="AA901" s="7" t="s">
        <x:v>58</x:v>
      </x:c>
      <x:c r="AB901" s="8" t="s">
        <x:v>58</x:v>
      </x:c>
      <x:c r="AC901" s="8" t="s">
        <x:v>58</x:v>
      </x:c>
      <x:c r="AD901" s="8" t="s">
        <x:v>58</x:v>
      </x:c>
      <x:c r="AE901" s="8" t="s">
        <x:v>58</x:v>
      </x:c>
      <x:c r="AF901" s="8" t="s">
        <x:v>58</x:v>
      </x:c>
      <x:c r="AG901" s="7" t="s">
        <x:v>58</x:v>
      </x:c>
    </x:row>
    <x:row r="902" ht="79.5" hidden="0" customHeight="1">
      <x:c r="A902" s="7" t="s">
        <x:v>3829</x:v>
      </x:c>
      <x:c r="B902" s="7" t="s">
        <x:v>576</x:v>
      </x:c>
      <x:c r="C902" s="7" t="s">
        <x:v>578</x:v>
      </x:c>
      <x:c r="D902" s="7" t="s">
        <x:v>1978</x:v>
      </x:c>
      <x:c r="E902" s="7" t="s">
        <x:v>3830</x:v>
      </x:c>
      <x:c r="F902" s="7" t="s">
        <x:v>1956</x:v>
      </x:c>
      <x:c r="G902" s="8" t="n">
        <x:v>140</x:v>
      </x:c>
      <x:c r="H902" s="8" t="s">
        <x:v>58</x:v>
      </x:c>
      <x:c r="I902" s="8" t="s">
        <x:v>58</x:v>
      </x:c>
      <x:c r="J902" s="7" t="s">
        <x:v>1919</x:v>
      </x:c>
      <x:c r="K902" s="8" t="n">
        <x:v>1</x:v>
      </x:c>
      <x:c r="L902" s="8" t="n">
        <x:f aca="0">IF(AND(ISNUMBER(G902),P902&lt;&gt;"Unresolved unit / layout"),G902*K902,"Not applicable")</x:f>
        <x:v>140</x:v>
      </x:c>
      <x:c r="M902" s="8" t="str">
        <x:f aca="0">IF(AND(ISNUMBER(H902),P902&lt;&gt;"Unresolved unit / layout"),H902*K902,"Not applicable")</x:f>
        <x:v>Not applicable</x:v>
      </x:c>
      <x:c r="N902" s="8" t="str">
        <x:f aca="0">IF(AND(ISNUMBER(I902),P902&lt;&gt;"Unresolved unit / layout"),I902*K902,"Not applicable")</x:f>
        <x:v>Not applicable</x:v>
      </x:c>
      <x:c r="O902" s="7" t="s">
        <x:v>1956</x:v>
      </x:c>
      <x:c r="P902" s="7" t="s">
        <x:v>1921</x:v>
      </x:c>
      <x:c r="Q902" s="7" t="s">
        <x:v>1930</x:v>
      </x:c>
      <x:c r="R902" s="7" t="s">
        <x:v>58</x:v>
      </x:c>
      <x:c r="S902" s="7" t="s">
        <x:v>2077</x:v>
      </x:c>
      <x:c r="T902" s="7" t="s">
        <x:v>3095</x:v>
      </x:c>
      <x:c r="U902" s="7" t="s">
        <x:v>53</x:v>
      </x:c>
      <x:c r="V902" s="7" t="s">
        <x:v>2082</x:v>
      </x:c>
      <x:c r="W902" s="7" t="s">
        <x:v>58</x:v>
      </x:c>
      <x:c r="X902" s="7" t="s">
        <x:v>3826</x:v>
      </x:c>
      <x:c r="Y902" s="7" t="s">
        <x:v>1272</x:v>
      </x:c>
      <x:c r="Z902" s="7" t="s">
        <x:v>2188</x:v>
      </x:c>
      <x:c r="AA902" s="7" t="s">
        <x:v>58</x:v>
      </x:c>
      <x:c r="AB902" s="8" t="s">
        <x:v>58</x:v>
      </x:c>
      <x:c r="AC902" s="8" t="s">
        <x:v>58</x:v>
      </x:c>
      <x:c r="AD902" s="8" t="s">
        <x:v>58</x:v>
      </x:c>
      <x:c r="AE902" s="8" t="s">
        <x:v>58</x:v>
      </x:c>
      <x:c r="AF902" s="8" t="s">
        <x:v>58</x:v>
      </x:c>
      <x:c r="AG902" s="7" t="s">
        <x:v>58</x:v>
      </x:c>
    </x:row>
    <x:row r="903" ht="79.5" hidden="0" customHeight="1">
      <x:c r="A903" s="7" t="s">
        <x:v>3831</x:v>
      </x:c>
      <x:c r="B903" s="7" t="s">
        <x:v>576</x:v>
      </x:c>
      <x:c r="C903" s="7" t="s">
        <x:v>578</x:v>
      </x:c>
      <x:c r="D903" s="7" t="s">
        <x:v>1982</x:v>
      </x:c>
      <x:c r="E903" s="7" t="s">
        <x:v>3832</x:v>
      </x:c>
      <x:c r="F903" s="7" t="s">
        <x:v>1956</x:v>
      </x:c>
      <x:c r="G903" s="8" t="n">
        <x:v>220</x:v>
      </x:c>
      <x:c r="H903" s="8" t="s">
        <x:v>58</x:v>
      </x:c>
      <x:c r="I903" s="8" t="s">
        <x:v>58</x:v>
      </x:c>
      <x:c r="J903" s="7" t="s">
        <x:v>1919</x:v>
      </x:c>
      <x:c r="K903" s="8" t="n">
        <x:v>1</x:v>
      </x:c>
      <x:c r="L903" s="8" t="n">
        <x:f aca="0">IF(AND(ISNUMBER(G903),P903&lt;&gt;"Unresolved unit / layout"),G903*K903,"Not applicable")</x:f>
        <x:v>220</x:v>
      </x:c>
      <x:c r="M903" s="8" t="str">
        <x:f aca="0">IF(AND(ISNUMBER(H903),P903&lt;&gt;"Unresolved unit / layout"),H903*K903,"Not applicable")</x:f>
        <x:v>Not applicable</x:v>
      </x:c>
      <x:c r="N903" s="8" t="str">
        <x:f aca="0">IF(AND(ISNUMBER(I903),P903&lt;&gt;"Unresolved unit / layout"),I903*K903,"Not applicable")</x:f>
        <x:v>Not applicable</x:v>
      </x:c>
      <x:c r="O903" s="7" t="s">
        <x:v>1956</x:v>
      </x:c>
      <x:c r="P903" s="7" t="s">
        <x:v>1921</x:v>
      </x:c>
      <x:c r="Q903" s="7" t="s">
        <x:v>1930</x:v>
      </x:c>
      <x:c r="R903" s="7" t="s">
        <x:v>58</x:v>
      </x:c>
      <x:c r="S903" s="7" t="s">
        <x:v>2077</x:v>
      </x:c>
      <x:c r="T903" s="7" t="s">
        <x:v>3095</x:v>
      </x:c>
      <x:c r="U903" s="7" t="s">
        <x:v>53</x:v>
      </x:c>
      <x:c r="V903" s="7" t="s">
        <x:v>1984</x:v>
      </x:c>
      <x:c r="W903" s="7" t="s">
        <x:v>58</x:v>
      </x:c>
      <x:c r="X903" s="7" t="s">
        <x:v>3826</x:v>
      </x:c>
      <x:c r="Y903" s="7" t="s">
        <x:v>1272</x:v>
      </x:c>
      <x:c r="Z903" s="7" t="s">
        <x:v>2092</x:v>
      </x:c>
      <x:c r="AA903" s="7" t="s">
        <x:v>58</x:v>
      </x:c>
      <x:c r="AB903" s="8" t="s">
        <x:v>58</x:v>
      </x:c>
      <x:c r="AC903" s="8" t="s">
        <x:v>58</x:v>
      </x:c>
      <x:c r="AD903" s="8" t="s">
        <x:v>58</x:v>
      </x:c>
      <x:c r="AE903" s="8" t="s">
        <x:v>58</x:v>
      </x:c>
      <x:c r="AF903" s="8" t="s">
        <x:v>58</x:v>
      </x:c>
      <x:c r="AG903" s="7" t="s">
        <x:v>58</x:v>
      </x:c>
    </x:row>
    <x:row r="904" ht="79.5" hidden="0" customHeight="1">
      <x:c r="A904" s="7" t="s">
        <x:v>3833</x:v>
      </x:c>
      <x:c r="B904" s="7" t="s">
        <x:v>576</x:v>
      </x:c>
      <x:c r="C904" s="7" t="s">
        <x:v>578</x:v>
      </x:c>
      <x:c r="D904" s="7" t="s">
        <x:v>1959</x:v>
      </x:c>
      <x:c r="E904" s="7" t="s">
        <x:v>3834</x:v>
      </x:c>
      <x:c r="F904" s="7" t="s">
        <x:v>1956</x:v>
      </x:c>
      <x:c r="G904" s="8" t="n">
        <x:v>170</x:v>
      </x:c>
      <x:c r="H904" s="8" t="s">
        <x:v>58</x:v>
      </x:c>
      <x:c r="I904" s="8" t="s">
        <x:v>58</x:v>
      </x:c>
      <x:c r="J904" s="7" t="s">
        <x:v>1919</x:v>
      </x:c>
      <x:c r="K904" s="8" t="n">
        <x:v>1</x:v>
      </x:c>
      <x:c r="L904" s="8" t="n">
        <x:f aca="0">IF(AND(ISNUMBER(G904),P904&lt;&gt;"Unresolved unit / layout"),G904*K904,"Not applicable")</x:f>
        <x:v>170</x:v>
      </x:c>
      <x:c r="M904" s="8" t="str">
        <x:f aca="0">IF(AND(ISNUMBER(H904),P904&lt;&gt;"Unresolved unit / layout"),H904*K904,"Not applicable")</x:f>
        <x:v>Not applicable</x:v>
      </x:c>
      <x:c r="N904" s="8" t="str">
        <x:f aca="0">IF(AND(ISNUMBER(I904),P904&lt;&gt;"Unresolved unit / layout"),I904*K904,"Not applicable")</x:f>
        <x:v>Not applicable</x:v>
      </x:c>
      <x:c r="O904" s="7" t="s">
        <x:v>1956</x:v>
      </x:c>
      <x:c r="P904" s="7" t="s">
        <x:v>1921</x:v>
      </x:c>
      <x:c r="Q904" s="7" t="s">
        <x:v>1930</x:v>
      </x:c>
      <x:c r="R904" s="7" t="s">
        <x:v>58</x:v>
      </x:c>
      <x:c r="S904" s="7" t="s">
        <x:v>2077</x:v>
      </x:c>
      <x:c r="T904" s="7" t="s">
        <x:v>3095</x:v>
      </x:c>
      <x:c r="U904" s="7" t="s">
        <x:v>53</x:v>
      </x:c>
      <x:c r="V904" s="7" t="s">
        <x:v>2095</x:v>
      </x:c>
      <x:c r="W904" s="7" t="s">
        <x:v>58</x:v>
      </x:c>
      <x:c r="X904" s="7" t="s">
        <x:v>3826</x:v>
      </x:c>
      <x:c r="Y904" s="7" t="s">
        <x:v>1272</x:v>
      </x:c>
      <x:c r="Z904" s="7" t="s">
        <x:v>2096</x:v>
      </x:c>
      <x:c r="AA904" s="7" t="s">
        <x:v>58</x:v>
      </x:c>
      <x:c r="AB904" s="8" t="s">
        <x:v>58</x:v>
      </x:c>
      <x:c r="AC904" s="8" t="s">
        <x:v>58</x:v>
      </x:c>
      <x:c r="AD904" s="8" t="s">
        <x:v>58</x:v>
      </x:c>
      <x:c r="AE904" s="8" t="s">
        <x:v>58</x:v>
      </x:c>
      <x:c r="AF904" s="8" t="s">
        <x:v>58</x:v>
      </x:c>
      <x:c r="AG904" s="7" t="s">
        <x:v>58</x:v>
      </x:c>
    </x:row>
    <x:row r="905" ht="79.5" hidden="0" customHeight="1">
      <x:c r="A905" s="7" t="s">
        <x:v>583</x:v>
      </x:c>
      <x:c r="B905" s="7" t="s">
        <x:v>576</x:v>
      </x:c>
      <x:c r="C905" s="7" t="s">
        <x:v>578</x:v>
      </x:c>
      <x:c r="D905" s="7" t="s">
        <x:v>1959</x:v>
      </x:c>
      <x:c r="E905" s="7" t="s">
        <x:v>3835</x:v>
      </x:c>
      <x:c r="F905" s="7" t="s">
        <x:v>1956</x:v>
      </x:c>
      <x:c r="G905" s="8" t="n">
        <x:v>194</x:v>
      </x:c>
      <x:c r="H905" s="8" t="s">
        <x:v>58</x:v>
      </x:c>
      <x:c r="I905" s="8" t="s">
        <x:v>58</x:v>
      </x:c>
      <x:c r="J905" s="7" t="s">
        <x:v>1919</x:v>
      </x:c>
      <x:c r="K905" s="8" t="n">
        <x:v>1</x:v>
      </x:c>
      <x:c r="L905" s="8" t="n">
        <x:f aca="0">IF(AND(ISNUMBER(G905),P905&lt;&gt;"Unresolved unit / layout"),G905*K905,"Not applicable")</x:f>
        <x:v>194</x:v>
      </x:c>
      <x:c r="M905" s="8" t="str">
        <x:f aca="0">IF(AND(ISNUMBER(H905),P905&lt;&gt;"Unresolved unit / layout"),H905*K905,"Not applicable")</x:f>
        <x:v>Not applicable</x:v>
      </x:c>
      <x:c r="N905" s="8" t="str">
        <x:f aca="0">IF(AND(ISNUMBER(I905),P905&lt;&gt;"Unresolved unit / layout"),I905*K905,"Not applicable")</x:f>
        <x:v>Not applicable</x:v>
      </x:c>
      <x:c r="O905" s="7" t="s">
        <x:v>1956</x:v>
      </x:c>
      <x:c r="P905" s="7" t="s">
        <x:v>1921</x:v>
      </x:c>
      <x:c r="Q905" s="7" t="s">
        <x:v>1930</x:v>
      </x:c>
      <x:c r="R905" s="7" t="s">
        <x:v>58</x:v>
      </x:c>
      <x:c r="S905" s="7" t="s">
        <x:v>2077</x:v>
      </x:c>
      <x:c r="T905" s="7" t="s">
        <x:v>3095</x:v>
      </x:c>
      <x:c r="U905" s="7" t="s">
        <x:v>53</x:v>
      </x:c>
      <x:c r="V905" s="7" t="s">
        <x:v>2097</x:v>
      </x:c>
      <x:c r="W905" s="7" t="s">
        <x:v>58</x:v>
      </x:c>
      <x:c r="X905" s="7" t="s">
        <x:v>3826</x:v>
      </x:c>
      <x:c r="Y905" s="7" t="s">
        <x:v>1272</x:v>
      </x:c>
      <x:c r="Z905" s="7" t="s">
        <x:v>2096</x:v>
      </x:c>
      <x:c r="AA905" s="7" t="s">
        <x:v>58</x:v>
      </x:c>
      <x:c r="AB905" s="8" t="s">
        <x:v>58</x:v>
      </x:c>
      <x:c r="AC905" s="8" t="s">
        <x:v>58</x:v>
      </x:c>
      <x:c r="AD905" s="8" t="s">
        <x:v>58</x:v>
      </x:c>
      <x:c r="AE905" s="8" t="s">
        <x:v>58</x:v>
      </x:c>
      <x:c r="AF905" s="8" t="s">
        <x:v>58</x:v>
      </x:c>
      <x:c r="AG905" s="7" t="s">
        <x:v>58</x:v>
      </x:c>
    </x:row>
    <x:row r="906" ht="79.5" hidden="0" customHeight="1">
      <x:c r="A906" s="7" t="s">
        <x:v>3836</x:v>
      </x:c>
      <x:c r="B906" s="7" t="s">
        <x:v>576</x:v>
      </x:c>
      <x:c r="C906" s="7" t="s">
        <x:v>578</x:v>
      </x:c>
      <x:c r="D906" s="7" t="s">
        <x:v>2099</x:v>
      </x:c>
      <x:c r="E906" s="7" t="s">
        <x:v>3837</x:v>
      </x:c>
      <x:c r="F906" s="7" t="s">
        <x:v>1942</x:v>
      </x:c>
      <x:c r="G906" s="8" t="n">
        <x:v>0.88</x:v>
      </x:c>
      <x:c r="H906" s="8" t="s">
        <x:v>58</x:v>
      </x:c>
      <x:c r="I906" s="8" t="s">
        <x:v>58</x:v>
      </x:c>
      <x:c r="J906" s="7" t="s">
        <x:v>1919</x:v>
      </x:c>
      <x:c r="K906" s="8" t="n">
        <x:v>1</x:v>
      </x:c>
      <x:c r="L906" s="8" t="n">
        <x:f aca="0">IF(AND(ISNUMBER(G906),P906&lt;&gt;"Unresolved unit / layout"),G906*K906,"Not applicable")</x:f>
        <x:v>0.88</x:v>
      </x:c>
      <x:c r="M906" s="8" t="str">
        <x:f aca="0">IF(AND(ISNUMBER(H906),P906&lt;&gt;"Unresolved unit / layout"),H906*K906,"Not applicable")</x:f>
        <x:v>Not applicable</x:v>
      </x:c>
      <x:c r="N906" s="8" t="str">
        <x:f aca="0">IF(AND(ISNUMBER(I906),P906&lt;&gt;"Unresolved unit / layout"),I906*K906,"Not applicable")</x:f>
        <x:v>Not applicable</x:v>
      </x:c>
      <x:c r="O906" s="7" t="s">
        <x:v>1942</x:v>
      </x:c>
      <x:c r="P906" s="7" t="s">
        <x:v>1921</x:v>
      </x:c>
      <x:c r="Q906" s="7" t="s">
        <x:v>1930</x:v>
      </x:c>
      <x:c r="R906" s="7" t="s">
        <x:v>58</x:v>
      </x:c>
      <x:c r="S906" s="7" t="s">
        <x:v>2077</x:v>
      </x:c>
      <x:c r="T906" s="7" t="s">
        <x:v>3095</x:v>
      </x:c>
      <x:c r="U906" s="7" t="s">
        <x:v>53</x:v>
      </x:c>
      <x:c r="V906" s="7" t="s">
        <x:v>2192</x:v>
      </x:c>
      <x:c r="W906" s="7" t="s">
        <x:v>58</x:v>
      </x:c>
      <x:c r="X906" s="7" t="s">
        <x:v>3826</x:v>
      </x:c>
      <x:c r="Y906" s="7" t="s">
        <x:v>1272</x:v>
      </x:c>
      <x:c r="Z906" s="7" t="s">
        <x:v>2193</x:v>
      </x:c>
      <x:c r="AA906" s="7" t="s">
        <x:v>58</x:v>
      </x:c>
      <x:c r="AB906" s="8" t="s">
        <x:v>58</x:v>
      </x:c>
      <x:c r="AC906" s="8" t="s">
        <x:v>58</x:v>
      </x:c>
      <x:c r="AD906" s="8" t="s">
        <x:v>58</x:v>
      </x:c>
      <x:c r="AE906" s="8" t="s">
        <x:v>58</x:v>
      </x:c>
      <x:c r="AF906" s="8" t="s">
        <x:v>58</x:v>
      </x:c>
      <x:c r="AG906" s="7" t="s">
        <x:v>58</x:v>
      </x:c>
    </x:row>
    <x:row r="907" ht="79.5" hidden="0" customHeight="1">
      <x:c r="A907" s="7" t="s">
        <x:v>3838</x:v>
      </x:c>
      <x:c r="B907" s="7" t="s">
        <x:v>576</x:v>
      </x:c>
      <x:c r="C907" s="7" t="s">
        <x:v>578</x:v>
      </x:c>
      <x:c r="D907" s="7" t="s">
        <x:v>1935</x:v>
      </x:c>
      <x:c r="E907" s="7" t="s">
        <x:v>3839</x:v>
      </x:c>
      <x:c r="F907" s="7" t="s">
        <x:v>1929</x:v>
      </x:c>
      <x:c r="G907" s="8" t="n">
        <x:v>3860</x:v>
      </x:c>
      <x:c r="H907" s="8" t="n">
        <x:v>230</x:v>
      </x:c>
      <x:c r="I907" s="8" t="s">
        <x:v>58</x:v>
      </x:c>
      <x:c r="J907" s="7" t="s">
        <x:v>1919</x:v>
      </x:c>
      <x:c r="K907" s="8" t="n">
        <x:v>0.001</x:v>
      </x:c>
      <x:c r="L907" s="8" t="n">
        <x:f aca="0">IF(AND(ISNUMBER(G907),P907&lt;&gt;"Unresolved unit / layout"),G907*K907,"Not applicable")</x:f>
        <x:v>3.86</x:v>
      </x:c>
      <x:c r="M907" s="8" t="n">
        <x:f aca="0">IF(AND(ISNUMBER(H907),P907&lt;&gt;"Unresolved unit / layout"),H907*K907,"Not applicable")</x:f>
        <x:v>0.23</x:v>
      </x:c>
      <x:c r="N907" s="8" t="str">
        <x:f aca="0">IF(AND(ISNUMBER(I907),P907&lt;&gt;"Unresolved unit / layout"),I907*K907,"Not applicable")</x:f>
        <x:v>Not applicable</x:v>
      </x:c>
      <x:c r="O907" s="7" t="s">
        <x:v>1937</x:v>
      </x:c>
      <x:c r="P907" s="7" t="s">
        <x:v>1921</x:v>
      </x:c>
      <x:c r="Q907" s="7" t="s">
        <x:v>1930</x:v>
      </x:c>
      <x:c r="R907" s="7" t="s">
        <x:v>1931</x:v>
      </x:c>
      <x:c r="S907" s="7" t="s">
        <x:v>3378</x:v>
      </x:c>
      <x:c r="T907" s="7" t="s">
        <x:v>3095</x:v>
      </x:c>
      <x:c r="U907" s="7" t="s">
        <x:v>53</x:v>
      </x:c>
      <x:c r="V907" s="7" t="s">
        <x:v>1999</x:v>
      </x:c>
      <x:c r="W907" s="7" t="s">
        <x:v>58</x:v>
      </x:c>
      <x:c r="X907" s="7" t="s">
        <x:v>3826</x:v>
      </x:c>
      <x:c r="Y907" s="7" t="s">
        <x:v>1272</x:v>
      </x:c>
      <x:c r="Z907" s="7" t="s">
        <x:v>2105</x:v>
      </x:c>
      <x:c r="AA907" s="7" t="s">
        <x:v>58</x:v>
      </x:c>
      <x:c r="AB907" s="8" t="s">
        <x:v>58</x:v>
      </x:c>
      <x:c r="AC907" s="8" t="s">
        <x:v>58</x:v>
      </x:c>
      <x:c r="AD907" s="8" t="s">
        <x:v>58</x:v>
      </x:c>
      <x:c r="AE907" s="8" t="s">
        <x:v>58</x:v>
      </x:c>
      <x:c r="AF907" s="8" t="s">
        <x:v>58</x:v>
      </x:c>
      <x:c r="AG907" s="7" t="s">
        <x:v>58</x:v>
      </x:c>
    </x:row>
    <x:row r="908" ht="79.5" hidden="0" customHeight="1">
      <x:c r="A908" s="7" t="s">
        <x:v>3840</x:v>
      </x:c>
      <x:c r="B908" s="7" t="s">
        <x:v>576</x:v>
      </x:c>
      <x:c r="C908" s="7" t="s">
        <x:v>578</x:v>
      </x:c>
      <x:c r="D908" s="7" t="s">
        <x:v>1935</x:v>
      </x:c>
      <x:c r="E908" s="7" t="s">
        <x:v>3841</x:v>
      </x:c>
      <x:c r="F908" s="7" t="s">
        <x:v>1929</x:v>
      </x:c>
      <x:c r="G908" s="8" t="n">
        <x:v>2180</x:v>
      </x:c>
      <x:c r="H908" s="8" t="n">
        <x:v>130</x:v>
      </x:c>
      <x:c r="I908" s="8" t="s">
        <x:v>58</x:v>
      </x:c>
      <x:c r="J908" s="7" t="s">
        <x:v>1919</x:v>
      </x:c>
      <x:c r="K908" s="8" t="n">
        <x:v>0.001</x:v>
      </x:c>
      <x:c r="L908" s="8" t="n">
        <x:f aca="0">IF(AND(ISNUMBER(G908),P908&lt;&gt;"Unresolved unit / layout"),G908*K908,"Not applicable")</x:f>
        <x:v>2.18</x:v>
      </x:c>
      <x:c r="M908" s="8" t="n">
        <x:f aca="0">IF(AND(ISNUMBER(H908),P908&lt;&gt;"Unresolved unit / layout"),H908*K908,"Not applicable")</x:f>
        <x:v>0.13</x:v>
      </x:c>
      <x:c r="N908" s="8" t="str">
        <x:f aca="0">IF(AND(ISNUMBER(I908),P908&lt;&gt;"Unresolved unit / layout"),I908*K908,"Not applicable")</x:f>
        <x:v>Not applicable</x:v>
      </x:c>
      <x:c r="O908" s="7" t="s">
        <x:v>1937</x:v>
      </x:c>
      <x:c r="P908" s="7" t="s">
        <x:v>1921</x:v>
      </x:c>
      <x:c r="Q908" s="7" t="s">
        <x:v>1930</x:v>
      </x:c>
      <x:c r="R908" s="7" t="s">
        <x:v>2003</x:v>
      </x:c>
      <x:c r="S908" s="7" t="s">
        <x:v>3378</x:v>
      </x:c>
      <x:c r="T908" s="7" t="s">
        <x:v>3095</x:v>
      </x:c>
      <x:c r="U908" s="7" t="s">
        <x:v>53</x:v>
      </x:c>
      <x:c r="V908" s="7" t="s">
        <x:v>1999</x:v>
      </x:c>
      <x:c r="W908" s="7" t="s">
        <x:v>58</x:v>
      </x:c>
      <x:c r="X908" s="7" t="s">
        <x:v>3826</x:v>
      </x:c>
      <x:c r="Y908" s="7" t="s">
        <x:v>1272</x:v>
      </x:c>
      <x:c r="Z908" s="7" t="s">
        <x:v>2108</x:v>
      </x:c>
      <x:c r="AA908" s="7" t="s">
        <x:v>58</x:v>
      </x:c>
      <x:c r="AB908" s="8" t="s">
        <x:v>58</x:v>
      </x:c>
      <x:c r="AC908" s="8" t="s">
        <x:v>58</x:v>
      </x:c>
      <x:c r="AD908" s="8" t="s">
        <x:v>58</x:v>
      </x:c>
      <x:c r="AE908" s="8" t="s">
        <x:v>58</x:v>
      </x:c>
      <x:c r="AF908" s="8" t="s">
        <x:v>58</x:v>
      </x:c>
      <x:c r="AG908" s="7" t="s">
        <x:v>58</x:v>
      </x:c>
    </x:row>
    <x:row r="909" ht="79.5" hidden="0" customHeight="1">
      <x:c r="A909" s="7" t="s">
        <x:v>3842</x:v>
      </x:c>
      <x:c r="B909" s="7" t="s">
        <x:v>576</x:v>
      </x:c>
      <x:c r="C909" s="7" t="s">
        <x:v>578</x:v>
      </x:c>
      <x:c r="D909" s="7" t="s">
        <x:v>2006</x:v>
      </x:c>
      <x:c r="E909" s="7" t="s">
        <x:v>3843</x:v>
      </x:c>
      <x:c r="F909" s="7" t="s">
        <x:v>1929</x:v>
      </x:c>
      <x:c r="G909" s="8" t="n">
        <x:v>92</x:v>
      </x:c>
      <x:c r="H909" s="8" t="n">
        <x:v>7</x:v>
      </x:c>
      <x:c r="I909" s="8" t="s">
        <x:v>58</x:v>
      </x:c>
      <x:c r="J909" s="7" t="s">
        <x:v>1919</x:v>
      </x:c>
      <x:c r="K909" s="8" t="n">
        <x:v>1</x:v>
      </x:c>
      <x:c r="L909" s="8" t="n">
        <x:f aca="0">IF(AND(ISNUMBER(G909),P909&lt;&gt;"Unresolved unit / layout"),G909*K909,"Not applicable")</x:f>
        <x:v>92</x:v>
      </x:c>
      <x:c r="M909" s="8" t="n">
        <x:f aca="0">IF(AND(ISNUMBER(H909),P909&lt;&gt;"Unresolved unit / layout"),H909*K909,"Not applicable")</x:f>
        <x:v>7</x:v>
      </x:c>
      <x:c r="N909" s="8" t="str">
        <x:f aca="0">IF(AND(ISNUMBER(I909),P909&lt;&gt;"Unresolved unit / layout"),I909*K909,"Not applicable")</x:f>
        <x:v>Not applicable</x:v>
      </x:c>
      <x:c r="O909" s="7" t="s">
        <x:v>1929</x:v>
      </x:c>
      <x:c r="P909" s="7" t="s">
        <x:v>1921</x:v>
      </x:c>
      <x:c r="Q909" s="7" t="s">
        <x:v>1930</x:v>
      </x:c>
      <x:c r="R909" s="7" t="s">
        <x:v>1931</x:v>
      </x:c>
      <x:c r="S909" s="7" t="s">
        <x:v>3378</x:v>
      </x:c>
      <x:c r="T909" s="7" t="s">
        <x:v>3095</x:v>
      </x:c>
      <x:c r="U909" s="7" t="s">
        <x:v>53</x:v>
      </x:c>
      <x:c r="V909" s="7" t="s">
        <x:v>1999</x:v>
      </x:c>
      <x:c r="W909" s="7" t="s">
        <x:v>58</x:v>
      </x:c>
      <x:c r="X909" s="7" t="s">
        <x:v>3826</x:v>
      </x:c>
      <x:c r="Y909" s="7" t="s">
        <x:v>1272</x:v>
      </x:c>
      <x:c r="Z909" s="7" t="s">
        <x:v>2111</x:v>
      </x:c>
      <x:c r="AA909" s="7" t="s">
        <x:v>58</x:v>
      </x:c>
      <x:c r="AB909" s="8" t="s">
        <x:v>58</x:v>
      </x:c>
      <x:c r="AC909" s="8" t="s">
        <x:v>58</x:v>
      </x:c>
      <x:c r="AD909" s="8" t="s">
        <x:v>58</x:v>
      </x:c>
      <x:c r="AE909" s="8" t="s">
        <x:v>58</x:v>
      </x:c>
      <x:c r="AF909" s="8" t="s">
        <x:v>58</x:v>
      </x:c>
      <x:c r="AG909" s="7" t="s">
        <x:v>58</x:v>
      </x:c>
    </x:row>
    <x:row r="910" ht="79.5" hidden="0" customHeight="1">
      <x:c r="A910" s="7" t="s">
        <x:v>3844</x:v>
      </x:c>
      <x:c r="B910" s="7" t="s">
        <x:v>576</x:v>
      </x:c>
      <x:c r="C910" s="7" t="s">
        <x:v>578</x:v>
      </x:c>
      <x:c r="D910" s="7" t="s">
        <x:v>2006</x:v>
      </x:c>
      <x:c r="E910" s="7" t="s">
        <x:v>3845</x:v>
      </x:c>
      <x:c r="F910" s="7" t="s">
        <x:v>1929</x:v>
      </x:c>
      <x:c r="G910" s="8" t="n">
        <x:v>47</x:v>
      </x:c>
      <x:c r="H910" s="8" t="n">
        <x:v>5</x:v>
      </x:c>
      <x:c r="I910" s="8" t="s">
        <x:v>58</x:v>
      </x:c>
      <x:c r="J910" s="7" t="s">
        <x:v>1919</x:v>
      </x:c>
      <x:c r="K910" s="8" t="n">
        <x:v>1</x:v>
      </x:c>
      <x:c r="L910" s="8" t="n">
        <x:f aca="0">IF(AND(ISNUMBER(G910),P910&lt;&gt;"Unresolved unit / layout"),G910*K910,"Not applicable")</x:f>
        <x:v>47</x:v>
      </x:c>
      <x:c r="M910" s="8" t="n">
        <x:f aca="0">IF(AND(ISNUMBER(H910),P910&lt;&gt;"Unresolved unit / layout"),H910*K910,"Not applicable")</x:f>
        <x:v>5</x:v>
      </x:c>
      <x:c r="N910" s="8" t="str">
        <x:f aca="0">IF(AND(ISNUMBER(I910),P910&lt;&gt;"Unresolved unit / layout"),I910*K910,"Not applicable")</x:f>
        <x:v>Not applicable</x:v>
      </x:c>
      <x:c r="O910" s="7" t="s">
        <x:v>1929</x:v>
      </x:c>
      <x:c r="P910" s="7" t="s">
        <x:v>1921</x:v>
      </x:c>
      <x:c r="Q910" s="7" t="s">
        <x:v>1930</x:v>
      </x:c>
      <x:c r="R910" s="7" t="s">
        <x:v>2003</x:v>
      </x:c>
      <x:c r="S910" s="7" t="s">
        <x:v>3378</x:v>
      </x:c>
      <x:c r="T910" s="7" t="s">
        <x:v>3095</x:v>
      </x:c>
      <x:c r="U910" s="7" t="s">
        <x:v>53</x:v>
      </x:c>
      <x:c r="V910" s="7" t="s">
        <x:v>1999</x:v>
      </x:c>
      <x:c r="W910" s="7" t="s">
        <x:v>58</x:v>
      </x:c>
      <x:c r="X910" s="7" t="s">
        <x:v>3826</x:v>
      </x:c>
      <x:c r="Y910" s="7" t="s">
        <x:v>1272</x:v>
      </x:c>
      <x:c r="Z910" s="7" t="s">
        <x:v>2114</x:v>
      </x:c>
      <x:c r="AA910" s="7" t="s">
        <x:v>58</x:v>
      </x:c>
      <x:c r="AB910" s="8" t="s">
        <x:v>58</x:v>
      </x:c>
      <x:c r="AC910" s="8" t="s">
        <x:v>58</x:v>
      </x:c>
      <x:c r="AD910" s="8" t="s">
        <x:v>58</x:v>
      </x:c>
      <x:c r="AE910" s="8" t="s">
        <x:v>58</x:v>
      </x:c>
      <x:c r="AF910" s="8" t="s">
        <x:v>58</x:v>
      </x:c>
      <x:c r="AG910" s="7" t="s">
        <x:v>58</x:v>
      </x:c>
    </x:row>
    <x:row r="911" ht="79.5" hidden="0" customHeight="1">
      <x:c r="A911" s="7" t="s">
        <x:v>3846</x:v>
      </x:c>
      <x:c r="B911" s="7" t="s">
        <x:v>576</x:v>
      </x:c>
      <x:c r="C911" s="7" t="s">
        <x:v>578</x:v>
      </x:c>
      <x:c r="D911" s="7" t="s">
        <x:v>1940</x:v>
      </x:c>
      <x:c r="E911" s="7" t="s">
        <x:v>3847</x:v>
      </x:c>
      <x:c r="F911" s="7" t="s">
        <x:v>1942</x:v>
      </x:c>
      <x:c r="G911" s="8" t="n">
        <x:v>8.4</x:v>
      </x:c>
      <x:c r="H911" s="8" t="n">
        <x:v>1.8</x:v>
      </x:c>
      <x:c r="I911" s="8" t="s">
        <x:v>58</x:v>
      </x:c>
      <x:c r="J911" s="7" t="s">
        <x:v>1919</x:v>
      </x:c>
      <x:c r="K911" s="8" t="n">
        <x:v>1</x:v>
      </x:c>
      <x:c r="L911" s="8" t="n">
        <x:f aca="0">IF(AND(ISNUMBER(G911),P911&lt;&gt;"Unresolved unit / layout"),G911*K911,"Not applicable")</x:f>
        <x:v>8.4</x:v>
      </x:c>
      <x:c r="M911" s="8" t="n">
        <x:f aca="0">IF(AND(ISNUMBER(H911),P911&lt;&gt;"Unresolved unit / layout"),H911*K911,"Not applicable")</x:f>
        <x:v>1.8</x:v>
      </x:c>
      <x:c r="N911" s="8" t="str">
        <x:f aca="0">IF(AND(ISNUMBER(I911),P911&lt;&gt;"Unresolved unit / layout"),I911*K911,"Not applicable")</x:f>
        <x:v>Not applicable</x:v>
      </x:c>
      <x:c r="O911" s="7" t="s">
        <x:v>1942</x:v>
      </x:c>
      <x:c r="P911" s="7" t="s">
        <x:v>1921</x:v>
      </x:c>
      <x:c r="Q911" s="7" t="s">
        <x:v>1930</x:v>
      </x:c>
      <x:c r="R911" s="7" t="s">
        <x:v>1931</x:v>
      </x:c>
      <x:c r="S911" s="7" t="s">
        <x:v>3378</x:v>
      </x:c>
      <x:c r="T911" s="7" t="s">
        <x:v>3095</x:v>
      </x:c>
      <x:c r="U911" s="7" t="s">
        <x:v>53</x:v>
      </x:c>
      <x:c r="V911" s="7" t="s">
        <x:v>1999</x:v>
      </x:c>
      <x:c r="W911" s="7" t="s">
        <x:v>58</x:v>
      </x:c>
      <x:c r="X911" s="7" t="s">
        <x:v>3826</x:v>
      </x:c>
      <x:c r="Y911" s="7" t="s">
        <x:v>1272</x:v>
      </x:c>
      <x:c r="Z911" s="7" t="s">
        <x:v>2117</x:v>
      </x:c>
      <x:c r="AA911" s="7" t="s">
        <x:v>58</x:v>
      </x:c>
      <x:c r="AB911" s="8" t="s">
        <x:v>58</x:v>
      </x:c>
      <x:c r="AC911" s="8" t="s">
        <x:v>58</x:v>
      </x:c>
      <x:c r="AD911" s="8" t="s">
        <x:v>58</x:v>
      </x:c>
      <x:c r="AE911" s="8" t="s">
        <x:v>58</x:v>
      </x:c>
      <x:c r="AF911" s="8" t="s">
        <x:v>58</x:v>
      </x:c>
      <x:c r="AG911" s="7" t="s">
        <x:v>58</x:v>
      </x:c>
    </x:row>
    <x:row r="912" ht="79.5" hidden="0" customHeight="1">
      <x:c r="A912" s="7" t="s">
        <x:v>3848</x:v>
      </x:c>
      <x:c r="B912" s="7" t="s">
        <x:v>576</x:v>
      </x:c>
      <x:c r="C912" s="7" t="s">
        <x:v>578</x:v>
      </x:c>
      <x:c r="D912" s="7" t="s">
        <x:v>1940</x:v>
      </x:c>
      <x:c r="E912" s="7" t="s">
        <x:v>3849</x:v>
      </x:c>
      <x:c r="F912" s="7" t="s">
        <x:v>1942</x:v>
      </x:c>
      <x:c r="G912" s="8" t="n">
        <x:v>4.1</x:v>
      </x:c>
      <x:c r="H912" s="8" t="n">
        <x:v>1.2</x:v>
      </x:c>
      <x:c r="I912" s="8" t="s">
        <x:v>58</x:v>
      </x:c>
      <x:c r="J912" s="7" t="s">
        <x:v>1919</x:v>
      </x:c>
      <x:c r="K912" s="8" t="n">
        <x:v>1</x:v>
      </x:c>
      <x:c r="L912" s="8" t="n">
        <x:f aca="0">IF(AND(ISNUMBER(G912),P912&lt;&gt;"Unresolved unit / layout"),G912*K912,"Not applicable")</x:f>
        <x:v>4.1</x:v>
      </x:c>
      <x:c r="M912" s="8" t="n">
        <x:f aca="0">IF(AND(ISNUMBER(H912),P912&lt;&gt;"Unresolved unit / layout"),H912*K912,"Not applicable")</x:f>
        <x:v>1.2</x:v>
      </x:c>
      <x:c r="N912" s="8" t="str">
        <x:f aca="0">IF(AND(ISNUMBER(I912),P912&lt;&gt;"Unresolved unit / layout"),I912*K912,"Not applicable")</x:f>
        <x:v>Not applicable</x:v>
      </x:c>
      <x:c r="O912" s="7" t="s">
        <x:v>1942</x:v>
      </x:c>
      <x:c r="P912" s="7" t="s">
        <x:v>1921</x:v>
      </x:c>
      <x:c r="Q912" s="7" t="s">
        <x:v>1930</x:v>
      </x:c>
      <x:c r="R912" s="7" t="s">
        <x:v>2003</x:v>
      </x:c>
      <x:c r="S912" s="7" t="s">
        <x:v>3378</x:v>
      </x:c>
      <x:c r="T912" s="7" t="s">
        <x:v>3095</x:v>
      </x:c>
      <x:c r="U912" s="7" t="s">
        <x:v>53</x:v>
      </x:c>
      <x:c r="V912" s="7" t="s">
        <x:v>1999</x:v>
      </x:c>
      <x:c r="W912" s="7" t="s">
        <x:v>58</x:v>
      </x:c>
      <x:c r="X912" s="7" t="s">
        <x:v>3826</x:v>
      </x:c>
      <x:c r="Y912" s="7" t="s">
        <x:v>1272</x:v>
      </x:c>
      <x:c r="Z912" s="7" t="s">
        <x:v>2120</x:v>
      </x:c>
      <x:c r="AA912" s="7" t="s">
        <x:v>58</x:v>
      </x:c>
      <x:c r="AB912" s="8" t="s">
        <x:v>58</x:v>
      </x:c>
      <x:c r="AC912" s="8" t="s">
        <x:v>58</x:v>
      </x:c>
      <x:c r="AD912" s="8" t="s">
        <x:v>58</x:v>
      </x:c>
      <x:c r="AE912" s="8" t="s">
        <x:v>58</x:v>
      </x:c>
      <x:c r="AF912" s="8" t="s">
        <x:v>58</x:v>
      </x:c>
      <x:c r="AG912" s="7" t="s">
        <x:v>58</x:v>
      </x:c>
    </x:row>
    <x:row r="913" ht="79.5" hidden="0" customHeight="1">
      <x:c r="A913" s="7" t="s">
        <x:v>3850</x:v>
      </x:c>
      <x:c r="B913" s="7" t="s">
        <x:v>576</x:v>
      </x:c>
      <x:c r="C913" s="7" t="s">
        <x:v>578</x:v>
      </x:c>
      <x:c r="D913" s="7" t="s">
        <x:v>1950</x:v>
      </x:c>
      <x:c r="E913" s="7" t="s">
        <x:v>3851</x:v>
      </x:c>
      <x:c r="F913" s="7" t="s">
        <x:v>1929</x:v>
      </x:c>
      <x:c r="G913" s="8" t="n">
        <x:v>4230</x:v>
      </x:c>
      <x:c r="H913" s="8" t="n">
        <x:v>210</x:v>
      </x:c>
      <x:c r="I913" s="8" t="s">
        <x:v>58</x:v>
      </x:c>
      <x:c r="J913" s="7" t="s">
        <x:v>1919</x:v>
      </x:c>
      <x:c r="K913" s="8" t="n">
        <x:v>0.001</x:v>
      </x:c>
      <x:c r="L913" s="8" t="n">
        <x:f aca="0">IF(AND(ISNUMBER(G913),P913&lt;&gt;"Unresolved unit / layout"),G913*K913,"Not applicable")</x:f>
        <x:v>4.23</x:v>
      </x:c>
      <x:c r="M913" s="8" t="n">
        <x:f aca="0">IF(AND(ISNUMBER(H913),P913&lt;&gt;"Unresolved unit / layout"),H913*K913,"Not applicable")</x:f>
        <x:v>0.21</x:v>
      </x:c>
      <x:c r="N913" s="8" t="str">
        <x:f aca="0">IF(AND(ISNUMBER(I913),P913&lt;&gt;"Unresolved unit / layout"),I913*K913,"Not applicable")</x:f>
        <x:v>Not applicable</x:v>
      </x:c>
      <x:c r="O913" s="7" t="s">
        <x:v>1937</x:v>
      </x:c>
      <x:c r="P913" s="7" t="s">
        <x:v>1921</x:v>
      </x:c>
      <x:c r="Q913" s="7" t="s">
        <x:v>1930</x:v>
      </x:c>
      <x:c r="R913" s="7" t="s">
        <x:v>1931</x:v>
      </x:c>
      <x:c r="S913" s="7" t="s">
        <x:v>3378</x:v>
      </x:c>
      <x:c r="T913" s="7" t="s">
        <x:v>3095</x:v>
      </x:c>
      <x:c r="U913" s="7" t="s">
        <x:v>53</x:v>
      </x:c>
      <x:c r="V913" s="7" t="s">
        <x:v>2020</x:v>
      </x:c>
      <x:c r="W913" s="7" t="s">
        <x:v>58</x:v>
      </x:c>
      <x:c r="X913" s="7" t="s">
        <x:v>3826</x:v>
      </x:c>
      <x:c r="Y913" s="7" t="s">
        <x:v>1272</x:v>
      </x:c>
      <x:c r="Z913" s="7" t="s">
        <x:v>2123</x:v>
      </x:c>
      <x:c r="AA913" s="7" t="s">
        <x:v>58</x:v>
      </x:c>
      <x:c r="AB913" s="8" t="s">
        <x:v>58</x:v>
      </x:c>
      <x:c r="AC913" s="8" t="s">
        <x:v>58</x:v>
      </x:c>
      <x:c r="AD913" s="8" t="s">
        <x:v>58</x:v>
      </x:c>
      <x:c r="AE913" s="8" t="s">
        <x:v>58</x:v>
      </x:c>
      <x:c r="AF913" s="8" t="s">
        <x:v>58</x:v>
      </x:c>
      <x:c r="AG913" s="7" t="s">
        <x:v>58</x:v>
      </x:c>
    </x:row>
    <x:row r="914" ht="79.5" hidden="0" customHeight="1">
      <x:c r="A914" s="7" t="s">
        <x:v>3852</x:v>
      </x:c>
      <x:c r="B914" s="7" t="s">
        <x:v>576</x:v>
      </x:c>
      <x:c r="C914" s="7" t="s">
        <x:v>578</x:v>
      </x:c>
      <x:c r="D914" s="7" t="s">
        <x:v>1950</x:v>
      </x:c>
      <x:c r="E914" s="7" t="s">
        <x:v>3853</x:v>
      </x:c>
      <x:c r="F914" s="7" t="s">
        <x:v>1929</x:v>
      </x:c>
      <x:c r="G914" s="8" t="n">
        <x:v>1820</x:v>
      </x:c>
      <x:c r="H914" s="8" t="n">
        <x:v>170</x:v>
      </x:c>
      <x:c r="I914" s="8" t="s">
        <x:v>58</x:v>
      </x:c>
      <x:c r="J914" s="7" t="s">
        <x:v>1919</x:v>
      </x:c>
      <x:c r="K914" s="8" t="n">
        <x:v>0.001</x:v>
      </x:c>
      <x:c r="L914" s="8" t="n">
        <x:f aca="0">IF(AND(ISNUMBER(G914),P914&lt;&gt;"Unresolved unit / layout"),G914*K914,"Not applicable")</x:f>
        <x:v>1.82</x:v>
      </x:c>
      <x:c r="M914" s="8" t="n">
        <x:f aca="0">IF(AND(ISNUMBER(H914),P914&lt;&gt;"Unresolved unit / layout"),H914*K914,"Not applicable")</x:f>
        <x:v>0.17</x:v>
      </x:c>
      <x:c r="N914" s="8" t="str">
        <x:f aca="0">IF(AND(ISNUMBER(I914),P914&lt;&gt;"Unresolved unit / layout"),I914*K914,"Not applicable")</x:f>
        <x:v>Not applicable</x:v>
      </x:c>
      <x:c r="O914" s="7" t="s">
        <x:v>1937</x:v>
      </x:c>
      <x:c r="P914" s="7" t="s">
        <x:v>1921</x:v>
      </x:c>
      <x:c r="Q914" s="7" t="s">
        <x:v>1930</x:v>
      </x:c>
      <x:c r="R914" s="7" t="s">
        <x:v>2003</x:v>
      </x:c>
      <x:c r="S914" s="7" t="s">
        <x:v>3378</x:v>
      </x:c>
      <x:c r="T914" s="7" t="s">
        <x:v>3095</x:v>
      </x:c>
      <x:c r="U914" s="7" t="s">
        <x:v>53</x:v>
      </x:c>
      <x:c r="V914" s="7" t="s">
        <x:v>2020</x:v>
      </x:c>
      <x:c r="W914" s="7" t="s">
        <x:v>58</x:v>
      </x:c>
      <x:c r="X914" s="7" t="s">
        <x:v>3826</x:v>
      </x:c>
      <x:c r="Y914" s="7" t="s">
        <x:v>1272</x:v>
      </x:c>
      <x:c r="Z914" s="7" t="s">
        <x:v>2210</x:v>
      </x:c>
      <x:c r="AA914" s="7" t="s">
        <x:v>58</x:v>
      </x:c>
      <x:c r="AB914" s="8" t="s">
        <x:v>58</x:v>
      </x:c>
      <x:c r="AC914" s="8" t="s">
        <x:v>58</x:v>
      </x:c>
      <x:c r="AD914" s="8" t="s">
        <x:v>58</x:v>
      </x:c>
      <x:c r="AE914" s="8" t="s">
        <x:v>58</x:v>
      </x:c>
      <x:c r="AF914" s="8" t="s">
        <x:v>58</x:v>
      </x:c>
      <x:c r="AG914" s="7" t="s">
        <x:v>58</x:v>
      </x:c>
    </x:row>
    <x:row r="915" ht="79.5" hidden="0" customHeight="1">
      <x:c r="A915" s="7" t="s">
        <x:v>3854</x:v>
      </x:c>
      <x:c r="B915" s="7" t="s">
        <x:v>576</x:v>
      </x:c>
      <x:c r="C915" s="7" t="s">
        <x:v>578</x:v>
      </x:c>
      <x:c r="D915" s="7" t="s">
        <x:v>1945</x:v>
      </x:c>
      <x:c r="E915" s="7" t="s">
        <x:v>3855</x:v>
      </x:c>
      <x:c r="F915" s="7" t="s">
        <x:v>1929</x:v>
      </x:c>
      <x:c r="G915" s="8" t="n">
        <x:v>125</x:v>
      </x:c>
      <x:c r="H915" s="8" t="n">
        <x:v>7</x:v>
      </x:c>
      <x:c r="I915" s="8" t="s">
        <x:v>58</x:v>
      </x:c>
      <x:c r="J915" s="7" t="s">
        <x:v>1919</x:v>
      </x:c>
      <x:c r="K915" s="8" t="n">
        <x:v>1</x:v>
      </x:c>
      <x:c r="L915" s="8" t="n">
        <x:f aca="0">IF(AND(ISNUMBER(G915),P915&lt;&gt;"Unresolved unit / layout"),G915*K915,"Not applicable")</x:f>
        <x:v>125</x:v>
      </x:c>
      <x:c r="M915" s="8" t="n">
        <x:f aca="0">IF(AND(ISNUMBER(H915),P915&lt;&gt;"Unresolved unit / layout"),H915*K915,"Not applicable")</x:f>
        <x:v>7</x:v>
      </x:c>
      <x:c r="N915" s="8" t="str">
        <x:f aca="0">IF(AND(ISNUMBER(I915),P915&lt;&gt;"Unresolved unit / layout"),I915*K915,"Not applicable")</x:f>
        <x:v>Not applicable</x:v>
      </x:c>
      <x:c r="O915" s="7" t="s">
        <x:v>1929</x:v>
      </x:c>
      <x:c r="P915" s="7" t="s">
        <x:v>1921</x:v>
      </x:c>
      <x:c r="Q915" s="7" t="s">
        <x:v>1930</x:v>
      </x:c>
      <x:c r="R915" s="7" t="s">
        <x:v>1931</x:v>
      </x:c>
      <x:c r="S915" s="7" t="s">
        <x:v>3378</x:v>
      </x:c>
      <x:c r="T915" s="7" t="s">
        <x:v>3095</x:v>
      </x:c>
      <x:c r="U915" s="7" t="s">
        <x:v>53</x:v>
      </x:c>
      <x:c r="V915" s="7" t="s">
        <x:v>2020</x:v>
      </x:c>
      <x:c r="W915" s="7" t="s">
        <x:v>58</x:v>
      </x:c>
      <x:c r="X915" s="7" t="s">
        <x:v>3826</x:v>
      </x:c>
      <x:c r="Y915" s="7" t="s">
        <x:v>1272</x:v>
      </x:c>
      <x:c r="Z915" s="7" t="s">
        <x:v>2213</x:v>
      </x:c>
      <x:c r="AA915" s="7" t="s">
        <x:v>58</x:v>
      </x:c>
      <x:c r="AB915" s="8" t="s">
        <x:v>58</x:v>
      </x:c>
      <x:c r="AC915" s="8" t="s">
        <x:v>58</x:v>
      </x:c>
      <x:c r="AD915" s="8" t="s">
        <x:v>58</x:v>
      </x:c>
      <x:c r="AE915" s="8" t="s">
        <x:v>58</x:v>
      </x:c>
      <x:c r="AF915" s="8" t="s">
        <x:v>58</x:v>
      </x:c>
      <x:c r="AG915" s="7" t="s">
        <x:v>58</x:v>
      </x:c>
    </x:row>
    <x:row r="916" ht="79.5" hidden="0" customHeight="1">
      <x:c r="A916" s="7" t="s">
        <x:v>3856</x:v>
      </x:c>
      <x:c r="B916" s="7" t="s">
        <x:v>576</x:v>
      </x:c>
      <x:c r="C916" s="7" t="s">
        <x:v>578</x:v>
      </x:c>
      <x:c r="D916" s="7" t="s">
        <x:v>1945</x:v>
      </x:c>
      <x:c r="E916" s="7" t="s">
        <x:v>3857</x:v>
      </x:c>
      <x:c r="F916" s="7" t="s">
        <x:v>1929</x:v>
      </x:c>
      <x:c r="G916" s="8" t="n">
        <x:v>61</x:v>
      </x:c>
      <x:c r="H916" s="8" t="n">
        <x:v>5</x:v>
      </x:c>
      <x:c r="I916" s="8" t="s">
        <x:v>58</x:v>
      </x:c>
      <x:c r="J916" s="7" t="s">
        <x:v>1919</x:v>
      </x:c>
      <x:c r="K916" s="8" t="n">
        <x:v>1</x:v>
      </x:c>
      <x:c r="L916" s="8" t="n">
        <x:f aca="0">IF(AND(ISNUMBER(G916),P916&lt;&gt;"Unresolved unit / layout"),G916*K916,"Not applicable")</x:f>
        <x:v>61</x:v>
      </x:c>
      <x:c r="M916" s="8" t="n">
        <x:f aca="0">IF(AND(ISNUMBER(H916),P916&lt;&gt;"Unresolved unit / layout"),H916*K916,"Not applicable")</x:f>
        <x:v>5</x:v>
      </x:c>
      <x:c r="N916" s="8" t="str">
        <x:f aca="0">IF(AND(ISNUMBER(I916),P916&lt;&gt;"Unresolved unit / layout"),I916*K916,"Not applicable")</x:f>
        <x:v>Not applicable</x:v>
      </x:c>
      <x:c r="O916" s="7" t="s">
        <x:v>1929</x:v>
      </x:c>
      <x:c r="P916" s="7" t="s">
        <x:v>1921</x:v>
      </x:c>
      <x:c r="Q916" s="7" t="s">
        <x:v>1930</x:v>
      </x:c>
      <x:c r="R916" s="7" t="s">
        <x:v>2003</x:v>
      </x:c>
      <x:c r="S916" s="7" t="s">
        <x:v>3378</x:v>
      </x:c>
      <x:c r="T916" s="7" t="s">
        <x:v>3095</x:v>
      </x:c>
      <x:c r="U916" s="7" t="s">
        <x:v>53</x:v>
      </x:c>
      <x:c r="V916" s="7" t="s">
        <x:v>2020</x:v>
      </x:c>
      <x:c r="W916" s="7" t="s">
        <x:v>58</x:v>
      </x:c>
      <x:c r="X916" s="7" t="s">
        <x:v>3826</x:v>
      </x:c>
      <x:c r="Y916" s="7" t="s">
        <x:v>1272</x:v>
      </x:c>
      <x:c r="Z916" s="7" t="s">
        <x:v>2216</x:v>
      </x:c>
      <x:c r="AA916" s="7" t="s">
        <x:v>58</x:v>
      </x:c>
      <x:c r="AB916" s="8" t="s">
        <x:v>58</x:v>
      </x:c>
      <x:c r="AC916" s="8" t="s">
        <x:v>58</x:v>
      </x:c>
      <x:c r="AD916" s="8" t="s">
        <x:v>58</x:v>
      </x:c>
      <x:c r="AE916" s="8" t="s">
        <x:v>58</x:v>
      </x:c>
      <x:c r="AF916" s="8" t="s">
        <x:v>58</x:v>
      </x:c>
      <x:c r="AG916" s="7" t="s">
        <x:v>58</x:v>
      </x:c>
    </x:row>
    <x:row r="917" ht="79.5" hidden="0" customHeight="1">
      <x:c r="A917" s="7" t="s">
        <x:v>3858</x:v>
      </x:c>
      <x:c r="B917" s="7" t="s">
        <x:v>576</x:v>
      </x:c>
      <x:c r="C917" s="7" t="s">
        <x:v>578</x:v>
      </x:c>
      <x:c r="D917" s="7" t="s">
        <x:v>2030</x:v>
      </x:c>
      <x:c r="E917" s="7" t="s">
        <x:v>3859</x:v>
      </x:c>
      <x:c r="F917" s="7" t="s">
        <x:v>2033</x:v>
      </x:c>
      <x:c r="G917" s="8" t="n">
        <x:v>57.5</x:v>
      </x:c>
      <x:c r="H917" s="8" t="n">
        <x:v>3.4</x:v>
      </x:c>
      <x:c r="I917" s="8" t="s">
        <x:v>58</x:v>
      </x:c>
      <x:c r="J917" s="7" t="s">
        <x:v>1919</x:v>
      </x:c>
      <x:c r="K917" s="8" t="n">
        <x:v>1</x:v>
      </x:c>
      <x:c r="L917" s="8" t="n">
        <x:f aca="0">IF(AND(ISNUMBER(G917),P917&lt;&gt;"Unresolved unit / layout"),G917*K917,"Not applicable")</x:f>
        <x:v>57.5</x:v>
      </x:c>
      <x:c r="M917" s="8" t="n">
        <x:f aca="0">IF(AND(ISNUMBER(H917),P917&lt;&gt;"Unresolved unit / layout"),H917*K917,"Not applicable")</x:f>
        <x:v>3.4</x:v>
      </x:c>
      <x:c r="N917" s="8" t="str">
        <x:f aca="0">IF(AND(ISNUMBER(I917),P917&lt;&gt;"Unresolved unit / layout"),I917*K917,"Not applicable")</x:f>
        <x:v>Not applicable</x:v>
      </x:c>
      <x:c r="O917" s="7" t="s">
        <x:v>2033</x:v>
      </x:c>
      <x:c r="P917" s="7" t="s">
        <x:v>1921</x:v>
      </x:c>
      <x:c r="Q917" s="7" t="s">
        <x:v>1930</x:v>
      </x:c>
      <x:c r="R917" s="7" t="s">
        <x:v>1931</x:v>
      </x:c>
      <x:c r="S917" s="7" t="s">
        <x:v>3378</x:v>
      </x:c>
      <x:c r="T917" s="7" t="s">
        <x:v>3095</x:v>
      </x:c>
      <x:c r="U917" s="7" t="s">
        <x:v>53</x:v>
      </x:c>
      <x:c r="V917" s="7" t="s">
        <x:v>2036</x:v>
      </x:c>
      <x:c r="W917" s="7" t="s">
        <x:v>2135</x:v>
      </x:c>
      <x:c r="X917" s="7" t="s">
        <x:v>3826</x:v>
      </x:c>
      <x:c r="Y917" s="7" t="s">
        <x:v>1272</x:v>
      </x:c>
      <x:c r="Z917" s="7" t="s">
        <x:v>2219</x:v>
      </x:c>
      <x:c r="AA917" s="7" t="s">
        <x:v>58</x:v>
      </x:c>
      <x:c r="AB917" s="8" t="s">
        <x:v>58</x:v>
      </x:c>
      <x:c r="AC917" s="8" t="s">
        <x:v>58</x:v>
      </x:c>
      <x:c r="AD917" s="8" t="s">
        <x:v>58</x:v>
      </x:c>
      <x:c r="AE917" s="8" t="s">
        <x:v>58</x:v>
      </x:c>
      <x:c r="AF917" s="8" t="s">
        <x:v>58</x:v>
      </x:c>
      <x:c r="AG917" s="7" t="s">
        <x:v>58</x:v>
      </x:c>
    </x:row>
    <x:row r="918" ht="79.5" hidden="0" customHeight="1">
      <x:c r="A918" s="7" t="s">
        <x:v>3860</x:v>
      </x:c>
      <x:c r="B918" s="7" t="s">
        <x:v>576</x:v>
      </x:c>
      <x:c r="C918" s="7" t="s">
        <x:v>578</x:v>
      </x:c>
      <x:c r="D918" s="7" t="s">
        <x:v>2030</x:v>
      </x:c>
      <x:c r="E918" s="7" t="s">
        <x:v>3861</x:v>
      </x:c>
      <x:c r="F918" s="7" t="s">
        <x:v>2033</x:v>
      </x:c>
      <x:c r="G918" s="8" t="n">
        <x:v>22.8</x:v>
      </x:c>
      <x:c r="H918" s="8" t="n">
        <x:v>1.8</x:v>
      </x:c>
      <x:c r="I918" s="8" t="s">
        <x:v>58</x:v>
      </x:c>
      <x:c r="J918" s="7" t="s">
        <x:v>1919</x:v>
      </x:c>
      <x:c r="K918" s="8" t="n">
        <x:v>1</x:v>
      </x:c>
      <x:c r="L918" s="8" t="n">
        <x:f aca="0">IF(AND(ISNUMBER(G918),P918&lt;&gt;"Unresolved unit / layout"),G918*K918,"Not applicable")</x:f>
        <x:v>22.8</x:v>
      </x:c>
      <x:c r="M918" s="8" t="n">
        <x:f aca="0">IF(AND(ISNUMBER(H918),P918&lt;&gt;"Unresolved unit / layout"),H918*K918,"Not applicable")</x:f>
        <x:v>1.8</x:v>
      </x:c>
      <x:c r="N918" s="8" t="str">
        <x:f aca="0">IF(AND(ISNUMBER(I918),P918&lt;&gt;"Unresolved unit / layout"),I918*K918,"Not applicable")</x:f>
        <x:v>Not applicable</x:v>
      </x:c>
      <x:c r="O918" s="7" t="s">
        <x:v>2033</x:v>
      </x:c>
      <x:c r="P918" s="7" t="s">
        <x:v>1921</x:v>
      </x:c>
      <x:c r="Q918" s="7" t="s">
        <x:v>1930</x:v>
      </x:c>
      <x:c r="R918" s="7" t="s">
        <x:v>1931</x:v>
      </x:c>
      <x:c r="S918" s="7" t="s">
        <x:v>3378</x:v>
      </x:c>
      <x:c r="T918" s="7" t="s">
        <x:v>3095</x:v>
      </x:c>
      <x:c r="U918" s="7" t="s">
        <x:v>53</x:v>
      </x:c>
      <x:c r="V918" s="7" t="s">
        <x:v>2036</x:v>
      </x:c>
      <x:c r="W918" s="7" t="s">
        <x:v>2139</x:v>
      </x:c>
      <x:c r="X918" s="7" t="s">
        <x:v>3826</x:v>
      </x:c>
      <x:c r="Y918" s="7" t="s">
        <x:v>1272</x:v>
      </x:c>
      <x:c r="Z918" s="7" t="s">
        <x:v>2222</x:v>
      </x:c>
      <x:c r="AA918" s="7" t="s">
        <x:v>58</x:v>
      </x:c>
      <x:c r="AB918" s="8" t="s">
        <x:v>58</x:v>
      </x:c>
      <x:c r="AC918" s="8" t="s">
        <x:v>58</x:v>
      </x:c>
      <x:c r="AD918" s="8" t="s">
        <x:v>58</x:v>
      </x:c>
      <x:c r="AE918" s="8" t="s">
        <x:v>58</x:v>
      </x:c>
      <x:c r="AF918" s="8" t="s">
        <x:v>58</x:v>
      </x:c>
      <x:c r="AG918" s="7" t="s">
        <x:v>58</x:v>
      </x:c>
    </x:row>
    <x:row r="919" ht="79.5" hidden="0" customHeight="1">
      <x:c r="A919" s="7" t="s">
        <x:v>3862</x:v>
      </x:c>
      <x:c r="B919" s="7" t="s">
        <x:v>576</x:v>
      </x:c>
      <x:c r="C919" s="7" t="s">
        <x:v>578</x:v>
      </x:c>
      <x:c r="D919" s="7" t="s">
        <x:v>2030</x:v>
      </x:c>
      <x:c r="E919" s="7" t="s">
        <x:v>3863</x:v>
      </x:c>
      <x:c r="F919" s="7" t="s">
        <x:v>2033</x:v>
      </x:c>
      <x:c r="G919" s="8" t="n">
        <x:v>13.3</x:v>
      </x:c>
      <x:c r="H919" s="8" t="n">
        <x:v>0.8</x:v>
      </x:c>
      <x:c r="I919" s="8" t="s">
        <x:v>58</x:v>
      </x:c>
      <x:c r="J919" s="7" t="s">
        <x:v>1919</x:v>
      </x:c>
      <x:c r="K919" s="8" t="n">
        <x:v>1</x:v>
      </x:c>
      <x:c r="L919" s="8" t="n">
        <x:f aca="0">IF(AND(ISNUMBER(G919),P919&lt;&gt;"Unresolved unit / layout"),G919*K919,"Not applicable")</x:f>
        <x:v>13.3</x:v>
      </x:c>
      <x:c r="M919" s="8" t="n">
        <x:f aca="0">IF(AND(ISNUMBER(H919),P919&lt;&gt;"Unresolved unit / layout"),H919*K919,"Not applicable")</x:f>
        <x:v>0.8</x:v>
      </x:c>
      <x:c r="N919" s="8" t="str">
        <x:f aca="0">IF(AND(ISNUMBER(I919),P919&lt;&gt;"Unresolved unit / layout"),I919*K919,"Not applicable")</x:f>
        <x:v>Not applicable</x:v>
      </x:c>
      <x:c r="O919" s="7" t="s">
        <x:v>2033</x:v>
      </x:c>
      <x:c r="P919" s="7" t="s">
        <x:v>1921</x:v>
      </x:c>
      <x:c r="Q919" s="7" t="s">
        <x:v>1930</x:v>
      </x:c>
      <x:c r="R919" s="7" t="s">
        <x:v>2003</x:v>
      </x:c>
      <x:c r="S919" s="7" t="s">
        <x:v>3378</x:v>
      </x:c>
      <x:c r="T919" s="7" t="s">
        <x:v>3095</x:v>
      </x:c>
      <x:c r="U919" s="7" t="s">
        <x:v>53</x:v>
      </x:c>
      <x:c r="V919" s="7" t="s">
        <x:v>2343</x:v>
      </x:c>
      <x:c r="W919" s="7" t="s">
        <x:v>53</x:v>
      </x:c>
      <x:c r="X919" s="7" t="s">
        <x:v>3826</x:v>
      </x:c>
      <x:c r="Y919" s="7" t="s">
        <x:v>1272</x:v>
      </x:c>
      <x:c r="Z919" s="7" t="s">
        <x:v>2225</x:v>
      </x:c>
      <x:c r="AA919" s="7" t="s">
        <x:v>58</x:v>
      </x:c>
      <x:c r="AB919" s="8" t="s">
        <x:v>58</x:v>
      </x:c>
      <x:c r="AC919" s="8" t="s">
        <x:v>58</x:v>
      </x:c>
      <x:c r="AD919" s="8" t="s">
        <x:v>58</x:v>
      </x:c>
      <x:c r="AE919" s="8" t="s">
        <x:v>58</x:v>
      </x:c>
      <x:c r="AF919" s="8" t="s">
        <x:v>58</x:v>
      </x:c>
      <x:c r="AG919" s="7" t="s">
        <x:v>58</x:v>
      </x:c>
    </x:row>
    <x:row r="920" ht="51.75" hidden="0" customHeight="1">
      <x:c r="A920" s="7" t="s">
        <x:v>595</x:v>
      </x:c>
      <x:c r="B920" s="7" t="s">
        <x:v>589</x:v>
      </x:c>
      <x:c r="C920" s="7" t="s">
        <x:v>591</x:v>
      </x:c>
      <x:c r="D920" s="7" t="s">
        <x:v>1916</x:v>
      </x:c>
      <x:c r="E920" s="7" t="s">
        <x:v>2769</x:v>
      </x:c>
      <x:c r="F920" s="7" t="s">
        <x:v>1965</x:v>
      </x:c>
      <x:c r="G920" s="8" t="n">
        <x:v>1.25</x:v>
      </x:c>
      <x:c r="H920" s="8" t="s">
        <x:v>58</x:v>
      </x:c>
      <x:c r="I920" s="8" t="s">
        <x:v>58</x:v>
      </x:c>
      <x:c r="J920" s="7" t="s">
        <x:v>1919</x:v>
      </x:c>
      <x:c r="K920" s="8" t="n">
        <x:v>1000</x:v>
      </x:c>
      <x:c r="L920" s="8" t="n">
        <x:f aca="0">IF(AND(ISNUMBER(G920),P920&lt;&gt;"Unresolved unit / layout"),G920*K920,"Not applicable")</x:f>
        <x:v>1250</x:v>
      </x:c>
      <x:c r="M920" s="8" t="str">
        <x:f aca="0">IF(AND(ISNUMBER(H920),P920&lt;&gt;"Unresolved unit / layout"),H920*K920,"Not applicable")</x:f>
        <x:v>Not applicable</x:v>
      </x:c>
      <x:c r="N920" s="8" t="str">
        <x:f aca="0">IF(AND(ISNUMBER(I920),P920&lt;&gt;"Unresolved unit / layout"),I920*K920,"Not applicable")</x:f>
        <x:v>Not applicable</x:v>
      </x:c>
      <x:c r="O920" s="7" t="s">
        <x:v>1920</x:v>
      </x:c>
      <x:c r="P920" s="7" t="s">
        <x:v>1921</x:v>
      </x:c>
      <x:c r="Q920" s="7" t="s">
        <x:v>1922</x:v>
      </x:c>
      <x:c r="R920" s="7" t="s">
        <x:v>58</x:v>
      </x:c>
      <x:c r="S920" s="7" t="s">
        <x:v>53</x:v>
      </x:c>
      <x:c r="T920" s="7" t="s">
        <x:v>53</x:v>
      </x:c>
      <x:c r="U920" s="7" t="s">
        <x:v>53</x:v>
      </x:c>
      <x:c r="V920" s="7" t="s">
        <x:v>1923</x:v>
      </x:c>
      <x:c r="W920" s="7" t="s">
        <x:v>58</x:v>
      </x:c>
      <x:c r="X920" s="7" t="s">
        <x:v>53</x:v>
      </x:c>
      <x:c r="Y920" s="7" t="s">
        <x:v>1271</x:v>
      </x:c>
      <x:c r="Z920" s="7" t="s">
        <x:v>3809</x:v>
      </x:c>
      <x:c r="AA920" s="7" t="s">
        <x:v>58</x:v>
      </x:c>
      <x:c r="AB920" s="8" t="s">
        <x:v>58</x:v>
      </x:c>
      <x:c r="AC920" s="8" t="s">
        <x:v>58</x:v>
      </x:c>
      <x:c r="AD920" s="8" t="s">
        <x:v>58</x:v>
      </x:c>
      <x:c r="AE920" s="8" t="s">
        <x:v>58</x:v>
      </x:c>
      <x:c r="AF920" s="8" t="s">
        <x:v>58</x:v>
      </x:c>
      <x:c r="AG920" s="7" t="s">
        <x:v>58</x:v>
      </x:c>
    </x:row>
    <x:row r="921" ht="37.5" hidden="0" customHeight="1">
      <x:c r="A921" s="7" t="s">
        <x:v>3864</x:v>
      </x:c>
      <x:c r="B921" s="7" t="s">
        <x:v>589</x:v>
      </x:c>
      <x:c r="C921" s="7" t="s">
        <x:v>591</x:v>
      </x:c>
      <x:c r="D921" s="7" t="s">
        <x:v>2099</x:v>
      </x:c>
      <x:c r="E921" s="7" t="s">
        <x:v>3811</x:v>
      </x:c>
      <x:c r="F921" s="7" t="s">
        <x:v>1942</x:v>
      </x:c>
      <x:c r="G921" s="8" t="n">
        <x:v>0.3</x:v>
      </x:c>
      <x:c r="H921" s="8" t="s">
        <x:v>58</x:v>
      </x:c>
      <x:c r="I921" s="8" t="s">
        <x:v>58</x:v>
      </x:c>
      <x:c r="J921" s="7" t="s">
        <x:v>2752</x:v>
      </x:c>
      <x:c r="K921" s="8" t="n">
        <x:v>1</x:v>
      </x:c>
      <x:c r="L921" s="8" t="n">
        <x:f aca="0">IF(AND(ISNUMBER(G921),P921&lt;&gt;"Unresolved unit / layout"),G921*K921,"Not applicable")</x:f>
        <x:v>0.3</x:v>
      </x:c>
      <x:c r="M921" s="8" t="str">
        <x:f aca="0">IF(AND(ISNUMBER(H921),P921&lt;&gt;"Unresolved unit / layout"),H921*K921,"Not applicable")</x:f>
        <x:v>Not applicable</x:v>
      </x:c>
      <x:c r="N921" s="8" t="str">
        <x:f aca="0">IF(AND(ISNUMBER(I921),P921&lt;&gt;"Unresolved unit / layout"),I921*K921,"Not applicable")</x:f>
        <x:v>Not applicable</x:v>
      </x:c>
      <x:c r="O921" s="7" t="s">
        <x:v>1942</x:v>
      </x:c>
      <x:c r="P921" s="7" t="s">
        <x:v>1921</x:v>
      </x:c>
      <x:c r="Q921" s="7" t="s">
        <x:v>2064</x:v>
      </x:c>
      <x:c r="R921" s="7" t="s">
        <x:v>58</x:v>
      </x:c>
      <x:c r="S921" s="7" t="s">
        <x:v>53</x:v>
      </x:c>
      <x:c r="T921" s="7" t="s">
        <x:v>53</x:v>
      </x:c>
      <x:c r="U921" s="7" t="s">
        <x:v>53</x:v>
      </x:c>
      <x:c r="V921" s="7" t="s">
        <x:v>3812</x:v>
      </x:c>
      <x:c r="W921" s="7" t="s">
        <x:v>58</x:v>
      </x:c>
      <x:c r="X921" s="7" t="s">
        <x:v>53</x:v>
      </x:c>
      <x:c r="Y921" s="7" t="s">
        <x:v>1271</x:v>
      </x:c>
      <x:c r="Z921" s="7" t="s">
        <x:v>3813</x:v>
      </x:c>
      <x:c r="AA921" s="7" t="s">
        <x:v>58</x:v>
      </x:c>
      <x:c r="AB921" s="8" t="s">
        <x:v>58</x:v>
      </x:c>
      <x:c r="AC921" s="8" t="s">
        <x:v>58</x:v>
      </x:c>
      <x:c r="AD921" s="8" t="s">
        <x:v>58</x:v>
      </x:c>
      <x:c r="AE921" s="8" t="s">
        <x:v>58</x:v>
      </x:c>
      <x:c r="AF921" s="8" t="s">
        <x:v>58</x:v>
      </x:c>
      <x:c r="AG921" s="7" t="s">
        <x:v>58</x:v>
      </x:c>
    </x:row>
    <x:row r="922" ht="37.5" hidden="0" customHeight="1">
      <x:c r="A922" s="7" t="s">
        <x:v>3865</x:v>
      </x:c>
      <x:c r="B922" s="7" t="s">
        <x:v>589</x:v>
      </x:c>
      <x:c r="C922" s="7" t="s">
        <x:v>591</x:v>
      </x:c>
      <x:c r="D922" s="7" t="s">
        <x:v>2006</x:v>
      </x:c>
      <x:c r="E922" s="7" t="s">
        <x:v>3815</x:v>
      </x:c>
      <x:c r="F922" s="7" t="s">
        <x:v>1929</x:v>
      </x:c>
      <x:c r="G922" s="8" t="n">
        <x:v>78</x:v>
      </x:c>
      <x:c r="H922" s="8" t="s">
        <x:v>58</x:v>
      </x:c>
      <x:c r="I922" s="8" t="s">
        <x:v>58</x:v>
      </x:c>
      <x:c r="J922" s="7" t="s">
        <x:v>1919</x:v>
      </x:c>
      <x:c r="K922" s="8" t="n">
        <x:v>1</x:v>
      </x:c>
      <x:c r="L922" s="8" t="n">
        <x:f aca="0">IF(AND(ISNUMBER(G922),P922&lt;&gt;"Unresolved unit / layout"),G922*K922,"Not applicable")</x:f>
        <x:v>78</x:v>
      </x:c>
      <x:c r="M922" s="8" t="str">
        <x:f aca="0">IF(AND(ISNUMBER(H922),P922&lt;&gt;"Unresolved unit / layout"),H922*K922,"Not applicable")</x:f>
        <x:v>Not applicable</x:v>
      </x:c>
      <x:c r="N922" s="8" t="str">
        <x:f aca="0">IF(AND(ISNUMBER(I922),P922&lt;&gt;"Unresolved unit / layout"),I922*K922,"Not applicable")</x:f>
        <x:v>Not applicable</x:v>
      </x:c>
      <x:c r="O922" s="7" t="s">
        <x:v>1929</x:v>
      </x:c>
      <x:c r="P922" s="7" t="s">
        <x:v>1921</x:v>
      </x:c>
      <x:c r="Q922" s="7" t="s">
        <x:v>2064</x:v>
      </x:c>
      <x:c r="R922" s="7" t="s">
        <x:v>53</x:v>
      </x:c>
      <x:c r="S922" s="7" t="s">
        <x:v>53</x:v>
      </x:c>
      <x:c r="T922" s="7" t="s">
        <x:v>53</x:v>
      </x:c>
      <x:c r="U922" s="7" t="s">
        <x:v>53</x:v>
      </x:c>
      <x:c r="V922" s="7" t="s">
        <x:v>1932</x:v>
      </x:c>
      <x:c r="W922" s="7" t="s">
        <x:v>58</x:v>
      </x:c>
      <x:c r="X922" s="7" t="s">
        <x:v>53</x:v>
      </x:c>
      <x:c r="Y922" s="7" t="s">
        <x:v>1271</x:v>
      </x:c>
      <x:c r="Z922" s="7" t="s">
        <x:v>3816</x:v>
      </x:c>
      <x:c r="AA922" s="7" t="s">
        <x:v>58</x:v>
      </x:c>
      <x:c r="AB922" s="8" t="s">
        <x:v>58</x:v>
      </x:c>
      <x:c r="AC922" s="8" t="s">
        <x:v>58</x:v>
      </x:c>
      <x:c r="AD922" s="8" t="s">
        <x:v>58</x:v>
      </x:c>
      <x:c r="AE922" s="8" t="s">
        <x:v>58</x:v>
      </x:c>
      <x:c r="AF922" s="8" t="s">
        <x:v>58</x:v>
      </x:c>
      <x:c r="AG922" s="7" t="s">
        <x:v>58</x:v>
      </x:c>
    </x:row>
    <x:row r="923" ht="37.5" hidden="0" customHeight="1">
      <x:c r="A923" s="7" t="s">
        <x:v>3866</x:v>
      </x:c>
      <x:c r="B923" s="7" t="s">
        <x:v>589</x:v>
      </x:c>
      <x:c r="C923" s="7" t="s">
        <x:v>591</x:v>
      </x:c>
      <x:c r="D923" s="7" t="str">
        <x:v>Tensile strain at strength</x:v>
      </x:c>
      <x:c r="E923" s="7" t="s">
        <x:v>3818</x:v>
      </x:c>
      <x:c r="F923" s="7" t="s">
        <x:v>1942</x:v>
      </x:c>
      <x:c r="G923" s="8" t="n">
        <x:v>4.4</x:v>
      </x:c>
      <x:c r="H923" s="8" t="s">
        <x:v>58</x:v>
      </x:c>
      <x:c r="I923" s="8" t="s">
        <x:v>58</x:v>
      </x:c>
      <x:c r="J923" s="7" t="s">
        <x:v>1919</x:v>
      </x:c>
      <x:c r="K923" s="8" t="n">
        <x:v>1</x:v>
      </x:c>
      <x:c r="L923" s="8" t="n">
        <x:f aca="0">IF(AND(ISNUMBER(G923),P923&lt;&gt;"Unresolved unit / layout"),G923*K923,"Not applicable")</x:f>
        <x:v>4.4</x:v>
      </x:c>
      <x:c r="M923" s="8" t="str">
        <x:f aca="0">IF(AND(ISNUMBER(H923),P923&lt;&gt;"Unresolved unit / layout"),H923*K923,"Not applicable")</x:f>
        <x:v>Not applicable</x:v>
      </x:c>
      <x:c r="N923" s="8" t="str">
        <x:f aca="0">IF(AND(ISNUMBER(I923),P923&lt;&gt;"Unresolved unit / layout"),I923*K923,"Not applicable")</x:f>
        <x:v>Not applicable</x:v>
      </x:c>
      <x:c r="O923" s="7" t="s">
        <x:v>1942</x:v>
      </x:c>
      <x:c r="P923" s="7" t="str">
        <x:v>Published value (transcription corrected)</x:v>
      </x:c>
      <x:c r="Q923" s="7" t="s">
        <x:v>2064</x:v>
      </x:c>
      <x:c r="R923" s="7" t="s">
        <x:v>53</x:v>
      </x:c>
      <x:c r="S923" s="7" t="str">
        <x:v>Dry (source row); table heading 50% RH</x:v>
      </x:c>
      <x:c r="T923" s="7" t="s">
        <x:v>53</x:v>
      </x:c>
      <x:c r="U923" s="7" t="str">
        <x:v>23°C</x:v>
      </x:c>
      <x:c r="V923" s="7" t="s">
        <x:v>1932</x:v>
      </x:c>
      <x:c r="W923" s="7" t="s">
        <x:v>58</x:v>
      </x:c>
      <x:c r="X923" s="7" t="s">
        <x:v>53</x:v>
      </x:c>
      <x:c r="Y923" s="7" t="s">
        <x:v>1271</x:v>
      </x:c>
      <x:c r="Z923" s="7" t="s">
        <x:v>3819</x:v>
      </x:c>
      <x:c r="AA923" s="7" t="str">
        <x:v>Source says elongation at maximum force, not at break; 4,40% = 4.4%. Dry, 50 mm/min; table heading 23 C / 50% RH. Source SHA256 matched 2026-09-13. SD-01 / SD-02.</x:v>
      </x:c>
      <x:c r="AB923" s="8" t="s">
        <x:v>58</x:v>
      </x:c>
      <x:c r="AC923" s="8" t="s">
        <x:v>58</x:v>
      </x:c>
      <x:c r="AD923" s="8" t="s">
        <x:v>58</x:v>
      </x:c>
      <x:c r="AE923" s="8" t="s">
        <x:v>58</x:v>
      </x:c>
      <x:c r="AF923" s="8" t="s">
        <x:v>58</x:v>
      </x:c>
      <x:c r="AG923" s="7" t="s">
        <x:v>58</x:v>
      </x:c>
    </x:row>
    <x:row r="924" ht="37.5" hidden="0" customHeight="1">
      <x:c r="A924" s="7" t="s">
        <x:v>3867</x:v>
      </x:c>
      <x:c r="B924" s="7" t="s">
        <x:v>589</x:v>
      </x:c>
      <x:c r="C924" s="7" t="s">
        <x:v>591</x:v>
      </x:c>
      <x:c r="D924" s="7" t="s">
        <x:v>2030</x:v>
      </x:c>
      <x:c r="E924" s="7" t="s">
        <x:v>3821</x:v>
      </x:c>
      <x:c r="F924" s="7" t="s">
        <x:v>2032</x:v>
      </x:c>
      <x:c r="G924" s="8" t="n">
        <x:v>90</x:v>
      </x:c>
      <x:c r="H924" s="8" t="s">
        <x:v>58</x:v>
      </x:c>
      <x:c r="I924" s="8" t="s">
        <x:v>58</x:v>
      </x:c>
      <x:c r="J924" s="7" t="s">
        <x:v>1919</x:v>
      </x:c>
      <x:c r="K924" s="8" t="n">
        <x:v>1</x:v>
      </x:c>
      <x:c r="L924" s="8" t="n">
        <x:f aca="0">IF(AND(ISNUMBER(G924),P924&lt;&gt;"Unresolved unit / layout"),G924*K924,"Not applicable")</x:f>
        <x:v>90</x:v>
      </x:c>
      <x:c r="M924" s="8" t="str">
        <x:f aca="0">IF(AND(ISNUMBER(H924),P924&lt;&gt;"Unresolved unit / layout"),H924*K924,"Not applicable")</x:f>
        <x:v>Not applicable</x:v>
      </x:c>
      <x:c r="N924" s="8" t="str">
        <x:f aca="0">IF(AND(ISNUMBER(I924),P924&lt;&gt;"Unresolved unit / layout"),I924*K924,"Not applicable")</x:f>
        <x:v>Not applicable</x:v>
      </x:c>
      <x:c r="O924" s="7" t="s">
        <x:v>2033</x:v>
      </x:c>
      <x:c r="P924" s="7" t="s">
        <x:v>1921</x:v>
      </x:c>
      <x:c r="Q924" s="7" t="s">
        <x:v>2064</x:v>
      </x:c>
      <x:c r="R924" s="7" t="s">
        <x:v>53</x:v>
      </x:c>
      <x:c r="S924" s="7" t="s">
        <x:v>53</x:v>
      </x:c>
      <x:c r="T924" s="7" t="s">
        <x:v>53</x:v>
      </x:c>
      <x:c r="U924" s="7" t="s">
        <x:v>53</x:v>
      </x:c>
      <x:c r="V924" s="7" t="s">
        <x:v>3822</x:v>
      </x:c>
      <x:c r="W924" s="7" t="s">
        <x:v>53</x:v>
      </x:c>
      <x:c r="X924" s="7" t="s">
        <x:v>53</x:v>
      </x:c>
      <x:c r="Y924" s="7" t="s">
        <x:v>1271</x:v>
      </x:c>
      <x:c r="Z924" s="7" t="s">
        <x:v>3823</x:v>
      </x:c>
      <x:c r="AA924" s="7" t="s">
        <x:v>58</x:v>
      </x:c>
      <x:c r="AB924" s="8" t="s">
        <x:v>58</x:v>
      </x:c>
      <x:c r="AC924" s="8" t="s">
        <x:v>58</x:v>
      </x:c>
      <x:c r="AD924" s="8" t="s">
        <x:v>58</x:v>
      </x:c>
      <x:c r="AE924" s="8" t="s">
        <x:v>58</x:v>
      </x:c>
      <x:c r="AF924" s="8" t="s">
        <x:v>58</x:v>
      </x:c>
      <x:c r="AG924" s="7" t="s">
        <x:v>58</x:v>
      </x:c>
    </x:row>
    <x:row r="925" ht="79.5" hidden="0" customHeight="1">
      <x:c r="A925" s="7" t="s">
        <x:v>3868</x:v>
      </x:c>
      <x:c r="B925" s="7" t="s">
        <x:v>598</x:v>
      </x:c>
      <x:c r="C925" s="7" t="s">
        <x:v>600</x:v>
      </x:c>
      <x:c r="D925" s="7" t="s">
        <x:v>1916</x:v>
      </x:c>
      <x:c r="E925" s="7" t="s">
        <x:v>3869</x:v>
      </x:c>
      <x:c r="F925" s="7" t="s">
        <x:v>2076</x:v>
      </x:c>
      <x:c r="G925" s="8" t="n">
        <x:v>1.09</x:v>
      </x:c>
      <x:c r="H925" s="8" t="s">
        <x:v>58</x:v>
      </x:c>
      <x:c r="I925" s="8" t="s">
        <x:v>58</x:v>
      </x:c>
      <x:c r="J925" s="7" t="s">
        <x:v>1919</x:v>
      </x:c>
      <x:c r="K925" s="8" t="n">
        <x:v>1000</x:v>
      </x:c>
      <x:c r="L925" s="8" t="n">
        <x:f aca="0">IF(AND(ISNUMBER(G925),P925&lt;&gt;"Unresolved unit / layout"),G925*K925,"Not applicable")</x:f>
        <x:v>1090</x:v>
      </x:c>
      <x:c r="M925" s="8" t="str">
        <x:f aca="0">IF(AND(ISNUMBER(H925),P925&lt;&gt;"Unresolved unit / layout"),H925*K925,"Not applicable")</x:f>
        <x:v>Not applicable</x:v>
      </x:c>
      <x:c r="N925" s="8" t="str">
        <x:f aca="0">IF(AND(ISNUMBER(I925),P925&lt;&gt;"Unresolved unit / layout"),I925*K925,"Not applicable")</x:f>
        <x:v>Not applicable</x:v>
      </x:c>
      <x:c r="O925" s="7" t="s">
        <x:v>1920</x:v>
      </x:c>
      <x:c r="P925" s="7" t="s">
        <x:v>1921</x:v>
      </x:c>
      <x:c r="Q925" s="7" t="s">
        <x:v>1922</x:v>
      </x:c>
      <x:c r="R925" s="7" t="s">
        <x:v>58</x:v>
      </x:c>
      <x:c r="S925" s="7" t="s">
        <x:v>2077</x:v>
      </x:c>
      <x:c r="T925" s="7" t="s">
        <x:v>3095</x:v>
      </x:c>
      <x:c r="U925" s="7" t="s">
        <x:v>53</x:v>
      </x:c>
      <x:c r="V925" s="7" t="s">
        <x:v>1923</x:v>
      </x:c>
      <x:c r="W925" s="7" t="s">
        <x:v>58</x:v>
      </x:c>
      <x:c r="X925" s="7" t="s">
        <x:v>3870</x:v>
      </x:c>
      <x:c r="Y925" s="7" t="s">
        <x:v>1274</x:v>
      </x:c>
      <x:c r="Z925" s="7" t="s">
        <x:v>1968</x:v>
      </x:c>
      <x:c r="AA925" s="7" t="s">
        <x:v>58</x:v>
      </x:c>
      <x:c r="AB925" s="8" t="s">
        <x:v>58</x:v>
      </x:c>
      <x:c r="AC925" s="8" t="s">
        <x:v>58</x:v>
      </x:c>
      <x:c r="AD925" s="8" t="s">
        <x:v>58</x:v>
      </x:c>
      <x:c r="AE925" s="8" t="s">
        <x:v>58</x:v>
      </x:c>
      <x:c r="AF925" s="8" t="s">
        <x:v>58</x:v>
      </x:c>
      <x:c r="AG925" s="7" t="s">
        <x:v>58</x:v>
      </x:c>
    </x:row>
    <x:row r="926" ht="79.5" hidden="0" customHeight="1">
      <x:c r="A926" s="7" t="s">
        <x:v>3871</x:v>
      </x:c>
      <x:c r="B926" s="7" t="s">
        <x:v>598</x:v>
      </x:c>
      <x:c r="C926" s="7" t="s">
        <x:v>600</x:v>
      </x:c>
      <x:c r="D926" s="7" t="s">
        <x:v>1974</x:v>
      </x:c>
      <x:c r="E926" s="7" t="s">
        <x:v>3872</x:v>
      </x:c>
      <x:c r="F926" s="7" t="s">
        <x:v>1956</x:v>
      </x:c>
      <x:c r="G926" s="8" t="n">
        <x:v>223</x:v>
      </x:c>
      <x:c r="H926" s="8" t="s">
        <x:v>58</x:v>
      </x:c>
      <x:c r="I926" s="8" t="s">
        <x:v>58</x:v>
      </x:c>
      <x:c r="J926" s="7" t="s">
        <x:v>1919</x:v>
      </x:c>
      <x:c r="K926" s="8" t="n">
        <x:v>1</x:v>
      </x:c>
      <x:c r="L926" s="8" t="n">
        <x:f aca="0">IF(AND(ISNUMBER(G926),P926&lt;&gt;"Unresolved unit / layout"),G926*K926,"Not applicable")</x:f>
        <x:v>223</x:v>
      </x:c>
      <x:c r="M926" s="8" t="str">
        <x:f aca="0">IF(AND(ISNUMBER(H926),P926&lt;&gt;"Unresolved unit / layout"),H926*K926,"Not applicable")</x:f>
        <x:v>Not applicable</x:v>
      </x:c>
      <x:c r="N926" s="8" t="str">
        <x:f aca="0">IF(AND(ISNUMBER(I926),P926&lt;&gt;"Unresolved unit / layout"),I926*K926,"Not applicable")</x:f>
        <x:v>Not applicable</x:v>
      </x:c>
      <x:c r="O926" s="7" t="s">
        <x:v>1956</x:v>
      </x:c>
      <x:c r="P926" s="7" t="s">
        <x:v>1921</x:v>
      </x:c>
      <x:c r="Q926" s="7" t="s">
        <x:v>1930</x:v>
      </x:c>
      <x:c r="R926" s="7" t="s">
        <x:v>58</x:v>
      </x:c>
      <x:c r="S926" s="7" t="s">
        <x:v>2077</x:v>
      </x:c>
      <x:c r="T926" s="7" t="s">
        <x:v>3095</x:v>
      </x:c>
      <x:c r="U926" s="7" t="s">
        <x:v>53</x:v>
      </x:c>
      <x:c r="V926" s="7" t="s">
        <x:v>2082</x:v>
      </x:c>
      <x:c r="W926" s="7" t="s">
        <x:v>58</x:v>
      </x:c>
      <x:c r="X926" s="7" t="s">
        <x:v>3870</x:v>
      </x:c>
      <x:c r="Y926" s="7" t="s">
        <x:v>1274</x:v>
      </x:c>
      <x:c r="Z926" s="7" t="s">
        <x:v>2083</x:v>
      </x:c>
      <x:c r="AA926" s="7" t="s">
        <x:v>58</x:v>
      </x:c>
      <x:c r="AB926" s="8" t="s">
        <x:v>58</x:v>
      </x:c>
      <x:c r="AC926" s="8" t="s">
        <x:v>58</x:v>
      </x:c>
      <x:c r="AD926" s="8" t="s">
        <x:v>58</x:v>
      </x:c>
      <x:c r="AE926" s="8" t="s">
        <x:v>58</x:v>
      </x:c>
      <x:c r="AF926" s="8" t="s">
        <x:v>58</x:v>
      </x:c>
      <x:c r="AG926" s="7" t="s">
        <x:v>58</x:v>
      </x:c>
    </x:row>
    <x:row r="927" ht="79.5" hidden="0" customHeight="1">
      <x:c r="A927" s="7" t="s">
        <x:v>3873</x:v>
      </x:c>
      <x:c r="B927" s="7" t="s">
        <x:v>598</x:v>
      </x:c>
      <x:c r="C927" s="7" t="s">
        <x:v>600</x:v>
      </x:c>
      <x:c r="D927" s="7" t="s">
        <x:v>1954</x:v>
      </x:c>
      <x:c r="E927" s="7" t="s">
        <x:v>2864</x:v>
      </x:c>
      <x:c r="F927" s="7" t="s">
        <x:v>1956</x:v>
      </x:c>
      <x:c r="G927" s="8" t="n">
        <x:v>68</x:v>
      </x:c>
      <x:c r="H927" s="8" t="s">
        <x:v>58</x:v>
      </x:c>
      <x:c r="I927" s="8" t="s">
        <x:v>58</x:v>
      </x:c>
      <x:c r="J927" s="7" t="s">
        <x:v>1919</x:v>
      </x:c>
      <x:c r="K927" s="8" t="n">
        <x:v>1</x:v>
      </x:c>
      <x:c r="L927" s="8" t="n">
        <x:f aca="0">IF(AND(ISNUMBER(G927),P927&lt;&gt;"Unresolved unit / layout"),G927*K927,"Not applicable")</x:f>
        <x:v>68</x:v>
      </x:c>
      <x:c r="M927" s="8" t="str">
        <x:f aca="0">IF(AND(ISNUMBER(H927),P927&lt;&gt;"Unresolved unit / layout"),H927*K927,"Not applicable")</x:f>
        <x:v>Not applicable</x:v>
      </x:c>
      <x:c r="N927" s="8" t="str">
        <x:f aca="0">IF(AND(ISNUMBER(I927),P927&lt;&gt;"Unresolved unit / layout"),I927*K927,"Not applicable")</x:f>
        <x:v>Not applicable</x:v>
      </x:c>
      <x:c r="O927" s="7" t="s">
        <x:v>1956</x:v>
      </x:c>
      <x:c r="P927" s="7" t="s">
        <x:v>1921</x:v>
      </x:c>
      <x:c r="Q927" s="7" t="s">
        <x:v>1930</x:v>
      </x:c>
      <x:c r="R927" s="7" t="s">
        <x:v>58</x:v>
      </x:c>
      <x:c r="S927" s="7" t="s">
        <x:v>2077</x:v>
      </x:c>
      <x:c r="T927" s="7" t="s">
        <x:v>3095</x:v>
      </x:c>
      <x:c r="U927" s="7" t="s">
        <x:v>53</x:v>
      </x:c>
      <x:c r="V927" s="7" t="s">
        <x:v>2082</x:v>
      </x:c>
      <x:c r="W927" s="7" t="s">
        <x:v>58</x:v>
      </x:c>
      <x:c r="X927" s="7" t="s">
        <x:v>3870</x:v>
      </x:c>
      <x:c r="Y927" s="7" t="s">
        <x:v>1274</x:v>
      </x:c>
      <x:c r="Z927" s="7" t="s">
        <x:v>2086</x:v>
      </x:c>
      <x:c r="AA927" s="7" t="s">
        <x:v>58</x:v>
      </x:c>
      <x:c r="AB927" s="8" t="s">
        <x:v>58</x:v>
      </x:c>
      <x:c r="AC927" s="8" t="s">
        <x:v>58</x:v>
      </x:c>
      <x:c r="AD927" s="8" t="s">
        <x:v>58</x:v>
      </x:c>
      <x:c r="AE927" s="8" t="s">
        <x:v>58</x:v>
      </x:c>
      <x:c r="AF927" s="8" t="s">
        <x:v>58</x:v>
      </x:c>
      <x:c r="AG927" s="7" t="s">
        <x:v>58</x:v>
      </x:c>
    </x:row>
    <x:row r="928" ht="79.5" hidden="0" customHeight="1">
      <x:c r="A928" s="7" t="s">
        <x:v>3874</x:v>
      </x:c>
      <x:c r="B928" s="7" t="s">
        <x:v>598</x:v>
      </x:c>
      <x:c r="C928" s="7" t="s">
        <x:v>600</x:v>
      </x:c>
      <x:c r="D928" s="7" t="s">
        <x:v>1978</x:v>
      </x:c>
      <x:c r="E928" s="7" t="s">
        <x:v>3875</x:v>
      </x:c>
      <x:c r="F928" s="7" t="s">
        <x:v>1956</x:v>
      </x:c>
      <x:c r="G928" s="8" t="n">
        <x:v>185</x:v>
      </x:c>
      <x:c r="H928" s="8" t="s">
        <x:v>58</x:v>
      </x:c>
      <x:c r="I928" s="8" t="s">
        <x:v>58</x:v>
      </x:c>
      <x:c r="J928" s="7" t="s">
        <x:v>1919</x:v>
      </x:c>
      <x:c r="K928" s="8" t="n">
        <x:v>1</x:v>
      </x:c>
      <x:c r="L928" s="8" t="n">
        <x:f aca="0">IF(AND(ISNUMBER(G928),P928&lt;&gt;"Unresolved unit / layout"),G928*K928,"Not applicable")</x:f>
        <x:v>185</x:v>
      </x:c>
      <x:c r="M928" s="8" t="str">
        <x:f aca="0">IF(AND(ISNUMBER(H928),P928&lt;&gt;"Unresolved unit / layout"),H928*K928,"Not applicable")</x:f>
        <x:v>Not applicable</x:v>
      </x:c>
      <x:c r="N928" s="8" t="str">
        <x:f aca="0">IF(AND(ISNUMBER(I928),P928&lt;&gt;"Unresolved unit / layout"),I928*K928,"Not applicable")</x:f>
        <x:v>Not applicable</x:v>
      </x:c>
      <x:c r="O928" s="7" t="s">
        <x:v>1956</x:v>
      </x:c>
      <x:c r="P928" s="7" t="s">
        <x:v>1921</x:v>
      </x:c>
      <x:c r="Q928" s="7" t="s">
        <x:v>1930</x:v>
      </x:c>
      <x:c r="R928" s="7" t="s">
        <x:v>58</x:v>
      </x:c>
      <x:c r="S928" s="7" t="s">
        <x:v>2077</x:v>
      </x:c>
      <x:c r="T928" s="7" t="s">
        <x:v>3095</x:v>
      </x:c>
      <x:c r="U928" s="7" t="s">
        <x:v>53</x:v>
      </x:c>
      <x:c r="V928" s="7" t="s">
        <x:v>2082</x:v>
      </x:c>
      <x:c r="W928" s="7" t="s">
        <x:v>58</x:v>
      </x:c>
      <x:c r="X928" s="7" t="s">
        <x:v>3870</x:v>
      </x:c>
      <x:c r="Y928" s="7" t="s">
        <x:v>1274</x:v>
      </x:c>
      <x:c r="Z928" s="7" t="s">
        <x:v>2188</x:v>
      </x:c>
      <x:c r="AA928" s="7" t="s">
        <x:v>58</x:v>
      </x:c>
      <x:c r="AB928" s="8" t="s">
        <x:v>58</x:v>
      </x:c>
      <x:c r="AC928" s="8" t="s">
        <x:v>58</x:v>
      </x:c>
      <x:c r="AD928" s="8" t="s">
        <x:v>58</x:v>
      </x:c>
      <x:c r="AE928" s="8" t="s">
        <x:v>58</x:v>
      </x:c>
      <x:c r="AF928" s="8" t="s">
        <x:v>58</x:v>
      </x:c>
      <x:c r="AG928" s="7" t="s">
        <x:v>58</x:v>
      </x:c>
    </x:row>
    <x:row r="929" ht="79.5" hidden="0" customHeight="1">
      <x:c r="A929" s="7" t="s">
        <x:v>3876</x:v>
      </x:c>
      <x:c r="B929" s="7" t="s">
        <x:v>598</x:v>
      </x:c>
      <x:c r="C929" s="7" t="s">
        <x:v>600</x:v>
      </x:c>
      <x:c r="D929" s="7" t="s">
        <x:v>1982</x:v>
      </x:c>
      <x:c r="E929" s="7" t="s">
        <x:v>3877</x:v>
      </x:c>
      <x:c r="F929" s="7" t="s">
        <x:v>1956</x:v>
      </x:c>
      <x:c r="G929" s="8" t="n">
        <x:v>212</x:v>
      </x:c>
      <x:c r="H929" s="8" t="s">
        <x:v>58</x:v>
      </x:c>
      <x:c r="I929" s="8" t="s">
        <x:v>58</x:v>
      </x:c>
      <x:c r="J929" s="7" t="s">
        <x:v>1919</x:v>
      </x:c>
      <x:c r="K929" s="8" t="n">
        <x:v>1</x:v>
      </x:c>
      <x:c r="L929" s="8" t="n">
        <x:f aca="0">IF(AND(ISNUMBER(G929),P929&lt;&gt;"Unresolved unit / layout"),G929*K929,"Not applicable")</x:f>
        <x:v>212</x:v>
      </x:c>
      <x:c r="M929" s="8" t="str">
        <x:f aca="0">IF(AND(ISNUMBER(H929),P929&lt;&gt;"Unresolved unit / layout"),H929*K929,"Not applicable")</x:f>
        <x:v>Not applicable</x:v>
      </x:c>
      <x:c r="N929" s="8" t="str">
        <x:f aca="0">IF(AND(ISNUMBER(I929),P929&lt;&gt;"Unresolved unit / layout"),I929*K929,"Not applicable")</x:f>
        <x:v>Not applicable</x:v>
      </x:c>
      <x:c r="O929" s="7" t="s">
        <x:v>1956</x:v>
      </x:c>
      <x:c r="P929" s="7" t="s">
        <x:v>1921</x:v>
      </x:c>
      <x:c r="Q929" s="7" t="s">
        <x:v>1930</x:v>
      </x:c>
      <x:c r="R929" s="7" t="s">
        <x:v>58</x:v>
      </x:c>
      <x:c r="S929" s="7" t="s">
        <x:v>2077</x:v>
      </x:c>
      <x:c r="T929" s="7" t="s">
        <x:v>3095</x:v>
      </x:c>
      <x:c r="U929" s="7" t="s">
        <x:v>53</x:v>
      </x:c>
      <x:c r="V929" s="7" t="s">
        <x:v>1984</x:v>
      </x:c>
      <x:c r="W929" s="7" t="s">
        <x:v>58</x:v>
      </x:c>
      <x:c r="X929" s="7" t="s">
        <x:v>3870</x:v>
      </x:c>
      <x:c r="Y929" s="7" t="s">
        <x:v>1274</x:v>
      </x:c>
      <x:c r="Z929" s="7" t="s">
        <x:v>2234</x:v>
      </x:c>
      <x:c r="AA929" s="7" t="s">
        <x:v>58</x:v>
      </x:c>
      <x:c r="AB929" s="8" t="s">
        <x:v>58</x:v>
      </x:c>
      <x:c r="AC929" s="8" t="s">
        <x:v>58</x:v>
      </x:c>
      <x:c r="AD929" s="8" t="s">
        <x:v>58</x:v>
      </x:c>
      <x:c r="AE929" s="8" t="s">
        <x:v>58</x:v>
      </x:c>
      <x:c r="AF929" s="8" t="s">
        <x:v>58</x:v>
      </x:c>
      <x:c r="AG929" s="7" t="s">
        <x:v>58</x:v>
      </x:c>
    </x:row>
    <x:row r="930" ht="79.5" hidden="0" customHeight="1">
      <x:c r="A930" s="7" t="s">
        <x:v>3878</x:v>
      </x:c>
      <x:c r="B930" s="7" t="s">
        <x:v>598</x:v>
      </x:c>
      <x:c r="C930" s="7" t="s">
        <x:v>600</x:v>
      </x:c>
      <x:c r="D930" s="7" t="s">
        <x:v>1959</x:v>
      </x:c>
      <x:c r="E930" s="7" t="s">
        <x:v>1975</x:v>
      </x:c>
      <x:c r="F930" s="7" t="s">
        <x:v>1956</x:v>
      </x:c>
      <x:c r="G930" s="8" t="n">
        <x:v>164</x:v>
      </x:c>
      <x:c r="H930" s="8" t="s">
        <x:v>58</x:v>
      </x:c>
      <x:c r="I930" s="8" t="s">
        <x:v>58</x:v>
      </x:c>
      <x:c r="J930" s="7" t="s">
        <x:v>1919</x:v>
      </x:c>
      <x:c r="K930" s="8" t="n">
        <x:v>1</x:v>
      </x:c>
      <x:c r="L930" s="8" t="n">
        <x:f aca="0">IF(AND(ISNUMBER(G930),P930&lt;&gt;"Unresolved unit / layout"),G930*K930,"Not applicable")</x:f>
        <x:v>164</x:v>
      </x:c>
      <x:c r="M930" s="8" t="str">
        <x:f aca="0">IF(AND(ISNUMBER(H930),P930&lt;&gt;"Unresolved unit / layout"),H930*K930,"Not applicable")</x:f>
        <x:v>Not applicable</x:v>
      </x:c>
      <x:c r="N930" s="8" t="str">
        <x:f aca="0">IF(AND(ISNUMBER(I930),P930&lt;&gt;"Unresolved unit / layout"),I930*K930,"Not applicable")</x:f>
        <x:v>Not applicable</x:v>
      </x:c>
      <x:c r="O930" s="7" t="s">
        <x:v>1956</x:v>
      </x:c>
      <x:c r="P930" s="7" t="s">
        <x:v>1921</x:v>
      </x:c>
      <x:c r="Q930" s="7" t="s">
        <x:v>1930</x:v>
      </x:c>
      <x:c r="R930" s="7" t="s">
        <x:v>58</x:v>
      </x:c>
      <x:c r="S930" s="7" t="s">
        <x:v>2077</x:v>
      </x:c>
      <x:c r="T930" s="7" t="s">
        <x:v>3095</x:v>
      </x:c>
      <x:c r="U930" s="7" t="s">
        <x:v>53</x:v>
      </x:c>
      <x:c r="V930" s="7" t="s">
        <x:v>2095</x:v>
      </x:c>
      <x:c r="W930" s="7" t="s">
        <x:v>58</x:v>
      </x:c>
      <x:c r="X930" s="7" t="s">
        <x:v>3870</x:v>
      </x:c>
      <x:c r="Y930" s="7" t="s">
        <x:v>1274</x:v>
      </x:c>
      <x:c r="Z930" s="7" t="s">
        <x:v>2096</x:v>
      </x:c>
      <x:c r="AA930" s="7" t="s">
        <x:v>58</x:v>
      </x:c>
      <x:c r="AB930" s="8" t="s">
        <x:v>58</x:v>
      </x:c>
      <x:c r="AC930" s="8" t="s">
        <x:v>58</x:v>
      </x:c>
      <x:c r="AD930" s="8" t="s">
        <x:v>58</x:v>
      </x:c>
      <x:c r="AE930" s="8" t="s">
        <x:v>58</x:v>
      </x:c>
      <x:c r="AF930" s="8" t="s">
        <x:v>58</x:v>
      </x:c>
      <x:c r="AG930" s="7" t="s">
        <x:v>58</x:v>
      </x:c>
    </x:row>
    <x:row r="931" ht="79.5" hidden="0" customHeight="1">
      <x:c r="A931" s="7" t="s">
        <x:v>603</x:v>
      </x:c>
      <x:c r="B931" s="7" t="s">
        <x:v>598</x:v>
      </x:c>
      <x:c r="C931" s="7" t="s">
        <x:v>600</x:v>
      </x:c>
      <x:c r="D931" s="7" t="s">
        <x:v>1959</x:v>
      </x:c>
      <x:c r="E931" s="7" t="s">
        <x:v>3879</x:v>
      </x:c>
      <x:c r="F931" s="7" t="s">
        <x:v>1956</x:v>
      </x:c>
      <x:c r="G931" s="8" t="n">
        <x:v>186</x:v>
      </x:c>
      <x:c r="H931" s="8" t="s">
        <x:v>58</x:v>
      </x:c>
      <x:c r="I931" s="8" t="s">
        <x:v>58</x:v>
      </x:c>
      <x:c r="J931" s="7" t="s">
        <x:v>1919</x:v>
      </x:c>
      <x:c r="K931" s="8" t="n">
        <x:v>1</x:v>
      </x:c>
      <x:c r="L931" s="8" t="n">
        <x:f aca="0">IF(AND(ISNUMBER(G931),P931&lt;&gt;"Unresolved unit / layout"),G931*K931,"Not applicable")</x:f>
        <x:v>186</x:v>
      </x:c>
      <x:c r="M931" s="8" t="str">
        <x:f aca="0">IF(AND(ISNUMBER(H931),P931&lt;&gt;"Unresolved unit / layout"),H931*K931,"Not applicable")</x:f>
        <x:v>Not applicable</x:v>
      </x:c>
      <x:c r="N931" s="8" t="str">
        <x:f aca="0">IF(AND(ISNUMBER(I931),P931&lt;&gt;"Unresolved unit / layout"),I931*K931,"Not applicable")</x:f>
        <x:v>Not applicable</x:v>
      </x:c>
      <x:c r="O931" s="7" t="s">
        <x:v>1956</x:v>
      </x:c>
      <x:c r="P931" s="7" t="s">
        <x:v>1921</x:v>
      </x:c>
      <x:c r="Q931" s="7" t="s">
        <x:v>1930</x:v>
      </x:c>
      <x:c r="R931" s="7" t="s">
        <x:v>58</x:v>
      </x:c>
      <x:c r="S931" s="7" t="s">
        <x:v>2077</x:v>
      </x:c>
      <x:c r="T931" s="7" t="s">
        <x:v>3095</x:v>
      </x:c>
      <x:c r="U931" s="7" t="s">
        <x:v>53</x:v>
      </x:c>
      <x:c r="V931" s="7" t="s">
        <x:v>2097</x:v>
      </x:c>
      <x:c r="W931" s="7" t="s">
        <x:v>58</x:v>
      </x:c>
      <x:c r="X931" s="7" t="s">
        <x:v>3870</x:v>
      </x:c>
      <x:c r="Y931" s="7" t="s">
        <x:v>1274</x:v>
      </x:c>
      <x:c r="Z931" s="7" t="s">
        <x:v>2096</x:v>
      </x:c>
      <x:c r="AA931" s="7" t="s">
        <x:v>58</x:v>
      </x:c>
      <x:c r="AB931" s="8" t="s">
        <x:v>58</x:v>
      </x:c>
      <x:c r="AC931" s="8" t="s">
        <x:v>58</x:v>
      </x:c>
      <x:c r="AD931" s="8" t="s">
        <x:v>58</x:v>
      </x:c>
      <x:c r="AE931" s="8" t="s">
        <x:v>58</x:v>
      </x:c>
      <x:c r="AF931" s="8" t="s">
        <x:v>58</x:v>
      </x:c>
      <x:c r="AG931" s="7" t="s">
        <x:v>58</x:v>
      </x:c>
    </x:row>
    <x:row r="932" ht="79.5" hidden="0" customHeight="1">
      <x:c r="A932" s="7" t="s">
        <x:v>3880</x:v>
      </x:c>
      <x:c r="B932" s="7" t="s">
        <x:v>598</x:v>
      </x:c>
      <x:c r="C932" s="7" t="s">
        <x:v>600</x:v>
      </x:c>
      <x:c r="D932" s="7" t="s">
        <x:v>2099</x:v>
      </x:c>
      <x:c r="E932" s="7" t="s">
        <x:v>3881</x:v>
      </x:c>
      <x:c r="F932" s="7" t="s">
        <x:v>1942</x:v>
      </x:c>
      <x:c r="G932" s="8" t="n">
        <x:v>2.35</x:v>
      </x:c>
      <x:c r="H932" s="8" t="s">
        <x:v>58</x:v>
      </x:c>
      <x:c r="I932" s="8" t="s">
        <x:v>58</x:v>
      </x:c>
      <x:c r="J932" s="7" t="s">
        <x:v>1919</x:v>
      </x:c>
      <x:c r="K932" s="8" t="n">
        <x:v>1</x:v>
      </x:c>
      <x:c r="L932" s="8" t="n">
        <x:f aca="0">IF(AND(ISNUMBER(G932),P932&lt;&gt;"Unresolved unit / layout"),G932*K932,"Not applicable")</x:f>
        <x:v>2.35</x:v>
      </x:c>
      <x:c r="M932" s="8" t="str">
        <x:f aca="0">IF(AND(ISNUMBER(H932),P932&lt;&gt;"Unresolved unit / layout"),H932*K932,"Not applicable")</x:f>
        <x:v>Not applicable</x:v>
      </x:c>
      <x:c r="N932" s="8" t="str">
        <x:f aca="0">IF(AND(ISNUMBER(I932),P932&lt;&gt;"Unresolved unit / layout"),I932*K932,"Not applicable")</x:f>
        <x:v>Not applicable</x:v>
      </x:c>
      <x:c r="O932" s="7" t="s">
        <x:v>1942</x:v>
      </x:c>
      <x:c r="P932" s="7" t="s">
        <x:v>1921</x:v>
      </x:c>
      <x:c r="Q932" s="7" t="s">
        <x:v>1930</x:v>
      </x:c>
      <x:c r="R932" s="7" t="s">
        <x:v>58</x:v>
      </x:c>
      <x:c r="S932" s="7" t="s">
        <x:v>2077</x:v>
      </x:c>
      <x:c r="T932" s="7" t="s">
        <x:v>3095</x:v>
      </x:c>
      <x:c r="U932" s="7" t="s">
        <x:v>53</x:v>
      </x:c>
      <x:c r="V932" s="7" t="s">
        <x:v>2867</x:v>
      </x:c>
      <x:c r="W932" s="7" t="s">
        <x:v>58</x:v>
      </x:c>
      <x:c r="X932" s="7" t="s">
        <x:v>3870</x:v>
      </x:c>
      <x:c r="Y932" s="7" t="s">
        <x:v>1274</x:v>
      </x:c>
      <x:c r="Z932" s="7" t="s">
        <x:v>2193</x:v>
      </x:c>
      <x:c r="AA932" s="7" t="s">
        <x:v>58</x:v>
      </x:c>
      <x:c r="AB932" s="8" t="s">
        <x:v>58</x:v>
      </x:c>
      <x:c r="AC932" s="8" t="s">
        <x:v>58</x:v>
      </x:c>
      <x:c r="AD932" s="8" t="s">
        <x:v>58</x:v>
      </x:c>
      <x:c r="AE932" s="8" t="s">
        <x:v>58</x:v>
      </x:c>
      <x:c r="AF932" s="8" t="s">
        <x:v>58</x:v>
      </x:c>
      <x:c r="AG932" s="7" t="s">
        <x:v>58</x:v>
      </x:c>
    </x:row>
    <x:row r="933" ht="79.5" hidden="0" customHeight="1">
      <x:c r="A933" s="7" t="s">
        <x:v>3882</x:v>
      </x:c>
      <x:c r="B933" s="7" t="s">
        <x:v>598</x:v>
      </x:c>
      <x:c r="C933" s="7" t="s">
        <x:v>600</x:v>
      </x:c>
      <x:c r="D933" s="7" t="s">
        <x:v>1935</x:v>
      </x:c>
      <x:c r="E933" s="7" t="s">
        <x:v>3883</x:v>
      </x:c>
      <x:c r="F933" s="7" t="s">
        <x:v>1929</x:v>
      </x:c>
      <x:c r="G933" s="8" t="n">
        <x:v>4430</x:v>
      </x:c>
      <x:c r="H933" s="8" t="n">
        <x:v>310</x:v>
      </x:c>
      <x:c r="I933" s="8" t="s">
        <x:v>58</x:v>
      </x:c>
      <x:c r="J933" s="7" t="s">
        <x:v>1919</x:v>
      </x:c>
      <x:c r="K933" s="8" t="n">
        <x:v>0.001</x:v>
      </x:c>
      <x:c r="L933" s="8" t="n">
        <x:f aca="0">IF(AND(ISNUMBER(G933),P933&lt;&gt;"Unresolved unit / layout"),G933*K933,"Not applicable")</x:f>
        <x:v>4.43</x:v>
      </x:c>
      <x:c r="M933" s="8" t="n">
        <x:f aca="0">IF(AND(ISNUMBER(H933),P933&lt;&gt;"Unresolved unit / layout"),H933*K933,"Not applicable")</x:f>
        <x:v>0.31</x:v>
      </x:c>
      <x:c r="N933" s="8" t="str">
        <x:f aca="0">IF(AND(ISNUMBER(I933),P933&lt;&gt;"Unresolved unit / layout"),I933*K933,"Not applicable")</x:f>
        <x:v>Not applicable</x:v>
      </x:c>
      <x:c r="O933" s="7" t="s">
        <x:v>1937</x:v>
      </x:c>
      <x:c r="P933" s="7" t="s">
        <x:v>1921</x:v>
      </x:c>
      <x:c r="Q933" s="7" t="s">
        <x:v>1930</x:v>
      </x:c>
      <x:c r="R933" s="7" t="s">
        <x:v>1931</x:v>
      </x:c>
      <x:c r="S933" s="7" t="s">
        <x:v>2077</x:v>
      </x:c>
      <x:c r="T933" s="7" t="s">
        <x:v>3095</x:v>
      </x:c>
      <x:c r="U933" s="7" t="s">
        <x:v>53</x:v>
      </x:c>
      <x:c r="V933" s="7" t="s">
        <x:v>1999</x:v>
      </x:c>
      <x:c r="W933" s="7" t="s">
        <x:v>58</x:v>
      </x:c>
      <x:c r="X933" s="7" t="s">
        <x:v>3870</x:v>
      </x:c>
      <x:c r="Y933" s="7" t="s">
        <x:v>1274</x:v>
      </x:c>
      <x:c r="Z933" s="7" t="s">
        <x:v>3884</x:v>
      </x:c>
      <x:c r="AA933" s="7" t="s">
        <x:v>58</x:v>
      </x:c>
      <x:c r="AB933" s="8" t="s">
        <x:v>58</x:v>
      </x:c>
      <x:c r="AC933" s="8" t="s">
        <x:v>58</x:v>
      </x:c>
      <x:c r="AD933" s="8" t="s">
        <x:v>58</x:v>
      </x:c>
      <x:c r="AE933" s="8" t="s">
        <x:v>58</x:v>
      </x:c>
      <x:c r="AF933" s="8" t="s">
        <x:v>58</x:v>
      </x:c>
      <x:c r="AG933" s="7" t="s">
        <x:v>58</x:v>
      </x:c>
    </x:row>
    <x:row r="934" ht="79.5" hidden="0" customHeight="1">
      <x:c r="A934" s="7" t="s">
        <x:v>3885</x:v>
      </x:c>
      <x:c r="B934" s="7" t="s">
        <x:v>598</x:v>
      </x:c>
      <x:c r="C934" s="7" t="s">
        <x:v>600</x:v>
      </x:c>
      <x:c r="D934" s="7" t="s">
        <x:v>1935</x:v>
      </x:c>
      <x:c r="E934" s="7" t="s">
        <x:v>3886</x:v>
      </x:c>
      <x:c r="F934" s="7" t="s">
        <x:v>1929</x:v>
      </x:c>
      <x:c r="G934" s="8" t="n">
        <x:v>2170</x:v>
      </x:c>
      <x:c r="H934" s="8" t="n">
        <x:v>230</x:v>
      </x:c>
      <x:c r="I934" s="8" t="s">
        <x:v>58</x:v>
      </x:c>
      <x:c r="J934" s="7" t="s">
        <x:v>1919</x:v>
      </x:c>
      <x:c r="K934" s="8" t="n">
        <x:v>0.001</x:v>
      </x:c>
      <x:c r="L934" s="8" t="n">
        <x:f aca="0">IF(AND(ISNUMBER(G934),P934&lt;&gt;"Unresolved unit / layout"),G934*K934,"Not applicable")</x:f>
        <x:v>2.17</x:v>
      </x:c>
      <x:c r="M934" s="8" t="n">
        <x:f aca="0">IF(AND(ISNUMBER(H934),P934&lt;&gt;"Unresolved unit / layout"),H934*K934,"Not applicable")</x:f>
        <x:v>0.23</x:v>
      </x:c>
      <x:c r="N934" s="8" t="str">
        <x:f aca="0">IF(AND(ISNUMBER(I934),P934&lt;&gt;"Unresolved unit / layout"),I934*K934,"Not applicable")</x:f>
        <x:v>Not applicable</x:v>
      </x:c>
      <x:c r="O934" s="7" t="s">
        <x:v>1937</x:v>
      </x:c>
      <x:c r="P934" s="7" t="s">
        <x:v>1921</x:v>
      </x:c>
      <x:c r="Q934" s="7" t="s">
        <x:v>1930</x:v>
      </x:c>
      <x:c r="R934" s="7" t="s">
        <x:v>2003</x:v>
      </x:c>
      <x:c r="S934" s="7" t="s">
        <x:v>2077</x:v>
      </x:c>
      <x:c r="T934" s="7" t="s">
        <x:v>3095</x:v>
      </x:c>
      <x:c r="U934" s="7" t="s">
        <x:v>53</x:v>
      </x:c>
      <x:c r="V934" s="7" t="s">
        <x:v>1999</x:v>
      </x:c>
      <x:c r="W934" s="7" t="s">
        <x:v>58</x:v>
      </x:c>
      <x:c r="X934" s="7" t="s">
        <x:v>3870</x:v>
      </x:c>
      <x:c r="Y934" s="7" t="s">
        <x:v>1274</x:v>
      </x:c>
      <x:c r="Z934" s="7" t="s">
        <x:v>2108</x:v>
      </x:c>
      <x:c r="AA934" s="7" t="s">
        <x:v>58</x:v>
      </x:c>
      <x:c r="AB934" s="8" t="s">
        <x:v>58</x:v>
      </x:c>
      <x:c r="AC934" s="8" t="s">
        <x:v>58</x:v>
      </x:c>
      <x:c r="AD934" s="8" t="s">
        <x:v>58</x:v>
      </x:c>
      <x:c r="AE934" s="8" t="s">
        <x:v>58</x:v>
      </x:c>
      <x:c r="AF934" s="8" t="s">
        <x:v>58</x:v>
      </x:c>
      <x:c r="AG934" s="7" t="s">
        <x:v>58</x:v>
      </x:c>
    </x:row>
    <x:row r="935" ht="79.5" hidden="0" customHeight="1">
      <x:c r="A935" s="7" t="s">
        <x:v>3887</x:v>
      </x:c>
      <x:c r="B935" s="7" t="s">
        <x:v>598</x:v>
      </x:c>
      <x:c r="C935" s="7" t="s">
        <x:v>600</x:v>
      </x:c>
      <x:c r="D935" s="7" t="s">
        <x:v>2006</x:v>
      </x:c>
      <x:c r="E935" s="7" t="s">
        <x:v>3888</x:v>
      </x:c>
      <x:c r="F935" s="7" t="s">
        <x:v>1929</x:v>
      </x:c>
      <x:c r="G935" s="8" t="n">
        <x:v>102</x:v>
      </x:c>
      <x:c r="H935" s="8" t="n">
        <x:v>7</x:v>
      </x:c>
      <x:c r="I935" s="8" t="s">
        <x:v>58</x:v>
      </x:c>
      <x:c r="J935" s="7" t="s">
        <x:v>1919</x:v>
      </x:c>
      <x:c r="K935" s="8" t="n">
        <x:v>1</x:v>
      </x:c>
      <x:c r="L935" s="8" t="n">
        <x:f aca="0">IF(AND(ISNUMBER(G935),P935&lt;&gt;"Unresolved unit / layout"),G935*K935,"Not applicable")</x:f>
        <x:v>102</x:v>
      </x:c>
      <x:c r="M935" s="8" t="n">
        <x:f aca="0">IF(AND(ISNUMBER(H935),P935&lt;&gt;"Unresolved unit / layout"),H935*K935,"Not applicable")</x:f>
        <x:v>7</x:v>
      </x:c>
      <x:c r="N935" s="8" t="str">
        <x:f aca="0">IF(AND(ISNUMBER(I935),P935&lt;&gt;"Unresolved unit / layout"),I935*K935,"Not applicable")</x:f>
        <x:v>Not applicable</x:v>
      </x:c>
      <x:c r="O935" s="7" t="s">
        <x:v>1929</x:v>
      </x:c>
      <x:c r="P935" s="7" t="s">
        <x:v>1921</x:v>
      </x:c>
      <x:c r="Q935" s="7" t="s">
        <x:v>1930</x:v>
      </x:c>
      <x:c r="R935" s="7" t="s">
        <x:v>1931</x:v>
      </x:c>
      <x:c r="S935" s="7" t="s">
        <x:v>2077</x:v>
      </x:c>
      <x:c r="T935" s="7" t="s">
        <x:v>3095</x:v>
      </x:c>
      <x:c r="U935" s="7" t="s">
        <x:v>53</x:v>
      </x:c>
      <x:c r="V935" s="7" t="s">
        <x:v>1999</x:v>
      </x:c>
      <x:c r="W935" s="7" t="s">
        <x:v>58</x:v>
      </x:c>
      <x:c r="X935" s="7" t="s">
        <x:v>3870</x:v>
      </x:c>
      <x:c r="Y935" s="7" t="s">
        <x:v>1274</x:v>
      </x:c>
      <x:c r="Z935" s="7" t="s">
        <x:v>2111</x:v>
      </x:c>
      <x:c r="AA935" s="7" t="s">
        <x:v>58</x:v>
      </x:c>
      <x:c r="AB935" s="8" t="s">
        <x:v>58</x:v>
      </x:c>
      <x:c r="AC935" s="8" t="s">
        <x:v>58</x:v>
      </x:c>
      <x:c r="AD935" s="8" t="s">
        <x:v>58</x:v>
      </x:c>
      <x:c r="AE935" s="8" t="s">
        <x:v>58</x:v>
      </x:c>
      <x:c r="AF935" s="8" t="s">
        <x:v>58</x:v>
      </x:c>
      <x:c r="AG935" s="7" t="s">
        <x:v>58</x:v>
      </x:c>
    </x:row>
    <x:row r="936" ht="79.5" hidden="0" customHeight="1">
      <x:c r="A936" s="7" t="s">
        <x:v>3889</x:v>
      </x:c>
      <x:c r="B936" s="7" t="s">
        <x:v>598</x:v>
      </x:c>
      <x:c r="C936" s="7" t="s">
        <x:v>600</x:v>
      </x:c>
      <x:c r="D936" s="7" t="s">
        <x:v>2006</x:v>
      </x:c>
      <x:c r="E936" s="7" t="s">
        <x:v>3890</x:v>
      </x:c>
      <x:c r="F936" s="7" t="s">
        <x:v>1929</x:v>
      </x:c>
      <x:c r="G936" s="8" t="n">
        <x:v>48</x:v>
      </x:c>
      <x:c r="H936" s="8" t="n">
        <x:v>6</x:v>
      </x:c>
      <x:c r="I936" s="8" t="s">
        <x:v>58</x:v>
      </x:c>
      <x:c r="J936" s="7" t="s">
        <x:v>1919</x:v>
      </x:c>
      <x:c r="K936" s="8" t="n">
        <x:v>1</x:v>
      </x:c>
      <x:c r="L936" s="8" t="n">
        <x:f aca="0">IF(AND(ISNUMBER(G936),P936&lt;&gt;"Unresolved unit / layout"),G936*K936,"Not applicable")</x:f>
        <x:v>48</x:v>
      </x:c>
      <x:c r="M936" s="8" t="n">
        <x:f aca="0">IF(AND(ISNUMBER(H936),P936&lt;&gt;"Unresolved unit / layout"),H936*K936,"Not applicable")</x:f>
        <x:v>6</x:v>
      </x:c>
      <x:c r="N936" s="8" t="str">
        <x:f aca="0">IF(AND(ISNUMBER(I936),P936&lt;&gt;"Unresolved unit / layout"),I936*K936,"Not applicable")</x:f>
        <x:v>Not applicable</x:v>
      </x:c>
      <x:c r="O936" s="7" t="s">
        <x:v>1929</x:v>
      </x:c>
      <x:c r="P936" s="7" t="s">
        <x:v>1921</x:v>
      </x:c>
      <x:c r="Q936" s="7" t="s">
        <x:v>1930</x:v>
      </x:c>
      <x:c r="R936" s="7" t="s">
        <x:v>2003</x:v>
      </x:c>
      <x:c r="S936" s="7" t="s">
        <x:v>2077</x:v>
      </x:c>
      <x:c r="T936" s="7" t="s">
        <x:v>3095</x:v>
      </x:c>
      <x:c r="U936" s="7" t="s">
        <x:v>53</x:v>
      </x:c>
      <x:c r="V936" s="7" t="s">
        <x:v>1999</x:v>
      </x:c>
      <x:c r="W936" s="7" t="s">
        <x:v>58</x:v>
      </x:c>
      <x:c r="X936" s="7" t="s">
        <x:v>3870</x:v>
      </x:c>
      <x:c r="Y936" s="7" t="s">
        <x:v>1274</x:v>
      </x:c>
      <x:c r="Z936" s="7" t="s">
        <x:v>2114</x:v>
      </x:c>
      <x:c r="AA936" s="7" t="s">
        <x:v>58</x:v>
      </x:c>
      <x:c r="AB936" s="8" t="s">
        <x:v>58</x:v>
      </x:c>
      <x:c r="AC936" s="8" t="s">
        <x:v>58</x:v>
      </x:c>
      <x:c r="AD936" s="8" t="s">
        <x:v>58</x:v>
      </x:c>
      <x:c r="AE936" s="8" t="s">
        <x:v>58</x:v>
      </x:c>
      <x:c r="AF936" s="8" t="s">
        <x:v>58</x:v>
      </x:c>
      <x:c r="AG936" s="7" t="s">
        <x:v>58</x:v>
      </x:c>
    </x:row>
    <x:row r="937" ht="79.5" hidden="0" customHeight="1">
      <x:c r="A937" s="7" t="s">
        <x:v>3891</x:v>
      </x:c>
      <x:c r="B937" s="7" t="s">
        <x:v>598</x:v>
      </x:c>
      <x:c r="C937" s="7" t="s">
        <x:v>600</x:v>
      </x:c>
      <x:c r="D937" s="7" t="s">
        <x:v>1940</x:v>
      </x:c>
      <x:c r="E937" s="7" t="s">
        <x:v>3892</x:v>
      </x:c>
      <x:c r="F937" s="7" t="s">
        <x:v>1942</x:v>
      </x:c>
      <x:c r="G937" s="8" t="n">
        <x:v>5.8</x:v>
      </x:c>
      <x:c r="H937" s="8" t="n">
        <x:v>1.6</x:v>
      </x:c>
      <x:c r="I937" s="8" t="s">
        <x:v>58</x:v>
      </x:c>
      <x:c r="J937" s="7" t="s">
        <x:v>1919</x:v>
      </x:c>
      <x:c r="K937" s="8" t="n">
        <x:v>1</x:v>
      </x:c>
      <x:c r="L937" s="8" t="n">
        <x:f aca="0">IF(AND(ISNUMBER(G937),P937&lt;&gt;"Unresolved unit / layout"),G937*K937,"Not applicable")</x:f>
        <x:v>5.8</x:v>
      </x:c>
      <x:c r="M937" s="8" t="n">
        <x:f aca="0">IF(AND(ISNUMBER(H937),P937&lt;&gt;"Unresolved unit / layout"),H937*K937,"Not applicable")</x:f>
        <x:v>1.6</x:v>
      </x:c>
      <x:c r="N937" s="8" t="str">
        <x:f aca="0">IF(AND(ISNUMBER(I937),P937&lt;&gt;"Unresolved unit / layout"),I937*K937,"Not applicable")</x:f>
        <x:v>Not applicable</x:v>
      </x:c>
      <x:c r="O937" s="7" t="s">
        <x:v>1942</x:v>
      </x:c>
      <x:c r="P937" s="7" t="s">
        <x:v>1921</x:v>
      </x:c>
      <x:c r="Q937" s="7" t="s">
        <x:v>1930</x:v>
      </x:c>
      <x:c r="R937" s="7" t="s">
        <x:v>1931</x:v>
      </x:c>
      <x:c r="S937" s="7" t="s">
        <x:v>2077</x:v>
      </x:c>
      <x:c r="T937" s="7" t="s">
        <x:v>3095</x:v>
      </x:c>
      <x:c r="U937" s="7" t="s">
        <x:v>53</x:v>
      </x:c>
      <x:c r="V937" s="7" t="s">
        <x:v>1999</x:v>
      </x:c>
      <x:c r="W937" s="7" t="s">
        <x:v>58</x:v>
      </x:c>
      <x:c r="X937" s="7" t="s">
        <x:v>3870</x:v>
      </x:c>
      <x:c r="Y937" s="7" t="s">
        <x:v>1274</x:v>
      </x:c>
      <x:c r="Z937" s="7" t="s">
        <x:v>2117</x:v>
      </x:c>
      <x:c r="AA937" s="7" t="s">
        <x:v>58</x:v>
      </x:c>
      <x:c r="AB937" s="8" t="s">
        <x:v>58</x:v>
      </x:c>
      <x:c r="AC937" s="8" t="s">
        <x:v>58</x:v>
      </x:c>
      <x:c r="AD937" s="8" t="s">
        <x:v>58</x:v>
      </x:c>
      <x:c r="AE937" s="8" t="s">
        <x:v>58</x:v>
      </x:c>
      <x:c r="AF937" s="8" t="s">
        <x:v>58</x:v>
      </x:c>
      <x:c r="AG937" s="7" t="s">
        <x:v>58</x:v>
      </x:c>
    </x:row>
    <x:row r="938" ht="79.5" hidden="0" customHeight="1">
      <x:c r="A938" s="7" t="s">
        <x:v>3893</x:v>
      </x:c>
      <x:c r="B938" s="7" t="s">
        <x:v>598</x:v>
      </x:c>
      <x:c r="C938" s="7" t="s">
        <x:v>600</x:v>
      </x:c>
      <x:c r="D938" s="7" t="s">
        <x:v>1940</x:v>
      </x:c>
      <x:c r="E938" s="7" t="s">
        <x:v>3894</x:v>
      </x:c>
      <x:c r="F938" s="7" t="s">
        <x:v>1942</x:v>
      </x:c>
      <x:c r="G938" s="8" t="n">
        <x:v>3.7</x:v>
      </x:c>
      <x:c r="H938" s="8" t="n">
        <x:v>0.8</x:v>
      </x:c>
      <x:c r="I938" s="8" t="s">
        <x:v>58</x:v>
      </x:c>
      <x:c r="J938" s="7" t="s">
        <x:v>1919</x:v>
      </x:c>
      <x:c r="K938" s="8" t="n">
        <x:v>1</x:v>
      </x:c>
      <x:c r="L938" s="8" t="n">
        <x:f aca="0">IF(AND(ISNUMBER(G938),P938&lt;&gt;"Unresolved unit / layout"),G938*K938,"Not applicable")</x:f>
        <x:v>3.7</x:v>
      </x:c>
      <x:c r="M938" s="8" t="n">
        <x:f aca="0">IF(AND(ISNUMBER(H938),P938&lt;&gt;"Unresolved unit / layout"),H938*K938,"Not applicable")</x:f>
        <x:v>0.8</x:v>
      </x:c>
      <x:c r="N938" s="8" t="str">
        <x:f aca="0">IF(AND(ISNUMBER(I938),P938&lt;&gt;"Unresolved unit / layout"),I938*K938,"Not applicable")</x:f>
        <x:v>Not applicable</x:v>
      </x:c>
      <x:c r="O938" s="7" t="s">
        <x:v>1942</x:v>
      </x:c>
      <x:c r="P938" s="7" t="s">
        <x:v>1921</x:v>
      </x:c>
      <x:c r="Q938" s="7" t="s">
        <x:v>1930</x:v>
      </x:c>
      <x:c r="R938" s="7" t="s">
        <x:v>2003</x:v>
      </x:c>
      <x:c r="S938" s="7" t="s">
        <x:v>2077</x:v>
      </x:c>
      <x:c r="T938" s="7" t="s">
        <x:v>3095</x:v>
      </x:c>
      <x:c r="U938" s="7" t="s">
        <x:v>53</x:v>
      </x:c>
      <x:c r="V938" s="7" t="s">
        <x:v>1999</x:v>
      </x:c>
      <x:c r="W938" s="7" t="s">
        <x:v>58</x:v>
      </x:c>
      <x:c r="X938" s="7" t="s">
        <x:v>3870</x:v>
      </x:c>
      <x:c r="Y938" s="7" t="s">
        <x:v>1274</x:v>
      </x:c>
      <x:c r="Z938" s="7" t="s">
        <x:v>2120</x:v>
      </x:c>
      <x:c r="AA938" s="7" t="s">
        <x:v>58</x:v>
      </x:c>
      <x:c r="AB938" s="8" t="s">
        <x:v>58</x:v>
      </x:c>
      <x:c r="AC938" s="8" t="s">
        <x:v>58</x:v>
      </x:c>
      <x:c r="AD938" s="8" t="s">
        <x:v>58</x:v>
      </x:c>
      <x:c r="AE938" s="8" t="s">
        <x:v>58</x:v>
      </x:c>
      <x:c r="AF938" s="8" t="s">
        <x:v>58</x:v>
      </x:c>
      <x:c r="AG938" s="7" t="s">
        <x:v>58</x:v>
      </x:c>
    </x:row>
    <x:row r="939" ht="79.5" hidden="0" customHeight="1">
      <x:c r="A939" s="7" t="s">
        <x:v>3895</x:v>
      </x:c>
      <x:c r="B939" s="7" t="s">
        <x:v>598</x:v>
      </x:c>
      <x:c r="C939" s="7" t="s">
        <x:v>600</x:v>
      </x:c>
      <x:c r="D939" s="7" t="s">
        <x:v>1950</x:v>
      </x:c>
      <x:c r="E939" s="7" t="s">
        <x:v>3896</x:v>
      </x:c>
      <x:c r="F939" s="7" t="s">
        <x:v>1929</x:v>
      </x:c>
      <x:c r="G939" s="8" t="n">
        <x:v>5460</x:v>
      </x:c>
      <x:c r="H939" s="8" t="n">
        <x:v>280</x:v>
      </x:c>
      <x:c r="I939" s="8" t="s">
        <x:v>58</x:v>
      </x:c>
      <x:c r="J939" s="7" t="s">
        <x:v>1919</x:v>
      </x:c>
      <x:c r="K939" s="8" t="n">
        <x:v>0.001</x:v>
      </x:c>
      <x:c r="L939" s="8" t="n">
        <x:f aca="0">IF(AND(ISNUMBER(G939),P939&lt;&gt;"Unresolved unit / layout"),G939*K939,"Not applicable")</x:f>
        <x:v>5.46</x:v>
      </x:c>
      <x:c r="M939" s="8" t="n">
        <x:f aca="0">IF(AND(ISNUMBER(H939),P939&lt;&gt;"Unresolved unit / layout"),H939*K939,"Not applicable")</x:f>
        <x:v>0.28</x:v>
      </x:c>
      <x:c r="N939" s="8" t="str">
        <x:f aca="0">IF(AND(ISNUMBER(I939),P939&lt;&gt;"Unresolved unit / layout"),I939*K939,"Not applicable")</x:f>
        <x:v>Not applicable</x:v>
      </x:c>
      <x:c r="O939" s="7" t="s">
        <x:v>1937</x:v>
      </x:c>
      <x:c r="P939" s="7" t="s">
        <x:v>1921</x:v>
      </x:c>
      <x:c r="Q939" s="7" t="s">
        <x:v>1930</x:v>
      </x:c>
      <x:c r="R939" s="7" t="s">
        <x:v>1931</x:v>
      </x:c>
      <x:c r="S939" s="7" t="s">
        <x:v>2077</x:v>
      </x:c>
      <x:c r="T939" s="7" t="s">
        <x:v>3095</x:v>
      </x:c>
      <x:c r="U939" s="7" t="s">
        <x:v>53</x:v>
      </x:c>
      <x:c r="V939" s="7" t="s">
        <x:v>2020</x:v>
      </x:c>
      <x:c r="W939" s="7" t="s">
        <x:v>58</x:v>
      </x:c>
      <x:c r="X939" s="7" t="s">
        <x:v>3870</x:v>
      </x:c>
      <x:c r="Y939" s="7" t="s">
        <x:v>1274</x:v>
      </x:c>
      <x:c r="Z939" s="7" t="s">
        <x:v>2123</x:v>
      </x:c>
      <x:c r="AA939" s="7" t="s">
        <x:v>58</x:v>
      </x:c>
      <x:c r="AB939" s="8" t="s">
        <x:v>58</x:v>
      </x:c>
      <x:c r="AC939" s="8" t="s">
        <x:v>58</x:v>
      </x:c>
      <x:c r="AD939" s="8" t="s">
        <x:v>58</x:v>
      </x:c>
      <x:c r="AE939" s="8" t="s">
        <x:v>58</x:v>
      </x:c>
      <x:c r="AF939" s="8" t="s">
        <x:v>58</x:v>
      </x:c>
      <x:c r="AG939" s="7" t="s">
        <x:v>58</x:v>
      </x:c>
    </x:row>
    <x:row r="940" ht="79.5" hidden="0" customHeight="1">
      <x:c r="A940" s="7" t="s">
        <x:v>3897</x:v>
      </x:c>
      <x:c r="B940" s="7" t="s">
        <x:v>598</x:v>
      </x:c>
      <x:c r="C940" s="7" t="s">
        <x:v>600</x:v>
      </x:c>
      <x:c r="D940" s="7" t="s">
        <x:v>1950</x:v>
      </x:c>
      <x:c r="E940" s="7" t="s">
        <x:v>3898</x:v>
      </x:c>
      <x:c r="F940" s="7" t="s">
        <x:v>1929</x:v>
      </x:c>
      <x:c r="G940" s="8" t="n">
        <x:v>2240</x:v>
      </x:c>
      <x:c r="H940" s="8" t="n">
        <x:v>220</x:v>
      </x:c>
      <x:c r="I940" s="8" t="s">
        <x:v>58</x:v>
      </x:c>
      <x:c r="J940" s="7" t="s">
        <x:v>1919</x:v>
      </x:c>
      <x:c r="K940" s="8" t="n">
        <x:v>0.001</x:v>
      </x:c>
      <x:c r="L940" s="8" t="n">
        <x:f aca="0">IF(AND(ISNUMBER(G940),P940&lt;&gt;"Unresolved unit / layout"),G940*K940,"Not applicable")</x:f>
        <x:v>2.24</x:v>
      </x:c>
      <x:c r="M940" s="8" t="n">
        <x:f aca="0">IF(AND(ISNUMBER(H940),P940&lt;&gt;"Unresolved unit / layout"),H940*K940,"Not applicable")</x:f>
        <x:v>0.22</x:v>
      </x:c>
      <x:c r="N940" s="8" t="str">
        <x:f aca="0">IF(AND(ISNUMBER(I940),P940&lt;&gt;"Unresolved unit / layout"),I940*K940,"Not applicable")</x:f>
        <x:v>Not applicable</x:v>
      </x:c>
      <x:c r="O940" s="7" t="s">
        <x:v>1937</x:v>
      </x:c>
      <x:c r="P940" s="7" t="s">
        <x:v>1921</x:v>
      </x:c>
      <x:c r="Q940" s="7" t="s">
        <x:v>1930</x:v>
      </x:c>
      <x:c r="R940" s="7" t="s">
        <x:v>2003</x:v>
      </x:c>
      <x:c r="S940" s="7" t="s">
        <x:v>2077</x:v>
      </x:c>
      <x:c r="T940" s="7" t="s">
        <x:v>3095</x:v>
      </x:c>
      <x:c r="U940" s="7" t="s">
        <x:v>53</x:v>
      </x:c>
      <x:c r="V940" s="7" t="s">
        <x:v>2020</x:v>
      </x:c>
      <x:c r="W940" s="7" t="s">
        <x:v>58</x:v>
      </x:c>
      <x:c r="X940" s="7" t="s">
        <x:v>3870</x:v>
      </x:c>
      <x:c r="Y940" s="7" t="s">
        <x:v>1274</x:v>
      </x:c>
      <x:c r="Z940" s="7" t="s">
        <x:v>2210</x:v>
      </x:c>
      <x:c r="AA940" s="7" t="s">
        <x:v>58</x:v>
      </x:c>
      <x:c r="AB940" s="8" t="s">
        <x:v>58</x:v>
      </x:c>
      <x:c r="AC940" s="8" t="s">
        <x:v>58</x:v>
      </x:c>
      <x:c r="AD940" s="8" t="s">
        <x:v>58</x:v>
      </x:c>
      <x:c r="AE940" s="8" t="s">
        <x:v>58</x:v>
      </x:c>
      <x:c r="AF940" s="8" t="s">
        <x:v>58</x:v>
      </x:c>
      <x:c r="AG940" s="7" t="s">
        <x:v>58</x:v>
      </x:c>
    </x:row>
    <x:row r="941" ht="79.5" hidden="0" customHeight="1">
      <x:c r="A941" s="7" t="s">
        <x:v>3899</x:v>
      </x:c>
      <x:c r="B941" s="7" t="s">
        <x:v>598</x:v>
      </x:c>
      <x:c r="C941" s="7" t="s">
        <x:v>600</x:v>
      </x:c>
      <x:c r="D941" s="7" t="s">
        <x:v>1945</x:v>
      </x:c>
      <x:c r="E941" s="7" t="s">
        <x:v>3900</x:v>
      </x:c>
      <x:c r="F941" s="7" t="s">
        <x:v>1929</x:v>
      </x:c>
      <x:c r="G941" s="8" t="n">
        <x:v>151</x:v>
      </x:c>
      <x:c r="H941" s="8" t="n">
        <x:v>8</x:v>
      </x:c>
      <x:c r="I941" s="8" t="s">
        <x:v>58</x:v>
      </x:c>
      <x:c r="J941" s="7" t="s">
        <x:v>1919</x:v>
      </x:c>
      <x:c r="K941" s="8" t="n">
        <x:v>1</x:v>
      </x:c>
      <x:c r="L941" s="8" t="n">
        <x:f aca="0">IF(AND(ISNUMBER(G941),P941&lt;&gt;"Unresolved unit / layout"),G941*K941,"Not applicable")</x:f>
        <x:v>151</x:v>
      </x:c>
      <x:c r="M941" s="8" t="n">
        <x:f aca="0">IF(AND(ISNUMBER(H941),P941&lt;&gt;"Unresolved unit / layout"),H941*K941,"Not applicable")</x:f>
        <x:v>8</x:v>
      </x:c>
      <x:c r="N941" s="8" t="str">
        <x:f aca="0">IF(AND(ISNUMBER(I941),P941&lt;&gt;"Unresolved unit / layout"),I941*K941,"Not applicable")</x:f>
        <x:v>Not applicable</x:v>
      </x:c>
      <x:c r="O941" s="7" t="s">
        <x:v>1929</x:v>
      </x:c>
      <x:c r="P941" s="7" t="s">
        <x:v>1921</x:v>
      </x:c>
      <x:c r="Q941" s="7" t="s">
        <x:v>1930</x:v>
      </x:c>
      <x:c r="R941" s="7" t="s">
        <x:v>1931</x:v>
      </x:c>
      <x:c r="S941" s="7" t="s">
        <x:v>2077</x:v>
      </x:c>
      <x:c r="T941" s="7" t="s">
        <x:v>3095</x:v>
      </x:c>
      <x:c r="U941" s="7" t="s">
        <x:v>53</x:v>
      </x:c>
      <x:c r="V941" s="7" t="s">
        <x:v>2020</x:v>
      </x:c>
      <x:c r="W941" s="7" t="s">
        <x:v>58</x:v>
      </x:c>
      <x:c r="X941" s="7" t="s">
        <x:v>3870</x:v>
      </x:c>
      <x:c r="Y941" s="7" t="s">
        <x:v>1274</x:v>
      </x:c>
      <x:c r="Z941" s="7" t="s">
        <x:v>2213</x:v>
      </x:c>
      <x:c r="AA941" s="7" t="s">
        <x:v>58</x:v>
      </x:c>
      <x:c r="AB941" s="8" t="s">
        <x:v>58</x:v>
      </x:c>
      <x:c r="AC941" s="8" t="s">
        <x:v>58</x:v>
      </x:c>
      <x:c r="AD941" s="8" t="s">
        <x:v>58</x:v>
      </x:c>
      <x:c r="AE941" s="8" t="s">
        <x:v>58</x:v>
      </x:c>
      <x:c r="AF941" s="8" t="s">
        <x:v>58</x:v>
      </x:c>
      <x:c r="AG941" s="7" t="s">
        <x:v>58</x:v>
      </x:c>
    </x:row>
    <x:row r="942" ht="79.5" hidden="0" customHeight="1">
      <x:c r="A942" s="7" t="s">
        <x:v>3901</x:v>
      </x:c>
      <x:c r="B942" s="7" t="s">
        <x:v>598</x:v>
      </x:c>
      <x:c r="C942" s="7" t="s">
        <x:v>600</x:v>
      </x:c>
      <x:c r="D942" s="7" t="s">
        <x:v>1945</x:v>
      </x:c>
      <x:c r="E942" s="7" t="s">
        <x:v>3902</x:v>
      </x:c>
      <x:c r="F942" s="7" t="s">
        <x:v>1929</x:v>
      </x:c>
      <x:c r="G942" s="8" t="n">
        <x:v>80</x:v>
      </x:c>
      <x:c r="H942" s="8" t="n">
        <x:v>7</x:v>
      </x:c>
      <x:c r="I942" s="8" t="s">
        <x:v>58</x:v>
      </x:c>
      <x:c r="J942" s="7" t="s">
        <x:v>1919</x:v>
      </x:c>
      <x:c r="K942" s="8" t="n">
        <x:v>1</x:v>
      </x:c>
      <x:c r="L942" s="8" t="n">
        <x:f aca="0">IF(AND(ISNUMBER(G942),P942&lt;&gt;"Unresolved unit / layout"),G942*K942,"Not applicable")</x:f>
        <x:v>80</x:v>
      </x:c>
      <x:c r="M942" s="8" t="n">
        <x:f aca="0">IF(AND(ISNUMBER(H942),P942&lt;&gt;"Unresolved unit / layout"),H942*K942,"Not applicable")</x:f>
        <x:v>7</x:v>
      </x:c>
      <x:c r="N942" s="8" t="str">
        <x:f aca="0">IF(AND(ISNUMBER(I942),P942&lt;&gt;"Unresolved unit / layout"),I942*K942,"Not applicable")</x:f>
        <x:v>Not applicable</x:v>
      </x:c>
      <x:c r="O942" s="7" t="s">
        <x:v>1929</x:v>
      </x:c>
      <x:c r="P942" s="7" t="s">
        <x:v>1921</x:v>
      </x:c>
      <x:c r="Q942" s="7" t="s">
        <x:v>1930</x:v>
      </x:c>
      <x:c r="R942" s="7" t="s">
        <x:v>2003</x:v>
      </x:c>
      <x:c r="S942" s="7" t="s">
        <x:v>2077</x:v>
      </x:c>
      <x:c r="T942" s="7" t="s">
        <x:v>3095</x:v>
      </x:c>
      <x:c r="U942" s="7" t="s">
        <x:v>53</x:v>
      </x:c>
      <x:c r="V942" s="7" t="s">
        <x:v>2020</x:v>
      </x:c>
      <x:c r="W942" s="7" t="s">
        <x:v>58</x:v>
      </x:c>
      <x:c r="X942" s="7" t="s">
        <x:v>3870</x:v>
      </x:c>
      <x:c r="Y942" s="7" t="s">
        <x:v>1274</x:v>
      </x:c>
      <x:c r="Z942" s="7" t="s">
        <x:v>2216</x:v>
      </x:c>
      <x:c r="AA942" s="7" t="s">
        <x:v>58</x:v>
      </x:c>
      <x:c r="AB942" s="8" t="s">
        <x:v>58</x:v>
      </x:c>
      <x:c r="AC942" s="8" t="s">
        <x:v>58</x:v>
      </x:c>
      <x:c r="AD942" s="8" t="s">
        <x:v>58</x:v>
      </x:c>
      <x:c r="AE942" s="8" t="s">
        <x:v>58</x:v>
      </x:c>
      <x:c r="AF942" s="8" t="s">
        <x:v>58</x:v>
      </x:c>
      <x:c r="AG942" s="7" t="s">
        <x:v>58</x:v>
      </x:c>
    </x:row>
    <x:row r="943" ht="79.5" hidden="0" customHeight="1">
      <x:c r="A943" s="7" t="s">
        <x:v>3903</x:v>
      </x:c>
      <x:c r="B943" s="7" t="s">
        <x:v>598</x:v>
      </x:c>
      <x:c r="C943" s="7" t="s">
        <x:v>600</x:v>
      </x:c>
      <x:c r="D943" s="7" t="s">
        <x:v>2030</x:v>
      </x:c>
      <x:c r="E943" s="7" t="s">
        <x:v>3904</x:v>
      </x:c>
      <x:c r="F943" s="7" t="s">
        <x:v>2033</x:v>
      </x:c>
      <x:c r="G943" s="8" t="n">
        <x:v>40.3</x:v>
      </x:c>
      <x:c r="H943" s="8" t="n">
        <x:v>2.5</x:v>
      </x:c>
      <x:c r="I943" s="8" t="s">
        <x:v>58</x:v>
      </x:c>
      <x:c r="J943" s="7" t="s">
        <x:v>1919</x:v>
      </x:c>
      <x:c r="K943" s="8" t="n">
        <x:v>1</x:v>
      </x:c>
      <x:c r="L943" s="8" t="n">
        <x:f aca="0">IF(AND(ISNUMBER(G943),P943&lt;&gt;"Unresolved unit / layout"),G943*K943,"Not applicable")</x:f>
        <x:v>40.3</x:v>
      </x:c>
      <x:c r="M943" s="8" t="n">
        <x:f aca="0">IF(AND(ISNUMBER(H943),P943&lt;&gt;"Unresolved unit / layout"),H943*K943,"Not applicable")</x:f>
        <x:v>2.5</x:v>
      </x:c>
      <x:c r="N943" s="8" t="str">
        <x:f aca="0">IF(AND(ISNUMBER(I943),P943&lt;&gt;"Unresolved unit / layout"),I943*K943,"Not applicable")</x:f>
        <x:v>Not applicable</x:v>
      </x:c>
      <x:c r="O943" s="7" t="s">
        <x:v>2033</x:v>
      </x:c>
      <x:c r="P943" s="7" t="s">
        <x:v>1921</x:v>
      </x:c>
      <x:c r="Q943" s="7" t="s">
        <x:v>1930</x:v>
      </x:c>
      <x:c r="R943" s="7" t="s">
        <x:v>1931</x:v>
      </x:c>
      <x:c r="S943" s="7" t="s">
        <x:v>2077</x:v>
      </x:c>
      <x:c r="T943" s="7" t="s">
        <x:v>3095</x:v>
      </x:c>
      <x:c r="U943" s="7" t="s">
        <x:v>53</x:v>
      </x:c>
      <x:c r="V943" s="7" t="s">
        <x:v>2036</x:v>
      </x:c>
      <x:c r="W943" s="7" t="s">
        <x:v>2135</x:v>
      </x:c>
      <x:c r="X943" s="7" t="s">
        <x:v>3870</x:v>
      </x:c>
      <x:c r="Y943" s="7" t="s">
        <x:v>1274</x:v>
      </x:c>
      <x:c r="Z943" s="7" t="s">
        <x:v>2219</x:v>
      </x:c>
      <x:c r="AA943" s="7" t="s">
        <x:v>58</x:v>
      </x:c>
      <x:c r="AB943" s="8" t="s">
        <x:v>58</x:v>
      </x:c>
      <x:c r="AC943" s="8" t="s">
        <x:v>58</x:v>
      </x:c>
      <x:c r="AD943" s="8" t="s">
        <x:v>58</x:v>
      </x:c>
      <x:c r="AE943" s="8" t="s">
        <x:v>58</x:v>
      </x:c>
      <x:c r="AF943" s="8" t="s">
        <x:v>58</x:v>
      </x:c>
      <x:c r="AG943" s="7" t="s">
        <x:v>58</x:v>
      </x:c>
    </x:row>
    <x:row r="944" ht="79.5" hidden="0" customHeight="1">
      <x:c r="A944" s="7" t="s">
        <x:v>3905</x:v>
      </x:c>
      <x:c r="B944" s="7" t="s">
        <x:v>598</x:v>
      </x:c>
      <x:c r="C944" s="7" t="s">
        <x:v>600</x:v>
      </x:c>
      <x:c r="D944" s="7" t="s">
        <x:v>2030</x:v>
      </x:c>
      <x:c r="E944" s="7" t="s">
        <x:v>3906</x:v>
      </x:c>
      <x:c r="F944" s="7" t="s">
        <x:v>2033</x:v>
      </x:c>
      <x:c r="G944" s="8" t="n">
        <x:v>13.4</x:v>
      </x:c>
      <x:c r="H944" s="8" t="n">
        <x:v>1.7</x:v>
      </x:c>
      <x:c r="I944" s="8" t="s">
        <x:v>58</x:v>
      </x:c>
      <x:c r="J944" s="7" t="s">
        <x:v>1919</x:v>
      </x:c>
      <x:c r="K944" s="8" t="n">
        <x:v>1</x:v>
      </x:c>
      <x:c r="L944" s="8" t="n">
        <x:f aca="0">IF(AND(ISNUMBER(G944),P944&lt;&gt;"Unresolved unit / layout"),G944*K944,"Not applicable")</x:f>
        <x:v>13.4</x:v>
      </x:c>
      <x:c r="M944" s="8" t="n">
        <x:f aca="0">IF(AND(ISNUMBER(H944),P944&lt;&gt;"Unresolved unit / layout"),H944*K944,"Not applicable")</x:f>
        <x:v>1.7</x:v>
      </x:c>
      <x:c r="N944" s="8" t="str">
        <x:f aca="0">IF(AND(ISNUMBER(I944),P944&lt;&gt;"Unresolved unit / layout"),I944*K944,"Not applicable")</x:f>
        <x:v>Not applicable</x:v>
      </x:c>
      <x:c r="O944" s="7" t="s">
        <x:v>2033</x:v>
      </x:c>
      <x:c r="P944" s="7" t="s">
        <x:v>1921</x:v>
      </x:c>
      <x:c r="Q944" s="7" t="s">
        <x:v>1930</x:v>
      </x:c>
      <x:c r="R944" s="7" t="s">
        <x:v>1931</x:v>
      </x:c>
      <x:c r="S944" s="7" t="s">
        <x:v>2077</x:v>
      </x:c>
      <x:c r="T944" s="7" t="s">
        <x:v>3095</x:v>
      </x:c>
      <x:c r="U944" s="7" t="s">
        <x:v>53</x:v>
      </x:c>
      <x:c r="V944" s="7" t="s">
        <x:v>2036</x:v>
      </x:c>
      <x:c r="W944" s="7" t="s">
        <x:v>2139</x:v>
      </x:c>
      <x:c r="X944" s="7" t="s">
        <x:v>3870</x:v>
      </x:c>
      <x:c r="Y944" s="7" t="s">
        <x:v>1274</x:v>
      </x:c>
      <x:c r="Z944" s="7" t="s">
        <x:v>2222</x:v>
      </x:c>
      <x:c r="AA944" s="7" t="s">
        <x:v>58</x:v>
      </x:c>
      <x:c r="AB944" s="8" t="s">
        <x:v>58</x:v>
      </x:c>
      <x:c r="AC944" s="8" t="s">
        <x:v>58</x:v>
      </x:c>
      <x:c r="AD944" s="8" t="s">
        <x:v>58</x:v>
      </x:c>
      <x:c r="AE944" s="8" t="s">
        <x:v>58</x:v>
      </x:c>
      <x:c r="AF944" s="8" t="s">
        <x:v>58</x:v>
      </x:c>
      <x:c r="AG944" s="7" t="s">
        <x:v>58</x:v>
      </x:c>
    </x:row>
    <x:row r="945" ht="79.5" hidden="0" customHeight="1">
      <x:c r="A945" s="7" t="s">
        <x:v>3907</x:v>
      </x:c>
      <x:c r="B945" s="7" t="s">
        <x:v>598</x:v>
      </x:c>
      <x:c r="C945" s="7" t="s">
        <x:v>600</x:v>
      </x:c>
      <x:c r="D945" s="7" t="s">
        <x:v>2030</x:v>
      </x:c>
      <x:c r="E945" s="7" t="s">
        <x:v>3908</x:v>
      </x:c>
      <x:c r="F945" s="7" t="s">
        <x:v>2033</x:v>
      </x:c>
      <x:c r="G945" s="8" t="n">
        <x:v>15.5</x:v>
      </x:c>
      <x:c r="H945" s="8" t="n">
        <x:v>1.7</x:v>
      </x:c>
      <x:c r="I945" s="8" t="s">
        <x:v>58</x:v>
      </x:c>
      <x:c r="J945" s="7" t="s">
        <x:v>1919</x:v>
      </x:c>
      <x:c r="K945" s="8" t="n">
        <x:v>1</x:v>
      </x:c>
      <x:c r="L945" s="8" t="n">
        <x:f aca="0">IF(AND(ISNUMBER(G945),P945&lt;&gt;"Unresolved unit / layout"),G945*K945,"Not applicable")</x:f>
        <x:v>15.5</x:v>
      </x:c>
      <x:c r="M945" s="8" t="n">
        <x:f aca="0">IF(AND(ISNUMBER(H945),P945&lt;&gt;"Unresolved unit / layout"),H945*K945,"Not applicable")</x:f>
        <x:v>1.7</x:v>
      </x:c>
      <x:c r="N945" s="8" t="str">
        <x:f aca="0">IF(AND(ISNUMBER(I945),P945&lt;&gt;"Unresolved unit / layout"),I945*K945,"Not applicable")</x:f>
        <x:v>Not applicable</x:v>
      </x:c>
      <x:c r="O945" s="7" t="s">
        <x:v>2033</x:v>
      </x:c>
      <x:c r="P945" s="7" t="s">
        <x:v>1921</x:v>
      </x:c>
      <x:c r="Q945" s="7" t="s">
        <x:v>1930</x:v>
      </x:c>
      <x:c r="R945" s="7" t="s">
        <x:v>2003</x:v>
      </x:c>
      <x:c r="S945" s="7" t="s">
        <x:v>2077</x:v>
      </x:c>
      <x:c r="T945" s="7" t="s">
        <x:v>3095</x:v>
      </x:c>
      <x:c r="U945" s="7" t="s">
        <x:v>53</x:v>
      </x:c>
      <x:c r="V945" s="7" t="s">
        <x:v>2036</x:v>
      </x:c>
      <x:c r="W945" s="7" t="s">
        <x:v>53</x:v>
      </x:c>
      <x:c r="X945" s="7" t="s">
        <x:v>3870</x:v>
      </x:c>
      <x:c r="Y945" s="7" t="s">
        <x:v>1274</x:v>
      </x:c>
      <x:c r="Z945" s="7" t="s">
        <x:v>2225</x:v>
      </x:c>
      <x:c r="AA945" s="7" t="s">
        <x:v>58</x:v>
      </x:c>
      <x:c r="AB945" s="8" t="s">
        <x:v>58</x:v>
      </x:c>
      <x:c r="AC945" s="8" t="s">
        <x:v>58</x:v>
      </x:c>
      <x:c r="AD945" s="8" t="s">
        <x:v>58</x:v>
      </x:c>
      <x:c r="AE945" s="8" t="s">
        <x:v>58</x:v>
      </x:c>
      <x:c r="AF945" s="8" t="s">
        <x:v>58</x:v>
      </x:c>
      <x:c r="AG945" s="7" t="s">
        <x:v>58</x:v>
      </x:c>
    </x:row>
    <x:row r="946" ht="79.5" hidden="0" customHeight="1">
      <x:c r="A946" s="7" t="s">
        <x:v>3909</x:v>
      </x:c>
      <x:c r="B946" s="7" t="s">
        <x:v>608</x:v>
      </x:c>
      <x:c r="C946" s="7" t="s">
        <x:v>610</x:v>
      </x:c>
      <x:c r="D946" s="7" t="s">
        <x:v>1916</x:v>
      </x:c>
      <x:c r="E946" s="7" t="s">
        <x:v>3910</x:v>
      </x:c>
      <x:c r="F946" s="7" t="s">
        <x:v>2076</x:v>
      </x:c>
      <x:c r="G946" s="8" t="n">
        <x:v>1.14</x:v>
      </x:c>
      <x:c r="H946" s="8" t="s">
        <x:v>58</x:v>
      </x:c>
      <x:c r="I946" s="8" t="s">
        <x:v>58</x:v>
      </x:c>
      <x:c r="J946" s="7" t="s">
        <x:v>1919</x:v>
      </x:c>
      <x:c r="K946" s="8" t="n">
        <x:v>1000</x:v>
      </x:c>
      <x:c r="L946" s="8" t="n">
        <x:f aca="0">IF(AND(ISNUMBER(G946),P946&lt;&gt;"Unresolved unit / layout"),G946*K946,"Not applicable")</x:f>
        <x:v>1140</x:v>
      </x:c>
      <x:c r="M946" s="8" t="str">
        <x:f aca="0">IF(AND(ISNUMBER(H946),P946&lt;&gt;"Unresolved unit / layout"),H946*K946,"Not applicable")</x:f>
        <x:v>Not applicable</x:v>
      </x:c>
      <x:c r="N946" s="8" t="str">
        <x:f aca="0">IF(AND(ISNUMBER(I946),P946&lt;&gt;"Unresolved unit / layout"),I946*K946,"Not applicable")</x:f>
        <x:v>Not applicable</x:v>
      </x:c>
      <x:c r="O946" s="7" t="s">
        <x:v>1920</x:v>
      </x:c>
      <x:c r="P946" s="7" t="s">
        <x:v>1921</x:v>
      </x:c>
      <x:c r="Q946" s="7" t="s">
        <x:v>1922</x:v>
      </x:c>
      <x:c r="R946" s="7" t="s">
        <x:v>58</x:v>
      </x:c>
      <x:c r="S946" s="7" t="s">
        <x:v>53</x:v>
      </x:c>
      <x:c r="T946" s="7" t="s">
        <x:v>53</x:v>
      </x:c>
      <x:c r="U946" s="7" t="s">
        <x:v>53</x:v>
      </x:c>
      <x:c r="V946" s="7" t="s">
        <x:v>1923</x:v>
      </x:c>
      <x:c r="W946" s="7" t="s">
        <x:v>58</x:v>
      </x:c>
      <x:c r="X946" s="7" t="s">
        <x:v>3911</x:v>
      </x:c>
      <x:c r="Y946" s="7" t="s">
        <x:v>1276</x:v>
      </x:c>
      <x:c r="Z946" s="7" t="s">
        <x:v>1968</x:v>
      </x:c>
      <x:c r="AA946" s="7" t="s">
        <x:v>58</x:v>
      </x:c>
      <x:c r="AB946" s="8" t="s">
        <x:v>58</x:v>
      </x:c>
      <x:c r="AC946" s="8" t="s">
        <x:v>58</x:v>
      </x:c>
      <x:c r="AD946" s="8" t="s">
        <x:v>58</x:v>
      </x:c>
      <x:c r="AE946" s="8" t="s">
        <x:v>58</x:v>
      </x:c>
      <x:c r="AF946" s="8" t="s">
        <x:v>58</x:v>
      </x:c>
      <x:c r="AG946" s="7" t="s">
        <x:v>58</x:v>
      </x:c>
    </x:row>
    <x:row r="947" ht="79.5" hidden="0" customHeight="1">
      <x:c r="A947" s="7" t="s">
        <x:v>3912</x:v>
      </x:c>
      <x:c r="B947" s="7" t="s">
        <x:v>608</x:v>
      </x:c>
      <x:c r="C947" s="7" t="s">
        <x:v>610</x:v>
      </x:c>
      <x:c r="D947" s="7" t="s">
        <x:v>1974</x:v>
      </x:c>
      <x:c r="E947" s="7" t="s">
        <x:v>3913</x:v>
      </x:c>
      <x:c r="F947" s="7" t="s">
        <x:v>1956</x:v>
      </x:c>
      <x:c r="G947" s="8" t="n">
        <x:v>219</x:v>
      </x:c>
      <x:c r="H947" s="8" t="s">
        <x:v>58</x:v>
      </x:c>
      <x:c r="I947" s="8" t="s">
        <x:v>58</x:v>
      </x:c>
      <x:c r="J947" s="7" t="s">
        <x:v>1919</x:v>
      </x:c>
      <x:c r="K947" s="8" t="n">
        <x:v>1</x:v>
      </x:c>
      <x:c r="L947" s="8" t="n">
        <x:f aca="0">IF(AND(ISNUMBER(G947),P947&lt;&gt;"Unresolved unit / layout"),G947*K947,"Not applicable")</x:f>
        <x:v>219</x:v>
      </x:c>
      <x:c r="M947" s="8" t="str">
        <x:f aca="0">IF(AND(ISNUMBER(H947),P947&lt;&gt;"Unresolved unit / layout"),H947*K947,"Not applicable")</x:f>
        <x:v>Not applicable</x:v>
      </x:c>
      <x:c r="N947" s="8" t="str">
        <x:f aca="0">IF(AND(ISNUMBER(I947),P947&lt;&gt;"Unresolved unit / layout"),I947*K947,"Not applicable")</x:f>
        <x:v>Not applicable</x:v>
      </x:c>
      <x:c r="O947" s="7" t="s">
        <x:v>1956</x:v>
      </x:c>
      <x:c r="P947" s="7" t="s">
        <x:v>1921</x:v>
      </x:c>
      <x:c r="Q947" s="7" t="s">
        <x:v>2064</x:v>
      </x:c>
      <x:c r="R947" s="7" t="s">
        <x:v>58</x:v>
      </x:c>
      <x:c r="S947" s="7" t="s">
        <x:v>53</x:v>
      </x:c>
      <x:c r="T947" s="7" t="s">
        <x:v>53</x:v>
      </x:c>
      <x:c r="U947" s="7" t="s">
        <x:v>53</x:v>
      </x:c>
      <x:c r="V947" s="7" t="s">
        <x:v>2082</x:v>
      </x:c>
      <x:c r="W947" s="7" t="s">
        <x:v>58</x:v>
      </x:c>
      <x:c r="X947" s="7" t="s">
        <x:v>3911</x:v>
      </x:c>
      <x:c r="Y947" s="7" t="s">
        <x:v>1276</x:v>
      </x:c>
      <x:c r="Z947" s="7" t="s">
        <x:v>2083</x:v>
      </x:c>
      <x:c r="AA947" s="7" t="s">
        <x:v>58</x:v>
      </x:c>
      <x:c r="AB947" s="8" t="s">
        <x:v>58</x:v>
      </x:c>
      <x:c r="AC947" s="8" t="s">
        <x:v>58</x:v>
      </x:c>
      <x:c r="AD947" s="8" t="s">
        <x:v>58</x:v>
      </x:c>
      <x:c r="AE947" s="8" t="s">
        <x:v>58</x:v>
      </x:c>
      <x:c r="AF947" s="8" t="s">
        <x:v>58</x:v>
      </x:c>
      <x:c r="AG947" s="7" t="s">
        <x:v>58</x:v>
      </x:c>
    </x:row>
    <x:row r="948" ht="79.5" hidden="0" customHeight="1">
      <x:c r="A948" s="7" t="s">
        <x:v>3914</x:v>
      </x:c>
      <x:c r="B948" s="7" t="s">
        <x:v>608</x:v>
      </x:c>
      <x:c r="C948" s="7" t="s">
        <x:v>610</x:v>
      </x:c>
      <x:c r="D948" s="7" t="s">
        <x:v>1954</x:v>
      </x:c>
      <x:c r="E948" s="7" t="s">
        <x:v>3744</x:v>
      </x:c>
      <x:c r="F948" s="7" t="s">
        <x:v>1956</x:v>
      </x:c>
      <x:c r="G948" s="8" t="n">
        <x:v>67</x:v>
      </x:c>
      <x:c r="H948" s="8" t="s">
        <x:v>58</x:v>
      </x:c>
      <x:c r="I948" s="8" t="s">
        <x:v>58</x:v>
      </x:c>
      <x:c r="J948" s="7" t="s">
        <x:v>1919</x:v>
      </x:c>
      <x:c r="K948" s="8" t="n">
        <x:v>1</x:v>
      </x:c>
      <x:c r="L948" s="8" t="n">
        <x:f aca="0">IF(AND(ISNUMBER(G948),P948&lt;&gt;"Unresolved unit / layout"),G948*K948,"Not applicable")</x:f>
        <x:v>67</x:v>
      </x:c>
      <x:c r="M948" s="8" t="str">
        <x:f aca="0">IF(AND(ISNUMBER(H948),P948&lt;&gt;"Unresolved unit / layout"),H948*K948,"Not applicable")</x:f>
        <x:v>Not applicable</x:v>
      </x:c>
      <x:c r="N948" s="8" t="str">
        <x:f aca="0">IF(AND(ISNUMBER(I948),P948&lt;&gt;"Unresolved unit / layout"),I948*K948,"Not applicable")</x:f>
        <x:v>Not applicable</x:v>
      </x:c>
      <x:c r="O948" s="7" t="s">
        <x:v>1956</x:v>
      </x:c>
      <x:c r="P948" s="7" t="s">
        <x:v>1921</x:v>
      </x:c>
      <x:c r="Q948" s="7" t="s">
        <x:v>2064</x:v>
      </x:c>
      <x:c r="R948" s="7" t="s">
        <x:v>58</x:v>
      </x:c>
      <x:c r="S948" s="7" t="s">
        <x:v>53</x:v>
      </x:c>
      <x:c r="T948" s="7" t="s">
        <x:v>53</x:v>
      </x:c>
      <x:c r="U948" s="7" t="s">
        <x:v>53</x:v>
      </x:c>
      <x:c r="V948" s="7" t="s">
        <x:v>2082</x:v>
      </x:c>
      <x:c r="W948" s="7" t="s">
        <x:v>58</x:v>
      </x:c>
      <x:c r="X948" s="7" t="s">
        <x:v>3911</x:v>
      </x:c>
      <x:c r="Y948" s="7" t="s">
        <x:v>1276</x:v>
      </x:c>
      <x:c r="Z948" s="7" t="s">
        <x:v>2086</x:v>
      </x:c>
      <x:c r="AA948" s="7" t="s">
        <x:v>58</x:v>
      </x:c>
      <x:c r="AB948" s="8" t="s">
        <x:v>58</x:v>
      </x:c>
      <x:c r="AC948" s="8" t="s">
        <x:v>58</x:v>
      </x:c>
      <x:c r="AD948" s="8" t="s">
        <x:v>58</x:v>
      </x:c>
      <x:c r="AE948" s="8" t="s">
        <x:v>58</x:v>
      </x:c>
      <x:c r="AF948" s="8" t="s">
        <x:v>58</x:v>
      </x:c>
      <x:c r="AG948" s="7" t="s">
        <x:v>58</x:v>
      </x:c>
    </x:row>
    <x:row r="949" ht="79.5" hidden="0" customHeight="1">
      <x:c r="A949" s="7" t="s">
        <x:v>3915</x:v>
      </x:c>
      <x:c r="B949" s="7" t="s">
        <x:v>608</x:v>
      </x:c>
      <x:c r="C949" s="7" t="s">
        <x:v>610</x:v>
      </x:c>
      <x:c r="D949" s="7" t="s">
        <x:v>1978</x:v>
      </x:c>
      <x:c r="E949" s="7" t="s">
        <x:v>3571</x:v>
      </x:c>
      <x:c r="F949" s="7" t="s">
        <x:v>1956</x:v>
      </x:c>
      <x:c r="G949" s="8" t="n">
        <x:v>183</x:v>
      </x:c>
      <x:c r="H949" s="8" t="s">
        <x:v>58</x:v>
      </x:c>
      <x:c r="I949" s="8" t="s">
        <x:v>58</x:v>
      </x:c>
      <x:c r="J949" s="7" t="s">
        <x:v>1919</x:v>
      </x:c>
      <x:c r="K949" s="8" t="n">
        <x:v>1</x:v>
      </x:c>
      <x:c r="L949" s="8" t="n">
        <x:f aca="0">IF(AND(ISNUMBER(G949),P949&lt;&gt;"Unresolved unit / layout"),G949*K949,"Not applicable")</x:f>
        <x:v>183</x:v>
      </x:c>
      <x:c r="M949" s="8" t="str">
        <x:f aca="0">IF(AND(ISNUMBER(H949),P949&lt;&gt;"Unresolved unit / layout"),H949*K949,"Not applicable")</x:f>
        <x:v>Not applicable</x:v>
      </x:c>
      <x:c r="N949" s="8" t="str">
        <x:f aca="0">IF(AND(ISNUMBER(I949),P949&lt;&gt;"Unresolved unit / layout"),I949*K949,"Not applicable")</x:f>
        <x:v>Not applicable</x:v>
      </x:c>
      <x:c r="O949" s="7" t="s">
        <x:v>1956</x:v>
      </x:c>
      <x:c r="P949" s="7" t="s">
        <x:v>1921</x:v>
      </x:c>
      <x:c r="Q949" s="7" t="s">
        <x:v>2064</x:v>
      </x:c>
      <x:c r="R949" s="7" t="s">
        <x:v>58</x:v>
      </x:c>
      <x:c r="S949" s="7" t="s">
        <x:v>53</x:v>
      </x:c>
      <x:c r="T949" s="7" t="s">
        <x:v>53</x:v>
      </x:c>
      <x:c r="U949" s="7" t="s">
        <x:v>53</x:v>
      </x:c>
      <x:c r="V949" s="7" t="s">
        <x:v>2082</x:v>
      </x:c>
      <x:c r="W949" s="7" t="s">
        <x:v>58</x:v>
      </x:c>
      <x:c r="X949" s="7" t="s">
        <x:v>3911</x:v>
      </x:c>
      <x:c r="Y949" s="7" t="s">
        <x:v>1276</x:v>
      </x:c>
      <x:c r="Z949" s="7" t="s">
        <x:v>2188</x:v>
      </x:c>
      <x:c r="AA949" s="7" t="s">
        <x:v>58</x:v>
      </x:c>
      <x:c r="AB949" s="8" t="s">
        <x:v>58</x:v>
      </x:c>
      <x:c r="AC949" s="8" t="s">
        <x:v>58</x:v>
      </x:c>
      <x:c r="AD949" s="8" t="s">
        <x:v>58</x:v>
      </x:c>
      <x:c r="AE949" s="8" t="s">
        <x:v>58</x:v>
      </x:c>
      <x:c r="AF949" s="8" t="s">
        <x:v>58</x:v>
      </x:c>
      <x:c r="AG949" s="7" t="s">
        <x:v>58</x:v>
      </x:c>
    </x:row>
    <x:row r="950" ht="79.5" hidden="0" customHeight="1">
      <x:c r="A950" s="7" t="s">
        <x:v>3916</x:v>
      </x:c>
      <x:c r="B950" s="7" t="s">
        <x:v>608</x:v>
      </x:c>
      <x:c r="C950" s="7" t="s">
        <x:v>610</x:v>
      </x:c>
      <x:c r="D950" s="7" t="s">
        <x:v>1982</x:v>
      </x:c>
      <x:c r="E950" s="7" t="s">
        <x:v>3241</x:v>
      </x:c>
      <x:c r="F950" s="7" t="s">
        <x:v>1956</x:v>
      </x:c>
      <x:c r="G950" s="8" t="n">
        <x:v>210</x:v>
      </x:c>
      <x:c r="H950" s="8" t="s">
        <x:v>58</x:v>
      </x:c>
      <x:c r="I950" s="8" t="s">
        <x:v>58</x:v>
      </x:c>
      <x:c r="J950" s="7" t="s">
        <x:v>1919</x:v>
      </x:c>
      <x:c r="K950" s="8" t="n">
        <x:v>1</x:v>
      </x:c>
      <x:c r="L950" s="8" t="n">
        <x:f aca="0">IF(AND(ISNUMBER(G950),P950&lt;&gt;"Unresolved unit / layout"),G950*K950,"Not applicable")</x:f>
        <x:v>210</x:v>
      </x:c>
      <x:c r="M950" s="8" t="str">
        <x:f aca="0">IF(AND(ISNUMBER(H950),P950&lt;&gt;"Unresolved unit / layout"),H950*K950,"Not applicable")</x:f>
        <x:v>Not applicable</x:v>
      </x:c>
      <x:c r="N950" s="8" t="str">
        <x:f aca="0">IF(AND(ISNUMBER(I950),P950&lt;&gt;"Unresolved unit / layout"),I950*K950,"Not applicable")</x:f>
        <x:v>Not applicable</x:v>
      </x:c>
      <x:c r="O950" s="7" t="s">
        <x:v>1956</x:v>
      </x:c>
      <x:c r="P950" s="7" t="s">
        <x:v>1921</x:v>
      </x:c>
      <x:c r="Q950" s="7" t="s">
        <x:v>2064</x:v>
      </x:c>
      <x:c r="R950" s="7" t="s">
        <x:v>58</x:v>
      </x:c>
      <x:c r="S950" s="7" t="s">
        <x:v>53</x:v>
      </x:c>
      <x:c r="T950" s="7" t="s">
        <x:v>53</x:v>
      </x:c>
      <x:c r="U950" s="7" t="s">
        <x:v>53</x:v>
      </x:c>
      <x:c r="V950" s="7" t="s">
        <x:v>1984</x:v>
      </x:c>
      <x:c r="W950" s="7" t="s">
        <x:v>58</x:v>
      </x:c>
      <x:c r="X950" s="7" t="s">
        <x:v>3911</x:v>
      </x:c>
      <x:c r="Y950" s="7" t="s">
        <x:v>1276</x:v>
      </x:c>
      <x:c r="Z950" s="7" t="s">
        <x:v>2234</x:v>
      </x:c>
      <x:c r="AA950" s="7" t="s">
        <x:v>58</x:v>
      </x:c>
      <x:c r="AB950" s="8" t="s">
        <x:v>58</x:v>
      </x:c>
      <x:c r="AC950" s="8" t="s">
        <x:v>58</x:v>
      </x:c>
      <x:c r="AD950" s="8" t="s">
        <x:v>58</x:v>
      </x:c>
      <x:c r="AE950" s="8" t="s">
        <x:v>58</x:v>
      </x:c>
      <x:c r="AF950" s="8" t="s">
        <x:v>58</x:v>
      </x:c>
      <x:c r="AG950" s="7" t="s">
        <x:v>58</x:v>
      </x:c>
    </x:row>
    <x:row r="951" ht="79.5" hidden="0" customHeight="1">
      <x:c r="A951" s="7" t="s">
        <x:v>3917</x:v>
      </x:c>
      <x:c r="B951" s="7" t="s">
        <x:v>608</x:v>
      </x:c>
      <x:c r="C951" s="7" t="s">
        <x:v>610</x:v>
      </x:c>
      <x:c r="D951" s="7" t="s">
        <x:v>1959</x:v>
      </x:c>
      <x:c r="E951" s="7" t="s">
        <x:v>2311</x:v>
      </x:c>
      <x:c r="F951" s="7" t="s">
        <x:v>1956</x:v>
      </x:c>
      <x:c r="G951" s="8" t="n">
        <x:v>158</x:v>
      </x:c>
      <x:c r="H951" s="8" t="s">
        <x:v>58</x:v>
      </x:c>
      <x:c r="I951" s="8" t="s">
        <x:v>58</x:v>
      </x:c>
      <x:c r="J951" s="7" t="s">
        <x:v>1919</x:v>
      </x:c>
      <x:c r="K951" s="8" t="n">
        <x:v>1</x:v>
      </x:c>
      <x:c r="L951" s="8" t="n">
        <x:f aca="0">IF(AND(ISNUMBER(G951),P951&lt;&gt;"Unresolved unit / layout"),G951*K951,"Not applicable")</x:f>
        <x:v>158</x:v>
      </x:c>
      <x:c r="M951" s="8" t="str">
        <x:f aca="0">IF(AND(ISNUMBER(H951),P951&lt;&gt;"Unresolved unit / layout"),H951*K951,"Not applicable")</x:f>
        <x:v>Not applicable</x:v>
      </x:c>
      <x:c r="N951" s="8" t="str">
        <x:f aca="0">IF(AND(ISNUMBER(I951),P951&lt;&gt;"Unresolved unit / layout"),I951*K951,"Not applicable")</x:f>
        <x:v>Not applicable</x:v>
      </x:c>
      <x:c r="O951" s="7" t="s">
        <x:v>1956</x:v>
      </x:c>
      <x:c r="P951" s="7" t="s">
        <x:v>1921</x:v>
      </x:c>
      <x:c r="Q951" s="7" t="s">
        <x:v>2064</x:v>
      </x:c>
      <x:c r="R951" s="7" t="s">
        <x:v>58</x:v>
      </x:c>
      <x:c r="S951" s="7" t="s">
        <x:v>53</x:v>
      </x:c>
      <x:c r="T951" s="7" t="s">
        <x:v>53</x:v>
      </x:c>
      <x:c r="U951" s="7" t="s">
        <x:v>53</x:v>
      </x:c>
      <x:c r="V951" s="7" t="s">
        <x:v>2095</x:v>
      </x:c>
      <x:c r="W951" s="7" t="s">
        <x:v>58</x:v>
      </x:c>
      <x:c r="X951" s="7" t="s">
        <x:v>3911</x:v>
      </x:c>
      <x:c r="Y951" s="7" t="s">
        <x:v>1276</x:v>
      </x:c>
      <x:c r="Z951" s="7" t="s">
        <x:v>2096</x:v>
      </x:c>
      <x:c r="AA951" s="7" t="s">
        <x:v>58</x:v>
      </x:c>
      <x:c r="AB951" s="8" t="s">
        <x:v>58</x:v>
      </x:c>
      <x:c r="AC951" s="8" t="s">
        <x:v>58</x:v>
      </x:c>
      <x:c r="AD951" s="8" t="s">
        <x:v>58</x:v>
      </x:c>
      <x:c r="AE951" s="8" t="s">
        <x:v>58</x:v>
      </x:c>
      <x:c r="AF951" s="8" t="s">
        <x:v>58</x:v>
      </x:c>
      <x:c r="AG951" s="7" t="s">
        <x:v>58</x:v>
      </x:c>
    </x:row>
    <x:row r="952" ht="79.5" hidden="0" customHeight="1">
      <x:c r="A952" s="7" t="s">
        <x:v>613</x:v>
      </x:c>
      <x:c r="B952" s="7" t="s">
        <x:v>608</x:v>
      </x:c>
      <x:c r="C952" s="7" t="s">
        <x:v>610</x:v>
      </x:c>
      <x:c r="D952" s="7" t="s">
        <x:v>1959</x:v>
      </x:c>
      <x:c r="E952" s="7" t="s">
        <x:v>3918</x:v>
      </x:c>
      <x:c r="F952" s="7" t="s">
        <x:v>1956</x:v>
      </x:c>
      <x:c r="G952" s="8" t="n">
        <x:v>182</x:v>
      </x:c>
      <x:c r="H952" s="8" t="s">
        <x:v>58</x:v>
      </x:c>
      <x:c r="I952" s="8" t="s">
        <x:v>58</x:v>
      </x:c>
      <x:c r="J952" s="7" t="s">
        <x:v>1919</x:v>
      </x:c>
      <x:c r="K952" s="8" t="n">
        <x:v>1</x:v>
      </x:c>
      <x:c r="L952" s="8" t="n">
        <x:f aca="0">IF(AND(ISNUMBER(G952),P952&lt;&gt;"Unresolved unit / layout"),G952*K952,"Not applicable")</x:f>
        <x:v>182</x:v>
      </x:c>
      <x:c r="M952" s="8" t="str">
        <x:f aca="0">IF(AND(ISNUMBER(H952),P952&lt;&gt;"Unresolved unit / layout"),H952*K952,"Not applicable")</x:f>
        <x:v>Not applicable</x:v>
      </x:c>
      <x:c r="N952" s="8" t="str">
        <x:f aca="0">IF(AND(ISNUMBER(I952),P952&lt;&gt;"Unresolved unit / layout"),I952*K952,"Not applicable")</x:f>
        <x:v>Not applicable</x:v>
      </x:c>
      <x:c r="O952" s="7" t="s">
        <x:v>1956</x:v>
      </x:c>
      <x:c r="P952" s="7" t="s">
        <x:v>1921</x:v>
      </x:c>
      <x:c r="Q952" s="7" t="s">
        <x:v>2064</x:v>
      </x:c>
      <x:c r="R952" s="7" t="s">
        <x:v>58</x:v>
      </x:c>
      <x:c r="S952" s="7" t="s">
        <x:v>53</x:v>
      </x:c>
      <x:c r="T952" s="7" t="s">
        <x:v>53</x:v>
      </x:c>
      <x:c r="U952" s="7" t="s">
        <x:v>53</x:v>
      </x:c>
      <x:c r="V952" s="7" t="s">
        <x:v>2097</x:v>
      </x:c>
      <x:c r="W952" s="7" t="s">
        <x:v>58</x:v>
      </x:c>
      <x:c r="X952" s="7" t="s">
        <x:v>3911</x:v>
      </x:c>
      <x:c r="Y952" s="7" t="s">
        <x:v>1276</x:v>
      </x:c>
      <x:c r="Z952" s="7" t="s">
        <x:v>2096</x:v>
      </x:c>
      <x:c r="AA952" s="7" t="s">
        <x:v>58</x:v>
      </x:c>
      <x:c r="AB952" s="8" t="s">
        <x:v>58</x:v>
      </x:c>
      <x:c r="AC952" s="8" t="s">
        <x:v>58</x:v>
      </x:c>
      <x:c r="AD952" s="8" t="s">
        <x:v>58</x:v>
      </x:c>
      <x:c r="AE952" s="8" t="s">
        <x:v>58</x:v>
      </x:c>
      <x:c r="AF952" s="8" t="s">
        <x:v>58</x:v>
      </x:c>
      <x:c r="AG952" s="7" t="s">
        <x:v>58</x:v>
      </x:c>
    </x:row>
    <x:row r="953" ht="79.5" hidden="0" customHeight="1">
      <x:c r="A953" s="7" t="s">
        <x:v>3919</x:v>
      </x:c>
      <x:c r="B953" s="7" t="s">
        <x:v>608</x:v>
      </x:c>
      <x:c r="C953" s="7" t="s">
        <x:v>610</x:v>
      </x:c>
      <x:c r="D953" s="7" t="s">
        <x:v>2099</x:v>
      </x:c>
      <x:c r="E953" s="7" t="s">
        <x:v>3920</x:v>
      </x:c>
      <x:c r="F953" s="7" t="s">
        <x:v>1942</x:v>
      </x:c>
      <x:c r="G953" s="8" t="n">
        <x:v>2.56</x:v>
      </x:c>
      <x:c r="H953" s="8" t="s">
        <x:v>58</x:v>
      </x:c>
      <x:c r="I953" s="8" t="s">
        <x:v>58</x:v>
      </x:c>
      <x:c r="J953" s="7" t="s">
        <x:v>1919</x:v>
      </x:c>
      <x:c r="K953" s="8" t="n">
        <x:v>1</x:v>
      </x:c>
      <x:c r="L953" s="8" t="n">
        <x:f aca="0">IF(AND(ISNUMBER(G953),P953&lt;&gt;"Unresolved unit / layout"),G953*K953,"Not applicable")</x:f>
        <x:v>2.56</x:v>
      </x:c>
      <x:c r="M953" s="8" t="str">
        <x:f aca="0">IF(AND(ISNUMBER(H953),P953&lt;&gt;"Unresolved unit / layout"),H953*K953,"Not applicable")</x:f>
        <x:v>Not applicable</x:v>
      </x:c>
      <x:c r="N953" s="8" t="str">
        <x:f aca="0">IF(AND(ISNUMBER(I953),P953&lt;&gt;"Unresolved unit / layout"),I953*K953,"Not applicable")</x:f>
        <x:v>Not applicable</x:v>
      </x:c>
      <x:c r="O953" s="7" t="s">
        <x:v>1942</x:v>
      </x:c>
      <x:c r="P953" s="7" t="s">
        <x:v>1921</x:v>
      </x:c>
      <x:c r="Q953" s="7" t="s">
        <x:v>2064</x:v>
      </x:c>
      <x:c r="R953" s="7" t="s">
        <x:v>58</x:v>
      </x:c>
      <x:c r="S953" s="7" t="s">
        <x:v>53</x:v>
      </x:c>
      <x:c r="T953" s="7" t="s">
        <x:v>53</x:v>
      </x:c>
      <x:c r="U953" s="7" t="s">
        <x:v>53</x:v>
      </x:c>
      <x:c r="V953" s="7" t="s">
        <x:v>2238</x:v>
      </x:c>
      <x:c r="W953" s="7" t="s">
        <x:v>58</x:v>
      </x:c>
      <x:c r="X953" s="7" t="s">
        <x:v>3911</x:v>
      </x:c>
      <x:c r="Y953" s="7" t="s">
        <x:v>1276</x:v>
      </x:c>
      <x:c r="Z953" s="7" t="s">
        <x:v>2239</x:v>
      </x:c>
      <x:c r="AA953" s="7" t="s">
        <x:v>58</x:v>
      </x:c>
      <x:c r="AB953" s="8" t="s">
        <x:v>58</x:v>
      </x:c>
      <x:c r="AC953" s="8" t="s">
        <x:v>58</x:v>
      </x:c>
      <x:c r="AD953" s="8" t="s">
        <x:v>58</x:v>
      </x:c>
      <x:c r="AE953" s="8" t="s">
        <x:v>58</x:v>
      </x:c>
      <x:c r="AF953" s="8" t="s">
        <x:v>58</x:v>
      </x:c>
      <x:c r="AG953" s="7" t="s">
        <x:v>58</x:v>
      </x:c>
    </x:row>
    <x:row r="954" ht="79.5" hidden="0" customHeight="1">
      <x:c r="A954" s="7" t="s">
        <x:v>3921</x:v>
      </x:c>
      <x:c r="B954" s="7" t="s">
        <x:v>608</x:v>
      </x:c>
      <x:c r="C954" s="7" t="s">
        <x:v>610</x:v>
      </x:c>
      <x:c r="D954" s="7" t="s">
        <x:v>1935</x:v>
      </x:c>
      <x:c r="E954" s="7" t="s">
        <x:v>3922</x:v>
      </x:c>
      <x:c r="F954" s="7" t="s">
        <x:v>1929</x:v>
      </x:c>
      <x:c r="G954" s="8" t="n">
        <x:v>2850</x:v>
      </x:c>
      <x:c r="H954" s="8" t="n">
        <x:v>260</x:v>
      </x:c>
      <x:c r="I954" s="8" t="s">
        <x:v>58</x:v>
      </x:c>
      <x:c r="J954" s="7" t="s">
        <x:v>1919</x:v>
      </x:c>
      <x:c r="K954" s="8" t="n">
        <x:v>0.001</x:v>
      </x:c>
      <x:c r="L954" s="8" t="n">
        <x:f aca="0">IF(AND(ISNUMBER(G954),P954&lt;&gt;"Unresolved unit / layout"),G954*K954,"Not applicable")</x:f>
        <x:v>2.85</x:v>
      </x:c>
      <x:c r="M954" s="8" t="n">
        <x:f aca="0">IF(AND(ISNUMBER(H954),P954&lt;&gt;"Unresolved unit / layout"),H954*K954,"Not applicable")</x:f>
        <x:v>0.26</x:v>
      </x:c>
      <x:c r="N954" s="8" t="str">
        <x:f aca="0">IF(AND(ISNUMBER(I954),P954&lt;&gt;"Unresolved unit / layout"),I954*K954,"Not applicable")</x:f>
        <x:v>Not applicable</x:v>
      </x:c>
      <x:c r="O954" s="7" t="s">
        <x:v>1937</x:v>
      </x:c>
      <x:c r="P954" s="7" t="s">
        <x:v>1921</x:v>
      </x:c>
      <x:c r="Q954" s="7" t="s">
        <x:v>2064</x:v>
      </x:c>
      <x:c r="R954" s="7" t="s">
        <x:v>1931</x:v>
      </x:c>
      <x:c r="S954" s="7" t="s">
        <x:v>53</x:v>
      </x:c>
      <x:c r="T954" s="7" t="s">
        <x:v>53</x:v>
      </x:c>
      <x:c r="U954" s="7" t="s">
        <x:v>53</x:v>
      </x:c>
      <x:c r="V954" s="7" t="s">
        <x:v>1999</x:v>
      </x:c>
      <x:c r="W954" s="7" t="s">
        <x:v>58</x:v>
      </x:c>
      <x:c r="X954" s="7" t="s">
        <x:v>3911</x:v>
      </x:c>
      <x:c r="Y954" s="7" t="s">
        <x:v>1276</x:v>
      </x:c>
      <x:c r="Z954" s="7" t="s">
        <x:v>2105</x:v>
      </x:c>
      <x:c r="AA954" s="7" t="s">
        <x:v>58</x:v>
      </x:c>
      <x:c r="AB954" s="8" t="s">
        <x:v>58</x:v>
      </x:c>
      <x:c r="AC954" s="8" t="s">
        <x:v>58</x:v>
      </x:c>
      <x:c r="AD954" s="8" t="s">
        <x:v>58</x:v>
      </x:c>
      <x:c r="AE954" s="8" t="s">
        <x:v>58</x:v>
      </x:c>
      <x:c r="AF954" s="8" t="s">
        <x:v>58</x:v>
      </x:c>
      <x:c r="AG954" s="7" t="s">
        <x:v>58</x:v>
      </x:c>
    </x:row>
    <x:row r="955" ht="79.5" hidden="0" customHeight="1">
      <x:c r="A955" s="7" t="s">
        <x:v>3923</x:v>
      </x:c>
      <x:c r="B955" s="7" t="s">
        <x:v>608</x:v>
      </x:c>
      <x:c r="C955" s="7" t="s">
        <x:v>610</x:v>
      </x:c>
      <x:c r="D955" s="7" t="s">
        <x:v>1935</x:v>
      </x:c>
      <x:c r="E955" s="7" t="s">
        <x:v>3924</x:v>
      </x:c>
      <x:c r="F955" s="7" t="s">
        <x:v>1929</x:v>
      </x:c>
      <x:c r="G955" s="8" t="n">
        <x:v>1950</x:v>
      </x:c>
      <x:c r="H955" s="8" t="n">
        <x:v>210</x:v>
      </x:c>
      <x:c r="I955" s="8" t="s">
        <x:v>58</x:v>
      </x:c>
      <x:c r="J955" s="7" t="s">
        <x:v>1919</x:v>
      </x:c>
      <x:c r="K955" s="8" t="n">
        <x:v>0.001</x:v>
      </x:c>
      <x:c r="L955" s="8" t="n">
        <x:f aca="0">IF(AND(ISNUMBER(G955),P955&lt;&gt;"Unresolved unit / layout"),G955*K955,"Not applicable")</x:f>
        <x:v>1.95</x:v>
      </x:c>
      <x:c r="M955" s="8" t="n">
        <x:f aca="0">IF(AND(ISNUMBER(H955),P955&lt;&gt;"Unresolved unit / layout"),H955*K955,"Not applicable")</x:f>
        <x:v>0.21</x:v>
      </x:c>
      <x:c r="N955" s="8" t="str">
        <x:f aca="0">IF(AND(ISNUMBER(I955),P955&lt;&gt;"Unresolved unit / layout"),I955*K955,"Not applicable")</x:f>
        <x:v>Not applicable</x:v>
      </x:c>
      <x:c r="O955" s="7" t="s">
        <x:v>1937</x:v>
      </x:c>
      <x:c r="P955" s="7" t="s">
        <x:v>1921</x:v>
      </x:c>
      <x:c r="Q955" s="7" t="s">
        <x:v>2064</x:v>
      </x:c>
      <x:c r="R955" s="7" t="s">
        <x:v>2003</x:v>
      </x:c>
      <x:c r="S955" s="7" t="s">
        <x:v>53</x:v>
      </x:c>
      <x:c r="T955" s="7" t="s">
        <x:v>53</x:v>
      </x:c>
      <x:c r="U955" s="7" t="s">
        <x:v>53</x:v>
      </x:c>
      <x:c r="V955" s="7" t="s">
        <x:v>1999</x:v>
      </x:c>
      <x:c r="W955" s="7" t="s">
        <x:v>58</x:v>
      </x:c>
      <x:c r="X955" s="7" t="s">
        <x:v>3911</x:v>
      </x:c>
      <x:c r="Y955" s="7" t="s">
        <x:v>1276</x:v>
      </x:c>
      <x:c r="Z955" s="7" t="s">
        <x:v>2108</x:v>
      </x:c>
      <x:c r="AA955" s="7" t="s">
        <x:v>58</x:v>
      </x:c>
      <x:c r="AB955" s="8" t="s">
        <x:v>58</x:v>
      </x:c>
      <x:c r="AC955" s="8" t="s">
        <x:v>58</x:v>
      </x:c>
      <x:c r="AD955" s="8" t="s">
        <x:v>58</x:v>
      </x:c>
      <x:c r="AE955" s="8" t="s">
        <x:v>58</x:v>
      </x:c>
      <x:c r="AF955" s="8" t="s">
        <x:v>58</x:v>
      </x:c>
      <x:c r="AG955" s="7" t="s">
        <x:v>58</x:v>
      </x:c>
    </x:row>
    <x:row r="956" ht="79.5" hidden="0" customHeight="1">
      <x:c r="A956" s="7" t="s">
        <x:v>3925</x:v>
      </x:c>
      <x:c r="B956" s="7" t="s">
        <x:v>608</x:v>
      </x:c>
      <x:c r="C956" s="7" t="s">
        <x:v>610</x:v>
      </x:c>
      <x:c r="D956" s="7" t="s">
        <x:v>2006</x:v>
      </x:c>
      <x:c r="E956" s="7" t="s">
        <x:v>3926</x:v>
      </x:c>
      <x:c r="F956" s="7" t="s">
        <x:v>1929</x:v>
      </x:c>
      <x:c r="G956" s="8" t="n">
        <x:v>75</x:v>
      </x:c>
      <x:c r="H956" s="8" t="n">
        <x:v>6</x:v>
      </x:c>
      <x:c r="I956" s="8" t="s">
        <x:v>58</x:v>
      </x:c>
      <x:c r="J956" s="7" t="s">
        <x:v>1919</x:v>
      </x:c>
      <x:c r="K956" s="8" t="n">
        <x:v>1</x:v>
      </x:c>
      <x:c r="L956" s="8" t="n">
        <x:f aca="0">IF(AND(ISNUMBER(G956),P956&lt;&gt;"Unresolved unit / layout"),G956*K956,"Not applicable")</x:f>
        <x:v>75</x:v>
      </x:c>
      <x:c r="M956" s="8" t="n">
        <x:f aca="0">IF(AND(ISNUMBER(H956),P956&lt;&gt;"Unresolved unit / layout"),H956*K956,"Not applicable")</x:f>
        <x:v>6</x:v>
      </x:c>
      <x:c r="N956" s="8" t="str">
        <x:f aca="0">IF(AND(ISNUMBER(I956),P956&lt;&gt;"Unresolved unit / layout"),I956*K956,"Not applicable")</x:f>
        <x:v>Not applicable</x:v>
      </x:c>
      <x:c r="O956" s="7" t="s">
        <x:v>1929</x:v>
      </x:c>
      <x:c r="P956" s="7" t="s">
        <x:v>1921</x:v>
      </x:c>
      <x:c r="Q956" s="7" t="s">
        <x:v>2064</x:v>
      </x:c>
      <x:c r="R956" s="7" t="s">
        <x:v>1931</x:v>
      </x:c>
      <x:c r="S956" s="7" t="s">
        <x:v>53</x:v>
      </x:c>
      <x:c r="T956" s="7" t="s">
        <x:v>53</x:v>
      </x:c>
      <x:c r="U956" s="7" t="s">
        <x:v>53</x:v>
      </x:c>
      <x:c r="V956" s="7" t="s">
        <x:v>1999</x:v>
      </x:c>
      <x:c r="W956" s="7" t="s">
        <x:v>58</x:v>
      </x:c>
      <x:c r="X956" s="7" t="s">
        <x:v>3911</x:v>
      </x:c>
      <x:c r="Y956" s="7" t="s">
        <x:v>1276</x:v>
      </x:c>
      <x:c r="Z956" s="7" t="s">
        <x:v>2111</x:v>
      </x:c>
      <x:c r="AA956" s="7" t="s">
        <x:v>58</x:v>
      </x:c>
      <x:c r="AB956" s="8" t="s">
        <x:v>58</x:v>
      </x:c>
      <x:c r="AC956" s="8" t="s">
        <x:v>58</x:v>
      </x:c>
      <x:c r="AD956" s="8" t="s">
        <x:v>58</x:v>
      </x:c>
      <x:c r="AE956" s="8" t="s">
        <x:v>58</x:v>
      </x:c>
      <x:c r="AF956" s="8" t="s">
        <x:v>58</x:v>
      </x:c>
      <x:c r="AG956" s="7" t="s">
        <x:v>58</x:v>
      </x:c>
    </x:row>
    <x:row r="957" ht="79.5" hidden="0" customHeight="1">
      <x:c r="A957" s="7" t="s">
        <x:v>3927</x:v>
      </x:c>
      <x:c r="B957" s="7" t="s">
        <x:v>608</x:v>
      </x:c>
      <x:c r="C957" s="7" t="s">
        <x:v>610</x:v>
      </x:c>
      <x:c r="D957" s="7" t="s">
        <x:v>2006</x:v>
      </x:c>
      <x:c r="E957" s="7" t="s">
        <x:v>3928</x:v>
      </x:c>
      <x:c r="F957" s="7" t="s">
        <x:v>1929</x:v>
      </x:c>
      <x:c r="G957" s="8" t="n">
        <x:v>27</x:v>
      </x:c>
      <x:c r="H957" s="8" t="n">
        <x:v>5</x:v>
      </x:c>
      <x:c r="I957" s="8" t="s">
        <x:v>58</x:v>
      </x:c>
      <x:c r="J957" s="7" t="s">
        <x:v>1919</x:v>
      </x:c>
      <x:c r="K957" s="8" t="n">
        <x:v>1</x:v>
      </x:c>
      <x:c r="L957" s="8" t="n">
        <x:f aca="0">IF(AND(ISNUMBER(G957),P957&lt;&gt;"Unresolved unit / layout"),G957*K957,"Not applicable")</x:f>
        <x:v>27</x:v>
      </x:c>
      <x:c r="M957" s="8" t="n">
        <x:f aca="0">IF(AND(ISNUMBER(H957),P957&lt;&gt;"Unresolved unit / layout"),H957*K957,"Not applicable")</x:f>
        <x:v>5</x:v>
      </x:c>
      <x:c r="N957" s="8" t="str">
        <x:f aca="0">IF(AND(ISNUMBER(I957),P957&lt;&gt;"Unresolved unit / layout"),I957*K957,"Not applicable")</x:f>
        <x:v>Not applicable</x:v>
      </x:c>
      <x:c r="O957" s="7" t="s">
        <x:v>1929</x:v>
      </x:c>
      <x:c r="P957" s="7" t="s">
        <x:v>1921</x:v>
      </x:c>
      <x:c r="Q957" s="7" t="s">
        <x:v>2064</x:v>
      </x:c>
      <x:c r="R957" s="7" t="s">
        <x:v>2003</x:v>
      </x:c>
      <x:c r="S957" s="7" t="s">
        <x:v>53</x:v>
      </x:c>
      <x:c r="T957" s="7" t="s">
        <x:v>53</x:v>
      </x:c>
      <x:c r="U957" s="7" t="s">
        <x:v>53</x:v>
      </x:c>
      <x:c r="V957" s="7" t="s">
        <x:v>1999</x:v>
      </x:c>
      <x:c r="W957" s="7" t="s">
        <x:v>58</x:v>
      </x:c>
      <x:c r="X957" s="7" t="s">
        <x:v>3911</x:v>
      </x:c>
      <x:c r="Y957" s="7" t="s">
        <x:v>1276</x:v>
      </x:c>
      <x:c r="Z957" s="7" t="s">
        <x:v>2114</x:v>
      </x:c>
      <x:c r="AA957" s="7" t="s">
        <x:v>58</x:v>
      </x:c>
      <x:c r="AB957" s="8" t="s">
        <x:v>58</x:v>
      </x:c>
      <x:c r="AC957" s="8" t="s">
        <x:v>58</x:v>
      </x:c>
      <x:c r="AD957" s="8" t="s">
        <x:v>58</x:v>
      </x:c>
      <x:c r="AE957" s="8" t="s">
        <x:v>58</x:v>
      </x:c>
      <x:c r="AF957" s="8" t="s">
        <x:v>58</x:v>
      </x:c>
      <x:c r="AG957" s="7" t="s">
        <x:v>58</x:v>
      </x:c>
    </x:row>
    <x:row r="958" ht="79.5" hidden="0" customHeight="1">
      <x:c r="A958" s="7" t="s">
        <x:v>3929</x:v>
      </x:c>
      <x:c r="B958" s="7" t="s">
        <x:v>608</x:v>
      </x:c>
      <x:c r="C958" s="7" t="s">
        <x:v>610</x:v>
      </x:c>
      <x:c r="D958" s="7" t="s">
        <x:v>1940</x:v>
      </x:c>
      <x:c r="E958" s="7" t="s">
        <x:v>3930</x:v>
      </x:c>
      <x:c r="F958" s="7" t="s">
        <x:v>1942</x:v>
      </x:c>
      <x:c r="G958" s="8" t="n">
        <x:v>3.9</x:v>
      </x:c>
      <x:c r="H958" s="8" t="n">
        <x:v>0.8</x:v>
      </x:c>
      <x:c r="I958" s="8" t="s">
        <x:v>58</x:v>
      </x:c>
      <x:c r="J958" s="7" t="s">
        <x:v>1919</x:v>
      </x:c>
      <x:c r="K958" s="8" t="n">
        <x:v>1</x:v>
      </x:c>
      <x:c r="L958" s="8" t="n">
        <x:f aca="0">IF(AND(ISNUMBER(G958),P958&lt;&gt;"Unresolved unit / layout"),G958*K958,"Not applicable")</x:f>
        <x:v>3.9</x:v>
      </x:c>
      <x:c r="M958" s="8" t="n">
        <x:f aca="0">IF(AND(ISNUMBER(H958),P958&lt;&gt;"Unresolved unit / layout"),H958*K958,"Not applicable")</x:f>
        <x:v>0.8</x:v>
      </x:c>
      <x:c r="N958" s="8" t="str">
        <x:f aca="0">IF(AND(ISNUMBER(I958),P958&lt;&gt;"Unresolved unit / layout"),I958*K958,"Not applicable")</x:f>
        <x:v>Not applicable</x:v>
      </x:c>
      <x:c r="O958" s="7" t="s">
        <x:v>1942</x:v>
      </x:c>
      <x:c r="P958" s="7" t="s">
        <x:v>1921</x:v>
      </x:c>
      <x:c r="Q958" s="7" t="s">
        <x:v>2064</x:v>
      </x:c>
      <x:c r="R958" s="7" t="s">
        <x:v>1931</x:v>
      </x:c>
      <x:c r="S958" s="7" t="s">
        <x:v>53</x:v>
      </x:c>
      <x:c r="T958" s="7" t="s">
        <x:v>53</x:v>
      </x:c>
      <x:c r="U958" s="7" t="s">
        <x:v>53</x:v>
      </x:c>
      <x:c r="V958" s="7" t="s">
        <x:v>1999</x:v>
      </x:c>
      <x:c r="W958" s="7" t="s">
        <x:v>58</x:v>
      </x:c>
      <x:c r="X958" s="7" t="s">
        <x:v>3911</x:v>
      </x:c>
      <x:c r="Y958" s="7" t="s">
        <x:v>1276</x:v>
      </x:c>
      <x:c r="Z958" s="7" t="s">
        <x:v>2117</x:v>
      </x:c>
      <x:c r="AA958" s="7" t="s">
        <x:v>58</x:v>
      </x:c>
      <x:c r="AB958" s="8" t="s">
        <x:v>58</x:v>
      </x:c>
      <x:c r="AC958" s="8" t="s">
        <x:v>58</x:v>
      </x:c>
      <x:c r="AD958" s="8" t="s">
        <x:v>58</x:v>
      </x:c>
      <x:c r="AE958" s="8" t="s">
        <x:v>58</x:v>
      </x:c>
      <x:c r="AF958" s="8" t="s">
        <x:v>58</x:v>
      </x:c>
      <x:c r="AG958" s="7" t="s">
        <x:v>58</x:v>
      </x:c>
    </x:row>
    <x:row r="959" ht="79.5" hidden="0" customHeight="1">
      <x:c r="A959" s="7" t="s">
        <x:v>3931</x:v>
      </x:c>
      <x:c r="B959" s="7" t="s">
        <x:v>608</x:v>
      </x:c>
      <x:c r="C959" s="7" t="s">
        <x:v>610</x:v>
      </x:c>
      <x:c r="D959" s="7" t="s">
        <x:v>1940</x:v>
      </x:c>
      <x:c r="E959" s="7" t="s">
        <x:v>3932</x:v>
      </x:c>
      <x:c r="F959" s="7" t="s">
        <x:v>1942</x:v>
      </x:c>
      <x:c r="G959" s="8" t="n">
        <x:v>2.3</x:v>
      </x:c>
      <x:c r="H959" s="8" t="n">
        <x:v>0.7</x:v>
      </x:c>
      <x:c r="I959" s="8" t="s">
        <x:v>58</x:v>
      </x:c>
      <x:c r="J959" s="7" t="s">
        <x:v>1919</x:v>
      </x:c>
      <x:c r="K959" s="8" t="n">
        <x:v>1</x:v>
      </x:c>
      <x:c r="L959" s="8" t="n">
        <x:f aca="0">IF(AND(ISNUMBER(G959),P959&lt;&gt;"Unresolved unit / layout"),G959*K959,"Not applicable")</x:f>
        <x:v>2.3</x:v>
      </x:c>
      <x:c r="M959" s="8" t="n">
        <x:f aca="0">IF(AND(ISNUMBER(H959),P959&lt;&gt;"Unresolved unit / layout"),H959*K959,"Not applicable")</x:f>
        <x:v>0.7</x:v>
      </x:c>
      <x:c r="N959" s="8" t="str">
        <x:f aca="0">IF(AND(ISNUMBER(I959),P959&lt;&gt;"Unresolved unit / layout"),I959*K959,"Not applicable")</x:f>
        <x:v>Not applicable</x:v>
      </x:c>
      <x:c r="O959" s="7" t="s">
        <x:v>1942</x:v>
      </x:c>
      <x:c r="P959" s="7" t="s">
        <x:v>1921</x:v>
      </x:c>
      <x:c r="Q959" s="7" t="s">
        <x:v>2064</x:v>
      </x:c>
      <x:c r="R959" s="7" t="s">
        <x:v>2003</x:v>
      </x:c>
      <x:c r="S959" s="7" t="s">
        <x:v>53</x:v>
      </x:c>
      <x:c r="T959" s="7" t="s">
        <x:v>53</x:v>
      </x:c>
      <x:c r="U959" s="7" t="s">
        <x:v>53</x:v>
      </x:c>
      <x:c r="V959" s="7" t="s">
        <x:v>1999</x:v>
      </x:c>
      <x:c r="W959" s="7" t="s">
        <x:v>58</x:v>
      </x:c>
      <x:c r="X959" s="7" t="s">
        <x:v>3911</x:v>
      </x:c>
      <x:c r="Y959" s="7" t="s">
        <x:v>1276</x:v>
      </x:c>
      <x:c r="Z959" s="7" t="s">
        <x:v>2120</x:v>
      </x:c>
      <x:c r="AA959" s="7" t="s">
        <x:v>58</x:v>
      </x:c>
      <x:c r="AB959" s="8" t="s">
        <x:v>58</x:v>
      </x:c>
      <x:c r="AC959" s="8" t="s">
        <x:v>58</x:v>
      </x:c>
      <x:c r="AD959" s="8" t="s">
        <x:v>58</x:v>
      </x:c>
      <x:c r="AE959" s="8" t="s">
        <x:v>58</x:v>
      </x:c>
      <x:c r="AF959" s="8" t="s">
        <x:v>58</x:v>
      </x:c>
      <x:c r="AG959" s="7" t="s">
        <x:v>58</x:v>
      </x:c>
    </x:row>
    <x:row r="960" ht="79.5" hidden="0" customHeight="1">
      <x:c r="A960" s="7" t="s">
        <x:v>3933</x:v>
      </x:c>
      <x:c r="B960" s="7" t="s">
        <x:v>608</x:v>
      </x:c>
      <x:c r="C960" s="7" t="s">
        <x:v>610</x:v>
      </x:c>
      <x:c r="D960" s="7" t="s">
        <x:v>1950</x:v>
      </x:c>
      <x:c r="E960" s="7" t="s">
        <x:v>3934</x:v>
      </x:c>
      <x:c r="F960" s="7" t="s">
        <x:v>1929</x:v>
      </x:c>
      <x:c r="G960" s="8" t="n">
        <x:v>3670</x:v>
      </x:c>
      <x:c r="H960" s="8" t="n">
        <x:v>140</x:v>
      </x:c>
      <x:c r="I960" s="8" t="s">
        <x:v>58</x:v>
      </x:c>
      <x:c r="J960" s="7" t="s">
        <x:v>1919</x:v>
      </x:c>
      <x:c r="K960" s="8" t="n">
        <x:v>0.001</x:v>
      </x:c>
      <x:c r="L960" s="8" t="n">
        <x:f aca="0">IF(AND(ISNUMBER(G960),P960&lt;&gt;"Unresolved unit / layout"),G960*K960,"Not applicable")</x:f>
        <x:v>3.67</x:v>
      </x:c>
      <x:c r="M960" s="8" t="n">
        <x:f aca="0">IF(AND(ISNUMBER(H960),P960&lt;&gt;"Unresolved unit / layout"),H960*K960,"Not applicable")</x:f>
        <x:v>0.14</x:v>
      </x:c>
      <x:c r="N960" s="8" t="str">
        <x:f aca="0">IF(AND(ISNUMBER(I960),P960&lt;&gt;"Unresolved unit / layout"),I960*K960,"Not applicable")</x:f>
        <x:v>Not applicable</x:v>
      </x:c>
      <x:c r="O960" s="7" t="s">
        <x:v>1937</x:v>
      </x:c>
      <x:c r="P960" s="7" t="s">
        <x:v>1921</x:v>
      </x:c>
      <x:c r="Q960" s="7" t="s">
        <x:v>2064</x:v>
      </x:c>
      <x:c r="R960" s="7" t="s">
        <x:v>1931</x:v>
      </x:c>
      <x:c r="S960" s="7" t="s">
        <x:v>53</x:v>
      </x:c>
      <x:c r="T960" s="7" t="s">
        <x:v>53</x:v>
      </x:c>
      <x:c r="U960" s="7" t="s">
        <x:v>53</x:v>
      </x:c>
      <x:c r="V960" s="7" t="s">
        <x:v>2020</x:v>
      </x:c>
      <x:c r="W960" s="7" t="s">
        <x:v>58</x:v>
      </x:c>
      <x:c r="X960" s="7" t="s">
        <x:v>3911</x:v>
      </x:c>
      <x:c r="Y960" s="7" t="s">
        <x:v>1276</x:v>
      </x:c>
      <x:c r="Z960" s="7" t="s">
        <x:v>2123</x:v>
      </x:c>
      <x:c r="AA960" s="7" t="s">
        <x:v>58</x:v>
      </x:c>
      <x:c r="AB960" s="8" t="s">
        <x:v>58</x:v>
      </x:c>
      <x:c r="AC960" s="8" t="s">
        <x:v>58</x:v>
      </x:c>
      <x:c r="AD960" s="8" t="s">
        <x:v>58</x:v>
      </x:c>
      <x:c r="AE960" s="8" t="s">
        <x:v>58</x:v>
      </x:c>
      <x:c r="AF960" s="8" t="s">
        <x:v>58</x:v>
      </x:c>
      <x:c r="AG960" s="7" t="s">
        <x:v>58</x:v>
      </x:c>
    </x:row>
    <x:row r="961" ht="79.5" hidden="0" customHeight="1">
      <x:c r="A961" s="7" t="s">
        <x:v>3935</x:v>
      </x:c>
      <x:c r="B961" s="7" t="s">
        <x:v>608</x:v>
      </x:c>
      <x:c r="C961" s="7" t="s">
        <x:v>610</x:v>
      </x:c>
      <x:c r="D961" s="7" t="s">
        <x:v>1950</x:v>
      </x:c>
      <x:c r="E961" s="7" t="s">
        <x:v>3936</x:v>
      </x:c>
      <x:c r="F961" s="7" t="s">
        <x:v>1929</x:v>
      </x:c>
      <x:c r="G961" s="8" t="n">
        <x:v>2300</x:v>
      </x:c>
      <x:c r="H961" s="8" t="n">
        <x:v>120</x:v>
      </x:c>
      <x:c r="I961" s="8" t="s">
        <x:v>58</x:v>
      </x:c>
      <x:c r="J961" s="7" t="s">
        <x:v>1919</x:v>
      </x:c>
      <x:c r="K961" s="8" t="n">
        <x:v>0.001</x:v>
      </x:c>
      <x:c r="L961" s="8" t="n">
        <x:f aca="0">IF(AND(ISNUMBER(G961),P961&lt;&gt;"Unresolved unit / layout"),G961*K961,"Not applicable")</x:f>
        <x:v>2.3000000000000003</x:v>
      </x:c>
      <x:c r="M961" s="8" t="n">
        <x:f aca="0">IF(AND(ISNUMBER(H961),P961&lt;&gt;"Unresolved unit / layout"),H961*K961,"Not applicable")</x:f>
        <x:v>0.12</x:v>
      </x:c>
      <x:c r="N961" s="8" t="str">
        <x:f aca="0">IF(AND(ISNUMBER(I961),P961&lt;&gt;"Unresolved unit / layout"),I961*K961,"Not applicable")</x:f>
        <x:v>Not applicable</x:v>
      </x:c>
      <x:c r="O961" s="7" t="s">
        <x:v>1937</x:v>
      </x:c>
      <x:c r="P961" s="7" t="s">
        <x:v>1921</x:v>
      </x:c>
      <x:c r="Q961" s="7" t="s">
        <x:v>2064</x:v>
      </x:c>
      <x:c r="R961" s="7" t="s">
        <x:v>2003</x:v>
      </x:c>
      <x:c r="S961" s="7" t="s">
        <x:v>53</x:v>
      </x:c>
      <x:c r="T961" s="7" t="s">
        <x:v>53</x:v>
      </x:c>
      <x:c r="U961" s="7" t="s">
        <x:v>53</x:v>
      </x:c>
      <x:c r="V961" s="7" t="s">
        <x:v>2020</x:v>
      </x:c>
      <x:c r="W961" s="7" t="s">
        <x:v>58</x:v>
      </x:c>
      <x:c r="X961" s="7" t="s">
        <x:v>3911</x:v>
      </x:c>
      <x:c r="Y961" s="7" t="s">
        <x:v>1276</x:v>
      </x:c>
      <x:c r="Z961" s="7" t="s">
        <x:v>2210</x:v>
      </x:c>
      <x:c r="AA961" s="7" t="s">
        <x:v>58</x:v>
      </x:c>
      <x:c r="AB961" s="8" t="s">
        <x:v>58</x:v>
      </x:c>
      <x:c r="AC961" s="8" t="s">
        <x:v>58</x:v>
      </x:c>
      <x:c r="AD961" s="8" t="s">
        <x:v>58</x:v>
      </x:c>
      <x:c r="AE961" s="8" t="s">
        <x:v>58</x:v>
      </x:c>
      <x:c r="AF961" s="8" t="s">
        <x:v>58</x:v>
      </x:c>
      <x:c r="AG961" s="7" t="s">
        <x:v>58</x:v>
      </x:c>
    </x:row>
    <x:row r="962" ht="79.5" hidden="0" customHeight="1">
      <x:c r="A962" s="7" t="s">
        <x:v>3937</x:v>
      </x:c>
      <x:c r="B962" s="7" t="s">
        <x:v>608</x:v>
      </x:c>
      <x:c r="C962" s="7" t="s">
        <x:v>610</x:v>
      </x:c>
      <x:c r="D962" s="7" t="s">
        <x:v>1945</x:v>
      </x:c>
      <x:c r="E962" s="7" t="s">
        <x:v>3938</x:v>
      </x:c>
      <x:c r="F962" s="7" t="s">
        <x:v>1929</x:v>
      </x:c>
      <x:c r="G962" s="8" t="n">
        <x:v>120</x:v>
      </x:c>
      <x:c r="H962" s="8" t="n">
        <x:v>6</x:v>
      </x:c>
      <x:c r="I962" s="8" t="s">
        <x:v>58</x:v>
      </x:c>
      <x:c r="J962" s="7" t="s">
        <x:v>1919</x:v>
      </x:c>
      <x:c r="K962" s="8" t="n">
        <x:v>1</x:v>
      </x:c>
      <x:c r="L962" s="8" t="n">
        <x:f aca="0">IF(AND(ISNUMBER(G962),P962&lt;&gt;"Unresolved unit / layout"),G962*K962,"Not applicable")</x:f>
        <x:v>120</x:v>
      </x:c>
      <x:c r="M962" s="8" t="n">
        <x:f aca="0">IF(AND(ISNUMBER(H962),P962&lt;&gt;"Unresolved unit / layout"),H962*K962,"Not applicable")</x:f>
        <x:v>6</x:v>
      </x:c>
      <x:c r="N962" s="8" t="str">
        <x:f aca="0">IF(AND(ISNUMBER(I962),P962&lt;&gt;"Unresolved unit / layout"),I962*K962,"Not applicable")</x:f>
        <x:v>Not applicable</x:v>
      </x:c>
      <x:c r="O962" s="7" t="s">
        <x:v>1929</x:v>
      </x:c>
      <x:c r="P962" s="7" t="s">
        <x:v>1921</x:v>
      </x:c>
      <x:c r="Q962" s="7" t="s">
        <x:v>2064</x:v>
      </x:c>
      <x:c r="R962" s="7" t="s">
        <x:v>1931</x:v>
      </x:c>
      <x:c r="S962" s="7" t="s">
        <x:v>53</x:v>
      </x:c>
      <x:c r="T962" s="7" t="s">
        <x:v>53</x:v>
      </x:c>
      <x:c r="U962" s="7" t="s">
        <x:v>53</x:v>
      </x:c>
      <x:c r="V962" s="7" t="s">
        <x:v>2020</x:v>
      </x:c>
      <x:c r="W962" s="7" t="s">
        <x:v>58</x:v>
      </x:c>
      <x:c r="X962" s="7" t="s">
        <x:v>3911</x:v>
      </x:c>
      <x:c r="Y962" s="7" t="s">
        <x:v>1276</x:v>
      </x:c>
      <x:c r="Z962" s="7" t="s">
        <x:v>2213</x:v>
      </x:c>
      <x:c r="AA962" s="7" t="s">
        <x:v>58</x:v>
      </x:c>
      <x:c r="AB962" s="8" t="s">
        <x:v>58</x:v>
      </x:c>
      <x:c r="AC962" s="8" t="s">
        <x:v>58</x:v>
      </x:c>
      <x:c r="AD962" s="8" t="s">
        <x:v>58</x:v>
      </x:c>
      <x:c r="AE962" s="8" t="s">
        <x:v>58</x:v>
      </x:c>
      <x:c r="AF962" s="8" t="s">
        <x:v>58</x:v>
      </x:c>
      <x:c r="AG962" s="7" t="s">
        <x:v>58</x:v>
      </x:c>
    </x:row>
    <x:row r="963" ht="79.5" hidden="0" customHeight="1">
      <x:c r="A963" s="7" t="s">
        <x:v>3939</x:v>
      </x:c>
      <x:c r="B963" s="7" t="s">
        <x:v>608</x:v>
      </x:c>
      <x:c r="C963" s="7" t="s">
        <x:v>610</x:v>
      </x:c>
      <x:c r="D963" s="7" t="s">
        <x:v>1945</x:v>
      </x:c>
      <x:c r="E963" s="7" t="s">
        <x:v>2407</x:v>
      </x:c>
      <x:c r="F963" s="7" t="s">
        <x:v>1929</x:v>
      </x:c>
      <x:c r="G963" s="8" t="n">
        <x:v>51</x:v>
      </x:c>
      <x:c r="H963" s="8" t="n">
        <x:v>5</x:v>
      </x:c>
      <x:c r="I963" s="8" t="s">
        <x:v>58</x:v>
      </x:c>
      <x:c r="J963" s="7" t="s">
        <x:v>1919</x:v>
      </x:c>
      <x:c r="K963" s="8" t="n">
        <x:v>1</x:v>
      </x:c>
      <x:c r="L963" s="8" t="n">
        <x:f aca="0">IF(AND(ISNUMBER(G963),P963&lt;&gt;"Unresolved unit / layout"),G963*K963,"Not applicable")</x:f>
        <x:v>51</x:v>
      </x:c>
      <x:c r="M963" s="8" t="n">
        <x:f aca="0">IF(AND(ISNUMBER(H963),P963&lt;&gt;"Unresolved unit / layout"),H963*K963,"Not applicable")</x:f>
        <x:v>5</x:v>
      </x:c>
      <x:c r="N963" s="8" t="str">
        <x:f aca="0">IF(AND(ISNUMBER(I963),P963&lt;&gt;"Unresolved unit / layout"),I963*K963,"Not applicable")</x:f>
        <x:v>Not applicable</x:v>
      </x:c>
      <x:c r="O963" s="7" t="s">
        <x:v>1929</x:v>
      </x:c>
      <x:c r="P963" s="7" t="s">
        <x:v>1921</x:v>
      </x:c>
      <x:c r="Q963" s="7" t="s">
        <x:v>2064</x:v>
      </x:c>
      <x:c r="R963" s="7" t="s">
        <x:v>2003</x:v>
      </x:c>
      <x:c r="S963" s="7" t="s">
        <x:v>53</x:v>
      </x:c>
      <x:c r="T963" s="7" t="s">
        <x:v>53</x:v>
      </x:c>
      <x:c r="U963" s="7" t="s">
        <x:v>53</x:v>
      </x:c>
      <x:c r="V963" s="7" t="s">
        <x:v>2020</x:v>
      </x:c>
      <x:c r="W963" s="7" t="s">
        <x:v>58</x:v>
      </x:c>
      <x:c r="X963" s="7" t="s">
        <x:v>3911</x:v>
      </x:c>
      <x:c r="Y963" s="7" t="s">
        <x:v>1276</x:v>
      </x:c>
      <x:c r="Z963" s="7" t="s">
        <x:v>2216</x:v>
      </x:c>
      <x:c r="AA963" s="7" t="s">
        <x:v>58</x:v>
      </x:c>
      <x:c r="AB963" s="8" t="s">
        <x:v>58</x:v>
      </x:c>
      <x:c r="AC963" s="8" t="s">
        <x:v>58</x:v>
      </x:c>
      <x:c r="AD963" s="8" t="s">
        <x:v>58</x:v>
      </x:c>
      <x:c r="AE963" s="8" t="s">
        <x:v>58</x:v>
      </x:c>
      <x:c r="AF963" s="8" t="s">
        <x:v>58</x:v>
      </x:c>
      <x:c r="AG963" s="7" t="s">
        <x:v>58</x:v>
      </x:c>
    </x:row>
    <x:row r="964" ht="79.5" hidden="0" customHeight="1">
      <x:c r="A964" s="7" t="s">
        <x:v>3940</x:v>
      </x:c>
      <x:c r="B964" s="7" t="s">
        <x:v>608</x:v>
      </x:c>
      <x:c r="C964" s="7" t="s">
        <x:v>610</x:v>
      </x:c>
      <x:c r="D964" s="7" t="s">
        <x:v>2030</x:v>
      </x:c>
      <x:c r="E964" s="7" t="s">
        <x:v>3941</x:v>
      </x:c>
      <x:c r="F964" s="7" t="s">
        <x:v>2033</x:v>
      </x:c>
      <x:c r="G964" s="8" t="n">
        <x:v>27.2</x:v>
      </x:c>
      <x:c r="H964" s="8" t="n">
        <x:v>2.2</x:v>
      </x:c>
      <x:c r="I964" s="8" t="s">
        <x:v>58</x:v>
      </x:c>
      <x:c r="J964" s="7" t="s">
        <x:v>1919</x:v>
      </x:c>
      <x:c r="K964" s="8" t="n">
        <x:v>1</x:v>
      </x:c>
      <x:c r="L964" s="8" t="n">
        <x:f aca="0">IF(AND(ISNUMBER(G964),P964&lt;&gt;"Unresolved unit / layout"),G964*K964,"Not applicable")</x:f>
        <x:v>27.2</x:v>
      </x:c>
      <x:c r="M964" s="8" t="n">
        <x:f aca="0">IF(AND(ISNUMBER(H964),P964&lt;&gt;"Unresolved unit / layout"),H964*K964,"Not applicable")</x:f>
        <x:v>2.2</x:v>
      </x:c>
      <x:c r="N964" s="8" t="str">
        <x:f aca="0">IF(AND(ISNUMBER(I964),P964&lt;&gt;"Unresolved unit / layout"),I964*K964,"Not applicable")</x:f>
        <x:v>Not applicable</x:v>
      </x:c>
      <x:c r="O964" s="7" t="s">
        <x:v>2033</x:v>
      </x:c>
      <x:c r="P964" s="7" t="s">
        <x:v>1921</x:v>
      </x:c>
      <x:c r="Q964" s="7" t="s">
        <x:v>2064</x:v>
      </x:c>
      <x:c r="R964" s="7" t="s">
        <x:v>1931</x:v>
      </x:c>
      <x:c r="S964" s="7" t="s">
        <x:v>53</x:v>
      </x:c>
      <x:c r="T964" s="7" t="s">
        <x:v>53</x:v>
      </x:c>
      <x:c r="U964" s="7" t="s">
        <x:v>53</x:v>
      </x:c>
      <x:c r="V964" s="7" t="s">
        <x:v>2036</x:v>
      </x:c>
      <x:c r="W964" s="7" t="s">
        <x:v>2135</x:v>
      </x:c>
      <x:c r="X964" s="7" t="s">
        <x:v>3911</x:v>
      </x:c>
      <x:c r="Y964" s="7" t="s">
        <x:v>1276</x:v>
      </x:c>
      <x:c r="Z964" s="7" t="s">
        <x:v>2219</x:v>
      </x:c>
      <x:c r="AA964" s="7" t="s">
        <x:v>58</x:v>
      </x:c>
      <x:c r="AB964" s="8" t="s">
        <x:v>58</x:v>
      </x:c>
      <x:c r="AC964" s="8" t="s">
        <x:v>58</x:v>
      </x:c>
      <x:c r="AD964" s="8" t="s">
        <x:v>58</x:v>
      </x:c>
      <x:c r="AE964" s="8" t="s">
        <x:v>58</x:v>
      </x:c>
      <x:c r="AF964" s="8" t="s">
        <x:v>58</x:v>
      </x:c>
      <x:c r="AG964" s="7" t="s">
        <x:v>58</x:v>
      </x:c>
    </x:row>
    <x:row r="965" ht="79.5" hidden="0" customHeight="1">
      <x:c r="A965" s="7" t="s">
        <x:v>3942</x:v>
      </x:c>
      <x:c r="B965" s="7" t="s">
        <x:v>608</x:v>
      </x:c>
      <x:c r="C965" s="7" t="s">
        <x:v>610</x:v>
      </x:c>
      <x:c r="D965" s="7" t="s">
        <x:v>2030</x:v>
      </x:c>
      <x:c r="E965" s="7" t="s">
        <x:v>3943</x:v>
      </x:c>
      <x:c r="F965" s="7" t="s">
        <x:v>2033</x:v>
      </x:c>
      <x:c r="G965" s="8" t="n">
        <x:v>7.2</x:v>
      </x:c>
      <x:c r="H965" s="8" t="n">
        <x:v>2.3</x:v>
      </x:c>
      <x:c r="I965" s="8" t="s">
        <x:v>58</x:v>
      </x:c>
      <x:c r="J965" s="7" t="s">
        <x:v>1919</x:v>
      </x:c>
      <x:c r="K965" s="8" t="n">
        <x:v>1</x:v>
      </x:c>
      <x:c r="L965" s="8" t="n">
        <x:f aca="0">IF(AND(ISNUMBER(G965),P965&lt;&gt;"Unresolved unit / layout"),G965*K965,"Not applicable")</x:f>
        <x:v>7.2</x:v>
      </x:c>
      <x:c r="M965" s="8" t="n">
        <x:f aca="0">IF(AND(ISNUMBER(H965),P965&lt;&gt;"Unresolved unit / layout"),H965*K965,"Not applicable")</x:f>
        <x:v>2.3</x:v>
      </x:c>
      <x:c r="N965" s="8" t="str">
        <x:f aca="0">IF(AND(ISNUMBER(I965),P965&lt;&gt;"Unresolved unit / layout"),I965*K965,"Not applicable")</x:f>
        <x:v>Not applicable</x:v>
      </x:c>
      <x:c r="O965" s="7" t="s">
        <x:v>2033</x:v>
      </x:c>
      <x:c r="P965" s="7" t="s">
        <x:v>1921</x:v>
      </x:c>
      <x:c r="Q965" s="7" t="s">
        <x:v>2064</x:v>
      </x:c>
      <x:c r="R965" s="7" t="s">
        <x:v>1931</x:v>
      </x:c>
      <x:c r="S965" s="7" t="s">
        <x:v>53</x:v>
      </x:c>
      <x:c r="T965" s="7" t="s">
        <x:v>53</x:v>
      </x:c>
      <x:c r="U965" s="7" t="s">
        <x:v>53</x:v>
      </x:c>
      <x:c r="V965" s="7" t="s">
        <x:v>2036</x:v>
      </x:c>
      <x:c r="W965" s="7" t="s">
        <x:v>2139</x:v>
      </x:c>
      <x:c r="X965" s="7" t="s">
        <x:v>3911</x:v>
      </x:c>
      <x:c r="Y965" s="7" t="s">
        <x:v>1276</x:v>
      </x:c>
      <x:c r="Z965" s="7" t="s">
        <x:v>2222</x:v>
      </x:c>
      <x:c r="AA965" s="7" t="s">
        <x:v>58</x:v>
      </x:c>
      <x:c r="AB965" s="8" t="s">
        <x:v>58</x:v>
      </x:c>
      <x:c r="AC965" s="8" t="s">
        <x:v>58</x:v>
      </x:c>
      <x:c r="AD965" s="8" t="s">
        <x:v>58</x:v>
      </x:c>
      <x:c r="AE965" s="8" t="s">
        <x:v>58</x:v>
      </x:c>
      <x:c r="AF965" s="8" t="s">
        <x:v>58</x:v>
      </x:c>
      <x:c r="AG965" s="7" t="s">
        <x:v>58</x:v>
      </x:c>
    </x:row>
    <x:row r="966" ht="79.5" hidden="0" customHeight="1">
      <x:c r="A966" s="7" t="s">
        <x:v>3944</x:v>
      </x:c>
      <x:c r="B966" s="7" t="s">
        <x:v>608</x:v>
      </x:c>
      <x:c r="C966" s="7" t="s">
        <x:v>610</x:v>
      </x:c>
      <x:c r="D966" s="7" t="s">
        <x:v>2030</x:v>
      </x:c>
      <x:c r="E966" s="7" t="s">
        <x:v>3945</x:v>
      </x:c>
      <x:c r="F966" s="7" t="s">
        <x:v>2033</x:v>
      </x:c>
      <x:c r="G966" s="8" t="n">
        <x:v>4.1</x:v>
      </x:c>
      <x:c r="H966" s="8" t="n">
        <x:v>0.7</x:v>
      </x:c>
      <x:c r="I966" s="8" t="s">
        <x:v>58</x:v>
      </x:c>
      <x:c r="J966" s="7" t="s">
        <x:v>1919</x:v>
      </x:c>
      <x:c r="K966" s="8" t="n">
        <x:v>1</x:v>
      </x:c>
      <x:c r="L966" s="8" t="n">
        <x:f aca="0">IF(AND(ISNUMBER(G966),P966&lt;&gt;"Unresolved unit / layout"),G966*K966,"Not applicable")</x:f>
        <x:v>4.1</x:v>
      </x:c>
      <x:c r="M966" s="8" t="n">
        <x:f aca="0">IF(AND(ISNUMBER(H966),P966&lt;&gt;"Unresolved unit / layout"),H966*K966,"Not applicable")</x:f>
        <x:v>0.7</x:v>
      </x:c>
      <x:c r="N966" s="8" t="str">
        <x:f aca="0">IF(AND(ISNUMBER(I966),P966&lt;&gt;"Unresolved unit / layout"),I966*K966,"Not applicable")</x:f>
        <x:v>Not applicable</x:v>
      </x:c>
      <x:c r="O966" s="7" t="s">
        <x:v>2033</x:v>
      </x:c>
      <x:c r="P966" s="7" t="s">
        <x:v>1921</x:v>
      </x:c>
      <x:c r="Q966" s="7" t="s">
        <x:v>2064</x:v>
      </x:c>
      <x:c r="R966" s="7" t="s">
        <x:v>2003</x:v>
      </x:c>
      <x:c r="S966" s="7" t="s">
        <x:v>53</x:v>
      </x:c>
      <x:c r="T966" s="7" t="s">
        <x:v>53</x:v>
      </x:c>
      <x:c r="U966" s="7" t="s">
        <x:v>53</x:v>
      </x:c>
      <x:c r="V966" s="7" t="s">
        <x:v>2036</x:v>
      </x:c>
      <x:c r="W966" s="7" t="s">
        <x:v>53</x:v>
      </x:c>
      <x:c r="X966" s="7" t="s">
        <x:v>3911</x:v>
      </x:c>
      <x:c r="Y966" s="7" t="s">
        <x:v>1276</x:v>
      </x:c>
      <x:c r="Z966" s="7" t="s">
        <x:v>2225</x:v>
      </x:c>
      <x:c r="AA966" s="7" t="s">
        <x:v>58</x:v>
      </x:c>
      <x:c r="AB966" s="8" t="s">
        <x:v>58</x:v>
      </x:c>
      <x:c r="AC966" s="8" t="s">
        <x:v>58</x:v>
      </x:c>
      <x:c r="AD966" s="8" t="s">
        <x:v>58</x:v>
      </x:c>
      <x:c r="AE966" s="8" t="s">
        <x:v>58</x:v>
      </x:c>
      <x:c r="AF966" s="8" t="s">
        <x:v>58</x:v>
      </x:c>
      <x:c r="AG966" s="7" t="s">
        <x:v>58</x:v>
      </x:c>
    </x:row>
    <x:row r="967" ht="51.75" hidden="0" customHeight="1">
      <x:c r="A967" s="7" t="s">
        <x:v>3946</x:v>
      </x:c>
      <x:c r="B967" s="7" t="s">
        <x:v>627</x:v>
      </x:c>
      <x:c r="C967" s="7" t="s">
        <x:v>629</x:v>
      </x:c>
      <x:c r="D967" s="7" t="s">
        <x:v>1916</x:v>
      </x:c>
      <x:c r="E967" s="7" t="s">
        <x:v>3947</x:v>
      </x:c>
      <x:c r="F967" s="7" t="s">
        <x:v>1918</x:v>
      </x:c>
      <x:c r="G967" s="8" t="n">
        <x:v>1.16</x:v>
      </x:c>
      <x:c r="H967" s="8" t="s">
        <x:v>58</x:v>
      </x:c>
      <x:c r="I967" s="8" t="s">
        <x:v>58</x:v>
      </x:c>
      <x:c r="J967" s="7" t="s">
        <x:v>1919</x:v>
      </x:c>
      <x:c r="K967" s="8" t="n">
        <x:v>1000</x:v>
      </x:c>
      <x:c r="L967" s="8" t="n">
        <x:f aca="0">IF(AND(ISNUMBER(G967),P967&lt;&gt;"Unresolved unit / layout"),G967*K967,"Not applicable")</x:f>
        <x:v>1160</x:v>
      </x:c>
      <x:c r="M967" s="8" t="str">
        <x:f aca="0">IF(AND(ISNUMBER(H967),P967&lt;&gt;"Unresolved unit / layout"),H967*K967,"Not applicable")</x:f>
        <x:v>Not applicable</x:v>
      </x:c>
      <x:c r="N967" s="8" t="str">
        <x:f aca="0">IF(AND(ISNUMBER(I967),P967&lt;&gt;"Unresolved unit / layout"),I967*K967,"Not applicable")</x:f>
        <x:v>Not applicable</x:v>
      </x:c>
      <x:c r="O967" s="7" t="s">
        <x:v>1920</x:v>
      </x:c>
      <x:c r="P967" s="7" t="s">
        <x:v>1921</x:v>
      </x:c>
      <x:c r="Q967" s="7" t="s">
        <x:v>1922</x:v>
      </x:c>
      <x:c r="R967" s="7" t="s">
        <x:v>58</x:v>
      </x:c>
      <x:c r="S967" s="7" t="s">
        <x:v>53</x:v>
      </x:c>
      <x:c r="T967" s="7" t="s">
        <x:v>53</x:v>
      </x:c>
      <x:c r="U967" s="7" t="s">
        <x:v>53</x:v>
      </x:c>
      <x:c r="V967" s="7" t="s">
        <x:v>1923</x:v>
      </x:c>
      <x:c r="W967" s="7" t="s">
        <x:v>58</x:v>
      </x:c>
      <x:c r="X967" s="7" t="s">
        <x:v>3948</x:v>
      </x:c>
      <x:c r="Y967" s="7" t="s">
        <x:v>1282</x:v>
      </x:c>
      <x:c r="Z967" s="7" t="s">
        <x:v>1925</x:v>
      </x:c>
      <x:c r="AA967" s="7" t="s">
        <x:v>58</x:v>
      </x:c>
      <x:c r="AB967" s="8" t="s">
        <x:v>58</x:v>
      </x:c>
      <x:c r="AC967" s="8" t="s">
        <x:v>58</x:v>
      </x:c>
      <x:c r="AD967" s="8" t="s">
        <x:v>58</x:v>
      </x:c>
      <x:c r="AE967" s="8" t="s">
        <x:v>58</x:v>
      </x:c>
      <x:c r="AF967" s="8" t="s">
        <x:v>58</x:v>
      </x:c>
      <x:c r="AG967" s="7" t="s">
        <x:v>58</x:v>
      </x:c>
    </x:row>
    <x:row r="968" ht="51.75" hidden="0" customHeight="1">
      <x:c r="A968" s="7" t="s">
        <x:v>3949</x:v>
      </x:c>
      <x:c r="B968" s="7" t="s">
        <x:v>627</x:v>
      </x:c>
      <x:c r="C968" s="7" t="s">
        <x:v>629</x:v>
      </x:c>
      <x:c r="D968" s="7" t="s">
        <x:v>1927</x:v>
      </x:c>
      <x:c r="E968" s="7" t="s">
        <x:v>3950</x:v>
      </x:c>
      <x:c r="F968" s="7" t="s">
        <x:v>1929</x:v>
      </x:c>
      <x:c r="G968" s="8" t="n">
        <x:v>72</x:v>
      </x:c>
      <x:c r="H968" s="8" t="s">
        <x:v>58</x:v>
      </x:c>
      <x:c r="I968" s="8" t="s">
        <x:v>58</x:v>
      </x:c>
      <x:c r="J968" s="7" t="s">
        <x:v>1919</x:v>
      </x:c>
      <x:c r="K968" s="8" t="n">
        <x:v>1</x:v>
      </x:c>
      <x:c r="L968" s="8" t="n">
        <x:f aca="0">IF(AND(ISNUMBER(G968),P968&lt;&gt;"Unresolved unit / layout"),G968*K968,"Not applicable")</x:f>
        <x:v>72</x:v>
      </x:c>
      <x:c r="M968" s="8" t="str">
        <x:f aca="0">IF(AND(ISNUMBER(H968),P968&lt;&gt;"Unresolved unit / layout"),H968*K968,"Not applicable")</x:f>
        <x:v>Not applicable</x:v>
      </x:c>
      <x:c r="N968" s="8" t="str">
        <x:f aca="0">IF(AND(ISNUMBER(I968),P968&lt;&gt;"Unresolved unit / layout"),I968*K968,"Not applicable")</x:f>
        <x:v>Not applicable</x:v>
      </x:c>
      <x:c r="O968" s="7" t="s">
        <x:v>1929</x:v>
      </x:c>
      <x:c r="P968" s="7" t="s">
        <x:v>1921</x:v>
      </x:c>
      <x:c r="Q968" s="7" t="s">
        <x:v>1930</x:v>
      </x:c>
      <x:c r="R968" s="7" t="s">
        <x:v>1931</x:v>
      </x:c>
      <x:c r="S968" s="7" t="s">
        <x:v>53</x:v>
      </x:c>
      <x:c r="T968" s="7" t="s">
        <x:v>53</x:v>
      </x:c>
      <x:c r="U968" s="7" t="s">
        <x:v>53</x:v>
      </x:c>
      <x:c r="V968" s="7" t="s">
        <x:v>1932</x:v>
      </x:c>
      <x:c r="W968" s="7" t="s">
        <x:v>58</x:v>
      </x:c>
      <x:c r="X968" s="7" t="s">
        <x:v>3948</x:v>
      </x:c>
      <x:c r="Y968" s="7" t="s">
        <x:v>1282</x:v>
      </x:c>
      <x:c r="Z968" s="7" t="s">
        <x:v>1933</x:v>
      </x:c>
      <x:c r="AA968" s="7" t="s">
        <x:v>58</x:v>
      </x:c>
      <x:c r="AB968" s="8" t="s">
        <x:v>58</x:v>
      </x:c>
      <x:c r="AC968" s="8" t="s">
        <x:v>58</x:v>
      </x:c>
      <x:c r="AD968" s="8" t="s">
        <x:v>58</x:v>
      </x:c>
      <x:c r="AE968" s="8" t="s">
        <x:v>58</x:v>
      </x:c>
      <x:c r="AF968" s="8" t="s">
        <x:v>58</x:v>
      </x:c>
      <x:c r="AG968" s="7" t="s">
        <x:v>58</x:v>
      </x:c>
    </x:row>
    <x:row r="969" ht="51.75" hidden="0" customHeight="1">
      <x:c r="A969" s="7" t="s">
        <x:v>3951</x:v>
      </x:c>
      <x:c r="B969" s="7" t="s">
        <x:v>627</x:v>
      </x:c>
      <x:c r="C969" s="7" t="s">
        <x:v>629</x:v>
      </x:c>
      <x:c r="D969" s="7" t="s">
        <x:v>1935</x:v>
      </x:c>
      <x:c r="E969" s="7" t="s">
        <x:v>3952</x:v>
      </x:c>
      <x:c r="F969" s="7" t="s">
        <x:v>1929</x:v>
      </x:c>
      <x:c r="G969" s="8" t="n">
        <x:v>8000</x:v>
      </x:c>
      <x:c r="H969" s="8" t="s">
        <x:v>58</x:v>
      </x:c>
      <x:c r="I969" s="8" t="s">
        <x:v>58</x:v>
      </x:c>
      <x:c r="J969" s="7" t="s">
        <x:v>1919</x:v>
      </x:c>
      <x:c r="K969" s="8" t="n">
        <x:v>0.001</x:v>
      </x:c>
      <x:c r="L969" s="8" t="n">
        <x:f aca="0">IF(AND(ISNUMBER(G969),P969&lt;&gt;"Unresolved unit / layout"),G969*K969,"Not applicable")</x:f>
        <x:v>8</x:v>
      </x:c>
      <x:c r="M969" s="8" t="str">
        <x:f aca="0">IF(AND(ISNUMBER(H969),P969&lt;&gt;"Unresolved unit / layout"),H969*K969,"Not applicable")</x:f>
        <x:v>Not applicable</x:v>
      </x:c>
      <x:c r="N969" s="8" t="str">
        <x:f aca="0">IF(AND(ISNUMBER(I969),P969&lt;&gt;"Unresolved unit / layout"),I969*K969,"Not applicable")</x:f>
        <x:v>Not applicable</x:v>
      </x:c>
      <x:c r="O969" s="7" t="s">
        <x:v>1937</x:v>
      </x:c>
      <x:c r="P969" s="7" t="s">
        <x:v>1921</x:v>
      </x:c>
      <x:c r="Q969" s="7" t="s">
        <x:v>1930</x:v>
      </x:c>
      <x:c r="R969" s="7" t="s">
        <x:v>1931</x:v>
      </x:c>
      <x:c r="S969" s="7" t="s">
        <x:v>53</x:v>
      </x:c>
      <x:c r="T969" s="7" t="s">
        <x:v>53</x:v>
      </x:c>
      <x:c r="U969" s="7" t="s">
        <x:v>53</x:v>
      </x:c>
      <x:c r="V969" s="7" t="s">
        <x:v>1932</x:v>
      </x:c>
      <x:c r="W969" s="7" t="s">
        <x:v>58</x:v>
      </x:c>
      <x:c r="X969" s="7" t="s">
        <x:v>3948</x:v>
      </x:c>
      <x:c r="Y969" s="7" t="s">
        <x:v>1282</x:v>
      </x:c>
      <x:c r="Z969" s="7" t="s">
        <x:v>1938</x:v>
      </x:c>
      <x:c r="AA969" s="7" t="s">
        <x:v>58</x:v>
      </x:c>
      <x:c r="AB969" s="8" t="s">
        <x:v>58</x:v>
      </x:c>
      <x:c r="AC969" s="8" t="s">
        <x:v>58</x:v>
      </x:c>
      <x:c r="AD969" s="8" t="s">
        <x:v>58</x:v>
      </x:c>
      <x:c r="AE969" s="8" t="s">
        <x:v>58</x:v>
      </x:c>
      <x:c r="AF969" s="8" t="s">
        <x:v>58</x:v>
      </x:c>
      <x:c r="AG969" s="7" t="s">
        <x:v>58</x:v>
      </x:c>
    </x:row>
    <x:row r="970" ht="51.75" hidden="0" customHeight="1">
      <x:c r="A970" s="7" t="s">
        <x:v>3953</x:v>
      </x:c>
      <x:c r="B970" s="7" t="s">
        <x:v>627</x:v>
      </x:c>
      <x:c r="C970" s="7" t="s">
        <x:v>629</x:v>
      </x:c>
      <x:c r="D970" s="7" t="s">
        <x:v>1940</x:v>
      </x:c>
      <x:c r="E970" s="7" t="s">
        <x:v>3954</x:v>
      </x:c>
      <x:c r="F970" s="7" t="s">
        <x:v>1942</x:v>
      </x:c>
      <x:c r="G970" s="8" t="n">
        <x:v>2.1</x:v>
      </x:c>
      <x:c r="H970" s="8" t="s">
        <x:v>58</x:v>
      </x:c>
      <x:c r="I970" s="8" t="s">
        <x:v>58</x:v>
      </x:c>
      <x:c r="J970" s="7" t="s">
        <x:v>1919</x:v>
      </x:c>
      <x:c r="K970" s="8" t="n">
        <x:v>1</x:v>
      </x:c>
      <x:c r="L970" s="8" t="n">
        <x:f aca="0">IF(AND(ISNUMBER(G970),P970&lt;&gt;"Unresolved unit / layout"),G970*K970,"Not applicable")</x:f>
        <x:v>2.1</x:v>
      </x:c>
      <x:c r="M970" s="8" t="str">
        <x:f aca="0">IF(AND(ISNUMBER(H970),P970&lt;&gt;"Unresolved unit / layout"),H970*K970,"Not applicable")</x:f>
        <x:v>Not applicable</x:v>
      </x:c>
      <x:c r="N970" s="8" t="str">
        <x:f aca="0">IF(AND(ISNUMBER(I970),P970&lt;&gt;"Unresolved unit / layout"),I970*K970,"Not applicable")</x:f>
        <x:v>Not applicable</x:v>
      </x:c>
      <x:c r="O970" s="7" t="s">
        <x:v>1942</x:v>
      </x:c>
      <x:c r="P970" s="7" t="s">
        <x:v>1921</x:v>
      </x:c>
      <x:c r="Q970" s="7" t="s">
        <x:v>1930</x:v>
      </x:c>
      <x:c r="R970" s="7" t="s">
        <x:v>1931</x:v>
      </x:c>
      <x:c r="S970" s="7" t="s">
        <x:v>53</x:v>
      </x:c>
      <x:c r="T970" s="7" t="s">
        <x:v>53</x:v>
      </x:c>
      <x:c r="U970" s="7" t="s">
        <x:v>53</x:v>
      </x:c>
      <x:c r="V970" s="7" t="s">
        <x:v>1932</x:v>
      </x:c>
      <x:c r="W970" s="7" t="s">
        <x:v>58</x:v>
      </x:c>
      <x:c r="X970" s="7" t="s">
        <x:v>3948</x:v>
      </x:c>
      <x:c r="Y970" s="7" t="s">
        <x:v>1282</x:v>
      </x:c>
      <x:c r="Z970" s="7" t="s">
        <x:v>1943</x:v>
      </x:c>
      <x:c r="AA970" s="7" t="s">
        <x:v>58</x:v>
      </x:c>
      <x:c r="AB970" s="8" t="s">
        <x:v>58</x:v>
      </x:c>
      <x:c r="AC970" s="8" t="s">
        <x:v>58</x:v>
      </x:c>
      <x:c r="AD970" s="8" t="s">
        <x:v>58</x:v>
      </x:c>
      <x:c r="AE970" s="8" t="s">
        <x:v>58</x:v>
      </x:c>
      <x:c r="AF970" s="8" t="s">
        <x:v>58</x:v>
      </x:c>
      <x:c r="AG970" s="7" t="s">
        <x:v>58</x:v>
      </x:c>
    </x:row>
    <x:row r="971" ht="51.75" hidden="0" customHeight="1">
      <x:c r="A971" s="7" t="s">
        <x:v>3955</x:v>
      </x:c>
      <x:c r="B971" s="7" t="s">
        <x:v>627</x:v>
      </x:c>
      <x:c r="C971" s="7" t="s">
        <x:v>629</x:v>
      </x:c>
      <x:c r="D971" s="7" t="s">
        <x:v>1945</x:v>
      </x:c>
      <x:c r="E971" s="7" t="s">
        <x:v>3447</x:v>
      </x:c>
      <x:c r="F971" s="7" t="s">
        <x:v>1929</x:v>
      </x:c>
      <x:c r="G971" s="8" t="n">
        <x:v>90</x:v>
      </x:c>
      <x:c r="H971" s="8" t="s">
        <x:v>58</x:v>
      </x:c>
      <x:c r="I971" s="8" t="s">
        <x:v>58</x:v>
      </x:c>
      <x:c r="J971" s="7" t="s">
        <x:v>1919</x:v>
      </x:c>
      <x:c r="K971" s="8" t="n">
        <x:v>1</x:v>
      </x:c>
      <x:c r="L971" s="8" t="n">
        <x:f aca="0">IF(AND(ISNUMBER(G971),P971&lt;&gt;"Unresolved unit / layout"),G971*K971,"Not applicable")</x:f>
        <x:v>90</x:v>
      </x:c>
      <x:c r="M971" s="8" t="str">
        <x:f aca="0">IF(AND(ISNUMBER(H971),P971&lt;&gt;"Unresolved unit / layout"),H971*K971,"Not applicable")</x:f>
        <x:v>Not applicable</x:v>
      </x:c>
      <x:c r="N971" s="8" t="str">
        <x:f aca="0">IF(AND(ISNUMBER(I971),P971&lt;&gt;"Unresolved unit / layout"),I971*K971,"Not applicable")</x:f>
        <x:v>Not applicable</x:v>
      </x:c>
      <x:c r="O971" s="7" t="s">
        <x:v>1929</x:v>
      </x:c>
      <x:c r="P971" s="7" t="s">
        <x:v>1921</x:v>
      </x:c>
      <x:c r="Q971" s="7" t="s">
        <x:v>1930</x:v>
      </x:c>
      <x:c r="R971" s="7" t="s">
        <x:v>1931</x:v>
      </x:c>
      <x:c r="S971" s="7" t="s">
        <x:v>53</x:v>
      </x:c>
      <x:c r="T971" s="7" t="s">
        <x:v>53</x:v>
      </x:c>
      <x:c r="U971" s="7" t="s">
        <x:v>53</x:v>
      </x:c>
      <x:c r="V971" s="7" t="s">
        <x:v>1947</x:v>
      </x:c>
      <x:c r="W971" s="7" t="s">
        <x:v>58</x:v>
      </x:c>
      <x:c r="X971" s="7" t="s">
        <x:v>3948</x:v>
      </x:c>
      <x:c r="Y971" s="7" t="s">
        <x:v>1282</x:v>
      </x:c>
      <x:c r="Z971" s="7" t="s">
        <x:v>1948</x:v>
      </x:c>
      <x:c r="AA971" s="7" t="s">
        <x:v>58</x:v>
      </x:c>
      <x:c r="AB971" s="8" t="s">
        <x:v>58</x:v>
      </x:c>
      <x:c r="AC971" s="8" t="s">
        <x:v>58</x:v>
      </x:c>
      <x:c r="AD971" s="8" t="s">
        <x:v>58</x:v>
      </x:c>
      <x:c r="AE971" s="8" t="s">
        <x:v>58</x:v>
      </x:c>
      <x:c r="AF971" s="8" t="s">
        <x:v>58</x:v>
      </x:c>
      <x:c r="AG971" s="7" t="s">
        <x:v>58</x:v>
      </x:c>
    </x:row>
    <x:row r="972" ht="51.75" hidden="0" customHeight="1">
      <x:c r="A972" s="7" t="s">
        <x:v>3956</x:v>
      </x:c>
      <x:c r="B972" s="7" t="s">
        <x:v>627</x:v>
      </x:c>
      <x:c r="C972" s="7" t="s">
        <x:v>629</x:v>
      </x:c>
      <x:c r="D972" s="7" t="s">
        <x:v>1950</x:v>
      </x:c>
      <x:c r="E972" s="7" t="s">
        <x:v>3957</x:v>
      </x:c>
      <x:c r="F972" s="7" t="s">
        <x:v>1929</x:v>
      </x:c>
      <x:c r="G972" s="8" t="n">
        <x:v>7900</x:v>
      </x:c>
      <x:c r="H972" s="8" t="s">
        <x:v>58</x:v>
      </x:c>
      <x:c r="I972" s="8" t="s">
        <x:v>58</x:v>
      </x:c>
      <x:c r="J972" s="7" t="s">
        <x:v>1919</x:v>
      </x:c>
      <x:c r="K972" s="8" t="n">
        <x:v>0.001</x:v>
      </x:c>
      <x:c r="L972" s="8" t="n">
        <x:f aca="0">IF(AND(ISNUMBER(G972),P972&lt;&gt;"Unresolved unit / layout"),G972*K972,"Not applicable")</x:f>
        <x:v>7.9</x:v>
      </x:c>
      <x:c r="M972" s="8" t="str">
        <x:f aca="0">IF(AND(ISNUMBER(H972),P972&lt;&gt;"Unresolved unit / layout"),H972*K972,"Not applicable")</x:f>
        <x:v>Not applicable</x:v>
      </x:c>
      <x:c r="N972" s="8" t="str">
        <x:f aca="0">IF(AND(ISNUMBER(I972),P972&lt;&gt;"Unresolved unit / layout"),I972*K972,"Not applicable")</x:f>
        <x:v>Not applicable</x:v>
      </x:c>
      <x:c r="O972" s="7" t="s">
        <x:v>1937</x:v>
      </x:c>
      <x:c r="P972" s="7" t="s">
        <x:v>1921</x:v>
      </x:c>
      <x:c r="Q972" s="7" t="s">
        <x:v>1930</x:v>
      </x:c>
      <x:c r="R972" s="7" t="s">
        <x:v>1931</x:v>
      </x:c>
      <x:c r="S972" s="7" t="s">
        <x:v>53</x:v>
      </x:c>
      <x:c r="T972" s="7" t="s">
        <x:v>53</x:v>
      </x:c>
      <x:c r="U972" s="7" t="s">
        <x:v>53</x:v>
      </x:c>
      <x:c r="V972" s="7" t="s">
        <x:v>1947</x:v>
      </x:c>
      <x:c r="W972" s="7" t="s">
        <x:v>58</x:v>
      </x:c>
      <x:c r="X972" s="7" t="s">
        <x:v>3948</x:v>
      </x:c>
      <x:c r="Y972" s="7" t="s">
        <x:v>1282</x:v>
      </x:c>
      <x:c r="Z972" s="7" t="s">
        <x:v>1952</x:v>
      </x:c>
      <x:c r="AA972" s="7" t="s">
        <x:v>58</x:v>
      </x:c>
      <x:c r="AB972" s="8" t="s">
        <x:v>58</x:v>
      </x:c>
      <x:c r="AC972" s="8" t="s">
        <x:v>58</x:v>
      </x:c>
      <x:c r="AD972" s="8" t="s">
        <x:v>58</x:v>
      </x:c>
      <x:c r="AE972" s="8" t="s">
        <x:v>58</x:v>
      </x:c>
      <x:c r="AF972" s="8" t="s">
        <x:v>58</x:v>
      </x:c>
      <x:c r="AG972" s="7" t="s">
        <x:v>58</x:v>
      </x:c>
    </x:row>
    <x:row r="973" ht="51.75" hidden="0" customHeight="1">
      <x:c r="A973" s="7" t="s">
        <x:v>3958</x:v>
      </x:c>
      <x:c r="B973" s="7" t="s">
        <x:v>627</x:v>
      </x:c>
      <x:c r="C973" s="7" t="s">
        <x:v>629</x:v>
      </x:c>
      <x:c r="D973" s="7" t="s">
        <x:v>1954</x:v>
      </x:c>
      <x:c r="E973" s="7" t="s">
        <x:v>3959</x:v>
      </x:c>
      <x:c r="F973" s="7" t="s">
        <x:v>1956</x:v>
      </x:c>
      <x:c r="G973" s="8" t="n">
        <x:v>158</x:v>
      </x:c>
      <x:c r="H973" s="8" t="s">
        <x:v>58</x:v>
      </x:c>
      <x:c r="I973" s="8" t="s">
        <x:v>58</x:v>
      </x:c>
      <x:c r="J973" s="7" t="s">
        <x:v>1919</x:v>
      </x:c>
      <x:c r="K973" s="8" t="n">
        <x:v>1</x:v>
      </x:c>
      <x:c r="L973" s="8" t="n">
        <x:f aca="0">IF(AND(ISNUMBER(G973),P973&lt;&gt;"Unresolved unit / layout"),G973*K973,"Not applicable")</x:f>
        <x:v>158</x:v>
      </x:c>
      <x:c r="M973" s="8" t="str">
        <x:f aca="0">IF(AND(ISNUMBER(H973),P973&lt;&gt;"Unresolved unit / layout"),H973*K973,"Not applicable")</x:f>
        <x:v>Not applicable</x:v>
      </x:c>
      <x:c r="N973" s="8" t="str">
        <x:f aca="0">IF(AND(ISNUMBER(I973),P973&lt;&gt;"Unresolved unit / layout"),I973*K973,"Not applicable")</x:f>
        <x:v>Not applicable</x:v>
      </x:c>
      <x:c r="O973" s="7" t="s">
        <x:v>1956</x:v>
      </x:c>
      <x:c r="P973" s="7" t="s">
        <x:v>1921</x:v>
      </x:c>
      <x:c r="Q973" s="7" t="s">
        <x:v>1930</x:v>
      </x:c>
      <x:c r="R973" s="7" t="s">
        <x:v>58</x:v>
      </x:c>
      <x:c r="S973" s="7" t="s">
        <x:v>53</x:v>
      </x:c>
      <x:c r="T973" s="7" t="s">
        <x:v>53</x:v>
      </x:c>
      <x:c r="U973" s="7" t="s">
        <x:v>53</x:v>
      </x:c>
      <x:c r="V973" s="7" t="s">
        <x:v>1957</x:v>
      </x:c>
      <x:c r="W973" s="7" t="s">
        <x:v>58</x:v>
      </x:c>
      <x:c r="X973" s="7" t="s">
        <x:v>3948</x:v>
      </x:c>
      <x:c r="Y973" s="7" t="s">
        <x:v>1282</x:v>
      </x:c>
      <x:c r="Z973" s="7" t="s">
        <x:v>3215</x:v>
      </x:c>
      <x:c r="AA973" s="7" t="s">
        <x:v>58</x:v>
      </x:c>
      <x:c r="AB973" s="8" t="s">
        <x:v>58</x:v>
      </x:c>
      <x:c r="AC973" s="8" t="s">
        <x:v>58</x:v>
      </x:c>
      <x:c r="AD973" s="8" t="s">
        <x:v>58</x:v>
      </x:c>
      <x:c r="AE973" s="8" t="s">
        <x:v>58</x:v>
      </x:c>
      <x:c r="AF973" s="8" t="s">
        <x:v>58</x:v>
      </x:c>
      <x:c r="AG973" s="7" t="s">
        <x:v>58</x:v>
      </x:c>
    </x:row>
    <x:row r="974" ht="51.75" hidden="0" customHeight="1">
      <x:c r="A974" s="7" t="s">
        <x:v>634</x:v>
      </x:c>
      <x:c r="B974" s="7" t="s">
        <x:v>627</x:v>
      </x:c>
      <x:c r="C974" s="7" t="s">
        <x:v>629</x:v>
      </x:c>
      <x:c r="D974" s="7" t="s">
        <x:v>1959</x:v>
      </x:c>
      <x:c r="E974" s="7" t="s">
        <x:v>3960</x:v>
      </x:c>
      <x:c r="F974" s="7" t="s">
        <x:v>1956</x:v>
      </x:c>
      <x:c r="G974" s="8" t="n">
        <x:v>150</x:v>
      </x:c>
      <x:c r="H974" s="8" t="s">
        <x:v>58</x:v>
      </x:c>
      <x:c r="I974" s="8" t="s">
        <x:v>58</x:v>
      </x:c>
      <x:c r="J974" s="7" t="s">
        <x:v>1919</x:v>
      </x:c>
      <x:c r="K974" s="8" t="n">
        <x:v>1</x:v>
      </x:c>
      <x:c r="L974" s="8" t="n">
        <x:f aca="0">IF(AND(ISNUMBER(G974),P974&lt;&gt;"Unresolved unit / layout"),G974*K974,"Not applicable")</x:f>
        <x:v>150</x:v>
      </x:c>
      <x:c r="M974" s="8" t="str">
        <x:f aca="0">IF(AND(ISNUMBER(H974),P974&lt;&gt;"Unresolved unit / layout"),H974*K974,"Not applicable")</x:f>
        <x:v>Not applicable</x:v>
      </x:c>
      <x:c r="N974" s="8" t="str">
        <x:f aca="0">IF(AND(ISNUMBER(I974),P974&lt;&gt;"Unresolved unit / layout"),I974*K974,"Not applicable")</x:f>
        <x:v>Not applicable</x:v>
      </x:c>
      <x:c r="O974" s="7" t="s">
        <x:v>1956</x:v>
      </x:c>
      <x:c r="P974" s="7" t="s">
        <x:v>1921</x:v>
      </x:c>
      <x:c r="Q974" s="7" t="s">
        <x:v>1930</x:v>
      </x:c>
      <x:c r="R974" s="7" t="s">
        <x:v>58</x:v>
      </x:c>
      <x:c r="S974" s="7" t="s">
        <x:v>53</x:v>
      </x:c>
      <x:c r="T974" s="7" t="s">
        <x:v>53</x:v>
      </x:c>
      <x:c r="U974" s="7" t="s">
        <x:v>53</x:v>
      </x:c>
      <x:c r="V974" s="7" t="s">
        <x:v>1961</x:v>
      </x:c>
      <x:c r="W974" s="7" t="s">
        <x:v>58</x:v>
      </x:c>
      <x:c r="X974" s="7" t="s">
        <x:v>3948</x:v>
      </x:c>
      <x:c r="Y974" s="7" t="s">
        <x:v>1282</x:v>
      </x:c>
      <x:c r="Z974" s="7" t="s">
        <x:v>1962</x:v>
      </x:c>
      <x:c r="AA974" s="7" t="s">
        <x:v>58</x:v>
      </x:c>
      <x:c r="AB974" s="8" t="s">
        <x:v>58</x:v>
      </x:c>
      <x:c r="AC974" s="8" t="s">
        <x:v>58</x:v>
      </x:c>
      <x:c r="AD974" s="8" t="s">
        <x:v>58</x:v>
      </x:c>
      <x:c r="AE974" s="8" t="s">
        <x:v>58</x:v>
      </x:c>
      <x:c r="AF974" s="8" t="s">
        <x:v>58</x:v>
      </x:c>
      <x:c r="AG974" s="7" t="s">
        <x:v>58</x:v>
      </x:c>
    </x:row>
    <x:row r="975" ht="66" hidden="0" customHeight="1">
      <x:c r="A975" s="7" t="s">
        <x:v>3961</x:v>
      </x:c>
      <x:c r="B975" s="7" t="s">
        <x:v>627</x:v>
      </x:c>
      <x:c r="C975" s="7" t="s">
        <x:v>1284</x:v>
      </x:c>
      <x:c r="D975" s="7" t="s">
        <x:v>1916</x:v>
      </x:c>
      <x:c r="E975" s="7" t="s">
        <x:v>3962</x:v>
      </x:c>
      <x:c r="F975" s="7" t="s">
        <x:v>1965</x:v>
      </x:c>
      <x:c r="G975" s="8" t="n">
        <x:v>1.06</x:v>
      </x:c>
      <x:c r="H975" s="8" t="s">
        <x:v>58</x:v>
      </x:c>
      <x:c r="I975" s="8" t="s">
        <x:v>58</x:v>
      </x:c>
      <x:c r="J975" s="7" t="s">
        <x:v>1919</x:v>
      </x:c>
      <x:c r="K975" s="8" t="n">
        <x:v>1000</x:v>
      </x:c>
      <x:c r="L975" s="8" t="n">
        <x:f aca="0">IF(AND(ISNUMBER(G975),P975&lt;&gt;"Unresolved unit / layout"),G975*K975,"Not applicable")</x:f>
        <x:v>1060</x:v>
      </x:c>
      <x:c r="M975" s="8" t="str">
        <x:f aca="0">IF(AND(ISNUMBER(H975),P975&lt;&gt;"Unresolved unit / layout"),H975*K975,"Not applicable")</x:f>
        <x:v>Not applicable</x:v>
      </x:c>
      <x:c r="N975" s="8" t="str">
        <x:f aca="0">IF(AND(ISNUMBER(I975),P975&lt;&gt;"Unresolved unit / layout"),I975*K975,"Not applicable")</x:f>
        <x:v>Not applicable</x:v>
      </x:c>
      <x:c r="O975" s="7" t="s">
        <x:v>1920</x:v>
      </x:c>
      <x:c r="P975" s="7" t="s">
        <x:v>1921</x:v>
      </x:c>
      <x:c r="Q975" s="7" t="s">
        <x:v>1922</x:v>
      </x:c>
      <x:c r="R975" s="7" t="s">
        <x:v>58</x:v>
      </x:c>
      <x:c r="S975" s="7" t="s">
        <x:v>2077</x:v>
      </x:c>
      <x:c r="T975" s="7" t="s">
        <x:v>3963</x:v>
      </x:c>
      <x:c r="U975" s="7" t="s">
        <x:v>53</x:v>
      </x:c>
      <x:c r="V975" s="7" t="s">
        <x:v>1966</x:v>
      </x:c>
      <x:c r="W975" s="7" t="s">
        <x:v>58</x:v>
      </x:c>
      <x:c r="X975" s="7" t="s">
        <x:v>3964</x:v>
      </x:c>
      <x:c r="Y975" s="7" t="s">
        <x:v>1286</x:v>
      </x:c>
      <x:c r="Z975" s="7" t="s">
        <x:v>1968</x:v>
      </x:c>
      <x:c r="AA975" s="7" t="s">
        <x:v>58</x:v>
      </x:c>
      <x:c r="AB975" s="8" t="s">
        <x:v>58</x:v>
      </x:c>
      <x:c r="AC975" s="8" t="s">
        <x:v>58</x:v>
      </x:c>
      <x:c r="AD975" s="8" t="s">
        <x:v>58</x:v>
      </x:c>
      <x:c r="AE975" s="8" t="s">
        <x:v>58</x:v>
      </x:c>
      <x:c r="AF975" s="8" t="s">
        <x:v>58</x:v>
      </x:c>
      <x:c r="AG975" s="7" t="s">
        <x:v>58</x:v>
      </x:c>
    </x:row>
    <x:row r="976" ht="66" hidden="0" customHeight="1">
      <x:c r="A976" s="7" t="s">
        <x:v>3965</x:v>
      </x:c>
      <x:c r="B976" s="7" t="s">
        <x:v>627</x:v>
      </x:c>
      <x:c r="C976" s="7" t="s">
        <x:v>1284</x:v>
      </x:c>
      <x:c r="D976" s="7" t="s">
        <x:v>1954</x:v>
      </x:c>
      <x:c r="E976" s="7" t="s">
        <x:v>2094</x:v>
      </x:c>
      <x:c r="F976" s="7" t="s">
        <x:v>1956</x:v>
      </x:c>
      <x:c r="G976" s="8" t="n">
        <x:v>54</x:v>
      </x:c>
      <x:c r="H976" s="8" t="s">
        <x:v>58</x:v>
      </x:c>
      <x:c r="I976" s="8" t="s">
        <x:v>58</x:v>
      </x:c>
      <x:c r="J976" s="7" t="s">
        <x:v>1919</x:v>
      </x:c>
      <x:c r="K976" s="8" t="n">
        <x:v>1</x:v>
      </x:c>
      <x:c r="L976" s="8" t="n">
        <x:f aca="0">IF(AND(ISNUMBER(G976),P976&lt;&gt;"Unresolved unit / layout"),G976*K976,"Not applicable")</x:f>
        <x:v>54</x:v>
      </x:c>
      <x:c r="M976" s="8" t="str">
        <x:f aca="0">IF(AND(ISNUMBER(H976),P976&lt;&gt;"Unresolved unit / layout"),H976*K976,"Not applicable")</x:f>
        <x:v>Not applicable</x:v>
      </x:c>
      <x:c r="N976" s="8" t="str">
        <x:f aca="0">IF(AND(ISNUMBER(I976),P976&lt;&gt;"Unresolved unit / layout"),I976*K976,"Not applicable")</x:f>
        <x:v>Not applicable</x:v>
      </x:c>
      <x:c r="O976" s="7" t="s">
        <x:v>1956</x:v>
      </x:c>
      <x:c r="P976" s="7" t="s">
        <x:v>1921</x:v>
      </x:c>
      <x:c r="Q976" s="7" t="s">
        <x:v>1930</x:v>
      </x:c>
      <x:c r="R976" s="7" t="s">
        <x:v>58</x:v>
      </x:c>
      <x:c r="S976" s="7" t="s">
        <x:v>2077</x:v>
      </x:c>
      <x:c r="T976" s="7" t="s">
        <x:v>3963</x:v>
      </x:c>
      <x:c r="U976" s="7" t="s">
        <x:v>53</x:v>
      </x:c>
      <x:c r="V976" s="7" t="s">
        <x:v>1971</x:v>
      </x:c>
      <x:c r="W976" s="7" t="s">
        <x:v>58</x:v>
      </x:c>
      <x:c r="X976" s="7" t="s">
        <x:v>3964</x:v>
      </x:c>
      <x:c r="Y976" s="7" t="s">
        <x:v>1286</x:v>
      </x:c>
      <x:c r="Z976" s="7" t="s">
        <x:v>1972</x:v>
      </x:c>
      <x:c r="AA976" s="7" t="s">
        <x:v>58</x:v>
      </x:c>
      <x:c r="AB976" s="8" t="s">
        <x:v>58</x:v>
      </x:c>
      <x:c r="AC976" s="8" t="s">
        <x:v>58</x:v>
      </x:c>
      <x:c r="AD976" s="8" t="s">
        <x:v>58</x:v>
      </x:c>
      <x:c r="AE976" s="8" t="s">
        <x:v>58</x:v>
      </x:c>
      <x:c r="AF976" s="8" t="s">
        <x:v>58</x:v>
      </x:c>
      <x:c r="AG976" s="7" t="s">
        <x:v>58</x:v>
      </x:c>
    </x:row>
    <x:row r="977" ht="66" hidden="0" customHeight="1">
      <x:c r="A977" s="7" t="s">
        <x:v>3966</x:v>
      </x:c>
      <x:c r="B977" s="7" t="s">
        <x:v>627</x:v>
      </x:c>
      <x:c r="C977" s="7" t="s">
        <x:v>1284</x:v>
      </x:c>
      <x:c r="D977" s="7" t="s">
        <x:v>1974</x:v>
      </x:c>
      <x:c r="E977" s="7" t="s">
        <x:v>2622</x:v>
      </x:c>
      <x:c r="F977" s="7" t="s">
        <x:v>1956</x:v>
      </x:c>
      <x:c r="G977" s="8" t="n">
        <x:v>165</x:v>
      </x:c>
      <x:c r="H977" s="8" t="s">
        <x:v>58</x:v>
      </x:c>
      <x:c r="I977" s="8" t="s">
        <x:v>58</x:v>
      </x:c>
      <x:c r="J977" s="7" t="s">
        <x:v>1919</x:v>
      </x:c>
      <x:c r="K977" s="8" t="n">
        <x:v>1</x:v>
      </x:c>
      <x:c r="L977" s="8" t="n">
        <x:f aca="0">IF(AND(ISNUMBER(G977),P977&lt;&gt;"Unresolved unit / layout"),G977*K977,"Not applicable")</x:f>
        <x:v>165</x:v>
      </x:c>
      <x:c r="M977" s="8" t="str">
        <x:f aca="0">IF(AND(ISNUMBER(H977),P977&lt;&gt;"Unresolved unit / layout"),H977*K977,"Not applicable")</x:f>
        <x:v>Not applicable</x:v>
      </x:c>
      <x:c r="N977" s="8" t="str">
        <x:f aca="0">IF(AND(ISNUMBER(I977),P977&lt;&gt;"Unresolved unit / layout"),I977*K977,"Not applicable")</x:f>
        <x:v>Not applicable</x:v>
      </x:c>
      <x:c r="O977" s="7" t="s">
        <x:v>1956</x:v>
      </x:c>
      <x:c r="P977" s="7" t="s">
        <x:v>1921</x:v>
      </x:c>
      <x:c r="Q977" s="7" t="s">
        <x:v>1930</x:v>
      </x:c>
      <x:c r="R977" s="7" t="s">
        <x:v>58</x:v>
      </x:c>
      <x:c r="S977" s="7" t="s">
        <x:v>2077</x:v>
      </x:c>
      <x:c r="T977" s="7" t="s">
        <x:v>3963</x:v>
      </x:c>
      <x:c r="U977" s="7" t="s">
        <x:v>53</x:v>
      </x:c>
      <x:c r="V977" s="7" t="s">
        <x:v>1971</x:v>
      </x:c>
      <x:c r="W977" s="7" t="s">
        <x:v>58</x:v>
      </x:c>
      <x:c r="X977" s="7" t="s">
        <x:v>3964</x:v>
      </x:c>
      <x:c r="Y977" s="7" t="s">
        <x:v>1286</x:v>
      </x:c>
      <x:c r="Z977" s="7" t="s">
        <x:v>1976</x:v>
      </x:c>
      <x:c r="AA977" s="7" t="s">
        <x:v>58</x:v>
      </x:c>
      <x:c r="AB977" s="8" t="s">
        <x:v>58</x:v>
      </x:c>
      <x:c r="AC977" s="8" t="s">
        <x:v>58</x:v>
      </x:c>
      <x:c r="AD977" s="8" t="s">
        <x:v>58</x:v>
      </x:c>
      <x:c r="AE977" s="8" t="s">
        <x:v>58</x:v>
      </x:c>
      <x:c r="AF977" s="8" t="s">
        <x:v>58</x:v>
      </x:c>
      <x:c r="AG977" s="7" t="s">
        <x:v>58</x:v>
      </x:c>
    </x:row>
    <x:row r="978" ht="66" hidden="0" customHeight="1">
      <x:c r="A978" s="7" t="s">
        <x:v>3967</x:v>
      </x:c>
      <x:c r="B978" s="7" t="s">
        <x:v>627</x:v>
      </x:c>
      <x:c r="C978" s="7" t="s">
        <x:v>1284</x:v>
      </x:c>
      <x:c r="D978" s="7" t="s">
        <x:v>1978</x:v>
      </x:c>
      <x:c r="E978" s="7" t="s">
        <x:v>3968</x:v>
      </x:c>
      <x:c r="F978" s="7" t="s">
        <x:v>1956</x:v>
      </x:c>
      <x:c r="G978" s="8" t="n">
        <x:v>130</x:v>
      </x:c>
      <x:c r="H978" s="8" t="s">
        <x:v>58</x:v>
      </x:c>
      <x:c r="I978" s="8" t="s">
        <x:v>58</x:v>
      </x:c>
      <x:c r="J978" s="7" t="s">
        <x:v>1919</x:v>
      </x:c>
      <x:c r="K978" s="8" t="n">
        <x:v>1</x:v>
      </x:c>
      <x:c r="L978" s="8" t="n">
        <x:f aca="0">IF(AND(ISNUMBER(G978),P978&lt;&gt;"Unresolved unit / layout"),G978*K978,"Not applicable")</x:f>
        <x:v>130</x:v>
      </x:c>
      <x:c r="M978" s="8" t="str">
        <x:f aca="0">IF(AND(ISNUMBER(H978),P978&lt;&gt;"Unresolved unit / layout"),H978*K978,"Not applicable")</x:f>
        <x:v>Not applicable</x:v>
      </x:c>
      <x:c r="N978" s="8" t="str">
        <x:f aca="0">IF(AND(ISNUMBER(I978),P978&lt;&gt;"Unresolved unit / layout"),I978*K978,"Not applicable")</x:f>
        <x:v>Not applicable</x:v>
      </x:c>
      <x:c r="O978" s="7" t="s">
        <x:v>1956</x:v>
      </x:c>
      <x:c r="P978" s="7" t="s">
        <x:v>1921</x:v>
      </x:c>
      <x:c r="Q978" s="7" t="s">
        <x:v>1930</x:v>
      </x:c>
      <x:c r="R978" s="7" t="s">
        <x:v>58</x:v>
      </x:c>
      <x:c r="S978" s="7" t="s">
        <x:v>2077</x:v>
      </x:c>
      <x:c r="T978" s="7" t="s">
        <x:v>3963</x:v>
      </x:c>
      <x:c r="U978" s="7" t="s">
        <x:v>53</x:v>
      </x:c>
      <x:c r="V978" s="7" t="s">
        <x:v>1971</x:v>
      </x:c>
      <x:c r="W978" s="7" t="s">
        <x:v>58</x:v>
      </x:c>
      <x:c r="X978" s="7" t="s">
        <x:v>3964</x:v>
      </x:c>
      <x:c r="Y978" s="7" t="s">
        <x:v>1286</x:v>
      </x:c>
      <x:c r="Z978" s="7" t="s">
        <x:v>1980</x:v>
      </x:c>
      <x:c r="AA978" s="7" t="s">
        <x:v>58</x:v>
      </x:c>
      <x:c r="AB978" s="8" t="s">
        <x:v>58</x:v>
      </x:c>
      <x:c r="AC978" s="8" t="s">
        <x:v>58</x:v>
      </x:c>
      <x:c r="AD978" s="8" t="s">
        <x:v>58</x:v>
      </x:c>
      <x:c r="AE978" s="8" t="s">
        <x:v>58</x:v>
      </x:c>
      <x:c r="AF978" s="8" t="s">
        <x:v>58</x:v>
      </x:c>
      <x:c r="AG978" s="7" t="s">
        <x:v>58</x:v>
      </x:c>
    </x:row>
    <x:row r="979" ht="66" hidden="0" customHeight="1">
      <x:c r="A979" s="7" t="s">
        <x:v>3969</x:v>
      </x:c>
      <x:c r="B979" s="7" t="s">
        <x:v>627</x:v>
      </x:c>
      <x:c r="C979" s="7" t="s">
        <x:v>1284</x:v>
      </x:c>
      <x:c r="D979" s="7" t="s">
        <x:v>1982</x:v>
      </x:c>
      <x:c r="E979" s="7" t="s">
        <x:v>1995</x:v>
      </x:c>
      <x:c r="F979" s="7" t="s">
        <x:v>1956</x:v>
      </x:c>
      <x:c r="G979" s="8" t="s">
        <x:v>53</x:v>
      </x:c>
      <x:c r="H979" s="8" t="s">
        <x:v>58</x:v>
      </x:c>
      <x:c r="I979" s="8" t="s">
        <x:v>58</x:v>
      </x:c>
      <x:c r="J979" s="7" t="s">
        <x:v>58</x:v>
      </x:c>
      <x:c r="K979" s="8" t="n">
        <x:v>1</x:v>
      </x:c>
      <x:c r="L979" s="8" t="str">
        <x:f aca="0">IF(AND(ISNUMBER(G979),P979&lt;&gt;"Unresolved unit / layout"),G979*K979,"Not published")</x:f>
        <x:v>Not published</x:v>
      </x:c>
      <x:c r="M979" s="8" t="str">
        <x:f aca="0">IF(AND(ISNUMBER(H979),P979&lt;&gt;"Unresolved unit / layout"),H979*K979,"Not applicable")</x:f>
        <x:v>Not applicable</x:v>
      </x:c>
      <x:c r="N979" s="8" t="str">
        <x:f aca="0">IF(AND(ISNUMBER(I979),P979&lt;&gt;"Unresolved unit / layout"),I979*K979,"Not applicable")</x:f>
        <x:v>Not applicable</x:v>
      </x:c>
      <x:c r="O979" s="7" t="s">
        <x:v>1956</x:v>
      </x:c>
      <x:c r="P979" s="7" t="s">
        <x:v>53</x:v>
      </x:c>
      <x:c r="Q979" s="7" t="s">
        <x:v>1930</x:v>
      </x:c>
      <x:c r="R979" s="7" t="s">
        <x:v>58</x:v>
      </x:c>
      <x:c r="S979" s="7" t="s">
        <x:v>2077</x:v>
      </x:c>
      <x:c r="T979" s="7" t="s">
        <x:v>3963</x:v>
      </x:c>
      <x:c r="U979" s="7" t="s">
        <x:v>53</x:v>
      </x:c>
      <x:c r="V979" s="7" t="s">
        <x:v>2742</x:v>
      </x:c>
      <x:c r="W979" s="7" t="s">
        <x:v>58</x:v>
      </x:c>
      <x:c r="X979" s="7" t="s">
        <x:v>3964</x:v>
      </x:c>
      <x:c r="Y979" s="7" t="s">
        <x:v>1286</x:v>
      </x:c>
      <x:c r="Z979" s="7" t="s">
        <x:v>1985</x:v>
      </x:c>
      <x:c r="AA979" s="7" t="s">
        <x:v>58</x:v>
      </x:c>
      <x:c r="AB979" s="8" t="s">
        <x:v>58</x:v>
      </x:c>
      <x:c r="AC979" s="8" t="s">
        <x:v>58</x:v>
      </x:c>
      <x:c r="AD979" s="8" t="s">
        <x:v>58</x:v>
      </x:c>
      <x:c r="AE979" s="8" t="s">
        <x:v>58</x:v>
      </x:c>
      <x:c r="AF979" s="8" t="s">
        <x:v>58</x:v>
      </x:c>
      <x:c r="AG979" s="7" t="s">
        <x:v>58</x:v>
      </x:c>
    </x:row>
    <x:row r="980" ht="66" hidden="0" customHeight="1">
      <x:c r="A980" s="7" t="s">
        <x:v>3970</x:v>
      </x:c>
      <x:c r="B980" s="7" t="s">
        <x:v>627</x:v>
      </x:c>
      <x:c r="C980" s="7" t="s">
        <x:v>1284</x:v>
      </x:c>
      <x:c r="D980" s="7" t="s">
        <x:v>1959</x:v>
      </x:c>
      <x:c r="E980" s="7" t="s">
        <x:v>3971</x:v>
      </x:c>
      <x:c r="F980" s="7" t="s">
        <x:v>1956</x:v>
      </x:c>
      <x:c r="G980" s="8" t="n">
        <x:v>105</x:v>
      </x:c>
      <x:c r="H980" s="8" t="s">
        <x:v>58</x:v>
      </x:c>
      <x:c r="I980" s="8" t="s">
        <x:v>58</x:v>
      </x:c>
      <x:c r="J980" s="7" t="s">
        <x:v>1919</x:v>
      </x:c>
      <x:c r="K980" s="8" t="n">
        <x:v>1</x:v>
      </x:c>
      <x:c r="L980" s="8" t="n">
        <x:f aca="0">IF(AND(ISNUMBER(G980),P980&lt;&gt;"Unresolved unit / layout"),G980*K980,"Not applicable")</x:f>
        <x:v>105</x:v>
      </x:c>
      <x:c r="M980" s="8" t="str">
        <x:f aca="0">IF(AND(ISNUMBER(H980),P980&lt;&gt;"Unresolved unit / layout"),H980*K980,"Not applicable")</x:f>
        <x:v>Not applicable</x:v>
      </x:c>
      <x:c r="N980" s="8" t="str">
        <x:f aca="0">IF(AND(ISNUMBER(I980),P980&lt;&gt;"Unresolved unit / layout"),I980*K980,"Not applicable")</x:f>
        <x:v>Not applicable</x:v>
      </x:c>
      <x:c r="O980" s="7" t="s">
        <x:v>1956</x:v>
      </x:c>
      <x:c r="P980" s="7" t="s">
        <x:v>1921</x:v>
      </x:c>
      <x:c r="Q980" s="7" t="s">
        <x:v>1930</x:v>
      </x:c>
      <x:c r="R980" s="7" t="s">
        <x:v>58</x:v>
      </x:c>
      <x:c r="S980" s="7" t="s">
        <x:v>2077</x:v>
      </x:c>
      <x:c r="T980" s="7" t="s">
        <x:v>3963</x:v>
      </x:c>
      <x:c r="U980" s="7" t="s">
        <x:v>53</x:v>
      </x:c>
      <x:c r="V980" s="7" t="s">
        <x:v>1988</x:v>
      </x:c>
      <x:c r="W980" s="7" t="s">
        <x:v>58</x:v>
      </x:c>
      <x:c r="X980" s="7" t="s">
        <x:v>3964</x:v>
      </x:c>
      <x:c r="Y980" s="7" t="s">
        <x:v>1286</x:v>
      </x:c>
      <x:c r="Z980" s="7" t="s">
        <x:v>1989</x:v>
      </x:c>
      <x:c r="AA980" s="7" t="s">
        <x:v>58</x:v>
      </x:c>
      <x:c r="AB980" s="8" t="s">
        <x:v>58</x:v>
      </x:c>
      <x:c r="AC980" s="8" t="s">
        <x:v>58</x:v>
      </x:c>
      <x:c r="AD980" s="8" t="s">
        <x:v>58</x:v>
      </x:c>
      <x:c r="AE980" s="8" t="s">
        <x:v>58</x:v>
      </x:c>
      <x:c r="AF980" s="8" t="s">
        <x:v>58</x:v>
      </x:c>
      <x:c r="AG980" s="7" t="s">
        <x:v>58</x:v>
      </x:c>
    </x:row>
    <x:row r="981" ht="66" hidden="0" customHeight="1">
      <x:c r="A981" s="7" t="s">
        <x:v>3972</x:v>
      </x:c>
      <x:c r="B981" s="7" t="s">
        <x:v>627</x:v>
      </x:c>
      <x:c r="C981" s="7" t="s">
        <x:v>1284</x:v>
      </x:c>
      <x:c r="D981" s="7" t="s">
        <x:v>1959</x:v>
      </x:c>
      <x:c r="E981" s="7" t="s">
        <x:v>3973</x:v>
      </x:c>
      <x:c r="F981" s="7" t="s">
        <x:v>1956</x:v>
      </x:c>
      <x:c r="G981" s="8" t="n">
        <x:v>131</x:v>
      </x:c>
      <x:c r="H981" s="8" t="s">
        <x:v>58</x:v>
      </x:c>
      <x:c r="I981" s="8" t="s">
        <x:v>58</x:v>
      </x:c>
      <x:c r="J981" s="7" t="s">
        <x:v>1919</x:v>
      </x:c>
      <x:c r="K981" s="8" t="n">
        <x:v>1</x:v>
      </x:c>
      <x:c r="L981" s="8" t="n">
        <x:f aca="0">IF(AND(ISNUMBER(G981),P981&lt;&gt;"Unresolved unit / layout"),G981*K981,"Not applicable")</x:f>
        <x:v>131</x:v>
      </x:c>
      <x:c r="M981" s="8" t="str">
        <x:f aca="0">IF(AND(ISNUMBER(H981),P981&lt;&gt;"Unresolved unit / layout"),H981*K981,"Not applicable")</x:f>
        <x:v>Not applicable</x:v>
      </x:c>
      <x:c r="N981" s="8" t="str">
        <x:f aca="0">IF(AND(ISNUMBER(I981),P981&lt;&gt;"Unresolved unit / layout"),I981*K981,"Not applicable")</x:f>
        <x:v>Not applicable</x:v>
      </x:c>
      <x:c r="O981" s="7" t="s">
        <x:v>1956</x:v>
      </x:c>
      <x:c r="P981" s="7" t="s">
        <x:v>1921</x:v>
      </x:c>
      <x:c r="Q981" s="7" t="s">
        <x:v>1930</x:v>
      </x:c>
      <x:c r="R981" s="7" t="s">
        <x:v>58</x:v>
      </x:c>
      <x:c r="S981" s="7" t="s">
        <x:v>2077</x:v>
      </x:c>
      <x:c r="T981" s="7" t="s">
        <x:v>3963</x:v>
      </x:c>
      <x:c r="U981" s="7" t="s">
        <x:v>53</x:v>
      </x:c>
      <x:c r="V981" s="7" t="s">
        <x:v>1992</x:v>
      </x:c>
      <x:c r="W981" s="7" t="s">
        <x:v>58</x:v>
      </x:c>
      <x:c r="X981" s="7" t="s">
        <x:v>3964</x:v>
      </x:c>
      <x:c r="Y981" s="7" t="s">
        <x:v>1286</x:v>
      </x:c>
      <x:c r="Z981" s="7" t="s">
        <x:v>1989</x:v>
      </x:c>
      <x:c r="AA981" s="7" t="s">
        <x:v>58</x:v>
      </x:c>
      <x:c r="AB981" s="8" t="s">
        <x:v>58</x:v>
      </x:c>
      <x:c r="AC981" s="8" t="s">
        <x:v>58</x:v>
      </x:c>
      <x:c r="AD981" s="8" t="s">
        <x:v>58</x:v>
      </x:c>
      <x:c r="AE981" s="8" t="s">
        <x:v>58</x:v>
      </x:c>
      <x:c r="AF981" s="8" t="s">
        <x:v>58</x:v>
      </x:c>
      <x:c r="AG981" s="7" t="s">
        <x:v>58</x:v>
      </x:c>
    </x:row>
    <x:row r="982" ht="66" hidden="0" customHeight="1">
      <x:c r="A982" s="7" t="s">
        <x:v>3974</x:v>
      </x:c>
      <x:c r="B982" s="7" t="s">
        <x:v>627</x:v>
      </x:c>
      <x:c r="C982" s="7" t="s">
        <x:v>1284</x:v>
      </x:c>
      <x:c r="D982" s="7" t="s">
        <x:v>1994</x:v>
      </x:c>
      <x:c r="E982" s="7" t="s">
        <x:v>1995</x:v>
      </x:c>
      <x:c r="F982" s="7" t="s">
        <x:v>53</x:v>
      </x:c>
      <x:c r="G982" s="8" t="s">
        <x:v>53</x:v>
      </x:c>
      <x:c r="H982" s="8" t="s">
        <x:v>58</x:v>
      </x:c>
      <x:c r="I982" s="8" t="s">
        <x:v>58</x:v>
      </x:c>
      <x:c r="J982" s="7" t="s">
        <x:v>58</x:v>
      </x:c>
      <x:c r="K982" s="8" t="n">
        <x:v>1</x:v>
      </x:c>
      <x:c r="L982" s="8" t="str">
        <x:f aca="0">IF(AND(ISNUMBER(G982),P982&lt;&gt;"Unresolved unit / layout"),G982*K982,"Not published")</x:f>
        <x:v>Not published</x:v>
      </x:c>
      <x:c r="M982" s="8" t="str">
        <x:f aca="0">IF(AND(ISNUMBER(H982),P982&lt;&gt;"Unresolved unit / layout"),H982*K982,"Not applicable")</x:f>
        <x:v>Not applicable</x:v>
      </x:c>
      <x:c r="N982" s="8" t="str">
        <x:f aca="0">IF(AND(ISNUMBER(I982),P982&lt;&gt;"Unresolved unit / layout"),I982*K982,"Not applicable")</x:f>
        <x:v>Not applicable</x:v>
      </x:c>
      <x:c r="O982" s="7" t="s">
        <x:v>53</x:v>
      </x:c>
      <x:c r="P982" s="7" t="s">
        <x:v>53</x:v>
      </x:c>
      <x:c r="Q982" s="7" t="s">
        <x:v>1930</x:v>
      </x:c>
      <x:c r="R982" s="7" t="s">
        <x:v>53</x:v>
      </x:c>
      <x:c r="S982" s="7" t="s">
        <x:v>2077</x:v>
      </x:c>
      <x:c r="T982" s="7" t="s">
        <x:v>3963</x:v>
      </x:c>
      <x:c r="U982" s="7" t="s">
        <x:v>53</x:v>
      </x:c>
      <x:c r="V982" s="7" t="s">
        <x:v>1995</x:v>
      </x:c>
      <x:c r="W982" s="7" t="s">
        <x:v>58</x:v>
      </x:c>
      <x:c r="X982" s="7" t="s">
        <x:v>3964</x:v>
      </x:c>
      <x:c r="Y982" s="7" t="s">
        <x:v>1286</x:v>
      </x:c>
      <x:c r="Z982" s="7" t="s">
        <x:v>1996</x:v>
      </x:c>
      <x:c r="AA982" s="7" t="s">
        <x:v>58</x:v>
      </x:c>
      <x:c r="AB982" s="8" t="s">
        <x:v>58</x:v>
      </x:c>
      <x:c r="AC982" s="8" t="s">
        <x:v>58</x:v>
      </x:c>
      <x:c r="AD982" s="8" t="s">
        <x:v>58</x:v>
      </x:c>
      <x:c r="AE982" s="8" t="s">
        <x:v>58</x:v>
      </x:c>
      <x:c r="AF982" s="8" t="s">
        <x:v>58</x:v>
      </x:c>
      <x:c r="AG982" s="7" t="s">
        <x:v>58</x:v>
      </x:c>
    </x:row>
    <x:row r="983" ht="66" hidden="0" customHeight="1">
      <x:c r="A983" s="7" t="s">
        <x:v>3975</x:v>
      </x:c>
      <x:c r="B983" s="7" t="s">
        <x:v>627</x:v>
      </x:c>
      <x:c r="C983" s="7" t="s">
        <x:v>1284</x:v>
      </x:c>
      <x:c r="D983" s="7" t="s">
        <x:v>1935</x:v>
      </x:c>
      <x:c r="E983" s="7" t="s">
        <x:v>3976</x:v>
      </x:c>
      <x:c r="F983" s="7" t="s">
        <x:v>1929</x:v>
      </x:c>
      <x:c r="G983" s="8" t="n">
        <x:v>3304.39</x:v>
      </x:c>
      <x:c r="H983" s="8" t="n">
        <x:v>145</x:v>
      </x:c>
      <x:c r="I983" s="8" t="s">
        <x:v>58</x:v>
      </x:c>
      <x:c r="J983" s="7" t="s">
        <x:v>1919</x:v>
      </x:c>
      <x:c r="K983" s="8" t="n">
        <x:v>0.001</x:v>
      </x:c>
      <x:c r="L983" s="8" t="n">
        <x:f aca="0">IF(AND(ISNUMBER(G983),P983&lt;&gt;"Unresolved unit / layout"),G983*K983,"Not applicable")</x:f>
        <x:v>3.30439</x:v>
      </x:c>
      <x:c r="M983" s="8" t="n">
        <x:f aca="0">IF(AND(ISNUMBER(H983),P983&lt;&gt;"Unresolved unit / layout"),H983*K983,"Not applicable")</x:f>
        <x:v>0.145</x:v>
      </x:c>
      <x:c r="N983" s="8" t="str">
        <x:f aca="0">IF(AND(ISNUMBER(I983),P983&lt;&gt;"Unresolved unit / layout"),I983*K983,"Not applicable")</x:f>
        <x:v>Not applicable</x:v>
      </x:c>
      <x:c r="O983" s="7" t="s">
        <x:v>1937</x:v>
      </x:c>
      <x:c r="P983" s="7" t="s">
        <x:v>1921</x:v>
      </x:c>
      <x:c r="Q983" s="7" t="s">
        <x:v>1930</x:v>
      </x:c>
      <x:c r="R983" s="7" t="s">
        <x:v>1931</x:v>
      </x:c>
      <x:c r="S983" s="7" t="s">
        <x:v>3378</x:v>
      </x:c>
      <x:c r="T983" s="7" t="s">
        <x:v>3963</x:v>
      </x:c>
      <x:c r="U983" s="7" t="s">
        <x:v>53</x:v>
      </x:c>
      <x:c r="V983" s="7" t="s">
        <x:v>1999</x:v>
      </x:c>
      <x:c r="W983" s="7" t="s">
        <x:v>58</x:v>
      </x:c>
      <x:c r="X983" s="7" t="s">
        <x:v>3964</x:v>
      </x:c>
      <x:c r="Y983" s="7" t="s">
        <x:v>1286</x:v>
      </x:c>
      <x:c r="Z983" s="7" t="s">
        <x:v>2784</x:v>
      </x:c>
      <x:c r="AA983" s="7" t="s">
        <x:v>58</x:v>
      </x:c>
      <x:c r="AB983" s="8" t="s">
        <x:v>58</x:v>
      </x:c>
      <x:c r="AC983" s="8" t="s">
        <x:v>58</x:v>
      </x:c>
      <x:c r="AD983" s="8" t="s">
        <x:v>58</x:v>
      </x:c>
      <x:c r="AE983" s="8" t="s">
        <x:v>58</x:v>
      </x:c>
      <x:c r="AF983" s="8" t="s">
        <x:v>58</x:v>
      </x:c>
      <x:c r="AG983" s="7" t="s">
        <x:v>58</x:v>
      </x:c>
    </x:row>
    <x:row r="984" ht="66" hidden="0" customHeight="1">
      <x:c r="A984" s="7" t="s">
        <x:v>3977</x:v>
      </x:c>
      <x:c r="B984" s="7" t="s">
        <x:v>627</x:v>
      </x:c>
      <x:c r="C984" s="7" t="s">
        <x:v>1284</x:v>
      </x:c>
      <x:c r="D984" s="7" t="s">
        <x:v>1935</x:v>
      </x:c>
      <x:c r="E984" s="7" t="s">
        <x:v>3978</x:v>
      </x:c>
      <x:c r="F984" s="7" t="s">
        <x:v>1929</x:v>
      </x:c>
      <x:c r="G984" s="8" t="n">
        <x:v>1801.09</x:v>
      </x:c>
      <x:c r="H984" s="8" t="n">
        <x:v>80</x:v>
      </x:c>
      <x:c r="I984" s="8" t="s">
        <x:v>58</x:v>
      </x:c>
      <x:c r="J984" s="7" t="s">
        <x:v>1919</x:v>
      </x:c>
      <x:c r="K984" s="8" t="n">
        <x:v>0.001</x:v>
      </x:c>
      <x:c r="L984" s="8" t="n">
        <x:f aca="0">IF(AND(ISNUMBER(G984),P984&lt;&gt;"Unresolved unit / layout"),G984*K984,"Not applicable")</x:f>
        <x:v>1.8010899999999999</x:v>
      </x:c>
      <x:c r="M984" s="8" t="n">
        <x:f aca="0">IF(AND(ISNUMBER(H984),P984&lt;&gt;"Unresolved unit / layout"),H984*K984,"Not applicable")</x:f>
        <x:v>0.08</x:v>
      </x:c>
      <x:c r="N984" s="8" t="str">
        <x:f aca="0">IF(AND(ISNUMBER(I984),P984&lt;&gt;"Unresolved unit / layout"),I984*K984,"Not applicable")</x:f>
        <x:v>Not applicable</x:v>
      </x:c>
      <x:c r="O984" s="7" t="s">
        <x:v>1937</x:v>
      </x:c>
      <x:c r="P984" s="7" t="s">
        <x:v>1921</x:v>
      </x:c>
      <x:c r="Q984" s="7" t="s">
        <x:v>1930</x:v>
      </x:c>
      <x:c r="R984" s="7" t="s">
        <x:v>2003</x:v>
      </x:c>
      <x:c r="S984" s="7" t="s">
        <x:v>3378</x:v>
      </x:c>
      <x:c r="T984" s="7" t="s">
        <x:v>3963</x:v>
      </x:c>
      <x:c r="U984" s="7" t="s">
        <x:v>53</x:v>
      </x:c>
      <x:c r="V984" s="7" t="s">
        <x:v>1999</x:v>
      </x:c>
      <x:c r="W984" s="7" t="s">
        <x:v>58</x:v>
      </x:c>
      <x:c r="X984" s="7" t="s">
        <x:v>3964</x:v>
      </x:c>
      <x:c r="Y984" s="7" t="s">
        <x:v>1286</x:v>
      </x:c>
      <x:c r="Z984" s="7" t="s">
        <x:v>2787</x:v>
      </x:c>
      <x:c r="AA984" s="7" t="s">
        <x:v>58</x:v>
      </x:c>
      <x:c r="AB984" s="8" t="s">
        <x:v>58</x:v>
      </x:c>
      <x:c r="AC984" s="8" t="s">
        <x:v>58</x:v>
      </x:c>
      <x:c r="AD984" s="8" t="s">
        <x:v>58</x:v>
      </x:c>
      <x:c r="AE984" s="8" t="s">
        <x:v>58</x:v>
      </x:c>
      <x:c r="AF984" s="8" t="s">
        <x:v>58</x:v>
      </x:c>
      <x:c r="AG984" s="7" t="s">
        <x:v>58</x:v>
      </x:c>
    </x:row>
    <x:row r="985" ht="66" hidden="0" customHeight="1">
      <x:c r="A985" s="7" t="s">
        <x:v>3979</x:v>
      </x:c>
      <x:c r="B985" s="7" t="s">
        <x:v>627</x:v>
      </x:c>
      <x:c r="C985" s="7" t="s">
        <x:v>1284</x:v>
      </x:c>
      <x:c r="D985" s="7" t="s">
        <x:v>2006</x:v>
      </x:c>
      <x:c r="E985" s="7" t="s">
        <x:v>3980</x:v>
      </x:c>
      <x:c r="F985" s="7" t="s">
        <x:v>1929</x:v>
      </x:c>
      <x:c r="G985" s="8" t="n">
        <x:v>71.6</x:v>
      </x:c>
      <x:c r="H985" s="8" t="n">
        <x:v>1.7</x:v>
      </x:c>
      <x:c r="I985" s="8" t="s">
        <x:v>58</x:v>
      </x:c>
      <x:c r="J985" s="7" t="s">
        <x:v>1919</x:v>
      </x:c>
      <x:c r="K985" s="8" t="n">
        <x:v>1</x:v>
      </x:c>
      <x:c r="L985" s="8" t="n">
        <x:f aca="0">IF(AND(ISNUMBER(G985),P985&lt;&gt;"Unresolved unit / layout"),G985*K985,"Not applicable")</x:f>
        <x:v>71.6</x:v>
      </x:c>
      <x:c r="M985" s="8" t="n">
        <x:f aca="0">IF(AND(ISNUMBER(H985),P985&lt;&gt;"Unresolved unit / layout"),H985*K985,"Not applicable")</x:f>
        <x:v>1.7</x:v>
      </x:c>
      <x:c r="N985" s="8" t="str">
        <x:f aca="0">IF(AND(ISNUMBER(I985),P985&lt;&gt;"Unresolved unit / layout"),I985*K985,"Not applicable")</x:f>
        <x:v>Not applicable</x:v>
      </x:c>
      <x:c r="O985" s="7" t="s">
        <x:v>1929</x:v>
      </x:c>
      <x:c r="P985" s="7" t="s">
        <x:v>1921</x:v>
      </x:c>
      <x:c r="Q985" s="7" t="s">
        <x:v>1930</x:v>
      </x:c>
      <x:c r="R985" s="7" t="s">
        <x:v>1931</x:v>
      </x:c>
      <x:c r="S985" s="7" t="s">
        <x:v>3378</x:v>
      </x:c>
      <x:c r="T985" s="7" t="s">
        <x:v>3963</x:v>
      </x:c>
      <x:c r="U985" s="7" t="s">
        <x:v>53</x:v>
      </x:c>
      <x:c r="V985" s="7" t="s">
        <x:v>1999</x:v>
      </x:c>
      <x:c r="W985" s="7" t="s">
        <x:v>58</x:v>
      </x:c>
      <x:c r="X985" s="7" t="s">
        <x:v>3964</x:v>
      </x:c>
      <x:c r="Y985" s="7" t="s">
        <x:v>1286</x:v>
      </x:c>
      <x:c r="Z985" s="7" t="s">
        <x:v>2684</x:v>
      </x:c>
      <x:c r="AA985" s="7" t="s">
        <x:v>58</x:v>
      </x:c>
      <x:c r="AB985" s="8" t="s">
        <x:v>58</x:v>
      </x:c>
      <x:c r="AC985" s="8" t="s">
        <x:v>58</x:v>
      </x:c>
      <x:c r="AD985" s="8" t="s">
        <x:v>58</x:v>
      </x:c>
      <x:c r="AE985" s="8" t="s">
        <x:v>58</x:v>
      </x:c>
      <x:c r="AF985" s="8" t="s">
        <x:v>58</x:v>
      </x:c>
      <x:c r="AG985" s="7" t="s">
        <x:v>58</x:v>
      </x:c>
    </x:row>
    <x:row r="986" ht="66" hidden="0" customHeight="1">
      <x:c r="A986" s="7" t="s">
        <x:v>3981</x:v>
      </x:c>
      <x:c r="B986" s="7" t="s">
        <x:v>627</x:v>
      </x:c>
      <x:c r="C986" s="7" t="s">
        <x:v>1284</x:v>
      </x:c>
      <x:c r="D986" s="7" t="s">
        <x:v>2006</x:v>
      </x:c>
      <x:c r="E986" s="7" t="s">
        <x:v>3982</x:v>
      </x:c>
      <x:c r="F986" s="7" t="s">
        <x:v>1929</x:v>
      </x:c>
      <x:c r="G986" s="8" t="n">
        <x:v>43.3</x:v>
      </x:c>
      <x:c r="H986" s="8" t="n">
        <x:v>3.3</x:v>
      </x:c>
      <x:c r="I986" s="8" t="s">
        <x:v>58</x:v>
      </x:c>
      <x:c r="J986" s="7" t="s">
        <x:v>1919</x:v>
      </x:c>
      <x:c r="K986" s="8" t="n">
        <x:v>1</x:v>
      </x:c>
      <x:c r="L986" s="8" t="n">
        <x:f aca="0">IF(AND(ISNUMBER(G986),P986&lt;&gt;"Unresolved unit / layout"),G986*K986,"Not applicable")</x:f>
        <x:v>43.3</x:v>
      </x:c>
      <x:c r="M986" s="8" t="n">
        <x:f aca="0">IF(AND(ISNUMBER(H986),P986&lt;&gt;"Unresolved unit / layout"),H986*K986,"Not applicable")</x:f>
        <x:v>3.3</x:v>
      </x:c>
      <x:c r="N986" s="8" t="str">
        <x:f aca="0">IF(AND(ISNUMBER(I986),P986&lt;&gt;"Unresolved unit / layout"),I986*K986,"Not applicable")</x:f>
        <x:v>Not applicable</x:v>
      </x:c>
      <x:c r="O986" s="7" t="s">
        <x:v>1929</x:v>
      </x:c>
      <x:c r="P986" s="7" t="s">
        <x:v>1921</x:v>
      </x:c>
      <x:c r="Q986" s="7" t="s">
        <x:v>1930</x:v>
      </x:c>
      <x:c r="R986" s="7" t="s">
        <x:v>2003</x:v>
      </x:c>
      <x:c r="S986" s="7" t="s">
        <x:v>3378</x:v>
      </x:c>
      <x:c r="T986" s="7" t="s">
        <x:v>3963</x:v>
      </x:c>
      <x:c r="U986" s="7" t="s">
        <x:v>53</x:v>
      </x:c>
      <x:c r="V986" s="7" t="s">
        <x:v>1999</x:v>
      </x:c>
      <x:c r="W986" s="7" t="s">
        <x:v>58</x:v>
      </x:c>
      <x:c r="X986" s="7" t="s">
        <x:v>3964</x:v>
      </x:c>
      <x:c r="Y986" s="7" t="s">
        <x:v>1286</x:v>
      </x:c>
      <x:c r="Z986" s="7" t="s">
        <x:v>2687</x:v>
      </x:c>
      <x:c r="AA986" s="7" t="s">
        <x:v>58</x:v>
      </x:c>
      <x:c r="AB986" s="8" t="s">
        <x:v>58</x:v>
      </x:c>
      <x:c r="AC986" s="8" t="s">
        <x:v>58</x:v>
      </x:c>
      <x:c r="AD986" s="8" t="s">
        <x:v>58</x:v>
      </x:c>
      <x:c r="AE986" s="8" t="s">
        <x:v>58</x:v>
      </x:c>
      <x:c r="AF986" s="8" t="s">
        <x:v>58</x:v>
      </x:c>
      <x:c r="AG986" s="7" t="s">
        <x:v>58</x:v>
      </x:c>
    </x:row>
    <x:row r="987" ht="66" hidden="0" customHeight="1">
      <x:c r="A987" s="7" t="s">
        <x:v>3983</x:v>
      </x:c>
      <x:c r="B987" s="7" t="s">
        <x:v>627</x:v>
      </x:c>
      <x:c r="C987" s="7" t="s">
        <x:v>1284</x:v>
      </x:c>
      <x:c r="D987" s="7" t="s">
        <x:v>1940</x:v>
      </x:c>
      <x:c r="E987" s="7" t="s">
        <x:v>3984</x:v>
      </x:c>
      <x:c r="F987" s="7" t="s">
        <x:v>1942</x:v>
      </x:c>
      <x:c r="G987" s="8" t="n">
        <x:v>3.57</x:v>
      </x:c>
      <x:c r="H987" s="8" t="n">
        <x:v>0.3</x:v>
      </x:c>
      <x:c r="I987" s="8" t="s">
        <x:v>58</x:v>
      </x:c>
      <x:c r="J987" s="7" t="s">
        <x:v>1919</x:v>
      </x:c>
      <x:c r="K987" s="8" t="n">
        <x:v>1</x:v>
      </x:c>
      <x:c r="L987" s="8" t="n">
        <x:f aca="0">IF(AND(ISNUMBER(G987),P987&lt;&gt;"Unresolved unit / layout"),G987*K987,"Not applicable")</x:f>
        <x:v>3.57</x:v>
      </x:c>
      <x:c r="M987" s="8" t="n">
        <x:f aca="0">IF(AND(ISNUMBER(H987),P987&lt;&gt;"Unresolved unit / layout"),H987*K987,"Not applicable")</x:f>
        <x:v>0.3</x:v>
      </x:c>
      <x:c r="N987" s="8" t="str">
        <x:f aca="0">IF(AND(ISNUMBER(I987),P987&lt;&gt;"Unresolved unit / layout"),I987*K987,"Not applicable")</x:f>
        <x:v>Not applicable</x:v>
      </x:c>
      <x:c r="O987" s="7" t="s">
        <x:v>1942</x:v>
      </x:c>
      <x:c r="P987" s="7" t="s">
        <x:v>1921</x:v>
      </x:c>
      <x:c r="Q987" s="7" t="s">
        <x:v>1930</x:v>
      </x:c>
      <x:c r="R987" s="7" t="s">
        <x:v>1931</x:v>
      </x:c>
      <x:c r="S987" s="7" t="s">
        <x:v>3378</x:v>
      </x:c>
      <x:c r="T987" s="7" t="s">
        <x:v>3963</x:v>
      </x:c>
      <x:c r="U987" s="7" t="s">
        <x:v>53</x:v>
      </x:c>
      <x:c r="V987" s="7" t="s">
        <x:v>1999</x:v>
      </x:c>
      <x:c r="W987" s="7" t="s">
        <x:v>58</x:v>
      </x:c>
      <x:c r="X987" s="7" t="s">
        <x:v>3964</x:v>
      </x:c>
      <x:c r="Y987" s="7" t="s">
        <x:v>1286</x:v>
      </x:c>
      <x:c r="Z987" s="7" t="s">
        <x:v>2690</x:v>
      </x:c>
      <x:c r="AA987" s="7" t="s">
        <x:v>58</x:v>
      </x:c>
      <x:c r="AB987" s="8" t="s">
        <x:v>58</x:v>
      </x:c>
      <x:c r="AC987" s="8" t="s">
        <x:v>58</x:v>
      </x:c>
      <x:c r="AD987" s="8" t="s">
        <x:v>58</x:v>
      </x:c>
      <x:c r="AE987" s="8" t="s">
        <x:v>58</x:v>
      </x:c>
      <x:c r="AF987" s="8" t="s">
        <x:v>58</x:v>
      </x:c>
      <x:c r="AG987" s="7" t="s">
        <x:v>58</x:v>
      </x:c>
    </x:row>
    <x:row r="988" ht="66" hidden="0" customHeight="1">
      <x:c r="A988" s="7" t="s">
        <x:v>3985</x:v>
      </x:c>
      <x:c r="B988" s="7" t="s">
        <x:v>627</x:v>
      </x:c>
      <x:c r="C988" s="7" t="s">
        <x:v>1284</x:v>
      </x:c>
      <x:c r="D988" s="7" t="s">
        <x:v>1940</x:v>
      </x:c>
      <x:c r="E988" s="7" t="s">
        <x:v>3986</x:v>
      </x:c>
      <x:c r="F988" s="7" t="s">
        <x:v>1942</x:v>
      </x:c>
      <x:c r="G988" s="8" t="n">
        <x:v>3.29</x:v>
      </x:c>
      <x:c r="H988" s="8" t="n">
        <x:v>0.5</x:v>
      </x:c>
      <x:c r="I988" s="8" t="s">
        <x:v>58</x:v>
      </x:c>
      <x:c r="J988" s="7" t="s">
        <x:v>1919</x:v>
      </x:c>
      <x:c r="K988" s="8" t="n">
        <x:v>1</x:v>
      </x:c>
      <x:c r="L988" s="8" t="n">
        <x:f aca="0">IF(AND(ISNUMBER(G988),P988&lt;&gt;"Unresolved unit / layout"),G988*K988,"Not applicable")</x:f>
        <x:v>3.29</x:v>
      </x:c>
      <x:c r="M988" s="8" t="n">
        <x:f aca="0">IF(AND(ISNUMBER(H988),P988&lt;&gt;"Unresolved unit / layout"),H988*K988,"Not applicable")</x:f>
        <x:v>0.5</x:v>
      </x:c>
      <x:c r="N988" s="8" t="str">
        <x:f aca="0">IF(AND(ISNUMBER(I988),P988&lt;&gt;"Unresolved unit / layout"),I988*K988,"Not applicable")</x:f>
        <x:v>Not applicable</x:v>
      </x:c>
      <x:c r="O988" s="7" t="s">
        <x:v>1942</x:v>
      </x:c>
      <x:c r="P988" s="7" t="s">
        <x:v>1921</x:v>
      </x:c>
      <x:c r="Q988" s="7" t="s">
        <x:v>1930</x:v>
      </x:c>
      <x:c r="R988" s="7" t="s">
        <x:v>2003</x:v>
      </x:c>
      <x:c r="S988" s="7" t="s">
        <x:v>3378</x:v>
      </x:c>
      <x:c r="T988" s="7" t="s">
        <x:v>3963</x:v>
      </x:c>
      <x:c r="U988" s="7" t="s">
        <x:v>53</x:v>
      </x:c>
      <x:c r="V988" s="7" t="s">
        <x:v>1999</x:v>
      </x:c>
      <x:c r="W988" s="7" t="s">
        <x:v>58</x:v>
      </x:c>
      <x:c r="X988" s="7" t="s">
        <x:v>3964</x:v>
      </x:c>
      <x:c r="Y988" s="7" t="s">
        <x:v>1286</x:v>
      </x:c>
      <x:c r="Z988" s="7" t="s">
        <x:v>2693</x:v>
      </x:c>
      <x:c r="AA988" s="7" t="s">
        <x:v>58</x:v>
      </x:c>
      <x:c r="AB988" s="8" t="s">
        <x:v>58</x:v>
      </x:c>
      <x:c r="AC988" s="8" t="s">
        <x:v>58</x:v>
      </x:c>
      <x:c r="AD988" s="8" t="s">
        <x:v>58</x:v>
      </x:c>
      <x:c r="AE988" s="8" t="s">
        <x:v>58</x:v>
      </x:c>
      <x:c r="AF988" s="8" t="s">
        <x:v>58</x:v>
      </x:c>
      <x:c r="AG988" s="7" t="s">
        <x:v>58</x:v>
      </x:c>
    </x:row>
    <x:row r="989" ht="66" hidden="0" customHeight="1">
      <x:c r="A989" s="7" t="s">
        <x:v>3987</x:v>
      </x:c>
      <x:c r="B989" s="7" t="s">
        <x:v>627</x:v>
      </x:c>
      <x:c r="C989" s="7" t="s">
        <x:v>1284</x:v>
      </x:c>
      <x:c r="D989" s="7" t="s">
        <x:v>1950</x:v>
      </x:c>
      <x:c r="E989" s="7" t="s">
        <x:v>3988</x:v>
      </x:c>
      <x:c r="F989" s="7" t="s">
        <x:v>1929</x:v>
      </x:c>
      <x:c r="G989" s="8" t="n">
        <x:v>3535</x:v>
      </x:c>
      <x:c r="H989" s="8" t="n">
        <x:v>239</x:v>
      </x:c>
      <x:c r="I989" s="8" t="s">
        <x:v>58</x:v>
      </x:c>
      <x:c r="J989" s="7" t="s">
        <x:v>1919</x:v>
      </x:c>
      <x:c r="K989" s="8" t="n">
        <x:v>0.001</x:v>
      </x:c>
      <x:c r="L989" s="8" t="n">
        <x:f aca="0">IF(AND(ISNUMBER(G989),P989&lt;&gt;"Unresolved unit / layout"),G989*K989,"Not applicable")</x:f>
        <x:v>3.535</x:v>
      </x:c>
      <x:c r="M989" s="8" t="n">
        <x:f aca="0">IF(AND(ISNUMBER(H989),P989&lt;&gt;"Unresolved unit / layout"),H989*K989,"Not applicable")</x:f>
        <x:v>0.23900000000000002</x:v>
      </x:c>
      <x:c r="N989" s="8" t="str">
        <x:f aca="0">IF(AND(ISNUMBER(I989),P989&lt;&gt;"Unresolved unit / layout"),I989*K989,"Not applicable")</x:f>
        <x:v>Not applicable</x:v>
      </x:c>
      <x:c r="O989" s="7" t="s">
        <x:v>1937</x:v>
      </x:c>
      <x:c r="P989" s="7" t="s">
        <x:v>1921</x:v>
      </x:c>
      <x:c r="Q989" s="7" t="s">
        <x:v>1930</x:v>
      </x:c>
      <x:c r="R989" s="7" t="s">
        <x:v>1931</x:v>
      </x:c>
      <x:c r="S989" s="7" t="s">
        <x:v>3378</x:v>
      </x:c>
      <x:c r="T989" s="7" t="s">
        <x:v>3963</x:v>
      </x:c>
      <x:c r="U989" s="7" t="s">
        <x:v>53</x:v>
      </x:c>
      <x:c r="V989" s="7" t="s">
        <x:v>2020</x:v>
      </x:c>
      <x:c r="W989" s="7" t="s">
        <x:v>58</x:v>
      </x:c>
      <x:c r="X989" s="7" t="s">
        <x:v>3964</x:v>
      </x:c>
      <x:c r="Y989" s="7" t="s">
        <x:v>1286</x:v>
      </x:c>
      <x:c r="Z989" s="7" t="s">
        <x:v>2696</x:v>
      </x:c>
      <x:c r="AA989" s="7" t="s">
        <x:v>58</x:v>
      </x:c>
      <x:c r="AB989" s="8" t="s">
        <x:v>58</x:v>
      </x:c>
      <x:c r="AC989" s="8" t="s">
        <x:v>58</x:v>
      </x:c>
      <x:c r="AD989" s="8" t="s">
        <x:v>58</x:v>
      </x:c>
      <x:c r="AE989" s="8" t="s">
        <x:v>58</x:v>
      </x:c>
      <x:c r="AF989" s="8" t="s">
        <x:v>58</x:v>
      </x:c>
      <x:c r="AG989" s="7" t="s">
        <x:v>58</x:v>
      </x:c>
    </x:row>
    <x:row r="990" ht="66" hidden="0" customHeight="1">
      <x:c r="A990" s="7" t="s">
        <x:v>3989</x:v>
      </x:c>
      <x:c r="B990" s="7" t="s">
        <x:v>627</x:v>
      </x:c>
      <x:c r="C990" s="7" t="s">
        <x:v>1284</x:v>
      </x:c>
      <x:c r="D990" s="7" t="s">
        <x:v>1950</x:v>
      </x:c>
      <x:c r="E990" s="7" t="s">
        <x:v>1995</x:v>
      </x:c>
      <x:c r="F990" s="7" t="s">
        <x:v>53</x:v>
      </x:c>
      <x:c r="G990" s="8" t="s">
        <x:v>53</x:v>
      </x:c>
      <x:c r="H990" s="8" t="s">
        <x:v>58</x:v>
      </x:c>
      <x:c r="I990" s="8" t="s">
        <x:v>58</x:v>
      </x:c>
      <x:c r="J990" s="7" t="s">
        <x:v>58</x:v>
      </x:c>
      <x:c r="K990" s="8" t="n">
        <x:v>1</x:v>
      </x:c>
      <x:c r="L990" s="8" t="str">
        <x:f aca="0">IF(AND(ISNUMBER(G990),P990&lt;&gt;"Unresolved unit / layout"),G990*K990,"Not published")</x:f>
        <x:v>Not published</x:v>
      </x:c>
      <x:c r="M990" s="8" t="str">
        <x:f aca="0">IF(AND(ISNUMBER(H990),P990&lt;&gt;"Unresolved unit / layout"),H990*K990,"Not applicable")</x:f>
        <x:v>Not applicable</x:v>
      </x:c>
      <x:c r="N990" s="8" t="str">
        <x:f aca="0">IF(AND(ISNUMBER(I990),P990&lt;&gt;"Unresolved unit / layout"),I990*K990,"Not applicable")</x:f>
        <x:v>Not applicable</x:v>
      </x:c>
      <x:c r="O990" s="7" t="s">
        <x:v>53</x:v>
      </x:c>
      <x:c r="P990" s="7" t="s">
        <x:v>53</x:v>
      </x:c>
      <x:c r="Q990" s="7" t="s">
        <x:v>1930</x:v>
      </x:c>
      <x:c r="R990" s="7" t="s">
        <x:v>2003</x:v>
      </x:c>
      <x:c r="S990" s="7" t="s">
        <x:v>3378</x:v>
      </x:c>
      <x:c r="T990" s="7" t="s">
        <x:v>3963</x:v>
      </x:c>
      <x:c r="U990" s="7" t="s">
        <x:v>53</x:v>
      </x:c>
      <x:c r="V990" s="7" t="s">
        <x:v>2020</x:v>
      </x:c>
      <x:c r="W990" s="7" t="s">
        <x:v>58</x:v>
      </x:c>
      <x:c r="X990" s="7" t="s">
        <x:v>3964</x:v>
      </x:c>
      <x:c r="Y990" s="7" t="s">
        <x:v>1286</x:v>
      </x:c>
      <x:c r="Z990" s="7" t="s">
        <x:v>2699</x:v>
      </x:c>
      <x:c r="AA990" s="7" t="s">
        <x:v>58</x:v>
      </x:c>
      <x:c r="AB990" s="8" t="s">
        <x:v>58</x:v>
      </x:c>
      <x:c r="AC990" s="8" t="s">
        <x:v>58</x:v>
      </x:c>
      <x:c r="AD990" s="8" t="s">
        <x:v>58</x:v>
      </x:c>
      <x:c r="AE990" s="8" t="s">
        <x:v>58</x:v>
      </x:c>
      <x:c r="AF990" s="8" t="s">
        <x:v>58</x:v>
      </x:c>
      <x:c r="AG990" s="7" t="s">
        <x:v>58</x:v>
      </x:c>
    </x:row>
    <x:row r="991" ht="66" hidden="0" customHeight="1">
      <x:c r="A991" s="7" t="s">
        <x:v>3990</x:v>
      </x:c>
      <x:c r="B991" s="7" t="s">
        <x:v>627</x:v>
      </x:c>
      <x:c r="C991" s="7" t="s">
        <x:v>1284</x:v>
      </x:c>
      <x:c r="D991" s="7" t="s">
        <x:v>1945</x:v>
      </x:c>
      <x:c r="E991" s="7" t="s">
        <x:v>3991</x:v>
      </x:c>
      <x:c r="F991" s="7" t="s">
        <x:v>1929</x:v>
      </x:c>
      <x:c r="G991" s="8" t="n">
        <x:v>109.9</x:v>
      </x:c>
      <x:c r="H991" s="8" t="n">
        <x:v>1.4</x:v>
      </x:c>
      <x:c r="I991" s="8" t="s">
        <x:v>58</x:v>
      </x:c>
      <x:c r="J991" s="7" t="s">
        <x:v>1919</x:v>
      </x:c>
      <x:c r="K991" s="8" t="n">
        <x:v>1</x:v>
      </x:c>
      <x:c r="L991" s="8" t="n">
        <x:f aca="0">IF(AND(ISNUMBER(G991),P991&lt;&gt;"Unresolved unit / layout"),G991*K991,"Not applicable")</x:f>
        <x:v>109.9</x:v>
      </x:c>
      <x:c r="M991" s="8" t="n">
        <x:f aca="0">IF(AND(ISNUMBER(H991),P991&lt;&gt;"Unresolved unit / layout"),H991*K991,"Not applicable")</x:f>
        <x:v>1.4</x:v>
      </x:c>
      <x:c r="N991" s="8" t="str">
        <x:f aca="0">IF(AND(ISNUMBER(I991),P991&lt;&gt;"Unresolved unit / layout"),I991*K991,"Not applicable")</x:f>
        <x:v>Not applicable</x:v>
      </x:c>
      <x:c r="O991" s="7" t="s">
        <x:v>1929</x:v>
      </x:c>
      <x:c r="P991" s="7" t="s">
        <x:v>1921</x:v>
      </x:c>
      <x:c r="Q991" s="7" t="s">
        <x:v>1930</x:v>
      </x:c>
      <x:c r="R991" s="7" t="s">
        <x:v>1931</x:v>
      </x:c>
      <x:c r="S991" s="7" t="s">
        <x:v>3378</x:v>
      </x:c>
      <x:c r="T991" s="7" t="s">
        <x:v>3963</x:v>
      </x:c>
      <x:c r="U991" s="7" t="s">
        <x:v>53</x:v>
      </x:c>
      <x:c r="V991" s="7" t="s">
        <x:v>2020</x:v>
      </x:c>
      <x:c r="W991" s="7" t="s">
        <x:v>58</x:v>
      </x:c>
      <x:c r="X991" s="7" t="s">
        <x:v>3964</x:v>
      </x:c>
      <x:c r="Y991" s="7" t="s">
        <x:v>1286</x:v>
      </x:c>
      <x:c r="Z991" s="7" t="s">
        <x:v>2702</x:v>
      </x:c>
      <x:c r="AA991" s="7" t="s">
        <x:v>58</x:v>
      </x:c>
      <x:c r="AB991" s="8" t="s">
        <x:v>58</x:v>
      </x:c>
      <x:c r="AC991" s="8" t="s">
        <x:v>58</x:v>
      </x:c>
      <x:c r="AD991" s="8" t="s">
        <x:v>58</x:v>
      </x:c>
      <x:c r="AE991" s="8" t="s">
        <x:v>58</x:v>
      </x:c>
      <x:c r="AF991" s="8" t="s">
        <x:v>58</x:v>
      </x:c>
      <x:c r="AG991" s="7" t="s">
        <x:v>58</x:v>
      </x:c>
    </x:row>
    <x:row r="992" ht="66" hidden="0" customHeight="1">
      <x:c r="A992" s="7" t="s">
        <x:v>3992</x:v>
      </x:c>
      <x:c r="B992" s="7" t="s">
        <x:v>627</x:v>
      </x:c>
      <x:c r="C992" s="7" t="s">
        <x:v>1284</x:v>
      </x:c>
      <x:c r="D992" s="7" t="s">
        <x:v>1945</x:v>
      </x:c>
      <x:c r="E992" s="7" t="s">
        <x:v>1995</x:v>
      </x:c>
      <x:c r="F992" s="7" t="s">
        <x:v>53</x:v>
      </x:c>
      <x:c r="G992" s="8" t="s">
        <x:v>53</x:v>
      </x:c>
      <x:c r="H992" s="8" t="s">
        <x:v>58</x:v>
      </x:c>
      <x:c r="I992" s="8" t="s">
        <x:v>58</x:v>
      </x:c>
      <x:c r="J992" s="7" t="s">
        <x:v>58</x:v>
      </x:c>
      <x:c r="K992" s="8" t="n">
        <x:v>1</x:v>
      </x:c>
      <x:c r="L992" s="8" t="str">
        <x:f aca="0">IF(AND(ISNUMBER(G992),P992&lt;&gt;"Unresolved unit / layout"),G992*K992,"Not published")</x:f>
        <x:v>Not published</x:v>
      </x:c>
      <x:c r="M992" s="8" t="str">
        <x:f aca="0">IF(AND(ISNUMBER(H992),P992&lt;&gt;"Unresolved unit / layout"),H992*K992,"Not applicable")</x:f>
        <x:v>Not applicable</x:v>
      </x:c>
      <x:c r="N992" s="8" t="str">
        <x:f aca="0">IF(AND(ISNUMBER(I992),P992&lt;&gt;"Unresolved unit / layout"),I992*K992,"Not applicable")</x:f>
        <x:v>Not applicable</x:v>
      </x:c>
      <x:c r="O992" s="7" t="s">
        <x:v>53</x:v>
      </x:c>
      <x:c r="P992" s="7" t="s">
        <x:v>53</x:v>
      </x:c>
      <x:c r="Q992" s="7" t="s">
        <x:v>1930</x:v>
      </x:c>
      <x:c r="R992" s="7" t="s">
        <x:v>2003</x:v>
      </x:c>
      <x:c r="S992" s="7" t="s">
        <x:v>3378</x:v>
      </x:c>
      <x:c r="T992" s="7" t="s">
        <x:v>3963</x:v>
      </x:c>
      <x:c r="U992" s="7" t="s">
        <x:v>53</x:v>
      </x:c>
      <x:c r="V992" s="7" t="s">
        <x:v>2020</x:v>
      </x:c>
      <x:c r="W992" s="7" t="s">
        <x:v>58</x:v>
      </x:c>
      <x:c r="X992" s="7" t="s">
        <x:v>3964</x:v>
      </x:c>
      <x:c r="Y992" s="7" t="s">
        <x:v>1286</x:v>
      </x:c>
      <x:c r="Z992" s="7" t="s">
        <x:v>2705</x:v>
      </x:c>
      <x:c r="AA992" s="7" t="s">
        <x:v>58</x:v>
      </x:c>
      <x:c r="AB992" s="8" t="s">
        <x:v>58</x:v>
      </x:c>
      <x:c r="AC992" s="8" t="s">
        <x:v>58</x:v>
      </x:c>
      <x:c r="AD992" s="8" t="s">
        <x:v>58</x:v>
      </x:c>
      <x:c r="AE992" s="8" t="s">
        <x:v>58</x:v>
      </x:c>
      <x:c r="AF992" s="8" t="s">
        <x:v>58</x:v>
      </x:c>
      <x:c r="AG992" s="7" t="s">
        <x:v>58</x:v>
      </x:c>
    </x:row>
    <x:row r="993" ht="66" hidden="0" customHeight="1">
      <x:c r="A993" s="7" t="s">
        <x:v>3993</x:v>
      </x:c>
      <x:c r="B993" s="7" t="s">
        <x:v>627</x:v>
      </x:c>
      <x:c r="C993" s="7" t="s">
        <x:v>1284</x:v>
      </x:c>
      <x:c r="D993" s="7" t="s">
        <x:v>2030</x:v>
      </x:c>
      <x:c r="E993" s="7" t="s">
        <x:v>3994</x:v>
      </x:c>
      <x:c r="F993" s="7" t="s">
        <x:v>2032</x:v>
      </x:c>
      <x:c r="G993" s="8" t="n">
        <x:v>12.5</x:v>
      </x:c>
      <x:c r="H993" s="8" t="n">
        <x:v>0.7</x:v>
      </x:c>
      <x:c r="I993" s="8" t="s">
        <x:v>58</x:v>
      </x:c>
      <x:c r="J993" s="7" t="s">
        <x:v>1919</x:v>
      </x:c>
      <x:c r="K993" s="8" t="n">
        <x:v>1</x:v>
      </x:c>
      <x:c r="L993" s="8" t="n">
        <x:f aca="0">IF(AND(ISNUMBER(G993),P993&lt;&gt;"Unresolved unit / layout"),G993*K993,"Not applicable")</x:f>
        <x:v>12.5</x:v>
      </x:c>
      <x:c r="M993" s="8" t="n">
        <x:f aca="0">IF(AND(ISNUMBER(H993),P993&lt;&gt;"Unresolved unit / layout"),H993*K993,"Not applicable")</x:f>
        <x:v>0.7</x:v>
      </x:c>
      <x:c r="N993" s="8" t="str">
        <x:f aca="0">IF(AND(ISNUMBER(I993),P993&lt;&gt;"Unresolved unit / layout"),I993*K993,"Not applicable")</x:f>
        <x:v>Not applicable</x:v>
      </x:c>
      <x:c r="O993" s="7" t="s">
        <x:v>2033</x:v>
      </x:c>
      <x:c r="P993" s="7" t="s">
        <x:v>1921</x:v>
      </x:c>
      <x:c r="Q993" s="7" t="s">
        <x:v>1930</x:v>
      </x:c>
      <x:c r="R993" s="7" t="s">
        <x:v>1931</x:v>
      </x:c>
      <x:c r="S993" s="7" t="s">
        <x:v>3378</x:v>
      </x:c>
      <x:c r="T993" s="7" t="s">
        <x:v>3963</x:v>
      </x:c>
      <x:c r="U993" s="7" t="s">
        <x:v>53</x:v>
      </x:c>
      <x:c r="V993" s="7" t="s">
        <x:v>53</x:v>
      </x:c>
      <x:c r="W993" s="7" t="s">
        <x:v>53</x:v>
      </x:c>
      <x:c r="X993" s="7" t="s">
        <x:v>3964</x:v>
      </x:c>
      <x:c r="Y993" s="7" t="s">
        <x:v>1286</x:v>
      </x:c>
      <x:c r="Z993" s="7" t="s">
        <x:v>2804</x:v>
      </x:c>
      <x:c r="AA993" s="7" t="s">
        <x:v>58</x:v>
      </x:c>
      <x:c r="AB993" s="8" t="s">
        <x:v>58</x:v>
      </x:c>
      <x:c r="AC993" s="8" t="s">
        <x:v>58</x:v>
      </x:c>
      <x:c r="AD993" s="8" t="s">
        <x:v>58</x:v>
      </x:c>
      <x:c r="AE993" s="8" t="s">
        <x:v>58</x:v>
      </x:c>
      <x:c r="AF993" s="8" t="s">
        <x:v>58</x:v>
      </x:c>
      <x:c r="AG993" s="7" t="s">
        <x:v>58</x:v>
      </x:c>
    </x:row>
    <x:row r="994" ht="66" hidden="0" customHeight="1">
      <x:c r="A994" s="7" t="s">
        <x:v>3995</x:v>
      </x:c>
      <x:c r="B994" s="7" t="s">
        <x:v>627</x:v>
      </x:c>
      <x:c r="C994" s="7" t="s">
        <x:v>1284</x:v>
      </x:c>
      <x:c r="D994" s="7" t="s">
        <x:v>2030</x:v>
      </x:c>
      <x:c r="E994" s="7" t="s">
        <x:v>1995</x:v>
      </x:c>
      <x:c r="F994" s="7" t="s">
        <x:v>53</x:v>
      </x:c>
      <x:c r="G994" s="8" t="s">
        <x:v>53</x:v>
      </x:c>
      <x:c r="H994" s="8" t="s">
        <x:v>58</x:v>
      </x:c>
      <x:c r="I994" s="8" t="s">
        <x:v>58</x:v>
      </x:c>
      <x:c r="J994" s="7" t="s">
        <x:v>58</x:v>
      </x:c>
      <x:c r="K994" s="8" t="n">
        <x:v>1</x:v>
      </x:c>
      <x:c r="L994" s="8" t="str">
        <x:f aca="0">IF(AND(ISNUMBER(G994),P994&lt;&gt;"Unresolved unit / layout"),G994*K994,"Not published")</x:f>
        <x:v>Not published</x:v>
      </x:c>
      <x:c r="M994" s="8" t="str">
        <x:f aca="0">IF(AND(ISNUMBER(H994),P994&lt;&gt;"Unresolved unit / layout"),H994*K994,"Not applicable")</x:f>
        <x:v>Not applicable</x:v>
      </x:c>
      <x:c r="N994" s="8" t="str">
        <x:f aca="0">IF(AND(ISNUMBER(I994),P994&lt;&gt;"Unresolved unit / layout"),I994*K994,"Not applicable")</x:f>
        <x:v>Not applicable</x:v>
      </x:c>
      <x:c r="O994" s="7" t="s">
        <x:v>53</x:v>
      </x:c>
      <x:c r="P994" s="7" t="s">
        <x:v>53</x:v>
      </x:c>
      <x:c r="Q994" s="7" t="s">
        <x:v>1930</x:v>
      </x:c>
      <x:c r="R994" s="7" t="s">
        <x:v>2003</x:v>
      </x:c>
      <x:c r="S994" s="7" t="s">
        <x:v>3378</x:v>
      </x:c>
      <x:c r="T994" s="7" t="s">
        <x:v>3963</x:v>
      </x:c>
      <x:c r="U994" s="7" t="s">
        <x:v>53</x:v>
      </x:c>
      <x:c r="V994" s="7" t="s">
        <x:v>2036</x:v>
      </x:c>
      <x:c r="W994" s="7" t="s">
        <x:v>53</x:v>
      </x:c>
      <x:c r="X994" s="7" t="s">
        <x:v>3964</x:v>
      </x:c>
      <x:c r="Y994" s="7" t="s">
        <x:v>1286</x:v>
      </x:c>
      <x:c r="Z994" s="7" t="s">
        <x:v>2807</x:v>
      </x:c>
      <x:c r="AA994" s="7" t="s">
        <x:v>58</x:v>
      </x:c>
      <x:c r="AB994" s="8" t="s">
        <x:v>58</x:v>
      </x:c>
      <x:c r="AC994" s="8" t="s">
        <x:v>58</x:v>
      </x:c>
      <x:c r="AD994" s="8" t="s">
        <x:v>58</x:v>
      </x:c>
      <x:c r="AE994" s="8" t="s">
        <x:v>58</x:v>
      </x:c>
      <x:c r="AF994" s="8" t="s">
        <x:v>58</x:v>
      </x:c>
      <x:c r="AG994" s="7" t="s">
        <x:v>58</x:v>
      </x:c>
    </x:row>
    <x:row r="995" ht="66" hidden="0" customHeight="1">
      <x:c r="A995" s="7" t="s">
        <x:v>3996</x:v>
      </x:c>
      <x:c r="B995" s="7" t="s">
        <x:v>627</x:v>
      </x:c>
      <x:c r="C995" s="7" t="s">
        <x:v>1284</x:v>
      </x:c>
      <x:c r="D995" s="7" t="s">
        <x:v>1935</x:v>
      </x:c>
      <x:c r="E995" s="7" t="s">
        <x:v>3997</x:v>
      </x:c>
      <x:c r="F995" s="7" t="s">
        <x:v>1929</x:v>
      </x:c>
      <x:c r="G995" s="8" t="n">
        <x:v>3054</x:v>
      </x:c>
      <x:c r="H995" s="8" t="n">
        <x:v>149</x:v>
      </x:c>
      <x:c r="I995" s="8" t="s">
        <x:v>58</x:v>
      </x:c>
      <x:c r="J995" s="7" t="s">
        <x:v>1919</x:v>
      </x:c>
      <x:c r="K995" s="8" t="n">
        <x:v>0.001</x:v>
      </x:c>
      <x:c r="L995" s="8" t="n">
        <x:f aca="0">IF(AND(ISNUMBER(G995),P995&lt;&gt;"Unresolved unit / layout"),G995*K995,"Not applicable")</x:f>
        <x:v>3.0540000000000003</x:v>
      </x:c>
      <x:c r="M995" s="8" t="n">
        <x:f aca="0">IF(AND(ISNUMBER(H995),P995&lt;&gt;"Unresolved unit / layout"),H995*K995,"Not applicable")</x:f>
        <x:v>0.149</x:v>
      </x:c>
      <x:c r="N995" s="8" t="str">
        <x:f aca="0">IF(AND(ISNUMBER(I995),P995&lt;&gt;"Unresolved unit / layout"),I995*K995,"Not applicable")</x:f>
        <x:v>Not applicable</x:v>
      </x:c>
      <x:c r="O995" s="7" t="s">
        <x:v>1937</x:v>
      </x:c>
      <x:c r="P995" s="7" t="s">
        <x:v>1921</x:v>
      </x:c>
      <x:c r="Q995" s="7" t="s">
        <x:v>1930</x:v>
      </x:c>
      <x:c r="R995" s="7" t="s">
        <x:v>1931</x:v>
      </x:c>
      <x:c r="S995" s="7" t="s">
        <x:v>3378</x:v>
      </x:c>
      <x:c r="T995" s="7" t="s">
        <x:v>3963</x:v>
      </x:c>
      <x:c r="U995" s="7" t="s">
        <x:v>53</x:v>
      </x:c>
      <x:c r="V995" s="7" t="s">
        <x:v>1999</x:v>
      </x:c>
      <x:c r="W995" s="7" t="s">
        <x:v>58</x:v>
      </x:c>
      <x:c r="X995" s="7" t="s">
        <x:v>3964</x:v>
      </x:c>
      <x:c r="Y995" s="7" t="s">
        <x:v>1286</x:v>
      </x:c>
      <x:c r="Z995" s="7" t="s">
        <x:v>2784</x:v>
      </x:c>
      <x:c r="AA995" s="7" t="s">
        <x:v>58</x:v>
      </x:c>
      <x:c r="AB995" s="8" t="s">
        <x:v>58</x:v>
      </x:c>
      <x:c r="AC995" s="8" t="s">
        <x:v>58</x:v>
      </x:c>
      <x:c r="AD995" s="8" t="s">
        <x:v>58</x:v>
      </x:c>
      <x:c r="AE995" s="8" t="s">
        <x:v>58</x:v>
      </x:c>
      <x:c r="AF995" s="8" t="s">
        <x:v>58</x:v>
      </x:c>
      <x:c r="AG995" s="7" t="s">
        <x:v>58</x:v>
      </x:c>
    </x:row>
    <x:row r="996" ht="66" hidden="0" customHeight="1">
      <x:c r="A996" s="7" t="s">
        <x:v>3998</x:v>
      </x:c>
      <x:c r="B996" s="7" t="s">
        <x:v>627</x:v>
      </x:c>
      <x:c r="C996" s="7" t="s">
        <x:v>1284</x:v>
      </x:c>
      <x:c r="D996" s="7" t="s">
        <x:v>1935</x:v>
      </x:c>
      <x:c r="E996" s="7" t="s">
        <x:v>3999</x:v>
      </x:c>
      <x:c r="F996" s="7" t="s">
        <x:v>1929</x:v>
      </x:c>
      <x:c r="G996" s="8" t="n">
        <x:v>1520</x:v>
      </x:c>
      <x:c r="H996" s="8" t="n">
        <x:v>84</x:v>
      </x:c>
      <x:c r="I996" s="8" t="s">
        <x:v>58</x:v>
      </x:c>
      <x:c r="J996" s="7" t="s">
        <x:v>1919</x:v>
      </x:c>
      <x:c r="K996" s="8" t="n">
        <x:v>0.001</x:v>
      </x:c>
      <x:c r="L996" s="8" t="n">
        <x:f aca="0">IF(AND(ISNUMBER(G996),P996&lt;&gt;"Unresolved unit / layout"),G996*K996,"Not applicable")</x:f>
        <x:v>1.52</x:v>
      </x:c>
      <x:c r="M996" s="8" t="n">
        <x:f aca="0">IF(AND(ISNUMBER(H996),P996&lt;&gt;"Unresolved unit / layout"),H996*K996,"Not applicable")</x:f>
        <x:v>0.084</x:v>
      </x:c>
      <x:c r="N996" s="8" t="str">
        <x:f aca="0">IF(AND(ISNUMBER(I996),P996&lt;&gt;"Unresolved unit / layout"),I996*K996,"Not applicable")</x:f>
        <x:v>Not applicable</x:v>
      </x:c>
      <x:c r="O996" s="7" t="s">
        <x:v>1937</x:v>
      </x:c>
      <x:c r="P996" s="7" t="s">
        <x:v>1921</x:v>
      </x:c>
      <x:c r="Q996" s="7" t="s">
        <x:v>1930</x:v>
      </x:c>
      <x:c r="R996" s="7" t="s">
        <x:v>2003</x:v>
      </x:c>
      <x:c r="S996" s="7" t="s">
        <x:v>3378</x:v>
      </x:c>
      <x:c r="T996" s="7" t="s">
        <x:v>3963</x:v>
      </x:c>
      <x:c r="U996" s="7" t="s">
        <x:v>53</x:v>
      </x:c>
      <x:c r="V996" s="7" t="s">
        <x:v>1999</x:v>
      </x:c>
      <x:c r="W996" s="7" t="s">
        <x:v>58</x:v>
      </x:c>
      <x:c r="X996" s="7" t="s">
        <x:v>3964</x:v>
      </x:c>
      <x:c r="Y996" s="7" t="s">
        <x:v>1286</x:v>
      </x:c>
      <x:c r="Z996" s="7" t="s">
        <x:v>2787</x:v>
      </x:c>
      <x:c r="AA996" s="7" t="s">
        <x:v>58</x:v>
      </x:c>
      <x:c r="AB996" s="8" t="s">
        <x:v>58</x:v>
      </x:c>
      <x:c r="AC996" s="8" t="s">
        <x:v>58</x:v>
      </x:c>
      <x:c r="AD996" s="8" t="s">
        <x:v>58</x:v>
      </x:c>
      <x:c r="AE996" s="8" t="s">
        <x:v>58</x:v>
      </x:c>
      <x:c r="AF996" s="8" t="s">
        <x:v>58</x:v>
      </x:c>
      <x:c r="AG996" s="7" t="s">
        <x:v>58</x:v>
      </x:c>
    </x:row>
    <x:row r="997" ht="66" hidden="0" customHeight="1">
      <x:c r="A997" s="7" t="s">
        <x:v>4000</x:v>
      </x:c>
      <x:c r="B997" s="7" t="s">
        <x:v>627</x:v>
      </x:c>
      <x:c r="C997" s="7" t="s">
        <x:v>1284</x:v>
      </x:c>
      <x:c r="D997" s="7" t="s">
        <x:v>2006</x:v>
      </x:c>
      <x:c r="E997" s="7" t="s">
        <x:v>4001</x:v>
      </x:c>
      <x:c r="F997" s="7" t="s">
        <x:v>1929</x:v>
      </x:c>
      <x:c r="G997" s="8" t="n">
        <x:v>73.4</x:v>
      </x:c>
      <x:c r="H997" s="8" t="n">
        <x:v>0.6</x:v>
      </x:c>
      <x:c r="I997" s="8" t="s">
        <x:v>58</x:v>
      </x:c>
      <x:c r="J997" s="7" t="s">
        <x:v>1919</x:v>
      </x:c>
      <x:c r="K997" s="8" t="n">
        <x:v>1</x:v>
      </x:c>
      <x:c r="L997" s="8" t="n">
        <x:f aca="0">IF(AND(ISNUMBER(G997),P997&lt;&gt;"Unresolved unit / layout"),G997*K997,"Not applicable")</x:f>
        <x:v>73.4</x:v>
      </x:c>
      <x:c r="M997" s="8" t="n">
        <x:f aca="0">IF(AND(ISNUMBER(H997),P997&lt;&gt;"Unresolved unit / layout"),H997*K997,"Not applicable")</x:f>
        <x:v>0.6</x:v>
      </x:c>
      <x:c r="N997" s="8" t="str">
        <x:f aca="0">IF(AND(ISNUMBER(I997),P997&lt;&gt;"Unresolved unit / layout"),I997*K997,"Not applicable")</x:f>
        <x:v>Not applicable</x:v>
      </x:c>
      <x:c r="O997" s="7" t="s">
        <x:v>1929</x:v>
      </x:c>
      <x:c r="P997" s="7" t="s">
        <x:v>1921</x:v>
      </x:c>
      <x:c r="Q997" s="7" t="s">
        <x:v>1930</x:v>
      </x:c>
      <x:c r="R997" s="7" t="s">
        <x:v>1931</x:v>
      </x:c>
      <x:c r="S997" s="7" t="s">
        <x:v>3378</x:v>
      </x:c>
      <x:c r="T997" s="7" t="s">
        <x:v>3963</x:v>
      </x:c>
      <x:c r="U997" s="7" t="s">
        <x:v>53</x:v>
      </x:c>
      <x:c r="V997" s="7" t="s">
        <x:v>1999</x:v>
      </x:c>
      <x:c r="W997" s="7" t="s">
        <x:v>58</x:v>
      </x:c>
      <x:c r="X997" s="7" t="s">
        <x:v>3964</x:v>
      </x:c>
      <x:c r="Y997" s="7" t="s">
        <x:v>1286</x:v>
      </x:c>
      <x:c r="Z997" s="7" t="s">
        <x:v>2684</x:v>
      </x:c>
      <x:c r="AA997" s="7" t="s">
        <x:v>58</x:v>
      </x:c>
      <x:c r="AB997" s="8" t="s">
        <x:v>58</x:v>
      </x:c>
      <x:c r="AC997" s="8" t="s">
        <x:v>58</x:v>
      </x:c>
      <x:c r="AD997" s="8" t="s">
        <x:v>58</x:v>
      </x:c>
      <x:c r="AE997" s="8" t="s">
        <x:v>58</x:v>
      </x:c>
      <x:c r="AF997" s="8" t="s">
        <x:v>58</x:v>
      </x:c>
      <x:c r="AG997" s="7" t="s">
        <x:v>58</x:v>
      </x:c>
    </x:row>
    <x:row r="998" ht="66" hidden="0" customHeight="1">
      <x:c r="A998" s="7" t="s">
        <x:v>4002</x:v>
      </x:c>
      <x:c r="B998" s="7" t="s">
        <x:v>627</x:v>
      </x:c>
      <x:c r="C998" s="7" t="s">
        <x:v>1284</x:v>
      </x:c>
      <x:c r="D998" s="7" t="s">
        <x:v>2006</x:v>
      </x:c>
      <x:c r="E998" s="7" t="s">
        <x:v>4003</x:v>
      </x:c>
      <x:c r="F998" s="7" t="s">
        <x:v>1929</x:v>
      </x:c>
      <x:c r="G998" s="8" t="n">
        <x:v>42</x:v>
      </x:c>
      <x:c r="H998" s="8" t="n">
        <x:v>1.5</x:v>
      </x:c>
      <x:c r="I998" s="8" t="s">
        <x:v>58</x:v>
      </x:c>
      <x:c r="J998" s="7" t="s">
        <x:v>1919</x:v>
      </x:c>
      <x:c r="K998" s="8" t="n">
        <x:v>1</x:v>
      </x:c>
      <x:c r="L998" s="8" t="n">
        <x:f aca="0">IF(AND(ISNUMBER(G998),P998&lt;&gt;"Unresolved unit / layout"),G998*K998,"Not applicable")</x:f>
        <x:v>42</x:v>
      </x:c>
      <x:c r="M998" s="8" t="n">
        <x:f aca="0">IF(AND(ISNUMBER(H998),P998&lt;&gt;"Unresolved unit / layout"),H998*K998,"Not applicable")</x:f>
        <x:v>1.5</x:v>
      </x:c>
      <x:c r="N998" s="8" t="str">
        <x:f aca="0">IF(AND(ISNUMBER(I998),P998&lt;&gt;"Unresolved unit / layout"),I998*K998,"Not applicable")</x:f>
        <x:v>Not applicable</x:v>
      </x:c>
      <x:c r="O998" s="7" t="s">
        <x:v>1929</x:v>
      </x:c>
      <x:c r="P998" s="7" t="s">
        <x:v>1921</x:v>
      </x:c>
      <x:c r="Q998" s="7" t="s">
        <x:v>1930</x:v>
      </x:c>
      <x:c r="R998" s="7" t="s">
        <x:v>2003</x:v>
      </x:c>
      <x:c r="S998" s="7" t="s">
        <x:v>3378</x:v>
      </x:c>
      <x:c r="T998" s="7" t="s">
        <x:v>3963</x:v>
      </x:c>
      <x:c r="U998" s="7" t="s">
        <x:v>53</x:v>
      </x:c>
      <x:c r="V998" s="7" t="s">
        <x:v>1999</x:v>
      </x:c>
      <x:c r="W998" s="7" t="s">
        <x:v>58</x:v>
      </x:c>
      <x:c r="X998" s="7" t="s">
        <x:v>3964</x:v>
      </x:c>
      <x:c r="Y998" s="7" t="s">
        <x:v>1286</x:v>
      </x:c>
      <x:c r="Z998" s="7" t="s">
        <x:v>2687</x:v>
      </x:c>
      <x:c r="AA998" s="7" t="s">
        <x:v>58</x:v>
      </x:c>
      <x:c r="AB998" s="8" t="s">
        <x:v>58</x:v>
      </x:c>
      <x:c r="AC998" s="8" t="s">
        <x:v>58</x:v>
      </x:c>
      <x:c r="AD998" s="8" t="s">
        <x:v>58</x:v>
      </x:c>
      <x:c r="AE998" s="8" t="s">
        <x:v>58</x:v>
      </x:c>
      <x:c r="AF998" s="8" t="s">
        <x:v>58</x:v>
      </x:c>
      <x:c r="AG998" s="7" t="s">
        <x:v>58</x:v>
      </x:c>
    </x:row>
    <x:row r="999" ht="66" hidden="0" customHeight="1">
      <x:c r="A999" s="7" t="s">
        <x:v>4004</x:v>
      </x:c>
      <x:c r="B999" s="7" t="s">
        <x:v>627</x:v>
      </x:c>
      <x:c r="C999" s="7" t="s">
        <x:v>1284</x:v>
      </x:c>
      <x:c r="D999" s="7" t="s">
        <x:v>1940</x:v>
      </x:c>
      <x:c r="E999" s="7" t="s">
        <x:v>4005</x:v>
      </x:c>
      <x:c r="F999" s="7" t="s">
        <x:v>1942</x:v>
      </x:c>
      <x:c r="G999" s="8" t="n">
        <x:v>6.06</x:v>
      </x:c>
      <x:c r="H999" s="8" t="n">
        <x:v>0.6</x:v>
      </x:c>
      <x:c r="I999" s="8" t="s">
        <x:v>58</x:v>
      </x:c>
      <x:c r="J999" s="7" t="s">
        <x:v>1919</x:v>
      </x:c>
      <x:c r="K999" s="8" t="n">
        <x:v>1</x:v>
      </x:c>
      <x:c r="L999" s="8" t="n">
        <x:f aca="0">IF(AND(ISNUMBER(G999),P999&lt;&gt;"Unresolved unit / layout"),G999*K999,"Not applicable")</x:f>
        <x:v>6.06</x:v>
      </x:c>
      <x:c r="M999" s="8" t="n">
        <x:f aca="0">IF(AND(ISNUMBER(H999),P999&lt;&gt;"Unresolved unit / layout"),H999*K999,"Not applicable")</x:f>
        <x:v>0.6</x:v>
      </x:c>
      <x:c r="N999" s="8" t="str">
        <x:f aca="0">IF(AND(ISNUMBER(I999),P999&lt;&gt;"Unresolved unit / layout"),I999*K999,"Not applicable")</x:f>
        <x:v>Not applicable</x:v>
      </x:c>
      <x:c r="O999" s="7" t="s">
        <x:v>1942</x:v>
      </x:c>
      <x:c r="P999" s="7" t="s">
        <x:v>1921</x:v>
      </x:c>
      <x:c r="Q999" s="7" t="s">
        <x:v>1930</x:v>
      </x:c>
      <x:c r="R999" s="7" t="s">
        <x:v>1931</x:v>
      </x:c>
      <x:c r="S999" s="7" t="s">
        <x:v>3378</x:v>
      </x:c>
      <x:c r="T999" s="7" t="s">
        <x:v>3963</x:v>
      </x:c>
      <x:c r="U999" s="7" t="s">
        <x:v>53</x:v>
      </x:c>
      <x:c r="V999" s="7" t="s">
        <x:v>1999</x:v>
      </x:c>
      <x:c r="W999" s="7" t="s">
        <x:v>58</x:v>
      </x:c>
      <x:c r="X999" s="7" t="s">
        <x:v>3964</x:v>
      </x:c>
      <x:c r="Y999" s="7" t="s">
        <x:v>1286</x:v>
      </x:c>
      <x:c r="Z999" s="7" t="s">
        <x:v>2690</x:v>
      </x:c>
      <x:c r="AA999" s="7" t="s">
        <x:v>58</x:v>
      </x:c>
      <x:c r="AB999" s="8" t="s">
        <x:v>58</x:v>
      </x:c>
      <x:c r="AC999" s="8" t="s">
        <x:v>58</x:v>
      </x:c>
      <x:c r="AD999" s="8" t="s">
        <x:v>58</x:v>
      </x:c>
      <x:c r="AE999" s="8" t="s">
        <x:v>58</x:v>
      </x:c>
      <x:c r="AF999" s="8" t="s">
        <x:v>58</x:v>
      </x:c>
      <x:c r="AG999" s="7" t="s">
        <x:v>58</x:v>
      </x:c>
    </x:row>
    <x:row r="1000" ht="66" hidden="0" customHeight="1">
      <x:c r="A1000" s="7" t="s">
        <x:v>4006</x:v>
      </x:c>
      <x:c r="B1000" s="7" t="s">
        <x:v>627</x:v>
      </x:c>
      <x:c r="C1000" s="7" t="s">
        <x:v>1284</x:v>
      </x:c>
      <x:c r="D1000" s="7" t="s">
        <x:v>1940</x:v>
      </x:c>
      <x:c r="E1000" s="7" t="s">
        <x:v>4007</x:v>
      </x:c>
      <x:c r="F1000" s="7" t="s">
        <x:v>1942</x:v>
      </x:c>
      <x:c r="G1000" s="8" t="n">
        <x:v>3.51</x:v>
      </x:c>
      <x:c r="H1000" s="8" t="n">
        <x:v>0.3</x:v>
      </x:c>
      <x:c r="I1000" s="8" t="s">
        <x:v>58</x:v>
      </x:c>
      <x:c r="J1000" s="7" t="s">
        <x:v>1919</x:v>
      </x:c>
      <x:c r="K1000" s="8" t="n">
        <x:v>1</x:v>
      </x:c>
      <x:c r="L1000" s="8" t="n">
        <x:f aca="0">IF(AND(ISNUMBER(G1000),P1000&lt;&gt;"Unresolved unit / layout"),G1000*K1000,"Not applicable")</x:f>
        <x:v>3.51</x:v>
      </x:c>
      <x:c r="M1000" s="8" t="n">
        <x:f aca="0">IF(AND(ISNUMBER(H1000),P1000&lt;&gt;"Unresolved unit / layout"),H1000*K1000,"Not applicable")</x:f>
        <x:v>0.3</x:v>
      </x:c>
      <x:c r="N1000" s="8" t="str">
        <x:f aca="0">IF(AND(ISNUMBER(I1000),P1000&lt;&gt;"Unresolved unit / layout"),I1000*K1000,"Not applicable")</x:f>
        <x:v>Not applicable</x:v>
      </x:c>
      <x:c r="O1000" s="7" t="s">
        <x:v>1942</x:v>
      </x:c>
      <x:c r="P1000" s="7" t="s">
        <x:v>1921</x:v>
      </x:c>
      <x:c r="Q1000" s="7" t="s">
        <x:v>1930</x:v>
      </x:c>
      <x:c r="R1000" s="7" t="s">
        <x:v>2003</x:v>
      </x:c>
      <x:c r="S1000" s="7" t="s">
        <x:v>3378</x:v>
      </x:c>
      <x:c r="T1000" s="7" t="s">
        <x:v>3963</x:v>
      </x:c>
      <x:c r="U1000" s="7" t="s">
        <x:v>53</x:v>
      </x:c>
      <x:c r="V1000" s="7" t="s">
        <x:v>1999</x:v>
      </x:c>
      <x:c r="W1000" s="7" t="s">
        <x:v>58</x:v>
      </x:c>
      <x:c r="X1000" s="7" t="s">
        <x:v>3964</x:v>
      </x:c>
      <x:c r="Y1000" s="7" t="s">
        <x:v>1286</x:v>
      </x:c>
      <x:c r="Z1000" s="7" t="s">
        <x:v>2693</x:v>
      </x:c>
      <x:c r="AA1000" s="7" t="s">
        <x:v>58</x:v>
      </x:c>
      <x:c r="AB1000" s="8" t="s">
        <x:v>58</x:v>
      </x:c>
      <x:c r="AC1000" s="8" t="s">
        <x:v>58</x:v>
      </x:c>
      <x:c r="AD1000" s="8" t="s">
        <x:v>58</x:v>
      </x:c>
      <x:c r="AE1000" s="8" t="s">
        <x:v>58</x:v>
      </x:c>
      <x:c r="AF1000" s="8" t="s">
        <x:v>58</x:v>
      </x:c>
      <x:c r="AG1000" s="7" t="s">
        <x:v>58</x:v>
      </x:c>
    </x:row>
    <x:row r="1001" ht="66" hidden="0" customHeight="1">
      <x:c r="A1001" s="7" t="s">
        <x:v>4008</x:v>
      </x:c>
      <x:c r="B1001" s="7" t="s">
        <x:v>627</x:v>
      </x:c>
      <x:c r="C1001" s="7" t="s">
        <x:v>1284</x:v>
      </x:c>
      <x:c r="D1001" s="7" t="s">
        <x:v>1950</x:v>
      </x:c>
      <x:c r="E1001" s="7" t="s">
        <x:v>4009</x:v>
      </x:c>
      <x:c r="F1001" s="7" t="s">
        <x:v>1929</x:v>
      </x:c>
      <x:c r="G1001" s="8" t="n">
        <x:v>3336</x:v>
      </x:c>
      <x:c r="H1001" s="8" t="n">
        <x:v>292</x:v>
      </x:c>
      <x:c r="I1001" s="8" t="s">
        <x:v>58</x:v>
      </x:c>
      <x:c r="J1001" s="7" t="s">
        <x:v>1919</x:v>
      </x:c>
      <x:c r="K1001" s="8" t="n">
        <x:v>0.001</x:v>
      </x:c>
      <x:c r="L1001" s="8" t="n">
        <x:f aca="0">IF(AND(ISNUMBER(G1001),P1001&lt;&gt;"Unresolved unit / layout"),G1001*K1001,"Not applicable")</x:f>
        <x:v>3.336</x:v>
      </x:c>
      <x:c r="M1001" s="8" t="n">
        <x:f aca="0">IF(AND(ISNUMBER(H1001),P1001&lt;&gt;"Unresolved unit / layout"),H1001*K1001,"Not applicable")</x:f>
        <x:v>0.292</x:v>
      </x:c>
      <x:c r="N1001" s="8" t="str">
        <x:f aca="0">IF(AND(ISNUMBER(I1001),P1001&lt;&gt;"Unresolved unit / layout"),I1001*K1001,"Not applicable")</x:f>
        <x:v>Not applicable</x:v>
      </x:c>
      <x:c r="O1001" s="7" t="s">
        <x:v>1937</x:v>
      </x:c>
      <x:c r="P1001" s="7" t="s">
        <x:v>1921</x:v>
      </x:c>
      <x:c r="Q1001" s="7" t="s">
        <x:v>1930</x:v>
      </x:c>
      <x:c r="R1001" s="7" t="s">
        <x:v>1931</x:v>
      </x:c>
      <x:c r="S1001" s="7" t="s">
        <x:v>3378</x:v>
      </x:c>
      <x:c r="T1001" s="7" t="s">
        <x:v>3963</x:v>
      </x:c>
      <x:c r="U1001" s="7" t="s">
        <x:v>53</x:v>
      </x:c>
      <x:c r="V1001" s="7" t="s">
        <x:v>2020</x:v>
      </x:c>
      <x:c r="W1001" s="7" t="s">
        <x:v>58</x:v>
      </x:c>
      <x:c r="X1001" s="7" t="s">
        <x:v>3964</x:v>
      </x:c>
      <x:c r="Y1001" s="7" t="s">
        <x:v>1286</x:v>
      </x:c>
      <x:c r="Z1001" s="7" t="s">
        <x:v>2696</x:v>
      </x:c>
      <x:c r="AA1001" s="7" t="s">
        <x:v>58</x:v>
      </x:c>
      <x:c r="AB1001" s="8" t="s">
        <x:v>58</x:v>
      </x:c>
      <x:c r="AC1001" s="8" t="s">
        <x:v>58</x:v>
      </x:c>
      <x:c r="AD1001" s="8" t="s">
        <x:v>58</x:v>
      </x:c>
      <x:c r="AE1001" s="8" t="s">
        <x:v>58</x:v>
      </x:c>
      <x:c r="AF1001" s="8" t="s">
        <x:v>58</x:v>
      </x:c>
      <x:c r="AG1001" s="7" t="s">
        <x:v>58</x:v>
      </x:c>
    </x:row>
    <x:row r="1002" ht="66" hidden="0" customHeight="1">
      <x:c r="A1002" s="7" t="s">
        <x:v>4010</x:v>
      </x:c>
      <x:c r="B1002" s="7" t="s">
        <x:v>627</x:v>
      </x:c>
      <x:c r="C1002" s="7" t="s">
        <x:v>1284</x:v>
      </x:c>
      <x:c r="D1002" s="7" t="s">
        <x:v>1945</x:v>
      </x:c>
      <x:c r="E1002" s="7" t="s">
        <x:v>4011</x:v>
      </x:c>
      <x:c r="F1002" s="7" t="s">
        <x:v>1929</x:v>
      </x:c>
      <x:c r="G1002" s="8" t="n">
        <x:v>100.9</x:v>
      </x:c>
      <x:c r="H1002" s="8" t="n">
        <x:v>3.5</x:v>
      </x:c>
      <x:c r="I1002" s="8" t="s">
        <x:v>58</x:v>
      </x:c>
      <x:c r="J1002" s="7" t="s">
        <x:v>1919</x:v>
      </x:c>
      <x:c r="K1002" s="8" t="n">
        <x:v>1</x:v>
      </x:c>
      <x:c r="L1002" s="8" t="n">
        <x:f aca="0">IF(AND(ISNUMBER(G1002),P1002&lt;&gt;"Unresolved unit / layout"),G1002*K1002,"Not applicable")</x:f>
        <x:v>100.9</x:v>
      </x:c>
      <x:c r="M1002" s="8" t="n">
        <x:f aca="0">IF(AND(ISNUMBER(H1002),P1002&lt;&gt;"Unresolved unit / layout"),H1002*K1002,"Not applicable")</x:f>
        <x:v>3.5</x:v>
      </x:c>
      <x:c r="N1002" s="8" t="str">
        <x:f aca="0">IF(AND(ISNUMBER(I1002),P1002&lt;&gt;"Unresolved unit / layout"),I1002*K1002,"Not applicable")</x:f>
        <x:v>Not applicable</x:v>
      </x:c>
      <x:c r="O1002" s="7" t="s">
        <x:v>1929</x:v>
      </x:c>
      <x:c r="P1002" s="7" t="s">
        <x:v>1921</x:v>
      </x:c>
      <x:c r="Q1002" s="7" t="s">
        <x:v>1930</x:v>
      </x:c>
      <x:c r="R1002" s="7" t="s">
        <x:v>1931</x:v>
      </x:c>
      <x:c r="S1002" s="7" t="s">
        <x:v>3378</x:v>
      </x:c>
      <x:c r="T1002" s="7" t="s">
        <x:v>3963</x:v>
      </x:c>
      <x:c r="U1002" s="7" t="s">
        <x:v>53</x:v>
      </x:c>
      <x:c r="V1002" s="7" t="s">
        <x:v>2020</x:v>
      </x:c>
      <x:c r="W1002" s="7" t="s">
        <x:v>58</x:v>
      </x:c>
      <x:c r="X1002" s="7" t="s">
        <x:v>3964</x:v>
      </x:c>
      <x:c r="Y1002" s="7" t="s">
        <x:v>1286</x:v>
      </x:c>
      <x:c r="Z1002" s="7" t="s">
        <x:v>2702</x:v>
      </x:c>
      <x:c r="AA1002" s="7" t="s">
        <x:v>58</x:v>
      </x:c>
      <x:c r="AB1002" s="8" t="s">
        <x:v>58</x:v>
      </x:c>
      <x:c r="AC1002" s="8" t="s">
        <x:v>58</x:v>
      </x:c>
      <x:c r="AD1002" s="8" t="s">
        <x:v>58</x:v>
      </x:c>
      <x:c r="AE1002" s="8" t="s">
        <x:v>58</x:v>
      </x:c>
      <x:c r="AF1002" s="8" t="s">
        <x:v>58</x:v>
      </x:c>
      <x:c r="AG1002" s="7" t="s">
        <x:v>58</x:v>
      </x:c>
    </x:row>
    <x:row r="1003" ht="66" hidden="0" customHeight="1">
      <x:c r="A1003" s="7" t="s">
        <x:v>4012</x:v>
      </x:c>
      <x:c r="B1003" s="7" t="s">
        <x:v>627</x:v>
      </x:c>
      <x:c r="C1003" s="7" t="s">
        <x:v>1284</x:v>
      </x:c>
      <x:c r="D1003" s="7" t="s">
        <x:v>2030</x:v>
      </x:c>
      <x:c r="E1003" s="7" t="s">
        <x:v>4013</x:v>
      </x:c>
      <x:c r="F1003" s="7" t="s">
        <x:v>2032</x:v>
      </x:c>
      <x:c r="G1003" s="8" t="n">
        <x:v>9.2</x:v>
      </x:c>
      <x:c r="H1003" s="8" t="n">
        <x:v>0.6</x:v>
      </x:c>
      <x:c r="I1003" s="8" t="s">
        <x:v>58</x:v>
      </x:c>
      <x:c r="J1003" s="7" t="s">
        <x:v>1919</x:v>
      </x:c>
      <x:c r="K1003" s="8" t="n">
        <x:v>1</x:v>
      </x:c>
      <x:c r="L1003" s="8" t="n">
        <x:f aca="0">IF(AND(ISNUMBER(G1003),P1003&lt;&gt;"Unresolved unit / layout"),G1003*K1003,"Not applicable")</x:f>
        <x:v>9.2</x:v>
      </x:c>
      <x:c r="M1003" s="8" t="n">
        <x:f aca="0">IF(AND(ISNUMBER(H1003),P1003&lt;&gt;"Unresolved unit / layout"),H1003*K1003,"Not applicable")</x:f>
        <x:v>0.6</x:v>
      </x:c>
      <x:c r="N1003" s="8" t="str">
        <x:f aca="0">IF(AND(ISNUMBER(I1003),P1003&lt;&gt;"Unresolved unit / layout"),I1003*K1003,"Not applicable")</x:f>
        <x:v>Not applicable</x:v>
      </x:c>
      <x:c r="O1003" s="7" t="s">
        <x:v>2033</x:v>
      </x:c>
      <x:c r="P1003" s="7" t="s">
        <x:v>1921</x:v>
      </x:c>
      <x:c r="Q1003" s="7" t="s">
        <x:v>1930</x:v>
      </x:c>
      <x:c r="R1003" s="7" t="s">
        <x:v>1931</x:v>
      </x:c>
      <x:c r="S1003" s="7" t="s">
        <x:v>3378</x:v>
      </x:c>
      <x:c r="T1003" s="7" t="s">
        <x:v>3963</x:v>
      </x:c>
      <x:c r="U1003" s="7" t="s">
        <x:v>53</x:v>
      </x:c>
      <x:c r="V1003" s="7" t="s">
        <x:v>2036</x:v>
      </x:c>
      <x:c r="W1003" s="7" t="s">
        <x:v>53</x:v>
      </x:c>
      <x:c r="X1003" s="7" t="s">
        <x:v>3964</x:v>
      </x:c>
      <x:c r="Y1003" s="7" t="s">
        <x:v>1286</x:v>
      </x:c>
      <x:c r="Z1003" s="7" t="s">
        <x:v>2804</x:v>
      </x:c>
      <x:c r="AA1003" s="7" t="s">
        <x:v>58</x:v>
      </x:c>
      <x:c r="AB1003" s="8" t="s">
        <x:v>58</x:v>
      </x:c>
      <x:c r="AC1003" s="8" t="s">
        <x:v>58</x:v>
      </x:c>
      <x:c r="AD1003" s="8" t="s">
        <x:v>58</x:v>
      </x:c>
      <x:c r="AE1003" s="8" t="s">
        <x:v>58</x:v>
      </x:c>
      <x:c r="AF1003" s="8" t="s">
        <x:v>58</x:v>
      </x:c>
      <x:c r="AG1003" s="7" t="s">
        <x:v>58</x:v>
      </x:c>
    </x:row>
    <x:row r="1004" ht="51.75" hidden="0" customHeight="1">
      <x:c r="A1004" s="7" t="s">
        <x:v>4014</x:v>
      </x:c>
      <x:c r="B1004" s="7" t="s">
        <x:v>627</x:v>
      </x:c>
      <x:c r="C1004" s="7" t="s">
        <x:v>1287</x:v>
      </x:c>
      <x:c r="D1004" s="7" t="s">
        <x:v>1916</x:v>
      </x:c>
      <x:c r="E1004" s="7" t="s">
        <x:v>4015</x:v>
      </x:c>
      <x:c r="F1004" s="7" t="s">
        <x:v>1965</x:v>
      </x:c>
      <x:c r="G1004" s="8" t="n">
        <x:v>1.07</x:v>
      </x:c>
      <x:c r="H1004" s="8" t="s">
        <x:v>58</x:v>
      </x:c>
      <x:c r="I1004" s="8" t="s">
        <x:v>58</x:v>
      </x:c>
      <x:c r="J1004" s="7" t="s">
        <x:v>1919</x:v>
      </x:c>
      <x:c r="K1004" s="8" t="n">
        <x:v>1000</x:v>
      </x:c>
      <x:c r="L1004" s="8" t="n">
        <x:f aca="0">IF(AND(ISNUMBER(G1004),P1004&lt;&gt;"Unresolved unit / layout"),G1004*K1004,"Not applicable")</x:f>
        <x:v>1070</x:v>
      </x:c>
      <x:c r="M1004" s="8" t="str">
        <x:f aca="0">IF(AND(ISNUMBER(H1004),P1004&lt;&gt;"Unresolved unit / layout"),H1004*K1004,"Not applicable")</x:f>
        <x:v>Not applicable</x:v>
      </x:c>
      <x:c r="N1004" s="8" t="str">
        <x:f aca="0">IF(AND(ISNUMBER(I1004),P1004&lt;&gt;"Unresolved unit / layout"),I1004*K1004,"Not applicable")</x:f>
        <x:v>Not applicable</x:v>
      </x:c>
      <x:c r="O1004" s="7" t="s">
        <x:v>1920</x:v>
      </x:c>
      <x:c r="P1004" s="7" t="s">
        <x:v>1921</x:v>
      </x:c>
      <x:c r="Q1004" s="7" t="s">
        <x:v>1922</x:v>
      </x:c>
      <x:c r="R1004" s="7" t="s">
        <x:v>58</x:v>
      </x:c>
      <x:c r="S1004" s="7" t="s">
        <x:v>53</x:v>
      </x:c>
      <x:c r="T1004" s="7" t="s">
        <x:v>53</x:v>
      </x:c>
      <x:c r="U1004" s="7" t="s">
        <x:v>53</x:v>
      </x:c>
      <x:c r="V1004" s="7" t="s">
        <x:v>1923</x:v>
      </x:c>
      <x:c r="W1004" s="7" t="s">
        <x:v>58</x:v>
      </x:c>
      <x:c r="X1004" s="7" t="s">
        <x:v>53</x:v>
      </x:c>
      <x:c r="Y1004" s="7" t="s">
        <x:v>1289</x:v>
      </x:c>
      <x:c r="Z1004" s="7" t="s">
        <x:v>3059</x:v>
      </x:c>
      <x:c r="AA1004" s="7" t="s">
        <x:v>58</x:v>
      </x:c>
      <x:c r="AB1004" s="8" t="s">
        <x:v>58</x:v>
      </x:c>
      <x:c r="AC1004" s="8" t="s">
        <x:v>58</x:v>
      </x:c>
      <x:c r="AD1004" s="8" t="s">
        <x:v>58</x:v>
      </x:c>
      <x:c r="AE1004" s="8" t="s">
        <x:v>58</x:v>
      </x:c>
      <x:c r="AF1004" s="8" t="s">
        <x:v>58</x:v>
      </x:c>
      <x:c r="AG1004" s="7" t="s">
        <x:v>58</x:v>
      </x:c>
    </x:row>
    <x:row r="1005" ht="37.5" hidden="0" customHeight="1">
      <x:c r="A1005" s="7" t="s">
        <x:v>4016</x:v>
      </x:c>
      <x:c r="B1005" s="7" t="s">
        <x:v>627</x:v>
      </x:c>
      <x:c r="C1005" s="7" t="s">
        <x:v>1287</x:v>
      </x:c>
      <x:c r="D1005" s="7" t="s">
        <x:v>1927</x:v>
      </x:c>
      <x:c r="E1005" s="7" t="s">
        <x:v>4017</x:v>
      </x:c>
      <x:c r="F1005" s="7" t="s">
        <x:v>1929</x:v>
      </x:c>
      <x:c r="G1005" s="8" t="n">
        <x:v>125</x:v>
      </x:c>
      <x:c r="H1005" s="8" t="s">
        <x:v>58</x:v>
      </x:c>
      <x:c r="I1005" s="8" t="s">
        <x:v>58</x:v>
      </x:c>
      <x:c r="J1005" s="7" t="s">
        <x:v>1919</x:v>
      </x:c>
      <x:c r="K1005" s="8" t="n">
        <x:v>1</x:v>
      </x:c>
      <x:c r="L1005" s="8" t="n">
        <x:f aca="0">IF(AND(ISNUMBER(G1005),P1005&lt;&gt;"Unresolved unit / layout"),G1005*K1005,"Not applicable")</x:f>
        <x:v>125</x:v>
      </x:c>
      <x:c r="M1005" s="8" t="str">
        <x:f aca="0">IF(AND(ISNUMBER(H1005),P1005&lt;&gt;"Unresolved unit / layout"),H1005*K1005,"Not applicable")</x:f>
        <x:v>Not applicable</x:v>
      </x:c>
      <x:c r="N1005" s="8" t="str">
        <x:f aca="0">IF(AND(ISNUMBER(I1005),P1005&lt;&gt;"Unresolved unit / layout"),I1005*K1005,"Not applicable")</x:f>
        <x:v>Not applicable</x:v>
      </x:c>
      <x:c r="O1005" s="7" t="s">
        <x:v>1929</x:v>
      </x:c>
      <x:c r="P1005" s="7" t="s">
        <x:v>1921</x:v>
      </x:c>
      <x:c r="Q1005" s="7" t="s">
        <x:v>2064</x:v>
      </x:c>
      <x:c r="R1005" s="7" t="s">
        <x:v>53</x:v>
      </x:c>
      <x:c r="S1005" s="7" t="s">
        <x:v>53</x:v>
      </x:c>
      <x:c r="T1005" s="7" t="s">
        <x:v>53</x:v>
      </x:c>
      <x:c r="U1005" s="7" t="s">
        <x:v>53</x:v>
      </x:c>
      <x:c r="V1005" s="7" t="s">
        <x:v>4018</x:v>
      </x:c>
      <x:c r="W1005" s="7" t="s">
        <x:v>58</x:v>
      </x:c>
      <x:c r="X1005" s="7" t="s">
        <x:v>53</x:v>
      </x:c>
      <x:c r="Y1005" s="7" t="s">
        <x:v>1289</x:v>
      </x:c>
      <x:c r="Z1005" s="7" t="s">
        <x:v>3067</x:v>
      </x:c>
      <x:c r="AA1005" s="7" t="s">
        <x:v>58</x:v>
      </x:c>
      <x:c r="AB1005" s="8" t="s">
        <x:v>58</x:v>
      </x:c>
      <x:c r="AC1005" s="8" t="s">
        <x:v>58</x:v>
      </x:c>
      <x:c r="AD1005" s="8" t="s">
        <x:v>58</x:v>
      </x:c>
      <x:c r="AE1005" s="8" t="s">
        <x:v>58</x:v>
      </x:c>
      <x:c r="AF1005" s="8" t="s">
        <x:v>58</x:v>
      </x:c>
      <x:c r="AG1005" s="7" t="s">
        <x:v>58</x:v>
      </x:c>
    </x:row>
    <x:row r="1006" ht="37.5" hidden="0" customHeight="1">
      <x:c r="A1006" s="7" t="s">
        <x:v>4019</x:v>
      </x:c>
      <x:c r="B1006" s="7" t="s">
        <x:v>627</x:v>
      </x:c>
      <x:c r="C1006" s="7" t="s">
        <x:v>1287</x:v>
      </x:c>
      <x:c r="D1006" s="7" t="s">
        <x:v>1940</x:v>
      </x:c>
      <x:c r="E1006" s="7" t="s">
        <x:v>4020</x:v>
      </x:c>
      <x:c r="F1006" s="7" t="s">
        <x:v>1942</x:v>
      </x:c>
      <x:c r="G1006" s="8" t="n">
        <x:v>5</x:v>
      </x:c>
      <x:c r="H1006" s="8" t="s">
        <x:v>58</x:v>
      </x:c>
      <x:c r="I1006" s="8" t="s">
        <x:v>58</x:v>
      </x:c>
      <x:c r="J1006" s="7" t="s">
        <x:v>1919</x:v>
      </x:c>
      <x:c r="K1006" s="8" t="n">
        <x:v>1</x:v>
      </x:c>
      <x:c r="L1006" s="8" t="n">
        <x:f aca="0">IF(AND(ISNUMBER(G1006),P1006&lt;&gt;"Unresolved unit / layout"),G1006*K1006,"Not applicable")</x:f>
        <x:v>5</x:v>
      </x:c>
      <x:c r="M1006" s="8" t="str">
        <x:f aca="0">IF(AND(ISNUMBER(H1006),P1006&lt;&gt;"Unresolved unit / layout"),H1006*K1006,"Not applicable")</x:f>
        <x:v>Not applicable</x:v>
      </x:c>
      <x:c r="N1006" s="8" t="str">
        <x:f aca="0">IF(AND(ISNUMBER(I1006),P1006&lt;&gt;"Unresolved unit / layout"),I1006*K1006,"Not applicable")</x:f>
        <x:v>Not applicable</x:v>
      </x:c>
      <x:c r="O1006" s="7" t="s">
        <x:v>1942</x:v>
      </x:c>
      <x:c r="P1006" s="7" t="s">
        <x:v>1921</x:v>
      </x:c>
      <x:c r="Q1006" s="7" t="s">
        <x:v>2064</x:v>
      </x:c>
      <x:c r="R1006" s="7" t="s">
        <x:v>53</x:v>
      </x:c>
      <x:c r="S1006" s="7" t="s">
        <x:v>53</x:v>
      </x:c>
      <x:c r="T1006" s="7" t="s">
        <x:v>53</x:v>
      </x:c>
      <x:c r="U1006" s="7" t="s">
        <x:v>53</x:v>
      </x:c>
      <x:c r="V1006" s="7" t="s">
        <x:v>4018</x:v>
      </x:c>
      <x:c r="W1006" s="7" t="s">
        <x:v>58</x:v>
      </x:c>
      <x:c r="X1006" s="7" t="s">
        <x:v>53</x:v>
      </x:c>
      <x:c r="Y1006" s="7" t="s">
        <x:v>1289</x:v>
      </x:c>
      <x:c r="Z1006" s="7" t="s">
        <x:v>4021</x:v>
      </x:c>
      <x:c r="AA1006" s="7" t="s">
        <x:v>58</x:v>
      </x:c>
      <x:c r="AB1006" s="8" t="s">
        <x:v>58</x:v>
      </x:c>
      <x:c r="AC1006" s="8" t="s">
        <x:v>58</x:v>
      </x:c>
      <x:c r="AD1006" s="8" t="s">
        <x:v>58</x:v>
      </x:c>
      <x:c r="AE1006" s="8" t="s">
        <x:v>58</x:v>
      </x:c>
      <x:c r="AF1006" s="8" t="s">
        <x:v>58</x:v>
      </x:c>
      <x:c r="AG1006" s="7" t="s">
        <x:v>58</x:v>
      </x:c>
    </x:row>
    <x:row r="1007" ht="37.5" hidden="0" customHeight="1">
      <x:c r="A1007" s="7" t="s">
        <x:v>4022</x:v>
      </x:c>
      <x:c r="B1007" s="7" t="s">
        <x:v>627</x:v>
      </x:c>
      <x:c r="C1007" s="7" t="s">
        <x:v>1287</x:v>
      </x:c>
      <x:c r="D1007" s="7" t="s">
        <x:v>1935</x:v>
      </x:c>
      <x:c r="E1007" s="7" t="s">
        <x:v>4023</x:v>
      </x:c>
      <x:c r="F1007" s="7" t="s">
        <x:v>1929</x:v>
      </x:c>
      <x:c r="G1007" s="8" t="n">
        <x:v>8000</x:v>
      </x:c>
      <x:c r="H1007" s="8" t="s">
        <x:v>58</x:v>
      </x:c>
      <x:c r="I1007" s="8" t="s">
        <x:v>58</x:v>
      </x:c>
      <x:c r="J1007" s="7" t="s">
        <x:v>1919</x:v>
      </x:c>
      <x:c r="K1007" s="8" t="n">
        <x:v>0.001</x:v>
      </x:c>
      <x:c r="L1007" s="8" t="n">
        <x:f aca="0">IF(AND(ISNUMBER(G1007),P1007&lt;&gt;"Unresolved unit / layout"),G1007*K1007,"Not applicable")</x:f>
        <x:v>8</x:v>
      </x:c>
      <x:c r="M1007" s="8" t="str">
        <x:f aca="0">IF(AND(ISNUMBER(H1007),P1007&lt;&gt;"Unresolved unit / layout"),H1007*K1007,"Not applicable")</x:f>
        <x:v>Not applicable</x:v>
      </x:c>
      <x:c r="N1007" s="8" t="str">
        <x:f aca="0">IF(AND(ISNUMBER(I1007),P1007&lt;&gt;"Unresolved unit / layout"),I1007*K1007,"Not applicable")</x:f>
        <x:v>Not applicable</x:v>
      </x:c>
      <x:c r="O1007" s="7" t="s">
        <x:v>1937</x:v>
      </x:c>
      <x:c r="P1007" s="7" t="s">
        <x:v>1921</x:v>
      </x:c>
      <x:c r="Q1007" s="7" t="s">
        <x:v>2064</x:v>
      </x:c>
      <x:c r="R1007" s="7" t="s">
        <x:v>53</x:v>
      </x:c>
      <x:c r="S1007" s="7" t="s">
        <x:v>53</x:v>
      </x:c>
      <x:c r="T1007" s="7" t="s">
        <x:v>53</x:v>
      </x:c>
      <x:c r="U1007" s="7" t="s">
        <x:v>53</x:v>
      </x:c>
      <x:c r="V1007" s="7" t="s">
        <x:v>4018</x:v>
      </x:c>
      <x:c r="W1007" s="7" t="s">
        <x:v>58</x:v>
      </x:c>
      <x:c r="X1007" s="7" t="s">
        <x:v>53</x:v>
      </x:c>
      <x:c r="Y1007" s="7" t="s">
        <x:v>1289</x:v>
      </x:c>
      <x:c r="Z1007" s="7" t="s">
        <x:v>1938</x:v>
      </x:c>
      <x:c r="AA1007" s="7" t="s">
        <x:v>58</x:v>
      </x:c>
      <x:c r="AB1007" s="8" t="s">
        <x:v>58</x:v>
      </x:c>
      <x:c r="AC1007" s="8" t="s">
        <x:v>58</x:v>
      </x:c>
      <x:c r="AD1007" s="8" t="s">
        <x:v>58</x:v>
      </x:c>
      <x:c r="AE1007" s="8" t="s">
        <x:v>58</x:v>
      </x:c>
      <x:c r="AF1007" s="8" t="s">
        <x:v>58</x:v>
      </x:c>
      <x:c r="AG1007" s="7" t="s">
        <x:v>58</x:v>
      </x:c>
    </x:row>
    <x:row r="1008" ht="37.5" hidden="0" customHeight="1">
      <x:c r="A1008" s="7" t="s">
        <x:v>4024</x:v>
      </x:c>
      <x:c r="B1008" s="7" t="s">
        <x:v>627</x:v>
      </x:c>
      <x:c r="C1008" s="7" t="s">
        <x:v>1287</x:v>
      </x:c>
      <x:c r="D1008" s="7" t="s">
        <x:v>2030</x:v>
      </x:c>
      <x:c r="E1008" s="7" t="s">
        <x:v>4025</x:v>
      </x:c>
      <x:c r="F1008" s="7" t="s">
        <x:v>2032</x:v>
      </x:c>
      <x:c r="G1008" s="8" t="n">
        <x:v>75</x:v>
      </x:c>
      <x:c r="H1008" s="8" t="s">
        <x:v>58</x:v>
      </x:c>
      <x:c r="I1008" s="8" t="s">
        <x:v>58</x:v>
      </x:c>
      <x:c r="J1008" s="7" t="s">
        <x:v>1919</x:v>
      </x:c>
      <x:c r="K1008" s="8" t="n">
        <x:v>1</x:v>
      </x:c>
      <x:c r="L1008" s="8" t="n">
        <x:f aca="0">IF(AND(ISNUMBER(G1008),P1008&lt;&gt;"Unresolved unit / layout"),G1008*K1008,"Not applicable")</x:f>
        <x:v>75</x:v>
      </x:c>
      <x:c r="M1008" s="8" t="str">
        <x:f aca="0">IF(AND(ISNUMBER(H1008),P1008&lt;&gt;"Unresolved unit / layout"),H1008*K1008,"Not applicable")</x:f>
        <x:v>Not applicable</x:v>
      </x:c>
      <x:c r="N1008" s="8" t="str">
        <x:f aca="0">IF(AND(ISNUMBER(I1008),P1008&lt;&gt;"Unresolved unit / layout"),I1008*K1008,"Not applicable")</x:f>
        <x:v>Not applicable</x:v>
      </x:c>
      <x:c r="O1008" s="7" t="s">
        <x:v>2033</x:v>
      </x:c>
      <x:c r="P1008" s="7" t="s">
        <x:v>1921</x:v>
      </x:c>
      <x:c r="Q1008" s="7" t="s">
        <x:v>2064</x:v>
      </x:c>
      <x:c r="R1008" s="7" t="s">
        <x:v>53</x:v>
      </x:c>
      <x:c r="S1008" s="7" t="s">
        <x:v>53</x:v>
      </x:c>
      <x:c r="T1008" s="7" t="s">
        <x:v>53</x:v>
      </x:c>
      <x:c r="U1008" s="7" t="s">
        <x:v>53</x:v>
      </x:c>
      <x:c r="V1008" s="7" t="s">
        <x:v>4026</x:v>
      </x:c>
      <x:c r="W1008" s="7" t="s">
        <x:v>53</x:v>
      </x:c>
      <x:c r="X1008" s="7" t="s">
        <x:v>53</x:v>
      </x:c>
      <x:c r="Y1008" s="7" t="s">
        <x:v>1289</x:v>
      </x:c>
      <x:c r="Z1008" s="7" t="s">
        <x:v>4027</x:v>
      </x:c>
      <x:c r="AA1008" s="7" t="s">
        <x:v>58</x:v>
      </x:c>
      <x:c r="AB1008" s="8" t="s">
        <x:v>58</x:v>
      </x:c>
      <x:c r="AC1008" s="8" t="s">
        <x:v>58</x:v>
      </x:c>
      <x:c r="AD1008" s="8" t="s">
        <x:v>58</x:v>
      </x:c>
      <x:c r="AE1008" s="8" t="s">
        <x:v>58</x:v>
      </x:c>
      <x:c r="AF1008" s="8" t="s">
        <x:v>58</x:v>
      </x:c>
      <x:c r="AG1008" s="7" t="s">
        <x:v>58</x:v>
      </x:c>
    </x:row>
    <x:row r="1009" ht="37.5" hidden="0" customHeight="1">
      <x:c r="A1009" s="7" t="s">
        <x:v>4028</x:v>
      </x:c>
      <x:c r="B1009" s="7" t="s">
        <x:v>627</x:v>
      </x:c>
      <x:c r="C1009" s="7" t="s">
        <x:v>1287</x:v>
      </x:c>
      <x:c r="D1009" s="7" t="s">
        <x:v>2030</x:v>
      </x:c>
      <x:c r="E1009" s="7" t="s">
        <x:v>4029</x:v>
      </x:c>
      <x:c r="F1009" s="7" t="s">
        <x:v>2032</x:v>
      </x:c>
      <x:c r="G1009" s="8" t="n">
        <x:v>15</x:v>
      </x:c>
      <x:c r="H1009" s="8" t="s">
        <x:v>58</x:v>
      </x:c>
      <x:c r="I1009" s="8" t="s">
        <x:v>58</x:v>
      </x:c>
      <x:c r="J1009" s="7" t="s">
        <x:v>1919</x:v>
      </x:c>
      <x:c r="K1009" s="8" t="n">
        <x:v>1</x:v>
      </x:c>
      <x:c r="L1009" s="8" t="n">
        <x:f aca="0">IF(AND(ISNUMBER(G1009),P1009&lt;&gt;"Unresolved unit / layout"),G1009*K1009,"Not applicable")</x:f>
        <x:v>15</x:v>
      </x:c>
      <x:c r="M1009" s="8" t="str">
        <x:f aca="0">IF(AND(ISNUMBER(H1009),P1009&lt;&gt;"Unresolved unit / layout"),H1009*K1009,"Not applicable")</x:f>
        <x:v>Not applicable</x:v>
      </x:c>
      <x:c r="N1009" s="8" t="str">
        <x:f aca="0">IF(AND(ISNUMBER(I1009),P1009&lt;&gt;"Unresolved unit / layout"),I1009*K1009,"Not applicable")</x:f>
        <x:v>Not applicable</x:v>
      </x:c>
      <x:c r="O1009" s="7" t="s">
        <x:v>2033</x:v>
      </x:c>
      <x:c r="P1009" s="7" t="s">
        <x:v>1921</x:v>
      </x:c>
      <x:c r="Q1009" s="7" t="s">
        <x:v>2064</x:v>
      </x:c>
      <x:c r="R1009" s="7" t="s">
        <x:v>53</x:v>
      </x:c>
      <x:c r="S1009" s="7" t="s">
        <x:v>53</x:v>
      </x:c>
      <x:c r="T1009" s="7" t="s">
        <x:v>53</x:v>
      </x:c>
      <x:c r="U1009" s="7" t="s">
        <x:v>53</x:v>
      </x:c>
      <x:c r="V1009" s="7" t="s">
        <x:v>4026</x:v>
      </x:c>
      <x:c r="W1009" s="7" t="s">
        <x:v>2139</x:v>
      </x:c>
      <x:c r="X1009" s="7" t="s">
        <x:v>53</x:v>
      </x:c>
      <x:c r="Y1009" s="7" t="s">
        <x:v>1289</x:v>
      </x:c>
      <x:c r="Z1009" s="7" t="s">
        <x:v>4030</x:v>
      </x:c>
      <x:c r="AA1009" s="7" t="s">
        <x:v>58</x:v>
      </x:c>
      <x:c r="AB1009" s="8" t="s">
        <x:v>58</x:v>
      </x:c>
      <x:c r="AC1009" s="8" t="s">
        <x:v>58</x:v>
      </x:c>
      <x:c r="AD1009" s="8" t="s">
        <x:v>58</x:v>
      </x:c>
      <x:c r="AE1009" s="8" t="s">
        <x:v>58</x:v>
      </x:c>
      <x:c r="AF1009" s="8" t="s">
        <x:v>58</x:v>
      </x:c>
      <x:c r="AG1009" s="7" t="s">
        <x:v>58</x:v>
      </x:c>
    </x:row>
    <x:row r="1010" ht="51.75" hidden="0" customHeight="1">
      <x:c r="A1010" s="7" t="s">
        <x:v>4031</x:v>
      </x:c>
      <x:c r="B1010" s="7" t="s">
        <x:v>639</x:v>
      </x:c>
      <x:c r="C1010" s="7" t="s">
        <x:v>641</x:v>
      </x:c>
      <x:c r="D1010" s="7" t="s">
        <x:v>1916</x:v>
      </x:c>
      <x:c r="E1010" s="7" t="s">
        <x:v>4032</x:v>
      </x:c>
      <x:c r="F1010" s="7" t="s">
        <x:v>1918</x:v>
      </x:c>
      <x:c r="G1010" s="8" t="n">
        <x:v>1.23</x:v>
      </x:c>
      <x:c r="H1010" s="8" t="s">
        <x:v>58</x:v>
      </x:c>
      <x:c r="I1010" s="8" t="s">
        <x:v>58</x:v>
      </x:c>
      <x:c r="J1010" s="7" t="s">
        <x:v>1919</x:v>
      </x:c>
      <x:c r="K1010" s="8" t="n">
        <x:v>1000</x:v>
      </x:c>
      <x:c r="L1010" s="8" t="n">
        <x:f aca="0">IF(AND(ISNUMBER(G1010),P1010&lt;&gt;"Unresolved unit / layout"),G1010*K1010,"Not applicable")</x:f>
        <x:v>1230</x:v>
      </x:c>
      <x:c r="M1010" s="8" t="str">
        <x:f aca="0">IF(AND(ISNUMBER(H1010),P1010&lt;&gt;"Unresolved unit / layout"),H1010*K1010,"Not applicable")</x:f>
        <x:v>Not applicable</x:v>
      </x:c>
      <x:c r="N1010" s="8" t="str">
        <x:f aca="0">IF(AND(ISNUMBER(I1010),P1010&lt;&gt;"Unresolved unit / layout"),I1010*K1010,"Not applicable")</x:f>
        <x:v>Not applicable</x:v>
      </x:c>
      <x:c r="O1010" s="7" t="s">
        <x:v>1920</x:v>
      </x:c>
      <x:c r="P1010" s="7" t="s">
        <x:v>1921</x:v>
      </x:c>
      <x:c r="Q1010" s="7" t="s">
        <x:v>1922</x:v>
      </x:c>
      <x:c r="R1010" s="7" t="s">
        <x:v>58</x:v>
      </x:c>
      <x:c r="S1010" s="7" t="s">
        <x:v>53</x:v>
      </x:c>
      <x:c r="T1010" s="7" t="s">
        <x:v>53</x:v>
      </x:c>
      <x:c r="U1010" s="7" t="s">
        <x:v>53</x:v>
      </x:c>
      <x:c r="V1010" s="7" t="s">
        <x:v>1923</x:v>
      </x:c>
      <x:c r="W1010" s="7" t="s">
        <x:v>58</x:v>
      </x:c>
      <x:c r="X1010" s="7" t="s">
        <x:v>3948</x:v>
      </x:c>
      <x:c r="Y1010" s="7" t="s">
        <x:v>1291</x:v>
      </x:c>
      <x:c r="Z1010" s="7" t="s">
        <x:v>1925</x:v>
      </x:c>
      <x:c r="AA1010" s="7" t="s">
        <x:v>58</x:v>
      </x:c>
      <x:c r="AB1010" s="8" t="s">
        <x:v>58</x:v>
      </x:c>
      <x:c r="AC1010" s="8" t="s">
        <x:v>58</x:v>
      </x:c>
      <x:c r="AD1010" s="8" t="s">
        <x:v>58</x:v>
      </x:c>
      <x:c r="AE1010" s="8" t="s">
        <x:v>58</x:v>
      </x:c>
      <x:c r="AF1010" s="8" t="s">
        <x:v>58</x:v>
      </x:c>
      <x:c r="AG1010" s="7" t="s">
        <x:v>58</x:v>
      </x:c>
    </x:row>
    <x:row r="1011" ht="51.75" hidden="0" customHeight="1">
      <x:c r="A1011" s="7" t="s">
        <x:v>4033</x:v>
      </x:c>
      <x:c r="B1011" s="7" t="s">
        <x:v>639</x:v>
      </x:c>
      <x:c r="C1011" s="7" t="s">
        <x:v>641</x:v>
      </x:c>
      <x:c r="D1011" s="7" t="s">
        <x:v>1927</x:v>
      </x:c>
      <x:c r="E1011" s="7" t="s">
        <x:v>3354</x:v>
      </x:c>
      <x:c r="F1011" s="7" t="s">
        <x:v>1929</x:v>
      </x:c>
      <x:c r="G1011" s="8" t="n">
        <x:v>82</x:v>
      </x:c>
      <x:c r="H1011" s="8" t="s">
        <x:v>58</x:v>
      </x:c>
      <x:c r="I1011" s="8" t="s">
        <x:v>58</x:v>
      </x:c>
      <x:c r="J1011" s="7" t="s">
        <x:v>1919</x:v>
      </x:c>
      <x:c r="K1011" s="8" t="n">
        <x:v>1</x:v>
      </x:c>
      <x:c r="L1011" s="8" t="n">
        <x:f aca="0">IF(AND(ISNUMBER(G1011),P1011&lt;&gt;"Unresolved unit / layout"),G1011*K1011,"Not applicable")</x:f>
        <x:v>82</x:v>
      </x:c>
      <x:c r="M1011" s="8" t="str">
        <x:f aca="0">IF(AND(ISNUMBER(H1011),P1011&lt;&gt;"Unresolved unit / layout"),H1011*K1011,"Not applicable")</x:f>
        <x:v>Not applicable</x:v>
      </x:c>
      <x:c r="N1011" s="8" t="str">
        <x:f aca="0">IF(AND(ISNUMBER(I1011),P1011&lt;&gt;"Unresolved unit / layout"),I1011*K1011,"Not applicable")</x:f>
        <x:v>Not applicable</x:v>
      </x:c>
      <x:c r="O1011" s="7" t="s">
        <x:v>1929</x:v>
      </x:c>
      <x:c r="P1011" s="7" t="s">
        <x:v>1921</x:v>
      </x:c>
      <x:c r="Q1011" s="7" t="s">
        <x:v>1930</x:v>
      </x:c>
      <x:c r="R1011" s="7" t="s">
        <x:v>1931</x:v>
      </x:c>
      <x:c r="S1011" s="7" t="s">
        <x:v>53</x:v>
      </x:c>
      <x:c r="T1011" s="7" t="s">
        <x:v>53</x:v>
      </x:c>
      <x:c r="U1011" s="7" t="s">
        <x:v>53</x:v>
      </x:c>
      <x:c r="V1011" s="7" t="s">
        <x:v>1932</x:v>
      </x:c>
      <x:c r="W1011" s="7" t="s">
        <x:v>58</x:v>
      </x:c>
      <x:c r="X1011" s="7" t="s">
        <x:v>3948</x:v>
      </x:c>
      <x:c r="Y1011" s="7" t="s">
        <x:v>1291</x:v>
      </x:c>
      <x:c r="Z1011" s="7" t="s">
        <x:v>1933</x:v>
      </x:c>
      <x:c r="AA1011" s="7" t="s">
        <x:v>58</x:v>
      </x:c>
      <x:c r="AB1011" s="8" t="s">
        <x:v>58</x:v>
      </x:c>
      <x:c r="AC1011" s="8" t="s">
        <x:v>58</x:v>
      </x:c>
      <x:c r="AD1011" s="8" t="s">
        <x:v>58</x:v>
      </x:c>
      <x:c r="AE1011" s="8" t="s">
        <x:v>58</x:v>
      </x:c>
      <x:c r="AF1011" s="8" t="s">
        <x:v>58</x:v>
      </x:c>
      <x:c r="AG1011" s="7" t="s">
        <x:v>58</x:v>
      </x:c>
    </x:row>
    <x:row r="1012" ht="51.75" hidden="0" customHeight="1">
      <x:c r="A1012" s="7" t="s">
        <x:v>4034</x:v>
      </x:c>
      <x:c r="B1012" s="7" t="s">
        <x:v>639</x:v>
      </x:c>
      <x:c r="C1012" s="7" t="s">
        <x:v>641</x:v>
      </x:c>
      <x:c r="D1012" s="7" t="s">
        <x:v>1935</x:v>
      </x:c>
      <x:c r="E1012" s="7" t="s">
        <x:v>4035</x:v>
      </x:c>
      <x:c r="F1012" s="7" t="s">
        <x:v>1929</x:v>
      </x:c>
      <x:c r="G1012" s="8" t="n">
        <x:v>7800</x:v>
      </x:c>
      <x:c r="H1012" s="8" t="s">
        <x:v>58</x:v>
      </x:c>
      <x:c r="I1012" s="8" t="s">
        <x:v>58</x:v>
      </x:c>
      <x:c r="J1012" s="7" t="s">
        <x:v>1919</x:v>
      </x:c>
      <x:c r="K1012" s="8" t="n">
        <x:v>0.001</x:v>
      </x:c>
      <x:c r="L1012" s="8" t="n">
        <x:f aca="0">IF(AND(ISNUMBER(G1012),P1012&lt;&gt;"Unresolved unit / layout"),G1012*K1012,"Not applicable")</x:f>
        <x:v>7.8</x:v>
      </x:c>
      <x:c r="M1012" s="8" t="str">
        <x:f aca="0">IF(AND(ISNUMBER(H1012),P1012&lt;&gt;"Unresolved unit / layout"),H1012*K1012,"Not applicable")</x:f>
        <x:v>Not applicable</x:v>
      </x:c>
      <x:c r="N1012" s="8" t="str">
        <x:f aca="0">IF(AND(ISNUMBER(I1012),P1012&lt;&gt;"Unresolved unit / layout"),I1012*K1012,"Not applicable")</x:f>
        <x:v>Not applicable</x:v>
      </x:c>
      <x:c r="O1012" s="7" t="s">
        <x:v>1937</x:v>
      </x:c>
      <x:c r="P1012" s="7" t="s">
        <x:v>1921</x:v>
      </x:c>
      <x:c r="Q1012" s="7" t="s">
        <x:v>1930</x:v>
      </x:c>
      <x:c r="R1012" s="7" t="s">
        <x:v>1931</x:v>
      </x:c>
      <x:c r="S1012" s="7" t="s">
        <x:v>53</x:v>
      </x:c>
      <x:c r="T1012" s="7" t="s">
        <x:v>53</x:v>
      </x:c>
      <x:c r="U1012" s="7" t="s">
        <x:v>53</x:v>
      </x:c>
      <x:c r="V1012" s="7" t="s">
        <x:v>1932</x:v>
      </x:c>
      <x:c r="W1012" s="7" t="s">
        <x:v>58</x:v>
      </x:c>
      <x:c r="X1012" s="7" t="s">
        <x:v>3948</x:v>
      </x:c>
      <x:c r="Y1012" s="7" t="s">
        <x:v>1291</x:v>
      </x:c>
      <x:c r="Z1012" s="7" t="s">
        <x:v>1938</x:v>
      </x:c>
      <x:c r="AA1012" s="7" t="s">
        <x:v>58</x:v>
      </x:c>
      <x:c r="AB1012" s="8" t="s">
        <x:v>58</x:v>
      </x:c>
      <x:c r="AC1012" s="8" t="s">
        <x:v>58</x:v>
      </x:c>
      <x:c r="AD1012" s="8" t="s">
        <x:v>58</x:v>
      </x:c>
      <x:c r="AE1012" s="8" t="s">
        <x:v>58</x:v>
      </x:c>
      <x:c r="AF1012" s="8" t="s">
        <x:v>58</x:v>
      </x:c>
      <x:c r="AG1012" s="7" t="s">
        <x:v>58</x:v>
      </x:c>
    </x:row>
    <x:row r="1013" ht="51.75" hidden="0" customHeight="1">
      <x:c r="A1013" s="7" t="s">
        <x:v>4036</x:v>
      </x:c>
      <x:c r="B1013" s="7" t="s">
        <x:v>639</x:v>
      </x:c>
      <x:c r="C1013" s="7" t="s">
        <x:v>641</x:v>
      </x:c>
      <x:c r="D1013" s="7" t="s">
        <x:v>1940</x:v>
      </x:c>
      <x:c r="E1013" s="7" t="s">
        <x:v>4037</x:v>
      </x:c>
      <x:c r="F1013" s="7" t="s">
        <x:v>1942</x:v>
      </x:c>
      <x:c r="G1013" s="8" t="n">
        <x:v>4.5</x:v>
      </x:c>
      <x:c r="H1013" s="8" t="s">
        <x:v>58</x:v>
      </x:c>
      <x:c r="I1013" s="8" t="s">
        <x:v>58</x:v>
      </x:c>
      <x:c r="J1013" s="7" t="s">
        <x:v>1919</x:v>
      </x:c>
      <x:c r="K1013" s="8" t="n">
        <x:v>1</x:v>
      </x:c>
      <x:c r="L1013" s="8" t="n">
        <x:f aca="0">IF(AND(ISNUMBER(G1013),P1013&lt;&gt;"Unresolved unit / layout"),G1013*K1013,"Not applicable")</x:f>
        <x:v>4.5</x:v>
      </x:c>
      <x:c r="M1013" s="8" t="str">
        <x:f aca="0">IF(AND(ISNUMBER(H1013),P1013&lt;&gt;"Unresolved unit / layout"),H1013*K1013,"Not applicable")</x:f>
        <x:v>Not applicable</x:v>
      </x:c>
      <x:c r="N1013" s="8" t="str">
        <x:f aca="0">IF(AND(ISNUMBER(I1013),P1013&lt;&gt;"Unresolved unit / layout"),I1013*K1013,"Not applicable")</x:f>
        <x:v>Not applicable</x:v>
      </x:c>
      <x:c r="O1013" s="7" t="s">
        <x:v>1942</x:v>
      </x:c>
      <x:c r="P1013" s="7" t="s">
        <x:v>1921</x:v>
      </x:c>
      <x:c r="Q1013" s="7" t="s">
        <x:v>1930</x:v>
      </x:c>
      <x:c r="R1013" s="7" t="s">
        <x:v>1931</x:v>
      </x:c>
      <x:c r="S1013" s="7" t="s">
        <x:v>53</x:v>
      </x:c>
      <x:c r="T1013" s="7" t="s">
        <x:v>53</x:v>
      </x:c>
      <x:c r="U1013" s="7" t="s">
        <x:v>53</x:v>
      </x:c>
      <x:c r="V1013" s="7" t="s">
        <x:v>1932</x:v>
      </x:c>
      <x:c r="W1013" s="7" t="s">
        <x:v>58</x:v>
      </x:c>
      <x:c r="X1013" s="7" t="s">
        <x:v>3948</x:v>
      </x:c>
      <x:c r="Y1013" s="7" t="s">
        <x:v>1291</x:v>
      </x:c>
      <x:c r="Z1013" s="7" t="s">
        <x:v>1943</x:v>
      </x:c>
      <x:c r="AA1013" s="7" t="s">
        <x:v>58</x:v>
      </x:c>
      <x:c r="AB1013" s="8" t="s">
        <x:v>58</x:v>
      </x:c>
      <x:c r="AC1013" s="8" t="s">
        <x:v>58</x:v>
      </x:c>
      <x:c r="AD1013" s="8" t="s">
        <x:v>58</x:v>
      </x:c>
      <x:c r="AE1013" s="8" t="s">
        <x:v>58</x:v>
      </x:c>
      <x:c r="AF1013" s="8" t="s">
        <x:v>58</x:v>
      </x:c>
      <x:c r="AG1013" s="7" t="s">
        <x:v>58</x:v>
      </x:c>
    </x:row>
    <x:row r="1014" ht="51.75" hidden="0" customHeight="1">
      <x:c r="A1014" s="7" t="s">
        <x:v>4038</x:v>
      </x:c>
      <x:c r="B1014" s="7" t="s">
        <x:v>639</x:v>
      </x:c>
      <x:c r="C1014" s="7" t="s">
        <x:v>641</x:v>
      </x:c>
      <x:c r="D1014" s="7" t="s">
        <x:v>1945</x:v>
      </x:c>
      <x:c r="E1014" s="7" t="s">
        <x:v>4039</x:v>
      </x:c>
      <x:c r="F1014" s="7" t="s">
        <x:v>1929</x:v>
      </x:c>
      <x:c r="G1014" s="8" t="n">
        <x:v>94</x:v>
      </x:c>
      <x:c r="H1014" s="8" t="s">
        <x:v>58</x:v>
      </x:c>
      <x:c r="I1014" s="8" t="s">
        <x:v>58</x:v>
      </x:c>
      <x:c r="J1014" s="7" t="s">
        <x:v>1919</x:v>
      </x:c>
      <x:c r="K1014" s="8" t="n">
        <x:v>1</x:v>
      </x:c>
      <x:c r="L1014" s="8" t="n">
        <x:f aca="0">IF(AND(ISNUMBER(G1014),P1014&lt;&gt;"Unresolved unit / layout"),G1014*K1014,"Not applicable")</x:f>
        <x:v>94</x:v>
      </x:c>
      <x:c r="M1014" s="8" t="str">
        <x:f aca="0">IF(AND(ISNUMBER(H1014),P1014&lt;&gt;"Unresolved unit / layout"),H1014*K1014,"Not applicable")</x:f>
        <x:v>Not applicable</x:v>
      </x:c>
      <x:c r="N1014" s="8" t="str">
        <x:f aca="0">IF(AND(ISNUMBER(I1014),P1014&lt;&gt;"Unresolved unit / layout"),I1014*K1014,"Not applicable")</x:f>
        <x:v>Not applicable</x:v>
      </x:c>
      <x:c r="O1014" s="7" t="s">
        <x:v>1929</x:v>
      </x:c>
      <x:c r="P1014" s="7" t="s">
        <x:v>1921</x:v>
      </x:c>
      <x:c r="Q1014" s="7" t="s">
        <x:v>1930</x:v>
      </x:c>
      <x:c r="R1014" s="7" t="s">
        <x:v>1931</x:v>
      </x:c>
      <x:c r="S1014" s="7" t="s">
        <x:v>53</x:v>
      </x:c>
      <x:c r="T1014" s="7" t="s">
        <x:v>53</x:v>
      </x:c>
      <x:c r="U1014" s="7" t="s">
        <x:v>53</x:v>
      </x:c>
      <x:c r="V1014" s="7" t="s">
        <x:v>1947</x:v>
      </x:c>
      <x:c r="W1014" s="7" t="s">
        <x:v>58</x:v>
      </x:c>
      <x:c r="X1014" s="7" t="s">
        <x:v>3948</x:v>
      </x:c>
      <x:c r="Y1014" s="7" t="s">
        <x:v>1291</x:v>
      </x:c>
      <x:c r="Z1014" s="7" t="s">
        <x:v>1948</x:v>
      </x:c>
      <x:c r="AA1014" s="7" t="s">
        <x:v>58</x:v>
      </x:c>
      <x:c r="AB1014" s="8" t="s">
        <x:v>58</x:v>
      </x:c>
      <x:c r="AC1014" s="8" t="s">
        <x:v>58</x:v>
      </x:c>
      <x:c r="AD1014" s="8" t="s">
        <x:v>58</x:v>
      </x:c>
      <x:c r="AE1014" s="8" t="s">
        <x:v>58</x:v>
      </x:c>
      <x:c r="AF1014" s="8" t="s">
        <x:v>58</x:v>
      </x:c>
      <x:c r="AG1014" s="7" t="s">
        <x:v>58</x:v>
      </x:c>
    </x:row>
    <x:row r="1015" ht="51.75" hidden="0" customHeight="1">
      <x:c r="A1015" s="7" t="s">
        <x:v>4040</x:v>
      </x:c>
      <x:c r="B1015" s="7" t="s">
        <x:v>639</x:v>
      </x:c>
      <x:c r="C1015" s="7" t="s">
        <x:v>641</x:v>
      </x:c>
      <x:c r="D1015" s="7" t="s">
        <x:v>1950</x:v>
      </x:c>
      <x:c r="E1015" s="7" t="s">
        <x:v>4041</x:v>
      </x:c>
      <x:c r="F1015" s="7" t="s">
        <x:v>1929</x:v>
      </x:c>
      <x:c r="G1015" s="8" t="n">
        <x:v>7550</x:v>
      </x:c>
      <x:c r="H1015" s="8" t="s">
        <x:v>58</x:v>
      </x:c>
      <x:c r="I1015" s="8" t="s">
        <x:v>58</x:v>
      </x:c>
      <x:c r="J1015" s="7" t="s">
        <x:v>1919</x:v>
      </x:c>
      <x:c r="K1015" s="8" t="n">
        <x:v>0.001</x:v>
      </x:c>
      <x:c r="L1015" s="8" t="n">
        <x:f aca="0">IF(AND(ISNUMBER(G1015),P1015&lt;&gt;"Unresolved unit / layout"),G1015*K1015,"Not applicable")</x:f>
        <x:v>7.55</x:v>
      </x:c>
      <x:c r="M1015" s="8" t="str">
        <x:f aca="0">IF(AND(ISNUMBER(H1015),P1015&lt;&gt;"Unresolved unit / layout"),H1015*K1015,"Not applicable")</x:f>
        <x:v>Not applicable</x:v>
      </x:c>
      <x:c r="N1015" s="8" t="str">
        <x:f aca="0">IF(AND(ISNUMBER(I1015),P1015&lt;&gt;"Unresolved unit / layout"),I1015*K1015,"Not applicable")</x:f>
        <x:v>Not applicable</x:v>
      </x:c>
      <x:c r="O1015" s="7" t="s">
        <x:v>1937</x:v>
      </x:c>
      <x:c r="P1015" s="7" t="s">
        <x:v>1921</x:v>
      </x:c>
      <x:c r="Q1015" s="7" t="s">
        <x:v>1930</x:v>
      </x:c>
      <x:c r="R1015" s="7" t="s">
        <x:v>1931</x:v>
      </x:c>
      <x:c r="S1015" s="7" t="s">
        <x:v>53</x:v>
      </x:c>
      <x:c r="T1015" s="7" t="s">
        <x:v>53</x:v>
      </x:c>
      <x:c r="U1015" s="7" t="s">
        <x:v>53</x:v>
      </x:c>
      <x:c r="V1015" s="7" t="s">
        <x:v>1947</x:v>
      </x:c>
      <x:c r="W1015" s="7" t="s">
        <x:v>58</x:v>
      </x:c>
      <x:c r="X1015" s="7" t="s">
        <x:v>3948</x:v>
      </x:c>
      <x:c r="Y1015" s="7" t="s">
        <x:v>1291</x:v>
      </x:c>
      <x:c r="Z1015" s="7" t="s">
        <x:v>1952</x:v>
      </x:c>
      <x:c r="AA1015" s="7" t="s">
        <x:v>58</x:v>
      </x:c>
      <x:c r="AB1015" s="8" t="s">
        <x:v>58</x:v>
      </x:c>
      <x:c r="AC1015" s="8" t="s">
        <x:v>58</x:v>
      </x:c>
      <x:c r="AD1015" s="8" t="s">
        <x:v>58</x:v>
      </x:c>
      <x:c r="AE1015" s="8" t="s">
        <x:v>58</x:v>
      </x:c>
      <x:c r="AF1015" s="8" t="s">
        <x:v>58</x:v>
      </x:c>
      <x:c r="AG1015" s="7" t="s">
        <x:v>58</x:v>
      </x:c>
    </x:row>
    <x:row r="1016" ht="51.75" hidden="0" customHeight="1">
      <x:c r="A1016" s="7" t="s">
        <x:v>4042</x:v>
      </x:c>
      <x:c r="B1016" s="7" t="s">
        <x:v>639</x:v>
      </x:c>
      <x:c r="C1016" s="7" t="s">
        <x:v>641</x:v>
      </x:c>
      <x:c r="D1016" s="7" t="s">
        <x:v>1954</x:v>
      </x:c>
      <x:c r="E1016" s="7" t="s">
        <x:v>3959</x:v>
      </x:c>
      <x:c r="F1016" s="7" t="s">
        <x:v>1956</x:v>
      </x:c>
      <x:c r="G1016" s="8" t="n">
        <x:v>158</x:v>
      </x:c>
      <x:c r="H1016" s="8" t="s">
        <x:v>58</x:v>
      </x:c>
      <x:c r="I1016" s="8" t="s">
        <x:v>58</x:v>
      </x:c>
      <x:c r="J1016" s="7" t="s">
        <x:v>1919</x:v>
      </x:c>
      <x:c r="K1016" s="8" t="n">
        <x:v>1</x:v>
      </x:c>
      <x:c r="L1016" s="8" t="n">
        <x:f aca="0">IF(AND(ISNUMBER(G1016),P1016&lt;&gt;"Unresolved unit / layout"),G1016*K1016,"Not applicable")</x:f>
        <x:v>158</x:v>
      </x:c>
      <x:c r="M1016" s="8" t="str">
        <x:f aca="0">IF(AND(ISNUMBER(H1016),P1016&lt;&gt;"Unresolved unit / layout"),H1016*K1016,"Not applicable")</x:f>
        <x:v>Not applicable</x:v>
      </x:c>
      <x:c r="N1016" s="8" t="str">
        <x:f aca="0">IF(AND(ISNUMBER(I1016),P1016&lt;&gt;"Unresolved unit / layout"),I1016*K1016,"Not applicable")</x:f>
        <x:v>Not applicable</x:v>
      </x:c>
      <x:c r="O1016" s="7" t="s">
        <x:v>1956</x:v>
      </x:c>
      <x:c r="P1016" s="7" t="s">
        <x:v>1921</x:v>
      </x:c>
      <x:c r="Q1016" s="7" t="s">
        <x:v>1930</x:v>
      </x:c>
      <x:c r="R1016" s="7" t="s">
        <x:v>58</x:v>
      </x:c>
      <x:c r="S1016" s="7" t="s">
        <x:v>53</x:v>
      </x:c>
      <x:c r="T1016" s="7" t="s">
        <x:v>53</x:v>
      </x:c>
      <x:c r="U1016" s="7" t="s">
        <x:v>53</x:v>
      </x:c>
      <x:c r="V1016" s="7" t="s">
        <x:v>1957</x:v>
      </x:c>
      <x:c r="W1016" s="7" t="s">
        <x:v>58</x:v>
      </x:c>
      <x:c r="X1016" s="7" t="s">
        <x:v>3948</x:v>
      </x:c>
      <x:c r="Y1016" s="7" t="s">
        <x:v>1291</x:v>
      </x:c>
      <x:c r="Z1016" s="7" t="s">
        <x:v>3215</x:v>
      </x:c>
      <x:c r="AA1016" s="7" t="s">
        <x:v>58</x:v>
      </x:c>
      <x:c r="AB1016" s="8" t="s">
        <x:v>58</x:v>
      </x:c>
      <x:c r="AC1016" s="8" t="s">
        <x:v>58</x:v>
      </x:c>
      <x:c r="AD1016" s="8" t="s">
        <x:v>58</x:v>
      </x:c>
      <x:c r="AE1016" s="8" t="s">
        <x:v>58</x:v>
      </x:c>
      <x:c r="AF1016" s="8" t="s">
        <x:v>58</x:v>
      </x:c>
      <x:c r="AG1016" s="7" t="s">
        <x:v>58</x:v>
      </x:c>
    </x:row>
    <x:row r="1017" ht="51.75" hidden="0" customHeight="1">
      <x:c r="A1017" s="7" t="s">
        <x:v>645</x:v>
      </x:c>
      <x:c r="B1017" s="7" t="s">
        <x:v>639</x:v>
      </x:c>
      <x:c r="C1017" s="7" t="s">
        <x:v>641</x:v>
      </x:c>
      <x:c r="D1017" s="7" t="s">
        <x:v>1959</x:v>
      </x:c>
      <x:c r="E1017" s="7" t="s">
        <x:v>3960</x:v>
      </x:c>
      <x:c r="F1017" s="7" t="s">
        <x:v>1956</x:v>
      </x:c>
      <x:c r="G1017" s="8" t="n">
        <x:v>150</x:v>
      </x:c>
      <x:c r="H1017" s="8" t="s">
        <x:v>58</x:v>
      </x:c>
      <x:c r="I1017" s="8" t="s">
        <x:v>58</x:v>
      </x:c>
      <x:c r="J1017" s="7" t="s">
        <x:v>1919</x:v>
      </x:c>
      <x:c r="K1017" s="8" t="n">
        <x:v>1</x:v>
      </x:c>
      <x:c r="L1017" s="8" t="n">
        <x:f aca="0">IF(AND(ISNUMBER(G1017),P1017&lt;&gt;"Unresolved unit / layout"),G1017*K1017,"Not applicable")</x:f>
        <x:v>150</x:v>
      </x:c>
      <x:c r="M1017" s="8" t="str">
        <x:f aca="0">IF(AND(ISNUMBER(H1017),P1017&lt;&gt;"Unresolved unit / layout"),H1017*K1017,"Not applicable")</x:f>
        <x:v>Not applicable</x:v>
      </x:c>
      <x:c r="N1017" s="8" t="str">
        <x:f aca="0">IF(AND(ISNUMBER(I1017),P1017&lt;&gt;"Unresolved unit / layout"),I1017*K1017,"Not applicable")</x:f>
        <x:v>Not applicable</x:v>
      </x:c>
      <x:c r="O1017" s="7" t="s">
        <x:v>1956</x:v>
      </x:c>
      <x:c r="P1017" s="7" t="s">
        <x:v>1921</x:v>
      </x:c>
      <x:c r="Q1017" s="7" t="s">
        <x:v>1930</x:v>
      </x:c>
      <x:c r="R1017" s="7" t="s">
        <x:v>58</x:v>
      </x:c>
      <x:c r="S1017" s="7" t="s">
        <x:v>53</x:v>
      </x:c>
      <x:c r="T1017" s="7" t="s">
        <x:v>53</x:v>
      </x:c>
      <x:c r="U1017" s="7" t="s">
        <x:v>53</x:v>
      </x:c>
      <x:c r="V1017" s="7" t="s">
        <x:v>1961</x:v>
      </x:c>
      <x:c r="W1017" s="7" t="s">
        <x:v>58</x:v>
      </x:c>
      <x:c r="X1017" s="7" t="s">
        <x:v>3948</x:v>
      </x:c>
      <x:c r="Y1017" s="7" t="s">
        <x:v>1291</x:v>
      </x:c>
      <x:c r="Z1017" s="7" t="s">
        <x:v>1962</x:v>
      </x:c>
      <x:c r="AA1017" s="7" t="s">
        <x:v>58</x:v>
      </x:c>
      <x:c r="AB1017" s="8" t="s">
        <x:v>58</x:v>
      </x:c>
      <x:c r="AC1017" s="8" t="s">
        <x:v>58</x:v>
      </x:c>
      <x:c r="AD1017" s="8" t="s">
        <x:v>58</x:v>
      </x:c>
      <x:c r="AE1017" s="8" t="s">
        <x:v>58</x:v>
      </x:c>
      <x:c r="AF1017" s="8" t="s">
        <x:v>58</x:v>
      </x:c>
      <x:c r="AG1017" s="7" t="s">
        <x:v>58</x:v>
      </x:c>
    </x:row>
    <x:row r="1018" ht="66" hidden="0" customHeight="1">
      <x:c r="A1018" s="7" t="s">
        <x:v>4043</x:v>
      </x:c>
      <x:c r="B1018" s="7" t="s">
        <x:v>656</x:v>
      </x:c>
      <x:c r="C1018" s="7" t="s">
        <x:v>658</x:v>
      </x:c>
      <x:c r="D1018" s="7" t="s">
        <x:v>1916</x:v>
      </x:c>
      <x:c r="E1018" s="7" t="s">
        <x:v>3681</x:v>
      </x:c>
      <x:c r="F1018" s="7" t="s">
        <x:v>1965</x:v>
      </x:c>
      <x:c r="G1018" s="8" t="n">
        <x:v>1.12</x:v>
      </x:c>
      <x:c r="H1018" s="8" t="s">
        <x:v>58</x:v>
      </x:c>
      <x:c r="I1018" s="8" t="s">
        <x:v>58</x:v>
      </x:c>
      <x:c r="J1018" s="7" t="s">
        <x:v>1919</x:v>
      </x:c>
      <x:c r="K1018" s="8" t="n">
        <x:v>1000</x:v>
      </x:c>
      <x:c r="L1018" s="8" t="n">
        <x:f aca="0">IF(AND(ISNUMBER(G1018),P1018&lt;&gt;"Unresolved unit / layout"),G1018*K1018,"Not applicable")</x:f>
        <x:v>1120</x:v>
      </x:c>
      <x:c r="M1018" s="8" t="str">
        <x:f aca="0">IF(AND(ISNUMBER(H1018),P1018&lt;&gt;"Unresolved unit / layout"),H1018*K1018,"Not applicable")</x:f>
        <x:v>Not applicable</x:v>
      </x:c>
      <x:c r="N1018" s="8" t="str">
        <x:f aca="0">IF(AND(ISNUMBER(I1018),P1018&lt;&gt;"Unresolved unit / layout"),I1018*K1018,"Not applicable")</x:f>
        <x:v>Not applicable</x:v>
      </x:c>
      <x:c r="O1018" s="7" t="s">
        <x:v>1920</x:v>
      </x:c>
      <x:c r="P1018" s="7" t="s">
        <x:v>1921</x:v>
      </x:c>
      <x:c r="Q1018" s="7" t="s">
        <x:v>1922</x:v>
      </x:c>
      <x:c r="R1018" s="7" t="s">
        <x:v>58</x:v>
      </x:c>
      <x:c r="S1018" s="7" t="s">
        <x:v>2077</x:v>
      </x:c>
      <x:c r="T1018" s="7" t="s">
        <x:v>3741</x:v>
      </x:c>
      <x:c r="U1018" s="7" t="s">
        <x:v>53</x:v>
      </x:c>
      <x:c r="V1018" s="7" t="s">
        <x:v>1966</x:v>
      </x:c>
      <x:c r="W1018" s="7" t="s">
        <x:v>58</x:v>
      </x:c>
      <x:c r="X1018" s="7" t="s">
        <x:v>3742</x:v>
      </x:c>
      <x:c r="Y1018" s="7" t="s">
        <x:v>1264</x:v>
      </x:c>
      <x:c r="Z1018" s="7" t="s">
        <x:v>1968</x:v>
      </x:c>
      <x:c r="AA1018" s="7" t="s">
        <x:v>58</x:v>
      </x:c>
      <x:c r="AB1018" s="8" t="s">
        <x:v>58</x:v>
      </x:c>
      <x:c r="AC1018" s="8" t="s">
        <x:v>58</x:v>
      </x:c>
      <x:c r="AD1018" s="8" t="s">
        <x:v>58</x:v>
      </x:c>
      <x:c r="AE1018" s="8" t="s">
        <x:v>58</x:v>
      </x:c>
      <x:c r="AF1018" s="8" t="s">
        <x:v>58</x:v>
      </x:c>
      <x:c r="AG1018" s="7" t="s">
        <x:v>58</x:v>
      </x:c>
    </x:row>
    <x:row r="1019" ht="66" hidden="0" customHeight="1">
      <x:c r="A1019" s="7" t="s">
        <x:v>4044</x:v>
      </x:c>
      <x:c r="B1019" s="7" t="s">
        <x:v>656</x:v>
      </x:c>
      <x:c r="C1019" s="7" t="s">
        <x:v>658</x:v>
      </x:c>
      <x:c r="D1019" s="7" t="s">
        <x:v>1954</x:v>
      </x:c>
      <x:c r="E1019" s="7" t="s">
        <x:v>3744</x:v>
      </x:c>
      <x:c r="F1019" s="7" t="s">
        <x:v>1956</x:v>
      </x:c>
      <x:c r="G1019" s="8" t="n">
        <x:v>67</x:v>
      </x:c>
      <x:c r="H1019" s="8" t="s">
        <x:v>58</x:v>
      </x:c>
      <x:c r="I1019" s="8" t="s">
        <x:v>58</x:v>
      </x:c>
      <x:c r="J1019" s="7" t="s">
        <x:v>1919</x:v>
      </x:c>
      <x:c r="K1019" s="8" t="n">
        <x:v>1</x:v>
      </x:c>
      <x:c r="L1019" s="8" t="n">
        <x:f aca="0">IF(AND(ISNUMBER(G1019),P1019&lt;&gt;"Unresolved unit / layout"),G1019*K1019,"Not applicable")</x:f>
        <x:v>67</x:v>
      </x:c>
      <x:c r="M1019" s="8" t="str">
        <x:f aca="0">IF(AND(ISNUMBER(H1019),P1019&lt;&gt;"Unresolved unit / layout"),H1019*K1019,"Not applicable")</x:f>
        <x:v>Not applicable</x:v>
      </x:c>
      <x:c r="N1019" s="8" t="str">
        <x:f aca="0">IF(AND(ISNUMBER(I1019),P1019&lt;&gt;"Unresolved unit / layout"),I1019*K1019,"Not applicable")</x:f>
        <x:v>Not applicable</x:v>
      </x:c>
      <x:c r="O1019" s="7" t="s">
        <x:v>1956</x:v>
      </x:c>
      <x:c r="P1019" s="7" t="s">
        <x:v>1921</x:v>
      </x:c>
      <x:c r="Q1019" s="7" t="s">
        <x:v>1930</x:v>
      </x:c>
      <x:c r="R1019" s="7" t="s">
        <x:v>58</x:v>
      </x:c>
      <x:c r="S1019" s="7" t="s">
        <x:v>2077</x:v>
      </x:c>
      <x:c r="T1019" s="7" t="s">
        <x:v>3741</x:v>
      </x:c>
      <x:c r="U1019" s="7" t="s">
        <x:v>53</x:v>
      </x:c>
      <x:c r="V1019" s="7" t="s">
        <x:v>1971</x:v>
      </x:c>
      <x:c r="W1019" s="7" t="s">
        <x:v>58</x:v>
      </x:c>
      <x:c r="X1019" s="7" t="s">
        <x:v>3742</x:v>
      </x:c>
      <x:c r="Y1019" s="7" t="s">
        <x:v>1264</x:v>
      </x:c>
      <x:c r="Z1019" s="7" t="s">
        <x:v>1972</x:v>
      </x:c>
      <x:c r="AA1019" s="7" t="s">
        <x:v>58</x:v>
      </x:c>
      <x:c r="AB1019" s="8" t="s">
        <x:v>58</x:v>
      </x:c>
      <x:c r="AC1019" s="8" t="s">
        <x:v>58</x:v>
      </x:c>
      <x:c r="AD1019" s="8" t="s">
        <x:v>58</x:v>
      </x:c>
      <x:c r="AE1019" s="8" t="s">
        <x:v>58</x:v>
      </x:c>
      <x:c r="AF1019" s="8" t="s">
        <x:v>58</x:v>
      </x:c>
      <x:c r="AG1019" s="7" t="s">
        <x:v>58</x:v>
      </x:c>
    </x:row>
    <x:row r="1020" ht="66" hidden="0" customHeight="1">
      <x:c r="A1020" s="7" t="s">
        <x:v>4045</x:v>
      </x:c>
      <x:c r="B1020" s="7" t="s">
        <x:v>656</x:v>
      </x:c>
      <x:c r="C1020" s="7" t="s">
        <x:v>658</x:v>
      </x:c>
      <x:c r="D1020" s="7" t="s">
        <x:v>1974</x:v>
      </x:c>
      <x:c r="E1020" s="7" t="s">
        <x:v>3746</x:v>
      </x:c>
      <x:c r="F1020" s="7" t="s">
        <x:v>1956</x:v>
      </x:c>
      <x:c r="G1020" s="8" t="n">
        <x:v>190</x:v>
      </x:c>
      <x:c r="H1020" s="8" t="s">
        <x:v>58</x:v>
      </x:c>
      <x:c r="I1020" s="8" t="s">
        <x:v>58</x:v>
      </x:c>
      <x:c r="J1020" s="7" t="s">
        <x:v>1919</x:v>
      </x:c>
      <x:c r="K1020" s="8" t="n">
        <x:v>1</x:v>
      </x:c>
      <x:c r="L1020" s="8" t="n">
        <x:f aca="0">IF(AND(ISNUMBER(G1020),P1020&lt;&gt;"Unresolved unit / layout"),G1020*K1020,"Not applicable")</x:f>
        <x:v>190</x:v>
      </x:c>
      <x:c r="M1020" s="8" t="str">
        <x:f aca="0">IF(AND(ISNUMBER(H1020),P1020&lt;&gt;"Unresolved unit / layout"),H1020*K1020,"Not applicable")</x:f>
        <x:v>Not applicable</x:v>
      </x:c>
      <x:c r="N1020" s="8" t="str">
        <x:f aca="0">IF(AND(ISNUMBER(I1020),P1020&lt;&gt;"Unresolved unit / layout"),I1020*K1020,"Not applicable")</x:f>
        <x:v>Not applicable</x:v>
      </x:c>
      <x:c r="O1020" s="7" t="s">
        <x:v>1956</x:v>
      </x:c>
      <x:c r="P1020" s="7" t="s">
        <x:v>1921</x:v>
      </x:c>
      <x:c r="Q1020" s="7" t="s">
        <x:v>1930</x:v>
      </x:c>
      <x:c r="R1020" s="7" t="s">
        <x:v>58</x:v>
      </x:c>
      <x:c r="S1020" s="7" t="s">
        <x:v>2077</x:v>
      </x:c>
      <x:c r="T1020" s="7" t="s">
        <x:v>3741</x:v>
      </x:c>
      <x:c r="U1020" s="7" t="s">
        <x:v>53</x:v>
      </x:c>
      <x:c r="V1020" s="7" t="s">
        <x:v>1971</x:v>
      </x:c>
      <x:c r="W1020" s="7" t="s">
        <x:v>58</x:v>
      </x:c>
      <x:c r="X1020" s="7" t="s">
        <x:v>3742</x:v>
      </x:c>
      <x:c r="Y1020" s="7" t="s">
        <x:v>1264</x:v>
      </x:c>
      <x:c r="Z1020" s="7" t="s">
        <x:v>1976</x:v>
      </x:c>
      <x:c r="AA1020" s="7" t="s">
        <x:v>58</x:v>
      </x:c>
      <x:c r="AB1020" s="8" t="s">
        <x:v>58</x:v>
      </x:c>
      <x:c r="AC1020" s="8" t="s">
        <x:v>58</x:v>
      </x:c>
      <x:c r="AD1020" s="8" t="s">
        <x:v>58</x:v>
      </x:c>
      <x:c r="AE1020" s="8" t="s">
        <x:v>58</x:v>
      </x:c>
      <x:c r="AF1020" s="8" t="s">
        <x:v>58</x:v>
      </x:c>
      <x:c r="AG1020" s="7" t="s">
        <x:v>58</x:v>
      </x:c>
    </x:row>
    <x:row r="1021" ht="66" hidden="0" customHeight="1">
      <x:c r="A1021" s="7" t="s">
        <x:v>4046</x:v>
      </x:c>
      <x:c r="B1021" s="7" t="s">
        <x:v>656</x:v>
      </x:c>
      <x:c r="C1021" s="7" t="s">
        <x:v>658</x:v>
      </x:c>
      <x:c r="D1021" s="7" t="s">
        <x:v>1978</x:v>
      </x:c>
      <x:c r="E1021" s="7" t="s">
        <x:v>3748</x:v>
      </x:c>
      <x:c r="F1021" s="7" t="s">
        <x:v>1956</x:v>
      </x:c>
      <x:c r="G1021" s="8" t="n">
        <x:v>128</x:v>
      </x:c>
      <x:c r="H1021" s="8" t="s">
        <x:v>58</x:v>
      </x:c>
      <x:c r="I1021" s="8" t="s">
        <x:v>58</x:v>
      </x:c>
      <x:c r="J1021" s="7" t="s">
        <x:v>1919</x:v>
      </x:c>
      <x:c r="K1021" s="8" t="n">
        <x:v>1</x:v>
      </x:c>
      <x:c r="L1021" s="8" t="n">
        <x:f aca="0">IF(AND(ISNUMBER(G1021),P1021&lt;&gt;"Unresolved unit / layout"),G1021*K1021,"Not applicable")</x:f>
        <x:v>128</x:v>
      </x:c>
      <x:c r="M1021" s="8" t="str">
        <x:f aca="0">IF(AND(ISNUMBER(H1021),P1021&lt;&gt;"Unresolved unit / layout"),H1021*K1021,"Not applicable")</x:f>
        <x:v>Not applicable</x:v>
      </x:c>
      <x:c r="N1021" s="8" t="str">
        <x:f aca="0">IF(AND(ISNUMBER(I1021),P1021&lt;&gt;"Unresolved unit / layout"),I1021*K1021,"Not applicable")</x:f>
        <x:v>Not applicable</x:v>
      </x:c>
      <x:c r="O1021" s="7" t="s">
        <x:v>1956</x:v>
      </x:c>
      <x:c r="P1021" s="7" t="s">
        <x:v>1921</x:v>
      </x:c>
      <x:c r="Q1021" s="7" t="s">
        <x:v>1930</x:v>
      </x:c>
      <x:c r="R1021" s="7" t="s">
        <x:v>58</x:v>
      </x:c>
      <x:c r="S1021" s="7" t="s">
        <x:v>2077</x:v>
      </x:c>
      <x:c r="T1021" s="7" t="s">
        <x:v>3741</x:v>
      </x:c>
      <x:c r="U1021" s="7" t="s">
        <x:v>53</x:v>
      </x:c>
      <x:c r="V1021" s="7" t="s">
        <x:v>1971</x:v>
      </x:c>
      <x:c r="W1021" s="7" t="s">
        <x:v>58</x:v>
      </x:c>
      <x:c r="X1021" s="7" t="s">
        <x:v>3742</x:v>
      </x:c>
      <x:c r="Y1021" s="7" t="s">
        <x:v>1264</x:v>
      </x:c>
      <x:c r="Z1021" s="7" t="s">
        <x:v>1980</x:v>
      </x:c>
      <x:c r="AA1021" s="7" t="s">
        <x:v>58</x:v>
      </x:c>
      <x:c r="AB1021" s="8" t="s">
        <x:v>58</x:v>
      </x:c>
      <x:c r="AC1021" s="8" t="s">
        <x:v>58</x:v>
      </x:c>
      <x:c r="AD1021" s="8" t="s">
        <x:v>58</x:v>
      </x:c>
      <x:c r="AE1021" s="8" t="s">
        <x:v>58</x:v>
      </x:c>
      <x:c r="AF1021" s="8" t="s">
        <x:v>58</x:v>
      </x:c>
      <x:c r="AG1021" s="7" t="s">
        <x:v>58</x:v>
      </x:c>
    </x:row>
    <x:row r="1022" ht="66" hidden="0" customHeight="1">
      <x:c r="A1022" s="7" t="s">
        <x:v>4047</x:v>
      </x:c>
      <x:c r="B1022" s="7" t="s">
        <x:v>656</x:v>
      </x:c>
      <x:c r="C1022" s="7" t="s">
        <x:v>658</x:v>
      </x:c>
      <x:c r="D1022" s="7" t="s">
        <x:v>1982</x:v>
      </x:c>
      <x:c r="E1022" s="7" t="s">
        <x:v>3632</x:v>
      </x:c>
      <x:c r="F1022" s="7" t="s">
        <x:v>1956</x:v>
      </x:c>
      <x:c r="G1022" s="8" t="n">
        <x:v>180</x:v>
      </x:c>
      <x:c r="H1022" s="8" t="s">
        <x:v>58</x:v>
      </x:c>
      <x:c r="I1022" s="8" t="s">
        <x:v>58</x:v>
      </x:c>
      <x:c r="J1022" s="7" t="s">
        <x:v>1919</x:v>
      </x:c>
      <x:c r="K1022" s="8" t="n">
        <x:v>1</x:v>
      </x:c>
      <x:c r="L1022" s="8" t="n">
        <x:f aca="0">IF(AND(ISNUMBER(G1022),P1022&lt;&gt;"Unresolved unit / layout"),G1022*K1022,"Not applicable")</x:f>
        <x:v>180</x:v>
      </x:c>
      <x:c r="M1022" s="8" t="str">
        <x:f aca="0">IF(AND(ISNUMBER(H1022),P1022&lt;&gt;"Unresolved unit / layout"),H1022*K1022,"Not applicable")</x:f>
        <x:v>Not applicable</x:v>
      </x:c>
      <x:c r="N1022" s="8" t="str">
        <x:f aca="0">IF(AND(ISNUMBER(I1022),P1022&lt;&gt;"Unresolved unit / layout"),I1022*K1022,"Not applicable")</x:f>
        <x:v>Not applicable</x:v>
      </x:c>
      <x:c r="O1022" s="7" t="s">
        <x:v>1956</x:v>
      </x:c>
      <x:c r="P1022" s="7" t="s">
        <x:v>1921</x:v>
      </x:c>
      <x:c r="Q1022" s="7" t="s">
        <x:v>1930</x:v>
      </x:c>
      <x:c r="R1022" s="7" t="s">
        <x:v>58</x:v>
      </x:c>
      <x:c r="S1022" s="7" t="s">
        <x:v>2077</x:v>
      </x:c>
      <x:c r="T1022" s="7" t="s">
        <x:v>3741</x:v>
      </x:c>
      <x:c r="U1022" s="7" t="s">
        <x:v>53</x:v>
      </x:c>
      <x:c r="V1022" s="7" t="s">
        <x:v>2776</x:v>
      </x:c>
      <x:c r="W1022" s="7" t="s">
        <x:v>58</x:v>
      </x:c>
      <x:c r="X1022" s="7" t="s">
        <x:v>3742</x:v>
      </x:c>
      <x:c r="Y1022" s="7" t="s">
        <x:v>1264</x:v>
      </x:c>
      <x:c r="Z1022" s="7" t="s">
        <x:v>1985</x:v>
      </x:c>
      <x:c r="AA1022" s="7" t="s">
        <x:v>58</x:v>
      </x:c>
      <x:c r="AB1022" s="8" t="s">
        <x:v>58</x:v>
      </x:c>
      <x:c r="AC1022" s="8" t="s">
        <x:v>58</x:v>
      </x:c>
      <x:c r="AD1022" s="8" t="s">
        <x:v>58</x:v>
      </x:c>
      <x:c r="AE1022" s="8" t="s">
        <x:v>58</x:v>
      </x:c>
      <x:c r="AF1022" s="8" t="s">
        <x:v>58</x:v>
      </x:c>
      <x:c r="AG1022" s="7" t="s">
        <x:v>58</x:v>
      </x:c>
    </x:row>
    <x:row r="1023" ht="66" hidden="0" customHeight="1">
      <x:c r="A1023" s="7" t="s">
        <x:v>4048</x:v>
      </x:c>
      <x:c r="B1023" s="7" t="s">
        <x:v>656</x:v>
      </x:c>
      <x:c r="C1023" s="7" t="s">
        <x:v>658</x:v>
      </x:c>
      <x:c r="D1023" s="7" t="s">
        <x:v>1959</x:v>
      </x:c>
      <x:c r="E1023" s="7" t="s">
        <x:v>3751</x:v>
      </x:c>
      <x:c r="F1023" s="7" t="s">
        <x:v>1956</x:v>
      </x:c>
      <x:c r="G1023" s="8" t="n">
        <x:v>69.8</x:v>
      </x:c>
      <x:c r="H1023" s="8" t="s">
        <x:v>58</x:v>
      </x:c>
      <x:c r="I1023" s="8" t="s">
        <x:v>58</x:v>
      </x:c>
      <x:c r="J1023" s="7" t="s">
        <x:v>1919</x:v>
      </x:c>
      <x:c r="K1023" s="8" t="n">
        <x:v>1</x:v>
      </x:c>
      <x:c r="L1023" s="8" t="n">
        <x:f aca="0">IF(AND(ISNUMBER(G1023),P1023&lt;&gt;"Unresolved unit / layout"),G1023*K1023,"Not applicable")</x:f>
        <x:v>69.8</x:v>
      </x:c>
      <x:c r="M1023" s="8" t="str">
        <x:f aca="0">IF(AND(ISNUMBER(H1023),P1023&lt;&gt;"Unresolved unit / layout"),H1023*K1023,"Not applicable")</x:f>
        <x:v>Not applicable</x:v>
      </x:c>
      <x:c r="N1023" s="8" t="str">
        <x:f aca="0">IF(AND(ISNUMBER(I1023),P1023&lt;&gt;"Unresolved unit / layout"),I1023*K1023,"Not applicable")</x:f>
        <x:v>Not applicable</x:v>
      </x:c>
      <x:c r="O1023" s="7" t="s">
        <x:v>1956</x:v>
      </x:c>
      <x:c r="P1023" s="7" t="s">
        <x:v>1921</x:v>
      </x:c>
      <x:c r="Q1023" s="7" t="s">
        <x:v>1930</x:v>
      </x:c>
      <x:c r="R1023" s="7" t="s">
        <x:v>58</x:v>
      </x:c>
      <x:c r="S1023" s="7" t="s">
        <x:v>2077</x:v>
      </x:c>
      <x:c r="T1023" s="7" t="s">
        <x:v>3741</x:v>
      </x:c>
      <x:c r="U1023" s="7" t="s">
        <x:v>53</x:v>
      </x:c>
      <x:c r="V1023" s="7" t="s">
        <x:v>1988</x:v>
      </x:c>
      <x:c r="W1023" s="7" t="s">
        <x:v>58</x:v>
      </x:c>
      <x:c r="X1023" s="7" t="s">
        <x:v>3742</x:v>
      </x:c>
      <x:c r="Y1023" s="7" t="s">
        <x:v>1264</x:v>
      </x:c>
      <x:c r="Z1023" s="7" t="s">
        <x:v>1989</x:v>
      </x:c>
      <x:c r="AA1023" s="7" t="s">
        <x:v>58</x:v>
      </x:c>
      <x:c r="AB1023" s="8" t="s">
        <x:v>58</x:v>
      </x:c>
      <x:c r="AC1023" s="8" t="s">
        <x:v>58</x:v>
      </x:c>
      <x:c r="AD1023" s="8" t="s">
        <x:v>58</x:v>
      </x:c>
      <x:c r="AE1023" s="8" t="s">
        <x:v>58</x:v>
      </x:c>
      <x:c r="AF1023" s="8" t="s">
        <x:v>58</x:v>
      </x:c>
      <x:c r="AG1023" s="7" t="s">
        <x:v>58</x:v>
      </x:c>
    </x:row>
    <x:row r="1024" ht="66" hidden="0" customHeight="1">
      <x:c r="A1024" s="7" t="s">
        <x:v>661</x:v>
      </x:c>
      <x:c r="B1024" s="7" t="s">
        <x:v>656</x:v>
      </x:c>
      <x:c r="C1024" s="7" t="s">
        <x:v>658</x:v>
      </x:c>
      <x:c r="D1024" s="7" t="s">
        <x:v>1959</x:v>
      </x:c>
      <x:c r="E1024" s="7" t="s">
        <x:v>3752</x:v>
      </x:c>
      <x:c r="F1024" s="7" t="s">
        <x:v>1956</x:v>
      </x:c>
      <x:c r="G1024" s="8" t="n">
        <x:v>110.5</x:v>
      </x:c>
      <x:c r="H1024" s="8" t="s">
        <x:v>58</x:v>
      </x:c>
      <x:c r="I1024" s="8" t="s">
        <x:v>58</x:v>
      </x:c>
      <x:c r="J1024" s="7" t="s">
        <x:v>1919</x:v>
      </x:c>
      <x:c r="K1024" s="8" t="n">
        <x:v>1</x:v>
      </x:c>
      <x:c r="L1024" s="8" t="n">
        <x:f aca="0">IF(AND(ISNUMBER(G1024),P1024&lt;&gt;"Unresolved unit / layout"),G1024*K1024,"Not applicable")</x:f>
        <x:v>110.5</x:v>
      </x:c>
      <x:c r="M1024" s="8" t="str">
        <x:f aca="0">IF(AND(ISNUMBER(H1024),P1024&lt;&gt;"Unresolved unit / layout"),H1024*K1024,"Not applicable")</x:f>
        <x:v>Not applicable</x:v>
      </x:c>
      <x:c r="N1024" s="8" t="str">
        <x:f aca="0">IF(AND(ISNUMBER(I1024),P1024&lt;&gt;"Unresolved unit / layout"),I1024*K1024,"Not applicable")</x:f>
        <x:v>Not applicable</x:v>
      </x:c>
      <x:c r="O1024" s="7" t="s">
        <x:v>1956</x:v>
      </x:c>
      <x:c r="P1024" s="7" t="s">
        <x:v>1921</x:v>
      </x:c>
      <x:c r="Q1024" s="7" t="s">
        <x:v>1930</x:v>
      </x:c>
      <x:c r="R1024" s="7" t="s">
        <x:v>58</x:v>
      </x:c>
      <x:c r="S1024" s="7" t="s">
        <x:v>2077</x:v>
      </x:c>
      <x:c r="T1024" s="7" t="s">
        <x:v>3741</x:v>
      </x:c>
      <x:c r="U1024" s="7" t="s">
        <x:v>53</x:v>
      </x:c>
      <x:c r="V1024" s="7" t="s">
        <x:v>1992</x:v>
      </x:c>
      <x:c r="W1024" s="7" t="s">
        <x:v>58</x:v>
      </x:c>
      <x:c r="X1024" s="7" t="s">
        <x:v>3742</x:v>
      </x:c>
      <x:c r="Y1024" s="7" t="s">
        <x:v>1264</x:v>
      </x:c>
      <x:c r="Z1024" s="7" t="s">
        <x:v>1989</x:v>
      </x:c>
      <x:c r="AA1024" s="7" t="s">
        <x:v>58</x:v>
      </x:c>
      <x:c r="AB1024" s="8" t="s">
        <x:v>58</x:v>
      </x:c>
      <x:c r="AC1024" s="8" t="s">
        <x:v>58</x:v>
      </x:c>
      <x:c r="AD1024" s="8" t="s">
        <x:v>58</x:v>
      </x:c>
      <x:c r="AE1024" s="8" t="s">
        <x:v>58</x:v>
      </x:c>
      <x:c r="AF1024" s="8" t="s">
        <x:v>58</x:v>
      </x:c>
      <x:c r="AG1024" s="7" t="s">
        <x:v>58</x:v>
      </x:c>
    </x:row>
    <x:row r="1025" ht="66" hidden="0" customHeight="1">
      <x:c r="A1025" s="7" t="s">
        <x:v>4049</x:v>
      </x:c>
      <x:c r="B1025" s="7" t="s">
        <x:v>656</x:v>
      </x:c>
      <x:c r="C1025" s="7" t="s">
        <x:v>658</x:v>
      </x:c>
      <x:c r="D1025" s="7" t="s">
        <x:v>1994</x:v>
      </x:c>
      <x:c r="E1025" s="7" t="s">
        <x:v>1995</x:v>
      </x:c>
      <x:c r="F1025" s="7" t="s">
        <x:v>53</x:v>
      </x:c>
      <x:c r="G1025" s="8" t="s">
        <x:v>53</x:v>
      </x:c>
      <x:c r="H1025" s="8" t="s">
        <x:v>58</x:v>
      </x:c>
      <x:c r="I1025" s="8" t="s">
        <x:v>58</x:v>
      </x:c>
      <x:c r="J1025" s="7" t="s">
        <x:v>58</x:v>
      </x:c>
      <x:c r="K1025" s="8" t="n">
        <x:v>1</x:v>
      </x:c>
      <x:c r="L1025" s="8" t="str">
        <x:f aca="0">IF(AND(ISNUMBER(G1025),P1025&lt;&gt;"Unresolved unit / layout"),G1025*K1025,"Not published")</x:f>
        <x:v>Not published</x:v>
      </x:c>
      <x:c r="M1025" s="8" t="str">
        <x:f aca="0">IF(AND(ISNUMBER(H1025),P1025&lt;&gt;"Unresolved unit / layout"),H1025*K1025,"Not applicable")</x:f>
        <x:v>Not applicable</x:v>
      </x:c>
      <x:c r="N1025" s="8" t="str">
        <x:f aca="0">IF(AND(ISNUMBER(I1025),P1025&lt;&gt;"Unresolved unit / layout"),I1025*K1025,"Not applicable")</x:f>
        <x:v>Not applicable</x:v>
      </x:c>
      <x:c r="O1025" s="7" t="s">
        <x:v>53</x:v>
      </x:c>
      <x:c r="P1025" s="7" t="s">
        <x:v>53</x:v>
      </x:c>
      <x:c r="Q1025" s="7" t="s">
        <x:v>1930</x:v>
      </x:c>
      <x:c r="R1025" s="7" t="s">
        <x:v>53</x:v>
      </x:c>
      <x:c r="S1025" s="7" t="s">
        <x:v>2077</x:v>
      </x:c>
      <x:c r="T1025" s="7" t="s">
        <x:v>3741</x:v>
      </x:c>
      <x:c r="U1025" s="7" t="s">
        <x:v>53</x:v>
      </x:c>
      <x:c r="V1025" s="7" t="s">
        <x:v>1995</x:v>
      </x:c>
      <x:c r="W1025" s="7" t="s">
        <x:v>58</x:v>
      </x:c>
      <x:c r="X1025" s="7" t="s">
        <x:v>3742</x:v>
      </x:c>
      <x:c r="Y1025" s="7" t="s">
        <x:v>1264</x:v>
      </x:c>
      <x:c r="Z1025" s="7" t="s">
        <x:v>1996</x:v>
      </x:c>
      <x:c r="AA1025" s="7" t="s">
        <x:v>58</x:v>
      </x:c>
      <x:c r="AB1025" s="8" t="s">
        <x:v>58</x:v>
      </x:c>
      <x:c r="AC1025" s="8" t="s">
        <x:v>58</x:v>
      </x:c>
      <x:c r="AD1025" s="8" t="s">
        <x:v>58</x:v>
      </x:c>
      <x:c r="AE1025" s="8" t="s">
        <x:v>58</x:v>
      </x:c>
      <x:c r="AF1025" s="8" t="s">
        <x:v>58</x:v>
      </x:c>
      <x:c r="AG1025" s="7" t="s">
        <x:v>58</x:v>
      </x:c>
    </x:row>
    <x:row r="1026" ht="66" hidden="0" customHeight="1">
      <x:c r="A1026" s="7" t="s">
        <x:v>4050</x:v>
      </x:c>
      <x:c r="B1026" s="7" t="s">
        <x:v>656</x:v>
      </x:c>
      <x:c r="C1026" s="7" t="s">
        <x:v>658</x:v>
      </x:c>
      <x:c r="D1026" s="7" t="s">
        <x:v>1935</x:v>
      </x:c>
      <x:c r="E1026" s="7" t="s">
        <x:v>3755</x:v>
      </x:c>
      <x:c r="F1026" s="7" t="s">
        <x:v>1929</x:v>
      </x:c>
      <x:c r="G1026" s="8" t="n">
        <x:v>2223</x:v>
      </x:c>
      <x:c r="H1026" s="8" t="n">
        <x:v>199</x:v>
      </x:c>
      <x:c r="I1026" s="8" t="s">
        <x:v>58</x:v>
      </x:c>
      <x:c r="J1026" s="7" t="s">
        <x:v>1919</x:v>
      </x:c>
      <x:c r="K1026" s="8" t="n">
        <x:v>0.001</x:v>
      </x:c>
      <x:c r="L1026" s="8" t="n">
        <x:f aca="0">IF(AND(ISNUMBER(G1026),P1026&lt;&gt;"Unresolved unit / layout"),G1026*K1026,"Not applicable")</x:f>
        <x:v>2.223</x:v>
      </x:c>
      <x:c r="M1026" s="8" t="n">
        <x:f aca="0">IF(AND(ISNUMBER(H1026),P1026&lt;&gt;"Unresolved unit / layout"),H1026*K1026,"Not applicable")</x:f>
        <x:v>0.199</x:v>
      </x:c>
      <x:c r="N1026" s="8" t="str">
        <x:f aca="0">IF(AND(ISNUMBER(I1026),P1026&lt;&gt;"Unresolved unit / layout"),I1026*K1026,"Not applicable")</x:f>
        <x:v>Not applicable</x:v>
      </x:c>
      <x:c r="O1026" s="7" t="s">
        <x:v>1937</x:v>
      </x:c>
      <x:c r="P1026" s="7" t="s">
        <x:v>1921</x:v>
      </x:c>
      <x:c r="Q1026" s="7" t="s">
        <x:v>1930</x:v>
      </x:c>
      <x:c r="R1026" s="7" t="s">
        <x:v>1931</x:v>
      </x:c>
      <x:c r="S1026" s="7" t="s">
        <x:v>3756</x:v>
      </x:c>
      <x:c r="T1026" s="7" t="s">
        <x:v>3741</x:v>
      </x:c>
      <x:c r="U1026" s="7" t="s">
        <x:v>53</x:v>
      </x:c>
      <x:c r="V1026" s="7" t="s">
        <x:v>1999</x:v>
      </x:c>
      <x:c r="W1026" s="7" t="s">
        <x:v>58</x:v>
      </x:c>
      <x:c r="X1026" s="7" t="s">
        <x:v>3742</x:v>
      </x:c>
      <x:c r="Y1026" s="7" t="s">
        <x:v>1264</x:v>
      </x:c>
      <x:c r="Z1026" s="7" t="s">
        <x:v>2784</x:v>
      </x:c>
      <x:c r="AA1026" s="7" t="s">
        <x:v>58</x:v>
      </x:c>
      <x:c r="AB1026" s="8" t="s">
        <x:v>58</x:v>
      </x:c>
      <x:c r="AC1026" s="8" t="s">
        <x:v>58</x:v>
      </x:c>
      <x:c r="AD1026" s="8" t="s">
        <x:v>58</x:v>
      </x:c>
      <x:c r="AE1026" s="8" t="s">
        <x:v>58</x:v>
      </x:c>
      <x:c r="AF1026" s="8" t="s">
        <x:v>58</x:v>
      </x:c>
      <x:c r="AG1026" s="7" t="s">
        <x:v>58</x:v>
      </x:c>
    </x:row>
    <x:row r="1027" ht="66" hidden="0" customHeight="1">
      <x:c r="A1027" s="7" t="s">
        <x:v>4051</x:v>
      </x:c>
      <x:c r="B1027" s="7" t="s">
        <x:v>656</x:v>
      </x:c>
      <x:c r="C1027" s="7" t="s">
        <x:v>658</x:v>
      </x:c>
      <x:c r="D1027" s="7" t="s">
        <x:v>1935</x:v>
      </x:c>
      <x:c r="E1027" s="7" t="s">
        <x:v>3758</x:v>
      </x:c>
      <x:c r="F1027" s="7" t="s">
        <x:v>1929</x:v>
      </x:c>
      <x:c r="G1027" s="8" t="n">
        <x:v>2564</x:v>
      </x:c>
      <x:c r="H1027" s="8" t="n">
        <x:v>97</x:v>
      </x:c>
      <x:c r="I1027" s="8" t="s">
        <x:v>58</x:v>
      </x:c>
      <x:c r="J1027" s="7" t="s">
        <x:v>1919</x:v>
      </x:c>
      <x:c r="K1027" s="8" t="n">
        <x:v>0.001</x:v>
      </x:c>
      <x:c r="L1027" s="8" t="n">
        <x:f aca="0">IF(AND(ISNUMBER(G1027),P1027&lt;&gt;"Unresolved unit / layout"),G1027*K1027,"Not applicable")</x:f>
        <x:v>2.564</x:v>
      </x:c>
      <x:c r="M1027" s="8" t="n">
        <x:f aca="0">IF(AND(ISNUMBER(H1027),P1027&lt;&gt;"Unresolved unit / layout"),H1027*K1027,"Not applicable")</x:f>
        <x:v>0.097</x:v>
      </x:c>
      <x:c r="N1027" s="8" t="str">
        <x:f aca="0">IF(AND(ISNUMBER(I1027),P1027&lt;&gt;"Unresolved unit / layout"),I1027*K1027,"Not applicable")</x:f>
        <x:v>Not applicable</x:v>
      </x:c>
      <x:c r="O1027" s="7" t="s">
        <x:v>1937</x:v>
      </x:c>
      <x:c r="P1027" s="7" t="s">
        <x:v>1921</x:v>
      </x:c>
      <x:c r="Q1027" s="7" t="s">
        <x:v>1930</x:v>
      </x:c>
      <x:c r="R1027" s="7" t="s">
        <x:v>2003</x:v>
      </x:c>
      <x:c r="S1027" s="7" t="s">
        <x:v>3756</x:v>
      </x:c>
      <x:c r="T1027" s="7" t="s">
        <x:v>3741</x:v>
      </x:c>
      <x:c r="U1027" s="7" t="s">
        <x:v>53</x:v>
      </x:c>
      <x:c r="V1027" s="7" t="s">
        <x:v>1999</x:v>
      </x:c>
      <x:c r="W1027" s="7" t="s">
        <x:v>58</x:v>
      </x:c>
      <x:c r="X1027" s="7" t="s">
        <x:v>3742</x:v>
      </x:c>
      <x:c r="Y1027" s="7" t="s">
        <x:v>1264</x:v>
      </x:c>
      <x:c r="Z1027" s="7" t="s">
        <x:v>2787</x:v>
      </x:c>
      <x:c r="AA1027" s="7" t="s">
        <x:v>58</x:v>
      </x:c>
      <x:c r="AB1027" s="8" t="s">
        <x:v>58</x:v>
      </x:c>
      <x:c r="AC1027" s="8" t="s">
        <x:v>58</x:v>
      </x:c>
      <x:c r="AD1027" s="8" t="s">
        <x:v>58</x:v>
      </x:c>
      <x:c r="AE1027" s="8" t="s">
        <x:v>58</x:v>
      </x:c>
      <x:c r="AF1027" s="8" t="s">
        <x:v>58</x:v>
      </x:c>
      <x:c r="AG1027" s="7" t="s">
        <x:v>58</x:v>
      </x:c>
    </x:row>
    <x:row r="1028" ht="66" hidden="0" customHeight="1">
      <x:c r="A1028" s="7" t="s">
        <x:v>4052</x:v>
      </x:c>
      <x:c r="B1028" s="7" t="s">
        <x:v>656</x:v>
      </x:c>
      <x:c r="C1028" s="7" t="s">
        <x:v>658</x:v>
      </x:c>
      <x:c r="D1028" s="7" t="s">
        <x:v>2006</x:v>
      </x:c>
      <x:c r="E1028" s="7" t="s">
        <x:v>3760</x:v>
      </x:c>
      <x:c r="F1028" s="7" t="s">
        <x:v>1929</x:v>
      </x:c>
      <x:c r="G1028" s="8" t="n">
        <x:v>66.2</x:v>
      </x:c>
      <x:c r="H1028" s="8" t="n">
        <x:v>0.9</x:v>
      </x:c>
      <x:c r="I1028" s="8" t="s">
        <x:v>58</x:v>
      </x:c>
      <x:c r="J1028" s="7" t="s">
        <x:v>1919</x:v>
      </x:c>
      <x:c r="K1028" s="8" t="n">
        <x:v>1</x:v>
      </x:c>
      <x:c r="L1028" s="8" t="n">
        <x:f aca="0">IF(AND(ISNUMBER(G1028),P1028&lt;&gt;"Unresolved unit / layout"),G1028*K1028,"Not applicable")</x:f>
        <x:v>66.2</x:v>
      </x:c>
      <x:c r="M1028" s="8" t="n">
        <x:f aca="0">IF(AND(ISNUMBER(H1028),P1028&lt;&gt;"Unresolved unit / layout"),H1028*K1028,"Not applicable")</x:f>
        <x:v>0.9</x:v>
      </x:c>
      <x:c r="N1028" s="8" t="str">
        <x:f aca="0">IF(AND(ISNUMBER(I1028),P1028&lt;&gt;"Unresolved unit / layout"),I1028*K1028,"Not applicable")</x:f>
        <x:v>Not applicable</x:v>
      </x:c>
      <x:c r="O1028" s="7" t="s">
        <x:v>1929</x:v>
      </x:c>
      <x:c r="P1028" s="7" t="s">
        <x:v>1921</x:v>
      </x:c>
      <x:c r="Q1028" s="7" t="s">
        <x:v>1930</x:v>
      </x:c>
      <x:c r="R1028" s="7" t="s">
        <x:v>1931</x:v>
      </x:c>
      <x:c r="S1028" s="7" t="s">
        <x:v>3756</x:v>
      </x:c>
      <x:c r="T1028" s="7" t="s">
        <x:v>3741</x:v>
      </x:c>
      <x:c r="U1028" s="7" t="s">
        <x:v>53</x:v>
      </x:c>
      <x:c r="V1028" s="7" t="s">
        <x:v>1999</x:v>
      </x:c>
      <x:c r="W1028" s="7" t="s">
        <x:v>58</x:v>
      </x:c>
      <x:c r="X1028" s="7" t="s">
        <x:v>3742</x:v>
      </x:c>
      <x:c r="Y1028" s="7" t="s">
        <x:v>1264</x:v>
      </x:c>
      <x:c r="Z1028" s="7" t="s">
        <x:v>2684</x:v>
      </x:c>
      <x:c r="AA1028" s="7" t="s">
        <x:v>58</x:v>
      </x:c>
      <x:c r="AB1028" s="8" t="s">
        <x:v>58</x:v>
      </x:c>
      <x:c r="AC1028" s="8" t="s">
        <x:v>58</x:v>
      </x:c>
      <x:c r="AD1028" s="8" t="s">
        <x:v>58</x:v>
      </x:c>
      <x:c r="AE1028" s="8" t="s">
        <x:v>58</x:v>
      </x:c>
      <x:c r="AF1028" s="8" t="s">
        <x:v>58</x:v>
      </x:c>
      <x:c r="AG1028" s="7" t="s">
        <x:v>58</x:v>
      </x:c>
    </x:row>
    <x:row r="1029" ht="66" hidden="0" customHeight="1">
      <x:c r="A1029" s="7" t="s">
        <x:v>4053</x:v>
      </x:c>
      <x:c r="B1029" s="7" t="s">
        <x:v>656</x:v>
      </x:c>
      <x:c r="C1029" s="7" t="s">
        <x:v>658</x:v>
      </x:c>
      <x:c r="D1029" s="7" t="s">
        <x:v>2006</x:v>
      </x:c>
      <x:c r="E1029" s="7" t="s">
        <x:v>3762</x:v>
      </x:c>
      <x:c r="F1029" s="7" t="s">
        <x:v>1929</x:v>
      </x:c>
      <x:c r="G1029" s="8" t="n">
        <x:v>43.3</x:v>
      </x:c>
      <x:c r="H1029" s="8" t="n">
        <x:v>9.1</x:v>
      </x:c>
      <x:c r="I1029" s="8" t="s">
        <x:v>58</x:v>
      </x:c>
      <x:c r="J1029" s="7" t="s">
        <x:v>1919</x:v>
      </x:c>
      <x:c r="K1029" s="8" t="n">
        <x:v>1</x:v>
      </x:c>
      <x:c r="L1029" s="8" t="n">
        <x:f aca="0">IF(AND(ISNUMBER(G1029),P1029&lt;&gt;"Unresolved unit / layout"),G1029*K1029,"Not applicable")</x:f>
        <x:v>43.3</x:v>
      </x:c>
      <x:c r="M1029" s="8" t="n">
        <x:f aca="0">IF(AND(ISNUMBER(H1029),P1029&lt;&gt;"Unresolved unit / layout"),H1029*K1029,"Not applicable")</x:f>
        <x:v>9.1</x:v>
      </x:c>
      <x:c r="N1029" s="8" t="str">
        <x:f aca="0">IF(AND(ISNUMBER(I1029),P1029&lt;&gt;"Unresolved unit / layout"),I1029*K1029,"Not applicable")</x:f>
        <x:v>Not applicable</x:v>
      </x:c>
      <x:c r="O1029" s="7" t="s">
        <x:v>1929</x:v>
      </x:c>
      <x:c r="P1029" s="7" t="s">
        <x:v>1921</x:v>
      </x:c>
      <x:c r="Q1029" s="7" t="s">
        <x:v>1930</x:v>
      </x:c>
      <x:c r="R1029" s="7" t="s">
        <x:v>2003</x:v>
      </x:c>
      <x:c r="S1029" s="7" t="s">
        <x:v>3756</x:v>
      </x:c>
      <x:c r="T1029" s="7" t="s">
        <x:v>3741</x:v>
      </x:c>
      <x:c r="U1029" s="7" t="s">
        <x:v>53</x:v>
      </x:c>
      <x:c r="V1029" s="7" t="s">
        <x:v>1999</x:v>
      </x:c>
      <x:c r="W1029" s="7" t="s">
        <x:v>58</x:v>
      </x:c>
      <x:c r="X1029" s="7" t="s">
        <x:v>3742</x:v>
      </x:c>
      <x:c r="Y1029" s="7" t="s">
        <x:v>1264</x:v>
      </x:c>
      <x:c r="Z1029" s="7" t="s">
        <x:v>2687</x:v>
      </x:c>
      <x:c r="AA1029" s="7" t="s">
        <x:v>58</x:v>
      </x:c>
      <x:c r="AB1029" s="8" t="s">
        <x:v>58</x:v>
      </x:c>
      <x:c r="AC1029" s="8" t="s">
        <x:v>58</x:v>
      </x:c>
      <x:c r="AD1029" s="8" t="s">
        <x:v>58</x:v>
      </x:c>
      <x:c r="AE1029" s="8" t="s">
        <x:v>58</x:v>
      </x:c>
      <x:c r="AF1029" s="8" t="s">
        <x:v>58</x:v>
      </x:c>
      <x:c r="AG1029" s="7" t="s">
        <x:v>58</x:v>
      </x:c>
    </x:row>
    <x:row r="1030" ht="66" hidden="0" customHeight="1">
      <x:c r="A1030" s="7" t="s">
        <x:v>4054</x:v>
      </x:c>
      <x:c r="B1030" s="7" t="s">
        <x:v>656</x:v>
      </x:c>
      <x:c r="C1030" s="7" t="s">
        <x:v>658</x:v>
      </x:c>
      <x:c r="D1030" s="7" t="s">
        <x:v>1940</x:v>
      </x:c>
      <x:c r="E1030" s="7" t="s">
        <x:v>3764</x:v>
      </x:c>
      <x:c r="F1030" s="7" t="s">
        <x:v>1942</x:v>
      </x:c>
      <x:c r="G1030" s="8" t="n">
        <x:v>9.9</x:v>
      </x:c>
      <x:c r="H1030" s="8" t="n">
        <x:v>1.5</x:v>
      </x:c>
      <x:c r="I1030" s="8" t="s">
        <x:v>58</x:v>
      </x:c>
      <x:c r="J1030" s="7" t="s">
        <x:v>1919</x:v>
      </x:c>
      <x:c r="K1030" s="8" t="n">
        <x:v>1</x:v>
      </x:c>
      <x:c r="L1030" s="8" t="n">
        <x:f aca="0">IF(AND(ISNUMBER(G1030),P1030&lt;&gt;"Unresolved unit / layout"),G1030*K1030,"Not applicable")</x:f>
        <x:v>9.9</x:v>
      </x:c>
      <x:c r="M1030" s="8" t="n">
        <x:f aca="0">IF(AND(ISNUMBER(H1030),P1030&lt;&gt;"Unresolved unit / layout"),H1030*K1030,"Not applicable")</x:f>
        <x:v>1.5</x:v>
      </x:c>
      <x:c r="N1030" s="8" t="str">
        <x:f aca="0">IF(AND(ISNUMBER(I1030),P1030&lt;&gt;"Unresolved unit / layout"),I1030*K1030,"Not applicable")</x:f>
        <x:v>Not applicable</x:v>
      </x:c>
      <x:c r="O1030" s="7" t="s">
        <x:v>1942</x:v>
      </x:c>
      <x:c r="P1030" s="7" t="s">
        <x:v>1921</x:v>
      </x:c>
      <x:c r="Q1030" s="7" t="s">
        <x:v>1930</x:v>
      </x:c>
      <x:c r="R1030" s="7" t="s">
        <x:v>1931</x:v>
      </x:c>
      <x:c r="S1030" s="7" t="s">
        <x:v>3756</x:v>
      </x:c>
      <x:c r="T1030" s="7" t="s">
        <x:v>3741</x:v>
      </x:c>
      <x:c r="U1030" s="7" t="s">
        <x:v>53</x:v>
      </x:c>
      <x:c r="V1030" s="7" t="s">
        <x:v>1999</x:v>
      </x:c>
      <x:c r="W1030" s="7" t="s">
        <x:v>58</x:v>
      </x:c>
      <x:c r="X1030" s="7" t="s">
        <x:v>3742</x:v>
      </x:c>
      <x:c r="Y1030" s="7" t="s">
        <x:v>1264</x:v>
      </x:c>
      <x:c r="Z1030" s="7" t="s">
        <x:v>2690</x:v>
      </x:c>
      <x:c r="AA1030" s="7" t="s">
        <x:v>58</x:v>
      </x:c>
      <x:c r="AB1030" s="8" t="s">
        <x:v>58</x:v>
      </x:c>
      <x:c r="AC1030" s="8" t="s">
        <x:v>58</x:v>
      </x:c>
      <x:c r="AD1030" s="8" t="s">
        <x:v>58</x:v>
      </x:c>
      <x:c r="AE1030" s="8" t="s">
        <x:v>58</x:v>
      </x:c>
      <x:c r="AF1030" s="8" t="s">
        <x:v>58</x:v>
      </x:c>
      <x:c r="AG1030" s="7" t="s">
        <x:v>58</x:v>
      </x:c>
    </x:row>
    <x:row r="1031" ht="66" hidden="0" customHeight="1">
      <x:c r="A1031" s="7" t="s">
        <x:v>4055</x:v>
      </x:c>
      <x:c r="B1031" s="7" t="s">
        <x:v>656</x:v>
      </x:c>
      <x:c r="C1031" s="7" t="s">
        <x:v>658</x:v>
      </x:c>
      <x:c r="D1031" s="7" t="s">
        <x:v>1940</x:v>
      </x:c>
      <x:c r="E1031" s="7" t="s">
        <x:v>3766</x:v>
      </x:c>
      <x:c r="F1031" s="7" t="s">
        <x:v>1942</x:v>
      </x:c>
      <x:c r="G1031" s="8" t="n">
        <x:v>1.8</x:v>
      </x:c>
      <x:c r="H1031" s="8" t="n">
        <x:v>0.4</x:v>
      </x:c>
      <x:c r="I1031" s="8" t="s">
        <x:v>58</x:v>
      </x:c>
      <x:c r="J1031" s="7" t="s">
        <x:v>1919</x:v>
      </x:c>
      <x:c r="K1031" s="8" t="n">
        <x:v>1</x:v>
      </x:c>
      <x:c r="L1031" s="8" t="n">
        <x:f aca="0">IF(AND(ISNUMBER(G1031),P1031&lt;&gt;"Unresolved unit / layout"),G1031*K1031,"Not applicable")</x:f>
        <x:v>1.8</x:v>
      </x:c>
      <x:c r="M1031" s="8" t="n">
        <x:f aca="0">IF(AND(ISNUMBER(H1031),P1031&lt;&gt;"Unresolved unit / layout"),H1031*K1031,"Not applicable")</x:f>
        <x:v>0.4</x:v>
      </x:c>
      <x:c r="N1031" s="8" t="str">
        <x:f aca="0">IF(AND(ISNUMBER(I1031),P1031&lt;&gt;"Unresolved unit / layout"),I1031*K1031,"Not applicable")</x:f>
        <x:v>Not applicable</x:v>
      </x:c>
      <x:c r="O1031" s="7" t="s">
        <x:v>1942</x:v>
      </x:c>
      <x:c r="P1031" s="7" t="s">
        <x:v>1921</x:v>
      </x:c>
      <x:c r="Q1031" s="7" t="s">
        <x:v>1930</x:v>
      </x:c>
      <x:c r="R1031" s="7" t="s">
        <x:v>2003</x:v>
      </x:c>
      <x:c r="S1031" s="7" t="s">
        <x:v>3756</x:v>
      </x:c>
      <x:c r="T1031" s="7" t="s">
        <x:v>3741</x:v>
      </x:c>
      <x:c r="U1031" s="7" t="s">
        <x:v>53</x:v>
      </x:c>
      <x:c r="V1031" s="7" t="s">
        <x:v>1999</x:v>
      </x:c>
      <x:c r="W1031" s="7" t="s">
        <x:v>58</x:v>
      </x:c>
      <x:c r="X1031" s="7" t="s">
        <x:v>3742</x:v>
      </x:c>
      <x:c r="Y1031" s="7" t="s">
        <x:v>1264</x:v>
      </x:c>
      <x:c r="Z1031" s="7" t="s">
        <x:v>2693</x:v>
      </x:c>
      <x:c r="AA1031" s="7" t="s">
        <x:v>58</x:v>
      </x:c>
      <x:c r="AB1031" s="8" t="s">
        <x:v>58</x:v>
      </x:c>
      <x:c r="AC1031" s="8" t="s">
        <x:v>58</x:v>
      </x:c>
      <x:c r="AD1031" s="8" t="s">
        <x:v>58</x:v>
      </x:c>
      <x:c r="AE1031" s="8" t="s">
        <x:v>58</x:v>
      </x:c>
      <x:c r="AF1031" s="8" t="s">
        <x:v>58</x:v>
      </x:c>
      <x:c r="AG1031" s="7" t="s">
        <x:v>58</x:v>
      </x:c>
    </x:row>
    <x:row r="1032" ht="66" hidden="0" customHeight="1">
      <x:c r="A1032" s="7" t="s">
        <x:v>4056</x:v>
      </x:c>
      <x:c r="B1032" s="7" t="s">
        <x:v>656</x:v>
      </x:c>
      <x:c r="C1032" s="7" t="s">
        <x:v>658</x:v>
      </x:c>
      <x:c r="D1032" s="7" t="s">
        <x:v>1950</x:v>
      </x:c>
      <x:c r="E1032" s="7" t="s">
        <x:v>3768</x:v>
      </x:c>
      <x:c r="F1032" s="7" t="s">
        <x:v>1929</x:v>
      </x:c>
      <x:c r="G1032" s="8" t="n">
        <x:v>1667</x:v>
      </x:c>
      <x:c r="H1032" s="8" t="n">
        <x:v>118</x:v>
      </x:c>
      <x:c r="I1032" s="8" t="s">
        <x:v>58</x:v>
      </x:c>
      <x:c r="J1032" s="7" t="s">
        <x:v>1919</x:v>
      </x:c>
      <x:c r="K1032" s="8" t="n">
        <x:v>0.001</x:v>
      </x:c>
      <x:c r="L1032" s="8" t="n">
        <x:f aca="0">IF(AND(ISNUMBER(G1032),P1032&lt;&gt;"Unresolved unit / layout"),G1032*K1032,"Not applicable")</x:f>
        <x:v>1.667</x:v>
      </x:c>
      <x:c r="M1032" s="8" t="n">
        <x:f aca="0">IF(AND(ISNUMBER(H1032),P1032&lt;&gt;"Unresolved unit / layout"),H1032*K1032,"Not applicable")</x:f>
        <x:v>0.11800000000000001</x:v>
      </x:c>
      <x:c r="N1032" s="8" t="str">
        <x:f aca="0">IF(AND(ISNUMBER(I1032),P1032&lt;&gt;"Unresolved unit / layout"),I1032*K1032,"Not applicable")</x:f>
        <x:v>Not applicable</x:v>
      </x:c>
      <x:c r="O1032" s="7" t="s">
        <x:v>1937</x:v>
      </x:c>
      <x:c r="P1032" s="7" t="s">
        <x:v>1921</x:v>
      </x:c>
      <x:c r="Q1032" s="7" t="s">
        <x:v>1930</x:v>
      </x:c>
      <x:c r="R1032" s="7" t="s">
        <x:v>1931</x:v>
      </x:c>
      <x:c r="S1032" s="7" t="s">
        <x:v>3756</x:v>
      </x:c>
      <x:c r="T1032" s="7" t="s">
        <x:v>3741</x:v>
      </x:c>
      <x:c r="U1032" s="7" t="s">
        <x:v>53</x:v>
      </x:c>
      <x:c r="V1032" s="7" t="s">
        <x:v>2020</x:v>
      </x:c>
      <x:c r="W1032" s="7" t="s">
        <x:v>58</x:v>
      </x:c>
      <x:c r="X1032" s="7" t="s">
        <x:v>3742</x:v>
      </x:c>
      <x:c r="Y1032" s="7" t="s">
        <x:v>1264</x:v>
      </x:c>
      <x:c r="Z1032" s="7" t="s">
        <x:v>2696</x:v>
      </x:c>
      <x:c r="AA1032" s="7" t="s">
        <x:v>58</x:v>
      </x:c>
      <x:c r="AB1032" s="8" t="s">
        <x:v>58</x:v>
      </x:c>
      <x:c r="AC1032" s="8" t="s">
        <x:v>58</x:v>
      </x:c>
      <x:c r="AD1032" s="8" t="s">
        <x:v>58</x:v>
      </x:c>
      <x:c r="AE1032" s="8" t="s">
        <x:v>58</x:v>
      </x:c>
      <x:c r="AF1032" s="8" t="s">
        <x:v>58</x:v>
      </x:c>
      <x:c r="AG1032" s="7" t="s">
        <x:v>58</x:v>
      </x:c>
    </x:row>
    <x:row r="1033" ht="66" hidden="0" customHeight="1">
      <x:c r="A1033" s="7" t="s">
        <x:v>4057</x:v>
      </x:c>
      <x:c r="B1033" s="7" t="s">
        <x:v>656</x:v>
      </x:c>
      <x:c r="C1033" s="7" t="s">
        <x:v>658</x:v>
      </x:c>
      <x:c r="D1033" s="7" t="s">
        <x:v>1950</x:v>
      </x:c>
      <x:c r="E1033" s="7" t="s">
        <x:v>1995</x:v>
      </x:c>
      <x:c r="F1033" s="7" t="s">
        <x:v>53</x:v>
      </x:c>
      <x:c r="G1033" s="8" t="s">
        <x:v>53</x:v>
      </x:c>
      <x:c r="H1033" s="8" t="s">
        <x:v>58</x:v>
      </x:c>
      <x:c r="I1033" s="8" t="s">
        <x:v>58</x:v>
      </x:c>
      <x:c r="J1033" s="7" t="s">
        <x:v>58</x:v>
      </x:c>
      <x:c r="K1033" s="8" t="n">
        <x:v>1</x:v>
      </x:c>
      <x:c r="L1033" s="8" t="str">
        <x:f aca="0">IF(AND(ISNUMBER(G1033),P1033&lt;&gt;"Unresolved unit / layout"),G1033*K1033,"Not published")</x:f>
        <x:v>Not published</x:v>
      </x:c>
      <x:c r="M1033" s="8" t="str">
        <x:f aca="0">IF(AND(ISNUMBER(H1033),P1033&lt;&gt;"Unresolved unit / layout"),H1033*K1033,"Not applicable")</x:f>
        <x:v>Not applicable</x:v>
      </x:c>
      <x:c r="N1033" s="8" t="str">
        <x:f aca="0">IF(AND(ISNUMBER(I1033),P1033&lt;&gt;"Unresolved unit / layout"),I1033*K1033,"Not applicable")</x:f>
        <x:v>Not applicable</x:v>
      </x:c>
      <x:c r="O1033" s="7" t="s">
        <x:v>53</x:v>
      </x:c>
      <x:c r="P1033" s="7" t="s">
        <x:v>53</x:v>
      </x:c>
      <x:c r="Q1033" s="7" t="s">
        <x:v>1930</x:v>
      </x:c>
      <x:c r="R1033" s="7" t="s">
        <x:v>2003</x:v>
      </x:c>
      <x:c r="S1033" s="7" t="s">
        <x:v>3756</x:v>
      </x:c>
      <x:c r="T1033" s="7" t="s">
        <x:v>3741</x:v>
      </x:c>
      <x:c r="U1033" s="7" t="s">
        <x:v>53</x:v>
      </x:c>
      <x:c r="V1033" s="7" t="s">
        <x:v>2020</x:v>
      </x:c>
      <x:c r="W1033" s="7" t="s">
        <x:v>58</x:v>
      </x:c>
      <x:c r="X1033" s="7" t="s">
        <x:v>3742</x:v>
      </x:c>
      <x:c r="Y1033" s="7" t="s">
        <x:v>1264</x:v>
      </x:c>
      <x:c r="Z1033" s="7" t="s">
        <x:v>2699</x:v>
      </x:c>
      <x:c r="AA1033" s="7" t="s">
        <x:v>58</x:v>
      </x:c>
      <x:c r="AB1033" s="8" t="s">
        <x:v>58</x:v>
      </x:c>
      <x:c r="AC1033" s="8" t="s">
        <x:v>58</x:v>
      </x:c>
      <x:c r="AD1033" s="8" t="s">
        <x:v>58</x:v>
      </x:c>
      <x:c r="AE1033" s="8" t="s">
        <x:v>58</x:v>
      </x:c>
      <x:c r="AF1033" s="8" t="s">
        <x:v>58</x:v>
      </x:c>
      <x:c r="AG1033" s="7" t="s">
        <x:v>58</x:v>
      </x:c>
    </x:row>
    <x:row r="1034" ht="66" hidden="0" customHeight="1">
      <x:c r="A1034" s="7" t="s">
        <x:v>4058</x:v>
      </x:c>
      <x:c r="B1034" s="7" t="s">
        <x:v>656</x:v>
      </x:c>
      <x:c r="C1034" s="7" t="s">
        <x:v>658</x:v>
      </x:c>
      <x:c r="D1034" s="7" t="s">
        <x:v>1945</x:v>
      </x:c>
      <x:c r="E1034" s="7" t="s">
        <x:v>3771</x:v>
      </x:c>
      <x:c r="F1034" s="7" t="s">
        <x:v>1929</x:v>
      </x:c>
      <x:c r="G1034" s="8" t="n">
        <x:v>97</x:v>
      </x:c>
      <x:c r="H1034" s="8" t="n">
        <x:v>1.1</x:v>
      </x:c>
      <x:c r="I1034" s="8" t="s">
        <x:v>58</x:v>
      </x:c>
      <x:c r="J1034" s="7" t="s">
        <x:v>1919</x:v>
      </x:c>
      <x:c r="K1034" s="8" t="n">
        <x:v>1</x:v>
      </x:c>
      <x:c r="L1034" s="8" t="n">
        <x:f aca="0">IF(AND(ISNUMBER(G1034),P1034&lt;&gt;"Unresolved unit / layout"),G1034*K1034,"Not applicable")</x:f>
        <x:v>97</x:v>
      </x:c>
      <x:c r="M1034" s="8" t="n">
        <x:f aca="0">IF(AND(ISNUMBER(H1034),P1034&lt;&gt;"Unresolved unit / layout"),H1034*K1034,"Not applicable")</x:f>
        <x:v>1.1</x:v>
      </x:c>
      <x:c r="N1034" s="8" t="str">
        <x:f aca="0">IF(AND(ISNUMBER(I1034),P1034&lt;&gt;"Unresolved unit / layout"),I1034*K1034,"Not applicable")</x:f>
        <x:v>Not applicable</x:v>
      </x:c>
      <x:c r="O1034" s="7" t="s">
        <x:v>1929</x:v>
      </x:c>
      <x:c r="P1034" s="7" t="s">
        <x:v>1921</x:v>
      </x:c>
      <x:c r="Q1034" s="7" t="s">
        <x:v>1930</x:v>
      </x:c>
      <x:c r="R1034" s="7" t="s">
        <x:v>1931</x:v>
      </x:c>
      <x:c r="S1034" s="7" t="s">
        <x:v>3756</x:v>
      </x:c>
      <x:c r="T1034" s="7" t="s">
        <x:v>3741</x:v>
      </x:c>
      <x:c r="U1034" s="7" t="s">
        <x:v>53</x:v>
      </x:c>
      <x:c r="V1034" s="7" t="s">
        <x:v>2020</x:v>
      </x:c>
      <x:c r="W1034" s="7" t="s">
        <x:v>58</x:v>
      </x:c>
      <x:c r="X1034" s="7" t="s">
        <x:v>3742</x:v>
      </x:c>
      <x:c r="Y1034" s="7" t="s">
        <x:v>1264</x:v>
      </x:c>
      <x:c r="Z1034" s="7" t="s">
        <x:v>2702</x:v>
      </x:c>
      <x:c r="AA1034" s="7" t="s">
        <x:v>58</x:v>
      </x:c>
      <x:c r="AB1034" s="8" t="s">
        <x:v>58</x:v>
      </x:c>
      <x:c r="AC1034" s="8" t="s">
        <x:v>58</x:v>
      </x:c>
      <x:c r="AD1034" s="8" t="s">
        <x:v>58</x:v>
      </x:c>
      <x:c r="AE1034" s="8" t="s">
        <x:v>58</x:v>
      </x:c>
      <x:c r="AF1034" s="8" t="s">
        <x:v>58</x:v>
      </x:c>
      <x:c r="AG1034" s="7" t="s">
        <x:v>58</x:v>
      </x:c>
    </x:row>
    <x:row r="1035" ht="66" hidden="0" customHeight="1">
      <x:c r="A1035" s="7" t="s">
        <x:v>4059</x:v>
      </x:c>
      <x:c r="B1035" s="7" t="s">
        <x:v>656</x:v>
      </x:c>
      <x:c r="C1035" s="7" t="s">
        <x:v>658</x:v>
      </x:c>
      <x:c r="D1035" s="7" t="s">
        <x:v>1945</x:v>
      </x:c>
      <x:c r="E1035" s="7" t="s">
        <x:v>1995</x:v>
      </x:c>
      <x:c r="F1035" s="7" t="s">
        <x:v>53</x:v>
      </x:c>
      <x:c r="G1035" s="8" t="s">
        <x:v>53</x:v>
      </x:c>
      <x:c r="H1035" s="8" t="s">
        <x:v>58</x:v>
      </x:c>
      <x:c r="I1035" s="8" t="s">
        <x:v>58</x:v>
      </x:c>
      <x:c r="J1035" s="7" t="s">
        <x:v>58</x:v>
      </x:c>
      <x:c r="K1035" s="8" t="n">
        <x:v>1</x:v>
      </x:c>
      <x:c r="L1035" s="8" t="str">
        <x:f aca="0">IF(AND(ISNUMBER(G1035),P1035&lt;&gt;"Unresolved unit / layout"),G1035*K1035,"Not published")</x:f>
        <x:v>Not published</x:v>
      </x:c>
      <x:c r="M1035" s="8" t="str">
        <x:f aca="0">IF(AND(ISNUMBER(H1035),P1035&lt;&gt;"Unresolved unit / layout"),H1035*K1035,"Not applicable")</x:f>
        <x:v>Not applicable</x:v>
      </x:c>
      <x:c r="N1035" s="8" t="str">
        <x:f aca="0">IF(AND(ISNUMBER(I1035),P1035&lt;&gt;"Unresolved unit / layout"),I1035*K1035,"Not applicable")</x:f>
        <x:v>Not applicable</x:v>
      </x:c>
      <x:c r="O1035" s="7" t="s">
        <x:v>53</x:v>
      </x:c>
      <x:c r="P1035" s="7" t="s">
        <x:v>53</x:v>
      </x:c>
      <x:c r="Q1035" s="7" t="s">
        <x:v>1930</x:v>
      </x:c>
      <x:c r="R1035" s="7" t="s">
        <x:v>2003</x:v>
      </x:c>
      <x:c r="S1035" s="7" t="s">
        <x:v>3756</x:v>
      </x:c>
      <x:c r="T1035" s="7" t="s">
        <x:v>3741</x:v>
      </x:c>
      <x:c r="U1035" s="7" t="s">
        <x:v>53</x:v>
      </x:c>
      <x:c r="V1035" s="7" t="s">
        <x:v>2020</x:v>
      </x:c>
      <x:c r="W1035" s="7" t="s">
        <x:v>58</x:v>
      </x:c>
      <x:c r="X1035" s="7" t="s">
        <x:v>3742</x:v>
      </x:c>
      <x:c r="Y1035" s="7" t="s">
        <x:v>1264</x:v>
      </x:c>
      <x:c r="Z1035" s="7" t="s">
        <x:v>2705</x:v>
      </x:c>
      <x:c r="AA1035" s="7" t="s">
        <x:v>58</x:v>
      </x:c>
      <x:c r="AB1035" s="8" t="s">
        <x:v>58</x:v>
      </x:c>
      <x:c r="AC1035" s="8" t="s">
        <x:v>58</x:v>
      </x:c>
      <x:c r="AD1035" s="8" t="s">
        <x:v>58</x:v>
      </x:c>
      <x:c r="AE1035" s="8" t="s">
        <x:v>58</x:v>
      </x:c>
      <x:c r="AF1035" s="8" t="s">
        <x:v>58</x:v>
      </x:c>
      <x:c r="AG1035" s="7" t="s">
        <x:v>58</x:v>
      </x:c>
    </x:row>
    <x:row r="1036" ht="66" hidden="0" customHeight="1">
      <x:c r="A1036" s="7" t="s">
        <x:v>4060</x:v>
      </x:c>
      <x:c r="B1036" s="7" t="s">
        <x:v>656</x:v>
      </x:c>
      <x:c r="C1036" s="7" t="s">
        <x:v>658</x:v>
      </x:c>
      <x:c r="D1036" s="7" t="s">
        <x:v>2030</x:v>
      </x:c>
      <x:c r="E1036" s="7" t="s">
        <x:v>3774</x:v>
      </x:c>
      <x:c r="F1036" s="7" t="s">
        <x:v>2032</x:v>
      </x:c>
      <x:c r="G1036" s="8" t="n">
        <x:v>9.6</x:v>
      </x:c>
      <x:c r="H1036" s="8" t="n">
        <x:v>1.4</x:v>
      </x:c>
      <x:c r="I1036" s="8" t="s">
        <x:v>58</x:v>
      </x:c>
      <x:c r="J1036" s="7" t="s">
        <x:v>1919</x:v>
      </x:c>
      <x:c r="K1036" s="8" t="n">
        <x:v>1</x:v>
      </x:c>
      <x:c r="L1036" s="8" t="n">
        <x:f aca="0">IF(AND(ISNUMBER(G1036),P1036&lt;&gt;"Unresolved unit / layout"),G1036*K1036,"Not applicable")</x:f>
        <x:v>9.6</x:v>
      </x:c>
      <x:c r="M1036" s="8" t="n">
        <x:f aca="0">IF(AND(ISNUMBER(H1036),P1036&lt;&gt;"Unresolved unit / layout"),H1036*K1036,"Not applicable")</x:f>
        <x:v>1.4</x:v>
      </x:c>
      <x:c r="N1036" s="8" t="str">
        <x:f aca="0">IF(AND(ISNUMBER(I1036),P1036&lt;&gt;"Unresolved unit / layout"),I1036*K1036,"Not applicable")</x:f>
        <x:v>Not applicable</x:v>
      </x:c>
      <x:c r="O1036" s="7" t="s">
        <x:v>2033</x:v>
      </x:c>
      <x:c r="P1036" s="7" t="s">
        <x:v>1921</x:v>
      </x:c>
      <x:c r="Q1036" s="7" t="s">
        <x:v>1930</x:v>
      </x:c>
      <x:c r="R1036" s="7" t="s">
        <x:v>1931</x:v>
      </x:c>
      <x:c r="S1036" s="7" t="s">
        <x:v>3756</x:v>
      </x:c>
      <x:c r="T1036" s="7" t="s">
        <x:v>3741</x:v>
      </x:c>
      <x:c r="U1036" s="7" t="s">
        <x:v>53</x:v>
      </x:c>
      <x:c r="V1036" s="7" t="s">
        <x:v>53</x:v>
      </x:c>
      <x:c r="W1036" s="7" t="s">
        <x:v>53</x:v>
      </x:c>
      <x:c r="X1036" s="7" t="s">
        <x:v>3742</x:v>
      </x:c>
      <x:c r="Y1036" s="7" t="s">
        <x:v>1264</x:v>
      </x:c>
      <x:c r="Z1036" s="7" t="s">
        <x:v>2804</x:v>
      </x:c>
      <x:c r="AA1036" s="7" t="s">
        <x:v>58</x:v>
      </x:c>
      <x:c r="AB1036" s="8" t="s">
        <x:v>58</x:v>
      </x:c>
      <x:c r="AC1036" s="8" t="s">
        <x:v>58</x:v>
      </x:c>
      <x:c r="AD1036" s="8" t="s">
        <x:v>58</x:v>
      </x:c>
      <x:c r="AE1036" s="8" t="s">
        <x:v>58</x:v>
      </x:c>
      <x:c r="AF1036" s="8" t="s">
        <x:v>58</x:v>
      </x:c>
      <x:c r="AG1036" s="7" t="s">
        <x:v>58</x:v>
      </x:c>
    </x:row>
    <x:row r="1037" ht="66" hidden="0" customHeight="1">
      <x:c r="A1037" s="7" t="s">
        <x:v>4061</x:v>
      </x:c>
      <x:c r="B1037" s="7" t="s">
        <x:v>656</x:v>
      </x:c>
      <x:c r="C1037" s="7" t="s">
        <x:v>658</x:v>
      </x:c>
      <x:c r="D1037" s="7" t="s">
        <x:v>2030</x:v>
      </x:c>
      <x:c r="E1037" s="7" t="s">
        <x:v>1995</x:v>
      </x:c>
      <x:c r="F1037" s="7" t="s">
        <x:v>53</x:v>
      </x:c>
      <x:c r="G1037" s="8" t="s">
        <x:v>53</x:v>
      </x:c>
      <x:c r="H1037" s="8" t="s">
        <x:v>58</x:v>
      </x:c>
      <x:c r="I1037" s="8" t="s">
        <x:v>58</x:v>
      </x:c>
      <x:c r="J1037" s="7" t="s">
        <x:v>58</x:v>
      </x:c>
      <x:c r="K1037" s="8" t="n">
        <x:v>1</x:v>
      </x:c>
      <x:c r="L1037" s="8" t="str">
        <x:f aca="0">IF(AND(ISNUMBER(G1037),P1037&lt;&gt;"Unresolved unit / layout"),G1037*K1037,"Not published")</x:f>
        <x:v>Not published</x:v>
      </x:c>
      <x:c r="M1037" s="8" t="str">
        <x:f aca="0">IF(AND(ISNUMBER(H1037),P1037&lt;&gt;"Unresolved unit / layout"),H1037*K1037,"Not applicable")</x:f>
        <x:v>Not applicable</x:v>
      </x:c>
      <x:c r="N1037" s="8" t="str">
        <x:f aca="0">IF(AND(ISNUMBER(I1037),P1037&lt;&gt;"Unresolved unit / layout"),I1037*K1037,"Not applicable")</x:f>
        <x:v>Not applicable</x:v>
      </x:c>
      <x:c r="O1037" s="7" t="s">
        <x:v>53</x:v>
      </x:c>
      <x:c r="P1037" s="7" t="s">
        <x:v>53</x:v>
      </x:c>
      <x:c r="Q1037" s="7" t="s">
        <x:v>1930</x:v>
      </x:c>
      <x:c r="R1037" s="7" t="s">
        <x:v>2003</x:v>
      </x:c>
      <x:c r="S1037" s="7" t="s">
        <x:v>3756</x:v>
      </x:c>
      <x:c r="T1037" s="7" t="s">
        <x:v>3741</x:v>
      </x:c>
      <x:c r="U1037" s="7" t="s">
        <x:v>53</x:v>
      </x:c>
      <x:c r="V1037" s="7" t="s">
        <x:v>2806</x:v>
      </x:c>
      <x:c r="W1037" s="7" t="s">
        <x:v>53</x:v>
      </x:c>
      <x:c r="X1037" s="7" t="s">
        <x:v>3742</x:v>
      </x:c>
      <x:c r="Y1037" s="7" t="s">
        <x:v>1264</x:v>
      </x:c>
      <x:c r="Z1037" s="7" t="s">
        <x:v>2807</x:v>
      </x:c>
      <x:c r="AA1037" s="7" t="s">
        <x:v>58</x:v>
      </x:c>
      <x:c r="AB1037" s="8" t="s">
        <x:v>58</x:v>
      </x:c>
      <x:c r="AC1037" s="8" t="s">
        <x:v>58</x:v>
      </x:c>
      <x:c r="AD1037" s="8" t="s">
        <x:v>58</x:v>
      </x:c>
      <x:c r="AE1037" s="8" t="s">
        <x:v>58</x:v>
      </x:c>
      <x:c r="AF1037" s="8" t="s">
        <x:v>58</x:v>
      </x:c>
      <x:c r="AG1037" s="7" t="s">
        <x:v>58</x:v>
      </x:c>
    </x:row>
    <x:row r="1038" ht="66" hidden="0" customHeight="1">
      <x:c r="A1038" s="7" t="s">
        <x:v>4062</x:v>
      </x:c>
      <x:c r="B1038" s="7" t="s">
        <x:v>656</x:v>
      </x:c>
      <x:c r="C1038" s="7" t="s">
        <x:v>658</x:v>
      </x:c>
      <x:c r="D1038" s="7" t="s">
        <x:v>1935</x:v>
      </x:c>
      <x:c r="E1038" s="7" t="s">
        <x:v>3777</x:v>
      </x:c>
      <x:c r="F1038" s="7" t="s">
        <x:v>1929</x:v>
      </x:c>
      <x:c r="G1038" s="8" t="n">
        <x:v>1053</x:v>
      </x:c>
      <x:c r="H1038" s="8" t="n">
        <x:v>235</x:v>
      </x:c>
      <x:c r="I1038" s="8" t="s">
        <x:v>58</x:v>
      </x:c>
      <x:c r="J1038" s="7" t="s">
        <x:v>1919</x:v>
      </x:c>
      <x:c r="K1038" s="8" t="n">
        <x:v>0.001</x:v>
      </x:c>
      <x:c r="L1038" s="8" t="n">
        <x:f aca="0">IF(AND(ISNUMBER(G1038),P1038&lt;&gt;"Unresolved unit / layout"),G1038*K1038,"Not applicable")</x:f>
        <x:v>1.053</x:v>
      </x:c>
      <x:c r="M1038" s="8" t="n">
        <x:f aca="0">IF(AND(ISNUMBER(H1038),P1038&lt;&gt;"Unresolved unit / layout"),H1038*K1038,"Not applicable")</x:f>
        <x:v>0.23500000000000001</x:v>
      </x:c>
      <x:c r="N1038" s="8" t="str">
        <x:f aca="0">IF(AND(ISNUMBER(I1038),P1038&lt;&gt;"Unresolved unit / layout"),I1038*K1038,"Not applicable")</x:f>
        <x:v>Not applicable</x:v>
      </x:c>
      <x:c r="O1038" s="7" t="s">
        <x:v>1937</x:v>
      </x:c>
      <x:c r="P1038" s="7" t="s">
        <x:v>1921</x:v>
      </x:c>
      <x:c r="Q1038" s="7" t="s">
        <x:v>1930</x:v>
      </x:c>
      <x:c r="R1038" s="7" t="s">
        <x:v>1931</x:v>
      </x:c>
      <x:c r="S1038" s="7" t="s">
        <x:v>3756</x:v>
      </x:c>
      <x:c r="T1038" s="7" t="s">
        <x:v>3741</x:v>
      </x:c>
      <x:c r="U1038" s="7" t="s">
        <x:v>53</x:v>
      </x:c>
      <x:c r="V1038" s="7" t="s">
        <x:v>1999</x:v>
      </x:c>
      <x:c r="W1038" s="7" t="s">
        <x:v>58</x:v>
      </x:c>
      <x:c r="X1038" s="7" t="s">
        <x:v>3742</x:v>
      </x:c>
      <x:c r="Y1038" s="7" t="s">
        <x:v>1264</x:v>
      </x:c>
      <x:c r="Z1038" s="7" t="s">
        <x:v>2784</x:v>
      </x:c>
      <x:c r="AA1038" s="7" t="s">
        <x:v>58</x:v>
      </x:c>
      <x:c r="AB1038" s="8" t="s">
        <x:v>58</x:v>
      </x:c>
      <x:c r="AC1038" s="8" t="s">
        <x:v>58</x:v>
      </x:c>
      <x:c r="AD1038" s="8" t="s">
        <x:v>58</x:v>
      </x:c>
      <x:c r="AE1038" s="8" t="s">
        <x:v>58</x:v>
      </x:c>
      <x:c r="AF1038" s="8" t="s">
        <x:v>58</x:v>
      </x:c>
      <x:c r="AG1038" s="7" t="s">
        <x:v>58</x:v>
      </x:c>
    </x:row>
    <x:row r="1039" ht="66" hidden="0" customHeight="1">
      <x:c r="A1039" s="7" t="s">
        <x:v>4063</x:v>
      </x:c>
      <x:c r="B1039" s="7" t="s">
        <x:v>656</x:v>
      </x:c>
      <x:c r="C1039" s="7" t="s">
        <x:v>658</x:v>
      </x:c>
      <x:c r="D1039" s="7" t="s">
        <x:v>1935</x:v>
      </x:c>
      <x:c r="E1039" s="7" t="s">
        <x:v>3779</x:v>
      </x:c>
      <x:c r="F1039" s="7" t="s">
        <x:v>1929</x:v>
      </x:c>
      <x:c r="G1039" s="8" t="n">
        <x:v>702</x:v>
      </x:c>
      <x:c r="H1039" s="8" t="n">
        <x:v>16</x:v>
      </x:c>
      <x:c r="I1039" s="8" t="s">
        <x:v>58</x:v>
      </x:c>
      <x:c r="J1039" s="7" t="s">
        <x:v>1919</x:v>
      </x:c>
      <x:c r="K1039" s="8" t="n">
        <x:v>0.001</x:v>
      </x:c>
      <x:c r="L1039" s="8" t="n">
        <x:f aca="0">IF(AND(ISNUMBER(G1039),P1039&lt;&gt;"Unresolved unit / layout"),G1039*K1039,"Not applicable")</x:f>
        <x:v>0.7020000000000001</x:v>
      </x:c>
      <x:c r="M1039" s="8" t="n">
        <x:f aca="0">IF(AND(ISNUMBER(H1039),P1039&lt;&gt;"Unresolved unit / layout"),H1039*K1039,"Not applicable")</x:f>
        <x:v>0.016</x:v>
      </x:c>
      <x:c r="N1039" s="8" t="str">
        <x:f aca="0">IF(AND(ISNUMBER(I1039),P1039&lt;&gt;"Unresolved unit / layout"),I1039*K1039,"Not applicable")</x:f>
        <x:v>Not applicable</x:v>
      </x:c>
      <x:c r="O1039" s="7" t="s">
        <x:v>1937</x:v>
      </x:c>
      <x:c r="P1039" s="7" t="s">
        <x:v>1921</x:v>
      </x:c>
      <x:c r="Q1039" s="7" t="s">
        <x:v>1930</x:v>
      </x:c>
      <x:c r="R1039" s="7" t="s">
        <x:v>2003</x:v>
      </x:c>
      <x:c r="S1039" s="7" t="s">
        <x:v>3756</x:v>
      </x:c>
      <x:c r="T1039" s="7" t="s">
        <x:v>3741</x:v>
      </x:c>
      <x:c r="U1039" s="7" t="s">
        <x:v>53</x:v>
      </x:c>
      <x:c r="V1039" s="7" t="s">
        <x:v>1999</x:v>
      </x:c>
      <x:c r="W1039" s="7" t="s">
        <x:v>58</x:v>
      </x:c>
      <x:c r="X1039" s="7" t="s">
        <x:v>3742</x:v>
      </x:c>
      <x:c r="Y1039" s="7" t="s">
        <x:v>1264</x:v>
      </x:c>
      <x:c r="Z1039" s="7" t="s">
        <x:v>2787</x:v>
      </x:c>
      <x:c r="AA1039" s="7" t="s">
        <x:v>58</x:v>
      </x:c>
      <x:c r="AB1039" s="8" t="s">
        <x:v>58</x:v>
      </x:c>
      <x:c r="AC1039" s="8" t="s">
        <x:v>58</x:v>
      </x:c>
      <x:c r="AD1039" s="8" t="s">
        <x:v>58</x:v>
      </x:c>
      <x:c r="AE1039" s="8" t="s">
        <x:v>58</x:v>
      </x:c>
      <x:c r="AF1039" s="8" t="s">
        <x:v>58</x:v>
      </x:c>
      <x:c r="AG1039" s="7" t="s">
        <x:v>58</x:v>
      </x:c>
    </x:row>
    <x:row r="1040" ht="66" hidden="0" customHeight="1">
      <x:c r="A1040" s="7" t="s">
        <x:v>4064</x:v>
      </x:c>
      <x:c r="B1040" s="7" t="s">
        <x:v>656</x:v>
      </x:c>
      <x:c r="C1040" s="7" t="s">
        <x:v>658</x:v>
      </x:c>
      <x:c r="D1040" s="7" t="s">
        <x:v>2006</x:v>
      </x:c>
      <x:c r="E1040" s="7" t="s">
        <x:v>3781</x:v>
      </x:c>
      <x:c r="F1040" s="7" t="s">
        <x:v>1929</x:v>
      </x:c>
      <x:c r="G1040" s="8" t="n">
        <x:v>31.4</x:v>
      </x:c>
      <x:c r="H1040" s="8" t="n">
        <x:v>1.5</x:v>
      </x:c>
      <x:c r="I1040" s="8" t="s">
        <x:v>58</x:v>
      </x:c>
      <x:c r="J1040" s="7" t="s">
        <x:v>1919</x:v>
      </x:c>
      <x:c r="K1040" s="8" t="n">
        <x:v>1</x:v>
      </x:c>
      <x:c r="L1040" s="8" t="n">
        <x:f aca="0">IF(AND(ISNUMBER(G1040),P1040&lt;&gt;"Unresolved unit / layout"),G1040*K1040,"Not applicable")</x:f>
        <x:v>31.4</x:v>
      </x:c>
      <x:c r="M1040" s="8" t="n">
        <x:f aca="0">IF(AND(ISNUMBER(H1040),P1040&lt;&gt;"Unresolved unit / layout"),H1040*K1040,"Not applicable")</x:f>
        <x:v>1.5</x:v>
      </x:c>
      <x:c r="N1040" s="8" t="str">
        <x:f aca="0">IF(AND(ISNUMBER(I1040),P1040&lt;&gt;"Unresolved unit / layout"),I1040*K1040,"Not applicable")</x:f>
        <x:v>Not applicable</x:v>
      </x:c>
      <x:c r="O1040" s="7" t="s">
        <x:v>1929</x:v>
      </x:c>
      <x:c r="P1040" s="7" t="s">
        <x:v>1921</x:v>
      </x:c>
      <x:c r="Q1040" s="7" t="s">
        <x:v>1930</x:v>
      </x:c>
      <x:c r="R1040" s="7" t="s">
        <x:v>1931</x:v>
      </x:c>
      <x:c r="S1040" s="7" t="s">
        <x:v>3756</x:v>
      </x:c>
      <x:c r="T1040" s="7" t="s">
        <x:v>3741</x:v>
      </x:c>
      <x:c r="U1040" s="7" t="s">
        <x:v>53</x:v>
      </x:c>
      <x:c r="V1040" s="7" t="s">
        <x:v>1999</x:v>
      </x:c>
      <x:c r="W1040" s="7" t="s">
        <x:v>58</x:v>
      </x:c>
      <x:c r="X1040" s="7" t="s">
        <x:v>3742</x:v>
      </x:c>
      <x:c r="Y1040" s="7" t="s">
        <x:v>1264</x:v>
      </x:c>
      <x:c r="Z1040" s="7" t="s">
        <x:v>2684</x:v>
      </x:c>
      <x:c r="AA1040" s="7" t="s">
        <x:v>58</x:v>
      </x:c>
      <x:c r="AB1040" s="8" t="s">
        <x:v>58</x:v>
      </x:c>
      <x:c r="AC1040" s="8" t="s">
        <x:v>58</x:v>
      </x:c>
      <x:c r="AD1040" s="8" t="s">
        <x:v>58</x:v>
      </x:c>
      <x:c r="AE1040" s="8" t="s">
        <x:v>58</x:v>
      </x:c>
      <x:c r="AF1040" s="8" t="s">
        <x:v>58</x:v>
      </x:c>
      <x:c r="AG1040" s="7" t="s">
        <x:v>58</x:v>
      </x:c>
    </x:row>
    <x:row r="1041" ht="66" hidden="0" customHeight="1">
      <x:c r="A1041" s="7" t="s">
        <x:v>4065</x:v>
      </x:c>
      <x:c r="B1041" s="7" t="s">
        <x:v>656</x:v>
      </x:c>
      <x:c r="C1041" s="7" t="s">
        <x:v>658</x:v>
      </x:c>
      <x:c r="D1041" s="7" t="s">
        <x:v>2006</x:v>
      </x:c>
      <x:c r="E1041" s="7" t="s">
        <x:v>3781</x:v>
      </x:c>
      <x:c r="F1041" s="7" t="s">
        <x:v>1929</x:v>
      </x:c>
      <x:c r="G1041" s="8" t="n">
        <x:v>31.4</x:v>
      </x:c>
      <x:c r="H1041" s="8" t="n">
        <x:v>1.5</x:v>
      </x:c>
      <x:c r="I1041" s="8" t="s">
        <x:v>58</x:v>
      </x:c>
      <x:c r="J1041" s="7" t="s">
        <x:v>1919</x:v>
      </x:c>
      <x:c r="K1041" s="8" t="n">
        <x:v>1</x:v>
      </x:c>
      <x:c r="L1041" s="8" t="n">
        <x:f aca="0">IF(AND(ISNUMBER(G1041),P1041&lt;&gt;"Unresolved unit / layout"),G1041*K1041,"Not applicable")</x:f>
        <x:v>31.4</x:v>
      </x:c>
      <x:c r="M1041" s="8" t="n">
        <x:f aca="0">IF(AND(ISNUMBER(H1041),P1041&lt;&gt;"Unresolved unit / layout"),H1041*K1041,"Not applicable")</x:f>
        <x:v>1.5</x:v>
      </x:c>
      <x:c r="N1041" s="8" t="str">
        <x:f aca="0">IF(AND(ISNUMBER(I1041),P1041&lt;&gt;"Unresolved unit / layout"),I1041*K1041,"Not applicable")</x:f>
        <x:v>Not applicable</x:v>
      </x:c>
      <x:c r="O1041" s="7" t="s">
        <x:v>1929</x:v>
      </x:c>
      <x:c r="P1041" s="7" t="s">
        <x:v>1921</x:v>
      </x:c>
      <x:c r="Q1041" s="7" t="s">
        <x:v>1930</x:v>
      </x:c>
      <x:c r="R1041" s="7" t="s">
        <x:v>2003</x:v>
      </x:c>
      <x:c r="S1041" s="7" t="s">
        <x:v>3756</x:v>
      </x:c>
      <x:c r="T1041" s="7" t="s">
        <x:v>3741</x:v>
      </x:c>
      <x:c r="U1041" s="7" t="s">
        <x:v>53</x:v>
      </x:c>
      <x:c r="V1041" s="7" t="s">
        <x:v>1999</x:v>
      </x:c>
      <x:c r="W1041" s="7" t="s">
        <x:v>58</x:v>
      </x:c>
      <x:c r="X1041" s="7" t="s">
        <x:v>3742</x:v>
      </x:c>
      <x:c r="Y1041" s="7" t="s">
        <x:v>1264</x:v>
      </x:c>
      <x:c r="Z1041" s="7" t="s">
        <x:v>2687</x:v>
      </x:c>
      <x:c r="AA1041" s="7" t="s">
        <x:v>58</x:v>
      </x:c>
      <x:c r="AB1041" s="8" t="s">
        <x:v>58</x:v>
      </x:c>
      <x:c r="AC1041" s="8" t="s">
        <x:v>58</x:v>
      </x:c>
      <x:c r="AD1041" s="8" t="s">
        <x:v>58</x:v>
      </x:c>
      <x:c r="AE1041" s="8" t="s">
        <x:v>58</x:v>
      </x:c>
      <x:c r="AF1041" s="8" t="s">
        <x:v>58</x:v>
      </x:c>
      <x:c r="AG1041" s="7" t="s">
        <x:v>58</x:v>
      </x:c>
    </x:row>
    <x:row r="1042" ht="66" hidden="0" customHeight="1">
      <x:c r="A1042" s="7" t="s">
        <x:v>4066</x:v>
      </x:c>
      <x:c r="B1042" s="7" t="s">
        <x:v>656</x:v>
      </x:c>
      <x:c r="C1042" s="7" t="s">
        <x:v>658</x:v>
      </x:c>
      <x:c r="D1042" s="7" t="s">
        <x:v>1940</x:v>
      </x:c>
      <x:c r="E1042" s="7" t="s">
        <x:v>3784</x:v>
      </x:c>
      <x:c r="F1042" s="7" t="s">
        <x:v>1942</x:v>
      </x:c>
      <x:c r="G1042" s="8" t="n">
        <x:v>216.5</x:v>
      </x:c>
      <x:c r="H1042" s="8" t="n">
        <x:v>12.1</x:v>
      </x:c>
      <x:c r="I1042" s="8" t="s">
        <x:v>58</x:v>
      </x:c>
      <x:c r="J1042" s="7" t="s">
        <x:v>1919</x:v>
      </x:c>
      <x:c r="K1042" s="8" t="n">
        <x:v>1</x:v>
      </x:c>
      <x:c r="L1042" s="8" t="n">
        <x:f aca="0">IF(AND(ISNUMBER(G1042),P1042&lt;&gt;"Unresolved unit / layout"),G1042*K1042,"Not applicable")</x:f>
        <x:v>216.5</x:v>
      </x:c>
      <x:c r="M1042" s="8" t="n">
        <x:f aca="0">IF(AND(ISNUMBER(H1042),P1042&lt;&gt;"Unresolved unit / layout"),H1042*K1042,"Not applicable")</x:f>
        <x:v>12.1</x:v>
      </x:c>
      <x:c r="N1042" s="8" t="str">
        <x:f aca="0">IF(AND(ISNUMBER(I1042),P1042&lt;&gt;"Unresolved unit / layout"),I1042*K1042,"Not applicable")</x:f>
        <x:v>Not applicable</x:v>
      </x:c>
      <x:c r="O1042" s="7" t="s">
        <x:v>1942</x:v>
      </x:c>
      <x:c r="P1042" s="7" t="s">
        <x:v>1921</x:v>
      </x:c>
      <x:c r="Q1042" s="7" t="s">
        <x:v>1930</x:v>
      </x:c>
      <x:c r="R1042" s="7" t="s">
        <x:v>1931</x:v>
      </x:c>
      <x:c r="S1042" s="7" t="s">
        <x:v>3756</x:v>
      </x:c>
      <x:c r="T1042" s="7" t="s">
        <x:v>3741</x:v>
      </x:c>
      <x:c r="U1042" s="7" t="s">
        <x:v>53</x:v>
      </x:c>
      <x:c r="V1042" s="7" t="s">
        <x:v>1999</x:v>
      </x:c>
      <x:c r="W1042" s="7" t="s">
        <x:v>58</x:v>
      </x:c>
      <x:c r="X1042" s="7" t="s">
        <x:v>3742</x:v>
      </x:c>
      <x:c r="Y1042" s="7" t="s">
        <x:v>1264</x:v>
      </x:c>
      <x:c r="Z1042" s="7" t="s">
        <x:v>2690</x:v>
      </x:c>
      <x:c r="AA1042" s="7" t="s">
        <x:v>58</x:v>
      </x:c>
      <x:c r="AB1042" s="8" t="s">
        <x:v>58</x:v>
      </x:c>
      <x:c r="AC1042" s="8" t="s">
        <x:v>58</x:v>
      </x:c>
      <x:c r="AD1042" s="8" t="s">
        <x:v>58</x:v>
      </x:c>
      <x:c r="AE1042" s="8" t="s">
        <x:v>58</x:v>
      </x:c>
      <x:c r="AF1042" s="8" t="s">
        <x:v>58</x:v>
      </x:c>
      <x:c r="AG1042" s="7" t="s">
        <x:v>58</x:v>
      </x:c>
    </x:row>
    <x:row r="1043" ht="66" hidden="0" customHeight="1">
      <x:c r="A1043" s="7" t="s">
        <x:v>4067</x:v>
      </x:c>
      <x:c r="B1043" s="7" t="s">
        <x:v>656</x:v>
      </x:c>
      <x:c r="C1043" s="7" t="s">
        <x:v>658</x:v>
      </x:c>
      <x:c r="D1043" s="7" t="s">
        <x:v>1940</x:v>
      </x:c>
      <x:c r="E1043" s="7" t="s">
        <x:v>3786</x:v>
      </x:c>
      <x:c r="F1043" s="7" t="s">
        <x:v>1942</x:v>
      </x:c>
      <x:c r="G1043" s="8" t="n">
        <x:v>4.6</x:v>
      </x:c>
      <x:c r="H1043" s="8" t="n">
        <x:v>0.2</x:v>
      </x:c>
      <x:c r="I1043" s="8" t="s">
        <x:v>58</x:v>
      </x:c>
      <x:c r="J1043" s="7" t="s">
        <x:v>1919</x:v>
      </x:c>
      <x:c r="K1043" s="8" t="n">
        <x:v>1</x:v>
      </x:c>
      <x:c r="L1043" s="8" t="n">
        <x:f aca="0">IF(AND(ISNUMBER(G1043),P1043&lt;&gt;"Unresolved unit / layout"),G1043*K1043,"Not applicable")</x:f>
        <x:v>4.6</x:v>
      </x:c>
      <x:c r="M1043" s="8" t="n">
        <x:f aca="0">IF(AND(ISNUMBER(H1043),P1043&lt;&gt;"Unresolved unit / layout"),H1043*K1043,"Not applicable")</x:f>
        <x:v>0.2</x:v>
      </x:c>
      <x:c r="N1043" s="8" t="str">
        <x:f aca="0">IF(AND(ISNUMBER(I1043),P1043&lt;&gt;"Unresolved unit / layout"),I1043*K1043,"Not applicable")</x:f>
        <x:v>Not applicable</x:v>
      </x:c>
      <x:c r="O1043" s="7" t="s">
        <x:v>1942</x:v>
      </x:c>
      <x:c r="P1043" s="7" t="s">
        <x:v>1921</x:v>
      </x:c>
      <x:c r="Q1043" s="7" t="s">
        <x:v>1930</x:v>
      </x:c>
      <x:c r="R1043" s="7" t="s">
        <x:v>2003</x:v>
      </x:c>
      <x:c r="S1043" s="7" t="s">
        <x:v>3756</x:v>
      </x:c>
      <x:c r="T1043" s="7" t="s">
        <x:v>3741</x:v>
      </x:c>
      <x:c r="U1043" s="7" t="s">
        <x:v>53</x:v>
      </x:c>
      <x:c r="V1043" s="7" t="s">
        <x:v>1999</x:v>
      </x:c>
      <x:c r="W1043" s="7" t="s">
        <x:v>58</x:v>
      </x:c>
      <x:c r="X1043" s="7" t="s">
        <x:v>3742</x:v>
      </x:c>
      <x:c r="Y1043" s="7" t="s">
        <x:v>1264</x:v>
      </x:c>
      <x:c r="Z1043" s="7" t="s">
        <x:v>2693</x:v>
      </x:c>
      <x:c r="AA1043" s="7" t="s">
        <x:v>58</x:v>
      </x:c>
      <x:c r="AB1043" s="8" t="s">
        <x:v>58</x:v>
      </x:c>
      <x:c r="AC1043" s="8" t="s">
        <x:v>58</x:v>
      </x:c>
      <x:c r="AD1043" s="8" t="s">
        <x:v>58</x:v>
      </x:c>
      <x:c r="AE1043" s="8" t="s">
        <x:v>58</x:v>
      </x:c>
      <x:c r="AF1043" s="8" t="s">
        <x:v>58</x:v>
      </x:c>
      <x:c r="AG1043" s="7" t="s">
        <x:v>58</x:v>
      </x:c>
    </x:row>
    <x:row r="1044" ht="66" hidden="0" customHeight="1">
      <x:c r="A1044" s="7" t="s">
        <x:v>4068</x:v>
      </x:c>
      <x:c r="B1044" s="7" t="s">
        <x:v>656</x:v>
      </x:c>
      <x:c r="C1044" s="7" t="s">
        <x:v>658</x:v>
      </x:c>
      <x:c r="D1044" s="7" t="s">
        <x:v>1950</x:v>
      </x:c>
      <x:c r="E1044" s="7" t="s">
        <x:v>3788</x:v>
      </x:c>
      <x:c r="F1044" s="7" t="s">
        <x:v>1929</x:v>
      </x:c>
      <x:c r="G1044" s="8" t="n">
        <x:v>862.8</x:v>
      </x:c>
      <x:c r="H1044" s="8" t="n">
        <x:v>133.3</x:v>
      </x:c>
      <x:c r="I1044" s="8" t="s">
        <x:v>58</x:v>
      </x:c>
      <x:c r="J1044" s="7" t="s">
        <x:v>1919</x:v>
      </x:c>
      <x:c r="K1044" s="8" t="n">
        <x:v>0.001</x:v>
      </x:c>
      <x:c r="L1044" s="8" t="n">
        <x:f aca="0">IF(AND(ISNUMBER(G1044),P1044&lt;&gt;"Unresolved unit / layout"),G1044*K1044,"Not applicable")</x:f>
        <x:v>0.8628</x:v>
      </x:c>
      <x:c r="M1044" s="8" t="n">
        <x:f aca="0">IF(AND(ISNUMBER(H1044),P1044&lt;&gt;"Unresolved unit / layout"),H1044*K1044,"Not applicable")</x:f>
        <x:v>0.1333</x:v>
      </x:c>
      <x:c r="N1044" s="8" t="str">
        <x:f aca="0">IF(AND(ISNUMBER(I1044),P1044&lt;&gt;"Unresolved unit / layout"),I1044*K1044,"Not applicable")</x:f>
        <x:v>Not applicable</x:v>
      </x:c>
      <x:c r="O1044" s="7" t="s">
        <x:v>1937</x:v>
      </x:c>
      <x:c r="P1044" s="7" t="s">
        <x:v>1921</x:v>
      </x:c>
      <x:c r="Q1044" s="7" t="s">
        <x:v>1930</x:v>
      </x:c>
      <x:c r="R1044" s="7" t="s">
        <x:v>1931</x:v>
      </x:c>
      <x:c r="S1044" s="7" t="s">
        <x:v>3756</x:v>
      </x:c>
      <x:c r="T1044" s="7" t="s">
        <x:v>3741</x:v>
      </x:c>
      <x:c r="U1044" s="7" t="s">
        <x:v>53</x:v>
      </x:c>
      <x:c r="V1044" s="7" t="s">
        <x:v>2020</x:v>
      </x:c>
      <x:c r="W1044" s="7" t="s">
        <x:v>58</x:v>
      </x:c>
      <x:c r="X1044" s="7" t="s">
        <x:v>3742</x:v>
      </x:c>
      <x:c r="Y1044" s="7" t="s">
        <x:v>1264</x:v>
      </x:c>
      <x:c r="Z1044" s="7" t="s">
        <x:v>2696</x:v>
      </x:c>
      <x:c r="AA1044" s="7" t="s">
        <x:v>58</x:v>
      </x:c>
      <x:c r="AB1044" s="8" t="s">
        <x:v>58</x:v>
      </x:c>
      <x:c r="AC1044" s="8" t="s">
        <x:v>58</x:v>
      </x:c>
      <x:c r="AD1044" s="8" t="s">
        <x:v>58</x:v>
      </x:c>
      <x:c r="AE1044" s="8" t="s">
        <x:v>58</x:v>
      </x:c>
      <x:c r="AF1044" s="8" t="s">
        <x:v>58</x:v>
      </x:c>
      <x:c r="AG1044" s="7" t="s">
        <x:v>58</x:v>
      </x:c>
    </x:row>
    <x:row r="1045" ht="66" hidden="0" customHeight="1">
      <x:c r="A1045" s="7" t="s">
        <x:v>4069</x:v>
      </x:c>
      <x:c r="B1045" s="7" t="s">
        <x:v>656</x:v>
      </x:c>
      <x:c r="C1045" s="7" t="s">
        <x:v>658</x:v>
      </x:c>
      <x:c r="D1045" s="7" t="s">
        <x:v>1945</x:v>
      </x:c>
      <x:c r="E1045" s="7" t="s">
        <x:v>3790</x:v>
      </x:c>
      <x:c r="F1045" s="7" t="s">
        <x:v>1929</x:v>
      </x:c>
      <x:c r="G1045" s="8" t="n">
        <x:v>41.6</x:v>
      </x:c>
      <x:c r="H1045" s="8" t="n">
        <x:v>11.6</x:v>
      </x:c>
      <x:c r="I1045" s="8" t="s">
        <x:v>58</x:v>
      </x:c>
      <x:c r="J1045" s="7" t="s">
        <x:v>1919</x:v>
      </x:c>
      <x:c r="K1045" s="8" t="n">
        <x:v>1</x:v>
      </x:c>
      <x:c r="L1045" s="8" t="n">
        <x:f aca="0">IF(AND(ISNUMBER(G1045),P1045&lt;&gt;"Unresolved unit / layout"),G1045*K1045,"Not applicable")</x:f>
        <x:v>41.6</x:v>
      </x:c>
      <x:c r="M1045" s="8" t="n">
        <x:f aca="0">IF(AND(ISNUMBER(H1045),P1045&lt;&gt;"Unresolved unit / layout"),H1045*K1045,"Not applicable")</x:f>
        <x:v>11.6</x:v>
      </x:c>
      <x:c r="N1045" s="8" t="str">
        <x:f aca="0">IF(AND(ISNUMBER(I1045),P1045&lt;&gt;"Unresolved unit / layout"),I1045*K1045,"Not applicable")</x:f>
        <x:v>Not applicable</x:v>
      </x:c>
      <x:c r="O1045" s="7" t="s">
        <x:v>1929</x:v>
      </x:c>
      <x:c r="P1045" s="7" t="s">
        <x:v>1921</x:v>
      </x:c>
      <x:c r="Q1045" s="7" t="s">
        <x:v>1930</x:v>
      </x:c>
      <x:c r="R1045" s="7" t="s">
        <x:v>1931</x:v>
      </x:c>
      <x:c r="S1045" s="7" t="s">
        <x:v>3756</x:v>
      </x:c>
      <x:c r="T1045" s="7" t="s">
        <x:v>3741</x:v>
      </x:c>
      <x:c r="U1045" s="7" t="s">
        <x:v>53</x:v>
      </x:c>
      <x:c r="V1045" s="7" t="s">
        <x:v>2020</x:v>
      </x:c>
      <x:c r="W1045" s="7" t="s">
        <x:v>58</x:v>
      </x:c>
      <x:c r="X1045" s="7" t="s">
        <x:v>3742</x:v>
      </x:c>
      <x:c r="Y1045" s="7" t="s">
        <x:v>1264</x:v>
      </x:c>
      <x:c r="Z1045" s="7" t="s">
        <x:v>2702</x:v>
      </x:c>
      <x:c r="AA1045" s="7" t="s">
        <x:v>58</x:v>
      </x:c>
      <x:c r="AB1045" s="8" t="s">
        <x:v>58</x:v>
      </x:c>
      <x:c r="AC1045" s="8" t="s">
        <x:v>58</x:v>
      </x:c>
      <x:c r="AD1045" s="8" t="s">
        <x:v>58</x:v>
      </x:c>
      <x:c r="AE1045" s="8" t="s">
        <x:v>58</x:v>
      </x:c>
      <x:c r="AF1045" s="8" t="s">
        <x:v>58</x:v>
      </x:c>
      <x:c r="AG1045" s="7" t="s">
        <x:v>58</x:v>
      </x:c>
    </x:row>
    <x:row r="1046" ht="66" hidden="0" customHeight="1">
      <x:c r="A1046" s="7" t="s">
        <x:v>4070</x:v>
      </x:c>
      <x:c r="B1046" s="7" t="s">
        <x:v>656</x:v>
      </x:c>
      <x:c r="C1046" s="7" t="s">
        <x:v>658</x:v>
      </x:c>
      <x:c r="D1046" s="7" t="s">
        <x:v>2030</x:v>
      </x:c>
      <x:c r="E1046" s="7" t="s">
        <x:v>3792</x:v>
      </x:c>
      <x:c r="F1046" s="7" t="s">
        <x:v>2032</x:v>
      </x:c>
      <x:c r="G1046" s="8" t="n">
        <x:v>17.2</x:v>
      </x:c>
      <x:c r="H1046" s="8" t="n">
        <x:v>1.4</x:v>
      </x:c>
      <x:c r="I1046" s="8" t="s">
        <x:v>58</x:v>
      </x:c>
      <x:c r="J1046" s="7" t="s">
        <x:v>1919</x:v>
      </x:c>
      <x:c r="K1046" s="8" t="n">
        <x:v>1</x:v>
      </x:c>
      <x:c r="L1046" s="8" t="n">
        <x:f aca="0">IF(AND(ISNUMBER(G1046),P1046&lt;&gt;"Unresolved unit / layout"),G1046*K1046,"Not applicable")</x:f>
        <x:v>17.2</x:v>
      </x:c>
      <x:c r="M1046" s="8" t="n">
        <x:f aca="0">IF(AND(ISNUMBER(H1046),P1046&lt;&gt;"Unresolved unit / layout"),H1046*K1046,"Not applicable")</x:f>
        <x:v>1.4</x:v>
      </x:c>
      <x:c r="N1046" s="8" t="str">
        <x:f aca="0">IF(AND(ISNUMBER(I1046),P1046&lt;&gt;"Unresolved unit / layout"),I1046*K1046,"Not applicable")</x:f>
        <x:v>Not applicable</x:v>
      </x:c>
      <x:c r="O1046" s="7" t="s">
        <x:v>2033</x:v>
      </x:c>
      <x:c r="P1046" s="7" t="s">
        <x:v>1921</x:v>
      </x:c>
      <x:c r="Q1046" s="7" t="s">
        <x:v>1930</x:v>
      </x:c>
      <x:c r="R1046" s="7" t="s">
        <x:v>53</x:v>
      </x:c>
      <x:c r="S1046" s="7" t="s">
        <x:v>3756</x:v>
      </x:c>
      <x:c r="T1046" s="7" t="s">
        <x:v>3741</x:v>
      </x:c>
      <x:c r="U1046" s="7" t="s">
        <x:v>53</x:v>
      </x:c>
      <x:c r="V1046" s="7" t="s">
        <x:v>2806</x:v>
      </x:c>
      <x:c r="W1046" s="7" t="s">
        <x:v>53</x:v>
      </x:c>
      <x:c r="X1046" s="7" t="s">
        <x:v>3742</x:v>
      </x:c>
      <x:c r="Y1046" s="7" t="s">
        <x:v>1264</x:v>
      </x:c>
      <x:c r="Z1046" s="7" t="s">
        <x:v>3793</x:v>
      </x:c>
      <x:c r="AA1046" s="7" t="s">
        <x:v>58</x:v>
      </x:c>
      <x:c r="AB1046" s="8" t="s">
        <x:v>58</x:v>
      </x:c>
      <x:c r="AC1046" s="8" t="s">
        <x:v>58</x:v>
      </x:c>
      <x:c r="AD1046" s="8" t="s">
        <x:v>58</x:v>
      </x:c>
      <x:c r="AE1046" s="8" t="s">
        <x:v>58</x:v>
      </x:c>
      <x:c r="AF1046" s="8" t="s">
        <x:v>58</x:v>
      </x:c>
      <x:c r="AG1046" s="7" t="s">
        <x:v>58</x:v>
      </x:c>
    </x:row>
    <x:row r="1047" ht="51.75" hidden="0" customHeight="1">
      <x:c r="A1047" s="7" t="s">
        <x:v>4071</x:v>
      </x:c>
      <x:c r="B1047" s="7" t="s">
        <x:v>656</x:v>
      </x:c>
      <x:c r="C1047" s="7" t="s">
        <x:v>1293</x:v>
      </x:c>
      <x:c r="D1047" s="7" t="s">
        <x:v>1916</x:v>
      </x:c>
      <x:c r="E1047" s="7" t="s">
        <x:v>3795</x:v>
      </x:c>
      <x:c r="F1047" s="7" t="s">
        <x:v>1918</x:v>
      </x:c>
      <x:c r="G1047" s="8" t="n">
        <x:v>1.12</x:v>
      </x:c>
      <x:c r="H1047" s="8" t="s">
        <x:v>58</x:v>
      </x:c>
      <x:c r="I1047" s="8" t="s">
        <x:v>58</x:v>
      </x:c>
      <x:c r="J1047" s="7" t="s">
        <x:v>1919</x:v>
      </x:c>
      <x:c r="K1047" s="8" t="n">
        <x:v>1000</x:v>
      </x:c>
      <x:c r="L1047" s="8" t="n">
        <x:f aca="0">IF(AND(ISNUMBER(G1047),P1047&lt;&gt;"Unresolved unit / layout"),G1047*K1047,"Not applicable")</x:f>
        <x:v>1120</x:v>
      </x:c>
      <x:c r="M1047" s="8" t="str">
        <x:f aca="0">IF(AND(ISNUMBER(H1047),P1047&lt;&gt;"Unresolved unit / layout"),H1047*K1047,"Not applicable")</x:f>
        <x:v>Not applicable</x:v>
      </x:c>
      <x:c r="N1047" s="8" t="str">
        <x:f aca="0">IF(AND(ISNUMBER(I1047),P1047&lt;&gt;"Unresolved unit / layout"),I1047*K1047,"Not applicable")</x:f>
        <x:v>Not applicable</x:v>
      </x:c>
      <x:c r="O1047" s="7" t="s">
        <x:v>1920</x:v>
      </x:c>
      <x:c r="P1047" s="7" t="s">
        <x:v>1921</x:v>
      </x:c>
      <x:c r="Q1047" s="7" t="s">
        <x:v>1922</x:v>
      </x:c>
      <x:c r="R1047" s="7" t="s">
        <x:v>58</x:v>
      </x:c>
      <x:c r="S1047" s="7" t="s">
        <x:v>53</x:v>
      </x:c>
      <x:c r="T1047" s="7" t="s">
        <x:v>53</x:v>
      </x:c>
      <x:c r="U1047" s="7" t="s">
        <x:v>53</x:v>
      </x:c>
      <x:c r="V1047" s="7" t="s">
        <x:v>1923</x:v>
      </x:c>
      <x:c r="W1047" s="7" t="s">
        <x:v>58</x:v>
      </x:c>
      <x:c r="X1047" s="7" t="s">
        <x:v>3796</x:v>
      </x:c>
      <x:c r="Y1047" s="7" t="s">
        <x:v>1267</x:v>
      </x:c>
      <x:c r="Z1047" s="7" t="s">
        <x:v>1925</x:v>
      </x:c>
      <x:c r="AA1047" s="7" t="s">
        <x:v>58</x:v>
      </x:c>
      <x:c r="AB1047" s="8" t="s">
        <x:v>58</x:v>
      </x:c>
      <x:c r="AC1047" s="8" t="s">
        <x:v>58</x:v>
      </x:c>
      <x:c r="AD1047" s="8" t="s">
        <x:v>58</x:v>
      </x:c>
      <x:c r="AE1047" s="8" t="s">
        <x:v>58</x:v>
      </x:c>
      <x:c r="AF1047" s="8" t="s">
        <x:v>58</x:v>
      </x:c>
      <x:c r="AG1047" s="7" t="s">
        <x:v>58</x:v>
      </x:c>
    </x:row>
    <x:row r="1048" ht="51.75" hidden="0" customHeight="1">
      <x:c r="A1048" s="7" t="s">
        <x:v>4072</x:v>
      </x:c>
      <x:c r="B1048" s="7" t="s">
        <x:v>656</x:v>
      </x:c>
      <x:c r="C1048" s="7" t="s">
        <x:v>1293</x:v>
      </x:c>
      <x:c r="D1048" s="7" t="s">
        <x:v>1927</x:v>
      </x:c>
      <x:c r="E1048" s="7" t="s">
        <x:v>1955</x:v>
      </x:c>
      <x:c r="F1048" s="7" t="s">
        <x:v>1929</x:v>
      </x:c>
      <x:c r="G1048" s="8" t="n">
        <x:v>55</x:v>
      </x:c>
      <x:c r="H1048" s="8" t="s">
        <x:v>58</x:v>
      </x:c>
      <x:c r="I1048" s="8" t="s">
        <x:v>58</x:v>
      </x:c>
      <x:c r="J1048" s="7" t="s">
        <x:v>1919</x:v>
      </x:c>
      <x:c r="K1048" s="8" t="n">
        <x:v>1</x:v>
      </x:c>
      <x:c r="L1048" s="8" t="n">
        <x:f aca="0">IF(AND(ISNUMBER(G1048),P1048&lt;&gt;"Unresolved unit / layout"),G1048*K1048,"Not applicable")</x:f>
        <x:v>55</x:v>
      </x:c>
      <x:c r="M1048" s="8" t="str">
        <x:f aca="0">IF(AND(ISNUMBER(H1048),P1048&lt;&gt;"Unresolved unit / layout"),H1048*K1048,"Not applicable")</x:f>
        <x:v>Not applicable</x:v>
      </x:c>
      <x:c r="N1048" s="8" t="str">
        <x:f aca="0">IF(AND(ISNUMBER(I1048),P1048&lt;&gt;"Unresolved unit / layout"),I1048*K1048,"Not applicable")</x:f>
        <x:v>Not applicable</x:v>
      </x:c>
      <x:c r="O1048" s="7" t="s">
        <x:v>1929</x:v>
      </x:c>
      <x:c r="P1048" s="7" t="s">
        <x:v>1921</x:v>
      </x:c>
      <x:c r="Q1048" s="7" t="s">
        <x:v>1930</x:v>
      </x:c>
      <x:c r="R1048" s="7" t="s">
        <x:v>1931</x:v>
      </x:c>
      <x:c r="S1048" s="7" t="s">
        <x:v>53</x:v>
      </x:c>
      <x:c r="T1048" s="7" t="s">
        <x:v>53</x:v>
      </x:c>
      <x:c r="U1048" s="7" t="s">
        <x:v>53</x:v>
      </x:c>
      <x:c r="V1048" s="7" t="s">
        <x:v>1932</x:v>
      </x:c>
      <x:c r="W1048" s="7" t="s">
        <x:v>58</x:v>
      </x:c>
      <x:c r="X1048" s="7" t="s">
        <x:v>3796</x:v>
      </x:c>
      <x:c r="Y1048" s="7" t="s">
        <x:v>1267</x:v>
      </x:c>
      <x:c r="Z1048" s="7" t="s">
        <x:v>1933</x:v>
      </x:c>
      <x:c r="AA1048" s="7" t="s">
        <x:v>58</x:v>
      </x:c>
      <x:c r="AB1048" s="8" t="s">
        <x:v>58</x:v>
      </x:c>
      <x:c r="AC1048" s="8" t="s">
        <x:v>58</x:v>
      </x:c>
      <x:c r="AD1048" s="8" t="s">
        <x:v>58</x:v>
      </x:c>
      <x:c r="AE1048" s="8" t="s">
        <x:v>58</x:v>
      </x:c>
      <x:c r="AF1048" s="8" t="s">
        <x:v>58</x:v>
      </x:c>
      <x:c r="AG1048" s="7" t="s">
        <x:v>58</x:v>
      </x:c>
    </x:row>
    <x:row r="1049" ht="51.75" hidden="0" customHeight="1">
      <x:c r="A1049" s="7" t="s">
        <x:v>4073</x:v>
      </x:c>
      <x:c r="B1049" s="7" t="s">
        <x:v>656</x:v>
      </x:c>
      <x:c r="C1049" s="7" t="s">
        <x:v>1293</x:v>
      </x:c>
      <x:c r="D1049" s="7" t="s">
        <x:v>1935</x:v>
      </x:c>
      <x:c r="E1049" s="7" t="s">
        <x:v>3799</x:v>
      </x:c>
      <x:c r="F1049" s="7" t="s">
        <x:v>1929</x:v>
      </x:c>
      <x:c r="G1049" s="8" t="n">
        <x:v>1980</x:v>
      </x:c>
      <x:c r="H1049" s="8" t="s">
        <x:v>58</x:v>
      </x:c>
      <x:c r="I1049" s="8" t="s">
        <x:v>58</x:v>
      </x:c>
      <x:c r="J1049" s="7" t="s">
        <x:v>1919</x:v>
      </x:c>
      <x:c r="K1049" s="8" t="n">
        <x:v>0.001</x:v>
      </x:c>
      <x:c r="L1049" s="8" t="n">
        <x:f aca="0">IF(AND(ISNUMBER(G1049),P1049&lt;&gt;"Unresolved unit / layout"),G1049*K1049,"Not applicable")</x:f>
        <x:v>1.98</x:v>
      </x:c>
      <x:c r="M1049" s="8" t="str">
        <x:f aca="0">IF(AND(ISNUMBER(H1049),P1049&lt;&gt;"Unresolved unit / layout"),H1049*K1049,"Not applicable")</x:f>
        <x:v>Not applicable</x:v>
      </x:c>
      <x:c r="N1049" s="8" t="str">
        <x:f aca="0">IF(AND(ISNUMBER(I1049),P1049&lt;&gt;"Unresolved unit / layout"),I1049*K1049,"Not applicable")</x:f>
        <x:v>Not applicable</x:v>
      </x:c>
      <x:c r="O1049" s="7" t="s">
        <x:v>1937</x:v>
      </x:c>
      <x:c r="P1049" s="7" t="s">
        <x:v>1921</x:v>
      </x:c>
      <x:c r="Q1049" s="7" t="s">
        <x:v>1930</x:v>
      </x:c>
      <x:c r="R1049" s="7" t="s">
        <x:v>1931</x:v>
      </x:c>
      <x:c r="S1049" s="7" t="s">
        <x:v>53</x:v>
      </x:c>
      <x:c r="T1049" s="7" t="s">
        <x:v>53</x:v>
      </x:c>
      <x:c r="U1049" s="7" t="s">
        <x:v>53</x:v>
      </x:c>
      <x:c r="V1049" s="7" t="s">
        <x:v>1932</x:v>
      </x:c>
      <x:c r="W1049" s="7" t="s">
        <x:v>58</x:v>
      </x:c>
      <x:c r="X1049" s="7" t="s">
        <x:v>3796</x:v>
      </x:c>
      <x:c r="Y1049" s="7" t="s">
        <x:v>1267</x:v>
      </x:c>
      <x:c r="Z1049" s="7" t="s">
        <x:v>1938</x:v>
      </x:c>
      <x:c r="AA1049" s="7" t="s">
        <x:v>58</x:v>
      </x:c>
      <x:c r="AB1049" s="8" t="s">
        <x:v>58</x:v>
      </x:c>
      <x:c r="AC1049" s="8" t="s">
        <x:v>58</x:v>
      </x:c>
      <x:c r="AD1049" s="8" t="s">
        <x:v>58</x:v>
      </x:c>
      <x:c r="AE1049" s="8" t="s">
        <x:v>58</x:v>
      </x:c>
      <x:c r="AF1049" s="8" t="s">
        <x:v>58</x:v>
      </x:c>
      <x:c r="AG1049" s="7" t="s">
        <x:v>58</x:v>
      </x:c>
    </x:row>
    <x:row r="1050" ht="51.75" hidden="0" customHeight="1">
      <x:c r="A1050" s="7" t="s">
        <x:v>4074</x:v>
      </x:c>
      <x:c r="B1050" s="7" t="s">
        <x:v>656</x:v>
      </x:c>
      <x:c r="C1050" s="7" t="s">
        <x:v>1293</x:v>
      </x:c>
      <x:c r="D1050" s="7" t="s">
        <x:v>1940</x:v>
      </x:c>
      <x:c r="E1050" s="7" t="s">
        <x:v>3801</x:v>
      </x:c>
      <x:c r="F1050" s="7" t="s">
        <x:v>1942</x:v>
      </x:c>
      <x:c r="G1050" s="8" t="n">
        <x:v>100</x:v>
      </x:c>
      <x:c r="H1050" s="8" t="s">
        <x:v>58</x:v>
      </x:c>
      <x:c r="I1050" s="8" t="s">
        <x:v>58</x:v>
      </x:c>
      <x:c r="J1050" s="7" t="s">
        <x:v>1919</x:v>
      </x:c>
      <x:c r="K1050" s="8" t="n">
        <x:v>1</x:v>
      </x:c>
      <x:c r="L1050" s="8" t="n">
        <x:f aca="0">IF(AND(ISNUMBER(G1050),P1050&lt;&gt;"Unresolved unit / layout"),G1050*K1050,"Not applicable")</x:f>
        <x:v>100</x:v>
      </x:c>
      <x:c r="M1050" s="8" t="str">
        <x:f aca="0">IF(AND(ISNUMBER(H1050),P1050&lt;&gt;"Unresolved unit / layout"),H1050*K1050,"Not applicable")</x:f>
        <x:v>Not applicable</x:v>
      </x:c>
      <x:c r="N1050" s="8" t="str">
        <x:f aca="0">IF(AND(ISNUMBER(I1050),P1050&lt;&gt;"Unresolved unit / layout"),I1050*K1050,"Not applicable")</x:f>
        <x:v>Not applicable</x:v>
      </x:c>
      <x:c r="O1050" s="7" t="s">
        <x:v>1942</x:v>
      </x:c>
      <x:c r="P1050" s="7" t="s">
        <x:v>1921</x:v>
      </x:c>
      <x:c r="Q1050" s="7" t="s">
        <x:v>1930</x:v>
      </x:c>
      <x:c r="R1050" s="7" t="s">
        <x:v>1931</x:v>
      </x:c>
      <x:c r="S1050" s="7" t="s">
        <x:v>53</x:v>
      </x:c>
      <x:c r="T1050" s="7" t="s">
        <x:v>53</x:v>
      </x:c>
      <x:c r="U1050" s="7" t="s">
        <x:v>53</x:v>
      </x:c>
      <x:c r="V1050" s="7" t="s">
        <x:v>1932</x:v>
      </x:c>
      <x:c r="W1050" s="7" t="s">
        <x:v>58</x:v>
      </x:c>
      <x:c r="X1050" s="7" t="s">
        <x:v>3796</x:v>
      </x:c>
      <x:c r="Y1050" s="7" t="s">
        <x:v>1267</x:v>
      </x:c>
      <x:c r="Z1050" s="7" t="s">
        <x:v>1943</x:v>
      </x:c>
      <x:c r="AA1050" s="7" t="s">
        <x:v>58</x:v>
      </x:c>
      <x:c r="AB1050" s="8" t="s">
        <x:v>58</x:v>
      </x:c>
      <x:c r="AC1050" s="8" t="s">
        <x:v>58</x:v>
      </x:c>
      <x:c r="AD1050" s="8" t="s">
        <x:v>58</x:v>
      </x:c>
      <x:c r="AE1050" s="8" t="s">
        <x:v>58</x:v>
      </x:c>
      <x:c r="AF1050" s="8" t="s">
        <x:v>58</x:v>
      </x:c>
      <x:c r="AG1050" s="7" t="s">
        <x:v>58</x:v>
      </x:c>
    </x:row>
    <x:row r="1051" ht="51.75" hidden="0" customHeight="1">
      <x:c r="A1051" s="7" t="s">
        <x:v>4075</x:v>
      </x:c>
      <x:c r="B1051" s="7" t="s">
        <x:v>656</x:v>
      </x:c>
      <x:c r="C1051" s="7" t="s">
        <x:v>1293</x:v>
      </x:c>
      <x:c r="D1051" s="7" t="s">
        <x:v>1945</x:v>
      </x:c>
      <x:c r="E1051" s="7" t="s">
        <x:v>3186</x:v>
      </x:c>
      <x:c r="F1051" s="7" t="s">
        <x:v>1929</x:v>
      </x:c>
      <x:c r="G1051" s="8" t="n">
        <x:v>76</x:v>
      </x:c>
      <x:c r="H1051" s="8" t="s">
        <x:v>58</x:v>
      </x:c>
      <x:c r="I1051" s="8" t="s">
        <x:v>58</x:v>
      </x:c>
      <x:c r="J1051" s="7" t="s">
        <x:v>1919</x:v>
      </x:c>
      <x:c r="K1051" s="8" t="n">
        <x:v>1</x:v>
      </x:c>
      <x:c r="L1051" s="8" t="n">
        <x:f aca="0">IF(AND(ISNUMBER(G1051),P1051&lt;&gt;"Unresolved unit / layout"),G1051*K1051,"Not applicable")</x:f>
        <x:v>76</x:v>
      </x:c>
      <x:c r="M1051" s="8" t="str">
        <x:f aca="0">IF(AND(ISNUMBER(H1051),P1051&lt;&gt;"Unresolved unit / layout"),H1051*K1051,"Not applicable")</x:f>
        <x:v>Not applicable</x:v>
      </x:c>
      <x:c r="N1051" s="8" t="str">
        <x:f aca="0">IF(AND(ISNUMBER(I1051),P1051&lt;&gt;"Unresolved unit / layout"),I1051*K1051,"Not applicable")</x:f>
        <x:v>Not applicable</x:v>
      </x:c>
      <x:c r="O1051" s="7" t="s">
        <x:v>1929</x:v>
      </x:c>
      <x:c r="P1051" s="7" t="s">
        <x:v>1921</x:v>
      </x:c>
      <x:c r="Q1051" s="7" t="s">
        <x:v>1930</x:v>
      </x:c>
      <x:c r="R1051" s="7" t="s">
        <x:v>1931</x:v>
      </x:c>
      <x:c r="S1051" s="7" t="s">
        <x:v>53</x:v>
      </x:c>
      <x:c r="T1051" s="7" t="s">
        <x:v>53</x:v>
      </x:c>
      <x:c r="U1051" s="7" t="s">
        <x:v>53</x:v>
      </x:c>
      <x:c r="V1051" s="7" t="s">
        <x:v>1947</x:v>
      </x:c>
      <x:c r="W1051" s="7" t="s">
        <x:v>58</x:v>
      </x:c>
      <x:c r="X1051" s="7" t="s">
        <x:v>3796</x:v>
      </x:c>
      <x:c r="Y1051" s="7" t="s">
        <x:v>1267</x:v>
      </x:c>
      <x:c r="Z1051" s="7" t="s">
        <x:v>1948</x:v>
      </x:c>
      <x:c r="AA1051" s="7" t="s">
        <x:v>58</x:v>
      </x:c>
      <x:c r="AB1051" s="8" t="s">
        <x:v>58</x:v>
      </x:c>
      <x:c r="AC1051" s="8" t="s">
        <x:v>58</x:v>
      </x:c>
      <x:c r="AD1051" s="8" t="s">
        <x:v>58</x:v>
      </x:c>
      <x:c r="AE1051" s="8" t="s">
        <x:v>58</x:v>
      </x:c>
      <x:c r="AF1051" s="8" t="s">
        <x:v>58</x:v>
      </x:c>
      <x:c r="AG1051" s="7" t="s">
        <x:v>58</x:v>
      </x:c>
    </x:row>
    <x:row r="1052" ht="51.75" hidden="0" customHeight="1">
      <x:c r="A1052" s="7" t="s">
        <x:v>4076</x:v>
      </x:c>
      <x:c r="B1052" s="7" t="s">
        <x:v>656</x:v>
      </x:c>
      <x:c r="C1052" s="7" t="s">
        <x:v>1293</x:v>
      </x:c>
      <x:c r="D1052" s="7" t="s">
        <x:v>1950</x:v>
      </x:c>
      <x:c r="E1052" s="7" t="s">
        <x:v>3804</x:v>
      </x:c>
      <x:c r="F1052" s="7" t="s">
        <x:v>1929</x:v>
      </x:c>
      <x:c r="G1052" s="8" t="n">
        <x:v>2050</x:v>
      </x:c>
      <x:c r="H1052" s="8" t="s">
        <x:v>58</x:v>
      </x:c>
      <x:c r="I1052" s="8" t="s">
        <x:v>58</x:v>
      </x:c>
      <x:c r="J1052" s="7" t="s">
        <x:v>1919</x:v>
      </x:c>
      <x:c r="K1052" s="8" t="n">
        <x:v>0.001</x:v>
      </x:c>
      <x:c r="L1052" s="8" t="n">
        <x:f aca="0">IF(AND(ISNUMBER(G1052),P1052&lt;&gt;"Unresolved unit / layout"),G1052*K1052,"Not applicable")</x:f>
        <x:v>2.05</x:v>
      </x:c>
      <x:c r="M1052" s="8" t="str">
        <x:f aca="0">IF(AND(ISNUMBER(H1052),P1052&lt;&gt;"Unresolved unit / layout"),H1052*K1052,"Not applicable")</x:f>
        <x:v>Not applicable</x:v>
      </x:c>
      <x:c r="N1052" s="8" t="str">
        <x:f aca="0">IF(AND(ISNUMBER(I1052),P1052&lt;&gt;"Unresolved unit / layout"),I1052*K1052,"Not applicable")</x:f>
        <x:v>Not applicable</x:v>
      </x:c>
      <x:c r="O1052" s="7" t="s">
        <x:v>1937</x:v>
      </x:c>
      <x:c r="P1052" s="7" t="s">
        <x:v>1921</x:v>
      </x:c>
      <x:c r="Q1052" s="7" t="s">
        <x:v>1930</x:v>
      </x:c>
      <x:c r="R1052" s="7" t="s">
        <x:v>1931</x:v>
      </x:c>
      <x:c r="S1052" s="7" t="s">
        <x:v>53</x:v>
      </x:c>
      <x:c r="T1052" s="7" t="s">
        <x:v>53</x:v>
      </x:c>
      <x:c r="U1052" s="7" t="s">
        <x:v>53</x:v>
      </x:c>
      <x:c r="V1052" s="7" t="s">
        <x:v>1947</x:v>
      </x:c>
      <x:c r="W1052" s="7" t="s">
        <x:v>58</x:v>
      </x:c>
      <x:c r="X1052" s="7" t="s">
        <x:v>3796</x:v>
      </x:c>
      <x:c r="Y1052" s="7" t="s">
        <x:v>1267</x:v>
      </x:c>
      <x:c r="Z1052" s="7" t="s">
        <x:v>1952</x:v>
      </x:c>
      <x:c r="AA1052" s="7" t="s">
        <x:v>58</x:v>
      </x:c>
      <x:c r="AB1052" s="8" t="s">
        <x:v>58</x:v>
      </x:c>
      <x:c r="AC1052" s="8" t="s">
        <x:v>58</x:v>
      </x:c>
      <x:c r="AD1052" s="8" t="s">
        <x:v>58</x:v>
      </x:c>
      <x:c r="AE1052" s="8" t="s">
        <x:v>58</x:v>
      </x:c>
      <x:c r="AF1052" s="8" t="s">
        <x:v>58</x:v>
      </x:c>
      <x:c r="AG1052" s="7" t="s">
        <x:v>58</x:v>
      </x:c>
    </x:row>
    <x:row r="1053" ht="51.75" hidden="0" customHeight="1">
      <x:c r="A1053" s="7" t="s">
        <x:v>4077</x:v>
      </x:c>
      <x:c r="B1053" s="7" t="s">
        <x:v>656</x:v>
      </x:c>
      <x:c r="C1053" s="7" t="s">
        <x:v>1293</x:v>
      </x:c>
      <x:c r="D1053" s="7" t="s">
        <x:v>1954</x:v>
      </x:c>
      <x:c r="E1053" s="7" t="s">
        <x:v>3186</x:v>
      </x:c>
      <x:c r="F1053" s="7" t="s">
        <x:v>1956</x:v>
      </x:c>
      <x:c r="G1053" s="8" t="n">
        <x:v>76</x:v>
      </x:c>
      <x:c r="H1053" s="8" t="s">
        <x:v>58</x:v>
      </x:c>
      <x:c r="I1053" s="8" t="s">
        <x:v>58</x:v>
      </x:c>
      <x:c r="J1053" s="7" t="s">
        <x:v>1919</x:v>
      </x:c>
      <x:c r="K1053" s="8" t="n">
        <x:v>1</x:v>
      </x:c>
      <x:c r="L1053" s="8" t="n">
        <x:f aca="0">IF(AND(ISNUMBER(G1053),P1053&lt;&gt;"Unresolved unit / layout"),G1053*K1053,"Not applicable")</x:f>
        <x:v>76</x:v>
      </x:c>
      <x:c r="M1053" s="8" t="str">
        <x:f aca="0">IF(AND(ISNUMBER(H1053),P1053&lt;&gt;"Unresolved unit / layout"),H1053*K1053,"Not applicable")</x:f>
        <x:v>Not applicable</x:v>
      </x:c>
      <x:c r="N1053" s="8" t="str">
        <x:f aca="0">IF(AND(ISNUMBER(I1053),P1053&lt;&gt;"Unresolved unit / layout"),I1053*K1053,"Not applicable")</x:f>
        <x:v>Not applicable</x:v>
      </x:c>
      <x:c r="O1053" s="7" t="s">
        <x:v>1956</x:v>
      </x:c>
      <x:c r="P1053" s="7" t="s">
        <x:v>1921</x:v>
      </x:c>
      <x:c r="Q1053" s="7" t="s">
        <x:v>1930</x:v>
      </x:c>
      <x:c r="R1053" s="7" t="s">
        <x:v>58</x:v>
      </x:c>
      <x:c r="S1053" s="7" t="s">
        <x:v>53</x:v>
      </x:c>
      <x:c r="T1053" s="7" t="s">
        <x:v>53</x:v>
      </x:c>
      <x:c r="U1053" s="7" t="s">
        <x:v>53</x:v>
      </x:c>
      <x:c r="V1053" s="7" t="s">
        <x:v>1957</x:v>
      </x:c>
      <x:c r="W1053" s="7" t="s">
        <x:v>58</x:v>
      </x:c>
      <x:c r="X1053" s="7" t="s">
        <x:v>3796</x:v>
      </x:c>
      <x:c r="Y1053" s="7" t="s">
        <x:v>1267</x:v>
      </x:c>
      <x:c r="Z1053" s="7" t="s">
        <x:v>3215</x:v>
      </x:c>
      <x:c r="AA1053" s="7" t="s">
        <x:v>58</x:v>
      </x:c>
      <x:c r="AB1053" s="8" t="s">
        <x:v>58</x:v>
      </x:c>
      <x:c r="AC1053" s="8" t="s">
        <x:v>58</x:v>
      </x:c>
      <x:c r="AD1053" s="8" t="s">
        <x:v>58</x:v>
      </x:c>
      <x:c r="AE1053" s="8" t="s">
        <x:v>58</x:v>
      </x:c>
      <x:c r="AF1053" s="8" t="s">
        <x:v>58</x:v>
      </x:c>
      <x:c r="AG1053" s="7" t="s">
        <x:v>58</x:v>
      </x:c>
    </x:row>
    <x:row r="1054" ht="51.75" hidden="0" customHeight="1">
      <x:c r="A1054" s="7" t="s">
        <x:v>4078</x:v>
      </x:c>
      <x:c r="B1054" s="7" t="s">
        <x:v>656</x:v>
      </x:c>
      <x:c r="C1054" s="7" t="s">
        <x:v>1293</x:v>
      </x:c>
      <x:c r="D1054" s="7" t="s">
        <x:v>1959</x:v>
      </x:c>
      <x:c r="E1054" s="7" t="s">
        <x:v>3807</x:v>
      </x:c>
      <x:c r="F1054" s="7" t="s">
        <x:v>1956</x:v>
      </x:c>
      <x:c r="G1054" s="8" t="n">
        <x:v>140</x:v>
      </x:c>
      <x:c r="H1054" s="8" t="s">
        <x:v>58</x:v>
      </x:c>
      <x:c r="I1054" s="8" t="s">
        <x:v>58</x:v>
      </x:c>
      <x:c r="J1054" s="7" t="s">
        <x:v>1919</x:v>
      </x:c>
      <x:c r="K1054" s="8" t="n">
        <x:v>1</x:v>
      </x:c>
      <x:c r="L1054" s="8" t="n">
        <x:f aca="0">IF(AND(ISNUMBER(G1054),P1054&lt;&gt;"Unresolved unit / layout"),G1054*K1054,"Not applicable")</x:f>
        <x:v>140</x:v>
      </x:c>
      <x:c r="M1054" s="8" t="str">
        <x:f aca="0">IF(AND(ISNUMBER(H1054),P1054&lt;&gt;"Unresolved unit / layout"),H1054*K1054,"Not applicable")</x:f>
        <x:v>Not applicable</x:v>
      </x:c>
      <x:c r="N1054" s="8" t="str">
        <x:f aca="0">IF(AND(ISNUMBER(I1054),P1054&lt;&gt;"Unresolved unit / layout"),I1054*K1054,"Not applicable")</x:f>
        <x:v>Not applicable</x:v>
      </x:c>
      <x:c r="O1054" s="7" t="s">
        <x:v>1956</x:v>
      </x:c>
      <x:c r="P1054" s="7" t="s">
        <x:v>1921</x:v>
      </x:c>
      <x:c r="Q1054" s="7" t="s">
        <x:v>1930</x:v>
      </x:c>
      <x:c r="R1054" s="7" t="s">
        <x:v>58</x:v>
      </x:c>
      <x:c r="S1054" s="7" t="s">
        <x:v>53</x:v>
      </x:c>
      <x:c r="T1054" s="7" t="s">
        <x:v>53</x:v>
      </x:c>
      <x:c r="U1054" s="7" t="s">
        <x:v>53</x:v>
      </x:c>
      <x:c r="V1054" s="7" t="s">
        <x:v>1961</x:v>
      </x:c>
      <x:c r="W1054" s="7" t="s">
        <x:v>58</x:v>
      </x:c>
      <x:c r="X1054" s="7" t="s">
        <x:v>3796</x:v>
      </x:c>
      <x:c r="Y1054" s="7" t="s">
        <x:v>1267</x:v>
      </x:c>
      <x:c r="Z1054" s="7" t="s">
        <x:v>1962</x:v>
      </x:c>
      <x:c r="AA1054" s="7" t="s">
        <x:v>58</x:v>
      </x:c>
      <x:c r="AB1054" s="8" t="s">
        <x:v>58</x:v>
      </x:c>
      <x:c r="AC1054" s="8" t="s">
        <x:v>58</x:v>
      </x:c>
      <x:c r="AD1054" s="8" t="s">
        <x:v>58</x:v>
      </x:c>
      <x:c r="AE1054" s="8" t="s">
        <x:v>58</x:v>
      </x:c>
      <x:c r="AF1054" s="8" t="s">
        <x:v>58</x:v>
      </x:c>
      <x:c r="AG1054" s="7" t="s">
        <x:v>58</x:v>
      </x:c>
    </x:row>
    <x:row r="1055" ht="66" hidden="0" customHeight="1">
      <x:c r="A1055" s="7" t="s">
        <x:v>4079</x:v>
      </x:c>
      <x:c r="B1055" s="7" t="s">
        <x:v>671</x:v>
      </x:c>
      <x:c r="C1055" s="7" t="s">
        <x:v>673</x:v>
      </x:c>
      <x:c r="D1055" s="7" t="s">
        <x:v>1916</x:v>
      </x:c>
      <x:c r="E1055" s="7" t="s">
        <x:v>4080</x:v>
      </x:c>
      <x:c r="F1055" s="7" t="s">
        <x:v>1965</x:v>
      </x:c>
      <x:c r="G1055" s="8" t="n">
        <x:v>1.03</x:v>
      </x:c>
      <x:c r="H1055" s="8" t="s">
        <x:v>58</x:v>
      </x:c>
      <x:c r="I1055" s="8" t="s">
        <x:v>58</x:v>
      </x:c>
      <x:c r="J1055" s="7" t="s">
        <x:v>1919</x:v>
      </x:c>
      <x:c r="K1055" s="8" t="n">
        <x:v>1000</x:v>
      </x:c>
      <x:c r="L1055" s="8" t="n">
        <x:f aca="0">IF(AND(ISNUMBER(G1055),P1055&lt;&gt;"Unresolved unit / layout"),G1055*K1055,"Not applicable")</x:f>
        <x:v>1030</x:v>
      </x:c>
      <x:c r="M1055" s="8" t="str">
        <x:f aca="0">IF(AND(ISNUMBER(H1055),P1055&lt;&gt;"Unresolved unit / layout"),H1055*K1055,"Not applicable")</x:f>
        <x:v>Not applicable</x:v>
      </x:c>
      <x:c r="N1055" s="8" t="str">
        <x:f aca="0">IF(AND(ISNUMBER(I1055),P1055&lt;&gt;"Unresolved unit / layout"),I1055*K1055,"Not applicable")</x:f>
        <x:v>Not applicable</x:v>
      </x:c>
      <x:c r="O1055" s="7" t="s">
        <x:v>1920</x:v>
      </x:c>
      <x:c r="P1055" s="7" t="s">
        <x:v>1921</x:v>
      </x:c>
      <x:c r="Q1055" s="7" t="s">
        <x:v>1922</x:v>
      </x:c>
      <x:c r="R1055" s="7" t="s">
        <x:v>58</x:v>
      </x:c>
      <x:c r="S1055" s="7" t="s">
        <x:v>53</x:v>
      </x:c>
      <x:c r="T1055" s="7" t="s">
        <x:v>4081</x:v>
      </x:c>
      <x:c r="U1055" s="7" t="s">
        <x:v>53</x:v>
      </x:c>
      <x:c r="V1055" s="7" t="s">
        <x:v>1966</x:v>
      </x:c>
      <x:c r="W1055" s="7" t="s">
        <x:v>58</x:v>
      </x:c>
      <x:c r="X1055" s="7" t="s">
        <x:v>4082</x:v>
      </x:c>
      <x:c r="Y1055" s="7" t="s">
        <x:v>1295</x:v>
      </x:c>
      <x:c r="Z1055" s="7" t="s">
        <x:v>1925</x:v>
      </x:c>
      <x:c r="AA1055" s="7" t="s">
        <x:v>58</x:v>
      </x:c>
      <x:c r="AB1055" s="8" t="s">
        <x:v>58</x:v>
      </x:c>
      <x:c r="AC1055" s="8" t="s">
        <x:v>58</x:v>
      </x:c>
      <x:c r="AD1055" s="8" t="s">
        <x:v>58</x:v>
      </x:c>
      <x:c r="AE1055" s="8" t="s">
        <x:v>58</x:v>
      </x:c>
      <x:c r="AF1055" s="8" t="s">
        <x:v>58</x:v>
      </x:c>
      <x:c r="AG1055" s="7" t="s">
        <x:v>58</x:v>
      </x:c>
    </x:row>
    <x:row r="1056" ht="66" hidden="0" customHeight="1">
      <x:c r="A1056" s="7" t="s">
        <x:v>4083</x:v>
      </x:c>
      <x:c r="B1056" s="7" t="s">
        <x:v>671</x:v>
      </x:c>
      <x:c r="C1056" s="7" t="s">
        <x:v>673</x:v>
      </x:c>
      <x:c r="D1056" s="7" t="s">
        <x:v>1978</x:v>
      </x:c>
      <x:c r="E1056" s="7" t="s">
        <x:v>3632</x:v>
      </x:c>
      <x:c r="F1056" s="7" t="s">
        <x:v>1956</x:v>
      </x:c>
      <x:c r="G1056" s="8" t="n">
        <x:v>180</x:v>
      </x:c>
      <x:c r="H1056" s="8" t="s">
        <x:v>58</x:v>
      </x:c>
      <x:c r="I1056" s="8" t="s">
        <x:v>58</x:v>
      </x:c>
      <x:c r="J1056" s="7" t="s">
        <x:v>1919</x:v>
      </x:c>
      <x:c r="K1056" s="8" t="n">
        <x:v>1</x:v>
      </x:c>
      <x:c r="L1056" s="8" t="n">
        <x:f aca="0">IF(AND(ISNUMBER(G1056),P1056&lt;&gt;"Unresolved unit / layout"),G1056*K1056,"Not applicable")</x:f>
        <x:v>180</x:v>
      </x:c>
      <x:c r="M1056" s="8" t="str">
        <x:f aca="0">IF(AND(ISNUMBER(H1056),P1056&lt;&gt;"Unresolved unit / layout"),H1056*K1056,"Not applicable")</x:f>
        <x:v>Not applicable</x:v>
      </x:c>
      <x:c r="N1056" s="8" t="str">
        <x:f aca="0">IF(AND(ISNUMBER(I1056),P1056&lt;&gt;"Unresolved unit / layout"),I1056*K1056,"Not applicable")</x:f>
        <x:v>Not applicable</x:v>
      </x:c>
      <x:c r="O1056" s="7" t="s">
        <x:v>1956</x:v>
      </x:c>
      <x:c r="P1056" s="7" t="s">
        <x:v>1921</x:v>
      </x:c>
      <x:c r="Q1056" s="7" t="s">
        <x:v>1930</x:v>
      </x:c>
      <x:c r="R1056" s="7" t="s">
        <x:v>58</x:v>
      </x:c>
      <x:c r="S1056" s="7" t="s">
        <x:v>53</x:v>
      </x:c>
      <x:c r="T1056" s="7" t="s">
        <x:v>4081</x:v>
      </x:c>
      <x:c r="U1056" s="7" t="s">
        <x:v>53</x:v>
      </x:c>
      <x:c r="V1056" s="7" t="s">
        <x:v>1971</x:v>
      </x:c>
      <x:c r="W1056" s="7" t="s">
        <x:v>58</x:v>
      </x:c>
      <x:c r="X1056" s="7" t="s">
        <x:v>4082</x:v>
      </x:c>
      <x:c r="Y1056" s="7" t="s">
        <x:v>1295</x:v>
      </x:c>
      <x:c r="Z1056" s="7" t="s">
        <x:v>4084</x:v>
      </x:c>
      <x:c r="AA1056" s="7" t="s">
        <x:v>58</x:v>
      </x:c>
      <x:c r="AB1056" s="8" t="s">
        <x:v>58</x:v>
      </x:c>
      <x:c r="AC1056" s="8" t="s">
        <x:v>58</x:v>
      </x:c>
      <x:c r="AD1056" s="8" t="s">
        <x:v>58</x:v>
      </x:c>
      <x:c r="AE1056" s="8" t="s">
        <x:v>58</x:v>
      </x:c>
      <x:c r="AF1056" s="8" t="s">
        <x:v>58</x:v>
      </x:c>
      <x:c r="AG1056" s="7" t="s">
        <x:v>58</x:v>
      </x:c>
    </x:row>
    <x:row r="1057" ht="66" hidden="0" customHeight="1">
      <x:c r="A1057" s="7" t="s">
        <x:v>680</x:v>
      </x:c>
      <x:c r="B1057" s="7" t="s">
        <x:v>671</x:v>
      </x:c>
      <x:c r="C1057" s="7" t="s">
        <x:v>673</x:v>
      </x:c>
      <x:c r="D1057" s="7" t="s">
        <x:v>1959</x:v>
      </x:c>
      <x:c r="E1057" s="7" t="s">
        <x:v>4085</x:v>
      </x:c>
      <x:c r="F1057" s="7" t="s">
        <x:v>1956</x:v>
      </x:c>
      <x:c r="G1057" s="8" t="n">
        <x:v>175</x:v>
      </x:c>
      <x:c r="H1057" s="8" t="s">
        <x:v>58</x:v>
      </x:c>
      <x:c r="I1057" s="8" t="s">
        <x:v>58</x:v>
      </x:c>
      <x:c r="J1057" s="7" t="s">
        <x:v>1919</x:v>
      </x:c>
      <x:c r="K1057" s="8" t="n">
        <x:v>1</x:v>
      </x:c>
      <x:c r="L1057" s="8" t="n">
        <x:f aca="0">IF(AND(ISNUMBER(G1057),P1057&lt;&gt;"Unresolved unit / layout"),G1057*K1057,"Not applicable")</x:f>
        <x:v>175</x:v>
      </x:c>
      <x:c r="M1057" s="8" t="str">
        <x:f aca="0">IF(AND(ISNUMBER(H1057),P1057&lt;&gt;"Unresolved unit / layout"),H1057*K1057,"Not applicable")</x:f>
        <x:v>Not applicable</x:v>
      </x:c>
      <x:c r="N1057" s="8" t="str">
        <x:f aca="0">IF(AND(ISNUMBER(I1057),P1057&lt;&gt;"Unresolved unit / layout"),I1057*K1057,"Not applicable")</x:f>
        <x:v>Not applicable</x:v>
      </x:c>
      <x:c r="O1057" s="7" t="s">
        <x:v>1956</x:v>
      </x:c>
      <x:c r="P1057" s="7" t="s">
        <x:v>1921</x:v>
      </x:c>
      <x:c r="Q1057" s="7" t="s">
        <x:v>1930</x:v>
      </x:c>
      <x:c r="R1057" s="7" t="s">
        <x:v>58</x:v>
      </x:c>
      <x:c r="S1057" s="7" t="s">
        <x:v>53</x:v>
      </x:c>
      <x:c r="T1057" s="7" t="s">
        <x:v>4081</x:v>
      </x:c>
      <x:c r="U1057" s="7" t="s">
        <x:v>53</x:v>
      </x:c>
      <x:c r="V1057" s="7" t="s">
        <x:v>1992</x:v>
      </x:c>
      <x:c r="W1057" s="7" t="s">
        <x:v>58</x:v>
      </x:c>
      <x:c r="X1057" s="7" t="s">
        <x:v>4082</x:v>
      </x:c>
      <x:c r="Y1057" s="7" t="s">
        <x:v>1295</x:v>
      </x:c>
      <x:c r="Z1057" s="7" t="s">
        <x:v>4086</x:v>
      </x:c>
      <x:c r="AA1057" s="7" t="s">
        <x:v>58</x:v>
      </x:c>
      <x:c r="AB1057" s="8" t="s">
        <x:v>58</x:v>
      </x:c>
      <x:c r="AC1057" s="8" t="s">
        <x:v>58</x:v>
      </x:c>
      <x:c r="AD1057" s="8" t="s">
        <x:v>58</x:v>
      </x:c>
      <x:c r="AE1057" s="8" t="s">
        <x:v>58</x:v>
      </x:c>
      <x:c r="AF1057" s="8" t="s">
        <x:v>58</x:v>
      </x:c>
      <x:c r="AG1057" s="7" t="s">
        <x:v>58</x:v>
      </x:c>
    </x:row>
    <x:row r="1058" ht="66" hidden="0" customHeight="1">
      <x:c r="A1058" s="7" t="s">
        <x:v>4087</x:v>
      </x:c>
      <x:c r="B1058" s="7" t="s">
        <x:v>671</x:v>
      </x:c>
      <x:c r="C1058" s="7" t="s">
        <x:v>673</x:v>
      </x:c>
      <x:c r="D1058" s="7" t="s">
        <x:v>1935</x:v>
      </x:c>
      <x:c r="E1058" s="7" t="s">
        <x:v>4088</x:v>
      </x:c>
      <x:c r="F1058" s="7" t="s">
        <x:v>1929</x:v>
      </x:c>
      <x:c r="G1058" s="8" t="n">
        <x:v>5136.7</x:v>
      </x:c>
      <x:c r="H1058" s="8" t="n">
        <x:v>192.2</x:v>
      </x:c>
      <x:c r="I1058" s="8" t="s">
        <x:v>58</x:v>
      </x:c>
      <x:c r="J1058" s="7" t="s">
        <x:v>1919</x:v>
      </x:c>
      <x:c r="K1058" s="8" t="n">
        <x:v>0.001</x:v>
      </x:c>
      <x:c r="L1058" s="8" t="n">
        <x:f aca="0">IF(AND(ISNUMBER(G1058),P1058&lt;&gt;"Unresolved unit / layout"),G1058*K1058,"Not applicable")</x:f>
        <x:v>5.1367</x:v>
      </x:c>
      <x:c r="M1058" s="8" t="n">
        <x:f aca="0">IF(AND(ISNUMBER(H1058),P1058&lt;&gt;"Unresolved unit / layout"),H1058*K1058,"Not applicable")</x:f>
        <x:v>0.19219999999999998</x:v>
      </x:c>
      <x:c r="N1058" s="8" t="str">
        <x:f aca="0">IF(AND(ISNUMBER(I1058),P1058&lt;&gt;"Unresolved unit / layout"),I1058*K1058,"Not applicable")</x:f>
        <x:v>Not applicable</x:v>
      </x:c>
      <x:c r="O1058" s="7" t="s">
        <x:v>1937</x:v>
      </x:c>
      <x:c r="P1058" s="7" t="s">
        <x:v>1921</x:v>
      </x:c>
      <x:c r="Q1058" s="7" t="s">
        <x:v>1930</x:v>
      </x:c>
      <x:c r="R1058" s="7" t="s">
        <x:v>1931</x:v>
      </x:c>
      <x:c r="S1058" s="7" t="s">
        <x:v>3378</x:v>
      </x:c>
      <x:c r="T1058" s="7" t="s">
        <x:v>4081</x:v>
      </x:c>
      <x:c r="U1058" s="7" t="s">
        <x:v>53</x:v>
      </x:c>
      <x:c r="V1058" s="7" t="s">
        <x:v>1999</x:v>
      </x:c>
      <x:c r="W1058" s="7" t="s">
        <x:v>58</x:v>
      </x:c>
      <x:c r="X1058" s="7" t="s">
        <x:v>4082</x:v>
      </x:c>
      <x:c r="Y1058" s="7" t="s">
        <x:v>1295</x:v>
      </x:c>
      <x:c r="Z1058" s="7" t="s">
        <x:v>4089</x:v>
      </x:c>
      <x:c r="AA1058" s="7" t="s">
        <x:v>58</x:v>
      </x:c>
      <x:c r="AB1058" s="8" t="s">
        <x:v>58</x:v>
      </x:c>
      <x:c r="AC1058" s="8" t="s">
        <x:v>58</x:v>
      </x:c>
      <x:c r="AD1058" s="8" t="s">
        <x:v>58</x:v>
      </x:c>
      <x:c r="AE1058" s="8" t="s">
        <x:v>58</x:v>
      </x:c>
      <x:c r="AF1058" s="8" t="s">
        <x:v>58</x:v>
      </x:c>
      <x:c r="AG1058" s="7" t="s">
        <x:v>58</x:v>
      </x:c>
    </x:row>
    <x:row r="1059" ht="66" hidden="0" customHeight="1">
      <x:c r="A1059" s="7" t="s">
        <x:v>4090</x:v>
      </x:c>
      <x:c r="B1059" s="7" t="s">
        <x:v>671</x:v>
      </x:c>
      <x:c r="C1059" s="7" t="s">
        <x:v>673</x:v>
      </x:c>
      <x:c r="D1059" s="7" t="s">
        <x:v>1935</x:v>
      </x:c>
      <x:c r="E1059" s="7" t="s">
        <x:v>4091</x:v>
      </x:c>
      <x:c r="F1059" s="7" t="s">
        <x:v>1929</x:v>
      </x:c>
      <x:c r="G1059" s="8" t="n">
        <x:v>2786.4</x:v>
      </x:c>
      <x:c r="H1059" s="8" t="n">
        <x:v>78.4</x:v>
      </x:c>
      <x:c r="I1059" s="8" t="s">
        <x:v>58</x:v>
      </x:c>
      <x:c r="J1059" s="7" t="s">
        <x:v>1919</x:v>
      </x:c>
      <x:c r="K1059" s="8" t="n">
        <x:v>0.001</x:v>
      </x:c>
      <x:c r="L1059" s="8" t="n">
        <x:f aca="0">IF(AND(ISNUMBER(G1059),P1059&lt;&gt;"Unresolved unit / layout"),G1059*K1059,"Not applicable")</x:f>
        <x:v>2.7864</x:v>
      </x:c>
      <x:c r="M1059" s="8" t="n">
        <x:f aca="0">IF(AND(ISNUMBER(H1059),P1059&lt;&gt;"Unresolved unit / layout"),H1059*K1059,"Not applicable")</x:f>
        <x:v>0.07840000000000001</x:v>
      </x:c>
      <x:c r="N1059" s="8" t="str">
        <x:f aca="0">IF(AND(ISNUMBER(I1059),P1059&lt;&gt;"Unresolved unit / layout"),I1059*K1059,"Not applicable")</x:f>
        <x:v>Not applicable</x:v>
      </x:c>
      <x:c r="O1059" s="7" t="s">
        <x:v>1937</x:v>
      </x:c>
      <x:c r="P1059" s="7" t="s">
        <x:v>1921</x:v>
      </x:c>
      <x:c r="Q1059" s="7" t="s">
        <x:v>1930</x:v>
      </x:c>
      <x:c r="R1059" s="7" t="s">
        <x:v>2003</x:v>
      </x:c>
      <x:c r="S1059" s="7" t="s">
        <x:v>3378</x:v>
      </x:c>
      <x:c r="T1059" s="7" t="s">
        <x:v>4081</x:v>
      </x:c>
      <x:c r="U1059" s="7" t="s">
        <x:v>53</x:v>
      </x:c>
      <x:c r="V1059" s="7" t="s">
        <x:v>1999</x:v>
      </x:c>
      <x:c r="W1059" s="7" t="s">
        <x:v>58</x:v>
      </x:c>
      <x:c r="X1059" s="7" t="s">
        <x:v>4082</x:v>
      </x:c>
      <x:c r="Y1059" s="7" t="s">
        <x:v>1295</x:v>
      </x:c>
      <x:c r="Z1059" s="7" t="s">
        <x:v>4092</x:v>
      </x:c>
      <x:c r="AA1059" s="7" t="s">
        <x:v>58</x:v>
      </x:c>
      <x:c r="AB1059" s="8" t="s">
        <x:v>58</x:v>
      </x:c>
      <x:c r="AC1059" s="8" t="s">
        <x:v>58</x:v>
      </x:c>
      <x:c r="AD1059" s="8" t="s">
        <x:v>58</x:v>
      </x:c>
      <x:c r="AE1059" s="8" t="s">
        <x:v>58</x:v>
      </x:c>
      <x:c r="AF1059" s="8" t="s">
        <x:v>58</x:v>
      </x:c>
      <x:c r="AG1059" s="7" t="s">
        <x:v>58</x:v>
      </x:c>
    </x:row>
    <x:row r="1060" ht="66" hidden="0" customHeight="1">
      <x:c r="A1060" s="7" t="s">
        <x:v>4093</x:v>
      </x:c>
      <x:c r="B1060" s="7" t="s">
        <x:v>671</x:v>
      </x:c>
      <x:c r="C1060" s="7" t="s">
        <x:v>673</x:v>
      </x:c>
      <x:c r="D1060" s="7" t="s">
        <x:v>2006</x:v>
      </x:c>
      <x:c r="E1060" s="7" t="s">
        <x:v>4094</x:v>
      </x:c>
      <x:c r="F1060" s="7" t="s">
        <x:v>1929</x:v>
      </x:c>
      <x:c r="G1060" s="8" t="n">
        <x:v>91.9</x:v>
      </x:c>
      <x:c r="H1060" s="8" t="n">
        <x:v>2</x:v>
      </x:c>
      <x:c r="I1060" s="8" t="s">
        <x:v>58</x:v>
      </x:c>
      <x:c r="J1060" s="7" t="s">
        <x:v>1919</x:v>
      </x:c>
      <x:c r="K1060" s="8" t="n">
        <x:v>1</x:v>
      </x:c>
      <x:c r="L1060" s="8" t="n">
        <x:f aca="0">IF(AND(ISNUMBER(G1060),P1060&lt;&gt;"Unresolved unit / layout"),G1060*K1060,"Not applicable")</x:f>
        <x:v>91.9</x:v>
      </x:c>
      <x:c r="M1060" s="8" t="n">
        <x:f aca="0">IF(AND(ISNUMBER(H1060),P1060&lt;&gt;"Unresolved unit / layout"),H1060*K1060,"Not applicable")</x:f>
        <x:v>2</x:v>
      </x:c>
      <x:c r="N1060" s="8" t="str">
        <x:f aca="0">IF(AND(ISNUMBER(I1060),P1060&lt;&gt;"Unresolved unit / layout"),I1060*K1060,"Not applicable")</x:f>
        <x:v>Not applicable</x:v>
      </x:c>
      <x:c r="O1060" s="7" t="s">
        <x:v>1929</x:v>
      </x:c>
      <x:c r="P1060" s="7" t="s">
        <x:v>1921</x:v>
      </x:c>
      <x:c r="Q1060" s="7" t="s">
        <x:v>1930</x:v>
      </x:c>
      <x:c r="R1060" s="7" t="s">
        <x:v>1931</x:v>
      </x:c>
      <x:c r="S1060" s="7" t="s">
        <x:v>3378</x:v>
      </x:c>
      <x:c r="T1060" s="7" t="s">
        <x:v>4081</x:v>
      </x:c>
      <x:c r="U1060" s="7" t="s">
        <x:v>53</x:v>
      </x:c>
      <x:c r="V1060" s="7" t="s">
        <x:v>1999</x:v>
      </x:c>
      <x:c r="W1060" s="7" t="s">
        <x:v>58</x:v>
      </x:c>
      <x:c r="X1060" s="7" t="s">
        <x:v>4082</x:v>
      </x:c>
      <x:c r="Y1060" s="7" t="s">
        <x:v>1295</x:v>
      </x:c>
      <x:c r="Z1060" s="7" t="s">
        <x:v>4095</x:v>
      </x:c>
      <x:c r="AA1060" s="7" t="s">
        <x:v>58</x:v>
      </x:c>
      <x:c r="AB1060" s="8" t="s">
        <x:v>58</x:v>
      </x:c>
      <x:c r="AC1060" s="8" t="s">
        <x:v>58</x:v>
      </x:c>
      <x:c r="AD1060" s="8" t="s">
        <x:v>58</x:v>
      </x:c>
      <x:c r="AE1060" s="8" t="s">
        <x:v>58</x:v>
      </x:c>
      <x:c r="AF1060" s="8" t="s">
        <x:v>58</x:v>
      </x:c>
      <x:c r="AG1060" s="7" t="s">
        <x:v>58</x:v>
      </x:c>
    </x:row>
    <x:row r="1061" ht="66" hidden="0" customHeight="1">
      <x:c r="A1061" s="7" t="s">
        <x:v>4096</x:v>
      </x:c>
      <x:c r="B1061" s="7" t="s">
        <x:v>671</x:v>
      </x:c>
      <x:c r="C1061" s="7" t="s">
        <x:v>673</x:v>
      </x:c>
      <x:c r="D1061" s="7" t="s">
        <x:v>2006</x:v>
      </x:c>
      <x:c r="E1061" s="7" t="s">
        <x:v>4097</x:v>
      </x:c>
      <x:c r="F1061" s="7" t="s">
        <x:v>1929</x:v>
      </x:c>
      <x:c r="G1061" s="8" t="n">
        <x:v>48.3</x:v>
      </x:c>
      <x:c r="H1061" s="8" t="n">
        <x:v>3.9</x:v>
      </x:c>
      <x:c r="I1061" s="8" t="s">
        <x:v>58</x:v>
      </x:c>
      <x:c r="J1061" s="7" t="s">
        <x:v>1919</x:v>
      </x:c>
      <x:c r="K1061" s="8" t="n">
        <x:v>1</x:v>
      </x:c>
      <x:c r="L1061" s="8" t="n">
        <x:f aca="0">IF(AND(ISNUMBER(G1061),P1061&lt;&gt;"Unresolved unit / layout"),G1061*K1061,"Not applicable")</x:f>
        <x:v>48.3</x:v>
      </x:c>
      <x:c r="M1061" s="8" t="n">
        <x:f aca="0">IF(AND(ISNUMBER(H1061),P1061&lt;&gt;"Unresolved unit / layout"),H1061*K1061,"Not applicable")</x:f>
        <x:v>3.9</x:v>
      </x:c>
      <x:c r="N1061" s="8" t="str">
        <x:f aca="0">IF(AND(ISNUMBER(I1061),P1061&lt;&gt;"Unresolved unit / layout"),I1061*K1061,"Not applicable")</x:f>
        <x:v>Not applicable</x:v>
      </x:c>
      <x:c r="O1061" s="7" t="s">
        <x:v>1929</x:v>
      </x:c>
      <x:c r="P1061" s="7" t="s">
        <x:v>1921</x:v>
      </x:c>
      <x:c r="Q1061" s="7" t="s">
        <x:v>1930</x:v>
      </x:c>
      <x:c r="R1061" s="7" t="s">
        <x:v>2003</x:v>
      </x:c>
      <x:c r="S1061" s="7" t="s">
        <x:v>3378</x:v>
      </x:c>
      <x:c r="T1061" s="7" t="s">
        <x:v>4081</x:v>
      </x:c>
      <x:c r="U1061" s="7" t="s">
        <x:v>53</x:v>
      </x:c>
      <x:c r="V1061" s="7" t="s">
        <x:v>1999</x:v>
      </x:c>
      <x:c r="W1061" s="7" t="s">
        <x:v>58</x:v>
      </x:c>
      <x:c r="X1061" s="7" t="s">
        <x:v>4082</x:v>
      </x:c>
      <x:c r="Y1061" s="7" t="s">
        <x:v>1295</x:v>
      </x:c>
      <x:c r="Z1061" s="7" t="s">
        <x:v>3497</x:v>
      </x:c>
      <x:c r="AA1061" s="7" t="s">
        <x:v>58</x:v>
      </x:c>
      <x:c r="AB1061" s="8" t="s">
        <x:v>58</x:v>
      </x:c>
      <x:c r="AC1061" s="8" t="s">
        <x:v>58</x:v>
      </x:c>
      <x:c r="AD1061" s="8" t="s">
        <x:v>58</x:v>
      </x:c>
      <x:c r="AE1061" s="8" t="s">
        <x:v>58</x:v>
      </x:c>
      <x:c r="AF1061" s="8" t="s">
        <x:v>58</x:v>
      </x:c>
      <x:c r="AG1061" s="7" t="s">
        <x:v>58</x:v>
      </x:c>
    </x:row>
    <x:row r="1062" ht="66" hidden="0" customHeight="1">
      <x:c r="A1062" s="7" t="s">
        <x:v>4098</x:v>
      </x:c>
      <x:c r="B1062" s="7" t="s">
        <x:v>671</x:v>
      </x:c>
      <x:c r="C1062" s="7" t="s">
        <x:v>673</x:v>
      </x:c>
      <x:c r="D1062" s="7" t="s">
        <x:v>1940</x:v>
      </x:c>
      <x:c r="E1062" s="7" t="s">
        <x:v>4099</x:v>
      </x:c>
      <x:c r="F1062" s="7" t="s">
        <x:v>1942</x:v>
      </x:c>
      <x:c r="G1062" s="8" t="n">
        <x:v>2.6</x:v>
      </x:c>
      <x:c r="H1062" s="8" t="n">
        <x:v>0.2</x:v>
      </x:c>
      <x:c r="I1062" s="8" t="s">
        <x:v>58</x:v>
      </x:c>
      <x:c r="J1062" s="7" t="s">
        <x:v>1919</x:v>
      </x:c>
      <x:c r="K1062" s="8" t="n">
        <x:v>1</x:v>
      </x:c>
      <x:c r="L1062" s="8" t="n">
        <x:f aca="0">IF(AND(ISNUMBER(G1062),P1062&lt;&gt;"Unresolved unit / layout"),G1062*K1062,"Not applicable")</x:f>
        <x:v>2.6</x:v>
      </x:c>
      <x:c r="M1062" s="8" t="n">
        <x:f aca="0">IF(AND(ISNUMBER(H1062),P1062&lt;&gt;"Unresolved unit / layout"),H1062*K1062,"Not applicable")</x:f>
        <x:v>0.2</x:v>
      </x:c>
      <x:c r="N1062" s="8" t="str">
        <x:f aca="0">IF(AND(ISNUMBER(I1062),P1062&lt;&gt;"Unresolved unit / layout"),I1062*K1062,"Not applicable")</x:f>
        <x:v>Not applicable</x:v>
      </x:c>
      <x:c r="O1062" s="7" t="s">
        <x:v>1942</x:v>
      </x:c>
      <x:c r="P1062" s="7" t="s">
        <x:v>1921</x:v>
      </x:c>
      <x:c r="Q1062" s="7" t="s">
        <x:v>1930</x:v>
      </x:c>
      <x:c r="R1062" s="7" t="s">
        <x:v>1931</x:v>
      </x:c>
      <x:c r="S1062" s="7" t="s">
        <x:v>3378</x:v>
      </x:c>
      <x:c r="T1062" s="7" t="s">
        <x:v>4081</x:v>
      </x:c>
      <x:c r="U1062" s="7" t="s">
        <x:v>53</x:v>
      </x:c>
      <x:c r="V1062" s="7" t="s">
        <x:v>1999</x:v>
      </x:c>
      <x:c r="W1062" s="7" t="s">
        <x:v>58</x:v>
      </x:c>
      <x:c r="X1062" s="7" t="s">
        <x:v>4082</x:v>
      </x:c>
      <x:c r="Y1062" s="7" t="s">
        <x:v>1295</x:v>
      </x:c>
      <x:c r="Z1062" s="7" t="s">
        <x:v>4100</x:v>
      </x:c>
      <x:c r="AA1062" s="7" t="s">
        <x:v>58</x:v>
      </x:c>
      <x:c r="AB1062" s="8" t="s">
        <x:v>58</x:v>
      </x:c>
      <x:c r="AC1062" s="8" t="s">
        <x:v>58</x:v>
      </x:c>
      <x:c r="AD1062" s="8" t="s">
        <x:v>58</x:v>
      </x:c>
      <x:c r="AE1062" s="8" t="s">
        <x:v>58</x:v>
      </x:c>
      <x:c r="AF1062" s="8" t="s">
        <x:v>58</x:v>
      </x:c>
      <x:c r="AG1062" s="7" t="s">
        <x:v>58</x:v>
      </x:c>
    </x:row>
    <x:row r="1063" ht="66" hidden="0" customHeight="1">
      <x:c r="A1063" s="7" t="s">
        <x:v>4101</x:v>
      </x:c>
      <x:c r="B1063" s="7" t="s">
        <x:v>671</x:v>
      </x:c>
      <x:c r="C1063" s="7" t="s">
        <x:v>673</x:v>
      </x:c>
      <x:c r="D1063" s="7" t="s">
        <x:v>1940</x:v>
      </x:c>
      <x:c r="E1063" s="7" t="s">
        <x:v>4102</x:v>
      </x:c>
      <x:c r="F1063" s="7" t="s">
        <x:v>1942</x:v>
      </x:c>
      <x:c r="G1063" s="8" t="n">
        <x:v>2.1</x:v>
      </x:c>
      <x:c r="H1063" s="8" t="n">
        <x:v>0.2</x:v>
      </x:c>
      <x:c r="I1063" s="8" t="s">
        <x:v>58</x:v>
      </x:c>
      <x:c r="J1063" s="7" t="s">
        <x:v>1919</x:v>
      </x:c>
      <x:c r="K1063" s="8" t="n">
        <x:v>1</x:v>
      </x:c>
      <x:c r="L1063" s="8" t="n">
        <x:f aca="0">IF(AND(ISNUMBER(G1063),P1063&lt;&gt;"Unresolved unit / layout"),G1063*K1063,"Not applicable")</x:f>
        <x:v>2.1</x:v>
      </x:c>
      <x:c r="M1063" s="8" t="n">
        <x:f aca="0">IF(AND(ISNUMBER(H1063),P1063&lt;&gt;"Unresolved unit / layout"),H1063*K1063,"Not applicable")</x:f>
        <x:v>0.2</x:v>
      </x:c>
      <x:c r="N1063" s="8" t="str">
        <x:f aca="0">IF(AND(ISNUMBER(I1063),P1063&lt;&gt;"Unresolved unit / layout"),I1063*K1063,"Not applicable")</x:f>
        <x:v>Not applicable</x:v>
      </x:c>
      <x:c r="O1063" s="7" t="s">
        <x:v>1942</x:v>
      </x:c>
      <x:c r="P1063" s="7" t="s">
        <x:v>1921</x:v>
      </x:c>
      <x:c r="Q1063" s="7" t="s">
        <x:v>1930</x:v>
      </x:c>
      <x:c r="R1063" s="7" t="s">
        <x:v>2003</x:v>
      </x:c>
      <x:c r="S1063" s="7" t="s">
        <x:v>3378</x:v>
      </x:c>
      <x:c r="T1063" s="7" t="s">
        <x:v>4081</x:v>
      </x:c>
      <x:c r="U1063" s="7" t="s">
        <x:v>53</x:v>
      </x:c>
      <x:c r="V1063" s="7" t="s">
        <x:v>1999</x:v>
      </x:c>
      <x:c r="W1063" s="7" t="s">
        <x:v>58</x:v>
      </x:c>
      <x:c r="X1063" s="7" t="s">
        <x:v>4082</x:v>
      </x:c>
      <x:c r="Y1063" s="7" t="s">
        <x:v>1295</x:v>
      </x:c>
      <x:c r="Z1063" s="7" t="s">
        <x:v>3503</x:v>
      </x:c>
      <x:c r="AA1063" s="7" t="s">
        <x:v>58</x:v>
      </x:c>
      <x:c r="AB1063" s="8" t="s">
        <x:v>58</x:v>
      </x:c>
      <x:c r="AC1063" s="8" t="s">
        <x:v>58</x:v>
      </x:c>
      <x:c r="AD1063" s="8" t="s">
        <x:v>58</x:v>
      </x:c>
      <x:c r="AE1063" s="8" t="s">
        <x:v>58</x:v>
      </x:c>
      <x:c r="AF1063" s="8" t="s">
        <x:v>58</x:v>
      </x:c>
      <x:c r="AG1063" s="7" t="s">
        <x:v>58</x:v>
      </x:c>
    </x:row>
    <x:row r="1064" ht="66" hidden="0" customHeight="1">
      <x:c r="A1064" s="7" t="s">
        <x:v>4103</x:v>
      </x:c>
      <x:c r="B1064" s="7" t="s">
        <x:v>671</x:v>
      </x:c>
      <x:c r="C1064" s="7" t="s">
        <x:v>673</x:v>
      </x:c>
      <x:c r="D1064" s="7" t="s">
        <x:v>1950</x:v>
      </x:c>
      <x:c r="E1064" s="7" t="s">
        <x:v>4104</x:v>
      </x:c>
      <x:c r="F1064" s="7" t="s">
        <x:v>1929</x:v>
      </x:c>
      <x:c r="G1064" s="8" t="n">
        <x:v>4583.5</x:v>
      </x:c>
      <x:c r="H1064" s="8" t="n">
        <x:v>62.7</x:v>
      </x:c>
      <x:c r="I1064" s="8" t="s">
        <x:v>58</x:v>
      </x:c>
      <x:c r="J1064" s="7" t="s">
        <x:v>1919</x:v>
      </x:c>
      <x:c r="K1064" s="8" t="n">
        <x:v>0.001</x:v>
      </x:c>
      <x:c r="L1064" s="8" t="n">
        <x:f aca="0">IF(AND(ISNUMBER(G1064),P1064&lt;&gt;"Unresolved unit / layout"),G1064*K1064,"Not applicable")</x:f>
        <x:v>4.5835</x:v>
      </x:c>
      <x:c r="M1064" s="8" t="n">
        <x:f aca="0">IF(AND(ISNUMBER(H1064),P1064&lt;&gt;"Unresolved unit / layout"),H1064*K1064,"Not applicable")</x:f>
        <x:v>0.0627</x:v>
      </x:c>
      <x:c r="N1064" s="8" t="str">
        <x:f aca="0">IF(AND(ISNUMBER(I1064),P1064&lt;&gt;"Unresolved unit / layout"),I1064*K1064,"Not applicable")</x:f>
        <x:v>Not applicable</x:v>
      </x:c>
      <x:c r="O1064" s="7" t="s">
        <x:v>1937</x:v>
      </x:c>
      <x:c r="P1064" s="7" t="s">
        <x:v>1921</x:v>
      </x:c>
      <x:c r="Q1064" s="7" t="s">
        <x:v>1930</x:v>
      </x:c>
      <x:c r="R1064" s="7" t="s">
        <x:v>1931</x:v>
      </x:c>
      <x:c r="S1064" s="7" t="s">
        <x:v>3378</x:v>
      </x:c>
      <x:c r="T1064" s="7" t="s">
        <x:v>4081</x:v>
      </x:c>
      <x:c r="U1064" s="7" t="s">
        <x:v>53</x:v>
      </x:c>
      <x:c r="V1064" s="7" t="s">
        <x:v>2020</x:v>
      </x:c>
      <x:c r="W1064" s="7" t="s">
        <x:v>58</x:v>
      </x:c>
      <x:c r="X1064" s="7" t="s">
        <x:v>4082</x:v>
      </x:c>
      <x:c r="Y1064" s="7" t="s">
        <x:v>1295</x:v>
      </x:c>
      <x:c r="Z1064" s="7" t="s">
        <x:v>4105</x:v>
      </x:c>
      <x:c r="AA1064" s="7" t="s">
        <x:v>58</x:v>
      </x:c>
      <x:c r="AB1064" s="8" t="s">
        <x:v>58</x:v>
      </x:c>
      <x:c r="AC1064" s="8" t="s">
        <x:v>58</x:v>
      </x:c>
      <x:c r="AD1064" s="8" t="s">
        <x:v>58</x:v>
      </x:c>
      <x:c r="AE1064" s="8" t="s">
        <x:v>58</x:v>
      </x:c>
      <x:c r="AF1064" s="8" t="s">
        <x:v>58</x:v>
      </x:c>
      <x:c r="AG1064" s="7" t="s">
        <x:v>58</x:v>
      </x:c>
    </x:row>
    <x:row r="1065" ht="66" hidden="0" customHeight="1">
      <x:c r="A1065" s="7" t="s">
        <x:v>4106</x:v>
      </x:c>
      <x:c r="B1065" s="7" t="s">
        <x:v>671</x:v>
      </x:c>
      <x:c r="C1065" s="7" t="s">
        <x:v>673</x:v>
      </x:c>
      <x:c r="D1065" s="7" t="s">
        <x:v>1950</x:v>
      </x:c>
      <x:c r="E1065" s="7" t="s">
        <x:v>4107</x:v>
      </x:c>
      <x:c r="F1065" s="7" t="s">
        <x:v>1929</x:v>
      </x:c>
      <x:c r="G1065" s="8" t="n">
        <x:v>2264.8</x:v>
      </x:c>
      <x:c r="H1065" s="8" t="n">
        <x:v>203.8</x:v>
      </x:c>
      <x:c r="I1065" s="8" t="s">
        <x:v>58</x:v>
      </x:c>
      <x:c r="J1065" s="7" t="s">
        <x:v>1919</x:v>
      </x:c>
      <x:c r="K1065" s="8" t="n">
        <x:v>0.001</x:v>
      </x:c>
      <x:c r="L1065" s="8" t="n">
        <x:f aca="0">IF(AND(ISNUMBER(G1065),P1065&lt;&gt;"Unresolved unit / layout"),G1065*K1065,"Not applicable")</x:f>
        <x:v>2.2648</x:v>
      </x:c>
      <x:c r="M1065" s="8" t="n">
        <x:f aca="0">IF(AND(ISNUMBER(H1065),P1065&lt;&gt;"Unresolved unit / layout"),H1065*K1065,"Not applicable")</x:f>
        <x:v>0.2038</x:v>
      </x:c>
      <x:c r="N1065" s="8" t="str">
        <x:f aca="0">IF(AND(ISNUMBER(I1065),P1065&lt;&gt;"Unresolved unit / layout"),I1065*K1065,"Not applicable")</x:f>
        <x:v>Not applicable</x:v>
      </x:c>
      <x:c r="O1065" s="7" t="s">
        <x:v>1937</x:v>
      </x:c>
      <x:c r="P1065" s="7" t="s">
        <x:v>1921</x:v>
      </x:c>
      <x:c r="Q1065" s="7" t="s">
        <x:v>1930</x:v>
      </x:c>
      <x:c r="R1065" s="7" t="s">
        <x:v>2003</x:v>
      </x:c>
      <x:c r="S1065" s="7" t="s">
        <x:v>3378</x:v>
      </x:c>
      <x:c r="T1065" s="7" t="s">
        <x:v>4081</x:v>
      </x:c>
      <x:c r="U1065" s="7" t="s">
        <x:v>53</x:v>
      </x:c>
      <x:c r="V1065" s="7" t="s">
        <x:v>2020</x:v>
      </x:c>
      <x:c r="W1065" s="7" t="s">
        <x:v>58</x:v>
      </x:c>
      <x:c r="X1065" s="7" t="s">
        <x:v>4082</x:v>
      </x:c>
      <x:c r="Y1065" s="7" t="s">
        <x:v>1295</x:v>
      </x:c>
      <x:c r="Z1065" s="7" t="s">
        <x:v>4108</x:v>
      </x:c>
      <x:c r="AA1065" s="7" t="s">
        <x:v>58</x:v>
      </x:c>
      <x:c r="AB1065" s="8" t="s">
        <x:v>58</x:v>
      </x:c>
      <x:c r="AC1065" s="8" t="s">
        <x:v>58</x:v>
      </x:c>
      <x:c r="AD1065" s="8" t="s">
        <x:v>58</x:v>
      </x:c>
      <x:c r="AE1065" s="8" t="s">
        <x:v>58</x:v>
      </x:c>
      <x:c r="AF1065" s="8" t="s">
        <x:v>58</x:v>
      </x:c>
      <x:c r="AG1065" s="7" t="s">
        <x:v>58</x:v>
      </x:c>
    </x:row>
    <x:row r="1066" ht="66" hidden="0" customHeight="1">
      <x:c r="A1066" s="7" t="s">
        <x:v>4109</x:v>
      </x:c>
      <x:c r="B1066" s="7" t="s">
        <x:v>671</x:v>
      </x:c>
      <x:c r="C1066" s="7" t="s">
        <x:v>673</x:v>
      </x:c>
      <x:c r="D1066" s="7" t="s">
        <x:v>1945</x:v>
      </x:c>
      <x:c r="E1066" s="7" t="s">
        <x:v>4110</x:v>
      </x:c>
      <x:c r="F1066" s="7" t="s">
        <x:v>1929</x:v>
      </x:c>
      <x:c r="G1066" s="8" t="n">
        <x:v>138</x:v>
      </x:c>
      <x:c r="H1066" s="8" t="n">
        <x:v>2.2</x:v>
      </x:c>
      <x:c r="I1066" s="8" t="s">
        <x:v>58</x:v>
      </x:c>
      <x:c r="J1066" s="7" t="s">
        <x:v>1919</x:v>
      </x:c>
      <x:c r="K1066" s="8" t="n">
        <x:v>1</x:v>
      </x:c>
      <x:c r="L1066" s="8" t="n">
        <x:f aca="0">IF(AND(ISNUMBER(G1066),P1066&lt;&gt;"Unresolved unit / layout"),G1066*K1066,"Not applicable")</x:f>
        <x:v>138</x:v>
      </x:c>
      <x:c r="M1066" s="8" t="n">
        <x:f aca="0">IF(AND(ISNUMBER(H1066),P1066&lt;&gt;"Unresolved unit / layout"),H1066*K1066,"Not applicable")</x:f>
        <x:v>2.2</x:v>
      </x:c>
      <x:c r="N1066" s="8" t="str">
        <x:f aca="0">IF(AND(ISNUMBER(I1066),P1066&lt;&gt;"Unresolved unit / layout"),I1066*K1066,"Not applicable")</x:f>
        <x:v>Not applicable</x:v>
      </x:c>
      <x:c r="O1066" s="7" t="s">
        <x:v>1929</x:v>
      </x:c>
      <x:c r="P1066" s="7" t="s">
        <x:v>1921</x:v>
      </x:c>
      <x:c r="Q1066" s="7" t="s">
        <x:v>1930</x:v>
      </x:c>
      <x:c r="R1066" s="7" t="s">
        <x:v>1931</x:v>
      </x:c>
      <x:c r="S1066" s="7" t="s">
        <x:v>3378</x:v>
      </x:c>
      <x:c r="T1066" s="7" t="s">
        <x:v>4081</x:v>
      </x:c>
      <x:c r="U1066" s="7" t="s">
        <x:v>53</x:v>
      </x:c>
      <x:c r="V1066" s="7" t="s">
        <x:v>2020</x:v>
      </x:c>
      <x:c r="W1066" s="7" t="s">
        <x:v>58</x:v>
      </x:c>
      <x:c r="X1066" s="7" t="s">
        <x:v>4082</x:v>
      </x:c>
      <x:c r="Y1066" s="7" t="s">
        <x:v>1295</x:v>
      </x:c>
      <x:c r="Z1066" s="7" t="s">
        <x:v>4111</x:v>
      </x:c>
      <x:c r="AA1066" s="7" t="s">
        <x:v>58</x:v>
      </x:c>
      <x:c r="AB1066" s="8" t="s">
        <x:v>58</x:v>
      </x:c>
      <x:c r="AC1066" s="8" t="s">
        <x:v>58</x:v>
      </x:c>
      <x:c r="AD1066" s="8" t="s">
        <x:v>58</x:v>
      </x:c>
      <x:c r="AE1066" s="8" t="s">
        <x:v>58</x:v>
      </x:c>
      <x:c r="AF1066" s="8" t="s">
        <x:v>58</x:v>
      </x:c>
      <x:c r="AG1066" s="7" t="s">
        <x:v>58</x:v>
      </x:c>
    </x:row>
    <x:row r="1067" ht="66" hidden="0" customHeight="1">
      <x:c r="A1067" s="7" t="s">
        <x:v>4112</x:v>
      </x:c>
      <x:c r="B1067" s="7" t="s">
        <x:v>671</x:v>
      </x:c>
      <x:c r="C1067" s="7" t="s">
        <x:v>673</x:v>
      </x:c>
      <x:c r="D1067" s="7" t="s">
        <x:v>1945</x:v>
      </x:c>
      <x:c r="E1067" s="7" t="s">
        <x:v>4113</x:v>
      </x:c>
      <x:c r="F1067" s="7" t="s">
        <x:v>1929</x:v>
      </x:c>
      <x:c r="G1067" s="8" t="n">
        <x:v>73.5</x:v>
      </x:c>
      <x:c r="H1067" s="8" t="n">
        <x:v>3.9</x:v>
      </x:c>
      <x:c r="I1067" s="8" t="s">
        <x:v>58</x:v>
      </x:c>
      <x:c r="J1067" s="7" t="s">
        <x:v>1919</x:v>
      </x:c>
      <x:c r="K1067" s="8" t="n">
        <x:v>1</x:v>
      </x:c>
      <x:c r="L1067" s="8" t="n">
        <x:f aca="0">IF(AND(ISNUMBER(G1067),P1067&lt;&gt;"Unresolved unit / layout"),G1067*K1067,"Not applicable")</x:f>
        <x:v>73.5</x:v>
      </x:c>
      <x:c r="M1067" s="8" t="n">
        <x:f aca="0">IF(AND(ISNUMBER(H1067),P1067&lt;&gt;"Unresolved unit / layout"),H1067*K1067,"Not applicable")</x:f>
        <x:v>3.9</x:v>
      </x:c>
      <x:c r="N1067" s="8" t="str">
        <x:f aca="0">IF(AND(ISNUMBER(I1067),P1067&lt;&gt;"Unresolved unit / layout"),I1067*K1067,"Not applicable")</x:f>
        <x:v>Not applicable</x:v>
      </x:c>
      <x:c r="O1067" s="7" t="s">
        <x:v>1929</x:v>
      </x:c>
      <x:c r="P1067" s="7" t="s">
        <x:v>1921</x:v>
      </x:c>
      <x:c r="Q1067" s="7" t="s">
        <x:v>1930</x:v>
      </x:c>
      <x:c r="R1067" s="7" t="s">
        <x:v>2003</x:v>
      </x:c>
      <x:c r="S1067" s="7" t="s">
        <x:v>3378</x:v>
      </x:c>
      <x:c r="T1067" s="7" t="s">
        <x:v>4081</x:v>
      </x:c>
      <x:c r="U1067" s="7" t="s">
        <x:v>53</x:v>
      </x:c>
      <x:c r="V1067" s="7" t="s">
        <x:v>2020</x:v>
      </x:c>
      <x:c r="W1067" s="7" t="s">
        <x:v>58</x:v>
      </x:c>
      <x:c r="X1067" s="7" t="s">
        <x:v>4082</x:v>
      </x:c>
      <x:c r="Y1067" s="7" t="s">
        <x:v>1295</x:v>
      </x:c>
      <x:c r="Z1067" s="7" t="s">
        <x:v>4114</x:v>
      </x:c>
      <x:c r="AA1067" s="7" t="s">
        <x:v>58</x:v>
      </x:c>
      <x:c r="AB1067" s="8" t="s">
        <x:v>58</x:v>
      </x:c>
      <x:c r="AC1067" s="8" t="s">
        <x:v>58</x:v>
      </x:c>
      <x:c r="AD1067" s="8" t="s">
        <x:v>58</x:v>
      </x:c>
      <x:c r="AE1067" s="8" t="s">
        <x:v>58</x:v>
      </x:c>
      <x:c r="AF1067" s="8" t="s">
        <x:v>58</x:v>
      </x:c>
      <x:c r="AG1067" s="7" t="s">
        <x:v>58</x:v>
      </x:c>
    </x:row>
    <x:row r="1068" ht="66" hidden="0" customHeight="1">
      <x:c r="A1068" s="7" t="s">
        <x:v>4115</x:v>
      </x:c>
      <x:c r="B1068" s="7" t="s">
        <x:v>671</x:v>
      </x:c>
      <x:c r="C1068" s="7" t="s">
        <x:v>673</x:v>
      </x:c>
      <x:c r="D1068" s="7" t="s">
        <x:v>2030</x:v>
      </x:c>
      <x:c r="E1068" s="7" t="s">
        <x:v>4116</x:v>
      </x:c>
      <x:c r="F1068" s="7" t="s">
        <x:v>2032</x:v>
      </x:c>
      <x:c r="G1068" s="8" t="n">
        <x:v>8.1</x:v>
      </x:c>
      <x:c r="H1068" s="8" t="n">
        <x:v>0.8</x:v>
      </x:c>
      <x:c r="I1068" s="8" t="s">
        <x:v>58</x:v>
      </x:c>
      <x:c r="J1068" s="7" t="s">
        <x:v>1919</x:v>
      </x:c>
      <x:c r="K1068" s="8" t="n">
        <x:v>1</x:v>
      </x:c>
      <x:c r="L1068" s="8" t="n">
        <x:f aca="0">IF(AND(ISNUMBER(G1068),P1068&lt;&gt;"Unresolved unit / layout"),G1068*K1068,"Not applicable")</x:f>
        <x:v>8.1</x:v>
      </x:c>
      <x:c r="M1068" s="8" t="n">
        <x:f aca="0">IF(AND(ISNUMBER(H1068),P1068&lt;&gt;"Unresolved unit / layout"),H1068*K1068,"Not applicable")</x:f>
        <x:v>0.8</x:v>
      </x:c>
      <x:c r="N1068" s="8" t="str">
        <x:f aca="0">IF(AND(ISNUMBER(I1068),P1068&lt;&gt;"Unresolved unit / layout"),I1068*K1068,"Not applicable")</x:f>
        <x:v>Not applicable</x:v>
      </x:c>
      <x:c r="O1068" s="7" t="s">
        <x:v>2033</x:v>
      </x:c>
      <x:c r="P1068" s="7" t="s">
        <x:v>1921</x:v>
      </x:c>
      <x:c r="Q1068" s="7" t="s">
        <x:v>1930</x:v>
      </x:c>
      <x:c r="R1068" s="7" t="s">
        <x:v>1931</x:v>
      </x:c>
      <x:c r="S1068" s="7" t="s">
        <x:v>3378</x:v>
      </x:c>
      <x:c r="T1068" s="7" t="s">
        <x:v>4081</x:v>
      </x:c>
      <x:c r="U1068" s="7" t="s">
        <x:v>53</x:v>
      </x:c>
      <x:c r="V1068" s="7" t="s">
        <x:v>53</x:v>
      </x:c>
      <x:c r="W1068" s="7" t="s">
        <x:v>2139</x:v>
      </x:c>
      <x:c r="X1068" s="7" t="s">
        <x:v>4082</x:v>
      </x:c>
      <x:c r="Y1068" s="7" t="s">
        <x:v>1295</x:v>
      </x:c>
      <x:c r="Z1068" s="7" t="s">
        <x:v>4117</x:v>
      </x:c>
      <x:c r="AA1068" s="7" t="s">
        <x:v>58</x:v>
      </x:c>
      <x:c r="AB1068" s="8" t="s">
        <x:v>58</x:v>
      </x:c>
      <x:c r="AC1068" s="8" t="s">
        <x:v>58</x:v>
      </x:c>
      <x:c r="AD1068" s="8" t="s">
        <x:v>58</x:v>
      </x:c>
      <x:c r="AE1068" s="8" t="s">
        <x:v>58</x:v>
      </x:c>
      <x:c r="AF1068" s="8" t="s">
        <x:v>58</x:v>
      </x:c>
      <x:c r="AG1068" s="7" t="s">
        <x:v>58</x:v>
      </x:c>
    </x:row>
    <x:row r="1069" ht="66" hidden="0" customHeight="1">
      <x:c r="A1069" s="7" t="s">
        <x:v>4118</x:v>
      </x:c>
      <x:c r="B1069" s="7" t="s">
        <x:v>671</x:v>
      </x:c>
      <x:c r="C1069" s="7" t="s">
        <x:v>673</x:v>
      </x:c>
      <x:c r="D1069" s="7" t="s">
        <x:v>2030</x:v>
      </x:c>
      <x:c r="E1069" s="7" t="s">
        <x:v>4119</x:v>
      </x:c>
      <x:c r="F1069" s="7" t="s">
        <x:v>2032</x:v>
      </x:c>
      <x:c r="G1069" s="8" t="n">
        <x:v>29.9</x:v>
      </x:c>
      <x:c r="H1069" s="8" t="n">
        <x:v>1.6</x:v>
      </x:c>
      <x:c r="I1069" s="8" t="s">
        <x:v>58</x:v>
      </x:c>
      <x:c r="J1069" s="7" t="s">
        <x:v>1919</x:v>
      </x:c>
      <x:c r="K1069" s="8" t="n">
        <x:v>1</x:v>
      </x:c>
      <x:c r="L1069" s="8" t="n">
        <x:f aca="0">IF(AND(ISNUMBER(G1069),P1069&lt;&gt;"Unresolved unit / layout"),G1069*K1069,"Not applicable")</x:f>
        <x:v>29.9</x:v>
      </x:c>
      <x:c r="M1069" s="8" t="n">
        <x:f aca="0">IF(AND(ISNUMBER(H1069),P1069&lt;&gt;"Unresolved unit / layout"),H1069*K1069,"Not applicable")</x:f>
        <x:v>1.6</x:v>
      </x:c>
      <x:c r="N1069" s="8" t="str">
        <x:f aca="0">IF(AND(ISNUMBER(I1069),P1069&lt;&gt;"Unresolved unit / layout"),I1069*K1069,"Not applicable")</x:f>
        <x:v>Not applicable</x:v>
      </x:c>
      <x:c r="O1069" s="7" t="s">
        <x:v>2033</x:v>
      </x:c>
      <x:c r="P1069" s="7" t="s">
        <x:v>1921</x:v>
      </x:c>
      <x:c r="Q1069" s="7" t="s">
        <x:v>1930</x:v>
      </x:c>
      <x:c r="R1069" s="7" t="s">
        <x:v>1931</x:v>
      </x:c>
      <x:c r="S1069" s="7" t="s">
        <x:v>3378</x:v>
      </x:c>
      <x:c r="T1069" s="7" t="s">
        <x:v>4081</x:v>
      </x:c>
      <x:c r="U1069" s="7" t="s">
        <x:v>53</x:v>
      </x:c>
      <x:c r="V1069" s="7" t="s">
        <x:v>2036</x:v>
      </x:c>
      <x:c r="W1069" s="7" t="s">
        <x:v>2139</x:v>
      </x:c>
      <x:c r="X1069" s="7" t="s">
        <x:v>4082</x:v>
      </x:c>
      <x:c r="Y1069" s="7" t="s">
        <x:v>1295</x:v>
      </x:c>
      <x:c r="Z1069" s="7" t="s">
        <x:v>4120</x:v>
      </x:c>
      <x:c r="AA1069" s="7" t="s">
        <x:v>58</x:v>
      </x:c>
      <x:c r="AB1069" s="8" t="s">
        <x:v>58</x:v>
      </x:c>
      <x:c r="AC1069" s="8" t="s">
        <x:v>58</x:v>
      </x:c>
      <x:c r="AD1069" s="8" t="s">
        <x:v>58</x:v>
      </x:c>
      <x:c r="AE1069" s="8" t="s">
        <x:v>58</x:v>
      </x:c>
      <x:c r="AF1069" s="8" t="s">
        <x:v>58</x:v>
      </x:c>
      <x:c r="AG1069" s="7" t="s">
        <x:v>58</x:v>
      </x:c>
    </x:row>
    <x:row r="1070" ht="66" hidden="0" customHeight="1">
      <x:c r="A1070" s="7" t="s">
        <x:v>4121</x:v>
      </x:c>
      <x:c r="B1070" s="7" t="s">
        <x:v>671</x:v>
      </x:c>
      <x:c r="C1070" s="7" t="s">
        <x:v>673</x:v>
      </x:c>
      <x:c r="D1070" s="7" t="s">
        <x:v>2030</x:v>
      </x:c>
      <x:c r="E1070" s="7" t="s">
        <x:v>4122</x:v>
      </x:c>
      <x:c r="F1070" s="7" t="s">
        <x:v>2032</x:v>
      </x:c>
      <x:c r="G1070" s="8" t="n">
        <x:v>12.6</x:v>
      </x:c>
      <x:c r="H1070" s="8" t="n">
        <x:v>1.4</x:v>
      </x:c>
      <x:c r="I1070" s="8" t="s">
        <x:v>58</x:v>
      </x:c>
      <x:c r="J1070" s="7" t="s">
        <x:v>1919</x:v>
      </x:c>
      <x:c r="K1070" s="8" t="n">
        <x:v>1</x:v>
      </x:c>
      <x:c r="L1070" s="8" t="n">
        <x:f aca="0">IF(AND(ISNUMBER(G1070),P1070&lt;&gt;"Unresolved unit / layout"),G1070*K1070,"Not applicable")</x:f>
        <x:v>12.6</x:v>
      </x:c>
      <x:c r="M1070" s="8" t="n">
        <x:f aca="0">IF(AND(ISNUMBER(H1070),P1070&lt;&gt;"Unresolved unit / layout"),H1070*K1070,"Not applicable")</x:f>
        <x:v>1.4</x:v>
      </x:c>
      <x:c r="N1070" s="8" t="str">
        <x:f aca="0">IF(AND(ISNUMBER(I1070),P1070&lt;&gt;"Unresolved unit / layout"),I1070*K1070,"Not applicable")</x:f>
        <x:v>Not applicable</x:v>
      </x:c>
      <x:c r="O1070" s="7" t="s">
        <x:v>2033</x:v>
      </x:c>
      <x:c r="P1070" s="7" t="s">
        <x:v>1921</x:v>
      </x:c>
      <x:c r="Q1070" s="7" t="s">
        <x:v>1930</x:v>
      </x:c>
      <x:c r="R1070" s="7" t="s">
        <x:v>2003</x:v>
      </x:c>
      <x:c r="S1070" s="7" t="s">
        <x:v>3378</x:v>
      </x:c>
      <x:c r="T1070" s="7" t="s">
        <x:v>4081</x:v>
      </x:c>
      <x:c r="U1070" s="7" t="s">
        <x:v>53</x:v>
      </x:c>
      <x:c r="V1070" s="7" t="s">
        <x:v>2036</x:v>
      </x:c>
      <x:c r="W1070" s="7" t="s">
        <x:v>2139</x:v>
      </x:c>
      <x:c r="X1070" s="7" t="s">
        <x:v>4082</x:v>
      </x:c>
      <x:c r="Y1070" s="7" t="s">
        <x:v>1295</x:v>
      </x:c>
      <x:c r="Z1070" s="7" t="s">
        <x:v>4123</x:v>
      </x:c>
      <x:c r="AA1070" s="7" t="s">
        <x:v>58</x:v>
      </x:c>
      <x:c r="AB1070" s="8" t="s">
        <x:v>58</x:v>
      </x:c>
      <x:c r="AC1070" s="8" t="s">
        <x:v>58</x:v>
      </x:c>
      <x:c r="AD1070" s="8" t="s">
        <x:v>58</x:v>
      </x:c>
      <x:c r="AE1070" s="8" t="s">
        <x:v>58</x:v>
      </x:c>
      <x:c r="AF1070" s="8" t="s">
        <x:v>58</x:v>
      </x:c>
      <x:c r="AG1070" s="7" t="s">
        <x:v>58</x:v>
      </x:c>
    </x:row>
    <x:row r="1071" ht="66" hidden="0" customHeight="1">
      <x:c r="A1071" s="7" t="s">
        <x:v>4124</x:v>
      </x:c>
      <x:c r="B1071" s="7" t="s">
        <x:v>671</x:v>
      </x:c>
      <x:c r="C1071" s="7" t="s">
        <x:v>673</x:v>
      </x:c>
      <x:c r="D1071" s="7" t="s">
        <x:v>1935</x:v>
      </x:c>
      <x:c r="E1071" s="7" t="s">
        <x:v>4125</x:v>
      </x:c>
      <x:c r="F1071" s="7" t="s">
        <x:v>1929</x:v>
      </x:c>
      <x:c r="G1071" s="8" t="n">
        <x:v>3990.8</x:v>
      </x:c>
      <x:c r="H1071" s="8" t="n">
        <x:v>136.5</x:v>
      </x:c>
      <x:c r="I1071" s="8" t="s">
        <x:v>58</x:v>
      </x:c>
      <x:c r="J1071" s="7" t="s">
        <x:v>1919</x:v>
      </x:c>
      <x:c r="K1071" s="8" t="n">
        <x:v>0.001</x:v>
      </x:c>
      <x:c r="L1071" s="8" t="n">
        <x:f aca="0">IF(AND(ISNUMBER(G1071),P1071&lt;&gt;"Unresolved unit / layout"),G1071*K1071,"Not applicable")</x:f>
        <x:v>3.9908</x:v>
      </x:c>
      <x:c r="M1071" s="8" t="n">
        <x:f aca="0">IF(AND(ISNUMBER(H1071),P1071&lt;&gt;"Unresolved unit / layout"),H1071*K1071,"Not applicable")</x:f>
        <x:v>0.1365</x:v>
      </x:c>
      <x:c r="N1071" s="8" t="str">
        <x:f aca="0">IF(AND(ISNUMBER(I1071),P1071&lt;&gt;"Unresolved unit / layout"),I1071*K1071,"Not applicable")</x:f>
        <x:v>Not applicable</x:v>
      </x:c>
      <x:c r="O1071" s="7" t="s">
        <x:v>1937</x:v>
      </x:c>
      <x:c r="P1071" s="7" t="s">
        <x:v>1921</x:v>
      </x:c>
      <x:c r="Q1071" s="7" t="s">
        <x:v>1930</x:v>
      </x:c>
      <x:c r="R1071" s="7" t="s">
        <x:v>1931</x:v>
      </x:c>
      <x:c r="S1071" s="7" t="s">
        <x:v>4126</x:v>
      </x:c>
      <x:c r="T1071" s="7" t="s">
        <x:v>4081</x:v>
      </x:c>
      <x:c r="U1071" s="7" t="s">
        <x:v>53</x:v>
      </x:c>
      <x:c r="V1071" s="7" t="s">
        <x:v>1999</x:v>
      </x:c>
      <x:c r="W1071" s="7" t="s">
        <x:v>58</x:v>
      </x:c>
      <x:c r="X1071" s="7" t="s">
        <x:v>4082</x:v>
      </x:c>
      <x:c r="Y1071" s="7" t="s">
        <x:v>1295</x:v>
      </x:c>
      <x:c r="Z1071" s="7" t="s">
        <x:v>4089</x:v>
      </x:c>
      <x:c r="AA1071" s="7" t="s">
        <x:v>58</x:v>
      </x:c>
      <x:c r="AB1071" s="8" t="s">
        <x:v>58</x:v>
      </x:c>
      <x:c r="AC1071" s="8" t="s">
        <x:v>58</x:v>
      </x:c>
      <x:c r="AD1071" s="8" t="s">
        <x:v>58</x:v>
      </x:c>
      <x:c r="AE1071" s="8" t="s">
        <x:v>58</x:v>
      </x:c>
      <x:c r="AF1071" s="8" t="s">
        <x:v>58</x:v>
      </x:c>
      <x:c r="AG1071" s="7" t="s">
        <x:v>58</x:v>
      </x:c>
    </x:row>
    <x:row r="1072" ht="66" hidden="0" customHeight="1">
      <x:c r="A1072" s="7" t="s">
        <x:v>4127</x:v>
      </x:c>
      <x:c r="B1072" s="7" t="s">
        <x:v>671</x:v>
      </x:c>
      <x:c r="C1072" s="7" t="s">
        <x:v>673</x:v>
      </x:c>
      <x:c r="D1072" s="7" t="s">
        <x:v>1935</x:v>
      </x:c>
      <x:c r="E1072" s="7" t="s">
        <x:v>4128</x:v>
      </x:c>
      <x:c r="F1072" s="7" t="s">
        <x:v>1929</x:v>
      </x:c>
      <x:c r="G1072" s="8" t="n">
        <x:v>2386.8</x:v>
      </x:c>
      <x:c r="H1072" s="8" t="n">
        <x:v>150.2</x:v>
      </x:c>
      <x:c r="I1072" s="8" t="s">
        <x:v>58</x:v>
      </x:c>
      <x:c r="J1072" s="7" t="s">
        <x:v>1919</x:v>
      </x:c>
      <x:c r="K1072" s="8" t="n">
        <x:v>0.001</x:v>
      </x:c>
      <x:c r="L1072" s="8" t="n">
        <x:f aca="0">IF(AND(ISNUMBER(G1072),P1072&lt;&gt;"Unresolved unit / layout"),G1072*K1072,"Not applicable")</x:f>
        <x:v>2.3868</x:v>
      </x:c>
      <x:c r="M1072" s="8" t="n">
        <x:f aca="0">IF(AND(ISNUMBER(H1072),P1072&lt;&gt;"Unresolved unit / layout"),H1072*K1072,"Not applicable")</x:f>
        <x:v>0.1502</x:v>
      </x:c>
      <x:c r="N1072" s="8" t="str">
        <x:f aca="0">IF(AND(ISNUMBER(I1072),P1072&lt;&gt;"Unresolved unit / layout"),I1072*K1072,"Not applicable")</x:f>
        <x:v>Not applicable</x:v>
      </x:c>
      <x:c r="O1072" s="7" t="s">
        <x:v>1937</x:v>
      </x:c>
      <x:c r="P1072" s="7" t="s">
        <x:v>1921</x:v>
      </x:c>
      <x:c r="Q1072" s="7" t="s">
        <x:v>1930</x:v>
      </x:c>
      <x:c r="R1072" s="7" t="s">
        <x:v>2003</x:v>
      </x:c>
      <x:c r="S1072" s="7" t="s">
        <x:v>4126</x:v>
      </x:c>
      <x:c r="T1072" s="7" t="s">
        <x:v>4081</x:v>
      </x:c>
      <x:c r="U1072" s="7" t="s">
        <x:v>53</x:v>
      </x:c>
      <x:c r="V1072" s="7" t="s">
        <x:v>1999</x:v>
      </x:c>
      <x:c r="W1072" s="7" t="s">
        <x:v>58</x:v>
      </x:c>
      <x:c r="X1072" s="7" t="s">
        <x:v>4082</x:v>
      </x:c>
      <x:c r="Y1072" s="7" t="s">
        <x:v>1295</x:v>
      </x:c>
      <x:c r="Z1072" s="7" t="s">
        <x:v>4092</x:v>
      </x:c>
      <x:c r="AA1072" s="7" t="s">
        <x:v>58</x:v>
      </x:c>
      <x:c r="AB1072" s="8" t="s">
        <x:v>58</x:v>
      </x:c>
      <x:c r="AC1072" s="8" t="s">
        <x:v>58</x:v>
      </x:c>
      <x:c r="AD1072" s="8" t="s">
        <x:v>58</x:v>
      </x:c>
      <x:c r="AE1072" s="8" t="s">
        <x:v>58</x:v>
      </x:c>
      <x:c r="AF1072" s="8" t="s">
        <x:v>58</x:v>
      </x:c>
      <x:c r="AG1072" s="7" t="s">
        <x:v>58</x:v>
      </x:c>
    </x:row>
    <x:row r="1073" ht="66" hidden="0" customHeight="1">
      <x:c r="A1073" s="7" t="s">
        <x:v>4129</x:v>
      </x:c>
      <x:c r="B1073" s="7" t="s">
        <x:v>671</x:v>
      </x:c>
      <x:c r="C1073" s="7" t="s">
        <x:v>673</x:v>
      </x:c>
      <x:c r="D1073" s="7" t="s">
        <x:v>2006</x:v>
      </x:c>
      <x:c r="E1073" s="7" t="s">
        <x:v>4130</x:v>
      </x:c>
      <x:c r="F1073" s="7" t="s">
        <x:v>1929</x:v>
      </x:c>
      <x:c r="G1073" s="8" t="n">
        <x:v>83.1</x:v>
      </x:c>
      <x:c r="H1073" s="8" t="n">
        <x:v>2.2</x:v>
      </x:c>
      <x:c r="I1073" s="8" t="s">
        <x:v>58</x:v>
      </x:c>
      <x:c r="J1073" s="7" t="s">
        <x:v>1919</x:v>
      </x:c>
      <x:c r="K1073" s="8" t="n">
        <x:v>1</x:v>
      </x:c>
      <x:c r="L1073" s="8" t="n">
        <x:f aca="0">IF(AND(ISNUMBER(G1073),P1073&lt;&gt;"Unresolved unit / layout"),G1073*K1073,"Not applicable")</x:f>
        <x:v>83.1</x:v>
      </x:c>
      <x:c r="M1073" s="8" t="n">
        <x:f aca="0">IF(AND(ISNUMBER(H1073),P1073&lt;&gt;"Unresolved unit / layout"),H1073*K1073,"Not applicable")</x:f>
        <x:v>2.2</x:v>
      </x:c>
      <x:c r="N1073" s="8" t="str">
        <x:f aca="0">IF(AND(ISNUMBER(I1073),P1073&lt;&gt;"Unresolved unit / layout"),I1073*K1073,"Not applicable")</x:f>
        <x:v>Not applicable</x:v>
      </x:c>
      <x:c r="O1073" s="7" t="s">
        <x:v>1929</x:v>
      </x:c>
      <x:c r="P1073" s="7" t="s">
        <x:v>1921</x:v>
      </x:c>
      <x:c r="Q1073" s="7" t="s">
        <x:v>1930</x:v>
      </x:c>
      <x:c r="R1073" s="7" t="s">
        <x:v>1931</x:v>
      </x:c>
      <x:c r="S1073" s="7" t="s">
        <x:v>4126</x:v>
      </x:c>
      <x:c r="T1073" s="7" t="s">
        <x:v>4081</x:v>
      </x:c>
      <x:c r="U1073" s="7" t="s">
        <x:v>53</x:v>
      </x:c>
      <x:c r="V1073" s="7" t="s">
        <x:v>1999</x:v>
      </x:c>
      <x:c r="W1073" s="7" t="s">
        <x:v>58</x:v>
      </x:c>
      <x:c r="X1073" s="7" t="s">
        <x:v>4082</x:v>
      </x:c>
      <x:c r="Y1073" s="7" t="s">
        <x:v>1295</x:v>
      </x:c>
      <x:c r="Z1073" s="7" t="s">
        <x:v>4095</x:v>
      </x:c>
      <x:c r="AA1073" s="7" t="s">
        <x:v>58</x:v>
      </x:c>
      <x:c r="AB1073" s="8" t="s">
        <x:v>58</x:v>
      </x:c>
      <x:c r="AC1073" s="8" t="s">
        <x:v>58</x:v>
      </x:c>
      <x:c r="AD1073" s="8" t="s">
        <x:v>58</x:v>
      </x:c>
      <x:c r="AE1073" s="8" t="s">
        <x:v>58</x:v>
      </x:c>
      <x:c r="AF1073" s="8" t="s">
        <x:v>58</x:v>
      </x:c>
      <x:c r="AG1073" s="7" t="s">
        <x:v>58</x:v>
      </x:c>
    </x:row>
    <x:row r="1074" ht="66" hidden="0" customHeight="1">
      <x:c r="A1074" s="7" t="s">
        <x:v>4131</x:v>
      </x:c>
      <x:c r="B1074" s="7" t="s">
        <x:v>671</x:v>
      </x:c>
      <x:c r="C1074" s="7" t="s">
        <x:v>673</x:v>
      </x:c>
      <x:c r="D1074" s="7" t="s">
        <x:v>2006</x:v>
      </x:c>
      <x:c r="E1074" s="7" t="s">
        <x:v>4132</x:v>
      </x:c>
      <x:c r="F1074" s="7" t="s">
        <x:v>1929</x:v>
      </x:c>
      <x:c r="G1074" s="8" t="n">
        <x:v>35.6</x:v>
      </x:c>
      <x:c r="H1074" s="8" t="n">
        <x:v>3</x:v>
      </x:c>
      <x:c r="I1074" s="8" t="s">
        <x:v>58</x:v>
      </x:c>
      <x:c r="J1074" s="7" t="s">
        <x:v>1919</x:v>
      </x:c>
      <x:c r="K1074" s="8" t="n">
        <x:v>1</x:v>
      </x:c>
      <x:c r="L1074" s="8" t="n">
        <x:f aca="0">IF(AND(ISNUMBER(G1074),P1074&lt;&gt;"Unresolved unit / layout"),G1074*K1074,"Not applicable")</x:f>
        <x:v>35.6</x:v>
      </x:c>
      <x:c r="M1074" s="8" t="n">
        <x:f aca="0">IF(AND(ISNUMBER(H1074),P1074&lt;&gt;"Unresolved unit / layout"),H1074*K1074,"Not applicable")</x:f>
        <x:v>3</x:v>
      </x:c>
      <x:c r="N1074" s="8" t="str">
        <x:f aca="0">IF(AND(ISNUMBER(I1074),P1074&lt;&gt;"Unresolved unit / layout"),I1074*K1074,"Not applicable")</x:f>
        <x:v>Not applicable</x:v>
      </x:c>
      <x:c r="O1074" s="7" t="s">
        <x:v>1929</x:v>
      </x:c>
      <x:c r="P1074" s="7" t="s">
        <x:v>1921</x:v>
      </x:c>
      <x:c r="Q1074" s="7" t="s">
        <x:v>1930</x:v>
      </x:c>
      <x:c r="R1074" s="7" t="s">
        <x:v>2003</x:v>
      </x:c>
      <x:c r="S1074" s="7" t="s">
        <x:v>4126</x:v>
      </x:c>
      <x:c r="T1074" s="7" t="s">
        <x:v>4081</x:v>
      </x:c>
      <x:c r="U1074" s="7" t="s">
        <x:v>53</x:v>
      </x:c>
      <x:c r="V1074" s="7" t="s">
        <x:v>1999</x:v>
      </x:c>
      <x:c r="W1074" s="7" t="s">
        <x:v>58</x:v>
      </x:c>
      <x:c r="X1074" s="7" t="s">
        <x:v>4082</x:v>
      </x:c>
      <x:c r="Y1074" s="7" t="s">
        <x:v>1295</x:v>
      </x:c>
      <x:c r="Z1074" s="7" t="s">
        <x:v>3497</x:v>
      </x:c>
      <x:c r="AA1074" s="7" t="s">
        <x:v>58</x:v>
      </x:c>
      <x:c r="AB1074" s="8" t="s">
        <x:v>58</x:v>
      </x:c>
      <x:c r="AC1074" s="8" t="s">
        <x:v>58</x:v>
      </x:c>
      <x:c r="AD1074" s="8" t="s">
        <x:v>58</x:v>
      </x:c>
      <x:c r="AE1074" s="8" t="s">
        <x:v>58</x:v>
      </x:c>
      <x:c r="AF1074" s="8" t="s">
        <x:v>58</x:v>
      </x:c>
      <x:c r="AG1074" s="7" t="s">
        <x:v>58</x:v>
      </x:c>
    </x:row>
    <x:row r="1075" ht="66" hidden="0" customHeight="1">
      <x:c r="A1075" s="7" t="s">
        <x:v>4133</x:v>
      </x:c>
      <x:c r="B1075" s="7" t="s">
        <x:v>671</x:v>
      </x:c>
      <x:c r="C1075" s="7" t="s">
        <x:v>673</x:v>
      </x:c>
      <x:c r="D1075" s="7" t="s">
        <x:v>1940</x:v>
      </x:c>
      <x:c r="E1075" s="7" t="s">
        <x:v>4134</x:v>
      </x:c>
      <x:c r="F1075" s="7" t="s">
        <x:v>1942</x:v>
      </x:c>
      <x:c r="G1075" s="8" t="n">
        <x:v>4.1</x:v>
      </x:c>
      <x:c r="H1075" s="8" t="n">
        <x:v>0.3</x:v>
      </x:c>
      <x:c r="I1075" s="8" t="s">
        <x:v>58</x:v>
      </x:c>
      <x:c r="J1075" s="7" t="s">
        <x:v>1919</x:v>
      </x:c>
      <x:c r="K1075" s="8" t="n">
        <x:v>1</x:v>
      </x:c>
      <x:c r="L1075" s="8" t="n">
        <x:f aca="0">IF(AND(ISNUMBER(G1075),P1075&lt;&gt;"Unresolved unit / layout"),G1075*K1075,"Not applicable")</x:f>
        <x:v>4.1</x:v>
      </x:c>
      <x:c r="M1075" s="8" t="n">
        <x:f aca="0">IF(AND(ISNUMBER(H1075),P1075&lt;&gt;"Unresolved unit / layout"),H1075*K1075,"Not applicable")</x:f>
        <x:v>0.3</x:v>
      </x:c>
      <x:c r="N1075" s="8" t="str">
        <x:f aca="0">IF(AND(ISNUMBER(I1075),P1075&lt;&gt;"Unresolved unit / layout"),I1075*K1075,"Not applicable")</x:f>
        <x:v>Not applicable</x:v>
      </x:c>
      <x:c r="O1075" s="7" t="s">
        <x:v>1942</x:v>
      </x:c>
      <x:c r="P1075" s="7" t="s">
        <x:v>1921</x:v>
      </x:c>
      <x:c r="Q1075" s="7" t="s">
        <x:v>1930</x:v>
      </x:c>
      <x:c r="R1075" s="7" t="s">
        <x:v>1931</x:v>
      </x:c>
      <x:c r="S1075" s="7" t="s">
        <x:v>4126</x:v>
      </x:c>
      <x:c r="T1075" s="7" t="s">
        <x:v>4081</x:v>
      </x:c>
      <x:c r="U1075" s="7" t="s">
        <x:v>53</x:v>
      </x:c>
      <x:c r="V1075" s="7" t="s">
        <x:v>1999</x:v>
      </x:c>
      <x:c r="W1075" s="7" t="s">
        <x:v>58</x:v>
      </x:c>
      <x:c r="X1075" s="7" t="s">
        <x:v>4082</x:v>
      </x:c>
      <x:c r="Y1075" s="7" t="s">
        <x:v>1295</x:v>
      </x:c>
      <x:c r="Z1075" s="7" t="s">
        <x:v>4100</x:v>
      </x:c>
      <x:c r="AA1075" s="7" t="s">
        <x:v>58</x:v>
      </x:c>
      <x:c r="AB1075" s="8" t="s">
        <x:v>58</x:v>
      </x:c>
      <x:c r="AC1075" s="8" t="s">
        <x:v>58</x:v>
      </x:c>
      <x:c r="AD1075" s="8" t="s">
        <x:v>58</x:v>
      </x:c>
      <x:c r="AE1075" s="8" t="s">
        <x:v>58</x:v>
      </x:c>
      <x:c r="AF1075" s="8" t="s">
        <x:v>58</x:v>
      </x:c>
      <x:c r="AG1075" s="7" t="s">
        <x:v>58</x:v>
      </x:c>
    </x:row>
    <x:row r="1076" ht="66" hidden="0" customHeight="1">
      <x:c r="A1076" s="7" t="s">
        <x:v>4135</x:v>
      </x:c>
      <x:c r="B1076" s="7" t="s">
        <x:v>671</x:v>
      </x:c>
      <x:c r="C1076" s="7" t="s">
        <x:v>673</x:v>
      </x:c>
      <x:c r="D1076" s="7" t="s">
        <x:v>1940</x:v>
      </x:c>
      <x:c r="E1076" s="7" t="s">
        <x:v>2368</x:v>
      </x:c>
      <x:c r="F1076" s="7" t="s">
        <x:v>1942</x:v>
      </x:c>
      <x:c r="G1076" s="8" t="n">
        <x:v>1.7</x:v>
      </x:c>
      <x:c r="H1076" s="8" t="n">
        <x:v>0.2</x:v>
      </x:c>
      <x:c r="I1076" s="8" t="s">
        <x:v>58</x:v>
      </x:c>
      <x:c r="J1076" s="7" t="s">
        <x:v>1919</x:v>
      </x:c>
      <x:c r="K1076" s="8" t="n">
        <x:v>1</x:v>
      </x:c>
      <x:c r="L1076" s="8" t="n">
        <x:f aca="0">IF(AND(ISNUMBER(G1076),P1076&lt;&gt;"Unresolved unit / layout"),G1076*K1076,"Not applicable")</x:f>
        <x:v>1.7</x:v>
      </x:c>
      <x:c r="M1076" s="8" t="n">
        <x:f aca="0">IF(AND(ISNUMBER(H1076),P1076&lt;&gt;"Unresolved unit / layout"),H1076*K1076,"Not applicable")</x:f>
        <x:v>0.2</x:v>
      </x:c>
      <x:c r="N1076" s="8" t="str">
        <x:f aca="0">IF(AND(ISNUMBER(I1076),P1076&lt;&gt;"Unresolved unit / layout"),I1076*K1076,"Not applicable")</x:f>
        <x:v>Not applicable</x:v>
      </x:c>
      <x:c r="O1076" s="7" t="s">
        <x:v>1942</x:v>
      </x:c>
      <x:c r="P1076" s="7" t="s">
        <x:v>1921</x:v>
      </x:c>
      <x:c r="Q1076" s="7" t="s">
        <x:v>1930</x:v>
      </x:c>
      <x:c r="R1076" s="7" t="s">
        <x:v>2003</x:v>
      </x:c>
      <x:c r="S1076" s="7" t="s">
        <x:v>4126</x:v>
      </x:c>
      <x:c r="T1076" s="7" t="s">
        <x:v>4081</x:v>
      </x:c>
      <x:c r="U1076" s="7" t="s">
        <x:v>53</x:v>
      </x:c>
      <x:c r="V1076" s="7" t="s">
        <x:v>1999</x:v>
      </x:c>
      <x:c r="W1076" s="7" t="s">
        <x:v>58</x:v>
      </x:c>
      <x:c r="X1076" s="7" t="s">
        <x:v>4082</x:v>
      </x:c>
      <x:c r="Y1076" s="7" t="s">
        <x:v>1295</x:v>
      </x:c>
      <x:c r="Z1076" s="7" t="s">
        <x:v>3503</x:v>
      </x:c>
      <x:c r="AA1076" s="7" t="s">
        <x:v>58</x:v>
      </x:c>
      <x:c r="AB1076" s="8" t="s">
        <x:v>58</x:v>
      </x:c>
      <x:c r="AC1076" s="8" t="s">
        <x:v>58</x:v>
      </x:c>
      <x:c r="AD1076" s="8" t="s">
        <x:v>58</x:v>
      </x:c>
      <x:c r="AE1076" s="8" t="s">
        <x:v>58</x:v>
      </x:c>
      <x:c r="AF1076" s="8" t="s">
        <x:v>58</x:v>
      </x:c>
      <x:c r="AG1076" s="7" t="s">
        <x:v>58</x:v>
      </x:c>
    </x:row>
    <x:row r="1077" ht="66" hidden="0" customHeight="1">
      <x:c r="A1077" s="7" t="s">
        <x:v>4136</x:v>
      </x:c>
      <x:c r="B1077" s="7" t="s">
        <x:v>671</x:v>
      </x:c>
      <x:c r="C1077" s="7" t="s">
        <x:v>673</x:v>
      </x:c>
      <x:c r="D1077" s="7" t="s">
        <x:v>1950</x:v>
      </x:c>
      <x:c r="E1077" s="7" t="s">
        <x:v>4137</x:v>
      </x:c>
      <x:c r="F1077" s="7" t="s">
        <x:v>1929</x:v>
      </x:c>
      <x:c r="G1077" s="8" t="n">
        <x:v>3888.3</x:v>
      </x:c>
      <x:c r="H1077" s="8" t="n">
        <x:v>56.3</x:v>
      </x:c>
      <x:c r="I1077" s="8" t="s">
        <x:v>58</x:v>
      </x:c>
      <x:c r="J1077" s="7" t="s">
        <x:v>1919</x:v>
      </x:c>
      <x:c r="K1077" s="8" t="n">
        <x:v>0.001</x:v>
      </x:c>
      <x:c r="L1077" s="8" t="n">
        <x:f aca="0">IF(AND(ISNUMBER(G1077),P1077&lt;&gt;"Unresolved unit / layout"),G1077*K1077,"Not applicable")</x:f>
        <x:v>3.8883</x:v>
      </x:c>
      <x:c r="M1077" s="8" t="n">
        <x:f aca="0">IF(AND(ISNUMBER(H1077),P1077&lt;&gt;"Unresolved unit / layout"),H1077*K1077,"Not applicable")</x:f>
        <x:v>0.056299999999999996</x:v>
      </x:c>
      <x:c r="N1077" s="8" t="str">
        <x:f aca="0">IF(AND(ISNUMBER(I1077),P1077&lt;&gt;"Unresolved unit / layout"),I1077*K1077,"Not applicable")</x:f>
        <x:v>Not applicable</x:v>
      </x:c>
      <x:c r="O1077" s="7" t="s">
        <x:v>1937</x:v>
      </x:c>
      <x:c r="P1077" s="7" t="s">
        <x:v>1921</x:v>
      </x:c>
      <x:c r="Q1077" s="7" t="s">
        <x:v>1930</x:v>
      </x:c>
      <x:c r="R1077" s="7" t="s">
        <x:v>1931</x:v>
      </x:c>
      <x:c r="S1077" s="7" t="s">
        <x:v>4126</x:v>
      </x:c>
      <x:c r="T1077" s="7" t="s">
        <x:v>4081</x:v>
      </x:c>
      <x:c r="U1077" s="7" t="s">
        <x:v>53</x:v>
      </x:c>
      <x:c r="V1077" s="7" t="s">
        <x:v>2020</x:v>
      </x:c>
      <x:c r="W1077" s="7" t="s">
        <x:v>58</x:v>
      </x:c>
      <x:c r="X1077" s="7" t="s">
        <x:v>4082</x:v>
      </x:c>
      <x:c r="Y1077" s="7" t="s">
        <x:v>1295</x:v>
      </x:c>
      <x:c r="Z1077" s="7" t="s">
        <x:v>4105</x:v>
      </x:c>
      <x:c r="AA1077" s="7" t="s">
        <x:v>58</x:v>
      </x:c>
      <x:c r="AB1077" s="8" t="s">
        <x:v>58</x:v>
      </x:c>
      <x:c r="AC1077" s="8" t="s">
        <x:v>58</x:v>
      </x:c>
      <x:c r="AD1077" s="8" t="s">
        <x:v>58</x:v>
      </x:c>
      <x:c r="AE1077" s="8" t="s">
        <x:v>58</x:v>
      </x:c>
      <x:c r="AF1077" s="8" t="s">
        <x:v>58</x:v>
      </x:c>
      <x:c r="AG1077" s="7" t="s">
        <x:v>58</x:v>
      </x:c>
    </x:row>
    <x:row r="1078" ht="66" hidden="0" customHeight="1">
      <x:c r="A1078" s="7" t="s">
        <x:v>4138</x:v>
      </x:c>
      <x:c r="B1078" s="7" t="s">
        <x:v>671</x:v>
      </x:c>
      <x:c r="C1078" s="7" t="s">
        <x:v>673</x:v>
      </x:c>
      <x:c r="D1078" s="7" t="s">
        <x:v>1950</x:v>
      </x:c>
      <x:c r="E1078" s="7" t="s">
        <x:v>4139</x:v>
      </x:c>
      <x:c r="F1078" s="7" t="s">
        <x:v>1929</x:v>
      </x:c>
      <x:c r="G1078" s="8" t="n">
        <x:v>1764.5</x:v>
      </x:c>
      <x:c r="H1078" s="8" t="n">
        <x:v>98.9</x:v>
      </x:c>
      <x:c r="I1078" s="8" t="s">
        <x:v>58</x:v>
      </x:c>
      <x:c r="J1078" s="7" t="s">
        <x:v>1919</x:v>
      </x:c>
      <x:c r="K1078" s="8" t="n">
        <x:v>0.001</x:v>
      </x:c>
      <x:c r="L1078" s="8" t="n">
        <x:f aca="0">IF(AND(ISNUMBER(G1078),P1078&lt;&gt;"Unresolved unit / layout"),G1078*K1078,"Not applicable")</x:f>
        <x:v>1.7645</x:v>
      </x:c>
      <x:c r="M1078" s="8" t="n">
        <x:f aca="0">IF(AND(ISNUMBER(H1078),P1078&lt;&gt;"Unresolved unit / layout"),H1078*K1078,"Not applicable")</x:f>
        <x:v>0.0989</x:v>
      </x:c>
      <x:c r="N1078" s="8" t="str">
        <x:f aca="0">IF(AND(ISNUMBER(I1078),P1078&lt;&gt;"Unresolved unit / layout"),I1078*K1078,"Not applicable")</x:f>
        <x:v>Not applicable</x:v>
      </x:c>
      <x:c r="O1078" s="7" t="s">
        <x:v>1937</x:v>
      </x:c>
      <x:c r="P1078" s="7" t="s">
        <x:v>1921</x:v>
      </x:c>
      <x:c r="Q1078" s="7" t="s">
        <x:v>1930</x:v>
      </x:c>
      <x:c r="R1078" s="7" t="s">
        <x:v>2003</x:v>
      </x:c>
      <x:c r="S1078" s="7" t="s">
        <x:v>4126</x:v>
      </x:c>
      <x:c r="T1078" s="7" t="s">
        <x:v>4081</x:v>
      </x:c>
      <x:c r="U1078" s="7" t="s">
        <x:v>53</x:v>
      </x:c>
      <x:c r="V1078" s="7" t="s">
        <x:v>2020</x:v>
      </x:c>
      <x:c r="W1078" s="7" t="s">
        <x:v>58</x:v>
      </x:c>
      <x:c r="X1078" s="7" t="s">
        <x:v>4082</x:v>
      </x:c>
      <x:c r="Y1078" s="7" t="s">
        <x:v>1295</x:v>
      </x:c>
      <x:c r="Z1078" s="7" t="s">
        <x:v>4108</x:v>
      </x:c>
      <x:c r="AA1078" s="7" t="s">
        <x:v>58</x:v>
      </x:c>
      <x:c r="AB1078" s="8" t="s">
        <x:v>58</x:v>
      </x:c>
      <x:c r="AC1078" s="8" t="s">
        <x:v>58</x:v>
      </x:c>
      <x:c r="AD1078" s="8" t="s">
        <x:v>58</x:v>
      </x:c>
      <x:c r="AE1078" s="8" t="s">
        <x:v>58</x:v>
      </x:c>
      <x:c r="AF1078" s="8" t="s">
        <x:v>58</x:v>
      </x:c>
      <x:c r="AG1078" s="7" t="s">
        <x:v>58</x:v>
      </x:c>
    </x:row>
    <x:row r="1079" ht="66" hidden="0" customHeight="1">
      <x:c r="A1079" s="7" t="s">
        <x:v>4140</x:v>
      </x:c>
      <x:c r="B1079" s="7" t="s">
        <x:v>671</x:v>
      </x:c>
      <x:c r="C1079" s="7" t="s">
        <x:v>673</x:v>
      </x:c>
      <x:c r="D1079" s="7" t="s">
        <x:v>1945</x:v>
      </x:c>
      <x:c r="E1079" s="7" t="s">
        <x:v>4141</x:v>
      </x:c>
      <x:c r="F1079" s="7" t="s">
        <x:v>1929</x:v>
      </x:c>
      <x:c r="G1079" s="8" t="n">
        <x:v>118.1</x:v>
      </x:c>
      <x:c r="H1079" s="8" t="n">
        <x:v>1.6</x:v>
      </x:c>
      <x:c r="I1079" s="8" t="s">
        <x:v>58</x:v>
      </x:c>
      <x:c r="J1079" s="7" t="s">
        <x:v>1919</x:v>
      </x:c>
      <x:c r="K1079" s="8" t="n">
        <x:v>1</x:v>
      </x:c>
      <x:c r="L1079" s="8" t="n">
        <x:f aca="0">IF(AND(ISNUMBER(G1079),P1079&lt;&gt;"Unresolved unit / layout"),G1079*K1079,"Not applicable")</x:f>
        <x:v>118.1</x:v>
      </x:c>
      <x:c r="M1079" s="8" t="n">
        <x:f aca="0">IF(AND(ISNUMBER(H1079),P1079&lt;&gt;"Unresolved unit / layout"),H1079*K1079,"Not applicable")</x:f>
        <x:v>1.6</x:v>
      </x:c>
      <x:c r="N1079" s="8" t="str">
        <x:f aca="0">IF(AND(ISNUMBER(I1079),P1079&lt;&gt;"Unresolved unit / layout"),I1079*K1079,"Not applicable")</x:f>
        <x:v>Not applicable</x:v>
      </x:c>
      <x:c r="O1079" s="7" t="s">
        <x:v>1929</x:v>
      </x:c>
      <x:c r="P1079" s="7" t="s">
        <x:v>1921</x:v>
      </x:c>
      <x:c r="Q1079" s="7" t="s">
        <x:v>1930</x:v>
      </x:c>
      <x:c r="R1079" s="7" t="s">
        <x:v>1931</x:v>
      </x:c>
      <x:c r="S1079" s="7" t="s">
        <x:v>4126</x:v>
      </x:c>
      <x:c r="T1079" s="7" t="s">
        <x:v>4081</x:v>
      </x:c>
      <x:c r="U1079" s="7" t="s">
        <x:v>53</x:v>
      </x:c>
      <x:c r="V1079" s="7" t="s">
        <x:v>2020</x:v>
      </x:c>
      <x:c r="W1079" s="7" t="s">
        <x:v>58</x:v>
      </x:c>
      <x:c r="X1079" s="7" t="s">
        <x:v>4082</x:v>
      </x:c>
      <x:c r="Y1079" s="7" t="s">
        <x:v>1295</x:v>
      </x:c>
      <x:c r="Z1079" s="7" t="s">
        <x:v>4111</x:v>
      </x:c>
      <x:c r="AA1079" s="7" t="s">
        <x:v>58</x:v>
      </x:c>
      <x:c r="AB1079" s="8" t="s">
        <x:v>58</x:v>
      </x:c>
      <x:c r="AC1079" s="8" t="s">
        <x:v>58</x:v>
      </x:c>
      <x:c r="AD1079" s="8" t="s">
        <x:v>58</x:v>
      </x:c>
      <x:c r="AE1079" s="8" t="s">
        <x:v>58</x:v>
      </x:c>
      <x:c r="AF1079" s="8" t="s">
        <x:v>58</x:v>
      </x:c>
      <x:c r="AG1079" s="7" t="s">
        <x:v>58</x:v>
      </x:c>
    </x:row>
    <x:row r="1080" ht="66" hidden="0" customHeight="1">
      <x:c r="A1080" s="7" t="s">
        <x:v>4142</x:v>
      </x:c>
      <x:c r="B1080" s="7" t="s">
        <x:v>671</x:v>
      </x:c>
      <x:c r="C1080" s="7" t="s">
        <x:v>673</x:v>
      </x:c>
      <x:c r="D1080" s="7" t="s">
        <x:v>1945</x:v>
      </x:c>
      <x:c r="E1080" s="7" t="s">
        <x:v>4143</x:v>
      </x:c>
      <x:c r="F1080" s="7" t="s">
        <x:v>1929</x:v>
      </x:c>
      <x:c r="G1080" s="8" t="n">
        <x:v>64.6</x:v>
      </x:c>
      <x:c r="H1080" s="8" t="n">
        <x:v>2</x:v>
      </x:c>
      <x:c r="I1080" s="8" t="s">
        <x:v>58</x:v>
      </x:c>
      <x:c r="J1080" s="7" t="s">
        <x:v>1919</x:v>
      </x:c>
      <x:c r="K1080" s="8" t="n">
        <x:v>1</x:v>
      </x:c>
      <x:c r="L1080" s="8" t="n">
        <x:f aca="0">IF(AND(ISNUMBER(G1080),P1080&lt;&gt;"Unresolved unit / layout"),G1080*K1080,"Not applicable")</x:f>
        <x:v>64.6</x:v>
      </x:c>
      <x:c r="M1080" s="8" t="n">
        <x:f aca="0">IF(AND(ISNUMBER(H1080),P1080&lt;&gt;"Unresolved unit / layout"),H1080*K1080,"Not applicable")</x:f>
        <x:v>2</x:v>
      </x:c>
      <x:c r="N1080" s="8" t="str">
        <x:f aca="0">IF(AND(ISNUMBER(I1080),P1080&lt;&gt;"Unresolved unit / layout"),I1080*K1080,"Not applicable")</x:f>
        <x:v>Not applicable</x:v>
      </x:c>
      <x:c r="O1080" s="7" t="s">
        <x:v>1929</x:v>
      </x:c>
      <x:c r="P1080" s="7" t="s">
        <x:v>1921</x:v>
      </x:c>
      <x:c r="Q1080" s="7" t="s">
        <x:v>1930</x:v>
      </x:c>
      <x:c r="R1080" s="7" t="s">
        <x:v>2003</x:v>
      </x:c>
      <x:c r="S1080" s="7" t="s">
        <x:v>4126</x:v>
      </x:c>
      <x:c r="T1080" s="7" t="s">
        <x:v>4081</x:v>
      </x:c>
      <x:c r="U1080" s="7" t="s">
        <x:v>53</x:v>
      </x:c>
      <x:c r="V1080" s="7" t="s">
        <x:v>2020</x:v>
      </x:c>
      <x:c r="W1080" s="7" t="s">
        <x:v>58</x:v>
      </x:c>
      <x:c r="X1080" s="7" t="s">
        <x:v>4082</x:v>
      </x:c>
      <x:c r="Y1080" s="7" t="s">
        <x:v>1295</x:v>
      </x:c>
      <x:c r="Z1080" s="7" t="s">
        <x:v>4114</x:v>
      </x:c>
      <x:c r="AA1080" s="7" t="s">
        <x:v>58</x:v>
      </x:c>
      <x:c r="AB1080" s="8" t="s">
        <x:v>58</x:v>
      </x:c>
      <x:c r="AC1080" s="8" t="s">
        <x:v>58</x:v>
      </x:c>
      <x:c r="AD1080" s="8" t="s">
        <x:v>58</x:v>
      </x:c>
      <x:c r="AE1080" s="8" t="s">
        <x:v>58</x:v>
      </x:c>
      <x:c r="AF1080" s="8" t="s">
        <x:v>58</x:v>
      </x:c>
      <x:c r="AG1080" s="7" t="s">
        <x:v>58</x:v>
      </x:c>
    </x:row>
    <x:row r="1081" ht="66" hidden="0" customHeight="1">
      <x:c r="A1081" s="7" t="s">
        <x:v>4144</x:v>
      </x:c>
      <x:c r="B1081" s="7" t="s">
        <x:v>671</x:v>
      </x:c>
      <x:c r="C1081" s="7" t="s">
        <x:v>673</x:v>
      </x:c>
      <x:c r="D1081" s="7" t="s">
        <x:v>2030</x:v>
      </x:c>
      <x:c r="E1081" s="7" t="s">
        <x:v>4145</x:v>
      </x:c>
      <x:c r="F1081" s="7" t="s">
        <x:v>2032</x:v>
      </x:c>
      <x:c r="G1081" s="8" t="n">
        <x:v>7.7</x:v>
      </x:c>
      <x:c r="H1081" s="8" t="n">
        <x:v>0.5</x:v>
      </x:c>
      <x:c r="I1081" s="8" t="s">
        <x:v>58</x:v>
      </x:c>
      <x:c r="J1081" s="7" t="s">
        <x:v>1919</x:v>
      </x:c>
      <x:c r="K1081" s="8" t="n">
        <x:v>1</x:v>
      </x:c>
      <x:c r="L1081" s="8" t="n">
        <x:f aca="0">IF(AND(ISNUMBER(G1081),P1081&lt;&gt;"Unresolved unit / layout"),G1081*K1081,"Not applicable")</x:f>
        <x:v>7.7</x:v>
      </x:c>
      <x:c r="M1081" s="8" t="n">
        <x:f aca="0">IF(AND(ISNUMBER(H1081),P1081&lt;&gt;"Unresolved unit / layout"),H1081*K1081,"Not applicable")</x:f>
        <x:v>0.5</x:v>
      </x:c>
      <x:c r="N1081" s="8" t="str">
        <x:f aca="0">IF(AND(ISNUMBER(I1081),P1081&lt;&gt;"Unresolved unit / layout"),I1081*K1081,"Not applicable")</x:f>
        <x:v>Not applicable</x:v>
      </x:c>
      <x:c r="O1081" s="7" t="s">
        <x:v>2033</x:v>
      </x:c>
      <x:c r="P1081" s="7" t="s">
        <x:v>1921</x:v>
      </x:c>
      <x:c r="Q1081" s="7" t="s">
        <x:v>1930</x:v>
      </x:c>
      <x:c r="R1081" s="7" t="s">
        <x:v>1931</x:v>
      </x:c>
      <x:c r="S1081" s="7" t="s">
        <x:v>4126</x:v>
      </x:c>
      <x:c r="T1081" s="7" t="s">
        <x:v>4081</x:v>
      </x:c>
      <x:c r="U1081" s="7" t="s">
        <x:v>53</x:v>
      </x:c>
      <x:c r="V1081" s="7" t="s">
        <x:v>2036</x:v>
      </x:c>
      <x:c r="W1081" s="7" t="s">
        <x:v>2139</x:v>
      </x:c>
      <x:c r="X1081" s="7" t="s">
        <x:v>4082</x:v>
      </x:c>
      <x:c r="Y1081" s="7" t="s">
        <x:v>1295</x:v>
      </x:c>
      <x:c r="Z1081" s="7" t="s">
        <x:v>4117</x:v>
      </x:c>
      <x:c r="AA1081" s="7" t="s">
        <x:v>58</x:v>
      </x:c>
      <x:c r="AB1081" s="8" t="s">
        <x:v>58</x:v>
      </x:c>
      <x:c r="AC1081" s="8" t="s">
        <x:v>58</x:v>
      </x:c>
      <x:c r="AD1081" s="8" t="s">
        <x:v>58</x:v>
      </x:c>
      <x:c r="AE1081" s="8" t="s">
        <x:v>58</x:v>
      </x:c>
      <x:c r="AF1081" s="8" t="s">
        <x:v>58</x:v>
      </x:c>
      <x:c r="AG1081" s="7" t="s">
        <x:v>58</x:v>
      </x:c>
    </x:row>
    <x:row r="1082" ht="66" hidden="0" customHeight="1">
      <x:c r="A1082" s="7" t="s">
        <x:v>4146</x:v>
      </x:c>
      <x:c r="B1082" s="7" t="s">
        <x:v>671</x:v>
      </x:c>
      <x:c r="C1082" s="7" t="s">
        <x:v>673</x:v>
      </x:c>
      <x:c r="D1082" s="7" t="s">
        <x:v>2030</x:v>
      </x:c>
      <x:c r="E1082" s="7" t="s">
        <x:v>4147</x:v>
      </x:c>
      <x:c r="F1082" s="7" t="s">
        <x:v>2032</x:v>
      </x:c>
      <x:c r="G1082" s="8" t="n">
        <x:v>41</x:v>
      </x:c>
      <x:c r="H1082" s="8" t="n">
        <x:v>1.4</x:v>
      </x:c>
      <x:c r="I1082" s="8" t="s">
        <x:v>58</x:v>
      </x:c>
      <x:c r="J1082" s="7" t="s">
        <x:v>1919</x:v>
      </x:c>
      <x:c r="K1082" s="8" t="n">
        <x:v>1</x:v>
      </x:c>
      <x:c r="L1082" s="8" t="n">
        <x:f aca="0">IF(AND(ISNUMBER(G1082),P1082&lt;&gt;"Unresolved unit / layout"),G1082*K1082,"Not applicable")</x:f>
        <x:v>41</x:v>
      </x:c>
      <x:c r="M1082" s="8" t="n">
        <x:f aca="0">IF(AND(ISNUMBER(H1082),P1082&lt;&gt;"Unresolved unit / layout"),H1082*K1082,"Not applicable")</x:f>
        <x:v>1.4</x:v>
      </x:c>
      <x:c r="N1082" s="8" t="str">
        <x:f aca="0">IF(AND(ISNUMBER(I1082),P1082&lt;&gt;"Unresolved unit / layout"),I1082*K1082,"Not applicable")</x:f>
        <x:v>Not applicable</x:v>
      </x:c>
      <x:c r="O1082" s="7" t="s">
        <x:v>2033</x:v>
      </x:c>
      <x:c r="P1082" s="7" t="s">
        <x:v>1921</x:v>
      </x:c>
      <x:c r="Q1082" s="7" t="s">
        <x:v>1930</x:v>
      </x:c>
      <x:c r="R1082" s="7" t="s">
        <x:v>1931</x:v>
      </x:c>
      <x:c r="S1082" s="7" t="s">
        <x:v>4126</x:v>
      </x:c>
      <x:c r="T1082" s="7" t="s">
        <x:v>4081</x:v>
      </x:c>
      <x:c r="U1082" s="7" t="s">
        <x:v>53</x:v>
      </x:c>
      <x:c r="V1082" s="7" t="s">
        <x:v>2036</x:v>
      </x:c>
      <x:c r="W1082" s="7" t="s">
        <x:v>2139</x:v>
      </x:c>
      <x:c r="X1082" s="7" t="s">
        <x:v>4082</x:v>
      </x:c>
      <x:c r="Y1082" s="7" t="s">
        <x:v>1295</x:v>
      </x:c>
      <x:c r="Z1082" s="7" t="s">
        <x:v>4120</x:v>
      </x:c>
      <x:c r="AA1082" s="7" t="s">
        <x:v>58</x:v>
      </x:c>
      <x:c r="AB1082" s="8" t="s">
        <x:v>58</x:v>
      </x:c>
      <x:c r="AC1082" s="8" t="s">
        <x:v>58</x:v>
      </x:c>
      <x:c r="AD1082" s="8" t="s">
        <x:v>58</x:v>
      </x:c>
      <x:c r="AE1082" s="8" t="s">
        <x:v>58</x:v>
      </x:c>
      <x:c r="AF1082" s="8" t="s">
        <x:v>58</x:v>
      </x:c>
      <x:c r="AG1082" s="7" t="s">
        <x:v>58</x:v>
      </x:c>
    </x:row>
    <x:row r="1083" ht="66" hidden="0" customHeight="1">
      <x:c r="A1083" s="7" t="s">
        <x:v>4148</x:v>
      </x:c>
      <x:c r="B1083" s="7" t="s">
        <x:v>671</x:v>
      </x:c>
      <x:c r="C1083" s="7" t="s">
        <x:v>673</x:v>
      </x:c>
      <x:c r="D1083" s="7" t="s">
        <x:v>2030</x:v>
      </x:c>
      <x:c r="E1083" s="7" t="s">
        <x:v>4149</x:v>
      </x:c>
      <x:c r="F1083" s="7" t="s">
        <x:v>2032</x:v>
      </x:c>
      <x:c r="G1083" s="8" t="n">
        <x:v>17.6</x:v>
      </x:c>
      <x:c r="H1083" s="8" t="n">
        <x:v>2</x:v>
      </x:c>
      <x:c r="I1083" s="8" t="s">
        <x:v>58</x:v>
      </x:c>
      <x:c r="J1083" s="7" t="s">
        <x:v>1919</x:v>
      </x:c>
      <x:c r="K1083" s="8" t="n">
        <x:v>1</x:v>
      </x:c>
      <x:c r="L1083" s="8" t="n">
        <x:f aca="0">IF(AND(ISNUMBER(G1083),P1083&lt;&gt;"Unresolved unit / layout"),G1083*K1083,"Not applicable")</x:f>
        <x:v>17.6</x:v>
      </x:c>
      <x:c r="M1083" s="8" t="n">
        <x:f aca="0">IF(AND(ISNUMBER(H1083),P1083&lt;&gt;"Unresolved unit / layout"),H1083*K1083,"Not applicable")</x:f>
        <x:v>2</x:v>
      </x:c>
      <x:c r="N1083" s="8" t="str">
        <x:f aca="0">IF(AND(ISNUMBER(I1083),P1083&lt;&gt;"Unresolved unit / layout"),I1083*K1083,"Not applicable")</x:f>
        <x:v>Not applicable</x:v>
      </x:c>
      <x:c r="O1083" s="7" t="s">
        <x:v>2033</x:v>
      </x:c>
      <x:c r="P1083" s="7" t="s">
        <x:v>1921</x:v>
      </x:c>
      <x:c r="Q1083" s="7" t="s">
        <x:v>1930</x:v>
      </x:c>
      <x:c r="R1083" s="7" t="s">
        <x:v>2003</x:v>
      </x:c>
      <x:c r="S1083" s="7" t="s">
        <x:v>4126</x:v>
      </x:c>
      <x:c r="T1083" s="7" t="s">
        <x:v>4081</x:v>
      </x:c>
      <x:c r="U1083" s="7" t="s">
        <x:v>53</x:v>
      </x:c>
      <x:c r="V1083" s="7" t="s">
        <x:v>2036</x:v>
      </x:c>
      <x:c r="W1083" s="7" t="s">
        <x:v>2139</x:v>
      </x:c>
      <x:c r="X1083" s="7" t="s">
        <x:v>4082</x:v>
      </x:c>
      <x:c r="Y1083" s="7" t="s">
        <x:v>1295</x:v>
      </x:c>
      <x:c r="Z1083" s="7" t="s">
        <x:v>4123</x:v>
      </x:c>
      <x:c r="AA1083" s="7" t="s">
        <x:v>58</x:v>
      </x:c>
      <x:c r="AB1083" s="8" t="s">
        <x:v>58</x:v>
      </x:c>
      <x:c r="AC1083" s="8" t="s">
        <x:v>58</x:v>
      </x:c>
      <x:c r="AD1083" s="8" t="s">
        <x:v>58</x:v>
      </x:c>
      <x:c r="AE1083" s="8" t="s">
        <x:v>58</x:v>
      </x:c>
      <x:c r="AF1083" s="8" t="s">
        <x:v>58</x:v>
      </x:c>
      <x:c r="AG1083" s="7" t="s">
        <x:v>58</x:v>
      </x:c>
    </x:row>
    <x:row r="1084" ht="66" hidden="0" customHeight="1">
      <x:c r="A1084" s="7" t="s">
        <x:v>4150</x:v>
      </x:c>
      <x:c r="B1084" s="7" t="s">
        <x:v>687</x:v>
      </x:c>
      <x:c r="C1084" s="7" t="s">
        <x:v>689</x:v>
      </x:c>
      <x:c r="D1084" s="7" t="s">
        <x:v>1916</x:v>
      </x:c>
      <x:c r="E1084" s="7" t="s">
        <x:v>3681</x:v>
      </x:c>
      <x:c r="F1084" s="7" t="s">
        <x:v>1965</x:v>
      </x:c>
      <x:c r="G1084" s="8" t="n">
        <x:v>1.12</x:v>
      </x:c>
      <x:c r="H1084" s="8" t="s">
        <x:v>58</x:v>
      </x:c>
      <x:c r="I1084" s="8" t="s">
        <x:v>58</x:v>
      </x:c>
      <x:c r="J1084" s="7" t="s">
        <x:v>1919</x:v>
      </x:c>
      <x:c r="K1084" s="8" t="n">
        <x:v>1000</x:v>
      </x:c>
      <x:c r="L1084" s="8" t="n">
        <x:f aca="0">IF(AND(ISNUMBER(G1084),P1084&lt;&gt;"Unresolved unit / layout"),G1084*K1084,"Not applicable")</x:f>
        <x:v>1120</x:v>
      </x:c>
      <x:c r="M1084" s="8" t="str">
        <x:f aca="0">IF(AND(ISNUMBER(H1084),P1084&lt;&gt;"Unresolved unit / layout"),H1084*K1084,"Not applicable")</x:f>
        <x:v>Not applicable</x:v>
      </x:c>
      <x:c r="N1084" s="8" t="str">
        <x:f aca="0">IF(AND(ISNUMBER(I1084),P1084&lt;&gt;"Unresolved unit / layout"),I1084*K1084,"Not applicable")</x:f>
        <x:v>Not applicable</x:v>
      </x:c>
      <x:c r="O1084" s="7" t="s">
        <x:v>1920</x:v>
      </x:c>
      <x:c r="P1084" s="7" t="s">
        <x:v>1921</x:v>
      </x:c>
      <x:c r="Q1084" s="7" t="s">
        <x:v>1922</x:v>
      </x:c>
      <x:c r="R1084" s="7" t="s">
        <x:v>58</x:v>
      </x:c>
      <x:c r="S1084" s="7" t="s">
        <x:v>2077</x:v>
      </x:c>
      <x:c r="T1084" s="7" t="s">
        <x:v>3741</x:v>
      </x:c>
      <x:c r="U1084" s="7" t="s">
        <x:v>53</x:v>
      </x:c>
      <x:c r="V1084" s="7" t="s">
        <x:v>1966</x:v>
      </x:c>
      <x:c r="W1084" s="7" t="s">
        <x:v>58</x:v>
      </x:c>
      <x:c r="X1084" s="7" t="s">
        <x:v>3742</x:v>
      </x:c>
      <x:c r="Y1084" s="7" t="s">
        <x:v>1264</x:v>
      </x:c>
      <x:c r="Z1084" s="7" t="s">
        <x:v>1968</x:v>
      </x:c>
      <x:c r="AA1084" s="7" t="s">
        <x:v>58</x:v>
      </x:c>
      <x:c r="AB1084" s="8" t="s">
        <x:v>58</x:v>
      </x:c>
      <x:c r="AC1084" s="8" t="s">
        <x:v>58</x:v>
      </x:c>
      <x:c r="AD1084" s="8" t="s">
        <x:v>58</x:v>
      </x:c>
      <x:c r="AE1084" s="8" t="s">
        <x:v>58</x:v>
      </x:c>
      <x:c r="AF1084" s="8" t="s">
        <x:v>58</x:v>
      </x:c>
      <x:c r="AG1084" s="7" t="s">
        <x:v>58</x:v>
      </x:c>
    </x:row>
    <x:row r="1085" ht="66" hidden="0" customHeight="1">
      <x:c r="A1085" s="7" t="s">
        <x:v>4151</x:v>
      </x:c>
      <x:c r="B1085" s="7" t="s">
        <x:v>687</x:v>
      </x:c>
      <x:c r="C1085" s="7" t="s">
        <x:v>689</x:v>
      </x:c>
      <x:c r="D1085" s="7" t="s">
        <x:v>1954</x:v>
      </x:c>
      <x:c r="E1085" s="7" t="s">
        <x:v>3744</x:v>
      </x:c>
      <x:c r="F1085" s="7" t="s">
        <x:v>1956</x:v>
      </x:c>
      <x:c r="G1085" s="8" t="n">
        <x:v>67</x:v>
      </x:c>
      <x:c r="H1085" s="8" t="s">
        <x:v>58</x:v>
      </x:c>
      <x:c r="I1085" s="8" t="s">
        <x:v>58</x:v>
      </x:c>
      <x:c r="J1085" s="7" t="s">
        <x:v>1919</x:v>
      </x:c>
      <x:c r="K1085" s="8" t="n">
        <x:v>1</x:v>
      </x:c>
      <x:c r="L1085" s="8" t="n">
        <x:f aca="0">IF(AND(ISNUMBER(G1085),P1085&lt;&gt;"Unresolved unit / layout"),G1085*K1085,"Not applicable")</x:f>
        <x:v>67</x:v>
      </x:c>
      <x:c r="M1085" s="8" t="str">
        <x:f aca="0">IF(AND(ISNUMBER(H1085),P1085&lt;&gt;"Unresolved unit / layout"),H1085*K1085,"Not applicable")</x:f>
        <x:v>Not applicable</x:v>
      </x:c>
      <x:c r="N1085" s="8" t="str">
        <x:f aca="0">IF(AND(ISNUMBER(I1085),P1085&lt;&gt;"Unresolved unit / layout"),I1085*K1085,"Not applicable")</x:f>
        <x:v>Not applicable</x:v>
      </x:c>
      <x:c r="O1085" s="7" t="s">
        <x:v>1956</x:v>
      </x:c>
      <x:c r="P1085" s="7" t="s">
        <x:v>1921</x:v>
      </x:c>
      <x:c r="Q1085" s="7" t="s">
        <x:v>1930</x:v>
      </x:c>
      <x:c r="R1085" s="7" t="s">
        <x:v>58</x:v>
      </x:c>
      <x:c r="S1085" s="7" t="s">
        <x:v>2077</x:v>
      </x:c>
      <x:c r="T1085" s="7" t="s">
        <x:v>3741</x:v>
      </x:c>
      <x:c r="U1085" s="7" t="s">
        <x:v>53</x:v>
      </x:c>
      <x:c r="V1085" s="7" t="s">
        <x:v>1971</x:v>
      </x:c>
      <x:c r="W1085" s="7" t="s">
        <x:v>58</x:v>
      </x:c>
      <x:c r="X1085" s="7" t="s">
        <x:v>3742</x:v>
      </x:c>
      <x:c r="Y1085" s="7" t="s">
        <x:v>1264</x:v>
      </x:c>
      <x:c r="Z1085" s="7" t="s">
        <x:v>1972</x:v>
      </x:c>
      <x:c r="AA1085" s="7" t="s">
        <x:v>58</x:v>
      </x:c>
      <x:c r="AB1085" s="8" t="s">
        <x:v>58</x:v>
      </x:c>
      <x:c r="AC1085" s="8" t="s">
        <x:v>58</x:v>
      </x:c>
      <x:c r="AD1085" s="8" t="s">
        <x:v>58</x:v>
      </x:c>
      <x:c r="AE1085" s="8" t="s">
        <x:v>58</x:v>
      </x:c>
      <x:c r="AF1085" s="8" t="s">
        <x:v>58</x:v>
      </x:c>
      <x:c r="AG1085" s="7" t="s">
        <x:v>58</x:v>
      </x:c>
    </x:row>
    <x:row r="1086" ht="66" hidden="0" customHeight="1">
      <x:c r="A1086" s="7" t="s">
        <x:v>4152</x:v>
      </x:c>
      <x:c r="B1086" s="7" t="s">
        <x:v>687</x:v>
      </x:c>
      <x:c r="C1086" s="7" t="s">
        <x:v>689</x:v>
      </x:c>
      <x:c r="D1086" s="7" t="s">
        <x:v>1974</x:v>
      </x:c>
      <x:c r="E1086" s="7" t="s">
        <x:v>3746</x:v>
      </x:c>
      <x:c r="F1086" s="7" t="s">
        <x:v>1956</x:v>
      </x:c>
      <x:c r="G1086" s="8" t="n">
        <x:v>190</x:v>
      </x:c>
      <x:c r="H1086" s="8" t="s">
        <x:v>58</x:v>
      </x:c>
      <x:c r="I1086" s="8" t="s">
        <x:v>58</x:v>
      </x:c>
      <x:c r="J1086" s="7" t="s">
        <x:v>1919</x:v>
      </x:c>
      <x:c r="K1086" s="8" t="n">
        <x:v>1</x:v>
      </x:c>
      <x:c r="L1086" s="8" t="n">
        <x:f aca="0">IF(AND(ISNUMBER(G1086),P1086&lt;&gt;"Unresolved unit / layout"),G1086*K1086,"Not applicable")</x:f>
        <x:v>190</x:v>
      </x:c>
      <x:c r="M1086" s="8" t="str">
        <x:f aca="0">IF(AND(ISNUMBER(H1086),P1086&lt;&gt;"Unresolved unit / layout"),H1086*K1086,"Not applicable")</x:f>
        <x:v>Not applicable</x:v>
      </x:c>
      <x:c r="N1086" s="8" t="str">
        <x:f aca="0">IF(AND(ISNUMBER(I1086),P1086&lt;&gt;"Unresolved unit / layout"),I1086*K1086,"Not applicable")</x:f>
        <x:v>Not applicable</x:v>
      </x:c>
      <x:c r="O1086" s="7" t="s">
        <x:v>1956</x:v>
      </x:c>
      <x:c r="P1086" s="7" t="s">
        <x:v>1921</x:v>
      </x:c>
      <x:c r="Q1086" s="7" t="s">
        <x:v>1930</x:v>
      </x:c>
      <x:c r="R1086" s="7" t="s">
        <x:v>58</x:v>
      </x:c>
      <x:c r="S1086" s="7" t="s">
        <x:v>2077</x:v>
      </x:c>
      <x:c r="T1086" s="7" t="s">
        <x:v>3741</x:v>
      </x:c>
      <x:c r="U1086" s="7" t="s">
        <x:v>53</x:v>
      </x:c>
      <x:c r="V1086" s="7" t="s">
        <x:v>1971</x:v>
      </x:c>
      <x:c r="W1086" s="7" t="s">
        <x:v>58</x:v>
      </x:c>
      <x:c r="X1086" s="7" t="s">
        <x:v>3742</x:v>
      </x:c>
      <x:c r="Y1086" s="7" t="s">
        <x:v>1264</x:v>
      </x:c>
      <x:c r="Z1086" s="7" t="s">
        <x:v>1976</x:v>
      </x:c>
      <x:c r="AA1086" s="7" t="s">
        <x:v>58</x:v>
      </x:c>
      <x:c r="AB1086" s="8" t="s">
        <x:v>58</x:v>
      </x:c>
      <x:c r="AC1086" s="8" t="s">
        <x:v>58</x:v>
      </x:c>
      <x:c r="AD1086" s="8" t="s">
        <x:v>58</x:v>
      </x:c>
      <x:c r="AE1086" s="8" t="s">
        <x:v>58</x:v>
      </x:c>
      <x:c r="AF1086" s="8" t="s">
        <x:v>58</x:v>
      </x:c>
      <x:c r="AG1086" s="7" t="s">
        <x:v>58</x:v>
      </x:c>
    </x:row>
    <x:row r="1087" ht="66" hidden="0" customHeight="1">
      <x:c r="A1087" s="7" t="s">
        <x:v>4153</x:v>
      </x:c>
      <x:c r="B1087" s="7" t="s">
        <x:v>687</x:v>
      </x:c>
      <x:c r="C1087" s="7" t="s">
        <x:v>689</x:v>
      </x:c>
      <x:c r="D1087" s="7" t="s">
        <x:v>1978</x:v>
      </x:c>
      <x:c r="E1087" s="7" t="s">
        <x:v>3748</x:v>
      </x:c>
      <x:c r="F1087" s="7" t="s">
        <x:v>1956</x:v>
      </x:c>
      <x:c r="G1087" s="8" t="n">
        <x:v>128</x:v>
      </x:c>
      <x:c r="H1087" s="8" t="s">
        <x:v>58</x:v>
      </x:c>
      <x:c r="I1087" s="8" t="s">
        <x:v>58</x:v>
      </x:c>
      <x:c r="J1087" s="7" t="s">
        <x:v>1919</x:v>
      </x:c>
      <x:c r="K1087" s="8" t="n">
        <x:v>1</x:v>
      </x:c>
      <x:c r="L1087" s="8" t="n">
        <x:f aca="0">IF(AND(ISNUMBER(G1087),P1087&lt;&gt;"Unresolved unit / layout"),G1087*K1087,"Not applicable")</x:f>
        <x:v>128</x:v>
      </x:c>
      <x:c r="M1087" s="8" t="str">
        <x:f aca="0">IF(AND(ISNUMBER(H1087),P1087&lt;&gt;"Unresolved unit / layout"),H1087*K1087,"Not applicable")</x:f>
        <x:v>Not applicable</x:v>
      </x:c>
      <x:c r="N1087" s="8" t="str">
        <x:f aca="0">IF(AND(ISNUMBER(I1087),P1087&lt;&gt;"Unresolved unit / layout"),I1087*K1087,"Not applicable")</x:f>
        <x:v>Not applicable</x:v>
      </x:c>
      <x:c r="O1087" s="7" t="s">
        <x:v>1956</x:v>
      </x:c>
      <x:c r="P1087" s="7" t="s">
        <x:v>1921</x:v>
      </x:c>
      <x:c r="Q1087" s="7" t="s">
        <x:v>1930</x:v>
      </x:c>
      <x:c r="R1087" s="7" t="s">
        <x:v>58</x:v>
      </x:c>
      <x:c r="S1087" s="7" t="s">
        <x:v>2077</x:v>
      </x:c>
      <x:c r="T1087" s="7" t="s">
        <x:v>3741</x:v>
      </x:c>
      <x:c r="U1087" s="7" t="s">
        <x:v>53</x:v>
      </x:c>
      <x:c r="V1087" s="7" t="s">
        <x:v>1971</x:v>
      </x:c>
      <x:c r="W1087" s="7" t="s">
        <x:v>58</x:v>
      </x:c>
      <x:c r="X1087" s="7" t="s">
        <x:v>3742</x:v>
      </x:c>
      <x:c r="Y1087" s="7" t="s">
        <x:v>1264</x:v>
      </x:c>
      <x:c r="Z1087" s="7" t="s">
        <x:v>1980</x:v>
      </x:c>
      <x:c r="AA1087" s="7" t="s">
        <x:v>58</x:v>
      </x:c>
      <x:c r="AB1087" s="8" t="s">
        <x:v>58</x:v>
      </x:c>
      <x:c r="AC1087" s="8" t="s">
        <x:v>58</x:v>
      </x:c>
      <x:c r="AD1087" s="8" t="s">
        <x:v>58</x:v>
      </x:c>
      <x:c r="AE1087" s="8" t="s">
        <x:v>58</x:v>
      </x:c>
      <x:c r="AF1087" s="8" t="s">
        <x:v>58</x:v>
      </x:c>
      <x:c r="AG1087" s="7" t="s">
        <x:v>58</x:v>
      </x:c>
    </x:row>
    <x:row r="1088" ht="66" hidden="0" customHeight="1">
      <x:c r="A1088" s="7" t="s">
        <x:v>4154</x:v>
      </x:c>
      <x:c r="B1088" s="7" t="s">
        <x:v>687</x:v>
      </x:c>
      <x:c r="C1088" s="7" t="s">
        <x:v>689</x:v>
      </x:c>
      <x:c r="D1088" s="7" t="s">
        <x:v>1982</x:v>
      </x:c>
      <x:c r="E1088" s="7" t="s">
        <x:v>3632</x:v>
      </x:c>
      <x:c r="F1088" s="7" t="s">
        <x:v>1956</x:v>
      </x:c>
      <x:c r="G1088" s="8" t="n">
        <x:v>180</x:v>
      </x:c>
      <x:c r="H1088" s="8" t="s">
        <x:v>58</x:v>
      </x:c>
      <x:c r="I1088" s="8" t="s">
        <x:v>58</x:v>
      </x:c>
      <x:c r="J1088" s="7" t="s">
        <x:v>1919</x:v>
      </x:c>
      <x:c r="K1088" s="8" t="n">
        <x:v>1</x:v>
      </x:c>
      <x:c r="L1088" s="8" t="n">
        <x:f aca="0">IF(AND(ISNUMBER(G1088),P1088&lt;&gt;"Unresolved unit / layout"),G1088*K1088,"Not applicable")</x:f>
        <x:v>180</x:v>
      </x:c>
      <x:c r="M1088" s="8" t="str">
        <x:f aca="0">IF(AND(ISNUMBER(H1088),P1088&lt;&gt;"Unresolved unit / layout"),H1088*K1088,"Not applicable")</x:f>
        <x:v>Not applicable</x:v>
      </x:c>
      <x:c r="N1088" s="8" t="str">
        <x:f aca="0">IF(AND(ISNUMBER(I1088),P1088&lt;&gt;"Unresolved unit / layout"),I1088*K1088,"Not applicable")</x:f>
        <x:v>Not applicable</x:v>
      </x:c>
      <x:c r="O1088" s="7" t="s">
        <x:v>1956</x:v>
      </x:c>
      <x:c r="P1088" s="7" t="s">
        <x:v>1921</x:v>
      </x:c>
      <x:c r="Q1088" s="7" t="s">
        <x:v>1930</x:v>
      </x:c>
      <x:c r="R1088" s="7" t="s">
        <x:v>58</x:v>
      </x:c>
      <x:c r="S1088" s="7" t="s">
        <x:v>2077</x:v>
      </x:c>
      <x:c r="T1088" s="7" t="s">
        <x:v>3741</x:v>
      </x:c>
      <x:c r="U1088" s="7" t="s">
        <x:v>53</x:v>
      </x:c>
      <x:c r="V1088" s="7" t="s">
        <x:v>2776</x:v>
      </x:c>
      <x:c r="W1088" s="7" t="s">
        <x:v>58</x:v>
      </x:c>
      <x:c r="X1088" s="7" t="s">
        <x:v>3742</x:v>
      </x:c>
      <x:c r="Y1088" s="7" t="s">
        <x:v>1264</x:v>
      </x:c>
      <x:c r="Z1088" s="7" t="s">
        <x:v>1985</x:v>
      </x:c>
      <x:c r="AA1088" s="7" t="s">
        <x:v>58</x:v>
      </x:c>
      <x:c r="AB1088" s="8" t="s">
        <x:v>58</x:v>
      </x:c>
      <x:c r="AC1088" s="8" t="s">
        <x:v>58</x:v>
      </x:c>
      <x:c r="AD1088" s="8" t="s">
        <x:v>58</x:v>
      </x:c>
      <x:c r="AE1088" s="8" t="s">
        <x:v>58</x:v>
      </x:c>
      <x:c r="AF1088" s="8" t="s">
        <x:v>58</x:v>
      </x:c>
      <x:c r="AG1088" s="7" t="s">
        <x:v>58</x:v>
      </x:c>
    </x:row>
    <x:row r="1089" ht="66" hidden="0" customHeight="1">
      <x:c r="A1089" s="7" t="s">
        <x:v>4155</x:v>
      </x:c>
      <x:c r="B1089" s="7" t="s">
        <x:v>687</x:v>
      </x:c>
      <x:c r="C1089" s="7" t="s">
        <x:v>689</x:v>
      </x:c>
      <x:c r="D1089" s="7" t="s">
        <x:v>1959</x:v>
      </x:c>
      <x:c r="E1089" s="7" t="s">
        <x:v>3751</x:v>
      </x:c>
      <x:c r="F1089" s="7" t="s">
        <x:v>1956</x:v>
      </x:c>
      <x:c r="G1089" s="8" t="n">
        <x:v>69.8</x:v>
      </x:c>
      <x:c r="H1089" s="8" t="s">
        <x:v>58</x:v>
      </x:c>
      <x:c r="I1089" s="8" t="s">
        <x:v>58</x:v>
      </x:c>
      <x:c r="J1089" s="7" t="s">
        <x:v>1919</x:v>
      </x:c>
      <x:c r="K1089" s="8" t="n">
        <x:v>1</x:v>
      </x:c>
      <x:c r="L1089" s="8" t="n">
        <x:f aca="0">IF(AND(ISNUMBER(G1089),P1089&lt;&gt;"Unresolved unit / layout"),G1089*K1089,"Not applicable")</x:f>
        <x:v>69.8</x:v>
      </x:c>
      <x:c r="M1089" s="8" t="str">
        <x:f aca="0">IF(AND(ISNUMBER(H1089),P1089&lt;&gt;"Unresolved unit / layout"),H1089*K1089,"Not applicable")</x:f>
        <x:v>Not applicable</x:v>
      </x:c>
      <x:c r="N1089" s="8" t="str">
        <x:f aca="0">IF(AND(ISNUMBER(I1089),P1089&lt;&gt;"Unresolved unit / layout"),I1089*K1089,"Not applicable")</x:f>
        <x:v>Not applicable</x:v>
      </x:c>
      <x:c r="O1089" s="7" t="s">
        <x:v>1956</x:v>
      </x:c>
      <x:c r="P1089" s="7" t="s">
        <x:v>1921</x:v>
      </x:c>
      <x:c r="Q1089" s="7" t="s">
        <x:v>1930</x:v>
      </x:c>
      <x:c r="R1089" s="7" t="s">
        <x:v>58</x:v>
      </x:c>
      <x:c r="S1089" s="7" t="s">
        <x:v>2077</x:v>
      </x:c>
      <x:c r="T1089" s="7" t="s">
        <x:v>3741</x:v>
      </x:c>
      <x:c r="U1089" s="7" t="s">
        <x:v>53</x:v>
      </x:c>
      <x:c r="V1089" s="7" t="s">
        <x:v>1988</x:v>
      </x:c>
      <x:c r="W1089" s="7" t="s">
        <x:v>58</x:v>
      </x:c>
      <x:c r="X1089" s="7" t="s">
        <x:v>3742</x:v>
      </x:c>
      <x:c r="Y1089" s="7" t="s">
        <x:v>1264</x:v>
      </x:c>
      <x:c r="Z1089" s="7" t="s">
        <x:v>1989</x:v>
      </x:c>
      <x:c r="AA1089" s="7" t="s">
        <x:v>58</x:v>
      </x:c>
      <x:c r="AB1089" s="8" t="s">
        <x:v>58</x:v>
      </x:c>
      <x:c r="AC1089" s="8" t="s">
        <x:v>58</x:v>
      </x:c>
      <x:c r="AD1089" s="8" t="s">
        <x:v>58</x:v>
      </x:c>
      <x:c r="AE1089" s="8" t="s">
        <x:v>58</x:v>
      </x:c>
      <x:c r="AF1089" s="8" t="s">
        <x:v>58</x:v>
      </x:c>
      <x:c r="AG1089" s="7" t="s">
        <x:v>58</x:v>
      </x:c>
    </x:row>
    <x:row r="1090" ht="66" hidden="0" customHeight="1">
      <x:c r="A1090" s="7" t="s">
        <x:v>692</x:v>
      </x:c>
      <x:c r="B1090" s="7" t="s">
        <x:v>687</x:v>
      </x:c>
      <x:c r="C1090" s="7" t="s">
        <x:v>689</x:v>
      </x:c>
      <x:c r="D1090" s="7" t="s">
        <x:v>1959</x:v>
      </x:c>
      <x:c r="E1090" s="7" t="s">
        <x:v>3752</x:v>
      </x:c>
      <x:c r="F1090" s="7" t="s">
        <x:v>1956</x:v>
      </x:c>
      <x:c r="G1090" s="8" t="n">
        <x:v>110.5</x:v>
      </x:c>
      <x:c r="H1090" s="8" t="s">
        <x:v>58</x:v>
      </x:c>
      <x:c r="I1090" s="8" t="s">
        <x:v>58</x:v>
      </x:c>
      <x:c r="J1090" s="7" t="s">
        <x:v>1919</x:v>
      </x:c>
      <x:c r="K1090" s="8" t="n">
        <x:v>1</x:v>
      </x:c>
      <x:c r="L1090" s="8" t="n">
        <x:f aca="0">IF(AND(ISNUMBER(G1090),P1090&lt;&gt;"Unresolved unit / layout"),G1090*K1090,"Not applicable")</x:f>
        <x:v>110.5</x:v>
      </x:c>
      <x:c r="M1090" s="8" t="str">
        <x:f aca="0">IF(AND(ISNUMBER(H1090),P1090&lt;&gt;"Unresolved unit / layout"),H1090*K1090,"Not applicable")</x:f>
        <x:v>Not applicable</x:v>
      </x:c>
      <x:c r="N1090" s="8" t="str">
        <x:f aca="0">IF(AND(ISNUMBER(I1090),P1090&lt;&gt;"Unresolved unit / layout"),I1090*K1090,"Not applicable")</x:f>
        <x:v>Not applicable</x:v>
      </x:c>
      <x:c r="O1090" s="7" t="s">
        <x:v>1956</x:v>
      </x:c>
      <x:c r="P1090" s="7" t="s">
        <x:v>1921</x:v>
      </x:c>
      <x:c r="Q1090" s="7" t="s">
        <x:v>1930</x:v>
      </x:c>
      <x:c r="R1090" s="7" t="s">
        <x:v>58</x:v>
      </x:c>
      <x:c r="S1090" s="7" t="s">
        <x:v>2077</x:v>
      </x:c>
      <x:c r="T1090" s="7" t="s">
        <x:v>3741</x:v>
      </x:c>
      <x:c r="U1090" s="7" t="s">
        <x:v>53</x:v>
      </x:c>
      <x:c r="V1090" s="7" t="s">
        <x:v>1992</x:v>
      </x:c>
      <x:c r="W1090" s="7" t="s">
        <x:v>58</x:v>
      </x:c>
      <x:c r="X1090" s="7" t="s">
        <x:v>3742</x:v>
      </x:c>
      <x:c r="Y1090" s="7" t="s">
        <x:v>1264</x:v>
      </x:c>
      <x:c r="Z1090" s="7" t="s">
        <x:v>1989</x:v>
      </x:c>
      <x:c r="AA1090" s="7" t="s">
        <x:v>58</x:v>
      </x:c>
      <x:c r="AB1090" s="8" t="s">
        <x:v>58</x:v>
      </x:c>
      <x:c r="AC1090" s="8" t="s">
        <x:v>58</x:v>
      </x:c>
      <x:c r="AD1090" s="8" t="s">
        <x:v>58</x:v>
      </x:c>
      <x:c r="AE1090" s="8" t="s">
        <x:v>58</x:v>
      </x:c>
      <x:c r="AF1090" s="8" t="s">
        <x:v>58</x:v>
      </x:c>
      <x:c r="AG1090" s="7" t="s">
        <x:v>58</x:v>
      </x:c>
    </x:row>
    <x:row r="1091" ht="66" hidden="0" customHeight="1">
      <x:c r="A1091" s="7" t="s">
        <x:v>4156</x:v>
      </x:c>
      <x:c r="B1091" s="7" t="s">
        <x:v>687</x:v>
      </x:c>
      <x:c r="C1091" s="7" t="s">
        <x:v>689</x:v>
      </x:c>
      <x:c r="D1091" s="7" t="s">
        <x:v>1994</x:v>
      </x:c>
      <x:c r="E1091" s="7" t="s">
        <x:v>1995</x:v>
      </x:c>
      <x:c r="F1091" s="7" t="s">
        <x:v>53</x:v>
      </x:c>
      <x:c r="G1091" s="8" t="s">
        <x:v>53</x:v>
      </x:c>
      <x:c r="H1091" s="8" t="s">
        <x:v>58</x:v>
      </x:c>
      <x:c r="I1091" s="8" t="s">
        <x:v>58</x:v>
      </x:c>
      <x:c r="J1091" s="7" t="s">
        <x:v>58</x:v>
      </x:c>
      <x:c r="K1091" s="8" t="n">
        <x:v>1</x:v>
      </x:c>
      <x:c r="L1091" s="8" t="str">
        <x:f aca="0">IF(AND(ISNUMBER(G1091),P1091&lt;&gt;"Unresolved unit / layout"),G1091*K1091,"Not published")</x:f>
        <x:v>Not published</x:v>
      </x:c>
      <x:c r="M1091" s="8" t="str">
        <x:f aca="0">IF(AND(ISNUMBER(H1091),P1091&lt;&gt;"Unresolved unit / layout"),H1091*K1091,"Not applicable")</x:f>
        <x:v>Not applicable</x:v>
      </x:c>
      <x:c r="N1091" s="8" t="str">
        <x:f aca="0">IF(AND(ISNUMBER(I1091),P1091&lt;&gt;"Unresolved unit / layout"),I1091*K1091,"Not applicable")</x:f>
        <x:v>Not applicable</x:v>
      </x:c>
      <x:c r="O1091" s="7" t="s">
        <x:v>53</x:v>
      </x:c>
      <x:c r="P1091" s="7" t="s">
        <x:v>53</x:v>
      </x:c>
      <x:c r="Q1091" s="7" t="s">
        <x:v>1930</x:v>
      </x:c>
      <x:c r="R1091" s="7" t="s">
        <x:v>53</x:v>
      </x:c>
      <x:c r="S1091" s="7" t="s">
        <x:v>2077</x:v>
      </x:c>
      <x:c r="T1091" s="7" t="s">
        <x:v>3741</x:v>
      </x:c>
      <x:c r="U1091" s="7" t="s">
        <x:v>53</x:v>
      </x:c>
      <x:c r="V1091" s="7" t="s">
        <x:v>1995</x:v>
      </x:c>
      <x:c r="W1091" s="7" t="s">
        <x:v>58</x:v>
      </x:c>
      <x:c r="X1091" s="7" t="s">
        <x:v>3742</x:v>
      </x:c>
      <x:c r="Y1091" s="7" t="s">
        <x:v>1264</x:v>
      </x:c>
      <x:c r="Z1091" s="7" t="s">
        <x:v>1996</x:v>
      </x:c>
      <x:c r="AA1091" s="7" t="s">
        <x:v>58</x:v>
      </x:c>
      <x:c r="AB1091" s="8" t="s">
        <x:v>58</x:v>
      </x:c>
      <x:c r="AC1091" s="8" t="s">
        <x:v>58</x:v>
      </x:c>
      <x:c r="AD1091" s="8" t="s">
        <x:v>58</x:v>
      </x:c>
      <x:c r="AE1091" s="8" t="s">
        <x:v>58</x:v>
      </x:c>
      <x:c r="AF1091" s="8" t="s">
        <x:v>58</x:v>
      </x:c>
      <x:c r="AG1091" s="7" t="s">
        <x:v>58</x:v>
      </x:c>
    </x:row>
    <x:row r="1092" ht="66" hidden="0" customHeight="1">
      <x:c r="A1092" s="7" t="s">
        <x:v>4157</x:v>
      </x:c>
      <x:c r="B1092" s="7" t="s">
        <x:v>687</x:v>
      </x:c>
      <x:c r="C1092" s="7" t="s">
        <x:v>689</x:v>
      </x:c>
      <x:c r="D1092" s="7" t="s">
        <x:v>1935</x:v>
      </x:c>
      <x:c r="E1092" s="7" t="s">
        <x:v>3755</x:v>
      </x:c>
      <x:c r="F1092" s="7" t="s">
        <x:v>1929</x:v>
      </x:c>
      <x:c r="G1092" s="8" t="n">
        <x:v>2223</x:v>
      </x:c>
      <x:c r="H1092" s="8" t="n">
        <x:v>199</x:v>
      </x:c>
      <x:c r="I1092" s="8" t="s">
        <x:v>58</x:v>
      </x:c>
      <x:c r="J1092" s="7" t="s">
        <x:v>1919</x:v>
      </x:c>
      <x:c r="K1092" s="8" t="n">
        <x:v>0.001</x:v>
      </x:c>
      <x:c r="L1092" s="8" t="n">
        <x:f aca="0">IF(AND(ISNUMBER(G1092),P1092&lt;&gt;"Unresolved unit / layout"),G1092*K1092,"Not applicable")</x:f>
        <x:v>2.223</x:v>
      </x:c>
      <x:c r="M1092" s="8" t="n">
        <x:f aca="0">IF(AND(ISNUMBER(H1092),P1092&lt;&gt;"Unresolved unit / layout"),H1092*K1092,"Not applicable")</x:f>
        <x:v>0.199</x:v>
      </x:c>
      <x:c r="N1092" s="8" t="str">
        <x:f aca="0">IF(AND(ISNUMBER(I1092),P1092&lt;&gt;"Unresolved unit / layout"),I1092*K1092,"Not applicable")</x:f>
        <x:v>Not applicable</x:v>
      </x:c>
      <x:c r="O1092" s="7" t="s">
        <x:v>1937</x:v>
      </x:c>
      <x:c r="P1092" s="7" t="s">
        <x:v>1921</x:v>
      </x:c>
      <x:c r="Q1092" s="7" t="s">
        <x:v>1930</x:v>
      </x:c>
      <x:c r="R1092" s="7" t="s">
        <x:v>1931</x:v>
      </x:c>
      <x:c r="S1092" s="7" t="s">
        <x:v>3756</x:v>
      </x:c>
      <x:c r="T1092" s="7" t="s">
        <x:v>3741</x:v>
      </x:c>
      <x:c r="U1092" s="7" t="s">
        <x:v>53</x:v>
      </x:c>
      <x:c r="V1092" s="7" t="s">
        <x:v>1999</x:v>
      </x:c>
      <x:c r="W1092" s="7" t="s">
        <x:v>58</x:v>
      </x:c>
      <x:c r="X1092" s="7" t="s">
        <x:v>3742</x:v>
      </x:c>
      <x:c r="Y1092" s="7" t="s">
        <x:v>1264</x:v>
      </x:c>
      <x:c r="Z1092" s="7" t="s">
        <x:v>2784</x:v>
      </x:c>
      <x:c r="AA1092" s="7" t="s">
        <x:v>58</x:v>
      </x:c>
      <x:c r="AB1092" s="8" t="s">
        <x:v>58</x:v>
      </x:c>
      <x:c r="AC1092" s="8" t="s">
        <x:v>58</x:v>
      </x:c>
      <x:c r="AD1092" s="8" t="s">
        <x:v>58</x:v>
      </x:c>
      <x:c r="AE1092" s="8" t="s">
        <x:v>58</x:v>
      </x:c>
      <x:c r="AF1092" s="8" t="s">
        <x:v>58</x:v>
      </x:c>
      <x:c r="AG1092" s="7" t="s">
        <x:v>58</x:v>
      </x:c>
    </x:row>
    <x:row r="1093" ht="66" hidden="0" customHeight="1">
      <x:c r="A1093" s="7" t="s">
        <x:v>4158</x:v>
      </x:c>
      <x:c r="B1093" s="7" t="s">
        <x:v>687</x:v>
      </x:c>
      <x:c r="C1093" s="7" t="s">
        <x:v>689</x:v>
      </x:c>
      <x:c r="D1093" s="7" t="s">
        <x:v>1935</x:v>
      </x:c>
      <x:c r="E1093" s="7" t="s">
        <x:v>3758</x:v>
      </x:c>
      <x:c r="F1093" s="7" t="s">
        <x:v>1929</x:v>
      </x:c>
      <x:c r="G1093" s="8" t="n">
        <x:v>2564</x:v>
      </x:c>
      <x:c r="H1093" s="8" t="n">
        <x:v>97</x:v>
      </x:c>
      <x:c r="I1093" s="8" t="s">
        <x:v>58</x:v>
      </x:c>
      <x:c r="J1093" s="7" t="s">
        <x:v>1919</x:v>
      </x:c>
      <x:c r="K1093" s="8" t="n">
        <x:v>0.001</x:v>
      </x:c>
      <x:c r="L1093" s="8" t="n">
        <x:f aca="0">IF(AND(ISNUMBER(G1093),P1093&lt;&gt;"Unresolved unit / layout"),G1093*K1093,"Not applicable")</x:f>
        <x:v>2.564</x:v>
      </x:c>
      <x:c r="M1093" s="8" t="n">
        <x:f aca="0">IF(AND(ISNUMBER(H1093),P1093&lt;&gt;"Unresolved unit / layout"),H1093*K1093,"Not applicable")</x:f>
        <x:v>0.097</x:v>
      </x:c>
      <x:c r="N1093" s="8" t="str">
        <x:f aca="0">IF(AND(ISNUMBER(I1093),P1093&lt;&gt;"Unresolved unit / layout"),I1093*K1093,"Not applicable")</x:f>
        <x:v>Not applicable</x:v>
      </x:c>
      <x:c r="O1093" s="7" t="s">
        <x:v>1937</x:v>
      </x:c>
      <x:c r="P1093" s="7" t="s">
        <x:v>1921</x:v>
      </x:c>
      <x:c r="Q1093" s="7" t="s">
        <x:v>1930</x:v>
      </x:c>
      <x:c r="R1093" s="7" t="s">
        <x:v>2003</x:v>
      </x:c>
      <x:c r="S1093" s="7" t="s">
        <x:v>3756</x:v>
      </x:c>
      <x:c r="T1093" s="7" t="s">
        <x:v>3741</x:v>
      </x:c>
      <x:c r="U1093" s="7" t="s">
        <x:v>53</x:v>
      </x:c>
      <x:c r="V1093" s="7" t="s">
        <x:v>1999</x:v>
      </x:c>
      <x:c r="W1093" s="7" t="s">
        <x:v>58</x:v>
      </x:c>
      <x:c r="X1093" s="7" t="s">
        <x:v>3742</x:v>
      </x:c>
      <x:c r="Y1093" s="7" t="s">
        <x:v>1264</x:v>
      </x:c>
      <x:c r="Z1093" s="7" t="s">
        <x:v>2787</x:v>
      </x:c>
      <x:c r="AA1093" s="7" t="s">
        <x:v>58</x:v>
      </x:c>
      <x:c r="AB1093" s="8" t="s">
        <x:v>58</x:v>
      </x:c>
      <x:c r="AC1093" s="8" t="s">
        <x:v>58</x:v>
      </x:c>
      <x:c r="AD1093" s="8" t="s">
        <x:v>58</x:v>
      </x:c>
      <x:c r="AE1093" s="8" t="s">
        <x:v>58</x:v>
      </x:c>
      <x:c r="AF1093" s="8" t="s">
        <x:v>58</x:v>
      </x:c>
      <x:c r="AG1093" s="7" t="s">
        <x:v>58</x:v>
      </x:c>
    </x:row>
    <x:row r="1094" ht="66" hidden="0" customHeight="1">
      <x:c r="A1094" s="7" t="s">
        <x:v>4159</x:v>
      </x:c>
      <x:c r="B1094" s="7" t="s">
        <x:v>687</x:v>
      </x:c>
      <x:c r="C1094" s="7" t="s">
        <x:v>689</x:v>
      </x:c>
      <x:c r="D1094" s="7" t="s">
        <x:v>2006</x:v>
      </x:c>
      <x:c r="E1094" s="7" t="s">
        <x:v>3760</x:v>
      </x:c>
      <x:c r="F1094" s="7" t="s">
        <x:v>1929</x:v>
      </x:c>
      <x:c r="G1094" s="8" t="n">
        <x:v>66.2</x:v>
      </x:c>
      <x:c r="H1094" s="8" t="n">
        <x:v>0.9</x:v>
      </x:c>
      <x:c r="I1094" s="8" t="s">
        <x:v>58</x:v>
      </x:c>
      <x:c r="J1094" s="7" t="s">
        <x:v>1919</x:v>
      </x:c>
      <x:c r="K1094" s="8" t="n">
        <x:v>1</x:v>
      </x:c>
      <x:c r="L1094" s="8" t="n">
        <x:f aca="0">IF(AND(ISNUMBER(G1094),P1094&lt;&gt;"Unresolved unit / layout"),G1094*K1094,"Not applicable")</x:f>
        <x:v>66.2</x:v>
      </x:c>
      <x:c r="M1094" s="8" t="n">
        <x:f aca="0">IF(AND(ISNUMBER(H1094),P1094&lt;&gt;"Unresolved unit / layout"),H1094*K1094,"Not applicable")</x:f>
        <x:v>0.9</x:v>
      </x:c>
      <x:c r="N1094" s="8" t="str">
        <x:f aca="0">IF(AND(ISNUMBER(I1094),P1094&lt;&gt;"Unresolved unit / layout"),I1094*K1094,"Not applicable")</x:f>
        <x:v>Not applicable</x:v>
      </x:c>
      <x:c r="O1094" s="7" t="s">
        <x:v>1929</x:v>
      </x:c>
      <x:c r="P1094" s="7" t="s">
        <x:v>1921</x:v>
      </x:c>
      <x:c r="Q1094" s="7" t="s">
        <x:v>1930</x:v>
      </x:c>
      <x:c r="R1094" s="7" t="s">
        <x:v>1931</x:v>
      </x:c>
      <x:c r="S1094" s="7" t="s">
        <x:v>3756</x:v>
      </x:c>
      <x:c r="T1094" s="7" t="s">
        <x:v>3741</x:v>
      </x:c>
      <x:c r="U1094" s="7" t="s">
        <x:v>53</x:v>
      </x:c>
      <x:c r="V1094" s="7" t="s">
        <x:v>1999</x:v>
      </x:c>
      <x:c r="W1094" s="7" t="s">
        <x:v>58</x:v>
      </x:c>
      <x:c r="X1094" s="7" t="s">
        <x:v>3742</x:v>
      </x:c>
      <x:c r="Y1094" s="7" t="s">
        <x:v>1264</x:v>
      </x:c>
      <x:c r="Z1094" s="7" t="s">
        <x:v>2684</x:v>
      </x:c>
      <x:c r="AA1094" s="7" t="s">
        <x:v>58</x:v>
      </x:c>
      <x:c r="AB1094" s="8" t="s">
        <x:v>58</x:v>
      </x:c>
      <x:c r="AC1094" s="8" t="s">
        <x:v>58</x:v>
      </x:c>
      <x:c r="AD1094" s="8" t="s">
        <x:v>58</x:v>
      </x:c>
      <x:c r="AE1094" s="8" t="s">
        <x:v>58</x:v>
      </x:c>
      <x:c r="AF1094" s="8" t="s">
        <x:v>58</x:v>
      </x:c>
      <x:c r="AG1094" s="7" t="s">
        <x:v>58</x:v>
      </x:c>
    </x:row>
    <x:row r="1095" ht="66" hidden="0" customHeight="1">
      <x:c r="A1095" s="7" t="s">
        <x:v>4160</x:v>
      </x:c>
      <x:c r="B1095" s="7" t="s">
        <x:v>687</x:v>
      </x:c>
      <x:c r="C1095" s="7" t="s">
        <x:v>689</x:v>
      </x:c>
      <x:c r="D1095" s="7" t="s">
        <x:v>2006</x:v>
      </x:c>
      <x:c r="E1095" s="7" t="s">
        <x:v>3762</x:v>
      </x:c>
      <x:c r="F1095" s="7" t="s">
        <x:v>1929</x:v>
      </x:c>
      <x:c r="G1095" s="8" t="n">
        <x:v>43.3</x:v>
      </x:c>
      <x:c r="H1095" s="8" t="n">
        <x:v>9.1</x:v>
      </x:c>
      <x:c r="I1095" s="8" t="s">
        <x:v>58</x:v>
      </x:c>
      <x:c r="J1095" s="7" t="s">
        <x:v>1919</x:v>
      </x:c>
      <x:c r="K1095" s="8" t="n">
        <x:v>1</x:v>
      </x:c>
      <x:c r="L1095" s="8" t="n">
        <x:f aca="0">IF(AND(ISNUMBER(G1095),P1095&lt;&gt;"Unresolved unit / layout"),G1095*K1095,"Not applicable")</x:f>
        <x:v>43.3</x:v>
      </x:c>
      <x:c r="M1095" s="8" t="n">
        <x:f aca="0">IF(AND(ISNUMBER(H1095),P1095&lt;&gt;"Unresolved unit / layout"),H1095*K1095,"Not applicable")</x:f>
        <x:v>9.1</x:v>
      </x:c>
      <x:c r="N1095" s="8" t="str">
        <x:f aca="0">IF(AND(ISNUMBER(I1095),P1095&lt;&gt;"Unresolved unit / layout"),I1095*K1095,"Not applicable")</x:f>
        <x:v>Not applicable</x:v>
      </x:c>
      <x:c r="O1095" s="7" t="s">
        <x:v>1929</x:v>
      </x:c>
      <x:c r="P1095" s="7" t="s">
        <x:v>1921</x:v>
      </x:c>
      <x:c r="Q1095" s="7" t="s">
        <x:v>1930</x:v>
      </x:c>
      <x:c r="R1095" s="7" t="s">
        <x:v>2003</x:v>
      </x:c>
      <x:c r="S1095" s="7" t="s">
        <x:v>3756</x:v>
      </x:c>
      <x:c r="T1095" s="7" t="s">
        <x:v>3741</x:v>
      </x:c>
      <x:c r="U1095" s="7" t="s">
        <x:v>53</x:v>
      </x:c>
      <x:c r="V1095" s="7" t="s">
        <x:v>1999</x:v>
      </x:c>
      <x:c r="W1095" s="7" t="s">
        <x:v>58</x:v>
      </x:c>
      <x:c r="X1095" s="7" t="s">
        <x:v>3742</x:v>
      </x:c>
      <x:c r="Y1095" s="7" t="s">
        <x:v>1264</x:v>
      </x:c>
      <x:c r="Z1095" s="7" t="s">
        <x:v>2687</x:v>
      </x:c>
      <x:c r="AA1095" s="7" t="s">
        <x:v>58</x:v>
      </x:c>
      <x:c r="AB1095" s="8" t="s">
        <x:v>58</x:v>
      </x:c>
      <x:c r="AC1095" s="8" t="s">
        <x:v>58</x:v>
      </x:c>
      <x:c r="AD1095" s="8" t="s">
        <x:v>58</x:v>
      </x:c>
      <x:c r="AE1095" s="8" t="s">
        <x:v>58</x:v>
      </x:c>
      <x:c r="AF1095" s="8" t="s">
        <x:v>58</x:v>
      </x:c>
      <x:c r="AG1095" s="7" t="s">
        <x:v>58</x:v>
      </x:c>
    </x:row>
    <x:row r="1096" ht="66" hidden="0" customHeight="1">
      <x:c r="A1096" s="7" t="s">
        <x:v>4161</x:v>
      </x:c>
      <x:c r="B1096" s="7" t="s">
        <x:v>687</x:v>
      </x:c>
      <x:c r="C1096" s="7" t="s">
        <x:v>689</x:v>
      </x:c>
      <x:c r="D1096" s="7" t="s">
        <x:v>1940</x:v>
      </x:c>
      <x:c r="E1096" s="7" t="s">
        <x:v>3764</x:v>
      </x:c>
      <x:c r="F1096" s="7" t="s">
        <x:v>1942</x:v>
      </x:c>
      <x:c r="G1096" s="8" t="n">
        <x:v>9.9</x:v>
      </x:c>
      <x:c r="H1096" s="8" t="n">
        <x:v>1.5</x:v>
      </x:c>
      <x:c r="I1096" s="8" t="s">
        <x:v>58</x:v>
      </x:c>
      <x:c r="J1096" s="7" t="s">
        <x:v>1919</x:v>
      </x:c>
      <x:c r="K1096" s="8" t="n">
        <x:v>1</x:v>
      </x:c>
      <x:c r="L1096" s="8" t="n">
        <x:f aca="0">IF(AND(ISNUMBER(G1096),P1096&lt;&gt;"Unresolved unit / layout"),G1096*K1096,"Not applicable")</x:f>
        <x:v>9.9</x:v>
      </x:c>
      <x:c r="M1096" s="8" t="n">
        <x:f aca="0">IF(AND(ISNUMBER(H1096),P1096&lt;&gt;"Unresolved unit / layout"),H1096*K1096,"Not applicable")</x:f>
        <x:v>1.5</x:v>
      </x:c>
      <x:c r="N1096" s="8" t="str">
        <x:f aca="0">IF(AND(ISNUMBER(I1096),P1096&lt;&gt;"Unresolved unit / layout"),I1096*K1096,"Not applicable")</x:f>
        <x:v>Not applicable</x:v>
      </x:c>
      <x:c r="O1096" s="7" t="s">
        <x:v>1942</x:v>
      </x:c>
      <x:c r="P1096" s="7" t="s">
        <x:v>1921</x:v>
      </x:c>
      <x:c r="Q1096" s="7" t="s">
        <x:v>1930</x:v>
      </x:c>
      <x:c r="R1096" s="7" t="s">
        <x:v>1931</x:v>
      </x:c>
      <x:c r="S1096" s="7" t="s">
        <x:v>3756</x:v>
      </x:c>
      <x:c r="T1096" s="7" t="s">
        <x:v>3741</x:v>
      </x:c>
      <x:c r="U1096" s="7" t="s">
        <x:v>53</x:v>
      </x:c>
      <x:c r="V1096" s="7" t="s">
        <x:v>1999</x:v>
      </x:c>
      <x:c r="W1096" s="7" t="s">
        <x:v>58</x:v>
      </x:c>
      <x:c r="X1096" s="7" t="s">
        <x:v>3742</x:v>
      </x:c>
      <x:c r="Y1096" s="7" t="s">
        <x:v>1264</x:v>
      </x:c>
      <x:c r="Z1096" s="7" t="s">
        <x:v>2690</x:v>
      </x:c>
      <x:c r="AA1096" s="7" t="s">
        <x:v>58</x:v>
      </x:c>
      <x:c r="AB1096" s="8" t="s">
        <x:v>58</x:v>
      </x:c>
      <x:c r="AC1096" s="8" t="s">
        <x:v>58</x:v>
      </x:c>
      <x:c r="AD1096" s="8" t="s">
        <x:v>58</x:v>
      </x:c>
      <x:c r="AE1096" s="8" t="s">
        <x:v>58</x:v>
      </x:c>
      <x:c r="AF1096" s="8" t="s">
        <x:v>58</x:v>
      </x:c>
      <x:c r="AG1096" s="7" t="s">
        <x:v>58</x:v>
      </x:c>
    </x:row>
    <x:row r="1097" ht="66" hidden="0" customHeight="1">
      <x:c r="A1097" s="7" t="s">
        <x:v>4162</x:v>
      </x:c>
      <x:c r="B1097" s="7" t="s">
        <x:v>687</x:v>
      </x:c>
      <x:c r="C1097" s="7" t="s">
        <x:v>689</x:v>
      </x:c>
      <x:c r="D1097" s="7" t="s">
        <x:v>1940</x:v>
      </x:c>
      <x:c r="E1097" s="7" t="s">
        <x:v>3766</x:v>
      </x:c>
      <x:c r="F1097" s="7" t="s">
        <x:v>1942</x:v>
      </x:c>
      <x:c r="G1097" s="8" t="n">
        <x:v>1.8</x:v>
      </x:c>
      <x:c r="H1097" s="8" t="n">
        <x:v>0.4</x:v>
      </x:c>
      <x:c r="I1097" s="8" t="s">
        <x:v>58</x:v>
      </x:c>
      <x:c r="J1097" s="7" t="s">
        <x:v>1919</x:v>
      </x:c>
      <x:c r="K1097" s="8" t="n">
        <x:v>1</x:v>
      </x:c>
      <x:c r="L1097" s="8" t="n">
        <x:f aca="0">IF(AND(ISNUMBER(G1097),P1097&lt;&gt;"Unresolved unit / layout"),G1097*K1097,"Not applicable")</x:f>
        <x:v>1.8</x:v>
      </x:c>
      <x:c r="M1097" s="8" t="n">
        <x:f aca="0">IF(AND(ISNUMBER(H1097),P1097&lt;&gt;"Unresolved unit / layout"),H1097*K1097,"Not applicable")</x:f>
        <x:v>0.4</x:v>
      </x:c>
      <x:c r="N1097" s="8" t="str">
        <x:f aca="0">IF(AND(ISNUMBER(I1097),P1097&lt;&gt;"Unresolved unit / layout"),I1097*K1097,"Not applicable")</x:f>
        <x:v>Not applicable</x:v>
      </x:c>
      <x:c r="O1097" s="7" t="s">
        <x:v>1942</x:v>
      </x:c>
      <x:c r="P1097" s="7" t="s">
        <x:v>1921</x:v>
      </x:c>
      <x:c r="Q1097" s="7" t="s">
        <x:v>1930</x:v>
      </x:c>
      <x:c r="R1097" s="7" t="s">
        <x:v>2003</x:v>
      </x:c>
      <x:c r="S1097" s="7" t="s">
        <x:v>3756</x:v>
      </x:c>
      <x:c r="T1097" s="7" t="s">
        <x:v>3741</x:v>
      </x:c>
      <x:c r="U1097" s="7" t="s">
        <x:v>53</x:v>
      </x:c>
      <x:c r="V1097" s="7" t="s">
        <x:v>1999</x:v>
      </x:c>
      <x:c r="W1097" s="7" t="s">
        <x:v>58</x:v>
      </x:c>
      <x:c r="X1097" s="7" t="s">
        <x:v>3742</x:v>
      </x:c>
      <x:c r="Y1097" s="7" t="s">
        <x:v>1264</x:v>
      </x:c>
      <x:c r="Z1097" s="7" t="s">
        <x:v>2693</x:v>
      </x:c>
      <x:c r="AA1097" s="7" t="s">
        <x:v>58</x:v>
      </x:c>
      <x:c r="AB1097" s="8" t="s">
        <x:v>58</x:v>
      </x:c>
      <x:c r="AC1097" s="8" t="s">
        <x:v>58</x:v>
      </x:c>
      <x:c r="AD1097" s="8" t="s">
        <x:v>58</x:v>
      </x:c>
      <x:c r="AE1097" s="8" t="s">
        <x:v>58</x:v>
      </x:c>
      <x:c r="AF1097" s="8" t="s">
        <x:v>58</x:v>
      </x:c>
      <x:c r="AG1097" s="7" t="s">
        <x:v>58</x:v>
      </x:c>
    </x:row>
    <x:row r="1098" ht="66" hidden="0" customHeight="1">
      <x:c r="A1098" s="7" t="s">
        <x:v>4163</x:v>
      </x:c>
      <x:c r="B1098" s="7" t="s">
        <x:v>687</x:v>
      </x:c>
      <x:c r="C1098" s="7" t="s">
        <x:v>689</x:v>
      </x:c>
      <x:c r="D1098" s="7" t="s">
        <x:v>1950</x:v>
      </x:c>
      <x:c r="E1098" s="7" t="s">
        <x:v>3768</x:v>
      </x:c>
      <x:c r="F1098" s="7" t="s">
        <x:v>1929</x:v>
      </x:c>
      <x:c r="G1098" s="8" t="n">
        <x:v>1667</x:v>
      </x:c>
      <x:c r="H1098" s="8" t="n">
        <x:v>118</x:v>
      </x:c>
      <x:c r="I1098" s="8" t="s">
        <x:v>58</x:v>
      </x:c>
      <x:c r="J1098" s="7" t="s">
        <x:v>1919</x:v>
      </x:c>
      <x:c r="K1098" s="8" t="n">
        <x:v>0.001</x:v>
      </x:c>
      <x:c r="L1098" s="8" t="n">
        <x:f aca="0">IF(AND(ISNUMBER(G1098),P1098&lt;&gt;"Unresolved unit / layout"),G1098*K1098,"Not applicable")</x:f>
        <x:v>1.667</x:v>
      </x:c>
      <x:c r="M1098" s="8" t="n">
        <x:f aca="0">IF(AND(ISNUMBER(H1098),P1098&lt;&gt;"Unresolved unit / layout"),H1098*K1098,"Not applicable")</x:f>
        <x:v>0.11800000000000001</x:v>
      </x:c>
      <x:c r="N1098" s="8" t="str">
        <x:f aca="0">IF(AND(ISNUMBER(I1098),P1098&lt;&gt;"Unresolved unit / layout"),I1098*K1098,"Not applicable")</x:f>
        <x:v>Not applicable</x:v>
      </x:c>
      <x:c r="O1098" s="7" t="s">
        <x:v>1937</x:v>
      </x:c>
      <x:c r="P1098" s="7" t="s">
        <x:v>1921</x:v>
      </x:c>
      <x:c r="Q1098" s="7" t="s">
        <x:v>1930</x:v>
      </x:c>
      <x:c r="R1098" s="7" t="s">
        <x:v>1931</x:v>
      </x:c>
      <x:c r="S1098" s="7" t="s">
        <x:v>3756</x:v>
      </x:c>
      <x:c r="T1098" s="7" t="s">
        <x:v>3741</x:v>
      </x:c>
      <x:c r="U1098" s="7" t="s">
        <x:v>53</x:v>
      </x:c>
      <x:c r="V1098" s="7" t="s">
        <x:v>2020</x:v>
      </x:c>
      <x:c r="W1098" s="7" t="s">
        <x:v>58</x:v>
      </x:c>
      <x:c r="X1098" s="7" t="s">
        <x:v>3742</x:v>
      </x:c>
      <x:c r="Y1098" s="7" t="s">
        <x:v>1264</x:v>
      </x:c>
      <x:c r="Z1098" s="7" t="s">
        <x:v>2696</x:v>
      </x:c>
      <x:c r="AA1098" s="7" t="s">
        <x:v>58</x:v>
      </x:c>
      <x:c r="AB1098" s="8" t="s">
        <x:v>58</x:v>
      </x:c>
      <x:c r="AC1098" s="8" t="s">
        <x:v>58</x:v>
      </x:c>
      <x:c r="AD1098" s="8" t="s">
        <x:v>58</x:v>
      </x:c>
      <x:c r="AE1098" s="8" t="s">
        <x:v>58</x:v>
      </x:c>
      <x:c r="AF1098" s="8" t="s">
        <x:v>58</x:v>
      </x:c>
      <x:c r="AG1098" s="7" t="s">
        <x:v>58</x:v>
      </x:c>
    </x:row>
    <x:row r="1099" ht="66" hidden="0" customHeight="1">
      <x:c r="A1099" s="7" t="s">
        <x:v>4164</x:v>
      </x:c>
      <x:c r="B1099" s="7" t="s">
        <x:v>687</x:v>
      </x:c>
      <x:c r="C1099" s="7" t="s">
        <x:v>689</x:v>
      </x:c>
      <x:c r="D1099" s="7" t="s">
        <x:v>1950</x:v>
      </x:c>
      <x:c r="E1099" s="7" t="s">
        <x:v>1995</x:v>
      </x:c>
      <x:c r="F1099" s="7" t="s">
        <x:v>53</x:v>
      </x:c>
      <x:c r="G1099" s="8" t="s">
        <x:v>53</x:v>
      </x:c>
      <x:c r="H1099" s="8" t="s">
        <x:v>58</x:v>
      </x:c>
      <x:c r="I1099" s="8" t="s">
        <x:v>58</x:v>
      </x:c>
      <x:c r="J1099" s="7" t="s">
        <x:v>58</x:v>
      </x:c>
      <x:c r="K1099" s="8" t="n">
        <x:v>1</x:v>
      </x:c>
      <x:c r="L1099" s="8" t="str">
        <x:f aca="0">IF(AND(ISNUMBER(G1099),P1099&lt;&gt;"Unresolved unit / layout"),G1099*K1099,"Not published")</x:f>
        <x:v>Not published</x:v>
      </x:c>
      <x:c r="M1099" s="8" t="str">
        <x:f aca="0">IF(AND(ISNUMBER(H1099),P1099&lt;&gt;"Unresolved unit / layout"),H1099*K1099,"Not applicable")</x:f>
        <x:v>Not applicable</x:v>
      </x:c>
      <x:c r="N1099" s="8" t="str">
        <x:f aca="0">IF(AND(ISNUMBER(I1099),P1099&lt;&gt;"Unresolved unit / layout"),I1099*K1099,"Not applicable")</x:f>
        <x:v>Not applicable</x:v>
      </x:c>
      <x:c r="O1099" s="7" t="s">
        <x:v>53</x:v>
      </x:c>
      <x:c r="P1099" s="7" t="s">
        <x:v>53</x:v>
      </x:c>
      <x:c r="Q1099" s="7" t="s">
        <x:v>1930</x:v>
      </x:c>
      <x:c r="R1099" s="7" t="s">
        <x:v>2003</x:v>
      </x:c>
      <x:c r="S1099" s="7" t="s">
        <x:v>3756</x:v>
      </x:c>
      <x:c r="T1099" s="7" t="s">
        <x:v>3741</x:v>
      </x:c>
      <x:c r="U1099" s="7" t="s">
        <x:v>53</x:v>
      </x:c>
      <x:c r="V1099" s="7" t="s">
        <x:v>2020</x:v>
      </x:c>
      <x:c r="W1099" s="7" t="s">
        <x:v>58</x:v>
      </x:c>
      <x:c r="X1099" s="7" t="s">
        <x:v>3742</x:v>
      </x:c>
      <x:c r="Y1099" s="7" t="s">
        <x:v>1264</x:v>
      </x:c>
      <x:c r="Z1099" s="7" t="s">
        <x:v>2699</x:v>
      </x:c>
      <x:c r="AA1099" s="7" t="s">
        <x:v>58</x:v>
      </x:c>
      <x:c r="AB1099" s="8" t="s">
        <x:v>58</x:v>
      </x:c>
      <x:c r="AC1099" s="8" t="s">
        <x:v>58</x:v>
      </x:c>
      <x:c r="AD1099" s="8" t="s">
        <x:v>58</x:v>
      </x:c>
      <x:c r="AE1099" s="8" t="s">
        <x:v>58</x:v>
      </x:c>
      <x:c r="AF1099" s="8" t="s">
        <x:v>58</x:v>
      </x:c>
      <x:c r="AG1099" s="7" t="s">
        <x:v>58</x:v>
      </x:c>
    </x:row>
    <x:row r="1100" ht="66" hidden="0" customHeight="1">
      <x:c r="A1100" s="7" t="s">
        <x:v>4165</x:v>
      </x:c>
      <x:c r="B1100" s="7" t="s">
        <x:v>687</x:v>
      </x:c>
      <x:c r="C1100" s="7" t="s">
        <x:v>689</x:v>
      </x:c>
      <x:c r="D1100" s="7" t="s">
        <x:v>1945</x:v>
      </x:c>
      <x:c r="E1100" s="7" t="s">
        <x:v>3771</x:v>
      </x:c>
      <x:c r="F1100" s="7" t="s">
        <x:v>1929</x:v>
      </x:c>
      <x:c r="G1100" s="8" t="n">
        <x:v>97</x:v>
      </x:c>
      <x:c r="H1100" s="8" t="n">
        <x:v>1.1</x:v>
      </x:c>
      <x:c r="I1100" s="8" t="s">
        <x:v>58</x:v>
      </x:c>
      <x:c r="J1100" s="7" t="s">
        <x:v>1919</x:v>
      </x:c>
      <x:c r="K1100" s="8" t="n">
        <x:v>1</x:v>
      </x:c>
      <x:c r="L1100" s="8" t="n">
        <x:f aca="0">IF(AND(ISNUMBER(G1100),P1100&lt;&gt;"Unresolved unit / layout"),G1100*K1100,"Not applicable")</x:f>
        <x:v>97</x:v>
      </x:c>
      <x:c r="M1100" s="8" t="n">
        <x:f aca="0">IF(AND(ISNUMBER(H1100),P1100&lt;&gt;"Unresolved unit / layout"),H1100*K1100,"Not applicable")</x:f>
        <x:v>1.1</x:v>
      </x:c>
      <x:c r="N1100" s="8" t="str">
        <x:f aca="0">IF(AND(ISNUMBER(I1100),P1100&lt;&gt;"Unresolved unit / layout"),I1100*K1100,"Not applicable")</x:f>
        <x:v>Not applicable</x:v>
      </x:c>
      <x:c r="O1100" s="7" t="s">
        <x:v>1929</x:v>
      </x:c>
      <x:c r="P1100" s="7" t="s">
        <x:v>1921</x:v>
      </x:c>
      <x:c r="Q1100" s="7" t="s">
        <x:v>1930</x:v>
      </x:c>
      <x:c r="R1100" s="7" t="s">
        <x:v>1931</x:v>
      </x:c>
      <x:c r="S1100" s="7" t="s">
        <x:v>3756</x:v>
      </x:c>
      <x:c r="T1100" s="7" t="s">
        <x:v>3741</x:v>
      </x:c>
      <x:c r="U1100" s="7" t="s">
        <x:v>53</x:v>
      </x:c>
      <x:c r="V1100" s="7" t="s">
        <x:v>2020</x:v>
      </x:c>
      <x:c r="W1100" s="7" t="s">
        <x:v>58</x:v>
      </x:c>
      <x:c r="X1100" s="7" t="s">
        <x:v>3742</x:v>
      </x:c>
      <x:c r="Y1100" s="7" t="s">
        <x:v>1264</x:v>
      </x:c>
      <x:c r="Z1100" s="7" t="s">
        <x:v>2702</x:v>
      </x:c>
      <x:c r="AA1100" s="7" t="s">
        <x:v>58</x:v>
      </x:c>
      <x:c r="AB1100" s="8" t="s">
        <x:v>58</x:v>
      </x:c>
      <x:c r="AC1100" s="8" t="s">
        <x:v>58</x:v>
      </x:c>
      <x:c r="AD1100" s="8" t="s">
        <x:v>58</x:v>
      </x:c>
      <x:c r="AE1100" s="8" t="s">
        <x:v>58</x:v>
      </x:c>
      <x:c r="AF1100" s="8" t="s">
        <x:v>58</x:v>
      </x:c>
      <x:c r="AG1100" s="7" t="s">
        <x:v>58</x:v>
      </x:c>
    </x:row>
    <x:row r="1101" ht="66" hidden="0" customHeight="1">
      <x:c r="A1101" s="7" t="s">
        <x:v>4166</x:v>
      </x:c>
      <x:c r="B1101" s="7" t="s">
        <x:v>687</x:v>
      </x:c>
      <x:c r="C1101" s="7" t="s">
        <x:v>689</x:v>
      </x:c>
      <x:c r="D1101" s="7" t="s">
        <x:v>1945</x:v>
      </x:c>
      <x:c r="E1101" s="7" t="s">
        <x:v>1995</x:v>
      </x:c>
      <x:c r="F1101" s="7" t="s">
        <x:v>53</x:v>
      </x:c>
      <x:c r="G1101" s="8" t="s">
        <x:v>53</x:v>
      </x:c>
      <x:c r="H1101" s="8" t="s">
        <x:v>58</x:v>
      </x:c>
      <x:c r="I1101" s="8" t="s">
        <x:v>58</x:v>
      </x:c>
      <x:c r="J1101" s="7" t="s">
        <x:v>58</x:v>
      </x:c>
      <x:c r="K1101" s="8" t="n">
        <x:v>1</x:v>
      </x:c>
      <x:c r="L1101" s="8" t="str">
        <x:f aca="0">IF(AND(ISNUMBER(G1101),P1101&lt;&gt;"Unresolved unit / layout"),G1101*K1101,"Not published")</x:f>
        <x:v>Not published</x:v>
      </x:c>
      <x:c r="M1101" s="8" t="str">
        <x:f aca="0">IF(AND(ISNUMBER(H1101),P1101&lt;&gt;"Unresolved unit / layout"),H1101*K1101,"Not applicable")</x:f>
        <x:v>Not applicable</x:v>
      </x:c>
      <x:c r="N1101" s="8" t="str">
        <x:f aca="0">IF(AND(ISNUMBER(I1101),P1101&lt;&gt;"Unresolved unit / layout"),I1101*K1101,"Not applicable")</x:f>
        <x:v>Not applicable</x:v>
      </x:c>
      <x:c r="O1101" s="7" t="s">
        <x:v>53</x:v>
      </x:c>
      <x:c r="P1101" s="7" t="s">
        <x:v>53</x:v>
      </x:c>
      <x:c r="Q1101" s="7" t="s">
        <x:v>1930</x:v>
      </x:c>
      <x:c r="R1101" s="7" t="s">
        <x:v>2003</x:v>
      </x:c>
      <x:c r="S1101" s="7" t="s">
        <x:v>3756</x:v>
      </x:c>
      <x:c r="T1101" s="7" t="s">
        <x:v>3741</x:v>
      </x:c>
      <x:c r="U1101" s="7" t="s">
        <x:v>53</x:v>
      </x:c>
      <x:c r="V1101" s="7" t="s">
        <x:v>2020</x:v>
      </x:c>
      <x:c r="W1101" s="7" t="s">
        <x:v>58</x:v>
      </x:c>
      <x:c r="X1101" s="7" t="s">
        <x:v>3742</x:v>
      </x:c>
      <x:c r="Y1101" s="7" t="s">
        <x:v>1264</x:v>
      </x:c>
      <x:c r="Z1101" s="7" t="s">
        <x:v>2705</x:v>
      </x:c>
      <x:c r="AA1101" s="7" t="s">
        <x:v>58</x:v>
      </x:c>
      <x:c r="AB1101" s="8" t="s">
        <x:v>58</x:v>
      </x:c>
      <x:c r="AC1101" s="8" t="s">
        <x:v>58</x:v>
      </x:c>
      <x:c r="AD1101" s="8" t="s">
        <x:v>58</x:v>
      </x:c>
      <x:c r="AE1101" s="8" t="s">
        <x:v>58</x:v>
      </x:c>
      <x:c r="AF1101" s="8" t="s">
        <x:v>58</x:v>
      </x:c>
      <x:c r="AG1101" s="7" t="s">
        <x:v>58</x:v>
      </x:c>
    </x:row>
    <x:row r="1102" ht="66" hidden="0" customHeight="1">
      <x:c r="A1102" s="7" t="s">
        <x:v>4167</x:v>
      </x:c>
      <x:c r="B1102" s="7" t="s">
        <x:v>687</x:v>
      </x:c>
      <x:c r="C1102" s="7" t="s">
        <x:v>689</x:v>
      </x:c>
      <x:c r="D1102" s="7" t="s">
        <x:v>2030</x:v>
      </x:c>
      <x:c r="E1102" s="7" t="s">
        <x:v>3774</x:v>
      </x:c>
      <x:c r="F1102" s="7" t="s">
        <x:v>2032</x:v>
      </x:c>
      <x:c r="G1102" s="8" t="n">
        <x:v>9.6</x:v>
      </x:c>
      <x:c r="H1102" s="8" t="n">
        <x:v>1.4</x:v>
      </x:c>
      <x:c r="I1102" s="8" t="s">
        <x:v>58</x:v>
      </x:c>
      <x:c r="J1102" s="7" t="s">
        <x:v>1919</x:v>
      </x:c>
      <x:c r="K1102" s="8" t="n">
        <x:v>1</x:v>
      </x:c>
      <x:c r="L1102" s="8" t="n">
        <x:f aca="0">IF(AND(ISNUMBER(G1102),P1102&lt;&gt;"Unresolved unit / layout"),G1102*K1102,"Not applicable")</x:f>
        <x:v>9.6</x:v>
      </x:c>
      <x:c r="M1102" s="8" t="n">
        <x:f aca="0">IF(AND(ISNUMBER(H1102),P1102&lt;&gt;"Unresolved unit / layout"),H1102*K1102,"Not applicable")</x:f>
        <x:v>1.4</x:v>
      </x:c>
      <x:c r="N1102" s="8" t="str">
        <x:f aca="0">IF(AND(ISNUMBER(I1102),P1102&lt;&gt;"Unresolved unit / layout"),I1102*K1102,"Not applicable")</x:f>
        <x:v>Not applicable</x:v>
      </x:c>
      <x:c r="O1102" s="7" t="s">
        <x:v>2033</x:v>
      </x:c>
      <x:c r="P1102" s="7" t="s">
        <x:v>1921</x:v>
      </x:c>
      <x:c r="Q1102" s="7" t="s">
        <x:v>1930</x:v>
      </x:c>
      <x:c r="R1102" s="7" t="s">
        <x:v>1931</x:v>
      </x:c>
      <x:c r="S1102" s="7" t="s">
        <x:v>3756</x:v>
      </x:c>
      <x:c r="T1102" s="7" t="s">
        <x:v>3741</x:v>
      </x:c>
      <x:c r="U1102" s="7" t="s">
        <x:v>53</x:v>
      </x:c>
      <x:c r="V1102" s="7" t="s">
        <x:v>53</x:v>
      </x:c>
      <x:c r="W1102" s="7" t="s">
        <x:v>53</x:v>
      </x:c>
      <x:c r="X1102" s="7" t="s">
        <x:v>3742</x:v>
      </x:c>
      <x:c r="Y1102" s="7" t="s">
        <x:v>1264</x:v>
      </x:c>
      <x:c r="Z1102" s="7" t="s">
        <x:v>2804</x:v>
      </x:c>
      <x:c r="AA1102" s="7" t="s">
        <x:v>58</x:v>
      </x:c>
      <x:c r="AB1102" s="8" t="s">
        <x:v>58</x:v>
      </x:c>
      <x:c r="AC1102" s="8" t="s">
        <x:v>58</x:v>
      </x:c>
      <x:c r="AD1102" s="8" t="s">
        <x:v>58</x:v>
      </x:c>
      <x:c r="AE1102" s="8" t="s">
        <x:v>58</x:v>
      </x:c>
      <x:c r="AF1102" s="8" t="s">
        <x:v>58</x:v>
      </x:c>
      <x:c r="AG1102" s="7" t="s">
        <x:v>58</x:v>
      </x:c>
    </x:row>
    <x:row r="1103" ht="66" hidden="0" customHeight="1">
      <x:c r="A1103" s="7" t="s">
        <x:v>4168</x:v>
      </x:c>
      <x:c r="B1103" s="7" t="s">
        <x:v>687</x:v>
      </x:c>
      <x:c r="C1103" s="7" t="s">
        <x:v>689</x:v>
      </x:c>
      <x:c r="D1103" s="7" t="s">
        <x:v>2030</x:v>
      </x:c>
      <x:c r="E1103" s="7" t="s">
        <x:v>1995</x:v>
      </x:c>
      <x:c r="F1103" s="7" t="s">
        <x:v>53</x:v>
      </x:c>
      <x:c r="G1103" s="8" t="s">
        <x:v>53</x:v>
      </x:c>
      <x:c r="H1103" s="8" t="s">
        <x:v>58</x:v>
      </x:c>
      <x:c r="I1103" s="8" t="s">
        <x:v>58</x:v>
      </x:c>
      <x:c r="J1103" s="7" t="s">
        <x:v>58</x:v>
      </x:c>
      <x:c r="K1103" s="8" t="n">
        <x:v>1</x:v>
      </x:c>
      <x:c r="L1103" s="8" t="str">
        <x:f aca="0">IF(AND(ISNUMBER(G1103),P1103&lt;&gt;"Unresolved unit / layout"),G1103*K1103,"Not published")</x:f>
        <x:v>Not published</x:v>
      </x:c>
      <x:c r="M1103" s="8" t="str">
        <x:f aca="0">IF(AND(ISNUMBER(H1103),P1103&lt;&gt;"Unresolved unit / layout"),H1103*K1103,"Not applicable")</x:f>
        <x:v>Not applicable</x:v>
      </x:c>
      <x:c r="N1103" s="8" t="str">
        <x:f aca="0">IF(AND(ISNUMBER(I1103),P1103&lt;&gt;"Unresolved unit / layout"),I1103*K1103,"Not applicable")</x:f>
        <x:v>Not applicable</x:v>
      </x:c>
      <x:c r="O1103" s="7" t="s">
        <x:v>53</x:v>
      </x:c>
      <x:c r="P1103" s="7" t="s">
        <x:v>53</x:v>
      </x:c>
      <x:c r="Q1103" s="7" t="s">
        <x:v>1930</x:v>
      </x:c>
      <x:c r="R1103" s="7" t="s">
        <x:v>2003</x:v>
      </x:c>
      <x:c r="S1103" s="7" t="s">
        <x:v>3756</x:v>
      </x:c>
      <x:c r="T1103" s="7" t="s">
        <x:v>3741</x:v>
      </x:c>
      <x:c r="U1103" s="7" t="s">
        <x:v>53</x:v>
      </x:c>
      <x:c r="V1103" s="7" t="s">
        <x:v>2806</x:v>
      </x:c>
      <x:c r="W1103" s="7" t="s">
        <x:v>53</x:v>
      </x:c>
      <x:c r="X1103" s="7" t="s">
        <x:v>3742</x:v>
      </x:c>
      <x:c r="Y1103" s="7" t="s">
        <x:v>1264</x:v>
      </x:c>
      <x:c r="Z1103" s="7" t="s">
        <x:v>2807</x:v>
      </x:c>
      <x:c r="AA1103" s="7" t="s">
        <x:v>58</x:v>
      </x:c>
      <x:c r="AB1103" s="8" t="s">
        <x:v>58</x:v>
      </x:c>
      <x:c r="AC1103" s="8" t="s">
        <x:v>58</x:v>
      </x:c>
      <x:c r="AD1103" s="8" t="s">
        <x:v>58</x:v>
      </x:c>
      <x:c r="AE1103" s="8" t="s">
        <x:v>58</x:v>
      </x:c>
      <x:c r="AF1103" s="8" t="s">
        <x:v>58</x:v>
      </x:c>
      <x:c r="AG1103" s="7" t="s">
        <x:v>58</x:v>
      </x:c>
    </x:row>
    <x:row r="1104" ht="66" hidden="0" customHeight="1">
      <x:c r="A1104" s="7" t="s">
        <x:v>4169</x:v>
      </x:c>
      <x:c r="B1104" s="7" t="s">
        <x:v>687</x:v>
      </x:c>
      <x:c r="C1104" s="7" t="s">
        <x:v>689</x:v>
      </x:c>
      <x:c r="D1104" s="7" t="s">
        <x:v>1935</x:v>
      </x:c>
      <x:c r="E1104" s="7" t="s">
        <x:v>3777</x:v>
      </x:c>
      <x:c r="F1104" s="7" t="s">
        <x:v>1929</x:v>
      </x:c>
      <x:c r="G1104" s="8" t="n">
        <x:v>1053</x:v>
      </x:c>
      <x:c r="H1104" s="8" t="n">
        <x:v>235</x:v>
      </x:c>
      <x:c r="I1104" s="8" t="s">
        <x:v>58</x:v>
      </x:c>
      <x:c r="J1104" s="7" t="s">
        <x:v>1919</x:v>
      </x:c>
      <x:c r="K1104" s="8" t="n">
        <x:v>0.001</x:v>
      </x:c>
      <x:c r="L1104" s="8" t="n">
        <x:f aca="0">IF(AND(ISNUMBER(G1104),P1104&lt;&gt;"Unresolved unit / layout"),G1104*K1104,"Not applicable")</x:f>
        <x:v>1.053</x:v>
      </x:c>
      <x:c r="M1104" s="8" t="n">
        <x:f aca="0">IF(AND(ISNUMBER(H1104),P1104&lt;&gt;"Unresolved unit / layout"),H1104*K1104,"Not applicable")</x:f>
        <x:v>0.23500000000000001</x:v>
      </x:c>
      <x:c r="N1104" s="8" t="str">
        <x:f aca="0">IF(AND(ISNUMBER(I1104),P1104&lt;&gt;"Unresolved unit / layout"),I1104*K1104,"Not applicable")</x:f>
        <x:v>Not applicable</x:v>
      </x:c>
      <x:c r="O1104" s="7" t="s">
        <x:v>1937</x:v>
      </x:c>
      <x:c r="P1104" s="7" t="s">
        <x:v>1921</x:v>
      </x:c>
      <x:c r="Q1104" s="7" t="s">
        <x:v>1930</x:v>
      </x:c>
      <x:c r="R1104" s="7" t="s">
        <x:v>1931</x:v>
      </x:c>
      <x:c r="S1104" s="7" t="s">
        <x:v>3756</x:v>
      </x:c>
      <x:c r="T1104" s="7" t="s">
        <x:v>3741</x:v>
      </x:c>
      <x:c r="U1104" s="7" t="s">
        <x:v>53</x:v>
      </x:c>
      <x:c r="V1104" s="7" t="s">
        <x:v>1999</x:v>
      </x:c>
      <x:c r="W1104" s="7" t="s">
        <x:v>58</x:v>
      </x:c>
      <x:c r="X1104" s="7" t="s">
        <x:v>3742</x:v>
      </x:c>
      <x:c r="Y1104" s="7" t="s">
        <x:v>1264</x:v>
      </x:c>
      <x:c r="Z1104" s="7" t="s">
        <x:v>2784</x:v>
      </x:c>
      <x:c r="AA1104" s="7" t="s">
        <x:v>58</x:v>
      </x:c>
      <x:c r="AB1104" s="8" t="s">
        <x:v>58</x:v>
      </x:c>
      <x:c r="AC1104" s="8" t="s">
        <x:v>58</x:v>
      </x:c>
      <x:c r="AD1104" s="8" t="s">
        <x:v>58</x:v>
      </x:c>
      <x:c r="AE1104" s="8" t="s">
        <x:v>58</x:v>
      </x:c>
      <x:c r="AF1104" s="8" t="s">
        <x:v>58</x:v>
      </x:c>
      <x:c r="AG1104" s="7" t="s">
        <x:v>58</x:v>
      </x:c>
    </x:row>
    <x:row r="1105" ht="66" hidden="0" customHeight="1">
      <x:c r="A1105" s="7" t="s">
        <x:v>4170</x:v>
      </x:c>
      <x:c r="B1105" s="7" t="s">
        <x:v>687</x:v>
      </x:c>
      <x:c r="C1105" s="7" t="s">
        <x:v>689</x:v>
      </x:c>
      <x:c r="D1105" s="7" t="s">
        <x:v>1935</x:v>
      </x:c>
      <x:c r="E1105" s="7" t="s">
        <x:v>3779</x:v>
      </x:c>
      <x:c r="F1105" s="7" t="s">
        <x:v>1929</x:v>
      </x:c>
      <x:c r="G1105" s="8" t="n">
        <x:v>702</x:v>
      </x:c>
      <x:c r="H1105" s="8" t="n">
        <x:v>16</x:v>
      </x:c>
      <x:c r="I1105" s="8" t="s">
        <x:v>58</x:v>
      </x:c>
      <x:c r="J1105" s="7" t="s">
        <x:v>1919</x:v>
      </x:c>
      <x:c r="K1105" s="8" t="n">
        <x:v>0.001</x:v>
      </x:c>
      <x:c r="L1105" s="8" t="n">
        <x:f aca="0">IF(AND(ISNUMBER(G1105),P1105&lt;&gt;"Unresolved unit / layout"),G1105*K1105,"Not applicable")</x:f>
        <x:v>0.7020000000000001</x:v>
      </x:c>
      <x:c r="M1105" s="8" t="n">
        <x:f aca="0">IF(AND(ISNUMBER(H1105),P1105&lt;&gt;"Unresolved unit / layout"),H1105*K1105,"Not applicable")</x:f>
        <x:v>0.016</x:v>
      </x:c>
      <x:c r="N1105" s="8" t="str">
        <x:f aca="0">IF(AND(ISNUMBER(I1105),P1105&lt;&gt;"Unresolved unit / layout"),I1105*K1105,"Not applicable")</x:f>
        <x:v>Not applicable</x:v>
      </x:c>
      <x:c r="O1105" s="7" t="s">
        <x:v>1937</x:v>
      </x:c>
      <x:c r="P1105" s="7" t="s">
        <x:v>1921</x:v>
      </x:c>
      <x:c r="Q1105" s="7" t="s">
        <x:v>1930</x:v>
      </x:c>
      <x:c r="R1105" s="7" t="s">
        <x:v>2003</x:v>
      </x:c>
      <x:c r="S1105" s="7" t="s">
        <x:v>3756</x:v>
      </x:c>
      <x:c r="T1105" s="7" t="s">
        <x:v>3741</x:v>
      </x:c>
      <x:c r="U1105" s="7" t="s">
        <x:v>53</x:v>
      </x:c>
      <x:c r="V1105" s="7" t="s">
        <x:v>1999</x:v>
      </x:c>
      <x:c r="W1105" s="7" t="s">
        <x:v>58</x:v>
      </x:c>
      <x:c r="X1105" s="7" t="s">
        <x:v>3742</x:v>
      </x:c>
      <x:c r="Y1105" s="7" t="s">
        <x:v>1264</x:v>
      </x:c>
      <x:c r="Z1105" s="7" t="s">
        <x:v>2787</x:v>
      </x:c>
      <x:c r="AA1105" s="7" t="s">
        <x:v>58</x:v>
      </x:c>
      <x:c r="AB1105" s="8" t="s">
        <x:v>58</x:v>
      </x:c>
      <x:c r="AC1105" s="8" t="s">
        <x:v>58</x:v>
      </x:c>
      <x:c r="AD1105" s="8" t="s">
        <x:v>58</x:v>
      </x:c>
      <x:c r="AE1105" s="8" t="s">
        <x:v>58</x:v>
      </x:c>
      <x:c r="AF1105" s="8" t="s">
        <x:v>58</x:v>
      </x:c>
      <x:c r="AG1105" s="7" t="s">
        <x:v>58</x:v>
      </x:c>
    </x:row>
    <x:row r="1106" ht="66" hidden="0" customHeight="1">
      <x:c r="A1106" s="7" t="s">
        <x:v>4171</x:v>
      </x:c>
      <x:c r="B1106" s="7" t="s">
        <x:v>687</x:v>
      </x:c>
      <x:c r="C1106" s="7" t="s">
        <x:v>689</x:v>
      </x:c>
      <x:c r="D1106" s="7" t="s">
        <x:v>2006</x:v>
      </x:c>
      <x:c r="E1106" s="7" t="s">
        <x:v>3781</x:v>
      </x:c>
      <x:c r="F1106" s="7" t="s">
        <x:v>1929</x:v>
      </x:c>
      <x:c r="G1106" s="8" t="n">
        <x:v>31.4</x:v>
      </x:c>
      <x:c r="H1106" s="8" t="n">
        <x:v>1.5</x:v>
      </x:c>
      <x:c r="I1106" s="8" t="s">
        <x:v>58</x:v>
      </x:c>
      <x:c r="J1106" s="7" t="s">
        <x:v>1919</x:v>
      </x:c>
      <x:c r="K1106" s="8" t="n">
        <x:v>1</x:v>
      </x:c>
      <x:c r="L1106" s="8" t="n">
        <x:f aca="0">IF(AND(ISNUMBER(G1106),P1106&lt;&gt;"Unresolved unit / layout"),G1106*K1106,"Not applicable")</x:f>
        <x:v>31.4</x:v>
      </x:c>
      <x:c r="M1106" s="8" t="n">
        <x:f aca="0">IF(AND(ISNUMBER(H1106),P1106&lt;&gt;"Unresolved unit / layout"),H1106*K1106,"Not applicable")</x:f>
        <x:v>1.5</x:v>
      </x:c>
      <x:c r="N1106" s="8" t="str">
        <x:f aca="0">IF(AND(ISNUMBER(I1106),P1106&lt;&gt;"Unresolved unit / layout"),I1106*K1106,"Not applicable")</x:f>
        <x:v>Not applicable</x:v>
      </x:c>
      <x:c r="O1106" s="7" t="s">
        <x:v>1929</x:v>
      </x:c>
      <x:c r="P1106" s="7" t="s">
        <x:v>1921</x:v>
      </x:c>
      <x:c r="Q1106" s="7" t="s">
        <x:v>1930</x:v>
      </x:c>
      <x:c r="R1106" s="7" t="s">
        <x:v>1931</x:v>
      </x:c>
      <x:c r="S1106" s="7" t="s">
        <x:v>3756</x:v>
      </x:c>
      <x:c r="T1106" s="7" t="s">
        <x:v>3741</x:v>
      </x:c>
      <x:c r="U1106" s="7" t="s">
        <x:v>53</x:v>
      </x:c>
      <x:c r="V1106" s="7" t="s">
        <x:v>1999</x:v>
      </x:c>
      <x:c r="W1106" s="7" t="s">
        <x:v>58</x:v>
      </x:c>
      <x:c r="X1106" s="7" t="s">
        <x:v>3742</x:v>
      </x:c>
      <x:c r="Y1106" s="7" t="s">
        <x:v>1264</x:v>
      </x:c>
      <x:c r="Z1106" s="7" t="s">
        <x:v>2684</x:v>
      </x:c>
      <x:c r="AA1106" s="7" t="s">
        <x:v>58</x:v>
      </x:c>
      <x:c r="AB1106" s="8" t="s">
        <x:v>58</x:v>
      </x:c>
      <x:c r="AC1106" s="8" t="s">
        <x:v>58</x:v>
      </x:c>
      <x:c r="AD1106" s="8" t="s">
        <x:v>58</x:v>
      </x:c>
      <x:c r="AE1106" s="8" t="s">
        <x:v>58</x:v>
      </x:c>
      <x:c r="AF1106" s="8" t="s">
        <x:v>58</x:v>
      </x:c>
      <x:c r="AG1106" s="7" t="s">
        <x:v>58</x:v>
      </x:c>
    </x:row>
    <x:row r="1107" ht="66" hidden="0" customHeight="1">
      <x:c r="A1107" s="7" t="s">
        <x:v>4172</x:v>
      </x:c>
      <x:c r="B1107" s="7" t="s">
        <x:v>687</x:v>
      </x:c>
      <x:c r="C1107" s="7" t="s">
        <x:v>689</x:v>
      </x:c>
      <x:c r="D1107" s="7" t="s">
        <x:v>2006</x:v>
      </x:c>
      <x:c r="E1107" s="7" t="s">
        <x:v>3781</x:v>
      </x:c>
      <x:c r="F1107" s="7" t="s">
        <x:v>1929</x:v>
      </x:c>
      <x:c r="G1107" s="8" t="n">
        <x:v>31.4</x:v>
      </x:c>
      <x:c r="H1107" s="8" t="n">
        <x:v>1.5</x:v>
      </x:c>
      <x:c r="I1107" s="8" t="s">
        <x:v>58</x:v>
      </x:c>
      <x:c r="J1107" s="7" t="s">
        <x:v>1919</x:v>
      </x:c>
      <x:c r="K1107" s="8" t="n">
        <x:v>1</x:v>
      </x:c>
      <x:c r="L1107" s="8" t="n">
        <x:f aca="0">IF(AND(ISNUMBER(G1107),P1107&lt;&gt;"Unresolved unit / layout"),G1107*K1107,"Not applicable")</x:f>
        <x:v>31.4</x:v>
      </x:c>
      <x:c r="M1107" s="8" t="n">
        <x:f aca="0">IF(AND(ISNUMBER(H1107),P1107&lt;&gt;"Unresolved unit / layout"),H1107*K1107,"Not applicable")</x:f>
        <x:v>1.5</x:v>
      </x:c>
      <x:c r="N1107" s="8" t="str">
        <x:f aca="0">IF(AND(ISNUMBER(I1107),P1107&lt;&gt;"Unresolved unit / layout"),I1107*K1107,"Not applicable")</x:f>
        <x:v>Not applicable</x:v>
      </x:c>
      <x:c r="O1107" s="7" t="s">
        <x:v>1929</x:v>
      </x:c>
      <x:c r="P1107" s="7" t="s">
        <x:v>1921</x:v>
      </x:c>
      <x:c r="Q1107" s="7" t="s">
        <x:v>1930</x:v>
      </x:c>
      <x:c r="R1107" s="7" t="s">
        <x:v>2003</x:v>
      </x:c>
      <x:c r="S1107" s="7" t="s">
        <x:v>3756</x:v>
      </x:c>
      <x:c r="T1107" s="7" t="s">
        <x:v>3741</x:v>
      </x:c>
      <x:c r="U1107" s="7" t="s">
        <x:v>53</x:v>
      </x:c>
      <x:c r="V1107" s="7" t="s">
        <x:v>1999</x:v>
      </x:c>
      <x:c r="W1107" s="7" t="s">
        <x:v>58</x:v>
      </x:c>
      <x:c r="X1107" s="7" t="s">
        <x:v>3742</x:v>
      </x:c>
      <x:c r="Y1107" s="7" t="s">
        <x:v>1264</x:v>
      </x:c>
      <x:c r="Z1107" s="7" t="s">
        <x:v>2687</x:v>
      </x:c>
      <x:c r="AA1107" s="7" t="s">
        <x:v>58</x:v>
      </x:c>
      <x:c r="AB1107" s="8" t="s">
        <x:v>58</x:v>
      </x:c>
      <x:c r="AC1107" s="8" t="s">
        <x:v>58</x:v>
      </x:c>
      <x:c r="AD1107" s="8" t="s">
        <x:v>58</x:v>
      </x:c>
      <x:c r="AE1107" s="8" t="s">
        <x:v>58</x:v>
      </x:c>
      <x:c r="AF1107" s="8" t="s">
        <x:v>58</x:v>
      </x:c>
      <x:c r="AG1107" s="7" t="s">
        <x:v>58</x:v>
      </x:c>
    </x:row>
    <x:row r="1108" ht="66" hidden="0" customHeight="1">
      <x:c r="A1108" s="7" t="s">
        <x:v>4173</x:v>
      </x:c>
      <x:c r="B1108" s="7" t="s">
        <x:v>687</x:v>
      </x:c>
      <x:c r="C1108" s="7" t="s">
        <x:v>689</x:v>
      </x:c>
      <x:c r="D1108" s="7" t="s">
        <x:v>1940</x:v>
      </x:c>
      <x:c r="E1108" s="7" t="s">
        <x:v>3784</x:v>
      </x:c>
      <x:c r="F1108" s="7" t="s">
        <x:v>1942</x:v>
      </x:c>
      <x:c r="G1108" s="8" t="n">
        <x:v>216.5</x:v>
      </x:c>
      <x:c r="H1108" s="8" t="n">
        <x:v>12.1</x:v>
      </x:c>
      <x:c r="I1108" s="8" t="s">
        <x:v>58</x:v>
      </x:c>
      <x:c r="J1108" s="7" t="s">
        <x:v>1919</x:v>
      </x:c>
      <x:c r="K1108" s="8" t="n">
        <x:v>1</x:v>
      </x:c>
      <x:c r="L1108" s="8" t="n">
        <x:f aca="0">IF(AND(ISNUMBER(G1108),P1108&lt;&gt;"Unresolved unit / layout"),G1108*K1108,"Not applicable")</x:f>
        <x:v>216.5</x:v>
      </x:c>
      <x:c r="M1108" s="8" t="n">
        <x:f aca="0">IF(AND(ISNUMBER(H1108),P1108&lt;&gt;"Unresolved unit / layout"),H1108*K1108,"Not applicable")</x:f>
        <x:v>12.1</x:v>
      </x:c>
      <x:c r="N1108" s="8" t="str">
        <x:f aca="0">IF(AND(ISNUMBER(I1108),P1108&lt;&gt;"Unresolved unit / layout"),I1108*K1108,"Not applicable")</x:f>
        <x:v>Not applicable</x:v>
      </x:c>
      <x:c r="O1108" s="7" t="s">
        <x:v>1942</x:v>
      </x:c>
      <x:c r="P1108" s="7" t="s">
        <x:v>1921</x:v>
      </x:c>
      <x:c r="Q1108" s="7" t="s">
        <x:v>1930</x:v>
      </x:c>
      <x:c r="R1108" s="7" t="s">
        <x:v>1931</x:v>
      </x:c>
      <x:c r="S1108" s="7" t="s">
        <x:v>3756</x:v>
      </x:c>
      <x:c r="T1108" s="7" t="s">
        <x:v>3741</x:v>
      </x:c>
      <x:c r="U1108" s="7" t="s">
        <x:v>53</x:v>
      </x:c>
      <x:c r="V1108" s="7" t="s">
        <x:v>1999</x:v>
      </x:c>
      <x:c r="W1108" s="7" t="s">
        <x:v>58</x:v>
      </x:c>
      <x:c r="X1108" s="7" t="s">
        <x:v>3742</x:v>
      </x:c>
      <x:c r="Y1108" s="7" t="s">
        <x:v>1264</x:v>
      </x:c>
      <x:c r="Z1108" s="7" t="s">
        <x:v>2690</x:v>
      </x:c>
      <x:c r="AA1108" s="7" t="s">
        <x:v>58</x:v>
      </x:c>
      <x:c r="AB1108" s="8" t="s">
        <x:v>58</x:v>
      </x:c>
      <x:c r="AC1108" s="8" t="s">
        <x:v>58</x:v>
      </x:c>
      <x:c r="AD1108" s="8" t="s">
        <x:v>58</x:v>
      </x:c>
      <x:c r="AE1108" s="8" t="s">
        <x:v>58</x:v>
      </x:c>
      <x:c r="AF1108" s="8" t="s">
        <x:v>58</x:v>
      </x:c>
      <x:c r="AG1108" s="7" t="s">
        <x:v>58</x:v>
      </x:c>
    </x:row>
    <x:row r="1109" ht="66" hidden="0" customHeight="1">
      <x:c r="A1109" s="7" t="s">
        <x:v>4174</x:v>
      </x:c>
      <x:c r="B1109" s="7" t="s">
        <x:v>687</x:v>
      </x:c>
      <x:c r="C1109" s="7" t="s">
        <x:v>689</x:v>
      </x:c>
      <x:c r="D1109" s="7" t="s">
        <x:v>1940</x:v>
      </x:c>
      <x:c r="E1109" s="7" t="s">
        <x:v>3786</x:v>
      </x:c>
      <x:c r="F1109" s="7" t="s">
        <x:v>1942</x:v>
      </x:c>
      <x:c r="G1109" s="8" t="n">
        <x:v>4.6</x:v>
      </x:c>
      <x:c r="H1109" s="8" t="n">
        <x:v>0.2</x:v>
      </x:c>
      <x:c r="I1109" s="8" t="s">
        <x:v>58</x:v>
      </x:c>
      <x:c r="J1109" s="7" t="s">
        <x:v>1919</x:v>
      </x:c>
      <x:c r="K1109" s="8" t="n">
        <x:v>1</x:v>
      </x:c>
      <x:c r="L1109" s="8" t="n">
        <x:f aca="0">IF(AND(ISNUMBER(G1109),P1109&lt;&gt;"Unresolved unit / layout"),G1109*K1109,"Not applicable")</x:f>
        <x:v>4.6</x:v>
      </x:c>
      <x:c r="M1109" s="8" t="n">
        <x:f aca="0">IF(AND(ISNUMBER(H1109),P1109&lt;&gt;"Unresolved unit / layout"),H1109*K1109,"Not applicable")</x:f>
        <x:v>0.2</x:v>
      </x:c>
      <x:c r="N1109" s="8" t="str">
        <x:f aca="0">IF(AND(ISNUMBER(I1109),P1109&lt;&gt;"Unresolved unit / layout"),I1109*K1109,"Not applicable")</x:f>
        <x:v>Not applicable</x:v>
      </x:c>
      <x:c r="O1109" s="7" t="s">
        <x:v>1942</x:v>
      </x:c>
      <x:c r="P1109" s="7" t="s">
        <x:v>1921</x:v>
      </x:c>
      <x:c r="Q1109" s="7" t="s">
        <x:v>1930</x:v>
      </x:c>
      <x:c r="R1109" s="7" t="s">
        <x:v>2003</x:v>
      </x:c>
      <x:c r="S1109" s="7" t="s">
        <x:v>3756</x:v>
      </x:c>
      <x:c r="T1109" s="7" t="s">
        <x:v>3741</x:v>
      </x:c>
      <x:c r="U1109" s="7" t="s">
        <x:v>53</x:v>
      </x:c>
      <x:c r="V1109" s="7" t="s">
        <x:v>1999</x:v>
      </x:c>
      <x:c r="W1109" s="7" t="s">
        <x:v>58</x:v>
      </x:c>
      <x:c r="X1109" s="7" t="s">
        <x:v>3742</x:v>
      </x:c>
      <x:c r="Y1109" s="7" t="s">
        <x:v>1264</x:v>
      </x:c>
      <x:c r="Z1109" s="7" t="s">
        <x:v>2693</x:v>
      </x:c>
      <x:c r="AA1109" s="7" t="s">
        <x:v>58</x:v>
      </x:c>
      <x:c r="AB1109" s="8" t="s">
        <x:v>58</x:v>
      </x:c>
      <x:c r="AC1109" s="8" t="s">
        <x:v>58</x:v>
      </x:c>
      <x:c r="AD1109" s="8" t="s">
        <x:v>58</x:v>
      </x:c>
      <x:c r="AE1109" s="8" t="s">
        <x:v>58</x:v>
      </x:c>
      <x:c r="AF1109" s="8" t="s">
        <x:v>58</x:v>
      </x:c>
      <x:c r="AG1109" s="7" t="s">
        <x:v>58</x:v>
      </x:c>
    </x:row>
    <x:row r="1110" ht="66" hidden="0" customHeight="1">
      <x:c r="A1110" s="7" t="s">
        <x:v>4175</x:v>
      </x:c>
      <x:c r="B1110" s="7" t="s">
        <x:v>687</x:v>
      </x:c>
      <x:c r="C1110" s="7" t="s">
        <x:v>689</x:v>
      </x:c>
      <x:c r="D1110" s="7" t="s">
        <x:v>1950</x:v>
      </x:c>
      <x:c r="E1110" s="7" t="s">
        <x:v>3788</x:v>
      </x:c>
      <x:c r="F1110" s="7" t="s">
        <x:v>1929</x:v>
      </x:c>
      <x:c r="G1110" s="8" t="n">
        <x:v>862.8</x:v>
      </x:c>
      <x:c r="H1110" s="8" t="n">
        <x:v>133.3</x:v>
      </x:c>
      <x:c r="I1110" s="8" t="s">
        <x:v>58</x:v>
      </x:c>
      <x:c r="J1110" s="7" t="s">
        <x:v>1919</x:v>
      </x:c>
      <x:c r="K1110" s="8" t="n">
        <x:v>0.001</x:v>
      </x:c>
      <x:c r="L1110" s="8" t="n">
        <x:f aca="0">IF(AND(ISNUMBER(G1110),P1110&lt;&gt;"Unresolved unit / layout"),G1110*K1110,"Not applicable")</x:f>
        <x:v>0.8628</x:v>
      </x:c>
      <x:c r="M1110" s="8" t="n">
        <x:f aca="0">IF(AND(ISNUMBER(H1110),P1110&lt;&gt;"Unresolved unit / layout"),H1110*K1110,"Not applicable")</x:f>
        <x:v>0.1333</x:v>
      </x:c>
      <x:c r="N1110" s="8" t="str">
        <x:f aca="0">IF(AND(ISNUMBER(I1110),P1110&lt;&gt;"Unresolved unit / layout"),I1110*K1110,"Not applicable")</x:f>
        <x:v>Not applicable</x:v>
      </x:c>
      <x:c r="O1110" s="7" t="s">
        <x:v>1937</x:v>
      </x:c>
      <x:c r="P1110" s="7" t="s">
        <x:v>1921</x:v>
      </x:c>
      <x:c r="Q1110" s="7" t="s">
        <x:v>1930</x:v>
      </x:c>
      <x:c r="R1110" s="7" t="s">
        <x:v>1931</x:v>
      </x:c>
      <x:c r="S1110" s="7" t="s">
        <x:v>3756</x:v>
      </x:c>
      <x:c r="T1110" s="7" t="s">
        <x:v>3741</x:v>
      </x:c>
      <x:c r="U1110" s="7" t="s">
        <x:v>53</x:v>
      </x:c>
      <x:c r="V1110" s="7" t="s">
        <x:v>2020</x:v>
      </x:c>
      <x:c r="W1110" s="7" t="s">
        <x:v>58</x:v>
      </x:c>
      <x:c r="X1110" s="7" t="s">
        <x:v>3742</x:v>
      </x:c>
      <x:c r="Y1110" s="7" t="s">
        <x:v>1264</x:v>
      </x:c>
      <x:c r="Z1110" s="7" t="s">
        <x:v>2696</x:v>
      </x:c>
      <x:c r="AA1110" s="7" t="s">
        <x:v>58</x:v>
      </x:c>
      <x:c r="AB1110" s="8" t="s">
        <x:v>58</x:v>
      </x:c>
      <x:c r="AC1110" s="8" t="s">
        <x:v>58</x:v>
      </x:c>
      <x:c r="AD1110" s="8" t="s">
        <x:v>58</x:v>
      </x:c>
      <x:c r="AE1110" s="8" t="s">
        <x:v>58</x:v>
      </x:c>
      <x:c r="AF1110" s="8" t="s">
        <x:v>58</x:v>
      </x:c>
      <x:c r="AG1110" s="7" t="s">
        <x:v>58</x:v>
      </x:c>
    </x:row>
    <x:row r="1111" ht="66" hidden="0" customHeight="1">
      <x:c r="A1111" s="7" t="s">
        <x:v>4176</x:v>
      </x:c>
      <x:c r="B1111" s="7" t="s">
        <x:v>687</x:v>
      </x:c>
      <x:c r="C1111" s="7" t="s">
        <x:v>689</x:v>
      </x:c>
      <x:c r="D1111" s="7" t="s">
        <x:v>1945</x:v>
      </x:c>
      <x:c r="E1111" s="7" t="s">
        <x:v>3790</x:v>
      </x:c>
      <x:c r="F1111" s="7" t="s">
        <x:v>1929</x:v>
      </x:c>
      <x:c r="G1111" s="8" t="n">
        <x:v>41.6</x:v>
      </x:c>
      <x:c r="H1111" s="8" t="n">
        <x:v>11.6</x:v>
      </x:c>
      <x:c r="I1111" s="8" t="s">
        <x:v>58</x:v>
      </x:c>
      <x:c r="J1111" s="7" t="s">
        <x:v>1919</x:v>
      </x:c>
      <x:c r="K1111" s="8" t="n">
        <x:v>1</x:v>
      </x:c>
      <x:c r="L1111" s="8" t="n">
        <x:f aca="0">IF(AND(ISNUMBER(G1111),P1111&lt;&gt;"Unresolved unit / layout"),G1111*K1111,"Not applicable")</x:f>
        <x:v>41.6</x:v>
      </x:c>
      <x:c r="M1111" s="8" t="n">
        <x:f aca="0">IF(AND(ISNUMBER(H1111),P1111&lt;&gt;"Unresolved unit / layout"),H1111*K1111,"Not applicable")</x:f>
        <x:v>11.6</x:v>
      </x:c>
      <x:c r="N1111" s="8" t="str">
        <x:f aca="0">IF(AND(ISNUMBER(I1111),P1111&lt;&gt;"Unresolved unit / layout"),I1111*K1111,"Not applicable")</x:f>
        <x:v>Not applicable</x:v>
      </x:c>
      <x:c r="O1111" s="7" t="s">
        <x:v>1929</x:v>
      </x:c>
      <x:c r="P1111" s="7" t="s">
        <x:v>1921</x:v>
      </x:c>
      <x:c r="Q1111" s="7" t="s">
        <x:v>1930</x:v>
      </x:c>
      <x:c r="R1111" s="7" t="s">
        <x:v>1931</x:v>
      </x:c>
      <x:c r="S1111" s="7" t="s">
        <x:v>3756</x:v>
      </x:c>
      <x:c r="T1111" s="7" t="s">
        <x:v>3741</x:v>
      </x:c>
      <x:c r="U1111" s="7" t="s">
        <x:v>53</x:v>
      </x:c>
      <x:c r="V1111" s="7" t="s">
        <x:v>2020</x:v>
      </x:c>
      <x:c r="W1111" s="7" t="s">
        <x:v>58</x:v>
      </x:c>
      <x:c r="X1111" s="7" t="s">
        <x:v>3742</x:v>
      </x:c>
      <x:c r="Y1111" s="7" t="s">
        <x:v>1264</x:v>
      </x:c>
      <x:c r="Z1111" s="7" t="s">
        <x:v>2702</x:v>
      </x:c>
      <x:c r="AA1111" s="7" t="s">
        <x:v>58</x:v>
      </x:c>
      <x:c r="AB1111" s="8" t="s">
        <x:v>58</x:v>
      </x:c>
      <x:c r="AC1111" s="8" t="s">
        <x:v>58</x:v>
      </x:c>
      <x:c r="AD1111" s="8" t="s">
        <x:v>58</x:v>
      </x:c>
      <x:c r="AE1111" s="8" t="s">
        <x:v>58</x:v>
      </x:c>
      <x:c r="AF1111" s="8" t="s">
        <x:v>58</x:v>
      </x:c>
      <x:c r="AG1111" s="7" t="s">
        <x:v>58</x:v>
      </x:c>
    </x:row>
    <x:row r="1112" ht="66" hidden="0" customHeight="1">
      <x:c r="A1112" s="7" t="s">
        <x:v>4177</x:v>
      </x:c>
      <x:c r="B1112" s="7" t="s">
        <x:v>687</x:v>
      </x:c>
      <x:c r="C1112" s="7" t="s">
        <x:v>689</x:v>
      </x:c>
      <x:c r="D1112" s="7" t="s">
        <x:v>2030</x:v>
      </x:c>
      <x:c r="E1112" s="7" t="s">
        <x:v>3792</x:v>
      </x:c>
      <x:c r="F1112" s="7" t="s">
        <x:v>2032</x:v>
      </x:c>
      <x:c r="G1112" s="8" t="n">
        <x:v>17.2</x:v>
      </x:c>
      <x:c r="H1112" s="8" t="n">
        <x:v>1.4</x:v>
      </x:c>
      <x:c r="I1112" s="8" t="s">
        <x:v>58</x:v>
      </x:c>
      <x:c r="J1112" s="7" t="s">
        <x:v>1919</x:v>
      </x:c>
      <x:c r="K1112" s="8" t="n">
        <x:v>1</x:v>
      </x:c>
      <x:c r="L1112" s="8" t="n">
        <x:f aca="0">IF(AND(ISNUMBER(G1112),P1112&lt;&gt;"Unresolved unit / layout"),G1112*K1112,"Not applicable")</x:f>
        <x:v>17.2</x:v>
      </x:c>
      <x:c r="M1112" s="8" t="n">
        <x:f aca="0">IF(AND(ISNUMBER(H1112),P1112&lt;&gt;"Unresolved unit / layout"),H1112*K1112,"Not applicable")</x:f>
        <x:v>1.4</x:v>
      </x:c>
      <x:c r="N1112" s="8" t="str">
        <x:f aca="0">IF(AND(ISNUMBER(I1112),P1112&lt;&gt;"Unresolved unit / layout"),I1112*K1112,"Not applicable")</x:f>
        <x:v>Not applicable</x:v>
      </x:c>
      <x:c r="O1112" s="7" t="s">
        <x:v>2033</x:v>
      </x:c>
      <x:c r="P1112" s="7" t="s">
        <x:v>1921</x:v>
      </x:c>
      <x:c r="Q1112" s="7" t="s">
        <x:v>1930</x:v>
      </x:c>
      <x:c r="R1112" s="7" t="s">
        <x:v>53</x:v>
      </x:c>
      <x:c r="S1112" s="7" t="s">
        <x:v>3756</x:v>
      </x:c>
      <x:c r="T1112" s="7" t="s">
        <x:v>3741</x:v>
      </x:c>
      <x:c r="U1112" s="7" t="s">
        <x:v>53</x:v>
      </x:c>
      <x:c r="V1112" s="7" t="s">
        <x:v>2806</x:v>
      </x:c>
      <x:c r="W1112" s="7" t="s">
        <x:v>53</x:v>
      </x:c>
      <x:c r="X1112" s="7" t="s">
        <x:v>3742</x:v>
      </x:c>
      <x:c r="Y1112" s="7" t="s">
        <x:v>1264</x:v>
      </x:c>
      <x:c r="Z1112" s="7" t="s">
        <x:v>3793</x:v>
      </x:c>
      <x:c r="AA1112" s="7" t="s">
        <x:v>58</x:v>
      </x:c>
      <x:c r="AB1112" s="8" t="s">
        <x:v>58</x:v>
      </x:c>
      <x:c r="AC1112" s="8" t="s">
        <x:v>58</x:v>
      </x:c>
      <x:c r="AD1112" s="8" t="s">
        <x:v>58</x:v>
      </x:c>
      <x:c r="AE1112" s="8" t="s">
        <x:v>58</x:v>
      </x:c>
      <x:c r="AF1112" s="8" t="s">
        <x:v>58</x:v>
      </x:c>
      <x:c r="AG1112" s="7" t="s">
        <x:v>58</x:v>
      </x:c>
    </x:row>
    <x:row r="1113" ht="51.75" hidden="0" customHeight="1">
      <x:c r="A1113" s="7" t="s">
        <x:v>4178</x:v>
      </x:c>
      <x:c r="B1113" s="7" t="s">
        <x:v>687</x:v>
      </x:c>
      <x:c r="C1113" s="7" t="s">
        <x:v>1296</x:v>
      </x:c>
      <x:c r="D1113" s="7" t="s">
        <x:v>1916</x:v>
      </x:c>
      <x:c r="E1113" s="7" t="s">
        <x:v>3795</x:v>
      </x:c>
      <x:c r="F1113" s="7" t="s">
        <x:v>1918</x:v>
      </x:c>
      <x:c r="G1113" s="8" t="n">
        <x:v>1.12</x:v>
      </x:c>
      <x:c r="H1113" s="8" t="s">
        <x:v>58</x:v>
      </x:c>
      <x:c r="I1113" s="8" t="s">
        <x:v>58</x:v>
      </x:c>
      <x:c r="J1113" s="7" t="s">
        <x:v>1919</x:v>
      </x:c>
      <x:c r="K1113" s="8" t="n">
        <x:v>1000</x:v>
      </x:c>
      <x:c r="L1113" s="8" t="n">
        <x:f aca="0">IF(AND(ISNUMBER(G1113),P1113&lt;&gt;"Unresolved unit / layout"),G1113*K1113,"Not applicable")</x:f>
        <x:v>1120</x:v>
      </x:c>
      <x:c r="M1113" s="8" t="str">
        <x:f aca="0">IF(AND(ISNUMBER(H1113),P1113&lt;&gt;"Unresolved unit / layout"),H1113*K1113,"Not applicable")</x:f>
        <x:v>Not applicable</x:v>
      </x:c>
      <x:c r="N1113" s="8" t="str">
        <x:f aca="0">IF(AND(ISNUMBER(I1113),P1113&lt;&gt;"Unresolved unit / layout"),I1113*K1113,"Not applicable")</x:f>
        <x:v>Not applicable</x:v>
      </x:c>
      <x:c r="O1113" s="7" t="s">
        <x:v>1920</x:v>
      </x:c>
      <x:c r="P1113" s="7" t="s">
        <x:v>1921</x:v>
      </x:c>
      <x:c r="Q1113" s="7" t="s">
        <x:v>1922</x:v>
      </x:c>
      <x:c r="R1113" s="7" t="s">
        <x:v>58</x:v>
      </x:c>
      <x:c r="S1113" s="7" t="s">
        <x:v>53</x:v>
      </x:c>
      <x:c r="T1113" s="7" t="s">
        <x:v>53</x:v>
      </x:c>
      <x:c r="U1113" s="7" t="s">
        <x:v>53</x:v>
      </x:c>
      <x:c r="V1113" s="7" t="s">
        <x:v>1923</x:v>
      </x:c>
      <x:c r="W1113" s="7" t="s">
        <x:v>58</x:v>
      </x:c>
      <x:c r="X1113" s="7" t="s">
        <x:v>3796</x:v>
      </x:c>
      <x:c r="Y1113" s="7" t="s">
        <x:v>1267</x:v>
      </x:c>
      <x:c r="Z1113" s="7" t="s">
        <x:v>1925</x:v>
      </x:c>
      <x:c r="AA1113" s="7" t="s">
        <x:v>58</x:v>
      </x:c>
      <x:c r="AB1113" s="8" t="s">
        <x:v>58</x:v>
      </x:c>
      <x:c r="AC1113" s="8" t="s">
        <x:v>58</x:v>
      </x:c>
      <x:c r="AD1113" s="8" t="s">
        <x:v>58</x:v>
      </x:c>
      <x:c r="AE1113" s="8" t="s">
        <x:v>58</x:v>
      </x:c>
      <x:c r="AF1113" s="8" t="s">
        <x:v>58</x:v>
      </x:c>
      <x:c r="AG1113" s="7" t="s">
        <x:v>58</x:v>
      </x:c>
    </x:row>
    <x:row r="1114" ht="51.75" hidden="0" customHeight="1">
      <x:c r="A1114" s="7" t="s">
        <x:v>4179</x:v>
      </x:c>
      <x:c r="B1114" s="7" t="s">
        <x:v>687</x:v>
      </x:c>
      <x:c r="C1114" s="7" t="s">
        <x:v>1296</x:v>
      </x:c>
      <x:c r="D1114" s="7" t="s">
        <x:v>1927</x:v>
      </x:c>
      <x:c r="E1114" s="7" t="s">
        <x:v>1955</x:v>
      </x:c>
      <x:c r="F1114" s="7" t="s">
        <x:v>1929</x:v>
      </x:c>
      <x:c r="G1114" s="8" t="n">
        <x:v>55</x:v>
      </x:c>
      <x:c r="H1114" s="8" t="s">
        <x:v>58</x:v>
      </x:c>
      <x:c r="I1114" s="8" t="s">
        <x:v>58</x:v>
      </x:c>
      <x:c r="J1114" s="7" t="s">
        <x:v>1919</x:v>
      </x:c>
      <x:c r="K1114" s="8" t="n">
        <x:v>1</x:v>
      </x:c>
      <x:c r="L1114" s="8" t="n">
        <x:f aca="0">IF(AND(ISNUMBER(G1114),P1114&lt;&gt;"Unresolved unit / layout"),G1114*K1114,"Not applicable")</x:f>
        <x:v>55</x:v>
      </x:c>
      <x:c r="M1114" s="8" t="str">
        <x:f aca="0">IF(AND(ISNUMBER(H1114),P1114&lt;&gt;"Unresolved unit / layout"),H1114*K1114,"Not applicable")</x:f>
        <x:v>Not applicable</x:v>
      </x:c>
      <x:c r="N1114" s="8" t="str">
        <x:f aca="0">IF(AND(ISNUMBER(I1114),P1114&lt;&gt;"Unresolved unit / layout"),I1114*K1114,"Not applicable")</x:f>
        <x:v>Not applicable</x:v>
      </x:c>
      <x:c r="O1114" s="7" t="s">
        <x:v>1929</x:v>
      </x:c>
      <x:c r="P1114" s="7" t="s">
        <x:v>1921</x:v>
      </x:c>
      <x:c r="Q1114" s="7" t="s">
        <x:v>1930</x:v>
      </x:c>
      <x:c r="R1114" s="7" t="s">
        <x:v>1931</x:v>
      </x:c>
      <x:c r="S1114" s="7" t="s">
        <x:v>53</x:v>
      </x:c>
      <x:c r="T1114" s="7" t="s">
        <x:v>53</x:v>
      </x:c>
      <x:c r="U1114" s="7" t="s">
        <x:v>53</x:v>
      </x:c>
      <x:c r="V1114" s="7" t="s">
        <x:v>1932</x:v>
      </x:c>
      <x:c r="W1114" s="7" t="s">
        <x:v>58</x:v>
      </x:c>
      <x:c r="X1114" s="7" t="s">
        <x:v>3796</x:v>
      </x:c>
      <x:c r="Y1114" s="7" t="s">
        <x:v>1267</x:v>
      </x:c>
      <x:c r="Z1114" s="7" t="s">
        <x:v>1933</x:v>
      </x:c>
      <x:c r="AA1114" s="7" t="s">
        <x:v>58</x:v>
      </x:c>
      <x:c r="AB1114" s="8" t="s">
        <x:v>58</x:v>
      </x:c>
      <x:c r="AC1114" s="8" t="s">
        <x:v>58</x:v>
      </x:c>
      <x:c r="AD1114" s="8" t="s">
        <x:v>58</x:v>
      </x:c>
      <x:c r="AE1114" s="8" t="s">
        <x:v>58</x:v>
      </x:c>
      <x:c r="AF1114" s="8" t="s">
        <x:v>58</x:v>
      </x:c>
      <x:c r="AG1114" s="7" t="s">
        <x:v>58</x:v>
      </x:c>
    </x:row>
    <x:row r="1115" ht="51.75" hidden="0" customHeight="1">
      <x:c r="A1115" s="7" t="s">
        <x:v>4180</x:v>
      </x:c>
      <x:c r="B1115" s="7" t="s">
        <x:v>687</x:v>
      </x:c>
      <x:c r="C1115" s="7" t="s">
        <x:v>1296</x:v>
      </x:c>
      <x:c r="D1115" s="7" t="s">
        <x:v>1935</x:v>
      </x:c>
      <x:c r="E1115" s="7" t="s">
        <x:v>3799</x:v>
      </x:c>
      <x:c r="F1115" s="7" t="s">
        <x:v>1929</x:v>
      </x:c>
      <x:c r="G1115" s="8" t="n">
        <x:v>1980</x:v>
      </x:c>
      <x:c r="H1115" s="8" t="s">
        <x:v>58</x:v>
      </x:c>
      <x:c r="I1115" s="8" t="s">
        <x:v>58</x:v>
      </x:c>
      <x:c r="J1115" s="7" t="s">
        <x:v>1919</x:v>
      </x:c>
      <x:c r="K1115" s="8" t="n">
        <x:v>0.001</x:v>
      </x:c>
      <x:c r="L1115" s="8" t="n">
        <x:f aca="0">IF(AND(ISNUMBER(G1115),P1115&lt;&gt;"Unresolved unit / layout"),G1115*K1115,"Not applicable")</x:f>
        <x:v>1.98</x:v>
      </x:c>
      <x:c r="M1115" s="8" t="str">
        <x:f aca="0">IF(AND(ISNUMBER(H1115),P1115&lt;&gt;"Unresolved unit / layout"),H1115*K1115,"Not applicable")</x:f>
        <x:v>Not applicable</x:v>
      </x:c>
      <x:c r="N1115" s="8" t="str">
        <x:f aca="0">IF(AND(ISNUMBER(I1115),P1115&lt;&gt;"Unresolved unit / layout"),I1115*K1115,"Not applicable")</x:f>
        <x:v>Not applicable</x:v>
      </x:c>
      <x:c r="O1115" s="7" t="s">
        <x:v>1937</x:v>
      </x:c>
      <x:c r="P1115" s="7" t="s">
        <x:v>1921</x:v>
      </x:c>
      <x:c r="Q1115" s="7" t="s">
        <x:v>1930</x:v>
      </x:c>
      <x:c r="R1115" s="7" t="s">
        <x:v>1931</x:v>
      </x:c>
      <x:c r="S1115" s="7" t="s">
        <x:v>53</x:v>
      </x:c>
      <x:c r="T1115" s="7" t="s">
        <x:v>53</x:v>
      </x:c>
      <x:c r="U1115" s="7" t="s">
        <x:v>53</x:v>
      </x:c>
      <x:c r="V1115" s="7" t="s">
        <x:v>1932</x:v>
      </x:c>
      <x:c r="W1115" s="7" t="s">
        <x:v>58</x:v>
      </x:c>
      <x:c r="X1115" s="7" t="s">
        <x:v>3796</x:v>
      </x:c>
      <x:c r="Y1115" s="7" t="s">
        <x:v>1267</x:v>
      </x:c>
      <x:c r="Z1115" s="7" t="s">
        <x:v>1938</x:v>
      </x:c>
      <x:c r="AA1115" s="7" t="s">
        <x:v>58</x:v>
      </x:c>
      <x:c r="AB1115" s="8" t="s">
        <x:v>58</x:v>
      </x:c>
      <x:c r="AC1115" s="8" t="s">
        <x:v>58</x:v>
      </x:c>
      <x:c r="AD1115" s="8" t="s">
        <x:v>58</x:v>
      </x:c>
      <x:c r="AE1115" s="8" t="s">
        <x:v>58</x:v>
      </x:c>
      <x:c r="AF1115" s="8" t="s">
        <x:v>58</x:v>
      </x:c>
      <x:c r="AG1115" s="7" t="s">
        <x:v>58</x:v>
      </x:c>
    </x:row>
    <x:row r="1116" ht="51.75" hidden="0" customHeight="1">
      <x:c r="A1116" s="7" t="s">
        <x:v>4181</x:v>
      </x:c>
      <x:c r="B1116" s="7" t="s">
        <x:v>687</x:v>
      </x:c>
      <x:c r="C1116" s="7" t="s">
        <x:v>1296</x:v>
      </x:c>
      <x:c r="D1116" s="7" t="s">
        <x:v>1940</x:v>
      </x:c>
      <x:c r="E1116" s="7" t="s">
        <x:v>3801</x:v>
      </x:c>
      <x:c r="F1116" s="7" t="s">
        <x:v>1942</x:v>
      </x:c>
      <x:c r="G1116" s="8" t="n">
        <x:v>100</x:v>
      </x:c>
      <x:c r="H1116" s="8" t="s">
        <x:v>58</x:v>
      </x:c>
      <x:c r="I1116" s="8" t="s">
        <x:v>58</x:v>
      </x:c>
      <x:c r="J1116" s="7" t="s">
        <x:v>1919</x:v>
      </x:c>
      <x:c r="K1116" s="8" t="n">
        <x:v>1</x:v>
      </x:c>
      <x:c r="L1116" s="8" t="n">
        <x:f aca="0">IF(AND(ISNUMBER(G1116),P1116&lt;&gt;"Unresolved unit / layout"),G1116*K1116,"Not applicable")</x:f>
        <x:v>100</x:v>
      </x:c>
      <x:c r="M1116" s="8" t="str">
        <x:f aca="0">IF(AND(ISNUMBER(H1116),P1116&lt;&gt;"Unresolved unit / layout"),H1116*K1116,"Not applicable")</x:f>
        <x:v>Not applicable</x:v>
      </x:c>
      <x:c r="N1116" s="8" t="str">
        <x:f aca="0">IF(AND(ISNUMBER(I1116),P1116&lt;&gt;"Unresolved unit / layout"),I1116*K1116,"Not applicable")</x:f>
        <x:v>Not applicable</x:v>
      </x:c>
      <x:c r="O1116" s="7" t="s">
        <x:v>1942</x:v>
      </x:c>
      <x:c r="P1116" s="7" t="s">
        <x:v>1921</x:v>
      </x:c>
      <x:c r="Q1116" s="7" t="s">
        <x:v>1930</x:v>
      </x:c>
      <x:c r="R1116" s="7" t="s">
        <x:v>1931</x:v>
      </x:c>
      <x:c r="S1116" s="7" t="s">
        <x:v>53</x:v>
      </x:c>
      <x:c r="T1116" s="7" t="s">
        <x:v>53</x:v>
      </x:c>
      <x:c r="U1116" s="7" t="s">
        <x:v>53</x:v>
      </x:c>
      <x:c r="V1116" s="7" t="s">
        <x:v>1932</x:v>
      </x:c>
      <x:c r="W1116" s="7" t="s">
        <x:v>58</x:v>
      </x:c>
      <x:c r="X1116" s="7" t="s">
        <x:v>3796</x:v>
      </x:c>
      <x:c r="Y1116" s="7" t="s">
        <x:v>1267</x:v>
      </x:c>
      <x:c r="Z1116" s="7" t="s">
        <x:v>1943</x:v>
      </x:c>
      <x:c r="AA1116" s="7" t="s">
        <x:v>58</x:v>
      </x:c>
      <x:c r="AB1116" s="8" t="s">
        <x:v>58</x:v>
      </x:c>
      <x:c r="AC1116" s="8" t="s">
        <x:v>58</x:v>
      </x:c>
      <x:c r="AD1116" s="8" t="s">
        <x:v>58</x:v>
      </x:c>
      <x:c r="AE1116" s="8" t="s">
        <x:v>58</x:v>
      </x:c>
      <x:c r="AF1116" s="8" t="s">
        <x:v>58</x:v>
      </x:c>
      <x:c r="AG1116" s="7" t="s">
        <x:v>58</x:v>
      </x:c>
    </x:row>
    <x:row r="1117" ht="51.75" hidden="0" customHeight="1">
      <x:c r="A1117" s="7" t="s">
        <x:v>4182</x:v>
      </x:c>
      <x:c r="B1117" s="7" t="s">
        <x:v>687</x:v>
      </x:c>
      <x:c r="C1117" s="7" t="s">
        <x:v>1296</x:v>
      </x:c>
      <x:c r="D1117" s="7" t="s">
        <x:v>1945</x:v>
      </x:c>
      <x:c r="E1117" s="7" t="s">
        <x:v>3186</x:v>
      </x:c>
      <x:c r="F1117" s="7" t="s">
        <x:v>1929</x:v>
      </x:c>
      <x:c r="G1117" s="8" t="n">
        <x:v>76</x:v>
      </x:c>
      <x:c r="H1117" s="8" t="s">
        <x:v>58</x:v>
      </x:c>
      <x:c r="I1117" s="8" t="s">
        <x:v>58</x:v>
      </x:c>
      <x:c r="J1117" s="7" t="s">
        <x:v>1919</x:v>
      </x:c>
      <x:c r="K1117" s="8" t="n">
        <x:v>1</x:v>
      </x:c>
      <x:c r="L1117" s="8" t="n">
        <x:f aca="0">IF(AND(ISNUMBER(G1117),P1117&lt;&gt;"Unresolved unit / layout"),G1117*K1117,"Not applicable")</x:f>
        <x:v>76</x:v>
      </x:c>
      <x:c r="M1117" s="8" t="str">
        <x:f aca="0">IF(AND(ISNUMBER(H1117),P1117&lt;&gt;"Unresolved unit / layout"),H1117*K1117,"Not applicable")</x:f>
        <x:v>Not applicable</x:v>
      </x:c>
      <x:c r="N1117" s="8" t="str">
        <x:f aca="0">IF(AND(ISNUMBER(I1117),P1117&lt;&gt;"Unresolved unit / layout"),I1117*K1117,"Not applicable")</x:f>
        <x:v>Not applicable</x:v>
      </x:c>
      <x:c r="O1117" s="7" t="s">
        <x:v>1929</x:v>
      </x:c>
      <x:c r="P1117" s="7" t="s">
        <x:v>1921</x:v>
      </x:c>
      <x:c r="Q1117" s="7" t="s">
        <x:v>1930</x:v>
      </x:c>
      <x:c r="R1117" s="7" t="s">
        <x:v>1931</x:v>
      </x:c>
      <x:c r="S1117" s="7" t="s">
        <x:v>53</x:v>
      </x:c>
      <x:c r="T1117" s="7" t="s">
        <x:v>53</x:v>
      </x:c>
      <x:c r="U1117" s="7" t="s">
        <x:v>53</x:v>
      </x:c>
      <x:c r="V1117" s="7" t="s">
        <x:v>1947</x:v>
      </x:c>
      <x:c r="W1117" s="7" t="s">
        <x:v>58</x:v>
      </x:c>
      <x:c r="X1117" s="7" t="s">
        <x:v>3796</x:v>
      </x:c>
      <x:c r="Y1117" s="7" t="s">
        <x:v>1267</x:v>
      </x:c>
      <x:c r="Z1117" s="7" t="s">
        <x:v>1948</x:v>
      </x:c>
      <x:c r="AA1117" s="7" t="s">
        <x:v>58</x:v>
      </x:c>
      <x:c r="AB1117" s="8" t="s">
        <x:v>58</x:v>
      </x:c>
      <x:c r="AC1117" s="8" t="s">
        <x:v>58</x:v>
      </x:c>
      <x:c r="AD1117" s="8" t="s">
        <x:v>58</x:v>
      </x:c>
      <x:c r="AE1117" s="8" t="s">
        <x:v>58</x:v>
      </x:c>
      <x:c r="AF1117" s="8" t="s">
        <x:v>58</x:v>
      </x:c>
      <x:c r="AG1117" s="7" t="s">
        <x:v>58</x:v>
      </x:c>
    </x:row>
    <x:row r="1118" ht="51.75" hidden="0" customHeight="1">
      <x:c r="A1118" s="7" t="s">
        <x:v>4183</x:v>
      </x:c>
      <x:c r="B1118" s="7" t="s">
        <x:v>687</x:v>
      </x:c>
      <x:c r="C1118" s="7" t="s">
        <x:v>1296</x:v>
      </x:c>
      <x:c r="D1118" s="7" t="s">
        <x:v>1950</x:v>
      </x:c>
      <x:c r="E1118" s="7" t="s">
        <x:v>3804</x:v>
      </x:c>
      <x:c r="F1118" s="7" t="s">
        <x:v>1929</x:v>
      </x:c>
      <x:c r="G1118" s="8" t="n">
        <x:v>2050</x:v>
      </x:c>
      <x:c r="H1118" s="8" t="s">
        <x:v>58</x:v>
      </x:c>
      <x:c r="I1118" s="8" t="s">
        <x:v>58</x:v>
      </x:c>
      <x:c r="J1118" s="7" t="s">
        <x:v>1919</x:v>
      </x:c>
      <x:c r="K1118" s="8" t="n">
        <x:v>0.001</x:v>
      </x:c>
      <x:c r="L1118" s="8" t="n">
        <x:f aca="0">IF(AND(ISNUMBER(G1118),P1118&lt;&gt;"Unresolved unit / layout"),G1118*K1118,"Not applicable")</x:f>
        <x:v>2.05</x:v>
      </x:c>
      <x:c r="M1118" s="8" t="str">
        <x:f aca="0">IF(AND(ISNUMBER(H1118),P1118&lt;&gt;"Unresolved unit / layout"),H1118*K1118,"Not applicable")</x:f>
        <x:v>Not applicable</x:v>
      </x:c>
      <x:c r="N1118" s="8" t="str">
        <x:f aca="0">IF(AND(ISNUMBER(I1118),P1118&lt;&gt;"Unresolved unit / layout"),I1118*K1118,"Not applicable")</x:f>
        <x:v>Not applicable</x:v>
      </x:c>
      <x:c r="O1118" s="7" t="s">
        <x:v>1937</x:v>
      </x:c>
      <x:c r="P1118" s="7" t="s">
        <x:v>1921</x:v>
      </x:c>
      <x:c r="Q1118" s="7" t="s">
        <x:v>1930</x:v>
      </x:c>
      <x:c r="R1118" s="7" t="s">
        <x:v>1931</x:v>
      </x:c>
      <x:c r="S1118" s="7" t="s">
        <x:v>53</x:v>
      </x:c>
      <x:c r="T1118" s="7" t="s">
        <x:v>53</x:v>
      </x:c>
      <x:c r="U1118" s="7" t="s">
        <x:v>53</x:v>
      </x:c>
      <x:c r="V1118" s="7" t="s">
        <x:v>1947</x:v>
      </x:c>
      <x:c r="W1118" s="7" t="s">
        <x:v>58</x:v>
      </x:c>
      <x:c r="X1118" s="7" t="s">
        <x:v>3796</x:v>
      </x:c>
      <x:c r="Y1118" s="7" t="s">
        <x:v>1267</x:v>
      </x:c>
      <x:c r="Z1118" s="7" t="s">
        <x:v>1952</x:v>
      </x:c>
      <x:c r="AA1118" s="7" t="s">
        <x:v>58</x:v>
      </x:c>
      <x:c r="AB1118" s="8" t="s">
        <x:v>58</x:v>
      </x:c>
      <x:c r="AC1118" s="8" t="s">
        <x:v>58</x:v>
      </x:c>
      <x:c r="AD1118" s="8" t="s">
        <x:v>58</x:v>
      </x:c>
      <x:c r="AE1118" s="8" t="s">
        <x:v>58</x:v>
      </x:c>
      <x:c r="AF1118" s="8" t="s">
        <x:v>58</x:v>
      </x:c>
      <x:c r="AG1118" s="7" t="s">
        <x:v>58</x:v>
      </x:c>
    </x:row>
    <x:row r="1119" ht="51.75" hidden="0" customHeight="1">
      <x:c r="A1119" s="7" t="s">
        <x:v>4184</x:v>
      </x:c>
      <x:c r="B1119" s="7" t="s">
        <x:v>687</x:v>
      </x:c>
      <x:c r="C1119" s="7" t="s">
        <x:v>1296</x:v>
      </x:c>
      <x:c r="D1119" s="7" t="s">
        <x:v>1954</x:v>
      </x:c>
      <x:c r="E1119" s="7" t="s">
        <x:v>3186</x:v>
      </x:c>
      <x:c r="F1119" s="7" t="s">
        <x:v>1956</x:v>
      </x:c>
      <x:c r="G1119" s="8" t="n">
        <x:v>76</x:v>
      </x:c>
      <x:c r="H1119" s="8" t="s">
        <x:v>58</x:v>
      </x:c>
      <x:c r="I1119" s="8" t="s">
        <x:v>58</x:v>
      </x:c>
      <x:c r="J1119" s="7" t="s">
        <x:v>1919</x:v>
      </x:c>
      <x:c r="K1119" s="8" t="n">
        <x:v>1</x:v>
      </x:c>
      <x:c r="L1119" s="8" t="n">
        <x:f aca="0">IF(AND(ISNUMBER(G1119),P1119&lt;&gt;"Unresolved unit / layout"),G1119*K1119,"Not applicable")</x:f>
        <x:v>76</x:v>
      </x:c>
      <x:c r="M1119" s="8" t="str">
        <x:f aca="0">IF(AND(ISNUMBER(H1119),P1119&lt;&gt;"Unresolved unit / layout"),H1119*K1119,"Not applicable")</x:f>
        <x:v>Not applicable</x:v>
      </x:c>
      <x:c r="N1119" s="8" t="str">
        <x:f aca="0">IF(AND(ISNUMBER(I1119),P1119&lt;&gt;"Unresolved unit / layout"),I1119*K1119,"Not applicable")</x:f>
        <x:v>Not applicable</x:v>
      </x:c>
      <x:c r="O1119" s="7" t="s">
        <x:v>1956</x:v>
      </x:c>
      <x:c r="P1119" s="7" t="s">
        <x:v>1921</x:v>
      </x:c>
      <x:c r="Q1119" s="7" t="s">
        <x:v>1930</x:v>
      </x:c>
      <x:c r="R1119" s="7" t="s">
        <x:v>58</x:v>
      </x:c>
      <x:c r="S1119" s="7" t="s">
        <x:v>53</x:v>
      </x:c>
      <x:c r="T1119" s="7" t="s">
        <x:v>53</x:v>
      </x:c>
      <x:c r="U1119" s="7" t="s">
        <x:v>53</x:v>
      </x:c>
      <x:c r="V1119" s="7" t="s">
        <x:v>1957</x:v>
      </x:c>
      <x:c r="W1119" s="7" t="s">
        <x:v>58</x:v>
      </x:c>
      <x:c r="X1119" s="7" t="s">
        <x:v>3796</x:v>
      </x:c>
      <x:c r="Y1119" s="7" t="s">
        <x:v>1267</x:v>
      </x:c>
      <x:c r="Z1119" s="7" t="s">
        <x:v>3215</x:v>
      </x:c>
      <x:c r="AA1119" s="7" t="s">
        <x:v>58</x:v>
      </x:c>
      <x:c r="AB1119" s="8" t="s">
        <x:v>58</x:v>
      </x:c>
      <x:c r="AC1119" s="8" t="s">
        <x:v>58</x:v>
      </x:c>
      <x:c r="AD1119" s="8" t="s">
        <x:v>58</x:v>
      </x:c>
      <x:c r="AE1119" s="8" t="s">
        <x:v>58</x:v>
      </x:c>
      <x:c r="AF1119" s="8" t="s">
        <x:v>58</x:v>
      </x:c>
      <x:c r="AG1119" s="7" t="s">
        <x:v>58</x:v>
      </x:c>
    </x:row>
    <x:row r="1120" ht="51.75" hidden="0" customHeight="1">
      <x:c r="A1120" s="7" t="s">
        <x:v>4185</x:v>
      </x:c>
      <x:c r="B1120" s="7" t="s">
        <x:v>687</x:v>
      </x:c>
      <x:c r="C1120" s="7" t="s">
        <x:v>1296</x:v>
      </x:c>
      <x:c r="D1120" s="7" t="s">
        <x:v>1959</x:v>
      </x:c>
      <x:c r="E1120" s="7" t="s">
        <x:v>3807</x:v>
      </x:c>
      <x:c r="F1120" s="7" t="s">
        <x:v>1956</x:v>
      </x:c>
      <x:c r="G1120" s="8" t="n">
        <x:v>140</x:v>
      </x:c>
      <x:c r="H1120" s="8" t="s">
        <x:v>58</x:v>
      </x:c>
      <x:c r="I1120" s="8" t="s">
        <x:v>58</x:v>
      </x:c>
      <x:c r="J1120" s="7" t="s">
        <x:v>1919</x:v>
      </x:c>
      <x:c r="K1120" s="8" t="n">
        <x:v>1</x:v>
      </x:c>
      <x:c r="L1120" s="8" t="n">
        <x:f aca="0">IF(AND(ISNUMBER(G1120),P1120&lt;&gt;"Unresolved unit / layout"),G1120*K1120,"Not applicable")</x:f>
        <x:v>140</x:v>
      </x:c>
      <x:c r="M1120" s="8" t="str">
        <x:f aca="0">IF(AND(ISNUMBER(H1120),P1120&lt;&gt;"Unresolved unit / layout"),H1120*K1120,"Not applicable")</x:f>
        <x:v>Not applicable</x:v>
      </x:c>
      <x:c r="N1120" s="8" t="str">
        <x:f aca="0">IF(AND(ISNUMBER(I1120),P1120&lt;&gt;"Unresolved unit / layout"),I1120*K1120,"Not applicable")</x:f>
        <x:v>Not applicable</x:v>
      </x:c>
      <x:c r="O1120" s="7" t="s">
        <x:v>1956</x:v>
      </x:c>
      <x:c r="P1120" s="7" t="s">
        <x:v>1921</x:v>
      </x:c>
      <x:c r="Q1120" s="7" t="s">
        <x:v>1930</x:v>
      </x:c>
      <x:c r="R1120" s="7" t="s">
        <x:v>58</x:v>
      </x:c>
      <x:c r="S1120" s="7" t="s">
        <x:v>53</x:v>
      </x:c>
      <x:c r="T1120" s="7" t="s">
        <x:v>53</x:v>
      </x:c>
      <x:c r="U1120" s="7" t="s">
        <x:v>53</x:v>
      </x:c>
      <x:c r="V1120" s="7" t="s">
        <x:v>1961</x:v>
      </x:c>
      <x:c r="W1120" s="7" t="s">
        <x:v>58</x:v>
      </x:c>
      <x:c r="X1120" s="7" t="s">
        <x:v>3796</x:v>
      </x:c>
      <x:c r="Y1120" s="7" t="s">
        <x:v>1267</x:v>
      </x:c>
      <x:c r="Z1120" s="7" t="s">
        <x:v>1962</x:v>
      </x:c>
      <x:c r="AA1120" s="7" t="s">
        <x:v>58</x:v>
      </x:c>
      <x:c r="AB1120" s="8" t="s">
        <x:v>58</x:v>
      </x:c>
      <x:c r="AC1120" s="8" t="s">
        <x:v>58</x:v>
      </x:c>
      <x:c r="AD1120" s="8" t="s">
        <x:v>58</x:v>
      </x:c>
      <x:c r="AE1120" s="8" t="s">
        <x:v>58</x:v>
      </x:c>
      <x:c r="AF1120" s="8" t="s">
        <x:v>58</x:v>
      </x:c>
      <x:c r="AG1120" s="7" t="s">
        <x:v>58</x:v>
      </x:c>
    </x:row>
    <x:row r="1121" ht="51.75" hidden="0" customHeight="1">
      <x:c r="A1121" s="7" t="s">
        <x:v>4186</x:v>
      </x:c>
      <x:c r="B1121" s="7" t="s">
        <x:v>697</x:v>
      </x:c>
      <x:c r="C1121" s="7" t="s">
        <x:v>699</x:v>
      </x:c>
      <x:c r="D1121" s="7" t="s">
        <x:v>1916</x:v>
      </x:c>
      <x:c r="E1121" s="7" t="s">
        <x:v>3947</x:v>
      </x:c>
      <x:c r="F1121" s="7" t="s">
        <x:v>1918</x:v>
      </x:c>
      <x:c r="G1121" s="8" t="n">
        <x:v>1.16</x:v>
      </x:c>
      <x:c r="H1121" s="8" t="s">
        <x:v>58</x:v>
      </x:c>
      <x:c r="I1121" s="8" t="s">
        <x:v>58</x:v>
      </x:c>
      <x:c r="J1121" s="7" t="s">
        <x:v>1919</x:v>
      </x:c>
      <x:c r="K1121" s="8" t="n">
        <x:v>1000</x:v>
      </x:c>
      <x:c r="L1121" s="8" t="n">
        <x:f aca="0">IF(AND(ISNUMBER(G1121),P1121&lt;&gt;"Unresolved unit / layout"),G1121*K1121,"Not applicable")</x:f>
        <x:v>1160</x:v>
      </x:c>
      <x:c r="M1121" s="8" t="str">
        <x:f aca="0">IF(AND(ISNUMBER(H1121),P1121&lt;&gt;"Unresolved unit / layout"),H1121*K1121,"Not applicable")</x:f>
        <x:v>Not applicable</x:v>
      </x:c>
      <x:c r="N1121" s="8" t="str">
        <x:f aca="0">IF(AND(ISNUMBER(I1121),P1121&lt;&gt;"Unresolved unit / layout"),I1121*K1121,"Not applicable")</x:f>
        <x:v>Not applicable</x:v>
      </x:c>
      <x:c r="O1121" s="7" t="s">
        <x:v>1920</x:v>
      </x:c>
      <x:c r="P1121" s="7" t="s">
        <x:v>1921</x:v>
      </x:c>
      <x:c r="Q1121" s="7" t="s">
        <x:v>1922</x:v>
      </x:c>
      <x:c r="R1121" s="7" t="s">
        <x:v>58</x:v>
      </x:c>
      <x:c r="S1121" s="7" t="s">
        <x:v>53</x:v>
      </x:c>
      <x:c r="T1121" s="7" t="s">
        <x:v>53</x:v>
      </x:c>
      <x:c r="U1121" s="7" t="s">
        <x:v>53</x:v>
      </x:c>
      <x:c r="V1121" s="7" t="s">
        <x:v>1923</x:v>
      </x:c>
      <x:c r="W1121" s="7" t="s">
        <x:v>58</x:v>
      </x:c>
      <x:c r="X1121" s="7" t="s">
        <x:v>3948</x:v>
      </x:c>
      <x:c r="Y1121" s="7" t="s">
        <x:v>1282</x:v>
      </x:c>
      <x:c r="Z1121" s="7" t="s">
        <x:v>1925</x:v>
      </x:c>
      <x:c r="AA1121" s="7" t="s">
        <x:v>58</x:v>
      </x:c>
      <x:c r="AB1121" s="8" t="s">
        <x:v>58</x:v>
      </x:c>
      <x:c r="AC1121" s="8" t="s">
        <x:v>58</x:v>
      </x:c>
      <x:c r="AD1121" s="8" t="s">
        <x:v>58</x:v>
      </x:c>
      <x:c r="AE1121" s="8" t="s">
        <x:v>58</x:v>
      </x:c>
      <x:c r="AF1121" s="8" t="s">
        <x:v>58</x:v>
      </x:c>
      <x:c r="AG1121" s="7" t="s">
        <x:v>58</x:v>
      </x:c>
    </x:row>
    <x:row r="1122" ht="51.75" hidden="0" customHeight="1">
      <x:c r="A1122" s="7" t="s">
        <x:v>4187</x:v>
      </x:c>
      <x:c r="B1122" s="7" t="s">
        <x:v>697</x:v>
      </x:c>
      <x:c r="C1122" s="7" t="s">
        <x:v>699</x:v>
      </x:c>
      <x:c r="D1122" s="7" t="s">
        <x:v>1927</x:v>
      </x:c>
      <x:c r="E1122" s="7" t="s">
        <x:v>3950</x:v>
      </x:c>
      <x:c r="F1122" s="7" t="s">
        <x:v>1929</x:v>
      </x:c>
      <x:c r="G1122" s="8" t="n">
        <x:v>72</x:v>
      </x:c>
      <x:c r="H1122" s="8" t="s">
        <x:v>58</x:v>
      </x:c>
      <x:c r="I1122" s="8" t="s">
        <x:v>58</x:v>
      </x:c>
      <x:c r="J1122" s="7" t="s">
        <x:v>1919</x:v>
      </x:c>
      <x:c r="K1122" s="8" t="n">
        <x:v>1</x:v>
      </x:c>
      <x:c r="L1122" s="8" t="n">
        <x:f aca="0">IF(AND(ISNUMBER(G1122),P1122&lt;&gt;"Unresolved unit / layout"),G1122*K1122,"Not applicable")</x:f>
        <x:v>72</x:v>
      </x:c>
      <x:c r="M1122" s="8" t="str">
        <x:f aca="0">IF(AND(ISNUMBER(H1122),P1122&lt;&gt;"Unresolved unit / layout"),H1122*K1122,"Not applicable")</x:f>
        <x:v>Not applicable</x:v>
      </x:c>
      <x:c r="N1122" s="8" t="str">
        <x:f aca="0">IF(AND(ISNUMBER(I1122),P1122&lt;&gt;"Unresolved unit / layout"),I1122*K1122,"Not applicable")</x:f>
        <x:v>Not applicable</x:v>
      </x:c>
      <x:c r="O1122" s="7" t="s">
        <x:v>1929</x:v>
      </x:c>
      <x:c r="P1122" s="7" t="s">
        <x:v>1921</x:v>
      </x:c>
      <x:c r="Q1122" s="7" t="s">
        <x:v>1930</x:v>
      </x:c>
      <x:c r="R1122" s="7" t="s">
        <x:v>1931</x:v>
      </x:c>
      <x:c r="S1122" s="7" t="s">
        <x:v>53</x:v>
      </x:c>
      <x:c r="T1122" s="7" t="s">
        <x:v>53</x:v>
      </x:c>
      <x:c r="U1122" s="7" t="s">
        <x:v>53</x:v>
      </x:c>
      <x:c r="V1122" s="7" t="s">
        <x:v>1932</x:v>
      </x:c>
      <x:c r="W1122" s="7" t="s">
        <x:v>58</x:v>
      </x:c>
      <x:c r="X1122" s="7" t="s">
        <x:v>3948</x:v>
      </x:c>
      <x:c r="Y1122" s="7" t="s">
        <x:v>1282</x:v>
      </x:c>
      <x:c r="Z1122" s="7" t="s">
        <x:v>1933</x:v>
      </x:c>
      <x:c r="AA1122" s="7" t="s">
        <x:v>58</x:v>
      </x:c>
      <x:c r="AB1122" s="8" t="s">
        <x:v>58</x:v>
      </x:c>
      <x:c r="AC1122" s="8" t="s">
        <x:v>58</x:v>
      </x:c>
      <x:c r="AD1122" s="8" t="s">
        <x:v>58</x:v>
      </x:c>
      <x:c r="AE1122" s="8" t="s">
        <x:v>58</x:v>
      </x:c>
      <x:c r="AF1122" s="8" t="s">
        <x:v>58</x:v>
      </x:c>
      <x:c r="AG1122" s="7" t="s">
        <x:v>58</x:v>
      </x:c>
    </x:row>
    <x:row r="1123" ht="51.75" hidden="0" customHeight="1">
      <x:c r="A1123" s="7" t="s">
        <x:v>4188</x:v>
      </x:c>
      <x:c r="B1123" s="7" t="s">
        <x:v>697</x:v>
      </x:c>
      <x:c r="C1123" s="7" t="s">
        <x:v>699</x:v>
      </x:c>
      <x:c r="D1123" s="7" t="s">
        <x:v>1935</x:v>
      </x:c>
      <x:c r="E1123" s="7" t="s">
        <x:v>3952</x:v>
      </x:c>
      <x:c r="F1123" s="7" t="s">
        <x:v>1929</x:v>
      </x:c>
      <x:c r="G1123" s="8" t="n">
        <x:v>8000</x:v>
      </x:c>
      <x:c r="H1123" s="8" t="s">
        <x:v>58</x:v>
      </x:c>
      <x:c r="I1123" s="8" t="s">
        <x:v>58</x:v>
      </x:c>
      <x:c r="J1123" s="7" t="s">
        <x:v>1919</x:v>
      </x:c>
      <x:c r="K1123" s="8" t="n">
        <x:v>0.001</x:v>
      </x:c>
      <x:c r="L1123" s="8" t="n">
        <x:f aca="0">IF(AND(ISNUMBER(G1123),P1123&lt;&gt;"Unresolved unit / layout"),G1123*K1123,"Not applicable")</x:f>
        <x:v>8</x:v>
      </x:c>
      <x:c r="M1123" s="8" t="str">
        <x:f aca="0">IF(AND(ISNUMBER(H1123),P1123&lt;&gt;"Unresolved unit / layout"),H1123*K1123,"Not applicable")</x:f>
        <x:v>Not applicable</x:v>
      </x:c>
      <x:c r="N1123" s="8" t="str">
        <x:f aca="0">IF(AND(ISNUMBER(I1123),P1123&lt;&gt;"Unresolved unit / layout"),I1123*K1123,"Not applicable")</x:f>
        <x:v>Not applicable</x:v>
      </x:c>
      <x:c r="O1123" s="7" t="s">
        <x:v>1937</x:v>
      </x:c>
      <x:c r="P1123" s="7" t="s">
        <x:v>1921</x:v>
      </x:c>
      <x:c r="Q1123" s="7" t="s">
        <x:v>1930</x:v>
      </x:c>
      <x:c r="R1123" s="7" t="s">
        <x:v>1931</x:v>
      </x:c>
      <x:c r="S1123" s="7" t="s">
        <x:v>53</x:v>
      </x:c>
      <x:c r="T1123" s="7" t="s">
        <x:v>53</x:v>
      </x:c>
      <x:c r="U1123" s="7" t="s">
        <x:v>53</x:v>
      </x:c>
      <x:c r="V1123" s="7" t="s">
        <x:v>1932</x:v>
      </x:c>
      <x:c r="W1123" s="7" t="s">
        <x:v>58</x:v>
      </x:c>
      <x:c r="X1123" s="7" t="s">
        <x:v>3948</x:v>
      </x:c>
      <x:c r="Y1123" s="7" t="s">
        <x:v>1282</x:v>
      </x:c>
      <x:c r="Z1123" s="7" t="s">
        <x:v>1938</x:v>
      </x:c>
      <x:c r="AA1123" s="7" t="s">
        <x:v>58</x:v>
      </x:c>
      <x:c r="AB1123" s="8" t="s">
        <x:v>58</x:v>
      </x:c>
      <x:c r="AC1123" s="8" t="s">
        <x:v>58</x:v>
      </x:c>
      <x:c r="AD1123" s="8" t="s">
        <x:v>58</x:v>
      </x:c>
      <x:c r="AE1123" s="8" t="s">
        <x:v>58</x:v>
      </x:c>
      <x:c r="AF1123" s="8" t="s">
        <x:v>58</x:v>
      </x:c>
      <x:c r="AG1123" s="7" t="s">
        <x:v>58</x:v>
      </x:c>
    </x:row>
    <x:row r="1124" ht="51.75" hidden="0" customHeight="1">
      <x:c r="A1124" s="7" t="s">
        <x:v>4189</x:v>
      </x:c>
      <x:c r="B1124" s="7" t="s">
        <x:v>697</x:v>
      </x:c>
      <x:c r="C1124" s="7" t="s">
        <x:v>699</x:v>
      </x:c>
      <x:c r="D1124" s="7" t="s">
        <x:v>1940</x:v>
      </x:c>
      <x:c r="E1124" s="7" t="s">
        <x:v>3954</x:v>
      </x:c>
      <x:c r="F1124" s="7" t="s">
        <x:v>1942</x:v>
      </x:c>
      <x:c r="G1124" s="8" t="n">
        <x:v>2.1</x:v>
      </x:c>
      <x:c r="H1124" s="8" t="s">
        <x:v>58</x:v>
      </x:c>
      <x:c r="I1124" s="8" t="s">
        <x:v>58</x:v>
      </x:c>
      <x:c r="J1124" s="7" t="s">
        <x:v>1919</x:v>
      </x:c>
      <x:c r="K1124" s="8" t="n">
        <x:v>1</x:v>
      </x:c>
      <x:c r="L1124" s="8" t="n">
        <x:f aca="0">IF(AND(ISNUMBER(G1124),P1124&lt;&gt;"Unresolved unit / layout"),G1124*K1124,"Not applicable")</x:f>
        <x:v>2.1</x:v>
      </x:c>
      <x:c r="M1124" s="8" t="str">
        <x:f aca="0">IF(AND(ISNUMBER(H1124),P1124&lt;&gt;"Unresolved unit / layout"),H1124*K1124,"Not applicable")</x:f>
        <x:v>Not applicable</x:v>
      </x:c>
      <x:c r="N1124" s="8" t="str">
        <x:f aca="0">IF(AND(ISNUMBER(I1124),P1124&lt;&gt;"Unresolved unit / layout"),I1124*K1124,"Not applicable")</x:f>
        <x:v>Not applicable</x:v>
      </x:c>
      <x:c r="O1124" s="7" t="s">
        <x:v>1942</x:v>
      </x:c>
      <x:c r="P1124" s="7" t="s">
        <x:v>1921</x:v>
      </x:c>
      <x:c r="Q1124" s="7" t="s">
        <x:v>1930</x:v>
      </x:c>
      <x:c r="R1124" s="7" t="s">
        <x:v>1931</x:v>
      </x:c>
      <x:c r="S1124" s="7" t="s">
        <x:v>53</x:v>
      </x:c>
      <x:c r="T1124" s="7" t="s">
        <x:v>53</x:v>
      </x:c>
      <x:c r="U1124" s="7" t="s">
        <x:v>53</x:v>
      </x:c>
      <x:c r="V1124" s="7" t="s">
        <x:v>1932</x:v>
      </x:c>
      <x:c r="W1124" s="7" t="s">
        <x:v>58</x:v>
      </x:c>
      <x:c r="X1124" s="7" t="s">
        <x:v>3948</x:v>
      </x:c>
      <x:c r="Y1124" s="7" t="s">
        <x:v>1282</x:v>
      </x:c>
      <x:c r="Z1124" s="7" t="s">
        <x:v>1943</x:v>
      </x:c>
      <x:c r="AA1124" s="7" t="s">
        <x:v>58</x:v>
      </x:c>
      <x:c r="AB1124" s="8" t="s">
        <x:v>58</x:v>
      </x:c>
      <x:c r="AC1124" s="8" t="s">
        <x:v>58</x:v>
      </x:c>
      <x:c r="AD1124" s="8" t="s">
        <x:v>58</x:v>
      </x:c>
      <x:c r="AE1124" s="8" t="s">
        <x:v>58</x:v>
      </x:c>
      <x:c r="AF1124" s="8" t="s">
        <x:v>58</x:v>
      </x:c>
      <x:c r="AG1124" s="7" t="s">
        <x:v>58</x:v>
      </x:c>
    </x:row>
    <x:row r="1125" ht="51.75" hidden="0" customHeight="1">
      <x:c r="A1125" s="7" t="s">
        <x:v>4190</x:v>
      </x:c>
      <x:c r="B1125" s="7" t="s">
        <x:v>697</x:v>
      </x:c>
      <x:c r="C1125" s="7" t="s">
        <x:v>699</x:v>
      </x:c>
      <x:c r="D1125" s="7" t="s">
        <x:v>1945</x:v>
      </x:c>
      <x:c r="E1125" s="7" t="s">
        <x:v>3447</x:v>
      </x:c>
      <x:c r="F1125" s="7" t="s">
        <x:v>1929</x:v>
      </x:c>
      <x:c r="G1125" s="8" t="n">
        <x:v>90</x:v>
      </x:c>
      <x:c r="H1125" s="8" t="s">
        <x:v>58</x:v>
      </x:c>
      <x:c r="I1125" s="8" t="s">
        <x:v>58</x:v>
      </x:c>
      <x:c r="J1125" s="7" t="s">
        <x:v>1919</x:v>
      </x:c>
      <x:c r="K1125" s="8" t="n">
        <x:v>1</x:v>
      </x:c>
      <x:c r="L1125" s="8" t="n">
        <x:f aca="0">IF(AND(ISNUMBER(G1125),P1125&lt;&gt;"Unresolved unit / layout"),G1125*K1125,"Not applicable")</x:f>
        <x:v>90</x:v>
      </x:c>
      <x:c r="M1125" s="8" t="str">
        <x:f aca="0">IF(AND(ISNUMBER(H1125),P1125&lt;&gt;"Unresolved unit / layout"),H1125*K1125,"Not applicable")</x:f>
        <x:v>Not applicable</x:v>
      </x:c>
      <x:c r="N1125" s="8" t="str">
        <x:f aca="0">IF(AND(ISNUMBER(I1125),P1125&lt;&gt;"Unresolved unit / layout"),I1125*K1125,"Not applicable")</x:f>
        <x:v>Not applicable</x:v>
      </x:c>
      <x:c r="O1125" s="7" t="s">
        <x:v>1929</x:v>
      </x:c>
      <x:c r="P1125" s="7" t="s">
        <x:v>1921</x:v>
      </x:c>
      <x:c r="Q1125" s="7" t="s">
        <x:v>1930</x:v>
      </x:c>
      <x:c r="R1125" s="7" t="s">
        <x:v>1931</x:v>
      </x:c>
      <x:c r="S1125" s="7" t="s">
        <x:v>53</x:v>
      </x:c>
      <x:c r="T1125" s="7" t="s">
        <x:v>53</x:v>
      </x:c>
      <x:c r="U1125" s="7" t="s">
        <x:v>53</x:v>
      </x:c>
      <x:c r="V1125" s="7" t="s">
        <x:v>1947</x:v>
      </x:c>
      <x:c r="W1125" s="7" t="s">
        <x:v>58</x:v>
      </x:c>
      <x:c r="X1125" s="7" t="s">
        <x:v>3948</x:v>
      </x:c>
      <x:c r="Y1125" s="7" t="s">
        <x:v>1282</x:v>
      </x:c>
      <x:c r="Z1125" s="7" t="s">
        <x:v>1948</x:v>
      </x:c>
      <x:c r="AA1125" s="7" t="s">
        <x:v>58</x:v>
      </x:c>
      <x:c r="AB1125" s="8" t="s">
        <x:v>58</x:v>
      </x:c>
      <x:c r="AC1125" s="8" t="s">
        <x:v>58</x:v>
      </x:c>
      <x:c r="AD1125" s="8" t="s">
        <x:v>58</x:v>
      </x:c>
      <x:c r="AE1125" s="8" t="s">
        <x:v>58</x:v>
      </x:c>
      <x:c r="AF1125" s="8" t="s">
        <x:v>58</x:v>
      </x:c>
      <x:c r="AG1125" s="7" t="s">
        <x:v>58</x:v>
      </x:c>
    </x:row>
    <x:row r="1126" ht="51.75" hidden="0" customHeight="1">
      <x:c r="A1126" s="7" t="s">
        <x:v>4191</x:v>
      </x:c>
      <x:c r="B1126" s="7" t="s">
        <x:v>697</x:v>
      </x:c>
      <x:c r="C1126" s="7" t="s">
        <x:v>699</x:v>
      </x:c>
      <x:c r="D1126" s="7" t="s">
        <x:v>1950</x:v>
      </x:c>
      <x:c r="E1126" s="7" t="s">
        <x:v>3957</x:v>
      </x:c>
      <x:c r="F1126" s="7" t="s">
        <x:v>1929</x:v>
      </x:c>
      <x:c r="G1126" s="8" t="n">
        <x:v>7900</x:v>
      </x:c>
      <x:c r="H1126" s="8" t="s">
        <x:v>58</x:v>
      </x:c>
      <x:c r="I1126" s="8" t="s">
        <x:v>58</x:v>
      </x:c>
      <x:c r="J1126" s="7" t="s">
        <x:v>1919</x:v>
      </x:c>
      <x:c r="K1126" s="8" t="n">
        <x:v>0.001</x:v>
      </x:c>
      <x:c r="L1126" s="8" t="n">
        <x:f aca="0">IF(AND(ISNUMBER(G1126),P1126&lt;&gt;"Unresolved unit / layout"),G1126*K1126,"Not applicable")</x:f>
        <x:v>7.9</x:v>
      </x:c>
      <x:c r="M1126" s="8" t="str">
        <x:f aca="0">IF(AND(ISNUMBER(H1126),P1126&lt;&gt;"Unresolved unit / layout"),H1126*K1126,"Not applicable")</x:f>
        <x:v>Not applicable</x:v>
      </x:c>
      <x:c r="N1126" s="8" t="str">
        <x:f aca="0">IF(AND(ISNUMBER(I1126),P1126&lt;&gt;"Unresolved unit / layout"),I1126*K1126,"Not applicable")</x:f>
        <x:v>Not applicable</x:v>
      </x:c>
      <x:c r="O1126" s="7" t="s">
        <x:v>1937</x:v>
      </x:c>
      <x:c r="P1126" s="7" t="s">
        <x:v>1921</x:v>
      </x:c>
      <x:c r="Q1126" s="7" t="s">
        <x:v>1930</x:v>
      </x:c>
      <x:c r="R1126" s="7" t="s">
        <x:v>1931</x:v>
      </x:c>
      <x:c r="S1126" s="7" t="s">
        <x:v>53</x:v>
      </x:c>
      <x:c r="T1126" s="7" t="s">
        <x:v>53</x:v>
      </x:c>
      <x:c r="U1126" s="7" t="s">
        <x:v>53</x:v>
      </x:c>
      <x:c r="V1126" s="7" t="s">
        <x:v>1947</x:v>
      </x:c>
      <x:c r="W1126" s="7" t="s">
        <x:v>58</x:v>
      </x:c>
      <x:c r="X1126" s="7" t="s">
        <x:v>3948</x:v>
      </x:c>
      <x:c r="Y1126" s="7" t="s">
        <x:v>1282</x:v>
      </x:c>
      <x:c r="Z1126" s="7" t="s">
        <x:v>1952</x:v>
      </x:c>
      <x:c r="AA1126" s="7" t="s">
        <x:v>58</x:v>
      </x:c>
      <x:c r="AB1126" s="8" t="s">
        <x:v>58</x:v>
      </x:c>
      <x:c r="AC1126" s="8" t="s">
        <x:v>58</x:v>
      </x:c>
      <x:c r="AD1126" s="8" t="s">
        <x:v>58</x:v>
      </x:c>
      <x:c r="AE1126" s="8" t="s">
        <x:v>58</x:v>
      </x:c>
      <x:c r="AF1126" s="8" t="s">
        <x:v>58</x:v>
      </x:c>
      <x:c r="AG1126" s="7" t="s">
        <x:v>58</x:v>
      </x:c>
    </x:row>
    <x:row r="1127" ht="51.75" hidden="0" customHeight="1">
      <x:c r="A1127" s="7" t="s">
        <x:v>4192</x:v>
      </x:c>
      <x:c r="B1127" s="7" t="s">
        <x:v>697</x:v>
      </x:c>
      <x:c r="C1127" s="7" t="s">
        <x:v>699</x:v>
      </x:c>
      <x:c r="D1127" s="7" t="s">
        <x:v>1954</x:v>
      </x:c>
      <x:c r="E1127" s="7" t="s">
        <x:v>3959</x:v>
      </x:c>
      <x:c r="F1127" s="7" t="s">
        <x:v>1956</x:v>
      </x:c>
      <x:c r="G1127" s="8" t="n">
        <x:v>158</x:v>
      </x:c>
      <x:c r="H1127" s="8" t="s">
        <x:v>58</x:v>
      </x:c>
      <x:c r="I1127" s="8" t="s">
        <x:v>58</x:v>
      </x:c>
      <x:c r="J1127" s="7" t="s">
        <x:v>1919</x:v>
      </x:c>
      <x:c r="K1127" s="8" t="n">
        <x:v>1</x:v>
      </x:c>
      <x:c r="L1127" s="8" t="n">
        <x:f aca="0">IF(AND(ISNUMBER(G1127),P1127&lt;&gt;"Unresolved unit / layout"),G1127*K1127,"Not applicable")</x:f>
        <x:v>158</x:v>
      </x:c>
      <x:c r="M1127" s="8" t="str">
        <x:f aca="0">IF(AND(ISNUMBER(H1127),P1127&lt;&gt;"Unresolved unit / layout"),H1127*K1127,"Not applicable")</x:f>
        <x:v>Not applicable</x:v>
      </x:c>
      <x:c r="N1127" s="8" t="str">
        <x:f aca="0">IF(AND(ISNUMBER(I1127),P1127&lt;&gt;"Unresolved unit / layout"),I1127*K1127,"Not applicable")</x:f>
        <x:v>Not applicable</x:v>
      </x:c>
      <x:c r="O1127" s="7" t="s">
        <x:v>1956</x:v>
      </x:c>
      <x:c r="P1127" s="7" t="s">
        <x:v>1921</x:v>
      </x:c>
      <x:c r="Q1127" s="7" t="s">
        <x:v>1930</x:v>
      </x:c>
      <x:c r="R1127" s="7" t="s">
        <x:v>58</x:v>
      </x:c>
      <x:c r="S1127" s="7" t="s">
        <x:v>53</x:v>
      </x:c>
      <x:c r="T1127" s="7" t="s">
        <x:v>53</x:v>
      </x:c>
      <x:c r="U1127" s="7" t="s">
        <x:v>53</x:v>
      </x:c>
      <x:c r="V1127" s="7" t="s">
        <x:v>1957</x:v>
      </x:c>
      <x:c r="W1127" s="7" t="s">
        <x:v>58</x:v>
      </x:c>
      <x:c r="X1127" s="7" t="s">
        <x:v>3948</x:v>
      </x:c>
      <x:c r="Y1127" s="7" t="s">
        <x:v>1282</x:v>
      </x:c>
      <x:c r="Z1127" s="7" t="s">
        <x:v>3215</x:v>
      </x:c>
      <x:c r="AA1127" s="7" t="s">
        <x:v>58</x:v>
      </x:c>
      <x:c r="AB1127" s="8" t="s">
        <x:v>58</x:v>
      </x:c>
      <x:c r="AC1127" s="8" t="s">
        <x:v>58</x:v>
      </x:c>
      <x:c r="AD1127" s="8" t="s">
        <x:v>58</x:v>
      </x:c>
      <x:c r="AE1127" s="8" t="s">
        <x:v>58</x:v>
      </x:c>
      <x:c r="AF1127" s="8" t="s">
        <x:v>58</x:v>
      </x:c>
      <x:c r="AG1127" s="7" t="s">
        <x:v>58</x:v>
      </x:c>
    </x:row>
    <x:row r="1128" ht="51.75" hidden="0" customHeight="1">
      <x:c r="A1128" s="7" t="s">
        <x:v>702</x:v>
      </x:c>
      <x:c r="B1128" s="7" t="s">
        <x:v>697</x:v>
      </x:c>
      <x:c r="C1128" s="7" t="s">
        <x:v>699</x:v>
      </x:c>
      <x:c r="D1128" s="7" t="s">
        <x:v>1959</x:v>
      </x:c>
      <x:c r="E1128" s="7" t="s">
        <x:v>3960</x:v>
      </x:c>
      <x:c r="F1128" s="7" t="s">
        <x:v>1956</x:v>
      </x:c>
      <x:c r="G1128" s="8" t="n">
        <x:v>150</x:v>
      </x:c>
      <x:c r="H1128" s="8" t="s">
        <x:v>58</x:v>
      </x:c>
      <x:c r="I1128" s="8" t="s">
        <x:v>58</x:v>
      </x:c>
      <x:c r="J1128" s="7" t="s">
        <x:v>1919</x:v>
      </x:c>
      <x:c r="K1128" s="8" t="n">
        <x:v>1</x:v>
      </x:c>
      <x:c r="L1128" s="8" t="n">
        <x:f aca="0">IF(AND(ISNUMBER(G1128),P1128&lt;&gt;"Unresolved unit / layout"),G1128*K1128,"Not applicable")</x:f>
        <x:v>150</x:v>
      </x:c>
      <x:c r="M1128" s="8" t="str">
        <x:f aca="0">IF(AND(ISNUMBER(H1128),P1128&lt;&gt;"Unresolved unit / layout"),H1128*K1128,"Not applicable")</x:f>
        <x:v>Not applicable</x:v>
      </x:c>
      <x:c r="N1128" s="8" t="str">
        <x:f aca="0">IF(AND(ISNUMBER(I1128),P1128&lt;&gt;"Unresolved unit / layout"),I1128*K1128,"Not applicable")</x:f>
        <x:v>Not applicable</x:v>
      </x:c>
      <x:c r="O1128" s="7" t="s">
        <x:v>1956</x:v>
      </x:c>
      <x:c r="P1128" s="7" t="s">
        <x:v>1921</x:v>
      </x:c>
      <x:c r="Q1128" s="7" t="s">
        <x:v>1930</x:v>
      </x:c>
      <x:c r="R1128" s="7" t="s">
        <x:v>58</x:v>
      </x:c>
      <x:c r="S1128" s="7" t="s">
        <x:v>53</x:v>
      </x:c>
      <x:c r="T1128" s="7" t="s">
        <x:v>53</x:v>
      </x:c>
      <x:c r="U1128" s="7" t="s">
        <x:v>53</x:v>
      </x:c>
      <x:c r="V1128" s="7" t="s">
        <x:v>1961</x:v>
      </x:c>
      <x:c r="W1128" s="7" t="s">
        <x:v>58</x:v>
      </x:c>
      <x:c r="X1128" s="7" t="s">
        <x:v>3948</x:v>
      </x:c>
      <x:c r="Y1128" s="7" t="s">
        <x:v>1282</x:v>
      </x:c>
      <x:c r="Z1128" s="7" t="s">
        <x:v>1962</x:v>
      </x:c>
      <x:c r="AA1128" s="7" t="s">
        <x:v>58</x:v>
      </x:c>
      <x:c r="AB1128" s="8" t="s">
        <x:v>58</x:v>
      </x:c>
      <x:c r="AC1128" s="8" t="s">
        <x:v>58</x:v>
      </x:c>
      <x:c r="AD1128" s="8" t="s">
        <x:v>58</x:v>
      </x:c>
      <x:c r="AE1128" s="8" t="s">
        <x:v>58</x:v>
      </x:c>
      <x:c r="AF1128" s="8" t="s">
        <x:v>58</x:v>
      </x:c>
      <x:c r="AG1128" s="7" t="s">
        <x:v>58</x:v>
      </x:c>
    </x:row>
    <x:row r="1129" ht="66" hidden="0" customHeight="1">
      <x:c r="A1129" s="7" t="s">
        <x:v>4193</x:v>
      </x:c>
      <x:c r="B1129" s="7" t="s">
        <x:v>697</x:v>
      </x:c>
      <x:c r="C1129" s="7" t="s">
        <x:v>1297</x:v>
      </x:c>
      <x:c r="D1129" s="7" t="s">
        <x:v>1916</x:v>
      </x:c>
      <x:c r="E1129" s="7" t="s">
        <x:v>4080</x:v>
      </x:c>
      <x:c r="F1129" s="7" t="s">
        <x:v>1965</x:v>
      </x:c>
      <x:c r="G1129" s="8" t="n">
        <x:v>1.03</x:v>
      </x:c>
      <x:c r="H1129" s="8" t="s">
        <x:v>58</x:v>
      </x:c>
      <x:c r="I1129" s="8" t="s">
        <x:v>58</x:v>
      </x:c>
      <x:c r="J1129" s="7" t="s">
        <x:v>1919</x:v>
      </x:c>
      <x:c r="K1129" s="8" t="n">
        <x:v>1000</x:v>
      </x:c>
      <x:c r="L1129" s="8" t="n">
        <x:f aca="0">IF(AND(ISNUMBER(G1129),P1129&lt;&gt;"Unresolved unit / layout"),G1129*K1129,"Not applicable")</x:f>
        <x:v>1030</x:v>
      </x:c>
      <x:c r="M1129" s="8" t="str">
        <x:f aca="0">IF(AND(ISNUMBER(H1129),P1129&lt;&gt;"Unresolved unit / layout"),H1129*K1129,"Not applicable")</x:f>
        <x:v>Not applicable</x:v>
      </x:c>
      <x:c r="N1129" s="8" t="str">
        <x:f aca="0">IF(AND(ISNUMBER(I1129),P1129&lt;&gt;"Unresolved unit / layout"),I1129*K1129,"Not applicable")</x:f>
        <x:v>Not applicable</x:v>
      </x:c>
      <x:c r="O1129" s="7" t="s">
        <x:v>1920</x:v>
      </x:c>
      <x:c r="P1129" s="7" t="s">
        <x:v>1921</x:v>
      </x:c>
      <x:c r="Q1129" s="7" t="s">
        <x:v>1922</x:v>
      </x:c>
      <x:c r="R1129" s="7" t="s">
        <x:v>58</x:v>
      </x:c>
      <x:c r="S1129" s="7" t="s">
        <x:v>53</x:v>
      </x:c>
      <x:c r="T1129" s="7" t="s">
        <x:v>4081</x:v>
      </x:c>
      <x:c r="U1129" s="7" t="s">
        <x:v>53</x:v>
      </x:c>
      <x:c r="V1129" s="7" t="s">
        <x:v>1966</x:v>
      </x:c>
      <x:c r="W1129" s="7" t="s">
        <x:v>58</x:v>
      </x:c>
      <x:c r="X1129" s="7" t="s">
        <x:v>4082</x:v>
      </x:c>
      <x:c r="Y1129" s="7" t="s">
        <x:v>1295</x:v>
      </x:c>
      <x:c r="Z1129" s="7" t="s">
        <x:v>1925</x:v>
      </x:c>
      <x:c r="AA1129" s="7" t="s">
        <x:v>58</x:v>
      </x:c>
      <x:c r="AB1129" s="8" t="s">
        <x:v>58</x:v>
      </x:c>
      <x:c r="AC1129" s="8" t="s">
        <x:v>58</x:v>
      </x:c>
      <x:c r="AD1129" s="8" t="s">
        <x:v>58</x:v>
      </x:c>
      <x:c r="AE1129" s="8" t="s">
        <x:v>58</x:v>
      </x:c>
      <x:c r="AF1129" s="8" t="s">
        <x:v>58</x:v>
      </x:c>
      <x:c r="AG1129" s="7" t="s">
        <x:v>58</x:v>
      </x:c>
    </x:row>
    <x:row r="1130" ht="66" hidden="0" customHeight="1">
      <x:c r="A1130" s="7" t="s">
        <x:v>4194</x:v>
      </x:c>
      <x:c r="B1130" s="7" t="s">
        <x:v>697</x:v>
      </x:c>
      <x:c r="C1130" s="7" t="s">
        <x:v>1297</x:v>
      </x:c>
      <x:c r="D1130" s="7" t="s">
        <x:v>1978</x:v>
      </x:c>
      <x:c r="E1130" s="7" t="s">
        <x:v>3632</x:v>
      </x:c>
      <x:c r="F1130" s="7" t="s">
        <x:v>1956</x:v>
      </x:c>
      <x:c r="G1130" s="8" t="n">
        <x:v>180</x:v>
      </x:c>
      <x:c r="H1130" s="8" t="s">
        <x:v>58</x:v>
      </x:c>
      <x:c r="I1130" s="8" t="s">
        <x:v>58</x:v>
      </x:c>
      <x:c r="J1130" s="7" t="s">
        <x:v>1919</x:v>
      </x:c>
      <x:c r="K1130" s="8" t="n">
        <x:v>1</x:v>
      </x:c>
      <x:c r="L1130" s="8" t="n">
        <x:f aca="0">IF(AND(ISNUMBER(G1130),P1130&lt;&gt;"Unresolved unit / layout"),G1130*K1130,"Not applicable")</x:f>
        <x:v>180</x:v>
      </x:c>
      <x:c r="M1130" s="8" t="str">
        <x:f aca="0">IF(AND(ISNUMBER(H1130),P1130&lt;&gt;"Unresolved unit / layout"),H1130*K1130,"Not applicable")</x:f>
        <x:v>Not applicable</x:v>
      </x:c>
      <x:c r="N1130" s="8" t="str">
        <x:f aca="0">IF(AND(ISNUMBER(I1130),P1130&lt;&gt;"Unresolved unit / layout"),I1130*K1130,"Not applicable")</x:f>
        <x:v>Not applicable</x:v>
      </x:c>
      <x:c r="O1130" s="7" t="s">
        <x:v>1956</x:v>
      </x:c>
      <x:c r="P1130" s="7" t="s">
        <x:v>1921</x:v>
      </x:c>
      <x:c r="Q1130" s="7" t="s">
        <x:v>1930</x:v>
      </x:c>
      <x:c r="R1130" s="7" t="s">
        <x:v>58</x:v>
      </x:c>
      <x:c r="S1130" s="7" t="s">
        <x:v>53</x:v>
      </x:c>
      <x:c r="T1130" s="7" t="s">
        <x:v>4081</x:v>
      </x:c>
      <x:c r="U1130" s="7" t="s">
        <x:v>53</x:v>
      </x:c>
      <x:c r="V1130" s="7" t="s">
        <x:v>1971</x:v>
      </x:c>
      <x:c r="W1130" s="7" t="s">
        <x:v>58</x:v>
      </x:c>
      <x:c r="X1130" s="7" t="s">
        <x:v>4082</x:v>
      </x:c>
      <x:c r="Y1130" s="7" t="s">
        <x:v>1295</x:v>
      </x:c>
      <x:c r="Z1130" s="7" t="s">
        <x:v>4084</x:v>
      </x:c>
      <x:c r="AA1130" s="7" t="s">
        <x:v>58</x:v>
      </x:c>
      <x:c r="AB1130" s="8" t="s">
        <x:v>58</x:v>
      </x:c>
      <x:c r="AC1130" s="8" t="s">
        <x:v>58</x:v>
      </x:c>
      <x:c r="AD1130" s="8" t="s">
        <x:v>58</x:v>
      </x:c>
      <x:c r="AE1130" s="8" t="s">
        <x:v>58</x:v>
      </x:c>
      <x:c r="AF1130" s="8" t="s">
        <x:v>58</x:v>
      </x:c>
      <x:c r="AG1130" s="7" t="s">
        <x:v>58</x:v>
      </x:c>
    </x:row>
    <x:row r="1131" ht="66" hidden="0" customHeight="1">
      <x:c r="A1131" s="7" t="s">
        <x:v>4195</x:v>
      </x:c>
      <x:c r="B1131" s="7" t="s">
        <x:v>697</x:v>
      </x:c>
      <x:c r="C1131" s="7" t="s">
        <x:v>1297</x:v>
      </x:c>
      <x:c r="D1131" s="7" t="s">
        <x:v>1959</x:v>
      </x:c>
      <x:c r="E1131" s="7" t="s">
        <x:v>4085</x:v>
      </x:c>
      <x:c r="F1131" s="7" t="s">
        <x:v>1956</x:v>
      </x:c>
      <x:c r="G1131" s="8" t="n">
        <x:v>175</x:v>
      </x:c>
      <x:c r="H1131" s="8" t="s">
        <x:v>58</x:v>
      </x:c>
      <x:c r="I1131" s="8" t="s">
        <x:v>58</x:v>
      </x:c>
      <x:c r="J1131" s="7" t="s">
        <x:v>1919</x:v>
      </x:c>
      <x:c r="K1131" s="8" t="n">
        <x:v>1</x:v>
      </x:c>
      <x:c r="L1131" s="8" t="n">
        <x:f aca="0">IF(AND(ISNUMBER(G1131),P1131&lt;&gt;"Unresolved unit / layout"),G1131*K1131,"Not applicable")</x:f>
        <x:v>175</x:v>
      </x:c>
      <x:c r="M1131" s="8" t="str">
        <x:f aca="0">IF(AND(ISNUMBER(H1131),P1131&lt;&gt;"Unresolved unit / layout"),H1131*K1131,"Not applicable")</x:f>
        <x:v>Not applicable</x:v>
      </x:c>
      <x:c r="N1131" s="8" t="str">
        <x:f aca="0">IF(AND(ISNUMBER(I1131),P1131&lt;&gt;"Unresolved unit / layout"),I1131*K1131,"Not applicable")</x:f>
        <x:v>Not applicable</x:v>
      </x:c>
      <x:c r="O1131" s="7" t="s">
        <x:v>1956</x:v>
      </x:c>
      <x:c r="P1131" s="7" t="s">
        <x:v>1921</x:v>
      </x:c>
      <x:c r="Q1131" s="7" t="s">
        <x:v>1930</x:v>
      </x:c>
      <x:c r="R1131" s="7" t="s">
        <x:v>58</x:v>
      </x:c>
      <x:c r="S1131" s="7" t="s">
        <x:v>53</x:v>
      </x:c>
      <x:c r="T1131" s="7" t="s">
        <x:v>4081</x:v>
      </x:c>
      <x:c r="U1131" s="7" t="s">
        <x:v>53</x:v>
      </x:c>
      <x:c r="V1131" s="7" t="s">
        <x:v>1992</x:v>
      </x:c>
      <x:c r="W1131" s="7" t="s">
        <x:v>58</x:v>
      </x:c>
      <x:c r="X1131" s="7" t="s">
        <x:v>4082</x:v>
      </x:c>
      <x:c r="Y1131" s="7" t="s">
        <x:v>1295</x:v>
      </x:c>
      <x:c r="Z1131" s="7" t="s">
        <x:v>4086</x:v>
      </x:c>
      <x:c r="AA1131" s="7" t="s">
        <x:v>58</x:v>
      </x:c>
      <x:c r="AB1131" s="8" t="s">
        <x:v>58</x:v>
      </x:c>
      <x:c r="AC1131" s="8" t="s">
        <x:v>58</x:v>
      </x:c>
      <x:c r="AD1131" s="8" t="s">
        <x:v>58</x:v>
      </x:c>
      <x:c r="AE1131" s="8" t="s">
        <x:v>58</x:v>
      </x:c>
      <x:c r="AF1131" s="8" t="s">
        <x:v>58</x:v>
      </x:c>
      <x:c r="AG1131" s="7" t="s">
        <x:v>58</x:v>
      </x:c>
    </x:row>
    <x:row r="1132" ht="66" hidden="0" customHeight="1">
      <x:c r="A1132" s="7" t="s">
        <x:v>4196</x:v>
      </x:c>
      <x:c r="B1132" s="7" t="s">
        <x:v>697</x:v>
      </x:c>
      <x:c r="C1132" s="7" t="s">
        <x:v>1297</x:v>
      </x:c>
      <x:c r="D1132" s="7" t="s">
        <x:v>1935</x:v>
      </x:c>
      <x:c r="E1132" s="7" t="s">
        <x:v>4088</x:v>
      </x:c>
      <x:c r="F1132" s="7" t="s">
        <x:v>1929</x:v>
      </x:c>
      <x:c r="G1132" s="8" t="n">
        <x:v>5136.7</x:v>
      </x:c>
      <x:c r="H1132" s="8" t="n">
        <x:v>192.2</x:v>
      </x:c>
      <x:c r="I1132" s="8" t="s">
        <x:v>58</x:v>
      </x:c>
      <x:c r="J1132" s="7" t="s">
        <x:v>1919</x:v>
      </x:c>
      <x:c r="K1132" s="8" t="n">
        <x:v>0.001</x:v>
      </x:c>
      <x:c r="L1132" s="8" t="n">
        <x:f aca="0">IF(AND(ISNUMBER(G1132),P1132&lt;&gt;"Unresolved unit / layout"),G1132*K1132,"Not applicable")</x:f>
        <x:v>5.1367</x:v>
      </x:c>
      <x:c r="M1132" s="8" t="n">
        <x:f aca="0">IF(AND(ISNUMBER(H1132),P1132&lt;&gt;"Unresolved unit / layout"),H1132*K1132,"Not applicable")</x:f>
        <x:v>0.19219999999999998</x:v>
      </x:c>
      <x:c r="N1132" s="8" t="str">
        <x:f aca="0">IF(AND(ISNUMBER(I1132),P1132&lt;&gt;"Unresolved unit / layout"),I1132*K1132,"Not applicable")</x:f>
        <x:v>Not applicable</x:v>
      </x:c>
      <x:c r="O1132" s="7" t="s">
        <x:v>1937</x:v>
      </x:c>
      <x:c r="P1132" s="7" t="s">
        <x:v>1921</x:v>
      </x:c>
      <x:c r="Q1132" s="7" t="s">
        <x:v>1930</x:v>
      </x:c>
      <x:c r="R1132" s="7" t="s">
        <x:v>1931</x:v>
      </x:c>
      <x:c r="S1132" s="7" t="s">
        <x:v>3378</x:v>
      </x:c>
      <x:c r="T1132" s="7" t="s">
        <x:v>4081</x:v>
      </x:c>
      <x:c r="U1132" s="7" t="s">
        <x:v>53</x:v>
      </x:c>
      <x:c r="V1132" s="7" t="s">
        <x:v>1999</x:v>
      </x:c>
      <x:c r="W1132" s="7" t="s">
        <x:v>58</x:v>
      </x:c>
      <x:c r="X1132" s="7" t="s">
        <x:v>4082</x:v>
      </x:c>
      <x:c r="Y1132" s="7" t="s">
        <x:v>1295</x:v>
      </x:c>
      <x:c r="Z1132" s="7" t="s">
        <x:v>4089</x:v>
      </x:c>
      <x:c r="AA1132" s="7" t="s">
        <x:v>58</x:v>
      </x:c>
      <x:c r="AB1132" s="8" t="s">
        <x:v>58</x:v>
      </x:c>
      <x:c r="AC1132" s="8" t="s">
        <x:v>58</x:v>
      </x:c>
      <x:c r="AD1132" s="8" t="s">
        <x:v>58</x:v>
      </x:c>
      <x:c r="AE1132" s="8" t="s">
        <x:v>58</x:v>
      </x:c>
      <x:c r="AF1132" s="8" t="s">
        <x:v>58</x:v>
      </x:c>
      <x:c r="AG1132" s="7" t="s">
        <x:v>58</x:v>
      </x:c>
    </x:row>
    <x:row r="1133" ht="66" hidden="0" customHeight="1">
      <x:c r="A1133" s="7" t="s">
        <x:v>4197</x:v>
      </x:c>
      <x:c r="B1133" s="7" t="s">
        <x:v>697</x:v>
      </x:c>
      <x:c r="C1133" s="7" t="s">
        <x:v>1297</x:v>
      </x:c>
      <x:c r="D1133" s="7" t="s">
        <x:v>1935</x:v>
      </x:c>
      <x:c r="E1133" s="7" t="s">
        <x:v>4091</x:v>
      </x:c>
      <x:c r="F1133" s="7" t="s">
        <x:v>1929</x:v>
      </x:c>
      <x:c r="G1133" s="8" t="n">
        <x:v>2786.4</x:v>
      </x:c>
      <x:c r="H1133" s="8" t="n">
        <x:v>78.4</x:v>
      </x:c>
      <x:c r="I1133" s="8" t="s">
        <x:v>58</x:v>
      </x:c>
      <x:c r="J1133" s="7" t="s">
        <x:v>1919</x:v>
      </x:c>
      <x:c r="K1133" s="8" t="n">
        <x:v>0.001</x:v>
      </x:c>
      <x:c r="L1133" s="8" t="n">
        <x:f aca="0">IF(AND(ISNUMBER(G1133),P1133&lt;&gt;"Unresolved unit / layout"),G1133*K1133,"Not applicable")</x:f>
        <x:v>2.7864</x:v>
      </x:c>
      <x:c r="M1133" s="8" t="n">
        <x:f aca="0">IF(AND(ISNUMBER(H1133),P1133&lt;&gt;"Unresolved unit / layout"),H1133*K1133,"Not applicable")</x:f>
        <x:v>0.07840000000000001</x:v>
      </x:c>
      <x:c r="N1133" s="8" t="str">
        <x:f aca="0">IF(AND(ISNUMBER(I1133),P1133&lt;&gt;"Unresolved unit / layout"),I1133*K1133,"Not applicable")</x:f>
        <x:v>Not applicable</x:v>
      </x:c>
      <x:c r="O1133" s="7" t="s">
        <x:v>1937</x:v>
      </x:c>
      <x:c r="P1133" s="7" t="s">
        <x:v>1921</x:v>
      </x:c>
      <x:c r="Q1133" s="7" t="s">
        <x:v>1930</x:v>
      </x:c>
      <x:c r="R1133" s="7" t="s">
        <x:v>2003</x:v>
      </x:c>
      <x:c r="S1133" s="7" t="s">
        <x:v>3378</x:v>
      </x:c>
      <x:c r="T1133" s="7" t="s">
        <x:v>4081</x:v>
      </x:c>
      <x:c r="U1133" s="7" t="s">
        <x:v>53</x:v>
      </x:c>
      <x:c r="V1133" s="7" t="s">
        <x:v>1999</x:v>
      </x:c>
      <x:c r="W1133" s="7" t="s">
        <x:v>58</x:v>
      </x:c>
      <x:c r="X1133" s="7" t="s">
        <x:v>4082</x:v>
      </x:c>
      <x:c r="Y1133" s="7" t="s">
        <x:v>1295</x:v>
      </x:c>
      <x:c r="Z1133" s="7" t="s">
        <x:v>4092</x:v>
      </x:c>
      <x:c r="AA1133" s="7" t="s">
        <x:v>58</x:v>
      </x:c>
      <x:c r="AB1133" s="8" t="s">
        <x:v>58</x:v>
      </x:c>
      <x:c r="AC1133" s="8" t="s">
        <x:v>58</x:v>
      </x:c>
      <x:c r="AD1133" s="8" t="s">
        <x:v>58</x:v>
      </x:c>
      <x:c r="AE1133" s="8" t="s">
        <x:v>58</x:v>
      </x:c>
      <x:c r="AF1133" s="8" t="s">
        <x:v>58</x:v>
      </x:c>
      <x:c r="AG1133" s="7" t="s">
        <x:v>58</x:v>
      </x:c>
    </x:row>
    <x:row r="1134" ht="66" hidden="0" customHeight="1">
      <x:c r="A1134" s="7" t="s">
        <x:v>4198</x:v>
      </x:c>
      <x:c r="B1134" s="7" t="s">
        <x:v>697</x:v>
      </x:c>
      <x:c r="C1134" s="7" t="s">
        <x:v>1297</x:v>
      </x:c>
      <x:c r="D1134" s="7" t="s">
        <x:v>2006</x:v>
      </x:c>
      <x:c r="E1134" s="7" t="s">
        <x:v>4094</x:v>
      </x:c>
      <x:c r="F1134" s="7" t="s">
        <x:v>1929</x:v>
      </x:c>
      <x:c r="G1134" s="8" t="n">
        <x:v>91.9</x:v>
      </x:c>
      <x:c r="H1134" s="8" t="n">
        <x:v>2</x:v>
      </x:c>
      <x:c r="I1134" s="8" t="s">
        <x:v>58</x:v>
      </x:c>
      <x:c r="J1134" s="7" t="s">
        <x:v>1919</x:v>
      </x:c>
      <x:c r="K1134" s="8" t="n">
        <x:v>1</x:v>
      </x:c>
      <x:c r="L1134" s="8" t="n">
        <x:f aca="0">IF(AND(ISNUMBER(G1134),P1134&lt;&gt;"Unresolved unit / layout"),G1134*K1134,"Not applicable")</x:f>
        <x:v>91.9</x:v>
      </x:c>
      <x:c r="M1134" s="8" t="n">
        <x:f aca="0">IF(AND(ISNUMBER(H1134),P1134&lt;&gt;"Unresolved unit / layout"),H1134*K1134,"Not applicable")</x:f>
        <x:v>2</x:v>
      </x:c>
      <x:c r="N1134" s="8" t="str">
        <x:f aca="0">IF(AND(ISNUMBER(I1134),P1134&lt;&gt;"Unresolved unit / layout"),I1134*K1134,"Not applicable")</x:f>
        <x:v>Not applicable</x:v>
      </x:c>
      <x:c r="O1134" s="7" t="s">
        <x:v>1929</x:v>
      </x:c>
      <x:c r="P1134" s="7" t="s">
        <x:v>1921</x:v>
      </x:c>
      <x:c r="Q1134" s="7" t="s">
        <x:v>1930</x:v>
      </x:c>
      <x:c r="R1134" s="7" t="s">
        <x:v>1931</x:v>
      </x:c>
      <x:c r="S1134" s="7" t="s">
        <x:v>3378</x:v>
      </x:c>
      <x:c r="T1134" s="7" t="s">
        <x:v>4081</x:v>
      </x:c>
      <x:c r="U1134" s="7" t="s">
        <x:v>53</x:v>
      </x:c>
      <x:c r="V1134" s="7" t="s">
        <x:v>1999</x:v>
      </x:c>
      <x:c r="W1134" s="7" t="s">
        <x:v>58</x:v>
      </x:c>
      <x:c r="X1134" s="7" t="s">
        <x:v>4082</x:v>
      </x:c>
      <x:c r="Y1134" s="7" t="s">
        <x:v>1295</x:v>
      </x:c>
      <x:c r="Z1134" s="7" t="s">
        <x:v>4095</x:v>
      </x:c>
      <x:c r="AA1134" s="7" t="s">
        <x:v>58</x:v>
      </x:c>
      <x:c r="AB1134" s="8" t="s">
        <x:v>58</x:v>
      </x:c>
      <x:c r="AC1134" s="8" t="s">
        <x:v>58</x:v>
      </x:c>
      <x:c r="AD1134" s="8" t="s">
        <x:v>58</x:v>
      </x:c>
      <x:c r="AE1134" s="8" t="s">
        <x:v>58</x:v>
      </x:c>
      <x:c r="AF1134" s="8" t="s">
        <x:v>58</x:v>
      </x:c>
      <x:c r="AG1134" s="7" t="s">
        <x:v>58</x:v>
      </x:c>
    </x:row>
    <x:row r="1135" ht="66" hidden="0" customHeight="1">
      <x:c r="A1135" s="7" t="s">
        <x:v>4199</x:v>
      </x:c>
      <x:c r="B1135" s="7" t="s">
        <x:v>697</x:v>
      </x:c>
      <x:c r="C1135" s="7" t="s">
        <x:v>1297</x:v>
      </x:c>
      <x:c r="D1135" s="7" t="s">
        <x:v>2006</x:v>
      </x:c>
      <x:c r="E1135" s="7" t="s">
        <x:v>4097</x:v>
      </x:c>
      <x:c r="F1135" s="7" t="s">
        <x:v>1929</x:v>
      </x:c>
      <x:c r="G1135" s="8" t="n">
        <x:v>48.3</x:v>
      </x:c>
      <x:c r="H1135" s="8" t="n">
        <x:v>3.9</x:v>
      </x:c>
      <x:c r="I1135" s="8" t="s">
        <x:v>58</x:v>
      </x:c>
      <x:c r="J1135" s="7" t="s">
        <x:v>1919</x:v>
      </x:c>
      <x:c r="K1135" s="8" t="n">
        <x:v>1</x:v>
      </x:c>
      <x:c r="L1135" s="8" t="n">
        <x:f aca="0">IF(AND(ISNUMBER(G1135),P1135&lt;&gt;"Unresolved unit / layout"),G1135*K1135,"Not applicable")</x:f>
        <x:v>48.3</x:v>
      </x:c>
      <x:c r="M1135" s="8" t="n">
        <x:f aca="0">IF(AND(ISNUMBER(H1135),P1135&lt;&gt;"Unresolved unit / layout"),H1135*K1135,"Not applicable")</x:f>
        <x:v>3.9</x:v>
      </x:c>
      <x:c r="N1135" s="8" t="str">
        <x:f aca="0">IF(AND(ISNUMBER(I1135),P1135&lt;&gt;"Unresolved unit / layout"),I1135*K1135,"Not applicable")</x:f>
        <x:v>Not applicable</x:v>
      </x:c>
      <x:c r="O1135" s="7" t="s">
        <x:v>1929</x:v>
      </x:c>
      <x:c r="P1135" s="7" t="s">
        <x:v>1921</x:v>
      </x:c>
      <x:c r="Q1135" s="7" t="s">
        <x:v>1930</x:v>
      </x:c>
      <x:c r="R1135" s="7" t="s">
        <x:v>2003</x:v>
      </x:c>
      <x:c r="S1135" s="7" t="s">
        <x:v>3378</x:v>
      </x:c>
      <x:c r="T1135" s="7" t="s">
        <x:v>4081</x:v>
      </x:c>
      <x:c r="U1135" s="7" t="s">
        <x:v>53</x:v>
      </x:c>
      <x:c r="V1135" s="7" t="s">
        <x:v>1999</x:v>
      </x:c>
      <x:c r="W1135" s="7" t="s">
        <x:v>58</x:v>
      </x:c>
      <x:c r="X1135" s="7" t="s">
        <x:v>4082</x:v>
      </x:c>
      <x:c r="Y1135" s="7" t="s">
        <x:v>1295</x:v>
      </x:c>
      <x:c r="Z1135" s="7" t="s">
        <x:v>3497</x:v>
      </x:c>
      <x:c r="AA1135" s="7" t="s">
        <x:v>58</x:v>
      </x:c>
      <x:c r="AB1135" s="8" t="s">
        <x:v>58</x:v>
      </x:c>
      <x:c r="AC1135" s="8" t="s">
        <x:v>58</x:v>
      </x:c>
      <x:c r="AD1135" s="8" t="s">
        <x:v>58</x:v>
      </x:c>
      <x:c r="AE1135" s="8" t="s">
        <x:v>58</x:v>
      </x:c>
      <x:c r="AF1135" s="8" t="s">
        <x:v>58</x:v>
      </x:c>
      <x:c r="AG1135" s="7" t="s">
        <x:v>58</x:v>
      </x:c>
    </x:row>
    <x:row r="1136" ht="66" hidden="0" customHeight="1">
      <x:c r="A1136" s="7" t="s">
        <x:v>4200</x:v>
      </x:c>
      <x:c r="B1136" s="7" t="s">
        <x:v>697</x:v>
      </x:c>
      <x:c r="C1136" s="7" t="s">
        <x:v>1297</x:v>
      </x:c>
      <x:c r="D1136" s="7" t="s">
        <x:v>1940</x:v>
      </x:c>
      <x:c r="E1136" s="7" t="s">
        <x:v>4099</x:v>
      </x:c>
      <x:c r="F1136" s="7" t="s">
        <x:v>1942</x:v>
      </x:c>
      <x:c r="G1136" s="8" t="n">
        <x:v>2.6</x:v>
      </x:c>
      <x:c r="H1136" s="8" t="n">
        <x:v>0.2</x:v>
      </x:c>
      <x:c r="I1136" s="8" t="s">
        <x:v>58</x:v>
      </x:c>
      <x:c r="J1136" s="7" t="s">
        <x:v>1919</x:v>
      </x:c>
      <x:c r="K1136" s="8" t="n">
        <x:v>1</x:v>
      </x:c>
      <x:c r="L1136" s="8" t="n">
        <x:f aca="0">IF(AND(ISNUMBER(G1136),P1136&lt;&gt;"Unresolved unit / layout"),G1136*K1136,"Not applicable")</x:f>
        <x:v>2.6</x:v>
      </x:c>
      <x:c r="M1136" s="8" t="n">
        <x:f aca="0">IF(AND(ISNUMBER(H1136),P1136&lt;&gt;"Unresolved unit / layout"),H1136*K1136,"Not applicable")</x:f>
        <x:v>0.2</x:v>
      </x:c>
      <x:c r="N1136" s="8" t="str">
        <x:f aca="0">IF(AND(ISNUMBER(I1136),P1136&lt;&gt;"Unresolved unit / layout"),I1136*K1136,"Not applicable")</x:f>
        <x:v>Not applicable</x:v>
      </x:c>
      <x:c r="O1136" s="7" t="s">
        <x:v>1942</x:v>
      </x:c>
      <x:c r="P1136" s="7" t="s">
        <x:v>1921</x:v>
      </x:c>
      <x:c r="Q1136" s="7" t="s">
        <x:v>1930</x:v>
      </x:c>
      <x:c r="R1136" s="7" t="s">
        <x:v>1931</x:v>
      </x:c>
      <x:c r="S1136" s="7" t="s">
        <x:v>3378</x:v>
      </x:c>
      <x:c r="T1136" s="7" t="s">
        <x:v>4081</x:v>
      </x:c>
      <x:c r="U1136" s="7" t="s">
        <x:v>53</x:v>
      </x:c>
      <x:c r="V1136" s="7" t="s">
        <x:v>1999</x:v>
      </x:c>
      <x:c r="W1136" s="7" t="s">
        <x:v>58</x:v>
      </x:c>
      <x:c r="X1136" s="7" t="s">
        <x:v>4082</x:v>
      </x:c>
      <x:c r="Y1136" s="7" t="s">
        <x:v>1295</x:v>
      </x:c>
      <x:c r="Z1136" s="7" t="s">
        <x:v>4100</x:v>
      </x:c>
      <x:c r="AA1136" s="7" t="s">
        <x:v>58</x:v>
      </x:c>
      <x:c r="AB1136" s="8" t="s">
        <x:v>58</x:v>
      </x:c>
      <x:c r="AC1136" s="8" t="s">
        <x:v>58</x:v>
      </x:c>
      <x:c r="AD1136" s="8" t="s">
        <x:v>58</x:v>
      </x:c>
      <x:c r="AE1136" s="8" t="s">
        <x:v>58</x:v>
      </x:c>
      <x:c r="AF1136" s="8" t="s">
        <x:v>58</x:v>
      </x:c>
      <x:c r="AG1136" s="7" t="s">
        <x:v>58</x:v>
      </x:c>
    </x:row>
    <x:row r="1137" ht="66" hidden="0" customHeight="1">
      <x:c r="A1137" s="7" t="s">
        <x:v>4201</x:v>
      </x:c>
      <x:c r="B1137" s="7" t="s">
        <x:v>697</x:v>
      </x:c>
      <x:c r="C1137" s="7" t="s">
        <x:v>1297</x:v>
      </x:c>
      <x:c r="D1137" s="7" t="s">
        <x:v>1940</x:v>
      </x:c>
      <x:c r="E1137" s="7" t="s">
        <x:v>4102</x:v>
      </x:c>
      <x:c r="F1137" s="7" t="s">
        <x:v>1942</x:v>
      </x:c>
      <x:c r="G1137" s="8" t="n">
        <x:v>2.1</x:v>
      </x:c>
      <x:c r="H1137" s="8" t="n">
        <x:v>0.2</x:v>
      </x:c>
      <x:c r="I1137" s="8" t="s">
        <x:v>58</x:v>
      </x:c>
      <x:c r="J1137" s="7" t="s">
        <x:v>1919</x:v>
      </x:c>
      <x:c r="K1137" s="8" t="n">
        <x:v>1</x:v>
      </x:c>
      <x:c r="L1137" s="8" t="n">
        <x:f aca="0">IF(AND(ISNUMBER(G1137),P1137&lt;&gt;"Unresolved unit / layout"),G1137*K1137,"Not applicable")</x:f>
        <x:v>2.1</x:v>
      </x:c>
      <x:c r="M1137" s="8" t="n">
        <x:f aca="0">IF(AND(ISNUMBER(H1137),P1137&lt;&gt;"Unresolved unit / layout"),H1137*K1137,"Not applicable")</x:f>
        <x:v>0.2</x:v>
      </x:c>
      <x:c r="N1137" s="8" t="str">
        <x:f aca="0">IF(AND(ISNUMBER(I1137),P1137&lt;&gt;"Unresolved unit / layout"),I1137*K1137,"Not applicable")</x:f>
        <x:v>Not applicable</x:v>
      </x:c>
      <x:c r="O1137" s="7" t="s">
        <x:v>1942</x:v>
      </x:c>
      <x:c r="P1137" s="7" t="s">
        <x:v>1921</x:v>
      </x:c>
      <x:c r="Q1137" s="7" t="s">
        <x:v>1930</x:v>
      </x:c>
      <x:c r="R1137" s="7" t="s">
        <x:v>2003</x:v>
      </x:c>
      <x:c r="S1137" s="7" t="s">
        <x:v>3378</x:v>
      </x:c>
      <x:c r="T1137" s="7" t="s">
        <x:v>4081</x:v>
      </x:c>
      <x:c r="U1137" s="7" t="s">
        <x:v>53</x:v>
      </x:c>
      <x:c r="V1137" s="7" t="s">
        <x:v>1999</x:v>
      </x:c>
      <x:c r="W1137" s="7" t="s">
        <x:v>58</x:v>
      </x:c>
      <x:c r="X1137" s="7" t="s">
        <x:v>4082</x:v>
      </x:c>
      <x:c r="Y1137" s="7" t="s">
        <x:v>1295</x:v>
      </x:c>
      <x:c r="Z1137" s="7" t="s">
        <x:v>3503</x:v>
      </x:c>
      <x:c r="AA1137" s="7" t="s">
        <x:v>58</x:v>
      </x:c>
      <x:c r="AB1137" s="8" t="s">
        <x:v>58</x:v>
      </x:c>
      <x:c r="AC1137" s="8" t="s">
        <x:v>58</x:v>
      </x:c>
      <x:c r="AD1137" s="8" t="s">
        <x:v>58</x:v>
      </x:c>
      <x:c r="AE1137" s="8" t="s">
        <x:v>58</x:v>
      </x:c>
      <x:c r="AF1137" s="8" t="s">
        <x:v>58</x:v>
      </x:c>
      <x:c r="AG1137" s="7" t="s">
        <x:v>58</x:v>
      </x:c>
    </x:row>
    <x:row r="1138" ht="66" hidden="0" customHeight="1">
      <x:c r="A1138" s="7" t="s">
        <x:v>4202</x:v>
      </x:c>
      <x:c r="B1138" s="7" t="s">
        <x:v>697</x:v>
      </x:c>
      <x:c r="C1138" s="7" t="s">
        <x:v>1297</x:v>
      </x:c>
      <x:c r="D1138" s="7" t="s">
        <x:v>1950</x:v>
      </x:c>
      <x:c r="E1138" s="7" t="s">
        <x:v>4104</x:v>
      </x:c>
      <x:c r="F1138" s="7" t="s">
        <x:v>1929</x:v>
      </x:c>
      <x:c r="G1138" s="8" t="n">
        <x:v>4583.5</x:v>
      </x:c>
      <x:c r="H1138" s="8" t="n">
        <x:v>62.7</x:v>
      </x:c>
      <x:c r="I1138" s="8" t="s">
        <x:v>58</x:v>
      </x:c>
      <x:c r="J1138" s="7" t="s">
        <x:v>1919</x:v>
      </x:c>
      <x:c r="K1138" s="8" t="n">
        <x:v>0.001</x:v>
      </x:c>
      <x:c r="L1138" s="8" t="n">
        <x:f aca="0">IF(AND(ISNUMBER(G1138),P1138&lt;&gt;"Unresolved unit / layout"),G1138*K1138,"Not applicable")</x:f>
        <x:v>4.5835</x:v>
      </x:c>
      <x:c r="M1138" s="8" t="n">
        <x:f aca="0">IF(AND(ISNUMBER(H1138),P1138&lt;&gt;"Unresolved unit / layout"),H1138*K1138,"Not applicable")</x:f>
        <x:v>0.0627</x:v>
      </x:c>
      <x:c r="N1138" s="8" t="str">
        <x:f aca="0">IF(AND(ISNUMBER(I1138),P1138&lt;&gt;"Unresolved unit / layout"),I1138*K1138,"Not applicable")</x:f>
        <x:v>Not applicable</x:v>
      </x:c>
      <x:c r="O1138" s="7" t="s">
        <x:v>1937</x:v>
      </x:c>
      <x:c r="P1138" s="7" t="s">
        <x:v>1921</x:v>
      </x:c>
      <x:c r="Q1138" s="7" t="s">
        <x:v>1930</x:v>
      </x:c>
      <x:c r="R1138" s="7" t="s">
        <x:v>1931</x:v>
      </x:c>
      <x:c r="S1138" s="7" t="s">
        <x:v>3378</x:v>
      </x:c>
      <x:c r="T1138" s="7" t="s">
        <x:v>4081</x:v>
      </x:c>
      <x:c r="U1138" s="7" t="s">
        <x:v>53</x:v>
      </x:c>
      <x:c r="V1138" s="7" t="s">
        <x:v>2020</x:v>
      </x:c>
      <x:c r="W1138" s="7" t="s">
        <x:v>58</x:v>
      </x:c>
      <x:c r="X1138" s="7" t="s">
        <x:v>4082</x:v>
      </x:c>
      <x:c r="Y1138" s="7" t="s">
        <x:v>1295</x:v>
      </x:c>
      <x:c r="Z1138" s="7" t="s">
        <x:v>4105</x:v>
      </x:c>
      <x:c r="AA1138" s="7" t="s">
        <x:v>58</x:v>
      </x:c>
      <x:c r="AB1138" s="8" t="s">
        <x:v>58</x:v>
      </x:c>
      <x:c r="AC1138" s="8" t="s">
        <x:v>58</x:v>
      </x:c>
      <x:c r="AD1138" s="8" t="s">
        <x:v>58</x:v>
      </x:c>
      <x:c r="AE1138" s="8" t="s">
        <x:v>58</x:v>
      </x:c>
      <x:c r="AF1138" s="8" t="s">
        <x:v>58</x:v>
      </x:c>
      <x:c r="AG1138" s="7" t="s">
        <x:v>58</x:v>
      </x:c>
    </x:row>
    <x:row r="1139" ht="66" hidden="0" customHeight="1">
      <x:c r="A1139" s="7" t="s">
        <x:v>4203</x:v>
      </x:c>
      <x:c r="B1139" s="7" t="s">
        <x:v>697</x:v>
      </x:c>
      <x:c r="C1139" s="7" t="s">
        <x:v>1297</x:v>
      </x:c>
      <x:c r="D1139" s="7" t="s">
        <x:v>1950</x:v>
      </x:c>
      <x:c r="E1139" s="7" t="s">
        <x:v>4107</x:v>
      </x:c>
      <x:c r="F1139" s="7" t="s">
        <x:v>1929</x:v>
      </x:c>
      <x:c r="G1139" s="8" t="n">
        <x:v>2264.8</x:v>
      </x:c>
      <x:c r="H1139" s="8" t="n">
        <x:v>203.8</x:v>
      </x:c>
      <x:c r="I1139" s="8" t="s">
        <x:v>58</x:v>
      </x:c>
      <x:c r="J1139" s="7" t="s">
        <x:v>1919</x:v>
      </x:c>
      <x:c r="K1139" s="8" t="n">
        <x:v>0.001</x:v>
      </x:c>
      <x:c r="L1139" s="8" t="n">
        <x:f aca="0">IF(AND(ISNUMBER(G1139),P1139&lt;&gt;"Unresolved unit / layout"),G1139*K1139,"Not applicable")</x:f>
        <x:v>2.2648</x:v>
      </x:c>
      <x:c r="M1139" s="8" t="n">
        <x:f aca="0">IF(AND(ISNUMBER(H1139),P1139&lt;&gt;"Unresolved unit / layout"),H1139*K1139,"Not applicable")</x:f>
        <x:v>0.2038</x:v>
      </x:c>
      <x:c r="N1139" s="8" t="str">
        <x:f aca="0">IF(AND(ISNUMBER(I1139),P1139&lt;&gt;"Unresolved unit / layout"),I1139*K1139,"Not applicable")</x:f>
        <x:v>Not applicable</x:v>
      </x:c>
      <x:c r="O1139" s="7" t="s">
        <x:v>1937</x:v>
      </x:c>
      <x:c r="P1139" s="7" t="s">
        <x:v>1921</x:v>
      </x:c>
      <x:c r="Q1139" s="7" t="s">
        <x:v>1930</x:v>
      </x:c>
      <x:c r="R1139" s="7" t="s">
        <x:v>2003</x:v>
      </x:c>
      <x:c r="S1139" s="7" t="s">
        <x:v>3378</x:v>
      </x:c>
      <x:c r="T1139" s="7" t="s">
        <x:v>4081</x:v>
      </x:c>
      <x:c r="U1139" s="7" t="s">
        <x:v>53</x:v>
      </x:c>
      <x:c r="V1139" s="7" t="s">
        <x:v>2020</x:v>
      </x:c>
      <x:c r="W1139" s="7" t="s">
        <x:v>58</x:v>
      </x:c>
      <x:c r="X1139" s="7" t="s">
        <x:v>4082</x:v>
      </x:c>
      <x:c r="Y1139" s="7" t="s">
        <x:v>1295</x:v>
      </x:c>
      <x:c r="Z1139" s="7" t="s">
        <x:v>4108</x:v>
      </x:c>
      <x:c r="AA1139" s="7" t="s">
        <x:v>58</x:v>
      </x:c>
      <x:c r="AB1139" s="8" t="s">
        <x:v>58</x:v>
      </x:c>
      <x:c r="AC1139" s="8" t="s">
        <x:v>58</x:v>
      </x:c>
      <x:c r="AD1139" s="8" t="s">
        <x:v>58</x:v>
      </x:c>
      <x:c r="AE1139" s="8" t="s">
        <x:v>58</x:v>
      </x:c>
      <x:c r="AF1139" s="8" t="s">
        <x:v>58</x:v>
      </x:c>
      <x:c r="AG1139" s="7" t="s">
        <x:v>58</x:v>
      </x:c>
    </x:row>
    <x:row r="1140" ht="66" hidden="0" customHeight="1">
      <x:c r="A1140" s="7" t="s">
        <x:v>4204</x:v>
      </x:c>
      <x:c r="B1140" s="7" t="s">
        <x:v>697</x:v>
      </x:c>
      <x:c r="C1140" s="7" t="s">
        <x:v>1297</x:v>
      </x:c>
      <x:c r="D1140" s="7" t="s">
        <x:v>1945</x:v>
      </x:c>
      <x:c r="E1140" s="7" t="s">
        <x:v>4110</x:v>
      </x:c>
      <x:c r="F1140" s="7" t="s">
        <x:v>1929</x:v>
      </x:c>
      <x:c r="G1140" s="8" t="n">
        <x:v>138</x:v>
      </x:c>
      <x:c r="H1140" s="8" t="n">
        <x:v>2.2</x:v>
      </x:c>
      <x:c r="I1140" s="8" t="s">
        <x:v>58</x:v>
      </x:c>
      <x:c r="J1140" s="7" t="s">
        <x:v>1919</x:v>
      </x:c>
      <x:c r="K1140" s="8" t="n">
        <x:v>1</x:v>
      </x:c>
      <x:c r="L1140" s="8" t="n">
        <x:f aca="0">IF(AND(ISNUMBER(G1140),P1140&lt;&gt;"Unresolved unit / layout"),G1140*K1140,"Not applicable")</x:f>
        <x:v>138</x:v>
      </x:c>
      <x:c r="M1140" s="8" t="n">
        <x:f aca="0">IF(AND(ISNUMBER(H1140),P1140&lt;&gt;"Unresolved unit / layout"),H1140*K1140,"Not applicable")</x:f>
        <x:v>2.2</x:v>
      </x:c>
      <x:c r="N1140" s="8" t="str">
        <x:f aca="0">IF(AND(ISNUMBER(I1140),P1140&lt;&gt;"Unresolved unit / layout"),I1140*K1140,"Not applicable")</x:f>
        <x:v>Not applicable</x:v>
      </x:c>
      <x:c r="O1140" s="7" t="s">
        <x:v>1929</x:v>
      </x:c>
      <x:c r="P1140" s="7" t="s">
        <x:v>1921</x:v>
      </x:c>
      <x:c r="Q1140" s="7" t="s">
        <x:v>1930</x:v>
      </x:c>
      <x:c r="R1140" s="7" t="s">
        <x:v>1931</x:v>
      </x:c>
      <x:c r="S1140" s="7" t="s">
        <x:v>3378</x:v>
      </x:c>
      <x:c r="T1140" s="7" t="s">
        <x:v>4081</x:v>
      </x:c>
      <x:c r="U1140" s="7" t="s">
        <x:v>53</x:v>
      </x:c>
      <x:c r="V1140" s="7" t="s">
        <x:v>2020</x:v>
      </x:c>
      <x:c r="W1140" s="7" t="s">
        <x:v>58</x:v>
      </x:c>
      <x:c r="X1140" s="7" t="s">
        <x:v>4082</x:v>
      </x:c>
      <x:c r="Y1140" s="7" t="s">
        <x:v>1295</x:v>
      </x:c>
      <x:c r="Z1140" s="7" t="s">
        <x:v>4111</x:v>
      </x:c>
      <x:c r="AA1140" s="7" t="s">
        <x:v>58</x:v>
      </x:c>
      <x:c r="AB1140" s="8" t="s">
        <x:v>58</x:v>
      </x:c>
      <x:c r="AC1140" s="8" t="s">
        <x:v>58</x:v>
      </x:c>
      <x:c r="AD1140" s="8" t="s">
        <x:v>58</x:v>
      </x:c>
      <x:c r="AE1140" s="8" t="s">
        <x:v>58</x:v>
      </x:c>
      <x:c r="AF1140" s="8" t="s">
        <x:v>58</x:v>
      </x:c>
      <x:c r="AG1140" s="7" t="s">
        <x:v>58</x:v>
      </x:c>
    </x:row>
    <x:row r="1141" ht="66" hidden="0" customHeight="1">
      <x:c r="A1141" s="7" t="s">
        <x:v>4205</x:v>
      </x:c>
      <x:c r="B1141" s="7" t="s">
        <x:v>697</x:v>
      </x:c>
      <x:c r="C1141" s="7" t="s">
        <x:v>1297</x:v>
      </x:c>
      <x:c r="D1141" s="7" t="s">
        <x:v>1945</x:v>
      </x:c>
      <x:c r="E1141" s="7" t="s">
        <x:v>4113</x:v>
      </x:c>
      <x:c r="F1141" s="7" t="s">
        <x:v>1929</x:v>
      </x:c>
      <x:c r="G1141" s="8" t="n">
        <x:v>73.5</x:v>
      </x:c>
      <x:c r="H1141" s="8" t="n">
        <x:v>3.9</x:v>
      </x:c>
      <x:c r="I1141" s="8" t="s">
        <x:v>58</x:v>
      </x:c>
      <x:c r="J1141" s="7" t="s">
        <x:v>1919</x:v>
      </x:c>
      <x:c r="K1141" s="8" t="n">
        <x:v>1</x:v>
      </x:c>
      <x:c r="L1141" s="8" t="n">
        <x:f aca="0">IF(AND(ISNUMBER(G1141),P1141&lt;&gt;"Unresolved unit / layout"),G1141*K1141,"Not applicable")</x:f>
        <x:v>73.5</x:v>
      </x:c>
      <x:c r="M1141" s="8" t="n">
        <x:f aca="0">IF(AND(ISNUMBER(H1141),P1141&lt;&gt;"Unresolved unit / layout"),H1141*K1141,"Not applicable")</x:f>
        <x:v>3.9</x:v>
      </x:c>
      <x:c r="N1141" s="8" t="str">
        <x:f aca="0">IF(AND(ISNUMBER(I1141),P1141&lt;&gt;"Unresolved unit / layout"),I1141*K1141,"Not applicable")</x:f>
        <x:v>Not applicable</x:v>
      </x:c>
      <x:c r="O1141" s="7" t="s">
        <x:v>1929</x:v>
      </x:c>
      <x:c r="P1141" s="7" t="s">
        <x:v>1921</x:v>
      </x:c>
      <x:c r="Q1141" s="7" t="s">
        <x:v>1930</x:v>
      </x:c>
      <x:c r="R1141" s="7" t="s">
        <x:v>2003</x:v>
      </x:c>
      <x:c r="S1141" s="7" t="s">
        <x:v>3378</x:v>
      </x:c>
      <x:c r="T1141" s="7" t="s">
        <x:v>4081</x:v>
      </x:c>
      <x:c r="U1141" s="7" t="s">
        <x:v>53</x:v>
      </x:c>
      <x:c r="V1141" s="7" t="s">
        <x:v>2020</x:v>
      </x:c>
      <x:c r="W1141" s="7" t="s">
        <x:v>58</x:v>
      </x:c>
      <x:c r="X1141" s="7" t="s">
        <x:v>4082</x:v>
      </x:c>
      <x:c r="Y1141" s="7" t="s">
        <x:v>1295</x:v>
      </x:c>
      <x:c r="Z1141" s="7" t="s">
        <x:v>4114</x:v>
      </x:c>
      <x:c r="AA1141" s="7" t="s">
        <x:v>58</x:v>
      </x:c>
      <x:c r="AB1141" s="8" t="s">
        <x:v>58</x:v>
      </x:c>
      <x:c r="AC1141" s="8" t="s">
        <x:v>58</x:v>
      </x:c>
      <x:c r="AD1141" s="8" t="s">
        <x:v>58</x:v>
      </x:c>
      <x:c r="AE1141" s="8" t="s">
        <x:v>58</x:v>
      </x:c>
      <x:c r="AF1141" s="8" t="s">
        <x:v>58</x:v>
      </x:c>
      <x:c r="AG1141" s="7" t="s">
        <x:v>58</x:v>
      </x:c>
    </x:row>
    <x:row r="1142" ht="66" hidden="0" customHeight="1">
      <x:c r="A1142" s="7" t="s">
        <x:v>4206</x:v>
      </x:c>
      <x:c r="B1142" s="7" t="s">
        <x:v>697</x:v>
      </x:c>
      <x:c r="C1142" s="7" t="s">
        <x:v>1297</x:v>
      </x:c>
      <x:c r="D1142" s="7" t="s">
        <x:v>2030</x:v>
      </x:c>
      <x:c r="E1142" s="7" t="s">
        <x:v>4116</x:v>
      </x:c>
      <x:c r="F1142" s="7" t="s">
        <x:v>2032</x:v>
      </x:c>
      <x:c r="G1142" s="8" t="n">
        <x:v>8.1</x:v>
      </x:c>
      <x:c r="H1142" s="8" t="n">
        <x:v>0.8</x:v>
      </x:c>
      <x:c r="I1142" s="8" t="s">
        <x:v>58</x:v>
      </x:c>
      <x:c r="J1142" s="7" t="s">
        <x:v>1919</x:v>
      </x:c>
      <x:c r="K1142" s="8" t="n">
        <x:v>1</x:v>
      </x:c>
      <x:c r="L1142" s="8" t="n">
        <x:f aca="0">IF(AND(ISNUMBER(G1142),P1142&lt;&gt;"Unresolved unit / layout"),G1142*K1142,"Not applicable")</x:f>
        <x:v>8.1</x:v>
      </x:c>
      <x:c r="M1142" s="8" t="n">
        <x:f aca="0">IF(AND(ISNUMBER(H1142),P1142&lt;&gt;"Unresolved unit / layout"),H1142*K1142,"Not applicable")</x:f>
        <x:v>0.8</x:v>
      </x:c>
      <x:c r="N1142" s="8" t="str">
        <x:f aca="0">IF(AND(ISNUMBER(I1142),P1142&lt;&gt;"Unresolved unit / layout"),I1142*K1142,"Not applicable")</x:f>
        <x:v>Not applicable</x:v>
      </x:c>
      <x:c r="O1142" s="7" t="s">
        <x:v>2033</x:v>
      </x:c>
      <x:c r="P1142" s="7" t="s">
        <x:v>1921</x:v>
      </x:c>
      <x:c r="Q1142" s="7" t="s">
        <x:v>1930</x:v>
      </x:c>
      <x:c r="R1142" s="7" t="s">
        <x:v>1931</x:v>
      </x:c>
      <x:c r="S1142" s="7" t="s">
        <x:v>3378</x:v>
      </x:c>
      <x:c r="T1142" s="7" t="s">
        <x:v>4081</x:v>
      </x:c>
      <x:c r="U1142" s="7" t="s">
        <x:v>53</x:v>
      </x:c>
      <x:c r="V1142" s="7" t="s">
        <x:v>53</x:v>
      </x:c>
      <x:c r="W1142" s="7" t="s">
        <x:v>2139</x:v>
      </x:c>
      <x:c r="X1142" s="7" t="s">
        <x:v>4082</x:v>
      </x:c>
      <x:c r="Y1142" s="7" t="s">
        <x:v>1295</x:v>
      </x:c>
      <x:c r="Z1142" s="7" t="s">
        <x:v>4117</x:v>
      </x:c>
      <x:c r="AA1142" s="7" t="s">
        <x:v>58</x:v>
      </x:c>
      <x:c r="AB1142" s="8" t="s">
        <x:v>58</x:v>
      </x:c>
      <x:c r="AC1142" s="8" t="s">
        <x:v>58</x:v>
      </x:c>
      <x:c r="AD1142" s="8" t="s">
        <x:v>58</x:v>
      </x:c>
      <x:c r="AE1142" s="8" t="s">
        <x:v>58</x:v>
      </x:c>
      <x:c r="AF1142" s="8" t="s">
        <x:v>58</x:v>
      </x:c>
      <x:c r="AG1142" s="7" t="s">
        <x:v>58</x:v>
      </x:c>
    </x:row>
    <x:row r="1143" ht="66" hidden="0" customHeight="1">
      <x:c r="A1143" s="7" t="s">
        <x:v>4207</x:v>
      </x:c>
      <x:c r="B1143" s="7" t="s">
        <x:v>697</x:v>
      </x:c>
      <x:c r="C1143" s="7" t="s">
        <x:v>1297</x:v>
      </x:c>
      <x:c r="D1143" s="7" t="s">
        <x:v>2030</x:v>
      </x:c>
      <x:c r="E1143" s="7" t="s">
        <x:v>4119</x:v>
      </x:c>
      <x:c r="F1143" s="7" t="s">
        <x:v>2032</x:v>
      </x:c>
      <x:c r="G1143" s="8" t="n">
        <x:v>29.9</x:v>
      </x:c>
      <x:c r="H1143" s="8" t="n">
        <x:v>1.6</x:v>
      </x:c>
      <x:c r="I1143" s="8" t="s">
        <x:v>58</x:v>
      </x:c>
      <x:c r="J1143" s="7" t="s">
        <x:v>1919</x:v>
      </x:c>
      <x:c r="K1143" s="8" t="n">
        <x:v>1</x:v>
      </x:c>
      <x:c r="L1143" s="8" t="n">
        <x:f aca="0">IF(AND(ISNUMBER(G1143),P1143&lt;&gt;"Unresolved unit / layout"),G1143*K1143,"Not applicable")</x:f>
        <x:v>29.9</x:v>
      </x:c>
      <x:c r="M1143" s="8" t="n">
        <x:f aca="0">IF(AND(ISNUMBER(H1143),P1143&lt;&gt;"Unresolved unit / layout"),H1143*K1143,"Not applicable")</x:f>
        <x:v>1.6</x:v>
      </x:c>
      <x:c r="N1143" s="8" t="str">
        <x:f aca="0">IF(AND(ISNUMBER(I1143),P1143&lt;&gt;"Unresolved unit / layout"),I1143*K1143,"Not applicable")</x:f>
        <x:v>Not applicable</x:v>
      </x:c>
      <x:c r="O1143" s="7" t="s">
        <x:v>2033</x:v>
      </x:c>
      <x:c r="P1143" s="7" t="s">
        <x:v>1921</x:v>
      </x:c>
      <x:c r="Q1143" s="7" t="s">
        <x:v>1930</x:v>
      </x:c>
      <x:c r="R1143" s="7" t="s">
        <x:v>1931</x:v>
      </x:c>
      <x:c r="S1143" s="7" t="s">
        <x:v>3378</x:v>
      </x:c>
      <x:c r="T1143" s="7" t="s">
        <x:v>4081</x:v>
      </x:c>
      <x:c r="U1143" s="7" t="s">
        <x:v>53</x:v>
      </x:c>
      <x:c r="V1143" s="7" t="s">
        <x:v>2036</x:v>
      </x:c>
      <x:c r="W1143" s="7" t="s">
        <x:v>2139</x:v>
      </x:c>
      <x:c r="X1143" s="7" t="s">
        <x:v>4082</x:v>
      </x:c>
      <x:c r="Y1143" s="7" t="s">
        <x:v>1295</x:v>
      </x:c>
      <x:c r="Z1143" s="7" t="s">
        <x:v>4120</x:v>
      </x:c>
      <x:c r="AA1143" s="7" t="s">
        <x:v>58</x:v>
      </x:c>
      <x:c r="AB1143" s="8" t="s">
        <x:v>58</x:v>
      </x:c>
      <x:c r="AC1143" s="8" t="s">
        <x:v>58</x:v>
      </x:c>
      <x:c r="AD1143" s="8" t="s">
        <x:v>58</x:v>
      </x:c>
      <x:c r="AE1143" s="8" t="s">
        <x:v>58</x:v>
      </x:c>
      <x:c r="AF1143" s="8" t="s">
        <x:v>58</x:v>
      </x:c>
      <x:c r="AG1143" s="7" t="s">
        <x:v>58</x:v>
      </x:c>
    </x:row>
    <x:row r="1144" ht="66" hidden="0" customHeight="1">
      <x:c r="A1144" s="7" t="s">
        <x:v>4208</x:v>
      </x:c>
      <x:c r="B1144" s="7" t="s">
        <x:v>697</x:v>
      </x:c>
      <x:c r="C1144" s="7" t="s">
        <x:v>1297</x:v>
      </x:c>
      <x:c r="D1144" s="7" t="s">
        <x:v>2030</x:v>
      </x:c>
      <x:c r="E1144" s="7" t="s">
        <x:v>4122</x:v>
      </x:c>
      <x:c r="F1144" s="7" t="s">
        <x:v>2032</x:v>
      </x:c>
      <x:c r="G1144" s="8" t="n">
        <x:v>12.6</x:v>
      </x:c>
      <x:c r="H1144" s="8" t="n">
        <x:v>1.4</x:v>
      </x:c>
      <x:c r="I1144" s="8" t="s">
        <x:v>58</x:v>
      </x:c>
      <x:c r="J1144" s="7" t="s">
        <x:v>1919</x:v>
      </x:c>
      <x:c r="K1144" s="8" t="n">
        <x:v>1</x:v>
      </x:c>
      <x:c r="L1144" s="8" t="n">
        <x:f aca="0">IF(AND(ISNUMBER(G1144),P1144&lt;&gt;"Unresolved unit / layout"),G1144*K1144,"Not applicable")</x:f>
        <x:v>12.6</x:v>
      </x:c>
      <x:c r="M1144" s="8" t="n">
        <x:f aca="0">IF(AND(ISNUMBER(H1144),P1144&lt;&gt;"Unresolved unit / layout"),H1144*K1144,"Not applicable")</x:f>
        <x:v>1.4</x:v>
      </x:c>
      <x:c r="N1144" s="8" t="str">
        <x:f aca="0">IF(AND(ISNUMBER(I1144),P1144&lt;&gt;"Unresolved unit / layout"),I1144*K1144,"Not applicable")</x:f>
        <x:v>Not applicable</x:v>
      </x:c>
      <x:c r="O1144" s="7" t="s">
        <x:v>2033</x:v>
      </x:c>
      <x:c r="P1144" s="7" t="s">
        <x:v>1921</x:v>
      </x:c>
      <x:c r="Q1144" s="7" t="s">
        <x:v>1930</x:v>
      </x:c>
      <x:c r="R1144" s="7" t="s">
        <x:v>2003</x:v>
      </x:c>
      <x:c r="S1144" s="7" t="s">
        <x:v>3378</x:v>
      </x:c>
      <x:c r="T1144" s="7" t="s">
        <x:v>4081</x:v>
      </x:c>
      <x:c r="U1144" s="7" t="s">
        <x:v>53</x:v>
      </x:c>
      <x:c r="V1144" s="7" t="s">
        <x:v>2036</x:v>
      </x:c>
      <x:c r="W1144" s="7" t="s">
        <x:v>2139</x:v>
      </x:c>
      <x:c r="X1144" s="7" t="s">
        <x:v>4082</x:v>
      </x:c>
      <x:c r="Y1144" s="7" t="s">
        <x:v>1295</x:v>
      </x:c>
      <x:c r="Z1144" s="7" t="s">
        <x:v>4123</x:v>
      </x:c>
      <x:c r="AA1144" s="7" t="s">
        <x:v>58</x:v>
      </x:c>
      <x:c r="AB1144" s="8" t="s">
        <x:v>58</x:v>
      </x:c>
      <x:c r="AC1144" s="8" t="s">
        <x:v>58</x:v>
      </x:c>
      <x:c r="AD1144" s="8" t="s">
        <x:v>58</x:v>
      </x:c>
      <x:c r="AE1144" s="8" t="s">
        <x:v>58</x:v>
      </x:c>
      <x:c r="AF1144" s="8" t="s">
        <x:v>58</x:v>
      </x:c>
      <x:c r="AG1144" s="7" t="s">
        <x:v>58</x:v>
      </x:c>
    </x:row>
    <x:row r="1145" ht="66" hidden="0" customHeight="1">
      <x:c r="A1145" s="7" t="s">
        <x:v>4209</x:v>
      </x:c>
      <x:c r="B1145" s="7" t="s">
        <x:v>697</x:v>
      </x:c>
      <x:c r="C1145" s="7" t="s">
        <x:v>1297</x:v>
      </x:c>
      <x:c r="D1145" s="7" t="s">
        <x:v>1935</x:v>
      </x:c>
      <x:c r="E1145" s="7" t="s">
        <x:v>4125</x:v>
      </x:c>
      <x:c r="F1145" s="7" t="s">
        <x:v>1929</x:v>
      </x:c>
      <x:c r="G1145" s="8" t="n">
        <x:v>3990.8</x:v>
      </x:c>
      <x:c r="H1145" s="8" t="n">
        <x:v>136.5</x:v>
      </x:c>
      <x:c r="I1145" s="8" t="s">
        <x:v>58</x:v>
      </x:c>
      <x:c r="J1145" s="7" t="s">
        <x:v>1919</x:v>
      </x:c>
      <x:c r="K1145" s="8" t="n">
        <x:v>0.001</x:v>
      </x:c>
      <x:c r="L1145" s="8" t="n">
        <x:f aca="0">IF(AND(ISNUMBER(G1145),P1145&lt;&gt;"Unresolved unit / layout"),G1145*K1145,"Not applicable")</x:f>
        <x:v>3.9908</x:v>
      </x:c>
      <x:c r="M1145" s="8" t="n">
        <x:f aca="0">IF(AND(ISNUMBER(H1145),P1145&lt;&gt;"Unresolved unit / layout"),H1145*K1145,"Not applicable")</x:f>
        <x:v>0.1365</x:v>
      </x:c>
      <x:c r="N1145" s="8" t="str">
        <x:f aca="0">IF(AND(ISNUMBER(I1145),P1145&lt;&gt;"Unresolved unit / layout"),I1145*K1145,"Not applicable")</x:f>
        <x:v>Not applicable</x:v>
      </x:c>
      <x:c r="O1145" s="7" t="s">
        <x:v>1937</x:v>
      </x:c>
      <x:c r="P1145" s="7" t="s">
        <x:v>1921</x:v>
      </x:c>
      <x:c r="Q1145" s="7" t="s">
        <x:v>1930</x:v>
      </x:c>
      <x:c r="R1145" s="7" t="s">
        <x:v>1931</x:v>
      </x:c>
      <x:c r="S1145" s="7" t="s">
        <x:v>4126</x:v>
      </x:c>
      <x:c r="T1145" s="7" t="s">
        <x:v>4081</x:v>
      </x:c>
      <x:c r="U1145" s="7" t="s">
        <x:v>53</x:v>
      </x:c>
      <x:c r="V1145" s="7" t="s">
        <x:v>1999</x:v>
      </x:c>
      <x:c r="W1145" s="7" t="s">
        <x:v>58</x:v>
      </x:c>
      <x:c r="X1145" s="7" t="s">
        <x:v>4082</x:v>
      </x:c>
      <x:c r="Y1145" s="7" t="s">
        <x:v>1295</x:v>
      </x:c>
      <x:c r="Z1145" s="7" t="s">
        <x:v>4089</x:v>
      </x:c>
      <x:c r="AA1145" s="7" t="s">
        <x:v>58</x:v>
      </x:c>
      <x:c r="AB1145" s="8" t="s">
        <x:v>58</x:v>
      </x:c>
      <x:c r="AC1145" s="8" t="s">
        <x:v>58</x:v>
      </x:c>
      <x:c r="AD1145" s="8" t="s">
        <x:v>58</x:v>
      </x:c>
      <x:c r="AE1145" s="8" t="s">
        <x:v>58</x:v>
      </x:c>
      <x:c r="AF1145" s="8" t="s">
        <x:v>58</x:v>
      </x:c>
      <x:c r="AG1145" s="7" t="s">
        <x:v>58</x:v>
      </x:c>
    </x:row>
    <x:row r="1146" ht="66" hidden="0" customHeight="1">
      <x:c r="A1146" s="7" t="s">
        <x:v>4210</x:v>
      </x:c>
      <x:c r="B1146" s="7" t="s">
        <x:v>697</x:v>
      </x:c>
      <x:c r="C1146" s="7" t="s">
        <x:v>1297</x:v>
      </x:c>
      <x:c r="D1146" s="7" t="s">
        <x:v>1935</x:v>
      </x:c>
      <x:c r="E1146" s="7" t="s">
        <x:v>4128</x:v>
      </x:c>
      <x:c r="F1146" s="7" t="s">
        <x:v>1929</x:v>
      </x:c>
      <x:c r="G1146" s="8" t="n">
        <x:v>2386.8</x:v>
      </x:c>
      <x:c r="H1146" s="8" t="n">
        <x:v>150.2</x:v>
      </x:c>
      <x:c r="I1146" s="8" t="s">
        <x:v>58</x:v>
      </x:c>
      <x:c r="J1146" s="7" t="s">
        <x:v>1919</x:v>
      </x:c>
      <x:c r="K1146" s="8" t="n">
        <x:v>0.001</x:v>
      </x:c>
      <x:c r="L1146" s="8" t="n">
        <x:f aca="0">IF(AND(ISNUMBER(G1146),P1146&lt;&gt;"Unresolved unit / layout"),G1146*K1146,"Not applicable")</x:f>
        <x:v>2.3868</x:v>
      </x:c>
      <x:c r="M1146" s="8" t="n">
        <x:f aca="0">IF(AND(ISNUMBER(H1146),P1146&lt;&gt;"Unresolved unit / layout"),H1146*K1146,"Not applicable")</x:f>
        <x:v>0.1502</x:v>
      </x:c>
      <x:c r="N1146" s="8" t="str">
        <x:f aca="0">IF(AND(ISNUMBER(I1146),P1146&lt;&gt;"Unresolved unit / layout"),I1146*K1146,"Not applicable")</x:f>
        <x:v>Not applicable</x:v>
      </x:c>
      <x:c r="O1146" s="7" t="s">
        <x:v>1937</x:v>
      </x:c>
      <x:c r="P1146" s="7" t="s">
        <x:v>1921</x:v>
      </x:c>
      <x:c r="Q1146" s="7" t="s">
        <x:v>1930</x:v>
      </x:c>
      <x:c r="R1146" s="7" t="s">
        <x:v>2003</x:v>
      </x:c>
      <x:c r="S1146" s="7" t="s">
        <x:v>4126</x:v>
      </x:c>
      <x:c r="T1146" s="7" t="s">
        <x:v>4081</x:v>
      </x:c>
      <x:c r="U1146" s="7" t="s">
        <x:v>53</x:v>
      </x:c>
      <x:c r="V1146" s="7" t="s">
        <x:v>1999</x:v>
      </x:c>
      <x:c r="W1146" s="7" t="s">
        <x:v>58</x:v>
      </x:c>
      <x:c r="X1146" s="7" t="s">
        <x:v>4082</x:v>
      </x:c>
      <x:c r="Y1146" s="7" t="s">
        <x:v>1295</x:v>
      </x:c>
      <x:c r="Z1146" s="7" t="s">
        <x:v>4092</x:v>
      </x:c>
      <x:c r="AA1146" s="7" t="s">
        <x:v>58</x:v>
      </x:c>
      <x:c r="AB1146" s="8" t="s">
        <x:v>58</x:v>
      </x:c>
      <x:c r="AC1146" s="8" t="s">
        <x:v>58</x:v>
      </x:c>
      <x:c r="AD1146" s="8" t="s">
        <x:v>58</x:v>
      </x:c>
      <x:c r="AE1146" s="8" t="s">
        <x:v>58</x:v>
      </x:c>
      <x:c r="AF1146" s="8" t="s">
        <x:v>58</x:v>
      </x:c>
      <x:c r="AG1146" s="7" t="s">
        <x:v>58</x:v>
      </x:c>
    </x:row>
    <x:row r="1147" ht="66" hidden="0" customHeight="1">
      <x:c r="A1147" s="7" t="s">
        <x:v>4211</x:v>
      </x:c>
      <x:c r="B1147" s="7" t="s">
        <x:v>697</x:v>
      </x:c>
      <x:c r="C1147" s="7" t="s">
        <x:v>1297</x:v>
      </x:c>
      <x:c r="D1147" s="7" t="s">
        <x:v>2006</x:v>
      </x:c>
      <x:c r="E1147" s="7" t="s">
        <x:v>4130</x:v>
      </x:c>
      <x:c r="F1147" s="7" t="s">
        <x:v>1929</x:v>
      </x:c>
      <x:c r="G1147" s="8" t="n">
        <x:v>83.1</x:v>
      </x:c>
      <x:c r="H1147" s="8" t="n">
        <x:v>2.2</x:v>
      </x:c>
      <x:c r="I1147" s="8" t="s">
        <x:v>58</x:v>
      </x:c>
      <x:c r="J1147" s="7" t="s">
        <x:v>1919</x:v>
      </x:c>
      <x:c r="K1147" s="8" t="n">
        <x:v>1</x:v>
      </x:c>
      <x:c r="L1147" s="8" t="n">
        <x:f aca="0">IF(AND(ISNUMBER(G1147),P1147&lt;&gt;"Unresolved unit / layout"),G1147*K1147,"Not applicable")</x:f>
        <x:v>83.1</x:v>
      </x:c>
      <x:c r="M1147" s="8" t="n">
        <x:f aca="0">IF(AND(ISNUMBER(H1147),P1147&lt;&gt;"Unresolved unit / layout"),H1147*K1147,"Not applicable")</x:f>
        <x:v>2.2</x:v>
      </x:c>
      <x:c r="N1147" s="8" t="str">
        <x:f aca="0">IF(AND(ISNUMBER(I1147),P1147&lt;&gt;"Unresolved unit / layout"),I1147*K1147,"Not applicable")</x:f>
        <x:v>Not applicable</x:v>
      </x:c>
      <x:c r="O1147" s="7" t="s">
        <x:v>1929</x:v>
      </x:c>
      <x:c r="P1147" s="7" t="s">
        <x:v>1921</x:v>
      </x:c>
      <x:c r="Q1147" s="7" t="s">
        <x:v>1930</x:v>
      </x:c>
      <x:c r="R1147" s="7" t="s">
        <x:v>1931</x:v>
      </x:c>
      <x:c r="S1147" s="7" t="s">
        <x:v>4126</x:v>
      </x:c>
      <x:c r="T1147" s="7" t="s">
        <x:v>4081</x:v>
      </x:c>
      <x:c r="U1147" s="7" t="s">
        <x:v>53</x:v>
      </x:c>
      <x:c r="V1147" s="7" t="s">
        <x:v>1999</x:v>
      </x:c>
      <x:c r="W1147" s="7" t="s">
        <x:v>58</x:v>
      </x:c>
      <x:c r="X1147" s="7" t="s">
        <x:v>4082</x:v>
      </x:c>
      <x:c r="Y1147" s="7" t="s">
        <x:v>1295</x:v>
      </x:c>
      <x:c r="Z1147" s="7" t="s">
        <x:v>4095</x:v>
      </x:c>
      <x:c r="AA1147" s="7" t="s">
        <x:v>58</x:v>
      </x:c>
      <x:c r="AB1147" s="8" t="s">
        <x:v>58</x:v>
      </x:c>
      <x:c r="AC1147" s="8" t="s">
        <x:v>58</x:v>
      </x:c>
      <x:c r="AD1147" s="8" t="s">
        <x:v>58</x:v>
      </x:c>
      <x:c r="AE1147" s="8" t="s">
        <x:v>58</x:v>
      </x:c>
      <x:c r="AF1147" s="8" t="s">
        <x:v>58</x:v>
      </x:c>
      <x:c r="AG1147" s="7" t="s">
        <x:v>58</x:v>
      </x:c>
    </x:row>
    <x:row r="1148" ht="66" hidden="0" customHeight="1">
      <x:c r="A1148" s="7" t="s">
        <x:v>4212</x:v>
      </x:c>
      <x:c r="B1148" s="7" t="s">
        <x:v>697</x:v>
      </x:c>
      <x:c r="C1148" s="7" t="s">
        <x:v>1297</x:v>
      </x:c>
      <x:c r="D1148" s="7" t="s">
        <x:v>2006</x:v>
      </x:c>
      <x:c r="E1148" s="7" t="s">
        <x:v>4132</x:v>
      </x:c>
      <x:c r="F1148" s="7" t="s">
        <x:v>1929</x:v>
      </x:c>
      <x:c r="G1148" s="8" t="n">
        <x:v>35.6</x:v>
      </x:c>
      <x:c r="H1148" s="8" t="n">
        <x:v>3</x:v>
      </x:c>
      <x:c r="I1148" s="8" t="s">
        <x:v>58</x:v>
      </x:c>
      <x:c r="J1148" s="7" t="s">
        <x:v>1919</x:v>
      </x:c>
      <x:c r="K1148" s="8" t="n">
        <x:v>1</x:v>
      </x:c>
      <x:c r="L1148" s="8" t="n">
        <x:f aca="0">IF(AND(ISNUMBER(G1148),P1148&lt;&gt;"Unresolved unit / layout"),G1148*K1148,"Not applicable")</x:f>
        <x:v>35.6</x:v>
      </x:c>
      <x:c r="M1148" s="8" t="n">
        <x:f aca="0">IF(AND(ISNUMBER(H1148),P1148&lt;&gt;"Unresolved unit / layout"),H1148*K1148,"Not applicable")</x:f>
        <x:v>3</x:v>
      </x:c>
      <x:c r="N1148" s="8" t="str">
        <x:f aca="0">IF(AND(ISNUMBER(I1148),P1148&lt;&gt;"Unresolved unit / layout"),I1148*K1148,"Not applicable")</x:f>
        <x:v>Not applicable</x:v>
      </x:c>
      <x:c r="O1148" s="7" t="s">
        <x:v>1929</x:v>
      </x:c>
      <x:c r="P1148" s="7" t="s">
        <x:v>1921</x:v>
      </x:c>
      <x:c r="Q1148" s="7" t="s">
        <x:v>1930</x:v>
      </x:c>
      <x:c r="R1148" s="7" t="s">
        <x:v>2003</x:v>
      </x:c>
      <x:c r="S1148" s="7" t="s">
        <x:v>4126</x:v>
      </x:c>
      <x:c r="T1148" s="7" t="s">
        <x:v>4081</x:v>
      </x:c>
      <x:c r="U1148" s="7" t="s">
        <x:v>53</x:v>
      </x:c>
      <x:c r="V1148" s="7" t="s">
        <x:v>1999</x:v>
      </x:c>
      <x:c r="W1148" s="7" t="s">
        <x:v>58</x:v>
      </x:c>
      <x:c r="X1148" s="7" t="s">
        <x:v>4082</x:v>
      </x:c>
      <x:c r="Y1148" s="7" t="s">
        <x:v>1295</x:v>
      </x:c>
      <x:c r="Z1148" s="7" t="s">
        <x:v>3497</x:v>
      </x:c>
      <x:c r="AA1148" s="7" t="s">
        <x:v>58</x:v>
      </x:c>
      <x:c r="AB1148" s="8" t="s">
        <x:v>58</x:v>
      </x:c>
      <x:c r="AC1148" s="8" t="s">
        <x:v>58</x:v>
      </x:c>
      <x:c r="AD1148" s="8" t="s">
        <x:v>58</x:v>
      </x:c>
      <x:c r="AE1148" s="8" t="s">
        <x:v>58</x:v>
      </x:c>
      <x:c r="AF1148" s="8" t="s">
        <x:v>58</x:v>
      </x:c>
      <x:c r="AG1148" s="7" t="s">
        <x:v>58</x:v>
      </x:c>
    </x:row>
    <x:row r="1149" ht="66" hidden="0" customHeight="1">
      <x:c r="A1149" s="7" t="s">
        <x:v>4213</x:v>
      </x:c>
      <x:c r="B1149" s="7" t="s">
        <x:v>697</x:v>
      </x:c>
      <x:c r="C1149" s="7" t="s">
        <x:v>1297</x:v>
      </x:c>
      <x:c r="D1149" s="7" t="s">
        <x:v>1940</x:v>
      </x:c>
      <x:c r="E1149" s="7" t="s">
        <x:v>4134</x:v>
      </x:c>
      <x:c r="F1149" s="7" t="s">
        <x:v>1942</x:v>
      </x:c>
      <x:c r="G1149" s="8" t="n">
        <x:v>4.1</x:v>
      </x:c>
      <x:c r="H1149" s="8" t="n">
        <x:v>0.3</x:v>
      </x:c>
      <x:c r="I1149" s="8" t="s">
        <x:v>58</x:v>
      </x:c>
      <x:c r="J1149" s="7" t="s">
        <x:v>1919</x:v>
      </x:c>
      <x:c r="K1149" s="8" t="n">
        <x:v>1</x:v>
      </x:c>
      <x:c r="L1149" s="8" t="n">
        <x:f aca="0">IF(AND(ISNUMBER(G1149),P1149&lt;&gt;"Unresolved unit / layout"),G1149*K1149,"Not applicable")</x:f>
        <x:v>4.1</x:v>
      </x:c>
      <x:c r="M1149" s="8" t="n">
        <x:f aca="0">IF(AND(ISNUMBER(H1149),P1149&lt;&gt;"Unresolved unit / layout"),H1149*K1149,"Not applicable")</x:f>
        <x:v>0.3</x:v>
      </x:c>
      <x:c r="N1149" s="8" t="str">
        <x:f aca="0">IF(AND(ISNUMBER(I1149),P1149&lt;&gt;"Unresolved unit / layout"),I1149*K1149,"Not applicable")</x:f>
        <x:v>Not applicable</x:v>
      </x:c>
      <x:c r="O1149" s="7" t="s">
        <x:v>1942</x:v>
      </x:c>
      <x:c r="P1149" s="7" t="s">
        <x:v>1921</x:v>
      </x:c>
      <x:c r="Q1149" s="7" t="s">
        <x:v>1930</x:v>
      </x:c>
      <x:c r="R1149" s="7" t="s">
        <x:v>1931</x:v>
      </x:c>
      <x:c r="S1149" s="7" t="s">
        <x:v>4126</x:v>
      </x:c>
      <x:c r="T1149" s="7" t="s">
        <x:v>4081</x:v>
      </x:c>
      <x:c r="U1149" s="7" t="s">
        <x:v>53</x:v>
      </x:c>
      <x:c r="V1149" s="7" t="s">
        <x:v>1999</x:v>
      </x:c>
      <x:c r="W1149" s="7" t="s">
        <x:v>58</x:v>
      </x:c>
      <x:c r="X1149" s="7" t="s">
        <x:v>4082</x:v>
      </x:c>
      <x:c r="Y1149" s="7" t="s">
        <x:v>1295</x:v>
      </x:c>
      <x:c r="Z1149" s="7" t="s">
        <x:v>4100</x:v>
      </x:c>
      <x:c r="AA1149" s="7" t="s">
        <x:v>58</x:v>
      </x:c>
      <x:c r="AB1149" s="8" t="s">
        <x:v>58</x:v>
      </x:c>
      <x:c r="AC1149" s="8" t="s">
        <x:v>58</x:v>
      </x:c>
      <x:c r="AD1149" s="8" t="s">
        <x:v>58</x:v>
      </x:c>
      <x:c r="AE1149" s="8" t="s">
        <x:v>58</x:v>
      </x:c>
      <x:c r="AF1149" s="8" t="s">
        <x:v>58</x:v>
      </x:c>
      <x:c r="AG1149" s="7" t="s">
        <x:v>58</x:v>
      </x:c>
    </x:row>
    <x:row r="1150" ht="66" hidden="0" customHeight="1">
      <x:c r="A1150" s="7" t="s">
        <x:v>4214</x:v>
      </x:c>
      <x:c r="B1150" s="7" t="s">
        <x:v>697</x:v>
      </x:c>
      <x:c r="C1150" s="7" t="s">
        <x:v>1297</x:v>
      </x:c>
      <x:c r="D1150" s="7" t="s">
        <x:v>1940</x:v>
      </x:c>
      <x:c r="E1150" s="7" t="s">
        <x:v>2368</x:v>
      </x:c>
      <x:c r="F1150" s="7" t="s">
        <x:v>1942</x:v>
      </x:c>
      <x:c r="G1150" s="8" t="n">
        <x:v>1.7</x:v>
      </x:c>
      <x:c r="H1150" s="8" t="n">
        <x:v>0.2</x:v>
      </x:c>
      <x:c r="I1150" s="8" t="s">
        <x:v>58</x:v>
      </x:c>
      <x:c r="J1150" s="7" t="s">
        <x:v>1919</x:v>
      </x:c>
      <x:c r="K1150" s="8" t="n">
        <x:v>1</x:v>
      </x:c>
      <x:c r="L1150" s="8" t="n">
        <x:f aca="0">IF(AND(ISNUMBER(G1150),P1150&lt;&gt;"Unresolved unit / layout"),G1150*K1150,"Not applicable")</x:f>
        <x:v>1.7</x:v>
      </x:c>
      <x:c r="M1150" s="8" t="n">
        <x:f aca="0">IF(AND(ISNUMBER(H1150),P1150&lt;&gt;"Unresolved unit / layout"),H1150*K1150,"Not applicable")</x:f>
        <x:v>0.2</x:v>
      </x:c>
      <x:c r="N1150" s="8" t="str">
        <x:f aca="0">IF(AND(ISNUMBER(I1150),P1150&lt;&gt;"Unresolved unit / layout"),I1150*K1150,"Not applicable")</x:f>
        <x:v>Not applicable</x:v>
      </x:c>
      <x:c r="O1150" s="7" t="s">
        <x:v>1942</x:v>
      </x:c>
      <x:c r="P1150" s="7" t="s">
        <x:v>1921</x:v>
      </x:c>
      <x:c r="Q1150" s="7" t="s">
        <x:v>1930</x:v>
      </x:c>
      <x:c r="R1150" s="7" t="s">
        <x:v>2003</x:v>
      </x:c>
      <x:c r="S1150" s="7" t="s">
        <x:v>4126</x:v>
      </x:c>
      <x:c r="T1150" s="7" t="s">
        <x:v>4081</x:v>
      </x:c>
      <x:c r="U1150" s="7" t="s">
        <x:v>53</x:v>
      </x:c>
      <x:c r="V1150" s="7" t="s">
        <x:v>1999</x:v>
      </x:c>
      <x:c r="W1150" s="7" t="s">
        <x:v>58</x:v>
      </x:c>
      <x:c r="X1150" s="7" t="s">
        <x:v>4082</x:v>
      </x:c>
      <x:c r="Y1150" s="7" t="s">
        <x:v>1295</x:v>
      </x:c>
      <x:c r="Z1150" s="7" t="s">
        <x:v>3503</x:v>
      </x:c>
      <x:c r="AA1150" s="7" t="s">
        <x:v>58</x:v>
      </x:c>
      <x:c r="AB1150" s="8" t="s">
        <x:v>58</x:v>
      </x:c>
      <x:c r="AC1150" s="8" t="s">
        <x:v>58</x:v>
      </x:c>
      <x:c r="AD1150" s="8" t="s">
        <x:v>58</x:v>
      </x:c>
      <x:c r="AE1150" s="8" t="s">
        <x:v>58</x:v>
      </x:c>
      <x:c r="AF1150" s="8" t="s">
        <x:v>58</x:v>
      </x:c>
      <x:c r="AG1150" s="7" t="s">
        <x:v>58</x:v>
      </x:c>
    </x:row>
    <x:row r="1151" ht="66" hidden="0" customHeight="1">
      <x:c r="A1151" s="7" t="s">
        <x:v>4215</x:v>
      </x:c>
      <x:c r="B1151" s="7" t="s">
        <x:v>697</x:v>
      </x:c>
      <x:c r="C1151" s="7" t="s">
        <x:v>1297</x:v>
      </x:c>
      <x:c r="D1151" s="7" t="s">
        <x:v>1950</x:v>
      </x:c>
      <x:c r="E1151" s="7" t="s">
        <x:v>4137</x:v>
      </x:c>
      <x:c r="F1151" s="7" t="s">
        <x:v>1929</x:v>
      </x:c>
      <x:c r="G1151" s="8" t="n">
        <x:v>3888.3</x:v>
      </x:c>
      <x:c r="H1151" s="8" t="n">
        <x:v>56.3</x:v>
      </x:c>
      <x:c r="I1151" s="8" t="s">
        <x:v>58</x:v>
      </x:c>
      <x:c r="J1151" s="7" t="s">
        <x:v>1919</x:v>
      </x:c>
      <x:c r="K1151" s="8" t="n">
        <x:v>0.001</x:v>
      </x:c>
      <x:c r="L1151" s="8" t="n">
        <x:f aca="0">IF(AND(ISNUMBER(G1151),P1151&lt;&gt;"Unresolved unit / layout"),G1151*K1151,"Not applicable")</x:f>
        <x:v>3.8883</x:v>
      </x:c>
      <x:c r="M1151" s="8" t="n">
        <x:f aca="0">IF(AND(ISNUMBER(H1151),P1151&lt;&gt;"Unresolved unit / layout"),H1151*K1151,"Not applicable")</x:f>
        <x:v>0.056299999999999996</x:v>
      </x:c>
      <x:c r="N1151" s="8" t="str">
        <x:f aca="0">IF(AND(ISNUMBER(I1151),P1151&lt;&gt;"Unresolved unit / layout"),I1151*K1151,"Not applicable")</x:f>
        <x:v>Not applicable</x:v>
      </x:c>
      <x:c r="O1151" s="7" t="s">
        <x:v>1937</x:v>
      </x:c>
      <x:c r="P1151" s="7" t="s">
        <x:v>1921</x:v>
      </x:c>
      <x:c r="Q1151" s="7" t="s">
        <x:v>1930</x:v>
      </x:c>
      <x:c r="R1151" s="7" t="s">
        <x:v>1931</x:v>
      </x:c>
      <x:c r="S1151" s="7" t="s">
        <x:v>4126</x:v>
      </x:c>
      <x:c r="T1151" s="7" t="s">
        <x:v>4081</x:v>
      </x:c>
      <x:c r="U1151" s="7" t="s">
        <x:v>53</x:v>
      </x:c>
      <x:c r="V1151" s="7" t="s">
        <x:v>2020</x:v>
      </x:c>
      <x:c r="W1151" s="7" t="s">
        <x:v>58</x:v>
      </x:c>
      <x:c r="X1151" s="7" t="s">
        <x:v>4082</x:v>
      </x:c>
      <x:c r="Y1151" s="7" t="s">
        <x:v>1295</x:v>
      </x:c>
      <x:c r="Z1151" s="7" t="s">
        <x:v>4105</x:v>
      </x:c>
      <x:c r="AA1151" s="7" t="s">
        <x:v>58</x:v>
      </x:c>
      <x:c r="AB1151" s="8" t="s">
        <x:v>58</x:v>
      </x:c>
      <x:c r="AC1151" s="8" t="s">
        <x:v>58</x:v>
      </x:c>
      <x:c r="AD1151" s="8" t="s">
        <x:v>58</x:v>
      </x:c>
      <x:c r="AE1151" s="8" t="s">
        <x:v>58</x:v>
      </x:c>
      <x:c r="AF1151" s="8" t="s">
        <x:v>58</x:v>
      </x:c>
      <x:c r="AG1151" s="7" t="s">
        <x:v>58</x:v>
      </x:c>
    </x:row>
    <x:row r="1152" ht="66" hidden="0" customHeight="1">
      <x:c r="A1152" s="7" t="s">
        <x:v>4216</x:v>
      </x:c>
      <x:c r="B1152" s="7" t="s">
        <x:v>697</x:v>
      </x:c>
      <x:c r="C1152" s="7" t="s">
        <x:v>1297</x:v>
      </x:c>
      <x:c r="D1152" s="7" t="s">
        <x:v>1950</x:v>
      </x:c>
      <x:c r="E1152" s="7" t="s">
        <x:v>4139</x:v>
      </x:c>
      <x:c r="F1152" s="7" t="s">
        <x:v>1929</x:v>
      </x:c>
      <x:c r="G1152" s="8" t="n">
        <x:v>1764.5</x:v>
      </x:c>
      <x:c r="H1152" s="8" t="n">
        <x:v>98.9</x:v>
      </x:c>
      <x:c r="I1152" s="8" t="s">
        <x:v>58</x:v>
      </x:c>
      <x:c r="J1152" s="7" t="s">
        <x:v>1919</x:v>
      </x:c>
      <x:c r="K1152" s="8" t="n">
        <x:v>0.001</x:v>
      </x:c>
      <x:c r="L1152" s="8" t="n">
        <x:f aca="0">IF(AND(ISNUMBER(G1152),P1152&lt;&gt;"Unresolved unit / layout"),G1152*K1152,"Not applicable")</x:f>
        <x:v>1.7645</x:v>
      </x:c>
      <x:c r="M1152" s="8" t="n">
        <x:f aca="0">IF(AND(ISNUMBER(H1152),P1152&lt;&gt;"Unresolved unit / layout"),H1152*K1152,"Not applicable")</x:f>
        <x:v>0.0989</x:v>
      </x:c>
      <x:c r="N1152" s="8" t="str">
        <x:f aca="0">IF(AND(ISNUMBER(I1152),P1152&lt;&gt;"Unresolved unit / layout"),I1152*K1152,"Not applicable")</x:f>
        <x:v>Not applicable</x:v>
      </x:c>
      <x:c r="O1152" s="7" t="s">
        <x:v>1937</x:v>
      </x:c>
      <x:c r="P1152" s="7" t="s">
        <x:v>1921</x:v>
      </x:c>
      <x:c r="Q1152" s="7" t="s">
        <x:v>1930</x:v>
      </x:c>
      <x:c r="R1152" s="7" t="s">
        <x:v>2003</x:v>
      </x:c>
      <x:c r="S1152" s="7" t="s">
        <x:v>4126</x:v>
      </x:c>
      <x:c r="T1152" s="7" t="s">
        <x:v>4081</x:v>
      </x:c>
      <x:c r="U1152" s="7" t="s">
        <x:v>53</x:v>
      </x:c>
      <x:c r="V1152" s="7" t="s">
        <x:v>2020</x:v>
      </x:c>
      <x:c r="W1152" s="7" t="s">
        <x:v>58</x:v>
      </x:c>
      <x:c r="X1152" s="7" t="s">
        <x:v>4082</x:v>
      </x:c>
      <x:c r="Y1152" s="7" t="s">
        <x:v>1295</x:v>
      </x:c>
      <x:c r="Z1152" s="7" t="s">
        <x:v>4108</x:v>
      </x:c>
      <x:c r="AA1152" s="7" t="s">
        <x:v>58</x:v>
      </x:c>
      <x:c r="AB1152" s="8" t="s">
        <x:v>58</x:v>
      </x:c>
      <x:c r="AC1152" s="8" t="s">
        <x:v>58</x:v>
      </x:c>
      <x:c r="AD1152" s="8" t="s">
        <x:v>58</x:v>
      </x:c>
      <x:c r="AE1152" s="8" t="s">
        <x:v>58</x:v>
      </x:c>
      <x:c r="AF1152" s="8" t="s">
        <x:v>58</x:v>
      </x:c>
      <x:c r="AG1152" s="7" t="s">
        <x:v>58</x:v>
      </x:c>
    </x:row>
    <x:row r="1153" ht="66" hidden="0" customHeight="1">
      <x:c r="A1153" s="7" t="s">
        <x:v>4217</x:v>
      </x:c>
      <x:c r="B1153" s="7" t="s">
        <x:v>697</x:v>
      </x:c>
      <x:c r="C1153" s="7" t="s">
        <x:v>1297</x:v>
      </x:c>
      <x:c r="D1153" s="7" t="s">
        <x:v>1945</x:v>
      </x:c>
      <x:c r="E1153" s="7" t="s">
        <x:v>4141</x:v>
      </x:c>
      <x:c r="F1153" s="7" t="s">
        <x:v>1929</x:v>
      </x:c>
      <x:c r="G1153" s="8" t="n">
        <x:v>118.1</x:v>
      </x:c>
      <x:c r="H1153" s="8" t="n">
        <x:v>1.6</x:v>
      </x:c>
      <x:c r="I1153" s="8" t="s">
        <x:v>58</x:v>
      </x:c>
      <x:c r="J1153" s="7" t="s">
        <x:v>1919</x:v>
      </x:c>
      <x:c r="K1153" s="8" t="n">
        <x:v>1</x:v>
      </x:c>
      <x:c r="L1153" s="8" t="n">
        <x:f aca="0">IF(AND(ISNUMBER(G1153),P1153&lt;&gt;"Unresolved unit / layout"),G1153*K1153,"Not applicable")</x:f>
        <x:v>118.1</x:v>
      </x:c>
      <x:c r="M1153" s="8" t="n">
        <x:f aca="0">IF(AND(ISNUMBER(H1153),P1153&lt;&gt;"Unresolved unit / layout"),H1153*K1153,"Not applicable")</x:f>
        <x:v>1.6</x:v>
      </x:c>
      <x:c r="N1153" s="8" t="str">
        <x:f aca="0">IF(AND(ISNUMBER(I1153),P1153&lt;&gt;"Unresolved unit / layout"),I1153*K1153,"Not applicable")</x:f>
        <x:v>Not applicable</x:v>
      </x:c>
      <x:c r="O1153" s="7" t="s">
        <x:v>1929</x:v>
      </x:c>
      <x:c r="P1153" s="7" t="s">
        <x:v>1921</x:v>
      </x:c>
      <x:c r="Q1153" s="7" t="s">
        <x:v>1930</x:v>
      </x:c>
      <x:c r="R1153" s="7" t="s">
        <x:v>1931</x:v>
      </x:c>
      <x:c r="S1153" s="7" t="s">
        <x:v>4126</x:v>
      </x:c>
      <x:c r="T1153" s="7" t="s">
        <x:v>4081</x:v>
      </x:c>
      <x:c r="U1153" s="7" t="s">
        <x:v>53</x:v>
      </x:c>
      <x:c r="V1153" s="7" t="s">
        <x:v>2020</x:v>
      </x:c>
      <x:c r="W1153" s="7" t="s">
        <x:v>58</x:v>
      </x:c>
      <x:c r="X1153" s="7" t="s">
        <x:v>4082</x:v>
      </x:c>
      <x:c r="Y1153" s="7" t="s">
        <x:v>1295</x:v>
      </x:c>
      <x:c r="Z1153" s="7" t="s">
        <x:v>4111</x:v>
      </x:c>
      <x:c r="AA1153" s="7" t="s">
        <x:v>58</x:v>
      </x:c>
      <x:c r="AB1153" s="8" t="s">
        <x:v>58</x:v>
      </x:c>
      <x:c r="AC1153" s="8" t="s">
        <x:v>58</x:v>
      </x:c>
      <x:c r="AD1153" s="8" t="s">
        <x:v>58</x:v>
      </x:c>
      <x:c r="AE1153" s="8" t="s">
        <x:v>58</x:v>
      </x:c>
      <x:c r="AF1153" s="8" t="s">
        <x:v>58</x:v>
      </x:c>
      <x:c r="AG1153" s="7" t="s">
        <x:v>58</x:v>
      </x:c>
    </x:row>
    <x:row r="1154" ht="66" hidden="0" customHeight="1">
      <x:c r="A1154" s="7" t="s">
        <x:v>4218</x:v>
      </x:c>
      <x:c r="B1154" s="7" t="s">
        <x:v>697</x:v>
      </x:c>
      <x:c r="C1154" s="7" t="s">
        <x:v>1297</x:v>
      </x:c>
      <x:c r="D1154" s="7" t="s">
        <x:v>1945</x:v>
      </x:c>
      <x:c r="E1154" s="7" t="s">
        <x:v>4143</x:v>
      </x:c>
      <x:c r="F1154" s="7" t="s">
        <x:v>1929</x:v>
      </x:c>
      <x:c r="G1154" s="8" t="n">
        <x:v>64.6</x:v>
      </x:c>
      <x:c r="H1154" s="8" t="n">
        <x:v>2</x:v>
      </x:c>
      <x:c r="I1154" s="8" t="s">
        <x:v>58</x:v>
      </x:c>
      <x:c r="J1154" s="7" t="s">
        <x:v>1919</x:v>
      </x:c>
      <x:c r="K1154" s="8" t="n">
        <x:v>1</x:v>
      </x:c>
      <x:c r="L1154" s="8" t="n">
        <x:f aca="0">IF(AND(ISNUMBER(G1154),P1154&lt;&gt;"Unresolved unit / layout"),G1154*K1154,"Not applicable")</x:f>
        <x:v>64.6</x:v>
      </x:c>
      <x:c r="M1154" s="8" t="n">
        <x:f aca="0">IF(AND(ISNUMBER(H1154),P1154&lt;&gt;"Unresolved unit / layout"),H1154*K1154,"Not applicable")</x:f>
        <x:v>2</x:v>
      </x:c>
      <x:c r="N1154" s="8" t="str">
        <x:f aca="0">IF(AND(ISNUMBER(I1154),P1154&lt;&gt;"Unresolved unit / layout"),I1154*K1154,"Not applicable")</x:f>
        <x:v>Not applicable</x:v>
      </x:c>
      <x:c r="O1154" s="7" t="s">
        <x:v>1929</x:v>
      </x:c>
      <x:c r="P1154" s="7" t="s">
        <x:v>1921</x:v>
      </x:c>
      <x:c r="Q1154" s="7" t="s">
        <x:v>1930</x:v>
      </x:c>
      <x:c r="R1154" s="7" t="s">
        <x:v>2003</x:v>
      </x:c>
      <x:c r="S1154" s="7" t="s">
        <x:v>4126</x:v>
      </x:c>
      <x:c r="T1154" s="7" t="s">
        <x:v>4081</x:v>
      </x:c>
      <x:c r="U1154" s="7" t="s">
        <x:v>53</x:v>
      </x:c>
      <x:c r="V1154" s="7" t="s">
        <x:v>2020</x:v>
      </x:c>
      <x:c r="W1154" s="7" t="s">
        <x:v>58</x:v>
      </x:c>
      <x:c r="X1154" s="7" t="s">
        <x:v>4082</x:v>
      </x:c>
      <x:c r="Y1154" s="7" t="s">
        <x:v>1295</x:v>
      </x:c>
      <x:c r="Z1154" s="7" t="s">
        <x:v>4114</x:v>
      </x:c>
      <x:c r="AA1154" s="7" t="s">
        <x:v>58</x:v>
      </x:c>
      <x:c r="AB1154" s="8" t="s">
        <x:v>58</x:v>
      </x:c>
      <x:c r="AC1154" s="8" t="s">
        <x:v>58</x:v>
      </x:c>
      <x:c r="AD1154" s="8" t="s">
        <x:v>58</x:v>
      </x:c>
      <x:c r="AE1154" s="8" t="s">
        <x:v>58</x:v>
      </x:c>
      <x:c r="AF1154" s="8" t="s">
        <x:v>58</x:v>
      </x:c>
      <x:c r="AG1154" s="7" t="s">
        <x:v>58</x:v>
      </x:c>
    </x:row>
    <x:row r="1155" ht="66" hidden="0" customHeight="1">
      <x:c r="A1155" s="7" t="s">
        <x:v>4219</x:v>
      </x:c>
      <x:c r="B1155" s="7" t="s">
        <x:v>697</x:v>
      </x:c>
      <x:c r="C1155" s="7" t="s">
        <x:v>1297</x:v>
      </x:c>
      <x:c r="D1155" s="7" t="s">
        <x:v>2030</x:v>
      </x:c>
      <x:c r="E1155" s="7" t="s">
        <x:v>4145</x:v>
      </x:c>
      <x:c r="F1155" s="7" t="s">
        <x:v>2032</x:v>
      </x:c>
      <x:c r="G1155" s="8" t="n">
        <x:v>7.7</x:v>
      </x:c>
      <x:c r="H1155" s="8" t="n">
        <x:v>0.5</x:v>
      </x:c>
      <x:c r="I1155" s="8" t="s">
        <x:v>58</x:v>
      </x:c>
      <x:c r="J1155" s="7" t="s">
        <x:v>1919</x:v>
      </x:c>
      <x:c r="K1155" s="8" t="n">
        <x:v>1</x:v>
      </x:c>
      <x:c r="L1155" s="8" t="n">
        <x:f aca="0">IF(AND(ISNUMBER(G1155),P1155&lt;&gt;"Unresolved unit / layout"),G1155*K1155,"Not applicable")</x:f>
        <x:v>7.7</x:v>
      </x:c>
      <x:c r="M1155" s="8" t="n">
        <x:f aca="0">IF(AND(ISNUMBER(H1155),P1155&lt;&gt;"Unresolved unit / layout"),H1155*K1155,"Not applicable")</x:f>
        <x:v>0.5</x:v>
      </x:c>
      <x:c r="N1155" s="8" t="str">
        <x:f aca="0">IF(AND(ISNUMBER(I1155),P1155&lt;&gt;"Unresolved unit / layout"),I1155*K1155,"Not applicable")</x:f>
        <x:v>Not applicable</x:v>
      </x:c>
      <x:c r="O1155" s="7" t="s">
        <x:v>2033</x:v>
      </x:c>
      <x:c r="P1155" s="7" t="s">
        <x:v>1921</x:v>
      </x:c>
      <x:c r="Q1155" s="7" t="s">
        <x:v>1930</x:v>
      </x:c>
      <x:c r="R1155" s="7" t="s">
        <x:v>1931</x:v>
      </x:c>
      <x:c r="S1155" s="7" t="s">
        <x:v>4126</x:v>
      </x:c>
      <x:c r="T1155" s="7" t="s">
        <x:v>4081</x:v>
      </x:c>
      <x:c r="U1155" s="7" t="s">
        <x:v>53</x:v>
      </x:c>
      <x:c r="V1155" s="7" t="s">
        <x:v>2036</x:v>
      </x:c>
      <x:c r="W1155" s="7" t="s">
        <x:v>2139</x:v>
      </x:c>
      <x:c r="X1155" s="7" t="s">
        <x:v>4082</x:v>
      </x:c>
      <x:c r="Y1155" s="7" t="s">
        <x:v>1295</x:v>
      </x:c>
      <x:c r="Z1155" s="7" t="s">
        <x:v>4117</x:v>
      </x:c>
      <x:c r="AA1155" s="7" t="s">
        <x:v>58</x:v>
      </x:c>
      <x:c r="AB1155" s="8" t="s">
        <x:v>58</x:v>
      </x:c>
      <x:c r="AC1155" s="8" t="s">
        <x:v>58</x:v>
      </x:c>
      <x:c r="AD1155" s="8" t="s">
        <x:v>58</x:v>
      </x:c>
      <x:c r="AE1155" s="8" t="s">
        <x:v>58</x:v>
      </x:c>
      <x:c r="AF1155" s="8" t="s">
        <x:v>58</x:v>
      </x:c>
      <x:c r="AG1155" s="7" t="s">
        <x:v>58</x:v>
      </x:c>
    </x:row>
    <x:row r="1156" ht="66" hidden="0" customHeight="1">
      <x:c r="A1156" s="7" t="s">
        <x:v>4220</x:v>
      </x:c>
      <x:c r="B1156" s="7" t="s">
        <x:v>697</x:v>
      </x:c>
      <x:c r="C1156" s="7" t="s">
        <x:v>1297</x:v>
      </x:c>
      <x:c r="D1156" s="7" t="s">
        <x:v>2030</x:v>
      </x:c>
      <x:c r="E1156" s="7" t="s">
        <x:v>4147</x:v>
      </x:c>
      <x:c r="F1156" s="7" t="s">
        <x:v>2032</x:v>
      </x:c>
      <x:c r="G1156" s="8" t="n">
        <x:v>41</x:v>
      </x:c>
      <x:c r="H1156" s="8" t="n">
        <x:v>1.4</x:v>
      </x:c>
      <x:c r="I1156" s="8" t="s">
        <x:v>58</x:v>
      </x:c>
      <x:c r="J1156" s="7" t="s">
        <x:v>1919</x:v>
      </x:c>
      <x:c r="K1156" s="8" t="n">
        <x:v>1</x:v>
      </x:c>
      <x:c r="L1156" s="8" t="n">
        <x:f aca="0">IF(AND(ISNUMBER(G1156),P1156&lt;&gt;"Unresolved unit / layout"),G1156*K1156,"Not applicable")</x:f>
        <x:v>41</x:v>
      </x:c>
      <x:c r="M1156" s="8" t="n">
        <x:f aca="0">IF(AND(ISNUMBER(H1156),P1156&lt;&gt;"Unresolved unit / layout"),H1156*K1156,"Not applicable")</x:f>
        <x:v>1.4</x:v>
      </x:c>
      <x:c r="N1156" s="8" t="str">
        <x:f aca="0">IF(AND(ISNUMBER(I1156),P1156&lt;&gt;"Unresolved unit / layout"),I1156*K1156,"Not applicable")</x:f>
        <x:v>Not applicable</x:v>
      </x:c>
      <x:c r="O1156" s="7" t="s">
        <x:v>2033</x:v>
      </x:c>
      <x:c r="P1156" s="7" t="s">
        <x:v>1921</x:v>
      </x:c>
      <x:c r="Q1156" s="7" t="s">
        <x:v>1930</x:v>
      </x:c>
      <x:c r="R1156" s="7" t="s">
        <x:v>1931</x:v>
      </x:c>
      <x:c r="S1156" s="7" t="s">
        <x:v>4126</x:v>
      </x:c>
      <x:c r="T1156" s="7" t="s">
        <x:v>4081</x:v>
      </x:c>
      <x:c r="U1156" s="7" t="s">
        <x:v>53</x:v>
      </x:c>
      <x:c r="V1156" s="7" t="s">
        <x:v>2036</x:v>
      </x:c>
      <x:c r="W1156" s="7" t="s">
        <x:v>2139</x:v>
      </x:c>
      <x:c r="X1156" s="7" t="s">
        <x:v>4082</x:v>
      </x:c>
      <x:c r="Y1156" s="7" t="s">
        <x:v>1295</x:v>
      </x:c>
      <x:c r="Z1156" s="7" t="s">
        <x:v>4120</x:v>
      </x:c>
      <x:c r="AA1156" s="7" t="s">
        <x:v>58</x:v>
      </x:c>
      <x:c r="AB1156" s="8" t="s">
        <x:v>58</x:v>
      </x:c>
      <x:c r="AC1156" s="8" t="s">
        <x:v>58</x:v>
      </x:c>
      <x:c r="AD1156" s="8" t="s">
        <x:v>58</x:v>
      </x:c>
      <x:c r="AE1156" s="8" t="s">
        <x:v>58</x:v>
      </x:c>
      <x:c r="AF1156" s="8" t="s">
        <x:v>58</x:v>
      </x:c>
      <x:c r="AG1156" s="7" t="s">
        <x:v>58</x:v>
      </x:c>
    </x:row>
    <x:row r="1157" ht="66" hidden="0" customHeight="1">
      <x:c r="A1157" s="7" t="s">
        <x:v>4221</x:v>
      </x:c>
      <x:c r="B1157" s="7" t="s">
        <x:v>697</x:v>
      </x:c>
      <x:c r="C1157" s="7" t="s">
        <x:v>1297</x:v>
      </x:c>
      <x:c r="D1157" s="7" t="s">
        <x:v>2030</x:v>
      </x:c>
      <x:c r="E1157" s="7" t="s">
        <x:v>4149</x:v>
      </x:c>
      <x:c r="F1157" s="7" t="s">
        <x:v>2032</x:v>
      </x:c>
      <x:c r="G1157" s="8" t="n">
        <x:v>17.6</x:v>
      </x:c>
      <x:c r="H1157" s="8" t="n">
        <x:v>2</x:v>
      </x:c>
      <x:c r="I1157" s="8" t="s">
        <x:v>58</x:v>
      </x:c>
      <x:c r="J1157" s="7" t="s">
        <x:v>1919</x:v>
      </x:c>
      <x:c r="K1157" s="8" t="n">
        <x:v>1</x:v>
      </x:c>
      <x:c r="L1157" s="8" t="n">
        <x:f aca="0">IF(AND(ISNUMBER(G1157),P1157&lt;&gt;"Unresolved unit / layout"),G1157*K1157,"Not applicable")</x:f>
        <x:v>17.6</x:v>
      </x:c>
      <x:c r="M1157" s="8" t="n">
        <x:f aca="0">IF(AND(ISNUMBER(H1157),P1157&lt;&gt;"Unresolved unit / layout"),H1157*K1157,"Not applicable")</x:f>
        <x:v>2</x:v>
      </x:c>
      <x:c r="N1157" s="8" t="str">
        <x:f aca="0">IF(AND(ISNUMBER(I1157),P1157&lt;&gt;"Unresolved unit / layout"),I1157*K1157,"Not applicable")</x:f>
        <x:v>Not applicable</x:v>
      </x:c>
      <x:c r="O1157" s="7" t="s">
        <x:v>2033</x:v>
      </x:c>
      <x:c r="P1157" s="7" t="s">
        <x:v>1921</x:v>
      </x:c>
      <x:c r="Q1157" s="7" t="s">
        <x:v>1930</x:v>
      </x:c>
      <x:c r="R1157" s="7" t="s">
        <x:v>2003</x:v>
      </x:c>
      <x:c r="S1157" s="7" t="s">
        <x:v>4126</x:v>
      </x:c>
      <x:c r="T1157" s="7" t="s">
        <x:v>4081</x:v>
      </x:c>
      <x:c r="U1157" s="7" t="s">
        <x:v>53</x:v>
      </x:c>
      <x:c r="V1157" s="7" t="s">
        <x:v>2036</x:v>
      </x:c>
      <x:c r="W1157" s="7" t="s">
        <x:v>2139</x:v>
      </x:c>
      <x:c r="X1157" s="7" t="s">
        <x:v>4082</x:v>
      </x:c>
      <x:c r="Y1157" s="7" t="s">
        <x:v>1295</x:v>
      </x:c>
      <x:c r="Z1157" s="7" t="s">
        <x:v>4123</x:v>
      </x:c>
      <x:c r="AA1157" s="7" t="s">
        <x:v>58</x:v>
      </x:c>
      <x:c r="AB1157" s="8" t="s">
        <x:v>58</x:v>
      </x:c>
      <x:c r="AC1157" s="8" t="s">
        <x:v>58</x:v>
      </x:c>
      <x:c r="AD1157" s="8" t="s">
        <x:v>58</x:v>
      </x:c>
      <x:c r="AE1157" s="8" t="s">
        <x:v>58</x:v>
      </x:c>
      <x:c r="AF1157" s="8" t="s">
        <x:v>58</x:v>
      </x:c>
      <x:c r="AG1157" s="7" t="s">
        <x:v>58</x:v>
      </x:c>
    </x:row>
    <x:row r="1158" ht="51.75" hidden="0" customHeight="1">
      <x:c r="A1158" s="7" t="s">
        <x:v>4222</x:v>
      </x:c>
      <x:c r="B1158" s="7" t="s">
        <x:v>697</x:v>
      </x:c>
      <x:c r="C1158" s="7" t="s">
        <x:v>1298</x:v>
      </x:c>
      <x:c r="D1158" s="7" t="s">
        <x:v>1916</x:v>
      </x:c>
      <x:c r="E1158" s="7" t="s">
        <x:v>4223</x:v>
      </x:c>
      <x:c r="F1158" s="7" t="s">
        <x:v>1965</x:v>
      </x:c>
      <x:c r="G1158" s="8" t="n">
        <x:v>1.17</x:v>
      </x:c>
      <x:c r="H1158" s="8" t="s">
        <x:v>58</x:v>
      </x:c>
      <x:c r="I1158" s="8" t="n">
        <x:v>1.2</x:v>
      </x:c>
      <x:c r="J1158" s="7" t="s">
        <x:v>1919</x:v>
      </x:c>
      <x:c r="K1158" s="8" t="n">
        <x:v>1000</x:v>
      </x:c>
      <x:c r="L1158" s="8" t="n">
        <x:f aca="0">IF(AND(ISNUMBER(G1158),P1158&lt;&gt;"Unresolved unit / layout"),G1158*K1158,"Not applicable")</x:f>
        <x:v>1170</x:v>
      </x:c>
      <x:c r="M1158" s="8" t="str">
        <x:f aca="0">IF(AND(ISNUMBER(H1158),P1158&lt;&gt;"Unresolved unit / layout"),H1158*K1158,"Not applicable")</x:f>
        <x:v>Not applicable</x:v>
      </x:c>
      <x:c r="N1158" s="8" t="n">
        <x:f aca="0">IF(AND(ISNUMBER(I1158),P1158&lt;&gt;"Unresolved unit / layout"),I1158*K1158,"Not applicable")</x:f>
        <x:v>1200</x:v>
      </x:c>
      <x:c r="O1158" s="7" t="s">
        <x:v>1920</x:v>
      </x:c>
      <x:c r="P1158" s="7" t="s">
        <x:v>1921</x:v>
      </x:c>
      <x:c r="Q1158" s="7" t="s">
        <x:v>1922</x:v>
      </x:c>
      <x:c r="R1158" s="7" t="s">
        <x:v>58</x:v>
      </x:c>
      <x:c r="S1158" s="7" t="s">
        <x:v>53</x:v>
      </x:c>
      <x:c r="T1158" s="7" t="s">
        <x:v>53</x:v>
      </x:c>
      <x:c r="U1158" s="7" t="s">
        <x:v>53</x:v>
      </x:c>
      <x:c r="V1158" s="7" t="s">
        <x:v>2739</x:v>
      </x:c>
      <x:c r="W1158" s="7" t="s">
        <x:v>58</x:v>
      </x:c>
      <x:c r="X1158" s="7" t="s">
        <x:v>53</x:v>
      </x:c>
      <x:c r="Y1158" s="7" t="s">
        <x:v>1300</x:v>
      </x:c>
      <x:c r="Z1158" s="7" t="s">
        <x:v>1925</x:v>
      </x:c>
      <x:c r="AA1158" s="7" t="s">
        <x:v>58</x:v>
      </x:c>
      <x:c r="AB1158" s="8" t="s">
        <x:v>58</x:v>
      </x:c>
      <x:c r="AC1158" s="8" t="s">
        <x:v>58</x:v>
      </x:c>
      <x:c r="AD1158" s="8" t="s">
        <x:v>58</x:v>
      </x:c>
      <x:c r="AE1158" s="8" t="s">
        <x:v>58</x:v>
      </x:c>
      <x:c r="AF1158" s="8" t="s">
        <x:v>58</x:v>
      </x:c>
      <x:c r="AG1158" s="7" t="s">
        <x:v>58</x:v>
      </x:c>
    </x:row>
    <x:row r="1159" ht="37.5" hidden="0" customHeight="1">
      <x:c r="A1159" s="7" t="s">
        <x:v>4224</x:v>
      </x:c>
      <x:c r="B1159" s="7" t="s">
        <x:v>697</x:v>
      </x:c>
      <x:c r="C1159" s="7" t="s">
        <x:v>1298</x:v>
      </x:c>
      <x:c r="D1159" s="7" t="s">
        <x:v>1974</x:v>
      </x:c>
      <x:c r="E1159" s="7" t="s">
        <x:v>4225</x:v>
      </x:c>
      <x:c r="F1159" s="7" t="s">
        <x:v>2273</x:v>
      </x:c>
      <x:c r="G1159" s="8" t="n">
        <x:v>220</x:v>
      </x:c>
      <x:c r="H1159" s="8" t="s">
        <x:v>58</x:v>
      </x:c>
      <x:c r="I1159" s="8" t="n">
        <x:v>240</x:v>
      </x:c>
      <x:c r="J1159" s="7" t="s">
        <x:v>1919</x:v>
      </x:c>
      <x:c r="K1159" s="8" t="n">
        <x:v>1</x:v>
      </x:c>
      <x:c r="L1159" s="8" t="n">
        <x:f aca="0">IF(AND(ISNUMBER(G1159),P1159&lt;&gt;"Unresolved unit / layout"),G1159*K1159,"Not applicable")</x:f>
        <x:v>220</x:v>
      </x:c>
      <x:c r="M1159" s="8" t="str">
        <x:f aca="0">IF(AND(ISNUMBER(H1159),P1159&lt;&gt;"Unresolved unit / layout"),H1159*K1159,"Not applicable")</x:f>
        <x:v>Not applicable</x:v>
      </x:c>
      <x:c r="N1159" s="8" t="n">
        <x:f aca="0">IF(AND(ISNUMBER(I1159),P1159&lt;&gt;"Unresolved unit / layout"),I1159*K1159,"Not applicable")</x:f>
        <x:v>240</x:v>
      </x:c>
      <x:c r="O1159" s="7" t="s">
        <x:v>1956</x:v>
      </x:c>
      <x:c r="P1159" s="7" t="s">
        <x:v>1921</x:v>
      </x:c>
      <x:c r="Q1159" s="7" t="s">
        <x:v>2064</x:v>
      </x:c>
      <x:c r="R1159" s="7" t="s">
        <x:v>58</x:v>
      </x:c>
      <x:c r="S1159" s="7" t="s">
        <x:v>53</x:v>
      </x:c>
      <x:c r="T1159" s="7" t="s">
        <x:v>53</x:v>
      </x:c>
      <x:c r="U1159" s="7" t="s">
        <x:v>53</x:v>
      </x:c>
      <x:c r="V1159" s="7" t="s">
        <x:v>53</x:v>
      </x:c>
      <x:c r="W1159" s="7" t="s">
        <x:v>58</x:v>
      </x:c>
      <x:c r="X1159" s="7" t="s">
        <x:v>53</x:v>
      </x:c>
      <x:c r="Y1159" s="7" t="s">
        <x:v>1300</x:v>
      </x:c>
      <x:c r="Z1159" s="7" t="s">
        <x:v>4226</x:v>
      </x:c>
      <x:c r="AA1159" s="7" t="s">
        <x:v>58</x:v>
      </x:c>
      <x:c r="AB1159" s="8" t="s">
        <x:v>58</x:v>
      </x:c>
      <x:c r="AC1159" s="8" t="s">
        <x:v>58</x:v>
      </x:c>
      <x:c r="AD1159" s="8" t="s">
        <x:v>58</x:v>
      </x:c>
      <x:c r="AE1159" s="8" t="s">
        <x:v>58</x:v>
      </x:c>
      <x:c r="AF1159" s="8" t="s">
        <x:v>58</x:v>
      </x:c>
      <x:c r="AG1159" s="7" t="s">
        <x:v>58</x:v>
      </x:c>
    </x:row>
    <x:row r="1160" ht="37.5" hidden="0" customHeight="1">
      <x:c r="A1160" s="7" t="s">
        <x:v>4227</x:v>
      </x:c>
      <x:c r="B1160" s="7" t="s">
        <x:v>697</x:v>
      </x:c>
      <x:c r="C1160" s="7" t="s">
        <x:v>1298</x:v>
      </x:c>
      <x:c r="D1160" s="7" t="s">
        <x:v>1982</x:v>
      </x:c>
      <x:c r="E1160" s="7" t="s">
        <x:v>3005</x:v>
      </x:c>
      <x:c r="F1160" s="7" t="s">
        <x:v>2273</x:v>
      </x:c>
      <x:c r="G1160" s="8" t="n">
        <x:v>120</x:v>
      </x:c>
      <x:c r="H1160" s="8" t="s">
        <x:v>58</x:v>
      </x:c>
      <x:c r="I1160" s="8" t="s">
        <x:v>58</x:v>
      </x:c>
      <x:c r="J1160" s="7" t="s">
        <x:v>1919</x:v>
      </x:c>
      <x:c r="K1160" s="8" t="n">
        <x:v>1</x:v>
      </x:c>
      <x:c r="L1160" s="8" t="n">
        <x:f aca="0">IF(AND(ISNUMBER(G1160),P1160&lt;&gt;"Unresolved unit / layout"),G1160*K1160,"Not applicable")</x:f>
        <x:v>120</x:v>
      </x:c>
      <x:c r="M1160" s="8" t="str">
        <x:f aca="0">IF(AND(ISNUMBER(H1160),P1160&lt;&gt;"Unresolved unit / layout"),H1160*K1160,"Not applicable")</x:f>
        <x:v>Not applicable</x:v>
      </x:c>
      <x:c r="N1160" s="8" t="str">
        <x:f aca="0">IF(AND(ISNUMBER(I1160),P1160&lt;&gt;"Unresolved unit / layout"),I1160*K1160,"Not applicable")</x:f>
        <x:v>Not applicable</x:v>
      </x:c>
      <x:c r="O1160" s="7" t="s">
        <x:v>1956</x:v>
      </x:c>
      <x:c r="P1160" s="7" t="s">
        <x:v>1921</x:v>
      </x:c>
      <x:c r="Q1160" s="7" t="s">
        <x:v>2064</x:v>
      </x:c>
      <x:c r="R1160" s="7" t="s">
        <x:v>58</x:v>
      </x:c>
      <x:c r="S1160" s="7" t="s">
        <x:v>53</x:v>
      </x:c>
      <x:c r="T1160" s="7" t="s">
        <x:v>53</x:v>
      </x:c>
      <x:c r="U1160" s="7" t="s">
        <x:v>53</x:v>
      </x:c>
      <x:c r="V1160" s="7" t="s">
        <x:v>53</x:v>
      </x:c>
      <x:c r="W1160" s="7" t="s">
        <x:v>58</x:v>
      </x:c>
      <x:c r="X1160" s="7" t="s">
        <x:v>53</x:v>
      </x:c>
      <x:c r="Y1160" s="7" t="s">
        <x:v>1300</x:v>
      </x:c>
      <x:c r="Z1160" s="7" t="s">
        <x:v>4228</x:v>
      </x:c>
      <x:c r="AA1160" s="7" t="s">
        <x:v>58</x:v>
      </x:c>
      <x:c r="AB1160" s="8" t="s">
        <x:v>58</x:v>
      </x:c>
      <x:c r="AC1160" s="8" t="s">
        <x:v>58</x:v>
      </x:c>
      <x:c r="AD1160" s="8" t="s">
        <x:v>58</x:v>
      </x:c>
      <x:c r="AE1160" s="8" t="s">
        <x:v>58</x:v>
      </x:c>
      <x:c r="AF1160" s="8" t="s">
        <x:v>58</x:v>
      </x:c>
      <x:c r="AG1160" s="7" t="s">
        <x:v>58</x:v>
      </x:c>
    </x:row>
    <x:row r="1161" ht="37.5" hidden="0" customHeight="1">
      <x:c r="A1161" s="7" t="s">
        <x:v>4229</x:v>
      </x:c>
      <x:c r="B1161" s="7" t="s">
        <x:v>697</x:v>
      </x:c>
      <x:c r="C1161" s="7" t="s">
        <x:v>1298</x:v>
      </x:c>
      <x:c r="D1161" s="7" t="s">
        <x:v>2006</x:v>
      </x:c>
      <x:c r="E1161" s="7" t="s">
        <x:v>2763</x:v>
      </x:c>
      <x:c r="F1161" s="7" t="s">
        <x:v>1929</x:v>
      </x:c>
      <x:c r="G1161" s="8" t="n">
        <x:v>75</x:v>
      </x:c>
      <x:c r="H1161" s="8" t="s">
        <x:v>58</x:v>
      </x:c>
      <x:c r="I1161" s="8" t="s">
        <x:v>58</x:v>
      </x:c>
      <x:c r="J1161" s="7" t="s">
        <x:v>1919</x:v>
      </x:c>
      <x:c r="K1161" s="8" t="n">
        <x:v>1</x:v>
      </x:c>
      <x:c r="L1161" s="8" t="n">
        <x:f aca="0">IF(AND(ISNUMBER(G1161),P1161&lt;&gt;"Unresolved unit / layout"),G1161*K1161,"Not applicable")</x:f>
        <x:v>75</x:v>
      </x:c>
      <x:c r="M1161" s="8" t="str">
        <x:f aca="0">IF(AND(ISNUMBER(H1161),P1161&lt;&gt;"Unresolved unit / layout"),H1161*K1161,"Not applicable")</x:f>
        <x:v>Not applicable</x:v>
      </x:c>
      <x:c r="N1161" s="8" t="str">
        <x:f aca="0">IF(AND(ISNUMBER(I1161),P1161&lt;&gt;"Unresolved unit / layout"),I1161*K1161,"Not applicable")</x:f>
        <x:v>Not applicable</x:v>
      </x:c>
      <x:c r="O1161" s="7" t="s">
        <x:v>1929</x:v>
      </x:c>
      <x:c r="P1161" s="7" t="s">
        <x:v>1921</x:v>
      </x:c>
      <x:c r="Q1161" s="7" t="s">
        <x:v>2064</x:v>
      </x:c>
      <x:c r="R1161" s="7" t="s">
        <x:v>53</x:v>
      </x:c>
      <x:c r="S1161" s="7" t="s">
        <x:v>53</x:v>
      </x:c>
      <x:c r="T1161" s="7" t="s">
        <x:v>53</x:v>
      </x:c>
      <x:c r="U1161" s="7" t="s">
        <x:v>53</x:v>
      </x:c>
      <x:c r="V1161" s="7" t="s">
        <x:v>2739</x:v>
      </x:c>
      <x:c r="W1161" s="7" t="s">
        <x:v>58</x:v>
      </x:c>
      <x:c r="X1161" s="7" t="s">
        <x:v>53</x:v>
      </x:c>
      <x:c r="Y1161" s="7" t="s">
        <x:v>1300</x:v>
      </x:c>
      <x:c r="Z1161" s="7" t="s">
        <x:v>3484</x:v>
      </x:c>
      <x:c r="AA1161" s="7" t="s">
        <x:v>58</x:v>
      </x:c>
      <x:c r="AB1161" s="8" t="s">
        <x:v>58</x:v>
      </x:c>
      <x:c r="AC1161" s="8" t="s">
        <x:v>58</x:v>
      </x:c>
      <x:c r="AD1161" s="8" t="s">
        <x:v>58</x:v>
      </x:c>
      <x:c r="AE1161" s="8" t="s">
        <x:v>58</x:v>
      </x:c>
      <x:c r="AF1161" s="8" t="s">
        <x:v>58</x:v>
      </x:c>
      <x:c r="AG1161" s="7" t="s">
        <x:v>58</x:v>
      </x:c>
    </x:row>
    <x:row r="1162" ht="37.5" hidden="0" customHeight="1">
      <x:c r="A1162" s="7" t="s">
        <x:v>4230</x:v>
      </x:c>
      <x:c r="B1162" s="7" t="s">
        <x:v>697</x:v>
      </x:c>
      <x:c r="C1162" s="7" t="s">
        <x:v>1298</x:v>
      </x:c>
      <x:c r="D1162" s="7" t="s">
        <x:v>1940</x:v>
      </x:c>
      <x:c r="E1162" s="7" t="s">
        <x:v>4231</x:v>
      </x:c>
      <x:c r="F1162" s="7" t="s">
        <x:v>1942</x:v>
      </x:c>
      <x:c r="G1162" s="8" t="n">
        <x:v>113</x:v>
      </x:c>
      <x:c r="H1162" s="8" t="s">
        <x:v>58</x:v>
      </x:c>
      <x:c r="I1162" s="8" t="s">
        <x:v>58</x:v>
      </x:c>
      <x:c r="J1162" s="7" t="s">
        <x:v>1919</x:v>
      </x:c>
      <x:c r="K1162" s="8" t="n">
        <x:v>1</x:v>
      </x:c>
      <x:c r="L1162" s="8" t="n">
        <x:f aca="0">IF(AND(ISNUMBER(G1162),P1162&lt;&gt;"Unresolved unit / layout"),G1162*K1162,"Not applicable")</x:f>
        <x:v>113</x:v>
      </x:c>
      <x:c r="M1162" s="8" t="str">
        <x:f aca="0">IF(AND(ISNUMBER(H1162),P1162&lt;&gt;"Unresolved unit / layout"),H1162*K1162,"Not applicable")</x:f>
        <x:v>Not applicable</x:v>
      </x:c>
      <x:c r="N1162" s="8" t="str">
        <x:f aca="0">IF(AND(ISNUMBER(I1162),P1162&lt;&gt;"Unresolved unit / layout"),I1162*K1162,"Not applicable")</x:f>
        <x:v>Not applicable</x:v>
      </x:c>
      <x:c r="O1162" s="7" t="s">
        <x:v>1942</x:v>
      </x:c>
      <x:c r="P1162" s="7" t="s">
        <x:v>1921</x:v>
      </x:c>
      <x:c r="Q1162" s="7" t="s">
        <x:v>2064</x:v>
      </x:c>
      <x:c r="R1162" s="7" t="s">
        <x:v>53</x:v>
      </x:c>
      <x:c r="S1162" s="7" t="s">
        <x:v>53</x:v>
      </x:c>
      <x:c r="T1162" s="7" t="s">
        <x:v>53</x:v>
      </x:c>
      <x:c r="U1162" s="7" t="s">
        <x:v>53</x:v>
      </x:c>
      <x:c r="V1162" s="7" t="s">
        <x:v>2739</x:v>
      </x:c>
      <x:c r="W1162" s="7" t="s">
        <x:v>58</x:v>
      </x:c>
      <x:c r="X1162" s="7" t="s">
        <x:v>53</x:v>
      </x:c>
      <x:c r="Y1162" s="7" t="s">
        <x:v>1300</x:v>
      </x:c>
      <x:c r="Z1162" s="7" t="s">
        <x:v>2743</x:v>
      </x:c>
      <x:c r="AA1162" s="7" t="s">
        <x:v>58</x:v>
      </x:c>
      <x:c r="AB1162" s="8" t="s">
        <x:v>58</x:v>
      </x:c>
      <x:c r="AC1162" s="8" t="s">
        <x:v>58</x:v>
      </x:c>
      <x:c r="AD1162" s="8" t="s">
        <x:v>58</x:v>
      </x:c>
      <x:c r="AE1162" s="8" t="s">
        <x:v>58</x:v>
      </x:c>
      <x:c r="AF1162" s="8" t="s">
        <x:v>58</x:v>
      </x:c>
      <x:c r="AG1162" s="7" t="s">
        <x:v>58</x:v>
      </x:c>
    </x:row>
    <x:row r="1163" ht="37.5" hidden="0" customHeight="1">
      <x:c r="A1163" s="7" t="s">
        <x:v>4232</x:v>
      </x:c>
      <x:c r="B1163" s="7" t="s">
        <x:v>697</x:v>
      </x:c>
      <x:c r="C1163" s="7" t="s">
        <x:v>1298</x:v>
      </x:c>
      <x:c r="D1163" s="7" t="s">
        <x:v>1945</x:v>
      </x:c>
      <x:c r="E1163" s="7" t="s">
        <x:v>3008</x:v>
      </x:c>
      <x:c r="F1163" s="7" t="s">
        <x:v>1929</x:v>
      </x:c>
      <x:c r="G1163" s="8" t="n">
        <x:v>98</x:v>
      </x:c>
      <x:c r="H1163" s="8" t="s">
        <x:v>58</x:v>
      </x:c>
      <x:c r="I1163" s="8" t="s">
        <x:v>58</x:v>
      </x:c>
      <x:c r="J1163" s="7" t="s">
        <x:v>1919</x:v>
      </x:c>
      <x:c r="K1163" s="8" t="n">
        <x:v>1</x:v>
      </x:c>
      <x:c r="L1163" s="8" t="n">
        <x:f aca="0">IF(AND(ISNUMBER(G1163),P1163&lt;&gt;"Unresolved unit / layout"),G1163*K1163,"Not applicable")</x:f>
        <x:v>98</x:v>
      </x:c>
      <x:c r="M1163" s="8" t="str">
        <x:f aca="0">IF(AND(ISNUMBER(H1163),P1163&lt;&gt;"Unresolved unit / layout"),H1163*K1163,"Not applicable")</x:f>
        <x:v>Not applicable</x:v>
      </x:c>
      <x:c r="N1163" s="8" t="str">
        <x:f aca="0">IF(AND(ISNUMBER(I1163),P1163&lt;&gt;"Unresolved unit / layout"),I1163*K1163,"Not applicable")</x:f>
        <x:v>Not applicable</x:v>
      </x:c>
      <x:c r="O1163" s="7" t="s">
        <x:v>1929</x:v>
      </x:c>
      <x:c r="P1163" s="7" t="s">
        <x:v>1921</x:v>
      </x:c>
      <x:c r="Q1163" s="7" t="s">
        <x:v>2064</x:v>
      </x:c>
      <x:c r="R1163" s="7" t="s">
        <x:v>53</x:v>
      </x:c>
      <x:c r="S1163" s="7" t="s">
        <x:v>53</x:v>
      </x:c>
      <x:c r="T1163" s="7" t="s">
        <x:v>53</x:v>
      </x:c>
      <x:c r="U1163" s="7" t="s">
        <x:v>53</x:v>
      </x:c>
      <x:c r="V1163" s="7" t="s">
        <x:v>2742</x:v>
      </x:c>
      <x:c r="W1163" s="7" t="s">
        <x:v>58</x:v>
      </x:c>
      <x:c r="X1163" s="7" t="s">
        <x:v>53</x:v>
      </x:c>
      <x:c r="Y1163" s="7" t="s">
        <x:v>1300</x:v>
      </x:c>
      <x:c r="Z1163" s="7" t="s">
        <x:v>2746</x:v>
      </x:c>
      <x:c r="AA1163" s="7" t="s">
        <x:v>58</x:v>
      </x:c>
      <x:c r="AB1163" s="8" t="s">
        <x:v>58</x:v>
      </x:c>
      <x:c r="AC1163" s="8" t="s">
        <x:v>58</x:v>
      </x:c>
      <x:c r="AD1163" s="8" t="s">
        <x:v>58</x:v>
      </x:c>
      <x:c r="AE1163" s="8" t="s">
        <x:v>58</x:v>
      </x:c>
      <x:c r="AF1163" s="8" t="s">
        <x:v>58</x:v>
      </x:c>
      <x:c r="AG1163" s="7" t="s">
        <x:v>58</x:v>
      </x:c>
    </x:row>
    <x:row r="1164" ht="37.5" hidden="0" customHeight="1">
      <x:c r="A1164" s="7" t="s">
        <x:v>4233</x:v>
      </x:c>
      <x:c r="B1164" s="7" t="s">
        <x:v>697</x:v>
      </x:c>
      <x:c r="C1164" s="7" t="s">
        <x:v>1298</x:v>
      </x:c>
      <x:c r="D1164" s="7" t="s">
        <x:v>3357</x:v>
      </x:c>
      <x:c r="E1164" s="7" t="s">
        <x:v>4234</x:v>
      </x:c>
      <x:c r="F1164" s="7" t="s">
        <x:v>4235</x:v>
      </x:c>
      <x:c r="G1164" s="8" t="n">
        <x:v>180</x:v>
      </x:c>
      <x:c r="H1164" s="8" t="s">
        <x:v>58</x:v>
      </x:c>
      <x:c r="I1164" s="8" t="s">
        <x:v>58</x:v>
      </x:c>
      <x:c r="J1164" s="7" t="s">
        <x:v>1919</x:v>
      </x:c>
      <x:c r="K1164" s="8" t="n">
        <x:v>1</x:v>
      </x:c>
      <x:c r="L1164" s="8" t="n">
        <x:f aca="0">IF(AND(ISNUMBER(G1164),P1164&lt;&gt;"Unresolved unit / layout"),G1164*K1164,"Not applicable")</x:f>
        <x:v>180</x:v>
      </x:c>
      <x:c r="M1164" s="8" t="str">
        <x:f aca="0">IF(AND(ISNUMBER(H1164),P1164&lt;&gt;"Unresolved unit / layout"),H1164*K1164,"Not applicable")</x:f>
        <x:v>Not applicable</x:v>
      </x:c>
      <x:c r="N1164" s="8" t="str">
        <x:f aca="0">IF(AND(ISNUMBER(I1164),P1164&lt;&gt;"Unresolved unit / layout"),I1164*K1164,"Not applicable")</x:f>
        <x:v>Not applicable</x:v>
      </x:c>
      <x:c r="O1164" s="7" t="s">
        <x:v>2033</x:v>
      </x:c>
      <x:c r="P1164" s="7" t="s">
        <x:v>1921</x:v>
      </x:c>
      <x:c r="Q1164" s="7" t="s">
        <x:v>2064</x:v>
      </x:c>
      <x:c r="R1164" s="7" t="s">
        <x:v>53</x:v>
      </x:c>
      <x:c r="S1164" s="7" t="s">
        <x:v>53</x:v>
      </x:c>
      <x:c r="T1164" s="7" t="s">
        <x:v>53</x:v>
      </x:c>
      <x:c r="U1164" s="7" t="s">
        <x:v>53</x:v>
      </x:c>
      <x:c r="V1164" s="7" t="s">
        <x:v>2742</x:v>
      </x:c>
      <x:c r="W1164" s="7" t="s">
        <x:v>2139</x:v>
      </x:c>
      <x:c r="X1164" s="7" t="s">
        <x:v>53</x:v>
      </x:c>
      <x:c r="Y1164" s="7" t="s">
        <x:v>1300</x:v>
      </x:c>
      <x:c r="Z1164" s="7" t="s">
        <x:v>3360</x:v>
      </x:c>
      <x:c r="AA1164" s="7" t="s">
        <x:v>58</x:v>
      </x:c>
      <x:c r="AB1164" s="8" t="s">
        <x:v>58</x:v>
      </x:c>
      <x:c r="AC1164" s="8" t="s">
        <x:v>58</x:v>
      </x:c>
      <x:c r="AD1164" s="8" t="s">
        <x:v>58</x:v>
      </x:c>
      <x:c r="AE1164" s="8" t="s">
        <x:v>58</x:v>
      </x:c>
      <x:c r="AF1164" s="8" t="s">
        <x:v>58</x:v>
      </x:c>
      <x:c r="AG1164" s="7" t="s">
        <x:v>58</x:v>
      </x:c>
    </x:row>
    <x:row r="1165" ht="37.5" hidden="0" customHeight="1">
      <x:c r="A1165" s="7" t="s">
        <x:v>4236</x:v>
      </x:c>
      <x:c r="B1165" s="7" t="s">
        <x:v>697</x:v>
      </x:c>
      <x:c r="C1165" s="7" t="s">
        <x:v>1298</x:v>
      </x:c>
      <x:c r="D1165" s="7" t="s">
        <x:v>2099</x:v>
      </x:c>
      <x:c r="E1165" s="7" t="s">
        <x:v>4237</x:v>
      </x:c>
      <x:c r="F1165" s="7" t="s">
        <x:v>1942</x:v>
      </x:c>
      <x:c r="G1165" s="8" t="n">
        <x:v>1</x:v>
      </x:c>
      <x:c r="H1165" s="8" t="s">
        <x:v>58</x:v>
      </x:c>
      <x:c r="I1165" s="8" t="s">
        <x:v>58</x:v>
      </x:c>
      <x:c r="J1165" s="7" t="s">
        <x:v>2752</x:v>
      </x:c>
      <x:c r="K1165" s="8" t="n">
        <x:v>1</x:v>
      </x:c>
      <x:c r="L1165" s="8" t="n">
        <x:f aca="0">IF(AND(ISNUMBER(G1165),P1165&lt;&gt;"Unresolved unit / layout"),G1165*K1165,"Not applicable")</x:f>
        <x:v>1</x:v>
      </x:c>
      <x:c r="M1165" s="8" t="str">
        <x:f aca="0">IF(AND(ISNUMBER(H1165),P1165&lt;&gt;"Unresolved unit / layout"),H1165*K1165,"Not applicable")</x:f>
        <x:v>Not applicable</x:v>
      </x:c>
      <x:c r="N1165" s="8" t="str">
        <x:f aca="0">IF(AND(ISNUMBER(I1165),P1165&lt;&gt;"Unresolved unit / layout"),I1165*K1165,"Not applicable")</x:f>
        <x:v>Not applicable</x:v>
      </x:c>
      <x:c r="O1165" s="7" t="s">
        <x:v>1942</x:v>
      </x:c>
      <x:c r="P1165" s="7" t="s">
        <x:v>1921</x:v>
      </x:c>
      <x:c r="Q1165" s="7" t="s">
        <x:v>2064</x:v>
      </x:c>
      <x:c r="R1165" s="7" t="s">
        <x:v>58</x:v>
      </x:c>
      <x:c r="S1165" s="7" t="s">
        <x:v>53</x:v>
      </x:c>
      <x:c r="T1165" s="7" t="s">
        <x:v>53</x:v>
      </x:c>
      <x:c r="U1165" s="7" t="s">
        <x:v>53</x:v>
      </x:c>
      <x:c r="V1165" s="7" t="s">
        <x:v>2739</x:v>
      </x:c>
      <x:c r="W1165" s="7" t="s">
        <x:v>58</x:v>
      </x:c>
      <x:c r="X1165" s="7" t="s">
        <x:v>53</x:v>
      </x:c>
      <x:c r="Y1165" s="7" t="s">
        <x:v>1300</x:v>
      </x:c>
      <x:c r="Z1165" s="7" t="s">
        <x:v>2753</x:v>
      </x:c>
      <x:c r="AA1165" s="7" t="s">
        <x:v>58</x:v>
      </x:c>
      <x:c r="AB1165" s="8" t="s">
        <x:v>58</x:v>
      </x:c>
      <x:c r="AC1165" s="8" t="s">
        <x:v>58</x:v>
      </x:c>
      <x:c r="AD1165" s="8" t="s">
        <x:v>58</x:v>
      </x:c>
      <x:c r="AE1165" s="8" t="s">
        <x:v>58</x:v>
      </x:c>
      <x:c r="AF1165" s="8" t="s">
        <x:v>58</x:v>
      </x:c>
      <x:c r="AG1165" s="7" t="s">
        <x:v>58</x:v>
      </x:c>
    </x:row>
    <x:row r="1166" ht="51.75" hidden="0" customHeight="1">
      <x:c r="A1166" s="7" t="s">
        <x:v>4238</x:v>
      </x:c>
      <x:c r="B1166" s="7" t="s">
        <x:v>708</x:v>
      </x:c>
      <x:c r="C1166" s="7" t="s">
        <x:v>710</x:v>
      </x:c>
      <x:c r="D1166" s="7" t="s">
        <x:v>1916</x:v>
      </x:c>
      <x:c r="E1166" s="7" t="s">
        <x:v>4239</x:v>
      </x:c>
      <x:c r="F1166" s="7" t="s">
        <x:v>1918</x:v>
      </x:c>
      <x:c r="G1166" s="8" t="n">
        <x:v>1.35</x:v>
      </x:c>
      <x:c r="H1166" s="8" t="s">
        <x:v>58</x:v>
      </x:c>
      <x:c r="I1166" s="8" t="s">
        <x:v>58</x:v>
      </x:c>
      <x:c r="J1166" s="7" t="s">
        <x:v>1919</x:v>
      </x:c>
      <x:c r="K1166" s="8" t="n">
        <x:v>1000</x:v>
      </x:c>
      <x:c r="L1166" s="8" t="n">
        <x:f aca="0">IF(AND(ISNUMBER(G1166),P1166&lt;&gt;"Unresolved unit / layout"),G1166*K1166,"Not applicable")</x:f>
        <x:v>1350</x:v>
      </x:c>
      <x:c r="M1166" s="8" t="str">
        <x:f aca="0">IF(AND(ISNUMBER(H1166),P1166&lt;&gt;"Unresolved unit / layout"),H1166*K1166,"Not applicable")</x:f>
        <x:v>Not applicable</x:v>
      </x:c>
      <x:c r="N1166" s="8" t="str">
        <x:f aca="0">IF(AND(ISNUMBER(I1166),P1166&lt;&gt;"Unresolved unit / layout"),I1166*K1166,"Not applicable")</x:f>
        <x:v>Not applicable</x:v>
      </x:c>
      <x:c r="O1166" s="7" t="s">
        <x:v>1920</x:v>
      </x:c>
      <x:c r="P1166" s="7" t="s">
        <x:v>1921</x:v>
      </x:c>
      <x:c r="Q1166" s="7" t="s">
        <x:v>1922</x:v>
      </x:c>
      <x:c r="R1166" s="7" t="s">
        <x:v>58</x:v>
      </x:c>
      <x:c r="S1166" s="7" t="s">
        <x:v>53</x:v>
      </x:c>
      <x:c r="T1166" s="7" t="s">
        <x:v>53</x:v>
      </x:c>
      <x:c r="U1166" s="7" t="s">
        <x:v>53</x:v>
      </x:c>
      <x:c r="V1166" s="7" t="s">
        <x:v>1923</x:v>
      </x:c>
      <x:c r="W1166" s="7" t="s">
        <x:v>58</x:v>
      </x:c>
      <x:c r="X1166" s="7" t="s">
        <x:v>4240</x:v>
      </x:c>
      <x:c r="Y1166" s="7" t="s">
        <x:v>1302</x:v>
      </x:c>
      <x:c r="Z1166" s="7" t="s">
        <x:v>1925</x:v>
      </x:c>
      <x:c r="AA1166" s="7" t="s">
        <x:v>58</x:v>
      </x:c>
      <x:c r="AB1166" s="8" t="s">
        <x:v>58</x:v>
      </x:c>
      <x:c r="AC1166" s="8" t="s">
        <x:v>58</x:v>
      </x:c>
      <x:c r="AD1166" s="8" t="s">
        <x:v>58</x:v>
      </x:c>
      <x:c r="AE1166" s="8" t="s">
        <x:v>58</x:v>
      </x:c>
      <x:c r="AF1166" s="8" t="s">
        <x:v>58</x:v>
      </x:c>
      <x:c r="AG1166" s="7" t="s">
        <x:v>58</x:v>
      </x:c>
    </x:row>
    <x:row r="1167" ht="51.75" hidden="0" customHeight="1">
      <x:c r="A1167" s="7" t="s">
        <x:v>4241</x:v>
      </x:c>
      <x:c r="B1167" s="7" t="s">
        <x:v>708</x:v>
      </x:c>
      <x:c r="C1167" s="7" t="s">
        <x:v>710</x:v>
      </x:c>
      <x:c r="D1167" s="7" t="s">
        <x:v>1927</x:v>
      </x:c>
      <x:c r="E1167" s="7" t="s">
        <x:v>4242</x:v>
      </x:c>
      <x:c r="F1167" s="7" t="s">
        <x:v>1929</x:v>
      </x:c>
      <x:c r="G1167" s="8" t="n">
        <x:v>62.8</x:v>
      </x:c>
      <x:c r="H1167" s="8" t="s">
        <x:v>58</x:v>
      </x:c>
      <x:c r="I1167" s="8" t="s">
        <x:v>58</x:v>
      </x:c>
      <x:c r="J1167" s="7" t="s">
        <x:v>1919</x:v>
      </x:c>
      <x:c r="K1167" s="8" t="n">
        <x:v>1</x:v>
      </x:c>
      <x:c r="L1167" s="8" t="n">
        <x:f aca="0">IF(AND(ISNUMBER(G1167),P1167&lt;&gt;"Unresolved unit / layout"),G1167*K1167,"Not applicable")</x:f>
        <x:v>62.8</x:v>
      </x:c>
      <x:c r="M1167" s="8" t="str">
        <x:f aca="0">IF(AND(ISNUMBER(H1167),P1167&lt;&gt;"Unresolved unit / layout"),H1167*K1167,"Not applicable")</x:f>
        <x:v>Not applicable</x:v>
      </x:c>
      <x:c r="N1167" s="8" t="str">
        <x:f aca="0">IF(AND(ISNUMBER(I1167),P1167&lt;&gt;"Unresolved unit / layout"),I1167*K1167,"Not applicable")</x:f>
        <x:v>Not applicable</x:v>
      </x:c>
      <x:c r="O1167" s="7" t="s">
        <x:v>1929</x:v>
      </x:c>
      <x:c r="P1167" s="7" t="s">
        <x:v>1921</x:v>
      </x:c>
      <x:c r="Q1167" s="7" t="s">
        <x:v>1930</x:v>
      </x:c>
      <x:c r="R1167" s="7" t="s">
        <x:v>1931</x:v>
      </x:c>
      <x:c r="S1167" s="7" t="s">
        <x:v>53</x:v>
      </x:c>
      <x:c r="T1167" s="7" t="s">
        <x:v>53</x:v>
      </x:c>
      <x:c r="U1167" s="7" t="s">
        <x:v>53</x:v>
      </x:c>
      <x:c r="V1167" s="7" t="s">
        <x:v>1932</x:v>
      </x:c>
      <x:c r="W1167" s="7" t="s">
        <x:v>58</x:v>
      </x:c>
      <x:c r="X1167" s="7" t="s">
        <x:v>4240</x:v>
      </x:c>
      <x:c r="Y1167" s="7" t="s">
        <x:v>1302</x:v>
      </x:c>
      <x:c r="Z1167" s="7" t="s">
        <x:v>1933</x:v>
      </x:c>
      <x:c r="AA1167" s="7" t="s">
        <x:v>58</x:v>
      </x:c>
      <x:c r="AB1167" s="8" t="s">
        <x:v>58</x:v>
      </x:c>
      <x:c r="AC1167" s="8" t="s">
        <x:v>58</x:v>
      </x:c>
      <x:c r="AD1167" s="8" t="s">
        <x:v>58</x:v>
      </x:c>
      <x:c r="AE1167" s="8" t="s">
        <x:v>58</x:v>
      </x:c>
      <x:c r="AF1167" s="8" t="s">
        <x:v>58</x:v>
      </x:c>
      <x:c r="AG1167" s="7" t="s">
        <x:v>58</x:v>
      </x:c>
    </x:row>
    <x:row r="1168" ht="51.75" hidden="0" customHeight="1">
      <x:c r="A1168" s="7" t="s">
        <x:v>4243</x:v>
      </x:c>
      <x:c r="B1168" s="7" t="s">
        <x:v>708</x:v>
      </x:c>
      <x:c r="C1168" s="7" t="s">
        <x:v>710</x:v>
      </x:c>
      <x:c r="D1168" s="7" t="s">
        <x:v>1935</x:v>
      </x:c>
      <x:c r="E1168" s="7" t="s">
        <x:v>4244</x:v>
      </x:c>
      <x:c r="F1168" s="7" t="s">
        <x:v>1929</x:v>
      </x:c>
      <x:c r="G1168" s="8" t="n">
        <x:v>4261</x:v>
      </x:c>
      <x:c r="H1168" s="8" t="s">
        <x:v>58</x:v>
      </x:c>
      <x:c r="I1168" s="8" t="s">
        <x:v>58</x:v>
      </x:c>
      <x:c r="J1168" s="7" t="s">
        <x:v>1919</x:v>
      </x:c>
      <x:c r="K1168" s="8" t="n">
        <x:v>0.001</x:v>
      </x:c>
      <x:c r="L1168" s="8" t="n">
        <x:f aca="0">IF(AND(ISNUMBER(G1168),P1168&lt;&gt;"Unresolved unit / layout"),G1168*K1168,"Not applicable")</x:f>
        <x:v>4.261</x:v>
      </x:c>
      <x:c r="M1168" s="8" t="str">
        <x:f aca="0">IF(AND(ISNUMBER(H1168),P1168&lt;&gt;"Unresolved unit / layout"),H1168*K1168,"Not applicable")</x:f>
        <x:v>Not applicable</x:v>
      </x:c>
      <x:c r="N1168" s="8" t="str">
        <x:f aca="0">IF(AND(ISNUMBER(I1168),P1168&lt;&gt;"Unresolved unit / layout"),I1168*K1168,"Not applicable")</x:f>
        <x:v>Not applicable</x:v>
      </x:c>
      <x:c r="O1168" s="7" t="s">
        <x:v>1937</x:v>
      </x:c>
      <x:c r="P1168" s="7" t="s">
        <x:v>1921</x:v>
      </x:c>
      <x:c r="Q1168" s="7" t="s">
        <x:v>1930</x:v>
      </x:c>
      <x:c r="R1168" s="7" t="s">
        <x:v>1931</x:v>
      </x:c>
      <x:c r="S1168" s="7" t="s">
        <x:v>53</x:v>
      </x:c>
      <x:c r="T1168" s="7" t="s">
        <x:v>53</x:v>
      </x:c>
      <x:c r="U1168" s="7" t="s">
        <x:v>53</x:v>
      </x:c>
      <x:c r="V1168" s="7" t="s">
        <x:v>1932</x:v>
      </x:c>
      <x:c r="W1168" s="7" t="s">
        <x:v>58</x:v>
      </x:c>
      <x:c r="X1168" s="7" t="s">
        <x:v>4240</x:v>
      </x:c>
      <x:c r="Y1168" s="7" t="s">
        <x:v>1302</x:v>
      </x:c>
      <x:c r="Z1168" s="7" t="s">
        <x:v>1938</x:v>
      </x:c>
      <x:c r="AA1168" s="7" t="s">
        <x:v>58</x:v>
      </x:c>
      <x:c r="AB1168" s="8" t="s">
        <x:v>58</x:v>
      </x:c>
      <x:c r="AC1168" s="8" t="s">
        <x:v>58</x:v>
      </x:c>
      <x:c r="AD1168" s="8" t="s">
        <x:v>58</x:v>
      </x:c>
      <x:c r="AE1168" s="8" t="s">
        <x:v>58</x:v>
      </x:c>
      <x:c r="AF1168" s="8" t="s">
        <x:v>58</x:v>
      </x:c>
      <x:c r="AG1168" s="7" t="s">
        <x:v>58</x:v>
      </x:c>
    </x:row>
    <x:row r="1169" ht="51.75" hidden="0" customHeight="1">
      <x:c r="A1169" s="7" t="s">
        <x:v>4245</x:v>
      </x:c>
      <x:c r="B1169" s="7" t="s">
        <x:v>708</x:v>
      </x:c>
      <x:c r="C1169" s="7" t="s">
        <x:v>710</x:v>
      </x:c>
      <x:c r="D1169" s="7" t="s">
        <x:v>1940</x:v>
      </x:c>
      <x:c r="E1169" s="7" t="s">
        <x:v>4246</x:v>
      </x:c>
      <x:c r="F1169" s="7" t="s">
        <x:v>1942</x:v>
      </x:c>
      <x:c r="G1169" s="8" t="n">
        <x:v>6</x:v>
      </x:c>
      <x:c r="H1169" s="8" t="s">
        <x:v>58</x:v>
      </x:c>
      <x:c r="I1169" s="8" t="s">
        <x:v>58</x:v>
      </x:c>
      <x:c r="J1169" s="7" t="s">
        <x:v>1919</x:v>
      </x:c>
      <x:c r="K1169" s="8" t="n">
        <x:v>1</x:v>
      </x:c>
      <x:c r="L1169" s="8" t="n">
        <x:f aca="0">IF(AND(ISNUMBER(G1169),P1169&lt;&gt;"Unresolved unit / layout"),G1169*K1169,"Not applicable")</x:f>
        <x:v>6</x:v>
      </x:c>
      <x:c r="M1169" s="8" t="str">
        <x:f aca="0">IF(AND(ISNUMBER(H1169),P1169&lt;&gt;"Unresolved unit / layout"),H1169*K1169,"Not applicable")</x:f>
        <x:v>Not applicable</x:v>
      </x:c>
      <x:c r="N1169" s="8" t="str">
        <x:f aca="0">IF(AND(ISNUMBER(I1169),P1169&lt;&gt;"Unresolved unit / layout"),I1169*K1169,"Not applicable")</x:f>
        <x:v>Not applicable</x:v>
      </x:c>
      <x:c r="O1169" s="7" t="s">
        <x:v>1942</x:v>
      </x:c>
      <x:c r="P1169" s="7" t="s">
        <x:v>1921</x:v>
      </x:c>
      <x:c r="Q1169" s="7" t="s">
        <x:v>1930</x:v>
      </x:c>
      <x:c r="R1169" s="7" t="s">
        <x:v>1931</x:v>
      </x:c>
      <x:c r="S1169" s="7" t="s">
        <x:v>53</x:v>
      </x:c>
      <x:c r="T1169" s="7" t="s">
        <x:v>53</x:v>
      </x:c>
      <x:c r="U1169" s="7" t="s">
        <x:v>53</x:v>
      </x:c>
      <x:c r="V1169" s="7" t="s">
        <x:v>1932</x:v>
      </x:c>
      <x:c r="W1169" s="7" t="s">
        <x:v>58</x:v>
      </x:c>
      <x:c r="X1169" s="7" t="s">
        <x:v>4240</x:v>
      </x:c>
      <x:c r="Y1169" s="7" t="s">
        <x:v>1302</x:v>
      </x:c>
      <x:c r="Z1169" s="7" t="s">
        <x:v>1943</x:v>
      </x:c>
      <x:c r="AA1169" s="7" t="s">
        <x:v>58</x:v>
      </x:c>
      <x:c r="AB1169" s="8" t="s">
        <x:v>58</x:v>
      </x:c>
      <x:c r="AC1169" s="8" t="s">
        <x:v>58</x:v>
      </x:c>
      <x:c r="AD1169" s="8" t="s">
        <x:v>58</x:v>
      </x:c>
      <x:c r="AE1169" s="8" t="s">
        <x:v>58</x:v>
      </x:c>
      <x:c r="AF1169" s="8" t="s">
        <x:v>58</x:v>
      </x:c>
      <x:c r="AG1169" s="7" t="s">
        <x:v>58</x:v>
      </x:c>
    </x:row>
    <x:row r="1170" ht="51.75" hidden="0" customHeight="1">
      <x:c r="A1170" s="7" t="s">
        <x:v>4247</x:v>
      </x:c>
      <x:c r="B1170" s="7" t="s">
        <x:v>708</x:v>
      </x:c>
      <x:c r="C1170" s="7" t="s">
        <x:v>710</x:v>
      </x:c>
      <x:c r="D1170" s="7" t="s">
        <x:v>1945</x:v>
      </x:c>
      <x:c r="E1170" s="7" t="s">
        <x:v>3950</x:v>
      </x:c>
      <x:c r="F1170" s="7" t="s">
        <x:v>1929</x:v>
      </x:c>
      <x:c r="G1170" s="8" t="n">
        <x:v>72</x:v>
      </x:c>
      <x:c r="H1170" s="8" t="s">
        <x:v>58</x:v>
      </x:c>
      <x:c r="I1170" s="8" t="s">
        <x:v>58</x:v>
      </x:c>
      <x:c r="J1170" s="7" t="s">
        <x:v>1919</x:v>
      </x:c>
      <x:c r="K1170" s="8" t="n">
        <x:v>1</x:v>
      </x:c>
      <x:c r="L1170" s="8" t="n">
        <x:f aca="0">IF(AND(ISNUMBER(G1170),P1170&lt;&gt;"Unresolved unit / layout"),G1170*K1170,"Not applicable")</x:f>
        <x:v>72</x:v>
      </x:c>
      <x:c r="M1170" s="8" t="str">
        <x:f aca="0">IF(AND(ISNUMBER(H1170),P1170&lt;&gt;"Unresolved unit / layout"),H1170*K1170,"Not applicable")</x:f>
        <x:v>Not applicable</x:v>
      </x:c>
      <x:c r="N1170" s="8" t="str">
        <x:f aca="0">IF(AND(ISNUMBER(I1170),P1170&lt;&gt;"Unresolved unit / layout"),I1170*K1170,"Not applicable")</x:f>
        <x:v>Not applicable</x:v>
      </x:c>
      <x:c r="O1170" s="7" t="s">
        <x:v>1929</x:v>
      </x:c>
      <x:c r="P1170" s="7" t="s">
        <x:v>1921</x:v>
      </x:c>
      <x:c r="Q1170" s="7" t="s">
        <x:v>1930</x:v>
      </x:c>
      <x:c r="R1170" s="7" t="s">
        <x:v>1931</x:v>
      </x:c>
      <x:c r="S1170" s="7" t="s">
        <x:v>53</x:v>
      </x:c>
      <x:c r="T1170" s="7" t="s">
        <x:v>53</x:v>
      </x:c>
      <x:c r="U1170" s="7" t="s">
        <x:v>53</x:v>
      </x:c>
      <x:c r="V1170" s="7" t="s">
        <x:v>1947</x:v>
      </x:c>
      <x:c r="W1170" s="7" t="s">
        <x:v>58</x:v>
      </x:c>
      <x:c r="X1170" s="7" t="s">
        <x:v>4240</x:v>
      </x:c>
      <x:c r="Y1170" s="7" t="s">
        <x:v>1302</x:v>
      </x:c>
      <x:c r="Z1170" s="7" t="s">
        <x:v>1948</x:v>
      </x:c>
      <x:c r="AA1170" s="7" t="s">
        <x:v>58</x:v>
      </x:c>
      <x:c r="AB1170" s="8" t="s">
        <x:v>58</x:v>
      </x:c>
      <x:c r="AC1170" s="8" t="s">
        <x:v>58</x:v>
      </x:c>
      <x:c r="AD1170" s="8" t="s">
        <x:v>58</x:v>
      </x:c>
      <x:c r="AE1170" s="8" t="s">
        <x:v>58</x:v>
      </x:c>
      <x:c r="AF1170" s="8" t="s">
        <x:v>58</x:v>
      </x:c>
      <x:c r="AG1170" s="7" t="s">
        <x:v>58</x:v>
      </x:c>
    </x:row>
    <x:row r="1171" ht="51.75" hidden="0" customHeight="1">
      <x:c r="A1171" s="7" t="s">
        <x:v>4248</x:v>
      </x:c>
      <x:c r="B1171" s="7" t="s">
        <x:v>708</x:v>
      </x:c>
      <x:c r="C1171" s="7" t="s">
        <x:v>710</x:v>
      </x:c>
      <x:c r="D1171" s="7" t="s">
        <x:v>1950</x:v>
      </x:c>
      <x:c r="E1171" s="7" t="s">
        <x:v>4249</x:v>
      </x:c>
      <x:c r="F1171" s="7" t="s">
        <x:v>1929</x:v>
      </x:c>
      <x:c r="G1171" s="8" t="n">
        <x:v>3600</x:v>
      </x:c>
      <x:c r="H1171" s="8" t="s">
        <x:v>58</x:v>
      </x:c>
      <x:c r="I1171" s="8" t="s">
        <x:v>58</x:v>
      </x:c>
      <x:c r="J1171" s="7" t="s">
        <x:v>1919</x:v>
      </x:c>
      <x:c r="K1171" s="8" t="n">
        <x:v>0.001</x:v>
      </x:c>
      <x:c r="L1171" s="8" t="n">
        <x:f aca="0">IF(AND(ISNUMBER(G1171),P1171&lt;&gt;"Unresolved unit / layout"),G1171*K1171,"Not applicable")</x:f>
        <x:v>3.6</x:v>
      </x:c>
      <x:c r="M1171" s="8" t="str">
        <x:f aca="0">IF(AND(ISNUMBER(H1171),P1171&lt;&gt;"Unresolved unit / layout"),H1171*K1171,"Not applicable")</x:f>
        <x:v>Not applicable</x:v>
      </x:c>
      <x:c r="N1171" s="8" t="str">
        <x:f aca="0">IF(AND(ISNUMBER(I1171),P1171&lt;&gt;"Unresolved unit / layout"),I1171*K1171,"Not applicable")</x:f>
        <x:v>Not applicable</x:v>
      </x:c>
      <x:c r="O1171" s="7" t="s">
        <x:v>1937</x:v>
      </x:c>
      <x:c r="P1171" s="7" t="s">
        <x:v>1921</x:v>
      </x:c>
      <x:c r="Q1171" s="7" t="s">
        <x:v>1930</x:v>
      </x:c>
      <x:c r="R1171" s="7" t="s">
        <x:v>1931</x:v>
      </x:c>
      <x:c r="S1171" s="7" t="s">
        <x:v>53</x:v>
      </x:c>
      <x:c r="T1171" s="7" t="s">
        <x:v>53</x:v>
      </x:c>
      <x:c r="U1171" s="7" t="s">
        <x:v>53</x:v>
      </x:c>
      <x:c r="V1171" s="7" t="s">
        <x:v>1947</x:v>
      </x:c>
      <x:c r="W1171" s="7" t="s">
        <x:v>58</x:v>
      </x:c>
      <x:c r="X1171" s="7" t="s">
        <x:v>4240</x:v>
      </x:c>
      <x:c r="Y1171" s="7" t="s">
        <x:v>1302</x:v>
      </x:c>
      <x:c r="Z1171" s="7" t="s">
        <x:v>1952</x:v>
      </x:c>
      <x:c r="AA1171" s="7" t="s">
        <x:v>58</x:v>
      </x:c>
      <x:c r="AB1171" s="8" t="s">
        <x:v>58</x:v>
      </x:c>
      <x:c r="AC1171" s="8" t="s">
        <x:v>58</x:v>
      </x:c>
      <x:c r="AD1171" s="8" t="s">
        <x:v>58</x:v>
      </x:c>
      <x:c r="AE1171" s="8" t="s">
        <x:v>58</x:v>
      </x:c>
      <x:c r="AF1171" s="8" t="s">
        <x:v>58</x:v>
      </x:c>
      <x:c r="AG1171" s="7" t="s">
        <x:v>58</x:v>
      </x:c>
    </x:row>
    <x:row r="1172" ht="51.75" hidden="0" customHeight="1">
      <x:c r="A1172" s="7" t="s">
        <x:v>4250</x:v>
      </x:c>
      <x:c r="B1172" s="7" t="s">
        <x:v>708</x:v>
      </x:c>
      <x:c r="C1172" s="7" t="s">
        <x:v>710</x:v>
      </x:c>
      <x:c r="D1172" s="7" t="s">
        <x:v>1954</x:v>
      </x:c>
      <x:c r="E1172" s="7" t="s">
        <x:v>2767</x:v>
      </x:c>
      <x:c r="F1172" s="7" t="s">
        <x:v>1956</x:v>
      </x:c>
      <x:c r="G1172" s="8" t="n">
        <x:v>70</x:v>
      </x:c>
      <x:c r="H1172" s="8" t="s">
        <x:v>58</x:v>
      </x:c>
      <x:c r="I1172" s="8" t="s">
        <x:v>58</x:v>
      </x:c>
      <x:c r="J1172" s="7" t="s">
        <x:v>1919</x:v>
      </x:c>
      <x:c r="K1172" s="8" t="n">
        <x:v>1</x:v>
      </x:c>
      <x:c r="L1172" s="8" t="n">
        <x:f aca="0">IF(AND(ISNUMBER(G1172),P1172&lt;&gt;"Unresolved unit / layout"),G1172*K1172,"Not applicable")</x:f>
        <x:v>70</x:v>
      </x:c>
      <x:c r="M1172" s="8" t="str">
        <x:f aca="0">IF(AND(ISNUMBER(H1172),P1172&lt;&gt;"Unresolved unit / layout"),H1172*K1172,"Not applicable")</x:f>
        <x:v>Not applicable</x:v>
      </x:c>
      <x:c r="N1172" s="8" t="str">
        <x:f aca="0">IF(AND(ISNUMBER(I1172),P1172&lt;&gt;"Unresolved unit / layout"),I1172*K1172,"Not applicable")</x:f>
        <x:v>Not applicable</x:v>
      </x:c>
      <x:c r="O1172" s="7" t="s">
        <x:v>1956</x:v>
      </x:c>
      <x:c r="P1172" s="7" t="s">
        <x:v>1921</x:v>
      </x:c>
      <x:c r="Q1172" s="7" t="s">
        <x:v>1930</x:v>
      </x:c>
      <x:c r="R1172" s="7" t="s">
        <x:v>58</x:v>
      </x:c>
      <x:c r="S1172" s="7" t="s">
        <x:v>53</x:v>
      </x:c>
      <x:c r="T1172" s="7" t="s">
        <x:v>53</x:v>
      </x:c>
      <x:c r="U1172" s="7" t="s">
        <x:v>53</x:v>
      </x:c>
      <x:c r="V1172" s="7" t="s">
        <x:v>1957</x:v>
      </x:c>
      <x:c r="W1172" s="7" t="s">
        <x:v>58</x:v>
      </x:c>
      <x:c r="X1172" s="7" t="s">
        <x:v>4240</x:v>
      </x:c>
      <x:c r="Y1172" s="7" t="s">
        <x:v>1302</x:v>
      </x:c>
      <x:c r="Z1172" s="7" t="s">
        <x:v>1958</x:v>
      </x:c>
      <x:c r="AA1172" s="7" t="s">
        <x:v>58</x:v>
      </x:c>
      <x:c r="AB1172" s="8" t="s">
        <x:v>58</x:v>
      </x:c>
      <x:c r="AC1172" s="8" t="s">
        <x:v>58</x:v>
      </x:c>
      <x:c r="AD1172" s="8" t="s">
        <x:v>58</x:v>
      </x:c>
      <x:c r="AE1172" s="8" t="s">
        <x:v>58</x:v>
      </x:c>
      <x:c r="AF1172" s="8" t="s">
        <x:v>58</x:v>
      </x:c>
      <x:c r="AG1172" s="7" t="s">
        <x:v>58</x:v>
      </x:c>
    </x:row>
    <x:row r="1173" ht="51.75" hidden="0" customHeight="1">
      <x:c r="A1173" s="7" t="s">
        <x:v>713</x:v>
      </x:c>
      <x:c r="B1173" s="7" t="s">
        <x:v>708</x:v>
      </x:c>
      <x:c r="C1173" s="7" t="s">
        <x:v>710</x:v>
      </x:c>
      <x:c r="D1173" s="7" t="s">
        <x:v>1959</x:v>
      </x:c>
      <x:c r="E1173" s="7" t="s">
        <x:v>4251</x:v>
      </x:c>
      <x:c r="F1173" s="7" t="s">
        <x:v>1956</x:v>
      </x:c>
      <x:c r="G1173" s="8" t="n">
        <x:v>186</x:v>
      </x:c>
      <x:c r="H1173" s="8" t="s">
        <x:v>58</x:v>
      </x:c>
      <x:c r="I1173" s="8" t="s">
        <x:v>58</x:v>
      </x:c>
      <x:c r="J1173" s="7" t="s">
        <x:v>1919</x:v>
      </x:c>
      <x:c r="K1173" s="8" t="n">
        <x:v>1</x:v>
      </x:c>
      <x:c r="L1173" s="8" t="n">
        <x:f aca="0">IF(AND(ISNUMBER(G1173),P1173&lt;&gt;"Unresolved unit / layout"),G1173*K1173,"Not applicable")</x:f>
        <x:v>186</x:v>
      </x:c>
      <x:c r="M1173" s="8" t="str">
        <x:f aca="0">IF(AND(ISNUMBER(H1173),P1173&lt;&gt;"Unresolved unit / layout"),H1173*K1173,"Not applicable")</x:f>
        <x:v>Not applicable</x:v>
      </x:c>
      <x:c r="N1173" s="8" t="str">
        <x:f aca="0">IF(AND(ISNUMBER(I1173),P1173&lt;&gt;"Unresolved unit / layout"),I1173*K1173,"Not applicable")</x:f>
        <x:v>Not applicable</x:v>
      </x:c>
      <x:c r="O1173" s="7" t="s">
        <x:v>1956</x:v>
      </x:c>
      <x:c r="P1173" s="7" t="s">
        <x:v>1921</x:v>
      </x:c>
      <x:c r="Q1173" s="7" t="s">
        <x:v>1930</x:v>
      </x:c>
      <x:c r="R1173" s="7" t="s">
        <x:v>58</x:v>
      </x:c>
      <x:c r="S1173" s="7" t="s">
        <x:v>53</x:v>
      </x:c>
      <x:c r="T1173" s="7" t="s">
        <x:v>53</x:v>
      </x:c>
      <x:c r="U1173" s="7" t="s">
        <x:v>53</x:v>
      </x:c>
      <x:c r="V1173" s="7" t="s">
        <x:v>1961</x:v>
      </x:c>
      <x:c r="W1173" s="7" t="s">
        <x:v>58</x:v>
      </x:c>
      <x:c r="X1173" s="7" t="s">
        <x:v>4240</x:v>
      </x:c>
      <x:c r="Y1173" s="7" t="s">
        <x:v>1302</x:v>
      </x:c>
      <x:c r="Z1173" s="7" t="s">
        <x:v>1962</x:v>
      </x:c>
      <x:c r="AA1173" s="7" t="s">
        <x:v>58</x:v>
      </x:c>
      <x:c r="AB1173" s="8" t="s">
        <x:v>58</x:v>
      </x:c>
      <x:c r="AC1173" s="8" t="s">
        <x:v>58</x:v>
      </x:c>
      <x:c r="AD1173" s="8" t="s">
        <x:v>58</x:v>
      </x:c>
      <x:c r="AE1173" s="8" t="s">
        <x:v>58</x:v>
      </x:c>
      <x:c r="AF1173" s="8" t="s">
        <x:v>58</x:v>
      </x:c>
      <x:c r="AG1173" s="7" t="s">
        <x:v>58</x:v>
      </x:c>
    </x:row>
    <x:row r="1174" ht="66" hidden="0" customHeight="1">
      <x:c r="A1174" s="7" t="s">
        <x:v>4252</x:v>
      </x:c>
      <x:c r="B1174" s="7" t="s">
        <x:v>708</x:v>
      </x:c>
      <x:c r="C1174" s="7" t="s">
        <x:v>1303</x:v>
      </x:c>
      <x:c r="D1174" s="7" t="s">
        <x:v>1916</x:v>
      </x:c>
      <x:c r="E1174" s="7" t="s">
        <x:v>4253</x:v>
      </x:c>
      <x:c r="F1174" s="7" t="s">
        <x:v>1965</x:v>
      </x:c>
      <x:c r="G1174" s="8" t="n">
        <x:v>1.2</x:v>
      </x:c>
      <x:c r="H1174" s="8" t="s">
        <x:v>58</x:v>
      </x:c>
      <x:c r="I1174" s="8" t="s">
        <x:v>58</x:v>
      </x:c>
      <x:c r="J1174" s="7" t="s">
        <x:v>1919</x:v>
      </x:c>
      <x:c r="K1174" s="8" t="n">
        <x:v>1000</x:v>
      </x:c>
      <x:c r="L1174" s="8" t="n">
        <x:f aca="0">IF(AND(ISNUMBER(G1174),P1174&lt;&gt;"Unresolved unit / layout"),G1174*K1174,"Not applicable")</x:f>
        <x:v>1200</x:v>
      </x:c>
      <x:c r="M1174" s="8" t="str">
        <x:f aca="0">IF(AND(ISNUMBER(H1174),P1174&lt;&gt;"Unresolved unit / layout"),H1174*K1174,"Not applicable")</x:f>
        <x:v>Not applicable</x:v>
      </x:c>
      <x:c r="N1174" s="8" t="str">
        <x:f aca="0">IF(AND(ISNUMBER(I1174),P1174&lt;&gt;"Unresolved unit / layout"),I1174*K1174,"Not applicable")</x:f>
        <x:v>Not applicable</x:v>
      </x:c>
      <x:c r="O1174" s="7" t="s">
        <x:v>1920</x:v>
      </x:c>
      <x:c r="P1174" s="7" t="s">
        <x:v>1921</x:v>
      </x:c>
      <x:c r="Q1174" s="7" t="s">
        <x:v>1922</x:v>
      </x:c>
      <x:c r="R1174" s="7" t="s">
        <x:v>58</x:v>
      </x:c>
      <x:c r="S1174" s="7" t="s">
        <x:v>2077</x:v>
      </x:c>
      <x:c r="T1174" s="7" t="s">
        <x:v>4254</x:v>
      </x:c>
      <x:c r="U1174" s="7" t="s">
        <x:v>53</x:v>
      </x:c>
      <x:c r="V1174" s="7" t="s">
        <x:v>1966</x:v>
      </x:c>
      <x:c r="W1174" s="7" t="s">
        <x:v>58</x:v>
      </x:c>
      <x:c r="X1174" s="7" t="s">
        <x:v>4255</x:v>
      </x:c>
      <x:c r="Y1174" s="7" t="s">
        <x:v>1305</x:v>
      </x:c>
      <x:c r="Z1174" s="7" t="s">
        <x:v>1968</x:v>
      </x:c>
      <x:c r="AA1174" s="7" t="s">
        <x:v>58</x:v>
      </x:c>
      <x:c r="AB1174" s="8" t="s">
        <x:v>58</x:v>
      </x:c>
      <x:c r="AC1174" s="8" t="s">
        <x:v>58</x:v>
      </x:c>
      <x:c r="AD1174" s="8" t="s">
        <x:v>58</x:v>
      </x:c>
      <x:c r="AE1174" s="8" t="s">
        <x:v>58</x:v>
      </x:c>
      <x:c r="AF1174" s="8" t="s">
        <x:v>58</x:v>
      </x:c>
      <x:c r="AG1174" s="7" t="s">
        <x:v>58</x:v>
      </x:c>
    </x:row>
    <x:row r="1175" ht="66" hidden="0" customHeight="1">
      <x:c r="A1175" s="7" t="s">
        <x:v>4256</x:v>
      </x:c>
      <x:c r="B1175" s="7" t="s">
        <x:v>708</x:v>
      </x:c>
      <x:c r="C1175" s="7" t="s">
        <x:v>1303</x:v>
      </x:c>
      <x:c r="D1175" s="7" t="s">
        <x:v>1954</x:v>
      </x:c>
      <x:c r="E1175" s="7" t="s">
        <x:v>4257</x:v>
      </x:c>
      <x:c r="F1175" s="7" t="s">
        <x:v>1956</x:v>
      </x:c>
      <x:c r="G1175" s="8" t="n">
        <x:v>70.4</x:v>
      </x:c>
      <x:c r="H1175" s="8" t="s">
        <x:v>58</x:v>
      </x:c>
      <x:c r="I1175" s="8" t="s">
        <x:v>58</x:v>
      </x:c>
      <x:c r="J1175" s="7" t="s">
        <x:v>1919</x:v>
      </x:c>
      <x:c r="K1175" s="8" t="n">
        <x:v>1</x:v>
      </x:c>
      <x:c r="L1175" s="8" t="n">
        <x:f aca="0">IF(AND(ISNUMBER(G1175),P1175&lt;&gt;"Unresolved unit / layout"),G1175*K1175,"Not applicable")</x:f>
        <x:v>70.4</x:v>
      </x:c>
      <x:c r="M1175" s="8" t="str">
        <x:f aca="0">IF(AND(ISNUMBER(H1175),P1175&lt;&gt;"Unresolved unit / layout"),H1175*K1175,"Not applicable")</x:f>
        <x:v>Not applicable</x:v>
      </x:c>
      <x:c r="N1175" s="8" t="str">
        <x:f aca="0">IF(AND(ISNUMBER(I1175),P1175&lt;&gt;"Unresolved unit / layout"),I1175*K1175,"Not applicable")</x:f>
        <x:v>Not applicable</x:v>
      </x:c>
      <x:c r="O1175" s="7" t="s">
        <x:v>1956</x:v>
      </x:c>
      <x:c r="P1175" s="7" t="s">
        <x:v>1921</x:v>
      </x:c>
      <x:c r="Q1175" s="7" t="s">
        <x:v>1930</x:v>
      </x:c>
      <x:c r="R1175" s="7" t="s">
        <x:v>58</x:v>
      </x:c>
      <x:c r="S1175" s="7" t="s">
        <x:v>2077</x:v>
      </x:c>
      <x:c r="T1175" s="7" t="s">
        <x:v>4254</x:v>
      </x:c>
      <x:c r="U1175" s="7" t="s">
        <x:v>53</x:v>
      </x:c>
      <x:c r="V1175" s="7" t="s">
        <x:v>1971</x:v>
      </x:c>
      <x:c r="W1175" s="7" t="s">
        <x:v>58</x:v>
      </x:c>
      <x:c r="X1175" s="7" t="s">
        <x:v>4255</x:v>
      </x:c>
      <x:c r="Y1175" s="7" t="s">
        <x:v>1305</x:v>
      </x:c>
      <x:c r="Z1175" s="7" t="s">
        <x:v>1972</x:v>
      </x:c>
      <x:c r="AA1175" s="7" t="s">
        <x:v>58</x:v>
      </x:c>
      <x:c r="AB1175" s="8" t="s">
        <x:v>58</x:v>
      </x:c>
      <x:c r="AC1175" s="8" t="s">
        <x:v>58</x:v>
      </x:c>
      <x:c r="AD1175" s="8" t="s">
        <x:v>58</x:v>
      </x:c>
      <x:c r="AE1175" s="8" t="s">
        <x:v>58</x:v>
      </x:c>
      <x:c r="AF1175" s="8" t="s">
        <x:v>58</x:v>
      </x:c>
      <x:c r="AG1175" s="7" t="s">
        <x:v>58</x:v>
      </x:c>
    </x:row>
    <x:row r="1176" ht="66" hidden="0" customHeight="1">
      <x:c r="A1176" s="7" t="s">
        <x:v>4258</x:v>
      </x:c>
      <x:c r="B1176" s="7" t="s">
        <x:v>708</x:v>
      </x:c>
      <x:c r="C1176" s="7" t="s">
        <x:v>1303</x:v>
      </x:c>
      <x:c r="D1176" s="7" t="s">
        <x:v>1974</x:v>
      </x:c>
      <x:c r="E1176" s="7" t="s">
        <x:v>4259</x:v>
      </x:c>
      <x:c r="F1176" s="7" t="s">
        <x:v>1956</x:v>
      </x:c>
      <x:c r="G1176" s="8" t="n">
        <x:v>214.5</x:v>
      </x:c>
      <x:c r="H1176" s="8" t="s">
        <x:v>58</x:v>
      </x:c>
      <x:c r="I1176" s="8" t="s">
        <x:v>58</x:v>
      </x:c>
      <x:c r="J1176" s="7" t="s">
        <x:v>1919</x:v>
      </x:c>
      <x:c r="K1176" s="8" t="n">
        <x:v>1</x:v>
      </x:c>
      <x:c r="L1176" s="8" t="n">
        <x:f aca="0">IF(AND(ISNUMBER(G1176),P1176&lt;&gt;"Unresolved unit / layout"),G1176*K1176,"Not applicable")</x:f>
        <x:v>214.5</x:v>
      </x:c>
      <x:c r="M1176" s="8" t="str">
        <x:f aca="0">IF(AND(ISNUMBER(H1176),P1176&lt;&gt;"Unresolved unit / layout"),H1176*K1176,"Not applicable")</x:f>
        <x:v>Not applicable</x:v>
      </x:c>
      <x:c r="N1176" s="8" t="str">
        <x:f aca="0">IF(AND(ISNUMBER(I1176),P1176&lt;&gt;"Unresolved unit / layout"),I1176*K1176,"Not applicable")</x:f>
        <x:v>Not applicable</x:v>
      </x:c>
      <x:c r="O1176" s="7" t="s">
        <x:v>1956</x:v>
      </x:c>
      <x:c r="P1176" s="7" t="s">
        <x:v>1921</x:v>
      </x:c>
      <x:c r="Q1176" s="7" t="s">
        <x:v>1930</x:v>
      </x:c>
      <x:c r="R1176" s="7" t="s">
        <x:v>58</x:v>
      </x:c>
      <x:c r="S1176" s="7" t="s">
        <x:v>2077</x:v>
      </x:c>
      <x:c r="T1176" s="7" t="s">
        <x:v>4254</x:v>
      </x:c>
      <x:c r="U1176" s="7" t="s">
        <x:v>53</x:v>
      </x:c>
      <x:c r="V1176" s="7" t="s">
        <x:v>1971</x:v>
      </x:c>
      <x:c r="W1176" s="7" t="s">
        <x:v>58</x:v>
      </x:c>
      <x:c r="X1176" s="7" t="s">
        <x:v>4255</x:v>
      </x:c>
      <x:c r="Y1176" s="7" t="s">
        <x:v>1305</x:v>
      </x:c>
      <x:c r="Z1176" s="7" t="s">
        <x:v>1976</x:v>
      </x:c>
      <x:c r="AA1176" s="7" t="s">
        <x:v>58</x:v>
      </x:c>
      <x:c r="AB1176" s="8" t="s">
        <x:v>58</x:v>
      </x:c>
      <x:c r="AC1176" s="8" t="s">
        <x:v>58</x:v>
      </x:c>
      <x:c r="AD1176" s="8" t="s">
        <x:v>58</x:v>
      </x:c>
      <x:c r="AE1176" s="8" t="s">
        <x:v>58</x:v>
      </x:c>
      <x:c r="AF1176" s="8" t="s">
        <x:v>58</x:v>
      </x:c>
      <x:c r="AG1176" s="7" t="s">
        <x:v>58</x:v>
      </x:c>
    </x:row>
    <x:row r="1177" ht="66" hidden="0" customHeight="1">
      <x:c r="A1177" s="7" t="s">
        <x:v>4260</x:v>
      </x:c>
      <x:c r="B1177" s="7" t="s">
        <x:v>708</x:v>
      </x:c>
      <x:c r="C1177" s="7" t="s">
        <x:v>1303</x:v>
      </x:c>
      <x:c r="D1177" s="7" t="s">
        <x:v>1978</x:v>
      </x:c>
      <x:c r="E1177" s="7" t="s">
        <x:v>4261</x:v>
      </x:c>
      <x:c r="F1177" s="7" t="s">
        <x:v>1956</x:v>
      </x:c>
      <x:c r="G1177" s="8" t="n">
        <x:v>174.5</x:v>
      </x:c>
      <x:c r="H1177" s="8" t="s">
        <x:v>58</x:v>
      </x:c>
      <x:c r="I1177" s="8" t="s">
        <x:v>58</x:v>
      </x:c>
      <x:c r="J1177" s="7" t="s">
        <x:v>1919</x:v>
      </x:c>
      <x:c r="K1177" s="8" t="n">
        <x:v>1</x:v>
      </x:c>
      <x:c r="L1177" s="8" t="n">
        <x:f aca="0">IF(AND(ISNUMBER(G1177),P1177&lt;&gt;"Unresolved unit / layout"),G1177*K1177,"Not applicable")</x:f>
        <x:v>174.5</x:v>
      </x:c>
      <x:c r="M1177" s="8" t="str">
        <x:f aca="0">IF(AND(ISNUMBER(H1177),P1177&lt;&gt;"Unresolved unit / layout"),H1177*K1177,"Not applicable")</x:f>
        <x:v>Not applicable</x:v>
      </x:c>
      <x:c r="N1177" s="8" t="str">
        <x:f aca="0">IF(AND(ISNUMBER(I1177),P1177&lt;&gt;"Unresolved unit / layout"),I1177*K1177,"Not applicable")</x:f>
        <x:v>Not applicable</x:v>
      </x:c>
      <x:c r="O1177" s="7" t="s">
        <x:v>1956</x:v>
      </x:c>
      <x:c r="P1177" s="7" t="s">
        <x:v>1921</x:v>
      </x:c>
      <x:c r="Q1177" s="7" t="s">
        <x:v>1930</x:v>
      </x:c>
      <x:c r="R1177" s="7" t="s">
        <x:v>58</x:v>
      </x:c>
      <x:c r="S1177" s="7" t="s">
        <x:v>2077</x:v>
      </x:c>
      <x:c r="T1177" s="7" t="s">
        <x:v>4254</x:v>
      </x:c>
      <x:c r="U1177" s="7" t="s">
        <x:v>53</x:v>
      </x:c>
      <x:c r="V1177" s="7" t="s">
        <x:v>1971</x:v>
      </x:c>
      <x:c r="W1177" s="7" t="s">
        <x:v>58</x:v>
      </x:c>
      <x:c r="X1177" s="7" t="s">
        <x:v>4255</x:v>
      </x:c>
      <x:c r="Y1177" s="7" t="s">
        <x:v>1305</x:v>
      </x:c>
      <x:c r="Z1177" s="7" t="s">
        <x:v>1980</x:v>
      </x:c>
      <x:c r="AA1177" s="7" t="s">
        <x:v>58</x:v>
      </x:c>
      <x:c r="AB1177" s="8" t="s">
        <x:v>58</x:v>
      </x:c>
      <x:c r="AC1177" s="8" t="s">
        <x:v>58</x:v>
      </x:c>
      <x:c r="AD1177" s="8" t="s">
        <x:v>58</x:v>
      </x:c>
      <x:c r="AE1177" s="8" t="s">
        <x:v>58</x:v>
      </x:c>
      <x:c r="AF1177" s="8" t="s">
        <x:v>58</x:v>
      </x:c>
      <x:c r="AG1177" s="7" t="s">
        <x:v>58</x:v>
      </x:c>
    </x:row>
    <x:row r="1178" ht="66" hidden="0" customHeight="1">
      <x:c r="A1178" s="7" t="s">
        <x:v>4262</x:v>
      </x:c>
      <x:c r="B1178" s="7" t="s">
        <x:v>708</x:v>
      </x:c>
      <x:c r="C1178" s="7" t="s">
        <x:v>1303</x:v>
      </x:c>
      <x:c r="D1178" s="7" t="s">
        <x:v>1982</x:v>
      </x:c>
      <x:c r="E1178" s="7" t="s">
        <x:v>1995</x:v>
      </x:c>
      <x:c r="F1178" s="7" t="s">
        <x:v>1956</x:v>
      </x:c>
      <x:c r="G1178" s="8" t="s">
        <x:v>53</x:v>
      </x:c>
      <x:c r="H1178" s="8" t="s">
        <x:v>58</x:v>
      </x:c>
      <x:c r="I1178" s="8" t="s">
        <x:v>58</x:v>
      </x:c>
      <x:c r="J1178" s="7" t="s">
        <x:v>58</x:v>
      </x:c>
      <x:c r="K1178" s="8" t="n">
        <x:v>1</x:v>
      </x:c>
      <x:c r="L1178" s="8" t="str">
        <x:f aca="0">IF(AND(ISNUMBER(G1178),P1178&lt;&gt;"Unresolved unit / layout"),G1178*K1178,"Not published")</x:f>
        <x:v>Not published</x:v>
      </x:c>
      <x:c r="M1178" s="8" t="str">
        <x:f aca="0">IF(AND(ISNUMBER(H1178),P1178&lt;&gt;"Unresolved unit / layout"),H1178*K1178,"Not applicable")</x:f>
        <x:v>Not applicable</x:v>
      </x:c>
      <x:c r="N1178" s="8" t="str">
        <x:f aca="0">IF(AND(ISNUMBER(I1178),P1178&lt;&gt;"Unresolved unit / layout"),I1178*K1178,"Not applicable")</x:f>
        <x:v>Not applicable</x:v>
      </x:c>
      <x:c r="O1178" s="7" t="s">
        <x:v>1956</x:v>
      </x:c>
      <x:c r="P1178" s="7" t="s">
        <x:v>53</x:v>
      </x:c>
      <x:c r="Q1178" s="7" t="s">
        <x:v>1930</x:v>
      </x:c>
      <x:c r="R1178" s="7" t="s">
        <x:v>58</x:v>
      </x:c>
      <x:c r="S1178" s="7" t="s">
        <x:v>2077</x:v>
      </x:c>
      <x:c r="T1178" s="7" t="s">
        <x:v>4254</x:v>
      </x:c>
      <x:c r="U1178" s="7" t="s">
        <x:v>53</x:v>
      </x:c>
      <x:c r="V1178" s="7" t="s">
        <x:v>2742</x:v>
      </x:c>
      <x:c r="W1178" s="7" t="s">
        <x:v>58</x:v>
      </x:c>
      <x:c r="X1178" s="7" t="s">
        <x:v>4255</x:v>
      </x:c>
      <x:c r="Y1178" s="7" t="s">
        <x:v>1305</x:v>
      </x:c>
      <x:c r="Z1178" s="7" t="s">
        <x:v>1985</x:v>
      </x:c>
      <x:c r="AA1178" s="7" t="s">
        <x:v>58</x:v>
      </x:c>
      <x:c r="AB1178" s="8" t="s">
        <x:v>58</x:v>
      </x:c>
      <x:c r="AC1178" s="8" t="s">
        <x:v>58</x:v>
      </x:c>
      <x:c r="AD1178" s="8" t="s">
        <x:v>58</x:v>
      </x:c>
      <x:c r="AE1178" s="8" t="s">
        <x:v>58</x:v>
      </x:c>
      <x:c r="AF1178" s="8" t="s">
        <x:v>58</x:v>
      </x:c>
      <x:c r="AG1178" s="7" t="s">
        <x:v>58</x:v>
      </x:c>
    </x:row>
    <x:row r="1179" ht="66" hidden="0" customHeight="1">
      <x:c r="A1179" s="7" t="s">
        <x:v>4263</x:v>
      </x:c>
      <x:c r="B1179" s="7" t="s">
        <x:v>708</x:v>
      </x:c>
      <x:c r="C1179" s="7" t="s">
        <x:v>1303</x:v>
      </x:c>
      <x:c r="D1179" s="7" t="s">
        <x:v>1959</x:v>
      </x:c>
      <x:c r="E1179" s="7" t="s">
        <x:v>4264</x:v>
      </x:c>
      <x:c r="F1179" s="7" t="s">
        <x:v>1956</x:v>
      </x:c>
      <x:c r="G1179" s="8" t="n">
        <x:v>157</x:v>
      </x:c>
      <x:c r="H1179" s="8" t="s">
        <x:v>58</x:v>
      </x:c>
      <x:c r="I1179" s="8" t="s">
        <x:v>58</x:v>
      </x:c>
      <x:c r="J1179" s="7" t="s">
        <x:v>1919</x:v>
      </x:c>
      <x:c r="K1179" s="8" t="n">
        <x:v>1</x:v>
      </x:c>
      <x:c r="L1179" s="8" t="n">
        <x:f aca="0">IF(AND(ISNUMBER(G1179),P1179&lt;&gt;"Unresolved unit / layout"),G1179*K1179,"Not applicable")</x:f>
        <x:v>157</x:v>
      </x:c>
      <x:c r="M1179" s="8" t="str">
        <x:f aca="0">IF(AND(ISNUMBER(H1179),P1179&lt;&gt;"Unresolved unit / layout"),H1179*K1179,"Not applicable")</x:f>
        <x:v>Not applicable</x:v>
      </x:c>
      <x:c r="N1179" s="8" t="str">
        <x:f aca="0">IF(AND(ISNUMBER(I1179),P1179&lt;&gt;"Unresolved unit / layout"),I1179*K1179,"Not applicable")</x:f>
        <x:v>Not applicable</x:v>
      </x:c>
      <x:c r="O1179" s="7" t="s">
        <x:v>1956</x:v>
      </x:c>
      <x:c r="P1179" s="7" t="s">
        <x:v>1921</x:v>
      </x:c>
      <x:c r="Q1179" s="7" t="s">
        <x:v>1930</x:v>
      </x:c>
      <x:c r="R1179" s="7" t="s">
        <x:v>58</x:v>
      </x:c>
      <x:c r="S1179" s="7" t="s">
        <x:v>2077</x:v>
      </x:c>
      <x:c r="T1179" s="7" t="s">
        <x:v>4254</x:v>
      </x:c>
      <x:c r="U1179" s="7" t="s">
        <x:v>53</x:v>
      </x:c>
      <x:c r="V1179" s="7" t="s">
        <x:v>1988</x:v>
      </x:c>
      <x:c r="W1179" s="7" t="s">
        <x:v>58</x:v>
      </x:c>
      <x:c r="X1179" s="7" t="s">
        <x:v>4255</x:v>
      </x:c>
      <x:c r="Y1179" s="7" t="s">
        <x:v>1305</x:v>
      </x:c>
      <x:c r="Z1179" s="7" t="s">
        <x:v>1989</x:v>
      </x:c>
      <x:c r="AA1179" s="7" t="s">
        <x:v>58</x:v>
      </x:c>
      <x:c r="AB1179" s="8" t="s">
        <x:v>58</x:v>
      </x:c>
      <x:c r="AC1179" s="8" t="s">
        <x:v>58</x:v>
      </x:c>
      <x:c r="AD1179" s="8" t="s">
        <x:v>58</x:v>
      </x:c>
      <x:c r="AE1179" s="8" t="s">
        <x:v>58</x:v>
      </x:c>
      <x:c r="AF1179" s="8" t="s">
        <x:v>58</x:v>
      </x:c>
      <x:c r="AG1179" s="7" t="s">
        <x:v>58</x:v>
      </x:c>
    </x:row>
    <x:row r="1180" ht="66" hidden="0" customHeight="1">
      <x:c r="A1180" s="7" t="s">
        <x:v>4265</x:v>
      </x:c>
      <x:c r="B1180" s="7" t="s">
        <x:v>708</x:v>
      </x:c>
      <x:c r="C1180" s="7" t="s">
        <x:v>1303</x:v>
      </x:c>
      <x:c r="D1180" s="7" t="s">
        <x:v>1959</x:v>
      </x:c>
      <x:c r="E1180" s="7" t="s">
        <x:v>4266</x:v>
      </x:c>
      <x:c r="F1180" s="7" t="s">
        <x:v>1956</x:v>
      </x:c>
      <x:c r="G1180" s="8" t="n">
        <x:v>191</x:v>
      </x:c>
      <x:c r="H1180" s="8" t="s">
        <x:v>58</x:v>
      </x:c>
      <x:c r="I1180" s="8" t="s">
        <x:v>58</x:v>
      </x:c>
      <x:c r="J1180" s="7" t="s">
        <x:v>1919</x:v>
      </x:c>
      <x:c r="K1180" s="8" t="n">
        <x:v>1</x:v>
      </x:c>
      <x:c r="L1180" s="8" t="n">
        <x:f aca="0">IF(AND(ISNUMBER(G1180),P1180&lt;&gt;"Unresolved unit / layout"),G1180*K1180,"Not applicable")</x:f>
        <x:v>191</x:v>
      </x:c>
      <x:c r="M1180" s="8" t="str">
        <x:f aca="0">IF(AND(ISNUMBER(H1180),P1180&lt;&gt;"Unresolved unit / layout"),H1180*K1180,"Not applicable")</x:f>
        <x:v>Not applicable</x:v>
      </x:c>
      <x:c r="N1180" s="8" t="str">
        <x:f aca="0">IF(AND(ISNUMBER(I1180),P1180&lt;&gt;"Unresolved unit / layout"),I1180*K1180,"Not applicable")</x:f>
        <x:v>Not applicable</x:v>
      </x:c>
      <x:c r="O1180" s="7" t="s">
        <x:v>1956</x:v>
      </x:c>
      <x:c r="P1180" s="7" t="s">
        <x:v>1921</x:v>
      </x:c>
      <x:c r="Q1180" s="7" t="s">
        <x:v>1930</x:v>
      </x:c>
      <x:c r="R1180" s="7" t="s">
        <x:v>58</x:v>
      </x:c>
      <x:c r="S1180" s="7" t="s">
        <x:v>2077</x:v>
      </x:c>
      <x:c r="T1180" s="7" t="s">
        <x:v>4254</x:v>
      </x:c>
      <x:c r="U1180" s="7" t="s">
        <x:v>53</x:v>
      </x:c>
      <x:c r="V1180" s="7" t="s">
        <x:v>1992</x:v>
      </x:c>
      <x:c r="W1180" s="7" t="s">
        <x:v>58</x:v>
      </x:c>
      <x:c r="X1180" s="7" t="s">
        <x:v>4255</x:v>
      </x:c>
      <x:c r="Y1180" s="7" t="s">
        <x:v>1305</x:v>
      </x:c>
      <x:c r="Z1180" s="7" t="s">
        <x:v>1989</x:v>
      </x:c>
      <x:c r="AA1180" s="7" t="s">
        <x:v>58</x:v>
      </x:c>
      <x:c r="AB1180" s="8" t="s">
        <x:v>58</x:v>
      </x:c>
      <x:c r="AC1180" s="8" t="s">
        <x:v>58</x:v>
      </x:c>
      <x:c r="AD1180" s="8" t="s">
        <x:v>58</x:v>
      </x:c>
      <x:c r="AE1180" s="8" t="s">
        <x:v>58</x:v>
      </x:c>
      <x:c r="AF1180" s="8" t="s">
        <x:v>58</x:v>
      </x:c>
      <x:c r="AG1180" s="7" t="s">
        <x:v>58</x:v>
      </x:c>
    </x:row>
    <x:row r="1181" ht="66" hidden="0" customHeight="1">
      <x:c r="A1181" s="7" t="s">
        <x:v>4267</x:v>
      </x:c>
      <x:c r="B1181" s="7" t="s">
        <x:v>708</x:v>
      </x:c>
      <x:c r="C1181" s="7" t="s">
        <x:v>1303</x:v>
      </x:c>
      <x:c r="D1181" s="7" t="s">
        <x:v>1994</x:v>
      </x:c>
      <x:c r="E1181" s="7" t="s">
        <x:v>1995</x:v>
      </x:c>
      <x:c r="F1181" s="7" t="s">
        <x:v>53</x:v>
      </x:c>
      <x:c r="G1181" s="8" t="s">
        <x:v>53</x:v>
      </x:c>
      <x:c r="H1181" s="8" t="s">
        <x:v>58</x:v>
      </x:c>
      <x:c r="I1181" s="8" t="s">
        <x:v>58</x:v>
      </x:c>
      <x:c r="J1181" s="7" t="s">
        <x:v>58</x:v>
      </x:c>
      <x:c r="K1181" s="8" t="n">
        <x:v>1</x:v>
      </x:c>
      <x:c r="L1181" s="8" t="str">
        <x:f aca="0">IF(AND(ISNUMBER(G1181),P1181&lt;&gt;"Unresolved unit / layout"),G1181*K1181,"Not published")</x:f>
        <x:v>Not published</x:v>
      </x:c>
      <x:c r="M1181" s="8" t="str">
        <x:f aca="0">IF(AND(ISNUMBER(H1181),P1181&lt;&gt;"Unresolved unit / layout"),H1181*K1181,"Not applicable")</x:f>
        <x:v>Not applicable</x:v>
      </x:c>
      <x:c r="N1181" s="8" t="str">
        <x:f aca="0">IF(AND(ISNUMBER(I1181),P1181&lt;&gt;"Unresolved unit / layout"),I1181*K1181,"Not applicable")</x:f>
        <x:v>Not applicable</x:v>
      </x:c>
      <x:c r="O1181" s="7" t="s">
        <x:v>53</x:v>
      </x:c>
      <x:c r="P1181" s="7" t="s">
        <x:v>53</x:v>
      </x:c>
      <x:c r="Q1181" s="7" t="s">
        <x:v>1930</x:v>
      </x:c>
      <x:c r="R1181" s="7" t="s">
        <x:v>53</x:v>
      </x:c>
      <x:c r="S1181" s="7" t="s">
        <x:v>2077</x:v>
      </x:c>
      <x:c r="T1181" s="7" t="s">
        <x:v>4254</x:v>
      </x:c>
      <x:c r="U1181" s="7" t="s">
        <x:v>53</x:v>
      </x:c>
      <x:c r="V1181" s="7" t="s">
        <x:v>1995</x:v>
      </x:c>
      <x:c r="W1181" s="7" t="s">
        <x:v>58</x:v>
      </x:c>
      <x:c r="X1181" s="7" t="s">
        <x:v>4255</x:v>
      </x:c>
      <x:c r="Y1181" s="7" t="s">
        <x:v>1305</x:v>
      </x:c>
      <x:c r="Z1181" s="7" t="s">
        <x:v>1996</x:v>
      </x:c>
      <x:c r="AA1181" s="7" t="s">
        <x:v>58</x:v>
      </x:c>
      <x:c r="AB1181" s="8" t="s">
        <x:v>58</x:v>
      </x:c>
      <x:c r="AC1181" s="8" t="s">
        <x:v>58</x:v>
      </x:c>
      <x:c r="AD1181" s="8" t="s">
        <x:v>58</x:v>
      </x:c>
      <x:c r="AE1181" s="8" t="s">
        <x:v>58</x:v>
      </x:c>
      <x:c r="AF1181" s="8" t="s">
        <x:v>58</x:v>
      </x:c>
      <x:c r="AG1181" s="7" t="s">
        <x:v>58</x:v>
      </x:c>
    </x:row>
    <x:row r="1182" ht="66" hidden="0" customHeight="1">
      <x:c r="A1182" s="7" t="s">
        <x:v>4268</x:v>
      </x:c>
      <x:c r="B1182" s="7" t="s">
        <x:v>708</x:v>
      </x:c>
      <x:c r="C1182" s="7" t="s">
        <x:v>1303</x:v>
      </x:c>
      <x:c r="D1182" s="7" t="s">
        <x:v>1935</x:v>
      </x:c>
      <x:c r="E1182" s="7" t="s">
        <x:v>4269</x:v>
      </x:c>
      <x:c r="F1182" s="7" t="s">
        <x:v>1929</x:v>
      </x:c>
      <x:c r="G1182" s="8" t="n">
        <x:v>4431</x:v>
      </x:c>
      <x:c r="H1182" s="8" t="n">
        <x:v>184</x:v>
      </x:c>
      <x:c r="I1182" s="8" t="s">
        <x:v>58</x:v>
      </x:c>
      <x:c r="J1182" s="7" t="s">
        <x:v>1919</x:v>
      </x:c>
      <x:c r="K1182" s="8" t="n">
        <x:v>0.001</x:v>
      </x:c>
      <x:c r="L1182" s="8" t="n">
        <x:f aca="0">IF(AND(ISNUMBER(G1182),P1182&lt;&gt;"Unresolved unit / layout"),G1182*K1182,"Not applicable")</x:f>
        <x:v>4.431</x:v>
      </x:c>
      <x:c r="M1182" s="8" t="n">
        <x:f aca="0">IF(AND(ISNUMBER(H1182),P1182&lt;&gt;"Unresolved unit / layout"),H1182*K1182,"Not applicable")</x:f>
        <x:v>0.184</x:v>
      </x:c>
      <x:c r="N1182" s="8" t="str">
        <x:f aca="0">IF(AND(ISNUMBER(I1182),P1182&lt;&gt;"Unresolved unit / layout"),I1182*K1182,"Not applicable")</x:f>
        <x:v>Not applicable</x:v>
      </x:c>
      <x:c r="O1182" s="7" t="s">
        <x:v>1937</x:v>
      </x:c>
      <x:c r="P1182" s="7" t="s">
        <x:v>1921</x:v>
      </x:c>
      <x:c r="Q1182" s="7" t="s">
        <x:v>1930</x:v>
      </x:c>
      <x:c r="R1182" s="7" t="s">
        <x:v>1931</x:v>
      </x:c>
      <x:c r="S1182" s="7" t="s">
        <x:v>3756</x:v>
      </x:c>
      <x:c r="T1182" s="7" t="s">
        <x:v>4254</x:v>
      </x:c>
      <x:c r="U1182" s="7" t="s">
        <x:v>53</x:v>
      </x:c>
      <x:c r="V1182" s="7" t="s">
        <x:v>1999</x:v>
      </x:c>
      <x:c r="W1182" s="7" t="s">
        <x:v>58</x:v>
      </x:c>
      <x:c r="X1182" s="7" t="s">
        <x:v>4255</x:v>
      </x:c>
      <x:c r="Y1182" s="7" t="s">
        <x:v>1305</x:v>
      </x:c>
      <x:c r="Z1182" s="7" t="s">
        <x:v>2784</x:v>
      </x:c>
      <x:c r="AA1182" s="7" t="s">
        <x:v>58</x:v>
      </x:c>
      <x:c r="AB1182" s="8" t="s">
        <x:v>58</x:v>
      </x:c>
      <x:c r="AC1182" s="8" t="s">
        <x:v>58</x:v>
      </x:c>
      <x:c r="AD1182" s="8" t="s">
        <x:v>58</x:v>
      </x:c>
      <x:c r="AE1182" s="8" t="s">
        <x:v>58</x:v>
      </x:c>
      <x:c r="AF1182" s="8" t="s">
        <x:v>58</x:v>
      </x:c>
      <x:c r="AG1182" s="7" t="s">
        <x:v>58</x:v>
      </x:c>
    </x:row>
    <x:row r="1183" ht="66" hidden="0" customHeight="1">
      <x:c r="A1183" s="7" t="s">
        <x:v>4270</x:v>
      </x:c>
      <x:c r="B1183" s="7" t="s">
        <x:v>708</x:v>
      </x:c>
      <x:c r="C1183" s="7" t="s">
        <x:v>1303</x:v>
      </x:c>
      <x:c r="D1183" s="7" t="s">
        <x:v>1935</x:v>
      </x:c>
      <x:c r="E1183" s="7" t="s">
        <x:v>4271</x:v>
      </x:c>
      <x:c r="F1183" s="7" t="s">
        <x:v>1929</x:v>
      </x:c>
      <x:c r="G1183" s="8" t="n">
        <x:v>3330</x:v>
      </x:c>
      <x:c r="H1183" s="8" t="n">
        <x:v>145</x:v>
      </x:c>
      <x:c r="I1183" s="8" t="s">
        <x:v>58</x:v>
      </x:c>
      <x:c r="J1183" s="7" t="s">
        <x:v>1919</x:v>
      </x:c>
      <x:c r="K1183" s="8" t="n">
        <x:v>0.001</x:v>
      </x:c>
      <x:c r="L1183" s="8" t="n">
        <x:f aca="0">IF(AND(ISNUMBER(G1183),P1183&lt;&gt;"Unresolved unit / layout"),G1183*K1183,"Not applicable")</x:f>
        <x:v>3.33</x:v>
      </x:c>
      <x:c r="M1183" s="8" t="n">
        <x:f aca="0">IF(AND(ISNUMBER(H1183),P1183&lt;&gt;"Unresolved unit / layout"),H1183*K1183,"Not applicable")</x:f>
        <x:v>0.145</x:v>
      </x:c>
      <x:c r="N1183" s="8" t="str">
        <x:f aca="0">IF(AND(ISNUMBER(I1183),P1183&lt;&gt;"Unresolved unit / layout"),I1183*K1183,"Not applicable")</x:f>
        <x:v>Not applicable</x:v>
      </x:c>
      <x:c r="O1183" s="7" t="s">
        <x:v>1937</x:v>
      </x:c>
      <x:c r="P1183" s="7" t="s">
        <x:v>1921</x:v>
      </x:c>
      <x:c r="Q1183" s="7" t="s">
        <x:v>1930</x:v>
      </x:c>
      <x:c r="R1183" s="7" t="s">
        <x:v>2003</x:v>
      </x:c>
      <x:c r="S1183" s="7" t="s">
        <x:v>3756</x:v>
      </x:c>
      <x:c r="T1183" s="7" t="s">
        <x:v>4254</x:v>
      </x:c>
      <x:c r="U1183" s="7" t="s">
        <x:v>53</x:v>
      </x:c>
      <x:c r="V1183" s="7" t="s">
        <x:v>1999</x:v>
      </x:c>
      <x:c r="W1183" s="7" t="s">
        <x:v>58</x:v>
      </x:c>
      <x:c r="X1183" s="7" t="s">
        <x:v>4255</x:v>
      </x:c>
      <x:c r="Y1183" s="7" t="s">
        <x:v>1305</x:v>
      </x:c>
      <x:c r="Z1183" s="7" t="s">
        <x:v>2787</x:v>
      </x:c>
      <x:c r="AA1183" s="7" t="s">
        <x:v>58</x:v>
      </x:c>
      <x:c r="AB1183" s="8" t="s">
        <x:v>58</x:v>
      </x:c>
      <x:c r="AC1183" s="8" t="s">
        <x:v>58</x:v>
      </x:c>
      <x:c r="AD1183" s="8" t="s">
        <x:v>58</x:v>
      </x:c>
      <x:c r="AE1183" s="8" t="s">
        <x:v>58</x:v>
      </x:c>
      <x:c r="AF1183" s="8" t="s">
        <x:v>58</x:v>
      </x:c>
      <x:c r="AG1183" s="7" t="s">
        <x:v>58</x:v>
      </x:c>
    </x:row>
    <x:row r="1184" ht="66" hidden="0" customHeight="1">
      <x:c r="A1184" s="7" t="s">
        <x:v>4272</x:v>
      </x:c>
      <x:c r="B1184" s="7" t="s">
        <x:v>708</x:v>
      </x:c>
      <x:c r="C1184" s="7" t="s">
        <x:v>1303</x:v>
      </x:c>
      <x:c r="D1184" s="7" t="s">
        <x:v>2006</x:v>
      </x:c>
      <x:c r="E1184" s="7" t="s">
        <x:v>4273</x:v>
      </x:c>
      <x:c r="F1184" s="7" t="s">
        <x:v>1929</x:v>
      </x:c>
      <x:c r="G1184" s="8" t="n">
        <x:v>84.5</x:v>
      </x:c>
      <x:c r="H1184" s="8" t="n">
        <x:v>2.1</x:v>
      </x:c>
      <x:c r="I1184" s="8" t="s">
        <x:v>58</x:v>
      </x:c>
      <x:c r="J1184" s="7" t="s">
        <x:v>1919</x:v>
      </x:c>
      <x:c r="K1184" s="8" t="n">
        <x:v>1</x:v>
      </x:c>
      <x:c r="L1184" s="8" t="n">
        <x:f aca="0">IF(AND(ISNUMBER(G1184),P1184&lt;&gt;"Unresolved unit / layout"),G1184*K1184,"Not applicable")</x:f>
        <x:v>84.5</x:v>
      </x:c>
      <x:c r="M1184" s="8" t="n">
        <x:f aca="0">IF(AND(ISNUMBER(H1184),P1184&lt;&gt;"Unresolved unit / layout"),H1184*K1184,"Not applicable")</x:f>
        <x:v>2.1</x:v>
      </x:c>
      <x:c r="N1184" s="8" t="str">
        <x:f aca="0">IF(AND(ISNUMBER(I1184),P1184&lt;&gt;"Unresolved unit / layout"),I1184*K1184,"Not applicable")</x:f>
        <x:v>Not applicable</x:v>
      </x:c>
      <x:c r="O1184" s="7" t="s">
        <x:v>1929</x:v>
      </x:c>
      <x:c r="P1184" s="7" t="s">
        <x:v>1921</x:v>
      </x:c>
      <x:c r="Q1184" s="7" t="s">
        <x:v>1930</x:v>
      </x:c>
      <x:c r="R1184" s="7" t="s">
        <x:v>1931</x:v>
      </x:c>
      <x:c r="S1184" s="7" t="s">
        <x:v>3756</x:v>
      </x:c>
      <x:c r="T1184" s="7" t="s">
        <x:v>4254</x:v>
      </x:c>
      <x:c r="U1184" s="7" t="s">
        <x:v>53</x:v>
      </x:c>
      <x:c r="V1184" s="7" t="s">
        <x:v>1999</x:v>
      </x:c>
      <x:c r="W1184" s="7" t="s">
        <x:v>58</x:v>
      </x:c>
      <x:c r="X1184" s="7" t="s">
        <x:v>4255</x:v>
      </x:c>
      <x:c r="Y1184" s="7" t="s">
        <x:v>1305</x:v>
      </x:c>
      <x:c r="Z1184" s="7" t="s">
        <x:v>2684</x:v>
      </x:c>
      <x:c r="AA1184" s="7" t="s">
        <x:v>58</x:v>
      </x:c>
      <x:c r="AB1184" s="8" t="s">
        <x:v>58</x:v>
      </x:c>
      <x:c r="AC1184" s="8" t="s">
        <x:v>58</x:v>
      </x:c>
      <x:c r="AD1184" s="8" t="s">
        <x:v>58</x:v>
      </x:c>
      <x:c r="AE1184" s="8" t="s">
        <x:v>58</x:v>
      </x:c>
      <x:c r="AF1184" s="8" t="s">
        <x:v>58</x:v>
      </x:c>
      <x:c r="AG1184" s="7" t="s">
        <x:v>58</x:v>
      </x:c>
    </x:row>
    <x:row r="1185" ht="66" hidden="0" customHeight="1">
      <x:c r="A1185" s="7" t="s">
        <x:v>4274</x:v>
      </x:c>
      <x:c r="B1185" s="7" t="s">
        <x:v>708</x:v>
      </x:c>
      <x:c r="C1185" s="7" t="s">
        <x:v>1303</x:v>
      </x:c>
      <x:c r="D1185" s="7" t="s">
        <x:v>2006</x:v>
      </x:c>
      <x:c r="E1185" s="7" t="s">
        <x:v>4275</x:v>
      </x:c>
      <x:c r="F1185" s="7" t="s">
        <x:v>1929</x:v>
      </x:c>
      <x:c r="G1185" s="8" t="n">
        <x:v>61.4</x:v>
      </x:c>
      <x:c r="H1185" s="8" t="n">
        <x:v>3.9</x:v>
      </x:c>
      <x:c r="I1185" s="8" t="s">
        <x:v>58</x:v>
      </x:c>
      <x:c r="J1185" s="7" t="s">
        <x:v>1919</x:v>
      </x:c>
      <x:c r="K1185" s="8" t="n">
        <x:v>1</x:v>
      </x:c>
      <x:c r="L1185" s="8" t="n">
        <x:f aca="0">IF(AND(ISNUMBER(G1185),P1185&lt;&gt;"Unresolved unit / layout"),G1185*K1185,"Not applicable")</x:f>
        <x:v>61.4</x:v>
      </x:c>
      <x:c r="M1185" s="8" t="n">
        <x:f aca="0">IF(AND(ISNUMBER(H1185),P1185&lt;&gt;"Unresolved unit / layout"),H1185*K1185,"Not applicable")</x:f>
        <x:v>3.9</x:v>
      </x:c>
      <x:c r="N1185" s="8" t="str">
        <x:f aca="0">IF(AND(ISNUMBER(I1185),P1185&lt;&gt;"Unresolved unit / layout"),I1185*K1185,"Not applicable")</x:f>
        <x:v>Not applicable</x:v>
      </x:c>
      <x:c r="O1185" s="7" t="s">
        <x:v>1929</x:v>
      </x:c>
      <x:c r="P1185" s="7" t="s">
        <x:v>1921</x:v>
      </x:c>
      <x:c r="Q1185" s="7" t="s">
        <x:v>1930</x:v>
      </x:c>
      <x:c r="R1185" s="7" t="s">
        <x:v>2003</x:v>
      </x:c>
      <x:c r="S1185" s="7" t="s">
        <x:v>3756</x:v>
      </x:c>
      <x:c r="T1185" s="7" t="s">
        <x:v>4254</x:v>
      </x:c>
      <x:c r="U1185" s="7" t="s">
        <x:v>53</x:v>
      </x:c>
      <x:c r="V1185" s="7" t="s">
        <x:v>1999</x:v>
      </x:c>
      <x:c r="W1185" s="7" t="s">
        <x:v>58</x:v>
      </x:c>
      <x:c r="X1185" s="7" t="s">
        <x:v>4255</x:v>
      </x:c>
      <x:c r="Y1185" s="7" t="s">
        <x:v>1305</x:v>
      </x:c>
      <x:c r="Z1185" s="7" t="s">
        <x:v>2687</x:v>
      </x:c>
      <x:c r="AA1185" s="7" t="s">
        <x:v>58</x:v>
      </x:c>
      <x:c r="AB1185" s="8" t="s">
        <x:v>58</x:v>
      </x:c>
      <x:c r="AC1185" s="8" t="s">
        <x:v>58</x:v>
      </x:c>
      <x:c r="AD1185" s="8" t="s">
        <x:v>58</x:v>
      </x:c>
      <x:c r="AE1185" s="8" t="s">
        <x:v>58</x:v>
      </x:c>
      <x:c r="AF1185" s="8" t="s">
        <x:v>58</x:v>
      </x:c>
      <x:c r="AG1185" s="7" t="s">
        <x:v>58</x:v>
      </x:c>
    </x:row>
    <x:row r="1186" ht="66" hidden="0" customHeight="1">
      <x:c r="A1186" s="7" t="s">
        <x:v>4276</x:v>
      </x:c>
      <x:c r="B1186" s="7" t="s">
        <x:v>708</x:v>
      </x:c>
      <x:c r="C1186" s="7" t="s">
        <x:v>1303</x:v>
      </x:c>
      <x:c r="D1186" s="7" t="s">
        <x:v>1940</x:v>
      </x:c>
      <x:c r="E1186" s="7" t="s">
        <x:v>4277</x:v>
      </x:c>
      <x:c r="F1186" s="7" t="s">
        <x:v>1942</x:v>
      </x:c>
      <x:c r="G1186" s="8" t="n">
        <x:v>3.4</x:v>
      </x:c>
      <x:c r="H1186" s="8" t="n">
        <x:v>0.3</x:v>
      </x:c>
      <x:c r="I1186" s="8" t="s">
        <x:v>58</x:v>
      </x:c>
      <x:c r="J1186" s="7" t="s">
        <x:v>1919</x:v>
      </x:c>
      <x:c r="K1186" s="8" t="n">
        <x:v>1</x:v>
      </x:c>
      <x:c r="L1186" s="8" t="n">
        <x:f aca="0">IF(AND(ISNUMBER(G1186),P1186&lt;&gt;"Unresolved unit / layout"),G1186*K1186,"Not applicable")</x:f>
        <x:v>3.4</x:v>
      </x:c>
      <x:c r="M1186" s="8" t="n">
        <x:f aca="0">IF(AND(ISNUMBER(H1186),P1186&lt;&gt;"Unresolved unit / layout"),H1186*K1186,"Not applicable")</x:f>
        <x:v>0.3</x:v>
      </x:c>
      <x:c r="N1186" s="8" t="str">
        <x:f aca="0">IF(AND(ISNUMBER(I1186),P1186&lt;&gt;"Unresolved unit / layout"),I1186*K1186,"Not applicable")</x:f>
        <x:v>Not applicable</x:v>
      </x:c>
      <x:c r="O1186" s="7" t="s">
        <x:v>1942</x:v>
      </x:c>
      <x:c r="P1186" s="7" t="s">
        <x:v>1921</x:v>
      </x:c>
      <x:c r="Q1186" s="7" t="s">
        <x:v>1930</x:v>
      </x:c>
      <x:c r="R1186" s="7" t="s">
        <x:v>1931</x:v>
      </x:c>
      <x:c r="S1186" s="7" t="s">
        <x:v>3756</x:v>
      </x:c>
      <x:c r="T1186" s="7" t="s">
        <x:v>4254</x:v>
      </x:c>
      <x:c r="U1186" s="7" t="s">
        <x:v>53</x:v>
      </x:c>
      <x:c r="V1186" s="7" t="s">
        <x:v>1999</x:v>
      </x:c>
      <x:c r="W1186" s="7" t="s">
        <x:v>58</x:v>
      </x:c>
      <x:c r="X1186" s="7" t="s">
        <x:v>4255</x:v>
      </x:c>
      <x:c r="Y1186" s="7" t="s">
        <x:v>1305</x:v>
      </x:c>
      <x:c r="Z1186" s="7" t="s">
        <x:v>2690</x:v>
      </x:c>
      <x:c r="AA1186" s="7" t="s">
        <x:v>58</x:v>
      </x:c>
      <x:c r="AB1186" s="8" t="s">
        <x:v>58</x:v>
      </x:c>
      <x:c r="AC1186" s="8" t="s">
        <x:v>58</x:v>
      </x:c>
      <x:c r="AD1186" s="8" t="s">
        <x:v>58</x:v>
      </x:c>
      <x:c r="AE1186" s="8" t="s">
        <x:v>58</x:v>
      </x:c>
      <x:c r="AF1186" s="8" t="s">
        <x:v>58</x:v>
      </x:c>
      <x:c r="AG1186" s="7" t="s">
        <x:v>58</x:v>
      </x:c>
    </x:row>
    <x:row r="1187" ht="66" hidden="0" customHeight="1">
      <x:c r="A1187" s="7" t="s">
        <x:v>4278</x:v>
      </x:c>
      <x:c r="B1187" s="7" t="s">
        <x:v>708</x:v>
      </x:c>
      <x:c r="C1187" s="7" t="s">
        <x:v>1303</x:v>
      </x:c>
      <x:c r="D1187" s="7" t="s">
        <x:v>1940</x:v>
      </x:c>
      <x:c r="E1187" s="7" t="s">
        <x:v>4279</x:v>
      </x:c>
      <x:c r="F1187" s="7" t="s">
        <x:v>1942</x:v>
      </x:c>
      <x:c r="G1187" s="8" t="n">
        <x:v>2.9</x:v>
      </x:c>
      <x:c r="H1187" s="8" t="n">
        <x:v>0.7</x:v>
      </x:c>
      <x:c r="I1187" s="8" t="s">
        <x:v>58</x:v>
      </x:c>
      <x:c r="J1187" s="7" t="s">
        <x:v>1919</x:v>
      </x:c>
      <x:c r="K1187" s="8" t="n">
        <x:v>1</x:v>
      </x:c>
      <x:c r="L1187" s="8" t="n">
        <x:f aca="0">IF(AND(ISNUMBER(G1187),P1187&lt;&gt;"Unresolved unit / layout"),G1187*K1187,"Not applicable")</x:f>
        <x:v>2.9</x:v>
      </x:c>
      <x:c r="M1187" s="8" t="n">
        <x:f aca="0">IF(AND(ISNUMBER(H1187),P1187&lt;&gt;"Unresolved unit / layout"),H1187*K1187,"Not applicable")</x:f>
        <x:v>0.7</x:v>
      </x:c>
      <x:c r="N1187" s="8" t="str">
        <x:f aca="0">IF(AND(ISNUMBER(I1187),P1187&lt;&gt;"Unresolved unit / layout"),I1187*K1187,"Not applicable")</x:f>
        <x:v>Not applicable</x:v>
      </x:c>
      <x:c r="O1187" s="7" t="s">
        <x:v>1942</x:v>
      </x:c>
      <x:c r="P1187" s="7" t="s">
        <x:v>1921</x:v>
      </x:c>
      <x:c r="Q1187" s="7" t="s">
        <x:v>1930</x:v>
      </x:c>
      <x:c r="R1187" s="7" t="s">
        <x:v>2003</x:v>
      </x:c>
      <x:c r="S1187" s="7" t="s">
        <x:v>3756</x:v>
      </x:c>
      <x:c r="T1187" s="7" t="s">
        <x:v>4254</x:v>
      </x:c>
      <x:c r="U1187" s="7" t="s">
        <x:v>53</x:v>
      </x:c>
      <x:c r="V1187" s="7" t="s">
        <x:v>1999</x:v>
      </x:c>
      <x:c r="W1187" s="7" t="s">
        <x:v>58</x:v>
      </x:c>
      <x:c r="X1187" s="7" t="s">
        <x:v>4255</x:v>
      </x:c>
      <x:c r="Y1187" s="7" t="s">
        <x:v>1305</x:v>
      </x:c>
      <x:c r="Z1187" s="7" t="s">
        <x:v>2693</x:v>
      </x:c>
      <x:c r="AA1187" s="7" t="s">
        <x:v>58</x:v>
      </x:c>
      <x:c r="AB1187" s="8" t="s">
        <x:v>58</x:v>
      </x:c>
      <x:c r="AC1187" s="8" t="s">
        <x:v>58</x:v>
      </x:c>
      <x:c r="AD1187" s="8" t="s">
        <x:v>58</x:v>
      </x:c>
      <x:c r="AE1187" s="8" t="s">
        <x:v>58</x:v>
      </x:c>
      <x:c r="AF1187" s="8" t="s">
        <x:v>58</x:v>
      </x:c>
      <x:c r="AG1187" s="7" t="s">
        <x:v>58</x:v>
      </x:c>
    </x:row>
    <x:row r="1188" ht="66" hidden="0" customHeight="1">
      <x:c r="A1188" s="7" t="s">
        <x:v>4280</x:v>
      </x:c>
      <x:c r="B1188" s="7" t="s">
        <x:v>708</x:v>
      </x:c>
      <x:c r="C1188" s="7" t="s">
        <x:v>1303</x:v>
      </x:c>
      <x:c r="D1188" s="7" t="s">
        <x:v>1950</x:v>
      </x:c>
      <x:c r="E1188" s="7" t="s">
        <x:v>4281</x:v>
      </x:c>
      <x:c r="F1188" s="7" t="s">
        <x:v>1929</x:v>
      </x:c>
      <x:c r="G1188" s="8" t="n">
        <x:v>4637</x:v>
      </x:c>
      <x:c r="H1188" s="8" t="n">
        <x:v>293</x:v>
      </x:c>
      <x:c r="I1188" s="8" t="s">
        <x:v>58</x:v>
      </x:c>
      <x:c r="J1188" s="7" t="s">
        <x:v>1919</x:v>
      </x:c>
      <x:c r="K1188" s="8" t="n">
        <x:v>0.001</x:v>
      </x:c>
      <x:c r="L1188" s="8" t="n">
        <x:f aca="0">IF(AND(ISNUMBER(G1188),P1188&lt;&gt;"Unresolved unit / layout"),G1188*K1188,"Not applicable")</x:f>
        <x:v>4.6370000000000005</x:v>
      </x:c>
      <x:c r="M1188" s="8" t="n">
        <x:f aca="0">IF(AND(ISNUMBER(H1188),P1188&lt;&gt;"Unresolved unit / layout"),H1188*K1188,"Not applicable")</x:f>
        <x:v>0.293</x:v>
      </x:c>
      <x:c r="N1188" s="8" t="str">
        <x:f aca="0">IF(AND(ISNUMBER(I1188),P1188&lt;&gt;"Unresolved unit / layout"),I1188*K1188,"Not applicable")</x:f>
        <x:v>Not applicable</x:v>
      </x:c>
      <x:c r="O1188" s="7" t="s">
        <x:v>1937</x:v>
      </x:c>
      <x:c r="P1188" s="7" t="s">
        <x:v>1921</x:v>
      </x:c>
      <x:c r="Q1188" s="7" t="s">
        <x:v>1930</x:v>
      </x:c>
      <x:c r="R1188" s="7" t="s">
        <x:v>1931</x:v>
      </x:c>
      <x:c r="S1188" s="7" t="s">
        <x:v>3756</x:v>
      </x:c>
      <x:c r="T1188" s="7" t="s">
        <x:v>4254</x:v>
      </x:c>
      <x:c r="U1188" s="7" t="s">
        <x:v>53</x:v>
      </x:c>
      <x:c r="V1188" s="7" t="s">
        <x:v>2020</x:v>
      </x:c>
      <x:c r="W1188" s="7" t="s">
        <x:v>58</x:v>
      </x:c>
      <x:c r="X1188" s="7" t="s">
        <x:v>4255</x:v>
      </x:c>
      <x:c r="Y1188" s="7" t="s">
        <x:v>1305</x:v>
      </x:c>
      <x:c r="Z1188" s="7" t="s">
        <x:v>2696</x:v>
      </x:c>
      <x:c r="AA1188" s="7" t="s">
        <x:v>58</x:v>
      </x:c>
      <x:c r="AB1188" s="8" t="s">
        <x:v>58</x:v>
      </x:c>
      <x:c r="AC1188" s="8" t="s">
        <x:v>58</x:v>
      </x:c>
      <x:c r="AD1188" s="8" t="s">
        <x:v>58</x:v>
      </x:c>
      <x:c r="AE1188" s="8" t="s">
        <x:v>58</x:v>
      </x:c>
      <x:c r="AF1188" s="8" t="s">
        <x:v>58</x:v>
      </x:c>
      <x:c r="AG1188" s="7" t="s">
        <x:v>58</x:v>
      </x:c>
    </x:row>
    <x:row r="1189" ht="66" hidden="0" customHeight="1">
      <x:c r="A1189" s="7" t="s">
        <x:v>4282</x:v>
      </x:c>
      <x:c r="B1189" s="7" t="s">
        <x:v>708</x:v>
      </x:c>
      <x:c r="C1189" s="7" t="s">
        <x:v>1303</x:v>
      </x:c>
      <x:c r="D1189" s="7" t="s">
        <x:v>1950</x:v>
      </x:c>
      <x:c r="E1189" s="7" t="s">
        <x:v>1995</x:v>
      </x:c>
      <x:c r="F1189" s="7" t="s">
        <x:v>53</x:v>
      </x:c>
      <x:c r="G1189" s="8" t="s">
        <x:v>53</x:v>
      </x:c>
      <x:c r="H1189" s="8" t="s">
        <x:v>58</x:v>
      </x:c>
      <x:c r="I1189" s="8" t="s">
        <x:v>58</x:v>
      </x:c>
      <x:c r="J1189" s="7" t="s">
        <x:v>58</x:v>
      </x:c>
      <x:c r="K1189" s="8" t="n">
        <x:v>1</x:v>
      </x:c>
      <x:c r="L1189" s="8" t="str">
        <x:f aca="0">IF(AND(ISNUMBER(G1189),P1189&lt;&gt;"Unresolved unit / layout"),G1189*K1189,"Not published")</x:f>
        <x:v>Not published</x:v>
      </x:c>
      <x:c r="M1189" s="8" t="str">
        <x:f aca="0">IF(AND(ISNUMBER(H1189),P1189&lt;&gt;"Unresolved unit / layout"),H1189*K1189,"Not applicable")</x:f>
        <x:v>Not applicable</x:v>
      </x:c>
      <x:c r="N1189" s="8" t="str">
        <x:f aca="0">IF(AND(ISNUMBER(I1189),P1189&lt;&gt;"Unresolved unit / layout"),I1189*K1189,"Not applicable")</x:f>
        <x:v>Not applicable</x:v>
      </x:c>
      <x:c r="O1189" s="7" t="s">
        <x:v>53</x:v>
      </x:c>
      <x:c r="P1189" s="7" t="s">
        <x:v>53</x:v>
      </x:c>
      <x:c r="Q1189" s="7" t="s">
        <x:v>1930</x:v>
      </x:c>
      <x:c r="R1189" s="7" t="s">
        <x:v>2003</x:v>
      </x:c>
      <x:c r="S1189" s="7" t="s">
        <x:v>3756</x:v>
      </x:c>
      <x:c r="T1189" s="7" t="s">
        <x:v>4254</x:v>
      </x:c>
      <x:c r="U1189" s="7" t="s">
        <x:v>53</x:v>
      </x:c>
      <x:c r="V1189" s="7" t="s">
        <x:v>2020</x:v>
      </x:c>
      <x:c r="W1189" s="7" t="s">
        <x:v>58</x:v>
      </x:c>
      <x:c r="X1189" s="7" t="s">
        <x:v>4255</x:v>
      </x:c>
      <x:c r="Y1189" s="7" t="s">
        <x:v>1305</x:v>
      </x:c>
      <x:c r="Z1189" s="7" t="s">
        <x:v>2699</x:v>
      </x:c>
      <x:c r="AA1189" s="7" t="s">
        <x:v>58</x:v>
      </x:c>
      <x:c r="AB1189" s="8" t="s">
        <x:v>58</x:v>
      </x:c>
      <x:c r="AC1189" s="8" t="s">
        <x:v>58</x:v>
      </x:c>
      <x:c r="AD1189" s="8" t="s">
        <x:v>58</x:v>
      </x:c>
      <x:c r="AE1189" s="8" t="s">
        <x:v>58</x:v>
      </x:c>
      <x:c r="AF1189" s="8" t="s">
        <x:v>58</x:v>
      </x:c>
      <x:c r="AG1189" s="7" t="s">
        <x:v>58</x:v>
      </x:c>
    </x:row>
    <x:row r="1190" ht="66" hidden="0" customHeight="1">
      <x:c r="A1190" s="7" t="s">
        <x:v>4283</x:v>
      </x:c>
      <x:c r="B1190" s="7" t="s">
        <x:v>708</x:v>
      </x:c>
      <x:c r="C1190" s="7" t="s">
        <x:v>1303</x:v>
      </x:c>
      <x:c r="D1190" s="7" t="s">
        <x:v>1945</x:v>
      </x:c>
      <x:c r="E1190" s="7" t="s">
        <x:v>4284</x:v>
      </x:c>
      <x:c r="F1190" s="7" t="s">
        <x:v>1929</x:v>
      </x:c>
      <x:c r="G1190" s="8" t="n">
        <x:v>136.4</x:v>
      </x:c>
      <x:c r="H1190" s="8" t="n">
        <x:v>1.6</x:v>
      </x:c>
      <x:c r="I1190" s="8" t="s">
        <x:v>58</x:v>
      </x:c>
      <x:c r="J1190" s="7" t="s">
        <x:v>1919</x:v>
      </x:c>
      <x:c r="K1190" s="8" t="n">
        <x:v>1</x:v>
      </x:c>
      <x:c r="L1190" s="8" t="n">
        <x:f aca="0">IF(AND(ISNUMBER(G1190),P1190&lt;&gt;"Unresolved unit / layout"),G1190*K1190,"Not applicable")</x:f>
        <x:v>136.4</x:v>
      </x:c>
      <x:c r="M1190" s="8" t="n">
        <x:f aca="0">IF(AND(ISNUMBER(H1190),P1190&lt;&gt;"Unresolved unit / layout"),H1190*K1190,"Not applicable")</x:f>
        <x:v>1.6</x:v>
      </x:c>
      <x:c r="N1190" s="8" t="str">
        <x:f aca="0">IF(AND(ISNUMBER(I1190),P1190&lt;&gt;"Unresolved unit / layout"),I1190*K1190,"Not applicable")</x:f>
        <x:v>Not applicable</x:v>
      </x:c>
      <x:c r="O1190" s="7" t="s">
        <x:v>1929</x:v>
      </x:c>
      <x:c r="P1190" s="7" t="s">
        <x:v>1921</x:v>
      </x:c>
      <x:c r="Q1190" s="7" t="s">
        <x:v>1930</x:v>
      </x:c>
      <x:c r="R1190" s="7" t="s">
        <x:v>1931</x:v>
      </x:c>
      <x:c r="S1190" s="7" t="s">
        <x:v>3756</x:v>
      </x:c>
      <x:c r="T1190" s="7" t="s">
        <x:v>4254</x:v>
      </x:c>
      <x:c r="U1190" s="7" t="s">
        <x:v>53</x:v>
      </x:c>
      <x:c r="V1190" s="7" t="s">
        <x:v>2020</x:v>
      </x:c>
      <x:c r="W1190" s="7" t="s">
        <x:v>58</x:v>
      </x:c>
      <x:c r="X1190" s="7" t="s">
        <x:v>4255</x:v>
      </x:c>
      <x:c r="Y1190" s="7" t="s">
        <x:v>1305</x:v>
      </x:c>
      <x:c r="Z1190" s="7" t="s">
        <x:v>2702</x:v>
      </x:c>
      <x:c r="AA1190" s="7" t="s">
        <x:v>58</x:v>
      </x:c>
      <x:c r="AB1190" s="8" t="s">
        <x:v>58</x:v>
      </x:c>
      <x:c r="AC1190" s="8" t="s">
        <x:v>58</x:v>
      </x:c>
      <x:c r="AD1190" s="8" t="s">
        <x:v>58</x:v>
      </x:c>
      <x:c r="AE1190" s="8" t="s">
        <x:v>58</x:v>
      </x:c>
      <x:c r="AF1190" s="8" t="s">
        <x:v>58</x:v>
      </x:c>
      <x:c r="AG1190" s="7" t="s">
        <x:v>58</x:v>
      </x:c>
    </x:row>
    <x:row r="1191" ht="66" hidden="0" customHeight="1">
      <x:c r="A1191" s="7" t="s">
        <x:v>4285</x:v>
      </x:c>
      <x:c r="B1191" s="7" t="s">
        <x:v>708</x:v>
      </x:c>
      <x:c r="C1191" s="7" t="s">
        <x:v>1303</x:v>
      </x:c>
      <x:c r="D1191" s="7" t="s">
        <x:v>1945</x:v>
      </x:c>
      <x:c r="E1191" s="7" t="s">
        <x:v>1995</x:v>
      </x:c>
      <x:c r="F1191" s="7" t="s">
        <x:v>53</x:v>
      </x:c>
      <x:c r="G1191" s="8" t="s">
        <x:v>53</x:v>
      </x:c>
      <x:c r="H1191" s="8" t="s">
        <x:v>58</x:v>
      </x:c>
      <x:c r="I1191" s="8" t="s">
        <x:v>58</x:v>
      </x:c>
      <x:c r="J1191" s="7" t="s">
        <x:v>58</x:v>
      </x:c>
      <x:c r="K1191" s="8" t="n">
        <x:v>1</x:v>
      </x:c>
      <x:c r="L1191" s="8" t="str">
        <x:f aca="0">IF(AND(ISNUMBER(G1191),P1191&lt;&gt;"Unresolved unit / layout"),G1191*K1191,"Not published")</x:f>
        <x:v>Not published</x:v>
      </x:c>
      <x:c r="M1191" s="8" t="str">
        <x:f aca="0">IF(AND(ISNUMBER(H1191),P1191&lt;&gt;"Unresolved unit / layout"),H1191*K1191,"Not applicable")</x:f>
        <x:v>Not applicable</x:v>
      </x:c>
      <x:c r="N1191" s="8" t="str">
        <x:f aca="0">IF(AND(ISNUMBER(I1191),P1191&lt;&gt;"Unresolved unit / layout"),I1191*K1191,"Not applicable")</x:f>
        <x:v>Not applicable</x:v>
      </x:c>
      <x:c r="O1191" s="7" t="s">
        <x:v>53</x:v>
      </x:c>
      <x:c r="P1191" s="7" t="s">
        <x:v>53</x:v>
      </x:c>
      <x:c r="Q1191" s="7" t="s">
        <x:v>1930</x:v>
      </x:c>
      <x:c r="R1191" s="7" t="s">
        <x:v>2003</x:v>
      </x:c>
      <x:c r="S1191" s="7" t="s">
        <x:v>3756</x:v>
      </x:c>
      <x:c r="T1191" s="7" t="s">
        <x:v>4254</x:v>
      </x:c>
      <x:c r="U1191" s="7" t="s">
        <x:v>53</x:v>
      </x:c>
      <x:c r="V1191" s="7" t="s">
        <x:v>2020</x:v>
      </x:c>
      <x:c r="W1191" s="7" t="s">
        <x:v>58</x:v>
      </x:c>
      <x:c r="X1191" s="7" t="s">
        <x:v>4255</x:v>
      </x:c>
      <x:c r="Y1191" s="7" t="s">
        <x:v>1305</x:v>
      </x:c>
      <x:c r="Z1191" s="7" t="s">
        <x:v>2705</x:v>
      </x:c>
      <x:c r="AA1191" s="7" t="s">
        <x:v>58</x:v>
      </x:c>
      <x:c r="AB1191" s="8" t="s">
        <x:v>58</x:v>
      </x:c>
      <x:c r="AC1191" s="8" t="s">
        <x:v>58</x:v>
      </x:c>
      <x:c r="AD1191" s="8" t="s">
        <x:v>58</x:v>
      </x:c>
      <x:c r="AE1191" s="8" t="s">
        <x:v>58</x:v>
      </x:c>
      <x:c r="AF1191" s="8" t="s">
        <x:v>58</x:v>
      </x:c>
      <x:c r="AG1191" s="7" t="s">
        <x:v>58</x:v>
      </x:c>
    </x:row>
    <x:row r="1192" ht="66" hidden="0" customHeight="1">
      <x:c r="A1192" s="7" t="s">
        <x:v>4286</x:v>
      </x:c>
      <x:c r="B1192" s="7" t="s">
        <x:v>708</x:v>
      </x:c>
      <x:c r="C1192" s="7" t="s">
        <x:v>1303</x:v>
      </x:c>
      <x:c r="D1192" s="7" t="s">
        <x:v>2030</x:v>
      </x:c>
      <x:c r="E1192" s="7" t="s">
        <x:v>4287</x:v>
      </x:c>
      <x:c r="F1192" s="7" t="s">
        <x:v>2032</x:v>
      </x:c>
      <x:c r="G1192" s="8" t="n">
        <x:v>16.5</x:v>
      </x:c>
      <x:c r="H1192" s="8" t="n">
        <x:v>1.5</x:v>
      </x:c>
      <x:c r="I1192" s="8" t="s">
        <x:v>58</x:v>
      </x:c>
      <x:c r="J1192" s="7" t="s">
        <x:v>1919</x:v>
      </x:c>
      <x:c r="K1192" s="8" t="n">
        <x:v>1</x:v>
      </x:c>
      <x:c r="L1192" s="8" t="n">
        <x:f aca="0">IF(AND(ISNUMBER(G1192),P1192&lt;&gt;"Unresolved unit / layout"),G1192*K1192,"Not applicable")</x:f>
        <x:v>16.5</x:v>
      </x:c>
      <x:c r="M1192" s="8" t="n">
        <x:f aca="0">IF(AND(ISNUMBER(H1192),P1192&lt;&gt;"Unresolved unit / layout"),H1192*K1192,"Not applicable")</x:f>
        <x:v>1.5</x:v>
      </x:c>
      <x:c r="N1192" s="8" t="str">
        <x:f aca="0">IF(AND(ISNUMBER(I1192),P1192&lt;&gt;"Unresolved unit / layout"),I1192*K1192,"Not applicable")</x:f>
        <x:v>Not applicable</x:v>
      </x:c>
      <x:c r="O1192" s="7" t="s">
        <x:v>2033</x:v>
      </x:c>
      <x:c r="P1192" s="7" t="s">
        <x:v>1921</x:v>
      </x:c>
      <x:c r="Q1192" s="7" t="s">
        <x:v>1930</x:v>
      </x:c>
      <x:c r="R1192" s="7" t="s">
        <x:v>1931</x:v>
      </x:c>
      <x:c r="S1192" s="7" t="s">
        <x:v>3756</x:v>
      </x:c>
      <x:c r="T1192" s="7" t="s">
        <x:v>4254</x:v>
      </x:c>
      <x:c r="U1192" s="7" t="s">
        <x:v>53</x:v>
      </x:c>
      <x:c r="V1192" s="7" t="s">
        <x:v>2036</x:v>
      </x:c>
      <x:c r="W1192" s="7" t="s">
        <x:v>53</x:v>
      </x:c>
      <x:c r="X1192" s="7" t="s">
        <x:v>4255</x:v>
      </x:c>
      <x:c r="Y1192" s="7" t="s">
        <x:v>1305</x:v>
      </x:c>
      <x:c r="Z1192" s="7" t="s">
        <x:v>2804</x:v>
      </x:c>
      <x:c r="AA1192" s="7" t="s">
        <x:v>58</x:v>
      </x:c>
      <x:c r="AB1192" s="8" t="s">
        <x:v>58</x:v>
      </x:c>
      <x:c r="AC1192" s="8" t="s">
        <x:v>58</x:v>
      </x:c>
      <x:c r="AD1192" s="8" t="s">
        <x:v>58</x:v>
      </x:c>
      <x:c r="AE1192" s="8" t="s">
        <x:v>58</x:v>
      </x:c>
      <x:c r="AF1192" s="8" t="s">
        <x:v>58</x:v>
      </x:c>
      <x:c r="AG1192" s="7" t="s">
        <x:v>58</x:v>
      </x:c>
    </x:row>
    <x:row r="1193" ht="66" hidden="0" customHeight="1">
      <x:c r="A1193" s="7" t="s">
        <x:v>4288</x:v>
      </x:c>
      <x:c r="B1193" s="7" t="s">
        <x:v>708</x:v>
      </x:c>
      <x:c r="C1193" s="7" t="s">
        <x:v>1303</x:v>
      </x:c>
      <x:c r="D1193" s="7" t="s">
        <x:v>2030</x:v>
      </x:c>
      <x:c r="E1193" s="7" t="s">
        <x:v>1995</x:v>
      </x:c>
      <x:c r="F1193" s="7" t="s">
        <x:v>53</x:v>
      </x:c>
      <x:c r="G1193" s="8" t="s">
        <x:v>53</x:v>
      </x:c>
      <x:c r="H1193" s="8" t="s">
        <x:v>58</x:v>
      </x:c>
      <x:c r="I1193" s="8" t="s">
        <x:v>58</x:v>
      </x:c>
      <x:c r="J1193" s="7" t="s">
        <x:v>58</x:v>
      </x:c>
      <x:c r="K1193" s="8" t="n">
        <x:v>1</x:v>
      </x:c>
      <x:c r="L1193" s="8" t="str">
        <x:f aca="0">IF(AND(ISNUMBER(G1193),P1193&lt;&gt;"Unresolved unit / layout"),G1193*K1193,"Not published")</x:f>
        <x:v>Not published</x:v>
      </x:c>
      <x:c r="M1193" s="8" t="str">
        <x:f aca="0">IF(AND(ISNUMBER(H1193),P1193&lt;&gt;"Unresolved unit / layout"),H1193*K1193,"Not applicable")</x:f>
        <x:v>Not applicable</x:v>
      </x:c>
      <x:c r="N1193" s="8" t="str">
        <x:f aca="0">IF(AND(ISNUMBER(I1193),P1193&lt;&gt;"Unresolved unit / layout"),I1193*K1193,"Not applicable")</x:f>
        <x:v>Not applicable</x:v>
      </x:c>
      <x:c r="O1193" s="7" t="s">
        <x:v>53</x:v>
      </x:c>
      <x:c r="P1193" s="7" t="s">
        <x:v>53</x:v>
      </x:c>
      <x:c r="Q1193" s="7" t="s">
        <x:v>1930</x:v>
      </x:c>
      <x:c r="R1193" s="7" t="s">
        <x:v>2003</x:v>
      </x:c>
      <x:c r="S1193" s="7" t="s">
        <x:v>3756</x:v>
      </x:c>
      <x:c r="T1193" s="7" t="s">
        <x:v>4254</x:v>
      </x:c>
      <x:c r="U1193" s="7" t="s">
        <x:v>53</x:v>
      </x:c>
      <x:c r="V1193" s="7" t="s">
        <x:v>2036</x:v>
      </x:c>
      <x:c r="W1193" s="7" t="s">
        <x:v>53</x:v>
      </x:c>
      <x:c r="X1193" s="7" t="s">
        <x:v>4255</x:v>
      </x:c>
      <x:c r="Y1193" s="7" t="s">
        <x:v>1305</x:v>
      </x:c>
      <x:c r="Z1193" s="7" t="s">
        <x:v>2807</x:v>
      </x:c>
      <x:c r="AA1193" s="7" t="s">
        <x:v>58</x:v>
      </x:c>
      <x:c r="AB1193" s="8" t="s">
        <x:v>58</x:v>
      </x:c>
      <x:c r="AC1193" s="8" t="s">
        <x:v>58</x:v>
      </x:c>
      <x:c r="AD1193" s="8" t="s">
        <x:v>58</x:v>
      </x:c>
      <x:c r="AE1193" s="8" t="s">
        <x:v>58</x:v>
      </x:c>
      <x:c r="AF1193" s="8" t="s">
        <x:v>58</x:v>
      </x:c>
      <x:c r="AG1193" s="7" t="s">
        <x:v>58</x:v>
      </x:c>
    </x:row>
    <x:row r="1194" ht="66" hidden="0" customHeight="1">
      <x:c r="A1194" s="7" t="s">
        <x:v>4289</x:v>
      </x:c>
      <x:c r="B1194" s="7" t="s">
        <x:v>708</x:v>
      </x:c>
      <x:c r="C1194" s="7" t="s">
        <x:v>1303</x:v>
      </x:c>
      <x:c r="D1194" s="7" t="s">
        <x:v>1935</x:v>
      </x:c>
      <x:c r="E1194" s="7" t="s">
        <x:v>4290</x:v>
      </x:c>
      <x:c r="F1194" s="7" t="s">
        <x:v>1929</x:v>
      </x:c>
      <x:c r="G1194" s="8" t="n">
        <x:v>2053</x:v>
      </x:c>
      <x:c r="H1194" s="8" t="n">
        <x:v>243</x:v>
      </x:c>
      <x:c r="I1194" s="8" t="s">
        <x:v>58</x:v>
      </x:c>
      <x:c r="J1194" s="7" t="s">
        <x:v>1919</x:v>
      </x:c>
      <x:c r="K1194" s="8" t="n">
        <x:v>0.001</x:v>
      </x:c>
      <x:c r="L1194" s="8" t="n">
        <x:f aca="0">IF(AND(ISNUMBER(G1194),P1194&lt;&gt;"Unresolved unit / layout"),G1194*K1194,"Not applicable")</x:f>
        <x:v>2.053</x:v>
      </x:c>
      <x:c r="M1194" s="8" t="n">
        <x:f aca="0">IF(AND(ISNUMBER(H1194),P1194&lt;&gt;"Unresolved unit / layout"),H1194*K1194,"Not applicable")</x:f>
        <x:v>0.243</x:v>
      </x:c>
      <x:c r="N1194" s="8" t="str">
        <x:f aca="0">IF(AND(ISNUMBER(I1194),P1194&lt;&gt;"Unresolved unit / layout"),I1194*K1194,"Not applicable")</x:f>
        <x:v>Not applicable</x:v>
      </x:c>
      <x:c r="O1194" s="7" t="s">
        <x:v>1937</x:v>
      </x:c>
      <x:c r="P1194" s="7" t="s">
        <x:v>1921</x:v>
      </x:c>
      <x:c r="Q1194" s="7" t="s">
        <x:v>1930</x:v>
      </x:c>
      <x:c r="R1194" s="7" t="s">
        <x:v>1931</x:v>
      </x:c>
      <x:c r="S1194" s="7" t="s">
        <x:v>3756</x:v>
      </x:c>
      <x:c r="T1194" s="7" t="s">
        <x:v>4254</x:v>
      </x:c>
      <x:c r="U1194" s="7" t="s">
        <x:v>53</x:v>
      </x:c>
      <x:c r="V1194" s="7" t="s">
        <x:v>1999</x:v>
      </x:c>
      <x:c r="W1194" s="7" t="s">
        <x:v>58</x:v>
      </x:c>
      <x:c r="X1194" s="7" t="s">
        <x:v>4255</x:v>
      </x:c>
      <x:c r="Y1194" s="7" t="s">
        <x:v>1305</x:v>
      </x:c>
      <x:c r="Z1194" s="7" t="s">
        <x:v>2784</x:v>
      </x:c>
      <x:c r="AA1194" s="7" t="s">
        <x:v>58</x:v>
      </x:c>
      <x:c r="AB1194" s="8" t="s">
        <x:v>58</x:v>
      </x:c>
      <x:c r="AC1194" s="8" t="s">
        <x:v>58</x:v>
      </x:c>
      <x:c r="AD1194" s="8" t="s">
        <x:v>58</x:v>
      </x:c>
      <x:c r="AE1194" s="8" t="s">
        <x:v>58</x:v>
      </x:c>
      <x:c r="AF1194" s="8" t="s">
        <x:v>58</x:v>
      </x:c>
      <x:c r="AG1194" s="7" t="s">
        <x:v>58</x:v>
      </x:c>
    </x:row>
    <x:row r="1195" ht="66" hidden="0" customHeight="1">
      <x:c r="A1195" s="7" t="s">
        <x:v>4291</x:v>
      </x:c>
      <x:c r="B1195" s="7" t="s">
        <x:v>708</x:v>
      </x:c>
      <x:c r="C1195" s="7" t="s">
        <x:v>1303</x:v>
      </x:c>
      <x:c r="D1195" s="7" t="s">
        <x:v>1935</x:v>
      </x:c>
      <x:c r="E1195" s="7" t="s">
        <x:v>4292</x:v>
      </x:c>
      <x:c r="F1195" s="7" t="s">
        <x:v>1929</x:v>
      </x:c>
      <x:c r="G1195" s="8" t="n">
        <x:v>2593</x:v>
      </x:c>
      <x:c r="H1195" s="8" t="n">
        <x:v>192</x:v>
      </x:c>
      <x:c r="I1195" s="8" t="s">
        <x:v>58</x:v>
      </x:c>
      <x:c r="J1195" s="7" t="s">
        <x:v>1919</x:v>
      </x:c>
      <x:c r="K1195" s="8" t="n">
        <x:v>0.001</x:v>
      </x:c>
      <x:c r="L1195" s="8" t="n">
        <x:f aca="0">IF(AND(ISNUMBER(G1195),P1195&lt;&gt;"Unresolved unit / layout"),G1195*K1195,"Not applicable")</x:f>
        <x:v>2.593</x:v>
      </x:c>
      <x:c r="M1195" s="8" t="n">
        <x:f aca="0">IF(AND(ISNUMBER(H1195),P1195&lt;&gt;"Unresolved unit / layout"),H1195*K1195,"Not applicable")</x:f>
        <x:v>0.192</x:v>
      </x:c>
      <x:c r="N1195" s="8" t="str">
        <x:f aca="0">IF(AND(ISNUMBER(I1195),P1195&lt;&gt;"Unresolved unit / layout"),I1195*K1195,"Not applicable")</x:f>
        <x:v>Not applicable</x:v>
      </x:c>
      <x:c r="O1195" s="7" t="s">
        <x:v>1937</x:v>
      </x:c>
      <x:c r="P1195" s="7" t="s">
        <x:v>1921</x:v>
      </x:c>
      <x:c r="Q1195" s="7" t="s">
        <x:v>1930</x:v>
      </x:c>
      <x:c r="R1195" s="7" t="s">
        <x:v>2003</x:v>
      </x:c>
      <x:c r="S1195" s="7" t="s">
        <x:v>3756</x:v>
      </x:c>
      <x:c r="T1195" s="7" t="s">
        <x:v>4254</x:v>
      </x:c>
      <x:c r="U1195" s="7" t="s">
        <x:v>53</x:v>
      </x:c>
      <x:c r="V1195" s="7" t="s">
        <x:v>1999</x:v>
      </x:c>
      <x:c r="W1195" s="7" t="s">
        <x:v>58</x:v>
      </x:c>
      <x:c r="X1195" s="7" t="s">
        <x:v>4255</x:v>
      </x:c>
      <x:c r="Y1195" s="7" t="s">
        <x:v>1305</x:v>
      </x:c>
      <x:c r="Z1195" s="7" t="s">
        <x:v>2787</x:v>
      </x:c>
      <x:c r="AA1195" s="7" t="s">
        <x:v>58</x:v>
      </x:c>
      <x:c r="AB1195" s="8" t="s">
        <x:v>58</x:v>
      </x:c>
      <x:c r="AC1195" s="8" t="s">
        <x:v>58</x:v>
      </x:c>
      <x:c r="AD1195" s="8" t="s">
        <x:v>58</x:v>
      </x:c>
      <x:c r="AE1195" s="8" t="s">
        <x:v>58</x:v>
      </x:c>
      <x:c r="AF1195" s="8" t="s">
        <x:v>58</x:v>
      </x:c>
      <x:c r="AG1195" s="7" t="s">
        <x:v>58</x:v>
      </x:c>
    </x:row>
    <x:row r="1196" ht="66" hidden="0" customHeight="1">
      <x:c r="A1196" s="7" t="s">
        <x:v>4293</x:v>
      </x:c>
      <x:c r="B1196" s="7" t="s">
        <x:v>708</x:v>
      </x:c>
      <x:c r="C1196" s="7" t="s">
        <x:v>1303</x:v>
      </x:c>
      <x:c r="D1196" s="7" t="s">
        <x:v>2006</x:v>
      </x:c>
      <x:c r="E1196" s="7" t="s">
        <x:v>4294</x:v>
      </x:c>
      <x:c r="F1196" s="7" t="s">
        <x:v>1929</x:v>
      </x:c>
      <x:c r="G1196" s="8" t="n">
        <x:v>50.8</x:v>
      </x:c>
      <x:c r="H1196" s="8" t="n">
        <x:v>4.9</x:v>
      </x:c>
      <x:c r="I1196" s="8" t="s">
        <x:v>58</x:v>
      </x:c>
      <x:c r="J1196" s="7" t="s">
        <x:v>1919</x:v>
      </x:c>
      <x:c r="K1196" s="8" t="n">
        <x:v>1</x:v>
      </x:c>
      <x:c r="L1196" s="8" t="n">
        <x:f aca="0">IF(AND(ISNUMBER(G1196),P1196&lt;&gt;"Unresolved unit / layout"),G1196*K1196,"Not applicable")</x:f>
        <x:v>50.8</x:v>
      </x:c>
      <x:c r="M1196" s="8" t="n">
        <x:f aca="0">IF(AND(ISNUMBER(H1196),P1196&lt;&gt;"Unresolved unit / layout"),H1196*K1196,"Not applicable")</x:f>
        <x:v>4.9</x:v>
      </x:c>
      <x:c r="N1196" s="8" t="str">
        <x:f aca="0">IF(AND(ISNUMBER(I1196),P1196&lt;&gt;"Unresolved unit / layout"),I1196*K1196,"Not applicable")</x:f>
        <x:v>Not applicable</x:v>
      </x:c>
      <x:c r="O1196" s="7" t="s">
        <x:v>1929</x:v>
      </x:c>
      <x:c r="P1196" s="7" t="s">
        <x:v>1921</x:v>
      </x:c>
      <x:c r="Q1196" s="7" t="s">
        <x:v>1930</x:v>
      </x:c>
      <x:c r="R1196" s="7" t="s">
        <x:v>1931</x:v>
      </x:c>
      <x:c r="S1196" s="7" t="s">
        <x:v>3756</x:v>
      </x:c>
      <x:c r="T1196" s="7" t="s">
        <x:v>4254</x:v>
      </x:c>
      <x:c r="U1196" s="7" t="s">
        <x:v>53</x:v>
      </x:c>
      <x:c r="V1196" s="7" t="s">
        <x:v>1999</x:v>
      </x:c>
      <x:c r="W1196" s="7" t="s">
        <x:v>58</x:v>
      </x:c>
      <x:c r="X1196" s="7" t="s">
        <x:v>4255</x:v>
      </x:c>
      <x:c r="Y1196" s="7" t="s">
        <x:v>1305</x:v>
      </x:c>
      <x:c r="Z1196" s="7" t="s">
        <x:v>2684</x:v>
      </x:c>
      <x:c r="AA1196" s="7" t="s">
        <x:v>58</x:v>
      </x:c>
      <x:c r="AB1196" s="8" t="s">
        <x:v>58</x:v>
      </x:c>
      <x:c r="AC1196" s="8" t="s">
        <x:v>58</x:v>
      </x:c>
      <x:c r="AD1196" s="8" t="s">
        <x:v>58</x:v>
      </x:c>
      <x:c r="AE1196" s="8" t="s">
        <x:v>58</x:v>
      </x:c>
      <x:c r="AF1196" s="8" t="s">
        <x:v>58</x:v>
      </x:c>
      <x:c r="AG1196" s="7" t="s">
        <x:v>58</x:v>
      </x:c>
    </x:row>
    <x:row r="1197" ht="66" hidden="0" customHeight="1">
      <x:c r="A1197" s="7" t="s">
        <x:v>4295</x:v>
      </x:c>
      <x:c r="B1197" s="7" t="s">
        <x:v>708</x:v>
      </x:c>
      <x:c r="C1197" s="7" t="s">
        <x:v>1303</x:v>
      </x:c>
      <x:c r="D1197" s="7" t="s">
        <x:v>2006</x:v>
      </x:c>
      <x:c r="E1197" s="7" t="s">
        <x:v>4296</x:v>
      </x:c>
      <x:c r="F1197" s="7" t="s">
        <x:v>1929</x:v>
      </x:c>
      <x:c r="G1197" s="8" t="n">
        <x:v>44.4</x:v>
      </x:c>
      <x:c r="H1197" s="8" t="n">
        <x:v>4.7</x:v>
      </x:c>
      <x:c r="I1197" s="8" t="s">
        <x:v>58</x:v>
      </x:c>
      <x:c r="J1197" s="7" t="s">
        <x:v>1919</x:v>
      </x:c>
      <x:c r="K1197" s="8" t="n">
        <x:v>1</x:v>
      </x:c>
      <x:c r="L1197" s="8" t="n">
        <x:f aca="0">IF(AND(ISNUMBER(G1197),P1197&lt;&gt;"Unresolved unit / layout"),G1197*K1197,"Not applicable")</x:f>
        <x:v>44.4</x:v>
      </x:c>
      <x:c r="M1197" s="8" t="n">
        <x:f aca="0">IF(AND(ISNUMBER(H1197),P1197&lt;&gt;"Unresolved unit / layout"),H1197*K1197,"Not applicable")</x:f>
        <x:v>4.7</x:v>
      </x:c>
      <x:c r="N1197" s="8" t="str">
        <x:f aca="0">IF(AND(ISNUMBER(I1197),P1197&lt;&gt;"Unresolved unit / layout"),I1197*K1197,"Not applicable")</x:f>
        <x:v>Not applicable</x:v>
      </x:c>
      <x:c r="O1197" s="7" t="s">
        <x:v>1929</x:v>
      </x:c>
      <x:c r="P1197" s="7" t="s">
        <x:v>1921</x:v>
      </x:c>
      <x:c r="Q1197" s="7" t="s">
        <x:v>1930</x:v>
      </x:c>
      <x:c r="R1197" s="7" t="s">
        <x:v>2003</x:v>
      </x:c>
      <x:c r="S1197" s="7" t="s">
        <x:v>3756</x:v>
      </x:c>
      <x:c r="T1197" s="7" t="s">
        <x:v>4254</x:v>
      </x:c>
      <x:c r="U1197" s="7" t="s">
        <x:v>53</x:v>
      </x:c>
      <x:c r="V1197" s="7" t="s">
        <x:v>1999</x:v>
      </x:c>
      <x:c r="W1197" s="7" t="s">
        <x:v>58</x:v>
      </x:c>
      <x:c r="X1197" s="7" t="s">
        <x:v>4255</x:v>
      </x:c>
      <x:c r="Y1197" s="7" t="s">
        <x:v>1305</x:v>
      </x:c>
      <x:c r="Z1197" s="7" t="s">
        <x:v>2687</x:v>
      </x:c>
      <x:c r="AA1197" s="7" t="s">
        <x:v>58</x:v>
      </x:c>
      <x:c r="AB1197" s="8" t="s">
        <x:v>58</x:v>
      </x:c>
      <x:c r="AC1197" s="8" t="s">
        <x:v>58</x:v>
      </x:c>
      <x:c r="AD1197" s="8" t="s">
        <x:v>58</x:v>
      </x:c>
      <x:c r="AE1197" s="8" t="s">
        <x:v>58</x:v>
      </x:c>
      <x:c r="AF1197" s="8" t="s">
        <x:v>58</x:v>
      </x:c>
      <x:c r="AG1197" s="7" t="s">
        <x:v>58</x:v>
      </x:c>
    </x:row>
    <x:row r="1198" ht="66" hidden="0" customHeight="1">
      <x:c r="A1198" s="7" t="s">
        <x:v>4297</x:v>
      </x:c>
      <x:c r="B1198" s="7" t="s">
        <x:v>708</x:v>
      </x:c>
      <x:c r="C1198" s="7" t="s">
        <x:v>1303</x:v>
      </x:c>
      <x:c r="D1198" s="7" t="s">
        <x:v>1940</x:v>
      </x:c>
      <x:c r="E1198" s="7" t="s">
        <x:v>4298</x:v>
      </x:c>
      <x:c r="F1198" s="7" t="s">
        <x:v>1942</x:v>
      </x:c>
      <x:c r="G1198" s="8" t="n">
        <x:v>19.4</x:v>
      </x:c>
      <x:c r="H1198" s="8" t="n">
        <x:v>2.2</x:v>
      </x:c>
      <x:c r="I1198" s="8" t="s">
        <x:v>58</x:v>
      </x:c>
      <x:c r="J1198" s="7" t="s">
        <x:v>1919</x:v>
      </x:c>
      <x:c r="K1198" s="8" t="n">
        <x:v>1</x:v>
      </x:c>
      <x:c r="L1198" s="8" t="n">
        <x:f aca="0">IF(AND(ISNUMBER(G1198),P1198&lt;&gt;"Unresolved unit / layout"),G1198*K1198,"Not applicable")</x:f>
        <x:v>19.4</x:v>
      </x:c>
      <x:c r="M1198" s="8" t="n">
        <x:f aca="0">IF(AND(ISNUMBER(H1198),P1198&lt;&gt;"Unresolved unit / layout"),H1198*K1198,"Not applicable")</x:f>
        <x:v>2.2</x:v>
      </x:c>
      <x:c r="N1198" s="8" t="str">
        <x:f aca="0">IF(AND(ISNUMBER(I1198),P1198&lt;&gt;"Unresolved unit / layout"),I1198*K1198,"Not applicable")</x:f>
        <x:v>Not applicable</x:v>
      </x:c>
      <x:c r="O1198" s="7" t="s">
        <x:v>1942</x:v>
      </x:c>
      <x:c r="P1198" s="7" t="s">
        <x:v>1921</x:v>
      </x:c>
      <x:c r="Q1198" s="7" t="s">
        <x:v>1930</x:v>
      </x:c>
      <x:c r="R1198" s="7" t="s">
        <x:v>1931</x:v>
      </x:c>
      <x:c r="S1198" s="7" t="s">
        <x:v>3756</x:v>
      </x:c>
      <x:c r="T1198" s="7" t="s">
        <x:v>4254</x:v>
      </x:c>
      <x:c r="U1198" s="7" t="s">
        <x:v>53</x:v>
      </x:c>
      <x:c r="V1198" s="7" t="s">
        <x:v>1999</x:v>
      </x:c>
      <x:c r="W1198" s="7" t="s">
        <x:v>58</x:v>
      </x:c>
      <x:c r="X1198" s="7" t="s">
        <x:v>4255</x:v>
      </x:c>
      <x:c r="Y1198" s="7" t="s">
        <x:v>1305</x:v>
      </x:c>
      <x:c r="Z1198" s="7" t="s">
        <x:v>2690</x:v>
      </x:c>
      <x:c r="AA1198" s="7" t="s">
        <x:v>58</x:v>
      </x:c>
      <x:c r="AB1198" s="8" t="s">
        <x:v>58</x:v>
      </x:c>
      <x:c r="AC1198" s="8" t="s">
        <x:v>58</x:v>
      </x:c>
      <x:c r="AD1198" s="8" t="s">
        <x:v>58</x:v>
      </x:c>
      <x:c r="AE1198" s="8" t="s">
        <x:v>58</x:v>
      </x:c>
      <x:c r="AF1198" s="8" t="s">
        <x:v>58</x:v>
      </x:c>
      <x:c r="AG1198" s="7" t="s">
        <x:v>58</x:v>
      </x:c>
    </x:row>
    <x:row r="1199" ht="66" hidden="0" customHeight="1">
      <x:c r="A1199" s="7" t="s">
        <x:v>4299</x:v>
      </x:c>
      <x:c r="B1199" s="7" t="s">
        <x:v>708</x:v>
      </x:c>
      <x:c r="C1199" s="7" t="s">
        <x:v>1303</x:v>
      </x:c>
      <x:c r="D1199" s="7" t="s">
        <x:v>1940</x:v>
      </x:c>
      <x:c r="E1199" s="7" t="s">
        <x:v>4300</x:v>
      </x:c>
      <x:c r="F1199" s="7" t="s">
        <x:v>1942</x:v>
      </x:c>
      <x:c r="G1199" s="8" t="n">
        <x:v>2.9</x:v>
      </x:c>
      <x:c r="H1199" s="8" t="n">
        <x:v>0.8</x:v>
      </x:c>
      <x:c r="I1199" s="8" t="s">
        <x:v>58</x:v>
      </x:c>
      <x:c r="J1199" s="7" t="s">
        <x:v>1919</x:v>
      </x:c>
      <x:c r="K1199" s="8" t="n">
        <x:v>1</x:v>
      </x:c>
      <x:c r="L1199" s="8" t="n">
        <x:f aca="0">IF(AND(ISNUMBER(G1199),P1199&lt;&gt;"Unresolved unit / layout"),G1199*K1199,"Not applicable")</x:f>
        <x:v>2.9</x:v>
      </x:c>
      <x:c r="M1199" s="8" t="n">
        <x:f aca="0">IF(AND(ISNUMBER(H1199),P1199&lt;&gt;"Unresolved unit / layout"),H1199*K1199,"Not applicable")</x:f>
        <x:v>0.8</x:v>
      </x:c>
      <x:c r="N1199" s="8" t="str">
        <x:f aca="0">IF(AND(ISNUMBER(I1199),P1199&lt;&gt;"Unresolved unit / layout"),I1199*K1199,"Not applicable")</x:f>
        <x:v>Not applicable</x:v>
      </x:c>
      <x:c r="O1199" s="7" t="s">
        <x:v>1942</x:v>
      </x:c>
      <x:c r="P1199" s="7" t="s">
        <x:v>1921</x:v>
      </x:c>
      <x:c r="Q1199" s="7" t="s">
        <x:v>1930</x:v>
      </x:c>
      <x:c r="R1199" s="7" t="s">
        <x:v>2003</x:v>
      </x:c>
      <x:c r="S1199" s="7" t="s">
        <x:v>3756</x:v>
      </x:c>
      <x:c r="T1199" s="7" t="s">
        <x:v>4254</x:v>
      </x:c>
      <x:c r="U1199" s="7" t="s">
        <x:v>53</x:v>
      </x:c>
      <x:c r="V1199" s="7" t="s">
        <x:v>1999</x:v>
      </x:c>
      <x:c r="W1199" s="7" t="s">
        <x:v>58</x:v>
      </x:c>
      <x:c r="X1199" s="7" t="s">
        <x:v>4255</x:v>
      </x:c>
      <x:c r="Y1199" s="7" t="s">
        <x:v>1305</x:v>
      </x:c>
      <x:c r="Z1199" s="7" t="s">
        <x:v>2693</x:v>
      </x:c>
      <x:c r="AA1199" s="7" t="s">
        <x:v>58</x:v>
      </x:c>
      <x:c r="AB1199" s="8" t="s">
        <x:v>58</x:v>
      </x:c>
      <x:c r="AC1199" s="8" t="s">
        <x:v>58</x:v>
      </x:c>
      <x:c r="AD1199" s="8" t="s">
        <x:v>58</x:v>
      </x:c>
      <x:c r="AE1199" s="8" t="s">
        <x:v>58</x:v>
      </x:c>
      <x:c r="AF1199" s="8" t="s">
        <x:v>58</x:v>
      </x:c>
      <x:c r="AG1199" s="7" t="s">
        <x:v>58</x:v>
      </x:c>
    </x:row>
    <x:row r="1200" ht="66" hidden="0" customHeight="1">
      <x:c r="A1200" s="7" t="s">
        <x:v>4301</x:v>
      </x:c>
      <x:c r="B1200" s="7" t="s">
        <x:v>708</x:v>
      </x:c>
      <x:c r="C1200" s="7" t="s">
        <x:v>1303</x:v>
      </x:c>
      <x:c r="D1200" s="7" t="s">
        <x:v>1950</x:v>
      </x:c>
      <x:c r="E1200" s="7" t="s">
        <x:v>4302</x:v>
      </x:c>
      <x:c r="F1200" s="7" t="s">
        <x:v>1929</x:v>
      </x:c>
      <x:c r="G1200" s="8" t="n">
        <x:v>2232</x:v>
      </x:c>
      <x:c r="H1200" s="8" t="n">
        <x:v>97</x:v>
      </x:c>
      <x:c r="I1200" s="8" t="s">
        <x:v>58</x:v>
      </x:c>
      <x:c r="J1200" s="7" t="s">
        <x:v>1919</x:v>
      </x:c>
      <x:c r="K1200" s="8" t="n">
        <x:v>0.001</x:v>
      </x:c>
      <x:c r="L1200" s="8" t="n">
        <x:f aca="0">IF(AND(ISNUMBER(G1200),P1200&lt;&gt;"Unresolved unit / layout"),G1200*K1200,"Not applicable")</x:f>
        <x:v>2.232</x:v>
      </x:c>
      <x:c r="M1200" s="8" t="n">
        <x:f aca="0">IF(AND(ISNUMBER(H1200),P1200&lt;&gt;"Unresolved unit / layout"),H1200*K1200,"Not applicable")</x:f>
        <x:v>0.097</x:v>
      </x:c>
      <x:c r="N1200" s="8" t="str">
        <x:f aca="0">IF(AND(ISNUMBER(I1200),P1200&lt;&gt;"Unresolved unit / layout"),I1200*K1200,"Not applicable")</x:f>
        <x:v>Not applicable</x:v>
      </x:c>
      <x:c r="O1200" s="7" t="s">
        <x:v>1937</x:v>
      </x:c>
      <x:c r="P1200" s="7" t="s">
        <x:v>1921</x:v>
      </x:c>
      <x:c r="Q1200" s="7" t="s">
        <x:v>1930</x:v>
      </x:c>
      <x:c r="R1200" s="7" t="s">
        <x:v>1931</x:v>
      </x:c>
      <x:c r="S1200" s="7" t="s">
        <x:v>3756</x:v>
      </x:c>
      <x:c r="T1200" s="7" t="s">
        <x:v>4254</x:v>
      </x:c>
      <x:c r="U1200" s="7" t="s">
        <x:v>53</x:v>
      </x:c>
      <x:c r="V1200" s="7" t="s">
        <x:v>2020</x:v>
      </x:c>
      <x:c r="W1200" s="7" t="s">
        <x:v>58</x:v>
      </x:c>
      <x:c r="X1200" s="7" t="s">
        <x:v>4255</x:v>
      </x:c>
      <x:c r="Y1200" s="7" t="s">
        <x:v>1305</x:v>
      </x:c>
      <x:c r="Z1200" s="7" t="s">
        <x:v>2696</x:v>
      </x:c>
      <x:c r="AA1200" s="7" t="s">
        <x:v>58</x:v>
      </x:c>
      <x:c r="AB1200" s="8" t="s">
        <x:v>58</x:v>
      </x:c>
      <x:c r="AC1200" s="8" t="s">
        <x:v>58</x:v>
      </x:c>
      <x:c r="AD1200" s="8" t="s">
        <x:v>58</x:v>
      </x:c>
      <x:c r="AE1200" s="8" t="s">
        <x:v>58</x:v>
      </x:c>
      <x:c r="AF1200" s="8" t="s">
        <x:v>58</x:v>
      </x:c>
      <x:c r="AG1200" s="7" t="s">
        <x:v>58</x:v>
      </x:c>
    </x:row>
    <x:row r="1201" ht="66" hidden="0" customHeight="1">
      <x:c r="A1201" s="7" t="s">
        <x:v>4303</x:v>
      </x:c>
      <x:c r="B1201" s="7" t="s">
        <x:v>708</x:v>
      </x:c>
      <x:c r="C1201" s="7" t="s">
        <x:v>1303</x:v>
      </x:c>
      <x:c r="D1201" s="7" t="s">
        <x:v>1945</x:v>
      </x:c>
      <x:c r="E1201" s="7" t="s">
        <x:v>4304</x:v>
      </x:c>
      <x:c r="F1201" s="7" t="s">
        <x:v>1929</x:v>
      </x:c>
      <x:c r="G1201" s="8" t="n">
        <x:v>65.1</x:v>
      </x:c>
      <x:c r="H1201" s="8" t="n">
        <x:v>2.2</x:v>
      </x:c>
      <x:c r="I1201" s="8" t="s">
        <x:v>58</x:v>
      </x:c>
      <x:c r="J1201" s="7" t="s">
        <x:v>1919</x:v>
      </x:c>
      <x:c r="K1201" s="8" t="n">
        <x:v>1</x:v>
      </x:c>
      <x:c r="L1201" s="8" t="n">
        <x:f aca="0">IF(AND(ISNUMBER(G1201),P1201&lt;&gt;"Unresolved unit / layout"),G1201*K1201,"Not applicable")</x:f>
        <x:v>65.1</x:v>
      </x:c>
      <x:c r="M1201" s="8" t="n">
        <x:f aca="0">IF(AND(ISNUMBER(H1201),P1201&lt;&gt;"Unresolved unit / layout"),H1201*K1201,"Not applicable")</x:f>
        <x:v>2.2</x:v>
      </x:c>
      <x:c r="N1201" s="8" t="str">
        <x:f aca="0">IF(AND(ISNUMBER(I1201),P1201&lt;&gt;"Unresolved unit / layout"),I1201*K1201,"Not applicable")</x:f>
        <x:v>Not applicable</x:v>
      </x:c>
      <x:c r="O1201" s="7" t="s">
        <x:v>1929</x:v>
      </x:c>
      <x:c r="P1201" s="7" t="s">
        <x:v>1921</x:v>
      </x:c>
      <x:c r="Q1201" s="7" t="s">
        <x:v>1930</x:v>
      </x:c>
      <x:c r="R1201" s="7" t="s">
        <x:v>1931</x:v>
      </x:c>
      <x:c r="S1201" s="7" t="s">
        <x:v>3756</x:v>
      </x:c>
      <x:c r="T1201" s="7" t="s">
        <x:v>4254</x:v>
      </x:c>
      <x:c r="U1201" s="7" t="s">
        <x:v>53</x:v>
      </x:c>
      <x:c r="V1201" s="7" t="s">
        <x:v>2020</x:v>
      </x:c>
      <x:c r="W1201" s="7" t="s">
        <x:v>58</x:v>
      </x:c>
      <x:c r="X1201" s="7" t="s">
        <x:v>4255</x:v>
      </x:c>
      <x:c r="Y1201" s="7" t="s">
        <x:v>1305</x:v>
      </x:c>
      <x:c r="Z1201" s="7" t="s">
        <x:v>2702</x:v>
      </x:c>
      <x:c r="AA1201" s="7" t="s">
        <x:v>58</x:v>
      </x:c>
      <x:c r="AB1201" s="8" t="s">
        <x:v>58</x:v>
      </x:c>
      <x:c r="AC1201" s="8" t="s">
        <x:v>58</x:v>
      </x:c>
      <x:c r="AD1201" s="8" t="s">
        <x:v>58</x:v>
      </x:c>
      <x:c r="AE1201" s="8" t="s">
        <x:v>58</x:v>
      </x:c>
      <x:c r="AF1201" s="8" t="s">
        <x:v>58</x:v>
      </x:c>
      <x:c r="AG1201" s="7" t="s">
        <x:v>58</x:v>
      </x:c>
    </x:row>
    <x:row r="1202" ht="66" hidden="0" customHeight="1">
      <x:c r="A1202" s="7" t="s">
        <x:v>4305</x:v>
      </x:c>
      <x:c r="B1202" s="7" t="s">
        <x:v>708</x:v>
      </x:c>
      <x:c r="C1202" s="7" t="s">
        <x:v>1303</x:v>
      </x:c>
      <x:c r="D1202" s="7" t="s">
        <x:v>2030</x:v>
      </x:c>
      <x:c r="E1202" s="7" t="s">
        <x:v>4306</x:v>
      </x:c>
      <x:c r="F1202" s="7" t="s">
        <x:v>2032</x:v>
      </x:c>
      <x:c r="G1202" s="8" t="n">
        <x:v>21.2</x:v>
      </x:c>
      <x:c r="H1202" s="8" t="n">
        <x:v>1.1</x:v>
      </x:c>
      <x:c r="I1202" s="8" t="s">
        <x:v>58</x:v>
      </x:c>
      <x:c r="J1202" s="7" t="s">
        <x:v>1919</x:v>
      </x:c>
      <x:c r="K1202" s="8" t="n">
        <x:v>1</x:v>
      </x:c>
      <x:c r="L1202" s="8" t="n">
        <x:f aca="0">IF(AND(ISNUMBER(G1202),P1202&lt;&gt;"Unresolved unit / layout"),G1202*K1202,"Not applicable")</x:f>
        <x:v>21.2</x:v>
      </x:c>
      <x:c r="M1202" s="8" t="n">
        <x:f aca="0">IF(AND(ISNUMBER(H1202),P1202&lt;&gt;"Unresolved unit / layout"),H1202*K1202,"Not applicable")</x:f>
        <x:v>1.1</x:v>
      </x:c>
      <x:c r="N1202" s="8" t="str">
        <x:f aca="0">IF(AND(ISNUMBER(I1202),P1202&lt;&gt;"Unresolved unit / layout"),I1202*K1202,"Not applicable")</x:f>
        <x:v>Not applicable</x:v>
      </x:c>
      <x:c r="O1202" s="7" t="s">
        <x:v>2033</x:v>
      </x:c>
      <x:c r="P1202" s="7" t="s">
        <x:v>1921</x:v>
      </x:c>
      <x:c r="Q1202" s="7" t="s">
        <x:v>1930</x:v>
      </x:c>
      <x:c r="R1202" s="7" t="s">
        <x:v>1931</x:v>
      </x:c>
      <x:c r="S1202" s="7" t="s">
        <x:v>3756</x:v>
      </x:c>
      <x:c r="T1202" s="7" t="s">
        <x:v>4254</x:v>
      </x:c>
      <x:c r="U1202" s="7" t="s">
        <x:v>53</x:v>
      </x:c>
      <x:c r="V1202" s="7" t="s">
        <x:v>4307</x:v>
      </x:c>
      <x:c r="W1202" s="7" t="s">
        <x:v>53</x:v>
      </x:c>
      <x:c r="X1202" s="7" t="s">
        <x:v>4255</x:v>
      </x:c>
      <x:c r="Y1202" s="7" t="s">
        <x:v>1305</x:v>
      </x:c>
      <x:c r="Z1202" s="7" t="s">
        <x:v>2804</x:v>
      </x:c>
      <x:c r="AA1202" s="7" t="s">
        <x:v>58</x:v>
      </x:c>
      <x:c r="AB1202" s="8" t="s">
        <x:v>58</x:v>
      </x:c>
      <x:c r="AC1202" s="8" t="s">
        <x:v>58</x:v>
      </x:c>
      <x:c r="AD1202" s="8" t="s">
        <x:v>58</x:v>
      </x:c>
      <x:c r="AE1202" s="8" t="s">
        <x:v>58</x:v>
      </x:c>
      <x:c r="AF1202" s="8" t="s">
        <x:v>58</x:v>
      </x:c>
      <x:c r="AG1202" s="7" t="s">
        <x:v>58</x:v>
      </x:c>
    </x:row>
    <x:row r="1203" ht="51.75" hidden="0" customHeight="1">
      <x:c r="A1203" s="7" t="s">
        <x:v>723</x:v>
      </x:c>
      <x:c r="B1203" s="7" t="s">
        <x:v>719</x:v>
      </x:c>
      <x:c r="C1203" s="7" t="s">
        <x:v>721</x:v>
      </x:c>
      <x:c r="D1203" s="7" t="s">
        <x:v>1916</x:v>
      </x:c>
      <x:c r="E1203" s="7" t="s">
        <x:v>4308</x:v>
      </x:c>
      <x:c r="F1203" s="7" t="s">
        <x:v>1918</x:v>
      </x:c>
      <x:c r="G1203" s="8" t="n">
        <x:v>1.14</x:v>
      </x:c>
      <x:c r="H1203" s="8" t="s">
        <x:v>58</x:v>
      </x:c>
      <x:c r="I1203" s="8" t="s">
        <x:v>58</x:v>
      </x:c>
      <x:c r="J1203" s="7" t="s">
        <x:v>1919</x:v>
      </x:c>
      <x:c r="K1203" s="8" t="n">
        <x:v>1000</x:v>
      </x:c>
      <x:c r="L1203" s="8" t="n">
        <x:f aca="0">IF(AND(ISNUMBER(G1203),P1203&lt;&gt;"Unresolved unit / layout"),G1203*K1203,"Not applicable")</x:f>
        <x:v>1140</x:v>
      </x:c>
      <x:c r="M1203" s="8" t="str">
        <x:f aca="0">IF(AND(ISNUMBER(H1203),P1203&lt;&gt;"Unresolved unit / layout"),H1203*K1203,"Not applicable")</x:f>
        <x:v>Not applicable</x:v>
      </x:c>
      <x:c r="N1203" s="8" t="str">
        <x:f aca="0">IF(AND(ISNUMBER(I1203),P1203&lt;&gt;"Unresolved unit / layout"),I1203*K1203,"Not applicable")</x:f>
        <x:v>Not applicable</x:v>
      </x:c>
      <x:c r="O1203" s="7" t="s">
        <x:v>1920</x:v>
      </x:c>
      <x:c r="P1203" s="7" t="s">
        <x:v>1921</x:v>
      </x:c>
      <x:c r="Q1203" s="7" t="s">
        <x:v>1922</x:v>
      </x:c>
      <x:c r="R1203" s="7" t="s">
        <x:v>58</x:v>
      </x:c>
      <x:c r="S1203" s="7" t="s">
        <x:v>53</x:v>
      </x:c>
      <x:c r="T1203" s="7" t="s">
        <x:v>53</x:v>
      </x:c>
      <x:c r="U1203" s="7" t="s">
        <x:v>53</x:v>
      </x:c>
      <x:c r="V1203" s="7" t="s">
        <x:v>1923</x:v>
      </x:c>
      <x:c r="W1203" s="7" t="s">
        <x:v>58</x:v>
      </x:c>
      <x:c r="X1203" s="7" t="s">
        <x:v>53</x:v>
      </x:c>
      <x:c r="Y1203" s="7" t="s">
        <x:v>1307</x:v>
      </x:c>
      <x:c r="Z1203" s="7" t="s">
        <x:v>1925</x:v>
      </x:c>
      <x:c r="AA1203" s="7" t="s">
        <x:v>58</x:v>
      </x:c>
      <x:c r="AB1203" s="8" t="s">
        <x:v>58</x:v>
      </x:c>
      <x:c r="AC1203" s="8" t="s">
        <x:v>58</x:v>
      </x:c>
      <x:c r="AD1203" s="8" t="s">
        <x:v>58</x:v>
      </x:c>
      <x:c r="AE1203" s="8" t="s">
        <x:v>58</x:v>
      </x:c>
      <x:c r="AF1203" s="8" t="s">
        <x:v>58</x:v>
      </x:c>
      <x:c r="AG1203" s="7" t="s">
        <x:v>58</x:v>
      </x:c>
    </x:row>
    <x:row r="1204" ht="37.5" hidden="0" customHeight="1">
      <x:c r="A1204" s="7" t="s">
        <x:v>4309</x:v>
      </x:c>
      <x:c r="B1204" s="7" t="s">
        <x:v>719</x:v>
      </x:c>
      <x:c r="C1204" s="7" t="s">
        <x:v>721</x:v>
      </x:c>
      <x:c r="D1204" s="7" t="s">
        <x:v>1927</x:v>
      </x:c>
      <x:c r="E1204" s="7" t="s">
        <x:v>4310</x:v>
      </x:c>
      <x:c r="F1204" s="7" t="s">
        <x:v>1929</x:v>
      </x:c>
      <x:c r="G1204" s="8" t="n">
        <x:v>68</x:v>
      </x:c>
      <x:c r="H1204" s="8" t="s">
        <x:v>58</x:v>
      </x:c>
      <x:c r="I1204" s="8" t="s">
        <x:v>58</x:v>
      </x:c>
      <x:c r="J1204" s="7" t="s">
        <x:v>1919</x:v>
      </x:c>
      <x:c r="K1204" s="8" t="n">
        <x:v>1</x:v>
      </x:c>
      <x:c r="L1204" s="8" t="n">
        <x:f aca="0">IF(AND(ISNUMBER(G1204),P1204&lt;&gt;"Unresolved unit / layout"),G1204*K1204,"Not applicable")</x:f>
        <x:v>68</x:v>
      </x:c>
      <x:c r="M1204" s="8" t="str">
        <x:f aca="0">IF(AND(ISNUMBER(H1204),P1204&lt;&gt;"Unresolved unit / layout"),H1204*K1204,"Not applicable")</x:f>
        <x:v>Not applicable</x:v>
      </x:c>
      <x:c r="N1204" s="8" t="str">
        <x:f aca="0">IF(AND(ISNUMBER(I1204),P1204&lt;&gt;"Unresolved unit / layout"),I1204*K1204,"Not applicable")</x:f>
        <x:v>Not applicable</x:v>
      </x:c>
      <x:c r="O1204" s="7" t="s">
        <x:v>1929</x:v>
      </x:c>
      <x:c r="P1204" s="7" t="s">
        <x:v>1921</x:v>
      </x:c>
      <x:c r="Q1204" s="7" t="s">
        <x:v>2064</x:v>
      </x:c>
      <x:c r="R1204" s="7" t="s">
        <x:v>53</x:v>
      </x:c>
      <x:c r="S1204" s="7" t="s">
        <x:v>53</x:v>
      </x:c>
      <x:c r="T1204" s="7" t="s">
        <x:v>53</x:v>
      </x:c>
      <x:c r="U1204" s="7" t="s">
        <x:v>53</x:v>
      </x:c>
      <x:c r="V1204" s="7" t="s">
        <x:v>1932</x:v>
      </x:c>
      <x:c r="W1204" s="7" t="s">
        <x:v>58</x:v>
      </x:c>
      <x:c r="X1204" s="7" t="s">
        <x:v>53</x:v>
      </x:c>
      <x:c r="Y1204" s="7" t="s">
        <x:v>1307</x:v>
      </x:c>
      <x:c r="Z1204" s="7" t="s">
        <x:v>1933</x:v>
      </x:c>
      <x:c r="AA1204" s="7" t="s">
        <x:v>58</x:v>
      </x:c>
      <x:c r="AB1204" s="8" t="s">
        <x:v>58</x:v>
      </x:c>
      <x:c r="AC1204" s="8" t="s">
        <x:v>58</x:v>
      </x:c>
      <x:c r="AD1204" s="8" t="s">
        <x:v>58</x:v>
      </x:c>
      <x:c r="AE1204" s="8" t="s">
        <x:v>58</x:v>
      </x:c>
      <x:c r="AF1204" s="8" t="s">
        <x:v>58</x:v>
      </x:c>
      <x:c r="AG1204" s="7" t="s">
        <x:v>58</x:v>
      </x:c>
    </x:row>
    <x:row r="1205" ht="37.5" hidden="0" customHeight="1">
      <x:c r="A1205" s="7" t="s">
        <x:v>4311</x:v>
      </x:c>
      <x:c r="B1205" s="7" t="s">
        <x:v>719</x:v>
      </x:c>
      <x:c r="C1205" s="7" t="s">
        <x:v>721</x:v>
      </x:c>
      <x:c r="D1205" s="7" t="s">
        <x:v>1935</x:v>
      </x:c>
      <x:c r="E1205" s="7" t="s">
        <x:v>4312</x:v>
      </x:c>
      <x:c r="F1205" s="7" t="s">
        <x:v>1929</x:v>
      </x:c>
      <x:c r="G1205" s="8" t="n">
        <x:v>6900</x:v>
      </x:c>
      <x:c r="H1205" s="8" t="s">
        <x:v>58</x:v>
      </x:c>
      <x:c r="I1205" s="8" t="s">
        <x:v>58</x:v>
      </x:c>
      <x:c r="J1205" s="7" t="s">
        <x:v>1919</x:v>
      </x:c>
      <x:c r="K1205" s="8" t="n">
        <x:v>0.001</x:v>
      </x:c>
      <x:c r="L1205" s="8" t="n">
        <x:f aca="0">IF(AND(ISNUMBER(G1205),P1205&lt;&gt;"Unresolved unit / layout"),G1205*K1205,"Not applicable")</x:f>
        <x:v>6.9</x:v>
      </x:c>
      <x:c r="M1205" s="8" t="str">
        <x:f aca="0">IF(AND(ISNUMBER(H1205),P1205&lt;&gt;"Unresolved unit / layout"),H1205*K1205,"Not applicable")</x:f>
        <x:v>Not applicable</x:v>
      </x:c>
      <x:c r="N1205" s="8" t="str">
        <x:f aca="0">IF(AND(ISNUMBER(I1205),P1205&lt;&gt;"Unresolved unit / layout"),I1205*K1205,"Not applicable")</x:f>
        <x:v>Not applicable</x:v>
      </x:c>
      <x:c r="O1205" s="7" t="s">
        <x:v>1937</x:v>
      </x:c>
      <x:c r="P1205" s="7" t="s">
        <x:v>1921</x:v>
      </x:c>
      <x:c r="Q1205" s="7" t="s">
        <x:v>2064</x:v>
      </x:c>
      <x:c r="R1205" s="7" t="s">
        <x:v>53</x:v>
      </x:c>
      <x:c r="S1205" s="7" t="s">
        <x:v>53</x:v>
      </x:c>
      <x:c r="T1205" s="7" t="s">
        <x:v>53</x:v>
      </x:c>
      <x:c r="U1205" s="7" t="s">
        <x:v>53</x:v>
      </x:c>
      <x:c r="V1205" s="7" t="s">
        <x:v>1932</x:v>
      </x:c>
      <x:c r="W1205" s="7" t="s">
        <x:v>58</x:v>
      </x:c>
      <x:c r="X1205" s="7" t="s">
        <x:v>53</x:v>
      </x:c>
      <x:c r="Y1205" s="7" t="s">
        <x:v>1307</x:v>
      </x:c>
      <x:c r="Z1205" s="7" t="s">
        <x:v>1938</x:v>
      </x:c>
      <x:c r="AA1205" s="7" t="s">
        <x:v>58</x:v>
      </x:c>
      <x:c r="AB1205" s="8" t="s">
        <x:v>58</x:v>
      </x:c>
      <x:c r="AC1205" s="8" t="s">
        <x:v>58</x:v>
      </x:c>
      <x:c r="AD1205" s="8" t="s">
        <x:v>58</x:v>
      </x:c>
      <x:c r="AE1205" s="8" t="s">
        <x:v>58</x:v>
      </x:c>
      <x:c r="AF1205" s="8" t="s">
        <x:v>58</x:v>
      </x:c>
      <x:c r="AG1205" s="7" t="s">
        <x:v>58</x:v>
      </x:c>
    </x:row>
    <x:row r="1206" ht="37.5" hidden="0" customHeight="1">
      <x:c r="A1206" s="7" t="s">
        <x:v>4313</x:v>
      </x:c>
      <x:c r="B1206" s="7" t="s">
        <x:v>719</x:v>
      </x:c>
      <x:c r="C1206" s="7" t="s">
        <x:v>721</x:v>
      </x:c>
      <x:c r="D1206" s="7" t="s">
        <x:v>1940</x:v>
      </x:c>
      <x:c r="E1206" s="7" t="s">
        <x:v>4314</x:v>
      </x:c>
      <x:c r="F1206" s="7" t="s">
        <x:v>1942</x:v>
      </x:c>
      <x:c r="G1206" s="8" t="n">
        <x:v>3.8</x:v>
      </x:c>
      <x:c r="H1206" s="8" t="s">
        <x:v>58</x:v>
      </x:c>
      <x:c r="I1206" s="8" t="s">
        <x:v>58</x:v>
      </x:c>
      <x:c r="J1206" s="7" t="s">
        <x:v>1919</x:v>
      </x:c>
      <x:c r="K1206" s="8" t="n">
        <x:v>1</x:v>
      </x:c>
      <x:c r="L1206" s="8" t="n">
        <x:f aca="0">IF(AND(ISNUMBER(G1206),P1206&lt;&gt;"Unresolved unit / layout"),G1206*K1206,"Not applicable")</x:f>
        <x:v>3.8</x:v>
      </x:c>
      <x:c r="M1206" s="8" t="str">
        <x:f aca="0">IF(AND(ISNUMBER(H1206),P1206&lt;&gt;"Unresolved unit / layout"),H1206*K1206,"Not applicable")</x:f>
        <x:v>Not applicable</x:v>
      </x:c>
      <x:c r="N1206" s="8" t="str">
        <x:f aca="0">IF(AND(ISNUMBER(I1206),P1206&lt;&gt;"Unresolved unit / layout"),I1206*K1206,"Not applicable")</x:f>
        <x:v>Not applicable</x:v>
      </x:c>
      <x:c r="O1206" s="7" t="s">
        <x:v>1942</x:v>
      </x:c>
      <x:c r="P1206" s="7" t="s">
        <x:v>1921</x:v>
      </x:c>
      <x:c r="Q1206" s="7" t="s">
        <x:v>2064</x:v>
      </x:c>
      <x:c r="R1206" s="7" t="s">
        <x:v>53</x:v>
      </x:c>
      <x:c r="S1206" s="7" t="s">
        <x:v>53</x:v>
      </x:c>
      <x:c r="T1206" s="7" t="s">
        <x:v>53</x:v>
      </x:c>
      <x:c r="U1206" s="7" t="s">
        <x:v>53</x:v>
      </x:c>
      <x:c r="V1206" s="7" t="s">
        <x:v>1932</x:v>
      </x:c>
      <x:c r="W1206" s="7" t="s">
        <x:v>58</x:v>
      </x:c>
      <x:c r="X1206" s="7" t="s">
        <x:v>53</x:v>
      </x:c>
      <x:c r="Y1206" s="7" t="s">
        <x:v>1307</x:v>
      </x:c>
      <x:c r="Z1206" s="7" t="s">
        <x:v>1943</x:v>
      </x:c>
      <x:c r="AA1206" s="7" t="s">
        <x:v>58</x:v>
      </x:c>
      <x:c r="AB1206" s="8" t="s">
        <x:v>58</x:v>
      </x:c>
      <x:c r="AC1206" s="8" t="s">
        <x:v>58</x:v>
      </x:c>
      <x:c r="AD1206" s="8" t="s">
        <x:v>58</x:v>
      </x:c>
      <x:c r="AE1206" s="8" t="s">
        <x:v>58</x:v>
      </x:c>
      <x:c r="AF1206" s="8" t="s">
        <x:v>58</x:v>
      </x:c>
      <x:c r="AG1206" s="7" t="s">
        <x:v>58</x:v>
      </x:c>
    </x:row>
    <x:row r="1207" ht="37.5" hidden="0" customHeight="1">
      <x:c r="A1207" s="7" t="s">
        <x:v>4315</x:v>
      </x:c>
      <x:c r="B1207" s="7" t="s">
        <x:v>719</x:v>
      </x:c>
      <x:c r="C1207" s="7" t="s">
        <x:v>721</x:v>
      </x:c>
      <x:c r="D1207" s="7" t="s">
        <x:v>1945</x:v>
      </x:c>
      <x:c r="E1207" s="7" t="s">
        <x:v>4316</x:v>
      </x:c>
      <x:c r="F1207" s="7" t="s">
        <x:v>1929</x:v>
      </x:c>
      <x:c r="G1207" s="8" t="n">
        <x:v>81</x:v>
      </x:c>
      <x:c r="H1207" s="8" t="s">
        <x:v>58</x:v>
      </x:c>
      <x:c r="I1207" s="8" t="s">
        <x:v>58</x:v>
      </x:c>
      <x:c r="J1207" s="7" t="s">
        <x:v>1919</x:v>
      </x:c>
      <x:c r="K1207" s="8" t="n">
        <x:v>1</x:v>
      </x:c>
      <x:c r="L1207" s="8" t="n">
        <x:f aca="0">IF(AND(ISNUMBER(G1207),P1207&lt;&gt;"Unresolved unit / layout"),G1207*K1207,"Not applicable")</x:f>
        <x:v>81</x:v>
      </x:c>
      <x:c r="M1207" s="8" t="str">
        <x:f aca="0">IF(AND(ISNUMBER(H1207),P1207&lt;&gt;"Unresolved unit / layout"),H1207*K1207,"Not applicable")</x:f>
        <x:v>Not applicable</x:v>
      </x:c>
      <x:c r="N1207" s="8" t="str">
        <x:f aca="0">IF(AND(ISNUMBER(I1207),P1207&lt;&gt;"Unresolved unit / layout"),I1207*K1207,"Not applicable")</x:f>
        <x:v>Not applicable</x:v>
      </x:c>
      <x:c r="O1207" s="7" t="s">
        <x:v>1929</x:v>
      </x:c>
      <x:c r="P1207" s="7" t="s">
        <x:v>1921</x:v>
      </x:c>
      <x:c r="Q1207" s="7" t="s">
        <x:v>2064</x:v>
      </x:c>
      <x:c r="R1207" s="7" t="s">
        <x:v>53</x:v>
      </x:c>
      <x:c r="S1207" s="7" t="s">
        <x:v>53</x:v>
      </x:c>
      <x:c r="T1207" s="7" t="s">
        <x:v>53</x:v>
      </x:c>
      <x:c r="U1207" s="7" t="s">
        <x:v>53</x:v>
      </x:c>
      <x:c r="V1207" s="7" t="s">
        <x:v>1947</x:v>
      </x:c>
      <x:c r="W1207" s="7" t="s">
        <x:v>58</x:v>
      </x:c>
      <x:c r="X1207" s="7" t="s">
        <x:v>53</x:v>
      </x:c>
      <x:c r="Y1207" s="7" t="s">
        <x:v>1307</x:v>
      </x:c>
      <x:c r="Z1207" s="7" t="s">
        <x:v>1948</x:v>
      </x:c>
      <x:c r="AA1207" s="7" t="s">
        <x:v>58</x:v>
      </x:c>
      <x:c r="AB1207" s="8" t="s">
        <x:v>58</x:v>
      </x:c>
      <x:c r="AC1207" s="8" t="s">
        <x:v>58</x:v>
      </x:c>
      <x:c r="AD1207" s="8" t="s">
        <x:v>58</x:v>
      </x:c>
      <x:c r="AE1207" s="8" t="s">
        <x:v>58</x:v>
      </x:c>
      <x:c r="AF1207" s="8" t="s">
        <x:v>58</x:v>
      </x:c>
      <x:c r="AG1207" s="7" t="s">
        <x:v>58</x:v>
      </x:c>
    </x:row>
    <x:row r="1208" ht="37.5" hidden="0" customHeight="1">
      <x:c r="A1208" s="7" t="s">
        <x:v>4317</x:v>
      </x:c>
      <x:c r="B1208" s="7" t="s">
        <x:v>719</x:v>
      </x:c>
      <x:c r="C1208" s="7" t="s">
        <x:v>721</x:v>
      </x:c>
      <x:c r="D1208" s="7" t="s">
        <x:v>1950</x:v>
      </x:c>
      <x:c r="E1208" s="7" t="s">
        <x:v>4318</x:v>
      </x:c>
      <x:c r="F1208" s="7" t="s">
        <x:v>1929</x:v>
      </x:c>
      <x:c r="G1208" s="8" t="n">
        <x:v>6700</x:v>
      </x:c>
      <x:c r="H1208" s="8" t="s">
        <x:v>58</x:v>
      </x:c>
      <x:c r="I1208" s="8" t="s">
        <x:v>58</x:v>
      </x:c>
      <x:c r="J1208" s="7" t="s">
        <x:v>1919</x:v>
      </x:c>
      <x:c r="K1208" s="8" t="n">
        <x:v>0.001</x:v>
      </x:c>
      <x:c r="L1208" s="8" t="n">
        <x:f aca="0">IF(AND(ISNUMBER(G1208),P1208&lt;&gt;"Unresolved unit / layout"),G1208*K1208,"Not applicable")</x:f>
        <x:v>6.7</x:v>
      </x:c>
      <x:c r="M1208" s="8" t="str">
        <x:f aca="0">IF(AND(ISNUMBER(H1208),P1208&lt;&gt;"Unresolved unit / layout"),H1208*K1208,"Not applicable")</x:f>
        <x:v>Not applicable</x:v>
      </x:c>
      <x:c r="N1208" s="8" t="str">
        <x:f aca="0">IF(AND(ISNUMBER(I1208),P1208&lt;&gt;"Unresolved unit / layout"),I1208*K1208,"Not applicable")</x:f>
        <x:v>Not applicable</x:v>
      </x:c>
      <x:c r="O1208" s="7" t="s">
        <x:v>1937</x:v>
      </x:c>
      <x:c r="P1208" s="7" t="s">
        <x:v>1921</x:v>
      </x:c>
      <x:c r="Q1208" s="7" t="s">
        <x:v>2064</x:v>
      </x:c>
      <x:c r="R1208" s="7" t="s">
        <x:v>53</x:v>
      </x:c>
      <x:c r="S1208" s="7" t="s">
        <x:v>53</x:v>
      </x:c>
      <x:c r="T1208" s="7" t="s">
        <x:v>53</x:v>
      </x:c>
      <x:c r="U1208" s="7" t="s">
        <x:v>53</x:v>
      </x:c>
      <x:c r="V1208" s="7" t="s">
        <x:v>1947</x:v>
      </x:c>
      <x:c r="W1208" s="7" t="s">
        <x:v>58</x:v>
      </x:c>
      <x:c r="X1208" s="7" t="s">
        <x:v>53</x:v>
      </x:c>
      <x:c r="Y1208" s="7" t="s">
        <x:v>1307</x:v>
      </x:c>
      <x:c r="Z1208" s="7" t="s">
        <x:v>1952</x:v>
      </x:c>
      <x:c r="AA1208" s="7" t="s">
        <x:v>58</x:v>
      </x:c>
      <x:c r="AB1208" s="8" t="s">
        <x:v>58</x:v>
      </x:c>
      <x:c r="AC1208" s="8" t="s">
        <x:v>58</x:v>
      </x:c>
      <x:c r="AD1208" s="8" t="s">
        <x:v>58</x:v>
      </x:c>
      <x:c r="AE1208" s="8" t="s">
        <x:v>58</x:v>
      </x:c>
      <x:c r="AF1208" s="8" t="s">
        <x:v>58</x:v>
      </x:c>
      <x:c r="AG1208" s="7" t="s">
        <x:v>58</x:v>
      </x:c>
    </x:row>
    <x:row r="1209" ht="37.5" hidden="0" customHeight="1">
      <x:c r="A1209" s="7" t="s">
        <x:v>4319</x:v>
      </x:c>
      <x:c r="B1209" s="7" t="s">
        <x:v>719</x:v>
      </x:c>
      <x:c r="C1209" s="7" t="s">
        <x:v>721</x:v>
      </x:c>
      <x:c r="D1209" s="7" t="s">
        <x:v>1954</x:v>
      </x:c>
      <x:c r="E1209" s="7" t="s">
        <x:v>3959</x:v>
      </x:c>
      <x:c r="F1209" s="7" t="s">
        <x:v>1956</x:v>
      </x:c>
      <x:c r="G1209" s="8" t="n">
        <x:v>158</x:v>
      </x:c>
      <x:c r="H1209" s="8" t="s">
        <x:v>58</x:v>
      </x:c>
      <x:c r="I1209" s="8" t="s">
        <x:v>58</x:v>
      </x:c>
      <x:c r="J1209" s="7" t="s">
        <x:v>1919</x:v>
      </x:c>
      <x:c r="K1209" s="8" t="n">
        <x:v>1</x:v>
      </x:c>
      <x:c r="L1209" s="8" t="n">
        <x:f aca="0">IF(AND(ISNUMBER(G1209),P1209&lt;&gt;"Unresolved unit / layout"),G1209*K1209,"Not applicable")</x:f>
        <x:v>158</x:v>
      </x:c>
      <x:c r="M1209" s="8" t="str">
        <x:f aca="0">IF(AND(ISNUMBER(H1209),P1209&lt;&gt;"Unresolved unit / layout"),H1209*K1209,"Not applicable")</x:f>
        <x:v>Not applicable</x:v>
      </x:c>
      <x:c r="N1209" s="8" t="str">
        <x:f aca="0">IF(AND(ISNUMBER(I1209),P1209&lt;&gt;"Unresolved unit / layout"),I1209*K1209,"Not applicable")</x:f>
        <x:v>Not applicable</x:v>
      </x:c>
      <x:c r="O1209" s="7" t="s">
        <x:v>1956</x:v>
      </x:c>
      <x:c r="P1209" s="7" t="s">
        <x:v>1921</x:v>
      </x:c>
      <x:c r="Q1209" s="7" t="s">
        <x:v>2064</x:v>
      </x:c>
      <x:c r="R1209" s="7" t="s">
        <x:v>58</x:v>
      </x:c>
      <x:c r="S1209" s="7" t="s">
        <x:v>53</x:v>
      </x:c>
      <x:c r="T1209" s="7" t="s">
        <x:v>53</x:v>
      </x:c>
      <x:c r="U1209" s="7" t="s">
        <x:v>53</x:v>
      </x:c>
      <x:c r="V1209" s="7" t="s">
        <x:v>1957</x:v>
      </x:c>
      <x:c r="W1209" s="7" t="s">
        <x:v>58</x:v>
      </x:c>
      <x:c r="X1209" s="7" t="s">
        <x:v>53</x:v>
      </x:c>
      <x:c r="Y1209" s="7" t="s">
        <x:v>1307</x:v>
      </x:c>
      <x:c r="Z1209" s="7" t="s">
        <x:v>3215</x:v>
      </x:c>
      <x:c r="AA1209" s="7" t="s">
        <x:v>58</x:v>
      </x:c>
      <x:c r="AB1209" s="8" t="s">
        <x:v>58</x:v>
      </x:c>
      <x:c r="AC1209" s="8" t="s">
        <x:v>58</x:v>
      </x:c>
      <x:c r="AD1209" s="8" t="s">
        <x:v>58</x:v>
      </x:c>
      <x:c r="AE1209" s="8" t="s">
        <x:v>58</x:v>
      </x:c>
      <x:c r="AF1209" s="8" t="s">
        <x:v>58</x:v>
      </x:c>
      <x:c r="AG1209" s="7" t="s">
        <x:v>58</x:v>
      </x:c>
    </x:row>
    <x:row r="1210" ht="37.5" hidden="0" customHeight="1">
      <x:c r="A1210" s="7" t="s">
        <x:v>724</x:v>
      </x:c>
      <x:c r="B1210" s="7" t="s">
        <x:v>719</x:v>
      </x:c>
      <x:c r="C1210" s="7" t="s">
        <x:v>721</x:v>
      </x:c>
      <x:c r="D1210" s="7" t="s">
        <x:v>1959</x:v>
      </x:c>
      <x:c r="E1210" s="7" t="s">
        <x:v>4320</x:v>
      </x:c>
      <x:c r="F1210" s="7" t="s">
        <x:v>1956</x:v>
      </x:c>
      <x:c r="G1210" s="8" t="n">
        <x:v>142</x:v>
      </x:c>
      <x:c r="H1210" s="8" t="s">
        <x:v>58</x:v>
      </x:c>
      <x:c r="I1210" s="8" t="s">
        <x:v>58</x:v>
      </x:c>
      <x:c r="J1210" s="7" t="s">
        <x:v>1919</x:v>
      </x:c>
      <x:c r="K1210" s="8" t="n">
        <x:v>1</x:v>
      </x:c>
      <x:c r="L1210" s="8" t="n">
        <x:f aca="0">IF(AND(ISNUMBER(G1210),P1210&lt;&gt;"Unresolved unit / layout"),G1210*K1210,"Not applicable")</x:f>
        <x:v>142</x:v>
      </x:c>
      <x:c r="M1210" s="8" t="str">
        <x:f aca="0">IF(AND(ISNUMBER(H1210),P1210&lt;&gt;"Unresolved unit / layout"),H1210*K1210,"Not applicable")</x:f>
        <x:v>Not applicable</x:v>
      </x:c>
      <x:c r="N1210" s="8" t="str">
        <x:f aca="0">IF(AND(ISNUMBER(I1210),P1210&lt;&gt;"Unresolved unit / layout"),I1210*K1210,"Not applicable")</x:f>
        <x:v>Not applicable</x:v>
      </x:c>
      <x:c r="O1210" s="7" t="s">
        <x:v>1956</x:v>
      </x:c>
      <x:c r="P1210" s="7" t="s">
        <x:v>1921</x:v>
      </x:c>
      <x:c r="Q1210" s="7" t="s">
        <x:v>2064</x:v>
      </x:c>
      <x:c r="R1210" s="7" t="s">
        <x:v>58</x:v>
      </x:c>
      <x:c r="S1210" s="7" t="s">
        <x:v>53</x:v>
      </x:c>
      <x:c r="T1210" s="7" t="s">
        <x:v>53</x:v>
      </x:c>
      <x:c r="U1210" s="7" t="s">
        <x:v>53</x:v>
      </x:c>
      <x:c r="V1210" s="7" t="s">
        <x:v>1961</x:v>
      </x:c>
      <x:c r="W1210" s="7" t="s">
        <x:v>58</x:v>
      </x:c>
      <x:c r="X1210" s="7" t="s">
        <x:v>53</x:v>
      </x:c>
      <x:c r="Y1210" s="7" t="s">
        <x:v>1307</x:v>
      </x:c>
      <x:c r="Z1210" s="7" t="s">
        <x:v>1962</x:v>
      </x:c>
      <x:c r="AA1210" s="7" t="s">
        <x:v>58</x:v>
      </x:c>
      <x:c r="AB1210" s="8" t="s">
        <x:v>58</x:v>
      </x:c>
      <x:c r="AC1210" s="8" t="s">
        <x:v>58</x:v>
      </x:c>
      <x:c r="AD1210" s="8" t="s">
        <x:v>58</x:v>
      </x:c>
      <x:c r="AE1210" s="8" t="s">
        <x:v>58</x:v>
      </x:c>
      <x:c r="AF1210" s="8" t="s">
        <x:v>58</x:v>
      </x:c>
      <x:c r="AG1210" s="7" t="s">
        <x:v>58</x:v>
      </x:c>
    </x:row>
    <x:row r="1211" ht="66" hidden="0" customHeight="1">
      <x:c r="A1211" s="7" t="s">
        <x:v>4321</x:v>
      </x:c>
      <x:c r="B1211" s="7" t="s">
        <x:v>719</x:v>
      </x:c>
      <x:c r="C1211" s="7" t="s">
        <x:v>1308</x:v>
      </x:c>
      <x:c r="D1211" s="7" t="s">
        <x:v>1916</x:v>
      </x:c>
      <x:c r="E1211" s="7" t="s">
        <x:v>4322</x:v>
      </x:c>
      <x:c r="F1211" s="7" t="s">
        <x:v>1965</x:v>
      </x:c>
      <x:c r="G1211" s="8" t="n">
        <x:v>1.1</x:v>
      </x:c>
      <x:c r="H1211" s="8" t="s">
        <x:v>58</x:v>
      </x:c>
      <x:c r="I1211" s="8" t="s">
        <x:v>58</x:v>
      </x:c>
      <x:c r="J1211" s="7" t="s">
        <x:v>1919</x:v>
      </x:c>
      <x:c r="K1211" s="8" t="n">
        <x:v>1000</x:v>
      </x:c>
      <x:c r="L1211" s="8" t="n">
        <x:f aca="0">IF(AND(ISNUMBER(G1211),P1211&lt;&gt;"Unresolved unit / layout"),G1211*K1211,"Not applicable")</x:f>
        <x:v>1100</x:v>
      </x:c>
      <x:c r="M1211" s="8" t="str">
        <x:f aca="0">IF(AND(ISNUMBER(H1211),P1211&lt;&gt;"Unresolved unit / layout"),H1211*K1211,"Not applicable")</x:f>
        <x:v>Not applicable</x:v>
      </x:c>
      <x:c r="N1211" s="8" t="str">
        <x:f aca="0">IF(AND(ISNUMBER(I1211),P1211&lt;&gt;"Unresolved unit / layout"),I1211*K1211,"Not applicable")</x:f>
        <x:v>Not applicable</x:v>
      </x:c>
      <x:c r="O1211" s="7" t="s">
        <x:v>1920</x:v>
      </x:c>
      <x:c r="P1211" s="7" t="s">
        <x:v>1921</x:v>
      </x:c>
      <x:c r="Q1211" s="7" t="s">
        <x:v>1922</x:v>
      </x:c>
      <x:c r="R1211" s="7" t="s">
        <x:v>58</x:v>
      </x:c>
      <x:c r="S1211" s="7" t="s">
        <x:v>53</x:v>
      </x:c>
      <x:c r="T1211" s="7" t="s">
        <x:v>4081</x:v>
      </x:c>
      <x:c r="U1211" s="7" t="s">
        <x:v>53</x:v>
      </x:c>
      <x:c r="V1211" s="7" t="s">
        <x:v>1966</x:v>
      </x:c>
      <x:c r="W1211" s="7" t="s">
        <x:v>58</x:v>
      </x:c>
      <x:c r="X1211" s="7" t="s">
        <x:v>4323</x:v>
      </x:c>
      <x:c r="Y1211" s="7" t="s">
        <x:v>1310</x:v>
      </x:c>
      <x:c r="Z1211" s="7" t="s">
        <x:v>1925</x:v>
      </x:c>
      <x:c r="AA1211" s="7" t="s">
        <x:v>58</x:v>
      </x:c>
      <x:c r="AB1211" s="8" t="s">
        <x:v>58</x:v>
      </x:c>
      <x:c r="AC1211" s="8" t="s">
        <x:v>58</x:v>
      </x:c>
      <x:c r="AD1211" s="8" t="s">
        <x:v>58</x:v>
      </x:c>
      <x:c r="AE1211" s="8" t="s">
        <x:v>58</x:v>
      </x:c>
      <x:c r="AF1211" s="8" t="s">
        <x:v>58</x:v>
      </x:c>
      <x:c r="AG1211" s="7" t="s">
        <x:v>58</x:v>
      </x:c>
    </x:row>
    <x:row r="1212" ht="66" hidden="0" customHeight="1">
      <x:c r="A1212" s="7" t="s">
        <x:v>4324</x:v>
      </x:c>
      <x:c r="B1212" s="7" t="s">
        <x:v>719</x:v>
      </x:c>
      <x:c r="C1212" s="7" t="s">
        <x:v>1308</x:v>
      </x:c>
      <x:c r="D1212" s="7" t="s">
        <x:v>1978</x:v>
      </x:c>
      <x:c r="E1212" s="7" t="s">
        <x:v>4325</x:v>
      </x:c>
      <x:c r="F1212" s="7" t="s">
        <x:v>1956</x:v>
      </x:c>
      <x:c r="G1212" s="8" t="n">
        <x:v>180.3</x:v>
      </x:c>
      <x:c r="H1212" s="8" t="s">
        <x:v>58</x:v>
      </x:c>
      <x:c r="I1212" s="8" t="s">
        <x:v>58</x:v>
      </x:c>
      <x:c r="J1212" s="7" t="s">
        <x:v>1919</x:v>
      </x:c>
      <x:c r="K1212" s="8" t="n">
        <x:v>1</x:v>
      </x:c>
      <x:c r="L1212" s="8" t="n">
        <x:f aca="0">IF(AND(ISNUMBER(G1212),P1212&lt;&gt;"Unresolved unit / layout"),G1212*K1212,"Not applicable")</x:f>
        <x:v>180.3</x:v>
      </x:c>
      <x:c r="M1212" s="8" t="str">
        <x:f aca="0">IF(AND(ISNUMBER(H1212),P1212&lt;&gt;"Unresolved unit / layout"),H1212*K1212,"Not applicable")</x:f>
        <x:v>Not applicable</x:v>
      </x:c>
      <x:c r="N1212" s="8" t="str">
        <x:f aca="0">IF(AND(ISNUMBER(I1212),P1212&lt;&gt;"Unresolved unit / layout"),I1212*K1212,"Not applicable")</x:f>
        <x:v>Not applicable</x:v>
      </x:c>
      <x:c r="O1212" s="7" t="s">
        <x:v>1956</x:v>
      </x:c>
      <x:c r="P1212" s="7" t="s">
        <x:v>1921</x:v>
      </x:c>
      <x:c r="Q1212" s="7" t="s">
        <x:v>1930</x:v>
      </x:c>
      <x:c r="R1212" s="7" t="s">
        <x:v>58</x:v>
      </x:c>
      <x:c r="S1212" s="7" t="s">
        <x:v>53</x:v>
      </x:c>
      <x:c r="T1212" s="7" t="s">
        <x:v>4081</x:v>
      </x:c>
      <x:c r="U1212" s="7" t="s">
        <x:v>53</x:v>
      </x:c>
      <x:c r="V1212" s="7" t="s">
        <x:v>1971</x:v>
      </x:c>
      <x:c r="W1212" s="7" t="s">
        <x:v>58</x:v>
      </x:c>
      <x:c r="X1212" s="7" t="s">
        <x:v>4323</x:v>
      </x:c>
      <x:c r="Y1212" s="7" t="s">
        <x:v>1310</x:v>
      </x:c>
      <x:c r="Z1212" s="7" t="s">
        <x:v>4084</x:v>
      </x:c>
      <x:c r="AA1212" s="7" t="s">
        <x:v>58</x:v>
      </x:c>
      <x:c r="AB1212" s="8" t="s">
        <x:v>58</x:v>
      </x:c>
      <x:c r="AC1212" s="8" t="s">
        <x:v>58</x:v>
      </x:c>
      <x:c r="AD1212" s="8" t="s">
        <x:v>58</x:v>
      </x:c>
      <x:c r="AE1212" s="8" t="s">
        <x:v>58</x:v>
      </x:c>
      <x:c r="AF1212" s="8" t="s">
        <x:v>58</x:v>
      </x:c>
      <x:c r="AG1212" s="7" t="s">
        <x:v>58</x:v>
      </x:c>
    </x:row>
    <x:row r="1213" ht="66" hidden="0" customHeight="1">
      <x:c r="A1213" s="7" t="s">
        <x:v>4326</x:v>
      </x:c>
      <x:c r="B1213" s="7" t="s">
        <x:v>719</x:v>
      </x:c>
      <x:c r="C1213" s="7" t="s">
        <x:v>1308</x:v>
      </x:c>
      <x:c r="D1213" s="7" t="s">
        <x:v>1935</x:v>
      </x:c>
      <x:c r="E1213" s="7" t="s">
        <x:v>4327</x:v>
      </x:c>
      <x:c r="F1213" s="7" t="s">
        <x:v>1929</x:v>
      </x:c>
      <x:c r="G1213" s="8" t="n">
        <x:v>4293.7</x:v>
      </x:c>
      <x:c r="H1213" s="8" t="n">
        <x:v>116.4</x:v>
      </x:c>
      <x:c r="I1213" s="8" t="s">
        <x:v>58</x:v>
      </x:c>
      <x:c r="J1213" s="7" t="s">
        <x:v>1919</x:v>
      </x:c>
      <x:c r="K1213" s="8" t="n">
        <x:v>0.001</x:v>
      </x:c>
      <x:c r="L1213" s="8" t="n">
        <x:f aca="0">IF(AND(ISNUMBER(G1213),P1213&lt;&gt;"Unresolved unit / layout"),G1213*K1213,"Not applicable")</x:f>
        <x:v>4.2937</x:v>
      </x:c>
      <x:c r="M1213" s="8" t="n">
        <x:f aca="0">IF(AND(ISNUMBER(H1213),P1213&lt;&gt;"Unresolved unit / layout"),H1213*K1213,"Not applicable")</x:f>
        <x:v>0.1164</x:v>
      </x:c>
      <x:c r="N1213" s="8" t="str">
        <x:f aca="0">IF(AND(ISNUMBER(I1213),P1213&lt;&gt;"Unresolved unit / layout"),I1213*K1213,"Not applicable")</x:f>
        <x:v>Not applicable</x:v>
      </x:c>
      <x:c r="O1213" s="7" t="s">
        <x:v>1937</x:v>
      </x:c>
      <x:c r="P1213" s="7" t="s">
        <x:v>1921</x:v>
      </x:c>
      <x:c r="Q1213" s="7" t="s">
        <x:v>1930</x:v>
      </x:c>
      <x:c r="R1213" s="7" t="s">
        <x:v>1931</x:v>
      </x:c>
      <x:c r="S1213" s="7" t="s">
        <x:v>3378</x:v>
      </x:c>
      <x:c r="T1213" s="7" t="s">
        <x:v>4081</x:v>
      </x:c>
      <x:c r="U1213" s="7" t="s">
        <x:v>53</x:v>
      </x:c>
      <x:c r="V1213" s="7" t="s">
        <x:v>1999</x:v>
      </x:c>
      <x:c r="W1213" s="7" t="s">
        <x:v>58</x:v>
      </x:c>
      <x:c r="X1213" s="7" t="s">
        <x:v>4323</x:v>
      </x:c>
      <x:c r="Y1213" s="7" t="s">
        <x:v>1310</x:v>
      </x:c>
      <x:c r="Z1213" s="7" t="s">
        <x:v>4089</x:v>
      </x:c>
      <x:c r="AA1213" s="7" t="s">
        <x:v>58</x:v>
      </x:c>
      <x:c r="AB1213" s="8" t="s">
        <x:v>58</x:v>
      </x:c>
      <x:c r="AC1213" s="8" t="s">
        <x:v>58</x:v>
      </x:c>
      <x:c r="AD1213" s="8" t="s">
        <x:v>58</x:v>
      </x:c>
      <x:c r="AE1213" s="8" t="s">
        <x:v>58</x:v>
      </x:c>
      <x:c r="AF1213" s="8" t="s">
        <x:v>58</x:v>
      </x:c>
      <x:c r="AG1213" s="7" t="s">
        <x:v>58</x:v>
      </x:c>
    </x:row>
    <x:row r="1214" ht="66" hidden="0" customHeight="1">
      <x:c r="A1214" s="7" t="s">
        <x:v>4328</x:v>
      </x:c>
      <x:c r="B1214" s="7" t="s">
        <x:v>719</x:v>
      </x:c>
      <x:c r="C1214" s="7" t="s">
        <x:v>1308</x:v>
      </x:c>
      <x:c r="D1214" s="7" t="s">
        <x:v>1935</x:v>
      </x:c>
      <x:c r="E1214" s="7" t="s">
        <x:v>4329</x:v>
      </x:c>
      <x:c r="F1214" s="7" t="s">
        <x:v>1929</x:v>
      </x:c>
      <x:c r="G1214" s="8" t="n">
        <x:v>1784.4</x:v>
      </x:c>
      <x:c r="H1214" s="8" t="n">
        <x:v>102.8</x:v>
      </x:c>
      <x:c r="I1214" s="8" t="s">
        <x:v>58</x:v>
      </x:c>
      <x:c r="J1214" s="7" t="s">
        <x:v>1919</x:v>
      </x:c>
      <x:c r="K1214" s="8" t="n">
        <x:v>0.001</x:v>
      </x:c>
      <x:c r="L1214" s="8" t="n">
        <x:f aca="0">IF(AND(ISNUMBER(G1214),P1214&lt;&gt;"Unresolved unit / layout"),G1214*K1214,"Not applicable")</x:f>
        <x:v>1.7844000000000002</x:v>
      </x:c>
      <x:c r="M1214" s="8" t="n">
        <x:f aca="0">IF(AND(ISNUMBER(H1214),P1214&lt;&gt;"Unresolved unit / layout"),H1214*K1214,"Not applicable")</x:f>
        <x:v>0.1028</x:v>
      </x:c>
      <x:c r="N1214" s="8" t="str">
        <x:f aca="0">IF(AND(ISNUMBER(I1214),P1214&lt;&gt;"Unresolved unit / layout"),I1214*K1214,"Not applicable")</x:f>
        <x:v>Not applicable</x:v>
      </x:c>
      <x:c r="O1214" s="7" t="s">
        <x:v>1937</x:v>
      </x:c>
      <x:c r="P1214" s="7" t="s">
        <x:v>1921</x:v>
      </x:c>
      <x:c r="Q1214" s="7" t="s">
        <x:v>1930</x:v>
      </x:c>
      <x:c r="R1214" s="7" t="s">
        <x:v>2003</x:v>
      </x:c>
      <x:c r="S1214" s="7" t="s">
        <x:v>3378</x:v>
      </x:c>
      <x:c r="T1214" s="7" t="s">
        <x:v>4081</x:v>
      </x:c>
      <x:c r="U1214" s="7" t="s">
        <x:v>53</x:v>
      </x:c>
      <x:c r="V1214" s="7" t="s">
        <x:v>1999</x:v>
      </x:c>
      <x:c r="W1214" s="7" t="s">
        <x:v>58</x:v>
      </x:c>
      <x:c r="X1214" s="7" t="s">
        <x:v>4323</x:v>
      </x:c>
      <x:c r="Y1214" s="7" t="s">
        <x:v>1310</x:v>
      </x:c>
      <x:c r="Z1214" s="7" t="s">
        <x:v>4092</x:v>
      </x:c>
      <x:c r="AA1214" s="7" t="s">
        <x:v>58</x:v>
      </x:c>
      <x:c r="AB1214" s="8" t="s">
        <x:v>58</x:v>
      </x:c>
      <x:c r="AC1214" s="8" t="s">
        <x:v>58</x:v>
      </x:c>
      <x:c r="AD1214" s="8" t="s">
        <x:v>58</x:v>
      </x:c>
      <x:c r="AE1214" s="8" t="s">
        <x:v>58</x:v>
      </x:c>
      <x:c r="AF1214" s="8" t="s">
        <x:v>58</x:v>
      </x:c>
      <x:c r="AG1214" s="7" t="s">
        <x:v>58</x:v>
      </x:c>
    </x:row>
    <x:row r="1215" ht="66" hidden="0" customHeight="1">
      <x:c r="A1215" s="7" t="s">
        <x:v>4330</x:v>
      </x:c>
      <x:c r="B1215" s="7" t="s">
        <x:v>719</x:v>
      </x:c>
      <x:c r="C1215" s="7" t="s">
        <x:v>1308</x:v>
      </x:c>
      <x:c r="D1215" s="7" t="s">
        <x:v>2006</x:v>
      </x:c>
      <x:c r="E1215" s="7" t="s">
        <x:v>4331</x:v>
      </x:c>
      <x:c r="F1215" s="7" t="s">
        <x:v>1929</x:v>
      </x:c>
      <x:c r="G1215" s="8" t="n">
        <x:v>84.3</x:v>
      </x:c>
      <x:c r="H1215" s="8" t="n">
        <x:v>2.3</x:v>
      </x:c>
      <x:c r="I1215" s="8" t="s">
        <x:v>58</x:v>
      </x:c>
      <x:c r="J1215" s="7" t="s">
        <x:v>1919</x:v>
      </x:c>
      <x:c r="K1215" s="8" t="n">
        <x:v>1</x:v>
      </x:c>
      <x:c r="L1215" s="8" t="n">
        <x:f aca="0">IF(AND(ISNUMBER(G1215),P1215&lt;&gt;"Unresolved unit / layout"),G1215*K1215,"Not applicable")</x:f>
        <x:v>84.3</x:v>
      </x:c>
      <x:c r="M1215" s="8" t="n">
        <x:f aca="0">IF(AND(ISNUMBER(H1215),P1215&lt;&gt;"Unresolved unit / layout"),H1215*K1215,"Not applicable")</x:f>
        <x:v>2.3</x:v>
      </x:c>
      <x:c r="N1215" s="8" t="str">
        <x:f aca="0">IF(AND(ISNUMBER(I1215),P1215&lt;&gt;"Unresolved unit / layout"),I1215*K1215,"Not applicable")</x:f>
        <x:v>Not applicable</x:v>
      </x:c>
      <x:c r="O1215" s="7" t="s">
        <x:v>1929</x:v>
      </x:c>
      <x:c r="P1215" s="7" t="s">
        <x:v>1921</x:v>
      </x:c>
      <x:c r="Q1215" s="7" t="s">
        <x:v>1930</x:v>
      </x:c>
      <x:c r="R1215" s="7" t="s">
        <x:v>1931</x:v>
      </x:c>
      <x:c r="S1215" s="7" t="s">
        <x:v>3378</x:v>
      </x:c>
      <x:c r="T1215" s="7" t="s">
        <x:v>4081</x:v>
      </x:c>
      <x:c r="U1215" s="7" t="s">
        <x:v>53</x:v>
      </x:c>
      <x:c r="V1215" s="7" t="s">
        <x:v>1999</x:v>
      </x:c>
      <x:c r="W1215" s="7" t="s">
        <x:v>58</x:v>
      </x:c>
      <x:c r="X1215" s="7" t="s">
        <x:v>4323</x:v>
      </x:c>
      <x:c r="Y1215" s="7" t="s">
        <x:v>1310</x:v>
      </x:c>
      <x:c r="Z1215" s="7" t="s">
        <x:v>4095</x:v>
      </x:c>
      <x:c r="AA1215" s="7" t="s">
        <x:v>58</x:v>
      </x:c>
      <x:c r="AB1215" s="8" t="s">
        <x:v>58</x:v>
      </x:c>
      <x:c r="AC1215" s="8" t="s">
        <x:v>58</x:v>
      </x:c>
      <x:c r="AD1215" s="8" t="s">
        <x:v>58</x:v>
      </x:c>
      <x:c r="AE1215" s="8" t="s">
        <x:v>58</x:v>
      </x:c>
      <x:c r="AF1215" s="8" t="s">
        <x:v>58</x:v>
      </x:c>
      <x:c r="AG1215" s="7" t="s">
        <x:v>58</x:v>
      </x:c>
    </x:row>
    <x:row r="1216" ht="66" hidden="0" customHeight="1">
      <x:c r="A1216" s="7" t="s">
        <x:v>4332</x:v>
      </x:c>
      <x:c r="B1216" s="7" t="s">
        <x:v>719</x:v>
      </x:c>
      <x:c r="C1216" s="7" t="s">
        <x:v>1308</x:v>
      </x:c>
      <x:c r="D1216" s="7" t="s">
        <x:v>2006</x:v>
      </x:c>
      <x:c r="E1216" s="7" t="s">
        <x:v>4333</x:v>
      </x:c>
      <x:c r="F1216" s="7" t="s">
        <x:v>1929</x:v>
      </x:c>
      <x:c r="G1216" s="8" t="n">
        <x:v>21.5</x:v>
      </x:c>
      <x:c r="H1216" s="8" t="n">
        <x:v>2.7</x:v>
      </x:c>
      <x:c r="I1216" s="8" t="s">
        <x:v>58</x:v>
      </x:c>
      <x:c r="J1216" s="7" t="s">
        <x:v>1919</x:v>
      </x:c>
      <x:c r="K1216" s="8" t="n">
        <x:v>1</x:v>
      </x:c>
      <x:c r="L1216" s="8" t="n">
        <x:f aca="0">IF(AND(ISNUMBER(G1216),P1216&lt;&gt;"Unresolved unit / layout"),G1216*K1216,"Not applicable")</x:f>
        <x:v>21.5</x:v>
      </x:c>
      <x:c r="M1216" s="8" t="n">
        <x:f aca="0">IF(AND(ISNUMBER(H1216),P1216&lt;&gt;"Unresolved unit / layout"),H1216*K1216,"Not applicable")</x:f>
        <x:v>2.7</x:v>
      </x:c>
      <x:c r="N1216" s="8" t="str">
        <x:f aca="0">IF(AND(ISNUMBER(I1216),P1216&lt;&gt;"Unresolved unit / layout"),I1216*K1216,"Not applicable")</x:f>
        <x:v>Not applicable</x:v>
      </x:c>
      <x:c r="O1216" s="7" t="s">
        <x:v>1929</x:v>
      </x:c>
      <x:c r="P1216" s="7" t="s">
        <x:v>1921</x:v>
      </x:c>
      <x:c r="Q1216" s="7" t="s">
        <x:v>1930</x:v>
      </x:c>
      <x:c r="R1216" s="7" t="s">
        <x:v>2003</x:v>
      </x:c>
      <x:c r="S1216" s="7" t="s">
        <x:v>3378</x:v>
      </x:c>
      <x:c r="T1216" s="7" t="s">
        <x:v>4081</x:v>
      </x:c>
      <x:c r="U1216" s="7" t="s">
        <x:v>53</x:v>
      </x:c>
      <x:c r="V1216" s="7" t="s">
        <x:v>1999</x:v>
      </x:c>
      <x:c r="W1216" s="7" t="s">
        <x:v>58</x:v>
      </x:c>
      <x:c r="X1216" s="7" t="s">
        <x:v>4323</x:v>
      </x:c>
      <x:c r="Y1216" s="7" t="s">
        <x:v>1310</x:v>
      </x:c>
      <x:c r="Z1216" s="7" t="s">
        <x:v>3497</x:v>
      </x:c>
      <x:c r="AA1216" s="7" t="s">
        <x:v>58</x:v>
      </x:c>
      <x:c r="AB1216" s="8" t="s">
        <x:v>58</x:v>
      </x:c>
      <x:c r="AC1216" s="8" t="s">
        <x:v>58</x:v>
      </x:c>
      <x:c r="AD1216" s="8" t="s">
        <x:v>58</x:v>
      </x:c>
      <x:c r="AE1216" s="8" t="s">
        <x:v>58</x:v>
      </x:c>
      <x:c r="AF1216" s="8" t="s">
        <x:v>58</x:v>
      </x:c>
      <x:c r="AG1216" s="7" t="s">
        <x:v>58</x:v>
      </x:c>
    </x:row>
    <x:row r="1217" ht="66" hidden="0" customHeight="1">
      <x:c r="A1217" s="7" t="s">
        <x:v>4334</x:v>
      </x:c>
      <x:c r="B1217" s="7" t="s">
        <x:v>719</x:v>
      </x:c>
      <x:c r="C1217" s="7" t="s">
        <x:v>1308</x:v>
      </x:c>
      <x:c r="D1217" s="7" t="s">
        <x:v>1940</x:v>
      </x:c>
      <x:c r="E1217" s="7" t="s">
        <x:v>4335</x:v>
      </x:c>
      <x:c r="F1217" s="7" t="s">
        <x:v>1942</x:v>
      </x:c>
      <x:c r="G1217" s="8" t="n">
        <x:v>3</x:v>
      </x:c>
      <x:c r="H1217" s="8" t="n">
        <x:v>0.1</x:v>
      </x:c>
      <x:c r="I1217" s="8" t="s">
        <x:v>58</x:v>
      </x:c>
      <x:c r="J1217" s="7" t="s">
        <x:v>1919</x:v>
      </x:c>
      <x:c r="K1217" s="8" t="n">
        <x:v>1</x:v>
      </x:c>
      <x:c r="L1217" s="8" t="n">
        <x:f aca="0">IF(AND(ISNUMBER(G1217),P1217&lt;&gt;"Unresolved unit / layout"),G1217*K1217,"Not applicable")</x:f>
        <x:v>3</x:v>
      </x:c>
      <x:c r="M1217" s="8" t="n">
        <x:f aca="0">IF(AND(ISNUMBER(H1217),P1217&lt;&gt;"Unresolved unit / layout"),H1217*K1217,"Not applicable")</x:f>
        <x:v>0.1</x:v>
      </x:c>
      <x:c r="N1217" s="8" t="str">
        <x:f aca="0">IF(AND(ISNUMBER(I1217),P1217&lt;&gt;"Unresolved unit / layout"),I1217*K1217,"Not applicable")</x:f>
        <x:v>Not applicable</x:v>
      </x:c>
      <x:c r="O1217" s="7" t="s">
        <x:v>1942</x:v>
      </x:c>
      <x:c r="P1217" s="7" t="s">
        <x:v>1921</x:v>
      </x:c>
      <x:c r="Q1217" s="7" t="s">
        <x:v>1930</x:v>
      </x:c>
      <x:c r="R1217" s="7" t="s">
        <x:v>1931</x:v>
      </x:c>
      <x:c r="S1217" s="7" t="s">
        <x:v>3378</x:v>
      </x:c>
      <x:c r="T1217" s="7" t="s">
        <x:v>4081</x:v>
      </x:c>
      <x:c r="U1217" s="7" t="s">
        <x:v>53</x:v>
      </x:c>
      <x:c r="V1217" s="7" t="s">
        <x:v>1999</x:v>
      </x:c>
      <x:c r="W1217" s="7" t="s">
        <x:v>58</x:v>
      </x:c>
      <x:c r="X1217" s="7" t="s">
        <x:v>4323</x:v>
      </x:c>
      <x:c r="Y1217" s="7" t="s">
        <x:v>1310</x:v>
      </x:c>
      <x:c r="Z1217" s="7" t="s">
        <x:v>4100</x:v>
      </x:c>
      <x:c r="AA1217" s="7" t="s">
        <x:v>58</x:v>
      </x:c>
      <x:c r="AB1217" s="8" t="s">
        <x:v>58</x:v>
      </x:c>
      <x:c r="AC1217" s="8" t="s">
        <x:v>58</x:v>
      </x:c>
      <x:c r="AD1217" s="8" t="s">
        <x:v>58</x:v>
      </x:c>
      <x:c r="AE1217" s="8" t="s">
        <x:v>58</x:v>
      </x:c>
      <x:c r="AF1217" s="8" t="s">
        <x:v>58</x:v>
      </x:c>
      <x:c r="AG1217" s="7" t="s">
        <x:v>58</x:v>
      </x:c>
    </x:row>
    <x:row r="1218" ht="66" hidden="0" customHeight="1">
      <x:c r="A1218" s="7" t="s">
        <x:v>4336</x:v>
      </x:c>
      <x:c r="B1218" s="7" t="s">
        <x:v>719</x:v>
      </x:c>
      <x:c r="C1218" s="7" t="s">
        <x:v>1308</x:v>
      </x:c>
      <x:c r="D1218" s="7" t="s">
        <x:v>1940</x:v>
      </x:c>
      <x:c r="E1218" s="7" t="s">
        <x:v>4337</x:v>
      </x:c>
      <x:c r="F1218" s="7" t="s">
        <x:v>1942</x:v>
      </x:c>
      <x:c r="G1218" s="8" t="n">
        <x:v>1.4</x:v>
      </x:c>
      <x:c r="H1218" s="8" t="n">
        <x:v>0.1</x:v>
      </x:c>
      <x:c r="I1218" s="8" t="s">
        <x:v>58</x:v>
      </x:c>
      <x:c r="J1218" s="7" t="s">
        <x:v>1919</x:v>
      </x:c>
      <x:c r="K1218" s="8" t="n">
        <x:v>1</x:v>
      </x:c>
      <x:c r="L1218" s="8" t="n">
        <x:f aca="0">IF(AND(ISNUMBER(G1218),P1218&lt;&gt;"Unresolved unit / layout"),G1218*K1218,"Not applicable")</x:f>
        <x:v>1.4</x:v>
      </x:c>
      <x:c r="M1218" s="8" t="n">
        <x:f aca="0">IF(AND(ISNUMBER(H1218),P1218&lt;&gt;"Unresolved unit / layout"),H1218*K1218,"Not applicable")</x:f>
        <x:v>0.1</x:v>
      </x:c>
      <x:c r="N1218" s="8" t="str">
        <x:f aca="0">IF(AND(ISNUMBER(I1218),P1218&lt;&gt;"Unresolved unit / layout"),I1218*K1218,"Not applicable")</x:f>
        <x:v>Not applicable</x:v>
      </x:c>
      <x:c r="O1218" s="7" t="s">
        <x:v>1942</x:v>
      </x:c>
      <x:c r="P1218" s="7" t="s">
        <x:v>1921</x:v>
      </x:c>
      <x:c r="Q1218" s="7" t="s">
        <x:v>1930</x:v>
      </x:c>
      <x:c r="R1218" s="7" t="s">
        <x:v>2003</x:v>
      </x:c>
      <x:c r="S1218" s="7" t="s">
        <x:v>3378</x:v>
      </x:c>
      <x:c r="T1218" s="7" t="s">
        <x:v>4081</x:v>
      </x:c>
      <x:c r="U1218" s="7" t="s">
        <x:v>53</x:v>
      </x:c>
      <x:c r="V1218" s="7" t="s">
        <x:v>1999</x:v>
      </x:c>
      <x:c r="W1218" s="7" t="s">
        <x:v>58</x:v>
      </x:c>
      <x:c r="X1218" s="7" t="s">
        <x:v>4323</x:v>
      </x:c>
      <x:c r="Y1218" s="7" t="s">
        <x:v>1310</x:v>
      </x:c>
      <x:c r="Z1218" s="7" t="s">
        <x:v>3503</x:v>
      </x:c>
      <x:c r="AA1218" s="7" t="s">
        <x:v>58</x:v>
      </x:c>
      <x:c r="AB1218" s="8" t="s">
        <x:v>58</x:v>
      </x:c>
      <x:c r="AC1218" s="8" t="s">
        <x:v>58</x:v>
      </x:c>
      <x:c r="AD1218" s="8" t="s">
        <x:v>58</x:v>
      </x:c>
      <x:c r="AE1218" s="8" t="s">
        <x:v>58</x:v>
      </x:c>
      <x:c r="AF1218" s="8" t="s">
        <x:v>58</x:v>
      </x:c>
      <x:c r="AG1218" s="7" t="s">
        <x:v>58</x:v>
      </x:c>
    </x:row>
    <x:row r="1219" ht="66" hidden="0" customHeight="1">
      <x:c r="A1219" s="7" t="s">
        <x:v>4338</x:v>
      </x:c>
      <x:c r="B1219" s="7" t="s">
        <x:v>719</x:v>
      </x:c>
      <x:c r="C1219" s="7" t="s">
        <x:v>1308</x:v>
      </x:c>
      <x:c r="D1219" s="7" t="s">
        <x:v>1950</x:v>
      </x:c>
      <x:c r="E1219" s="7" t="s">
        <x:v>4339</x:v>
      </x:c>
      <x:c r="F1219" s="7" t="s">
        <x:v>1929</x:v>
      </x:c>
      <x:c r="G1219" s="8" t="n">
        <x:v>3745.5</x:v>
      </x:c>
      <x:c r="H1219" s="8" t="n">
        <x:v>292.6</x:v>
      </x:c>
      <x:c r="I1219" s="8" t="s">
        <x:v>58</x:v>
      </x:c>
      <x:c r="J1219" s="7" t="s">
        <x:v>1919</x:v>
      </x:c>
      <x:c r="K1219" s="8" t="n">
        <x:v>0.001</x:v>
      </x:c>
      <x:c r="L1219" s="8" t="n">
        <x:f aca="0">IF(AND(ISNUMBER(G1219),P1219&lt;&gt;"Unresolved unit / layout"),G1219*K1219,"Not applicable")</x:f>
        <x:v>3.7455000000000003</x:v>
      </x:c>
      <x:c r="M1219" s="8" t="n">
        <x:f aca="0">IF(AND(ISNUMBER(H1219),P1219&lt;&gt;"Unresolved unit / layout"),H1219*K1219,"Not applicable")</x:f>
        <x:v>0.2926</x:v>
      </x:c>
      <x:c r="N1219" s="8" t="str">
        <x:f aca="0">IF(AND(ISNUMBER(I1219),P1219&lt;&gt;"Unresolved unit / layout"),I1219*K1219,"Not applicable")</x:f>
        <x:v>Not applicable</x:v>
      </x:c>
      <x:c r="O1219" s="7" t="s">
        <x:v>1937</x:v>
      </x:c>
      <x:c r="P1219" s="7" t="s">
        <x:v>1921</x:v>
      </x:c>
      <x:c r="Q1219" s="7" t="s">
        <x:v>1930</x:v>
      </x:c>
      <x:c r="R1219" s="7" t="s">
        <x:v>1931</x:v>
      </x:c>
      <x:c r="S1219" s="7" t="s">
        <x:v>3378</x:v>
      </x:c>
      <x:c r="T1219" s="7" t="s">
        <x:v>4081</x:v>
      </x:c>
      <x:c r="U1219" s="7" t="s">
        <x:v>53</x:v>
      </x:c>
      <x:c r="V1219" s="7" t="s">
        <x:v>2020</x:v>
      </x:c>
      <x:c r="W1219" s="7" t="s">
        <x:v>58</x:v>
      </x:c>
      <x:c r="X1219" s="7" t="s">
        <x:v>4323</x:v>
      </x:c>
      <x:c r="Y1219" s="7" t="s">
        <x:v>1310</x:v>
      </x:c>
      <x:c r="Z1219" s="7" t="s">
        <x:v>4105</x:v>
      </x:c>
      <x:c r="AA1219" s="7" t="s">
        <x:v>58</x:v>
      </x:c>
      <x:c r="AB1219" s="8" t="s">
        <x:v>58</x:v>
      </x:c>
      <x:c r="AC1219" s="8" t="s">
        <x:v>58</x:v>
      </x:c>
      <x:c r="AD1219" s="8" t="s">
        <x:v>58</x:v>
      </x:c>
      <x:c r="AE1219" s="8" t="s">
        <x:v>58</x:v>
      </x:c>
      <x:c r="AF1219" s="8" t="s">
        <x:v>58</x:v>
      </x:c>
      <x:c r="AG1219" s="7" t="s">
        <x:v>58</x:v>
      </x:c>
    </x:row>
    <x:row r="1220" ht="66" hidden="0" customHeight="1">
      <x:c r="A1220" s="7" t="s">
        <x:v>4340</x:v>
      </x:c>
      <x:c r="B1220" s="7" t="s">
        <x:v>719</x:v>
      </x:c>
      <x:c r="C1220" s="7" t="s">
        <x:v>1308</x:v>
      </x:c>
      <x:c r="D1220" s="7" t="s">
        <x:v>1950</x:v>
      </x:c>
      <x:c r="E1220" s="7" t="s">
        <x:v>4341</x:v>
      </x:c>
      <x:c r="F1220" s="7" t="s">
        <x:v>1929</x:v>
      </x:c>
      <x:c r="G1220" s="8" t="n">
        <x:v>1362.3</x:v>
      </x:c>
      <x:c r="H1220" s="8" t="n">
        <x:v>111.7</x:v>
      </x:c>
      <x:c r="I1220" s="8" t="s">
        <x:v>58</x:v>
      </x:c>
      <x:c r="J1220" s="7" t="s">
        <x:v>1919</x:v>
      </x:c>
      <x:c r="K1220" s="8" t="n">
        <x:v>0.001</x:v>
      </x:c>
      <x:c r="L1220" s="8" t="n">
        <x:f aca="0">IF(AND(ISNUMBER(G1220),P1220&lt;&gt;"Unresolved unit / layout"),G1220*K1220,"Not applicable")</x:f>
        <x:v>1.3623</x:v>
      </x:c>
      <x:c r="M1220" s="8" t="n">
        <x:f aca="0">IF(AND(ISNUMBER(H1220),P1220&lt;&gt;"Unresolved unit / layout"),H1220*K1220,"Not applicable")</x:f>
        <x:v>0.11170000000000001</x:v>
      </x:c>
      <x:c r="N1220" s="8" t="str">
        <x:f aca="0">IF(AND(ISNUMBER(I1220),P1220&lt;&gt;"Unresolved unit / layout"),I1220*K1220,"Not applicable")</x:f>
        <x:v>Not applicable</x:v>
      </x:c>
      <x:c r="O1220" s="7" t="s">
        <x:v>1937</x:v>
      </x:c>
      <x:c r="P1220" s="7" t="s">
        <x:v>1921</x:v>
      </x:c>
      <x:c r="Q1220" s="7" t="s">
        <x:v>1930</x:v>
      </x:c>
      <x:c r="R1220" s="7" t="s">
        <x:v>2003</x:v>
      </x:c>
      <x:c r="S1220" s="7" t="s">
        <x:v>3378</x:v>
      </x:c>
      <x:c r="T1220" s="7" t="s">
        <x:v>4081</x:v>
      </x:c>
      <x:c r="U1220" s="7" t="s">
        <x:v>53</x:v>
      </x:c>
      <x:c r="V1220" s="7" t="s">
        <x:v>2020</x:v>
      </x:c>
      <x:c r="W1220" s="7" t="s">
        <x:v>58</x:v>
      </x:c>
      <x:c r="X1220" s="7" t="s">
        <x:v>4323</x:v>
      </x:c>
      <x:c r="Y1220" s="7" t="s">
        <x:v>1310</x:v>
      </x:c>
      <x:c r="Z1220" s="7" t="s">
        <x:v>4108</x:v>
      </x:c>
      <x:c r="AA1220" s="7" t="s">
        <x:v>58</x:v>
      </x:c>
      <x:c r="AB1220" s="8" t="s">
        <x:v>58</x:v>
      </x:c>
      <x:c r="AC1220" s="8" t="s">
        <x:v>58</x:v>
      </x:c>
      <x:c r="AD1220" s="8" t="s">
        <x:v>58</x:v>
      </x:c>
      <x:c r="AE1220" s="8" t="s">
        <x:v>58</x:v>
      </x:c>
      <x:c r="AF1220" s="8" t="s">
        <x:v>58</x:v>
      </x:c>
      <x:c r="AG1220" s="7" t="s">
        <x:v>58</x:v>
      </x:c>
    </x:row>
    <x:row r="1221" ht="66" hidden="0" customHeight="1">
      <x:c r="A1221" s="7" t="s">
        <x:v>4342</x:v>
      </x:c>
      <x:c r="B1221" s="7" t="s">
        <x:v>719</x:v>
      </x:c>
      <x:c r="C1221" s="7" t="s">
        <x:v>1308</x:v>
      </x:c>
      <x:c r="D1221" s="7" t="s">
        <x:v>1945</x:v>
      </x:c>
      <x:c r="E1221" s="7" t="s">
        <x:v>4343</x:v>
      </x:c>
      <x:c r="F1221" s="7" t="s">
        <x:v>1929</x:v>
      </x:c>
      <x:c r="G1221" s="8" t="n">
        <x:v>116.2</x:v>
      </x:c>
      <x:c r="H1221" s="8" t="n">
        <x:v>5.9</x:v>
      </x:c>
      <x:c r="I1221" s="8" t="s">
        <x:v>58</x:v>
      </x:c>
      <x:c r="J1221" s="7" t="s">
        <x:v>1919</x:v>
      </x:c>
      <x:c r="K1221" s="8" t="n">
        <x:v>1</x:v>
      </x:c>
      <x:c r="L1221" s="8" t="n">
        <x:f aca="0">IF(AND(ISNUMBER(G1221),P1221&lt;&gt;"Unresolved unit / layout"),G1221*K1221,"Not applicable")</x:f>
        <x:v>116.2</x:v>
      </x:c>
      <x:c r="M1221" s="8" t="n">
        <x:f aca="0">IF(AND(ISNUMBER(H1221),P1221&lt;&gt;"Unresolved unit / layout"),H1221*K1221,"Not applicable")</x:f>
        <x:v>5.9</x:v>
      </x:c>
      <x:c r="N1221" s="8" t="str">
        <x:f aca="0">IF(AND(ISNUMBER(I1221),P1221&lt;&gt;"Unresolved unit / layout"),I1221*K1221,"Not applicable")</x:f>
        <x:v>Not applicable</x:v>
      </x:c>
      <x:c r="O1221" s="7" t="s">
        <x:v>1929</x:v>
      </x:c>
      <x:c r="P1221" s="7" t="s">
        <x:v>1921</x:v>
      </x:c>
      <x:c r="Q1221" s="7" t="s">
        <x:v>1930</x:v>
      </x:c>
      <x:c r="R1221" s="7" t="s">
        <x:v>1931</x:v>
      </x:c>
      <x:c r="S1221" s="7" t="s">
        <x:v>3378</x:v>
      </x:c>
      <x:c r="T1221" s="7" t="s">
        <x:v>4081</x:v>
      </x:c>
      <x:c r="U1221" s="7" t="s">
        <x:v>53</x:v>
      </x:c>
      <x:c r="V1221" s="7" t="s">
        <x:v>2020</x:v>
      </x:c>
      <x:c r="W1221" s="7" t="s">
        <x:v>58</x:v>
      </x:c>
      <x:c r="X1221" s="7" t="s">
        <x:v>4323</x:v>
      </x:c>
      <x:c r="Y1221" s="7" t="s">
        <x:v>1310</x:v>
      </x:c>
      <x:c r="Z1221" s="7" t="s">
        <x:v>4111</x:v>
      </x:c>
      <x:c r="AA1221" s="7" t="s">
        <x:v>58</x:v>
      </x:c>
      <x:c r="AB1221" s="8" t="s">
        <x:v>58</x:v>
      </x:c>
      <x:c r="AC1221" s="8" t="s">
        <x:v>58</x:v>
      </x:c>
      <x:c r="AD1221" s="8" t="s">
        <x:v>58</x:v>
      </x:c>
      <x:c r="AE1221" s="8" t="s">
        <x:v>58</x:v>
      </x:c>
      <x:c r="AF1221" s="8" t="s">
        <x:v>58</x:v>
      </x:c>
      <x:c r="AG1221" s="7" t="s">
        <x:v>58</x:v>
      </x:c>
    </x:row>
    <x:row r="1222" ht="66" hidden="0" customHeight="1">
      <x:c r="A1222" s="7" t="s">
        <x:v>4344</x:v>
      </x:c>
      <x:c r="B1222" s="7" t="s">
        <x:v>719</x:v>
      </x:c>
      <x:c r="C1222" s="7" t="s">
        <x:v>1308</x:v>
      </x:c>
      <x:c r="D1222" s="7" t="s">
        <x:v>1945</x:v>
      </x:c>
      <x:c r="E1222" s="7" t="s">
        <x:v>4345</x:v>
      </x:c>
      <x:c r="F1222" s="7" t="s">
        <x:v>1929</x:v>
      </x:c>
      <x:c r="G1222" s="8" t="n">
        <x:v>39.5</x:v>
      </x:c>
      <x:c r="H1222" s="8" t="n">
        <x:v>1.5</x:v>
      </x:c>
      <x:c r="I1222" s="8" t="s">
        <x:v>58</x:v>
      </x:c>
      <x:c r="J1222" s="7" t="s">
        <x:v>1919</x:v>
      </x:c>
      <x:c r="K1222" s="8" t="n">
        <x:v>1</x:v>
      </x:c>
      <x:c r="L1222" s="8" t="n">
        <x:f aca="0">IF(AND(ISNUMBER(G1222),P1222&lt;&gt;"Unresolved unit / layout"),G1222*K1222,"Not applicable")</x:f>
        <x:v>39.5</x:v>
      </x:c>
      <x:c r="M1222" s="8" t="n">
        <x:f aca="0">IF(AND(ISNUMBER(H1222),P1222&lt;&gt;"Unresolved unit / layout"),H1222*K1222,"Not applicable")</x:f>
        <x:v>1.5</x:v>
      </x:c>
      <x:c r="N1222" s="8" t="str">
        <x:f aca="0">IF(AND(ISNUMBER(I1222),P1222&lt;&gt;"Unresolved unit / layout"),I1222*K1222,"Not applicable")</x:f>
        <x:v>Not applicable</x:v>
      </x:c>
      <x:c r="O1222" s="7" t="s">
        <x:v>1929</x:v>
      </x:c>
      <x:c r="P1222" s="7" t="s">
        <x:v>1921</x:v>
      </x:c>
      <x:c r="Q1222" s="7" t="s">
        <x:v>1930</x:v>
      </x:c>
      <x:c r="R1222" s="7" t="s">
        <x:v>2003</x:v>
      </x:c>
      <x:c r="S1222" s="7" t="s">
        <x:v>3378</x:v>
      </x:c>
      <x:c r="T1222" s="7" t="s">
        <x:v>4081</x:v>
      </x:c>
      <x:c r="U1222" s="7" t="s">
        <x:v>53</x:v>
      </x:c>
      <x:c r="V1222" s="7" t="s">
        <x:v>2020</x:v>
      </x:c>
      <x:c r="W1222" s="7" t="s">
        <x:v>58</x:v>
      </x:c>
      <x:c r="X1222" s="7" t="s">
        <x:v>4323</x:v>
      </x:c>
      <x:c r="Y1222" s="7" t="s">
        <x:v>1310</x:v>
      </x:c>
      <x:c r="Z1222" s="7" t="s">
        <x:v>4114</x:v>
      </x:c>
      <x:c r="AA1222" s="7" t="s">
        <x:v>58</x:v>
      </x:c>
      <x:c r="AB1222" s="8" t="s">
        <x:v>58</x:v>
      </x:c>
      <x:c r="AC1222" s="8" t="s">
        <x:v>58</x:v>
      </x:c>
      <x:c r="AD1222" s="8" t="s">
        <x:v>58</x:v>
      </x:c>
      <x:c r="AE1222" s="8" t="s">
        <x:v>58</x:v>
      </x:c>
      <x:c r="AF1222" s="8" t="s">
        <x:v>58</x:v>
      </x:c>
      <x:c r="AG1222" s="7" t="s">
        <x:v>58</x:v>
      </x:c>
    </x:row>
    <x:row r="1223" ht="66" hidden="0" customHeight="1">
      <x:c r="A1223" s="7" t="s">
        <x:v>4346</x:v>
      </x:c>
      <x:c r="B1223" s="7" t="s">
        <x:v>719</x:v>
      </x:c>
      <x:c r="C1223" s="7" t="s">
        <x:v>1308</x:v>
      </x:c>
      <x:c r="D1223" s="7" t="s">
        <x:v>2030</x:v>
      </x:c>
      <x:c r="E1223" s="7" t="s">
        <x:v>4347</x:v>
      </x:c>
      <x:c r="F1223" s="7" t="s">
        <x:v>2032</x:v>
      </x:c>
      <x:c r="G1223" s="8" t="n">
        <x:v>5.9</x:v>
      </x:c>
      <x:c r="H1223" s="8" t="n">
        <x:v>0.4</x:v>
      </x:c>
      <x:c r="I1223" s="8" t="s">
        <x:v>58</x:v>
      </x:c>
      <x:c r="J1223" s="7" t="s">
        <x:v>1919</x:v>
      </x:c>
      <x:c r="K1223" s="8" t="n">
        <x:v>1</x:v>
      </x:c>
      <x:c r="L1223" s="8" t="n">
        <x:f aca="0">IF(AND(ISNUMBER(G1223),P1223&lt;&gt;"Unresolved unit / layout"),G1223*K1223,"Not applicable")</x:f>
        <x:v>5.9</x:v>
      </x:c>
      <x:c r="M1223" s="8" t="n">
        <x:f aca="0">IF(AND(ISNUMBER(H1223),P1223&lt;&gt;"Unresolved unit / layout"),H1223*K1223,"Not applicable")</x:f>
        <x:v>0.4</x:v>
      </x:c>
      <x:c r="N1223" s="8" t="str">
        <x:f aca="0">IF(AND(ISNUMBER(I1223),P1223&lt;&gt;"Unresolved unit / layout"),I1223*K1223,"Not applicable")</x:f>
        <x:v>Not applicable</x:v>
      </x:c>
      <x:c r="O1223" s="7" t="s">
        <x:v>2033</x:v>
      </x:c>
      <x:c r="P1223" s="7" t="s">
        <x:v>1921</x:v>
      </x:c>
      <x:c r="Q1223" s="7" t="s">
        <x:v>1930</x:v>
      </x:c>
      <x:c r="R1223" s="7" t="s">
        <x:v>1931</x:v>
      </x:c>
      <x:c r="S1223" s="7" t="s">
        <x:v>3378</x:v>
      </x:c>
      <x:c r="T1223" s="7" t="s">
        <x:v>4081</x:v>
      </x:c>
      <x:c r="U1223" s="7" t="s">
        <x:v>53</x:v>
      </x:c>
      <x:c r="V1223" s="7" t="s">
        <x:v>53</x:v>
      </x:c>
      <x:c r="W1223" s="7" t="s">
        <x:v>2139</x:v>
      </x:c>
      <x:c r="X1223" s="7" t="s">
        <x:v>4323</x:v>
      </x:c>
      <x:c r="Y1223" s="7" t="s">
        <x:v>1310</x:v>
      </x:c>
      <x:c r="Z1223" s="7" t="s">
        <x:v>4117</x:v>
      </x:c>
      <x:c r="AA1223" s="7" t="s">
        <x:v>58</x:v>
      </x:c>
      <x:c r="AB1223" s="8" t="s">
        <x:v>58</x:v>
      </x:c>
      <x:c r="AC1223" s="8" t="s">
        <x:v>58</x:v>
      </x:c>
      <x:c r="AD1223" s="8" t="s">
        <x:v>58</x:v>
      </x:c>
      <x:c r="AE1223" s="8" t="s">
        <x:v>58</x:v>
      </x:c>
      <x:c r="AF1223" s="8" t="s">
        <x:v>58</x:v>
      </x:c>
      <x:c r="AG1223" s="7" t="s">
        <x:v>58</x:v>
      </x:c>
    </x:row>
    <x:row r="1224" ht="66" hidden="0" customHeight="1">
      <x:c r="A1224" s="7" t="s">
        <x:v>4348</x:v>
      </x:c>
      <x:c r="B1224" s="7" t="s">
        <x:v>719</x:v>
      </x:c>
      <x:c r="C1224" s="7" t="s">
        <x:v>1308</x:v>
      </x:c>
      <x:c r="D1224" s="7" t="s">
        <x:v>2030</x:v>
      </x:c>
      <x:c r="E1224" s="7" t="s">
        <x:v>4349</x:v>
      </x:c>
      <x:c r="F1224" s="7" t="s">
        <x:v>2032</x:v>
      </x:c>
      <x:c r="G1224" s="8" t="n">
        <x:v>24.1</x:v>
      </x:c>
      <x:c r="H1224" s="8" t="n">
        <x:v>2.4</x:v>
      </x:c>
      <x:c r="I1224" s="8" t="s">
        <x:v>58</x:v>
      </x:c>
      <x:c r="J1224" s="7" t="s">
        <x:v>1919</x:v>
      </x:c>
      <x:c r="K1224" s="8" t="n">
        <x:v>1</x:v>
      </x:c>
      <x:c r="L1224" s="8" t="n">
        <x:f aca="0">IF(AND(ISNUMBER(G1224),P1224&lt;&gt;"Unresolved unit / layout"),G1224*K1224,"Not applicable")</x:f>
        <x:v>24.1</x:v>
      </x:c>
      <x:c r="M1224" s="8" t="n">
        <x:f aca="0">IF(AND(ISNUMBER(H1224),P1224&lt;&gt;"Unresolved unit / layout"),H1224*K1224,"Not applicable")</x:f>
        <x:v>2.4</x:v>
      </x:c>
      <x:c r="N1224" s="8" t="str">
        <x:f aca="0">IF(AND(ISNUMBER(I1224),P1224&lt;&gt;"Unresolved unit / layout"),I1224*K1224,"Not applicable")</x:f>
        <x:v>Not applicable</x:v>
      </x:c>
      <x:c r="O1224" s="7" t="s">
        <x:v>2033</x:v>
      </x:c>
      <x:c r="P1224" s="7" t="s">
        <x:v>1921</x:v>
      </x:c>
      <x:c r="Q1224" s="7" t="s">
        <x:v>1930</x:v>
      </x:c>
      <x:c r="R1224" s="7" t="s">
        <x:v>1931</x:v>
      </x:c>
      <x:c r="S1224" s="7" t="s">
        <x:v>3378</x:v>
      </x:c>
      <x:c r="T1224" s="7" t="s">
        <x:v>4081</x:v>
      </x:c>
      <x:c r="U1224" s="7" t="s">
        <x:v>53</x:v>
      </x:c>
      <x:c r="V1224" s="7" t="s">
        <x:v>2036</x:v>
      </x:c>
      <x:c r="W1224" s="7" t="s">
        <x:v>2139</x:v>
      </x:c>
      <x:c r="X1224" s="7" t="s">
        <x:v>4323</x:v>
      </x:c>
      <x:c r="Y1224" s="7" t="s">
        <x:v>1310</x:v>
      </x:c>
      <x:c r="Z1224" s="7" t="s">
        <x:v>4120</x:v>
      </x:c>
      <x:c r="AA1224" s="7" t="s">
        <x:v>58</x:v>
      </x:c>
      <x:c r="AB1224" s="8" t="s">
        <x:v>58</x:v>
      </x:c>
      <x:c r="AC1224" s="8" t="s">
        <x:v>58</x:v>
      </x:c>
      <x:c r="AD1224" s="8" t="s">
        <x:v>58</x:v>
      </x:c>
      <x:c r="AE1224" s="8" t="s">
        <x:v>58</x:v>
      </x:c>
      <x:c r="AF1224" s="8" t="s">
        <x:v>58</x:v>
      </x:c>
      <x:c r="AG1224" s="7" t="s">
        <x:v>58</x:v>
      </x:c>
    </x:row>
    <x:row r="1225" ht="66" hidden="0" customHeight="1">
      <x:c r="A1225" s="7" t="s">
        <x:v>4350</x:v>
      </x:c>
      <x:c r="B1225" s="7" t="s">
        <x:v>719</x:v>
      </x:c>
      <x:c r="C1225" s="7" t="s">
        <x:v>1308</x:v>
      </x:c>
      <x:c r="D1225" s="7" t="s">
        <x:v>2030</x:v>
      </x:c>
      <x:c r="E1225" s="7" t="s">
        <x:v>4351</x:v>
      </x:c>
      <x:c r="F1225" s="7" t="s">
        <x:v>2032</x:v>
      </x:c>
      <x:c r="G1225" s="8" t="n">
        <x:v>4.5</x:v>
      </x:c>
      <x:c r="H1225" s="8" t="n">
        <x:v>0.2</x:v>
      </x:c>
      <x:c r="I1225" s="8" t="s">
        <x:v>58</x:v>
      </x:c>
      <x:c r="J1225" s="7" t="s">
        <x:v>1919</x:v>
      </x:c>
      <x:c r="K1225" s="8" t="n">
        <x:v>1</x:v>
      </x:c>
      <x:c r="L1225" s="8" t="n">
        <x:f aca="0">IF(AND(ISNUMBER(G1225),P1225&lt;&gt;"Unresolved unit / layout"),G1225*K1225,"Not applicable")</x:f>
        <x:v>4.5</x:v>
      </x:c>
      <x:c r="M1225" s="8" t="n">
        <x:f aca="0">IF(AND(ISNUMBER(H1225),P1225&lt;&gt;"Unresolved unit / layout"),H1225*K1225,"Not applicable")</x:f>
        <x:v>0.2</x:v>
      </x:c>
      <x:c r="N1225" s="8" t="str">
        <x:f aca="0">IF(AND(ISNUMBER(I1225),P1225&lt;&gt;"Unresolved unit / layout"),I1225*K1225,"Not applicable")</x:f>
        <x:v>Not applicable</x:v>
      </x:c>
      <x:c r="O1225" s="7" t="s">
        <x:v>2033</x:v>
      </x:c>
      <x:c r="P1225" s="7" t="s">
        <x:v>1921</x:v>
      </x:c>
      <x:c r="Q1225" s="7" t="s">
        <x:v>1930</x:v>
      </x:c>
      <x:c r="R1225" s="7" t="s">
        <x:v>2003</x:v>
      </x:c>
      <x:c r="S1225" s="7" t="s">
        <x:v>3378</x:v>
      </x:c>
      <x:c r="T1225" s="7" t="s">
        <x:v>4081</x:v>
      </x:c>
      <x:c r="U1225" s="7" t="s">
        <x:v>53</x:v>
      </x:c>
      <x:c r="V1225" s="7" t="s">
        <x:v>2036</x:v>
      </x:c>
      <x:c r="W1225" s="7" t="s">
        <x:v>2139</x:v>
      </x:c>
      <x:c r="X1225" s="7" t="s">
        <x:v>4323</x:v>
      </x:c>
      <x:c r="Y1225" s="7" t="s">
        <x:v>1310</x:v>
      </x:c>
      <x:c r="Z1225" s="7" t="s">
        <x:v>4123</x:v>
      </x:c>
      <x:c r="AA1225" s="7" t="s">
        <x:v>58</x:v>
      </x:c>
      <x:c r="AB1225" s="8" t="s">
        <x:v>58</x:v>
      </x:c>
      <x:c r="AC1225" s="8" t="s">
        <x:v>58</x:v>
      </x:c>
      <x:c r="AD1225" s="8" t="s">
        <x:v>58</x:v>
      </x:c>
      <x:c r="AE1225" s="8" t="s">
        <x:v>58</x:v>
      </x:c>
      <x:c r="AF1225" s="8" t="s">
        <x:v>58</x:v>
      </x:c>
      <x:c r="AG1225" s="7" t="s">
        <x:v>58</x:v>
      </x:c>
    </x:row>
    <x:row r="1226" ht="66" hidden="0" customHeight="1">
      <x:c r="A1226" s="7" t="s">
        <x:v>4352</x:v>
      </x:c>
      <x:c r="B1226" s="7" t="s">
        <x:v>719</x:v>
      </x:c>
      <x:c r="C1226" s="7" t="s">
        <x:v>1308</x:v>
      </x:c>
      <x:c r="D1226" s="7" t="s">
        <x:v>1935</x:v>
      </x:c>
      <x:c r="E1226" s="7" t="s">
        <x:v>4353</x:v>
      </x:c>
      <x:c r="F1226" s="7" t="s">
        <x:v>1929</x:v>
      </x:c>
      <x:c r="G1226" s="8" t="n">
        <x:v>3730.8</x:v>
      </x:c>
      <x:c r="H1226" s="8" t="n">
        <x:v>156.2</x:v>
      </x:c>
      <x:c r="I1226" s="8" t="s">
        <x:v>58</x:v>
      </x:c>
      <x:c r="J1226" s="7" t="s">
        <x:v>1919</x:v>
      </x:c>
      <x:c r="K1226" s="8" t="n">
        <x:v>0.001</x:v>
      </x:c>
      <x:c r="L1226" s="8" t="n">
        <x:f aca="0">IF(AND(ISNUMBER(G1226),P1226&lt;&gt;"Unresolved unit / layout"),G1226*K1226,"Not applicable")</x:f>
        <x:v>3.7308000000000003</x:v>
      </x:c>
      <x:c r="M1226" s="8" t="n">
        <x:f aca="0">IF(AND(ISNUMBER(H1226),P1226&lt;&gt;"Unresolved unit / layout"),H1226*K1226,"Not applicable")</x:f>
        <x:v>0.1562</x:v>
      </x:c>
      <x:c r="N1226" s="8" t="str">
        <x:f aca="0">IF(AND(ISNUMBER(I1226),P1226&lt;&gt;"Unresolved unit / layout"),I1226*K1226,"Not applicable")</x:f>
        <x:v>Not applicable</x:v>
      </x:c>
      <x:c r="O1226" s="7" t="s">
        <x:v>1937</x:v>
      </x:c>
      <x:c r="P1226" s="7" t="s">
        <x:v>1921</x:v>
      </x:c>
      <x:c r="Q1226" s="7" t="s">
        <x:v>1930</x:v>
      </x:c>
      <x:c r="R1226" s="7" t="s">
        <x:v>1931</x:v>
      </x:c>
      <x:c r="S1226" s="7" t="s">
        <x:v>4126</x:v>
      </x:c>
      <x:c r="T1226" s="7" t="s">
        <x:v>4081</x:v>
      </x:c>
      <x:c r="U1226" s="7" t="s">
        <x:v>53</x:v>
      </x:c>
      <x:c r="V1226" s="7" t="s">
        <x:v>1999</x:v>
      </x:c>
      <x:c r="W1226" s="7" t="s">
        <x:v>58</x:v>
      </x:c>
      <x:c r="X1226" s="7" t="s">
        <x:v>4323</x:v>
      </x:c>
      <x:c r="Y1226" s="7" t="s">
        <x:v>1310</x:v>
      </x:c>
      <x:c r="Z1226" s="7" t="s">
        <x:v>4089</x:v>
      </x:c>
      <x:c r="AA1226" s="7" t="s">
        <x:v>58</x:v>
      </x:c>
      <x:c r="AB1226" s="8" t="s">
        <x:v>58</x:v>
      </x:c>
      <x:c r="AC1226" s="8" t="s">
        <x:v>58</x:v>
      </x:c>
      <x:c r="AD1226" s="8" t="s">
        <x:v>58</x:v>
      </x:c>
      <x:c r="AE1226" s="8" t="s">
        <x:v>58</x:v>
      </x:c>
      <x:c r="AF1226" s="8" t="s">
        <x:v>58</x:v>
      </x:c>
      <x:c r="AG1226" s="7" t="s">
        <x:v>58</x:v>
      </x:c>
    </x:row>
    <x:row r="1227" ht="66" hidden="0" customHeight="1">
      <x:c r="A1227" s="7" t="s">
        <x:v>4354</x:v>
      </x:c>
      <x:c r="B1227" s="7" t="s">
        <x:v>719</x:v>
      </x:c>
      <x:c r="C1227" s="7" t="s">
        <x:v>1308</x:v>
      </x:c>
      <x:c r="D1227" s="7" t="s">
        <x:v>1935</x:v>
      </x:c>
      <x:c r="E1227" s="7" t="s">
        <x:v>4355</x:v>
      </x:c>
      <x:c r="F1227" s="7" t="s">
        <x:v>1929</x:v>
      </x:c>
      <x:c r="G1227" s="8" t="n">
        <x:v>1343.9</x:v>
      </x:c>
      <x:c r="H1227" s="8" t="n">
        <x:v>99.5</x:v>
      </x:c>
      <x:c r="I1227" s="8" t="s">
        <x:v>58</x:v>
      </x:c>
      <x:c r="J1227" s="7" t="s">
        <x:v>1919</x:v>
      </x:c>
      <x:c r="K1227" s="8" t="n">
        <x:v>0.001</x:v>
      </x:c>
      <x:c r="L1227" s="8" t="n">
        <x:f aca="0">IF(AND(ISNUMBER(G1227),P1227&lt;&gt;"Unresolved unit / layout"),G1227*K1227,"Not applicable")</x:f>
        <x:v>1.3439</x:v>
      </x:c>
      <x:c r="M1227" s="8" t="n">
        <x:f aca="0">IF(AND(ISNUMBER(H1227),P1227&lt;&gt;"Unresolved unit / layout"),H1227*K1227,"Not applicable")</x:f>
        <x:v>0.0995</x:v>
      </x:c>
      <x:c r="N1227" s="8" t="str">
        <x:f aca="0">IF(AND(ISNUMBER(I1227),P1227&lt;&gt;"Unresolved unit / layout"),I1227*K1227,"Not applicable")</x:f>
        <x:v>Not applicable</x:v>
      </x:c>
      <x:c r="O1227" s="7" t="s">
        <x:v>1937</x:v>
      </x:c>
      <x:c r="P1227" s="7" t="s">
        <x:v>1921</x:v>
      </x:c>
      <x:c r="Q1227" s="7" t="s">
        <x:v>1930</x:v>
      </x:c>
      <x:c r="R1227" s="7" t="s">
        <x:v>2003</x:v>
      </x:c>
      <x:c r="S1227" s="7" t="s">
        <x:v>4126</x:v>
      </x:c>
      <x:c r="T1227" s="7" t="s">
        <x:v>4081</x:v>
      </x:c>
      <x:c r="U1227" s="7" t="s">
        <x:v>53</x:v>
      </x:c>
      <x:c r="V1227" s="7" t="s">
        <x:v>1999</x:v>
      </x:c>
      <x:c r="W1227" s="7" t="s">
        <x:v>58</x:v>
      </x:c>
      <x:c r="X1227" s="7" t="s">
        <x:v>4323</x:v>
      </x:c>
      <x:c r="Y1227" s="7" t="s">
        <x:v>1310</x:v>
      </x:c>
      <x:c r="Z1227" s="7" t="s">
        <x:v>4092</x:v>
      </x:c>
      <x:c r="AA1227" s="7" t="s">
        <x:v>58</x:v>
      </x:c>
      <x:c r="AB1227" s="8" t="s">
        <x:v>58</x:v>
      </x:c>
      <x:c r="AC1227" s="8" t="s">
        <x:v>58</x:v>
      </x:c>
      <x:c r="AD1227" s="8" t="s">
        <x:v>58</x:v>
      </x:c>
      <x:c r="AE1227" s="8" t="s">
        <x:v>58</x:v>
      </x:c>
      <x:c r="AF1227" s="8" t="s">
        <x:v>58</x:v>
      </x:c>
      <x:c r="AG1227" s="7" t="s">
        <x:v>58</x:v>
      </x:c>
    </x:row>
    <x:row r="1228" ht="66" hidden="0" customHeight="1">
      <x:c r="A1228" s="7" t="s">
        <x:v>4356</x:v>
      </x:c>
      <x:c r="B1228" s="7" t="s">
        <x:v>719</x:v>
      </x:c>
      <x:c r="C1228" s="7" t="s">
        <x:v>1308</x:v>
      </x:c>
      <x:c r="D1228" s="7" t="s">
        <x:v>2006</x:v>
      </x:c>
      <x:c r="E1228" s="7" t="s">
        <x:v>4357</x:v>
      </x:c>
      <x:c r="F1228" s="7" t="s">
        <x:v>1929</x:v>
      </x:c>
      <x:c r="G1228" s="8" t="n">
        <x:v>73.6</x:v>
      </x:c>
      <x:c r="H1228" s="8" t="n">
        <x:v>2.3</x:v>
      </x:c>
      <x:c r="I1228" s="8" t="s">
        <x:v>58</x:v>
      </x:c>
      <x:c r="J1228" s="7" t="s">
        <x:v>1919</x:v>
      </x:c>
      <x:c r="K1228" s="8" t="n">
        <x:v>1</x:v>
      </x:c>
      <x:c r="L1228" s="8" t="n">
        <x:f aca="0">IF(AND(ISNUMBER(G1228),P1228&lt;&gt;"Unresolved unit / layout"),G1228*K1228,"Not applicable")</x:f>
        <x:v>73.6</x:v>
      </x:c>
      <x:c r="M1228" s="8" t="n">
        <x:f aca="0">IF(AND(ISNUMBER(H1228),P1228&lt;&gt;"Unresolved unit / layout"),H1228*K1228,"Not applicable")</x:f>
        <x:v>2.3</x:v>
      </x:c>
      <x:c r="N1228" s="8" t="str">
        <x:f aca="0">IF(AND(ISNUMBER(I1228),P1228&lt;&gt;"Unresolved unit / layout"),I1228*K1228,"Not applicable")</x:f>
        <x:v>Not applicable</x:v>
      </x:c>
      <x:c r="O1228" s="7" t="s">
        <x:v>1929</x:v>
      </x:c>
      <x:c r="P1228" s="7" t="s">
        <x:v>1921</x:v>
      </x:c>
      <x:c r="Q1228" s="7" t="s">
        <x:v>1930</x:v>
      </x:c>
      <x:c r="R1228" s="7" t="s">
        <x:v>1931</x:v>
      </x:c>
      <x:c r="S1228" s="7" t="s">
        <x:v>4126</x:v>
      </x:c>
      <x:c r="T1228" s="7" t="s">
        <x:v>4081</x:v>
      </x:c>
      <x:c r="U1228" s="7" t="s">
        <x:v>53</x:v>
      </x:c>
      <x:c r="V1228" s="7" t="s">
        <x:v>1999</x:v>
      </x:c>
      <x:c r="W1228" s="7" t="s">
        <x:v>58</x:v>
      </x:c>
      <x:c r="X1228" s="7" t="s">
        <x:v>4323</x:v>
      </x:c>
      <x:c r="Y1228" s="7" t="s">
        <x:v>1310</x:v>
      </x:c>
      <x:c r="Z1228" s="7" t="s">
        <x:v>4095</x:v>
      </x:c>
      <x:c r="AA1228" s="7" t="s">
        <x:v>58</x:v>
      </x:c>
      <x:c r="AB1228" s="8" t="s">
        <x:v>58</x:v>
      </x:c>
      <x:c r="AC1228" s="8" t="s">
        <x:v>58</x:v>
      </x:c>
      <x:c r="AD1228" s="8" t="s">
        <x:v>58</x:v>
      </x:c>
      <x:c r="AE1228" s="8" t="s">
        <x:v>58</x:v>
      </x:c>
      <x:c r="AF1228" s="8" t="s">
        <x:v>58</x:v>
      </x:c>
      <x:c r="AG1228" s="7" t="s">
        <x:v>58</x:v>
      </x:c>
    </x:row>
    <x:row r="1229" ht="66" hidden="0" customHeight="1">
      <x:c r="A1229" s="7" t="s">
        <x:v>4358</x:v>
      </x:c>
      <x:c r="B1229" s="7" t="s">
        <x:v>719</x:v>
      </x:c>
      <x:c r="C1229" s="7" t="s">
        <x:v>1308</x:v>
      </x:c>
      <x:c r="D1229" s="7" t="s">
        <x:v>2006</x:v>
      </x:c>
      <x:c r="E1229" s="7" t="s">
        <x:v>4359</x:v>
      </x:c>
      <x:c r="F1229" s="7" t="s">
        <x:v>1929</x:v>
      </x:c>
      <x:c r="G1229" s="8" t="n">
        <x:v>19.2</x:v>
      </x:c>
      <x:c r="H1229" s="8" t="n">
        <x:v>1.6</x:v>
      </x:c>
      <x:c r="I1229" s="8" t="s">
        <x:v>58</x:v>
      </x:c>
      <x:c r="J1229" s="7" t="s">
        <x:v>1919</x:v>
      </x:c>
      <x:c r="K1229" s="8" t="n">
        <x:v>1</x:v>
      </x:c>
      <x:c r="L1229" s="8" t="n">
        <x:f aca="0">IF(AND(ISNUMBER(G1229),P1229&lt;&gt;"Unresolved unit / layout"),G1229*K1229,"Not applicable")</x:f>
        <x:v>19.2</x:v>
      </x:c>
      <x:c r="M1229" s="8" t="n">
        <x:f aca="0">IF(AND(ISNUMBER(H1229),P1229&lt;&gt;"Unresolved unit / layout"),H1229*K1229,"Not applicable")</x:f>
        <x:v>1.6</x:v>
      </x:c>
      <x:c r="N1229" s="8" t="str">
        <x:f aca="0">IF(AND(ISNUMBER(I1229),P1229&lt;&gt;"Unresolved unit / layout"),I1229*K1229,"Not applicable")</x:f>
        <x:v>Not applicable</x:v>
      </x:c>
      <x:c r="O1229" s="7" t="s">
        <x:v>1929</x:v>
      </x:c>
      <x:c r="P1229" s="7" t="s">
        <x:v>1921</x:v>
      </x:c>
      <x:c r="Q1229" s="7" t="s">
        <x:v>1930</x:v>
      </x:c>
      <x:c r="R1229" s="7" t="s">
        <x:v>2003</x:v>
      </x:c>
      <x:c r="S1229" s="7" t="s">
        <x:v>4126</x:v>
      </x:c>
      <x:c r="T1229" s="7" t="s">
        <x:v>4081</x:v>
      </x:c>
      <x:c r="U1229" s="7" t="s">
        <x:v>53</x:v>
      </x:c>
      <x:c r="V1229" s="7" t="s">
        <x:v>1999</x:v>
      </x:c>
      <x:c r="W1229" s="7" t="s">
        <x:v>58</x:v>
      </x:c>
      <x:c r="X1229" s="7" t="s">
        <x:v>4323</x:v>
      </x:c>
      <x:c r="Y1229" s="7" t="s">
        <x:v>1310</x:v>
      </x:c>
      <x:c r="Z1229" s="7" t="s">
        <x:v>3497</x:v>
      </x:c>
      <x:c r="AA1229" s="7" t="s">
        <x:v>58</x:v>
      </x:c>
      <x:c r="AB1229" s="8" t="s">
        <x:v>58</x:v>
      </x:c>
      <x:c r="AC1229" s="8" t="s">
        <x:v>58</x:v>
      </x:c>
      <x:c r="AD1229" s="8" t="s">
        <x:v>58</x:v>
      </x:c>
      <x:c r="AE1229" s="8" t="s">
        <x:v>58</x:v>
      </x:c>
      <x:c r="AF1229" s="8" t="s">
        <x:v>58</x:v>
      </x:c>
      <x:c r="AG1229" s="7" t="s">
        <x:v>58</x:v>
      </x:c>
    </x:row>
    <x:row r="1230" ht="66" hidden="0" customHeight="1">
      <x:c r="A1230" s="7" t="s">
        <x:v>4360</x:v>
      </x:c>
      <x:c r="B1230" s="7" t="s">
        <x:v>719</x:v>
      </x:c>
      <x:c r="C1230" s="7" t="s">
        <x:v>1308</x:v>
      </x:c>
      <x:c r="D1230" s="7" t="s">
        <x:v>1940</x:v>
      </x:c>
      <x:c r="E1230" s="7" t="s">
        <x:v>4361</x:v>
      </x:c>
      <x:c r="F1230" s="7" t="s">
        <x:v>1942</x:v>
      </x:c>
      <x:c r="G1230" s="8" t="n">
        <x:v>4.2</x:v>
      </x:c>
      <x:c r="H1230" s="8" t="n">
        <x:v>0.4</x:v>
      </x:c>
      <x:c r="I1230" s="8" t="s">
        <x:v>58</x:v>
      </x:c>
      <x:c r="J1230" s="7" t="s">
        <x:v>1919</x:v>
      </x:c>
      <x:c r="K1230" s="8" t="n">
        <x:v>1</x:v>
      </x:c>
      <x:c r="L1230" s="8" t="n">
        <x:f aca="0">IF(AND(ISNUMBER(G1230),P1230&lt;&gt;"Unresolved unit / layout"),G1230*K1230,"Not applicable")</x:f>
        <x:v>4.2</x:v>
      </x:c>
      <x:c r="M1230" s="8" t="n">
        <x:f aca="0">IF(AND(ISNUMBER(H1230),P1230&lt;&gt;"Unresolved unit / layout"),H1230*K1230,"Not applicable")</x:f>
        <x:v>0.4</x:v>
      </x:c>
      <x:c r="N1230" s="8" t="str">
        <x:f aca="0">IF(AND(ISNUMBER(I1230),P1230&lt;&gt;"Unresolved unit / layout"),I1230*K1230,"Not applicable")</x:f>
        <x:v>Not applicable</x:v>
      </x:c>
      <x:c r="O1230" s="7" t="s">
        <x:v>1942</x:v>
      </x:c>
      <x:c r="P1230" s="7" t="s">
        <x:v>1921</x:v>
      </x:c>
      <x:c r="Q1230" s="7" t="s">
        <x:v>1930</x:v>
      </x:c>
      <x:c r="R1230" s="7" t="s">
        <x:v>1931</x:v>
      </x:c>
      <x:c r="S1230" s="7" t="s">
        <x:v>4126</x:v>
      </x:c>
      <x:c r="T1230" s="7" t="s">
        <x:v>4081</x:v>
      </x:c>
      <x:c r="U1230" s="7" t="s">
        <x:v>53</x:v>
      </x:c>
      <x:c r="V1230" s="7" t="s">
        <x:v>1999</x:v>
      </x:c>
      <x:c r="W1230" s="7" t="s">
        <x:v>58</x:v>
      </x:c>
      <x:c r="X1230" s="7" t="s">
        <x:v>4323</x:v>
      </x:c>
      <x:c r="Y1230" s="7" t="s">
        <x:v>1310</x:v>
      </x:c>
      <x:c r="Z1230" s="7" t="s">
        <x:v>4100</x:v>
      </x:c>
      <x:c r="AA1230" s="7" t="s">
        <x:v>58</x:v>
      </x:c>
      <x:c r="AB1230" s="8" t="s">
        <x:v>58</x:v>
      </x:c>
      <x:c r="AC1230" s="8" t="s">
        <x:v>58</x:v>
      </x:c>
      <x:c r="AD1230" s="8" t="s">
        <x:v>58</x:v>
      </x:c>
      <x:c r="AE1230" s="8" t="s">
        <x:v>58</x:v>
      </x:c>
      <x:c r="AF1230" s="8" t="s">
        <x:v>58</x:v>
      </x:c>
      <x:c r="AG1230" s="7" t="s">
        <x:v>58</x:v>
      </x:c>
    </x:row>
    <x:row r="1231" ht="66" hidden="0" customHeight="1">
      <x:c r="A1231" s="7" t="s">
        <x:v>4362</x:v>
      </x:c>
      <x:c r="B1231" s="7" t="s">
        <x:v>719</x:v>
      </x:c>
      <x:c r="C1231" s="7" t="s">
        <x:v>1308</x:v>
      </x:c>
      <x:c r="D1231" s="7" t="s">
        <x:v>1940</x:v>
      </x:c>
      <x:c r="E1231" s="7" t="s">
        <x:v>4363</x:v>
      </x:c>
      <x:c r="F1231" s="7" t="s">
        <x:v>1942</x:v>
      </x:c>
      <x:c r="G1231" s="8" t="n">
        <x:v>1.9</x:v>
      </x:c>
      <x:c r="H1231" s="8" t="n">
        <x:v>0.2</x:v>
      </x:c>
      <x:c r="I1231" s="8" t="s">
        <x:v>58</x:v>
      </x:c>
      <x:c r="J1231" s="7" t="s">
        <x:v>1919</x:v>
      </x:c>
      <x:c r="K1231" s="8" t="n">
        <x:v>1</x:v>
      </x:c>
      <x:c r="L1231" s="8" t="n">
        <x:f aca="0">IF(AND(ISNUMBER(G1231),P1231&lt;&gt;"Unresolved unit / layout"),G1231*K1231,"Not applicable")</x:f>
        <x:v>1.9</x:v>
      </x:c>
      <x:c r="M1231" s="8" t="n">
        <x:f aca="0">IF(AND(ISNUMBER(H1231),P1231&lt;&gt;"Unresolved unit / layout"),H1231*K1231,"Not applicable")</x:f>
        <x:v>0.2</x:v>
      </x:c>
      <x:c r="N1231" s="8" t="str">
        <x:f aca="0">IF(AND(ISNUMBER(I1231),P1231&lt;&gt;"Unresolved unit / layout"),I1231*K1231,"Not applicable")</x:f>
        <x:v>Not applicable</x:v>
      </x:c>
      <x:c r="O1231" s="7" t="s">
        <x:v>1942</x:v>
      </x:c>
      <x:c r="P1231" s="7" t="s">
        <x:v>1921</x:v>
      </x:c>
      <x:c r="Q1231" s="7" t="s">
        <x:v>1930</x:v>
      </x:c>
      <x:c r="R1231" s="7" t="s">
        <x:v>2003</x:v>
      </x:c>
      <x:c r="S1231" s="7" t="s">
        <x:v>4126</x:v>
      </x:c>
      <x:c r="T1231" s="7" t="s">
        <x:v>4081</x:v>
      </x:c>
      <x:c r="U1231" s="7" t="s">
        <x:v>53</x:v>
      </x:c>
      <x:c r="V1231" s="7" t="s">
        <x:v>1999</x:v>
      </x:c>
      <x:c r="W1231" s="7" t="s">
        <x:v>58</x:v>
      </x:c>
      <x:c r="X1231" s="7" t="s">
        <x:v>4323</x:v>
      </x:c>
      <x:c r="Y1231" s="7" t="s">
        <x:v>1310</x:v>
      </x:c>
      <x:c r="Z1231" s="7" t="s">
        <x:v>3503</x:v>
      </x:c>
      <x:c r="AA1231" s="7" t="s">
        <x:v>58</x:v>
      </x:c>
      <x:c r="AB1231" s="8" t="s">
        <x:v>58</x:v>
      </x:c>
      <x:c r="AC1231" s="8" t="s">
        <x:v>58</x:v>
      </x:c>
      <x:c r="AD1231" s="8" t="s">
        <x:v>58</x:v>
      </x:c>
      <x:c r="AE1231" s="8" t="s">
        <x:v>58</x:v>
      </x:c>
      <x:c r="AF1231" s="8" t="s">
        <x:v>58</x:v>
      </x:c>
      <x:c r="AG1231" s="7" t="s">
        <x:v>58</x:v>
      </x:c>
    </x:row>
    <x:row r="1232" ht="66" hidden="0" customHeight="1">
      <x:c r="A1232" s="7" t="s">
        <x:v>4364</x:v>
      </x:c>
      <x:c r="B1232" s="7" t="s">
        <x:v>719</x:v>
      </x:c>
      <x:c r="C1232" s="7" t="s">
        <x:v>1308</x:v>
      </x:c>
      <x:c r="D1232" s="7" t="s">
        <x:v>1950</x:v>
      </x:c>
      <x:c r="E1232" s="7" t="s">
        <x:v>4365</x:v>
      </x:c>
      <x:c r="F1232" s="7" t="s">
        <x:v>1929</x:v>
      </x:c>
      <x:c r="G1232" s="8" t="n">
        <x:v>3056.1</x:v>
      </x:c>
      <x:c r="H1232" s="8" t="n">
        <x:v>175.5</x:v>
      </x:c>
      <x:c r="I1232" s="8" t="s">
        <x:v>58</x:v>
      </x:c>
      <x:c r="J1232" s="7" t="s">
        <x:v>1919</x:v>
      </x:c>
      <x:c r="K1232" s="8" t="n">
        <x:v>0.001</x:v>
      </x:c>
      <x:c r="L1232" s="8" t="n">
        <x:f aca="0">IF(AND(ISNUMBER(G1232),P1232&lt;&gt;"Unresolved unit / layout"),G1232*K1232,"Not applicable")</x:f>
        <x:v>3.0561</x:v>
      </x:c>
      <x:c r="M1232" s="8" t="n">
        <x:f aca="0">IF(AND(ISNUMBER(H1232),P1232&lt;&gt;"Unresolved unit / layout"),H1232*K1232,"Not applicable")</x:f>
        <x:v>0.17550000000000002</x:v>
      </x:c>
      <x:c r="N1232" s="8" t="str">
        <x:f aca="0">IF(AND(ISNUMBER(I1232),P1232&lt;&gt;"Unresolved unit / layout"),I1232*K1232,"Not applicable")</x:f>
        <x:v>Not applicable</x:v>
      </x:c>
      <x:c r="O1232" s="7" t="s">
        <x:v>1937</x:v>
      </x:c>
      <x:c r="P1232" s="7" t="s">
        <x:v>1921</x:v>
      </x:c>
      <x:c r="Q1232" s="7" t="s">
        <x:v>1930</x:v>
      </x:c>
      <x:c r="R1232" s="7" t="s">
        <x:v>1931</x:v>
      </x:c>
      <x:c r="S1232" s="7" t="s">
        <x:v>4126</x:v>
      </x:c>
      <x:c r="T1232" s="7" t="s">
        <x:v>4081</x:v>
      </x:c>
      <x:c r="U1232" s="7" t="s">
        <x:v>53</x:v>
      </x:c>
      <x:c r="V1232" s="7" t="s">
        <x:v>2020</x:v>
      </x:c>
      <x:c r="W1232" s="7" t="s">
        <x:v>58</x:v>
      </x:c>
      <x:c r="X1232" s="7" t="s">
        <x:v>4323</x:v>
      </x:c>
      <x:c r="Y1232" s="7" t="s">
        <x:v>1310</x:v>
      </x:c>
      <x:c r="Z1232" s="7" t="s">
        <x:v>4105</x:v>
      </x:c>
      <x:c r="AA1232" s="7" t="s">
        <x:v>58</x:v>
      </x:c>
      <x:c r="AB1232" s="8" t="s">
        <x:v>58</x:v>
      </x:c>
      <x:c r="AC1232" s="8" t="s">
        <x:v>58</x:v>
      </x:c>
      <x:c r="AD1232" s="8" t="s">
        <x:v>58</x:v>
      </x:c>
      <x:c r="AE1232" s="8" t="s">
        <x:v>58</x:v>
      </x:c>
      <x:c r="AF1232" s="8" t="s">
        <x:v>58</x:v>
      </x:c>
      <x:c r="AG1232" s="7" t="s">
        <x:v>58</x:v>
      </x:c>
    </x:row>
    <x:row r="1233" ht="66" hidden="0" customHeight="1">
      <x:c r="A1233" s="7" t="s">
        <x:v>4366</x:v>
      </x:c>
      <x:c r="B1233" s="7" t="s">
        <x:v>719</x:v>
      </x:c>
      <x:c r="C1233" s="7" t="s">
        <x:v>1308</x:v>
      </x:c>
      <x:c r="D1233" s="7" t="s">
        <x:v>1950</x:v>
      </x:c>
      <x:c r="E1233" s="7" t="s">
        <x:v>4367</x:v>
      </x:c>
      <x:c r="F1233" s="7" t="s">
        <x:v>1929</x:v>
      </x:c>
      <x:c r="G1233" s="8" t="n">
        <x:v>1420.1</x:v>
      </x:c>
      <x:c r="H1233" s="8" t="n">
        <x:v>114</x:v>
      </x:c>
      <x:c r="I1233" s="8" t="s">
        <x:v>58</x:v>
      </x:c>
      <x:c r="J1233" s="7" t="s">
        <x:v>1919</x:v>
      </x:c>
      <x:c r="K1233" s="8" t="n">
        <x:v>0.001</x:v>
      </x:c>
      <x:c r="L1233" s="8" t="n">
        <x:f aca="0">IF(AND(ISNUMBER(G1233),P1233&lt;&gt;"Unresolved unit / layout"),G1233*K1233,"Not applicable")</x:f>
        <x:v>1.4201</x:v>
      </x:c>
      <x:c r="M1233" s="8" t="n">
        <x:f aca="0">IF(AND(ISNUMBER(H1233),P1233&lt;&gt;"Unresolved unit / layout"),H1233*K1233,"Not applicable")</x:f>
        <x:v>0.114</x:v>
      </x:c>
      <x:c r="N1233" s="8" t="str">
        <x:f aca="0">IF(AND(ISNUMBER(I1233),P1233&lt;&gt;"Unresolved unit / layout"),I1233*K1233,"Not applicable")</x:f>
        <x:v>Not applicable</x:v>
      </x:c>
      <x:c r="O1233" s="7" t="s">
        <x:v>1937</x:v>
      </x:c>
      <x:c r="P1233" s="7" t="s">
        <x:v>1921</x:v>
      </x:c>
      <x:c r="Q1233" s="7" t="s">
        <x:v>1930</x:v>
      </x:c>
      <x:c r="R1233" s="7" t="s">
        <x:v>2003</x:v>
      </x:c>
      <x:c r="S1233" s="7" t="s">
        <x:v>4126</x:v>
      </x:c>
      <x:c r="T1233" s="7" t="s">
        <x:v>4081</x:v>
      </x:c>
      <x:c r="U1233" s="7" t="s">
        <x:v>53</x:v>
      </x:c>
      <x:c r="V1233" s="7" t="s">
        <x:v>2020</x:v>
      </x:c>
      <x:c r="W1233" s="7" t="s">
        <x:v>58</x:v>
      </x:c>
      <x:c r="X1233" s="7" t="s">
        <x:v>4323</x:v>
      </x:c>
      <x:c r="Y1233" s="7" t="s">
        <x:v>1310</x:v>
      </x:c>
      <x:c r="Z1233" s="7" t="s">
        <x:v>4108</x:v>
      </x:c>
      <x:c r="AA1233" s="7" t="s">
        <x:v>58</x:v>
      </x:c>
      <x:c r="AB1233" s="8" t="s">
        <x:v>58</x:v>
      </x:c>
      <x:c r="AC1233" s="8" t="s">
        <x:v>58</x:v>
      </x:c>
      <x:c r="AD1233" s="8" t="s">
        <x:v>58</x:v>
      </x:c>
      <x:c r="AE1233" s="8" t="s">
        <x:v>58</x:v>
      </x:c>
      <x:c r="AF1233" s="8" t="s">
        <x:v>58</x:v>
      </x:c>
      <x:c r="AG1233" s="7" t="s">
        <x:v>58</x:v>
      </x:c>
    </x:row>
    <x:row r="1234" ht="66" hidden="0" customHeight="1">
      <x:c r="A1234" s="7" t="s">
        <x:v>4368</x:v>
      </x:c>
      <x:c r="B1234" s="7" t="s">
        <x:v>719</x:v>
      </x:c>
      <x:c r="C1234" s="7" t="s">
        <x:v>1308</x:v>
      </x:c>
      <x:c r="D1234" s="7" t="s">
        <x:v>1945</x:v>
      </x:c>
      <x:c r="E1234" s="7" t="s">
        <x:v>4369</x:v>
      </x:c>
      <x:c r="F1234" s="7" t="s">
        <x:v>1929</x:v>
      </x:c>
      <x:c r="G1234" s="8" t="n">
        <x:v>102.6</x:v>
      </x:c>
      <x:c r="H1234" s="8" t="n">
        <x:v>4.8</x:v>
      </x:c>
      <x:c r="I1234" s="8" t="s">
        <x:v>58</x:v>
      </x:c>
      <x:c r="J1234" s="7" t="s">
        <x:v>1919</x:v>
      </x:c>
      <x:c r="K1234" s="8" t="n">
        <x:v>1</x:v>
      </x:c>
      <x:c r="L1234" s="8" t="n">
        <x:f aca="0">IF(AND(ISNUMBER(G1234),P1234&lt;&gt;"Unresolved unit / layout"),G1234*K1234,"Not applicable")</x:f>
        <x:v>102.6</x:v>
      </x:c>
      <x:c r="M1234" s="8" t="n">
        <x:f aca="0">IF(AND(ISNUMBER(H1234),P1234&lt;&gt;"Unresolved unit / layout"),H1234*K1234,"Not applicable")</x:f>
        <x:v>4.8</x:v>
      </x:c>
      <x:c r="N1234" s="8" t="str">
        <x:f aca="0">IF(AND(ISNUMBER(I1234),P1234&lt;&gt;"Unresolved unit / layout"),I1234*K1234,"Not applicable")</x:f>
        <x:v>Not applicable</x:v>
      </x:c>
      <x:c r="O1234" s="7" t="s">
        <x:v>1929</x:v>
      </x:c>
      <x:c r="P1234" s="7" t="s">
        <x:v>1921</x:v>
      </x:c>
      <x:c r="Q1234" s="7" t="s">
        <x:v>1930</x:v>
      </x:c>
      <x:c r="R1234" s="7" t="s">
        <x:v>1931</x:v>
      </x:c>
      <x:c r="S1234" s="7" t="s">
        <x:v>4126</x:v>
      </x:c>
      <x:c r="T1234" s="7" t="s">
        <x:v>4081</x:v>
      </x:c>
      <x:c r="U1234" s="7" t="s">
        <x:v>53</x:v>
      </x:c>
      <x:c r="V1234" s="7" t="s">
        <x:v>2020</x:v>
      </x:c>
      <x:c r="W1234" s="7" t="s">
        <x:v>58</x:v>
      </x:c>
      <x:c r="X1234" s="7" t="s">
        <x:v>4323</x:v>
      </x:c>
      <x:c r="Y1234" s="7" t="s">
        <x:v>1310</x:v>
      </x:c>
      <x:c r="Z1234" s="7" t="s">
        <x:v>4111</x:v>
      </x:c>
      <x:c r="AA1234" s="7" t="s">
        <x:v>58</x:v>
      </x:c>
      <x:c r="AB1234" s="8" t="s">
        <x:v>58</x:v>
      </x:c>
      <x:c r="AC1234" s="8" t="s">
        <x:v>58</x:v>
      </x:c>
      <x:c r="AD1234" s="8" t="s">
        <x:v>58</x:v>
      </x:c>
      <x:c r="AE1234" s="8" t="s">
        <x:v>58</x:v>
      </x:c>
      <x:c r="AF1234" s="8" t="s">
        <x:v>58</x:v>
      </x:c>
      <x:c r="AG1234" s="7" t="s">
        <x:v>58</x:v>
      </x:c>
    </x:row>
    <x:row r="1235" ht="66" hidden="0" customHeight="1">
      <x:c r="A1235" s="7" t="s">
        <x:v>4370</x:v>
      </x:c>
      <x:c r="B1235" s="7" t="s">
        <x:v>719</x:v>
      </x:c>
      <x:c r="C1235" s="7" t="s">
        <x:v>1308</x:v>
      </x:c>
      <x:c r="D1235" s="7" t="s">
        <x:v>1945</x:v>
      </x:c>
      <x:c r="E1235" s="7" t="s">
        <x:v>4371</x:v>
      </x:c>
      <x:c r="F1235" s="7" t="s">
        <x:v>1929</x:v>
      </x:c>
      <x:c r="G1235" s="8" t="n">
        <x:v>40.5</x:v>
      </x:c>
      <x:c r="H1235" s="8" t="n">
        <x:v>1.3</x:v>
      </x:c>
      <x:c r="I1235" s="8" t="s">
        <x:v>58</x:v>
      </x:c>
      <x:c r="J1235" s="7" t="s">
        <x:v>1919</x:v>
      </x:c>
      <x:c r="K1235" s="8" t="n">
        <x:v>1</x:v>
      </x:c>
      <x:c r="L1235" s="8" t="n">
        <x:f aca="0">IF(AND(ISNUMBER(G1235),P1235&lt;&gt;"Unresolved unit / layout"),G1235*K1235,"Not applicable")</x:f>
        <x:v>40.5</x:v>
      </x:c>
      <x:c r="M1235" s="8" t="n">
        <x:f aca="0">IF(AND(ISNUMBER(H1235),P1235&lt;&gt;"Unresolved unit / layout"),H1235*K1235,"Not applicable")</x:f>
        <x:v>1.3</x:v>
      </x:c>
      <x:c r="N1235" s="8" t="str">
        <x:f aca="0">IF(AND(ISNUMBER(I1235),P1235&lt;&gt;"Unresolved unit / layout"),I1235*K1235,"Not applicable")</x:f>
        <x:v>Not applicable</x:v>
      </x:c>
      <x:c r="O1235" s="7" t="s">
        <x:v>1929</x:v>
      </x:c>
      <x:c r="P1235" s="7" t="s">
        <x:v>1921</x:v>
      </x:c>
      <x:c r="Q1235" s="7" t="s">
        <x:v>1930</x:v>
      </x:c>
      <x:c r="R1235" s="7" t="s">
        <x:v>2003</x:v>
      </x:c>
      <x:c r="S1235" s="7" t="s">
        <x:v>4126</x:v>
      </x:c>
      <x:c r="T1235" s="7" t="s">
        <x:v>4081</x:v>
      </x:c>
      <x:c r="U1235" s="7" t="s">
        <x:v>53</x:v>
      </x:c>
      <x:c r="V1235" s="7" t="s">
        <x:v>2020</x:v>
      </x:c>
      <x:c r="W1235" s="7" t="s">
        <x:v>58</x:v>
      </x:c>
      <x:c r="X1235" s="7" t="s">
        <x:v>4323</x:v>
      </x:c>
      <x:c r="Y1235" s="7" t="s">
        <x:v>1310</x:v>
      </x:c>
      <x:c r="Z1235" s="7" t="s">
        <x:v>4114</x:v>
      </x:c>
      <x:c r="AA1235" s="7" t="s">
        <x:v>58</x:v>
      </x:c>
      <x:c r="AB1235" s="8" t="s">
        <x:v>58</x:v>
      </x:c>
      <x:c r="AC1235" s="8" t="s">
        <x:v>58</x:v>
      </x:c>
      <x:c r="AD1235" s="8" t="s">
        <x:v>58</x:v>
      </x:c>
      <x:c r="AE1235" s="8" t="s">
        <x:v>58</x:v>
      </x:c>
      <x:c r="AF1235" s="8" t="s">
        <x:v>58</x:v>
      </x:c>
      <x:c r="AG1235" s="7" t="s">
        <x:v>58</x:v>
      </x:c>
    </x:row>
    <x:row r="1236" ht="66" hidden="0" customHeight="1">
      <x:c r="A1236" s="7" t="s">
        <x:v>4372</x:v>
      </x:c>
      <x:c r="B1236" s="7" t="s">
        <x:v>719</x:v>
      </x:c>
      <x:c r="C1236" s="7" t="s">
        <x:v>1308</x:v>
      </x:c>
      <x:c r="D1236" s="7" t="s">
        <x:v>2030</x:v>
      </x:c>
      <x:c r="E1236" s="7" t="s">
        <x:v>4373</x:v>
      </x:c>
      <x:c r="F1236" s="7" t="s">
        <x:v>2032</x:v>
      </x:c>
      <x:c r="G1236" s="8" t="n">
        <x:v>4.9</x:v>
      </x:c>
      <x:c r="H1236" s="8" t="n">
        <x:v>0.3</x:v>
      </x:c>
      <x:c r="I1236" s="8" t="s">
        <x:v>58</x:v>
      </x:c>
      <x:c r="J1236" s="7" t="s">
        <x:v>1919</x:v>
      </x:c>
      <x:c r="K1236" s="8" t="n">
        <x:v>1</x:v>
      </x:c>
      <x:c r="L1236" s="8" t="n">
        <x:f aca="0">IF(AND(ISNUMBER(G1236),P1236&lt;&gt;"Unresolved unit / layout"),G1236*K1236,"Not applicable")</x:f>
        <x:v>4.9</x:v>
      </x:c>
      <x:c r="M1236" s="8" t="n">
        <x:f aca="0">IF(AND(ISNUMBER(H1236),P1236&lt;&gt;"Unresolved unit / layout"),H1236*K1236,"Not applicable")</x:f>
        <x:v>0.3</x:v>
      </x:c>
      <x:c r="N1236" s="8" t="str">
        <x:f aca="0">IF(AND(ISNUMBER(I1236),P1236&lt;&gt;"Unresolved unit / layout"),I1236*K1236,"Not applicable")</x:f>
        <x:v>Not applicable</x:v>
      </x:c>
      <x:c r="O1236" s="7" t="s">
        <x:v>2033</x:v>
      </x:c>
      <x:c r="P1236" s="7" t="s">
        <x:v>1921</x:v>
      </x:c>
      <x:c r="Q1236" s="7" t="s">
        <x:v>1930</x:v>
      </x:c>
      <x:c r="R1236" s="7" t="s">
        <x:v>1931</x:v>
      </x:c>
      <x:c r="S1236" s="7" t="s">
        <x:v>4126</x:v>
      </x:c>
      <x:c r="T1236" s="7" t="s">
        <x:v>4081</x:v>
      </x:c>
      <x:c r="U1236" s="7" t="s">
        <x:v>53</x:v>
      </x:c>
      <x:c r="V1236" s="7" t="s">
        <x:v>2036</x:v>
      </x:c>
      <x:c r="W1236" s="7" t="s">
        <x:v>2139</x:v>
      </x:c>
      <x:c r="X1236" s="7" t="s">
        <x:v>4323</x:v>
      </x:c>
      <x:c r="Y1236" s="7" t="s">
        <x:v>1310</x:v>
      </x:c>
      <x:c r="Z1236" s="7" t="s">
        <x:v>4117</x:v>
      </x:c>
      <x:c r="AA1236" s="7" t="s">
        <x:v>58</x:v>
      </x:c>
      <x:c r="AB1236" s="8" t="s">
        <x:v>58</x:v>
      </x:c>
      <x:c r="AC1236" s="8" t="s">
        <x:v>58</x:v>
      </x:c>
      <x:c r="AD1236" s="8" t="s">
        <x:v>58</x:v>
      </x:c>
      <x:c r="AE1236" s="8" t="s">
        <x:v>58</x:v>
      </x:c>
      <x:c r="AF1236" s="8" t="s">
        <x:v>58</x:v>
      </x:c>
      <x:c r="AG1236" s="7" t="s">
        <x:v>58</x:v>
      </x:c>
    </x:row>
    <x:row r="1237" ht="66" hidden="0" customHeight="1">
      <x:c r="A1237" s="7" t="s">
        <x:v>4374</x:v>
      </x:c>
      <x:c r="B1237" s="7" t="s">
        <x:v>719</x:v>
      </x:c>
      <x:c r="C1237" s="7" t="s">
        <x:v>1308</x:v>
      </x:c>
      <x:c r="D1237" s="7" t="s">
        <x:v>2030</x:v>
      </x:c>
      <x:c r="E1237" s="7" t="s">
        <x:v>4375</x:v>
      </x:c>
      <x:c r="F1237" s="7" t="s">
        <x:v>2032</x:v>
      </x:c>
      <x:c r="G1237" s="8" t="n">
        <x:v>33.6</x:v>
      </x:c>
      <x:c r="H1237" s="8" t="n">
        <x:v>2</x:v>
      </x:c>
      <x:c r="I1237" s="8" t="s">
        <x:v>58</x:v>
      </x:c>
      <x:c r="J1237" s="7" t="s">
        <x:v>1919</x:v>
      </x:c>
      <x:c r="K1237" s="8" t="n">
        <x:v>1</x:v>
      </x:c>
      <x:c r="L1237" s="8" t="n">
        <x:f aca="0">IF(AND(ISNUMBER(G1237),P1237&lt;&gt;"Unresolved unit / layout"),G1237*K1237,"Not applicable")</x:f>
        <x:v>33.6</x:v>
      </x:c>
      <x:c r="M1237" s="8" t="n">
        <x:f aca="0">IF(AND(ISNUMBER(H1237),P1237&lt;&gt;"Unresolved unit / layout"),H1237*K1237,"Not applicable")</x:f>
        <x:v>2</x:v>
      </x:c>
      <x:c r="N1237" s="8" t="str">
        <x:f aca="0">IF(AND(ISNUMBER(I1237),P1237&lt;&gt;"Unresolved unit / layout"),I1237*K1237,"Not applicable")</x:f>
        <x:v>Not applicable</x:v>
      </x:c>
      <x:c r="O1237" s="7" t="s">
        <x:v>2033</x:v>
      </x:c>
      <x:c r="P1237" s="7" t="s">
        <x:v>1921</x:v>
      </x:c>
      <x:c r="Q1237" s="7" t="s">
        <x:v>1930</x:v>
      </x:c>
      <x:c r="R1237" s="7" t="s">
        <x:v>1931</x:v>
      </x:c>
      <x:c r="S1237" s="7" t="s">
        <x:v>4126</x:v>
      </x:c>
      <x:c r="T1237" s="7" t="s">
        <x:v>4081</x:v>
      </x:c>
      <x:c r="U1237" s="7" t="s">
        <x:v>53</x:v>
      </x:c>
      <x:c r="V1237" s="7" t="s">
        <x:v>2036</x:v>
      </x:c>
      <x:c r="W1237" s="7" t="s">
        <x:v>2139</x:v>
      </x:c>
      <x:c r="X1237" s="7" t="s">
        <x:v>4323</x:v>
      </x:c>
      <x:c r="Y1237" s="7" t="s">
        <x:v>1310</x:v>
      </x:c>
      <x:c r="Z1237" s="7" t="s">
        <x:v>4120</x:v>
      </x:c>
      <x:c r="AA1237" s="7" t="s">
        <x:v>58</x:v>
      </x:c>
      <x:c r="AB1237" s="8" t="s">
        <x:v>58</x:v>
      </x:c>
      <x:c r="AC1237" s="8" t="s">
        <x:v>58</x:v>
      </x:c>
      <x:c r="AD1237" s="8" t="s">
        <x:v>58</x:v>
      </x:c>
      <x:c r="AE1237" s="8" t="s">
        <x:v>58</x:v>
      </x:c>
      <x:c r="AF1237" s="8" t="s">
        <x:v>58</x:v>
      </x:c>
      <x:c r="AG1237" s="7" t="s">
        <x:v>58</x:v>
      </x:c>
    </x:row>
    <x:row r="1238" ht="66" hidden="0" customHeight="1">
      <x:c r="A1238" s="7" t="s">
        <x:v>4376</x:v>
      </x:c>
      <x:c r="B1238" s="7" t="s">
        <x:v>719</x:v>
      </x:c>
      <x:c r="C1238" s="7" t="s">
        <x:v>1308</x:v>
      </x:c>
      <x:c r="D1238" s="7" t="s">
        <x:v>2030</x:v>
      </x:c>
      <x:c r="E1238" s="7" t="s">
        <x:v>4377</x:v>
      </x:c>
      <x:c r="F1238" s="7" t="s">
        <x:v>2032</x:v>
      </x:c>
      <x:c r="G1238" s="8" t="n">
        <x:v>3.6</x:v>
      </x:c>
      <x:c r="H1238" s="8" t="n">
        <x:v>0.1</x:v>
      </x:c>
      <x:c r="I1238" s="8" t="s">
        <x:v>58</x:v>
      </x:c>
      <x:c r="J1238" s="7" t="s">
        <x:v>1919</x:v>
      </x:c>
      <x:c r="K1238" s="8" t="n">
        <x:v>1</x:v>
      </x:c>
      <x:c r="L1238" s="8" t="n">
        <x:f aca="0">IF(AND(ISNUMBER(G1238),P1238&lt;&gt;"Unresolved unit / layout"),G1238*K1238,"Not applicable")</x:f>
        <x:v>3.6</x:v>
      </x:c>
      <x:c r="M1238" s="8" t="n">
        <x:f aca="0">IF(AND(ISNUMBER(H1238),P1238&lt;&gt;"Unresolved unit / layout"),H1238*K1238,"Not applicable")</x:f>
        <x:v>0.1</x:v>
      </x:c>
      <x:c r="N1238" s="8" t="str">
        <x:f aca="0">IF(AND(ISNUMBER(I1238),P1238&lt;&gt;"Unresolved unit / layout"),I1238*K1238,"Not applicable")</x:f>
        <x:v>Not applicable</x:v>
      </x:c>
      <x:c r="O1238" s="7" t="s">
        <x:v>2033</x:v>
      </x:c>
      <x:c r="P1238" s="7" t="s">
        <x:v>1921</x:v>
      </x:c>
      <x:c r="Q1238" s="7" t="s">
        <x:v>1930</x:v>
      </x:c>
      <x:c r="R1238" s="7" t="s">
        <x:v>2003</x:v>
      </x:c>
      <x:c r="S1238" s="7" t="s">
        <x:v>4126</x:v>
      </x:c>
      <x:c r="T1238" s="7" t="s">
        <x:v>4081</x:v>
      </x:c>
      <x:c r="U1238" s="7" t="s">
        <x:v>53</x:v>
      </x:c>
      <x:c r="V1238" s="7" t="s">
        <x:v>2036</x:v>
      </x:c>
      <x:c r="W1238" s="7" t="s">
        <x:v>2139</x:v>
      </x:c>
      <x:c r="X1238" s="7" t="s">
        <x:v>4323</x:v>
      </x:c>
      <x:c r="Y1238" s="7" t="s">
        <x:v>1310</x:v>
      </x:c>
      <x:c r="Z1238" s="7" t="s">
        <x:v>4123</x:v>
      </x:c>
      <x:c r="AA1238" s="7" t="s">
        <x:v>58</x:v>
      </x:c>
      <x:c r="AB1238" s="8" t="s">
        <x:v>58</x:v>
      </x:c>
      <x:c r="AC1238" s="8" t="s">
        <x:v>58</x:v>
      </x:c>
      <x:c r="AD1238" s="8" t="s">
        <x:v>58</x:v>
      </x:c>
      <x:c r="AE1238" s="8" t="s">
        <x:v>58</x:v>
      </x:c>
      <x:c r="AF1238" s="8" t="s">
        <x:v>58</x:v>
      </x:c>
      <x:c r="AG1238" s="7" t="s">
        <x:v>58</x:v>
      </x:c>
    </x:row>
    <x:row r="1239" ht="66" hidden="0" customHeight="1">
      <x:c r="A1239" s="7" t="s">
        <x:v>4378</x:v>
      </x:c>
      <x:c r="B1239" s="7" t="s">
        <x:v>728</x:v>
      </x:c>
      <x:c r="C1239" s="7" t="s">
        <x:v>730</x:v>
      </x:c>
      <x:c r="D1239" s="7" t="s">
        <x:v>1916</x:v>
      </x:c>
      <x:c r="E1239" s="7" t="s">
        <x:v>4322</x:v>
      </x:c>
      <x:c r="F1239" s="7" t="s">
        <x:v>1965</x:v>
      </x:c>
      <x:c r="G1239" s="8" t="n">
        <x:v>1.1</x:v>
      </x:c>
      <x:c r="H1239" s="8" t="s">
        <x:v>58</x:v>
      </x:c>
      <x:c r="I1239" s="8" t="s">
        <x:v>58</x:v>
      </x:c>
      <x:c r="J1239" s="7" t="s">
        <x:v>1919</x:v>
      </x:c>
      <x:c r="K1239" s="8" t="n">
        <x:v>1000</x:v>
      </x:c>
      <x:c r="L1239" s="8" t="n">
        <x:f aca="0">IF(AND(ISNUMBER(G1239),P1239&lt;&gt;"Unresolved unit / layout"),G1239*K1239,"Not applicable")</x:f>
        <x:v>1100</x:v>
      </x:c>
      <x:c r="M1239" s="8" t="str">
        <x:f aca="0">IF(AND(ISNUMBER(H1239),P1239&lt;&gt;"Unresolved unit / layout"),H1239*K1239,"Not applicable")</x:f>
        <x:v>Not applicable</x:v>
      </x:c>
      <x:c r="N1239" s="8" t="str">
        <x:f aca="0">IF(AND(ISNUMBER(I1239),P1239&lt;&gt;"Unresolved unit / layout"),I1239*K1239,"Not applicable")</x:f>
        <x:v>Not applicable</x:v>
      </x:c>
      <x:c r="O1239" s="7" t="s">
        <x:v>1920</x:v>
      </x:c>
      <x:c r="P1239" s="7" t="s">
        <x:v>1921</x:v>
      </x:c>
      <x:c r="Q1239" s="7" t="s">
        <x:v>1922</x:v>
      </x:c>
      <x:c r="R1239" s="7" t="s">
        <x:v>58</x:v>
      </x:c>
      <x:c r="S1239" s="7" t="s">
        <x:v>53</x:v>
      </x:c>
      <x:c r="T1239" s="7" t="s">
        <x:v>4081</x:v>
      </x:c>
      <x:c r="U1239" s="7" t="s">
        <x:v>53</x:v>
      </x:c>
      <x:c r="V1239" s="7" t="s">
        <x:v>1966</x:v>
      </x:c>
      <x:c r="W1239" s="7" t="s">
        <x:v>58</x:v>
      </x:c>
      <x:c r="X1239" s="7" t="s">
        <x:v>4323</x:v>
      </x:c>
      <x:c r="Y1239" s="7" t="s">
        <x:v>1310</x:v>
      </x:c>
      <x:c r="Z1239" s="7" t="s">
        <x:v>1925</x:v>
      </x:c>
      <x:c r="AA1239" s="7" t="s">
        <x:v>58</x:v>
      </x:c>
      <x:c r="AB1239" s="8" t="s">
        <x:v>58</x:v>
      </x:c>
      <x:c r="AC1239" s="8" t="s">
        <x:v>58</x:v>
      </x:c>
      <x:c r="AD1239" s="8" t="s">
        <x:v>58</x:v>
      </x:c>
      <x:c r="AE1239" s="8" t="s">
        <x:v>58</x:v>
      </x:c>
      <x:c r="AF1239" s="8" t="s">
        <x:v>58</x:v>
      </x:c>
      <x:c r="AG1239" s="7" t="s">
        <x:v>58</x:v>
      </x:c>
    </x:row>
    <x:row r="1240" ht="66" hidden="0" customHeight="1">
      <x:c r="A1240" s="7" t="s">
        <x:v>4379</x:v>
      </x:c>
      <x:c r="B1240" s="7" t="s">
        <x:v>728</x:v>
      </x:c>
      <x:c r="C1240" s="7" t="s">
        <x:v>730</x:v>
      </x:c>
      <x:c r="D1240" s="7" t="s">
        <x:v>1978</x:v>
      </x:c>
      <x:c r="E1240" s="7" t="s">
        <x:v>4325</x:v>
      </x:c>
      <x:c r="F1240" s="7" t="s">
        <x:v>1956</x:v>
      </x:c>
      <x:c r="G1240" s="8" t="n">
        <x:v>180.3</x:v>
      </x:c>
      <x:c r="H1240" s="8" t="s">
        <x:v>58</x:v>
      </x:c>
      <x:c r="I1240" s="8" t="s">
        <x:v>58</x:v>
      </x:c>
      <x:c r="J1240" s="7" t="s">
        <x:v>1919</x:v>
      </x:c>
      <x:c r="K1240" s="8" t="n">
        <x:v>1</x:v>
      </x:c>
      <x:c r="L1240" s="8" t="n">
        <x:f aca="0">IF(AND(ISNUMBER(G1240),P1240&lt;&gt;"Unresolved unit / layout"),G1240*K1240,"Not applicable")</x:f>
        <x:v>180.3</x:v>
      </x:c>
      <x:c r="M1240" s="8" t="str">
        <x:f aca="0">IF(AND(ISNUMBER(H1240),P1240&lt;&gt;"Unresolved unit / layout"),H1240*K1240,"Not applicable")</x:f>
        <x:v>Not applicable</x:v>
      </x:c>
      <x:c r="N1240" s="8" t="str">
        <x:f aca="0">IF(AND(ISNUMBER(I1240),P1240&lt;&gt;"Unresolved unit / layout"),I1240*K1240,"Not applicable")</x:f>
        <x:v>Not applicable</x:v>
      </x:c>
      <x:c r="O1240" s="7" t="s">
        <x:v>1956</x:v>
      </x:c>
      <x:c r="P1240" s="7" t="s">
        <x:v>1921</x:v>
      </x:c>
      <x:c r="Q1240" s="7" t="s">
        <x:v>1930</x:v>
      </x:c>
      <x:c r="R1240" s="7" t="s">
        <x:v>58</x:v>
      </x:c>
      <x:c r="S1240" s="7" t="s">
        <x:v>53</x:v>
      </x:c>
      <x:c r="T1240" s="7" t="s">
        <x:v>4081</x:v>
      </x:c>
      <x:c r="U1240" s="7" t="s">
        <x:v>53</x:v>
      </x:c>
      <x:c r="V1240" s="7" t="s">
        <x:v>1971</x:v>
      </x:c>
      <x:c r="W1240" s="7" t="s">
        <x:v>58</x:v>
      </x:c>
      <x:c r="X1240" s="7" t="s">
        <x:v>4323</x:v>
      </x:c>
      <x:c r="Y1240" s="7" t="s">
        <x:v>1310</x:v>
      </x:c>
      <x:c r="Z1240" s="7" t="s">
        <x:v>4084</x:v>
      </x:c>
      <x:c r="AA1240" s="7" t="s">
        <x:v>58</x:v>
      </x:c>
      <x:c r="AB1240" s="8" t="s">
        <x:v>58</x:v>
      </x:c>
      <x:c r="AC1240" s="8" t="s">
        <x:v>58</x:v>
      </x:c>
      <x:c r="AD1240" s="8" t="s">
        <x:v>58</x:v>
      </x:c>
      <x:c r="AE1240" s="8" t="s">
        <x:v>58</x:v>
      </x:c>
      <x:c r="AF1240" s="8" t="s">
        <x:v>58</x:v>
      </x:c>
      <x:c r="AG1240" s="7" t="s">
        <x:v>58</x:v>
      </x:c>
    </x:row>
    <x:row r="1241" ht="66" hidden="0" customHeight="1">
      <x:c r="A1241" s="7" t="s">
        <x:v>4380</x:v>
      </x:c>
      <x:c r="B1241" s="7" t="s">
        <x:v>728</x:v>
      </x:c>
      <x:c r="C1241" s="7" t="s">
        <x:v>730</x:v>
      </x:c>
      <x:c r="D1241" s="7" t="s">
        <x:v>1935</x:v>
      </x:c>
      <x:c r="E1241" s="7" t="s">
        <x:v>4327</x:v>
      </x:c>
      <x:c r="F1241" s="7" t="s">
        <x:v>1929</x:v>
      </x:c>
      <x:c r="G1241" s="8" t="n">
        <x:v>4293.7</x:v>
      </x:c>
      <x:c r="H1241" s="8" t="n">
        <x:v>116.4</x:v>
      </x:c>
      <x:c r="I1241" s="8" t="s">
        <x:v>58</x:v>
      </x:c>
      <x:c r="J1241" s="7" t="s">
        <x:v>1919</x:v>
      </x:c>
      <x:c r="K1241" s="8" t="n">
        <x:v>0.001</x:v>
      </x:c>
      <x:c r="L1241" s="8" t="n">
        <x:f aca="0">IF(AND(ISNUMBER(G1241),P1241&lt;&gt;"Unresolved unit / layout"),G1241*K1241,"Not applicable")</x:f>
        <x:v>4.2937</x:v>
      </x:c>
      <x:c r="M1241" s="8" t="n">
        <x:f aca="0">IF(AND(ISNUMBER(H1241),P1241&lt;&gt;"Unresolved unit / layout"),H1241*K1241,"Not applicable")</x:f>
        <x:v>0.1164</x:v>
      </x:c>
      <x:c r="N1241" s="8" t="str">
        <x:f aca="0">IF(AND(ISNUMBER(I1241),P1241&lt;&gt;"Unresolved unit / layout"),I1241*K1241,"Not applicable")</x:f>
        <x:v>Not applicable</x:v>
      </x:c>
      <x:c r="O1241" s="7" t="s">
        <x:v>1937</x:v>
      </x:c>
      <x:c r="P1241" s="7" t="s">
        <x:v>1921</x:v>
      </x:c>
      <x:c r="Q1241" s="7" t="s">
        <x:v>1930</x:v>
      </x:c>
      <x:c r="R1241" s="7" t="s">
        <x:v>1931</x:v>
      </x:c>
      <x:c r="S1241" s="7" t="s">
        <x:v>3378</x:v>
      </x:c>
      <x:c r="T1241" s="7" t="s">
        <x:v>4081</x:v>
      </x:c>
      <x:c r="U1241" s="7" t="s">
        <x:v>53</x:v>
      </x:c>
      <x:c r="V1241" s="7" t="s">
        <x:v>1999</x:v>
      </x:c>
      <x:c r="W1241" s="7" t="s">
        <x:v>58</x:v>
      </x:c>
      <x:c r="X1241" s="7" t="s">
        <x:v>4323</x:v>
      </x:c>
      <x:c r="Y1241" s="7" t="s">
        <x:v>1310</x:v>
      </x:c>
      <x:c r="Z1241" s="7" t="s">
        <x:v>4089</x:v>
      </x:c>
      <x:c r="AA1241" s="7" t="s">
        <x:v>58</x:v>
      </x:c>
      <x:c r="AB1241" s="8" t="s">
        <x:v>58</x:v>
      </x:c>
      <x:c r="AC1241" s="8" t="s">
        <x:v>58</x:v>
      </x:c>
      <x:c r="AD1241" s="8" t="s">
        <x:v>58</x:v>
      </x:c>
      <x:c r="AE1241" s="8" t="s">
        <x:v>58</x:v>
      </x:c>
      <x:c r="AF1241" s="8" t="s">
        <x:v>58</x:v>
      </x:c>
      <x:c r="AG1241" s="7" t="s">
        <x:v>58</x:v>
      </x:c>
    </x:row>
    <x:row r="1242" ht="66" hidden="0" customHeight="1">
      <x:c r="A1242" s="7" t="s">
        <x:v>4381</x:v>
      </x:c>
      <x:c r="B1242" s="7" t="s">
        <x:v>728</x:v>
      </x:c>
      <x:c r="C1242" s="7" t="s">
        <x:v>730</x:v>
      </x:c>
      <x:c r="D1242" s="7" t="s">
        <x:v>1935</x:v>
      </x:c>
      <x:c r="E1242" s="7" t="s">
        <x:v>4329</x:v>
      </x:c>
      <x:c r="F1242" s="7" t="s">
        <x:v>1929</x:v>
      </x:c>
      <x:c r="G1242" s="8" t="n">
        <x:v>1784.4</x:v>
      </x:c>
      <x:c r="H1242" s="8" t="n">
        <x:v>102.8</x:v>
      </x:c>
      <x:c r="I1242" s="8" t="s">
        <x:v>58</x:v>
      </x:c>
      <x:c r="J1242" s="7" t="s">
        <x:v>1919</x:v>
      </x:c>
      <x:c r="K1242" s="8" t="n">
        <x:v>0.001</x:v>
      </x:c>
      <x:c r="L1242" s="8" t="n">
        <x:f aca="0">IF(AND(ISNUMBER(G1242),P1242&lt;&gt;"Unresolved unit / layout"),G1242*K1242,"Not applicable")</x:f>
        <x:v>1.7844000000000002</x:v>
      </x:c>
      <x:c r="M1242" s="8" t="n">
        <x:f aca="0">IF(AND(ISNUMBER(H1242),P1242&lt;&gt;"Unresolved unit / layout"),H1242*K1242,"Not applicable")</x:f>
        <x:v>0.1028</x:v>
      </x:c>
      <x:c r="N1242" s="8" t="str">
        <x:f aca="0">IF(AND(ISNUMBER(I1242),P1242&lt;&gt;"Unresolved unit / layout"),I1242*K1242,"Not applicable")</x:f>
        <x:v>Not applicable</x:v>
      </x:c>
      <x:c r="O1242" s="7" t="s">
        <x:v>1937</x:v>
      </x:c>
      <x:c r="P1242" s="7" t="s">
        <x:v>1921</x:v>
      </x:c>
      <x:c r="Q1242" s="7" t="s">
        <x:v>1930</x:v>
      </x:c>
      <x:c r="R1242" s="7" t="s">
        <x:v>2003</x:v>
      </x:c>
      <x:c r="S1242" s="7" t="s">
        <x:v>3378</x:v>
      </x:c>
      <x:c r="T1242" s="7" t="s">
        <x:v>4081</x:v>
      </x:c>
      <x:c r="U1242" s="7" t="s">
        <x:v>53</x:v>
      </x:c>
      <x:c r="V1242" s="7" t="s">
        <x:v>1999</x:v>
      </x:c>
      <x:c r="W1242" s="7" t="s">
        <x:v>58</x:v>
      </x:c>
      <x:c r="X1242" s="7" t="s">
        <x:v>4323</x:v>
      </x:c>
      <x:c r="Y1242" s="7" t="s">
        <x:v>1310</x:v>
      </x:c>
      <x:c r="Z1242" s="7" t="s">
        <x:v>4092</x:v>
      </x:c>
      <x:c r="AA1242" s="7" t="s">
        <x:v>58</x:v>
      </x:c>
      <x:c r="AB1242" s="8" t="s">
        <x:v>58</x:v>
      </x:c>
      <x:c r="AC1242" s="8" t="s">
        <x:v>58</x:v>
      </x:c>
      <x:c r="AD1242" s="8" t="s">
        <x:v>58</x:v>
      </x:c>
      <x:c r="AE1242" s="8" t="s">
        <x:v>58</x:v>
      </x:c>
      <x:c r="AF1242" s="8" t="s">
        <x:v>58</x:v>
      </x:c>
      <x:c r="AG1242" s="7" t="s">
        <x:v>58</x:v>
      </x:c>
    </x:row>
    <x:row r="1243" ht="66" hidden="0" customHeight="1">
      <x:c r="A1243" s="7" t="s">
        <x:v>4382</x:v>
      </x:c>
      <x:c r="B1243" s="7" t="s">
        <x:v>728</x:v>
      </x:c>
      <x:c r="C1243" s="7" t="s">
        <x:v>730</x:v>
      </x:c>
      <x:c r="D1243" s="7" t="s">
        <x:v>2006</x:v>
      </x:c>
      <x:c r="E1243" s="7" t="s">
        <x:v>4331</x:v>
      </x:c>
      <x:c r="F1243" s="7" t="s">
        <x:v>1929</x:v>
      </x:c>
      <x:c r="G1243" s="8" t="n">
        <x:v>84.3</x:v>
      </x:c>
      <x:c r="H1243" s="8" t="n">
        <x:v>2.3</x:v>
      </x:c>
      <x:c r="I1243" s="8" t="s">
        <x:v>58</x:v>
      </x:c>
      <x:c r="J1243" s="7" t="s">
        <x:v>1919</x:v>
      </x:c>
      <x:c r="K1243" s="8" t="n">
        <x:v>1</x:v>
      </x:c>
      <x:c r="L1243" s="8" t="n">
        <x:f aca="0">IF(AND(ISNUMBER(G1243),P1243&lt;&gt;"Unresolved unit / layout"),G1243*K1243,"Not applicable")</x:f>
        <x:v>84.3</x:v>
      </x:c>
      <x:c r="M1243" s="8" t="n">
        <x:f aca="0">IF(AND(ISNUMBER(H1243),P1243&lt;&gt;"Unresolved unit / layout"),H1243*K1243,"Not applicable")</x:f>
        <x:v>2.3</x:v>
      </x:c>
      <x:c r="N1243" s="8" t="str">
        <x:f aca="0">IF(AND(ISNUMBER(I1243),P1243&lt;&gt;"Unresolved unit / layout"),I1243*K1243,"Not applicable")</x:f>
        <x:v>Not applicable</x:v>
      </x:c>
      <x:c r="O1243" s="7" t="s">
        <x:v>1929</x:v>
      </x:c>
      <x:c r="P1243" s="7" t="s">
        <x:v>1921</x:v>
      </x:c>
      <x:c r="Q1243" s="7" t="s">
        <x:v>1930</x:v>
      </x:c>
      <x:c r="R1243" s="7" t="s">
        <x:v>1931</x:v>
      </x:c>
      <x:c r="S1243" s="7" t="s">
        <x:v>3378</x:v>
      </x:c>
      <x:c r="T1243" s="7" t="s">
        <x:v>4081</x:v>
      </x:c>
      <x:c r="U1243" s="7" t="s">
        <x:v>53</x:v>
      </x:c>
      <x:c r="V1243" s="7" t="s">
        <x:v>1999</x:v>
      </x:c>
      <x:c r="W1243" s="7" t="s">
        <x:v>58</x:v>
      </x:c>
      <x:c r="X1243" s="7" t="s">
        <x:v>4323</x:v>
      </x:c>
      <x:c r="Y1243" s="7" t="s">
        <x:v>1310</x:v>
      </x:c>
      <x:c r="Z1243" s="7" t="s">
        <x:v>4095</x:v>
      </x:c>
      <x:c r="AA1243" s="7" t="s">
        <x:v>58</x:v>
      </x:c>
      <x:c r="AB1243" s="8" t="s">
        <x:v>58</x:v>
      </x:c>
      <x:c r="AC1243" s="8" t="s">
        <x:v>58</x:v>
      </x:c>
      <x:c r="AD1243" s="8" t="s">
        <x:v>58</x:v>
      </x:c>
      <x:c r="AE1243" s="8" t="s">
        <x:v>58</x:v>
      </x:c>
      <x:c r="AF1243" s="8" t="s">
        <x:v>58</x:v>
      </x:c>
      <x:c r="AG1243" s="7" t="s">
        <x:v>58</x:v>
      </x:c>
    </x:row>
    <x:row r="1244" ht="66" hidden="0" customHeight="1">
      <x:c r="A1244" s="7" t="s">
        <x:v>4383</x:v>
      </x:c>
      <x:c r="B1244" s="7" t="s">
        <x:v>728</x:v>
      </x:c>
      <x:c r="C1244" s="7" t="s">
        <x:v>730</x:v>
      </x:c>
      <x:c r="D1244" s="7" t="s">
        <x:v>2006</x:v>
      </x:c>
      <x:c r="E1244" s="7" t="s">
        <x:v>4333</x:v>
      </x:c>
      <x:c r="F1244" s="7" t="s">
        <x:v>1929</x:v>
      </x:c>
      <x:c r="G1244" s="8" t="n">
        <x:v>21.5</x:v>
      </x:c>
      <x:c r="H1244" s="8" t="n">
        <x:v>2.7</x:v>
      </x:c>
      <x:c r="I1244" s="8" t="s">
        <x:v>58</x:v>
      </x:c>
      <x:c r="J1244" s="7" t="s">
        <x:v>1919</x:v>
      </x:c>
      <x:c r="K1244" s="8" t="n">
        <x:v>1</x:v>
      </x:c>
      <x:c r="L1244" s="8" t="n">
        <x:f aca="0">IF(AND(ISNUMBER(G1244),P1244&lt;&gt;"Unresolved unit / layout"),G1244*K1244,"Not applicable")</x:f>
        <x:v>21.5</x:v>
      </x:c>
      <x:c r="M1244" s="8" t="n">
        <x:f aca="0">IF(AND(ISNUMBER(H1244),P1244&lt;&gt;"Unresolved unit / layout"),H1244*K1244,"Not applicable")</x:f>
        <x:v>2.7</x:v>
      </x:c>
      <x:c r="N1244" s="8" t="str">
        <x:f aca="0">IF(AND(ISNUMBER(I1244),P1244&lt;&gt;"Unresolved unit / layout"),I1244*K1244,"Not applicable")</x:f>
        <x:v>Not applicable</x:v>
      </x:c>
      <x:c r="O1244" s="7" t="s">
        <x:v>1929</x:v>
      </x:c>
      <x:c r="P1244" s="7" t="s">
        <x:v>1921</x:v>
      </x:c>
      <x:c r="Q1244" s="7" t="s">
        <x:v>1930</x:v>
      </x:c>
      <x:c r="R1244" s="7" t="s">
        <x:v>2003</x:v>
      </x:c>
      <x:c r="S1244" s="7" t="s">
        <x:v>3378</x:v>
      </x:c>
      <x:c r="T1244" s="7" t="s">
        <x:v>4081</x:v>
      </x:c>
      <x:c r="U1244" s="7" t="s">
        <x:v>53</x:v>
      </x:c>
      <x:c r="V1244" s="7" t="s">
        <x:v>1999</x:v>
      </x:c>
      <x:c r="W1244" s="7" t="s">
        <x:v>58</x:v>
      </x:c>
      <x:c r="X1244" s="7" t="s">
        <x:v>4323</x:v>
      </x:c>
      <x:c r="Y1244" s="7" t="s">
        <x:v>1310</x:v>
      </x:c>
      <x:c r="Z1244" s="7" t="s">
        <x:v>3497</x:v>
      </x:c>
      <x:c r="AA1244" s="7" t="s">
        <x:v>58</x:v>
      </x:c>
      <x:c r="AB1244" s="8" t="s">
        <x:v>58</x:v>
      </x:c>
      <x:c r="AC1244" s="8" t="s">
        <x:v>58</x:v>
      </x:c>
      <x:c r="AD1244" s="8" t="s">
        <x:v>58</x:v>
      </x:c>
      <x:c r="AE1244" s="8" t="s">
        <x:v>58</x:v>
      </x:c>
      <x:c r="AF1244" s="8" t="s">
        <x:v>58</x:v>
      </x:c>
      <x:c r="AG1244" s="7" t="s">
        <x:v>58</x:v>
      </x:c>
    </x:row>
    <x:row r="1245" ht="66" hidden="0" customHeight="1">
      <x:c r="A1245" s="7" t="s">
        <x:v>4384</x:v>
      </x:c>
      <x:c r="B1245" s="7" t="s">
        <x:v>728</x:v>
      </x:c>
      <x:c r="C1245" s="7" t="s">
        <x:v>730</x:v>
      </x:c>
      <x:c r="D1245" s="7" t="s">
        <x:v>1940</x:v>
      </x:c>
      <x:c r="E1245" s="7" t="s">
        <x:v>4335</x:v>
      </x:c>
      <x:c r="F1245" s="7" t="s">
        <x:v>1942</x:v>
      </x:c>
      <x:c r="G1245" s="8" t="n">
        <x:v>3</x:v>
      </x:c>
      <x:c r="H1245" s="8" t="n">
        <x:v>0.1</x:v>
      </x:c>
      <x:c r="I1245" s="8" t="s">
        <x:v>58</x:v>
      </x:c>
      <x:c r="J1245" s="7" t="s">
        <x:v>1919</x:v>
      </x:c>
      <x:c r="K1245" s="8" t="n">
        <x:v>1</x:v>
      </x:c>
      <x:c r="L1245" s="8" t="n">
        <x:f aca="0">IF(AND(ISNUMBER(G1245),P1245&lt;&gt;"Unresolved unit / layout"),G1245*K1245,"Not applicable")</x:f>
        <x:v>3</x:v>
      </x:c>
      <x:c r="M1245" s="8" t="n">
        <x:f aca="0">IF(AND(ISNUMBER(H1245),P1245&lt;&gt;"Unresolved unit / layout"),H1245*K1245,"Not applicable")</x:f>
        <x:v>0.1</x:v>
      </x:c>
      <x:c r="N1245" s="8" t="str">
        <x:f aca="0">IF(AND(ISNUMBER(I1245),P1245&lt;&gt;"Unresolved unit / layout"),I1245*K1245,"Not applicable")</x:f>
        <x:v>Not applicable</x:v>
      </x:c>
      <x:c r="O1245" s="7" t="s">
        <x:v>1942</x:v>
      </x:c>
      <x:c r="P1245" s="7" t="s">
        <x:v>1921</x:v>
      </x:c>
      <x:c r="Q1245" s="7" t="s">
        <x:v>1930</x:v>
      </x:c>
      <x:c r="R1245" s="7" t="s">
        <x:v>1931</x:v>
      </x:c>
      <x:c r="S1245" s="7" t="s">
        <x:v>3378</x:v>
      </x:c>
      <x:c r="T1245" s="7" t="s">
        <x:v>4081</x:v>
      </x:c>
      <x:c r="U1245" s="7" t="s">
        <x:v>53</x:v>
      </x:c>
      <x:c r="V1245" s="7" t="s">
        <x:v>1999</x:v>
      </x:c>
      <x:c r="W1245" s="7" t="s">
        <x:v>58</x:v>
      </x:c>
      <x:c r="X1245" s="7" t="s">
        <x:v>4323</x:v>
      </x:c>
      <x:c r="Y1245" s="7" t="s">
        <x:v>1310</x:v>
      </x:c>
      <x:c r="Z1245" s="7" t="s">
        <x:v>4100</x:v>
      </x:c>
      <x:c r="AA1245" s="7" t="s">
        <x:v>58</x:v>
      </x:c>
      <x:c r="AB1245" s="8" t="s">
        <x:v>58</x:v>
      </x:c>
      <x:c r="AC1245" s="8" t="s">
        <x:v>58</x:v>
      </x:c>
      <x:c r="AD1245" s="8" t="s">
        <x:v>58</x:v>
      </x:c>
      <x:c r="AE1245" s="8" t="s">
        <x:v>58</x:v>
      </x:c>
      <x:c r="AF1245" s="8" t="s">
        <x:v>58</x:v>
      </x:c>
      <x:c r="AG1245" s="7" t="s">
        <x:v>58</x:v>
      </x:c>
    </x:row>
    <x:row r="1246" ht="66" hidden="0" customHeight="1">
      <x:c r="A1246" s="7" t="s">
        <x:v>4385</x:v>
      </x:c>
      <x:c r="B1246" s="7" t="s">
        <x:v>728</x:v>
      </x:c>
      <x:c r="C1246" s="7" t="s">
        <x:v>730</x:v>
      </x:c>
      <x:c r="D1246" s="7" t="s">
        <x:v>1940</x:v>
      </x:c>
      <x:c r="E1246" s="7" t="s">
        <x:v>4337</x:v>
      </x:c>
      <x:c r="F1246" s="7" t="s">
        <x:v>1942</x:v>
      </x:c>
      <x:c r="G1246" s="8" t="n">
        <x:v>1.4</x:v>
      </x:c>
      <x:c r="H1246" s="8" t="n">
        <x:v>0.1</x:v>
      </x:c>
      <x:c r="I1246" s="8" t="s">
        <x:v>58</x:v>
      </x:c>
      <x:c r="J1246" s="7" t="s">
        <x:v>1919</x:v>
      </x:c>
      <x:c r="K1246" s="8" t="n">
        <x:v>1</x:v>
      </x:c>
      <x:c r="L1246" s="8" t="n">
        <x:f aca="0">IF(AND(ISNUMBER(G1246),P1246&lt;&gt;"Unresolved unit / layout"),G1246*K1246,"Not applicable")</x:f>
        <x:v>1.4</x:v>
      </x:c>
      <x:c r="M1246" s="8" t="n">
        <x:f aca="0">IF(AND(ISNUMBER(H1246),P1246&lt;&gt;"Unresolved unit / layout"),H1246*K1246,"Not applicable")</x:f>
        <x:v>0.1</x:v>
      </x:c>
      <x:c r="N1246" s="8" t="str">
        <x:f aca="0">IF(AND(ISNUMBER(I1246),P1246&lt;&gt;"Unresolved unit / layout"),I1246*K1246,"Not applicable")</x:f>
        <x:v>Not applicable</x:v>
      </x:c>
      <x:c r="O1246" s="7" t="s">
        <x:v>1942</x:v>
      </x:c>
      <x:c r="P1246" s="7" t="s">
        <x:v>1921</x:v>
      </x:c>
      <x:c r="Q1246" s="7" t="s">
        <x:v>1930</x:v>
      </x:c>
      <x:c r="R1246" s="7" t="s">
        <x:v>2003</x:v>
      </x:c>
      <x:c r="S1246" s="7" t="s">
        <x:v>3378</x:v>
      </x:c>
      <x:c r="T1246" s="7" t="s">
        <x:v>4081</x:v>
      </x:c>
      <x:c r="U1246" s="7" t="s">
        <x:v>53</x:v>
      </x:c>
      <x:c r="V1246" s="7" t="s">
        <x:v>1999</x:v>
      </x:c>
      <x:c r="W1246" s="7" t="s">
        <x:v>58</x:v>
      </x:c>
      <x:c r="X1246" s="7" t="s">
        <x:v>4323</x:v>
      </x:c>
      <x:c r="Y1246" s="7" t="s">
        <x:v>1310</x:v>
      </x:c>
      <x:c r="Z1246" s="7" t="s">
        <x:v>3503</x:v>
      </x:c>
      <x:c r="AA1246" s="7" t="s">
        <x:v>58</x:v>
      </x:c>
      <x:c r="AB1246" s="8" t="s">
        <x:v>58</x:v>
      </x:c>
      <x:c r="AC1246" s="8" t="s">
        <x:v>58</x:v>
      </x:c>
      <x:c r="AD1246" s="8" t="s">
        <x:v>58</x:v>
      </x:c>
      <x:c r="AE1246" s="8" t="s">
        <x:v>58</x:v>
      </x:c>
      <x:c r="AF1246" s="8" t="s">
        <x:v>58</x:v>
      </x:c>
      <x:c r="AG1246" s="7" t="s">
        <x:v>58</x:v>
      </x:c>
    </x:row>
    <x:row r="1247" ht="66" hidden="0" customHeight="1">
      <x:c r="A1247" s="7" t="s">
        <x:v>4386</x:v>
      </x:c>
      <x:c r="B1247" s="7" t="s">
        <x:v>728</x:v>
      </x:c>
      <x:c r="C1247" s="7" t="s">
        <x:v>730</x:v>
      </x:c>
      <x:c r="D1247" s="7" t="s">
        <x:v>1950</x:v>
      </x:c>
      <x:c r="E1247" s="7" t="s">
        <x:v>4339</x:v>
      </x:c>
      <x:c r="F1247" s="7" t="s">
        <x:v>1929</x:v>
      </x:c>
      <x:c r="G1247" s="8" t="n">
        <x:v>3745.5</x:v>
      </x:c>
      <x:c r="H1247" s="8" t="n">
        <x:v>292.6</x:v>
      </x:c>
      <x:c r="I1247" s="8" t="s">
        <x:v>58</x:v>
      </x:c>
      <x:c r="J1247" s="7" t="s">
        <x:v>1919</x:v>
      </x:c>
      <x:c r="K1247" s="8" t="n">
        <x:v>0.001</x:v>
      </x:c>
      <x:c r="L1247" s="8" t="n">
        <x:f aca="0">IF(AND(ISNUMBER(G1247),P1247&lt;&gt;"Unresolved unit / layout"),G1247*K1247,"Not applicable")</x:f>
        <x:v>3.7455000000000003</x:v>
      </x:c>
      <x:c r="M1247" s="8" t="n">
        <x:f aca="0">IF(AND(ISNUMBER(H1247),P1247&lt;&gt;"Unresolved unit / layout"),H1247*K1247,"Not applicable")</x:f>
        <x:v>0.2926</x:v>
      </x:c>
      <x:c r="N1247" s="8" t="str">
        <x:f aca="0">IF(AND(ISNUMBER(I1247),P1247&lt;&gt;"Unresolved unit / layout"),I1247*K1247,"Not applicable")</x:f>
        <x:v>Not applicable</x:v>
      </x:c>
      <x:c r="O1247" s="7" t="s">
        <x:v>1937</x:v>
      </x:c>
      <x:c r="P1247" s="7" t="s">
        <x:v>1921</x:v>
      </x:c>
      <x:c r="Q1247" s="7" t="s">
        <x:v>1930</x:v>
      </x:c>
      <x:c r="R1247" s="7" t="s">
        <x:v>1931</x:v>
      </x:c>
      <x:c r="S1247" s="7" t="s">
        <x:v>3378</x:v>
      </x:c>
      <x:c r="T1247" s="7" t="s">
        <x:v>4081</x:v>
      </x:c>
      <x:c r="U1247" s="7" t="s">
        <x:v>53</x:v>
      </x:c>
      <x:c r="V1247" s="7" t="s">
        <x:v>2020</x:v>
      </x:c>
      <x:c r="W1247" s="7" t="s">
        <x:v>58</x:v>
      </x:c>
      <x:c r="X1247" s="7" t="s">
        <x:v>4323</x:v>
      </x:c>
      <x:c r="Y1247" s="7" t="s">
        <x:v>1310</x:v>
      </x:c>
      <x:c r="Z1247" s="7" t="s">
        <x:v>4105</x:v>
      </x:c>
      <x:c r="AA1247" s="7" t="s">
        <x:v>58</x:v>
      </x:c>
      <x:c r="AB1247" s="8" t="s">
        <x:v>58</x:v>
      </x:c>
      <x:c r="AC1247" s="8" t="s">
        <x:v>58</x:v>
      </x:c>
      <x:c r="AD1247" s="8" t="s">
        <x:v>58</x:v>
      </x:c>
      <x:c r="AE1247" s="8" t="s">
        <x:v>58</x:v>
      </x:c>
      <x:c r="AF1247" s="8" t="s">
        <x:v>58</x:v>
      </x:c>
      <x:c r="AG1247" s="7" t="s">
        <x:v>58</x:v>
      </x:c>
    </x:row>
    <x:row r="1248" ht="66" hidden="0" customHeight="1">
      <x:c r="A1248" s="7" t="s">
        <x:v>4387</x:v>
      </x:c>
      <x:c r="B1248" s="7" t="s">
        <x:v>728</x:v>
      </x:c>
      <x:c r="C1248" s="7" t="s">
        <x:v>730</x:v>
      </x:c>
      <x:c r="D1248" s="7" t="s">
        <x:v>1950</x:v>
      </x:c>
      <x:c r="E1248" s="7" t="s">
        <x:v>4341</x:v>
      </x:c>
      <x:c r="F1248" s="7" t="s">
        <x:v>1929</x:v>
      </x:c>
      <x:c r="G1248" s="8" t="n">
        <x:v>1362.3</x:v>
      </x:c>
      <x:c r="H1248" s="8" t="n">
        <x:v>111.7</x:v>
      </x:c>
      <x:c r="I1248" s="8" t="s">
        <x:v>58</x:v>
      </x:c>
      <x:c r="J1248" s="7" t="s">
        <x:v>1919</x:v>
      </x:c>
      <x:c r="K1248" s="8" t="n">
        <x:v>0.001</x:v>
      </x:c>
      <x:c r="L1248" s="8" t="n">
        <x:f aca="0">IF(AND(ISNUMBER(G1248),P1248&lt;&gt;"Unresolved unit / layout"),G1248*K1248,"Not applicable")</x:f>
        <x:v>1.3623</x:v>
      </x:c>
      <x:c r="M1248" s="8" t="n">
        <x:f aca="0">IF(AND(ISNUMBER(H1248),P1248&lt;&gt;"Unresolved unit / layout"),H1248*K1248,"Not applicable")</x:f>
        <x:v>0.11170000000000001</x:v>
      </x:c>
      <x:c r="N1248" s="8" t="str">
        <x:f aca="0">IF(AND(ISNUMBER(I1248),P1248&lt;&gt;"Unresolved unit / layout"),I1248*K1248,"Not applicable")</x:f>
        <x:v>Not applicable</x:v>
      </x:c>
      <x:c r="O1248" s="7" t="s">
        <x:v>1937</x:v>
      </x:c>
      <x:c r="P1248" s="7" t="s">
        <x:v>1921</x:v>
      </x:c>
      <x:c r="Q1248" s="7" t="s">
        <x:v>1930</x:v>
      </x:c>
      <x:c r="R1248" s="7" t="s">
        <x:v>2003</x:v>
      </x:c>
      <x:c r="S1248" s="7" t="s">
        <x:v>3378</x:v>
      </x:c>
      <x:c r="T1248" s="7" t="s">
        <x:v>4081</x:v>
      </x:c>
      <x:c r="U1248" s="7" t="s">
        <x:v>53</x:v>
      </x:c>
      <x:c r="V1248" s="7" t="s">
        <x:v>2020</x:v>
      </x:c>
      <x:c r="W1248" s="7" t="s">
        <x:v>58</x:v>
      </x:c>
      <x:c r="X1248" s="7" t="s">
        <x:v>4323</x:v>
      </x:c>
      <x:c r="Y1248" s="7" t="s">
        <x:v>1310</x:v>
      </x:c>
      <x:c r="Z1248" s="7" t="s">
        <x:v>4108</x:v>
      </x:c>
      <x:c r="AA1248" s="7" t="s">
        <x:v>58</x:v>
      </x:c>
      <x:c r="AB1248" s="8" t="s">
        <x:v>58</x:v>
      </x:c>
      <x:c r="AC1248" s="8" t="s">
        <x:v>58</x:v>
      </x:c>
      <x:c r="AD1248" s="8" t="s">
        <x:v>58</x:v>
      </x:c>
      <x:c r="AE1248" s="8" t="s">
        <x:v>58</x:v>
      </x:c>
      <x:c r="AF1248" s="8" t="s">
        <x:v>58</x:v>
      </x:c>
      <x:c r="AG1248" s="7" t="s">
        <x:v>58</x:v>
      </x:c>
    </x:row>
    <x:row r="1249" ht="66" hidden="0" customHeight="1">
      <x:c r="A1249" s="7" t="s">
        <x:v>4388</x:v>
      </x:c>
      <x:c r="B1249" s="7" t="s">
        <x:v>728</x:v>
      </x:c>
      <x:c r="C1249" s="7" t="s">
        <x:v>730</x:v>
      </x:c>
      <x:c r="D1249" s="7" t="s">
        <x:v>1945</x:v>
      </x:c>
      <x:c r="E1249" s="7" t="s">
        <x:v>4343</x:v>
      </x:c>
      <x:c r="F1249" s="7" t="s">
        <x:v>1929</x:v>
      </x:c>
      <x:c r="G1249" s="8" t="n">
        <x:v>116.2</x:v>
      </x:c>
      <x:c r="H1249" s="8" t="n">
        <x:v>5.9</x:v>
      </x:c>
      <x:c r="I1249" s="8" t="s">
        <x:v>58</x:v>
      </x:c>
      <x:c r="J1249" s="7" t="s">
        <x:v>1919</x:v>
      </x:c>
      <x:c r="K1249" s="8" t="n">
        <x:v>1</x:v>
      </x:c>
      <x:c r="L1249" s="8" t="n">
        <x:f aca="0">IF(AND(ISNUMBER(G1249),P1249&lt;&gt;"Unresolved unit / layout"),G1249*K1249,"Not applicable")</x:f>
        <x:v>116.2</x:v>
      </x:c>
      <x:c r="M1249" s="8" t="n">
        <x:f aca="0">IF(AND(ISNUMBER(H1249),P1249&lt;&gt;"Unresolved unit / layout"),H1249*K1249,"Not applicable")</x:f>
        <x:v>5.9</x:v>
      </x:c>
      <x:c r="N1249" s="8" t="str">
        <x:f aca="0">IF(AND(ISNUMBER(I1249),P1249&lt;&gt;"Unresolved unit / layout"),I1249*K1249,"Not applicable")</x:f>
        <x:v>Not applicable</x:v>
      </x:c>
      <x:c r="O1249" s="7" t="s">
        <x:v>1929</x:v>
      </x:c>
      <x:c r="P1249" s="7" t="s">
        <x:v>1921</x:v>
      </x:c>
      <x:c r="Q1249" s="7" t="s">
        <x:v>1930</x:v>
      </x:c>
      <x:c r="R1249" s="7" t="s">
        <x:v>1931</x:v>
      </x:c>
      <x:c r="S1249" s="7" t="s">
        <x:v>3378</x:v>
      </x:c>
      <x:c r="T1249" s="7" t="s">
        <x:v>4081</x:v>
      </x:c>
      <x:c r="U1249" s="7" t="s">
        <x:v>53</x:v>
      </x:c>
      <x:c r="V1249" s="7" t="s">
        <x:v>2020</x:v>
      </x:c>
      <x:c r="W1249" s="7" t="s">
        <x:v>58</x:v>
      </x:c>
      <x:c r="X1249" s="7" t="s">
        <x:v>4323</x:v>
      </x:c>
      <x:c r="Y1249" s="7" t="s">
        <x:v>1310</x:v>
      </x:c>
      <x:c r="Z1249" s="7" t="s">
        <x:v>4111</x:v>
      </x:c>
      <x:c r="AA1249" s="7" t="s">
        <x:v>58</x:v>
      </x:c>
      <x:c r="AB1249" s="8" t="s">
        <x:v>58</x:v>
      </x:c>
      <x:c r="AC1249" s="8" t="s">
        <x:v>58</x:v>
      </x:c>
      <x:c r="AD1249" s="8" t="s">
        <x:v>58</x:v>
      </x:c>
      <x:c r="AE1249" s="8" t="s">
        <x:v>58</x:v>
      </x:c>
      <x:c r="AF1249" s="8" t="s">
        <x:v>58</x:v>
      </x:c>
      <x:c r="AG1249" s="7" t="s">
        <x:v>58</x:v>
      </x:c>
    </x:row>
    <x:row r="1250" ht="66" hidden="0" customHeight="1">
      <x:c r="A1250" s="7" t="s">
        <x:v>4389</x:v>
      </x:c>
      <x:c r="B1250" s="7" t="s">
        <x:v>728</x:v>
      </x:c>
      <x:c r="C1250" s="7" t="s">
        <x:v>730</x:v>
      </x:c>
      <x:c r="D1250" s="7" t="s">
        <x:v>1945</x:v>
      </x:c>
      <x:c r="E1250" s="7" t="s">
        <x:v>4345</x:v>
      </x:c>
      <x:c r="F1250" s="7" t="s">
        <x:v>1929</x:v>
      </x:c>
      <x:c r="G1250" s="8" t="n">
        <x:v>39.5</x:v>
      </x:c>
      <x:c r="H1250" s="8" t="n">
        <x:v>1.5</x:v>
      </x:c>
      <x:c r="I1250" s="8" t="s">
        <x:v>58</x:v>
      </x:c>
      <x:c r="J1250" s="7" t="s">
        <x:v>1919</x:v>
      </x:c>
      <x:c r="K1250" s="8" t="n">
        <x:v>1</x:v>
      </x:c>
      <x:c r="L1250" s="8" t="n">
        <x:f aca="0">IF(AND(ISNUMBER(G1250),P1250&lt;&gt;"Unresolved unit / layout"),G1250*K1250,"Not applicable")</x:f>
        <x:v>39.5</x:v>
      </x:c>
      <x:c r="M1250" s="8" t="n">
        <x:f aca="0">IF(AND(ISNUMBER(H1250),P1250&lt;&gt;"Unresolved unit / layout"),H1250*K1250,"Not applicable")</x:f>
        <x:v>1.5</x:v>
      </x:c>
      <x:c r="N1250" s="8" t="str">
        <x:f aca="0">IF(AND(ISNUMBER(I1250),P1250&lt;&gt;"Unresolved unit / layout"),I1250*K1250,"Not applicable")</x:f>
        <x:v>Not applicable</x:v>
      </x:c>
      <x:c r="O1250" s="7" t="s">
        <x:v>1929</x:v>
      </x:c>
      <x:c r="P1250" s="7" t="s">
        <x:v>1921</x:v>
      </x:c>
      <x:c r="Q1250" s="7" t="s">
        <x:v>1930</x:v>
      </x:c>
      <x:c r="R1250" s="7" t="s">
        <x:v>2003</x:v>
      </x:c>
      <x:c r="S1250" s="7" t="s">
        <x:v>3378</x:v>
      </x:c>
      <x:c r="T1250" s="7" t="s">
        <x:v>4081</x:v>
      </x:c>
      <x:c r="U1250" s="7" t="s">
        <x:v>53</x:v>
      </x:c>
      <x:c r="V1250" s="7" t="s">
        <x:v>2020</x:v>
      </x:c>
      <x:c r="W1250" s="7" t="s">
        <x:v>58</x:v>
      </x:c>
      <x:c r="X1250" s="7" t="s">
        <x:v>4323</x:v>
      </x:c>
      <x:c r="Y1250" s="7" t="s">
        <x:v>1310</x:v>
      </x:c>
      <x:c r="Z1250" s="7" t="s">
        <x:v>4114</x:v>
      </x:c>
      <x:c r="AA1250" s="7" t="s">
        <x:v>58</x:v>
      </x:c>
      <x:c r="AB1250" s="8" t="s">
        <x:v>58</x:v>
      </x:c>
      <x:c r="AC1250" s="8" t="s">
        <x:v>58</x:v>
      </x:c>
      <x:c r="AD1250" s="8" t="s">
        <x:v>58</x:v>
      </x:c>
      <x:c r="AE1250" s="8" t="s">
        <x:v>58</x:v>
      </x:c>
      <x:c r="AF1250" s="8" t="s">
        <x:v>58</x:v>
      </x:c>
      <x:c r="AG1250" s="7" t="s">
        <x:v>58</x:v>
      </x:c>
    </x:row>
    <x:row r="1251" ht="66" hidden="0" customHeight="1">
      <x:c r="A1251" s="7" t="s">
        <x:v>4390</x:v>
      </x:c>
      <x:c r="B1251" s="7" t="s">
        <x:v>728</x:v>
      </x:c>
      <x:c r="C1251" s="7" t="s">
        <x:v>730</x:v>
      </x:c>
      <x:c r="D1251" s="7" t="s">
        <x:v>2030</x:v>
      </x:c>
      <x:c r="E1251" s="7" t="s">
        <x:v>4347</x:v>
      </x:c>
      <x:c r="F1251" s="7" t="s">
        <x:v>2032</x:v>
      </x:c>
      <x:c r="G1251" s="8" t="n">
        <x:v>5.9</x:v>
      </x:c>
      <x:c r="H1251" s="8" t="n">
        <x:v>0.4</x:v>
      </x:c>
      <x:c r="I1251" s="8" t="s">
        <x:v>58</x:v>
      </x:c>
      <x:c r="J1251" s="7" t="s">
        <x:v>1919</x:v>
      </x:c>
      <x:c r="K1251" s="8" t="n">
        <x:v>1</x:v>
      </x:c>
      <x:c r="L1251" s="8" t="n">
        <x:f aca="0">IF(AND(ISNUMBER(G1251),P1251&lt;&gt;"Unresolved unit / layout"),G1251*K1251,"Not applicable")</x:f>
        <x:v>5.9</x:v>
      </x:c>
      <x:c r="M1251" s="8" t="n">
        <x:f aca="0">IF(AND(ISNUMBER(H1251),P1251&lt;&gt;"Unresolved unit / layout"),H1251*K1251,"Not applicable")</x:f>
        <x:v>0.4</x:v>
      </x:c>
      <x:c r="N1251" s="8" t="str">
        <x:f aca="0">IF(AND(ISNUMBER(I1251),P1251&lt;&gt;"Unresolved unit / layout"),I1251*K1251,"Not applicable")</x:f>
        <x:v>Not applicable</x:v>
      </x:c>
      <x:c r="O1251" s="7" t="s">
        <x:v>2033</x:v>
      </x:c>
      <x:c r="P1251" s="7" t="s">
        <x:v>1921</x:v>
      </x:c>
      <x:c r="Q1251" s="7" t="s">
        <x:v>1930</x:v>
      </x:c>
      <x:c r="R1251" s="7" t="s">
        <x:v>1931</x:v>
      </x:c>
      <x:c r="S1251" s="7" t="s">
        <x:v>3378</x:v>
      </x:c>
      <x:c r="T1251" s="7" t="s">
        <x:v>4081</x:v>
      </x:c>
      <x:c r="U1251" s="7" t="s">
        <x:v>53</x:v>
      </x:c>
      <x:c r="V1251" s="7" t="s">
        <x:v>53</x:v>
      </x:c>
      <x:c r="W1251" s="7" t="s">
        <x:v>2139</x:v>
      </x:c>
      <x:c r="X1251" s="7" t="s">
        <x:v>4323</x:v>
      </x:c>
      <x:c r="Y1251" s="7" t="s">
        <x:v>1310</x:v>
      </x:c>
      <x:c r="Z1251" s="7" t="s">
        <x:v>4117</x:v>
      </x:c>
      <x:c r="AA1251" s="7" t="s">
        <x:v>58</x:v>
      </x:c>
      <x:c r="AB1251" s="8" t="s">
        <x:v>58</x:v>
      </x:c>
      <x:c r="AC1251" s="8" t="s">
        <x:v>58</x:v>
      </x:c>
      <x:c r="AD1251" s="8" t="s">
        <x:v>58</x:v>
      </x:c>
      <x:c r="AE1251" s="8" t="s">
        <x:v>58</x:v>
      </x:c>
      <x:c r="AF1251" s="8" t="s">
        <x:v>58</x:v>
      </x:c>
      <x:c r="AG1251" s="7" t="s">
        <x:v>58</x:v>
      </x:c>
    </x:row>
    <x:row r="1252" ht="66" hidden="0" customHeight="1">
      <x:c r="A1252" s="7" t="s">
        <x:v>4391</x:v>
      </x:c>
      <x:c r="B1252" s="7" t="s">
        <x:v>728</x:v>
      </x:c>
      <x:c r="C1252" s="7" t="s">
        <x:v>730</x:v>
      </x:c>
      <x:c r="D1252" s="7" t="s">
        <x:v>2030</x:v>
      </x:c>
      <x:c r="E1252" s="7" t="s">
        <x:v>4349</x:v>
      </x:c>
      <x:c r="F1252" s="7" t="s">
        <x:v>2032</x:v>
      </x:c>
      <x:c r="G1252" s="8" t="n">
        <x:v>24.1</x:v>
      </x:c>
      <x:c r="H1252" s="8" t="n">
        <x:v>2.4</x:v>
      </x:c>
      <x:c r="I1252" s="8" t="s">
        <x:v>58</x:v>
      </x:c>
      <x:c r="J1252" s="7" t="s">
        <x:v>1919</x:v>
      </x:c>
      <x:c r="K1252" s="8" t="n">
        <x:v>1</x:v>
      </x:c>
      <x:c r="L1252" s="8" t="n">
        <x:f aca="0">IF(AND(ISNUMBER(G1252),P1252&lt;&gt;"Unresolved unit / layout"),G1252*K1252,"Not applicable")</x:f>
        <x:v>24.1</x:v>
      </x:c>
      <x:c r="M1252" s="8" t="n">
        <x:f aca="0">IF(AND(ISNUMBER(H1252),P1252&lt;&gt;"Unresolved unit / layout"),H1252*K1252,"Not applicable")</x:f>
        <x:v>2.4</x:v>
      </x:c>
      <x:c r="N1252" s="8" t="str">
        <x:f aca="0">IF(AND(ISNUMBER(I1252),P1252&lt;&gt;"Unresolved unit / layout"),I1252*K1252,"Not applicable")</x:f>
        <x:v>Not applicable</x:v>
      </x:c>
      <x:c r="O1252" s="7" t="s">
        <x:v>2033</x:v>
      </x:c>
      <x:c r="P1252" s="7" t="s">
        <x:v>1921</x:v>
      </x:c>
      <x:c r="Q1252" s="7" t="s">
        <x:v>1930</x:v>
      </x:c>
      <x:c r="R1252" s="7" t="s">
        <x:v>1931</x:v>
      </x:c>
      <x:c r="S1252" s="7" t="s">
        <x:v>3378</x:v>
      </x:c>
      <x:c r="T1252" s="7" t="s">
        <x:v>4081</x:v>
      </x:c>
      <x:c r="U1252" s="7" t="s">
        <x:v>53</x:v>
      </x:c>
      <x:c r="V1252" s="7" t="s">
        <x:v>2036</x:v>
      </x:c>
      <x:c r="W1252" s="7" t="s">
        <x:v>2139</x:v>
      </x:c>
      <x:c r="X1252" s="7" t="s">
        <x:v>4323</x:v>
      </x:c>
      <x:c r="Y1252" s="7" t="s">
        <x:v>1310</x:v>
      </x:c>
      <x:c r="Z1252" s="7" t="s">
        <x:v>4120</x:v>
      </x:c>
      <x:c r="AA1252" s="7" t="s">
        <x:v>58</x:v>
      </x:c>
      <x:c r="AB1252" s="8" t="s">
        <x:v>58</x:v>
      </x:c>
      <x:c r="AC1252" s="8" t="s">
        <x:v>58</x:v>
      </x:c>
      <x:c r="AD1252" s="8" t="s">
        <x:v>58</x:v>
      </x:c>
      <x:c r="AE1252" s="8" t="s">
        <x:v>58</x:v>
      </x:c>
      <x:c r="AF1252" s="8" t="s">
        <x:v>58</x:v>
      </x:c>
      <x:c r="AG1252" s="7" t="s">
        <x:v>58</x:v>
      </x:c>
    </x:row>
    <x:row r="1253" ht="66" hidden="0" customHeight="1">
      <x:c r="A1253" s="7" t="s">
        <x:v>4392</x:v>
      </x:c>
      <x:c r="B1253" s="7" t="s">
        <x:v>728</x:v>
      </x:c>
      <x:c r="C1253" s="7" t="s">
        <x:v>730</x:v>
      </x:c>
      <x:c r="D1253" s="7" t="s">
        <x:v>2030</x:v>
      </x:c>
      <x:c r="E1253" s="7" t="s">
        <x:v>4351</x:v>
      </x:c>
      <x:c r="F1253" s="7" t="s">
        <x:v>2032</x:v>
      </x:c>
      <x:c r="G1253" s="8" t="n">
        <x:v>4.5</x:v>
      </x:c>
      <x:c r="H1253" s="8" t="n">
        <x:v>0.2</x:v>
      </x:c>
      <x:c r="I1253" s="8" t="s">
        <x:v>58</x:v>
      </x:c>
      <x:c r="J1253" s="7" t="s">
        <x:v>1919</x:v>
      </x:c>
      <x:c r="K1253" s="8" t="n">
        <x:v>1</x:v>
      </x:c>
      <x:c r="L1253" s="8" t="n">
        <x:f aca="0">IF(AND(ISNUMBER(G1253),P1253&lt;&gt;"Unresolved unit / layout"),G1253*K1253,"Not applicable")</x:f>
        <x:v>4.5</x:v>
      </x:c>
      <x:c r="M1253" s="8" t="n">
        <x:f aca="0">IF(AND(ISNUMBER(H1253),P1253&lt;&gt;"Unresolved unit / layout"),H1253*K1253,"Not applicable")</x:f>
        <x:v>0.2</x:v>
      </x:c>
      <x:c r="N1253" s="8" t="str">
        <x:f aca="0">IF(AND(ISNUMBER(I1253),P1253&lt;&gt;"Unresolved unit / layout"),I1253*K1253,"Not applicable")</x:f>
        <x:v>Not applicable</x:v>
      </x:c>
      <x:c r="O1253" s="7" t="s">
        <x:v>2033</x:v>
      </x:c>
      <x:c r="P1253" s="7" t="s">
        <x:v>1921</x:v>
      </x:c>
      <x:c r="Q1253" s="7" t="s">
        <x:v>1930</x:v>
      </x:c>
      <x:c r="R1253" s="7" t="s">
        <x:v>2003</x:v>
      </x:c>
      <x:c r="S1253" s="7" t="s">
        <x:v>3378</x:v>
      </x:c>
      <x:c r="T1253" s="7" t="s">
        <x:v>4081</x:v>
      </x:c>
      <x:c r="U1253" s="7" t="s">
        <x:v>53</x:v>
      </x:c>
      <x:c r="V1253" s="7" t="s">
        <x:v>2036</x:v>
      </x:c>
      <x:c r="W1253" s="7" t="s">
        <x:v>2139</x:v>
      </x:c>
      <x:c r="X1253" s="7" t="s">
        <x:v>4323</x:v>
      </x:c>
      <x:c r="Y1253" s="7" t="s">
        <x:v>1310</x:v>
      </x:c>
      <x:c r="Z1253" s="7" t="s">
        <x:v>4123</x:v>
      </x:c>
      <x:c r="AA1253" s="7" t="s">
        <x:v>58</x:v>
      </x:c>
      <x:c r="AB1253" s="8" t="s">
        <x:v>58</x:v>
      </x:c>
      <x:c r="AC1253" s="8" t="s">
        <x:v>58</x:v>
      </x:c>
      <x:c r="AD1253" s="8" t="s">
        <x:v>58</x:v>
      </x:c>
      <x:c r="AE1253" s="8" t="s">
        <x:v>58</x:v>
      </x:c>
      <x:c r="AF1253" s="8" t="s">
        <x:v>58</x:v>
      </x:c>
      <x:c r="AG1253" s="7" t="s">
        <x:v>58</x:v>
      </x:c>
    </x:row>
    <x:row r="1254" ht="66" hidden="0" customHeight="1">
      <x:c r="A1254" s="7" t="s">
        <x:v>4393</x:v>
      </x:c>
      <x:c r="B1254" s="7" t="s">
        <x:v>728</x:v>
      </x:c>
      <x:c r="C1254" s="7" t="s">
        <x:v>730</x:v>
      </x:c>
      <x:c r="D1254" s="7" t="s">
        <x:v>1935</x:v>
      </x:c>
      <x:c r="E1254" s="7" t="s">
        <x:v>4353</x:v>
      </x:c>
      <x:c r="F1254" s="7" t="s">
        <x:v>1929</x:v>
      </x:c>
      <x:c r="G1254" s="8" t="n">
        <x:v>3730.8</x:v>
      </x:c>
      <x:c r="H1254" s="8" t="n">
        <x:v>156.2</x:v>
      </x:c>
      <x:c r="I1254" s="8" t="s">
        <x:v>58</x:v>
      </x:c>
      <x:c r="J1254" s="7" t="s">
        <x:v>1919</x:v>
      </x:c>
      <x:c r="K1254" s="8" t="n">
        <x:v>0.001</x:v>
      </x:c>
      <x:c r="L1254" s="8" t="n">
        <x:f aca="0">IF(AND(ISNUMBER(G1254),P1254&lt;&gt;"Unresolved unit / layout"),G1254*K1254,"Not applicable")</x:f>
        <x:v>3.7308000000000003</x:v>
      </x:c>
      <x:c r="M1254" s="8" t="n">
        <x:f aca="0">IF(AND(ISNUMBER(H1254),P1254&lt;&gt;"Unresolved unit / layout"),H1254*K1254,"Not applicable")</x:f>
        <x:v>0.1562</x:v>
      </x:c>
      <x:c r="N1254" s="8" t="str">
        <x:f aca="0">IF(AND(ISNUMBER(I1254),P1254&lt;&gt;"Unresolved unit / layout"),I1254*K1254,"Not applicable")</x:f>
        <x:v>Not applicable</x:v>
      </x:c>
      <x:c r="O1254" s="7" t="s">
        <x:v>1937</x:v>
      </x:c>
      <x:c r="P1254" s="7" t="s">
        <x:v>1921</x:v>
      </x:c>
      <x:c r="Q1254" s="7" t="s">
        <x:v>1930</x:v>
      </x:c>
      <x:c r="R1254" s="7" t="s">
        <x:v>1931</x:v>
      </x:c>
      <x:c r="S1254" s="7" t="s">
        <x:v>4126</x:v>
      </x:c>
      <x:c r="T1254" s="7" t="s">
        <x:v>4081</x:v>
      </x:c>
      <x:c r="U1254" s="7" t="s">
        <x:v>53</x:v>
      </x:c>
      <x:c r="V1254" s="7" t="s">
        <x:v>1999</x:v>
      </x:c>
      <x:c r="W1254" s="7" t="s">
        <x:v>58</x:v>
      </x:c>
      <x:c r="X1254" s="7" t="s">
        <x:v>4323</x:v>
      </x:c>
      <x:c r="Y1254" s="7" t="s">
        <x:v>1310</x:v>
      </x:c>
      <x:c r="Z1254" s="7" t="s">
        <x:v>4089</x:v>
      </x:c>
      <x:c r="AA1254" s="7" t="s">
        <x:v>58</x:v>
      </x:c>
      <x:c r="AB1254" s="8" t="s">
        <x:v>58</x:v>
      </x:c>
      <x:c r="AC1254" s="8" t="s">
        <x:v>58</x:v>
      </x:c>
      <x:c r="AD1254" s="8" t="s">
        <x:v>58</x:v>
      </x:c>
      <x:c r="AE1254" s="8" t="s">
        <x:v>58</x:v>
      </x:c>
      <x:c r="AF1254" s="8" t="s">
        <x:v>58</x:v>
      </x:c>
      <x:c r="AG1254" s="7" t="s">
        <x:v>58</x:v>
      </x:c>
    </x:row>
    <x:row r="1255" ht="66" hidden="0" customHeight="1">
      <x:c r="A1255" s="7" t="s">
        <x:v>4394</x:v>
      </x:c>
      <x:c r="B1255" s="7" t="s">
        <x:v>728</x:v>
      </x:c>
      <x:c r="C1255" s="7" t="s">
        <x:v>730</x:v>
      </x:c>
      <x:c r="D1255" s="7" t="s">
        <x:v>1935</x:v>
      </x:c>
      <x:c r="E1255" s="7" t="s">
        <x:v>4355</x:v>
      </x:c>
      <x:c r="F1255" s="7" t="s">
        <x:v>1929</x:v>
      </x:c>
      <x:c r="G1255" s="8" t="n">
        <x:v>1343.9</x:v>
      </x:c>
      <x:c r="H1255" s="8" t="n">
        <x:v>99.5</x:v>
      </x:c>
      <x:c r="I1255" s="8" t="s">
        <x:v>58</x:v>
      </x:c>
      <x:c r="J1255" s="7" t="s">
        <x:v>1919</x:v>
      </x:c>
      <x:c r="K1255" s="8" t="n">
        <x:v>0.001</x:v>
      </x:c>
      <x:c r="L1255" s="8" t="n">
        <x:f aca="0">IF(AND(ISNUMBER(G1255),P1255&lt;&gt;"Unresolved unit / layout"),G1255*K1255,"Not applicable")</x:f>
        <x:v>1.3439</x:v>
      </x:c>
      <x:c r="M1255" s="8" t="n">
        <x:f aca="0">IF(AND(ISNUMBER(H1255),P1255&lt;&gt;"Unresolved unit / layout"),H1255*K1255,"Not applicable")</x:f>
        <x:v>0.0995</x:v>
      </x:c>
      <x:c r="N1255" s="8" t="str">
        <x:f aca="0">IF(AND(ISNUMBER(I1255),P1255&lt;&gt;"Unresolved unit / layout"),I1255*K1255,"Not applicable")</x:f>
        <x:v>Not applicable</x:v>
      </x:c>
      <x:c r="O1255" s="7" t="s">
        <x:v>1937</x:v>
      </x:c>
      <x:c r="P1255" s="7" t="s">
        <x:v>1921</x:v>
      </x:c>
      <x:c r="Q1255" s="7" t="s">
        <x:v>1930</x:v>
      </x:c>
      <x:c r="R1255" s="7" t="s">
        <x:v>2003</x:v>
      </x:c>
      <x:c r="S1255" s="7" t="s">
        <x:v>4126</x:v>
      </x:c>
      <x:c r="T1255" s="7" t="s">
        <x:v>4081</x:v>
      </x:c>
      <x:c r="U1255" s="7" t="s">
        <x:v>53</x:v>
      </x:c>
      <x:c r="V1255" s="7" t="s">
        <x:v>1999</x:v>
      </x:c>
      <x:c r="W1255" s="7" t="s">
        <x:v>58</x:v>
      </x:c>
      <x:c r="X1255" s="7" t="s">
        <x:v>4323</x:v>
      </x:c>
      <x:c r="Y1255" s="7" t="s">
        <x:v>1310</x:v>
      </x:c>
      <x:c r="Z1255" s="7" t="s">
        <x:v>4092</x:v>
      </x:c>
      <x:c r="AA1255" s="7" t="s">
        <x:v>58</x:v>
      </x:c>
      <x:c r="AB1255" s="8" t="s">
        <x:v>58</x:v>
      </x:c>
      <x:c r="AC1255" s="8" t="s">
        <x:v>58</x:v>
      </x:c>
      <x:c r="AD1255" s="8" t="s">
        <x:v>58</x:v>
      </x:c>
      <x:c r="AE1255" s="8" t="s">
        <x:v>58</x:v>
      </x:c>
      <x:c r="AF1255" s="8" t="s">
        <x:v>58</x:v>
      </x:c>
      <x:c r="AG1255" s="7" t="s">
        <x:v>58</x:v>
      </x:c>
    </x:row>
    <x:row r="1256" ht="66" hidden="0" customHeight="1">
      <x:c r="A1256" s="7" t="s">
        <x:v>4395</x:v>
      </x:c>
      <x:c r="B1256" s="7" t="s">
        <x:v>728</x:v>
      </x:c>
      <x:c r="C1256" s="7" t="s">
        <x:v>730</x:v>
      </x:c>
      <x:c r="D1256" s="7" t="s">
        <x:v>2006</x:v>
      </x:c>
      <x:c r="E1256" s="7" t="s">
        <x:v>4357</x:v>
      </x:c>
      <x:c r="F1256" s="7" t="s">
        <x:v>1929</x:v>
      </x:c>
      <x:c r="G1256" s="8" t="n">
        <x:v>73.6</x:v>
      </x:c>
      <x:c r="H1256" s="8" t="n">
        <x:v>2.3</x:v>
      </x:c>
      <x:c r="I1256" s="8" t="s">
        <x:v>58</x:v>
      </x:c>
      <x:c r="J1256" s="7" t="s">
        <x:v>1919</x:v>
      </x:c>
      <x:c r="K1256" s="8" t="n">
        <x:v>1</x:v>
      </x:c>
      <x:c r="L1256" s="8" t="n">
        <x:f aca="0">IF(AND(ISNUMBER(G1256),P1256&lt;&gt;"Unresolved unit / layout"),G1256*K1256,"Not applicable")</x:f>
        <x:v>73.6</x:v>
      </x:c>
      <x:c r="M1256" s="8" t="n">
        <x:f aca="0">IF(AND(ISNUMBER(H1256),P1256&lt;&gt;"Unresolved unit / layout"),H1256*K1256,"Not applicable")</x:f>
        <x:v>2.3</x:v>
      </x:c>
      <x:c r="N1256" s="8" t="str">
        <x:f aca="0">IF(AND(ISNUMBER(I1256),P1256&lt;&gt;"Unresolved unit / layout"),I1256*K1256,"Not applicable")</x:f>
        <x:v>Not applicable</x:v>
      </x:c>
      <x:c r="O1256" s="7" t="s">
        <x:v>1929</x:v>
      </x:c>
      <x:c r="P1256" s="7" t="s">
        <x:v>1921</x:v>
      </x:c>
      <x:c r="Q1256" s="7" t="s">
        <x:v>1930</x:v>
      </x:c>
      <x:c r="R1256" s="7" t="s">
        <x:v>1931</x:v>
      </x:c>
      <x:c r="S1256" s="7" t="s">
        <x:v>4126</x:v>
      </x:c>
      <x:c r="T1256" s="7" t="s">
        <x:v>4081</x:v>
      </x:c>
      <x:c r="U1256" s="7" t="s">
        <x:v>53</x:v>
      </x:c>
      <x:c r="V1256" s="7" t="s">
        <x:v>1999</x:v>
      </x:c>
      <x:c r="W1256" s="7" t="s">
        <x:v>58</x:v>
      </x:c>
      <x:c r="X1256" s="7" t="s">
        <x:v>4323</x:v>
      </x:c>
      <x:c r="Y1256" s="7" t="s">
        <x:v>1310</x:v>
      </x:c>
      <x:c r="Z1256" s="7" t="s">
        <x:v>4095</x:v>
      </x:c>
      <x:c r="AA1256" s="7" t="s">
        <x:v>58</x:v>
      </x:c>
      <x:c r="AB1256" s="8" t="s">
        <x:v>58</x:v>
      </x:c>
      <x:c r="AC1256" s="8" t="s">
        <x:v>58</x:v>
      </x:c>
      <x:c r="AD1256" s="8" t="s">
        <x:v>58</x:v>
      </x:c>
      <x:c r="AE1256" s="8" t="s">
        <x:v>58</x:v>
      </x:c>
      <x:c r="AF1256" s="8" t="s">
        <x:v>58</x:v>
      </x:c>
      <x:c r="AG1256" s="7" t="s">
        <x:v>58</x:v>
      </x:c>
    </x:row>
    <x:row r="1257" ht="66" hidden="0" customHeight="1">
      <x:c r="A1257" s="7" t="s">
        <x:v>4396</x:v>
      </x:c>
      <x:c r="B1257" s="7" t="s">
        <x:v>728</x:v>
      </x:c>
      <x:c r="C1257" s="7" t="s">
        <x:v>730</x:v>
      </x:c>
      <x:c r="D1257" s="7" t="s">
        <x:v>2006</x:v>
      </x:c>
      <x:c r="E1257" s="7" t="s">
        <x:v>4359</x:v>
      </x:c>
      <x:c r="F1257" s="7" t="s">
        <x:v>1929</x:v>
      </x:c>
      <x:c r="G1257" s="8" t="n">
        <x:v>19.2</x:v>
      </x:c>
      <x:c r="H1257" s="8" t="n">
        <x:v>1.6</x:v>
      </x:c>
      <x:c r="I1257" s="8" t="s">
        <x:v>58</x:v>
      </x:c>
      <x:c r="J1257" s="7" t="s">
        <x:v>1919</x:v>
      </x:c>
      <x:c r="K1257" s="8" t="n">
        <x:v>1</x:v>
      </x:c>
      <x:c r="L1257" s="8" t="n">
        <x:f aca="0">IF(AND(ISNUMBER(G1257),P1257&lt;&gt;"Unresolved unit / layout"),G1257*K1257,"Not applicable")</x:f>
        <x:v>19.2</x:v>
      </x:c>
      <x:c r="M1257" s="8" t="n">
        <x:f aca="0">IF(AND(ISNUMBER(H1257),P1257&lt;&gt;"Unresolved unit / layout"),H1257*K1257,"Not applicable")</x:f>
        <x:v>1.6</x:v>
      </x:c>
      <x:c r="N1257" s="8" t="str">
        <x:f aca="0">IF(AND(ISNUMBER(I1257),P1257&lt;&gt;"Unresolved unit / layout"),I1257*K1257,"Not applicable")</x:f>
        <x:v>Not applicable</x:v>
      </x:c>
      <x:c r="O1257" s="7" t="s">
        <x:v>1929</x:v>
      </x:c>
      <x:c r="P1257" s="7" t="s">
        <x:v>1921</x:v>
      </x:c>
      <x:c r="Q1257" s="7" t="s">
        <x:v>1930</x:v>
      </x:c>
      <x:c r="R1257" s="7" t="s">
        <x:v>2003</x:v>
      </x:c>
      <x:c r="S1257" s="7" t="s">
        <x:v>4126</x:v>
      </x:c>
      <x:c r="T1257" s="7" t="s">
        <x:v>4081</x:v>
      </x:c>
      <x:c r="U1257" s="7" t="s">
        <x:v>53</x:v>
      </x:c>
      <x:c r="V1257" s="7" t="s">
        <x:v>1999</x:v>
      </x:c>
      <x:c r="W1257" s="7" t="s">
        <x:v>58</x:v>
      </x:c>
      <x:c r="X1257" s="7" t="s">
        <x:v>4323</x:v>
      </x:c>
      <x:c r="Y1257" s="7" t="s">
        <x:v>1310</x:v>
      </x:c>
      <x:c r="Z1257" s="7" t="s">
        <x:v>3497</x:v>
      </x:c>
      <x:c r="AA1257" s="7" t="s">
        <x:v>58</x:v>
      </x:c>
      <x:c r="AB1257" s="8" t="s">
        <x:v>58</x:v>
      </x:c>
      <x:c r="AC1257" s="8" t="s">
        <x:v>58</x:v>
      </x:c>
      <x:c r="AD1257" s="8" t="s">
        <x:v>58</x:v>
      </x:c>
      <x:c r="AE1257" s="8" t="s">
        <x:v>58</x:v>
      </x:c>
      <x:c r="AF1257" s="8" t="s">
        <x:v>58</x:v>
      </x:c>
      <x:c r="AG1257" s="7" t="s">
        <x:v>58</x:v>
      </x:c>
    </x:row>
    <x:row r="1258" ht="66" hidden="0" customHeight="1">
      <x:c r="A1258" s="7" t="s">
        <x:v>4397</x:v>
      </x:c>
      <x:c r="B1258" s="7" t="s">
        <x:v>728</x:v>
      </x:c>
      <x:c r="C1258" s="7" t="s">
        <x:v>730</x:v>
      </x:c>
      <x:c r="D1258" s="7" t="s">
        <x:v>1940</x:v>
      </x:c>
      <x:c r="E1258" s="7" t="s">
        <x:v>4361</x:v>
      </x:c>
      <x:c r="F1258" s="7" t="s">
        <x:v>1942</x:v>
      </x:c>
      <x:c r="G1258" s="8" t="n">
        <x:v>4.2</x:v>
      </x:c>
      <x:c r="H1258" s="8" t="n">
        <x:v>0.4</x:v>
      </x:c>
      <x:c r="I1258" s="8" t="s">
        <x:v>58</x:v>
      </x:c>
      <x:c r="J1258" s="7" t="s">
        <x:v>1919</x:v>
      </x:c>
      <x:c r="K1258" s="8" t="n">
        <x:v>1</x:v>
      </x:c>
      <x:c r="L1258" s="8" t="n">
        <x:f aca="0">IF(AND(ISNUMBER(G1258),P1258&lt;&gt;"Unresolved unit / layout"),G1258*K1258,"Not applicable")</x:f>
        <x:v>4.2</x:v>
      </x:c>
      <x:c r="M1258" s="8" t="n">
        <x:f aca="0">IF(AND(ISNUMBER(H1258),P1258&lt;&gt;"Unresolved unit / layout"),H1258*K1258,"Not applicable")</x:f>
        <x:v>0.4</x:v>
      </x:c>
      <x:c r="N1258" s="8" t="str">
        <x:f aca="0">IF(AND(ISNUMBER(I1258),P1258&lt;&gt;"Unresolved unit / layout"),I1258*K1258,"Not applicable")</x:f>
        <x:v>Not applicable</x:v>
      </x:c>
      <x:c r="O1258" s="7" t="s">
        <x:v>1942</x:v>
      </x:c>
      <x:c r="P1258" s="7" t="s">
        <x:v>1921</x:v>
      </x:c>
      <x:c r="Q1258" s="7" t="s">
        <x:v>1930</x:v>
      </x:c>
      <x:c r="R1258" s="7" t="s">
        <x:v>1931</x:v>
      </x:c>
      <x:c r="S1258" s="7" t="s">
        <x:v>4126</x:v>
      </x:c>
      <x:c r="T1258" s="7" t="s">
        <x:v>4081</x:v>
      </x:c>
      <x:c r="U1258" s="7" t="s">
        <x:v>53</x:v>
      </x:c>
      <x:c r="V1258" s="7" t="s">
        <x:v>1999</x:v>
      </x:c>
      <x:c r="W1258" s="7" t="s">
        <x:v>58</x:v>
      </x:c>
      <x:c r="X1258" s="7" t="s">
        <x:v>4323</x:v>
      </x:c>
      <x:c r="Y1258" s="7" t="s">
        <x:v>1310</x:v>
      </x:c>
      <x:c r="Z1258" s="7" t="s">
        <x:v>4100</x:v>
      </x:c>
      <x:c r="AA1258" s="7" t="s">
        <x:v>58</x:v>
      </x:c>
      <x:c r="AB1258" s="8" t="s">
        <x:v>58</x:v>
      </x:c>
      <x:c r="AC1258" s="8" t="s">
        <x:v>58</x:v>
      </x:c>
      <x:c r="AD1258" s="8" t="s">
        <x:v>58</x:v>
      </x:c>
      <x:c r="AE1258" s="8" t="s">
        <x:v>58</x:v>
      </x:c>
      <x:c r="AF1258" s="8" t="s">
        <x:v>58</x:v>
      </x:c>
      <x:c r="AG1258" s="7" t="s">
        <x:v>58</x:v>
      </x:c>
    </x:row>
    <x:row r="1259" ht="66" hidden="0" customHeight="1">
      <x:c r="A1259" s="7" t="s">
        <x:v>4398</x:v>
      </x:c>
      <x:c r="B1259" s="7" t="s">
        <x:v>728</x:v>
      </x:c>
      <x:c r="C1259" s="7" t="s">
        <x:v>730</x:v>
      </x:c>
      <x:c r="D1259" s="7" t="s">
        <x:v>1940</x:v>
      </x:c>
      <x:c r="E1259" s="7" t="s">
        <x:v>4363</x:v>
      </x:c>
      <x:c r="F1259" s="7" t="s">
        <x:v>1942</x:v>
      </x:c>
      <x:c r="G1259" s="8" t="n">
        <x:v>1.9</x:v>
      </x:c>
      <x:c r="H1259" s="8" t="n">
        <x:v>0.2</x:v>
      </x:c>
      <x:c r="I1259" s="8" t="s">
        <x:v>58</x:v>
      </x:c>
      <x:c r="J1259" s="7" t="s">
        <x:v>1919</x:v>
      </x:c>
      <x:c r="K1259" s="8" t="n">
        <x:v>1</x:v>
      </x:c>
      <x:c r="L1259" s="8" t="n">
        <x:f aca="0">IF(AND(ISNUMBER(G1259),P1259&lt;&gt;"Unresolved unit / layout"),G1259*K1259,"Not applicable")</x:f>
        <x:v>1.9</x:v>
      </x:c>
      <x:c r="M1259" s="8" t="n">
        <x:f aca="0">IF(AND(ISNUMBER(H1259),P1259&lt;&gt;"Unresolved unit / layout"),H1259*K1259,"Not applicable")</x:f>
        <x:v>0.2</x:v>
      </x:c>
      <x:c r="N1259" s="8" t="str">
        <x:f aca="0">IF(AND(ISNUMBER(I1259),P1259&lt;&gt;"Unresolved unit / layout"),I1259*K1259,"Not applicable")</x:f>
        <x:v>Not applicable</x:v>
      </x:c>
      <x:c r="O1259" s="7" t="s">
        <x:v>1942</x:v>
      </x:c>
      <x:c r="P1259" s="7" t="s">
        <x:v>1921</x:v>
      </x:c>
      <x:c r="Q1259" s="7" t="s">
        <x:v>1930</x:v>
      </x:c>
      <x:c r="R1259" s="7" t="s">
        <x:v>2003</x:v>
      </x:c>
      <x:c r="S1259" s="7" t="s">
        <x:v>4126</x:v>
      </x:c>
      <x:c r="T1259" s="7" t="s">
        <x:v>4081</x:v>
      </x:c>
      <x:c r="U1259" s="7" t="s">
        <x:v>53</x:v>
      </x:c>
      <x:c r="V1259" s="7" t="s">
        <x:v>1999</x:v>
      </x:c>
      <x:c r="W1259" s="7" t="s">
        <x:v>58</x:v>
      </x:c>
      <x:c r="X1259" s="7" t="s">
        <x:v>4323</x:v>
      </x:c>
      <x:c r="Y1259" s="7" t="s">
        <x:v>1310</x:v>
      </x:c>
      <x:c r="Z1259" s="7" t="s">
        <x:v>3503</x:v>
      </x:c>
      <x:c r="AA1259" s="7" t="s">
        <x:v>58</x:v>
      </x:c>
      <x:c r="AB1259" s="8" t="s">
        <x:v>58</x:v>
      </x:c>
      <x:c r="AC1259" s="8" t="s">
        <x:v>58</x:v>
      </x:c>
      <x:c r="AD1259" s="8" t="s">
        <x:v>58</x:v>
      </x:c>
      <x:c r="AE1259" s="8" t="s">
        <x:v>58</x:v>
      </x:c>
      <x:c r="AF1259" s="8" t="s">
        <x:v>58</x:v>
      </x:c>
      <x:c r="AG1259" s="7" t="s">
        <x:v>58</x:v>
      </x:c>
    </x:row>
    <x:row r="1260" ht="66" hidden="0" customHeight="1">
      <x:c r="A1260" s="7" t="s">
        <x:v>4399</x:v>
      </x:c>
      <x:c r="B1260" s="7" t="s">
        <x:v>728</x:v>
      </x:c>
      <x:c r="C1260" s="7" t="s">
        <x:v>730</x:v>
      </x:c>
      <x:c r="D1260" s="7" t="s">
        <x:v>1950</x:v>
      </x:c>
      <x:c r="E1260" s="7" t="s">
        <x:v>4365</x:v>
      </x:c>
      <x:c r="F1260" s="7" t="s">
        <x:v>1929</x:v>
      </x:c>
      <x:c r="G1260" s="8" t="n">
        <x:v>3056.1</x:v>
      </x:c>
      <x:c r="H1260" s="8" t="n">
        <x:v>175.5</x:v>
      </x:c>
      <x:c r="I1260" s="8" t="s">
        <x:v>58</x:v>
      </x:c>
      <x:c r="J1260" s="7" t="s">
        <x:v>1919</x:v>
      </x:c>
      <x:c r="K1260" s="8" t="n">
        <x:v>0.001</x:v>
      </x:c>
      <x:c r="L1260" s="8" t="n">
        <x:f aca="0">IF(AND(ISNUMBER(G1260),P1260&lt;&gt;"Unresolved unit / layout"),G1260*K1260,"Not applicable")</x:f>
        <x:v>3.0561</x:v>
      </x:c>
      <x:c r="M1260" s="8" t="n">
        <x:f aca="0">IF(AND(ISNUMBER(H1260),P1260&lt;&gt;"Unresolved unit / layout"),H1260*K1260,"Not applicable")</x:f>
        <x:v>0.17550000000000002</x:v>
      </x:c>
      <x:c r="N1260" s="8" t="str">
        <x:f aca="0">IF(AND(ISNUMBER(I1260),P1260&lt;&gt;"Unresolved unit / layout"),I1260*K1260,"Not applicable")</x:f>
        <x:v>Not applicable</x:v>
      </x:c>
      <x:c r="O1260" s="7" t="s">
        <x:v>1937</x:v>
      </x:c>
      <x:c r="P1260" s="7" t="s">
        <x:v>1921</x:v>
      </x:c>
      <x:c r="Q1260" s="7" t="s">
        <x:v>1930</x:v>
      </x:c>
      <x:c r="R1260" s="7" t="s">
        <x:v>1931</x:v>
      </x:c>
      <x:c r="S1260" s="7" t="s">
        <x:v>4126</x:v>
      </x:c>
      <x:c r="T1260" s="7" t="s">
        <x:v>4081</x:v>
      </x:c>
      <x:c r="U1260" s="7" t="s">
        <x:v>53</x:v>
      </x:c>
      <x:c r="V1260" s="7" t="s">
        <x:v>2020</x:v>
      </x:c>
      <x:c r="W1260" s="7" t="s">
        <x:v>58</x:v>
      </x:c>
      <x:c r="X1260" s="7" t="s">
        <x:v>4323</x:v>
      </x:c>
      <x:c r="Y1260" s="7" t="s">
        <x:v>1310</x:v>
      </x:c>
      <x:c r="Z1260" s="7" t="s">
        <x:v>4105</x:v>
      </x:c>
      <x:c r="AA1260" s="7" t="s">
        <x:v>58</x:v>
      </x:c>
      <x:c r="AB1260" s="8" t="s">
        <x:v>58</x:v>
      </x:c>
      <x:c r="AC1260" s="8" t="s">
        <x:v>58</x:v>
      </x:c>
      <x:c r="AD1260" s="8" t="s">
        <x:v>58</x:v>
      </x:c>
      <x:c r="AE1260" s="8" t="s">
        <x:v>58</x:v>
      </x:c>
      <x:c r="AF1260" s="8" t="s">
        <x:v>58</x:v>
      </x:c>
      <x:c r="AG1260" s="7" t="s">
        <x:v>58</x:v>
      </x:c>
    </x:row>
    <x:row r="1261" ht="66" hidden="0" customHeight="1">
      <x:c r="A1261" s="7" t="s">
        <x:v>4400</x:v>
      </x:c>
      <x:c r="B1261" s="7" t="s">
        <x:v>728</x:v>
      </x:c>
      <x:c r="C1261" s="7" t="s">
        <x:v>730</x:v>
      </x:c>
      <x:c r="D1261" s="7" t="s">
        <x:v>1950</x:v>
      </x:c>
      <x:c r="E1261" s="7" t="s">
        <x:v>4367</x:v>
      </x:c>
      <x:c r="F1261" s="7" t="s">
        <x:v>1929</x:v>
      </x:c>
      <x:c r="G1261" s="8" t="n">
        <x:v>1420.1</x:v>
      </x:c>
      <x:c r="H1261" s="8" t="n">
        <x:v>114</x:v>
      </x:c>
      <x:c r="I1261" s="8" t="s">
        <x:v>58</x:v>
      </x:c>
      <x:c r="J1261" s="7" t="s">
        <x:v>1919</x:v>
      </x:c>
      <x:c r="K1261" s="8" t="n">
        <x:v>0.001</x:v>
      </x:c>
      <x:c r="L1261" s="8" t="n">
        <x:f aca="0">IF(AND(ISNUMBER(G1261),P1261&lt;&gt;"Unresolved unit / layout"),G1261*K1261,"Not applicable")</x:f>
        <x:v>1.4201</x:v>
      </x:c>
      <x:c r="M1261" s="8" t="n">
        <x:f aca="0">IF(AND(ISNUMBER(H1261),P1261&lt;&gt;"Unresolved unit / layout"),H1261*K1261,"Not applicable")</x:f>
        <x:v>0.114</x:v>
      </x:c>
      <x:c r="N1261" s="8" t="str">
        <x:f aca="0">IF(AND(ISNUMBER(I1261),P1261&lt;&gt;"Unresolved unit / layout"),I1261*K1261,"Not applicable")</x:f>
        <x:v>Not applicable</x:v>
      </x:c>
      <x:c r="O1261" s="7" t="s">
        <x:v>1937</x:v>
      </x:c>
      <x:c r="P1261" s="7" t="s">
        <x:v>1921</x:v>
      </x:c>
      <x:c r="Q1261" s="7" t="s">
        <x:v>1930</x:v>
      </x:c>
      <x:c r="R1261" s="7" t="s">
        <x:v>2003</x:v>
      </x:c>
      <x:c r="S1261" s="7" t="s">
        <x:v>4126</x:v>
      </x:c>
      <x:c r="T1261" s="7" t="s">
        <x:v>4081</x:v>
      </x:c>
      <x:c r="U1261" s="7" t="s">
        <x:v>53</x:v>
      </x:c>
      <x:c r="V1261" s="7" t="s">
        <x:v>2020</x:v>
      </x:c>
      <x:c r="W1261" s="7" t="s">
        <x:v>58</x:v>
      </x:c>
      <x:c r="X1261" s="7" t="s">
        <x:v>4323</x:v>
      </x:c>
      <x:c r="Y1261" s="7" t="s">
        <x:v>1310</x:v>
      </x:c>
      <x:c r="Z1261" s="7" t="s">
        <x:v>4108</x:v>
      </x:c>
      <x:c r="AA1261" s="7" t="s">
        <x:v>58</x:v>
      </x:c>
      <x:c r="AB1261" s="8" t="s">
        <x:v>58</x:v>
      </x:c>
      <x:c r="AC1261" s="8" t="s">
        <x:v>58</x:v>
      </x:c>
      <x:c r="AD1261" s="8" t="s">
        <x:v>58</x:v>
      </x:c>
      <x:c r="AE1261" s="8" t="s">
        <x:v>58</x:v>
      </x:c>
      <x:c r="AF1261" s="8" t="s">
        <x:v>58</x:v>
      </x:c>
      <x:c r="AG1261" s="7" t="s">
        <x:v>58</x:v>
      </x:c>
    </x:row>
    <x:row r="1262" ht="66" hidden="0" customHeight="1">
      <x:c r="A1262" s="7" t="s">
        <x:v>4401</x:v>
      </x:c>
      <x:c r="B1262" s="7" t="s">
        <x:v>728</x:v>
      </x:c>
      <x:c r="C1262" s="7" t="s">
        <x:v>730</x:v>
      </x:c>
      <x:c r="D1262" s="7" t="s">
        <x:v>1945</x:v>
      </x:c>
      <x:c r="E1262" s="7" t="s">
        <x:v>4369</x:v>
      </x:c>
      <x:c r="F1262" s="7" t="s">
        <x:v>1929</x:v>
      </x:c>
      <x:c r="G1262" s="8" t="n">
        <x:v>102.6</x:v>
      </x:c>
      <x:c r="H1262" s="8" t="n">
        <x:v>4.8</x:v>
      </x:c>
      <x:c r="I1262" s="8" t="s">
        <x:v>58</x:v>
      </x:c>
      <x:c r="J1262" s="7" t="s">
        <x:v>1919</x:v>
      </x:c>
      <x:c r="K1262" s="8" t="n">
        <x:v>1</x:v>
      </x:c>
      <x:c r="L1262" s="8" t="n">
        <x:f aca="0">IF(AND(ISNUMBER(G1262),P1262&lt;&gt;"Unresolved unit / layout"),G1262*K1262,"Not applicable")</x:f>
        <x:v>102.6</x:v>
      </x:c>
      <x:c r="M1262" s="8" t="n">
        <x:f aca="0">IF(AND(ISNUMBER(H1262),P1262&lt;&gt;"Unresolved unit / layout"),H1262*K1262,"Not applicable")</x:f>
        <x:v>4.8</x:v>
      </x:c>
      <x:c r="N1262" s="8" t="str">
        <x:f aca="0">IF(AND(ISNUMBER(I1262),P1262&lt;&gt;"Unresolved unit / layout"),I1262*K1262,"Not applicable")</x:f>
        <x:v>Not applicable</x:v>
      </x:c>
      <x:c r="O1262" s="7" t="s">
        <x:v>1929</x:v>
      </x:c>
      <x:c r="P1262" s="7" t="s">
        <x:v>1921</x:v>
      </x:c>
      <x:c r="Q1262" s="7" t="s">
        <x:v>1930</x:v>
      </x:c>
      <x:c r="R1262" s="7" t="s">
        <x:v>1931</x:v>
      </x:c>
      <x:c r="S1262" s="7" t="s">
        <x:v>4126</x:v>
      </x:c>
      <x:c r="T1262" s="7" t="s">
        <x:v>4081</x:v>
      </x:c>
      <x:c r="U1262" s="7" t="s">
        <x:v>53</x:v>
      </x:c>
      <x:c r="V1262" s="7" t="s">
        <x:v>2020</x:v>
      </x:c>
      <x:c r="W1262" s="7" t="s">
        <x:v>58</x:v>
      </x:c>
      <x:c r="X1262" s="7" t="s">
        <x:v>4323</x:v>
      </x:c>
      <x:c r="Y1262" s="7" t="s">
        <x:v>1310</x:v>
      </x:c>
      <x:c r="Z1262" s="7" t="s">
        <x:v>4111</x:v>
      </x:c>
      <x:c r="AA1262" s="7" t="s">
        <x:v>58</x:v>
      </x:c>
      <x:c r="AB1262" s="8" t="s">
        <x:v>58</x:v>
      </x:c>
      <x:c r="AC1262" s="8" t="s">
        <x:v>58</x:v>
      </x:c>
      <x:c r="AD1262" s="8" t="s">
        <x:v>58</x:v>
      </x:c>
      <x:c r="AE1262" s="8" t="s">
        <x:v>58</x:v>
      </x:c>
      <x:c r="AF1262" s="8" t="s">
        <x:v>58</x:v>
      </x:c>
      <x:c r="AG1262" s="7" t="s">
        <x:v>58</x:v>
      </x:c>
    </x:row>
    <x:row r="1263" ht="66" hidden="0" customHeight="1">
      <x:c r="A1263" s="7" t="s">
        <x:v>4402</x:v>
      </x:c>
      <x:c r="B1263" s="7" t="s">
        <x:v>728</x:v>
      </x:c>
      <x:c r="C1263" s="7" t="s">
        <x:v>730</x:v>
      </x:c>
      <x:c r="D1263" s="7" t="s">
        <x:v>1945</x:v>
      </x:c>
      <x:c r="E1263" s="7" t="s">
        <x:v>4371</x:v>
      </x:c>
      <x:c r="F1263" s="7" t="s">
        <x:v>1929</x:v>
      </x:c>
      <x:c r="G1263" s="8" t="n">
        <x:v>40.5</x:v>
      </x:c>
      <x:c r="H1263" s="8" t="n">
        <x:v>1.3</x:v>
      </x:c>
      <x:c r="I1263" s="8" t="s">
        <x:v>58</x:v>
      </x:c>
      <x:c r="J1263" s="7" t="s">
        <x:v>1919</x:v>
      </x:c>
      <x:c r="K1263" s="8" t="n">
        <x:v>1</x:v>
      </x:c>
      <x:c r="L1263" s="8" t="n">
        <x:f aca="0">IF(AND(ISNUMBER(G1263),P1263&lt;&gt;"Unresolved unit / layout"),G1263*K1263,"Not applicable")</x:f>
        <x:v>40.5</x:v>
      </x:c>
      <x:c r="M1263" s="8" t="n">
        <x:f aca="0">IF(AND(ISNUMBER(H1263),P1263&lt;&gt;"Unresolved unit / layout"),H1263*K1263,"Not applicable")</x:f>
        <x:v>1.3</x:v>
      </x:c>
      <x:c r="N1263" s="8" t="str">
        <x:f aca="0">IF(AND(ISNUMBER(I1263),P1263&lt;&gt;"Unresolved unit / layout"),I1263*K1263,"Not applicable")</x:f>
        <x:v>Not applicable</x:v>
      </x:c>
      <x:c r="O1263" s="7" t="s">
        <x:v>1929</x:v>
      </x:c>
      <x:c r="P1263" s="7" t="s">
        <x:v>1921</x:v>
      </x:c>
      <x:c r="Q1263" s="7" t="s">
        <x:v>1930</x:v>
      </x:c>
      <x:c r="R1263" s="7" t="s">
        <x:v>2003</x:v>
      </x:c>
      <x:c r="S1263" s="7" t="s">
        <x:v>4126</x:v>
      </x:c>
      <x:c r="T1263" s="7" t="s">
        <x:v>4081</x:v>
      </x:c>
      <x:c r="U1263" s="7" t="s">
        <x:v>53</x:v>
      </x:c>
      <x:c r="V1263" s="7" t="s">
        <x:v>2020</x:v>
      </x:c>
      <x:c r="W1263" s="7" t="s">
        <x:v>58</x:v>
      </x:c>
      <x:c r="X1263" s="7" t="s">
        <x:v>4323</x:v>
      </x:c>
      <x:c r="Y1263" s="7" t="s">
        <x:v>1310</x:v>
      </x:c>
      <x:c r="Z1263" s="7" t="s">
        <x:v>4114</x:v>
      </x:c>
      <x:c r="AA1263" s="7" t="s">
        <x:v>58</x:v>
      </x:c>
      <x:c r="AB1263" s="8" t="s">
        <x:v>58</x:v>
      </x:c>
      <x:c r="AC1263" s="8" t="s">
        <x:v>58</x:v>
      </x:c>
      <x:c r="AD1263" s="8" t="s">
        <x:v>58</x:v>
      </x:c>
      <x:c r="AE1263" s="8" t="s">
        <x:v>58</x:v>
      </x:c>
      <x:c r="AF1263" s="8" t="s">
        <x:v>58</x:v>
      </x:c>
      <x:c r="AG1263" s="7" t="s">
        <x:v>58</x:v>
      </x:c>
    </x:row>
    <x:row r="1264" ht="66" hidden="0" customHeight="1">
      <x:c r="A1264" s="7" t="s">
        <x:v>4403</x:v>
      </x:c>
      <x:c r="B1264" s="7" t="s">
        <x:v>728</x:v>
      </x:c>
      <x:c r="C1264" s="7" t="s">
        <x:v>730</x:v>
      </x:c>
      <x:c r="D1264" s="7" t="s">
        <x:v>2030</x:v>
      </x:c>
      <x:c r="E1264" s="7" t="s">
        <x:v>4373</x:v>
      </x:c>
      <x:c r="F1264" s="7" t="s">
        <x:v>2032</x:v>
      </x:c>
      <x:c r="G1264" s="8" t="n">
        <x:v>4.9</x:v>
      </x:c>
      <x:c r="H1264" s="8" t="n">
        <x:v>0.3</x:v>
      </x:c>
      <x:c r="I1264" s="8" t="s">
        <x:v>58</x:v>
      </x:c>
      <x:c r="J1264" s="7" t="s">
        <x:v>1919</x:v>
      </x:c>
      <x:c r="K1264" s="8" t="n">
        <x:v>1</x:v>
      </x:c>
      <x:c r="L1264" s="8" t="n">
        <x:f aca="0">IF(AND(ISNUMBER(G1264),P1264&lt;&gt;"Unresolved unit / layout"),G1264*K1264,"Not applicable")</x:f>
        <x:v>4.9</x:v>
      </x:c>
      <x:c r="M1264" s="8" t="n">
        <x:f aca="0">IF(AND(ISNUMBER(H1264),P1264&lt;&gt;"Unresolved unit / layout"),H1264*K1264,"Not applicable")</x:f>
        <x:v>0.3</x:v>
      </x:c>
      <x:c r="N1264" s="8" t="str">
        <x:f aca="0">IF(AND(ISNUMBER(I1264),P1264&lt;&gt;"Unresolved unit / layout"),I1264*K1264,"Not applicable")</x:f>
        <x:v>Not applicable</x:v>
      </x:c>
      <x:c r="O1264" s="7" t="s">
        <x:v>2033</x:v>
      </x:c>
      <x:c r="P1264" s="7" t="s">
        <x:v>1921</x:v>
      </x:c>
      <x:c r="Q1264" s="7" t="s">
        <x:v>1930</x:v>
      </x:c>
      <x:c r="R1264" s="7" t="s">
        <x:v>1931</x:v>
      </x:c>
      <x:c r="S1264" s="7" t="s">
        <x:v>4126</x:v>
      </x:c>
      <x:c r="T1264" s="7" t="s">
        <x:v>4081</x:v>
      </x:c>
      <x:c r="U1264" s="7" t="s">
        <x:v>53</x:v>
      </x:c>
      <x:c r="V1264" s="7" t="s">
        <x:v>2036</x:v>
      </x:c>
      <x:c r="W1264" s="7" t="s">
        <x:v>2139</x:v>
      </x:c>
      <x:c r="X1264" s="7" t="s">
        <x:v>4323</x:v>
      </x:c>
      <x:c r="Y1264" s="7" t="s">
        <x:v>1310</x:v>
      </x:c>
      <x:c r="Z1264" s="7" t="s">
        <x:v>4117</x:v>
      </x:c>
      <x:c r="AA1264" s="7" t="s">
        <x:v>58</x:v>
      </x:c>
      <x:c r="AB1264" s="8" t="s">
        <x:v>58</x:v>
      </x:c>
      <x:c r="AC1264" s="8" t="s">
        <x:v>58</x:v>
      </x:c>
      <x:c r="AD1264" s="8" t="s">
        <x:v>58</x:v>
      </x:c>
      <x:c r="AE1264" s="8" t="s">
        <x:v>58</x:v>
      </x:c>
      <x:c r="AF1264" s="8" t="s">
        <x:v>58</x:v>
      </x:c>
      <x:c r="AG1264" s="7" t="s">
        <x:v>58</x:v>
      </x:c>
    </x:row>
    <x:row r="1265" ht="66" hidden="0" customHeight="1">
      <x:c r="A1265" s="7" t="s">
        <x:v>4404</x:v>
      </x:c>
      <x:c r="B1265" s="7" t="s">
        <x:v>728</x:v>
      </x:c>
      <x:c r="C1265" s="7" t="s">
        <x:v>730</x:v>
      </x:c>
      <x:c r="D1265" s="7" t="s">
        <x:v>2030</x:v>
      </x:c>
      <x:c r="E1265" s="7" t="s">
        <x:v>4375</x:v>
      </x:c>
      <x:c r="F1265" s="7" t="s">
        <x:v>2032</x:v>
      </x:c>
      <x:c r="G1265" s="8" t="n">
        <x:v>33.6</x:v>
      </x:c>
      <x:c r="H1265" s="8" t="n">
        <x:v>2</x:v>
      </x:c>
      <x:c r="I1265" s="8" t="s">
        <x:v>58</x:v>
      </x:c>
      <x:c r="J1265" s="7" t="s">
        <x:v>1919</x:v>
      </x:c>
      <x:c r="K1265" s="8" t="n">
        <x:v>1</x:v>
      </x:c>
      <x:c r="L1265" s="8" t="n">
        <x:f aca="0">IF(AND(ISNUMBER(G1265),P1265&lt;&gt;"Unresolved unit / layout"),G1265*K1265,"Not applicable")</x:f>
        <x:v>33.6</x:v>
      </x:c>
      <x:c r="M1265" s="8" t="n">
        <x:f aca="0">IF(AND(ISNUMBER(H1265),P1265&lt;&gt;"Unresolved unit / layout"),H1265*K1265,"Not applicable")</x:f>
        <x:v>2</x:v>
      </x:c>
      <x:c r="N1265" s="8" t="str">
        <x:f aca="0">IF(AND(ISNUMBER(I1265),P1265&lt;&gt;"Unresolved unit / layout"),I1265*K1265,"Not applicable")</x:f>
        <x:v>Not applicable</x:v>
      </x:c>
      <x:c r="O1265" s="7" t="s">
        <x:v>2033</x:v>
      </x:c>
      <x:c r="P1265" s="7" t="s">
        <x:v>1921</x:v>
      </x:c>
      <x:c r="Q1265" s="7" t="s">
        <x:v>1930</x:v>
      </x:c>
      <x:c r="R1265" s="7" t="s">
        <x:v>1931</x:v>
      </x:c>
      <x:c r="S1265" s="7" t="s">
        <x:v>4126</x:v>
      </x:c>
      <x:c r="T1265" s="7" t="s">
        <x:v>4081</x:v>
      </x:c>
      <x:c r="U1265" s="7" t="s">
        <x:v>53</x:v>
      </x:c>
      <x:c r="V1265" s="7" t="s">
        <x:v>2036</x:v>
      </x:c>
      <x:c r="W1265" s="7" t="s">
        <x:v>2139</x:v>
      </x:c>
      <x:c r="X1265" s="7" t="s">
        <x:v>4323</x:v>
      </x:c>
      <x:c r="Y1265" s="7" t="s">
        <x:v>1310</x:v>
      </x:c>
      <x:c r="Z1265" s="7" t="s">
        <x:v>4120</x:v>
      </x:c>
      <x:c r="AA1265" s="7" t="s">
        <x:v>58</x:v>
      </x:c>
      <x:c r="AB1265" s="8" t="s">
        <x:v>58</x:v>
      </x:c>
      <x:c r="AC1265" s="8" t="s">
        <x:v>58</x:v>
      </x:c>
      <x:c r="AD1265" s="8" t="s">
        <x:v>58</x:v>
      </x:c>
      <x:c r="AE1265" s="8" t="s">
        <x:v>58</x:v>
      </x:c>
      <x:c r="AF1265" s="8" t="s">
        <x:v>58</x:v>
      </x:c>
      <x:c r="AG1265" s="7" t="s">
        <x:v>58</x:v>
      </x:c>
    </x:row>
    <x:row r="1266" ht="66" hidden="0" customHeight="1">
      <x:c r="A1266" s="7" t="s">
        <x:v>4405</x:v>
      </x:c>
      <x:c r="B1266" s="7" t="s">
        <x:v>728</x:v>
      </x:c>
      <x:c r="C1266" s="7" t="s">
        <x:v>730</x:v>
      </x:c>
      <x:c r="D1266" s="7" t="s">
        <x:v>2030</x:v>
      </x:c>
      <x:c r="E1266" s="7" t="s">
        <x:v>4377</x:v>
      </x:c>
      <x:c r="F1266" s="7" t="s">
        <x:v>2032</x:v>
      </x:c>
      <x:c r="G1266" s="8" t="n">
        <x:v>3.6</x:v>
      </x:c>
      <x:c r="H1266" s="8" t="n">
        <x:v>0.1</x:v>
      </x:c>
      <x:c r="I1266" s="8" t="s">
        <x:v>58</x:v>
      </x:c>
      <x:c r="J1266" s="7" t="s">
        <x:v>1919</x:v>
      </x:c>
      <x:c r="K1266" s="8" t="n">
        <x:v>1</x:v>
      </x:c>
      <x:c r="L1266" s="8" t="n">
        <x:f aca="0">IF(AND(ISNUMBER(G1266),P1266&lt;&gt;"Unresolved unit / layout"),G1266*K1266,"Not applicable")</x:f>
        <x:v>3.6</x:v>
      </x:c>
      <x:c r="M1266" s="8" t="n">
        <x:f aca="0">IF(AND(ISNUMBER(H1266),P1266&lt;&gt;"Unresolved unit / layout"),H1266*K1266,"Not applicable")</x:f>
        <x:v>0.1</x:v>
      </x:c>
      <x:c r="N1266" s="8" t="str">
        <x:f aca="0">IF(AND(ISNUMBER(I1266),P1266&lt;&gt;"Unresolved unit / layout"),I1266*K1266,"Not applicable")</x:f>
        <x:v>Not applicable</x:v>
      </x:c>
      <x:c r="O1266" s="7" t="s">
        <x:v>2033</x:v>
      </x:c>
      <x:c r="P1266" s="7" t="s">
        <x:v>1921</x:v>
      </x:c>
      <x:c r="Q1266" s="7" t="s">
        <x:v>1930</x:v>
      </x:c>
      <x:c r="R1266" s="7" t="s">
        <x:v>2003</x:v>
      </x:c>
      <x:c r="S1266" s="7" t="s">
        <x:v>4126</x:v>
      </x:c>
      <x:c r="T1266" s="7" t="s">
        <x:v>4081</x:v>
      </x:c>
      <x:c r="U1266" s="7" t="s">
        <x:v>53</x:v>
      </x:c>
      <x:c r="V1266" s="7" t="s">
        <x:v>2036</x:v>
      </x:c>
      <x:c r="W1266" s="7" t="s">
        <x:v>2139</x:v>
      </x:c>
      <x:c r="X1266" s="7" t="s">
        <x:v>4323</x:v>
      </x:c>
      <x:c r="Y1266" s="7" t="s">
        <x:v>1310</x:v>
      </x:c>
      <x:c r="Z1266" s="7" t="s">
        <x:v>4123</x:v>
      </x:c>
      <x:c r="AA1266" s="7" t="s">
        <x:v>58</x:v>
      </x:c>
      <x:c r="AB1266" s="8" t="s">
        <x:v>58</x:v>
      </x:c>
      <x:c r="AC1266" s="8" t="s">
        <x:v>58</x:v>
      </x:c>
      <x:c r="AD1266" s="8" t="s">
        <x:v>58</x:v>
      </x:c>
      <x:c r="AE1266" s="8" t="s">
        <x:v>58</x:v>
      </x:c>
      <x:c r="AF1266" s="8" t="s">
        <x:v>58</x:v>
      </x:c>
      <x:c r="AG1266" s="7" t="s">
        <x:v>58</x:v>
      </x:c>
    </x:row>
    <x:row r="1267" ht="79.5" hidden="0" customHeight="1">
      <x:c r="A1267" s="7" t="s">
        <x:v>4406</x:v>
      </x:c>
      <x:c r="B1267" s="7" t="s">
        <x:v>749</x:v>
      </x:c>
      <x:c r="C1267" s="7" t="s">
        <x:v>751</x:v>
      </x:c>
      <x:c r="D1267" s="7" t="s">
        <x:v>1916</x:v>
      </x:c>
      <x:c r="E1267" s="7" t="s">
        <x:v>4407</x:v>
      </x:c>
      <x:c r="F1267" s="7" t="s">
        <x:v>2076</x:v>
      </x:c>
      <x:c r="G1267" s="8" t="n">
        <x:v>1.29</x:v>
      </x:c>
      <x:c r="H1267" s="8" t="s">
        <x:v>58</x:v>
      </x:c>
      <x:c r="I1267" s="8" t="s">
        <x:v>58</x:v>
      </x:c>
      <x:c r="J1267" s="7" t="s">
        <x:v>1919</x:v>
      </x:c>
      <x:c r="K1267" s="8" t="n">
        <x:v>1000</x:v>
      </x:c>
      <x:c r="L1267" s="8" t="n">
        <x:f aca="0">IF(AND(ISNUMBER(G1267),P1267&lt;&gt;"Unresolved unit / layout"),G1267*K1267,"Not applicable")</x:f>
        <x:v>1290</x:v>
      </x:c>
      <x:c r="M1267" s="8" t="str">
        <x:f aca="0">IF(AND(ISNUMBER(H1267),P1267&lt;&gt;"Unresolved unit / layout"),H1267*K1267,"Not applicable")</x:f>
        <x:v>Not applicable</x:v>
      </x:c>
      <x:c r="N1267" s="8" t="str">
        <x:f aca="0">IF(AND(ISNUMBER(I1267),P1267&lt;&gt;"Unresolved unit / layout"),I1267*K1267,"Not applicable")</x:f>
        <x:v>Not applicable</x:v>
      </x:c>
      <x:c r="O1267" s="7" t="s">
        <x:v>1920</x:v>
      </x:c>
      <x:c r="P1267" s="7" t="s">
        <x:v>1921</x:v>
      </x:c>
      <x:c r="Q1267" s="7" t="s">
        <x:v>1922</x:v>
      </x:c>
      <x:c r="R1267" s="7" t="s">
        <x:v>58</x:v>
      </x:c>
      <x:c r="S1267" s="7" t="s">
        <x:v>53</x:v>
      </x:c>
      <x:c r="T1267" s="7" t="s">
        <x:v>53</x:v>
      </x:c>
      <x:c r="U1267" s="7" t="s">
        <x:v>53</x:v>
      </x:c>
      <x:c r="V1267" s="7" t="s">
        <x:v>1923</x:v>
      </x:c>
      <x:c r="W1267" s="7" t="s">
        <x:v>58</x:v>
      </x:c>
      <x:c r="X1267" s="7" t="s">
        <x:v>4408</x:v>
      </x:c>
      <x:c r="Y1267" s="7" t="s">
        <x:v>1314</x:v>
      </x:c>
      <x:c r="Z1267" s="7" t="s">
        <x:v>1968</x:v>
      </x:c>
      <x:c r="AA1267" s="7" t="s">
        <x:v>58</x:v>
      </x:c>
      <x:c r="AB1267" s="8" t="s">
        <x:v>58</x:v>
      </x:c>
      <x:c r="AC1267" s="8" t="s">
        <x:v>58</x:v>
      </x:c>
      <x:c r="AD1267" s="8" t="s">
        <x:v>58</x:v>
      </x:c>
      <x:c r="AE1267" s="8" t="s">
        <x:v>58</x:v>
      </x:c>
      <x:c r="AF1267" s="8" t="s">
        <x:v>58</x:v>
      </x:c>
      <x:c r="AG1267" s="7" t="s">
        <x:v>58</x:v>
      </x:c>
    </x:row>
    <x:row r="1268" ht="79.5" hidden="0" customHeight="1">
      <x:c r="A1268" s="7" t="s">
        <x:v>4409</x:v>
      </x:c>
      <x:c r="B1268" s="7" t="s">
        <x:v>749</x:v>
      </x:c>
      <x:c r="C1268" s="7" t="s">
        <x:v>751</x:v>
      </x:c>
      <x:c r="D1268" s="7" t="s">
        <x:v>1974</x:v>
      </x:c>
      <x:c r="E1268" s="7" t="s">
        <x:v>4410</x:v>
      </x:c>
      <x:c r="F1268" s="7" t="s">
        <x:v>1956</x:v>
      </x:c>
      <x:c r="G1268" s="8" t="n">
        <x:v>250</x:v>
      </x:c>
      <x:c r="H1268" s="8" t="s">
        <x:v>58</x:v>
      </x:c>
      <x:c r="I1268" s="8" t="s">
        <x:v>58</x:v>
      </x:c>
      <x:c r="J1268" s="7" t="s">
        <x:v>1919</x:v>
      </x:c>
      <x:c r="K1268" s="8" t="n">
        <x:v>1</x:v>
      </x:c>
      <x:c r="L1268" s="8" t="n">
        <x:f aca="0">IF(AND(ISNUMBER(G1268),P1268&lt;&gt;"Unresolved unit / layout"),G1268*K1268,"Not applicable")</x:f>
        <x:v>250</x:v>
      </x:c>
      <x:c r="M1268" s="8" t="str">
        <x:f aca="0">IF(AND(ISNUMBER(H1268),P1268&lt;&gt;"Unresolved unit / layout"),H1268*K1268,"Not applicable")</x:f>
        <x:v>Not applicable</x:v>
      </x:c>
      <x:c r="N1268" s="8" t="str">
        <x:f aca="0">IF(AND(ISNUMBER(I1268),P1268&lt;&gt;"Unresolved unit / layout"),I1268*K1268,"Not applicable")</x:f>
        <x:v>Not applicable</x:v>
      </x:c>
      <x:c r="O1268" s="7" t="s">
        <x:v>1956</x:v>
      </x:c>
      <x:c r="P1268" s="7" t="s">
        <x:v>1921</x:v>
      </x:c>
      <x:c r="Q1268" s="7" t="s">
        <x:v>2064</x:v>
      </x:c>
      <x:c r="R1268" s="7" t="s">
        <x:v>58</x:v>
      </x:c>
      <x:c r="S1268" s="7" t="s">
        <x:v>53</x:v>
      </x:c>
      <x:c r="T1268" s="7" t="s">
        <x:v>53</x:v>
      </x:c>
      <x:c r="U1268" s="7" t="s">
        <x:v>53</x:v>
      </x:c>
      <x:c r="V1268" s="7" t="s">
        <x:v>2082</x:v>
      </x:c>
      <x:c r="W1268" s="7" t="s">
        <x:v>58</x:v>
      </x:c>
      <x:c r="X1268" s="7" t="s">
        <x:v>4408</x:v>
      </x:c>
      <x:c r="Y1268" s="7" t="s">
        <x:v>1314</x:v>
      </x:c>
      <x:c r="Z1268" s="7" t="s">
        <x:v>2083</x:v>
      </x:c>
      <x:c r="AA1268" s="7" t="s">
        <x:v>58</x:v>
      </x:c>
      <x:c r="AB1268" s="8" t="s">
        <x:v>58</x:v>
      </x:c>
      <x:c r="AC1268" s="8" t="s">
        <x:v>58</x:v>
      </x:c>
      <x:c r="AD1268" s="8" t="s">
        <x:v>58</x:v>
      </x:c>
      <x:c r="AE1268" s="8" t="s">
        <x:v>58</x:v>
      </x:c>
      <x:c r="AF1268" s="8" t="s">
        <x:v>58</x:v>
      </x:c>
      <x:c r="AG1268" s="7" t="s">
        <x:v>58</x:v>
      </x:c>
    </x:row>
    <x:row r="1269" ht="79.5" hidden="0" customHeight="1">
      <x:c r="A1269" s="7" t="s">
        <x:v>4411</x:v>
      </x:c>
      <x:c r="B1269" s="7" t="s">
        <x:v>749</x:v>
      </x:c>
      <x:c r="C1269" s="7" t="s">
        <x:v>751</x:v>
      </x:c>
      <x:c r="D1269" s="7" t="s">
        <x:v>1954</x:v>
      </x:c>
      <x:c r="E1269" s="7" t="s">
        <x:v>4412</x:v>
      </x:c>
      <x:c r="F1269" s="7" t="s">
        <x:v>1956</x:v>
      </x:c>
      <x:c r="G1269" s="8" t="n">
        <x:v>75</x:v>
      </x:c>
      <x:c r="H1269" s="8" t="s">
        <x:v>58</x:v>
      </x:c>
      <x:c r="I1269" s="8" t="s">
        <x:v>58</x:v>
      </x:c>
      <x:c r="J1269" s="7" t="s">
        <x:v>1919</x:v>
      </x:c>
      <x:c r="K1269" s="8" t="n">
        <x:v>1</x:v>
      </x:c>
      <x:c r="L1269" s="8" t="n">
        <x:f aca="0">IF(AND(ISNUMBER(G1269),P1269&lt;&gt;"Unresolved unit / layout"),G1269*K1269,"Not applicable")</x:f>
        <x:v>75</x:v>
      </x:c>
      <x:c r="M1269" s="8" t="str">
        <x:f aca="0">IF(AND(ISNUMBER(H1269),P1269&lt;&gt;"Unresolved unit / layout"),H1269*K1269,"Not applicable")</x:f>
        <x:v>Not applicable</x:v>
      </x:c>
      <x:c r="N1269" s="8" t="str">
        <x:f aca="0">IF(AND(ISNUMBER(I1269),P1269&lt;&gt;"Unresolved unit / layout"),I1269*K1269,"Not applicable")</x:f>
        <x:v>Not applicable</x:v>
      </x:c>
      <x:c r="O1269" s="7" t="s">
        <x:v>1956</x:v>
      </x:c>
      <x:c r="P1269" s="7" t="s">
        <x:v>1921</x:v>
      </x:c>
      <x:c r="Q1269" s="7" t="s">
        <x:v>2064</x:v>
      </x:c>
      <x:c r="R1269" s="7" t="s">
        <x:v>58</x:v>
      </x:c>
      <x:c r="S1269" s="7" t="s">
        <x:v>53</x:v>
      </x:c>
      <x:c r="T1269" s="7" t="s">
        <x:v>53</x:v>
      </x:c>
      <x:c r="U1269" s="7" t="s">
        <x:v>53</x:v>
      </x:c>
      <x:c r="V1269" s="7" t="s">
        <x:v>2082</x:v>
      </x:c>
      <x:c r="W1269" s="7" t="s">
        <x:v>58</x:v>
      </x:c>
      <x:c r="X1269" s="7" t="s">
        <x:v>4408</x:v>
      </x:c>
      <x:c r="Y1269" s="7" t="s">
        <x:v>1314</x:v>
      </x:c>
      <x:c r="Z1269" s="7" t="s">
        <x:v>2086</x:v>
      </x:c>
      <x:c r="AA1269" s="7" t="s">
        <x:v>58</x:v>
      </x:c>
      <x:c r="AB1269" s="8" t="s">
        <x:v>58</x:v>
      </x:c>
      <x:c r="AC1269" s="8" t="s">
        <x:v>58</x:v>
      </x:c>
      <x:c r="AD1269" s="8" t="s">
        <x:v>58</x:v>
      </x:c>
      <x:c r="AE1269" s="8" t="s">
        <x:v>58</x:v>
      </x:c>
      <x:c r="AF1269" s="8" t="s">
        <x:v>58</x:v>
      </x:c>
      <x:c r="AG1269" s="7" t="s">
        <x:v>58</x:v>
      </x:c>
    </x:row>
    <x:row r="1270" ht="79.5" hidden="0" customHeight="1">
      <x:c r="A1270" s="7" t="s">
        <x:v>4413</x:v>
      </x:c>
      <x:c r="B1270" s="7" t="s">
        <x:v>749</x:v>
      </x:c>
      <x:c r="C1270" s="7" t="s">
        <x:v>751</x:v>
      </x:c>
      <x:c r="D1270" s="7" t="s">
        <x:v>1978</x:v>
      </x:c>
      <x:c r="E1270" s="7" t="s">
        <x:v>3968</x:v>
      </x:c>
      <x:c r="F1270" s="7" t="s">
        <x:v>1956</x:v>
      </x:c>
      <x:c r="G1270" s="8" t="n">
        <x:v>130</x:v>
      </x:c>
      <x:c r="H1270" s="8" t="s">
        <x:v>58</x:v>
      </x:c>
      <x:c r="I1270" s="8" t="s">
        <x:v>58</x:v>
      </x:c>
      <x:c r="J1270" s="7" t="s">
        <x:v>1919</x:v>
      </x:c>
      <x:c r="K1270" s="8" t="n">
        <x:v>1</x:v>
      </x:c>
      <x:c r="L1270" s="8" t="n">
        <x:f aca="0">IF(AND(ISNUMBER(G1270),P1270&lt;&gt;"Unresolved unit / layout"),G1270*K1270,"Not applicable")</x:f>
        <x:v>130</x:v>
      </x:c>
      <x:c r="M1270" s="8" t="str">
        <x:f aca="0">IF(AND(ISNUMBER(H1270),P1270&lt;&gt;"Unresolved unit / layout"),H1270*K1270,"Not applicable")</x:f>
        <x:v>Not applicable</x:v>
      </x:c>
      <x:c r="N1270" s="8" t="str">
        <x:f aca="0">IF(AND(ISNUMBER(I1270),P1270&lt;&gt;"Unresolved unit / layout"),I1270*K1270,"Not applicable")</x:f>
        <x:v>Not applicable</x:v>
      </x:c>
      <x:c r="O1270" s="7" t="s">
        <x:v>1956</x:v>
      </x:c>
      <x:c r="P1270" s="7" t="s">
        <x:v>1921</x:v>
      </x:c>
      <x:c r="Q1270" s="7" t="s">
        <x:v>2064</x:v>
      </x:c>
      <x:c r="R1270" s="7" t="s">
        <x:v>58</x:v>
      </x:c>
      <x:c r="S1270" s="7" t="s">
        <x:v>53</x:v>
      </x:c>
      <x:c r="T1270" s="7" t="s">
        <x:v>53</x:v>
      </x:c>
      <x:c r="U1270" s="7" t="s">
        <x:v>53</x:v>
      </x:c>
      <x:c r="V1270" s="7" t="s">
        <x:v>2082</x:v>
      </x:c>
      <x:c r="W1270" s="7" t="s">
        <x:v>58</x:v>
      </x:c>
      <x:c r="X1270" s="7" t="s">
        <x:v>4408</x:v>
      </x:c>
      <x:c r="Y1270" s="7" t="s">
        <x:v>1314</x:v>
      </x:c>
      <x:c r="Z1270" s="7" t="s">
        <x:v>2188</x:v>
      </x:c>
      <x:c r="AA1270" s="7" t="s">
        <x:v>58</x:v>
      </x:c>
      <x:c r="AB1270" s="8" t="s">
        <x:v>58</x:v>
      </x:c>
      <x:c r="AC1270" s="8" t="s">
        <x:v>58</x:v>
      </x:c>
      <x:c r="AD1270" s="8" t="s">
        <x:v>58</x:v>
      </x:c>
      <x:c r="AE1270" s="8" t="s">
        <x:v>58</x:v>
      </x:c>
      <x:c r="AF1270" s="8" t="s">
        <x:v>58</x:v>
      </x:c>
      <x:c r="AG1270" s="7" t="s">
        <x:v>58</x:v>
      </x:c>
    </x:row>
    <x:row r="1271" ht="79.5" hidden="0" customHeight="1">
      <x:c r="A1271" s="7" t="s">
        <x:v>4414</x:v>
      </x:c>
      <x:c r="B1271" s="7" t="s">
        <x:v>749</x:v>
      </x:c>
      <x:c r="C1271" s="7" t="s">
        <x:v>751</x:v>
      </x:c>
      <x:c r="D1271" s="7" t="s">
        <x:v>1982</x:v>
      </x:c>
      <x:c r="E1271" s="7" t="s">
        <x:v>4415</x:v>
      </x:c>
      <x:c r="F1271" s="7" t="s">
        <x:v>1956</x:v>
      </x:c>
      <x:c r="G1271" s="8" t="n">
        <x:v>226</x:v>
      </x:c>
      <x:c r="H1271" s="8" t="s">
        <x:v>58</x:v>
      </x:c>
      <x:c r="I1271" s="8" t="s">
        <x:v>58</x:v>
      </x:c>
      <x:c r="J1271" s="7" t="s">
        <x:v>1919</x:v>
      </x:c>
      <x:c r="K1271" s="8" t="n">
        <x:v>1</x:v>
      </x:c>
      <x:c r="L1271" s="8" t="n">
        <x:f aca="0">IF(AND(ISNUMBER(G1271),P1271&lt;&gt;"Unresolved unit / layout"),G1271*K1271,"Not applicable")</x:f>
        <x:v>226</x:v>
      </x:c>
      <x:c r="M1271" s="8" t="str">
        <x:f aca="0">IF(AND(ISNUMBER(H1271),P1271&lt;&gt;"Unresolved unit / layout"),H1271*K1271,"Not applicable")</x:f>
        <x:v>Not applicable</x:v>
      </x:c>
      <x:c r="N1271" s="8" t="str">
        <x:f aca="0">IF(AND(ISNUMBER(I1271),P1271&lt;&gt;"Unresolved unit / layout"),I1271*K1271,"Not applicable")</x:f>
        <x:v>Not applicable</x:v>
      </x:c>
      <x:c r="O1271" s="7" t="s">
        <x:v>1956</x:v>
      </x:c>
      <x:c r="P1271" s="7" t="s">
        <x:v>1921</x:v>
      </x:c>
      <x:c r="Q1271" s="7" t="s">
        <x:v>2064</x:v>
      </x:c>
      <x:c r="R1271" s="7" t="s">
        <x:v>58</x:v>
      </x:c>
      <x:c r="S1271" s="7" t="s">
        <x:v>53</x:v>
      </x:c>
      <x:c r="T1271" s="7" t="s">
        <x:v>53</x:v>
      </x:c>
      <x:c r="U1271" s="7" t="s">
        <x:v>53</x:v>
      </x:c>
      <x:c r="V1271" s="7" t="s">
        <x:v>1984</x:v>
      </x:c>
      <x:c r="W1271" s="7" t="s">
        <x:v>58</x:v>
      </x:c>
      <x:c r="X1271" s="7" t="s">
        <x:v>4408</x:v>
      </x:c>
      <x:c r="Y1271" s="7" t="s">
        <x:v>1314</x:v>
      </x:c>
      <x:c r="Z1271" s="7" t="s">
        <x:v>2234</x:v>
      </x:c>
      <x:c r="AA1271" s="7" t="s">
        <x:v>58</x:v>
      </x:c>
      <x:c r="AB1271" s="8" t="s">
        <x:v>58</x:v>
      </x:c>
      <x:c r="AC1271" s="8" t="s">
        <x:v>58</x:v>
      </x:c>
      <x:c r="AD1271" s="8" t="s">
        <x:v>58</x:v>
      </x:c>
      <x:c r="AE1271" s="8" t="s">
        <x:v>58</x:v>
      </x:c>
      <x:c r="AF1271" s="8" t="s">
        <x:v>58</x:v>
      </x:c>
      <x:c r="AG1271" s="7" t="s">
        <x:v>58</x:v>
      </x:c>
    </x:row>
    <x:row r="1272" ht="79.5" hidden="0" customHeight="1">
      <x:c r="A1272" s="7" t="s">
        <x:v>4416</x:v>
      </x:c>
      <x:c r="B1272" s="7" t="s">
        <x:v>749</x:v>
      </x:c>
      <x:c r="C1272" s="7" t="s">
        <x:v>751</x:v>
      </x:c>
      <x:c r="D1272" s="7" t="s">
        <x:v>1959</x:v>
      </x:c>
      <x:c r="E1272" s="7" t="s">
        <x:v>3918</x:v>
      </x:c>
      <x:c r="F1272" s="7" t="s">
        <x:v>1956</x:v>
      </x:c>
      <x:c r="G1272" s="8" t="n">
        <x:v>182</x:v>
      </x:c>
      <x:c r="H1272" s="8" t="s">
        <x:v>58</x:v>
      </x:c>
      <x:c r="I1272" s="8" t="s">
        <x:v>58</x:v>
      </x:c>
      <x:c r="J1272" s="7" t="s">
        <x:v>1919</x:v>
      </x:c>
      <x:c r="K1272" s="8" t="n">
        <x:v>1</x:v>
      </x:c>
      <x:c r="L1272" s="8" t="n">
        <x:f aca="0">IF(AND(ISNUMBER(G1272),P1272&lt;&gt;"Unresolved unit / layout"),G1272*K1272,"Not applicable")</x:f>
        <x:v>182</x:v>
      </x:c>
      <x:c r="M1272" s="8" t="str">
        <x:f aca="0">IF(AND(ISNUMBER(H1272),P1272&lt;&gt;"Unresolved unit / layout"),H1272*K1272,"Not applicable")</x:f>
        <x:v>Not applicable</x:v>
      </x:c>
      <x:c r="N1272" s="8" t="str">
        <x:f aca="0">IF(AND(ISNUMBER(I1272),P1272&lt;&gt;"Unresolved unit / layout"),I1272*K1272,"Not applicable")</x:f>
        <x:v>Not applicable</x:v>
      </x:c>
      <x:c r="O1272" s="7" t="s">
        <x:v>1956</x:v>
      </x:c>
      <x:c r="P1272" s="7" t="s">
        <x:v>1921</x:v>
      </x:c>
      <x:c r="Q1272" s="7" t="s">
        <x:v>2064</x:v>
      </x:c>
      <x:c r="R1272" s="7" t="s">
        <x:v>58</x:v>
      </x:c>
      <x:c r="S1272" s="7" t="s">
        <x:v>53</x:v>
      </x:c>
      <x:c r="T1272" s="7" t="s">
        <x:v>53</x:v>
      </x:c>
      <x:c r="U1272" s="7" t="s">
        <x:v>53</x:v>
      </x:c>
      <x:c r="V1272" s="7" t="s">
        <x:v>2095</x:v>
      </x:c>
      <x:c r="W1272" s="7" t="s">
        <x:v>58</x:v>
      </x:c>
      <x:c r="X1272" s="7" t="s">
        <x:v>4408</x:v>
      </x:c>
      <x:c r="Y1272" s="7" t="s">
        <x:v>1314</x:v>
      </x:c>
      <x:c r="Z1272" s="7" t="s">
        <x:v>2096</x:v>
      </x:c>
      <x:c r="AA1272" s="7" t="s">
        <x:v>58</x:v>
      </x:c>
      <x:c r="AB1272" s="8" t="s">
        <x:v>58</x:v>
      </x:c>
      <x:c r="AC1272" s="8" t="s">
        <x:v>58</x:v>
      </x:c>
      <x:c r="AD1272" s="8" t="s">
        <x:v>58</x:v>
      </x:c>
      <x:c r="AE1272" s="8" t="s">
        <x:v>58</x:v>
      </x:c>
      <x:c r="AF1272" s="8" t="s">
        <x:v>58</x:v>
      </x:c>
      <x:c r="AG1272" s="7" t="s">
        <x:v>58</x:v>
      </x:c>
    </x:row>
    <x:row r="1273" ht="79.5" hidden="0" customHeight="1">
      <x:c r="A1273" s="7" t="s">
        <x:v>756</x:v>
      </x:c>
      <x:c r="B1273" s="7" t="s">
        <x:v>749</x:v>
      </x:c>
      <x:c r="C1273" s="7" t="s">
        <x:v>751</x:v>
      </x:c>
      <x:c r="D1273" s="7" t="s">
        <x:v>1959</x:v>
      </x:c>
      <x:c r="E1273" s="7" t="s">
        <x:v>4417</x:v>
      </x:c>
      <x:c r="F1273" s="7" t="s">
        <x:v>1956</x:v>
      </x:c>
      <x:c r="G1273" s="8" t="n">
        <x:v>205</x:v>
      </x:c>
      <x:c r="H1273" s="8" t="s">
        <x:v>58</x:v>
      </x:c>
      <x:c r="I1273" s="8" t="s">
        <x:v>58</x:v>
      </x:c>
      <x:c r="J1273" s="7" t="s">
        <x:v>1919</x:v>
      </x:c>
      <x:c r="K1273" s="8" t="n">
        <x:v>1</x:v>
      </x:c>
      <x:c r="L1273" s="8" t="n">
        <x:f aca="0">IF(AND(ISNUMBER(G1273),P1273&lt;&gt;"Unresolved unit / layout"),G1273*K1273,"Not applicable")</x:f>
        <x:v>205</x:v>
      </x:c>
      <x:c r="M1273" s="8" t="str">
        <x:f aca="0">IF(AND(ISNUMBER(H1273),P1273&lt;&gt;"Unresolved unit / layout"),H1273*K1273,"Not applicable")</x:f>
        <x:v>Not applicable</x:v>
      </x:c>
      <x:c r="N1273" s="8" t="str">
        <x:f aca="0">IF(AND(ISNUMBER(I1273),P1273&lt;&gt;"Unresolved unit / layout"),I1273*K1273,"Not applicable")</x:f>
        <x:v>Not applicable</x:v>
      </x:c>
      <x:c r="O1273" s="7" t="s">
        <x:v>1956</x:v>
      </x:c>
      <x:c r="P1273" s="7" t="s">
        <x:v>1921</x:v>
      </x:c>
      <x:c r="Q1273" s="7" t="s">
        <x:v>2064</x:v>
      </x:c>
      <x:c r="R1273" s="7" t="s">
        <x:v>58</x:v>
      </x:c>
      <x:c r="S1273" s="7" t="s">
        <x:v>53</x:v>
      </x:c>
      <x:c r="T1273" s="7" t="s">
        <x:v>53</x:v>
      </x:c>
      <x:c r="U1273" s="7" t="s">
        <x:v>53</x:v>
      </x:c>
      <x:c r="V1273" s="7" t="s">
        <x:v>2097</x:v>
      </x:c>
      <x:c r="W1273" s="7" t="s">
        <x:v>58</x:v>
      </x:c>
      <x:c r="X1273" s="7" t="s">
        <x:v>4408</x:v>
      </x:c>
      <x:c r="Y1273" s="7" t="s">
        <x:v>1314</x:v>
      </x:c>
      <x:c r="Z1273" s="7" t="s">
        <x:v>2096</x:v>
      </x:c>
      <x:c r="AA1273" s="7" t="s">
        <x:v>58</x:v>
      </x:c>
      <x:c r="AB1273" s="8" t="s">
        <x:v>58</x:v>
      </x:c>
      <x:c r="AC1273" s="8" t="s">
        <x:v>58</x:v>
      </x:c>
      <x:c r="AD1273" s="8" t="s">
        <x:v>58</x:v>
      </x:c>
      <x:c r="AE1273" s="8" t="s">
        <x:v>58</x:v>
      </x:c>
      <x:c r="AF1273" s="8" t="s">
        <x:v>58</x:v>
      </x:c>
      <x:c r="AG1273" s="7" t="s">
        <x:v>58</x:v>
      </x:c>
    </x:row>
    <x:row r="1274" ht="79.5" hidden="0" customHeight="1">
      <x:c r="A1274" s="7" t="s">
        <x:v>4418</x:v>
      </x:c>
      <x:c r="B1274" s="7" t="s">
        <x:v>749</x:v>
      </x:c>
      <x:c r="C1274" s="7" t="s">
        <x:v>751</x:v>
      </x:c>
      <x:c r="D1274" s="7" t="s">
        <x:v>2099</x:v>
      </x:c>
      <x:c r="E1274" s="7" t="s">
        <x:v>4419</x:v>
      </x:c>
      <x:c r="F1274" s="7" t="s">
        <x:v>1942</x:v>
      </x:c>
      <x:c r="G1274" s="8" t="n">
        <x:v>0.37</x:v>
      </x:c>
      <x:c r="H1274" s="8" t="s">
        <x:v>58</x:v>
      </x:c>
      <x:c r="I1274" s="8" t="s">
        <x:v>58</x:v>
      </x:c>
      <x:c r="J1274" s="7" t="s">
        <x:v>1919</x:v>
      </x:c>
      <x:c r="K1274" s="8" t="n">
        <x:v>1</x:v>
      </x:c>
      <x:c r="L1274" s="8" t="n">
        <x:f aca="0">IF(AND(ISNUMBER(G1274),P1274&lt;&gt;"Unresolved unit / layout"),G1274*K1274,"Not applicable")</x:f>
        <x:v>0.37</x:v>
      </x:c>
      <x:c r="M1274" s="8" t="str">
        <x:f aca="0">IF(AND(ISNUMBER(H1274),P1274&lt;&gt;"Unresolved unit / layout"),H1274*K1274,"Not applicable")</x:f>
        <x:v>Not applicable</x:v>
      </x:c>
      <x:c r="N1274" s="8" t="str">
        <x:f aca="0">IF(AND(ISNUMBER(I1274),P1274&lt;&gt;"Unresolved unit / layout"),I1274*K1274,"Not applicable")</x:f>
        <x:v>Not applicable</x:v>
      </x:c>
      <x:c r="O1274" s="7" t="s">
        <x:v>1942</x:v>
      </x:c>
      <x:c r="P1274" s="7" t="s">
        <x:v>1921</x:v>
      </x:c>
      <x:c r="Q1274" s="7" t="s">
        <x:v>2064</x:v>
      </x:c>
      <x:c r="R1274" s="7" t="s">
        <x:v>58</x:v>
      </x:c>
      <x:c r="S1274" s="7" t="s">
        <x:v>53</x:v>
      </x:c>
      <x:c r="T1274" s="7" t="s">
        <x:v>53</x:v>
      </x:c>
      <x:c r="U1274" s="7" t="s">
        <x:v>53</x:v>
      </x:c>
      <x:c r="V1274" s="7" t="s">
        <x:v>2238</x:v>
      </x:c>
      <x:c r="W1274" s="7" t="s">
        <x:v>58</x:v>
      </x:c>
      <x:c r="X1274" s="7" t="s">
        <x:v>4408</x:v>
      </x:c>
      <x:c r="Y1274" s="7" t="s">
        <x:v>1314</x:v>
      </x:c>
      <x:c r="Z1274" s="7" t="s">
        <x:v>2239</x:v>
      </x:c>
      <x:c r="AA1274" s="7" t="s">
        <x:v>58</x:v>
      </x:c>
      <x:c r="AB1274" s="8" t="s">
        <x:v>58</x:v>
      </x:c>
      <x:c r="AC1274" s="8" t="s">
        <x:v>58</x:v>
      </x:c>
      <x:c r="AD1274" s="8" t="s">
        <x:v>58</x:v>
      </x:c>
      <x:c r="AE1274" s="8" t="s">
        <x:v>58</x:v>
      </x:c>
      <x:c r="AF1274" s="8" t="s">
        <x:v>58</x:v>
      </x:c>
      <x:c r="AG1274" s="7" t="s">
        <x:v>58</x:v>
      </x:c>
    </x:row>
    <x:row r="1275" ht="79.5" hidden="0" customHeight="1">
      <x:c r="A1275" s="7" t="s">
        <x:v>4420</x:v>
      </x:c>
      <x:c r="B1275" s="7" t="s">
        <x:v>749</x:v>
      </x:c>
      <x:c r="C1275" s="7" t="s">
        <x:v>751</x:v>
      </x:c>
      <x:c r="D1275" s="7" t="s">
        <x:v>1935</x:v>
      </x:c>
      <x:c r="E1275" s="7" t="s">
        <x:v>4421</x:v>
      </x:c>
      <x:c r="F1275" s="7" t="s">
        <x:v>1929</x:v>
      </x:c>
      <x:c r="G1275" s="8" t="n">
        <x:v>4730</x:v>
      </x:c>
      <x:c r="H1275" s="8" t="n">
        <x:v>260</x:v>
      </x:c>
      <x:c r="I1275" s="8" t="s">
        <x:v>58</x:v>
      </x:c>
      <x:c r="J1275" s="7" t="s">
        <x:v>1919</x:v>
      </x:c>
      <x:c r="K1275" s="8" t="n">
        <x:v>0.001</x:v>
      </x:c>
      <x:c r="L1275" s="8" t="n">
        <x:f aca="0">IF(AND(ISNUMBER(G1275),P1275&lt;&gt;"Unresolved unit / layout"),G1275*K1275,"Not applicable")</x:f>
        <x:v>4.73</x:v>
      </x:c>
      <x:c r="M1275" s="8" t="n">
        <x:f aca="0">IF(AND(ISNUMBER(H1275),P1275&lt;&gt;"Unresolved unit / layout"),H1275*K1275,"Not applicable")</x:f>
        <x:v>0.26</x:v>
      </x:c>
      <x:c r="N1275" s="8" t="str">
        <x:f aca="0">IF(AND(ISNUMBER(I1275),P1275&lt;&gt;"Unresolved unit / layout"),I1275*K1275,"Not applicable")</x:f>
        <x:v>Not applicable</x:v>
      </x:c>
      <x:c r="O1275" s="7" t="s">
        <x:v>1937</x:v>
      </x:c>
      <x:c r="P1275" s="7" t="s">
        <x:v>1921</x:v>
      </x:c>
      <x:c r="Q1275" s="7" t="s">
        <x:v>2064</x:v>
      </x:c>
      <x:c r="R1275" s="7" t="s">
        <x:v>1931</x:v>
      </x:c>
      <x:c r="S1275" s="7" t="s">
        <x:v>53</x:v>
      </x:c>
      <x:c r="T1275" s="7" t="s">
        <x:v>53</x:v>
      </x:c>
      <x:c r="U1275" s="7" t="s">
        <x:v>53</x:v>
      </x:c>
      <x:c r="V1275" s="7" t="s">
        <x:v>1999</x:v>
      </x:c>
      <x:c r="W1275" s="7" t="s">
        <x:v>58</x:v>
      </x:c>
      <x:c r="X1275" s="7" t="s">
        <x:v>4408</x:v>
      </x:c>
      <x:c r="Y1275" s="7" t="s">
        <x:v>1314</x:v>
      </x:c>
      <x:c r="Z1275" s="7" t="s">
        <x:v>2105</x:v>
      </x:c>
      <x:c r="AA1275" s="7" t="s">
        <x:v>58</x:v>
      </x:c>
      <x:c r="AB1275" s="8" t="s">
        <x:v>58</x:v>
      </x:c>
      <x:c r="AC1275" s="8" t="s">
        <x:v>58</x:v>
      </x:c>
      <x:c r="AD1275" s="8" t="s">
        <x:v>58</x:v>
      </x:c>
      <x:c r="AE1275" s="8" t="s">
        <x:v>58</x:v>
      </x:c>
      <x:c r="AF1275" s="8" t="s">
        <x:v>58</x:v>
      </x:c>
      <x:c r="AG1275" s="7" t="s">
        <x:v>58</x:v>
      </x:c>
    </x:row>
    <x:row r="1276" ht="79.5" hidden="0" customHeight="1">
      <x:c r="A1276" s="7" t="s">
        <x:v>4422</x:v>
      </x:c>
      <x:c r="B1276" s="7" t="s">
        <x:v>749</x:v>
      </x:c>
      <x:c r="C1276" s="7" t="s">
        <x:v>751</x:v>
      </x:c>
      <x:c r="D1276" s="7" t="s">
        <x:v>1935</x:v>
      </x:c>
      <x:c r="E1276" s="7" t="s">
        <x:v>4423</x:v>
      </x:c>
      <x:c r="F1276" s="7" t="s">
        <x:v>1929</x:v>
      </x:c>
      <x:c r="G1276" s="8" t="n">
        <x:v>2160</x:v>
      </x:c>
      <x:c r="H1276" s="8" t="n">
        <x:v>170</x:v>
      </x:c>
      <x:c r="I1276" s="8" t="s">
        <x:v>58</x:v>
      </x:c>
      <x:c r="J1276" s="7" t="s">
        <x:v>1919</x:v>
      </x:c>
      <x:c r="K1276" s="8" t="n">
        <x:v>0.001</x:v>
      </x:c>
      <x:c r="L1276" s="8" t="n">
        <x:f aca="0">IF(AND(ISNUMBER(G1276),P1276&lt;&gt;"Unresolved unit / layout"),G1276*K1276,"Not applicable")</x:f>
        <x:v>2.16</x:v>
      </x:c>
      <x:c r="M1276" s="8" t="n">
        <x:f aca="0">IF(AND(ISNUMBER(H1276),P1276&lt;&gt;"Unresolved unit / layout"),H1276*K1276,"Not applicable")</x:f>
        <x:v>0.17</x:v>
      </x:c>
      <x:c r="N1276" s="8" t="str">
        <x:f aca="0">IF(AND(ISNUMBER(I1276),P1276&lt;&gt;"Unresolved unit / layout"),I1276*K1276,"Not applicable")</x:f>
        <x:v>Not applicable</x:v>
      </x:c>
      <x:c r="O1276" s="7" t="s">
        <x:v>1937</x:v>
      </x:c>
      <x:c r="P1276" s="7" t="s">
        <x:v>1921</x:v>
      </x:c>
      <x:c r="Q1276" s="7" t="s">
        <x:v>2064</x:v>
      </x:c>
      <x:c r="R1276" s="7" t="s">
        <x:v>2003</x:v>
      </x:c>
      <x:c r="S1276" s="7" t="s">
        <x:v>53</x:v>
      </x:c>
      <x:c r="T1276" s="7" t="s">
        <x:v>53</x:v>
      </x:c>
      <x:c r="U1276" s="7" t="s">
        <x:v>53</x:v>
      </x:c>
      <x:c r="V1276" s="7" t="s">
        <x:v>1999</x:v>
      </x:c>
      <x:c r="W1276" s="7" t="s">
        <x:v>58</x:v>
      </x:c>
      <x:c r="X1276" s="7" t="s">
        <x:v>4408</x:v>
      </x:c>
      <x:c r="Y1276" s="7" t="s">
        <x:v>1314</x:v>
      </x:c>
      <x:c r="Z1276" s="7" t="s">
        <x:v>2108</x:v>
      </x:c>
      <x:c r="AA1276" s="7" t="s">
        <x:v>58</x:v>
      </x:c>
      <x:c r="AB1276" s="8" t="s">
        <x:v>58</x:v>
      </x:c>
      <x:c r="AC1276" s="8" t="s">
        <x:v>58</x:v>
      </x:c>
      <x:c r="AD1276" s="8" t="s">
        <x:v>58</x:v>
      </x:c>
      <x:c r="AE1276" s="8" t="s">
        <x:v>58</x:v>
      </x:c>
      <x:c r="AF1276" s="8" t="s">
        <x:v>58</x:v>
      </x:c>
      <x:c r="AG1276" s="7" t="s">
        <x:v>58</x:v>
      </x:c>
    </x:row>
    <x:row r="1277" ht="79.5" hidden="0" customHeight="1">
      <x:c r="A1277" s="7" t="s">
        <x:v>4424</x:v>
      </x:c>
      <x:c r="B1277" s="7" t="s">
        <x:v>749</x:v>
      </x:c>
      <x:c r="C1277" s="7" t="s">
        <x:v>751</x:v>
      </x:c>
      <x:c r="D1277" s="7" t="s">
        <x:v>2006</x:v>
      </x:c>
      <x:c r="E1277" s="7" t="s">
        <x:v>4425</x:v>
      </x:c>
      <x:c r="F1277" s="7" t="s">
        <x:v>1929</x:v>
      </x:c>
      <x:c r="G1277" s="8" t="n">
        <x:v>74</x:v>
      </x:c>
      <x:c r="H1277" s="8" t="n">
        <x:v>6</x:v>
      </x:c>
      <x:c r="I1277" s="8" t="s">
        <x:v>58</x:v>
      </x:c>
      <x:c r="J1277" s="7" t="s">
        <x:v>1919</x:v>
      </x:c>
      <x:c r="K1277" s="8" t="n">
        <x:v>1</x:v>
      </x:c>
      <x:c r="L1277" s="8" t="n">
        <x:f aca="0">IF(AND(ISNUMBER(G1277),P1277&lt;&gt;"Unresolved unit / layout"),G1277*K1277,"Not applicable")</x:f>
        <x:v>74</x:v>
      </x:c>
      <x:c r="M1277" s="8" t="n">
        <x:f aca="0">IF(AND(ISNUMBER(H1277),P1277&lt;&gt;"Unresolved unit / layout"),H1277*K1277,"Not applicable")</x:f>
        <x:v>6</x:v>
      </x:c>
      <x:c r="N1277" s="8" t="str">
        <x:f aca="0">IF(AND(ISNUMBER(I1277),P1277&lt;&gt;"Unresolved unit / layout"),I1277*K1277,"Not applicable")</x:f>
        <x:v>Not applicable</x:v>
      </x:c>
      <x:c r="O1277" s="7" t="s">
        <x:v>1929</x:v>
      </x:c>
      <x:c r="P1277" s="7" t="s">
        <x:v>1921</x:v>
      </x:c>
      <x:c r="Q1277" s="7" t="s">
        <x:v>2064</x:v>
      </x:c>
      <x:c r="R1277" s="7" t="s">
        <x:v>1931</x:v>
      </x:c>
      <x:c r="S1277" s="7" t="s">
        <x:v>53</x:v>
      </x:c>
      <x:c r="T1277" s="7" t="s">
        <x:v>53</x:v>
      </x:c>
      <x:c r="U1277" s="7" t="s">
        <x:v>53</x:v>
      </x:c>
      <x:c r="V1277" s="7" t="s">
        <x:v>1999</x:v>
      </x:c>
      <x:c r="W1277" s="7" t="s">
        <x:v>58</x:v>
      </x:c>
      <x:c r="X1277" s="7" t="s">
        <x:v>4408</x:v>
      </x:c>
      <x:c r="Y1277" s="7" t="s">
        <x:v>1314</x:v>
      </x:c>
      <x:c r="Z1277" s="7" t="s">
        <x:v>2111</x:v>
      </x:c>
      <x:c r="AA1277" s="7" t="s">
        <x:v>58</x:v>
      </x:c>
      <x:c r="AB1277" s="8" t="s">
        <x:v>58</x:v>
      </x:c>
      <x:c r="AC1277" s="8" t="s">
        <x:v>58</x:v>
      </x:c>
      <x:c r="AD1277" s="8" t="s">
        <x:v>58</x:v>
      </x:c>
      <x:c r="AE1277" s="8" t="s">
        <x:v>58</x:v>
      </x:c>
      <x:c r="AF1277" s="8" t="s">
        <x:v>58</x:v>
      </x:c>
      <x:c r="AG1277" s="7" t="s">
        <x:v>58</x:v>
      </x:c>
    </x:row>
    <x:row r="1278" ht="79.5" hidden="0" customHeight="1">
      <x:c r="A1278" s="7" t="s">
        <x:v>4426</x:v>
      </x:c>
      <x:c r="B1278" s="7" t="s">
        <x:v>749</x:v>
      </x:c>
      <x:c r="C1278" s="7" t="s">
        <x:v>751</x:v>
      </x:c>
      <x:c r="D1278" s="7" t="s">
        <x:v>2006</x:v>
      </x:c>
      <x:c r="E1278" s="7" t="s">
        <x:v>2979</x:v>
      </x:c>
      <x:c r="F1278" s="7" t="s">
        <x:v>1929</x:v>
      </x:c>
      <x:c r="G1278" s="8" t="n">
        <x:v>35</x:v>
      </x:c>
      <x:c r="H1278" s="8" t="n">
        <x:v>5</x:v>
      </x:c>
      <x:c r="I1278" s="8" t="s">
        <x:v>58</x:v>
      </x:c>
      <x:c r="J1278" s="7" t="s">
        <x:v>1919</x:v>
      </x:c>
      <x:c r="K1278" s="8" t="n">
        <x:v>1</x:v>
      </x:c>
      <x:c r="L1278" s="8" t="n">
        <x:f aca="0">IF(AND(ISNUMBER(G1278),P1278&lt;&gt;"Unresolved unit / layout"),G1278*K1278,"Not applicable")</x:f>
        <x:v>35</x:v>
      </x:c>
      <x:c r="M1278" s="8" t="n">
        <x:f aca="0">IF(AND(ISNUMBER(H1278),P1278&lt;&gt;"Unresolved unit / layout"),H1278*K1278,"Not applicable")</x:f>
        <x:v>5</x:v>
      </x:c>
      <x:c r="N1278" s="8" t="str">
        <x:f aca="0">IF(AND(ISNUMBER(I1278),P1278&lt;&gt;"Unresolved unit / layout"),I1278*K1278,"Not applicable")</x:f>
        <x:v>Not applicable</x:v>
      </x:c>
      <x:c r="O1278" s="7" t="s">
        <x:v>1929</x:v>
      </x:c>
      <x:c r="P1278" s="7" t="s">
        <x:v>1921</x:v>
      </x:c>
      <x:c r="Q1278" s="7" t="s">
        <x:v>2064</x:v>
      </x:c>
      <x:c r="R1278" s="7" t="s">
        <x:v>2003</x:v>
      </x:c>
      <x:c r="S1278" s="7" t="s">
        <x:v>53</x:v>
      </x:c>
      <x:c r="T1278" s="7" t="s">
        <x:v>53</x:v>
      </x:c>
      <x:c r="U1278" s="7" t="s">
        <x:v>53</x:v>
      </x:c>
      <x:c r="V1278" s="7" t="s">
        <x:v>1999</x:v>
      </x:c>
      <x:c r="W1278" s="7" t="s">
        <x:v>58</x:v>
      </x:c>
      <x:c r="X1278" s="7" t="s">
        <x:v>4408</x:v>
      </x:c>
      <x:c r="Y1278" s="7" t="s">
        <x:v>1314</x:v>
      </x:c>
      <x:c r="Z1278" s="7" t="s">
        <x:v>2114</x:v>
      </x:c>
      <x:c r="AA1278" s="7" t="s">
        <x:v>58</x:v>
      </x:c>
      <x:c r="AB1278" s="8" t="s">
        <x:v>58</x:v>
      </x:c>
      <x:c r="AC1278" s="8" t="s">
        <x:v>58</x:v>
      </x:c>
      <x:c r="AD1278" s="8" t="s">
        <x:v>58</x:v>
      </x:c>
      <x:c r="AE1278" s="8" t="s">
        <x:v>58</x:v>
      </x:c>
      <x:c r="AF1278" s="8" t="s">
        <x:v>58</x:v>
      </x:c>
      <x:c r="AG1278" s="7" t="s">
        <x:v>58</x:v>
      </x:c>
    </x:row>
    <x:row r="1279" ht="79.5" hidden="0" customHeight="1">
      <x:c r="A1279" s="7" t="s">
        <x:v>4427</x:v>
      </x:c>
      <x:c r="B1279" s="7" t="s">
        <x:v>749</x:v>
      </x:c>
      <x:c r="C1279" s="7" t="s">
        <x:v>751</x:v>
      </x:c>
      <x:c r="D1279" s="7" t="s">
        <x:v>1940</x:v>
      </x:c>
      <x:c r="E1279" s="7" t="s">
        <x:v>4428</x:v>
      </x:c>
      <x:c r="F1279" s="7" t="s">
        <x:v>1942</x:v>
      </x:c>
      <x:c r="G1279" s="8" t="n">
        <x:v>4.5</x:v>
      </x:c>
      <x:c r="H1279" s="8" t="n">
        <x:v>1.2</x:v>
      </x:c>
      <x:c r="I1279" s="8" t="s">
        <x:v>58</x:v>
      </x:c>
      <x:c r="J1279" s="7" t="s">
        <x:v>1919</x:v>
      </x:c>
      <x:c r="K1279" s="8" t="n">
        <x:v>1</x:v>
      </x:c>
      <x:c r="L1279" s="8" t="n">
        <x:f aca="0">IF(AND(ISNUMBER(G1279),P1279&lt;&gt;"Unresolved unit / layout"),G1279*K1279,"Not applicable")</x:f>
        <x:v>4.5</x:v>
      </x:c>
      <x:c r="M1279" s="8" t="n">
        <x:f aca="0">IF(AND(ISNUMBER(H1279),P1279&lt;&gt;"Unresolved unit / layout"),H1279*K1279,"Not applicable")</x:f>
        <x:v>1.2</x:v>
      </x:c>
      <x:c r="N1279" s="8" t="str">
        <x:f aca="0">IF(AND(ISNUMBER(I1279),P1279&lt;&gt;"Unresolved unit / layout"),I1279*K1279,"Not applicable")</x:f>
        <x:v>Not applicable</x:v>
      </x:c>
      <x:c r="O1279" s="7" t="s">
        <x:v>1942</x:v>
      </x:c>
      <x:c r="P1279" s="7" t="s">
        <x:v>1921</x:v>
      </x:c>
      <x:c r="Q1279" s="7" t="s">
        <x:v>2064</x:v>
      </x:c>
      <x:c r="R1279" s="7" t="s">
        <x:v>1931</x:v>
      </x:c>
      <x:c r="S1279" s="7" t="s">
        <x:v>53</x:v>
      </x:c>
      <x:c r="T1279" s="7" t="s">
        <x:v>53</x:v>
      </x:c>
      <x:c r="U1279" s="7" t="s">
        <x:v>53</x:v>
      </x:c>
      <x:c r="V1279" s="7" t="s">
        <x:v>1999</x:v>
      </x:c>
      <x:c r="W1279" s="7" t="s">
        <x:v>58</x:v>
      </x:c>
      <x:c r="X1279" s="7" t="s">
        <x:v>4408</x:v>
      </x:c>
      <x:c r="Y1279" s="7" t="s">
        <x:v>1314</x:v>
      </x:c>
      <x:c r="Z1279" s="7" t="s">
        <x:v>2117</x:v>
      </x:c>
      <x:c r="AA1279" s="7" t="s">
        <x:v>58</x:v>
      </x:c>
      <x:c r="AB1279" s="8" t="s">
        <x:v>58</x:v>
      </x:c>
      <x:c r="AC1279" s="8" t="s">
        <x:v>58</x:v>
      </x:c>
      <x:c r="AD1279" s="8" t="s">
        <x:v>58</x:v>
      </x:c>
      <x:c r="AE1279" s="8" t="s">
        <x:v>58</x:v>
      </x:c>
      <x:c r="AF1279" s="8" t="s">
        <x:v>58</x:v>
      </x:c>
      <x:c r="AG1279" s="7" t="s">
        <x:v>58</x:v>
      </x:c>
    </x:row>
    <x:row r="1280" ht="79.5" hidden="0" customHeight="1">
      <x:c r="A1280" s="7" t="s">
        <x:v>4429</x:v>
      </x:c>
      <x:c r="B1280" s="7" t="s">
        <x:v>749</x:v>
      </x:c>
      <x:c r="C1280" s="7" t="s">
        <x:v>751</x:v>
      </x:c>
      <x:c r="D1280" s="7" t="s">
        <x:v>1940</x:v>
      </x:c>
      <x:c r="E1280" s="7" t="s">
        <x:v>4430</x:v>
      </x:c>
      <x:c r="F1280" s="7" t="s">
        <x:v>1942</x:v>
      </x:c>
      <x:c r="G1280" s="8" t="n">
        <x:v>2.4</x:v>
      </x:c>
      <x:c r="H1280" s="8" t="n">
        <x:v>0.8</x:v>
      </x:c>
      <x:c r="I1280" s="8" t="s">
        <x:v>58</x:v>
      </x:c>
      <x:c r="J1280" s="7" t="s">
        <x:v>1919</x:v>
      </x:c>
      <x:c r="K1280" s="8" t="n">
        <x:v>1</x:v>
      </x:c>
      <x:c r="L1280" s="8" t="n">
        <x:f aca="0">IF(AND(ISNUMBER(G1280),P1280&lt;&gt;"Unresolved unit / layout"),G1280*K1280,"Not applicable")</x:f>
        <x:v>2.4</x:v>
      </x:c>
      <x:c r="M1280" s="8" t="n">
        <x:f aca="0">IF(AND(ISNUMBER(H1280),P1280&lt;&gt;"Unresolved unit / layout"),H1280*K1280,"Not applicable")</x:f>
        <x:v>0.8</x:v>
      </x:c>
      <x:c r="N1280" s="8" t="str">
        <x:f aca="0">IF(AND(ISNUMBER(I1280),P1280&lt;&gt;"Unresolved unit / layout"),I1280*K1280,"Not applicable")</x:f>
        <x:v>Not applicable</x:v>
      </x:c>
      <x:c r="O1280" s="7" t="s">
        <x:v>1942</x:v>
      </x:c>
      <x:c r="P1280" s="7" t="s">
        <x:v>1921</x:v>
      </x:c>
      <x:c r="Q1280" s="7" t="s">
        <x:v>2064</x:v>
      </x:c>
      <x:c r="R1280" s="7" t="s">
        <x:v>2003</x:v>
      </x:c>
      <x:c r="S1280" s="7" t="s">
        <x:v>53</x:v>
      </x:c>
      <x:c r="T1280" s="7" t="s">
        <x:v>53</x:v>
      </x:c>
      <x:c r="U1280" s="7" t="s">
        <x:v>53</x:v>
      </x:c>
      <x:c r="V1280" s="7" t="s">
        <x:v>1999</x:v>
      </x:c>
      <x:c r="W1280" s="7" t="s">
        <x:v>58</x:v>
      </x:c>
      <x:c r="X1280" s="7" t="s">
        <x:v>4408</x:v>
      </x:c>
      <x:c r="Y1280" s="7" t="s">
        <x:v>1314</x:v>
      </x:c>
      <x:c r="Z1280" s="7" t="s">
        <x:v>2120</x:v>
      </x:c>
      <x:c r="AA1280" s="7" t="s">
        <x:v>58</x:v>
      </x:c>
      <x:c r="AB1280" s="8" t="s">
        <x:v>58</x:v>
      </x:c>
      <x:c r="AC1280" s="8" t="s">
        <x:v>58</x:v>
      </x:c>
      <x:c r="AD1280" s="8" t="s">
        <x:v>58</x:v>
      </x:c>
      <x:c r="AE1280" s="8" t="s">
        <x:v>58</x:v>
      </x:c>
      <x:c r="AF1280" s="8" t="s">
        <x:v>58</x:v>
      </x:c>
      <x:c r="AG1280" s="7" t="s">
        <x:v>58</x:v>
      </x:c>
    </x:row>
    <x:row r="1281" ht="79.5" hidden="0" customHeight="1">
      <x:c r="A1281" s="7" t="s">
        <x:v>4431</x:v>
      </x:c>
      <x:c r="B1281" s="7" t="s">
        <x:v>749</x:v>
      </x:c>
      <x:c r="C1281" s="7" t="s">
        <x:v>751</x:v>
      </x:c>
      <x:c r="D1281" s="7" t="s">
        <x:v>1950</x:v>
      </x:c>
      <x:c r="E1281" s="7" t="s">
        <x:v>4432</x:v>
      </x:c>
      <x:c r="F1281" s="7" t="s">
        <x:v>1929</x:v>
      </x:c>
      <x:c r="G1281" s="8" t="n">
        <x:v>5320</x:v>
      </x:c>
      <x:c r="H1281" s="8" t="n">
        <x:v>270</x:v>
      </x:c>
      <x:c r="I1281" s="8" t="s">
        <x:v>58</x:v>
      </x:c>
      <x:c r="J1281" s="7" t="s">
        <x:v>1919</x:v>
      </x:c>
      <x:c r="K1281" s="8" t="n">
        <x:v>0.001</x:v>
      </x:c>
      <x:c r="L1281" s="8" t="n">
        <x:f aca="0">IF(AND(ISNUMBER(G1281),P1281&lt;&gt;"Unresolved unit / layout"),G1281*K1281,"Not applicable")</x:f>
        <x:v>5.32</x:v>
      </x:c>
      <x:c r="M1281" s="8" t="n">
        <x:f aca="0">IF(AND(ISNUMBER(H1281),P1281&lt;&gt;"Unresolved unit / layout"),H1281*K1281,"Not applicable")</x:f>
        <x:v>0.27</x:v>
      </x:c>
      <x:c r="N1281" s="8" t="str">
        <x:f aca="0">IF(AND(ISNUMBER(I1281),P1281&lt;&gt;"Unresolved unit / layout"),I1281*K1281,"Not applicable")</x:f>
        <x:v>Not applicable</x:v>
      </x:c>
      <x:c r="O1281" s="7" t="s">
        <x:v>1937</x:v>
      </x:c>
      <x:c r="P1281" s="7" t="s">
        <x:v>1921</x:v>
      </x:c>
      <x:c r="Q1281" s="7" t="s">
        <x:v>2064</x:v>
      </x:c>
      <x:c r="R1281" s="7" t="s">
        <x:v>1931</x:v>
      </x:c>
      <x:c r="S1281" s="7" t="s">
        <x:v>53</x:v>
      </x:c>
      <x:c r="T1281" s="7" t="s">
        <x:v>53</x:v>
      </x:c>
      <x:c r="U1281" s="7" t="s">
        <x:v>53</x:v>
      </x:c>
      <x:c r="V1281" s="7" t="s">
        <x:v>2020</x:v>
      </x:c>
      <x:c r="W1281" s="7" t="s">
        <x:v>58</x:v>
      </x:c>
      <x:c r="X1281" s="7" t="s">
        <x:v>4408</x:v>
      </x:c>
      <x:c r="Y1281" s="7" t="s">
        <x:v>1314</x:v>
      </x:c>
      <x:c r="Z1281" s="7" t="s">
        <x:v>2123</x:v>
      </x:c>
      <x:c r="AA1281" s="7" t="s">
        <x:v>58</x:v>
      </x:c>
      <x:c r="AB1281" s="8" t="s">
        <x:v>58</x:v>
      </x:c>
      <x:c r="AC1281" s="8" t="s">
        <x:v>58</x:v>
      </x:c>
      <x:c r="AD1281" s="8" t="s">
        <x:v>58</x:v>
      </x:c>
      <x:c r="AE1281" s="8" t="s">
        <x:v>58</x:v>
      </x:c>
      <x:c r="AF1281" s="8" t="s">
        <x:v>58</x:v>
      </x:c>
      <x:c r="AG1281" s="7" t="s">
        <x:v>58</x:v>
      </x:c>
    </x:row>
    <x:row r="1282" ht="79.5" hidden="0" customHeight="1">
      <x:c r="A1282" s="7" t="s">
        <x:v>4433</x:v>
      </x:c>
      <x:c r="B1282" s="7" t="s">
        <x:v>749</x:v>
      </x:c>
      <x:c r="C1282" s="7" t="s">
        <x:v>751</x:v>
      </x:c>
      <x:c r="D1282" s="7" t="s">
        <x:v>1950</x:v>
      </x:c>
      <x:c r="E1282" s="7" t="s">
        <x:v>4434</x:v>
      </x:c>
      <x:c r="F1282" s="7" t="s">
        <x:v>1929</x:v>
      </x:c>
      <x:c r="G1282" s="8" t="n">
        <x:v>2210</x:v>
      </x:c>
      <x:c r="H1282" s="8" t="n">
        <x:v>180</x:v>
      </x:c>
      <x:c r="I1282" s="8" t="s">
        <x:v>58</x:v>
      </x:c>
      <x:c r="J1282" s="7" t="s">
        <x:v>1919</x:v>
      </x:c>
      <x:c r="K1282" s="8" t="n">
        <x:v>0.001</x:v>
      </x:c>
      <x:c r="L1282" s="8" t="n">
        <x:f aca="0">IF(AND(ISNUMBER(G1282),P1282&lt;&gt;"Unresolved unit / layout"),G1282*K1282,"Not applicable")</x:f>
        <x:v>2.21</x:v>
      </x:c>
      <x:c r="M1282" s="8" t="n">
        <x:f aca="0">IF(AND(ISNUMBER(H1282),P1282&lt;&gt;"Unresolved unit / layout"),H1282*K1282,"Not applicable")</x:f>
        <x:v>0.18</x:v>
      </x:c>
      <x:c r="N1282" s="8" t="str">
        <x:f aca="0">IF(AND(ISNUMBER(I1282),P1282&lt;&gt;"Unresolved unit / layout"),I1282*K1282,"Not applicable")</x:f>
        <x:v>Not applicable</x:v>
      </x:c>
      <x:c r="O1282" s="7" t="s">
        <x:v>1937</x:v>
      </x:c>
      <x:c r="P1282" s="7" t="s">
        <x:v>1921</x:v>
      </x:c>
      <x:c r="Q1282" s="7" t="s">
        <x:v>2064</x:v>
      </x:c>
      <x:c r="R1282" s="7" t="s">
        <x:v>2003</x:v>
      </x:c>
      <x:c r="S1282" s="7" t="s">
        <x:v>53</x:v>
      </x:c>
      <x:c r="T1282" s="7" t="s">
        <x:v>53</x:v>
      </x:c>
      <x:c r="U1282" s="7" t="s">
        <x:v>53</x:v>
      </x:c>
      <x:c r="V1282" s="7" t="s">
        <x:v>2020</x:v>
      </x:c>
      <x:c r="W1282" s="7" t="s">
        <x:v>58</x:v>
      </x:c>
      <x:c r="X1282" s="7" t="s">
        <x:v>4408</x:v>
      </x:c>
      <x:c r="Y1282" s="7" t="s">
        <x:v>1314</x:v>
      </x:c>
      <x:c r="Z1282" s="7" t="s">
        <x:v>2210</x:v>
      </x:c>
      <x:c r="AA1282" s="7" t="s">
        <x:v>58</x:v>
      </x:c>
      <x:c r="AB1282" s="8" t="s">
        <x:v>58</x:v>
      </x:c>
      <x:c r="AC1282" s="8" t="s">
        <x:v>58</x:v>
      </x:c>
      <x:c r="AD1282" s="8" t="s">
        <x:v>58</x:v>
      </x:c>
      <x:c r="AE1282" s="8" t="s">
        <x:v>58</x:v>
      </x:c>
      <x:c r="AF1282" s="8" t="s">
        <x:v>58</x:v>
      </x:c>
      <x:c r="AG1282" s="7" t="s">
        <x:v>58</x:v>
      </x:c>
    </x:row>
    <x:row r="1283" ht="79.5" hidden="0" customHeight="1">
      <x:c r="A1283" s="7" t="s">
        <x:v>4435</x:v>
      </x:c>
      <x:c r="B1283" s="7" t="s">
        <x:v>749</x:v>
      </x:c>
      <x:c r="C1283" s="7" t="s">
        <x:v>751</x:v>
      </x:c>
      <x:c r="D1283" s="7" t="s">
        <x:v>1945</x:v>
      </x:c>
      <x:c r="E1283" s="7" t="s">
        <x:v>4436</x:v>
      </x:c>
      <x:c r="F1283" s="7" t="s">
        <x:v>1929</x:v>
      </x:c>
      <x:c r="G1283" s="8" t="n">
        <x:v>131</x:v>
      </x:c>
      <x:c r="H1283" s="8" t="n">
        <x:v>6</x:v>
      </x:c>
      <x:c r="I1283" s="8" t="s">
        <x:v>58</x:v>
      </x:c>
      <x:c r="J1283" s="7" t="s">
        <x:v>1919</x:v>
      </x:c>
      <x:c r="K1283" s="8" t="n">
        <x:v>1</x:v>
      </x:c>
      <x:c r="L1283" s="8" t="n">
        <x:f aca="0">IF(AND(ISNUMBER(G1283),P1283&lt;&gt;"Unresolved unit / layout"),G1283*K1283,"Not applicable")</x:f>
        <x:v>131</x:v>
      </x:c>
      <x:c r="M1283" s="8" t="n">
        <x:f aca="0">IF(AND(ISNUMBER(H1283),P1283&lt;&gt;"Unresolved unit / layout"),H1283*K1283,"Not applicable")</x:f>
        <x:v>6</x:v>
      </x:c>
      <x:c r="N1283" s="8" t="str">
        <x:f aca="0">IF(AND(ISNUMBER(I1283),P1283&lt;&gt;"Unresolved unit / layout"),I1283*K1283,"Not applicable")</x:f>
        <x:v>Not applicable</x:v>
      </x:c>
      <x:c r="O1283" s="7" t="s">
        <x:v>1929</x:v>
      </x:c>
      <x:c r="P1283" s="7" t="s">
        <x:v>1921</x:v>
      </x:c>
      <x:c r="Q1283" s="7" t="s">
        <x:v>2064</x:v>
      </x:c>
      <x:c r="R1283" s="7" t="s">
        <x:v>1931</x:v>
      </x:c>
      <x:c r="S1283" s="7" t="s">
        <x:v>53</x:v>
      </x:c>
      <x:c r="T1283" s="7" t="s">
        <x:v>53</x:v>
      </x:c>
      <x:c r="U1283" s="7" t="s">
        <x:v>53</x:v>
      </x:c>
      <x:c r="V1283" s="7" t="s">
        <x:v>2020</x:v>
      </x:c>
      <x:c r="W1283" s="7" t="s">
        <x:v>58</x:v>
      </x:c>
      <x:c r="X1283" s="7" t="s">
        <x:v>4408</x:v>
      </x:c>
      <x:c r="Y1283" s="7" t="s">
        <x:v>1314</x:v>
      </x:c>
      <x:c r="Z1283" s="7" t="s">
        <x:v>2213</x:v>
      </x:c>
      <x:c r="AA1283" s="7" t="s">
        <x:v>58</x:v>
      </x:c>
      <x:c r="AB1283" s="8" t="s">
        <x:v>58</x:v>
      </x:c>
      <x:c r="AC1283" s="8" t="s">
        <x:v>58</x:v>
      </x:c>
      <x:c r="AD1283" s="8" t="s">
        <x:v>58</x:v>
      </x:c>
      <x:c r="AE1283" s="8" t="s">
        <x:v>58</x:v>
      </x:c>
      <x:c r="AF1283" s="8" t="s">
        <x:v>58</x:v>
      </x:c>
      <x:c r="AG1283" s="7" t="s">
        <x:v>58</x:v>
      </x:c>
    </x:row>
    <x:row r="1284" ht="79.5" hidden="0" customHeight="1">
      <x:c r="A1284" s="7" t="s">
        <x:v>4437</x:v>
      </x:c>
      <x:c r="B1284" s="7" t="s">
        <x:v>749</x:v>
      </x:c>
      <x:c r="C1284" s="7" t="s">
        <x:v>751</x:v>
      </x:c>
      <x:c r="D1284" s="7" t="s">
        <x:v>1945</x:v>
      </x:c>
      <x:c r="E1284" s="7" t="s">
        <x:v>4438</x:v>
      </x:c>
      <x:c r="F1284" s="7" t="s">
        <x:v>1929</x:v>
      </x:c>
      <x:c r="G1284" s="8" t="n">
        <x:v>49</x:v>
      </x:c>
      <x:c r="H1284" s="8" t="n">
        <x:v>5</x:v>
      </x:c>
      <x:c r="I1284" s="8" t="s">
        <x:v>58</x:v>
      </x:c>
      <x:c r="J1284" s="7" t="s">
        <x:v>1919</x:v>
      </x:c>
      <x:c r="K1284" s="8" t="n">
        <x:v>1</x:v>
      </x:c>
      <x:c r="L1284" s="8" t="n">
        <x:f aca="0">IF(AND(ISNUMBER(G1284),P1284&lt;&gt;"Unresolved unit / layout"),G1284*K1284,"Not applicable")</x:f>
        <x:v>49</x:v>
      </x:c>
      <x:c r="M1284" s="8" t="n">
        <x:f aca="0">IF(AND(ISNUMBER(H1284),P1284&lt;&gt;"Unresolved unit / layout"),H1284*K1284,"Not applicable")</x:f>
        <x:v>5</x:v>
      </x:c>
      <x:c r="N1284" s="8" t="str">
        <x:f aca="0">IF(AND(ISNUMBER(I1284),P1284&lt;&gt;"Unresolved unit / layout"),I1284*K1284,"Not applicable")</x:f>
        <x:v>Not applicable</x:v>
      </x:c>
      <x:c r="O1284" s="7" t="s">
        <x:v>1929</x:v>
      </x:c>
      <x:c r="P1284" s="7" t="s">
        <x:v>1921</x:v>
      </x:c>
      <x:c r="Q1284" s="7" t="s">
        <x:v>2064</x:v>
      </x:c>
      <x:c r="R1284" s="7" t="s">
        <x:v>2003</x:v>
      </x:c>
      <x:c r="S1284" s="7" t="s">
        <x:v>53</x:v>
      </x:c>
      <x:c r="T1284" s="7" t="s">
        <x:v>53</x:v>
      </x:c>
      <x:c r="U1284" s="7" t="s">
        <x:v>53</x:v>
      </x:c>
      <x:c r="V1284" s="7" t="s">
        <x:v>2020</x:v>
      </x:c>
      <x:c r="W1284" s="7" t="s">
        <x:v>58</x:v>
      </x:c>
      <x:c r="X1284" s="7" t="s">
        <x:v>4408</x:v>
      </x:c>
      <x:c r="Y1284" s="7" t="s">
        <x:v>1314</x:v>
      </x:c>
      <x:c r="Z1284" s="7" t="s">
        <x:v>2216</x:v>
      </x:c>
      <x:c r="AA1284" s="7" t="s">
        <x:v>58</x:v>
      </x:c>
      <x:c r="AB1284" s="8" t="s">
        <x:v>58</x:v>
      </x:c>
      <x:c r="AC1284" s="8" t="s">
        <x:v>58</x:v>
      </x:c>
      <x:c r="AD1284" s="8" t="s">
        <x:v>58</x:v>
      </x:c>
      <x:c r="AE1284" s="8" t="s">
        <x:v>58</x:v>
      </x:c>
      <x:c r="AF1284" s="8" t="s">
        <x:v>58</x:v>
      </x:c>
      <x:c r="AG1284" s="7" t="s">
        <x:v>58</x:v>
      </x:c>
    </x:row>
    <x:row r="1285" ht="79.5" hidden="0" customHeight="1">
      <x:c r="A1285" s="7" t="s">
        <x:v>4439</x:v>
      </x:c>
      <x:c r="B1285" s="7" t="s">
        <x:v>749</x:v>
      </x:c>
      <x:c r="C1285" s="7" t="s">
        <x:v>751</x:v>
      </x:c>
      <x:c r="D1285" s="7" t="s">
        <x:v>2030</x:v>
      </x:c>
      <x:c r="E1285" s="7" t="s">
        <x:v>4440</x:v>
      </x:c>
      <x:c r="F1285" s="7" t="s">
        <x:v>2033</x:v>
      </x:c>
      <x:c r="G1285" s="8" t="n">
        <x:v>36</x:v>
      </x:c>
      <x:c r="H1285" s="8" t="n">
        <x:v>2.7</x:v>
      </x:c>
      <x:c r="I1285" s="8" t="s">
        <x:v>58</x:v>
      </x:c>
      <x:c r="J1285" s="7" t="s">
        <x:v>1919</x:v>
      </x:c>
      <x:c r="K1285" s="8" t="n">
        <x:v>1</x:v>
      </x:c>
      <x:c r="L1285" s="8" t="n">
        <x:f aca="0">IF(AND(ISNUMBER(G1285),P1285&lt;&gt;"Unresolved unit / layout"),G1285*K1285,"Not applicable")</x:f>
        <x:v>36</x:v>
      </x:c>
      <x:c r="M1285" s="8" t="n">
        <x:f aca="0">IF(AND(ISNUMBER(H1285),P1285&lt;&gt;"Unresolved unit / layout"),H1285*K1285,"Not applicable")</x:f>
        <x:v>2.7</x:v>
      </x:c>
      <x:c r="N1285" s="8" t="str">
        <x:f aca="0">IF(AND(ISNUMBER(I1285),P1285&lt;&gt;"Unresolved unit / layout"),I1285*K1285,"Not applicable")</x:f>
        <x:v>Not applicable</x:v>
      </x:c>
      <x:c r="O1285" s="7" t="s">
        <x:v>2033</x:v>
      </x:c>
      <x:c r="P1285" s="7" t="s">
        <x:v>1921</x:v>
      </x:c>
      <x:c r="Q1285" s="7" t="s">
        <x:v>2064</x:v>
      </x:c>
      <x:c r="R1285" s="7" t="s">
        <x:v>1931</x:v>
      </x:c>
      <x:c r="S1285" s="7" t="s">
        <x:v>53</x:v>
      </x:c>
      <x:c r="T1285" s="7" t="s">
        <x:v>53</x:v>
      </x:c>
      <x:c r="U1285" s="7" t="s">
        <x:v>53</x:v>
      </x:c>
      <x:c r="V1285" s="7" t="s">
        <x:v>2036</x:v>
      </x:c>
      <x:c r="W1285" s="7" t="s">
        <x:v>2135</x:v>
      </x:c>
      <x:c r="X1285" s="7" t="s">
        <x:v>4408</x:v>
      </x:c>
      <x:c r="Y1285" s="7" t="s">
        <x:v>1314</x:v>
      </x:c>
      <x:c r="Z1285" s="7" t="s">
        <x:v>2219</x:v>
      </x:c>
      <x:c r="AA1285" s="7" t="s">
        <x:v>58</x:v>
      </x:c>
      <x:c r="AB1285" s="8" t="s">
        <x:v>58</x:v>
      </x:c>
      <x:c r="AC1285" s="8" t="s">
        <x:v>58</x:v>
      </x:c>
      <x:c r="AD1285" s="8" t="s">
        <x:v>58</x:v>
      </x:c>
      <x:c r="AE1285" s="8" t="s">
        <x:v>58</x:v>
      </x:c>
      <x:c r="AF1285" s="8" t="s">
        <x:v>58</x:v>
      </x:c>
      <x:c r="AG1285" s="7" t="s">
        <x:v>58</x:v>
      </x:c>
    </x:row>
    <x:row r="1286" ht="79.5" hidden="0" customHeight="1">
      <x:c r="A1286" s="7" t="s">
        <x:v>4441</x:v>
      </x:c>
      <x:c r="B1286" s="7" t="s">
        <x:v>749</x:v>
      </x:c>
      <x:c r="C1286" s="7" t="s">
        <x:v>751</x:v>
      </x:c>
      <x:c r="D1286" s="7" t="s">
        <x:v>2030</x:v>
      </x:c>
      <x:c r="E1286" s="7" t="s">
        <x:v>4442</x:v>
      </x:c>
      <x:c r="F1286" s="7" t="s">
        <x:v>2033</x:v>
      </x:c>
      <x:c r="G1286" s="8" t="n">
        <x:v>8.6</x:v>
      </x:c>
      <x:c r="H1286" s="8" t="n">
        <x:v>0.5</x:v>
      </x:c>
      <x:c r="I1286" s="8" t="s">
        <x:v>58</x:v>
      </x:c>
      <x:c r="J1286" s="7" t="s">
        <x:v>1919</x:v>
      </x:c>
      <x:c r="K1286" s="8" t="n">
        <x:v>1</x:v>
      </x:c>
      <x:c r="L1286" s="8" t="n">
        <x:f aca="0">IF(AND(ISNUMBER(G1286),P1286&lt;&gt;"Unresolved unit / layout"),G1286*K1286,"Not applicable")</x:f>
        <x:v>8.6</x:v>
      </x:c>
      <x:c r="M1286" s="8" t="n">
        <x:f aca="0">IF(AND(ISNUMBER(H1286),P1286&lt;&gt;"Unresolved unit / layout"),H1286*K1286,"Not applicable")</x:f>
        <x:v>0.5</x:v>
      </x:c>
      <x:c r="N1286" s="8" t="str">
        <x:f aca="0">IF(AND(ISNUMBER(I1286),P1286&lt;&gt;"Unresolved unit / layout"),I1286*K1286,"Not applicable")</x:f>
        <x:v>Not applicable</x:v>
      </x:c>
      <x:c r="O1286" s="7" t="s">
        <x:v>2033</x:v>
      </x:c>
      <x:c r="P1286" s="7" t="s">
        <x:v>1921</x:v>
      </x:c>
      <x:c r="Q1286" s="7" t="s">
        <x:v>2064</x:v>
      </x:c>
      <x:c r="R1286" s="7" t="s">
        <x:v>1931</x:v>
      </x:c>
      <x:c r="S1286" s="7" t="s">
        <x:v>53</x:v>
      </x:c>
      <x:c r="T1286" s="7" t="s">
        <x:v>53</x:v>
      </x:c>
      <x:c r="U1286" s="7" t="s">
        <x:v>53</x:v>
      </x:c>
      <x:c r="V1286" s="7" t="s">
        <x:v>2036</x:v>
      </x:c>
      <x:c r="W1286" s="7" t="s">
        <x:v>2139</x:v>
      </x:c>
      <x:c r="X1286" s="7" t="s">
        <x:v>4408</x:v>
      </x:c>
      <x:c r="Y1286" s="7" t="s">
        <x:v>1314</x:v>
      </x:c>
      <x:c r="Z1286" s="7" t="s">
        <x:v>2222</x:v>
      </x:c>
      <x:c r="AA1286" s="7" t="s">
        <x:v>58</x:v>
      </x:c>
      <x:c r="AB1286" s="8" t="s">
        <x:v>58</x:v>
      </x:c>
      <x:c r="AC1286" s="8" t="s">
        <x:v>58</x:v>
      </x:c>
      <x:c r="AD1286" s="8" t="s">
        <x:v>58</x:v>
      </x:c>
      <x:c r="AE1286" s="8" t="s">
        <x:v>58</x:v>
      </x:c>
      <x:c r="AF1286" s="8" t="s">
        <x:v>58</x:v>
      </x:c>
      <x:c r="AG1286" s="7" t="s">
        <x:v>58</x:v>
      </x:c>
    </x:row>
    <x:row r="1287" ht="79.5" hidden="0" customHeight="1">
      <x:c r="A1287" s="7" t="s">
        <x:v>4443</x:v>
      </x:c>
      <x:c r="B1287" s="7" t="s">
        <x:v>749</x:v>
      </x:c>
      <x:c r="C1287" s="7" t="s">
        <x:v>751</x:v>
      </x:c>
      <x:c r="D1287" s="7" t="s">
        <x:v>2030</x:v>
      </x:c>
      <x:c r="E1287" s="7" t="s">
        <x:v>4444</x:v>
      </x:c>
      <x:c r="F1287" s="7" t="s">
        <x:v>2033</x:v>
      </x:c>
      <x:c r="G1287" s="8" t="n">
        <x:v>4.5</x:v>
      </x:c>
      <x:c r="H1287" s="8" t="n">
        <x:v>0.6</x:v>
      </x:c>
      <x:c r="I1287" s="8" t="s">
        <x:v>58</x:v>
      </x:c>
      <x:c r="J1287" s="7" t="s">
        <x:v>1919</x:v>
      </x:c>
      <x:c r="K1287" s="8" t="n">
        <x:v>1</x:v>
      </x:c>
      <x:c r="L1287" s="8" t="n">
        <x:f aca="0">IF(AND(ISNUMBER(G1287),P1287&lt;&gt;"Unresolved unit / layout"),G1287*K1287,"Not applicable")</x:f>
        <x:v>4.5</x:v>
      </x:c>
      <x:c r="M1287" s="8" t="n">
        <x:f aca="0">IF(AND(ISNUMBER(H1287),P1287&lt;&gt;"Unresolved unit / layout"),H1287*K1287,"Not applicable")</x:f>
        <x:v>0.6</x:v>
      </x:c>
      <x:c r="N1287" s="8" t="str">
        <x:f aca="0">IF(AND(ISNUMBER(I1287),P1287&lt;&gt;"Unresolved unit / layout"),I1287*K1287,"Not applicable")</x:f>
        <x:v>Not applicable</x:v>
      </x:c>
      <x:c r="O1287" s="7" t="s">
        <x:v>2033</x:v>
      </x:c>
      <x:c r="P1287" s="7" t="s">
        <x:v>1921</x:v>
      </x:c>
      <x:c r="Q1287" s="7" t="s">
        <x:v>2064</x:v>
      </x:c>
      <x:c r="R1287" s="7" t="s">
        <x:v>2003</x:v>
      </x:c>
      <x:c r="S1287" s="7" t="s">
        <x:v>53</x:v>
      </x:c>
      <x:c r="T1287" s="7" t="s">
        <x:v>53</x:v>
      </x:c>
      <x:c r="U1287" s="7" t="s">
        <x:v>53</x:v>
      </x:c>
      <x:c r="V1287" s="7" t="s">
        <x:v>2343</x:v>
      </x:c>
      <x:c r="W1287" s="7" t="s">
        <x:v>53</x:v>
      </x:c>
      <x:c r="X1287" s="7" t="s">
        <x:v>4408</x:v>
      </x:c>
      <x:c r="Y1287" s="7" t="s">
        <x:v>1314</x:v>
      </x:c>
      <x:c r="Z1287" s="7" t="s">
        <x:v>2225</x:v>
      </x:c>
      <x:c r="AA1287" s="7" t="s">
        <x:v>58</x:v>
      </x:c>
      <x:c r="AB1287" s="8" t="s">
        <x:v>58</x:v>
      </x:c>
      <x:c r="AC1287" s="8" t="s">
        <x:v>58</x:v>
      </x:c>
      <x:c r="AD1287" s="8" t="s">
        <x:v>58</x:v>
      </x:c>
      <x:c r="AE1287" s="8" t="s">
        <x:v>58</x:v>
      </x:c>
      <x:c r="AF1287" s="8" t="s">
        <x:v>58</x:v>
      </x:c>
      <x:c r="AG1287" s="7" t="s">
        <x:v>58</x:v>
      </x:c>
    </x:row>
    <x:row r="1288" ht="66" hidden="0" customHeight="1">
      <x:c r="A1288" s="7" t="s">
        <x:v>4445</x:v>
      </x:c>
      <x:c r="B1288" s="7" t="s">
        <x:v>768</x:v>
      </x:c>
      <x:c r="C1288" s="7" t="s">
        <x:v>771</x:v>
      </x:c>
      <x:c r="D1288" s="7" t="s">
        <x:v>1916</x:v>
      </x:c>
      <x:c r="E1288" s="7" t="s">
        <x:v>3910</x:v>
      </x:c>
      <x:c r="F1288" s="7" t="s">
        <x:v>2076</x:v>
      </x:c>
      <x:c r="G1288" s="8" t="n">
        <x:v>1.14</x:v>
      </x:c>
      <x:c r="H1288" s="8" t="s">
        <x:v>58</x:v>
      </x:c>
      <x:c r="I1288" s="8" t="s">
        <x:v>58</x:v>
      </x:c>
      <x:c r="J1288" s="7" t="s">
        <x:v>1919</x:v>
      </x:c>
      <x:c r="K1288" s="8" t="n">
        <x:v>1000</x:v>
      </x:c>
      <x:c r="L1288" s="8" t="n">
        <x:f aca="0">IF(AND(ISNUMBER(G1288),P1288&lt;&gt;"Unresolved unit / layout"),G1288*K1288,"Not applicable")</x:f>
        <x:v>1140</x:v>
      </x:c>
      <x:c r="M1288" s="8" t="str">
        <x:f aca="0">IF(AND(ISNUMBER(H1288),P1288&lt;&gt;"Unresolved unit / layout"),H1288*K1288,"Not applicable")</x:f>
        <x:v>Not applicable</x:v>
      </x:c>
      <x:c r="N1288" s="8" t="str">
        <x:f aca="0">IF(AND(ISNUMBER(I1288),P1288&lt;&gt;"Unresolved unit / layout"),I1288*K1288,"Not applicable")</x:f>
        <x:v>Not applicable</x:v>
      </x:c>
      <x:c r="O1288" s="7" t="s">
        <x:v>1920</x:v>
      </x:c>
      <x:c r="P1288" s="7" t="s">
        <x:v>1921</x:v>
      </x:c>
      <x:c r="Q1288" s="7" t="s">
        <x:v>1922</x:v>
      </x:c>
      <x:c r="R1288" s="7" t="s">
        <x:v>58</x:v>
      </x:c>
      <x:c r="S1288" s="7" t="s">
        <x:v>53</x:v>
      </x:c>
      <x:c r="T1288" s="7" t="s">
        <x:v>53</x:v>
      </x:c>
      <x:c r="U1288" s="7" t="s">
        <x:v>53</x:v>
      </x:c>
      <x:c r="V1288" s="7" t="s">
        <x:v>4446</x:v>
      </x:c>
      <x:c r="W1288" s="7" t="s">
        <x:v>58</x:v>
      </x:c>
      <x:c r="X1288" s="7" t="s">
        <x:v>4447</x:v>
      </x:c>
      <x:c r="Y1288" s="7" t="s">
        <x:v>1321</x:v>
      </x:c>
      <x:c r="Z1288" s="7" t="s">
        <x:v>1925</x:v>
      </x:c>
      <x:c r="AA1288" s="7" t="s">
        <x:v>58</x:v>
      </x:c>
      <x:c r="AB1288" s="8" t="s">
        <x:v>58</x:v>
      </x:c>
      <x:c r="AC1288" s="8" t="s">
        <x:v>58</x:v>
      </x:c>
      <x:c r="AD1288" s="8" t="s">
        <x:v>58</x:v>
      </x:c>
      <x:c r="AE1288" s="8" t="s">
        <x:v>58</x:v>
      </x:c>
      <x:c r="AF1288" s="8" t="s">
        <x:v>58</x:v>
      </x:c>
      <x:c r="AG1288" s="7" t="s">
        <x:v>58</x:v>
      </x:c>
    </x:row>
    <x:row r="1289" ht="66" hidden="0" customHeight="1">
      <x:c r="A1289" s="7" t="s">
        <x:v>4448</x:v>
      </x:c>
      <x:c r="B1289" s="7" t="s">
        <x:v>768</x:v>
      </x:c>
      <x:c r="C1289" s="7" t="s">
        <x:v>771</x:v>
      </x:c>
      <x:c r="D1289" s="7" t="s">
        <x:v>2099</x:v>
      </x:c>
      <x:c r="E1289" s="7" t="s">
        <x:v>4449</x:v>
      </x:c>
      <x:c r="F1289" s="7" t="s">
        <x:v>1942</x:v>
      </x:c>
      <x:c r="G1289" s="8" t="n">
        <x:v>1.32</x:v>
      </x:c>
      <x:c r="H1289" s="8" t="s">
        <x:v>58</x:v>
      </x:c>
      <x:c r="I1289" s="8" t="s">
        <x:v>58</x:v>
      </x:c>
      <x:c r="J1289" s="7" t="s">
        <x:v>1919</x:v>
      </x:c>
      <x:c r="K1289" s="8" t="n">
        <x:v>1</x:v>
      </x:c>
      <x:c r="L1289" s="8" t="n">
        <x:f aca="0">IF(AND(ISNUMBER(G1289),P1289&lt;&gt;"Unresolved unit / layout"),G1289*K1289,"Not applicable")</x:f>
        <x:v>1.32</x:v>
      </x:c>
      <x:c r="M1289" s="8" t="str">
        <x:f aca="0">IF(AND(ISNUMBER(H1289),P1289&lt;&gt;"Unresolved unit / layout"),H1289*K1289,"Not applicable")</x:f>
        <x:v>Not applicable</x:v>
      </x:c>
      <x:c r="N1289" s="8" t="str">
        <x:f aca="0">IF(AND(ISNUMBER(I1289),P1289&lt;&gt;"Unresolved unit / layout"),I1289*K1289,"Not applicable")</x:f>
        <x:v>Not applicable</x:v>
      </x:c>
      <x:c r="O1289" s="7" t="s">
        <x:v>1942</x:v>
      </x:c>
      <x:c r="P1289" s="7" t="s">
        <x:v>1921</x:v>
      </x:c>
      <x:c r="Q1289" s="7" t="s">
        <x:v>2064</x:v>
      </x:c>
      <x:c r="R1289" s="7" t="s">
        <x:v>58</x:v>
      </x:c>
      <x:c r="S1289" s="7" t="s">
        <x:v>53</x:v>
      </x:c>
      <x:c r="T1289" s="7" t="s">
        <x:v>53</x:v>
      </x:c>
      <x:c r="U1289" s="7" t="s">
        <x:v>53</x:v>
      </x:c>
      <x:c r="V1289" s="7" t="s">
        <x:v>4450</x:v>
      </x:c>
      <x:c r="W1289" s="7" t="s">
        <x:v>58</x:v>
      </x:c>
      <x:c r="X1289" s="7" t="s">
        <x:v>4447</x:v>
      </x:c>
      <x:c r="Y1289" s="7" t="s">
        <x:v>1321</x:v>
      </x:c>
      <x:c r="Z1289" s="7" t="s">
        <x:v>4451</x:v>
      </x:c>
      <x:c r="AA1289" s="7" t="s">
        <x:v>58</x:v>
      </x:c>
      <x:c r="AB1289" s="8" t="s">
        <x:v>58</x:v>
      </x:c>
      <x:c r="AC1289" s="8" t="s">
        <x:v>58</x:v>
      </x:c>
      <x:c r="AD1289" s="8" t="s">
        <x:v>58</x:v>
      </x:c>
      <x:c r="AE1289" s="8" t="s">
        <x:v>58</x:v>
      </x:c>
      <x:c r="AF1289" s="8" t="s">
        <x:v>58</x:v>
      </x:c>
      <x:c r="AG1289" s="7" t="s">
        <x:v>58</x:v>
      </x:c>
    </x:row>
    <x:row r="1290" ht="66" hidden="0" customHeight="1">
      <x:c r="A1290" s="7" t="s">
        <x:v>4452</x:v>
      </x:c>
      <x:c r="B1290" s="7" t="s">
        <x:v>768</x:v>
      </x:c>
      <x:c r="C1290" s="7" t="s">
        <x:v>771</x:v>
      </x:c>
      <x:c r="D1290" s="7" t="s">
        <x:v>1974</x:v>
      </x:c>
      <x:c r="E1290" s="7" t="s">
        <x:v>4453</x:v>
      </x:c>
      <x:c r="F1290" s="7" t="s">
        <x:v>1956</x:v>
      </x:c>
      <x:c r="G1290" s="8" t="n">
        <x:v>246</x:v>
      </x:c>
      <x:c r="H1290" s="8" t="s">
        <x:v>58</x:v>
      </x:c>
      <x:c r="I1290" s="8" t="s">
        <x:v>58</x:v>
      </x:c>
      <x:c r="J1290" s="7" t="s">
        <x:v>1919</x:v>
      </x:c>
      <x:c r="K1290" s="8" t="n">
        <x:v>1</x:v>
      </x:c>
      <x:c r="L1290" s="8" t="n">
        <x:f aca="0">IF(AND(ISNUMBER(G1290),P1290&lt;&gt;"Unresolved unit / layout"),G1290*K1290,"Not applicable")</x:f>
        <x:v>246</x:v>
      </x:c>
      <x:c r="M1290" s="8" t="str">
        <x:f aca="0">IF(AND(ISNUMBER(H1290),P1290&lt;&gt;"Unresolved unit / layout"),H1290*K1290,"Not applicable")</x:f>
        <x:v>Not applicable</x:v>
      </x:c>
      <x:c r="N1290" s="8" t="str">
        <x:f aca="0">IF(AND(ISNUMBER(I1290),P1290&lt;&gt;"Unresolved unit / layout"),I1290*K1290,"Not applicable")</x:f>
        <x:v>Not applicable</x:v>
      </x:c>
      <x:c r="O1290" s="7" t="s">
        <x:v>1956</x:v>
      </x:c>
      <x:c r="P1290" s="7" t="s">
        <x:v>1921</x:v>
      </x:c>
      <x:c r="Q1290" s="7" t="s">
        <x:v>2064</x:v>
      </x:c>
      <x:c r="R1290" s="7" t="s">
        <x:v>58</x:v>
      </x:c>
      <x:c r="S1290" s="7" t="s">
        <x:v>53</x:v>
      </x:c>
      <x:c r="T1290" s="7" t="s">
        <x:v>53</x:v>
      </x:c>
      <x:c r="U1290" s="7" t="s">
        <x:v>53</x:v>
      </x:c>
      <x:c r="V1290" s="7" t="s">
        <x:v>4454</x:v>
      </x:c>
      <x:c r="W1290" s="7" t="s">
        <x:v>58</x:v>
      </x:c>
      <x:c r="X1290" s="7" t="s">
        <x:v>4447</x:v>
      </x:c>
      <x:c r="Y1290" s="7" t="s">
        <x:v>1321</x:v>
      </x:c>
      <x:c r="Z1290" s="7" t="s">
        <x:v>4455</x:v>
      </x:c>
      <x:c r="AA1290" s="7" t="s">
        <x:v>58</x:v>
      </x:c>
      <x:c r="AB1290" s="8" t="s">
        <x:v>58</x:v>
      </x:c>
      <x:c r="AC1290" s="8" t="s">
        <x:v>58</x:v>
      </x:c>
      <x:c r="AD1290" s="8" t="s">
        <x:v>58</x:v>
      </x:c>
      <x:c r="AE1290" s="8" t="s">
        <x:v>58</x:v>
      </x:c>
      <x:c r="AF1290" s="8" t="s">
        <x:v>58</x:v>
      </x:c>
      <x:c r="AG1290" s="7" t="s">
        <x:v>58</x:v>
      </x:c>
    </x:row>
    <x:row r="1291" ht="66" hidden="0" customHeight="1">
      <x:c r="A1291" s="7" t="s">
        <x:v>4456</x:v>
      </x:c>
      <x:c r="B1291" s="7" t="s">
        <x:v>768</x:v>
      </x:c>
      <x:c r="C1291" s="7" t="s">
        <x:v>771</x:v>
      </x:c>
      <x:c r="D1291" s="7" t="s">
        <x:v>1982</x:v>
      </x:c>
      <x:c r="E1291" s="7" t="s">
        <x:v>4457</x:v>
      </x:c>
      <x:c r="F1291" s="7" t="s">
        <x:v>1956</x:v>
      </x:c>
      <x:c r="G1291" s="8" t="n">
        <x:v>133</x:v>
      </x:c>
      <x:c r="H1291" s="8" t="s">
        <x:v>58</x:v>
      </x:c>
      <x:c r="I1291" s="8" t="s">
        <x:v>58</x:v>
      </x:c>
      <x:c r="J1291" s="7" t="s">
        <x:v>1919</x:v>
      </x:c>
      <x:c r="K1291" s="8" t="n">
        <x:v>1</x:v>
      </x:c>
      <x:c r="L1291" s="8" t="n">
        <x:f aca="0">IF(AND(ISNUMBER(G1291),P1291&lt;&gt;"Unresolved unit / layout"),G1291*K1291,"Not applicable")</x:f>
        <x:v>133</x:v>
      </x:c>
      <x:c r="M1291" s="8" t="str">
        <x:f aca="0">IF(AND(ISNUMBER(H1291),P1291&lt;&gt;"Unresolved unit / layout"),H1291*K1291,"Not applicable")</x:f>
        <x:v>Not applicable</x:v>
      </x:c>
      <x:c r="N1291" s="8" t="str">
        <x:f aca="0">IF(AND(ISNUMBER(I1291),P1291&lt;&gt;"Unresolved unit / layout"),I1291*K1291,"Not applicable")</x:f>
        <x:v>Not applicable</x:v>
      </x:c>
      <x:c r="O1291" s="7" t="s">
        <x:v>1956</x:v>
      </x:c>
      <x:c r="P1291" s="7" t="s">
        <x:v>1921</x:v>
      </x:c>
      <x:c r="Q1291" s="7" t="s">
        <x:v>2064</x:v>
      </x:c>
      <x:c r="R1291" s="7" t="s">
        <x:v>58</x:v>
      </x:c>
      <x:c r="S1291" s="7" t="s">
        <x:v>53</x:v>
      </x:c>
      <x:c r="T1291" s="7" t="s">
        <x:v>53</x:v>
      </x:c>
      <x:c r="U1291" s="7" t="s">
        <x:v>53</x:v>
      </x:c>
      <x:c r="V1291" s="7" t="s">
        <x:v>4458</x:v>
      </x:c>
      <x:c r="W1291" s="7" t="s">
        <x:v>58</x:v>
      </x:c>
      <x:c r="X1291" s="7" t="s">
        <x:v>4447</x:v>
      </x:c>
      <x:c r="Y1291" s="7" t="s">
        <x:v>1321</x:v>
      </x:c>
      <x:c r="Z1291" s="7" t="s">
        <x:v>4459</x:v>
      </x:c>
      <x:c r="AA1291" s="7" t="s">
        <x:v>58</x:v>
      </x:c>
      <x:c r="AB1291" s="8" t="s">
        <x:v>58</x:v>
      </x:c>
      <x:c r="AC1291" s="8" t="s">
        <x:v>58</x:v>
      </x:c>
      <x:c r="AD1291" s="8" t="s">
        <x:v>58</x:v>
      </x:c>
      <x:c r="AE1291" s="8" t="s">
        <x:v>58</x:v>
      </x:c>
      <x:c r="AF1291" s="8" t="s">
        <x:v>58</x:v>
      </x:c>
      <x:c r="AG1291" s="7" t="s">
        <x:v>58</x:v>
      </x:c>
    </x:row>
    <x:row r="1292" ht="66" hidden="0" customHeight="1">
      <x:c r="A1292" s="7" t="s">
        <x:v>776</x:v>
      </x:c>
      <x:c r="B1292" s="7" t="s">
        <x:v>768</x:v>
      </x:c>
      <x:c r="C1292" s="7" t="s">
        <x:v>771</x:v>
      </x:c>
      <x:c r="D1292" s="7" t="s">
        <x:v>1959</x:v>
      </x:c>
      <x:c r="E1292" s="7" t="s">
        <x:v>3973</x:v>
      </x:c>
      <x:c r="F1292" s="7" t="s">
        <x:v>1956</x:v>
      </x:c>
      <x:c r="G1292" s="8" t="n">
        <x:v>131</x:v>
      </x:c>
      <x:c r="H1292" s="8" t="s">
        <x:v>58</x:v>
      </x:c>
      <x:c r="I1292" s="8" t="s">
        <x:v>58</x:v>
      </x:c>
      <x:c r="J1292" s="7" t="s">
        <x:v>1919</x:v>
      </x:c>
      <x:c r="K1292" s="8" t="n">
        <x:v>1</x:v>
      </x:c>
      <x:c r="L1292" s="8" t="n">
        <x:f aca="0">IF(AND(ISNUMBER(G1292),P1292&lt;&gt;"Unresolved unit / layout"),G1292*K1292,"Not applicable")</x:f>
        <x:v>131</x:v>
      </x:c>
      <x:c r="M1292" s="8" t="str">
        <x:f aca="0">IF(AND(ISNUMBER(H1292),P1292&lt;&gt;"Unresolved unit / layout"),H1292*K1292,"Not applicable")</x:f>
        <x:v>Not applicable</x:v>
      </x:c>
      <x:c r="N1292" s="8" t="str">
        <x:f aca="0">IF(AND(ISNUMBER(I1292),P1292&lt;&gt;"Unresolved unit / layout"),I1292*K1292,"Not applicable")</x:f>
        <x:v>Not applicable</x:v>
      </x:c>
      <x:c r="O1292" s="7" t="s">
        <x:v>1956</x:v>
      </x:c>
      <x:c r="P1292" s="7" t="s">
        <x:v>1921</x:v>
      </x:c>
      <x:c r="Q1292" s="7" t="s">
        <x:v>2064</x:v>
      </x:c>
      <x:c r="R1292" s="7" t="s">
        <x:v>58</x:v>
      </x:c>
      <x:c r="S1292" s="7" t="s">
        <x:v>53</x:v>
      </x:c>
      <x:c r="T1292" s="7" t="s">
        <x:v>53</x:v>
      </x:c>
      <x:c r="U1292" s="7" t="s">
        <x:v>53</x:v>
      </x:c>
      <x:c r="V1292" s="7" t="s">
        <x:v>4460</x:v>
      </x:c>
      <x:c r="W1292" s="7" t="s">
        <x:v>58</x:v>
      </x:c>
      <x:c r="X1292" s="7" t="s">
        <x:v>4447</x:v>
      </x:c>
      <x:c r="Y1292" s="7" t="s">
        <x:v>1321</x:v>
      </x:c>
      <x:c r="Z1292" s="7" t="s">
        <x:v>3089</x:v>
      </x:c>
      <x:c r="AA1292" s="7" t="s">
        <x:v>58</x:v>
      </x:c>
      <x:c r="AB1292" s="8" t="s">
        <x:v>58</x:v>
      </x:c>
      <x:c r="AC1292" s="8" t="s">
        <x:v>58</x:v>
      </x:c>
      <x:c r="AD1292" s="8" t="s">
        <x:v>58</x:v>
      </x:c>
      <x:c r="AE1292" s="8" t="s">
        <x:v>58</x:v>
      </x:c>
      <x:c r="AF1292" s="8" t="s">
        <x:v>58</x:v>
      </x:c>
      <x:c r="AG1292" s="7" t="s">
        <x:v>58</x:v>
      </x:c>
    </x:row>
    <x:row r="1293" ht="66" hidden="0" customHeight="1">
      <x:c r="A1293" s="7" t="s">
        <x:v>4461</x:v>
      </x:c>
      <x:c r="B1293" s="7" t="s">
        <x:v>768</x:v>
      </x:c>
      <x:c r="C1293" s="7" t="s">
        <x:v>771</x:v>
      </x:c>
      <x:c r="D1293" s="7" t="s">
        <x:v>2006</x:v>
      </x:c>
      <x:c r="E1293" s="7" t="s">
        <x:v>3456</x:v>
      </x:c>
      <x:c r="F1293" s="7" t="s">
        <x:v>1929</x:v>
      </x:c>
      <x:c r="G1293" s="8" t="n">
        <x:v>76</x:v>
      </x:c>
      <x:c r="H1293" s="8" t="s">
        <x:v>58</x:v>
      </x:c>
      <x:c r="I1293" s="8" t="s">
        <x:v>58</x:v>
      </x:c>
      <x:c r="J1293" s="7" t="s">
        <x:v>1919</x:v>
      </x:c>
      <x:c r="K1293" s="8" t="n">
        <x:v>1</x:v>
      </x:c>
      <x:c r="L1293" s="8" t="n">
        <x:f aca="0">IF(AND(ISNUMBER(G1293),P1293&lt;&gt;"Unresolved unit / layout"),G1293*K1293,"Not applicable")</x:f>
        <x:v>76</x:v>
      </x:c>
      <x:c r="M1293" s="8" t="str">
        <x:f aca="0">IF(AND(ISNUMBER(H1293),P1293&lt;&gt;"Unresolved unit / layout"),H1293*K1293,"Not applicable")</x:f>
        <x:v>Not applicable</x:v>
      </x:c>
      <x:c r="N1293" s="8" t="str">
        <x:f aca="0">IF(AND(ISNUMBER(I1293),P1293&lt;&gt;"Unresolved unit / layout"),I1293*K1293,"Not applicable")</x:f>
        <x:v>Not applicable</x:v>
      </x:c>
      <x:c r="O1293" s="7" t="s">
        <x:v>1929</x:v>
      </x:c>
      <x:c r="P1293" s="7" t="s">
        <x:v>1921</x:v>
      </x:c>
      <x:c r="Q1293" s="7" t="s">
        <x:v>2064</x:v>
      </x:c>
      <x:c r="R1293" s="7" t="s">
        <x:v>1931</x:v>
      </x:c>
      <x:c r="S1293" s="7" t="s">
        <x:v>53</x:v>
      </x:c>
      <x:c r="T1293" s="7" t="s">
        <x:v>53</x:v>
      </x:c>
      <x:c r="U1293" s="7" t="s">
        <x:v>53</x:v>
      </x:c>
      <x:c r="V1293" s="7" t="s">
        <x:v>4462</x:v>
      </x:c>
      <x:c r="W1293" s="7" t="s">
        <x:v>58</x:v>
      </x:c>
      <x:c r="X1293" s="7" t="s">
        <x:v>4447</x:v>
      </x:c>
      <x:c r="Y1293" s="7" t="s">
        <x:v>1321</x:v>
      </x:c>
      <x:c r="Z1293" s="7" t="s">
        <x:v>4463</x:v>
      </x:c>
      <x:c r="AA1293" s="7" t="s">
        <x:v>58</x:v>
      </x:c>
      <x:c r="AB1293" s="8" t="s">
        <x:v>58</x:v>
      </x:c>
      <x:c r="AC1293" s="8" t="s">
        <x:v>58</x:v>
      </x:c>
      <x:c r="AD1293" s="8" t="s">
        <x:v>58</x:v>
      </x:c>
      <x:c r="AE1293" s="8" t="s">
        <x:v>58</x:v>
      </x:c>
      <x:c r="AF1293" s="8" t="s">
        <x:v>58</x:v>
      </x:c>
      <x:c r="AG1293" s="7" t="s">
        <x:v>58</x:v>
      </x:c>
    </x:row>
    <x:row r="1294" ht="66" hidden="0" customHeight="1">
      <x:c r="A1294" s="7" t="s">
        <x:v>4464</x:v>
      </x:c>
      <x:c r="B1294" s="7" t="s">
        <x:v>768</x:v>
      </x:c>
      <x:c r="C1294" s="7" t="s">
        <x:v>771</x:v>
      </x:c>
      <x:c r="D1294" s="7" t="s">
        <x:v>2006</x:v>
      </x:c>
      <x:c r="E1294" s="7" t="s">
        <x:v>4465</x:v>
      </x:c>
      <x:c r="F1294" s="7" t="s">
        <x:v>1929</x:v>
      </x:c>
      <x:c r="G1294" s="8" t="n">
        <x:v>40</x:v>
      </x:c>
      <x:c r="H1294" s="8" t="s">
        <x:v>58</x:v>
      </x:c>
      <x:c r="I1294" s="8" t="s">
        <x:v>58</x:v>
      </x:c>
      <x:c r="J1294" s="7" t="s">
        <x:v>1919</x:v>
      </x:c>
      <x:c r="K1294" s="8" t="n">
        <x:v>1</x:v>
      </x:c>
      <x:c r="L1294" s="8" t="n">
        <x:f aca="0">IF(AND(ISNUMBER(G1294),P1294&lt;&gt;"Unresolved unit / layout"),G1294*K1294,"Not applicable")</x:f>
        <x:v>40</x:v>
      </x:c>
      <x:c r="M1294" s="8" t="str">
        <x:f aca="0">IF(AND(ISNUMBER(H1294),P1294&lt;&gt;"Unresolved unit / layout"),H1294*K1294,"Not applicable")</x:f>
        <x:v>Not applicable</x:v>
      </x:c>
      <x:c r="N1294" s="8" t="str">
        <x:f aca="0">IF(AND(ISNUMBER(I1294),P1294&lt;&gt;"Unresolved unit / layout"),I1294*K1294,"Not applicable")</x:f>
        <x:v>Not applicable</x:v>
      </x:c>
      <x:c r="O1294" s="7" t="s">
        <x:v>1929</x:v>
      </x:c>
      <x:c r="P1294" s="7" t="s">
        <x:v>1921</x:v>
      </x:c>
      <x:c r="Q1294" s="7" t="s">
        <x:v>2064</x:v>
      </x:c>
      <x:c r="R1294" s="7" t="s">
        <x:v>53</x:v>
      </x:c>
      <x:c r="S1294" s="7" t="s">
        <x:v>53</x:v>
      </x:c>
      <x:c r="T1294" s="7" t="s">
        <x:v>53</x:v>
      </x:c>
      <x:c r="U1294" s="7" t="s">
        <x:v>53</x:v>
      </x:c>
      <x:c r="V1294" s="7" t="s">
        <x:v>1999</x:v>
      </x:c>
      <x:c r="W1294" s="7" t="s">
        <x:v>58</x:v>
      </x:c>
      <x:c r="X1294" s="7" t="s">
        <x:v>4447</x:v>
      </x:c>
      <x:c r="Y1294" s="7" t="s">
        <x:v>1321</x:v>
      </x:c>
      <x:c r="Z1294" s="7" t="s">
        <x:v>4466</x:v>
      </x:c>
      <x:c r="AA1294" s="7" t="s">
        <x:v>58</x:v>
      </x:c>
      <x:c r="AB1294" s="8" t="s">
        <x:v>58</x:v>
      </x:c>
      <x:c r="AC1294" s="8" t="s">
        <x:v>58</x:v>
      </x:c>
      <x:c r="AD1294" s="8" t="s">
        <x:v>58</x:v>
      </x:c>
      <x:c r="AE1294" s="8" t="s">
        <x:v>58</x:v>
      </x:c>
      <x:c r="AF1294" s="8" t="s">
        <x:v>58</x:v>
      </x:c>
      <x:c r="AG1294" s="7" t="s">
        <x:v>58</x:v>
      </x:c>
    </x:row>
    <x:row r="1295" ht="66" hidden="0" customHeight="1">
      <x:c r="A1295" s="7" t="s">
        <x:v>4467</x:v>
      </x:c>
      <x:c r="B1295" s="7" t="s">
        <x:v>768</x:v>
      </x:c>
      <x:c r="C1295" s="7" t="s">
        <x:v>771</x:v>
      </x:c>
      <x:c r="D1295" s="7" t="s">
        <x:v>1935</x:v>
      </x:c>
      <x:c r="E1295" s="7" t="s">
        <x:v>4468</x:v>
      </x:c>
      <x:c r="F1295" s="7" t="s">
        <x:v>1929</x:v>
      </x:c>
      <x:c r="G1295" s="8" t="n">
        <x:v>2863</x:v>
      </x:c>
      <x:c r="H1295" s="8" t="s">
        <x:v>58</x:v>
      </x:c>
      <x:c r="I1295" s="8" t="s">
        <x:v>58</x:v>
      </x:c>
      <x:c r="J1295" s="7" t="s">
        <x:v>1919</x:v>
      </x:c>
      <x:c r="K1295" s="8" t="n">
        <x:v>0.001</x:v>
      </x:c>
      <x:c r="L1295" s="8" t="n">
        <x:f aca="0">IF(AND(ISNUMBER(G1295),P1295&lt;&gt;"Unresolved unit / layout"),G1295*K1295,"Not applicable")</x:f>
        <x:v>2.863</x:v>
      </x:c>
      <x:c r="M1295" s="8" t="str">
        <x:f aca="0">IF(AND(ISNUMBER(H1295),P1295&lt;&gt;"Unresolved unit / layout"),H1295*K1295,"Not applicable")</x:f>
        <x:v>Not applicable</x:v>
      </x:c>
      <x:c r="N1295" s="8" t="str">
        <x:f aca="0">IF(AND(ISNUMBER(I1295),P1295&lt;&gt;"Unresolved unit / layout"),I1295*K1295,"Not applicable")</x:f>
        <x:v>Not applicable</x:v>
      </x:c>
      <x:c r="O1295" s="7" t="s">
        <x:v>1937</x:v>
      </x:c>
      <x:c r="P1295" s="7" t="s">
        <x:v>1921</x:v>
      </x:c>
      <x:c r="Q1295" s="7" t="s">
        <x:v>2064</x:v>
      </x:c>
      <x:c r="R1295" s="7" t="s">
        <x:v>1931</x:v>
      </x:c>
      <x:c r="S1295" s="7" t="s">
        <x:v>53</x:v>
      </x:c>
      <x:c r="T1295" s="7" t="s">
        <x:v>53</x:v>
      </x:c>
      <x:c r="U1295" s="7" t="s">
        <x:v>53</x:v>
      </x:c>
      <x:c r="V1295" s="7" t="s">
        <x:v>4462</x:v>
      </x:c>
      <x:c r="W1295" s="7" t="s">
        <x:v>58</x:v>
      </x:c>
      <x:c r="X1295" s="7" t="s">
        <x:v>4447</x:v>
      </x:c>
      <x:c r="Y1295" s="7" t="s">
        <x:v>1321</x:v>
      </x:c>
      <x:c r="Z1295" s="7" t="s">
        <x:v>4469</x:v>
      </x:c>
      <x:c r="AA1295" s="7" t="s">
        <x:v>58</x:v>
      </x:c>
      <x:c r="AB1295" s="8" t="s">
        <x:v>58</x:v>
      </x:c>
      <x:c r="AC1295" s="8" t="s">
        <x:v>58</x:v>
      </x:c>
      <x:c r="AD1295" s="8" t="s">
        <x:v>58</x:v>
      </x:c>
      <x:c r="AE1295" s="8" t="s">
        <x:v>58</x:v>
      </x:c>
      <x:c r="AF1295" s="8" t="s">
        <x:v>58</x:v>
      </x:c>
      <x:c r="AG1295" s="7" t="s">
        <x:v>58</x:v>
      </x:c>
    </x:row>
    <x:row r="1296" ht="66" hidden="0" customHeight="1">
      <x:c r="A1296" s="7" t="s">
        <x:v>4470</x:v>
      </x:c>
      <x:c r="B1296" s="7" t="s">
        <x:v>768</x:v>
      </x:c>
      <x:c r="C1296" s="7" t="s">
        <x:v>771</x:v>
      </x:c>
      <x:c r="D1296" s="7" t="s">
        <x:v>1935</x:v>
      </x:c>
      <x:c r="E1296" s="7" t="s">
        <x:v>4471</x:v>
      </x:c>
      <x:c r="F1296" s="7" t="s">
        <x:v>1929</x:v>
      </x:c>
      <x:c r="G1296" s="8" t="n">
        <x:v>2677</x:v>
      </x:c>
      <x:c r="H1296" s="8" t="s">
        <x:v>58</x:v>
      </x:c>
      <x:c r="I1296" s="8" t="s">
        <x:v>58</x:v>
      </x:c>
      <x:c r="J1296" s="7" t="s">
        <x:v>1919</x:v>
      </x:c>
      <x:c r="K1296" s="8" t="n">
        <x:v>0.001</x:v>
      </x:c>
      <x:c r="L1296" s="8" t="n">
        <x:f aca="0">IF(AND(ISNUMBER(G1296),P1296&lt;&gt;"Unresolved unit / layout"),G1296*K1296,"Not applicable")</x:f>
        <x:v>2.677</x:v>
      </x:c>
      <x:c r="M1296" s="8" t="str">
        <x:f aca="0">IF(AND(ISNUMBER(H1296),P1296&lt;&gt;"Unresolved unit / layout"),H1296*K1296,"Not applicable")</x:f>
        <x:v>Not applicable</x:v>
      </x:c>
      <x:c r="N1296" s="8" t="str">
        <x:f aca="0">IF(AND(ISNUMBER(I1296),P1296&lt;&gt;"Unresolved unit / layout"),I1296*K1296,"Not applicable")</x:f>
        <x:v>Not applicable</x:v>
      </x:c>
      <x:c r="O1296" s="7" t="s">
        <x:v>1937</x:v>
      </x:c>
      <x:c r="P1296" s="7" t="s">
        <x:v>1921</x:v>
      </x:c>
      <x:c r="Q1296" s="7" t="s">
        <x:v>2064</x:v>
      </x:c>
      <x:c r="R1296" s="7" t="s">
        <x:v>53</x:v>
      </x:c>
      <x:c r="S1296" s="7" t="s">
        <x:v>53</x:v>
      </x:c>
      <x:c r="T1296" s="7" t="s">
        <x:v>53</x:v>
      </x:c>
      <x:c r="U1296" s="7" t="s">
        <x:v>53</x:v>
      </x:c>
      <x:c r="V1296" s="7" t="s">
        <x:v>4462</x:v>
      </x:c>
      <x:c r="W1296" s="7" t="s">
        <x:v>58</x:v>
      </x:c>
      <x:c r="X1296" s="7" t="s">
        <x:v>4447</x:v>
      </x:c>
      <x:c r="Y1296" s="7" t="s">
        <x:v>1321</x:v>
      </x:c>
      <x:c r="Z1296" s="7" t="s">
        <x:v>4472</x:v>
      </x:c>
      <x:c r="AA1296" s="7" t="s">
        <x:v>58</x:v>
      </x:c>
      <x:c r="AB1296" s="8" t="s">
        <x:v>58</x:v>
      </x:c>
      <x:c r="AC1296" s="8" t="s">
        <x:v>58</x:v>
      </x:c>
      <x:c r="AD1296" s="8" t="s">
        <x:v>58</x:v>
      </x:c>
      <x:c r="AE1296" s="8" t="s">
        <x:v>58</x:v>
      </x:c>
      <x:c r="AF1296" s="8" t="s">
        <x:v>58</x:v>
      </x:c>
      <x:c r="AG1296" s="7" t="s">
        <x:v>58</x:v>
      </x:c>
    </x:row>
    <x:row r="1297" ht="66" hidden="0" customHeight="1">
      <x:c r="A1297" s="7" t="s">
        <x:v>4473</x:v>
      </x:c>
      <x:c r="B1297" s="7" t="s">
        <x:v>768</x:v>
      </x:c>
      <x:c r="C1297" s="7" t="s">
        <x:v>771</x:v>
      </x:c>
      <x:c r="D1297" s="7" t="s">
        <x:v>1940</x:v>
      </x:c>
      <x:c r="E1297" s="7" t="s">
        <x:v>4474</x:v>
      </x:c>
      <x:c r="F1297" s="7" t="s">
        <x:v>1942</x:v>
      </x:c>
      <x:c r="G1297" s="8" t="n">
        <x:v>3.4</x:v>
      </x:c>
      <x:c r="H1297" s="8" t="s">
        <x:v>58</x:v>
      </x:c>
      <x:c r="I1297" s="8" t="s">
        <x:v>58</x:v>
      </x:c>
      <x:c r="J1297" s="7" t="s">
        <x:v>1919</x:v>
      </x:c>
      <x:c r="K1297" s="8" t="n">
        <x:v>1</x:v>
      </x:c>
      <x:c r="L1297" s="8" t="n">
        <x:f aca="0">IF(AND(ISNUMBER(G1297),P1297&lt;&gt;"Unresolved unit / layout"),G1297*K1297,"Not applicable")</x:f>
        <x:v>3.4</x:v>
      </x:c>
      <x:c r="M1297" s="8" t="str">
        <x:f aca="0">IF(AND(ISNUMBER(H1297),P1297&lt;&gt;"Unresolved unit / layout"),H1297*K1297,"Not applicable")</x:f>
        <x:v>Not applicable</x:v>
      </x:c>
      <x:c r="N1297" s="8" t="str">
        <x:f aca="0">IF(AND(ISNUMBER(I1297),P1297&lt;&gt;"Unresolved unit / layout"),I1297*K1297,"Not applicable")</x:f>
        <x:v>Not applicable</x:v>
      </x:c>
      <x:c r="O1297" s="7" t="s">
        <x:v>1942</x:v>
      </x:c>
      <x:c r="P1297" s="7" t="s">
        <x:v>1921</x:v>
      </x:c>
      <x:c r="Q1297" s="7" t="s">
        <x:v>2064</x:v>
      </x:c>
      <x:c r="R1297" s="7" t="s">
        <x:v>1931</x:v>
      </x:c>
      <x:c r="S1297" s="7" t="s">
        <x:v>53</x:v>
      </x:c>
      <x:c r="T1297" s="7" t="s">
        <x:v>53</x:v>
      </x:c>
      <x:c r="U1297" s="7" t="s">
        <x:v>53</x:v>
      </x:c>
      <x:c r="V1297" s="7" t="s">
        <x:v>4462</x:v>
      </x:c>
      <x:c r="W1297" s="7" t="s">
        <x:v>58</x:v>
      </x:c>
      <x:c r="X1297" s="7" t="s">
        <x:v>4447</x:v>
      </x:c>
      <x:c r="Y1297" s="7" t="s">
        <x:v>1321</x:v>
      </x:c>
      <x:c r="Z1297" s="7" t="s">
        <x:v>4475</x:v>
      </x:c>
      <x:c r="AA1297" s="7" t="s">
        <x:v>58</x:v>
      </x:c>
      <x:c r="AB1297" s="8" t="s">
        <x:v>58</x:v>
      </x:c>
      <x:c r="AC1297" s="8" t="s">
        <x:v>58</x:v>
      </x:c>
      <x:c r="AD1297" s="8" t="s">
        <x:v>58</x:v>
      </x:c>
      <x:c r="AE1297" s="8" t="s">
        <x:v>58</x:v>
      </x:c>
      <x:c r="AF1297" s="8" t="s">
        <x:v>58</x:v>
      </x:c>
      <x:c r="AG1297" s="7" t="s">
        <x:v>58</x:v>
      </x:c>
    </x:row>
    <x:row r="1298" ht="66" hidden="0" customHeight="1">
      <x:c r="A1298" s="7" t="s">
        <x:v>4476</x:v>
      </x:c>
      <x:c r="B1298" s="7" t="s">
        <x:v>768</x:v>
      </x:c>
      <x:c r="C1298" s="7" t="s">
        <x:v>771</x:v>
      </x:c>
      <x:c r="D1298" s="7" t="s">
        <x:v>1940</x:v>
      </x:c>
      <x:c r="E1298" s="7" t="s">
        <x:v>3296</x:v>
      </x:c>
      <x:c r="F1298" s="7" t="s">
        <x:v>1942</x:v>
      </x:c>
      <x:c r="G1298" s="8" t="n">
        <x:v>1.6</x:v>
      </x:c>
      <x:c r="H1298" s="8" t="s">
        <x:v>58</x:v>
      </x:c>
      <x:c r="I1298" s="8" t="s">
        <x:v>58</x:v>
      </x:c>
      <x:c r="J1298" s="7" t="s">
        <x:v>1919</x:v>
      </x:c>
      <x:c r="K1298" s="8" t="n">
        <x:v>1</x:v>
      </x:c>
      <x:c r="L1298" s="8" t="n">
        <x:f aca="0">IF(AND(ISNUMBER(G1298),P1298&lt;&gt;"Unresolved unit / layout"),G1298*K1298,"Not applicable")</x:f>
        <x:v>1.6</x:v>
      </x:c>
      <x:c r="M1298" s="8" t="str">
        <x:f aca="0">IF(AND(ISNUMBER(H1298),P1298&lt;&gt;"Unresolved unit / layout"),H1298*K1298,"Not applicable")</x:f>
        <x:v>Not applicable</x:v>
      </x:c>
      <x:c r="N1298" s="8" t="str">
        <x:f aca="0">IF(AND(ISNUMBER(I1298),P1298&lt;&gt;"Unresolved unit / layout"),I1298*K1298,"Not applicable")</x:f>
        <x:v>Not applicable</x:v>
      </x:c>
      <x:c r="O1298" s="7" t="s">
        <x:v>1942</x:v>
      </x:c>
      <x:c r="P1298" s="7" t="s">
        <x:v>1921</x:v>
      </x:c>
      <x:c r="Q1298" s="7" t="s">
        <x:v>2064</x:v>
      </x:c>
      <x:c r="R1298" s="7" t="s">
        <x:v>53</x:v>
      </x:c>
      <x:c r="S1298" s="7" t="s">
        <x:v>53</x:v>
      </x:c>
      <x:c r="T1298" s="7" t="s">
        <x:v>53</x:v>
      </x:c>
      <x:c r="U1298" s="7" t="s">
        <x:v>53</x:v>
      </x:c>
      <x:c r="V1298" s="7" t="s">
        <x:v>4462</x:v>
      </x:c>
      <x:c r="W1298" s="7" t="s">
        <x:v>58</x:v>
      </x:c>
      <x:c r="X1298" s="7" t="s">
        <x:v>4447</x:v>
      </x:c>
      <x:c r="Y1298" s="7" t="s">
        <x:v>1321</x:v>
      </x:c>
      <x:c r="Z1298" s="7" t="s">
        <x:v>4477</x:v>
      </x:c>
      <x:c r="AA1298" s="7" t="s">
        <x:v>58</x:v>
      </x:c>
      <x:c r="AB1298" s="8" t="s">
        <x:v>58</x:v>
      </x:c>
      <x:c r="AC1298" s="8" t="s">
        <x:v>58</x:v>
      </x:c>
      <x:c r="AD1298" s="8" t="s">
        <x:v>58</x:v>
      </x:c>
      <x:c r="AE1298" s="8" t="s">
        <x:v>58</x:v>
      </x:c>
      <x:c r="AF1298" s="8" t="s">
        <x:v>58</x:v>
      </x:c>
      <x:c r="AG1298" s="7" t="s">
        <x:v>58</x:v>
      </x:c>
    </x:row>
    <x:row r="1299" ht="66" hidden="0" customHeight="1">
      <x:c r="A1299" s="7" t="s">
        <x:v>4478</x:v>
      </x:c>
      <x:c r="B1299" s="7" t="s">
        <x:v>768</x:v>
      </x:c>
      <x:c r="C1299" s="7" t="s">
        <x:v>771</x:v>
      </x:c>
      <x:c r="D1299" s="7" t="s">
        <x:v>1945</x:v>
      </x:c>
      <x:c r="E1299" s="7" t="s">
        <x:v>4479</x:v>
      </x:c>
      <x:c r="F1299" s="7" t="s">
        <x:v>1929</x:v>
      </x:c>
      <x:c r="G1299" s="8" t="n">
        <x:v>123</x:v>
      </x:c>
      <x:c r="H1299" s="8" t="s">
        <x:v>58</x:v>
      </x:c>
      <x:c r="I1299" s="8" t="s">
        <x:v>58</x:v>
      </x:c>
      <x:c r="J1299" s="7" t="s">
        <x:v>1919</x:v>
      </x:c>
      <x:c r="K1299" s="8" t="n">
        <x:v>1</x:v>
      </x:c>
      <x:c r="L1299" s="8" t="n">
        <x:f aca="0">IF(AND(ISNUMBER(G1299),P1299&lt;&gt;"Unresolved unit / layout"),G1299*K1299,"Not applicable")</x:f>
        <x:v>123</x:v>
      </x:c>
      <x:c r="M1299" s="8" t="str">
        <x:f aca="0">IF(AND(ISNUMBER(H1299),P1299&lt;&gt;"Unresolved unit / layout"),H1299*K1299,"Not applicable")</x:f>
        <x:v>Not applicable</x:v>
      </x:c>
      <x:c r="N1299" s="8" t="str">
        <x:f aca="0">IF(AND(ISNUMBER(I1299),P1299&lt;&gt;"Unresolved unit / layout"),I1299*K1299,"Not applicable")</x:f>
        <x:v>Not applicable</x:v>
      </x:c>
      <x:c r="O1299" s="7" t="s">
        <x:v>1929</x:v>
      </x:c>
      <x:c r="P1299" s="7" t="s">
        <x:v>1921</x:v>
      </x:c>
      <x:c r="Q1299" s="7" t="s">
        <x:v>2064</x:v>
      </x:c>
      <x:c r="R1299" s="7" t="s">
        <x:v>1931</x:v>
      </x:c>
      <x:c r="S1299" s="7" t="s">
        <x:v>53</x:v>
      </x:c>
      <x:c r="T1299" s="7" t="s">
        <x:v>53</x:v>
      </x:c>
      <x:c r="U1299" s="7" t="s">
        <x:v>53</x:v>
      </x:c>
      <x:c r="V1299" s="7" t="s">
        <x:v>4480</x:v>
      </x:c>
      <x:c r="W1299" s="7" t="s">
        <x:v>58</x:v>
      </x:c>
      <x:c r="X1299" s="7" t="s">
        <x:v>4447</x:v>
      </x:c>
      <x:c r="Y1299" s="7" t="s">
        <x:v>1321</x:v>
      </x:c>
      <x:c r="Z1299" s="7" t="s">
        <x:v>4481</x:v>
      </x:c>
      <x:c r="AA1299" s="7" t="s">
        <x:v>58</x:v>
      </x:c>
      <x:c r="AB1299" s="8" t="s">
        <x:v>58</x:v>
      </x:c>
      <x:c r="AC1299" s="8" t="s">
        <x:v>58</x:v>
      </x:c>
      <x:c r="AD1299" s="8" t="s">
        <x:v>58</x:v>
      </x:c>
      <x:c r="AE1299" s="8" t="s">
        <x:v>58</x:v>
      </x:c>
      <x:c r="AF1299" s="8" t="s">
        <x:v>58</x:v>
      </x:c>
      <x:c r="AG1299" s="7" t="s">
        <x:v>58</x:v>
      </x:c>
    </x:row>
    <x:row r="1300" ht="66" hidden="0" customHeight="1">
      <x:c r="A1300" s="7" t="s">
        <x:v>4482</x:v>
      </x:c>
      <x:c r="B1300" s="7" t="s">
        <x:v>768</x:v>
      </x:c>
      <x:c r="C1300" s="7" t="s">
        <x:v>771</x:v>
      </x:c>
      <x:c r="D1300" s="7" t="s">
        <x:v>1945</x:v>
      </x:c>
      <x:c r="E1300" s="7" t="s">
        <x:v>4483</x:v>
      </x:c>
      <x:c r="F1300" s="7" t="s">
        <x:v>1929</x:v>
      </x:c>
      <x:c r="G1300" s="8" t="n">
        <x:v>62</x:v>
      </x:c>
      <x:c r="H1300" s="8" t="s">
        <x:v>58</x:v>
      </x:c>
      <x:c r="I1300" s="8" t="s">
        <x:v>58</x:v>
      </x:c>
      <x:c r="J1300" s="7" t="s">
        <x:v>1919</x:v>
      </x:c>
      <x:c r="K1300" s="8" t="n">
        <x:v>1</x:v>
      </x:c>
      <x:c r="L1300" s="8" t="n">
        <x:f aca="0">IF(AND(ISNUMBER(G1300),P1300&lt;&gt;"Unresolved unit / layout"),G1300*K1300,"Not applicable")</x:f>
        <x:v>62</x:v>
      </x:c>
      <x:c r="M1300" s="8" t="str">
        <x:f aca="0">IF(AND(ISNUMBER(H1300),P1300&lt;&gt;"Unresolved unit / layout"),H1300*K1300,"Not applicable")</x:f>
        <x:v>Not applicable</x:v>
      </x:c>
      <x:c r="N1300" s="8" t="str">
        <x:f aca="0">IF(AND(ISNUMBER(I1300),P1300&lt;&gt;"Unresolved unit / layout"),I1300*K1300,"Not applicable")</x:f>
        <x:v>Not applicable</x:v>
      </x:c>
      <x:c r="O1300" s="7" t="s">
        <x:v>1929</x:v>
      </x:c>
      <x:c r="P1300" s="7" t="s">
        <x:v>1921</x:v>
      </x:c>
      <x:c r="Q1300" s="7" t="s">
        <x:v>2064</x:v>
      </x:c>
      <x:c r="R1300" s="7" t="s">
        <x:v>53</x:v>
      </x:c>
      <x:c r="S1300" s="7" t="s">
        <x:v>53</x:v>
      </x:c>
      <x:c r="T1300" s="7" t="s">
        <x:v>53</x:v>
      </x:c>
      <x:c r="U1300" s="7" t="s">
        <x:v>53</x:v>
      </x:c>
      <x:c r="V1300" s="7" t="s">
        <x:v>4480</x:v>
      </x:c>
      <x:c r="W1300" s="7" t="s">
        <x:v>58</x:v>
      </x:c>
      <x:c r="X1300" s="7" t="s">
        <x:v>4447</x:v>
      </x:c>
      <x:c r="Y1300" s="7" t="s">
        <x:v>1321</x:v>
      </x:c>
      <x:c r="Z1300" s="7" t="s">
        <x:v>4484</x:v>
      </x:c>
      <x:c r="AA1300" s="7" t="s">
        <x:v>58</x:v>
      </x:c>
      <x:c r="AB1300" s="8" t="s">
        <x:v>58</x:v>
      </x:c>
      <x:c r="AC1300" s="8" t="s">
        <x:v>58</x:v>
      </x:c>
      <x:c r="AD1300" s="8" t="s">
        <x:v>58</x:v>
      </x:c>
      <x:c r="AE1300" s="8" t="s">
        <x:v>58</x:v>
      </x:c>
      <x:c r="AF1300" s="8" t="s">
        <x:v>58</x:v>
      </x:c>
      <x:c r="AG1300" s="7" t="s">
        <x:v>58</x:v>
      </x:c>
    </x:row>
    <x:row r="1301" ht="66" hidden="0" customHeight="1">
      <x:c r="A1301" s="7" t="s">
        <x:v>4485</x:v>
      </x:c>
      <x:c r="B1301" s="7" t="s">
        <x:v>768</x:v>
      </x:c>
      <x:c r="C1301" s="7" t="s">
        <x:v>771</x:v>
      </x:c>
      <x:c r="D1301" s="7" t="s">
        <x:v>1950</x:v>
      </x:c>
      <x:c r="E1301" s="7" t="s">
        <x:v>4486</x:v>
      </x:c>
      <x:c r="F1301" s="7" t="s">
        <x:v>1929</x:v>
      </x:c>
      <x:c r="G1301" s="8" t="n">
        <x:v>2672</x:v>
      </x:c>
      <x:c r="H1301" s="8" t="s">
        <x:v>58</x:v>
      </x:c>
      <x:c r="I1301" s="8" t="s">
        <x:v>58</x:v>
      </x:c>
      <x:c r="J1301" s="7" t="s">
        <x:v>1919</x:v>
      </x:c>
      <x:c r="K1301" s="8" t="n">
        <x:v>0.001</x:v>
      </x:c>
      <x:c r="L1301" s="8" t="n">
        <x:f aca="0">IF(AND(ISNUMBER(G1301),P1301&lt;&gt;"Unresolved unit / layout"),G1301*K1301,"Not applicable")</x:f>
        <x:v>2.672</x:v>
      </x:c>
      <x:c r="M1301" s="8" t="str">
        <x:f aca="0">IF(AND(ISNUMBER(H1301),P1301&lt;&gt;"Unresolved unit / layout"),H1301*K1301,"Not applicable")</x:f>
        <x:v>Not applicable</x:v>
      </x:c>
      <x:c r="N1301" s="8" t="str">
        <x:f aca="0">IF(AND(ISNUMBER(I1301),P1301&lt;&gt;"Unresolved unit / layout"),I1301*K1301,"Not applicable")</x:f>
        <x:v>Not applicable</x:v>
      </x:c>
      <x:c r="O1301" s="7" t="s">
        <x:v>1937</x:v>
      </x:c>
      <x:c r="P1301" s="7" t="s">
        <x:v>1921</x:v>
      </x:c>
      <x:c r="Q1301" s="7" t="s">
        <x:v>2064</x:v>
      </x:c>
      <x:c r="R1301" s="7" t="s">
        <x:v>1931</x:v>
      </x:c>
      <x:c r="S1301" s="7" t="s">
        <x:v>53</x:v>
      </x:c>
      <x:c r="T1301" s="7" t="s">
        <x:v>53</x:v>
      </x:c>
      <x:c r="U1301" s="7" t="s">
        <x:v>53</x:v>
      </x:c>
      <x:c r="V1301" s="7" t="s">
        <x:v>4480</x:v>
      </x:c>
      <x:c r="W1301" s="7" t="s">
        <x:v>58</x:v>
      </x:c>
      <x:c r="X1301" s="7" t="s">
        <x:v>4447</x:v>
      </x:c>
      <x:c r="Y1301" s="7" t="s">
        <x:v>1321</x:v>
      </x:c>
      <x:c r="Z1301" s="7" t="s">
        <x:v>4487</x:v>
      </x:c>
      <x:c r="AA1301" s="7" t="s">
        <x:v>58</x:v>
      </x:c>
      <x:c r="AB1301" s="8" t="s">
        <x:v>58</x:v>
      </x:c>
      <x:c r="AC1301" s="8" t="s">
        <x:v>58</x:v>
      </x:c>
      <x:c r="AD1301" s="8" t="s">
        <x:v>58</x:v>
      </x:c>
      <x:c r="AE1301" s="8" t="s">
        <x:v>58</x:v>
      </x:c>
      <x:c r="AF1301" s="8" t="s">
        <x:v>58</x:v>
      </x:c>
      <x:c r="AG1301" s="7" t="s">
        <x:v>58</x:v>
      </x:c>
    </x:row>
    <x:row r="1302" ht="66" hidden="0" customHeight="1">
      <x:c r="A1302" s="7" t="s">
        <x:v>4488</x:v>
      </x:c>
      <x:c r="B1302" s="7" t="s">
        <x:v>768</x:v>
      </x:c>
      <x:c r="C1302" s="7" t="s">
        <x:v>771</x:v>
      </x:c>
      <x:c r="D1302" s="7" t="s">
        <x:v>1950</x:v>
      </x:c>
      <x:c r="E1302" s="7" t="s">
        <x:v>4489</x:v>
      </x:c>
      <x:c r="F1302" s="7" t="s">
        <x:v>1929</x:v>
      </x:c>
      <x:c r="G1302" s="8" t="n">
        <x:v>2576</x:v>
      </x:c>
      <x:c r="H1302" s="8" t="s">
        <x:v>58</x:v>
      </x:c>
      <x:c r="I1302" s="8" t="s">
        <x:v>58</x:v>
      </x:c>
      <x:c r="J1302" s="7" t="s">
        <x:v>1919</x:v>
      </x:c>
      <x:c r="K1302" s="8" t="n">
        <x:v>0.001</x:v>
      </x:c>
      <x:c r="L1302" s="8" t="n">
        <x:f aca="0">IF(AND(ISNUMBER(G1302),P1302&lt;&gt;"Unresolved unit / layout"),G1302*K1302,"Not applicable")</x:f>
        <x:v>2.576</x:v>
      </x:c>
      <x:c r="M1302" s="8" t="str">
        <x:f aca="0">IF(AND(ISNUMBER(H1302),P1302&lt;&gt;"Unresolved unit / layout"),H1302*K1302,"Not applicable")</x:f>
        <x:v>Not applicable</x:v>
      </x:c>
      <x:c r="N1302" s="8" t="str">
        <x:f aca="0">IF(AND(ISNUMBER(I1302),P1302&lt;&gt;"Unresolved unit / layout"),I1302*K1302,"Not applicable")</x:f>
        <x:v>Not applicable</x:v>
      </x:c>
      <x:c r="O1302" s="7" t="s">
        <x:v>1937</x:v>
      </x:c>
      <x:c r="P1302" s="7" t="s">
        <x:v>1921</x:v>
      </x:c>
      <x:c r="Q1302" s="7" t="s">
        <x:v>2064</x:v>
      </x:c>
      <x:c r="R1302" s="7" t="s">
        <x:v>53</x:v>
      </x:c>
      <x:c r="S1302" s="7" t="s">
        <x:v>53</x:v>
      </x:c>
      <x:c r="T1302" s="7" t="s">
        <x:v>53</x:v>
      </x:c>
      <x:c r="U1302" s="7" t="s">
        <x:v>53</x:v>
      </x:c>
      <x:c r="V1302" s="7" t="s">
        <x:v>4480</x:v>
      </x:c>
      <x:c r="W1302" s="7" t="s">
        <x:v>58</x:v>
      </x:c>
      <x:c r="X1302" s="7" t="s">
        <x:v>4447</x:v>
      </x:c>
      <x:c r="Y1302" s="7" t="s">
        <x:v>1321</x:v>
      </x:c>
      <x:c r="Z1302" s="7" t="s">
        <x:v>4490</x:v>
      </x:c>
      <x:c r="AA1302" s="7" t="s">
        <x:v>58</x:v>
      </x:c>
      <x:c r="AB1302" s="8" t="s">
        <x:v>58</x:v>
      </x:c>
      <x:c r="AC1302" s="8" t="s">
        <x:v>58</x:v>
      </x:c>
      <x:c r="AD1302" s="8" t="s">
        <x:v>58</x:v>
      </x:c>
      <x:c r="AE1302" s="8" t="s">
        <x:v>58</x:v>
      </x:c>
      <x:c r="AF1302" s="8" t="s">
        <x:v>58</x:v>
      </x:c>
      <x:c r="AG1302" s="7" t="s">
        <x:v>58</x:v>
      </x:c>
    </x:row>
    <x:row r="1303" ht="66" hidden="0" customHeight="1">
      <x:c r="A1303" s="7" t="s">
        <x:v>4491</x:v>
      </x:c>
      <x:c r="B1303" s="7" t="s">
        <x:v>768</x:v>
      </x:c>
      <x:c r="C1303" s="7" t="s">
        <x:v>771</x:v>
      </x:c>
      <x:c r="D1303" s="7" t="s">
        <x:v>2030</x:v>
      </x:c>
      <x:c r="E1303" s="7" t="s">
        <x:v>4492</x:v>
      </x:c>
      <x:c r="F1303" s="7" t="s">
        <x:v>2033</x:v>
      </x:c>
      <x:c r="G1303" s="8" t="n">
        <x:v>32.8</x:v>
      </x:c>
      <x:c r="H1303" s="8" t="s">
        <x:v>58</x:v>
      </x:c>
      <x:c r="I1303" s="8" t="s">
        <x:v>58</x:v>
      </x:c>
      <x:c r="J1303" s="7" t="s">
        <x:v>1919</x:v>
      </x:c>
      <x:c r="K1303" s="8" t="n">
        <x:v>1</x:v>
      </x:c>
      <x:c r="L1303" s="8" t="n">
        <x:f aca="0">IF(AND(ISNUMBER(G1303),P1303&lt;&gt;"Unresolved unit / layout"),G1303*K1303,"Not applicable")</x:f>
        <x:v>32.8</x:v>
      </x:c>
      <x:c r="M1303" s="8" t="str">
        <x:f aca="0">IF(AND(ISNUMBER(H1303),P1303&lt;&gt;"Unresolved unit / layout"),H1303*K1303,"Not applicable")</x:f>
        <x:v>Not applicable</x:v>
      </x:c>
      <x:c r="N1303" s="8" t="str">
        <x:f aca="0">IF(AND(ISNUMBER(I1303),P1303&lt;&gt;"Unresolved unit / layout"),I1303*K1303,"Not applicable")</x:f>
        <x:v>Not applicable</x:v>
      </x:c>
      <x:c r="O1303" s="7" t="s">
        <x:v>2033</x:v>
      </x:c>
      <x:c r="P1303" s="7" t="s">
        <x:v>1921</x:v>
      </x:c>
      <x:c r="Q1303" s="7" t="s">
        <x:v>2064</x:v>
      </x:c>
      <x:c r="R1303" s="7" t="s">
        <x:v>1931</x:v>
      </x:c>
      <x:c r="S1303" s="7" t="s">
        <x:v>53</x:v>
      </x:c>
      <x:c r="T1303" s="7" t="s">
        <x:v>53</x:v>
      </x:c>
      <x:c r="U1303" s="7" t="s">
        <x:v>53</x:v>
      </x:c>
      <x:c r="V1303" s="7" t="s">
        <x:v>2343</x:v>
      </x:c>
      <x:c r="W1303" s="7" t="s">
        <x:v>53</x:v>
      </x:c>
      <x:c r="X1303" s="7" t="s">
        <x:v>4447</x:v>
      </x:c>
      <x:c r="Y1303" s="7" t="s">
        <x:v>1321</x:v>
      </x:c>
      <x:c r="Z1303" s="7" t="s">
        <x:v>4493</x:v>
      </x:c>
      <x:c r="AA1303" s="7" t="s">
        <x:v>58</x:v>
      </x:c>
      <x:c r="AB1303" s="8" t="s">
        <x:v>58</x:v>
      </x:c>
      <x:c r="AC1303" s="8" t="s">
        <x:v>58</x:v>
      </x:c>
      <x:c r="AD1303" s="8" t="s">
        <x:v>58</x:v>
      </x:c>
      <x:c r="AE1303" s="8" t="s">
        <x:v>58</x:v>
      </x:c>
      <x:c r="AF1303" s="8" t="s">
        <x:v>58</x:v>
      </x:c>
      <x:c r="AG1303" s="7" t="s">
        <x:v>58</x:v>
      </x:c>
    </x:row>
    <x:row r="1304" ht="66" hidden="0" customHeight="1">
      <x:c r="A1304" s="7" t="s">
        <x:v>4494</x:v>
      </x:c>
      <x:c r="B1304" s="7" t="s">
        <x:v>768</x:v>
      </x:c>
      <x:c r="C1304" s="7" t="s">
        <x:v>771</x:v>
      </x:c>
      <x:c r="D1304" s="7" t="s">
        <x:v>2030</x:v>
      </x:c>
      <x:c r="E1304" s="7" t="s">
        <x:v>4495</x:v>
      </x:c>
      <x:c r="F1304" s="7" t="s">
        <x:v>2033</x:v>
      </x:c>
      <x:c r="G1304" s="8" t="n">
        <x:v>5.4</x:v>
      </x:c>
      <x:c r="H1304" s="8" t="s">
        <x:v>58</x:v>
      </x:c>
      <x:c r="I1304" s="8" t="s">
        <x:v>58</x:v>
      </x:c>
      <x:c r="J1304" s="7" t="s">
        <x:v>1919</x:v>
      </x:c>
      <x:c r="K1304" s="8" t="n">
        <x:v>1</x:v>
      </x:c>
      <x:c r="L1304" s="8" t="n">
        <x:f aca="0">IF(AND(ISNUMBER(G1304),P1304&lt;&gt;"Unresolved unit / layout"),G1304*K1304,"Not applicable")</x:f>
        <x:v>5.4</x:v>
      </x:c>
      <x:c r="M1304" s="8" t="str">
        <x:f aca="0">IF(AND(ISNUMBER(H1304),P1304&lt;&gt;"Unresolved unit / layout"),H1304*K1304,"Not applicable")</x:f>
        <x:v>Not applicable</x:v>
      </x:c>
      <x:c r="N1304" s="8" t="str">
        <x:f aca="0">IF(AND(ISNUMBER(I1304),P1304&lt;&gt;"Unresolved unit / layout"),I1304*K1304,"Not applicable")</x:f>
        <x:v>Not applicable</x:v>
      </x:c>
      <x:c r="O1304" s="7" t="s">
        <x:v>2033</x:v>
      </x:c>
      <x:c r="P1304" s="7" t="s">
        <x:v>1921</x:v>
      </x:c>
      <x:c r="Q1304" s="7" t="s">
        <x:v>2064</x:v>
      </x:c>
      <x:c r="R1304" s="7" t="s">
        <x:v>53</x:v>
      </x:c>
      <x:c r="S1304" s="7" t="s">
        <x:v>53</x:v>
      </x:c>
      <x:c r="T1304" s="7" t="s">
        <x:v>53</x:v>
      </x:c>
      <x:c r="U1304" s="7" t="s">
        <x:v>53</x:v>
      </x:c>
      <x:c r="V1304" s="7" t="s">
        <x:v>2343</x:v>
      </x:c>
      <x:c r="W1304" s="7" t="s">
        <x:v>53</x:v>
      </x:c>
      <x:c r="X1304" s="7" t="s">
        <x:v>4447</x:v>
      </x:c>
      <x:c r="Y1304" s="7" t="s">
        <x:v>1321</x:v>
      </x:c>
      <x:c r="Z1304" s="7" t="s">
        <x:v>4496</x:v>
      </x:c>
      <x:c r="AA1304" s="7" t="s">
        <x:v>58</x:v>
      </x:c>
      <x:c r="AB1304" s="8" t="s">
        <x:v>58</x:v>
      </x:c>
      <x:c r="AC1304" s="8" t="s">
        <x:v>58</x:v>
      </x:c>
      <x:c r="AD1304" s="8" t="s">
        <x:v>58</x:v>
      </x:c>
      <x:c r="AE1304" s="8" t="s">
        <x:v>58</x:v>
      </x:c>
      <x:c r="AF1304" s="8" t="s">
        <x:v>58</x:v>
      </x:c>
      <x:c r="AG1304" s="7" t="s">
        <x:v>58</x:v>
      </x:c>
    </x:row>
    <x:row r="1305" ht="79.5" hidden="0" customHeight="1">
      <x:c r="A1305" s="7" t="s">
        <x:v>4497</x:v>
      </x:c>
      <x:c r="B1305" s="7" t="s">
        <x:v>780</x:v>
      </x:c>
      <x:c r="C1305" s="7" t="s">
        <x:v>782</x:v>
      </x:c>
      <x:c r="D1305" s="7" t="s">
        <x:v>1916</x:v>
      </x:c>
      <x:c r="E1305" s="7" t="s">
        <x:v>2382</x:v>
      </x:c>
      <x:c r="F1305" s="7" t="s">
        <x:v>2076</x:v>
      </x:c>
      <x:c r="G1305" s="8" t="n">
        <x:v>1.25</x:v>
      </x:c>
      <x:c r="H1305" s="8" t="s">
        <x:v>58</x:v>
      </x:c>
      <x:c r="I1305" s="8" t="s">
        <x:v>58</x:v>
      </x:c>
      <x:c r="J1305" s="7" t="s">
        <x:v>1919</x:v>
      </x:c>
      <x:c r="K1305" s="8" t="n">
        <x:v>1000</x:v>
      </x:c>
      <x:c r="L1305" s="8" t="n">
        <x:f aca="0">IF(AND(ISNUMBER(G1305),P1305&lt;&gt;"Unresolved unit / layout"),G1305*K1305,"Not applicable")</x:f>
        <x:v>1250</x:v>
      </x:c>
      <x:c r="M1305" s="8" t="str">
        <x:f aca="0">IF(AND(ISNUMBER(H1305),P1305&lt;&gt;"Unresolved unit / layout"),H1305*K1305,"Not applicable")</x:f>
        <x:v>Not applicable</x:v>
      </x:c>
      <x:c r="N1305" s="8" t="str">
        <x:f aca="0">IF(AND(ISNUMBER(I1305),P1305&lt;&gt;"Unresolved unit / layout"),I1305*K1305,"Not applicable")</x:f>
        <x:v>Not applicable</x:v>
      </x:c>
      <x:c r="O1305" s="7" t="s">
        <x:v>1920</x:v>
      </x:c>
      <x:c r="P1305" s="7" t="s">
        <x:v>1921</x:v>
      </x:c>
      <x:c r="Q1305" s="7" t="s">
        <x:v>1922</x:v>
      </x:c>
      <x:c r="R1305" s="7" t="s">
        <x:v>58</x:v>
      </x:c>
      <x:c r="S1305" s="7" t="s">
        <x:v>53</x:v>
      </x:c>
      <x:c r="T1305" s="7" t="s">
        <x:v>4498</x:v>
      </x:c>
      <x:c r="U1305" s="7" t="s">
        <x:v>53</x:v>
      </x:c>
      <x:c r="V1305" s="7" t="s">
        <x:v>1923</x:v>
      </x:c>
      <x:c r="W1305" s="7" t="s">
        <x:v>58</x:v>
      </x:c>
      <x:c r="X1305" s="7" t="s">
        <x:v>4499</x:v>
      </x:c>
      <x:c r="Y1305" s="7" t="s">
        <x:v>1322</x:v>
      </x:c>
      <x:c r="Z1305" s="7" t="s">
        <x:v>1968</x:v>
      </x:c>
      <x:c r="AA1305" s="7" t="s">
        <x:v>58</x:v>
      </x:c>
      <x:c r="AB1305" s="8" t="s">
        <x:v>58</x:v>
      </x:c>
      <x:c r="AC1305" s="8" t="s">
        <x:v>58</x:v>
      </x:c>
      <x:c r="AD1305" s="8" t="s">
        <x:v>58</x:v>
      </x:c>
      <x:c r="AE1305" s="8" t="s">
        <x:v>58</x:v>
      </x:c>
      <x:c r="AF1305" s="8" t="s">
        <x:v>58</x:v>
      </x:c>
      <x:c r="AG1305" s="7" t="s">
        <x:v>58</x:v>
      </x:c>
    </x:row>
    <x:row r="1306" ht="79.5" hidden="0" customHeight="1">
      <x:c r="A1306" s="7" t="s">
        <x:v>4500</x:v>
      </x:c>
      <x:c r="B1306" s="7" t="s">
        <x:v>780</x:v>
      </x:c>
      <x:c r="C1306" s="7" t="s">
        <x:v>782</x:v>
      </x:c>
      <x:c r="D1306" s="7" t="s">
        <x:v>1974</x:v>
      </x:c>
      <x:c r="E1306" s="7" t="s">
        <x:v>4501</x:v>
      </x:c>
      <x:c r="F1306" s="7" t="s">
        <x:v>1956</x:v>
      </x:c>
      <x:c r="G1306" s="8" t="n">
        <x:v>258</x:v>
      </x:c>
      <x:c r="H1306" s="8" t="s">
        <x:v>58</x:v>
      </x:c>
      <x:c r="I1306" s="8" t="s">
        <x:v>58</x:v>
      </x:c>
      <x:c r="J1306" s="7" t="s">
        <x:v>1919</x:v>
      </x:c>
      <x:c r="K1306" s="8" t="n">
        <x:v>1</x:v>
      </x:c>
      <x:c r="L1306" s="8" t="n">
        <x:f aca="0">IF(AND(ISNUMBER(G1306),P1306&lt;&gt;"Unresolved unit / layout"),G1306*K1306,"Not applicable")</x:f>
        <x:v>258</x:v>
      </x:c>
      <x:c r="M1306" s="8" t="str">
        <x:f aca="0">IF(AND(ISNUMBER(H1306),P1306&lt;&gt;"Unresolved unit / layout"),H1306*K1306,"Not applicable")</x:f>
        <x:v>Not applicable</x:v>
      </x:c>
      <x:c r="N1306" s="8" t="str">
        <x:f aca="0">IF(AND(ISNUMBER(I1306),P1306&lt;&gt;"Unresolved unit / layout"),I1306*K1306,"Not applicable")</x:f>
        <x:v>Not applicable</x:v>
      </x:c>
      <x:c r="O1306" s="7" t="s">
        <x:v>1956</x:v>
      </x:c>
      <x:c r="P1306" s="7" t="s">
        <x:v>1921</x:v>
      </x:c>
      <x:c r="Q1306" s="7" t="s">
        <x:v>1930</x:v>
      </x:c>
      <x:c r="R1306" s="7" t="s">
        <x:v>58</x:v>
      </x:c>
      <x:c r="S1306" s="7" t="s">
        <x:v>53</x:v>
      </x:c>
      <x:c r="T1306" s="7" t="s">
        <x:v>4498</x:v>
      </x:c>
      <x:c r="U1306" s="7" t="s">
        <x:v>53</x:v>
      </x:c>
      <x:c r="V1306" s="7" t="s">
        <x:v>2082</x:v>
      </x:c>
      <x:c r="W1306" s="7" t="s">
        <x:v>58</x:v>
      </x:c>
      <x:c r="X1306" s="7" t="s">
        <x:v>4499</x:v>
      </x:c>
      <x:c r="Y1306" s="7" t="s">
        <x:v>1322</x:v>
      </x:c>
      <x:c r="Z1306" s="7" t="s">
        <x:v>2083</x:v>
      </x:c>
      <x:c r="AA1306" s="7" t="s">
        <x:v>58</x:v>
      </x:c>
      <x:c r="AB1306" s="8" t="s">
        <x:v>58</x:v>
      </x:c>
      <x:c r="AC1306" s="8" t="s">
        <x:v>58</x:v>
      </x:c>
      <x:c r="AD1306" s="8" t="s">
        <x:v>58</x:v>
      </x:c>
      <x:c r="AE1306" s="8" t="s">
        <x:v>58</x:v>
      </x:c>
      <x:c r="AF1306" s="8" t="s">
        <x:v>58</x:v>
      </x:c>
      <x:c r="AG1306" s="7" t="s">
        <x:v>58</x:v>
      </x:c>
    </x:row>
    <x:row r="1307" ht="79.5" hidden="0" customHeight="1">
      <x:c r="A1307" s="7" t="s">
        <x:v>4502</x:v>
      </x:c>
      <x:c r="B1307" s="7" t="s">
        <x:v>780</x:v>
      </x:c>
      <x:c r="C1307" s="7" t="s">
        <x:v>782</x:v>
      </x:c>
      <x:c r="D1307" s="7" t="s">
        <x:v>1954</x:v>
      </x:c>
      <x:c r="E1307" s="7" t="s">
        <x:v>2971</x:v>
      </x:c>
      <x:c r="F1307" s="7" t="s">
        <x:v>1956</x:v>
      </x:c>
      <x:c r="G1307" s="8" t="n">
        <x:v>85</x:v>
      </x:c>
      <x:c r="H1307" s="8" t="s">
        <x:v>58</x:v>
      </x:c>
      <x:c r="I1307" s="8" t="s">
        <x:v>58</x:v>
      </x:c>
      <x:c r="J1307" s="7" t="s">
        <x:v>1919</x:v>
      </x:c>
      <x:c r="K1307" s="8" t="n">
        <x:v>1</x:v>
      </x:c>
      <x:c r="L1307" s="8" t="n">
        <x:f aca="0">IF(AND(ISNUMBER(G1307),P1307&lt;&gt;"Unresolved unit / layout"),G1307*K1307,"Not applicable")</x:f>
        <x:v>85</x:v>
      </x:c>
      <x:c r="M1307" s="8" t="str">
        <x:f aca="0">IF(AND(ISNUMBER(H1307),P1307&lt;&gt;"Unresolved unit / layout"),H1307*K1307,"Not applicable")</x:f>
        <x:v>Not applicable</x:v>
      </x:c>
      <x:c r="N1307" s="8" t="str">
        <x:f aca="0">IF(AND(ISNUMBER(I1307),P1307&lt;&gt;"Unresolved unit / layout"),I1307*K1307,"Not applicable")</x:f>
        <x:v>Not applicable</x:v>
      </x:c>
      <x:c r="O1307" s="7" t="s">
        <x:v>1956</x:v>
      </x:c>
      <x:c r="P1307" s="7" t="s">
        <x:v>1921</x:v>
      </x:c>
      <x:c r="Q1307" s="7" t="s">
        <x:v>1930</x:v>
      </x:c>
      <x:c r="R1307" s="7" t="s">
        <x:v>58</x:v>
      </x:c>
      <x:c r="S1307" s="7" t="s">
        <x:v>53</x:v>
      </x:c>
      <x:c r="T1307" s="7" t="s">
        <x:v>4498</x:v>
      </x:c>
      <x:c r="U1307" s="7" t="s">
        <x:v>53</x:v>
      </x:c>
      <x:c r="V1307" s="7" t="s">
        <x:v>4503</x:v>
      </x:c>
      <x:c r="W1307" s="7" t="s">
        <x:v>58</x:v>
      </x:c>
      <x:c r="X1307" s="7" t="s">
        <x:v>4499</x:v>
      </x:c>
      <x:c r="Y1307" s="7" t="s">
        <x:v>1322</x:v>
      </x:c>
      <x:c r="Z1307" s="7" t="s">
        <x:v>2086</x:v>
      </x:c>
      <x:c r="AA1307" s="7" t="s">
        <x:v>58</x:v>
      </x:c>
      <x:c r="AB1307" s="8" t="s">
        <x:v>58</x:v>
      </x:c>
      <x:c r="AC1307" s="8" t="s">
        <x:v>58</x:v>
      </x:c>
      <x:c r="AD1307" s="8" t="s">
        <x:v>58</x:v>
      </x:c>
      <x:c r="AE1307" s="8" t="s">
        <x:v>58</x:v>
      </x:c>
      <x:c r="AF1307" s="8" t="s">
        <x:v>58</x:v>
      </x:c>
      <x:c r="AG1307" s="7" t="s">
        <x:v>58</x:v>
      </x:c>
    </x:row>
    <x:row r="1308" ht="79.5" hidden="0" customHeight="1">
      <x:c r="A1308" s="7" t="s">
        <x:v>4504</x:v>
      </x:c>
      <x:c r="B1308" s="7" t="s">
        <x:v>780</x:v>
      </x:c>
      <x:c r="C1308" s="7" t="s">
        <x:v>782</x:v>
      </x:c>
      <x:c r="D1308" s="7" t="s">
        <x:v>1978</x:v>
      </x:c>
      <x:c r="E1308" s="7" t="s">
        <x:v>4505</x:v>
      </x:c>
      <x:c r="F1308" s="7" t="s">
        <x:v>1956</x:v>
      </x:c>
      <x:c r="G1308" s="8" t="n">
        <x:v>178</x:v>
      </x:c>
      <x:c r="H1308" s="8" t="s">
        <x:v>58</x:v>
      </x:c>
      <x:c r="I1308" s="8" t="s">
        <x:v>58</x:v>
      </x:c>
      <x:c r="J1308" s="7" t="s">
        <x:v>1919</x:v>
      </x:c>
      <x:c r="K1308" s="8" t="n">
        <x:v>1</x:v>
      </x:c>
      <x:c r="L1308" s="8" t="n">
        <x:f aca="0">IF(AND(ISNUMBER(G1308),P1308&lt;&gt;"Unresolved unit / layout"),G1308*K1308,"Not applicable")</x:f>
        <x:v>178</x:v>
      </x:c>
      <x:c r="M1308" s="8" t="str">
        <x:f aca="0">IF(AND(ISNUMBER(H1308),P1308&lt;&gt;"Unresolved unit / layout"),H1308*K1308,"Not applicable")</x:f>
        <x:v>Not applicable</x:v>
      </x:c>
      <x:c r="N1308" s="8" t="str">
        <x:f aca="0">IF(AND(ISNUMBER(I1308),P1308&lt;&gt;"Unresolved unit / layout"),I1308*K1308,"Not applicable")</x:f>
        <x:v>Not applicable</x:v>
      </x:c>
      <x:c r="O1308" s="7" t="s">
        <x:v>1956</x:v>
      </x:c>
      <x:c r="P1308" s="7" t="s">
        <x:v>1921</x:v>
      </x:c>
      <x:c r="Q1308" s="7" t="s">
        <x:v>1930</x:v>
      </x:c>
      <x:c r="R1308" s="7" t="s">
        <x:v>58</x:v>
      </x:c>
      <x:c r="S1308" s="7" t="s">
        <x:v>53</x:v>
      </x:c>
      <x:c r="T1308" s="7" t="s">
        <x:v>4498</x:v>
      </x:c>
      <x:c r="U1308" s="7" t="s">
        <x:v>53</x:v>
      </x:c>
      <x:c r="V1308" s="7" t="s">
        <x:v>4503</x:v>
      </x:c>
      <x:c r="W1308" s="7" t="s">
        <x:v>58</x:v>
      </x:c>
      <x:c r="X1308" s="7" t="s">
        <x:v>4499</x:v>
      </x:c>
      <x:c r="Y1308" s="7" t="s">
        <x:v>1322</x:v>
      </x:c>
      <x:c r="Z1308" s="7" t="s">
        <x:v>2188</x:v>
      </x:c>
      <x:c r="AA1308" s="7" t="s">
        <x:v>58</x:v>
      </x:c>
      <x:c r="AB1308" s="8" t="s">
        <x:v>58</x:v>
      </x:c>
      <x:c r="AC1308" s="8" t="s">
        <x:v>58</x:v>
      </x:c>
      <x:c r="AD1308" s="8" t="s">
        <x:v>58</x:v>
      </x:c>
      <x:c r="AE1308" s="8" t="s">
        <x:v>58</x:v>
      </x:c>
      <x:c r="AF1308" s="8" t="s">
        <x:v>58</x:v>
      </x:c>
      <x:c r="AG1308" s="7" t="s">
        <x:v>58</x:v>
      </x:c>
    </x:row>
    <x:row r="1309" ht="79.5" hidden="0" customHeight="1">
      <x:c r="A1309" s="7" t="s">
        <x:v>4506</x:v>
      </x:c>
      <x:c r="B1309" s="7" t="s">
        <x:v>780</x:v>
      </x:c>
      <x:c r="C1309" s="7" t="s">
        <x:v>782</x:v>
      </x:c>
      <x:c r="D1309" s="7" t="s">
        <x:v>1982</x:v>
      </x:c>
      <x:c r="E1309" s="7" t="s">
        <x:v>4507</x:v>
      </x:c>
      <x:c r="F1309" s="7" t="s">
        <x:v>1956</x:v>
      </x:c>
      <x:c r="G1309" s="8" t="n">
        <x:v>232</x:v>
      </x:c>
      <x:c r="H1309" s="8" t="s">
        <x:v>58</x:v>
      </x:c>
      <x:c r="I1309" s="8" t="s">
        <x:v>58</x:v>
      </x:c>
      <x:c r="J1309" s="7" t="s">
        <x:v>1919</x:v>
      </x:c>
      <x:c r="K1309" s="8" t="n">
        <x:v>1</x:v>
      </x:c>
      <x:c r="L1309" s="8" t="n">
        <x:f aca="0">IF(AND(ISNUMBER(G1309),P1309&lt;&gt;"Unresolved unit / layout"),G1309*K1309,"Not applicable")</x:f>
        <x:v>232</x:v>
      </x:c>
      <x:c r="M1309" s="8" t="str">
        <x:f aca="0">IF(AND(ISNUMBER(H1309),P1309&lt;&gt;"Unresolved unit / layout"),H1309*K1309,"Not applicable")</x:f>
        <x:v>Not applicable</x:v>
      </x:c>
      <x:c r="N1309" s="8" t="str">
        <x:f aca="0">IF(AND(ISNUMBER(I1309),P1309&lt;&gt;"Unresolved unit / layout"),I1309*K1309,"Not applicable")</x:f>
        <x:v>Not applicable</x:v>
      </x:c>
      <x:c r="O1309" s="7" t="s">
        <x:v>1956</x:v>
      </x:c>
      <x:c r="P1309" s="7" t="s">
        <x:v>1921</x:v>
      </x:c>
      <x:c r="Q1309" s="7" t="s">
        <x:v>1930</x:v>
      </x:c>
      <x:c r="R1309" s="7" t="s">
        <x:v>58</x:v>
      </x:c>
      <x:c r="S1309" s="7" t="s">
        <x:v>53</x:v>
      </x:c>
      <x:c r="T1309" s="7" t="s">
        <x:v>4498</x:v>
      </x:c>
      <x:c r="U1309" s="7" t="s">
        <x:v>53</x:v>
      </x:c>
      <x:c r="V1309" s="7" t="s">
        <x:v>1984</x:v>
      </x:c>
      <x:c r="W1309" s="7" t="s">
        <x:v>58</x:v>
      </x:c>
      <x:c r="X1309" s="7" t="s">
        <x:v>4499</x:v>
      </x:c>
      <x:c r="Y1309" s="7" t="s">
        <x:v>1322</x:v>
      </x:c>
      <x:c r="Z1309" s="7" t="s">
        <x:v>2092</x:v>
      </x:c>
      <x:c r="AA1309" s="7" t="s">
        <x:v>58</x:v>
      </x:c>
      <x:c r="AB1309" s="8" t="s">
        <x:v>58</x:v>
      </x:c>
      <x:c r="AC1309" s="8" t="s">
        <x:v>58</x:v>
      </x:c>
      <x:c r="AD1309" s="8" t="s">
        <x:v>58</x:v>
      </x:c>
      <x:c r="AE1309" s="8" t="s">
        <x:v>58</x:v>
      </x:c>
      <x:c r="AF1309" s="8" t="s">
        <x:v>58</x:v>
      </x:c>
      <x:c r="AG1309" s="7" t="s">
        <x:v>58</x:v>
      </x:c>
    </x:row>
    <x:row r="1310" ht="79.5" hidden="0" customHeight="1">
      <x:c r="A1310" s="7" t="s">
        <x:v>4508</x:v>
      </x:c>
      <x:c r="B1310" s="7" t="s">
        <x:v>780</x:v>
      </x:c>
      <x:c r="C1310" s="7" t="s">
        <x:v>782</x:v>
      </x:c>
      <x:c r="D1310" s="7" t="s">
        <x:v>1959</x:v>
      </x:c>
      <x:c r="E1310" s="7" t="s">
        <x:v>4509</x:v>
      </x:c>
      <x:c r="F1310" s="7" t="s">
        <x:v>1956</x:v>
      </x:c>
      <x:c r="G1310" s="8" t="n">
        <x:v>196</x:v>
      </x:c>
      <x:c r="H1310" s="8" t="s">
        <x:v>58</x:v>
      </x:c>
      <x:c r="I1310" s="8" t="s">
        <x:v>58</x:v>
      </x:c>
      <x:c r="J1310" s="7" t="s">
        <x:v>1919</x:v>
      </x:c>
      <x:c r="K1310" s="8" t="n">
        <x:v>1</x:v>
      </x:c>
      <x:c r="L1310" s="8" t="n">
        <x:f aca="0">IF(AND(ISNUMBER(G1310),P1310&lt;&gt;"Unresolved unit / layout"),G1310*K1310,"Not applicable")</x:f>
        <x:v>196</x:v>
      </x:c>
      <x:c r="M1310" s="8" t="str">
        <x:f aca="0">IF(AND(ISNUMBER(H1310),P1310&lt;&gt;"Unresolved unit / layout"),H1310*K1310,"Not applicable")</x:f>
        <x:v>Not applicable</x:v>
      </x:c>
      <x:c r="N1310" s="8" t="str">
        <x:f aca="0">IF(AND(ISNUMBER(I1310),P1310&lt;&gt;"Unresolved unit / layout"),I1310*K1310,"Not applicable")</x:f>
        <x:v>Not applicable</x:v>
      </x:c>
      <x:c r="O1310" s="7" t="s">
        <x:v>1956</x:v>
      </x:c>
      <x:c r="P1310" s="7" t="s">
        <x:v>1921</x:v>
      </x:c>
      <x:c r="Q1310" s="7" t="s">
        <x:v>1930</x:v>
      </x:c>
      <x:c r="R1310" s="7" t="s">
        <x:v>58</x:v>
      </x:c>
      <x:c r="S1310" s="7" t="s">
        <x:v>53</x:v>
      </x:c>
      <x:c r="T1310" s="7" t="s">
        <x:v>4498</x:v>
      </x:c>
      <x:c r="U1310" s="7" t="s">
        <x:v>53</x:v>
      </x:c>
      <x:c r="V1310" s="7" t="s">
        <x:v>2095</x:v>
      </x:c>
      <x:c r="W1310" s="7" t="s">
        <x:v>58</x:v>
      </x:c>
      <x:c r="X1310" s="7" t="s">
        <x:v>4499</x:v>
      </x:c>
      <x:c r="Y1310" s="7" t="s">
        <x:v>1322</x:v>
      </x:c>
      <x:c r="Z1310" s="7" t="s">
        <x:v>2096</x:v>
      </x:c>
      <x:c r="AA1310" s="7" t="s">
        <x:v>58</x:v>
      </x:c>
      <x:c r="AB1310" s="8" t="s">
        <x:v>58</x:v>
      </x:c>
      <x:c r="AC1310" s="8" t="s">
        <x:v>58</x:v>
      </x:c>
      <x:c r="AD1310" s="8" t="s">
        <x:v>58</x:v>
      </x:c>
      <x:c r="AE1310" s="8" t="s">
        <x:v>58</x:v>
      </x:c>
      <x:c r="AF1310" s="8" t="s">
        <x:v>58</x:v>
      </x:c>
      <x:c r="AG1310" s="7" t="s">
        <x:v>58</x:v>
      </x:c>
    </x:row>
    <x:row r="1311" ht="79.5" hidden="0" customHeight="1">
      <x:c r="A1311" s="7" t="s">
        <x:v>787</x:v>
      </x:c>
      <x:c r="B1311" s="7" t="s">
        <x:v>780</x:v>
      </x:c>
      <x:c r="C1311" s="7" t="s">
        <x:v>782</x:v>
      </x:c>
      <x:c r="D1311" s="7" t="s">
        <x:v>1959</x:v>
      </x:c>
      <x:c r="E1311" s="7" t="s">
        <x:v>4510</x:v>
      </x:c>
      <x:c r="F1311" s="7" t="s">
        <x:v>1956</x:v>
      </x:c>
      <x:c r="G1311" s="8" t="n">
        <x:v>227</x:v>
      </x:c>
      <x:c r="H1311" s="8" t="s">
        <x:v>58</x:v>
      </x:c>
      <x:c r="I1311" s="8" t="s">
        <x:v>58</x:v>
      </x:c>
      <x:c r="J1311" s="7" t="s">
        <x:v>1919</x:v>
      </x:c>
      <x:c r="K1311" s="8" t="n">
        <x:v>1</x:v>
      </x:c>
      <x:c r="L1311" s="8" t="n">
        <x:f aca="0">IF(AND(ISNUMBER(G1311),P1311&lt;&gt;"Unresolved unit / layout"),G1311*K1311,"Not applicable")</x:f>
        <x:v>227</x:v>
      </x:c>
      <x:c r="M1311" s="8" t="str">
        <x:f aca="0">IF(AND(ISNUMBER(H1311),P1311&lt;&gt;"Unresolved unit / layout"),H1311*K1311,"Not applicable")</x:f>
        <x:v>Not applicable</x:v>
      </x:c>
      <x:c r="N1311" s="8" t="str">
        <x:f aca="0">IF(AND(ISNUMBER(I1311),P1311&lt;&gt;"Unresolved unit / layout"),I1311*K1311,"Not applicable")</x:f>
        <x:v>Not applicable</x:v>
      </x:c>
      <x:c r="O1311" s="7" t="s">
        <x:v>1956</x:v>
      </x:c>
      <x:c r="P1311" s="7" t="s">
        <x:v>1921</x:v>
      </x:c>
      <x:c r="Q1311" s="7" t="s">
        <x:v>1930</x:v>
      </x:c>
      <x:c r="R1311" s="7" t="s">
        <x:v>58</x:v>
      </x:c>
      <x:c r="S1311" s="7" t="s">
        <x:v>53</x:v>
      </x:c>
      <x:c r="T1311" s="7" t="s">
        <x:v>4498</x:v>
      </x:c>
      <x:c r="U1311" s="7" t="s">
        <x:v>53</x:v>
      </x:c>
      <x:c r="V1311" s="7" t="s">
        <x:v>2097</x:v>
      </x:c>
      <x:c r="W1311" s="7" t="s">
        <x:v>58</x:v>
      </x:c>
      <x:c r="X1311" s="7" t="s">
        <x:v>4499</x:v>
      </x:c>
      <x:c r="Y1311" s="7" t="s">
        <x:v>1322</x:v>
      </x:c>
      <x:c r="Z1311" s="7" t="s">
        <x:v>2096</x:v>
      </x:c>
      <x:c r="AA1311" s="7" t="s">
        <x:v>58</x:v>
      </x:c>
      <x:c r="AB1311" s="8" t="s">
        <x:v>58</x:v>
      </x:c>
      <x:c r="AC1311" s="8" t="s">
        <x:v>58</x:v>
      </x:c>
      <x:c r="AD1311" s="8" t="s">
        <x:v>58</x:v>
      </x:c>
      <x:c r="AE1311" s="8" t="s">
        <x:v>58</x:v>
      </x:c>
      <x:c r="AF1311" s="8" t="s">
        <x:v>58</x:v>
      </x:c>
      <x:c r="AG1311" s="7" t="s">
        <x:v>58</x:v>
      </x:c>
    </x:row>
    <x:row r="1312" ht="79.5" hidden="0" customHeight="1">
      <x:c r="A1312" s="7" t="s">
        <x:v>4511</x:v>
      </x:c>
      <x:c r="B1312" s="7" t="s">
        <x:v>780</x:v>
      </x:c>
      <x:c r="C1312" s="7" t="s">
        <x:v>782</x:v>
      </x:c>
      <x:c r="D1312" s="7" t="s">
        <x:v>2099</x:v>
      </x:c>
      <x:c r="E1312" s="7" t="s">
        <x:v>4512</x:v>
      </x:c>
      <x:c r="F1312" s="7" t="s">
        <x:v>1942</x:v>
      </x:c>
      <x:c r="G1312" s="8" t="n">
        <x:v>1.3</x:v>
      </x:c>
      <x:c r="H1312" s="8" t="s">
        <x:v>58</x:v>
      </x:c>
      <x:c r="I1312" s="8" t="s">
        <x:v>58</x:v>
      </x:c>
      <x:c r="J1312" s="7" t="s">
        <x:v>1919</x:v>
      </x:c>
      <x:c r="K1312" s="8" t="n">
        <x:v>1</x:v>
      </x:c>
      <x:c r="L1312" s="8" t="n">
        <x:f aca="0">IF(AND(ISNUMBER(G1312),P1312&lt;&gt;"Unresolved unit / layout"),G1312*K1312,"Not applicable")</x:f>
        <x:v>1.3</x:v>
      </x:c>
      <x:c r="M1312" s="8" t="str">
        <x:f aca="0">IF(AND(ISNUMBER(H1312),P1312&lt;&gt;"Unresolved unit / layout"),H1312*K1312,"Not applicable")</x:f>
        <x:v>Not applicable</x:v>
      </x:c>
      <x:c r="N1312" s="8" t="str">
        <x:f aca="0">IF(AND(ISNUMBER(I1312),P1312&lt;&gt;"Unresolved unit / layout"),I1312*K1312,"Not applicable")</x:f>
        <x:v>Not applicable</x:v>
      </x:c>
      <x:c r="O1312" s="7" t="s">
        <x:v>1942</x:v>
      </x:c>
      <x:c r="P1312" s="7" t="s">
        <x:v>1921</x:v>
      </x:c>
      <x:c r="Q1312" s="7" t="s">
        <x:v>1930</x:v>
      </x:c>
      <x:c r="R1312" s="7" t="s">
        <x:v>58</x:v>
      </x:c>
      <x:c r="S1312" s="7" t="s">
        <x:v>53</x:v>
      </x:c>
      <x:c r="T1312" s="7" t="s">
        <x:v>4498</x:v>
      </x:c>
      <x:c r="U1312" s="7" t="s">
        <x:v>53</x:v>
      </x:c>
      <x:c r="V1312" s="7" t="s">
        <x:v>2867</x:v>
      </x:c>
      <x:c r="W1312" s="7" t="s">
        <x:v>58</x:v>
      </x:c>
      <x:c r="X1312" s="7" t="s">
        <x:v>4499</x:v>
      </x:c>
      <x:c r="Y1312" s="7" t="s">
        <x:v>1322</x:v>
      </x:c>
      <x:c r="Z1312" s="7" t="s">
        <x:v>2193</x:v>
      </x:c>
      <x:c r="AA1312" s="7" t="s">
        <x:v>58</x:v>
      </x:c>
      <x:c r="AB1312" s="8" t="s">
        <x:v>58</x:v>
      </x:c>
      <x:c r="AC1312" s="8" t="s">
        <x:v>58</x:v>
      </x:c>
      <x:c r="AD1312" s="8" t="s">
        <x:v>58</x:v>
      </x:c>
      <x:c r="AE1312" s="8" t="s">
        <x:v>58</x:v>
      </x:c>
      <x:c r="AF1312" s="8" t="s">
        <x:v>58</x:v>
      </x:c>
      <x:c r="AG1312" s="7" t="s">
        <x:v>58</x:v>
      </x:c>
    </x:row>
    <x:row r="1313" ht="79.5" hidden="0" customHeight="1">
      <x:c r="A1313" s="7" t="s">
        <x:v>4513</x:v>
      </x:c>
      <x:c r="B1313" s="7" t="s">
        <x:v>780</x:v>
      </x:c>
      <x:c r="C1313" s="7" t="s">
        <x:v>782</x:v>
      </x:c>
      <x:c r="D1313" s="7" t="s">
        <x:v>1935</x:v>
      </x:c>
      <x:c r="E1313" s="7" t="s">
        <x:v>4514</x:v>
      </x:c>
      <x:c r="F1313" s="7" t="s">
        <x:v>1929</x:v>
      </x:c>
      <x:c r="G1313" s="8" t="n">
        <x:v>11800</x:v>
      </x:c>
      <x:c r="H1313" s="8" t="n">
        <x:v>670</x:v>
      </x:c>
      <x:c r="I1313" s="8" t="s">
        <x:v>58</x:v>
      </x:c>
      <x:c r="J1313" s="7" t="s">
        <x:v>1919</x:v>
      </x:c>
      <x:c r="K1313" s="8" t="n">
        <x:v>0.001</x:v>
      </x:c>
      <x:c r="L1313" s="8" t="n">
        <x:f aca="0">IF(AND(ISNUMBER(G1313),P1313&lt;&gt;"Unresolved unit / layout"),G1313*K1313,"Not applicable")</x:f>
        <x:v>11.8</x:v>
      </x:c>
      <x:c r="M1313" s="8" t="n">
        <x:f aca="0">IF(AND(ISNUMBER(H1313),P1313&lt;&gt;"Unresolved unit / layout"),H1313*K1313,"Not applicable")</x:f>
        <x:v>0.67</x:v>
      </x:c>
      <x:c r="N1313" s="8" t="str">
        <x:f aca="0">IF(AND(ISNUMBER(I1313),P1313&lt;&gt;"Unresolved unit / layout"),I1313*K1313,"Not applicable")</x:f>
        <x:v>Not applicable</x:v>
      </x:c>
      <x:c r="O1313" s="7" t="s">
        <x:v>1937</x:v>
      </x:c>
      <x:c r="P1313" s="7" t="s">
        <x:v>1921</x:v>
      </x:c>
      <x:c r="Q1313" s="7" t="s">
        <x:v>1930</x:v>
      </x:c>
      <x:c r="R1313" s="7" t="s">
        <x:v>1931</x:v>
      </x:c>
      <x:c r="S1313" s="7" t="s">
        <x:v>53</x:v>
      </x:c>
      <x:c r="T1313" s="7" t="s">
        <x:v>4498</x:v>
      </x:c>
      <x:c r="U1313" s="7" t="s">
        <x:v>53</x:v>
      </x:c>
      <x:c r="V1313" s="7" t="s">
        <x:v>1999</x:v>
      </x:c>
      <x:c r="W1313" s="7" t="s">
        <x:v>58</x:v>
      </x:c>
      <x:c r="X1313" s="7" t="s">
        <x:v>4499</x:v>
      </x:c>
      <x:c r="Y1313" s="7" t="s">
        <x:v>1322</x:v>
      </x:c>
      <x:c r="Z1313" s="7" t="s">
        <x:v>2105</x:v>
      </x:c>
      <x:c r="AA1313" s="7" t="s">
        <x:v>58</x:v>
      </x:c>
      <x:c r="AB1313" s="8" t="s">
        <x:v>58</x:v>
      </x:c>
      <x:c r="AC1313" s="8" t="s">
        <x:v>58</x:v>
      </x:c>
      <x:c r="AD1313" s="8" t="s">
        <x:v>58</x:v>
      </x:c>
      <x:c r="AE1313" s="8" t="s">
        <x:v>58</x:v>
      </x:c>
      <x:c r="AF1313" s="8" t="s">
        <x:v>58</x:v>
      </x:c>
      <x:c r="AG1313" s="7" t="s">
        <x:v>58</x:v>
      </x:c>
    </x:row>
    <x:row r="1314" ht="79.5" hidden="0" customHeight="1">
      <x:c r="A1314" s="7" t="s">
        <x:v>4515</x:v>
      </x:c>
      <x:c r="B1314" s="7" t="s">
        <x:v>780</x:v>
      </x:c>
      <x:c r="C1314" s="7" t="s">
        <x:v>782</x:v>
      </x:c>
      <x:c r="D1314" s="7" t="s">
        <x:v>1935</x:v>
      </x:c>
      <x:c r="E1314" s="7" t="s">
        <x:v>4516</x:v>
      </x:c>
      <x:c r="F1314" s="7" t="s">
        <x:v>1929</x:v>
      </x:c>
      <x:c r="G1314" s="8" t="n">
        <x:v>4300</x:v>
      </x:c>
      <x:c r="H1314" s="8" t="n">
        <x:v>340</x:v>
      </x:c>
      <x:c r="I1314" s="8" t="s">
        <x:v>58</x:v>
      </x:c>
      <x:c r="J1314" s="7" t="s">
        <x:v>1919</x:v>
      </x:c>
      <x:c r="K1314" s="8" t="n">
        <x:v>0.001</x:v>
      </x:c>
      <x:c r="L1314" s="8" t="n">
        <x:f aca="0">IF(AND(ISNUMBER(G1314),P1314&lt;&gt;"Unresolved unit / layout"),G1314*K1314,"Not applicable")</x:f>
        <x:v>4.3</x:v>
      </x:c>
      <x:c r="M1314" s="8" t="n">
        <x:f aca="0">IF(AND(ISNUMBER(H1314),P1314&lt;&gt;"Unresolved unit / layout"),H1314*K1314,"Not applicable")</x:f>
        <x:v>0.34</x:v>
      </x:c>
      <x:c r="N1314" s="8" t="str">
        <x:f aca="0">IF(AND(ISNUMBER(I1314),P1314&lt;&gt;"Unresolved unit / layout"),I1314*K1314,"Not applicable")</x:f>
        <x:v>Not applicable</x:v>
      </x:c>
      <x:c r="O1314" s="7" t="s">
        <x:v>1937</x:v>
      </x:c>
      <x:c r="P1314" s="7" t="s">
        <x:v>1921</x:v>
      </x:c>
      <x:c r="Q1314" s="7" t="s">
        <x:v>1930</x:v>
      </x:c>
      <x:c r="R1314" s="7" t="s">
        <x:v>2003</x:v>
      </x:c>
      <x:c r="S1314" s="7" t="s">
        <x:v>53</x:v>
      </x:c>
      <x:c r="T1314" s="7" t="s">
        <x:v>4498</x:v>
      </x:c>
      <x:c r="U1314" s="7" t="s">
        <x:v>53</x:v>
      </x:c>
      <x:c r="V1314" s="7" t="s">
        <x:v>1999</x:v>
      </x:c>
      <x:c r="W1314" s="7" t="s">
        <x:v>58</x:v>
      </x:c>
      <x:c r="X1314" s="7" t="s">
        <x:v>4499</x:v>
      </x:c>
      <x:c r="Y1314" s="7" t="s">
        <x:v>1322</x:v>
      </x:c>
      <x:c r="Z1314" s="7" t="s">
        <x:v>2108</x:v>
      </x:c>
      <x:c r="AA1314" s="7" t="s">
        <x:v>58</x:v>
      </x:c>
      <x:c r="AB1314" s="8" t="s">
        <x:v>58</x:v>
      </x:c>
      <x:c r="AC1314" s="8" t="s">
        <x:v>58</x:v>
      </x:c>
      <x:c r="AD1314" s="8" t="s">
        <x:v>58</x:v>
      </x:c>
      <x:c r="AE1314" s="8" t="s">
        <x:v>58</x:v>
      </x:c>
      <x:c r="AF1314" s="8" t="s">
        <x:v>58</x:v>
      </x:c>
      <x:c r="AG1314" s="7" t="s">
        <x:v>58</x:v>
      </x:c>
    </x:row>
    <x:row r="1315" ht="79.5" hidden="0" customHeight="1">
      <x:c r="A1315" s="7" t="s">
        <x:v>4517</x:v>
      </x:c>
      <x:c r="B1315" s="7" t="s">
        <x:v>780</x:v>
      </x:c>
      <x:c r="C1315" s="7" t="s">
        <x:v>782</x:v>
      </x:c>
      <x:c r="D1315" s="7" t="s">
        <x:v>2006</x:v>
      </x:c>
      <x:c r="E1315" s="7" t="s">
        <x:v>4518</x:v>
      </x:c>
      <x:c r="F1315" s="7" t="s">
        <x:v>1929</x:v>
      </x:c>
      <x:c r="G1315" s="8" t="n">
        <x:v>168</x:v>
      </x:c>
      <x:c r="H1315" s="8" t="n">
        <x:v>4</x:v>
      </x:c>
      <x:c r="I1315" s="8" t="s">
        <x:v>58</x:v>
      </x:c>
      <x:c r="J1315" s="7" t="s">
        <x:v>1919</x:v>
      </x:c>
      <x:c r="K1315" s="8" t="n">
        <x:v>1</x:v>
      </x:c>
      <x:c r="L1315" s="8" t="n">
        <x:f aca="0">IF(AND(ISNUMBER(G1315),P1315&lt;&gt;"Unresolved unit / layout"),G1315*K1315,"Not applicable")</x:f>
        <x:v>168</x:v>
      </x:c>
      <x:c r="M1315" s="8" t="n">
        <x:f aca="0">IF(AND(ISNUMBER(H1315),P1315&lt;&gt;"Unresolved unit / layout"),H1315*K1315,"Not applicable")</x:f>
        <x:v>4</x:v>
      </x:c>
      <x:c r="N1315" s="8" t="str">
        <x:f aca="0">IF(AND(ISNUMBER(I1315),P1315&lt;&gt;"Unresolved unit / layout"),I1315*K1315,"Not applicable")</x:f>
        <x:v>Not applicable</x:v>
      </x:c>
      <x:c r="O1315" s="7" t="s">
        <x:v>1929</x:v>
      </x:c>
      <x:c r="P1315" s="7" t="s">
        <x:v>1921</x:v>
      </x:c>
      <x:c r="Q1315" s="7" t="s">
        <x:v>1930</x:v>
      </x:c>
      <x:c r="R1315" s="7" t="s">
        <x:v>1931</x:v>
      </x:c>
      <x:c r="S1315" s="7" t="s">
        <x:v>53</x:v>
      </x:c>
      <x:c r="T1315" s="7" t="s">
        <x:v>4498</x:v>
      </x:c>
      <x:c r="U1315" s="7" t="s">
        <x:v>53</x:v>
      </x:c>
      <x:c r="V1315" s="7" t="s">
        <x:v>1999</x:v>
      </x:c>
      <x:c r="W1315" s="7" t="s">
        <x:v>58</x:v>
      </x:c>
      <x:c r="X1315" s="7" t="s">
        <x:v>4499</x:v>
      </x:c>
      <x:c r="Y1315" s="7" t="s">
        <x:v>1322</x:v>
      </x:c>
      <x:c r="Z1315" s="7" t="s">
        <x:v>2111</x:v>
      </x:c>
      <x:c r="AA1315" s="7" t="s">
        <x:v>58</x:v>
      </x:c>
      <x:c r="AB1315" s="8" t="s">
        <x:v>58</x:v>
      </x:c>
      <x:c r="AC1315" s="8" t="s">
        <x:v>58</x:v>
      </x:c>
      <x:c r="AD1315" s="8" t="s">
        <x:v>58</x:v>
      </x:c>
      <x:c r="AE1315" s="8" t="s">
        <x:v>58</x:v>
      </x:c>
      <x:c r="AF1315" s="8" t="s">
        <x:v>58</x:v>
      </x:c>
      <x:c r="AG1315" s="7" t="s">
        <x:v>58</x:v>
      </x:c>
    </x:row>
    <x:row r="1316" ht="79.5" hidden="0" customHeight="1">
      <x:c r="A1316" s="7" t="s">
        <x:v>4519</x:v>
      </x:c>
      <x:c r="B1316" s="7" t="s">
        <x:v>780</x:v>
      </x:c>
      <x:c r="C1316" s="7" t="s">
        <x:v>782</x:v>
      </x:c>
      <x:c r="D1316" s="7" t="s">
        <x:v>2006</x:v>
      </x:c>
      <x:c r="E1316" s="7" t="s">
        <x:v>4520</x:v>
      </x:c>
      <x:c r="F1316" s="7" t="s">
        <x:v>1929</x:v>
      </x:c>
      <x:c r="G1316" s="8" t="n">
        <x:v>57</x:v>
      </x:c>
      <x:c r="H1316" s="8" t="n">
        <x:v>5</x:v>
      </x:c>
      <x:c r="I1316" s="8" t="s">
        <x:v>58</x:v>
      </x:c>
      <x:c r="J1316" s="7" t="s">
        <x:v>1919</x:v>
      </x:c>
      <x:c r="K1316" s="8" t="n">
        <x:v>1</x:v>
      </x:c>
      <x:c r="L1316" s="8" t="n">
        <x:f aca="0">IF(AND(ISNUMBER(G1316),P1316&lt;&gt;"Unresolved unit / layout"),G1316*K1316,"Not applicable")</x:f>
        <x:v>57</x:v>
      </x:c>
      <x:c r="M1316" s="8" t="n">
        <x:f aca="0">IF(AND(ISNUMBER(H1316),P1316&lt;&gt;"Unresolved unit / layout"),H1316*K1316,"Not applicable")</x:f>
        <x:v>5</x:v>
      </x:c>
      <x:c r="N1316" s="8" t="str">
        <x:f aca="0">IF(AND(ISNUMBER(I1316),P1316&lt;&gt;"Unresolved unit / layout"),I1316*K1316,"Not applicable")</x:f>
        <x:v>Not applicable</x:v>
      </x:c>
      <x:c r="O1316" s="7" t="s">
        <x:v>1929</x:v>
      </x:c>
      <x:c r="P1316" s="7" t="s">
        <x:v>1921</x:v>
      </x:c>
      <x:c r="Q1316" s="7" t="s">
        <x:v>1930</x:v>
      </x:c>
      <x:c r="R1316" s="7" t="s">
        <x:v>2003</x:v>
      </x:c>
      <x:c r="S1316" s="7" t="s">
        <x:v>53</x:v>
      </x:c>
      <x:c r="T1316" s="7" t="s">
        <x:v>4498</x:v>
      </x:c>
      <x:c r="U1316" s="7" t="s">
        <x:v>53</x:v>
      </x:c>
      <x:c r="V1316" s="7" t="s">
        <x:v>1999</x:v>
      </x:c>
      <x:c r="W1316" s="7" t="s">
        <x:v>58</x:v>
      </x:c>
      <x:c r="X1316" s="7" t="s">
        <x:v>4499</x:v>
      </x:c>
      <x:c r="Y1316" s="7" t="s">
        <x:v>1322</x:v>
      </x:c>
      <x:c r="Z1316" s="7" t="s">
        <x:v>2114</x:v>
      </x:c>
      <x:c r="AA1316" s="7" t="s">
        <x:v>58</x:v>
      </x:c>
      <x:c r="AB1316" s="8" t="s">
        <x:v>58</x:v>
      </x:c>
      <x:c r="AC1316" s="8" t="s">
        <x:v>58</x:v>
      </x:c>
      <x:c r="AD1316" s="8" t="s">
        <x:v>58</x:v>
      </x:c>
      <x:c r="AE1316" s="8" t="s">
        <x:v>58</x:v>
      </x:c>
      <x:c r="AF1316" s="8" t="s">
        <x:v>58</x:v>
      </x:c>
      <x:c r="AG1316" s="7" t="s">
        <x:v>58</x:v>
      </x:c>
    </x:row>
    <x:row r="1317" ht="79.5" hidden="0" customHeight="1">
      <x:c r="A1317" s="7" t="s">
        <x:v>4521</x:v>
      </x:c>
      <x:c r="B1317" s="7" t="s">
        <x:v>780</x:v>
      </x:c>
      <x:c r="C1317" s="7" t="s">
        <x:v>782</x:v>
      </x:c>
      <x:c r="D1317" s="7" t="s">
        <x:v>1940</x:v>
      </x:c>
      <x:c r="E1317" s="7" t="s">
        <x:v>4522</x:v>
      </x:c>
      <x:c r="F1317" s="7" t="s">
        <x:v>1942</x:v>
      </x:c>
      <x:c r="G1317" s="8" t="n">
        <x:v>3.2</x:v>
      </x:c>
      <x:c r="H1317" s="8" t="n">
        <x:v>0.4</x:v>
      </x:c>
      <x:c r="I1317" s="8" t="s">
        <x:v>58</x:v>
      </x:c>
      <x:c r="J1317" s="7" t="s">
        <x:v>1919</x:v>
      </x:c>
      <x:c r="K1317" s="8" t="n">
        <x:v>1</x:v>
      </x:c>
      <x:c r="L1317" s="8" t="n">
        <x:f aca="0">IF(AND(ISNUMBER(G1317),P1317&lt;&gt;"Unresolved unit / layout"),G1317*K1317,"Not applicable")</x:f>
        <x:v>3.2</x:v>
      </x:c>
      <x:c r="M1317" s="8" t="n">
        <x:f aca="0">IF(AND(ISNUMBER(H1317),P1317&lt;&gt;"Unresolved unit / layout"),H1317*K1317,"Not applicable")</x:f>
        <x:v>0.4</x:v>
      </x:c>
      <x:c r="N1317" s="8" t="str">
        <x:f aca="0">IF(AND(ISNUMBER(I1317),P1317&lt;&gt;"Unresolved unit / layout"),I1317*K1317,"Not applicable")</x:f>
        <x:v>Not applicable</x:v>
      </x:c>
      <x:c r="O1317" s="7" t="s">
        <x:v>1942</x:v>
      </x:c>
      <x:c r="P1317" s="7" t="s">
        <x:v>1921</x:v>
      </x:c>
      <x:c r="Q1317" s="7" t="s">
        <x:v>1930</x:v>
      </x:c>
      <x:c r="R1317" s="7" t="s">
        <x:v>1931</x:v>
      </x:c>
      <x:c r="S1317" s="7" t="s">
        <x:v>53</x:v>
      </x:c>
      <x:c r="T1317" s="7" t="s">
        <x:v>4498</x:v>
      </x:c>
      <x:c r="U1317" s="7" t="s">
        <x:v>53</x:v>
      </x:c>
      <x:c r="V1317" s="7" t="s">
        <x:v>1999</x:v>
      </x:c>
      <x:c r="W1317" s="7" t="s">
        <x:v>58</x:v>
      </x:c>
      <x:c r="X1317" s="7" t="s">
        <x:v>4499</x:v>
      </x:c>
      <x:c r="Y1317" s="7" t="s">
        <x:v>1322</x:v>
      </x:c>
      <x:c r="Z1317" s="7" t="s">
        <x:v>2117</x:v>
      </x:c>
      <x:c r="AA1317" s="7" t="s">
        <x:v>58</x:v>
      </x:c>
      <x:c r="AB1317" s="8" t="s">
        <x:v>58</x:v>
      </x:c>
      <x:c r="AC1317" s="8" t="s">
        <x:v>58</x:v>
      </x:c>
      <x:c r="AD1317" s="8" t="s">
        <x:v>58</x:v>
      </x:c>
      <x:c r="AE1317" s="8" t="s">
        <x:v>58</x:v>
      </x:c>
      <x:c r="AF1317" s="8" t="s">
        <x:v>58</x:v>
      </x:c>
      <x:c r="AG1317" s="7" t="s">
        <x:v>58</x:v>
      </x:c>
    </x:row>
    <x:row r="1318" ht="79.5" hidden="0" customHeight="1">
      <x:c r="A1318" s="7" t="s">
        <x:v>4523</x:v>
      </x:c>
      <x:c r="B1318" s="7" t="s">
        <x:v>780</x:v>
      </x:c>
      <x:c r="C1318" s="7" t="s">
        <x:v>782</x:v>
      </x:c>
      <x:c r="D1318" s="7" t="s">
        <x:v>1940</x:v>
      </x:c>
      <x:c r="E1318" s="7" t="s">
        <x:v>4524</x:v>
      </x:c>
      <x:c r="F1318" s="7" t="s">
        <x:v>1942</x:v>
      </x:c>
      <x:c r="G1318" s="8" t="n">
        <x:v>0.9</x:v>
      </x:c>
      <x:c r="H1318" s="8" t="n">
        <x:v>0.2</x:v>
      </x:c>
      <x:c r="I1318" s="8" t="s">
        <x:v>58</x:v>
      </x:c>
      <x:c r="J1318" s="7" t="s">
        <x:v>1919</x:v>
      </x:c>
      <x:c r="K1318" s="8" t="n">
        <x:v>1</x:v>
      </x:c>
      <x:c r="L1318" s="8" t="n">
        <x:f aca="0">IF(AND(ISNUMBER(G1318),P1318&lt;&gt;"Unresolved unit / layout"),G1318*K1318,"Not applicable")</x:f>
        <x:v>0.9</x:v>
      </x:c>
      <x:c r="M1318" s="8" t="n">
        <x:f aca="0">IF(AND(ISNUMBER(H1318),P1318&lt;&gt;"Unresolved unit / layout"),H1318*K1318,"Not applicable")</x:f>
        <x:v>0.2</x:v>
      </x:c>
      <x:c r="N1318" s="8" t="str">
        <x:f aca="0">IF(AND(ISNUMBER(I1318),P1318&lt;&gt;"Unresolved unit / layout"),I1318*K1318,"Not applicable")</x:f>
        <x:v>Not applicable</x:v>
      </x:c>
      <x:c r="O1318" s="7" t="s">
        <x:v>1942</x:v>
      </x:c>
      <x:c r="P1318" s="7" t="s">
        <x:v>1921</x:v>
      </x:c>
      <x:c r="Q1318" s="7" t="s">
        <x:v>1930</x:v>
      </x:c>
      <x:c r="R1318" s="7" t="s">
        <x:v>2003</x:v>
      </x:c>
      <x:c r="S1318" s="7" t="s">
        <x:v>53</x:v>
      </x:c>
      <x:c r="T1318" s="7" t="s">
        <x:v>4498</x:v>
      </x:c>
      <x:c r="U1318" s="7" t="s">
        <x:v>53</x:v>
      </x:c>
      <x:c r="V1318" s="7" t="s">
        <x:v>1999</x:v>
      </x:c>
      <x:c r="W1318" s="7" t="s">
        <x:v>58</x:v>
      </x:c>
      <x:c r="X1318" s="7" t="s">
        <x:v>4499</x:v>
      </x:c>
      <x:c r="Y1318" s="7" t="s">
        <x:v>1322</x:v>
      </x:c>
      <x:c r="Z1318" s="7" t="s">
        <x:v>2120</x:v>
      </x:c>
      <x:c r="AA1318" s="7" t="s">
        <x:v>58</x:v>
      </x:c>
      <x:c r="AB1318" s="8" t="s">
        <x:v>58</x:v>
      </x:c>
      <x:c r="AC1318" s="8" t="s">
        <x:v>58</x:v>
      </x:c>
      <x:c r="AD1318" s="8" t="s">
        <x:v>58</x:v>
      </x:c>
      <x:c r="AE1318" s="8" t="s">
        <x:v>58</x:v>
      </x:c>
      <x:c r="AF1318" s="8" t="s">
        <x:v>58</x:v>
      </x:c>
      <x:c r="AG1318" s="7" t="s">
        <x:v>58</x:v>
      </x:c>
    </x:row>
    <x:row r="1319" ht="79.5" hidden="0" customHeight="1">
      <x:c r="A1319" s="7" t="s">
        <x:v>4525</x:v>
      </x:c>
      <x:c r="B1319" s="7" t="s">
        <x:v>780</x:v>
      </x:c>
      <x:c r="C1319" s="7" t="s">
        <x:v>782</x:v>
      </x:c>
      <x:c r="D1319" s="7" t="s">
        <x:v>1950</x:v>
      </x:c>
      <x:c r="E1319" s="7" t="s">
        <x:v>4526</x:v>
      </x:c>
      <x:c r="F1319" s="7" t="s">
        <x:v>1929</x:v>
      </x:c>
      <x:c r="G1319" s="8" t="n">
        <x:v>9860</x:v>
      </x:c>
      <x:c r="H1319" s="8" t="n">
        <x:v>480</x:v>
      </x:c>
      <x:c r="I1319" s="8" t="s">
        <x:v>58</x:v>
      </x:c>
      <x:c r="J1319" s="7" t="s">
        <x:v>1919</x:v>
      </x:c>
      <x:c r="K1319" s="8" t="n">
        <x:v>0.001</x:v>
      </x:c>
      <x:c r="L1319" s="8" t="n">
        <x:f aca="0">IF(AND(ISNUMBER(G1319),P1319&lt;&gt;"Unresolved unit / layout"),G1319*K1319,"Not applicable")</x:f>
        <x:v>9.86</x:v>
      </x:c>
      <x:c r="M1319" s="8" t="n">
        <x:f aca="0">IF(AND(ISNUMBER(H1319),P1319&lt;&gt;"Unresolved unit / layout"),H1319*K1319,"Not applicable")</x:f>
        <x:v>0.48</x:v>
      </x:c>
      <x:c r="N1319" s="8" t="str">
        <x:f aca="0">IF(AND(ISNUMBER(I1319),P1319&lt;&gt;"Unresolved unit / layout"),I1319*K1319,"Not applicable")</x:f>
        <x:v>Not applicable</x:v>
      </x:c>
      <x:c r="O1319" s="7" t="s">
        <x:v>1937</x:v>
      </x:c>
      <x:c r="P1319" s="7" t="s">
        <x:v>1921</x:v>
      </x:c>
      <x:c r="Q1319" s="7" t="s">
        <x:v>1930</x:v>
      </x:c>
      <x:c r="R1319" s="7" t="s">
        <x:v>1931</x:v>
      </x:c>
      <x:c r="S1319" s="7" t="s">
        <x:v>53</x:v>
      </x:c>
      <x:c r="T1319" s="7" t="s">
        <x:v>4498</x:v>
      </x:c>
      <x:c r="U1319" s="7" t="s">
        <x:v>53</x:v>
      </x:c>
      <x:c r="V1319" s="7" t="s">
        <x:v>2020</x:v>
      </x:c>
      <x:c r="W1319" s="7" t="s">
        <x:v>58</x:v>
      </x:c>
      <x:c r="X1319" s="7" t="s">
        <x:v>4499</x:v>
      </x:c>
      <x:c r="Y1319" s="7" t="s">
        <x:v>1322</x:v>
      </x:c>
      <x:c r="Z1319" s="7" t="s">
        <x:v>2123</x:v>
      </x:c>
      <x:c r="AA1319" s="7" t="s">
        <x:v>58</x:v>
      </x:c>
      <x:c r="AB1319" s="8" t="s">
        <x:v>58</x:v>
      </x:c>
      <x:c r="AC1319" s="8" t="s">
        <x:v>58</x:v>
      </x:c>
      <x:c r="AD1319" s="8" t="s">
        <x:v>58</x:v>
      </x:c>
      <x:c r="AE1319" s="8" t="s">
        <x:v>58</x:v>
      </x:c>
      <x:c r="AF1319" s="8" t="s">
        <x:v>58</x:v>
      </x:c>
      <x:c r="AG1319" s="7" t="s">
        <x:v>58</x:v>
      </x:c>
    </x:row>
    <x:row r="1320" ht="79.5" hidden="0" customHeight="1">
      <x:c r="A1320" s="7" t="s">
        <x:v>4527</x:v>
      </x:c>
      <x:c r="B1320" s="7" t="s">
        <x:v>780</x:v>
      </x:c>
      <x:c r="C1320" s="7" t="s">
        <x:v>782</x:v>
      </x:c>
      <x:c r="D1320" s="7" t="s">
        <x:v>1950</x:v>
      </x:c>
      <x:c r="E1320" s="7" t="s">
        <x:v>4528</x:v>
      </x:c>
      <x:c r="F1320" s="7" t="s">
        <x:v>1929</x:v>
      </x:c>
      <x:c r="G1320" s="8" t="n">
        <x:v>3240</x:v>
      </x:c>
      <x:c r="H1320" s="8" t="n">
        <x:v>360</x:v>
      </x:c>
      <x:c r="I1320" s="8" t="s">
        <x:v>58</x:v>
      </x:c>
      <x:c r="J1320" s="7" t="s">
        <x:v>1919</x:v>
      </x:c>
      <x:c r="K1320" s="8" t="n">
        <x:v>0.001</x:v>
      </x:c>
      <x:c r="L1320" s="8" t="n">
        <x:f aca="0">IF(AND(ISNUMBER(G1320),P1320&lt;&gt;"Unresolved unit / layout"),G1320*K1320,"Not applicable")</x:f>
        <x:v>3.24</x:v>
      </x:c>
      <x:c r="M1320" s="8" t="n">
        <x:f aca="0">IF(AND(ISNUMBER(H1320),P1320&lt;&gt;"Unresolved unit / layout"),H1320*K1320,"Not applicable")</x:f>
        <x:v>0.36</x:v>
      </x:c>
      <x:c r="N1320" s="8" t="str">
        <x:f aca="0">IF(AND(ISNUMBER(I1320),P1320&lt;&gt;"Unresolved unit / layout"),I1320*K1320,"Not applicable")</x:f>
        <x:v>Not applicable</x:v>
      </x:c>
      <x:c r="O1320" s="7" t="s">
        <x:v>1937</x:v>
      </x:c>
      <x:c r="P1320" s="7" t="s">
        <x:v>1921</x:v>
      </x:c>
      <x:c r="Q1320" s="7" t="s">
        <x:v>1930</x:v>
      </x:c>
      <x:c r="R1320" s="7" t="s">
        <x:v>2003</x:v>
      </x:c>
      <x:c r="S1320" s="7" t="s">
        <x:v>53</x:v>
      </x:c>
      <x:c r="T1320" s="7" t="s">
        <x:v>4498</x:v>
      </x:c>
      <x:c r="U1320" s="7" t="s">
        <x:v>53</x:v>
      </x:c>
      <x:c r="V1320" s="7" t="s">
        <x:v>2020</x:v>
      </x:c>
      <x:c r="W1320" s="7" t="s">
        <x:v>58</x:v>
      </x:c>
      <x:c r="X1320" s="7" t="s">
        <x:v>4499</x:v>
      </x:c>
      <x:c r="Y1320" s="7" t="s">
        <x:v>1322</x:v>
      </x:c>
      <x:c r="Z1320" s="7" t="s">
        <x:v>2210</x:v>
      </x:c>
      <x:c r="AA1320" s="7" t="s">
        <x:v>58</x:v>
      </x:c>
      <x:c r="AB1320" s="8" t="s">
        <x:v>58</x:v>
      </x:c>
      <x:c r="AC1320" s="8" t="s">
        <x:v>58</x:v>
      </x:c>
      <x:c r="AD1320" s="8" t="s">
        <x:v>58</x:v>
      </x:c>
      <x:c r="AE1320" s="8" t="s">
        <x:v>58</x:v>
      </x:c>
      <x:c r="AF1320" s="8" t="s">
        <x:v>58</x:v>
      </x:c>
      <x:c r="AG1320" s="7" t="s">
        <x:v>58</x:v>
      </x:c>
    </x:row>
    <x:row r="1321" ht="79.5" hidden="0" customHeight="1">
      <x:c r="A1321" s="7" t="s">
        <x:v>4529</x:v>
      </x:c>
      <x:c r="B1321" s="7" t="s">
        <x:v>780</x:v>
      </x:c>
      <x:c r="C1321" s="7" t="s">
        <x:v>782</x:v>
      </x:c>
      <x:c r="D1321" s="7" t="s">
        <x:v>1945</x:v>
      </x:c>
      <x:c r="E1321" s="7" t="s">
        <x:v>4530</x:v>
      </x:c>
      <x:c r="F1321" s="7" t="s">
        <x:v>1929</x:v>
      </x:c>
      <x:c r="G1321" s="8" t="n">
        <x:v>208</x:v>
      </x:c>
      <x:c r="H1321" s="8" t="n">
        <x:v>6</x:v>
      </x:c>
      <x:c r="I1321" s="8" t="s">
        <x:v>58</x:v>
      </x:c>
      <x:c r="J1321" s="7" t="s">
        <x:v>1919</x:v>
      </x:c>
      <x:c r="K1321" s="8" t="n">
        <x:v>1</x:v>
      </x:c>
      <x:c r="L1321" s="8" t="n">
        <x:f aca="0">IF(AND(ISNUMBER(G1321),P1321&lt;&gt;"Unresolved unit / layout"),G1321*K1321,"Not applicable")</x:f>
        <x:v>208</x:v>
      </x:c>
      <x:c r="M1321" s="8" t="n">
        <x:f aca="0">IF(AND(ISNUMBER(H1321),P1321&lt;&gt;"Unresolved unit / layout"),H1321*K1321,"Not applicable")</x:f>
        <x:v>6</x:v>
      </x:c>
      <x:c r="N1321" s="8" t="str">
        <x:f aca="0">IF(AND(ISNUMBER(I1321),P1321&lt;&gt;"Unresolved unit / layout"),I1321*K1321,"Not applicable")</x:f>
        <x:v>Not applicable</x:v>
      </x:c>
      <x:c r="O1321" s="7" t="s">
        <x:v>1929</x:v>
      </x:c>
      <x:c r="P1321" s="7" t="s">
        <x:v>1921</x:v>
      </x:c>
      <x:c r="Q1321" s="7" t="s">
        <x:v>1930</x:v>
      </x:c>
      <x:c r="R1321" s="7" t="s">
        <x:v>1931</x:v>
      </x:c>
      <x:c r="S1321" s="7" t="s">
        <x:v>53</x:v>
      </x:c>
      <x:c r="T1321" s="7" t="s">
        <x:v>4498</x:v>
      </x:c>
      <x:c r="U1321" s="7" t="s">
        <x:v>53</x:v>
      </x:c>
      <x:c r="V1321" s="7" t="s">
        <x:v>2020</x:v>
      </x:c>
      <x:c r="W1321" s="7" t="s">
        <x:v>58</x:v>
      </x:c>
      <x:c r="X1321" s="7" t="s">
        <x:v>4499</x:v>
      </x:c>
      <x:c r="Y1321" s="7" t="s">
        <x:v>1322</x:v>
      </x:c>
      <x:c r="Z1321" s="7" t="s">
        <x:v>2213</x:v>
      </x:c>
      <x:c r="AA1321" s="7" t="s">
        <x:v>58</x:v>
      </x:c>
      <x:c r="AB1321" s="8" t="s">
        <x:v>58</x:v>
      </x:c>
      <x:c r="AC1321" s="8" t="s">
        <x:v>58</x:v>
      </x:c>
      <x:c r="AD1321" s="8" t="s">
        <x:v>58</x:v>
      </x:c>
      <x:c r="AE1321" s="8" t="s">
        <x:v>58</x:v>
      </x:c>
      <x:c r="AF1321" s="8" t="s">
        <x:v>58</x:v>
      </x:c>
      <x:c r="AG1321" s="7" t="s">
        <x:v>58</x:v>
      </x:c>
    </x:row>
    <x:row r="1322" ht="79.5" hidden="0" customHeight="1">
      <x:c r="A1322" s="7" t="s">
        <x:v>4531</x:v>
      </x:c>
      <x:c r="B1322" s="7" t="s">
        <x:v>780</x:v>
      </x:c>
      <x:c r="C1322" s="7" t="s">
        <x:v>782</x:v>
      </x:c>
      <x:c r="D1322" s="7" t="s">
        <x:v>1945</x:v>
      </x:c>
      <x:c r="E1322" s="7" t="s">
        <x:v>4532</x:v>
      </x:c>
      <x:c r="F1322" s="7" t="s">
        <x:v>1929</x:v>
      </x:c>
      <x:c r="G1322" s="8" t="n">
        <x:v>63</x:v>
      </x:c>
      <x:c r="H1322" s="8" t="n">
        <x:v>4</x:v>
      </x:c>
      <x:c r="I1322" s="8" t="s">
        <x:v>58</x:v>
      </x:c>
      <x:c r="J1322" s="7" t="s">
        <x:v>1919</x:v>
      </x:c>
      <x:c r="K1322" s="8" t="n">
        <x:v>1</x:v>
      </x:c>
      <x:c r="L1322" s="8" t="n">
        <x:f aca="0">IF(AND(ISNUMBER(G1322),P1322&lt;&gt;"Unresolved unit / layout"),G1322*K1322,"Not applicable")</x:f>
        <x:v>63</x:v>
      </x:c>
      <x:c r="M1322" s="8" t="n">
        <x:f aca="0">IF(AND(ISNUMBER(H1322),P1322&lt;&gt;"Unresolved unit / layout"),H1322*K1322,"Not applicable")</x:f>
        <x:v>4</x:v>
      </x:c>
      <x:c r="N1322" s="8" t="str">
        <x:f aca="0">IF(AND(ISNUMBER(I1322),P1322&lt;&gt;"Unresolved unit / layout"),I1322*K1322,"Not applicable")</x:f>
        <x:v>Not applicable</x:v>
      </x:c>
      <x:c r="O1322" s="7" t="s">
        <x:v>1929</x:v>
      </x:c>
      <x:c r="P1322" s="7" t="s">
        <x:v>1921</x:v>
      </x:c>
      <x:c r="Q1322" s="7" t="s">
        <x:v>1930</x:v>
      </x:c>
      <x:c r="R1322" s="7" t="s">
        <x:v>2003</x:v>
      </x:c>
      <x:c r="S1322" s="7" t="s">
        <x:v>53</x:v>
      </x:c>
      <x:c r="T1322" s="7" t="s">
        <x:v>4498</x:v>
      </x:c>
      <x:c r="U1322" s="7" t="s">
        <x:v>53</x:v>
      </x:c>
      <x:c r="V1322" s="7" t="s">
        <x:v>2020</x:v>
      </x:c>
      <x:c r="W1322" s="7" t="s">
        <x:v>58</x:v>
      </x:c>
      <x:c r="X1322" s="7" t="s">
        <x:v>4499</x:v>
      </x:c>
      <x:c r="Y1322" s="7" t="s">
        <x:v>1322</x:v>
      </x:c>
      <x:c r="Z1322" s="7" t="s">
        <x:v>2216</x:v>
      </x:c>
      <x:c r="AA1322" s="7" t="s">
        <x:v>58</x:v>
      </x:c>
      <x:c r="AB1322" s="8" t="s">
        <x:v>58</x:v>
      </x:c>
      <x:c r="AC1322" s="8" t="s">
        <x:v>58</x:v>
      </x:c>
      <x:c r="AD1322" s="8" t="s">
        <x:v>58</x:v>
      </x:c>
      <x:c r="AE1322" s="8" t="s">
        <x:v>58</x:v>
      </x:c>
      <x:c r="AF1322" s="8" t="s">
        <x:v>58</x:v>
      </x:c>
      <x:c r="AG1322" s="7" t="s">
        <x:v>58</x:v>
      </x:c>
    </x:row>
    <x:row r="1323" ht="79.5" hidden="0" customHeight="1">
      <x:c r="A1323" s="7" t="s">
        <x:v>4533</x:v>
      </x:c>
      <x:c r="B1323" s="7" t="s">
        <x:v>780</x:v>
      </x:c>
      <x:c r="C1323" s="7" t="s">
        <x:v>782</x:v>
      </x:c>
      <x:c r="D1323" s="7" t="s">
        <x:v>2030</x:v>
      </x:c>
      <x:c r="E1323" s="7" t="s">
        <x:v>4534</x:v>
      </x:c>
      <x:c r="F1323" s="7" t="s">
        <x:v>2033</x:v>
      </x:c>
      <x:c r="G1323" s="8" t="n">
        <x:v>41.7</x:v>
      </x:c>
      <x:c r="H1323" s="8" t="n">
        <x:v>2.8</x:v>
      </x:c>
      <x:c r="I1323" s="8" t="s">
        <x:v>58</x:v>
      </x:c>
      <x:c r="J1323" s="7" t="s">
        <x:v>1919</x:v>
      </x:c>
      <x:c r="K1323" s="8" t="n">
        <x:v>1</x:v>
      </x:c>
      <x:c r="L1323" s="8" t="n">
        <x:f aca="0">IF(AND(ISNUMBER(G1323),P1323&lt;&gt;"Unresolved unit / layout"),G1323*K1323,"Not applicable")</x:f>
        <x:v>41.7</x:v>
      </x:c>
      <x:c r="M1323" s="8" t="n">
        <x:f aca="0">IF(AND(ISNUMBER(H1323),P1323&lt;&gt;"Unresolved unit / layout"),H1323*K1323,"Not applicable")</x:f>
        <x:v>2.8</x:v>
      </x:c>
      <x:c r="N1323" s="8" t="str">
        <x:f aca="0">IF(AND(ISNUMBER(I1323),P1323&lt;&gt;"Unresolved unit / layout"),I1323*K1323,"Not applicable")</x:f>
        <x:v>Not applicable</x:v>
      </x:c>
      <x:c r="O1323" s="7" t="s">
        <x:v>2033</x:v>
      </x:c>
      <x:c r="P1323" s="7" t="s">
        <x:v>1921</x:v>
      </x:c>
      <x:c r="Q1323" s="7" t="s">
        <x:v>1930</x:v>
      </x:c>
      <x:c r="R1323" s="7" t="s">
        <x:v>1931</x:v>
      </x:c>
      <x:c r="S1323" s="7" t="s">
        <x:v>53</x:v>
      </x:c>
      <x:c r="T1323" s="7" t="s">
        <x:v>4498</x:v>
      </x:c>
      <x:c r="U1323" s="7" t="s">
        <x:v>53</x:v>
      </x:c>
      <x:c r="V1323" s="7" t="s">
        <x:v>2036</x:v>
      </x:c>
      <x:c r="W1323" s="7" t="s">
        <x:v>53</x:v>
      </x:c>
      <x:c r="X1323" s="7" t="s">
        <x:v>4499</x:v>
      </x:c>
      <x:c r="Y1323" s="7" t="s">
        <x:v>1322</x:v>
      </x:c>
      <x:c r="Z1323" s="7" t="s">
        <x:v>2378</x:v>
      </x:c>
      <x:c r="AA1323" s="7" t="s">
        <x:v>58</x:v>
      </x:c>
      <x:c r="AB1323" s="8" t="s">
        <x:v>58</x:v>
      </x:c>
      <x:c r="AC1323" s="8" t="s">
        <x:v>58</x:v>
      </x:c>
      <x:c r="AD1323" s="8" t="s">
        <x:v>58</x:v>
      </x:c>
      <x:c r="AE1323" s="8" t="s">
        <x:v>58</x:v>
      </x:c>
      <x:c r="AF1323" s="8" t="s">
        <x:v>58</x:v>
      </x:c>
      <x:c r="AG1323" s="7" t="s">
        <x:v>58</x:v>
      </x:c>
    </x:row>
    <x:row r="1324" ht="79.5" hidden="0" customHeight="1">
      <x:c r="A1324" s="7" t="s">
        <x:v>4535</x:v>
      </x:c>
      <x:c r="B1324" s="7" t="s">
        <x:v>780</x:v>
      </x:c>
      <x:c r="C1324" s="7" t="s">
        <x:v>782</x:v>
      </x:c>
      <x:c r="D1324" s="7" t="s">
        <x:v>2030</x:v>
      </x:c>
      <x:c r="E1324" s="7" t="s">
        <x:v>4536</x:v>
      </x:c>
      <x:c r="F1324" s="7" t="s">
        <x:v>2033</x:v>
      </x:c>
      <x:c r="G1324" s="8" t="n">
        <x:v>4.3</x:v>
      </x:c>
      <x:c r="H1324" s="8" t="n">
        <x:v>0.4</x:v>
      </x:c>
      <x:c r="I1324" s="8" t="s">
        <x:v>58</x:v>
      </x:c>
      <x:c r="J1324" s="7" t="s">
        <x:v>1919</x:v>
      </x:c>
      <x:c r="K1324" s="8" t="n">
        <x:v>1</x:v>
      </x:c>
      <x:c r="L1324" s="8" t="n">
        <x:f aca="0">IF(AND(ISNUMBER(G1324),P1324&lt;&gt;"Unresolved unit / layout"),G1324*K1324,"Not applicable")</x:f>
        <x:v>4.3</x:v>
      </x:c>
      <x:c r="M1324" s="8" t="n">
        <x:f aca="0">IF(AND(ISNUMBER(H1324),P1324&lt;&gt;"Unresolved unit / layout"),H1324*K1324,"Not applicable")</x:f>
        <x:v>0.4</x:v>
      </x:c>
      <x:c r="N1324" s="8" t="str">
        <x:f aca="0">IF(AND(ISNUMBER(I1324),P1324&lt;&gt;"Unresolved unit / layout"),I1324*K1324,"Not applicable")</x:f>
        <x:v>Not applicable</x:v>
      </x:c>
      <x:c r="O1324" s="7" t="s">
        <x:v>2033</x:v>
      </x:c>
      <x:c r="P1324" s="7" t="s">
        <x:v>1921</x:v>
      </x:c>
      <x:c r="Q1324" s="7" t="s">
        <x:v>1930</x:v>
      </x:c>
      <x:c r="R1324" s="7" t="s">
        <x:v>2003</x:v>
      </x:c>
      <x:c r="S1324" s="7" t="s">
        <x:v>53</x:v>
      </x:c>
      <x:c r="T1324" s="7" t="s">
        <x:v>4498</x:v>
      </x:c>
      <x:c r="U1324" s="7" t="s">
        <x:v>53</x:v>
      </x:c>
      <x:c r="V1324" s="7" t="s">
        <x:v>2343</x:v>
      </x:c>
      <x:c r="W1324" s="7" t="s">
        <x:v>53</x:v>
      </x:c>
      <x:c r="X1324" s="7" t="s">
        <x:v>4499</x:v>
      </x:c>
      <x:c r="Y1324" s="7" t="s">
        <x:v>1322</x:v>
      </x:c>
      <x:c r="Z1324" s="7" t="s">
        <x:v>2225</x:v>
      </x:c>
      <x:c r="AA1324" s="7" t="s">
        <x:v>58</x:v>
      </x:c>
      <x:c r="AB1324" s="8" t="s">
        <x:v>58</x:v>
      </x:c>
      <x:c r="AC1324" s="8" t="s">
        <x:v>58</x:v>
      </x:c>
      <x:c r="AD1324" s="8" t="s">
        <x:v>58</x:v>
      </x:c>
      <x:c r="AE1324" s="8" t="s">
        <x:v>58</x:v>
      </x:c>
      <x:c r="AF1324" s="8" t="s">
        <x:v>58</x:v>
      </x:c>
      <x:c r="AG1324" s="7" t="s">
        <x:v>58</x:v>
      </x:c>
    </x:row>
    <x:row r="1325" ht="66" hidden="0" customHeight="1">
      <x:c r="A1325" s="7" t="s">
        <x:v>4537</x:v>
      </x:c>
      <x:c r="B1325" s="7" t="s">
        <x:v>792</x:v>
      </x:c>
      <x:c r="C1325" s="7" t="s">
        <x:v>794</x:v>
      </x:c>
      <x:c r="D1325" s="7" t="s">
        <x:v>1916</x:v>
      </x:c>
      <x:c r="E1325" s="7" t="s">
        <x:v>2893</x:v>
      </x:c>
      <x:c r="F1325" s="7" t="s">
        <x:v>2076</x:v>
      </x:c>
      <x:c r="G1325" s="8" t="n">
        <x:v>1.28</x:v>
      </x:c>
      <x:c r="H1325" s="8" t="s">
        <x:v>58</x:v>
      </x:c>
      <x:c r="I1325" s="8" t="s">
        <x:v>58</x:v>
      </x:c>
      <x:c r="J1325" s="7" t="s">
        <x:v>1919</x:v>
      </x:c>
      <x:c r="K1325" s="8" t="n">
        <x:v>1000</x:v>
      </x:c>
      <x:c r="L1325" s="8" t="n">
        <x:f aca="0">IF(AND(ISNUMBER(G1325),P1325&lt;&gt;"Unresolved unit / layout"),G1325*K1325,"Not applicable")</x:f>
        <x:v>1280</x:v>
      </x:c>
      <x:c r="M1325" s="8" t="str">
        <x:f aca="0">IF(AND(ISNUMBER(H1325),P1325&lt;&gt;"Unresolved unit / layout"),H1325*K1325,"Not applicable")</x:f>
        <x:v>Not applicable</x:v>
      </x:c>
      <x:c r="N1325" s="8" t="str">
        <x:f aca="0">IF(AND(ISNUMBER(I1325),P1325&lt;&gt;"Unresolved unit / layout"),I1325*K1325,"Not applicable")</x:f>
        <x:v>Not applicable</x:v>
      </x:c>
      <x:c r="O1325" s="7" t="s">
        <x:v>1920</x:v>
      </x:c>
      <x:c r="P1325" s="7" t="s">
        <x:v>1921</x:v>
      </x:c>
      <x:c r="Q1325" s="7" t="s">
        <x:v>1922</x:v>
      </x:c>
      <x:c r="R1325" s="7" t="s">
        <x:v>58</x:v>
      </x:c>
      <x:c r="S1325" s="7" t="s">
        <x:v>53</x:v>
      </x:c>
      <x:c r="T1325" s="7" t="s">
        <x:v>53</x:v>
      </x:c>
      <x:c r="U1325" s="7" t="s">
        <x:v>53</x:v>
      </x:c>
      <x:c r="V1325" s="7" t="s">
        <x:v>4446</x:v>
      </x:c>
      <x:c r="W1325" s="7" t="s">
        <x:v>58</x:v>
      </x:c>
      <x:c r="X1325" s="7" t="s">
        <x:v>4538</x:v>
      </x:c>
      <x:c r="Y1325" s="7" t="s">
        <x:v>1324</x:v>
      </x:c>
      <x:c r="Z1325" s="7" t="s">
        <x:v>1925</x:v>
      </x:c>
      <x:c r="AA1325" s="7" t="s">
        <x:v>58</x:v>
      </x:c>
      <x:c r="AB1325" s="8" t="s">
        <x:v>58</x:v>
      </x:c>
      <x:c r="AC1325" s="8" t="s">
        <x:v>58</x:v>
      </x:c>
      <x:c r="AD1325" s="8" t="s">
        <x:v>58</x:v>
      </x:c>
      <x:c r="AE1325" s="8" t="s">
        <x:v>58</x:v>
      </x:c>
      <x:c r="AF1325" s="8" t="s">
        <x:v>58</x:v>
      </x:c>
      <x:c r="AG1325" s="7" t="s">
        <x:v>58</x:v>
      </x:c>
    </x:row>
    <x:row r="1326" ht="66" hidden="0" customHeight="1">
      <x:c r="A1326" s="7" t="s">
        <x:v>4539</x:v>
      </x:c>
      <x:c r="B1326" s="7" t="s">
        <x:v>792</x:v>
      </x:c>
      <x:c r="C1326" s="7" t="s">
        <x:v>794</x:v>
      </x:c>
      <x:c r="D1326" s="7" t="s">
        <x:v>2099</x:v>
      </x:c>
      <x:c r="E1326" s="7" t="s">
        <x:v>4540</x:v>
      </x:c>
      <x:c r="F1326" s="7" t="s">
        <x:v>1942</x:v>
      </x:c>
      <x:c r="G1326" s="8" t="n">
        <x:v>1.29</x:v>
      </x:c>
      <x:c r="H1326" s="8" t="s">
        <x:v>58</x:v>
      </x:c>
      <x:c r="I1326" s="8" t="s">
        <x:v>58</x:v>
      </x:c>
      <x:c r="J1326" s="7" t="s">
        <x:v>1919</x:v>
      </x:c>
      <x:c r="K1326" s="8" t="n">
        <x:v>1</x:v>
      </x:c>
      <x:c r="L1326" s="8" t="n">
        <x:f aca="0">IF(AND(ISNUMBER(G1326),P1326&lt;&gt;"Unresolved unit / layout"),G1326*K1326,"Not applicable")</x:f>
        <x:v>1.29</x:v>
      </x:c>
      <x:c r="M1326" s="8" t="str">
        <x:f aca="0">IF(AND(ISNUMBER(H1326),P1326&lt;&gt;"Unresolved unit / layout"),H1326*K1326,"Not applicable")</x:f>
        <x:v>Not applicable</x:v>
      </x:c>
      <x:c r="N1326" s="8" t="str">
        <x:f aca="0">IF(AND(ISNUMBER(I1326),P1326&lt;&gt;"Unresolved unit / layout"),I1326*K1326,"Not applicable")</x:f>
        <x:v>Not applicable</x:v>
      </x:c>
      <x:c r="O1326" s="7" t="s">
        <x:v>1942</x:v>
      </x:c>
      <x:c r="P1326" s="7" t="s">
        <x:v>1921</x:v>
      </x:c>
      <x:c r="Q1326" s="7" t="s">
        <x:v>2064</x:v>
      </x:c>
      <x:c r="R1326" s="7" t="s">
        <x:v>58</x:v>
      </x:c>
      <x:c r="S1326" s="7" t="s">
        <x:v>53</x:v>
      </x:c>
      <x:c r="T1326" s="7" t="s">
        <x:v>53</x:v>
      </x:c>
      <x:c r="U1326" s="7" t="s">
        <x:v>53</x:v>
      </x:c>
      <x:c r="V1326" s="7" t="s">
        <x:v>4450</x:v>
      </x:c>
      <x:c r="W1326" s="7" t="s">
        <x:v>58</x:v>
      </x:c>
      <x:c r="X1326" s="7" t="s">
        <x:v>4538</x:v>
      </x:c>
      <x:c r="Y1326" s="7" t="s">
        <x:v>1324</x:v>
      </x:c>
      <x:c r="Z1326" s="7" t="s">
        <x:v>4451</x:v>
      </x:c>
      <x:c r="AA1326" s="7" t="s">
        <x:v>58</x:v>
      </x:c>
      <x:c r="AB1326" s="8" t="s">
        <x:v>58</x:v>
      </x:c>
      <x:c r="AC1326" s="8" t="s">
        <x:v>58</x:v>
      </x:c>
      <x:c r="AD1326" s="8" t="s">
        <x:v>58</x:v>
      </x:c>
      <x:c r="AE1326" s="8" t="s">
        <x:v>58</x:v>
      </x:c>
      <x:c r="AF1326" s="8" t="s">
        <x:v>58</x:v>
      </x:c>
      <x:c r="AG1326" s="7" t="s">
        <x:v>58</x:v>
      </x:c>
    </x:row>
    <x:row r="1327" ht="66" hidden="0" customHeight="1">
      <x:c r="A1327" s="7" t="s">
        <x:v>4541</x:v>
      </x:c>
      <x:c r="B1327" s="7" t="s">
        <x:v>792</x:v>
      </x:c>
      <x:c r="C1327" s="7" t="s">
        <x:v>794</x:v>
      </x:c>
      <x:c r="D1327" s="7" t="s">
        <x:v>1974</x:v>
      </x:c>
      <x:c r="E1327" s="7" t="s">
        <x:v>4542</x:v>
      </x:c>
      <x:c r="F1327" s="7" t="s">
        <x:v>1956</x:v>
      </x:c>
      <x:c r="G1327" s="8" t="n">
        <x:v>256</x:v>
      </x:c>
      <x:c r="H1327" s="8" t="s">
        <x:v>58</x:v>
      </x:c>
      <x:c r="I1327" s="8" t="s">
        <x:v>58</x:v>
      </x:c>
      <x:c r="J1327" s="7" t="s">
        <x:v>1919</x:v>
      </x:c>
      <x:c r="K1327" s="8" t="n">
        <x:v>1</x:v>
      </x:c>
      <x:c r="L1327" s="8" t="n">
        <x:f aca="0">IF(AND(ISNUMBER(G1327),P1327&lt;&gt;"Unresolved unit / layout"),G1327*K1327,"Not applicable")</x:f>
        <x:v>256</x:v>
      </x:c>
      <x:c r="M1327" s="8" t="str">
        <x:f aca="0">IF(AND(ISNUMBER(H1327),P1327&lt;&gt;"Unresolved unit / layout"),H1327*K1327,"Not applicable")</x:f>
        <x:v>Not applicable</x:v>
      </x:c>
      <x:c r="N1327" s="8" t="str">
        <x:f aca="0">IF(AND(ISNUMBER(I1327),P1327&lt;&gt;"Unresolved unit / layout"),I1327*K1327,"Not applicable")</x:f>
        <x:v>Not applicable</x:v>
      </x:c>
      <x:c r="O1327" s="7" t="s">
        <x:v>1956</x:v>
      </x:c>
      <x:c r="P1327" s="7" t="s">
        <x:v>1921</x:v>
      </x:c>
      <x:c r="Q1327" s="7" t="s">
        <x:v>2064</x:v>
      </x:c>
      <x:c r="R1327" s="7" t="s">
        <x:v>58</x:v>
      </x:c>
      <x:c r="S1327" s="7" t="s">
        <x:v>53</x:v>
      </x:c>
      <x:c r="T1327" s="7" t="s">
        <x:v>53</x:v>
      </x:c>
      <x:c r="U1327" s="7" t="s">
        <x:v>53</x:v>
      </x:c>
      <x:c r="V1327" s="7" t="s">
        <x:v>4454</x:v>
      </x:c>
      <x:c r="W1327" s="7" t="s">
        <x:v>58</x:v>
      </x:c>
      <x:c r="X1327" s="7" t="s">
        <x:v>4538</x:v>
      </x:c>
      <x:c r="Y1327" s="7" t="s">
        <x:v>1324</x:v>
      </x:c>
      <x:c r="Z1327" s="7" t="s">
        <x:v>4455</x:v>
      </x:c>
      <x:c r="AA1327" s="7" t="s">
        <x:v>58</x:v>
      </x:c>
      <x:c r="AB1327" s="8" t="s">
        <x:v>58</x:v>
      </x:c>
      <x:c r="AC1327" s="8" t="s">
        <x:v>58</x:v>
      </x:c>
      <x:c r="AD1327" s="8" t="s">
        <x:v>58</x:v>
      </x:c>
      <x:c r="AE1327" s="8" t="s">
        <x:v>58</x:v>
      </x:c>
      <x:c r="AF1327" s="8" t="s">
        <x:v>58</x:v>
      </x:c>
      <x:c r="AG1327" s="7" t="s">
        <x:v>58</x:v>
      </x:c>
    </x:row>
    <x:row r="1328" ht="66" hidden="0" customHeight="1">
      <x:c r="A1328" s="7" t="s">
        <x:v>4543</x:v>
      </x:c>
      <x:c r="B1328" s="7" t="s">
        <x:v>792</x:v>
      </x:c>
      <x:c r="C1328" s="7" t="s">
        <x:v>794</x:v>
      </x:c>
      <x:c r="D1328" s="7" t="s">
        <x:v>1982</x:v>
      </x:c>
      <x:c r="E1328" s="7" t="s">
        <x:v>4544</x:v>
      </x:c>
      <x:c r="F1328" s="7" t="s">
        <x:v>1956</x:v>
      </x:c>
      <x:c r="G1328" s="8" t="n">
        <x:v>231</x:v>
      </x:c>
      <x:c r="H1328" s="8" t="s">
        <x:v>58</x:v>
      </x:c>
      <x:c r="I1328" s="8" t="s">
        <x:v>58</x:v>
      </x:c>
      <x:c r="J1328" s="7" t="s">
        <x:v>1919</x:v>
      </x:c>
      <x:c r="K1328" s="8" t="n">
        <x:v>1</x:v>
      </x:c>
      <x:c r="L1328" s="8" t="n">
        <x:f aca="0">IF(AND(ISNUMBER(G1328),P1328&lt;&gt;"Unresolved unit / layout"),G1328*K1328,"Not applicable")</x:f>
        <x:v>231</x:v>
      </x:c>
      <x:c r="M1328" s="8" t="str">
        <x:f aca="0">IF(AND(ISNUMBER(H1328),P1328&lt;&gt;"Unresolved unit / layout"),H1328*K1328,"Not applicable")</x:f>
        <x:v>Not applicable</x:v>
      </x:c>
      <x:c r="N1328" s="8" t="str">
        <x:f aca="0">IF(AND(ISNUMBER(I1328),P1328&lt;&gt;"Unresolved unit / layout"),I1328*K1328,"Not applicable")</x:f>
        <x:v>Not applicable</x:v>
      </x:c>
      <x:c r="O1328" s="7" t="s">
        <x:v>1956</x:v>
      </x:c>
      <x:c r="P1328" s="7" t="s">
        <x:v>1921</x:v>
      </x:c>
      <x:c r="Q1328" s="7" t="s">
        <x:v>2064</x:v>
      </x:c>
      <x:c r="R1328" s="7" t="s">
        <x:v>58</x:v>
      </x:c>
      <x:c r="S1328" s="7" t="s">
        <x:v>53</x:v>
      </x:c>
      <x:c r="T1328" s="7" t="s">
        <x:v>53</x:v>
      </x:c>
      <x:c r="U1328" s="7" t="s">
        <x:v>53</x:v>
      </x:c>
      <x:c r="V1328" s="7" t="s">
        <x:v>4545</x:v>
      </x:c>
      <x:c r="W1328" s="7" t="s">
        <x:v>58</x:v>
      </x:c>
      <x:c r="X1328" s="7" t="s">
        <x:v>4538</x:v>
      </x:c>
      <x:c r="Y1328" s="7" t="s">
        <x:v>1324</x:v>
      </x:c>
      <x:c r="Z1328" s="7" t="s">
        <x:v>4459</x:v>
      </x:c>
      <x:c r="AA1328" s="7" t="s">
        <x:v>58</x:v>
      </x:c>
      <x:c r="AB1328" s="8" t="s">
        <x:v>58</x:v>
      </x:c>
      <x:c r="AC1328" s="8" t="s">
        <x:v>58</x:v>
      </x:c>
      <x:c r="AD1328" s="8" t="s">
        <x:v>58</x:v>
      </x:c>
      <x:c r="AE1328" s="8" t="s">
        <x:v>58</x:v>
      </x:c>
      <x:c r="AF1328" s="8" t="s">
        <x:v>58</x:v>
      </x:c>
      <x:c r="AG1328" s="7" t="s">
        <x:v>58</x:v>
      </x:c>
    </x:row>
    <x:row r="1329" ht="66" hidden="0" customHeight="1">
      <x:c r="A1329" s="7" t="s">
        <x:v>797</x:v>
      </x:c>
      <x:c r="B1329" s="7" t="s">
        <x:v>792</x:v>
      </x:c>
      <x:c r="C1329" s="7" t="s">
        <x:v>794</x:v>
      </x:c>
      <x:c r="D1329" s="7" t="s">
        <x:v>1959</x:v>
      </x:c>
      <x:c r="E1329" s="7" t="s">
        <x:v>4510</x:v>
      </x:c>
      <x:c r="F1329" s="7" t="s">
        <x:v>1956</x:v>
      </x:c>
      <x:c r="G1329" s="8" t="n">
        <x:v>227</x:v>
      </x:c>
      <x:c r="H1329" s="8" t="s">
        <x:v>58</x:v>
      </x:c>
      <x:c r="I1329" s="8" t="s">
        <x:v>58</x:v>
      </x:c>
      <x:c r="J1329" s="7" t="s">
        <x:v>1919</x:v>
      </x:c>
      <x:c r="K1329" s="8" t="n">
        <x:v>1</x:v>
      </x:c>
      <x:c r="L1329" s="8" t="n">
        <x:f aca="0">IF(AND(ISNUMBER(G1329),P1329&lt;&gt;"Unresolved unit / layout"),G1329*K1329,"Not applicable")</x:f>
        <x:v>227</x:v>
      </x:c>
      <x:c r="M1329" s="8" t="str">
        <x:f aca="0">IF(AND(ISNUMBER(H1329),P1329&lt;&gt;"Unresolved unit / layout"),H1329*K1329,"Not applicable")</x:f>
        <x:v>Not applicable</x:v>
      </x:c>
      <x:c r="N1329" s="8" t="str">
        <x:f aca="0">IF(AND(ISNUMBER(I1329),P1329&lt;&gt;"Unresolved unit / layout"),I1329*K1329,"Not applicable")</x:f>
        <x:v>Not applicable</x:v>
      </x:c>
      <x:c r="O1329" s="7" t="s">
        <x:v>1956</x:v>
      </x:c>
      <x:c r="P1329" s="7" t="s">
        <x:v>1921</x:v>
      </x:c>
      <x:c r="Q1329" s="7" t="s">
        <x:v>2064</x:v>
      </x:c>
      <x:c r="R1329" s="7" t="s">
        <x:v>58</x:v>
      </x:c>
      <x:c r="S1329" s="7" t="s">
        <x:v>53</x:v>
      </x:c>
      <x:c r="T1329" s="7" t="s">
        <x:v>53</x:v>
      </x:c>
      <x:c r="U1329" s="7" t="s">
        <x:v>53</x:v>
      </x:c>
      <x:c r="V1329" s="7" t="s">
        <x:v>4546</x:v>
      </x:c>
      <x:c r="W1329" s="7" t="s">
        <x:v>58</x:v>
      </x:c>
      <x:c r="X1329" s="7" t="s">
        <x:v>4538</x:v>
      </x:c>
      <x:c r="Y1329" s="7" t="s">
        <x:v>1324</x:v>
      </x:c>
      <x:c r="Z1329" s="7" t="s">
        <x:v>3089</x:v>
      </x:c>
      <x:c r="AA1329" s="7" t="s">
        <x:v>58</x:v>
      </x:c>
      <x:c r="AB1329" s="8" t="s">
        <x:v>58</x:v>
      </x:c>
      <x:c r="AC1329" s="8" t="s">
        <x:v>58</x:v>
      </x:c>
      <x:c r="AD1329" s="8" t="s">
        <x:v>58</x:v>
      </x:c>
      <x:c r="AE1329" s="8" t="s">
        <x:v>58</x:v>
      </x:c>
      <x:c r="AF1329" s="8" t="s">
        <x:v>58</x:v>
      </x:c>
      <x:c r="AG1329" s="7" t="s">
        <x:v>58</x:v>
      </x:c>
    </x:row>
    <x:row r="1330" ht="66" hidden="0" customHeight="1">
      <x:c r="A1330" s="7" t="s">
        <x:v>4547</x:v>
      </x:c>
      <x:c r="B1330" s="7" t="s">
        <x:v>792</x:v>
      </x:c>
      <x:c r="C1330" s="7" t="s">
        <x:v>794</x:v>
      </x:c>
      <x:c r="D1330" s="7" t="s">
        <x:v>2006</x:v>
      </x:c>
      <x:c r="E1330" s="7" t="s">
        <x:v>4548</x:v>
      </x:c>
      <x:c r="F1330" s="7" t="s">
        <x:v>1929</x:v>
      </x:c>
      <x:c r="G1330" s="8" t="n">
        <x:v>106</x:v>
      </x:c>
      <x:c r="H1330" s="8" t="s">
        <x:v>58</x:v>
      </x:c>
      <x:c r="I1330" s="8" t="s">
        <x:v>58</x:v>
      </x:c>
      <x:c r="J1330" s="7" t="s">
        <x:v>1919</x:v>
      </x:c>
      <x:c r="K1330" s="8" t="n">
        <x:v>1</x:v>
      </x:c>
      <x:c r="L1330" s="8" t="n">
        <x:f aca="0">IF(AND(ISNUMBER(G1330),P1330&lt;&gt;"Unresolved unit / layout"),G1330*K1330,"Not applicable")</x:f>
        <x:v>106</x:v>
      </x:c>
      <x:c r="M1330" s="8" t="str">
        <x:f aca="0">IF(AND(ISNUMBER(H1330),P1330&lt;&gt;"Unresolved unit / layout"),H1330*K1330,"Not applicable")</x:f>
        <x:v>Not applicable</x:v>
      </x:c>
      <x:c r="N1330" s="8" t="str">
        <x:f aca="0">IF(AND(ISNUMBER(I1330),P1330&lt;&gt;"Unresolved unit / layout"),I1330*K1330,"Not applicable")</x:f>
        <x:v>Not applicable</x:v>
      </x:c>
      <x:c r="O1330" s="7" t="s">
        <x:v>1929</x:v>
      </x:c>
      <x:c r="P1330" s="7" t="s">
        <x:v>1921</x:v>
      </x:c>
      <x:c r="Q1330" s="7" t="s">
        <x:v>2064</x:v>
      </x:c>
      <x:c r="R1330" s="7" t="s">
        <x:v>1931</x:v>
      </x:c>
      <x:c r="S1330" s="7" t="s">
        <x:v>53</x:v>
      </x:c>
      <x:c r="T1330" s="7" t="s">
        <x:v>53</x:v>
      </x:c>
      <x:c r="U1330" s="7" t="s">
        <x:v>53</x:v>
      </x:c>
      <x:c r="V1330" s="7" t="s">
        <x:v>4462</x:v>
      </x:c>
      <x:c r="W1330" s="7" t="s">
        <x:v>58</x:v>
      </x:c>
      <x:c r="X1330" s="7" t="s">
        <x:v>4538</x:v>
      </x:c>
      <x:c r="Y1330" s="7" t="s">
        <x:v>1324</x:v>
      </x:c>
      <x:c r="Z1330" s="7" t="s">
        <x:v>4463</x:v>
      </x:c>
      <x:c r="AA1330" s="7" t="s">
        <x:v>58</x:v>
      </x:c>
      <x:c r="AB1330" s="8" t="s">
        <x:v>58</x:v>
      </x:c>
      <x:c r="AC1330" s="8" t="s">
        <x:v>58</x:v>
      </x:c>
      <x:c r="AD1330" s="8" t="s">
        <x:v>58</x:v>
      </x:c>
      <x:c r="AE1330" s="8" t="s">
        <x:v>58</x:v>
      </x:c>
      <x:c r="AF1330" s="8" t="s">
        <x:v>58</x:v>
      </x:c>
      <x:c r="AG1330" s="7" t="s">
        <x:v>58</x:v>
      </x:c>
    </x:row>
    <x:row r="1331" ht="66" hidden="0" customHeight="1">
      <x:c r="A1331" s="7" t="s">
        <x:v>4549</x:v>
      </x:c>
      <x:c r="B1331" s="7" t="s">
        <x:v>792</x:v>
      </x:c>
      <x:c r="C1331" s="7" t="s">
        <x:v>794</x:v>
      </x:c>
      <x:c r="D1331" s="7" t="s">
        <x:v>2006</x:v>
      </x:c>
      <x:c r="E1331" s="7" t="s">
        <x:v>4550</x:v>
      </x:c>
      <x:c r="F1331" s="7" t="s">
        <x:v>1929</x:v>
      </x:c>
      <x:c r="G1331" s="8" t="n">
        <x:v>52</x:v>
      </x:c>
      <x:c r="H1331" s="8" t="s">
        <x:v>58</x:v>
      </x:c>
      <x:c r="I1331" s="8" t="s">
        <x:v>58</x:v>
      </x:c>
      <x:c r="J1331" s="7" t="s">
        <x:v>1919</x:v>
      </x:c>
      <x:c r="K1331" s="8" t="n">
        <x:v>1</x:v>
      </x:c>
      <x:c r="L1331" s="8" t="n">
        <x:f aca="0">IF(AND(ISNUMBER(G1331),P1331&lt;&gt;"Unresolved unit / layout"),G1331*K1331,"Not applicable")</x:f>
        <x:v>52</x:v>
      </x:c>
      <x:c r="M1331" s="8" t="str">
        <x:f aca="0">IF(AND(ISNUMBER(H1331),P1331&lt;&gt;"Unresolved unit / layout"),H1331*K1331,"Not applicable")</x:f>
        <x:v>Not applicable</x:v>
      </x:c>
      <x:c r="N1331" s="8" t="str">
        <x:f aca="0">IF(AND(ISNUMBER(I1331),P1331&lt;&gt;"Unresolved unit / layout"),I1331*K1331,"Not applicable")</x:f>
        <x:v>Not applicable</x:v>
      </x:c>
      <x:c r="O1331" s="7" t="s">
        <x:v>1929</x:v>
      </x:c>
      <x:c r="P1331" s="7" t="s">
        <x:v>1921</x:v>
      </x:c>
      <x:c r="Q1331" s="7" t="s">
        <x:v>2064</x:v>
      </x:c>
      <x:c r="R1331" s="7" t="s">
        <x:v>53</x:v>
      </x:c>
      <x:c r="S1331" s="7" t="s">
        <x:v>53</x:v>
      </x:c>
      <x:c r="T1331" s="7" t="s">
        <x:v>53</x:v>
      </x:c>
      <x:c r="U1331" s="7" t="s">
        <x:v>53</x:v>
      </x:c>
      <x:c r="V1331" s="7" t="s">
        <x:v>1999</x:v>
      </x:c>
      <x:c r="W1331" s="7" t="s">
        <x:v>58</x:v>
      </x:c>
      <x:c r="X1331" s="7" t="s">
        <x:v>4538</x:v>
      </x:c>
      <x:c r="Y1331" s="7" t="s">
        <x:v>1324</x:v>
      </x:c>
      <x:c r="Z1331" s="7" t="s">
        <x:v>4466</x:v>
      </x:c>
      <x:c r="AA1331" s="7" t="s">
        <x:v>58</x:v>
      </x:c>
      <x:c r="AB1331" s="8" t="s">
        <x:v>58</x:v>
      </x:c>
      <x:c r="AC1331" s="8" t="s">
        <x:v>58</x:v>
      </x:c>
      <x:c r="AD1331" s="8" t="s">
        <x:v>58</x:v>
      </x:c>
      <x:c r="AE1331" s="8" t="s">
        <x:v>58</x:v>
      </x:c>
      <x:c r="AF1331" s="8" t="s">
        <x:v>58</x:v>
      </x:c>
      <x:c r="AG1331" s="7" t="s">
        <x:v>58</x:v>
      </x:c>
    </x:row>
    <x:row r="1332" ht="66" hidden="0" customHeight="1">
      <x:c r="A1332" s="7" t="s">
        <x:v>4551</x:v>
      </x:c>
      <x:c r="B1332" s="7" t="s">
        <x:v>792</x:v>
      </x:c>
      <x:c r="C1332" s="7" t="s">
        <x:v>794</x:v>
      </x:c>
      <x:c r="D1332" s="7" t="s">
        <x:v>1935</x:v>
      </x:c>
      <x:c r="E1332" s="7" t="s">
        <x:v>4552</x:v>
      </x:c>
      <x:c r="F1332" s="7" t="s">
        <x:v>1929</x:v>
      </x:c>
      <x:c r="G1332" s="8" t="n">
        <x:v>6558</x:v>
      </x:c>
      <x:c r="H1332" s="8" t="s">
        <x:v>58</x:v>
      </x:c>
      <x:c r="I1332" s="8" t="s">
        <x:v>58</x:v>
      </x:c>
      <x:c r="J1332" s="7" t="s">
        <x:v>1919</x:v>
      </x:c>
      <x:c r="K1332" s="8" t="n">
        <x:v>0.001</x:v>
      </x:c>
      <x:c r="L1332" s="8" t="n">
        <x:f aca="0">IF(AND(ISNUMBER(G1332),P1332&lt;&gt;"Unresolved unit / layout"),G1332*K1332,"Not applicable")</x:f>
        <x:v>6.558</x:v>
      </x:c>
      <x:c r="M1332" s="8" t="str">
        <x:f aca="0">IF(AND(ISNUMBER(H1332),P1332&lt;&gt;"Unresolved unit / layout"),H1332*K1332,"Not applicable")</x:f>
        <x:v>Not applicable</x:v>
      </x:c>
      <x:c r="N1332" s="8" t="str">
        <x:f aca="0">IF(AND(ISNUMBER(I1332),P1332&lt;&gt;"Unresolved unit / layout"),I1332*K1332,"Not applicable")</x:f>
        <x:v>Not applicable</x:v>
      </x:c>
      <x:c r="O1332" s="7" t="s">
        <x:v>1937</x:v>
      </x:c>
      <x:c r="P1332" s="7" t="s">
        <x:v>1921</x:v>
      </x:c>
      <x:c r="Q1332" s="7" t="s">
        <x:v>2064</x:v>
      </x:c>
      <x:c r="R1332" s="7" t="s">
        <x:v>1931</x:v>
      </x:c>
      <x:c r="S1332" s="7" t="s">
        <x:v>53</x:v>
      </x:c>
      <x:c r="T1332" s="7" t="s">
        <x:v>53</x:v>
      </x:c>
      <x:c r="U1332" s="7" t="s">
        <x:v>53</x:v>
      </x:c>
      <x:c r="V1332" s="7" t="s">
        <x:v>4462</x:v>
      </x:c>
      <x:c r="W1332" s="7" t="s">
        <x:v>58</x:v>
      </x:c>
      <x:c r="X1332" s="7" t="s">
        <x:v>4538</x:v>
      </x:c>
      <x:c r="Y1332" s="7" t="s">
        <x:v>1324</x:v>
      </x:c>
      <x:c r="Z1332" s="7" t="s">
        <x:v>4469</x:v>
      </x:c>
      <x:c r="AA1332" s="7" t="s">
        <x:v>58</x:v>
      </x:c>
      <x:c r="AB1332" s="8" t="s">
        <x:v>58</x:v>
      </x:c>
      <x:c r="AC1332" s="8" t="s">
        <x:v>58</x:v>
      </x:c>
      <x:c r="AD1332" s="8" t="s">
        <x:v>58</x:v>
      </x:c>
      <x:c r="AE1332" s="8" t="s">
        <x:v>58</x:v>
      </x:c>
      <x:c r="AF1332" s="8" t="s">
        <x:v>58</x:v>
      </x:c>
      <x:c r="AG1332" s="7" t="s">
        <x:v>58</x:v>
      </x:c>
    </x:row>
    <x:row r="1333" ht="66" hidden="0" customHeight="1">
      <x:c r="A1333" s="7" t="s">
        <x:v>4553</x:v>
      </x:c>
      <x:c r="B1333" s="7" t="s">
        <x:v>792</x:v>
      </x:c>
      <x:c r="C1333" s="7" t="s">
        <x:v>794</x:v>
      </x:c>
      <x:c r="D1333" s="7" t="s">
        <x:v>1935</x:v>
      </x:c>
      <x:c r="E1333" s="7" t="s">
        <x:v>4554</x:v>
      </x:c>
      <x:c r="F1333" s="7" t="s">
        <x:v>1929</x:v>
      </x:c>
      <x:c r="G1333" s="8" t="n">
        <x:v>3472</x:v>
      </x:c>
      <x:c r="H1333" s="8" t="s">
        <x:v>58</x:v>
      </x:c>
      <x:c r="I1333" s="8" t="s">
        <x:v>58</x:v>
      </x:c>
      <x:c r="J1333" s="7" t="s">
        <x:v>1919</x:v>
      </x:c>
      <x:c r="K1333" s="8" t="n">
        <x:v>0.001</x:v>
      </x:c>
      <x:c r="L1333" s="8" t="n">
        <x:f aca="0">IF(AND(ISNUMBER(G1333),P1333&lt;&gt;"Unresolved unit / layout"),G1333*K1333,"Not applicable")</x:f>
        <x:v>3.472</x:v>
      </x:c>
      <x:c r="M1333" s="8" t="str">
        <x:f aca="0">IF(AND(ISNUMBER(H1333),P1333&lt;&gt;"Unresolved unit / layout"),H1333*K1333,"Not applicable")</x:f>
        <x:v>Not applicable</x:v>
      </x:c>
      <x:c r="N1333" s="8" t="str">
        <x:f aca="0">IF(AND(ISNUMBER(I1333),P1333&lt;&gt;"Unresolved unit / layout"),I1333*K1333,"Not applicable")</x:f>
        <x:v>Not applicable</x:v>
      </x:c>
      <x:c r="O1333" s="7" t="s">
        <x:v>1937</x:v>
      </x:c>
      <x:c r="P1333" s="7" t="s">
        <x:v>1921</x:v>
      </x:c>
      <x:c r="Q1333" s="7" t="s">
        <x:v>2064</x:v>
      </x:c>
      <x:c r="R1333" s="7" t="s">
        <x:v>53</x:v>
      </x:c>
      <x:c r="S1333" s="7" t="s">
        <x:v>53</x:v>
      </x:c>
      <x:c r="T1333" s="7" t="s">
        <x:v>53</x:v>
      </x:c>
      <x:c r="U1333" s="7" t="s">
        <x:v>53</x:v>
      </x:c>
      <x:c r="V1333" s="7" t="s">
        <x:v>4462</x:v>
      </x:c>
      <x:c r="W1333" s="7" t="s">
        <x:v>58</x:v>
      </x:c>
      <x:c r="X1333" s="7" t="s">
        <x:v>4538</x:v>
      </x:c>
      <x:c r="Y1333" s="7" t="s">
        <x:v>1324</x:v>
      </x:c>
      <x:c r="Z1333" s="7" t="s">
        <x:v>4472</x:v>
      </x:c>
      <x:c r="AA1333" s="7" t="s">
        <x:v>58</x:v>
      </x:c>
      <x:c r="AB1333" s="8" t="s">
        <x:v>58</x:v>
      </x:c>
      <x:c r="AC1333" s="8" t="s">
        <x:v>58</x:v>
      </x:c>
      <x:c r="AD1333" s="8" t="s">
        <x:v>58</x:v>
      </x:c>
      <x:c r="AE1333" s="8" t="s">
        <x:v>58</x:v>
      </x:c>
      <x:c r="AF1333" s="8" t="s">
        <x:v>58</x:v>
      </x:c>
      <x:c r="AG1333" s="7" t="s">
        <x:v>58</x:v>
      </x:c>
    </x:row>
    <x:row r="1334" ht="66" hidden="0" customHeight="1">
      <x:c r="A1334" s="7" t="s">
        <x:v>4555</x:v>
      </x:c>
      <x:c r="B1334" s="7" t="s">
        <x:v>792</x:v>
      </x:c>
      <x:c r="C1334" s="7" t="s">
        <x:v>794</x:v>
      </x:c>
      <x:c r="D1334" s="7" t="s">
        <x:v>1940</x:v>
      </x:c>
      <x:c r="E1334" s="7" t="s">
        <x:v>4556</x:v>
      </x:c>
      <x:c r="F1334" s="7" t="s">
        <x:v>1942</x:v>
      </x:c>
      <x:c r="G1334" s="8" t="n">
        <x:v>2.1</x:v>
      </x:c>
      <x:c r="H1334" s="8" t="s">
        <x:v>58</x:v>
      </x:c>
      <x:c r="I1334" s="8" t="s">
        <x:v>58</x:v>
      </x:c>
      <x:c r="J1334" s="7" t="s">
        <x:v>1919</x:v>
      </x:c>
      <x:c r="K1334" s="8" t="n">
        <x:v>1</x:v>
      </x:c>
      <x:c r="L1334" s="8" t="n">
        <x:f aca="0">IF(AND(ISNUMBER(G1334),P1334&lt;&gt;"Unresolved unit / layout"),G1334*K1334,"Not applicable")</x:f>
        <x:v>2.1</x:v>
      </x:c>
      <x:c r="M1334" s="8" t="str">
        <x:f aca="0">IF(AND(ISNUMBER(H1334),P1334&lt;&gt;"Unresolved unit / layout"),H1334*K1334,"Not applicable")</x:f>
        <x:v>Not applicable</x:v>
      </x:c>
      <x:c r="N1334" s="8" t="str">
        <x:f aca="0">IF(AND(ISNUMBER(I1334),P1334&lt;&gt;"Unresolved unit / layout"),I1334*K1334,"Not applicable")</x:f>
        <x:v>Not applicable</x:v>
      </x:c>
      <x:c r="O1334" s="7" t="s">
        <x:v>1942</x:v>
      </x:c>
      <x:c r="P1334" s="7" t="s">
        <x:v>1921</x:v>
      </x:c>
      <x:c r="Q1334" s="7" t="s">
        <x:v>2064</x:v>
      </x:c>
      <x:c r="R1334" s="7" t="s">
        <x:v>1931</x:v>
      </x:c>
      <x:c r="S1334" s="7" t="s">
        <x:v>53</x:v>
      </x:c>
      <x:c r="T1334" s="7" t="s">
        <x:v>53</x:v>
      </x:c>
      <x:c r="U1334" s="7" t="s">
        <x:v>53</x:v>
      </x:c>
      <x:c r="V1334" s="7" t="s">
        <x:v>4462</x:v>
      </x:c>
      <x:c r="W1334" s="7" t="s">
        <x:v>58</x:v>
      </x:c>
      <x:c r="X1334" s="7" t="s">
        <x:v>4538</x:v>
      </x:c>
      <x:c r="Y1334" s="7" t="s">
        <x:v>1324</x:v>
      </x:c>
      <x:c r="Z1334" s="7" t="s">
        <x:v>4475</x:v>
      </x:c>
      <x:c r="AA1334" s="7" t="s">
        <x:v>58</x:v>
      </x:c>
      <x:c r="AB1334" s="8" t="s">
        <x:v>58</x:v>
      </x:c>
      <x:c r="AC1334" s="8" t="s">
        <x:v>58</x:v>
      </x:c>
      <x:c r="AD1334" s="8" t="s">
        <x:v>58</x:v>
      </x:c>
      <x:c r="AE1334" s="8" t="s">
        <x:v>58</x:v>
      </x:c>
      <x:c r="AF1334" s="8" t="s">
        <x:v>58</x:v>
      </x:c>
      <x:c r="AG1334" s="7" t="s">
        <x:v>58</x:v>
      </x:c>
    </x:row>
    <x:row r="1335" ht="66" hidden="0" customHeight="1">
      <x:c r="A1335" s="7" t="s">
        <x:v>4557</x:v>
      </x:c>
      <x:c r="B1335" s="7" t="s">
        <x:v>792</x:v>
      </x:c>
      <x:c r="C1335" s="7" t="s">
        <x:v>794</x:v>
      </x:c>
      <x:c r="D1335" s="7" t="s">
        <x:v>1940</x:v>
      </x:c>
      <x:c r="E1335" s="7" t="s">
        <x:v>4558</x:v>
      </x:c>
      <x:c r="F1335" s="7" t="s">
        <x:v>1942</x:v>
      </x:c>
      <x:c r="G1335" s="8" t="n">
        <x:v>1</x:v>
      </x:c>
      <x:c r="H1335" s="8" t="s">
        <x:v>58</x:v>
      </x:c>
      <x:c r="I1335" s="8" t="s">
        <x:v>58</x:v>
      </x:c>
      <x:c r="J1335" s="7" t="s">
        <x:v>1919</x:v>
      </x:c>
      <x:c r="K1335" s="8" t="n">
        <x:v>1</x:v>
      </x:c>
      <x:c r="L1335" s="8" t="n">
        <x:f aca="0">IF(AND(ISNUMBER(G1335),P1335&lt;&gt;"Unresolved unit / layout"),G1335*K1335,"Not applicable")</x:f>
        <x:v>1</x:v>
      </x:c>
      <x:c r="M1335" s="8" t="str">
        <x:f aca="0">IF(AND(ISNUMBER(H1335),P1335&lt;&gt;"Unresolved unit / layout"),H1335*K1335,"Not applicable")</x:f>
        <x:v>Not applicable</x:v>
      </x:c>
      <x:c r="N1335" s="8" t="str">
        <x:f aca="0">IF(AND(ISNUMBER(I1335),P1335&lt;&gt;"Unresolved unit / layout"),I1335*K1335,"Not applicable")</x:f>
        <x:v>Not applicable</x:v>
      </x:c>
      <x:c r="O1335" s="7" t="s">
        <x:v>1942</x:v>
      </x:c>
      <x:c r="P1335" s="7" t="s">
        <x:v>1921</x:v>
      </x:c>
      <x:c r="Q1335" s="7" t="s">
        <x:v>2064</x:v>
      </x:c>
      <x:c r="R1335" s="7" t="s">
        <x:v>53</x:v>
      </x:c>
      <x:c r="S1335" s="7" t="s">
        <x:v>53</x:v>
      </x:c>
      <x:c r="T1335" s="7" t="s">
        <x:v>53</x:v>
      </x:c>
      <x:c r="U1335" s="7" t="s">
        <x:v>53</x:v>
      </x:c>
      <x:c r="V1335" s="7" t="s">
        <x:v>4462</x:v>
      </x:c>
      <x:c r="W1335" s="7" t="s">
        <x:v>58</x:v>
      </x:c>
      <x:c r="X1335" s="7" t="s">
        <x:v>4538</x:v>
      </x:c>
      <x:c r="Y1335" s="7" t="s">
        <x:v>1324</x:v>
      </x:c>
      <x:c r="Z1335" s="7" t="s">
        <x:v>4477</x:v>
      </x:c>
      <x:c r="AA1335" s="7" t="s">
        <x:v>58</x:v>
      </x:c>
      <x:c r="AB1335" s="8" t="s">
        <x:v>58</x:v>
      </x:c>
      <x:c r="AC1335" s="8" t="s">
        <x:v>58</x:v>
      </x:c>
      <x:c r="AD1335" s="8" t="s">
        <x:v>58</x:v>
      </x:c>
      <x:c r="AE1335" s="8" t="s">
        <x:v>58</x:v>
      </x:c>
      <x:c r="AF1335" s="8" t="s">
        <x:v>58</x:v>
      </x:c>
      <x:c r="AG1335" s="7" t="s">
        <x:v>58</x:v>
      </x:c>
    </x:row>
    <x:row r="1336" ht="66" hidden="0" customHeight="1">
      <x:c r="A1336" s="7" t="s">
        <x:v>4559</x:v>
      </x:c>
      <x:c r="B1336" s="7" t="s">
        <x:v>792</x:v>
      </x:c>
      <x:c r="C1336" s="7" t="s">
        <x:v>794</x:v>
      </x:c>
      <x:c r="D1336" s="7" t="s">
        <x:v>1945</x:v>
      </x:c>
      <x:c r="E1336" s="7" t="s">
        <x:v>4560</x:v>
      </x:c>
      <x:c r="F1336" s="7" t="s">
        <x:v>1929</x:v>
      </x:c>
      <x:c r="G1336" s="8" t="n">
        <x:v>159</x:v>
      </x:c>
      <x:c r="H1336" s="8" t="s">
        <x:v>58</x:v>
      </x:c>
      <x:c r="I1336" s="8" t="s">
        <x:v>58</x:v>
      </x:c>
      <x:c r="J1336" s="7" t="s">
        <x:v>1919</x:v>
      </x:c>
      <x:c r="K1336" s="8" t="n">
        <x:v>1</x:v>
      </x:c>
      <x:c r="L1336" s="8" t="n">
        <x:f aca="0">IF(AND(ISNUMBER(G1336),P1336&lt;&gt;"Unresolved unit / layout"),G1336*K1336,"Not applicable")</x:f>
        <x:v>159</x:v>
      </x:c>
      <x:c r="M1336" s="8" t="str">
        <x:f aca="0">IF(AND(ISNUMBER(H1336),P1336&lt;&gt;"Unresolved unit / layout"),H1336*K1336,"Not applicable")</x:f>
        <x:v>Not applicable</x:v>
      </x:c>
      <x:c r="N1336" s="8" t="str">
        <x:f aca="0">IF(AND(ISNUMBER(I1336),P1336&lt;&gt;"Unresolved unit / layout"),I1336*K1336,"Not applicable")</x:f>
        <x:v>Not applicable</x:v>
      </x:c>
      <x:c r="O1336" s="7" t="s">
        <x:v>1929</x:v>
      </x:c>
      <x:c r="P1336" s="7" t="s">
        <x:v>1921</x:v>
      </x:c>
      <x:c r="Q1336" s="7" t="s">
        <x:v>2064</x:v>
      </x:c>
      <x:c r="R1336" s="7" t="s">
        <x:v>1931</x:v>
      </x:c>
      <x:c r="S1336" s="7" t="s">
        <x:v>53</x:v>
      </x:c>
      <x:c r="T1336" s="7" t="s">
        <x:v>53</x:v>
      </x:c>
      <x:c r="U1336" s="7" t="s">
        <x:v>53</x:v>
      </x:c>
      <x:c r="V1336" s="7" t="s">
        <x:v>4480</x:v>
      </x:c>
      <x:c r="W1336" s="7" t="s">
        <x:v>58</x:v>
      </x:c>
      <x:c r="X1336" s="7" t="s">
        <x:v>4538</x:v>
      </x:c>
      <x:c r="Y1336" s="7" t="s">
        <x:v>1324</x:v>
      </x:c>
      <x:c r="Z1336" s="7" t="s">
        <x:v>4481</x:v>
      </x:c>
      <x:c r="AA1336" s="7" t="s">
        <x:v>58</x:v>
      </x:c>
      <x:c r="AB1336" s="8" t="s">
        <x:v>58</x:v>
      </x:c>
      <x:c r="AC1336" s="8" t="s">
        <x:v>58</x:v>
      </x:c>
      <x:c r="AD1336" s="8" t="s">
        <x:v>58</x:v>
      </x:c>
      <x:c r="AE1336" s="8" t="s">
        <x:v>58</x:v>
      </x:c>
      <x:c r="AF1336" s="8" t="s">
        <x:v>58</x:v>
      </x:c>
      <x:c r="AG1336" s="7" t="s">
        <x:v>58</x:v>
      </x:c>
    </x:row>
    <x:row r="1337" ht="66" hidden="0" customHeight="1">
      <x:c r="A1337" s="7" t="s">
        <x:v>4561</x:v>
      </x:c>
      <x:c r="B1337" s="7" t="s">
        <x:v>792</x:v>
      </x:c>
      <x:c r="C1337" s="7" t="s">
        <x:v>794</x:v>
      </x:c>
      <x:c r="D1337" s="7" t="s">
        <x:v>1945</x:v>
      </x:c>
      <x:c r="E1337" s="7" t="s">
        <x:v>4562</x:v>
      </x:c>
      <x:c r="F1337" s="7" t="s">
        <x:v>1929</x:v>
      </x:c>
      <x:c r="G1337" s="8" t="n">
        <x:v>75</x:v>
      </x:c>
      <x:c r="H1337" s="8" t="s">
        <x:v>58</x:v>
      </x:c>
      <x:c r="I1337" s="8" t="s">
        <x:v>58</x:v>
      </x:c>
      <x:c r="J1337" s="7" t="s">
        <x:v>1919</x:v>
      </x:c>
      <x:c r="K1337" s="8" t="n">
        <x:v>1</x:v>
      </x:c>
      <x:c r="L1337" s="8" t="n">
        <x:f aca="0">IF(AND(ISNUMBER(G1337),P1337&lt;&gt;"Unresolved unit / layout"),G1337*K1337,"Not applicable")</x:f>
        <x:v>75</x:v>
      </x:c>
      <x:c r="M1337" s="8" t="str">
        <x:f aca="0">IF(AND(ISNUMBER(H1337),P1337&lt;&gt;"Unresolved unit / layout"),H1337*K1337,"Not applicable")</x:f>
        <x:v>Not applicable</x:v>
      </x:c>
      <x:c r="N1337" s="8" t="str">
        <x:f aca="0">IF(AND(ISNUMBER(I1337),P1337&lt;&gt;"Unresolved unit / layout"),I1337*K1337,"Not applicable")</x:f>
        <x:v>Not applicable</x:v>
      </x:c>
      <x:c r="O1337" s="7" t="s">
        <x:v>1929</x:v>
      </x:c>
      <x:c r="P1337" s="7" t="s">
        <x:v>1921</x:v>
      </x:c>
      <x:c r="Q1337" s="7" t="s">
        <x:v>2064</x:v>
      </x:c>
      <x:c r="R1337" s="7" t="s">
        <x:v>53</x:v>
      </x:c>
      <x:c r="S1337" s="7" t="s">
        <x:v>53</x:v>
      </x:c>
      <x:c r="T1337" s="7" t="s">
        <x:v>53</x:v>
      </x:c>
      <x:c r="U1337" s="7" t="s">
        <x:v>53</x:v>
      </x:c>
      <x:c r="V1337" s="7" t="s">
        <x:v>4480</x:v>
      </x:c>
      <x:c r="W1337" s="7" t="s">
        <x:v>58</x:v>
      </x:c>
      <x:c r="X1337" s="7" t="s">
        <x:v>4538</x:v>
      </x:c>
      <x:c r="Y1337" s="7" t="s">
        <x:v>1324</x:v>
      </x:c>
      <x:c r="Z1337" s="7" t="s">
        <x:v>4484</x:v>
      </x:c>
      <x:c r="AA1337" s="7" t="s">
        <x:v>58</x:v>
      </x:c>
      <x:c r="AB1337" s="8" t="s">
        <x:v>58</x:v>
      </x:c>
      <x:c r="AC1337" s="8" t="s">
        <x:v>58</x:v>
      </x:c>
      <x:c r="AD1337" s="8" t="s">
        <x:v>58</x:v>
      </x:c>
      <x:c r="AE1337" s="8" t="s">
        <x:v>58</x:v>
      </x:c>
      <x:c r="AF1337" s="8" t="s">
        <x:v>58</x:v>
      </x:c>
      <x:c r="AG1337" s="7" t="s">
        <x:v>58</x:v>
      </x:c>
    </x:row>
    <x:row r="1338" ht="66" hidden="0" customHeight="1">
      <x:c r="A1338" s="7" t="s">
        <x:v>4563</x:v>
      </x:c>
      <x:c r="B1338" s="7" t="s">
        <x:v>792</x:v>
      </x:c>
      <x:c r="C1338" s="7" t="s">
        <x:v>794</x:v>
      </x:c>
      <x:c r="D1338" s="7" t="s">
        <x:v>1950</x:v>
      </x:c>
      <x:c r="E1338" s="7" t="s">
        <x:v>4564</x:v>
      </x:c>
      <x:c r="F1338" s="7" t="s">
        <x:v>1929</x:v>
      </x:c>
      <x:c r="G1338" s="8" t="n">
        <x:v>5920</x:v>
      </x:c>
      <x:c r="H1338" s="8" t="s">
        <x:v>58</x:v>
      </x:c>
      <x:c r="I1338" s="8" t="s">
        <x:v>58</x:v>
      </x:c>
      <x:c r="J1338" s="7" t="s">
        <x:v>1919</x:v>
      </x:c>
      <x:c r="K1338" s="8" t="n">
        <x:v>0.001</x:v>
      </x:c>
      <x:c r="L1338" s="8" t="n">
        <x:f aca="0">IF(AND(ISNUMBER(G1338),P1338&lt;&gt;"Unresolved unit / layout"),G1338*K1338,"Not applicable")</x:f>
        <x:v>5.92</x:v>
      </x:c>
      <x:c r="M1338" s="8" t="str">
        <x:f aca="0">IF(AND(ISNUMBER(H1338),P1338&lt;&gt;"Unresolved unit / layout"),H1338*K1338,"Not applicable")</x:f>
        <x:v>Not applicable</x:v>
      </x:c>
      <x:c r="N1338" s="8" t="str">
        <x:f aca="0">IF(AND(ISNUMBER(I1338),P1338&lt;&gt;"Unresolved unit / layout"),I1338*K1338,"Not applicable")</x:f>
        <x:v>Not applicable</x:v>
      </x:c>
      <x:c r="O1338" s="7" t="s">
        <x:v>1937</x:v>
      </x:c>
      <x:c r="P1338" s="7" t="s">
        <x:v>1921</x:v>
      </x:c>
      <x:c r="Q1338" s="7" t="s">
        <x:v>2064</x:v>
      </x:c>
      <x:c r="R1338" s="7" t="s">
        <x:v>1931</x:v>
      </x:c>
      <x:c r="S1338" s="7" t="s">
        <x:v>53</x:v>
      </x:c>
      <x:c r="T1338" s="7" t="s">
        <x:v>53</x:v>
      </x:c>
      <x:c r="U1338" s="7" t="s">
        <x:v>53</x:v>
      </x:c>
      <x:c r="V1338" s="7" t="s">
        <x:v>4480</x:v>
      </x:c>
      <x:c r="W1338" s="7" t="s">
        <x:v>58</x:v>
      </x:c>
      <x:c r="X1338" s="7" t="s">
        <x:v>4538</x:v>
      </x:c>
      <x:c r="Y1338" s="7" t="s">
        <x:v>1324</x:v>
      </x:c>
      <x:c r="Z1338" s="7" t="s">
        <x:v>4487</x:v>
      </x:c>
      <x:c r="AA1338" s="7" t="s">
        <x:v>58</x:v>
      </x:c>
      <x:c r="AB1338" s="8" t="s">
        <x:v>58</x:v>
      </x:c>
      <x:c r="AC1338" s="8" t="s">
        <x:v>58</x:v>
      </x:c>
      <x:c r="AD1338" s="8" t="s">
        <x:v>58</x:v>
      </x:c>
      <x:c r="AE1338" s="8" t="s">
        <x:v>58</x:v>
      </x:c>
      <x:c r="AF1338" s="8" t="s">
        <x:v>58</x:v>
      </x:c>
      <x:c r="AG1338" s="7" t="s">
        <x:v>58</x:v>
      </x:c>
    </x:row>
    <x:row r="1339" ht="66" hidden="0" customHeight="1">
      <x:c r="A1339" s="7" t="s">
        <x:v>4565</x:v>
      </x:c>
      <x:c r="B1339" s="7" t="s">
        <x:v>792</x:v>
      </x:c>
      <x:c r="C1339" s="7" t="s">
        <x:v>794</x:v>
      </x:c>
      <x:c r="D1339" s="7" t="s">
        <x:v>1950</x:v>
      </x:c>
      <x:c r="E1339" s="7" t="s">
        <x:v>4566</x:v>
      </x:c>
      <x:c r="F1339" s="7" t="s">
        <x:v>1929</x:v>
      </x:c>
      <x:c r="G1339" s="8" t="n">
        <x:v>3246</x:v>
      </x:c>
      <x:c r="H1339" s="8" t="s">
        <x:v>58</x:v>
      </x:c>
      <x:c r="I1339" s="8" t="s">
        <x:v>58</x:v>
      </x:c>
      <x:c r="J1339" s="7" t="s">
        <x:v>1919</x:v>
      </x:c>
      <x:c r="K1339" s="8" t="n">
        <x:v>0.001</x:v>
      </x:c>
      <x:c r="L1339" s="8" t="n">
        <x:f aca="0">IF(AND(ISNUMBER(G1339),P1339&lt;&gt;"Unresolved unit / layout"),G1339*K1339,"Not applicable")</x:f>
        <x:v>3.246</x:v>
      </x:c>
      <x:c r="M1339" s="8" t="str">
        <x:f aca="0">IF(AND(ISNUMBER(H1339),P1339&lt;&gt;"Unresolved unit / layout"),H1339*K1339,"Not applicable")</x:f>
        <x:v>Not applicable</x:v>
      </x:c>
      <x:c r="N1339" s="8" t="str">
        <x:f aca="0">IF(AND(ISNUMBER(I1339),P1339&lt;&gt;"Unresolved unit / layout"),I1339*K1339,"Not applicable")</x:f>
        <x:v>Not applicable</x:v>
      </x:c>
      <x:c r="O1339" s="7" t="s">
        <x:v>1937</x:v>
      </x:c>
      <x:c r="P1339" s="7" t="s">
        <x:v>1921</x:v>
      </x:c>
      <x:c r="Q1339" s="7" t="s">
        <x:v>2064</x:v>
      </x:c>
      <x:c r="R1339" s="7" t="s">
        <x:v>53</x:v>
      </x:c>
      <x:c r="S1339" s="7" t="s">
        <x:v>53</x:v>
      </x:c>
      <x:c r="T1339" s="7" t="s">
        <x:v>53</x:v>
      </x:c>
      <x:c r="U1339" s="7" t="s">
        <x:v>53</x:v>
      </x:c>
      <x:c r="V1339" s="7" t="s">
        <x:v>4480</x:v>
      </x:c>
      <x:c r="W1339" s="7" t="s">
        <x:v>58</x:v>
      </x:c>
      <x:c r="X1339" s="7" t="s">
        <x:v>4538</x:v>
      </x:c>
      <x:c r="Y1339" s="7" t="s">
        <x:v>1324</x:v>
      </x:c>
      <x:c r="Z1339" s="7" t="s">
        <x:v>4490</x:v>
      </x:c>
      <x:c r="AA1339" s="7" t="s">
        <x:v>58</x:v>
      </x:c>
      <x:c r="AB1339" s="8" t="s">
        <x:v>58</x:v>
      </x:c>
      <x:c r="AC1339" s="8" t="s">
        <x:v>58</x:v>
      </x:c>
      <x:c r="AD1339" s="8" t="s">
        <x:v>58</x:v>
      </x:c>
      <x:c r="AE1339" s="8" t="s">
        <x:v>58</x:v>
      </x:c>
      <x:c r="AF1339" s="8" t="s">
        <x:v>58</x:v>
      </x:c>
      <x:c r="AG1339" s="7" t="s">
        <x:v>58</x:v>
      </x:c>
    </x:row>
    <x:row r="1340" ht="66" hidden="0" customHeight="1">
      <x:c r="A1340" s="7" t="s">
        <x:v>4567</x:v>
      </x:c>
      <x:c r="B1340" s="7" t="s">
        <x:v>792</x:v>
      </x:c>
      <x:c r="C1340" s="7" t="s">
        <x:v>794</x:v>
      </x:c>
      <x:c r="D1340" s="7" t="s">
        <x:v>2030</x:v>
      </x:c>
      <x:c r="E1340" s="7" t="s">
        <x:v>4568</x:v>
      </x:c>
      <x:c r="F1340" s="7" t="s">
        <x:v>2033</x:v>
      </x:c>
      <x:c r="G1340" s="8" t="n">
        <x:v>30.2</x:v>
      </x:c>
      <x:c r="H1340" s="8" t="s">
        <x:v>58</x:v>
      </x:c>
      <x:c r="I1340" s="8" t="s">
        <x:v>58</x:v>
      </x:c>
      <x:c r="J1340" s="7" t="s">
        <x:v>1919</x:v>
      </x:c>
      <x:c r="K1340" s="8" t="n">
        <x:v>1</x:v>
      </x:c>
      <x:c r="L1340" s="8" t="n">
        <x:f aca="0">IF(AND(ISNUMBER(G1340),P1340&lt;&gt;"Unresolved unit / layout"),G1340*K1340,"Not applicable")</x:f>
        <x:v>30.2</x:v>
      </x:c>
      <x:c r="M1340" s="8" t="str">
        <x:f aca="0">IF(AND(ISNUMBER(H1340),P1340&lt;&gt;"Unresolved unit / layout"),H1340*K1340,"Not applicable")</x:f>
        <x:v>Not applicable</x:v>
      </x:c>
      <x:c r="N1340" s="8" t="str">
        <x:f aca="0">IF(AND(ISNUMBER(I1340),P1340&lt;&gt;"Unresolved unit / layout"),I1340*K1340,"Not applicable")</x:f>
        <x:v>Not applicable</x:v>
      </x:c>
      <x:c r="O1340" s="7" t="s">
        <x:v>2033</x:v>
      </x:c>
      <x:c r="P1340" s="7" t="s">
        <x:v>1921</x:v>
      </x:c>
      <x:c r="Q1340" s="7" t="s">
        <x:v>2064</x:v>
      </x:c>
      <x:c r="R1340" s="7" t="s">
        <x:v>1931</x:v>
      </x:c>
      <x:c r="S1340" s="7" t="s">
        <x:v>53</x:v>
      </x:c>
      <x:c r="T1340" s="7" t="s">
        <x:v>53</x:v>
      </x:c>
      <x:c r="U1340" s="7" t="s">
        <x:v>53</x:v>
      </x:c>
      <x:c r="V1340" s="7" t="s">
        <x:v>2343</x:v>
      </x:c>
      <x:c r="W1340" s="7" t="s">
        <x:v>53</x:v>
      </x:c>
      <x:c r="X1340" s="7" t="s">
        <x:v>4538</x:v>
      </x:c>
      <x:c r="Y1340" s="7" t="s">
        <x:v>1324</x:v>
      </x:c>
      <x:c r="Z1340" s="7" t="s">
        <x:v>4493</x:v>
      </x:c>
      <x:c r="AA1340" s="7" t="s">
        <x:v>58</x:v>
      </x:c>
      <x:c r="AB1340" s="8" t="s">
        <x:v>58</x:v>
      </x:c>
      <x:c r="AC1340" s="8" t="s">
        <x:v>58</x:v>
      </x:c>
      <x:c r="AD1340" s="8" t="s">
        <x:v>58</x:v>
      </x:c>
      <x:c r="AE1340" s="8" t="s">
        <x:v>58</x:v>
      </x:c>
      <x:c r="AF1340" s="8" t="s">
        <x:v>58</x:v>
      </x:c>
      <x:c r="AG1340" s="7" t="s">
        <x:v>58</x:v>
      </x:c>
    </x:row>
    <x:row r="1341" ht="66" hidden="0" customHeight="1">
      <x:c r="A1341" s="7" t="s">
        <x:v>4569</x:v>
      </x:c>
      <x:c r="B1341" s="7" t="s">
        <x:v>792</x:v>
      </x:c>
      <x:c r="C1341" s="7" t="s">
        <x:v>794</x:v>
      </x:c>
      <x:c r="D1341" s="7" t="s">
        <x:v>2030</x:v>
      </x:c>
      <x:c r="E1341" s="7" t="s">
        <x:v>4570</x:v>
      </x:c>
      <x:c r="F1341" s="7" t="s">
        <x:v>2033</x:v>
      </x:c>
      <x:c r="G1341" s="8" t="n">
        <x:v>4.8</x:v>
      </x:c>
      <x:c r="H1341" s="8" t="s">
        <x:v>58</x:v>
      </x:c>
      <x:c r="I1341" s="8" t="s">
        <x:v>58</x:v>
      </x:c>
      <x:c r="J1341" s="7" t="s">
        <x:v>1919</x:v>
      </x:c>
      <x:c r="K1341" s="8" t="n">
        <x:v>1</x:v>
      </x:c>
      <x:c r="L1341" s="8" t="n">
        <x:f aca="0">IF(AND(ISNUMBER(G1341),P1341&lt;&gt;"Unresolved unit / layout"),G1341*K1341,"Not applicable")</x:f>
        <x:v>4.8</x:v>
      </x:c>
      <x:c r="M1341" s="8" t="str">
        <x:f aca="0">IF(AND(ISNUMBER(H1341),P1341&lt;&gt;"Unresolved unit / layout"),H1341*K1341,"Not applicable")</x:f>
        <x:v>Not applicable</x:v>
      </x:c>
      <x:c r="N1341" s="8" t="str">
        <x:f aca="0">IF(AND(ISNUMBER(I1341),P1341&lt;&gt;"Unresolved unit / layout"),I1341*K1341,"Not applicable")</x:f>
        <x:v>Not applicable</x:v>
      </x:c>
      <x:c r="O1341" s="7" t="s">
        <x:v>2033</x:v>
      </x:c>
      <x:c r="P1341" s="7" t="s">
        <x:v>1921</x:v>
      </x:c>
      <x:c r="Q1341" s="7" t="s">
        <x:v>2064</x:v>
      </x:c>
      <x:c r="R1341" s="7" t="s">
        <x:v>53</x:v>
      </x:c>
      <x:c r="S1341" s="7" t="s">
        <x:v>53</x:v>
      </x:c>
      <x:c r="T1341" s="7" t="s">
        <x:v>53</x:v>
      </x:c>
      <x:c r="U1341" s="7" t="s">
        <x:v>53</x:v>
      </x:c>
      <x:c r="V1341" s="7" t="s">
        <x:v>2343</x:v>
      </x:c>
      <x:c r="W1341" s="7" t="s">
        <x:v>53</x:v>
      </x:c>
      <x:c r="X1341" s="7" t="s">
        <x:v>4538</x:v>
      </x:c>
      <x:c r="Y1341" s="7" t="s">
        <x:v>1324</x:v>
      </x:c>
      <x:c r="Z1341" s="7" t="s">
        <x:v>4496</x:v>
      </x:c>
      <x:c r="AA1341" s="7" t="s">
        <x:v>58</x:v>
      </x:c>
      <x:c r="AB1341" s="8" t="s">
        <x:v>58</x:v>
      </x:c>
      <x:c r="AC1341" s="8" t="s">
        <x:v>58</x:v>
      </x:c>
      <x:c r="AD1341" s="8" t="s">
        <x:v>58</x:v>
      </x:c>
      <x:c r="AE1341" s="8" t="s">
        <x:v>58</x:v>
      </x:c>
      <x:c r="AF1341" s="8" t="s">
        <x:v>58</x:v>
      </x:c>
      <x:c r="AG1341" s="7" t="s">
        <x:v>58</x:v>
      </x:c>
    </x:row>
    <x:row r="1342" ht="51.75" hidden="0" customHeight="1">
      <x:c r="A1342" s="7" t="s">
        <x:v>4571</x:v>
      </x:c>
      <x:c r="B1342" s="7" t="s">
        <x:v>802</x:v>
      </x:c>
      <x:c r="C1342" s="7" t="s">
        <x:v>804</x:v>
      </x:c>
      <x:c r="D1342" s="7" t="s">
        <x:v>1916</x:v>
      </x:c>
      <x:c r="E1342" s="7" t="s">
        <x:v>2755</x:v>
      </x:c>
      <x:c r="F1342" s="7" t="s">
        <x:v>1918</x:v>
      </x:c>
      <x:c r="G1342" s="8" t="n">
        <x:v>1.28</x:v>
      </x:c>
      <x:c r="H1342" s="8" t="s">
        <x:v>58</x:v>
      </x:c>
      <x:c r="I1342" s="8" t="s">
        <x:v>58</x:v>
      </x:c>
      <x:c r="J1342" s="7" t="s">
        <x:v>1919</x:v>
      </x:c>
      <x:c r="K1342" s="8" t="n">
        <x:v>1000</x:v>
      </x:c>
      <x:c r="L1342" s="8" t="n">
        <x:f aca="0">IF(AND(ISNUMBER(G1342),P1342&lt;&gt;"Unresolved unit / layout"),G1342*K1342,"Not applicable")</x:f>
        <x:v>1280</x:v>
      </x:c>
      <x:c r="M1342" s="8" t="str">
        <x:f aca="0">IF(AND(ISNUMBER(H1342),P1342&lt;&gt;"Unresolved unit / layout"),H1342*K1342,"Not applicable")</x:f>
        <x:v>Not applicable</x:v>
      </x:c>
      <x:c r="N1342" s="8" t="str">
        <x:f aca="0">IF(AND(ISNUMBER(I1342),P1342&lt;&gt;"Unresolved unit / layout"),I1342*K1342,"Not applicable")</x:f>
        <x:v>Not applicable</x:v>
      </x:c>
      <x:c r="O1342" s="7" t="s">
        <x:v>1920</x:v>
      </x:c>
      <x:c r="P1342" s="7" t="s">
        <x:v>1921</x:v>
      </x:c>
      <x:c r="Q1342" s="7" t="s">
        <x:v>1922</x:v>
      </x:c>
      <x:c r="R1342" s="7" t="s">
        <x:v>58</x:v>
      </x:c>
      <x:c r="S1342" s="7" t="s">
        <x:v>53</x:v>
      </x:c>
      <x:c r="T1342" s="7" t="s">
        <x:v>53</x:v>
      </x:c>
      <x:c r="U1342" s="7" t="s">
        <x:v>53</x:v>
      </x:c>
      <x:c r="V1342" s="7" t="s">
        <x:v>1923</x:v>
      </x:c>
      <x:c r="W1342" s="7" t="s">
        <x:v>58</x:v>
      </x:c>
      <x:c r="X1342" s="7" t="s">
        <x:v>4572</x:v>
      </x:c>
      <x:c r="Y1342" s="7" t="s">
        <x:v>1326</x:v>
      </x:c>
      <x:c r="Z1342" s="7" t="s">
        <x:v>1925</x:v>
      </x:c>
      <x:c r="AA1342" s="7" t="s">
        <x:v>58</x:v>
      </x:c>
      <x:c r="AB1342" s="8" t="s">
        <x:v>58</x:v>
      </x:c>
      <x:c r="AC1342" s="8" t="s">
        <x:v>58</x:v>
      </x:c>
      <x:c r="AD1342" s="8" t="s">
        <x:v>58</x:v>
      </x:c>
      <x:c r="AE1342" s="8" t="s">
        <x:v>58</x:v>
      </x:c>
      <x:c r="AF1342" s="8" t="s">
        <x:v>58</x:v>
      </x:c>
      <x:c r="AG1342" s="7" t="s">
        <x:v>58</x:v>
      </x:c>
    </x:row>
    <x:row r="1343" ht="51.75" hidden="0" customHeight="1">
      <x:c r="A1343" s="7" t="s">
        <x:v>4573</x:v>
      </x:c>
      <x:c r="B1343" s="7" t="s">
        <x:v>802</x:v>
      </x:c>
      <x:c r="C1343" s="7" t="s">
        <x:v>804</x:v>
      </x:c>
      <x:c r="D1343" s="7" t="s">
        <x:v>1927</x:v>
      </x:c>
      <x:c r="E1343" s="7" t="s">
        <x:v>3014</x:v>
      </x:c>
      <x:c r="F1343" s="7" t="s">
        <x:v>1929</x:v>
      </x:c>
      <x:c r="G1343" s="8" t="n">
        <x:v>50</x:v>
      </x:c>
      <x:c r="H1343" s="8" t="s">
        <x:v>58</x:v>
      </x:c>
      <x:c r="I1343" s="8" t="s">
        <x:v>58</x:v>
      </x:c>
      <x:c r="J1343" s="7" t="s">
        <x:v>1919</x:v>
      </x:c>
      <x:c r="K1343" s="8" t="n">
        <x:v>1</x:v>
      </x:c>
      <x:c r="L1343" s="8" t="n">
        <x:f aca="0">IF(AND(ISNUMBER(G1343),P1343&lt;&gt;"Unresolved unit / layout"),G1343*K1343,"Not applicable")</x:f>
        <x:v>50</x:v>
      </x:c>
      <x:c r="M1343" s="8" t="str">
        <x:f aca="0">IF(AND(ISNUMBER(H1343),P1343&lt;&gt;"Unresolved unit / layout"),H1343*K1343,"Not applicable")</x:f>
        <x:v>Not applicable</x:v>
      </x:c>
      <x:c r="N1343" s="8" t="str">
        <x:f aca="0">IF(AND(ISNUMBER(I1343),P1343&lt;&gt;"Unresolved unit / layout"),I1343*K1343,"Not applicable")</x:f>
        <x:v>Not applicable</x:v>
      </x:c>
      <x:c r="O1343" s="7" t="s">
        <x:v>1929</x:v>
      </x:c>
      <x:c r="P1343" s="7" t="s">
        <x:v>1921</x:v>
      </x:c>
      <x:c r="Q1343" s="7" t="s">
        <x:v>1930</x:v>
      </x:c>
      <x:c r="R1343" s="7" t="s">
        <x:v>1931</x:v>
      </x:c>
      <x:c r="S1343" s="7" t="s">
        <x:v>53</x:v>
      </x:c>
      <x:c r="T1343" s="7" t="s">
        <x:v>53</x:v>
      </x:c>
      <x:c r="U1343" s="7" t="s">
        <x:v>53</x:v>
      </x:c>
      <x:c r="V1343" s="7" t="s">
        <x:v>1932</x:v>
      </x:c>
      <x:c r="W1343" s="7" t="s">
        <x:v>58</x:v>
      </x:c>
      <x:c r="X1343" s="7" t="s">
        <x:v>4572</x:v>
      </x:c>
      <x:c r="Y1343" s="7" t="s">
        <x:v>1326</x:v>
      </x:c>
      <x:c r="Z1343" s="7" t="s">
        <x:v>1933</x:v>
      </x:c>
      <x:c r="AA1343" s="7" t="s">
        <x:v>58</x:v>
      </x:c>
      <x:c r="AB1343" s="8" t="s">
        <x:v>58</x:v>
      </x:c>
      <x:c r="AC1343" s="8" t="s">
        <x:v>58</x:v>
      </x:c>
      <x:c r="AD1343" s="8" t="s">
        <x:v>58</x:v>
      </x:c>
      <x:c r="AE1343" s="8" t="s">
        <x:v>58</x:v>
      </x:c>
      <x:c r="AF1343" s="8" t="s">
        <x:v>58</x:v>
      </x:c>
      <x:c r="AG1343" s="7" t="s">
        <x:v>58</x:v>
      </x:c>
    </x:row>
    <x:row r="1344" ht="51.75" hidden="0" customHeight="1">
      <x:c r="A1344" s="7" t="s">
        <x:v>4574</x:v>
      </x:c>
      <x:c r="B1344" s="7" t="s">
        <x:v>802</x:v>
      </x:c>
      <x:c r="C1344" s="7" t="s">
        <x:v>804</x:v>
      </x:c>
      <x:c r="D1344" s="7" t="s">
        <x:v>1935</x:v>
      </x:c>
      <x:c r="E1344" s="7" t="s">
        <x:v>3488</x:v>
      </x:c>
      <x:c r="F1344" s="7" t="s">
        <x:v>1929</x:v>
      </x:c>
      <x:c r="G1344" s="8" t="n">
        <x:v>2650</x:v>
      </x:c>
      <x:c r="H1344" s="8" t="s">
        <x:v>58</x:v>
      </x:c>
      <x:c r="I1344" s="8" t="s">
        <x:v>58</x:v>
      </x:c>
      <x:c r="J1344" s="7" t="s">
        <x:v>1919</x:v>
      </x:c>
      <x:c r="K1344" s="8" t="n">
        <x:v>0.001</x:v>
      </x:c>
      <x:c r="L1344" s="8" t="n">
        <x:f aca="0">IF(AND(ISNUMBER(G1344),P1344&lt;&gt;"Unresolved unit / layout"),G1344*K1344,"Not applicable")</x:f>
        <x:v>2.65</x:v>
      </x:c>
      <x:c r="M1344" s="8" t="str">
        <x:f aca="0">IF(AND(ISNUMBER(H1344),P1344&lt;&gt;"Unresolved unit / layout"),H1344*K1344,"Not applicable")</x:f>
        <x:v>Not applicable</x:v>
      </x:c>
      <x:c r="N1344" s="8" t="str">
        <x:f aca="0">IF(AND(ISNUMBER(I1344),P1344&lt;&gt;"Unresolved unit / layout"),I1344*K1344,"Not applicable")</x:f>
        <x:v>Not applicable</x:v>
      </x:c>
      <x:c r="O1344" s="7" t="s">
        <x:v>1937</x:v>
      </x:c>
      <x:c r="P1344" s="7" t="s">
        <x:v>1921</x:v>
      </x:c>
      <x:c r="Q1344" s="7" t="s">
        <x:v>1930</x:v>
      </x:c>
      <x:c r="R1344" s="7" t="s">
        <x:v>1931</x:v>
      </x:c>
      <x:c r="S1344" s="7" t="s">
        <x:v>53</x:v>
      </x:c>
      <x:c r="T1344" s="7" t="s">
        <x:v>53</x:v>
      </x:c>
      <x:c r="U1344" s="7" t="s">
        <x:v>53</x:v>
      </x:c>
      <x:c r="V1344" s="7" t="s">
        <x:v>1932</x:v>
      </x:c>
      <x:c r="W1344" s="7" t="s">
        <x:v>58</x:v>
      </x:c>
      <x:c r="X1344" s="7" t="s">
        <x:v>4572</x:v>
      </x:c>
      <x:c r="Y1344" s="7" t="s">
        <x:v>1326</x:v>
      </x:c>
      <x:c r="Z1344" s="7" t="s">
        <x:v>1938</x:v>
      </x:c>
      <x:c r="AA1344" s="7" t="s">
        <x:v>58</x:v>
      </x:c>
      <x:c r="AB1344" s="8" t="s">
        <x:v>58</x:v>
      </x:c>
      <x:c r="AC1344" s="8" t="s">
        <x:v>58</x:v>
      </x:c>
      <x:c r="AD1344" s="8" t="s">
        <x:v>58</x:v>
      </x:c>
      <x:c r="AE1344" s="8" t="s">
        <x:v>58</x:v>
      </x:c>
      <x:c r="AF1344" s="8" t="s">
        <x:v>58</x:v>
      </x:c>
      <x:c r="AG1344" s="7" t="s">
        <x:v>58</x:v>
      </x:c>
    </x:row>
    <x:row r="1345" ht="51.75" hidden="0" customHeight="1">
      <x:c r="A1345" s="7" t="s">
        <x:v>4575</x:v>
      </x:c>
      <x:c r="B1345" s="7" t="s">
        <x:v>802</x:v>
      </x:c>
      <x:c r="C1345" s="7" t="s">
        <x:v>804</x:v>
      </x:c>
      <x:c r="D1345" s="7" t="s">
        <x:v>1940</x:v>
      </x:c>
      <x:c r="E1345" s="7" t="s">
        <x:v>4576</x:v>
      </x:c>
      <x:c r="F1345" s="7" t="s">
        <x:v>1942</x:v>
      </x:c>
      <x:c r="G1345" s="8" t="n">
        <x:v>18</x:v>
      </x:c>
      <x:c r="H1345" s="8" t="s">
        <x:v>58</x:v>
      </x:c>
      <x:c r="I1345" s="8" t="s">
        <x:v>58</x:v>
      </x:c>
      <x:c r="J1345" s="7" t="s">
        <x:v>1919</x:v>
      </x:c>
      <x:c r="K1345" s="8" t="n">
        <x:v>1</x:v>
      </x:c>
      <x:c r="L1345" s="8" t="n">
        <x:f aca="0">IF(AND(ISNUMBER(G1345),P1345&lt;&gt;"Unresolved unit / layout"),G1345*K1345,"Not applicable")</x:f>
        <x:v>18</x:v>
      </x:c>
      <x:c r="M1345" s="8" t="str">
        <x:f aca="0">IF(AND(ISNUMBER(H1345),P1345&lt;&gt;"Unresolved unit / layout"),H1345*K1345,"Not applicable")</x:f>
        <x:v>Not applicable</x:v>
      </x:c>
      <x:c r="N1345" s="8" t="str">
        <x:f aca="0">IF(AND(ISNUMBER(I1345),P1345&lt;&gt;"Unresolved unit / layout"),I1345*K1345,"Not applicable")</x:f>
        <x:v>Not applicable</x:v>
      </x:c>
      <x:c r="O1345" s="7" t="s">
        <x:v>1942</x:v>
      </x:c>
      <x:c r="P1345" s="7" t="s">
        <x:v>1921</x:v>
      </x:c>
      <x:c r="Q1345" s="7" t="s">
        <x:v>1930</x:v>
      </x:c>
      <x:c r="R1345" s="7" t="s">
        <x:v>1931</x:v>
      </x:c>
      <x:c r="S1345" s="7" t="s">
        <x:v>53</x:v>
      </x:c>
      <x:c r="T1345" s="7" t="s">
        <x:v>53</x:v>
      </x:c>
      <x:c r="U1345" s="7" t="s">
        <x:v>53</x:v>
      </x:c>
      <x:c r="V1345" s="7" t="s">
        <x:v>1932</x:v>
      </x:c>
      <x:c r="W1345" s="7" t="s">
        <x:v>58</x:v>
      </x:c>
      <x:c r="X1345" s="7" t="s">
        <x:v>4572</x:v>
      </x:c>
      <x:c r="Y1345" s="7" t="s">
        <x:v>1326</x:v>
      </x:c>
      <x:c r="Z1345" s="7" t="s">
        <x:v>1943</x:v>
      </x:c>
      <x:c r="AA1345" s="7" t="s">
        <x:v>58</x:v>
      </x:c>
      <x:c r="AB1345" s="8" t="s">
        <x:v>58</x:v>
      </x:c>
      <x:c r="AC1345" s="8" t="s">
        <x:v>58</x:v>
      </x:c>
      <x:c r="AD1345" s="8" t="s">
        <x:v>58</x:v>
      </x:c>
      <x:c r="AE1345" s="8" t="s">
        <x:v>58</x:v>
      </x:c>
      <x:c r="AF1345" s="8" t="s">
        <x:v>58</x:v>
      </x:c>
      <x:c r="AG1345" s="7" t="s">
        <x:v>58</x:v>
      </x:c>
    </x:row>
    <x:row r="1346" ht="51.75" hidden="0" customHeight="1">
      <x:c r="A1346" s="7" t="s">
        <x:v>4577</x:v>
      </x:c>
      <x:c r="B1346" s="7" t="s">
        <x:v>802</x:v>
      </x:c>
      <x:c r="C1346" s="7" t="s">
        <x:v>804</x:v>
      </x:c>
      <x:c r="D1346" s="7" t="s">
        <x:v>1945</x:v>
      </x:c>
      <x:c r="E1346" s="7" t="s">
        <x:v>4578</x:v>
      </x:c>
      <x:c r="F1346" s="7" t="s">
        <x:v>1929</x:v>
      </x:c>
      <x:c r="G1346" s="8" t="n">
        <x:v>52</x:v>
      </x:c>
      <x:c r="H1346" s="8" t="s">
        <x:v>58</x:v>
      </x:c>
      <x:c r="I1346" s="8" t="s">
        <x:v>58</x:v>
      </x:c>
      <x:c r="J1346" s="7" t="s">
        <x:v>1919</x:v>
      </x:c>
      <x:c r="K1346" s="8" t="n">
        <x:v>1</x:v>
      </x:c>
      <x:c r="L1346" s="8" t="n">
        <x:f aca="0">IF(AND(ISNUMBER(G1346),P1346&lt;&gt;"Unresolved unit / layout"),G1346*K1346,"Not applicable")</x:f>
        <x:v>52</x:v>
      </x:c>
      <x:c r="M1346" s="8" t="str">
        <x:f aca="0">IF(AND(ISNUMBER(H1346),P1346&lt;&gt;"Unresolved unit / layout"),H1346*K1346,"Not applicable")</x:f>
        <x:v>Not applicable</x:v>
      </x:c>
      <x:c r="N1346" s="8" t="str">
        <x:f aca="0">IF(AND(ISNUMBER(I1346),P1346&lt;&gt;"Unresolved unit / layout"),I1346*K1346,"Not applicable")</x:f>
        <x:v>Not applicable</x:v>
      </x:c>
      <x:c r="O1346" s="7" t="s">
        <x:v>1929</x:v>
      </x:c>
      <x:c r="P1346" s="7" t="s">
        <x:v>1921</x:v>
      </x:c>
      <x:c r="Q1346" s="7" t="s">
        <x:v>1930</x:v>
      </x:c>
      <x:c r="R1346" s="7" t="s">
        <x:v>1931</x:v>
      </x:c>
      <x:c r="S1346" s="7" t="s">
        <x:v>53</x:v>
      </x:c>
      <x:c r="T1346" s="7" t="s">
        <x:v>53</x:v>
      </x:c>
      <x:c r="U1346" s="7" t="s">
        <x:v>53</x:v>
      </x:c>
      <x:c r="V1346" s="7" t="s">
        <x:v>1947</x:v>
      </x:c>
      <x:c r="W1346" s="7" t="s">
        <x:v>58</x:v>
      </x:c>
      <x:c r="X1346" s="7" t="s">
        <x:v>4572</x:v>
      </x:c>
      <x:c r="Y1346" s="7" t="s">
        <x:v>1326</x:v>
      </x:c>
      <x:c r="Z1346" s="7" t="s">
        <x:v>1948</x:v>
      </x:c>
      <x:c r="AA1346" s="7" t="s">
        <x:v>58</x:v>
      </x:c>
      <x:c r="AB1346" s="8" t="s">
        <x:v>58</x:v>
      </x:c>
      <x:c r="AC1346" s="8" t="s">
        <x:v>58</x:v>
      </x:c>
      <x:c r="AD1346" s="8" t="s">
        <x:v>58</x:v>
      </x:c>
      <x:c r="AE1346" s="8" t="s">
        <x:v>58</x:v>
      </x:c>
      <x:c r="AF1346" s="8" t="s">
        <x:v>58</x:v>
      </x:c>
      <x:c r="AG1346" s="7" t="s">
        <x:v>58</x:v>
      </x:c>
    </x:row>
    <x:row r="1347" ht="51.75" hidden="0" customHeight="1">
      <x:c r="A1347" s="7" t="s">
        <x:v>4579</x:v>
      </x:c>
      <x:c r="B1347" s="7" t="s">
        <x:v>802</x:v>
      </x:c>
      <x:c r="C1347" s="7" t="s">
        <x:v>804</x:v>
      </x:c>
      <x:c r="D1347" s="7" t="s">
        <x:v>1950</x:v>
      </x:c>
      <x:c r="E1347" s="7" t="s">
        <x:v>4580</x:v>
      </x:c>
      <x:c r="F1347" s="7" t="s">
        <x:v>1929</x:v>
      </x:c>
      <x:c r="G1347" s="8" t="n">
        <x:v>2540</x:v>
      </x:c>
      <x:c r="H1347" s="8" t="s">
        <x:v>58</x:v>
      </x:c>
      <x:c r="I1347" s="8" t="s">
        <x:v>58</x:v>
      </x:c>
      <x:c r="J1347" s="7" t="s">
        <x:v>1919</x:v>
      </x:c>
      <x:c r="K1347" s="8" t="n">
        <x:v>0.001</x:v>
      </x:c>
      <x:c r="L1347" s="8" t="n">
        <x:f aca="0">IF(AND(ISNUMBER(G1347),P1347&lt;&gt;"Unresolved unit / layout"),G1347*K1347,"Not applicable")</x:f>
        <x:v>2.54</x:v>
      </x:c>
      <x:c r="M1347" s="8" t="str">
        <x:f aca="0">IF(AND(ISNUMBER(H1347),P1347&lt;&gt;"Unresolved unit / layout"),H1347*K1347,"Not applicable")</x:f>
        <x:v>Not applicable</x:v>
      </x:c>
      <x:c r="N1347" s="8" t="str">
        <x:f aca="0">IF(AND(ISNUMBER(I1347),P1347&lt;&gt;"Unresolved unit / layout"),I1347*K1347,"Not applicable")</x:f>
        <x:v>Not applicable</x:v>
      </x:c>
      <x:c r="O1347" s="7" t="s">
        <x:v>1937</x:v>
      </x:c>
      <x:c r="P1347" s="7" t="s">
        <x:v>1921</x:v>
      </x:c>
      <x:c r="Q1347" s="7" t="s">
        <x:v>1930</x:v>
      </x:c>
      <x:c r="R1347" s="7" t="s">
        <x:v>1931</x:v>
      </x:c>
      <x:c r="S1347" s="7" t="s">
        <x:v>53</x:v>
      </x:c>
      <x:c r="T1347" s="7" t="s">
        <x:v>53</x:v>
      </x:c>
      <x:c r="U1347" s="7" t="s">
        <x:v>53</x:v>
      </x:c>
      <x:c r="V1347" s="7" t="s">
        <x:v>1947</x:v>
      </x:c>
      <x:c r="W1347" s="7" t="s">
        <x:v>58</x:v>
      </x:c>
      <x:c r="X1347" s="7" t="s">
        <x:v>4572</x:v>
      </x:c>
      <x:c r="Y1347" s="7" t="s">
        <x:v>1326</x:v>
      </x:c>
      <x:c r="Z1347" s="7" t="s">
        <x:v>1952</x:v>
      </x:c>
      <x:c r="AA1347" s="7" t="s">
        <x:v>58</x:v>
      </x:c>
      <x:c r="AB1347" s="8" t="s">
        <x:v>58</x:v>
      </x:c>
      <x:c r="AC1347" s="8" t="s">
        <x:v>58</x:v>
      </x:c>
      <x:c r="AD1347" s="8" t="s">
        <x:v>58</x:v>
      </x:c>
      <x:c r="AE1347" s="8" t="s">
        <x:v>58</x:v>
      </x:c>
      <x:c r="AF1347" s="8" t="s">
        <x:v>58</x:v>
      </x:c>
      <x:c r="AG1347" s="7" t="s">
        <x:v>58</x:v>
      </x:c>
    </x:row>
    <x:row r="1348" ht="51.75" hidden="0" customHeight="1">
      <x:c r="A1348" s="7" t="s">
        <x:v>4581</x:v>
      </x:c>
      <x:c r="B1348" s="7" t="s">
        <x:v>802</x:v>
      </x:c>
      <x:c r="C1348" s="7" t="s">
        <x:v>804</x:v>
      </x:c>
      <x:c r="D1348" s="7" t="s">
        <x:v>1974</x:v>
      </x:c>
      <x:c r="E1348" s="7" t="s">
        <x:v>4582</x:v>
      </x:c>
      <x:c r="F1348" s="7" t="s">
        <x:v>1956</x:v>
      </x:c>
      <x:c r="G1348" s="8" t="n">
        <x:v>283</x:v>
      </x:c>
      <x:c r="H1348" s="8" t="s">
        <x:v>58</x:v>
      </x:c>
      <x:c r="I1348" s="8" t="s">
        <x:v>58</x:v>
      </x:c>
      <x:c r="J1348" s="7" t="s">
        <x:v>1919</x:v>
      </x:c>
      <x:c r="K1348" s="8" t="n">
        <x:v>1</x:v>
      </x:c>
      <x:c r="L1348" s="8" t="n">
        <x:f aca="0">IF(AND(ISNUMBER(G1348),P1348&lt;&gt;"Unresolved unit / layout"),G1348*K1348,"Not applicable")</x:f>
        <x:v>283</x:v>
      </x:c>
      <x:c r="M1348" s="8" t="str">
        <x:f aca="0">IF(AND(ISNUMBER(H1348),P1348&lt;&gt;"Unresolved unit / layout"),H1348*K1348,"Not applicable")</x:f>
        <x:v>Not applicable</x:v>
      </x:c>
      <x:c r="N1348" s="8" t="str">
        <x:f aca="0">IF(AND(ISNUMBER(I1348),P1348&lt;&gt;"Unresolved unit / layout"),I1348*K1348,"Not applicable")</x:f>
        <x:v>Not applicable</x:v>
      </x:c>
      <x:c r="O1348" s="7" t="s">
        <x:v>1956</x:v>
      </x:c>
      <x:c r="P1348" s="7" t="s">
        <x:v>1921</x:v>
      </x:c>
      <x:c r="Q1348" s="7" t="s">
        <x:v>1930</x:v>
      </x:c>
      <x:c r="R1348" s="7" t="s">
        <x:v>58</x:v>
      </x:c>
      <x:c r="S1348" s="7" t="s">
        <x:v>53</x:v>
      </x:c>
      <x:c r="T1348" s="7" t="s">
        <x:v>53</x:v>
      </x:c>
      <x:c r="U1348" s="7" t="s">
        <x:v>53</x:v>
      </x:c>
      <x:c r="V1348" s="7" t="s">
        <x:v>4583</x:v>
      </x:c>
      <x:c r="W1348" s="7" t="s">
        <x:v>58</x:v>
      </x:c>
      <x:c r="X1348" s="7" t="s">
        <x:v>4572</x:v>
      </x:c>
      <x:c r="Y1348" s="7" t="s">
        <x:v>1326</x:v>
      </x:c>
      <x:c r="Z1348" s="7" t="s">
        <x:v>4226</x:v>
      </x:c>
      <x:c r="AA1348" s="7" t="s">
        <x:v>58</x:v>
      </x:c>
      <x:c r="AB1348" s="8" t="s">
        <x:v>58</x:v>
      </x:c>
      <x:c r="AC1348" s="8" t="s">
        <x:v>58</x:v>
      </x:c>
      <x:c r="AD1348" s="8" t="s">
        <x:v>58</x:v>
      </x:c>
      <x:c r="AE1348" s="8" t="s">
        <x:v>58</x:v>
      </x:c>
      <x:c r="AF1348" s="8" t="s">
        <x:v>58</x:v>
      </x:c>
      <x:c r="AG1348" s="7" t="s">
        <x:v>58</x:v>
      </x:c>
    </x:row>
    <x:row r="1349" ht="51.75" hidden="0" customHeight="1">
      <x:c r="A1349" s="7" t="s">
        <x:v>810</x:v>
      </x:c>
      <x:c r="B1349" s="7" t="s">
        <x:v>802</x:v>
      </x:c>
      <x:c r="C1349" s="7" t="s">
        <x:v>804</x:v>
      </x:c>
      <x:c r="D1349" s="7" t="s">
        <x:v>1959</x:v>
      </x:c>
      <x:c r="E1349" s="7" t="s">
        <x:v>3447</x:v>
      </x:c>
      <x:c r="F1349" s="7" t="s">
        <x:v>1956</x:v>
      </x:c>
      <x:c r="G1349" s="8" t="n">
        <x:v>90</x:v>
      </x:c>
      <x:c r="H1349" s="8" t="s">
        <x:v>58</x:v>
      </x:c>
      <x:c r="I1349" s="8" t="s">
        <x:v>58</x:v>
      </x:c>
      <x:c r="J1349" s="7" t="s">
        <x:v>1919</x:v>
      </x:c>
      <x:c r="K1349" s="8" t="n">
        <x:v>1</x:v>
      </x:c>
      <x:c r="L1349" s="8" t="n">
        <x:f aca="0">IF(AND(ISNUMBER(G1349),P1349&lt;&gt;"Unresolved unit / layout"),G1349*K1349,"Not applicable")</x:f>
        <x:v>90</x:v>
      </x:c>
      <x:c r="M1349" s="8" t="str">
        <x:f aca="0">IF(AND(ISNUMBER(H1349),P1349&lt;&gt;"Unresolved unit / layout"),H1349*K1349,"Not applicable")</x:f>
        <x:v>Not applicable</x:v>
      </x:c>
      <x:c r="N1349" s="8" t="str">
        <x:f aca="0">IF(AND(ISNUMBER(I1349),P1349&lt;&gt;"Unresolved unit / layout"),I1349*K1349,"Not applicable")</x:f>
        <x:v>Not applicable</x:v>
      </x:c>
      <x:c r="O1349" s="7" t="s">
        <x:v>1956</x:v>
      </x:c>
      <x:c r="P1349" s="7" t="s">
        <x:v>1921</x:v>
      </x:c>
      <x:c r="Q1349" s="7" t="s">
        <x:v>1930</x:v>
      </x:c>
      <x:c r="R1349" s="7" t="s">
        <x:v>58</x:v>
      </x:c>
      <x:c r="S1349" s="7" t="s">
        <x:v>53</x:v>
      </x:c>
      <x:c r="T1349" s="7" t="s">
        <x:v>53</x:v>
      </x:c>
      <x:c r="U1349" s="7" t="s">
        <x:v>53</x:v>
      </x:c>
      <x:c r="V1349" s="7" t="s">
        <x:v>1961</x:v>
      </x:c>
      <x:c r="W1349" s="7" t="s">
        <x:v>58</x:v>
      </x:c>
      <x:c r="X1349" s="7" t="s">
        <x:v>4572</x:v>
      </x:c>
      <x:c r="Y1349" s="7" t="s">
        <x:v>1326</x:v>
      </x:c>
      <x:c r="Z1349" s="7" t="s">
        <x:v>1962</x:v>
      </x:c>
      <x:c r="AA1349" s="7" t="s">
        <x:v>58</x:v>
      </x:c>
      <x:c r="AB1349" s="8" t="s">
        <x:v>58</x:v>
      </x:c>
      <x:c r="AC1349" s="8" t="s">
        <x:v>58</x:v>
      </x:c>
      <x:c r="AD1349" s="8" t="s">
        <x:v>58</x:v>
      </x:c>
      <x:c r="AE1349" s="8" t="s">
        <x:v>58</x:v>
      </x:c>
      <x:c r="AF1349" s="8" t="s">
        <x:v>58</x:v>
      </x:c>
      <x:c r="AG1349" s="7" t="s">
        <x:v>58</x:v>
      </x:c>
    </x:row>
    <x:row r="1350" ht="51.75" hidden="0" customHeight="1">
      <x:c r="A1350" s="7" t="s">
        <x:v>4584</x:v>
      </x:c>
      <x:c r="B1350" s="7" t="s">
        <x:v>802</x:v>
      </x:c>
      <x:c r="C1350" s="7" t="s">
        <x:v>1328</x:v>
      </x:c>
      <x:c r="D1350" s="7" t="s">
        <x:v>1916</x:v>
      </x:c>
      <x:c r="E1350" s="7" t="s">
        <x:v>4585</x:v>
      </x:c>
      <x:c r="F1350" s="7" t="s">
        <x:v>1965</x:v>
      </x:c>
      <x:c r="G1350" s="8" t="n">
        <x:v>1.33</x:v>
      </x:c>
      <x:c r="H1350" s="8" t="s">
        <x:v>58</x:v>
      </x:c>
      <x:c r="I1350" s="8" t="s">
        <x:v>58</x:v>
      </x:c>
      <x:c r="J1350" s="7" t="s">
        <x:v>1919</x:v>
      </x:c>
      <x:c r="K1350" s="8" t="n">
        <x:v>1000</x:v>
      </x:c>
      <x:c r="L1350" s="8" t="n">
        <x:f aca="0">IF(AND(ISNUMBER(G1350),P1350&lt;&gt;"Unresolved unit / layout"),G1350*K1350,"Not applicable")</x:f>
        <x:v>1330</x:v>
      </x:c>
      <x:c r="M1350" s="8" t="str">
        <x:f aca="0">IF(AND(ISNUMBER(H1350),P1350&lt;&gt;"Unresolved unit / layout"),H1350*K1350,"Not applicable")</x:f>
        <x:v>Not applicable</x:v>
      </x:c>
      <x:c r="N1350" s="8" t="str">
        <x:f aca="0">IF(AND(ISNUMBER(I1350),P1350&lt;&gt;"Unresolved unit / layout"),I1350*K1350,"Not applicable")</x:f>
        <x:v>Not applicable</x:v>
      </x:c>
      <x:c r="O1350" s="7" t="s">
        <x:v>1920</x:v>
      </x:c>
      <x:c r="P1350" s="7" t="s">
        <x:v>1921</x:v>
      </x:c>
      <x:c r="Q1350" s="7" t="s">
        <x:v>1922</x:v>
      </x:c>
      <x:c r="R1350" s="7" t="s">
        <x:v>58</x:v>
      </x:c>
      <x:c r="S1350" s="7" t="s">
        <x:v>53</x:v>
      </x:c>
      <x:c r="T1350" s="7" t="s">
        <x:v>53</x:v>
      </x:c>
      <x:c r="U1350" s="7" t="s">
        <x:v>53</x:v>
      </x:c>
      <x:c r="V1350" s="7" t="s">
        <x:v>1923</x:v>
      </x:c>
      <x:c r="W1350" s="7" t="s">
        <x:v>58</x:v>
      </x:c>
      <x:c r="X1350" s="7" t="s">
        <x:v>53</x:v>
      </x:c>
      <x:c r="Y1350" s="7" t="s">
        <x:v>1330</x:v>
      </x:c>
      <x:c r="Z1350" s="7" t="s">
        <x:v>1925</x:v>
      </x:c>
      <x:c r="AA1350" s="7" t="s">
        <x:v>58</x:v>
      </x:c>
      <x:c r="AB1350" s="8" t="s">
        <x:v>58</x:v>
      </x:c>
      <x:c r="AC1350" s="8" t="s">
        <x:v>58</x:v>
      </x:c>
      <x:c r="AD1350" s="8" t="s">
        <x:v>58</x:v>
      </x:c>
      <x:c r="AE1350" s="8" t="s">
        <x:v>58</x:v>
      </x:c>
      <x:c r="AF1350" s="8" t="s">
        <x:v>58</x:v>
      </x:c>
      <x:c r="AG1350" s="7" t="s">
        <x:v>58</x:v>
      </x:c>
    </x:row>
    <x:row r="1351" ht="37.5" hidden="0" customHeight="1">
      <x:c r="A1351" s="7" t="s">
        <x:v>4586</x:v>
      </x:c>
      <x:c r="B1351" s="7" t="s">
        <x:v>802</x:v>
      </x:c>
      <x:c r="C1351" s="7" t="s">
        <x:v>1328</x:v>
      </x:c>
      <x:c r="D1351" s="7" t="s">
        <x:v>2030</x:v>
      </x:c>
      <x:c r="E1351" s="7" t="s">
        <x:v>4587</x:v>
      </x:c>
      <x:c r="F1351" s="7" t="s">
        <x:v>2032</x:v>
      </x:c>
      <x:c r="G1351" s="8" t="n">
        <x:v>18</x:v>
      </x:c>
      <x:c r="H1351" s="8" t="s">
        <x:v>58</x:v>
      </x:c>
      <x:c r="I1351" s="8" t="s">
        <x:v>58</x:v>
      </x:c>
      <x:c r="J1351" s="7" t="s">
        <x:v>1919</x:v>
      </x:c>
      <x:c r="K1351" s="8" t="n">
        <x:v>1</x:v>
      </x:c>
      <x:c r="L1351" s="8" t="n">
        <x:f aca="0">IF(AND(ISNUMBER(G1351),P1351&lt;&gt;"Unresolved unit / layout"),G1351*K1351,"Not applicable")</x:f>
        <x:v>18</x:v>
      </x:c>
      <x:c r="M1351" s="8" t="str">
        <x:f aca="0">IF(AND(ISNUMBER(H1351),P1351&lt;&gt;"Unresolved unit / layout"),H1351*K1351,"Not applicable")</x:f>
        <x:v>Not applicable</x:v>
      </x:c>
      <x:c r="N1351" s="8" t="str">
        <x:f aca="0">IF(AND(ISNUMBER(I1351),P1351&lt;&gt;"Unresolved unit / layout"),I1351*K1351,"Not applicable")</x:f>
        <x:v>Not applicable</x:v>
      </x:c>
      <x:c r="O1351" s="7" t="s">
        <x:v>2033</x:v>
      </x:c>
      <x:c r="P1351" s="7" t="s">
        <x:v>1921</x:v>
      </x:c>
      <x:c r="Q1351" s="7" t="s">
        <x:v>2064</x:v>
      </x:c>
      <x:c r="R1351" s="7" t="s">
        <x:v>53</x:v>
      </x:c>
      <x:c r="S1351" s="7" t="s">
        <x:v>53</x:v>
      </x:c>
      <x:c r="T1351" s="7" t="s">
        <x:v>53</x:v>
      </x:c>
      <x:c r="U1351" s="7" t="s">
        <x:v>53</x:v>
      </x:c>
      <x:c r="V1351" s="7" t="s">
        <x:v>4588</x:v>
      </x:c>
      <x:c r="W1351" s="7" t="s">
        <x:v>2135</x:v>
      </x:c>
      <x:c r="X1351" s="7" t="s">
        <x:v>53</x:v>
      </x:c>
      <x:c r="Y1351" s="7" t="s">
        <x:v>1330</x:v>
      </x:c>
      <x:c r="Z1351" s="7" t="s">
        <x:v>4589</x:v>
      </x:c>
      <x:c r="AA1351" s="7" t="s">
        <x:v>58</x:v>
      </x:c>
      <x:c r="AB1351" s="8" t="s">
        <x:v>58</x:v>
      </x:c>
      <x:c r="AC1351" s="8" t="s">
        <x:v>58</x:v>
      </x:c>
      <x:c r="AD1351" s="8" t="s">
        <x:v>58</x:v>
      </x:c>
      <x:c r="AE1351" s="8" t="s">
        <x:v>58</x:v>
      </x:c>
      <x:c r="AF1351" s="8" t="s">
        <x:v>58</x:v>
      </x:c>
      <x:c r="AG1351" s="7" t="s">
        <x:v>58</x:v>
      </x:c>
    </x:row>
    <x:row r="1352" ht="37.5" hidden="0" customHeight="1">
      <x:c r="A1352" s="7" t="s">
        <x:v>4590</x:v>
      </x:c>
      <x:c r="B1352" s="7" t="s">
        <x:v>802</x:v>
      </x:c>
      <x:c r="C1352" s="7" t="s">
        <x:v>1328</x:v>
      </x:c>
      <x:c r="D1352" s="7" t="s">
        <x:v>2030</x:v>
      </x:c>
      <x:c r="E1352" s="7" t="s">
        <x:v>4591</x:v>
      </x:c>
      <x:c r="F1352" s="7" t="s">
        <x:v>2032</x:v>
      </x:c>
      <x:c r="G1352" s="8" t="n">
        <x:v>1.3</x:v>
      </x:c>
      <x:c r="H1352" s="8" t="s">
        <x:v>58</x:v>
      </x:c>
      <x:c r="I1352" s="8" t="s">
        <x:v>58</x:v>
      </x:c>
      <x:c r="J1352" s="7" t="s">
        <x:v>1919</x:v>
      </x:c>
      <x:c r="K1352" s="8" t="n">
        <x:v>1</x:v>
      </x:c>
      <x:c r="L1352" s="8" t="n">
        <x:f aca="0">IF(AND(ISNUMBER(G1352),P1352&lt;&gt;"Unresolved unit / layout"),G1352*K1352,"Not applicable")</x:f>
        <x:v>1.3</x:v>
      </x:c>
      <x:c r="M1352" s="8" t="str">
        <x:f aca="0">IF(AND(ISNUMBER(H1352),P1352&lt;&gt;"Unresolved unit / layout"),H1352*K1352,"Not applicable")</x:f>
        <x:v>Not applicable</x:v>
      </x:c>
      <x:c r="N1352" s="8" t="str">
        <x:f aca="0">IF(AND(ISNUMBER(I1352),P1352&lt;&gt;"Unresolved unit / layout"),I1352*K1352,"Not applicable")</x:f>
        <x:v>Not applicable</x:v>
      </x:c>
      <x:c r="O1352" s="7" t="s">
        <x:v>2033</x:v>
      </x:c>
      <x:c r="P1352" s="7" t="str">
        <x:v>Published value (transcription corrected)</x:v>
      </x:c>
      <x:c r="Q1352" s="7" t="s">
        <x:v>2064</x:v>
      </x:c>
      <x:c r="R1352" s="7" t="s">
        <x:v>53</x:v>
      </x:c>
      <x:c r="S1352" s="7" t="s">
        <x:v>53</x:v>
      </x:c>
      <x:c r="T1352" s="7" t="s">
        <x:v>53</x:v>
      </x:c>
      <x:c r="U1352" s="7" t="s">
        <x:v>53</x:v>
      </x:c>
      <x:c r="V1352" s="7" t="s">
        <x:v>4592</x:v>
      </x:c>
      <x:c r="W1352" s="7" t="s">
        <x:v>2139</x:v>
      </x:c>
      <x:c r="X1352" s="7" t="s">
        <x:v>53</x:v>
      </x:c>
      <x:c r="Y1352" s="7" t="s">
        <x:v>1330</x:v>
      </x:c>
      <x:c r="Z1352" s="7" t="s">
        <x:v>4593</x:v>
      </x:c>
      <x:c r="AA1352" s="7" t="str">
        <x:v>Decimal comma preserved from the cited manufacturer PDF; re-read and source SHA256 matched 2026-09-13. Systematic audit SD-01.</x:v>
      </x:c>
      <x:c r="AB1352" s="8" t="s">
        <x:v>58</x:v>
      </x:c>
      <x:c r="AC1352" s="8" t="s">
        <x:v>58</x:v>
      </x:c>
      <x:c r="AD1352" s="8" t="s">
        <x:v>58</x:v>
      </x:c>
      <x:c r="AE1352" s="8" t="s">
        <x:v>58</x:v>
      </x:c>
      <x:c r="AF1352" s="8" t="s">
        <x:v>58</x:v>
      </x:c>
      <x:c r="AG1352" s="7" t="s">
        <x:v>58</x:v>
      </x:c>
    </x:row>
    <x:row r="1353" ht="37.5" hidden="0" customHeight="1">
      <x:c r="A1353" s="7" t="s">
        <x:v>4594</x:v>
      </x:c>
      <x:c r="B1353" s="7" t="s">
        <x:v>802</x:v>
      </x:c>
      <x:c r="C1353" s="7" t="s">
        <x:v>1328</x:v>
      </x:c>
      <x:c r="D1353" s="7" t="s">
        <x:v>1940</x:v>
      </x:c>
      <x:c r="E1353" s="7" t="s">
        <x:v>4595</x:v>
      </x:c>
      <x:c r="F1353" s="7" t="s">
        <x:v>1942</x:v>
      </x:c>
      <x:c r="G1353" s="8" t="n">
        <x:v>2</x:v>
      </x:c>
      <x:c r="H1353" s="8" t="s">
        <x:v>58</x:v>
      </x:c>
      <x:c r="I1353" s="8" t="s">
        <x:v>58</x:v>
      </x:c>
      <x:c r="J1353" s="7" t="s">
        <x:v>1919</x:v>
      </x:c>
      <x:c r="K1353" s="8" t="n">
        <x:v>1</x:v>
      </x:c>
      <x:c r="L1353" s="8" t="n">
        <x:f aca="0">IF(AND(ISNUMBER(G1353),P1353&lt;&gt;"Unresolved unit / layout"),G1353*K1353,"Not applicable")</x:f>
        <x:v>2</x:v>
      </x:c>
      <x:c r="M1353" s="8" t="str">
        <x:f aca="0">IF(AND(ISNUMBER(H1353),P1353&lt;&gt;"Unresolved unit / layout"),H1353*K1353,"Not applicable")</x:f>
        <x:v>Not applicable</x:v>
      </x:c>
      <x:c r="N1353" s="8" t="str">
        <x:f aca="0">IF(AND(ISNUMBER(I1353),P1353&lt;&gt;"Unresolved unit / layout"),I1353*K1353,"Not applicable")</x:f>
        <x:v>Not applicable</x:v>
      </x:c>
      <x:c r="O1353" s="7" t="s">
        <x:v>1942</x:v>
      </x:c>
      <x:c r="P1353" s="7" t="s">
        <x:v>1921</x:v>
      </x:c>
      <x:c r="Q1353" s="7" t="s">
        <x:v>2064</x:v>
      </x:c>
      <x:c r="R1353" s="7" t="s">
        <x:v>53</x:v>
      </x:c>
      <x:c r="S1353" s="7" t="s">
        <x:v>53</x:v>
      </x:c>
      <x:c r="T1353" s="7" t="s">
        <x:v>53</x:v>
      </x:c>
      <x:c r="U1353" s="7" t="s">
        <x:v>53</x:v>
      </x:c>
      <x:c r="V1353" s="7" t="s">
        <x:v>4596</x:v>
      </x:c>
      <x:c r="W1353" s="7" t="s">
        <x:v>58</x:v>
      </x:c>
      <x:c r="X1353" s="7" t="s">
        <x:v>53</x:v>
      </x:c>
      <x:c r="Y1353" s="7" t="s">
        <x:v>1330</x:v>
      </x:c>
      <x:c r="Z1353" s="7" t="s">
        <x:v>3461</x:v>
      </x:c>
      <x:c r="AA1353" s="7" t="s">
        <x:v>58</x:v>
      </x:c>
      <x:c r="AB1353" s="8" t="s">
        <x:v>58</x:v>
      </x:c>
      <x:c r="AC1353" s="8" t="s">
        <x:v>58</x:v>
      </x:c>
      <x:c r="AD1353" s="8" t="s">
        <x:v>58</x:v>
      </x:c>
      <x:c r="AE1353" s="8" t="s">
        <x:v>58</x:v>
      </x:c>
      <x:c r="AF1353" s="8" t="s">
        <x:v>58</x:v>
      </x:c>
      <x:c r="AG1353" s="7" t="s">
        <x:v>58</x:v>
      </x:c>
    </x:row>
    <x:row r="1354" ht="37.5" hidden="0" customHeight="1">
      <x:c r="A1354" s="7" t="s">
        <x:v>4597</x:v>
      </x:c>
      <x:c r="B1354" s="7" t="s">
        <x:v>802</x:v>
      </x:c>
      <x:c r="C1354" s="7" t="s">
        <x:v>1328</x:v>
      </x:c>
      <x:c r="D1354" s="7" t="s">
        <x:v>1927</x:v>
      </x:c>
      <x:c r="E1354" s="7" t="s">
        <x:v>4598</x:v>
      </x:c>
      <x:c r="F1354" s="7" t="s">
        <x:v>1929</x:v>
      </x:c>
      <x:c r="G1354" s="8" t="n">
        <x:v>65</x:v>
      </x:c>
      <x:c r="H1354" s="8" t="s">
        <x:v>58</x:v>
      </x:c>
      <x:c r="I1354" s="8" t="s">
        <x:v>58</x:v>
      </x:c>
      <x:c r="J1354" s="7" t="s">
        <x:v>1919</x:v>
      </x:c>
      <x:c r="K1354" s="8" t="n">
        <x:v>1</x:v>
      </x:c>
      <x:c r="L1354" s="8" t="n">
        <x:f aca="0">IF(AND(ISNUMBER(G1354),P1354&lt;&gt;"Unresolved unit / layout"),G1354*K1354,"Not applicable")</x:f>
        <x:v>65</x:v>
      </x:c>
      <x:c r="M1354" s="8" t="str">
        <x:f aca="0">IF(AND(ISNUMBER(H1354),P1354&lt;&gt;"Unresolved unit / layout"),H1354*K1354,"Not applicable")</x:f>
        <x:v>Not applicable</x:v>
      </x:c>
      <x:c r="N1354" s="8" t="str">
        <x:f aca="0">IF(AND(ISNUMBER(I1354),P1354&lt;&gt;"Unresolved unit / layout"),I1354*K1354,"Not applicable")</x:f>
        <x:v>Not applicable</x:v>
      </x:c>
      <x:c r="O1354" s="7" t="s">
        <x:v>1929</x:v>
      </x:c>
      <x:c r="P1354" s="7" t="s">
        <x:v>1921</x:v>
      </x:c>
      <x:c r="Q1354" s="7" t="s">
        <x:v>2064</x:v>
      </x:c>
      <x:c r="R1354" s="7" t="s">
        <x:v>53</x:v>
      </x:c>
      <x:c r="S1354" s="7" t="s">
        <x:v>53</x:v>
      </x:c>
      <x:c r="T1354" s="7" t="s">
        <x:v>53</x:v>
      </x:c>
      <x:c r="U1354" s="7" t="s">
        <x:v>53</x:v>
      </x:c>
      <x:c r="V1354" s="7" t="s">
        <x:v>4596</x:v>
      </x:c>
      <x:c r="W1354" s="7" t="s">
        <x:v>58</x:v>
      </x:c>
      <x:c r="X1354" s="7" t="s">
        <x:v>53</x:v>
      </x:c>
      <x:c r="Y1354" s="7" t="s">
        <x:v>1330</x:v>
      </x:c>
      <x:c r="Z1354" s="7" t="s">
        <x:v>4599</x:v>
      </x:c>
      <x:c r="AA1354" s="7" t="s">
        <x:v>58</x:v>
      </x:c>
      <x:c r="AB1354" s="8" t="s">
        <x:v>58</x:v>
      </x:c>
      <x:c r="AC1354" s="8" t="s">
        <x:v>58</x:v>
      </x:c>
      <x:c r="AD1354" s="8" t="s">
        <x:v>58</x:v>
      </x:c>
      <x:c r="AE1354" s="8" t="s">
        <x:v>58</x:v>
      </x:c>
      <x:c r="AF1354" s="8" t="s">
        <x:v>58</x:v>
      </x:c>
      <x:c r="AG1354" s="7" t="s">
        <x:v>58</x:v>
      </x:c>
    </x:row>
    <x:row r="1355" ht="37.5" hidden="0" customHeight="1">
      <x:c r="A1355" s="7" t="s">
        <x:v>4600</x:v>
      </x:c>
      <x:c r="B1355" s="7" t="s">
        <x:v>802</x:v>
      </x:c>
      <x:c r="C1355" s="7" t="s">
        <x:v>1328</x:v>
      </x:c>
      <x:c r="D1355" s="7" t="s">
        <x:v>1982</x:v>
      </x:c>
      <x:c r="E1355" s="7" t="s">
        <x:v>4601</x:v>
      </x:c>
      <x:c r="F1355" s="7" t="s">
        <x:v>1956</x:v>
      </x:c>
      <x:c r="G1355" s="8" t="n">
        <x:v>236</x:v>
      </x:c>
      <x:c r="H1355" s="8" t="s">
        <x:v>58</x:v>
      </x:c>
      <x:c r="I1355" s="8" t="s">
        <x:v>58</x:v>
      </x:c>
      <x:c r="J1355" s="7" t="s">
        <x:v>1919</x:v>
      </x:c>
      <x:c r="K1355" s="8" t="n">
        <x:v>1</x:v>
      </x:c>
      <x:c r="L1355" s="8" t="n">
        <x:f aca="0">IF(AND(ISNUMBER(G1355),P1355&lt;&gt;"Unresolved unit / layout"),G1355*K1355,"Not applicable")</x:f>
        <x:v>236</x:v>
      </x:c>
      <x:c r="M1355" s="8" t="str">
        <x:f aca="0">IF(AND(ISNUMBER(H1355),P1355&lt;&gt;"Unresolved unit / layout"),H1355*K1355,"Not applicable")</x:f>
        <x:v>Not applicable</x:v>
      </x:c>
      <x:c r="N1355" s="8" t="str">
        <x:f aca="0">IF(AND(ISNUMBER(I1355),P1355&lt;&gt;"Unresolved unit / layout"),I1355*K1355,"Not applicable")</x:f>
        <x:v>Not applicable</x:v>
      </x:c>
      <x:c r="O1355" s="7" t="s">
        <x:v>1956</x:v>
      </x:c>
      <x:c r="P1355" s="7" t="s">
        <x:v>1921</x:v>
      </x:c>
      <x:c r="Q1355" s="7" t="s">
        <x:v>2064</x:v>
      </x:c>
      <x:c r="R1355" s="7" t="s">
        <x:v>58</x:v>
      </x:c>
      <x:c r="S1355" s="7" t="s">
        <x:v>53</x:v>
      </x:c>
      <x:c r="T1355" s="7" t="s">
        <x:v>53</x:v>
      </x:c>
      <x:c r="U1355" s="7" t="s">
        <x:v>53</x:v>
      </x:c>
      <x:c r="V1355" s="7" t="s">
        <x:v>2854</x:v>
      </x:c>
      <x:c r="W1355" s="7" t="s">
        <x:v>58</x:v>
      </x:c>
      <x:c r="X1355" s="7" t="s">
        <x:v>53</x:v>
      </x:c>
      <x:c r="Y1355" s="7" t="s">
        <x:v>1330</x:v>
      </x:c>
      <x:c r="Z1355" s="7" t="s">
        <x:v>4602</x:v>
      </x:c>
      <x:c r="AA1355" s="7" t="s">
        <x:v>58</x:v>
      </x:c>
      <x:c r="AB1355" s="8" t="s">
        <x:v>58</x:v>
      </x:c>
      <x:c r="AC1355" s="8" t="s">
        <x:v>58</x:v>
      </x:c>
      <x:c r="AD1355" s="8" t="s">
        <x:v>58</x:v>
      </x:c>
      <x:c r="AE1355" s="8" t="s">
        <x:v>58</x:v>
      </x:c>
      <x:c r="AF1355" s="8" t="s">
        <x:v>58</x:v>
      </x:c>
      <x:c r="AG1355" s="7" t="s">
        <x:v>58</x:v>
      </x:c>
    </x:row>
    <x:row r="1356" ht="79.5" hidden="0" customHeight="1">
      <x:c r="A1356" s="7" t="s">
        <x:v>4603</x:v>
      </x:c>
      <x:c r="B1356" s="7" t="s">
        <x:v>813</x:v>
      </x:c>
      <x:c r="C1356" s="7" t="s">
        <x:v>815</x:v>
      </x:c>
      <x:c r="D1356" s="7" t="s">
        <x:v>1916</x:v>
      </x:c>
      <x:c r="E1356" s="7" t="s">
        <x:v>2448</x:v>
      </x:c>
      <x:c r="F1356" s="7" t="s">
        <x:v>2076</x:v>
      </x:c>
      <x:c r="G1356" s="8" t="n">
        <x:v>1.26</x:v>
      </x:c>
      <x:c r="H1356" s="8" t="s">
        <x:v>58</x:v>
      </x:c>
      <x:c r="I1356" s="8" t="s">
        <x:v>58</x:v>
      </x:c>
      <x:c r="J1356" s="7" t="s">
        <x:v>1919</x:v>
      </x:c>
      <x:c r="K1356" s="8" t="n">
        <x:v>1000</x:v>
      </x:c>
      <x:c r="L1356" s="8" t="n">
        <x:f aca="0">IF(AND(ISNUMBER(G1356),P1356&lt;&gt;"Unresolved unit / layout"),G1356*K1356,"Not applicable")</x:f>
        <x:v>1260</x:v>
      </x:c>
      <x:c r="M1356" s="8" t="str">
        <x:f aca="0">IF(AND(ISNUMBER(H1356),P1356&lt;&gt;"Unresolved unit / layout"),H1356*K1356,"Not applicable")</x:f>
        <x:v>Not applicable</x:v>
      </x:c>
      <x:c r="N1356" s="8" t="str">
        <x:f aca="0">IF(AND(ISNUMBER(I1356),P1356&lt;&gt;"Unresolved unit / layout"),I1356*K1356,"Not applicable")</x:f>
        <x:v>Not applicable</x:v>
      </x:c>
      <x:c r="O1356" s="7" t="s">
        <x:v>1920</x:v>
      </x:c>
      <x:c r="P1356" s="7" t="s">
        <x:v>1921</x:v>
      </x:c>
      <x:c r="Q1356" s="7" t="s">
        <x:v>1922</x:v>
      </x:c>
      <x:c r="R1356" s="7" t="s">
        <x:v>58</x:v>
      </x:c>
      <x:c r="S1356" s="7" t="s">
        <x:v>53</x:v>
      </x:c>
      <x:c r="T1356" s="7" t="s">
        <x:v>4498</x:v>
      </x:c>
      <x:c r="U1356" s="7" t="s">
        <x:v>53</x:v>
      </x:c>
      <x:c r="V1356" s="7" t="s">
        <x:v>1923</x:v>
      </x:c>
      <x:c r="W1356" s="7" t="s">
        <x:v>58</x:v>
      </x:c>
      <x:c r="X1356" s="7" t="s">
        <x:v>4604</x:v>
      </x:c>
      <x:c r="Y1356" s="7" t="s">
        <x:v>1331</x:v>
      </x:c>
      <x:c r="Z1356" s="7" t="s">
        <x:v>1968</x:v>
      </x:c>
      <x:c r="AA1356" s="7" t="s">
        <x:v>58</x:v>
      </x:c>
      <x:c r="AB1356" s="8" t="s">
        <x:v>58</x:v>
      </x:c>
      <x:c r="AC1356" s="8" t="s">
        <x:v>58</x:v>
      </x:c>
      <x:c r="AD1356" s="8" t="s">
        <x:v>58</x:v>
      </x:c>
      <x:c r="AE1356" s="8" t="s">
        <x:v>58</x:v>
      </x:c>
      <x:c r="AF1356" s="8" t="s">
        <x:v>58</x:v>
      </x:c>
      <x:c r="AG1356" s="7" t="s">
        <x:v>58</x:v>
      </x:c>
    </x:row>
    <x:row r="1357" ht="79.5" hidden="0" customHeight="1">
      <x:c r="A1357" s="7" t="s">
        <x:v>4605</x:v>
      </x:c>
      <x:c r="B1357" s="7" t="s">
        <x:v>813</x:v>
      </x:c>
      <x:c r="C1357" s="7" t="s">
        <x:v>815</x:v>
      </x:c>
      <x:c r="D1357" s="7" t="s">
        <x:v>1974</x:v>
      </x:c>
      <x:c r="E1357" s="7" t="s">
        <x:v>4606</x:v>
      </x:c>
      <x:c r="F1357" s="7" t="s">
        <x:v>1956</x:v>
      </x:c>
      <x:c r="G1357" s="8" t="n">
        <x:v>284</x:v>
      </x:c>
      <x:c r="H1357" s="8" t="s">
        <x:v>58</x:v>
      </x:c>
      <x:c r="I1357" s="8" t="s">
        <x:v>58</x:v>
      </x:c>
      <x:c r="J1357" s="7" t="s">
        <x:v>1919</x:v>
      </x:c>
      <x:c r="K1357" s="8" t="n">
        <x:v>1</x:v>
      </x:c>
      <x:c r="L1357" s="8" t="n">
        <x:f aca="0">IF(AND(ISNUMBER(G1357),P1357&lt;&gt;"Unresolved unit / layout"),G1357*K1357,"Not applicable")</x:f>
        <x:v>284</x:v>
      </x:c>
      <x:c r="M1357" s="8" t="str">
        <x:f aca="0">IF(AND(ISNUMBER(H1357),P1357&lt;&gt;"Unresolved unit / layout"),H1357*K1357,"Not applicable")</x:f>
        <x:v>Not applicable</x:v>
      </x:c>
      <x:c r="N1357" s="8" t="str">
        <x:f aca="0">IF(AND(ISNUMBER(I1357),P1357&lt;&gt;"Unresolved unit / layout"),I1357*K1357,"Not applicable")</x:f>
        <x:v>Not applicable</x:v>
      </x:c>
      <x:c r="O1357" s="7" t="s">
        <x:v>1956</x:v>
      </x:c>
      <x:c r="P1357" s="7" t="s">
        <x:v>1921</x:v>
      </x:c>
      <x:c r="Q1357" s="7" t="s">
        <x:v>2064</x:v>
      </x:c>
      <x:c r="R1357" s="7" t="s">
        <x:v>58</x:v>
      </x:c>
      <x:c r="S1357" s="7" t="s">
        <x:v>53</x:v>
      </x:c>
      <x:c r="T1357" s="7" t="s">
        <x:v>4498</x:v>
      </x:c>
      <x:c r="U1357" s="7" t="s">
        <x:v>53</x:v>
      </x:c>
      <x:c r="V1357" s="7" t="s">
        <x:v>2082</x:v>
      </x:c>
      <x:c r="W1357" s="7" t="s">
        <x:v>58</x:v>
      </x:c>
      <x:c r="X1357" s="7" t="s">
        <x:v>4604</x:v>
      </x:c>
      <x:c r="Y1357" s="7" t="s">
        <x:v>1331</x:v>
      </x:c>
      <x:c r="Z1357" s="7" t="s">
        <x:v>2083</x:v>
      </x:c>
      <x:c r="AA1357" s="7" t="s">
        <x:v>58</x:v>
      </x:c>
      <x:c r="AB1357" s="8" t="s">
        <x:v>58</x:v>
      </x:c>
      <x:c r="AC1357" s="8" t="s">
        <x:v>58</x:v>
      </x:c>
      <x:c r="AD1357" s="8" t="s">
        <x:v>58</x:v>
      </x:c>
      <x:c r="AE1357" s="8" t="s">
        <x:v>58</x:v>
      </x:c>
      <x:c r="AF1357" s="8" t="s">
        <x:v>58</x:v>
      </x:c>
      <x:c r="AG1357" s="7" t="s">
        <x:v>58</x:v>
      </x:c>
    </x:row>
    <x:row r="1358" ht="79.5" hidden="0" customHeight="1">
      <x:c r="A1358" s="7" t="s">
        <x:v>4607</x:v>
      </x:c>
      <x:c r="B1358" s="7" t="s">
        <x:v>813</x:v>
      </x:c>
      <x:c r="C1358" s="7" t="s">
        <x:v>815</x:v>
      </x:c>
      <x:c r="D1358" s="7" t="s">
        <x:v>1954</x:v>
      </x:c>
      <x:c r="E1358" s="7" t="s">
        <x:v>3248</x:v>
      </x:c>
      <x:c r="F1358" s="7" t="s">
        <x:v>1956</x:v>
      </x:c>
      <x:c r="G1358" s="8" t="n">
        <x:v>100</x:v>
      </x:c>
      <x:c r="H1358" s="8" t="s">
        <x:v>58</x:v>
      </x:c>
      <x:c r="I1358" s="8" t="s">
        <x:v>58</x:v>
      </x:c>
      <x:c r="J1358" s="7" t="s">
        <x:v>1919</x:v>
      </x:c>
      <x:c r="K1358" s="8" t="n">
        <x:v>1</x:v>
      </x:c>
      <x:c r="L1358" s="8" t="n">
        <x:f aca="0">IF(AND(ISNUMBER(G1358),P1358&lt;&gt;"Unresolved unit / layout"),G1358*K1358,"Not applicable")</x:f>
        <x:v>100</x:v>
      </x:c>
      <x:c r="M1358" s="8" t="str">
        <x:f aca="0">IF(AND(ISNUMBER(H1358),P1358&lt;&gt;"Unresolved unit / layout"),H1358*K1358,"Not applicable")</x:f>
        <x:v>Not applicable</x:v>
      </x:c>
      <x:c r="N1358" s="8" t="str">
        <x:f aca="0">IF(AND(ISNUMBER(I1358),P1358&lt;&gt;"Unresolved unit / layout"),I1358*K1358,"Not applicable")</x:f>
        <x:v>Not applicable</x:v>
      </x:c>
      <x:c r="O1358" s="7" t="s">
        <x:v>1956</x:v>
      </x:c>
      <x:c r="P1358" s="7" t="s">
        <x:v>1921</x:v>
      </x:c>
      <x:c r="Q1358" s="7" t="s">
        <x:v>2064</x:v>
      </x:c>
      <x:c r="R1358" s="7" t="s">
        <x:v>58</x:v>
      </x:c>
      <x:c r="S1358" s="7" t="s">
        <x:v>53</x:v>
      </x:c>
      <x:c r="T1358" s="7" t="s">
        <x:v>4498</x:v>
      </x:c>
      <x:c r="U1358" s="7" t="s">
        <x:v>53</x:v>
      </x:c>
      <x:c r="V1358" s="7" t="s">
        <x:v>2082</x:v>
      </x:c>
      <x:c r="W1358" s="7" t="s">
        <x:v>58</x:v>
      </x:c>
      <x:c r="X1358" s="7" t="s">
        <x:v>4604</x:v>
      </x:c>
      <x:c r="Y1358" s="7" t="s">
        <x:v>1331</x:v>
      </x:c>
      <x:c r="Z1358" s="7" t="s">
        <x:v>2086</x:v>
      </x:c>
      <x:c r="AA1358" s="7" t="s">
        <x:v>58</x:v>
      </x:c>
      <x:c r="AB1358" s="8" t="s">
        <x:v>58</x:v>
      </x:c>
      <x:c r="AC1358" s="8" t="s">
        <x:v>58</x:v>
      </x:c>
      <x:c r="AD1358" s="8" t="s">
        <x:v>58</x:v>
      </x:c>
      <x:c r="AE1358" s="8" t="s">
        <x:v>58</x:v>
      </x:c>
      <x:c r="AF1358" s="8" t="s">
        <x:v>58</x:v>
      </x:c>
      <x:c r="AG1358" s="7" t="s">
        <x:v>58</x:v>
      </x:c>
    </x:row>
    <x:row r="1359" ht="79.5" hidden="0" customHeight="1">
      <x:c r="A1359" s="7" t="s">
        <x:v>4608</x:v>
      </x:c>
      <x:c r="B1359" s="7" t="s">
        <x:v>813</x:v>
      </x:c>
      <x:c r="C1359" s="7" t="s">
        <x:v>815</x:v>
      </x:c>
      <x:c r="D1359" s="7" t="s">
        <x:v>1978</x:v>
      </x:c>
      <x:c r="E1359" s="7" t="s">
        <x:v>2897</x:v>
      </x:c>
      <x:c r="F1359" s="7" t="s">
        <x:v>1956</x:v>
      </x:c>
      <x:c r="G1359" s="8" t="n">
        <x:v>214</x:v>
      </x:c>
      <x:c r="H1359" s="8" t="s">
        <x:v>58</x:v>
      </x:c>
      <x:c r="I1359" s="8" t="s">
        <x:v>58</x:v>
      </x:c>
      <x:c r="J1359" s="7" t="s">
        <x:v>1919</x:v>
      </x:c>
      <x:c r="K1359" s="8" t="n">
        <x:v>1</x:v>
      </x:c>
      <x:c r="L1359" s="8" t="n">
        <x:f aca="0">IF(AND(ISNUMBER(G1359),P1359&lt;&gt;"Unresolved unit / layout"),G1359*K1359,"Not applicable")</x:f>
        <x:v>214</x:v>
      </x:c>
      <x:c r="M1359" s="8" t="str">
        <x:f aca="0">IF(AND(ISNUMBER(H1359),P1359&lt;&gt;"Unresolved unit / layout"),H1359*K1359,"Not applicable")</x:f>
        <x:v>Not applicable</x:v>
      </x:c>
      <x:c r="N1359" s="8" t="str">
        <x:f aca="0">IF(AND(ISNUMBER(I1359),P1359&lt;&gt;"Unresolved unit / layout"),I1359*K1359,"Not applicable")</x:f>
        <x:v>Not applicable</x:v>
      </x:c>
      <x:c r="O1359" s="7" t="s">
        <x:v>1956</x:v>
      </x:c>
      <x:c r="P1359" s="7" t="s">
        <x:v>1921</x:v>
      </x:c>
      <x:c r="Q1359" s="7" t="s">
        <x:v>2064</x:v>
      </x:c>
      <x:c r="R1359" s="7" t="s">
        <x:v>58</x:v>
      </x:c>
      <x:c r="S1359" s="7" t="s">
        <x:v>53</x:v>
      </x:c>
      <x:c r="T1359" s="7" t="s">
        <x:v>4498</x:v>
      </x:c>
      <x:c r="U1359" s="7" t="s">
        <x:v>53</x:v>
      </x:c>
      <x:c r="V1359" s="7" t="s">
        <x:v>2082</x:v>
      </x:c>
      <x:c r="W1359" s="7" t="s">
        <x:v>58</x:v>
      </x:c>
      <x:c r="X1359" s="7" t="s">
        <x:v>4604</x:v>
      </x:c>
      <x:c r="Y1359" s="7" t="s">
        <x:v>1331</x:v>
      </x:c>
      <x:c r="Z1359" s="7" t="s">
        <x:v>2188</x:v>
      </x:c>
      <x:c r="AA1359" s="7" t="s">
        <x:v>58</x:v>
      </x:c>
      <x:c r="AB1359" s="8" t="s">
        <x:v>58</x:v>
      </x:c>
      <x:c r="AC1359" s="8" t="s">
        <x:v>58</x:v>
      </x:c>
      <x:c r="AD1359" s="8" t="s">
        <x:v>58</x:v>
      </x:c>
      <x:c r="AE1359" s="8" t="s">
        <x:v>58</x:v>
      </x:c>
      <x:c r="AF1359" s="8" t="s">
        <x:v>58</x:v>
      </x:c>
      <x:c r="AG1359" s="7" t="s">
        <x:v>58</x:v>
      </x:c>
    </x:row>
    <x:row r="1360" ht="79.5" hidden="0" customHeight="1">
      <x:c r="A1360" s="7" t="s">
        <x:v>4609</x:v>
      </x:c>
      <x:c r="B1360" s="7" t="s">
        <x:v>813</x:v>
      </x:c>
      <x:c r="C1360" s="7" t="s">
        <x:v>815</x:v>
      </x:c>
      <x:c r="D1360" s="7" t="s">
        <x:v>1982</x:v>
      </x:c>
      <x:c r="E1360" s="7" t="s">
        <x:v>4610</x:v>
      </x:c>
      <x:c r="F1360" s="7" t="s">
        <x:v>1956</x:v>
      </x:c>
      <x:c r="G1360" s="8" t="n">
        <x:v>268</x:v>
      </x:c>
      <x:c r="H1360" s="8" t="s">
        <x:v>58</x:v>
      </x:c>
      <x:c r="I1360" s="8" t="s">
        <x:v>58</x:v>
      </x:c>
      <x:c r="J1360" s="7" t="s">
        <x:v>1919</x:v>
      </x:c>
      <x:c r="K1360" s="8" t="n">
        <x:v>1</x:v>
      </x:c>
      <x:c r="L1360" s="8" t="n">
        <x:f aca="0">IF(AND(ISNUMBER(G1360),P1360&lt;&gt;"Unresolved unit / layout"),G1360*K1360,"Not applicable")</x:f>
        <x:v>268</x:v>
      </x:c>
      <x:c r="M1360" s="8" t="str">
        <x:f aca="0">IF(AND(ISNUMBER(H1360),P1360&lt;&gt;"Unresolved unit / layout"),H1360*K1360,"Not applicable")</x:f>
        <x:v>Not applicable</x:v>
      </x:c>
      <x:c r="N1360" s="8" t="str">
        <x:f aca="0">IF(AND(ISNUMBER(I1360),P1360&lt;&gt;"Unresolved unit / layout"),I1360*K1360,"Not applicable")</x:f>
        <x:v>Not applicable</x:v>
      </x:c>
      <x:c r="O1360" s="7" t="s">
        <x:v>1956</x:v>
      </x:c>
      <x:c r="P1360" s="7" t="s">
        <x:v>1921</x:v>
      </x:c>
      <x:c r="Q1360" s="7" t="s">
        <x:v>2064</x:v>
      </x:c>
      <x:c r="R1360" s="7" t="s">
        <x:v>58</x:v>
      </x:c>
      <x:c r="S1360" s="7" t="s">
        <x:v>53</x:v>
      </x:c>
      <x:c r="T1360" s="7" t="s">
        <x:v>4498</x:v>
      </x:c>
      <x:c r="U1360" s="7" t="s">
        <x:v>53</x:v>
      </x:c>
      <x:c r="V1360" s="7" t="s">
        <x:v>1984</x:v>
      </x:c>
      <x:c r="W1360" s="7" t="s">
        <x:v>58</x:v>
      </x:c>
      <x:c r="X1360" s="7" t="s">
        <x:v>4604</x:v>
      </x:c>
      <x:c r="Y1360" s="7" t="s">
        <x:v>1331</x:v>
      </x:c>
      <x:c r="Z1360" s="7" t="s">
        <x:v>2234</x:v>
      </x:c>
      <x:c r="AA1360" s="7" t="s">
        <x:v>58</x:v>
      </x:c>
      <x:c r="AB1360" s="8" t="s">
        <x:v>58</x:v>
      </x:c>
      <x:c r="AC1360" s="8" t="s">
        <x:v>58</x:v>
      </x:c>
      <x:c r="AD1360" s="8" t="s">
        <x:v>58</x:v>
      </x:c>
      <x:c r="AE1360" s="8" t="s">
        <x:v>58</x:v>
      </x:c>
      <x:c r="AF1360" s="8" t="s">
        <x:v>58</x:v>
      </x:c>
      <x:c r="AG1360" s="7" t="s">
        <x:v>58</x:v>
      </x:c>
    </x:row>
    <x:row r="1361" ht="79.5" hidden="0" customHeight="1">
      <x:c r="A1361" s="7" t="s">
        <x:v>4611</x:v>
      </x:c>
      <x:c r="B1361" s="7" t="s">
        <x:v>813</x:v>
      </x:c>
      <x:c r="C1361" s="7" t="s">
        <x:v>815</x:v>
      </x:c>
      <x:c r="D1361" s="7" t="s">
        <x:v>1959</x:v>
      </x:c>
      <x:c r="E1361" s="7" t="s">
        <x:v>4612</x:v>
      </x:c>
      <x:c r="F1361" s="7" t="s">
        <x:v>1956</x:v>
      </x:c>
      <x:c r="G1361" s="8" t="n">
        <x:v>235</x:v>
      </x:c>
      <x:c r="H1361" s="8" t="s">
        <x:v>58</x:v>
      </x:c>
      <x:c r="I1361" s="8" t="s">
        <x:v>58</x:v>
      </x:c>
      <x:c r="J1361" s="7" t="s">
        <x:v>1919</x:v>
      </x:c>
      <x:c r="K1361" s="8" t="n">
        <x:v>1</x:v>
      </x:c>
      <x:c r="L1361" s="8" t="n">
        <x:f aca="0">IF(AND(ISNUMBER(G1361),P1361&lt;&gt;"Unresolved unit / layout"),G1361*K1361,"Not applicable")</x:f>
        <x:v>235</x:v>
      </x:c>
      <x:c r="M1361" s="8" t="str">
        <x:f aca="0">IF(AND(ISNUMBER(H1361),P1361&lt;&gt;"Unresolved unit / layout"),H1361*K1361,"Not applicable")</x:f>
        <x:v>Not applicable</x:v>
      </x:c>
      <x:c r="N1361" s="8" t="str">
        <x:f aca="0">IF(AND(ISNUMBER(I1361),P1361&lt;&gt;"Unresolved unit / layout"),I1361*K1361,"Not applicable")</x:f>
        <x:v>Not applicable</x:v>
      </x:c>
      <x:c r="O1361" s="7" t="s">
        <x:v>1956</x:v>
      </x:c>
      <x:c r="P1361" s="7" t="s">
        <x:v>1921</x:v>
      </x:c>
      <x:c r="Q1361" s="7" t="s">
        <x:v>2064</x:v>
      </x:c>
      <x:c r="R1361" s="7" t="s">
        <x:v>58</x:v>
      </x:c>
      <x:c r="S1361" s="7" t="s">
        <x:v>53</x:v>
      </x:c>
      <x:c r="T1361" s="7" t="s">
        <x:v>4498</x:v>
      </x:c>
      <x:c r="U1361" s="7" t="s">
        <x:v>53</x:v>
      </x:c>
      <x:c r="V1361" s="7" t="s">
        <x:v>2095</x:v>
      </x:c>
      <x:c r="W1361" s="7" t="s">
        <x:v>58</x:v>
      </x:c>
      <x:c r="X1361" s="7" t="s">
        <x:v>4604</x:v>
      </x:c>
      <x:c r="Y1361" s="7" t="s">
        <x:v>1331</x:v>
      </x:c>
      <x:c r="Z1361" s="7" t="s">
        <x:v>2096</x:v>
      </x:c>
      <x:c r="AA1361" s="7" t="s">
        <x:v>58</x:v>
      </x:c>
      <x:c r="AB1361" s="8" t="s">
        <x:v>58</x:v>
      </x:c>
      <x:c r="AC1361" s="8" t="s">
        <x:v>58</x:v>
      </x:c>
      <x:c r="AD1361" s="8" t="s">
        <x:v>58</x:v>
      </x:c>
      <x:c r="AE1361" s="8" t="s">
        <x:v>58</x:v>
      </x:c>
      <x:c r="AF1361" s="8" t="s">
        <x:v>58</x:v>
      </x:c>
      <x:c r="AG1361" s="7" t="s">
        <x:v>58</x:v>
      </x:c>
    </x:row>
    <x:row r="1362" ht="79.5" hidden="0" customHeight="1">
      <x:c r="A1362" s="7" t="s">
        <x:v>820</x:v>
      </x:c>
      <x:c r="B1362" s="7" t="s">
        <x:v>813</x:v>
      </x:c>
      <x:c r="C1362" s="7" t="s">
        <x:v>815</x:v>
      </x:c>
      <x:c r="D1362" s="7" t="s">
        <x:v>1959</x:v>
      </x:c>
      <x:c r="E1362" s="7" t="s">
        <x:v>4613</x:v>
      </x:c>
      <x:c r="F1362" s="7" t="s">
        <x:v>1956</x:v>
      </x:c>
      <x:c r="G1362" s="8" t="n">
        <x:v>264</x:v>
      </x:c>
      <x:c r="H1362" s="8" t="s">
        <x:v>58</x:v>
      </x:c>
      <x:c r="I1362" s="8" t="s">
        <x:v>58</x:v>
      </x:c>
      <x:c r="J1362" s="7" t="s">
        <x:v>1919</x:v>
      </x:c>
      <x:c r="K1362" s="8" t="n">
        <x:v>1</x:v>
      </x:c>
      <x:c r="L1362" s="8" t="n">
        <x:f aca="0">IF(AND(ISNUMBER(G1362),P1362&lt;&gt;"Unresolved unit / layout"),G1362*K1362,"Not applicable")</x:f>
        <x:v>264</x:v>
      </x:c>
      <x:c r="M1362" s="8" t="str">
        <x:f aca="0">IF(AND(ISNUMBER(H1362),P1362&lt;&gt;"Unresolved unit / layout"),H1362*K1362,"Not applicable")</x:f>
        <x:v>Not applicable</x:v>
      </x:c>
      <x:c r="N1362" s="8" t="str">
        <x:f aca="0">IF(AND(ISNUMBER(I1362),P1362&lt;&gt;"Unresolved unit / layout"),I1362*K1362,"Not applicable")</x:f>
        <x:v>Not applicable</x:v>
      </x:c>
      <x:c r="O1362" s="7" t="s">
        <x:v>1956</x:v>
      </x:c>
      <x:c r="P1362" s="7" t="s">
        <x:v>1921</x:v>
      </x:c>
      <x:c r="Q1362" s="7" t="s">
        <x:v>2064</x:v>
      </x:c>
      <x:c r="R1362" s="7" t="s">
        <x:v>58</x:v>
      </x:c>
      <x:c r="S1362" s="7" t="s">
        <x:v>53</x:v>
      </x:c>
      <x:c r="T1362" s="7" t="s">
        <x:v>4498</x:v>
      </x:c>
      <x:c r="U1362" s="7" t="s">
        <x:v>53</x:v>
      </x:c>
      <x:c r="V1362" s="7" t="s">
        <x:v>2097</x:v>
      </x:c>
      <x:c r="W1362" s="7" t="s">
        <x:v>58</x:v>
      </x:c>
      <x:c r="X1362" s="7" t="s">
        <x:v>4604</x:v>
      </x:c>
      <x:c r="Y1362" s="7" t="s">
        <x:v>1331</x:v>
      </x:c>
      <x:c r="Z1362" s="7" t="s">
        <x:v>2096</x:v>
      </x:c>
      <x:c r="AA1362" s="7" t="s">
        <x:v>58</x:v>
      </x:c>
      <x:c r="AB1362" s="8" t="s">
        <x:v>58</x:v>
      </x:c>
      <x:c r="AC1362" s="8" t="s">
        <x:v>58</x:v>
      </x:c>
      <x:c r="AD1362" s="8" t="s">
        <x:v>58</x:v>
      </x:c>
      <x:c r="AE1362" s="8" t="s">
        <x:v>58</x:v>
      </x:c>
      <x:c r="AF1362" s="8" t="s">
        <x:v>58</x:v>
      </x:c>
      <x:c r="AG1362" s="7" t="s">
        <x:v>58</x:v>
      </x:c>
    </x:row>
    <x:row r="1363" ht="79.5" hidden="0" customHeight="1">
      <x:c r="A1363" s="7" t="s">
        <x:v>4614</x:v>
      </x:c>
      <x:c r="B1363" s="7" t="s">
        <x:v>813</x:v>
      </x:c>
      <x:c r="C1363" s="7" t="s">
        <x:v>815</x:v>
      </x:c>
      <x:c r="D1363" s="7" t="s">
        <x:v>2099</x:v>
      </x:c>
      <x:c r="E1363" s="7" t="s">
        <x:v>4615</x:v>
      </x:c>
      <x:c r="F1363" s="7" t="s">
        <x:v>1942</x:v>
      </x:c>
      <x:c r="G1363" s="8" t="n">
        <x:v>0.05</x:v>
      </x:c>
      <x:c r="H1363" s="8" t="s">
        <x:v>58</x:v>
      </x:c>
      <x:c r="I1363" s="8" t="s">
        <x:v>58</x:v>
      </x:c>
      <x:c r="J1363" s="7" t="s">
        <x:v>1919</x:v>
      </x:c>
      <x:c r="K1363" s="8" t="n">
        <x:v>1</x:v>
      </x:c>
      <x:c r="L1363" s="8" t="n">
        <x:f aca="0">IF(AND(ISNUMBER(G1363),P1363&lt;&gt;"Unresolved unit / layout"),G1363*K1363,"Not applicable")</x:f>
        <x:v>0.05</x:v>
      </x:c>
      <x:c r="M1363" s="8" t="str">
        <x:f aca="0">IF(AND(ISNUMBER(H1363),P1363&lt;&gt;"Unresolved unit / layout"),H1363*K1363,"Not applicable")</x:f>
        <x:v>Not applicable</x:v>
      </x:c>
      <x:c r="N1363" s="8" t="str">
        <x:f aca="0">IF(AND(ISNUMBER(I1363),P1363&lt;&gt;"Unresolved unit / layout"),I1363*K1363,"Not applicable")</x:f>
        <x:v>Not applicable</x:v>
      </x:c>
      <x:c r="O1363" s="7" t="s">
        <x:v>1942</x:v>
      </x:c>
      <x:c r="P1363" s="7" t="s">
        <x:v>1921</x:v>
      </x:c>
      <x:c r="Q1363" s="7" t="s">
        <x:v>2064</x:v>
      </x:c>
      <x:c r="R1363" s="7" t="s">
        <x:v>58</x:v>
      </x:c>
      <x:c r="S1363" s="7" t="s">
        <x:v>53</x:v>
      </x:c>
      <x:c r="T1363" s="7" t="s">
        <x:v>4498</x:v>
      </x:c>
      <x:c r="U1363" s="7" t="s">
        <x:v>53</x:v>
      </x:c>
      <x:c r="V1363" s="7" t="s">
        <x:v>2238</x:v>
      </x:c>
      <x:c r="W1363" s="7" t="s">
        <x:v>58</x:v>
      </x:c>
      <x:c r="X1363" s="7" t="s">
        <x:v>4604</x:v>
      </x:c>
      <x:c r="Y1363" s="7" t="s">
        <x:v>1331</x:v>
      </x:c>
      <x:c r="Z1363" s="7" t="s">
        <x:v>2239</x:v>
      </x:c>
      <x:c r="AA1363" s="7" t="s">
        <x:v>58</x:v>
      </x:c>
      <x:c r="AB1363" s="8" t="s">
        <x:v>58</x:v>
      </x:c>
      <x:c r="AC1363" s="8" t="s">
        <x:v>58</x:v>
      </x:c>
      <x:c r="AD1363" s="8" t="s">
        <x:v>58</x:v>
      </x:c>
      <x:c r="AE1363" s="8" t="s">
        <x:v>58</x:v>
      </x:c>
      <x:c r="AF1363" s="8" t="s">
        <x:v>58</x:v>
      </x:c>
      <x:c r="AG1363" s="7" t="s">
        <x:v>58</x:v>
      </x:c>
    </x:row>
    <x:row r="1364" ht="79.5" hidden="0" customHeight="1">
      <x:c r="A1364" s="7" t="s">
        <x:v>4616</x:v>
      </x:c>
      <x:c r="B1364" s="7" t="s">
        <x:v>813</x:v>
      </x:c>
      <x:c r="C1364" s="7" t="s">
        <x:v>815</x:v>
      </x:c>
      <x:c r="D1364" s="7" t="s">
        <x:v>1935</x:v>
      </x:c>
      <x:c r="E1364" s="7" t="s">
        <x:v>4617</x:v>
      </x:c>
      <x:c r="F1364" s="7" t="s">
        <x:v>1929</x:v>
      </x:c>
      <x:c r="G1364" s="8" t="n">
        <x:v>8230</x:v>
      </x:c>
      <x:c r="H1364" s="8" t="n">
        <x:v>270</x:v>
      </x:c>
      <x:c r="I1364" s="8" t="s">
        <x:v>58</x:v>
      </x:c>
      <x:c r="J1364" s="7" t="s">
        <x:v>1919</x:v>
      </x:c>
      <x:c r="K1364" s="8" t="n">
        <x:v>0.001</x:v>
      </x:c>
      <x:c r="L1364" s="8" t="n">
        <x:f aca="0">IF(AND(ISNUMBER(G1364),P1364&lt;&gt;"Unresolved unit / layout"),G1364*K1364,"Not applicable")</x:f>
        <x:v>8.23</x:v>
      </x:c>
      <x:c r="M1364" s="8" t="n">
        <x:f aca="0">IF(AND(ISNUMBER(H1364),P1364&lt;&gt;"Unresolved unit / layout"),H1364*K1364,"Not applicable")</x:f>
        <x:v>0.27</x:v>
      </x:c>
      <x:c r="N1364" s="8" t="str">
        <x:f aca="0">IF(AND(ISNUMBER(I1364),P1364&lt;&gt;"Unresolved unit / layout"),I1364*K1364,"Not applicable")</x:f>
        <x:v>Not applicable</x:v>
      </x:c>
      <x:c r="O1364" s="7" t="s">
        <x:v>1937</x:v>
      </x:c>
      <x:c r="P1364" s="7" t="s">
        <x:v>1921</x:v>
      </x:c>
      <x:c r="Q1364" s="7" t="s">
        <x:v>2064</x:v>
      </x:c>
      <x:c r="R1364" s="7" t="s">
        <x:v>1931</x:v>
      </x:c>
      <x:c r="S1364" s="7" t="s">
        <x:v>53</x:v>
      </x:c>
      <x:c r="T1364" s="7" t="s">
        <x:v>4498</x:v>
      </x:c>
      <x:c r="U1364" s="7" t="s">
        <x:v>53</x:v>
      </x:c>
      <x:c r="V1364" s="7" t="s">
        <x:v>1999</x:v>
      </x:c>
      <x:c r="W1364" s="7" t="s">
        <x:v>58</x:v>
      </x:c>
      <x:c r="X1364" s="7" t="s">
        <x:v>4604</x:v>
      </x:c>
      <x:c r="Y1364" s="7" t="s">
        <x:v>1331</x:v>
      </x:c>
      <x:c r="Z1364" s="7" t="s">
        <x:v>2105</x:v>
      </x:c>
      <x:c r="AA1364" s="7" t="s">
        <x:v>58</x:v>
      </x:c>
      <x:c r="AB1364" s="8" t="s">
        <x:v>58</x:v>
      </x:c>
      <x:c r="AC1364" s="8" t="s">
        <x:v>58</x:v>
      </x:c>
      <x:c r="AD1364" s="8" t="s">
        <x:v>58</x:v>
      </x:c>
      <x:c r="AE1364" s="8" t="s">
        <x:v>58</x:v>
      </x:c>
      <x:c r="AF1364" s="8" t="s">
        <x:v>58</x:v>
      </x:c>
      <x:c r="AG1364" s="7" t="s">
        <x:v>58</x:v>
      </x:c>
    </x:row>
    <x:row r="1365" ht="79.5" hidden="0" customHeight="1">
      <x:c r="A1365" s="7" t="s">
        <x:v>4618</x:v>
      </x:c>
      <x:c r="B1365" s="7" t="s">
        <x:v>813</x:v>
      </x:c>
      <x:c r="C1365" s="7" t="s">
        <x:v>815</x:v>
      </x:c>
      <x:c r="D1365" s="7" t="s">
        <x:v>1935</x:v>
      </x:c>
      <x:c r="E1365" s="7" t="s">
        <x:v>4619</x:v>
      </x:c>
      <x:c r="F1365" s="7" t="s">
        <x:v>1929</x:v>
      </x:c>
      <x:c r="G1365" s="8" t="n">
        <x:v>2850</x:v>
      </x:c>
      <x:c r="H1365" s="8" t="n">
        <x:v>160</x:v>
      </x:c>
      <x:c r="I1365" s="8" t="s">
        <x:v>58</x:v>
      </x:c>
      <x:c r="J1365" s="7" t="s">
        <x:v>1919</x:v>
      </x:c>
      <x:c r="K1365" s="8" t="n">
        <x:v>0.001</x:v>
      </x:c>
      <x:c r="L1365" s="8" t="n">
        <x:f aca="0">IF(AND(ISNUMBER(G1365),P1365&lt;&gt;"Unresolved unit / layout"),G1365*K1365,"Not applicable")</x:f>
        <x:v>2.85</x:v>
      </x:c>
      <x:c r="M1365" s="8" t="n">
        <x:f aca="0">IF(AND(ISNUMBER(H1365),P1365&lt;&gt;"Unresolved unit / layout"),H1365*K1365,"Not applicable")</x:f>
        <x:v>0.16</x:v>
      </x:c>
      <x:c r="N1365" s="8" t="str">
        <x:f aca="0">IF(AND(ISNUMBER(I1365),P1365&lt;&gt;"Unresolved unit / layout"),I1365*K1365,"Not applicable")</x:f>
        <x:v>Not applicable</x:v>
      </x:c>
      <x:c r="O1365" s="7" t="s">
        <x:v>1937</x:v>
      </x:c>
      <x:c r="P1365" s="7" t="s">
        <x:v>1921</x:v>
      </x:c>
      <x:c r="Q1365" s="7" t="s">
        <x:v>2064</x:v>
      </x:c>
      <x:c r="R1365" s="7" t="s">
        <x:v>2003</x:v>
      </x:c>
      <x:c r="S1365" s="7" t="s">
        <x:v>53</x:v>
      </x:c>
      <x:c r="T1365" s="7" t="s">
        <x:v>4498</x:v>
      </x:c>
      <x:c r="U1365" s="7" t="s">
        <x:v>53</x:v>
      </x:c>
      <x:c r="V1365" s="7" t="s">
        <x:v>1999</x:v>
      </x:c>
      <x:c r="W1365" s="7" t="s">
        <x:v>58</x:v>
      </x:c>
      <x:c r="X1365" s="7" t="s">
        <x:v>4604</x:v>
      </x:c>
      <x:c r="Y1365" s="7" t="s">
        <x:v>1331</x:v>
      </x:c>
      <x:c r="Z1365" s="7" t="s">
        <x:v>2108</x:v>
      </x:c>
      <x:c r="AA1365" s="7" t="s">
        <x:v>58</x:v>
      </x:c>
      <x:c r="AB1365" s="8" t="s">
        <x:v>58</x:v>
      </x:c>
      <x:c r="AC1365" s="8" t="s">
        <x:v>58</x:v>
      </x:c>
      <x:c r="AD1365" s="8" t="s">
        <x:v>58</x:v>
      </x:c>
      <x:c r="AE1365" s="8" t="s">
        <x:v>58</x:v>
      </x:c>
      <x:c r="AF1365" s="8" t="s">
        <x:v>58</x:v>
      </x:c>
      <x:c r="AG1365" s="7" t="s">
        <x:v>58</x:v>
      </x:c>
    </x:row>
    <x:row r="1366" ht="79.5" hidden="0" customHeight="1">
      <x:c r="A1366" s="7" t="s">
        <x:v>4620</x:v>
      </x:c>
      <x:c r="B1366" s="7" t="s">
        <x:v>813</x:v>
      </x:c>
      <x:c r="C1366" s="7" t="s">
        <x:v>815</x:v>
      </x:c>
      <x:c r="D1366" s="7" t="s">
        <x:v>2006</x:v>
      </x:c>
      <x:c r="E1366" s="7" t="s">
        <x:v>4621</x:v>
      </x:c>
      <x:c r="F1366" s="7" t="s">
        <x:v>1929</x:v>
      </x:c>
      <x:c r="G1366" s="8" t="n">
        <x:v>87</x:v>
      </x:c>
      <x:c r="H1366" s="8" t="n">
        <x:v>5</x:v>
      </x:c>
      <x:c r="I1366" s="8" t="s">
        <x:v>58</x:v>
      </x:c>
      <x:c r="J1366" s="7" t="s">
        <x:v>1919</x:v>
      </x:c>
      <x:c r="K1366" s="8" t="n">
        <x:v>1</x:v>
      </x:c>
      <x:c r="L1366" s="8" t="n">
        <x:f aca="0">IF(AND(ISNUMBER(G1366),P1366&lt;&gt;"Unresolved unit / layout"),G1366*K1366,"Not applicable")</x:f>
        <x:v>87</x:v>
      </x:c>
      <x:c r="M1366" s="8" t="n">
        <x:f aca="0">IF(AND(ISNUMBER(H1366),P1366&lt;&gt;"Unresolved unit / layout"),H1366*K1366,"Not applicable")</x:f>
        <x:v>5</x:v>
      </x:c>
      <x:c r="N1366" s="8" t="str">
        <x:f aca="0">IF(AND(ISNUMBER(I1366),P1366&lt;&gt;"Unresolved unit / layout"),I1366*K1366,"Not applicable")</x:f>
        <x:v>Not applicable</x:v>
      </x:c>
      <x:c r="O1366" s="7" t="s">
        <x:v>1929</x:v>
      </x:c>
      <x:c r="P1366" s="7" t="s">
        <x:v>1921</x:v>
      </x:c>
      <x:c r="Q1366" s="7" t="s">
        <x:v>2064</x:v>
      </x:c>
      <x:c r="R1366" s="7" t="s">
        <x:v>1931</x:v>
      </x:c>
      <x:c r="S1366" s="7" t="s">
        <x:v>53</x:v>
      </x:c>
      <x:c r="T1366" s="7" t="s">
        <x:v>4498</x:v>
      </x:c>
      <x:c r="U1366" s="7" t="s">
        <x:v>53</x:v>
      </x:c>
      <x:c r="V1366" s="7" t="s">
        <x:v>1999</x:v>
      </x:c>
      <x:c r="W1366" s="7" t="s">
        <x:v>58</x:v>
      </x:c>
      <x:c r="X1366" s="7" t="s">
        <x:v>4604</x:v>
      </x:c>
      <x:c r="Y1366" s="7" t="s">
        <x:v>1331</x:v>
      </x:c>
      <x:c r="Z1366" s="7" t="s">
        <x:v>2111</x:v>
      </x:c>
      <x:c r="AA1366" s="7" t="s">
        <x:v>58</x:v>
      </x:c>
      <x:c r="AB1366" s="8" t="s">
        <x:v>58</x:v>
      </x:c>
      <x:c r="AC1366" s="8" t="s">
        <x:v>58</x:v>
      </x:c>
      <x:c r="AD1366" s="8" t="s">
        <x:v>58</x:v>
      </x:c>
      <x:c r="AE1366" s="8" t="s">
        <x:v>58</x:v>
      </x:c>
      <x:c r="AF1366" s="8" t="s">
        <x:v>58</x:v>
      </x:c>
      <x:c r="AG1366" s="7" t="s">
        <x:v>58</x:v>
      </x:c>
    </x:row>
    <x:row r="1367" ht="79.5" hidden="0" customHeight="1">
      <x:c r="A1367" s="7" t="s">
        <x:v>4622</x:v>
      </x:c>
      <x:c r="B1367" s="7" t="s">
        <x:v>813</x:v>
      </x:c>
      <x:c r="C1367" s="7" t="s">
        <x:v>815</x:v>
      </x:c>
      <x:c r="D1367" s="7" t="s">
        <x:v>2006</x:v>
      </x:c>
      <x:c r="E1367" s="7" t="s">
        <x:v>3307</x:v>
      </x:c>
      <x:c r="F1367" s="7" t="s">
        <x:v>1929</x:v>
      </x:c>
      <x:c r="G1367" s="8" t="n">
        <x:v>24</x:v>
      </x:c>
      <x:c r="H1367" s="8" t="n">
        <x:v>3</x:v>
      </x:c>
      <x:c r="I1367" s="8" t="s">
        <x:v>58</x:v>
      </x:c>
      <x:c r="J1367" s="7" t="s">
        <x:v>1919</x:v>
      </x:c>
      <x:c r="K1367" s="8" t="n">
        <x:v>1</x:v>
      </x:c>
      <x:c r="L1367" s="8" t="n">
        <x:f aca="0">IF(AND(ISNUMBER(G1367),P1367&lt;&gt;"Unresolved unit / layout"),G1367*K1367,"Not applicable")</x:f>
        <x:v>24</x:v>
      </x:c>
      <x:c r="M1367" s="8" t="n">
        <x:f aca="0">IF(AND(ISNUMBER(H1367),P1367&lt;&gt;"Unresolved unit / layout"),H1367*K1367,"Not applicable")</x:f>
        <x:v>3</x:v>
      </x:c>
      <x:c r="N1367" s="8" t="str">
        <x:f aca="0">IF(AND(ISNUMBER(I1367),P1367&lt;&gt;"Unresolved unit / layout"),I1367*K1367,"Not applicable")</x:f>
        <x:v>Not applicable</x:v>
      </x:c>
      <x:c r="O1367" s="7" t="s">
        <x:v>1929</x:v>
      </x:c>
      <x:c r="P1367" s="7" t="s">
        <x:v>1921</x:v>
      </x:c>
      <x:c r="Q1367" s="7" t="s">
        <x:v>2064</x:v>
      </x:c>
      <x:c r="R1367" s="7" t="s">
        <x:v>2003</x:v>
      </x:c>
      <x:c r="S1367" s="7" t="s">
        <x:v>53</x:v>
      </x:c>
      <x:c r="T1367" s="7" t="s">
        <x:v>4498</x:v>
      </x:c>
      <x:c r="U1367" s="7" t="s">
        <x:v>53</x:v>
      </x:c>
      <x:c r="V1367" s="7" t="s">
        <x:v>1999</x:v>
      </x:c>
      <x:c r="W1367" s="7" t="s">
        <x:v>58</x:v>
      </x:c>
      <x:c r="X1367" s="7" t="s">
        <x:v>4604</x:v>
      </x:c>
      <x:c r="Y1367" s="7" t="s">
        <x:v>1331</x:v>
      </x:c>
      <x:c r="Z1367" s="7" t="s">
        <x:v>2114</x:v>
      </x:c>
      <x:c r="AA1367" s="7" t="s">
        <x:v>58</x:v>
      </x:c>
      <x:c r="AB1367" s="8" t="s">
        <x:v>58</x:v>
      </x:c>
      <x:c r="AC1367" s="8" t="s">
        <x:v>58</x:v>
      </x:c>
      <x:c r="AD1367" s="8" t="s">
        <x:v>58</x:v>
      </x:c>
      <x:c r="AE1367" s="8" t="s">
        <x:v>58</x:v>
      </x:c>
      <x:c r="AF1367" s="8" t="s">
        <x:v>58</x:v>
      </x:c>
      <x:c r="AG1367" s="7" t="s">
        <x:v>58</x:v>
      </x:c>
    </x:row>
    <x:row r="1368" ht="79.5" hidden="0" customHeight="1">
      <x:c r="A1368" s="7" t="s">
        <x:v>4623</x:v>
      </x:c>
      <x:c r="B1368" s="7" t="s">
        <x:v>813</x:v>
      </x:c>
      <x:c r="C1368" s="7" t="s">
        <x:v>815</x:v>
      </x:c>
      <x:c r="D1368" s="7" t="s">
        <x:v>1940</x:v>
      </x:c>
      <x:c r="E1368" s="7" t="s">
        <x:v>2604</x:v>
      </x:c>
      <x:c r="F1368" s="7" t="s">
        <x:v>1942</x:v>
      </x:c>
      <x:c r="G1368" s="8" t="n">
        <x:v>1.2</x:v>
      </x:c>
      <x:c r="H1368" s="8" t="n">
        <x:v>0.4</x:v>
      </x:c>
      <x:c r="I1368" s="8" t="s">
        <x:v>58</x:v>
      </x:c>
      <x:c r="J1368" s="7" t="s">
        <x:v>1919</x:v>
      </x:c>
      <x:c r="K1368" s="8" t="n">
        <x:v>1</x:v>
      </x:c>
      <x:c r="L1368" s="8" t="n">
        <x:f aca="0">IF(AND(ISNUMBER(G1368),P1368&lt;&gt;"Unresolved unit / layout"),G1368*K1368,"Not applicable")</x:f>
        <x:v>1.2</x:v>
      </x:c>
      <x:c r="M1368" s="8" t="n">
        <x:f aca="0">IF(AND(ISNUMBER(H1368),P1368&lt;&gt;"Unresolved unit / layout"),H1368*K1368,"Not applicable")</x:f>
        <x:v>0.4</x:v>
      </x:c>
      <x:c r="N1368" s="8" t="str">
        <x:f aca="0">IF(AND(ISNUMBER(I1368),P1368&lt;&gt;"Unresolved unit / layout"),I1368*K1368,"Not applicable")</x:f>
        <x:v>Not applicable</x:v>
      </x:c>
      <x:c r="O1368" s="7" t="s">
        <x:v>1942</x:v>
      </x:c>
      <x:c r="P1368" s="7" t="s">
        <x:v>1921</x:v>
      </x:c>
      <x:c r="Q1368" s="7" t="s">
        <x:v>2064</x:v>
      </x:c>
      <x:c r="R1368" s="7" t="s">
        <x:v>1931</x:v>
      </x:c>
      <x:c r="S1368" s="7" t="s">
        <x:v>53</x:v>
      </x:c>
      <x:c r="T1368" s="7" t="s">
        <x:v>4498</x:v>
      </x:c>
      <x:c r="U1368" s="7" t="s">
        <x:v>53</x:v>
      </x:c>
      <x:c r="V1368" s="7" t="s">
        <x:v>1999</x:v>
      </x:c>
      <x:c r="W1368" s="7" t="s">
        <x:v>58</x:v>
      </x:c>
      <x:c r="X1368" s="7" t="s">
        <x:v>4604</x:v>
      </x:c>
      <x:c r="Y1368" s="7" t="s">
        <x:v>1331</x:v>
      </x:c>
      <x:c r="Z1368" s="7" t="s">
        <x:v>2117</x:v>
      </x:c>
      <x:c r="AA1368" s="7" t="s">
        <x:v>58</x:v>
      </x:c>
      <x:c r="AB1368" s="8" t="s">
        <x:v>58</x:v>
      </x:c>
      <x:c r="AC1368" s="8" t="s">
        <x:v>58</x:v>
      </x:c>
      <x:c r="AD1368" s="8" t="s">
        <x:v>58</x:v>
      </x:c>
      <x:c r="AE1368" s="8" t="s">
        <x:v>58</x:v>
      </x:c>
      <x:c r="AF1368" s="8" t="s">
        <x:v>58</x:v>
      </x:c>
      <x:c r="AG1368" s="7" t="s">
        <x:v>58</x:v>
      </x:c>
    </x:row>
    <x:row r="1369" ht="79.5" hidden="0" customHeight="1">
      <x:c r="A1369" s="7" t="s">
        <x:v>4624</x:v>
      </x:c>
      <x:c r="B1369" s="7" t="s">
        <x:v>813</x:v>
      </x:c>
      <x:c r="C1369" s="7" t="s">
        <x:v>815</x:v>
      </x:c>
      <x:c r="D1369" s="7" t="s">
        <x:v>1940</x:v>
      </x:c>
      <x:c r="E1369" s="7" t="s">
        <x:v>4625</x:v>
      </x:c>
      <x:c r="F1369" s="7" t="s">
        <x:v>1942</x:v>
      </x:c>
      <x:c r="G1369" s="8" t="n">
        <x:v>0.7</x:v>
      </x:c>
      <x:c r="H1369" s="8" t="n">
        <x:v>0.3</x:v>
      </x:c>
      <x:c r="I1369" s="8" t="s">
        <x:v>58</x:v>
      </x:c>
      <x:c r="J1369" s="7" t="s">
        <x:v>1919</x:v>
      </x:c>
      <x:c r="K1369" s="8" t="n">
        <x:v>1</x:v>
      </x:c>
      <x:c r="L1369" s="8" t="n">
        <x:f aca="0">IF(AND(ISNUMBER(G1369),P1369&lt;&gt;"Unresolved unit / layout"),G1369*K1369,"Not applicable")</x:f>
        <x:v>0.7</x:v>
      </x:c>
      <x:c r="M1369" s="8" t="n">
        <x:f aca="0">IF(AND(ISNUMBER(H1369),P1369&lt;&gt;"Unresolved unit / layout"),H1369*K1369,"Not applicable")</x:f>
        <x:v>0.3</x:v>
      </x:c>
      <x:c r="N1369" s="8" t="str">
        <x:f aca="0">IF(AND(ISNUMBER(I1369),P1369&lt;&gt;"Unresolved unit / layout"),I1369*K1369,"Not applicable")</x:f>
        <x:v>Not applicable</x:v>
      </x:c>
      <x:c r="O1369" s="7" t="s">
        <x:v>1942</x:v>
      </x:c>
      <x:c r="P1369" s="7" t="s">
        <x:v>1921</x:v>
      </x:c>
      <x:c r="Q1369" s="7" t="s">
        <x:v>2064</x:v>
      </x:c>
      <x:c r="R1369" s="7" t="s">
        <x:v>2003</x:v>
      </x:c>
      <x:c r="S1369" s="7" t="s">
        <x:v>53</x:v>
      </x:c>
      <x:c r="T1369" s="7" t="s">
        <x:v>4498</x:v>
      </x:c>
      <x:c r="U1369" s="7" t="s">
        <x:v>53</x:v>
      </x:c>
      <x:c r="V1369" s="7" t="s">
        <x:v>1999</x:v>
      </x:c>
      <x:c r="W1369" s="7" t="s">
        <x:v>58</x:v>
      </x:c>
      <x:c r="X1369" s="7" t="s">
        <x:v>4604</x:v>
      </x:c>
      <x:c r="Y1369" s="7" t="s">
        <x:v>1331</x:v>
      </x:c>
      <x:c r="Z1369" s="7" t="s">
        <x:v>2120</x:v>
      </x:c>
      <x:c r="AA1369" s="7" t="s">
        <x:v>58</x:v>
      </x:c>
      <x:c r="AB1369" s="8" t="s">
        <x:v>58</x:v>
      </x:c>
      <x:c r="AC1369" s="8" t="s">
        <x:v>58</x:v>
      </x:c>
      <x:c r="AD1369" s="8" t="s">
        <x:v>58</x:v>
      </x:c>
      <x:c r="AE1369" s="8" t="s">
        <x:v>58</x:v>
      </x:c>
      <x:c r="AF1369" s="8" t="s">
        <x:v>58</x:v>
      </x:c>
      <x:c r="AG1369" s="7" t="s">
        <x:v>58</x:v>
      </x:c>
    </x:row>
    <x:row r="1370" ht="79.5" hidden="0" customHeight="1">
      <x:c r="A1370" s="7" t="s">
        <x:v>4626</x:v>
      </x:c>
      <x:c r="B1370" s="7" t="s">
        <x:v>813</x:v>
      </x:c>
      <x:c r="C1370" s="7" t="s">
        <x:v>815</x:v>
      </x:c>
      <x:c r="D1370" s="7" t="s">
        <x:v>1950</x:v>
      </x:c>
      <x:c r="E1370" s="7" t="s">
        <x:v>4627</x:v>
      </x:c>
      <x:c r="F1370" s="7" t="s">
        <x:v>1929</x:v>
      </x:c>
      <x:c r="G1370" s="8" t="n">
        <x:v>7160</x:v>
      </x:c>
      <x:c r="H1370" s="8" t="n">
        <x:v>280</x:v>
      </x:c>
      <x:c r="I1370" s="8" t="s">
        <x:v>58</x:v>
      </x:c>
      <x:c r="J1370" s="7" t="s">
        <x:v>1919</x:v>
      </x:c>
      <x:c r="K1370" s="8" t="n">
        <x:v>0.001</x:v>
      </x:c>
      <x:c r="L1370" s="8" t="n">
        <x:f aca="0">IF(AND(ISNUMBER(G1370),P1370&lt;&gt;"Unresolved unit / layout"),G1370*K1370,"Not applicable")</x:f>
        <x:v>7.16</x:v>
      </x:c>
      <x:c r="M1370" s="8" t="n">
        <x:f aca="0">IF(AND(ISNUMBER(H1370),P1370&lt;&gt;"Unresolved unit / layout"),H1370*K1370,"Not applicable")</x:f>
        <x:v>0.28</x:v>
      </x:c>
      <x:c r="N1370" s="8" t="str">
        <x:f aca="0">IF(AND(ISNUMBER(I1370),P1370&lt;&gt;"Unresolved unit / layout"),I1370*K1370,"Not applicable")</x:f>
        <x:v>Not applicable</x:v>
      </x:c>
      <x:c r="O1370" s="7" t="s">
        <x:v>1937</x:v>
      </x:c>
      <x:c r="P1370" s="7" t="s">
        <x:v>1921</x:v>
      </x:c>
      <x:c r="Q1370" s="7" t="s">
        <x:v>2064</x:v>
      </x:c>
      <x:c r="R1370" s="7" t="s">
        <x:v>1931</x:v>
      </x:c>
      <x:c r="S1370" s="7" t="s">
        <x:v>53</x:v>
      </x:c>
      <x:c r="T1370" s="7" t="s">
        <x:v>4498</x:v>
      </x:c>
      <x:c r="U1370" s="7" t="s">
        <x:v>53</x:v>
      </x:c>
      <x:c r="V1370" s="7" t="s">
        <x:v>2020</x:v>
      </x:c>
      <x:c r="W1370" s="7" t="s">
        <x:v>58</x:v>
      </x:c>
      <x:c r="X1370" s="7" t="s">
        <x:v>4604</x:v>
      </x:c>
      <x:c r="Y1370" s="7" t="s">
        <x:v>1331</x:v>
      </x:c>
      <x:c r="Z1370" s="7" t="s">
        <x:v>2123</x:v>
      </x:c>
      <x:c r="AA1370" s="7" t="s">
        <x:v>58</x:v>
      </x:c>
      <x:c r="AB1370" s="8" t="s">
        <x:v>58</x:v>
      </x:c>
      <x:c r="AC1370" s="8" t="s">
        <x:v>58</x:v>
      </x:c>
      <x:c r="AD1370" s="8" t="s">
        <x:v>58</x:v>
      </x:c>
      <x:c r="AE1370" s="8" t="s">
        <x:v>58</x:v>
      </x:c>
      <x:c r="AF1370" s="8" t="s">
        <x:v>58</x:v>
      </x:c>
      <x:c r="AG1370" s="7" t="s">
        <x:v>58</x:v>
      </x:c>
    </x:row>
    <x:row r="1371" ht="79.5" hidden="0" customHeight="1">
      <x:c r="A1371" s="7" t="s">
        <x:v>4628</x:v>
      </x:c>
      <x:c r="B1371" s="7" t="s">
        <x:v>813</x:v>
      </x:c>
      <x:c r="C1371" s="7" t="s">
        <x:v>815</x:v>
      </x:c>
      <x:c r="D1371" s="7" t="s">
        <x:v>1950</x:v>
      </x:c>
      <x:c r="E1371" s="7" t="s">
        <x:v>4629</x:v>
      </x:c>
      <x:c r="F1371" s="7" t="s">
        <x:v>1929</x:v>
      </x:c>
      <x:c r="G1371" s="8" t="n">
        <x:v>2460</x:v>
      </x:c>
      <x:c r="H1371" s="8" t="n">
        <x:v>190</x:v>
      </x:c>
      <x:c r="I1371" s="8" t="s">
        <x:v>58</x:v>
      </x:c>
      <x:c r="J1371" s="7" t="s">
        <x:v>1919</x:v>
      </x:c>
      <x:c r="K1371" s="8" t="n">
        <x:v>0.001</x:v>
      </x:c>
      <x:c r="L1371" s="8" t="n">
        <x:f aca="0">IF(AND(ISNUMBER(G1371),P1371&lt;&gt;"Unresolved unit / layout"),G1371*K1371,"Not applicable")</x:f>
        <x:v>2.46</x:v>
      </x:c>
      <x:c r="M1371" s="8" t="n">
        <x:f aca="0">IF(AND(ISNUMBER(H1371),P1371&lt;&gt;"Unresolved unit / layout"),H1371*K1371,"Not applicable")</x:f>
        <x:v>0.19</x:v>
      </x:c>
      <x:c r="N1371" s="8" t="str">
        <x:f aca="0">IF(AND(ISNUMBER(I1371),P1371&lt;&gt;"Unresolved unit / layout"),I1371*K1371,"Not applicable")</x:f>
        <x:v>Not applicable</x:v>
      </x:c>
      <x:c r="O1371" s="7" t="s">
        <x:v>1937</x:v>
      </x:c>
      <x:c r="P1371" s="7" t="s">
        <x:v>1921</x:v>
      </x:c>
      <x:c r="Q1371" s="7" t="s">
        <x:v>2064</x:v>
      </x:c>
      <x:c r="R1371" s="7" t="s">
        <x:v>2003</x:v>
      </x:c>
      <x:c r="S1371" s="7" t="s">
        <x:v>53</x:v>
      </x:c>
      <x:c r="T1371" s="7" t="s">
        <x:v>4498</x:v>
      </x:c>
      <x:c r="U1371" s="7" t="s">
        <x:v>53</x:v>
      </x:c>
      <x:c r="V1371" s="7" t="s">
        <x:v>2020</x:v>
      </x:c>
      <x:c r="W1371" s="7" t="s">
        <x:v>58</x:v>
      </x:c>
      <x:c r="X1371" s="7" t="s">
        <x:v>4604</x:v>
      </x:c>
      <x:c r="Y1371" s="7" t="s">
        <x:v>1331</x:v>
      </x:c>
      <x:c r="Z1371" s="7" t="s">
        <x:v>2210</x:v>
      </x:c>
      <x:c r="AA1371" s="7" t="s">
        <x:v>58</x:v>
      </x:c>
      <x:c r="AB1371" s="8" t="s">
        <x:v>58</x:v>
      </x:c>
      <x:c r="AC1371" s="8" t="s">
        <x:v>58</x:v>
      </x:c>
      <x:c r="AD1371" s="8" t="s">
        <x:v>58</x:v>
      </x:c>
      <x:c r="AE1371" s="8" t="s">
        <x:v>58</x:v>
      </x:c>
      <x:c r="AF1371" s="8" t="s">
        <x:v>58</x:v>
      </x:c>
      <x:c r="AG1371" s="7" t="s">
        <x:v>58</x:v>
      </x:c>
    </x:row>
    <x:row r="1372" ht="79.5" hidden="0" customHeight="1">
      <x:c r="A1372" s="7" t="s">
        <x:v>4630</x:v>
      </x:c>
      <x:c r="B1372" s="7" t="s">
        <x:v>813</x:v>
      </x:c>
      <x:c r="C1372" s="7" t="s">
        <x:v>815</x:v>
      </x:c>
      <x:c r="D1372" s="7" t="s">
        <x:v>1945</x:v>
      </x:c>
      <x:c r="E1372" s="7" t="s">
        <x:v>4631</x:v>
      </x:c>
      <x:c r="F1372" s="7" t="s">
        <x:v>1929</x:v>
      </x:c>
      <x:c r="G1372" s="8" t="n">
        <x:v>142</x:v>
      </x:c>
      <x:c r="H1372" s="8" t="n">
        <x:v>5</x:v>
      </x:c>
      <x:c r="I1372" s="8" t="s">
        <x:v>58</x:v>
      </x:c>
      <x:c r="J1372" s="7" t="s">
        <x:v>1919</x:v>
      </x:c>
      <x:c r="K1372" s="8" t="n">
        <x:v>1</x:v>
      </x:c>
      <x:c r="L1372" s="8" t="n">
        <x:f aca="0">IF(AND(ISNUMBER(G1372),P1372&lt;&gt;"Unresolved unit / layout"),G1372*K1372,"Not applicable")</x:f>
        <x:v>142</x:v>
      </x:c>
      <x:c r="M1372" s="8" t="n">
        <x:f aca="0">IF(AND(ISNUMBER(H1372),P1372&lt;&gt;"Unresolved unit / layout"),H1372*K1372,"Not applicable")</x:f>
        <x:v>5</x:v>
      </x:c>
      <x:c r="N1372" s="8" t="str">
        <x:f aca="0">IF(AND(ISNUMBER(I1372),P1372&lt;&gt;"Unresolved unit / layout"),I1372*K1372,"Not applicable")</x:f>
        <x:v>Not applicable</x:v>
      </x:c>
      <x:c r="O1372" s="7" t="s">
        <x:v>1929</x:v>
      </x:c>
      <x:c r="P1372" s="7" t="s">
        <x:v>1921</x:v>
      </x:c>
      <x:c r="Q1372" s="7" t="s">
        <x:v>2064</x:v>
      </x:c>
      <x:c r="R1372" s="7" t="s">
        <x:v>1931</x:v>
      </x:c>
      <x:c r="S1372" s="7" t="s">
        <x:v>53</x:v>
      </x:c>
      <x:c r="T1372" s="7" t="s">
        <x:v>4498</x:v>
      </x:c>
      <x:c r="U1372" s="7" t="s">
        <x:v>53</x:v>
      </x:c>
      <x:c r="V1372" s="7" t="s">
        <x:v>2020</x:v>
      </x:c>
      <x:c r="W1372" s="7" t="s">
        <x:v>58</x:v>
      </x:c>
      <x:c r="X1372" s="7" t="s">
        <x:v>4604</x:v>
      </x:c>
      <x:c r="Y1372" s="7" t="s">
        <x:v>1331</x:v>
      </x:c>
      <x:c r="Z1372" s="7" t="s">
        <x:v>2213</x:v>
      </x:c>
      <x:c r="AA1372" s="7" t="s">
        <x:v>58</x:v>
      </x:c>
      <x:c r="AB1372" s="8" t="s">
        <x:v>58</x:v>
      </x:c>
      <x:c r="AC1372" s="8" t="s">
        <x:v>58</x:v>
      </x:c>
      <x:c r="AD1372" s="8" t="s">
        <x:v>58</x:v>
      </x:c>
      <x:c r="AE1372" s="8" t="s">
        <x:v>58</x:v>
      </x:c>
      <x:c r="AF1372" s="8" t="s">
        <x:v>58</x:v>
      </x:c>
      <x:c r="AG1372" s="7" t="s">
        <x:v>58</x:v>
      </x:c>
    </x:row>
    <x:row r="1373" ht="79.5" hidden="0" customHeight="1">
      <x:c r="A1373" s="7" t="s">
        <x:v>4632</x:v>
      </x:c>
      <x:c r="B1373" s="7" t="s">
        <x:v>813</x:v>
      </x:c>
      <x:c r="C1373" s="7" t="s">
        <x:v>815</x:v>
      </x:c>
      <x:c r="D1373" s="7" t="s">
        <x:v>1945</x:v>
      </x:c>
      <x:c r="E1373" s="7" t="s">
        <x:v>4633</x:v>
      </x:c>
      <x:c r="F1373" s="7" t="s">
        <x:v>1929</x:v>
      </x:c>
      <x:c r="G1373" s="8" t="n">
        <x:v>36</x:v>
      </x:c>
      <x:c r="H1373" s="8" t="n">
        <x:v>4</x:v>
      </x:c>
      <x:c r="I1373" s="8" t="s">
        <x:v>58</x:v>
      </x:c>
      <x:c r="J1373" s="7" t="s">
        <x:v>1919</x:v>
      </x:c>
      <x:c r="K1373" s="8" t="n">
        <x:v>1</x:v>
      </x:c>
      <x:c r="L1373" s="8" t="n">
        <x:f aca="0">IF(AND(ISNUMBER(G1373),P1373&lt;&gt;"Unresolved unit / layout"),G1373*K1373,"Not applicable")</x:f>
        <x:v>36</x:v>
      </x:c>
      <x:c r="M1373" s="8" t="n">
        <x:f aca="0">IF(AND(ISNUMBER(H1373),P1373&lt;&gt;"Unresolved unit / layout"),H1373*K1373,"Not applicable")</x:f>
        <x:v>4</x:v>
      </x:c>
      <x:c r="N1373" s="8" t="str">
        <x:f aca="0">IF(AND(ISNUMBER(I1373),P1373&lt;&gt;"Unresolved unit / layout"),I1373*K1373,"Not applicable")</x:f>
        <x:v>Not applicable</x:v>
      </x:c>
      <x:c r="O1373" s="7" t="s">
        <x:v>1929</x:v>
      </x:c>
      <x:c r="P1373" s="7" t="s">
        <x:v>1921</x:v>
      </x:c>
      <x:c r="Q1373" s="7" t="s">
        <x:v>2064</x:v>
      </x:c>
      <x:c r="R1373" s="7" t="s">
        <x:v>2003</x:v>
      </x:c>
      <x:c r="S1373" s="7" t="s">
        <x:v>53</x:v>
      </x:c>
      <x:c r="T1373" s="7" t="s">
        <x:v>4498</x:v>
      </x:c>
      <x:c r="U1373" s="7" t="s">
        <x:v>53</x:v>
      </x:c>
      <x:c r="V1373" s="7" t="s">
        <x:v>2020</x:v>
      </x:c>
      <x:c r="W1373" s="7" t="s">
        <x:v>58</x:v>
      </x:c>
      <x:c r="X1373" s="7" t="s">
        <x:v>4604</x:v>
      </x:c>
      <x:c r="Y1373" s="7" t="s">
        <x:v>1331</x:v>
      </x:c>
      <x:c r="Z1373" s="7" t="s">
        <x:v>2216</x:v>
      </x:c>
      <x:c r="AA1373" s="7" t="s">
        <x:v>58</x:v>
      </x:c>
      <x:c r="AB1373" s="8" t="s">
        <x:v>58</x:v>
      </x:c>
      <x:c r="AC1373" s="8" t="s">
        <x:v>58</x:v>
      </x:c>
      <x:c r="AD1373" s="8" t="s">
        <x:v>58</x:v>
      </x:c>
      <x:c r="AE1373" s="8" t="s">
        <x:v>58</x:v>
      </x:c>
      <x:c r="AF1373" s="8" t="s">
        <x:v>58</x:v>
      </x:c>
      <x:c r="AG1373" s="7" t="s">
        <x:v>58</x:v>
      </x:c>
    </x:row>
    <x:row r="1374" ht="79.5" hidden="0" customHeight="1">
      <x:c r="A1374" s="7" t="s">
        <x:v>4634</x:v>
      </x:c>
      <x:c r="B1374" s="7" t="s">
        <x:v>813</x:v>
      </x:c>
      <x:c r="C1374" s="7" t="s">
        <x:v>815</x:v>
      </x:c>
      <x:c r="D1374" s="7" t="s">
        <x:v>2030</x:v>
      </x:c>
      <x:c r="E1374" s="7" t="s">
        <x:v>4635</x:v>
      </x:c>
      <x:c r="F1374" s="7" t="s">
        <x:v>2033</x:v>
      </x:c>
      <x:c r="G1374" s="8" t="n">
        <x:v>27.8</x:v>
      </x:c>
      <x:c r="H1374" s="8" t="n">
        <x:v>2.3</x:v>
      </x:c>
      <x:c r="I1374" s="8" t="s">
        <x:v>58</x:v>
      </x:c>
      <x:c r="J1374" s="7" t="s">
        <x:v>1919</x:v>
      </x:c>
      <x:c r="K1374" s="8" t="n">
        <x:v>1</x:v>
      </x:c>
      <x:c r="L1374" s="8" t="n">
        <x:f aca="0">IF(AND(ISNUMBER(G1374),P1374&lt;&gt;"Unresolved unit / layout"),G1374*K1374,"Not applicable")</x:f>
        <x:v>27.8</x:v>
      </x:c>
      <x:c r="M1374" s="8" t="n">
        <x:f aca="0">IF(AND(ISNUMBER(H1374),P1374&lt;&gt;"Unresolved unit / layout"),H1374*K1374,"Not applicable")</x:f>
        <x:v>2.3</x:v>
      </x:c>
      <x:c r="N1374" s="8" t="str">
        <x:f aca="0">IF(AND(ISNUMBER(I1374),P1374&lt;&gt;"Unresolved unit / layout"),I1374*K1374,"Not applicable")</x:f>
        <x:v>Not applicable</x:v>
      </x:c>
      <x:c r="O1374" s="7" t="s">
        <x:v>2033</x:v>
      </x:c>
      <x:c r="P1374" s="7" t="s">
        <x:v>1921</x:v>
      </x:c>
      <x:c r="Q1374" s="7" t="s">
        <x:v>2064</x:v>
      </x:c>
      <x:c r="R1374" s="7" t="s">
        <x:v>1931</x:v>
      </x:c>
      <x:c r="S1374" s="7" t="s">
        <x:v>53</x:v>
      </x:c>
      <x:c r="T1374" s="7" t="s">
        <x:v>4498</x:v>
      </x:c>
      <x:c r="U1374" s="7" t="s">
        <x:v>53</x:v>
      </x:c>
      <x:c r="V1374" s="7" t="s">
        <x:v>2036</x:v>
      </x:c>
      <x:c r="W1374" s="7" t="s">
        <x:v>2135</x:v>
      </x:c>
      <x:c r="X1374" s="7" t="s">
        <x:v>4604</x:v>
      </x:c>
      <x:c r="Y1374" s="7" t="s">
        <x:v>1331</x:v>
      </x:c>
      <x:c r="Z1374" s="7" t="s">
        <x:v>2219</x:v>
      </x:c>
      <x:c r="AA1374" s="7" t="s">
        <x:v>58</x:v>
      </x:c>
      <x:c r="AB1374" s="8" t="s">
        <x:v>58</x:v>
      </x:c>
      <x:c r="AC1374" s="8" t="s">
        <x:v>58</x:v>
      </x:c>
      <x:c r="AD1374" s="8" t="s">
        <x:v>58</x:v>
      </x:c>
      <x:c r="AE1374" s="8" t="s">
        <x:v>58</x:v>
      </x:c>
      <x:c r="AF1374" s="8" t="s">
        <x:v>58</x:v>
      </x:c>
      <x:c r="AG1374" s="7" t="s">
        <x:v>58</x:v>
      </x:c>
    </x:row>
    <x:row r="1375" ht="79.5" hidden="0" customHeight="1">
      <x:c r="A1375" s="7" t="s">
        <x:v>4636</x:v>
      </x:c>
      <x:c r="B1375" s="7" t="s">
        <x:v>813</x:v>
      </x:c>
      <x:c r="C1375" s="7" t="s">
        <x:v>815</x:v>
      </x:c>
      <x:c r="D1375" s="7" t="s">
        <x:v>2030</x:v>
      </x:c>
      <x:c r="E1375" s="7" t="s">
        <x:v>4637</x:v>
      </x:c>
      <x:c r="F1375" s="7" t="s">
        <x:v>2033</x:v>
      </x:c>
      <x:c r="G1375" s="8" t="n">
        <x:v>6.2</x:v>
      </x:c>
      <x:c r="H1375" s="8" t="n">
        <x:v>1.6</x:v>
      </x:c>
      <x:c r="I1375" s="8" t="s">
        <x:v>58</x:v>
      </x:c>
      <x:c r="J1375" s="7" t="s">
        <x:v>1919</x:v>
      </x:c>
      <x:c r="K1375" s="8" t="n">
        <x:v>1</x:v>
      </x:c>
      <x:c r="L1375" s="8" t="n">
        <x:f aca="0">IF(AND(ISNUMBER(G1375),P1375&lt;&gt;"Unresolved unit / layout"),G1375*K1375,"Not applicable")</x:f>
        <x:v>6.2</x:v>
      </x:c>
      <x:c r="M1375" s="8" t="n">
        <x:f aca="0">IF(AND(ISNUMBER(H1375),P1375&lt;&gt;"Unresolved unit / layout"),H1375*K1375,"Not applicable")</x:f>
        <x:v>1.6</x:v>
      </x:c>
      <x:c r="N1375" s="8" t="str">
        <x:f aca="0">IF(AND(ISNUMBER(I1375),P1375&lt;&gt;"Unresolved unit / layout"),I1375*K1375,"Not applicable")</x:f>
        <x:v>Not applicable</x:v>
      </x:c>
      <x:c r="O1375" s="7" t="s">
        <x:v>2033</x:v>
      </x:c>
      <x:c r="P1375" s="7" t="s">
        <x:v>1921</x:v>
      </x:c>
      <x:c r="Q1375" s="7" t="s">
        <x:v>2064</x:v>
      </x:c>
      <x:c r="R1375" s="7" t="s">
        <x:v>1931</x:v>
      </x:c>
      <x:c r="S1375" s="7" t="s">
        <x:v>53</x:v>
      </x:c>
      <x:c r="T1375" s="7" t="s">
        <x:v>4498</x:v>
      </x:c>
      <x:c r="U1375" s="7" t="s">
        <x:v>53</x:v>
      </x:c>
      <x:c r="V1375" s="7" t="s">
        <x:v>2036</x:v>
      </x:c>
      <x:c r="W1375" s="7" t="s">
        <x:v>2139</x:v>
      </x:c>
      <x:c r="X1375" s="7" t="s">
        <x:v>4604</x:v>
      </x:c>
      <x:c r="Y1375" s="7" t="s">
        <x:v>1331</x:v>
      </x:c>
      <x:c r="Z1375" s="7" t="s">
        <x:v>2222</x:v>
      </x:c>
      <x:c r="AA1375" s="7" t="s">
        <x:v>58</x:v>
      </x:c>
      <x:c r="AB1375" s="8" t="s">
        <x:v>58</x:v>
      </x:c>
      <x:c r="AC1375" s="8" t="s">
        <x:v>58</x:v>
      </x:c>
      <x:c r="AD1375" s="8" t="s">
        <x:v>58</x:v>
      </x:c>
      <x:c r="AE1375" s="8" t="s">
        <x:v>58</x:v>
      </x:c>
      <x:c r="AF1375" s="8" t="s">
        <x:v>58</x:v>
      </x:c>
      <x:c r="AG1375" s="7" t="s">
        <x:v>58</x:v>
      </x:c>
    </x:row>
    <x:row r="1376" ht="79.5" hidden="0" customHeight="1">
      <x:c r="A1376" s="7" t="s">
        <x:v>4638</x:v>
      </x:c>
      <x:c r="B1376" s="7" t="s">
        <x:v>813</x:v>
      </x:c>
      <x:c r="C1376" s="7" t="s">
        <x:v>815</x:v>
      </x:c>
      <x:c r="D1376" s="7" t="s">
        <x:v>2030</x:v>
      </x:c>
      <x:c r="E1376" s="7" t="s">
        <x:v>4639</x:v>
      </x:c>
      <x:c r="F1376" s="7" t="s">
        <x:v>2033</x:v>
      </x:c>
      <x:c r="G1376" s="8" t="n">
        <x:v>2.8</x:v>
      </x:c>
      <x:c r="H1376" s="8" t="n">
        <x:v>0.4</x:v>
      </x:c>
      <x:c r="I1376" s="8" t="s">
        <x:v>58</x:v>
      </x:c>
      <x:c r="J1376" s="7" t="s">
        <x:v>1919</x:v>
      </x:c>
      <x:c r="K1376" s="8" t="n">
        <x:v>1</x:v>
      </x:c>
      <x:c r="L1376" s="8" t="n">
        <x:f aca="0">IF(AND(ISNUMBER(G1376),P1376&lt;&gt;"Unresolved unit / layout"),G1376*K1376,"Not applicable")</x:f>
        <x:v>2.8</x:v>
      </x:c>
      <x:c r="M1376" s="8" t="n">
        <x:f aca="0">IF(AND(ISNUMBER(H1376),P1376&lt;&gt;"Unresolved unit / layout"),H1376*K1376,"Not applicable")</x:f>
        <x:v>0.4</x:v>
      </x:c>
      <x:c r="N1376" s="8" t="str">
        <x:f aca="0">IF(AND(ISNUMBER(I1376),P1376&lt;&gt;"Unresolved unit / layout"),I1376*K1376,"Not applicable")</x:f>
        <x:v>Not applicable</x:v>
      </x:c>
      <x:c r="O1376" s="7" t="s">
        <x:v>2033</x:v>
      </x:c>
      <x:c r="P1376" s="7" t="s">
        <x:v>1921</x:v>
      </x:c>
      <x:c r="Q1376" s="7" t="s">
        <x:v>2064</x:v>
      </x:c>
      <x:c r="R1376" s="7" t="s">
        <x:v>2003</x:v>
      </x:c>
      <x:c r="S1376" s="7" t="s">
        <x:v>53</x:v>
      </x:c>
      <x:c r="T1376" s="7" t="s">
        <x:v>4498</x:v>
      </x:c>
      <x:c r="U1376" s="7" t="s">
        <x:v>53</x:v>
      </x:c>
      <x:c r="V1376" s="7" t="s">
        <x:v>2036</x:v>
      </x:c>
      <x:c r="W1376" s="7" t="s">
        <x:v>53</x:v>
      </x:c>
      <x:c r="X1376" s="7" t="s">
        <x:v>4604</x:v>
      </x:c>
      <x:c r="Y1376" s="7" t="s">
        <x:v>1331</x:v>
      </x:c>
      <x:c r="Z1376" s="7" t="s">
        <x:v>2225</x:v>
      </x:c>
      <x:c r="AA1376" s="7" t="s">
        <x:v>58</x:v>
      </x:c>
      <x:c r="AB1376" s="8" t="s">
        <x:v>58</x:v>
      </x:c>
      <x:c r="AC1376" s="8" t="s">
        <x:v>58</x:v>
      </x:c>
      <x:c r="AD1376" s="8" t="s">
        <x:v>58</x:v>
      </x:c>
      <x:c r="AE1376" s="8" t="s">
        <x:v>58</x:v>
      </x:c>
      <x:c r="AF1376" s="8" t="s">
        <x:v>58</x:v>
      </x:c>
      <x:c r="AG1376" s="7" t="s">
        <x:v>58</x:v>
      </x:c>
    </x:row>
    <x:row r="1377" ht="66" hidden="0" customHeight="1">
      <x:c r="A1377" s="7" t="s">
        <x:v>4640</x:v>
      </x:c>
      <x:c r="B1377" s="7" t="s">
        <x:v>824</x:v>
      </x:c>
      <x:c r="C1377" s="7" t="s">
        <x:v>826</x:v>
      </x:c>
      <x:c r="D1377" s="7" t="s">
        <x:v>1916</x:v>
      </x:c>
      <x:c r="E1377" s="7" t="s">
        <x:v>4641</x:v>
      </x:c>
      <x:c r="F1377" s="7" t="s">
        <x:v>2076</x:v>
      </x:c>
      <x:c r="G1377" s="8" t="n">
        <x:v>1.36</x:v>
      </x:c>
      <x:c r="H1377" s="8" t="s">
        <x:v>58</x:v>
      </x:c>
      <x:c r="I1377" s="8" t="s">
        <x:v>58</x:v>
      </x:c>
      <x:c r="J1377" s="7" t="s">
        <x:v>1919</x:v>
      </x:c>
      <x:c r="K1377" s="8" t="n">
        <x:v>1000</x:v>
      </x:c>
      <x:c r="L1377" s="8" t="n">
        <x:f aca="0">IF(AND(ISNUMBER(G1377),P1377&lt;&gt;"Unresolved unit / layout"),G1377*K1377,"Not applicable")</x:f>
        <x:v>1360</x:v>
      </x:c>
      <x:c r="M1377" s="8" t="str">
        <x:f aca="0">IF(AND(ISNUMBER(H1377),P1377&lt;&gt;"Unresolved unit / layout"),H1377*K1377,"Not applicable")</x:f>
        <x:v>Not applicable</x:v>
      </x:c>
      <x:c r="N1377" s="8" t="str">
        <x:f aca="0">IF(AND(ISNUMBER(I1377),P1377&lt;&gt;"Unresolved unit / layout"),I1377*K1377,"Not applicable")</x:f>
        <x:v>Not applicable</x:v>
      </x:c>
      <x:c r="O1377" s="7" t="s">
        <x:v>1920</x:v>
      </x:c>
      <x:c r="P1377" s="7" t="s">
        <x:v>1921</x:v>
      </x:c>
      <x:c r="Q1377" s="7" t="s">
        <x:v>1922</x:v>
      </x:c>
      <x:c r="R1377" s="7" t="s">
        <x:v>58</x:v>
      </x:c>
      <x:c r="S1377" s="7" t="s">
        <x:v>53</x:v>
      </x:c>
      <x:c r="T1377" s="7" t="s">
        <x:v>53</x:v>
      </x:c>
      <x:c r="U1377" s="7" t="s">
        <x:v>53</x:v>
      </x:c>
      <x:c r="V1377" s="7" t="s">
        <x:v>4446</x:v>
      </x:c>
      <x:c r="W1377" s="7" t="s">
        <x:v>58</x:v>
      </x:c>
      <x:c r="X1377" s="7" t="s">
        <x:v>4642</x:v>
      </x:c>
      <x:c r="Y1377" s="7" t="s">
        <x:v>1333</x:v>
      </x:c>
      <x:c r="Z1377" s="7" t="s">
        <x:v>1925</x:v>
      </x:c>
      <x:c r="AA1377" s="7" t="s">
        <x:v>58</x:v>
      </x:c>
      <x:c r="AB1377" s="8" t="s">
        <x:v>58</x:v>
      </x:c>
      <x:c r="AC1377" s="8" t="s">
        <x:v>58</x:v>
      </x:c>
      <x:c r="AD1377" s="8" t="s">
        <x:v>58</x:v>
      </x:c>
      <x:c r="AE1377" s="8" t="s">
        <x:v>58</x:v>
      </x:c>
      <x:c r="AF1377" s="8" t="s">
        <x:v>58</x:v>
      </x:c>
      <x:c r="AG1377" s="7" t="s">
        <x:v>58</x:v>
      </x:c>
    </x:row>
    <x:row r="1378" ht="66" hidden="0" customHeight="1">
      <x:c r="A1378" s="7" t="s">
        <x:v>4643</x:v>
      </x:c>
      <x:c r="B1378" s="7" t="s">
        <x:v>824</x:v>
      </x:c>
      <x:c r="C1378" s="7" t="s">
        <x:v>826</x:v>
      </x:c>
      <x:c r="D1378" s="7" t="s">
        <x:v>2099</x:v>
      </x:c>
      <x:c r="E1378" s="7" t="s">
        <x:v>4615</x:v>
      </x:c>
      <x:c r="F1378" s="7" t="s">
        <x:v>1942</x:v>
      </x:c>
      <x:c r="G1378" s="8" t="n">
        <x:v>0.05</x:v>
      </x:c>
      <x:c r="H1378" s="8" t="s">
        <x:v>58</x:v>
      </x:c>
      <x:c r="I1378" s="8" t="s">
        <x:v>58</x:v>
      </x:c>
      <x:c r="J1378" s="7" t="s">
        <x:v>1919</x:v>
      </x:c>
      <x:c r="K1378" s="8" t="n">
        <x:v>1</x:v>
      </x:c>
      <x:c r="L1378" s="8" t="n">
        <x:f aca="0">IF(AND(ISNUMBER(G1378),P1378&lt;&gt;"Unresolved unit / layout"),G1378*K1378,"Not applicable")</x:f>
        <x:v>0.05</x:v>
      </x:c>
      <x:c r="M1378" s="8" t="str">
        <x:f aca="0">IF(AND(ISNUMBER(H1378),P1378&lt;&gt;"Unresolved unit / layout"),H1378*K1378,"Not applicable")</x:f>
        <x:v>Not applicable</x:v>
      </x:c>
      <x:c r="N1378" s="8" t="str">
        <x:f aca="0">IF(AND(ISNUMBER(I1378),P1378&lt;&gt;"Unresolved unit / layout"),I1378*K1378,"Not applicable")</x:f>
        <x:v>Not applicable</x:v>
      </x:c>
      <x:c r="O1378" s="7" t="s">
        <x:v>1942</x:v>
      </x:c>
      <x:c r="P1378" s="7" t="s">
        <x:v>1921</x:v>
      </x:c>
      <x:c r="Q1378" s="7" t="s">
        <x:v>2064</x:v>
      </x:c>
      <x:c r="R1378" s="7" t="s">
        <x:v>58</x:v>
      </x:c>
      <x:c r="S1378" s="7" t="s">
        <x:v>53</x:v>
      </x:c>
      <x:c r="T1378" s="7" t="s">
        <x:v>53</x:v>
      </x:c>
      <x:c r="U1378" s="7" t="s">
        <x:v>53</x:v>
      </x:c>
      <x:c r="V1378" s="7" t="s">
        <x:v>4644</x:v>
      </x:c>
      <x:c r="W1378" s="7" t="s">
        <x:v>58</x:v>
      </x:c>
      <x:c r="X1378" s="7" t="s">
        <x:v>4642</x:v>
      </x:c>
      <x:c r="Y1378" s="7" t="s">
        <x:v>1333</x:v>
      </x:c>
      <x:c r="Z1378" s="7" t="s">
        <x:v>4451</x:v>
      </x:c>
      <x:c r="AA1378" s="7" t="s">
        <x:v>58</x:v>
      </x:c>
      <x:c r="AB1378" s="8" t="s">
        <x:v>58</x:v>
      </x:c>
      <x:c r="AC1378" s="8" t="s">
        <x:v>58</x:v>
      </x:c>
      <x:c r="AD1378" s="8" t="s">
        <x:v>58</x:v>
      </x:c>
      <x:c r="AE1378" s="8" t="s">
        <x:v>58</x:v>
      </x:c>
      <x:c r="AF1378" s="8" t="s">
        <x:v>58</x:v>
      </x:c>
      <x:c r="AG1378" s="7" t="s">
        <x:v>58</x:v>
      </x:c>
    </x:row>
    <x:row r="1379" ht="66" hidden="0" customHeight="1">
      <x:c r="A1379" s="7" t="s">
        <x:v>4645</x:v>
      </x:c>
      <x:c r="B1379" s="7" t="s">
        <x:v>824</x:v>
      </x:c>
      <x:c r="C1379" s="7" t="s">
        <x:v>826</x:v>
      </x:c>
      <x:c r="D1379" s="7" t="s">
        <x:v>1974</x:v>
      </x:c>
      <x:c r="E1379" s="7" t="s">
        <x:v>4646</x:v>
      </x:c>
      <x:c r="F1379" s="7" t="s">
        <x:v>1956</x:v>
      </x:c>
      <x:c r="G1379" s="8" t="n">
        <x:v>278</x:v>
      </x:c>
      <x:c r="H1379" s="8" t="s">
        <x:v>58</x:v>
      </x:c>
      <x:c r="I1379" s="8" t="s">
        <x:v>58</x:v>
      </x:c>
      <x:c r="J1379" s="7" t="s">
        <x:v>1919</x:v>
      </x:c>
      <x:c r="K1379" s="8" t="n">
        <x:v>1</x:v>
      </x:c>
      <x:c r="L1379" s="8" t="n">
        <x:f aca="0">IF(AND(ISNUMBER(G1379),P1379&lt;&gt;"Unresolved unit / layout"),G1379*K1379,"Not applicable")</x:f>
        <x:v>278</x:v>
      </x:c>
      <x:c r="M1379" s="8" t="str">
        <x:f aca="0">IF(AND(ISNUMBER(H1379),P1379&lt;&gt;"Unresolved unit / layout"),H1379*K1379,"Not applicable")</x:f>
        <x:v>Not applicable</x:v>
      </x:c>
      <x:c r="N1379" s="8" t="str">
        <x:f aca="0">IF(AND(ISNUMBER(I1379),P1379&lt;&gt;"Unresolved unit / layout"),I1379*K1379,"Not applicable")</x:f>
        <x:v>Not applicable</x:v>
      </x:c>
      <x:c r="O1379" s="7" t="s">
        <x:v>1956</x:v>
      </x:c>
      <x:c r="P1379" s="7" t="s">
        <x:v>1921</x:v>
      </x:c>
      <x:c r="Q1379" s="7" t="s">
        <x:v>2064</x:v>
      </x:c>
      <x:c r="R1379" s="7" t="s">
        <x:v>58</x:v>
      </x:c>
      <x:c r="S1379" s="7" t="s">
        <x:v>53</x:v>
      </x:c>
      <x:c r="T1379" s="7" t="s">
        <x:v>53</x:v>
      </x:c>
      <x:c r="U1379" s="7" t="s">
        <x:v>53</x:v>
      </x:c>
      <x:c r="V1379" s="7" t="s">
        <x:v>2082</x:v>
      </x:c>
      <x:c r="W1379" s="7" t="s">
        <x:v>58</x:v>
      </x:c>
      <x:c r="X1379" s="7" t="s">
        <x:v>4642</x:v>
      </x:c>
      <x:c r="Y1379" s="7" t="s">
        <x:v>1333</x:v>
      </x:c>
      <x:c r="Z1379" s="7" t="s">
        <x:v>4455</x:v>
      </x:c>
      <x:c r="AA1379" s="7" t="s">
        <x:v>58</x:v>
      </x:c>
      <x:c r="AB1379" s="8" t="s">
        <x:v>58</x:v>
      </x:c>
      <x:c r="AC1379" s="8" t="s">
        <x:v>58</x:v>
      </x:c>
      <x:c r="AD1379" s="8" t="s">
        <x:v>58</x:v>
      </x:c>
      <x:c r="AE1379" s="8" t="s">
        <x:v>58</x:v>
      </x:c>
      <x:c r="AF1379" s="8" t="s">
        <x:v>58</x:v>
      </x:c>
      <x:c r="AG1379" s="7" t="s">
        <x:v>58</x:v>
      </x:c>
    </x:row>
    <x:row r="1380" ht="66" hidden="0" customHeight="1">
      <x:c r="A1380" s="7" t="s">
        <x:v>4647</x:v>
      </x:c>
      <x:c r="B1380" s="7" t="s">
        <x:v>824</x:v>
      </x:c>
      <x:c r="C1380" s="7" t="s">
        <x:v>826</x:v>
      </x:c>
      <x:c r="D1380" s="7" t="s">
        <x:v>1982</x:v>
      </x:c>
      <x:c r="E1380" s="7" t="s">
        <x:v>4501</x:v>
      </x:c>
      <x:c r="F1380" s="7" t="s">
        <x:v>1956</x:v>
      </x:c>
      <x:c r="G1380" s="8" t="n">
        <x:v>258</x:v>
      </x:c>
      <x:c r="H1380" s="8" t="s">
        <x:v>58</x:v>
      </x:c>
      <x:c r="I1380" s="8" t="s">
        <x:v>58</x:v>
      </x:c>
      <x:c r="J1380" s="7" t="s">
        <x:v>1919</x:v>
      </x:c>
      <x:c r="K1380" s="8" t="n">
        <x:v>1</x:v>
      </x:c>
      <x:c r="L1380" s="8" t="n">
        <x:f aca="0">IF(AND(ISNUMBER(G1380),P1380&lt;&gt;"Unresolved unit / layout"),G1380*K1380,"Not applicable")</x:f>
        <x:v>258</x:v>
      </x:c>
      <x:c r="M1380" s="8" t="str">
        <x:f aca="0">IF(AND(ISNUMBER(H1380),P1380&lt;&gt;"Unresolved unit / layout"),H1380*K1380,"Not applicable")</x:f>
        <x:v>Not applicable</x:v>
      </x:c>
      <x:c r="N1380" s="8" t="str">
        <x:f aca="0">IF(AND(ISNUMBER(I1380),P1380&lt;&gt;"Unresolved unit / layout"),I1380*K1380,"Not applicable")</x:f>
        <x:v>Not applicable</x:v>
      </x:c>
      <x:c r="O1380" s="7" t="s">
        <x:v>1956</x:v>
      </x:c>
      <x:c r="P1380" s="7" t="s">
        <x:v>1921</x:v>
      </x:c>
      <x:c r="Q1380" s="7" t="s">
        <x:v>2064</x:v>
      </x:c>
      <x:c r="R1380" s="7" t="s">
        <x:v>58</x:v>
      </x:c>
      <x:c r="S1380" s="7" t="s">
        <x:v>53</x:v>
      </x:c>
      <x:c r="T1380" s="7" t="s">
        <x:v>53</x:v>
      </x:c>
      <x:c r="U1380" s="7" t="s">
        <x:v>53</x:v>
      </x:c>
      <x:c r="V1380" s="7" t="s">
        <x:v>1984</x:v>
      </x:c>
      <x:c r="W1380" s="7" t="s">
        <x:v>58</x:v>
      </x:c>
      <x:c r="X1380" s="7" t="s">
        <x:v>4642</x:v>
      </x:c>
      <x:c r="Y1380" s="7" t="s">
        <x:v>1333</x:v>
      </x:c>
      <x:c r="Z1380" s="7" t="s">
        <x:v>4459</x:v>
      </x:c>
      <x:c r="AA1380" s="7" t="s">
        <x:v>58</x:v>
      </x:c>
      <x:c r="AB1380" s="8" t="s">
        <x:v>58</x:v>
      </x:c>
      <x:c r="AC1380" s="8" t="s">
        <x:v>58</x:v>
      </x:c>
      <x:c r="AD1380" s="8" t="s">
        <x:v>58</x:v>
      </x:c>
      <x:c r="AE1380" s="8" t="s">
        <x:v>58</x:v>
      </x:c>
      <x:c r="AF1380" s="8" t="s">
        <x:v>58</x:v>
      </x:c>
      <x:c r="AG1380" s="7" t="s">
        <x:v>58</x:v>
      </x:c>
    </x:row>
    <x:row r="1381" ht="66" hidden="0" customHeight="1">
      <x:c r="A1381" s="7" t="s">
        <x:v>831</x:v>
      </x:c>
      <x:c r="B1381" s="7" t="s">
        <x:v>824</x:v>
      </x:c>
      <x:c r="C1381" s="7" t="s">
        <x:v>826</x:v>
      </x:c>
      <x:c r="D1381" s="7" t="s">
        <x:v>1959</x:v>
      </x:c>
      <x:c r="E1381" s="7" t="s">
        <x:v>4648</x:v>
      </x:c>
      <x:c r="F1381" s="7" t="s">
        <x:v>1956</x:v>
      </x:c>
      <x:c r="G1381" s="8" t="n">
        <x:v>241</x:v>
      </x:c>
      <x:c r="H1381" s="8" t="s">
        <x:v>58</x:v>
      </x:c>
      <x:c r="I1381" s="8" t="s">
        <x:v>58</x:v>
      </x:c>
      <x:c r="J1381" s="7" t="s">
        <x:v>1919</x:v>
      </x:c>
      <x:c r="K1381" s="8" t="n">
        <x:v>1</x:v>
      </x:c>
      <x:c r="L1381" s="8" t="n">
        <x:f aca="0">IF(AND(ISNUMBER(G1381),P1381&lt;&gt;"Unresolved unit / layout"),G1381*K1381,"Not applicable")</x:f>
        <x:v>241</x:v>
      </x:c>
      <x:c r="M1381" s="8" t="str">
        <x:f aca="0">IF(AND(ISNUMBER(H1381),P1381&lt;&gt;"Unresolved unit / layout"),H1381*K1381,"Not applicable")</x:f>
        <x:v>Not applicable</x:v>
      </x:c>
      <x:c r="N1381" s="8" t="str">
        <x:f aca="0">IF(AND(ISNUMBER(I1381),P1381&lt;&gt;"Unresolved unit / layout"),I1381*K1381,"Not applicable")</x:f>
        <x:v>Not applicable</x:v>
      </x:c>
      <x:c r="O1381" s="7" t="s">
        <x:v>1956</x:v>
      </x:c>
      <x:c r="P1381" s="7" t="s">
        <x:v>1921</x:v>
      </x:c>
      <x:c r="Q1381" s="7" t="s">
        <x:v>2064</x:v>
      </x:c>
      <x:c r="R1381" s="7" t="s">
        <x:v>58</x:v>
      </x:c>
      <x:c r="S1381" s="7" t="s">
        <x:v>53</x:v>
      </x:c>
      <x:c r="T1381" s="7" t="s">
        <x:v>53</x:v>
      </x:c>
      <x:c r="U1381" s="7" t="s">
        <x:v>53</x:v>
      </x:c>
      <x:c r="V1381" s="7" t="s">
        <x:v>4649</x:v>
      </x:c>
      <x:c r="W1381" s="7" t="s">
        <x:v>58</x:v>
      </x:c>
      <x:c r="X1381" s="7" t="s">
        <x:v>4642</x:v>
      </x:c>
      <x:c r="Y1381" s="7" t="s">
        <x:v>1333</x:v>
      </x:c>
      <x:c r="Z1381" s="7" t="s">
        <x:v>3089</x:v>
      </x:c>
      <x:c r="AA1381" s="7" t="s">
        <x:v>58</x:v>
      </x:c>
      <x:c r="AB1381" s="8" t="s">
        <x:v>58</x:v>
      </x:c>
      <x:c r="AC1381" s="8" t="s">
        <x:v>58</x:v>
      </x:c>
      <x:c r="AD1381" s="8" t="s">
        <x:v>58</x:v>
      </x:c>
      <x:c r="AE1381" s="8" t="s">
        <x:v>58</x:v>
      </x:c>
      <x:c r="AF1381" s="8" t="s">
        <x:v>58</x:v>
      </x:c>
      <x:c r="AG1381" s="7" t="s">
        <x:v>58</x:v>
      </x:c>
    </x:row>
    <x:row r="1382" ht="66" hidden="0" customHeight="1">
      <x:c r="A1382" s="7" t="s">
        <x:v>4650</x:v>
      </x:c>
      <x:c r="B1382" s="7" t="s">
        <x:v>824</x:v>
      </x:c>
      <x:c r="C1382" s="7" t="s">
        <x:v>826</x:v>
      </x:c>
      <x:c r="D1382" s="7" t="s">
        <x:v>2006</x:v>
      </x:c>
      <x:c r="E1382" s="7" t="s">
        <x:v>4651</x:v>
      </x:c>
      <x:c r="F1382" s="7" t="s">
        <x:v>1929</x:v>
      </x:c>
      <x:c r="G1382" s="8" t="n">
        <x:v>72</x:v>
      </x:c>
      <x:c r="H1382" s="8" t="s">
        <x:v>58</x:v>
      </x:c>
      <x:c r="I1382" s="8" t="s">
        <x:v>58</x:v>
      </x:c>
      <x:c r="J1382" s="7" t="s">
        <x:v>1919</x:v>
      </x:c>
      <x:c r="K1382" s="8" t="n">
        <x:v>1</x:v>
      </x:c>
      <x:c r="L1382" s="8" t="n">
        <x:f aca="0">IF(AND(ISNUMBER(G1382),P1382&lt;&gt;"Unresolved unit / layout"),G1382*K1382,"Not applicable")</x:f>
        <x:v>72</x:v>
      </x:c>
      <x:c r="M1382" s="8" t="str">
        <x:f aca="0">IF(AND(ISNUMBER(H1382),P1382&lt;&gt;"Unresolved unit / layout"),H1382*K1382,"Not applicable")</x:f>
        <x:v>Not applicable</x:v>
      </x:c>
      <x:c r="N1382" s="8" t="str">
        <x:f aca="0">IF(AND(ISNUMBER(I1382),P1382&lt;&gt;"Unresolved unit / layout"),I1382*K1382,"Not applicable")</x:f>
        <x:v>Not applicable</x:v>
      </x:c>
      <x:c r="O1382" s="7" t="s">
        <x:v>1929</x:v>
      </x:c>
      <x:c r="P1382" s="7" t="s">
        <x:v>1921</x:v>
      </x:c>
      <x:c r="Q1382" s="7" t="s">
        <x:v>2064</x:v>
      </x:c>
      <x:c r="R1382" s="7" t="s">
        <x:v>1931</x:v>
      </x:c>
      <x:c r="S1382" s="7" t="s">
        <x:v>53</x:v>
      </x:c>
      <x:c r="T1382" s="7" t="s">
        <x:v>53</x:v>
      </x:c>
      <x:c r="U1382" s="7" t="s">
        <x:v>53</x:v>
      </x:c>
      <x:c r="V1382" s="7" t="s">
        <x:v>1999</x:v>
      </x:c>
      <x:c r="W1382" s="7" t="s">
        <x:v>58</x:v>
      </x:c>
      <x:c r="X1382" s="7" t="s">
        <x:v>4642</x:v>
      </x:c>
      <x:c r="Y1382" s="7" t="s">
        <x:v>1333</x:v>
      </x:c>
      <x:c r="Z1382" s="7" t="s">
        <x:v>4463</x:v>
      </x:c>
      <x:c r="AA1382" s="7" t="s">
        <x:v>58</x:v>
      </x:c>
      <x:c r="AB1382" s="8" t="s">
        <x:v>58</x:v>
      </x:c>
      <x:c r="AC1382" s="8" t="s">
        <x:v>58</x:v>
      </x:c>
      <x:c r="AD1382" s="8" t="s">
        <x:v>58</x:v>
      </x:c>
      <x:c r="AE1382" s="8" t="s">
        <x:v>58</x:v>
      </x:c>
      <x:c r="AF1382" s="8" t="s">
        <x:v>58</x:v>
      </x:c>
      <x:c r="AG1382" s="7" t="s">
        <x:v>58</x:v>
      </x:c>
    </x:row>
    <x:row r="1383" ht="66" hidden="0" customHeight="1">
      <x:c r="A1383" s="7" t="s">
        <x:v>4652</x:v>
      </x:c>
      <x:c r="B1383" s="7" t="s">
        <x:v>824</x:v>
      </x:c>
      <x:c r="C1383" s="7" t="s">
        <x:v>826</x:v>
      </x:c>
      <x:c r="D1383" s="7" t="s">
        <x:v>2006</x:v>
      </x:c>
      <x:c r="E1383" s="7" t="s">
        <x:v>4653</x:v>
      </x:c>
      <x:c r="F1383" s="7" t="s">
        <x:v>1929</x:v>
      </x:c>
      <x:c r="G1383" s="8" t="n">
        <x:v>42</x:v>
      </x:c>
      <x:c r="H1383" s="8" t="s">
        <x:v>58</x:v>
      </x:c>
      <x:c r="I1383" s="8" t="s">
        <x:v>58</x:v>
      </x:c>
      <x:c r="J1383" s="7" t="s">
        <x:v>1919</x:v>
      </x:c>
      <x:c r="K1383" s="8" t="n">
        <x:v>1</x:v>
      </x:c>
      <x:c r="L1383" s="8" t="n">
        <x:f aca="0">IF(AND(ISNUMBER(G1383),P1383&lt;&gt;"Unresolved unit / layout"),G1383*K1383,"Not applicable")</x:f>
        <x:v>42</x:v>
      </x:c>
      <x:c r="M1383" s="8" t="str">
        <x:f aca="0">IF(AND(ISNUMBER(H1383),P1383&lt;&gt;"Unresolved unit / layout"),H1383*K1383,"Not applicable")</x:f>
        <x:v>Not applicable</x:v>
      </x:c>
      <x:c r="N1383" s="8" t="str">
        <x:f aca="0">IF(AND(ISNUMBER(I1383),P1383&lt;&gt;"Unresolved unit / layout"),I1383*K1383,"Not applicable")</x:f>
        <x:v>Not applicable</x:v>
      </x:c>
      <x:c r="O1383" s="7" t="s">
        <x:v>1929</x:v>
      </x:c>
      <x:c r="P1383" s="7" t="s">
        <x:v>1921</x:v>
      </x:c>
      <x:c r="Q1383" s="7" t="s">
        <x:v>2064</x:v>
      </x:c>
      <x:c r="R1383" s="7" t="s">
        <x:v>53</x:v>
      </x:c>
      <x:c r="S1383" s="7" t="s">
        <x:v>53</x:v>
      </x:c>
      <x:c r="T1383" s="7" t="s">
        <x:v>53</x:v>
      </x:c>
      <x:c r="U1383" s="7" t="s">
        <x:v>53</x:v>
      </x:c>
      <x:c r="V1383" s="7" t="s">
        <x:v>1999</x:v>
      </x:c>
      <x:c r="W1383" s="7" t="s">
        <x:v>58</x:v>
      </x:c>
      <x:c r="X1383" s="7" t="s">
        <x:v>4642</x:v>
      </x:c>
      <x:c r="Y1383" s="7" t="s">
        <x:v>1333</x:v>
      </x:c>
      <x:c r="Z1383" s="7" t="s">
        <x:v>4466</x:v>
      </x:c>
      <x:c r="AA1383" s="7" t="s">
        <x:v>58</x:v>
      </x:c>
      <x:c r="AB1383" s="8" t="s">
        <x:v>58</x:v>
      </x:c>
      <x:c r="AC1383" s="8" t="s">
        <x:v>58</x:v>
      </x:c>
      <x:c r="AD1383" s="8" t="s">
        <x:v>58</x:v>
      </x:c>
      <x:c r="AE1383" s="8" t="s">
        <x:v>58</x:v>
      </x:c>
      <x:c r="AF1383" s="8" t="s">
        <x:v>58</x:v>
      </x:c>
      <x:c r="AG1383" s="7" t="s">
        <x:v>58</x:v>
      </x:c>
    </x:row>
    <x:row r="1384" ht="66" hidden="0" customHeight="1">
      <x:c r="A1384" s="7" t="s">
        <x:v>4654</x:v>
      </x:c>
      <x:c r="B1384" s="7" t="s">
        <x:v>824</x:v>
      </x:c>
      <x:c r="C1384" s="7" t="s">
        <x:v>826</x:v>
      </x:c>
      <x:c r="D1384" s="7" t="s">
        <x:v>1935</x:v>
      </x:c>
      <x:c r="E1384" s="7" t="s">
        <x:v>4655</x:v>
      </x:c>
      <x:c r="F1384" s="7" t="s">
        <x:v>1929</x:v>
      </x:c>
      <x:c r="G1384" s="8" t="n">
        <x:v>5764</x:v>
      </x:c>
      <x:c r="H1384" s="8" t="s">
        <x:v>58</x:v>
      </x:c>
      <x:c r="I1384" s="8" t="s">
        <x:v>58</x:v>
      </x:c>
      <x:c r="J1384" s="7" t="s">
        <x:v>1919</x:v>
      </x:c>
      <x:c r="K1384" s="8" t="n">
        <x:v>0.001</x:v>
      </x:c>
      <x:c r="L1384" s="8" t="n">
        <x:f aca="0">IF(AND(ISNUMBER(G1384),P1384&lt;&gt;"Unresolved unit / layout"),G1384*K1384,"Not applicable")</x:f>
        <x:v>5.764</x:v>
      </x:c>
      <x:c r="M1384" s="8" t="str">
        <x:f aca="0">IF(AND(ISNUMBER(H1384),P1384&lt;&gt;"Unresolved unit / layout"),H1384*K1384,"Not applicable")</x:f>
        <x:v>Not applicable</x:v>
      </x:c>
      <x:c r="N1384" s="8" t="str">
        <x:f aca="0">IF(AND(ISNUMBER(I1384),P1384&lt;&gt;"Unresolved unit / layout"),I1384*K1384,"Not applicable")</x:f>
        <x:v>Not applicable</x:v>
      </x:c>
      <x:c r="O1384" s="7" t="s">
        <x:v>1937</x:v>
      </x:c>
      <x:c r="P1384" s="7" t="s">
        <x:v>1921</x:v>
      </x:c>
      <x:c r="Q1384" s="7" t="s">
        <x:v>2064</x:v>
      </x:c>
      <x:c r="R1384" s="7" t="s">
        <x:v>1931</x:v>
      </x:c>
      <x:c r="S1384" s="7" t="s">
        <x:v>53</x:v>
      </x:c>
      <x:c r="T1384" s="7" t="s">
        <x:v>53</x:v>
      </x:c>
      <x:c r="U1384" s="7" t="s">
        <x:v>53</x:v>
      </x:c>
      <x:c r="V1384" s="7" t="s">
        <x:v>1999</x:v>
      </x:c>
      <x:c r="W1384" s="7" t="s">
        <x:v>58</x:v>
      </x:c>
      <x:c r="X1384" s="7" t="s">
        <x:v>4642</x:v>
      </x:c>
      <x:c r="Y1384" s="7" t="s">
        <x:v>1333</x:v>
      </x:c>
      <x:c r="Z1384" s="7" t="s">
        <x:v>4469</x:v>
      </x:c>
      <x:c r="AA1384" s="7" t="s">
        <x:v>58</x:v>
      </x:c>
      <x:c r="AB1384" s="8" t="s">
        <x:v>58</x:v>
      </x:c>
      <x:c r="AC1384" s="8" t="s">
        <x:v>58</x:v>
      </x:c>
      <x:c r="AD1384" s="8" t="s">
        <x:v>58</x:v>
      </x:c>
      <x:c r="AE1384" s="8" t="s">
        <x:v>58</x:v>
      </x:c>
      <x:c r="AF1384" s="8" t="s">
        <x:v>58</x:v>
      </x:c>
      <x:c r="AG1384" s="7" t="s">
        <x:v>58</x:v>
      </x:c>
    </x:row>
    <x:row r="1385" ht="66" hidden="0" customHeight="1">
      <x:c r="A1385" s="7" t="s">
        <x:v>4656</x:v>
      </x:c>
      <x:c r="B1385" s="7" t="s">
        <x:v>824</x:v>
      </x:c>
      <x:c r="C1385" s="7" t="s">
        <x:v>826</x:v>
      </x:c>
      <x:c r="D1385" s="7" t="s">
        <x:v>1935</x:v>
      </x:c>
      <x:c r="E1385" s="7" t="s">
        <x:v>4657</x:v>
      </x:c>
      <x:c r="F1385" s="7" t="s">
        <x:v>1929</x:v>
      </x:c>
      <x:c r="G1385" s="8" t="n">
        <x:v>2581</x:v>
      </x:c>
      <x:c r="H1385" s="8" t="s">
        <x:v>58</x:v>
      </x:c>
      <x:c r="I1385" s="8" t="s">
        <x:v>58</x:v>
      </x:c>
      <x:c r="J1385" s="7" t="s">
        <x:v>1919</x:v>
      </x:c>
      <x:c r="K1385" s="8" t="n">
        <x:v>0.001</x:v>
      </x:c>
      <x:c r="L1385" s="8" t="n">
        <x:f aca="0">IF(AND(ISNUMBER(G1385),P1385&lt;&gt;"Unresolved unit / layout"),G1385*K1385,"Not applicable")</x:f>
        <x:v>2.581</x:v>
      </x:c>
      <x:c r="M1385" s="8" t="str">
        <x:f aca="0">IF(AND(ISNUMBER(H1385),P1385&lt;&gt;"Unresolved unit / layout"),H1385*K1385,"Not applicable")</x:f>
        <x:v>Not applicable</x:v>
      </x:c>
      <x:c r="N1385" s="8" t="str">
        <x:f aca="0">IF(AND(ISNUMBER(I1385),P1385&lt;&gt;"Unresolved unit / layout"),I1385*K1385,"Not applicable")</x:f>
        <x:v>Not applicable</x:v>
      </x:c>
      <x:c r="O1385" s="7" t="s">
        <x:v>1937</x:v>
      </x:c>
      <x:c r="P1385" s="7" t="s">
        <x:v>1921</x:v>
      </x:c>
      <x:c r="Q1385" s="7" t="s">
        <x:v>2064</x:v>
      </x:c>
      <x:c r="R1385" s="7" t="s">
        <x:v>53</x:v>
      </x:c>
      <x:c r="S1385" s="7" t="s">
        <x:v>53</x:v>
      </x:c>
      <x:c r="T1385" s="7" t="s">
        <x:v>53</x:v>
      </x:c>
      <x:c r="U1385" s="7" t="s">
        <x:v>53</x:v>
      </x:c>
      <x:c r="V1385" s="7" t="s">
        <x:v>1999</x:v>
      </x:c>
      <x:c r="W1385" s="7" t="s">
        <x:v>58</x:v>
      </x:c>
      <x:c r="X1385" s="7" t="s">
        <x:v>4642</x:v>
      </x:c>
      <x:c r="Y1385" s="7" t="s">
        <x:v>1333</x:v>
      </x:c>
      <x:c r="Z1385" s="7" t="s">
        <x:v>4472</x:v>
      </x:c>
      <x:c r="AA1385" s="7" t="s">
        <x:v>58</x:v>
      </x:c>
      <x:c r="AB1385" s="8" t="s">
        <x:v>58</x:v>
      </x:c>
      <x:c r="AC1385" s="8" t="s">
        <x:v>58</x:v>
      </x:c>
      <x:c r="AD1385" s="8" t="s">
        <x:v>58</x:v>
      </x:c>
      <x:c r="AE1385" s="8" t="s">
        <x:v>58</x:v>
      </x:c>
      <x:c r="AF1385" s="8" t="s">
        <x:v>58</x:v>
      </x:c>
      <x:c r="AG1385" s="7" t="s">
        <x:v>58</x:v>
      </x:c>
    </x:row>
    <x:row r="1386" ht="66" hidden="0" customHeight="1">
      <x:c r="A1386" s="7" t="s">
        <x:v>4658</x:v>
      </x:c>
      <x:c r="B1386" s="7" t="s">
        <x:v>824</x:v>
      </x:c>
      <x:c r="C1386" s="7" t="s">
        <x:v>826</x:v>
      </x:c>
      <x:c r="D1386" s="7" t="s">
        <x:v>1940</x:v>
      </x:c>
      <x:c r="E1386" s="7" t="s">
        <x:v>3296</x:v>
      </x:c>
      <x:c r="F1386" s="7" t="s">
        <x:v>1942</x:v>
      </x:c>
      <x:c r="G1386" s="8" t="n">
        <x:v>1.6</x:v>
      </x:c>
      <x:c r="H1386" s="8" t="s">
        <x:v>58</x:v>
      </x:c>
      <x:c r="I1386" s="8" t="s">
        <x:v>58</x:v>
      </x:c>
      <x:c r="J1386" s="7" t="s">
        <x:v>1919</x:v>
      </x:c>
      <x:c r="K1386" s="8" t="n">
        <x:v>1</x:v>
      </x:c>
      <x:c r="L1386" s="8" t="n">
        <x:f aca="0">IF(AND(ISNUMBER(G1386),P1386&lt;&gt;"Unresolved unit / layout"),G1386*K1386,"Not applicable")</x:f>
        <x:v>1.6</x:v>
      </x:c>
      <x:c r="M1386" s="8" t="str">
        <x:f aca="0">IF(AND(ISNUMBER(H1386),P1386&lt;&gt;"Unresolved unit / layout"),H1386*K1386,"Not applicable")</x:f>
        <x:v>Not applicable</x:v>
      </x:c>
      <x:c r="N1386" s="8" t="str">
        <x:f aca="0">IF(AND(ISNUMBER(I1386),P1386&lt;&gt;"Unresolved unit / layout"),I1386*K1386,"Not applicable")</x:f>
        <x:v>Not applicable</x:v>
      </x:c>
      <x:c r="O1386" s="7" t="s">
        <x:v>1942</x:v>
      </x:c>
      <x:c r="P1386" s="7" t="s">
        <x:v>1921</x:v>
      </x:c>
      <x:c r="Q1386" s="7" t="s">
        <x:v>2064</x:v>
      </x:c>
      <x:c r="R1386" s="7" t="s">
        <x:v>1931</x:v>
      </x:c>
      <x:c r="S1386" s="7" t="s">
        <x:v>53</x:v>
      </x:c>
      <x:c r="T1386" s="7" t="s">
        <x:v>53</x:v>
      </x:c>
      <x:c r="U1386" s="7" t="s">
        <x:v>53</x:v>
      </x:c>
      <x:c r="V1386" s="7" t="s">
        <x:v>1999</x:v>
      </x:c>
      <x:c r="W1386" s="7" t="s">
        <x:v>58</x:v>
      </x:c>
      <x:c r="X1386" s="7" t="s">
        <x:v>4642</x:v>
      </x:c>
      <x:c r="Y1386" s="7" t="s">
        <x:v>1333</x:v>
      </x:c>
      <x:c r="Z1386" s="7" t="s">
        <x:v>4475</x:v>
      </x:c>
      <x:c r="AA1386" s="7" t="s">
        <x:v>58</x:v>
      </x:c>
      <x:c r="AB1386" s="8" t="s">
        <x:v>58</x:v>
      </x:c>
      <x:c r="AC1386" s="8" t="s">
        <x:v>58</x:v>
      </x:c>
      <x:c r="AD1386" s="8" t="s">
        <x:v>58</x:v>
      </x:c>
      <x:c r="AE1386" s="8" t="s">
        <x:v>58</x:v>
      </x:c>
      <x:c r="AF1386" s="8" t="s">
        <x:v>58</x:v>
      </x:c>
      <x:c r="AG1386" s="7" t="s">
        <x:v>58</x:v>
      </x:c>
    </x:row>
    <x:row r="1387" ht="66" hidden="0" customHeight="1">
      <x:c r="A1387" s="7" t="s">
        <x:v>4659</x:v>
      </x:c>
      <x:c r="B1387" s="7" t="s">
        <x:v>824</x:v>
      </x:c>
      <x:c r="C1387" s="7" t="s">
        <x:v>826</x:v>
      </x:c>
      <x:c r="D1387" s="7" t="s">
        <x:v>1940</x:v>
      </x:c>
      <x:c r="E1387" s="7" t="s">
        <x:v>4660</x:v>
      </x:c>
      <x:c r="F1387" s="7" t="s">
        <x:v>1942</x:v>
      </x:c>
      <x:c r="G1387" s="8" t="n">
        <x:v>0.7</x:v>
      </x:c>
      <x:c r="H1387" s="8" t="s">
        <x:v>58</x:v>
      </x:c>
      <x:c r="I1387" s="8" t="s">
        <x:v>58</x:v>
      </x:c>
      <x:c r="J1387" s="7" t="s">
        <x:v>1919</x:v>
      </x:c>
      <x:c r="K1387" s="8" t="n">
        <x:v>1</x:v>
      </x:c>
      <x:c r="L1387" s="8" t="n">
        <x:f aca="0">IF(AND(ISNUMBER(G1387),P1387&lt;&gt;"Unresolved unit / layout"),G1387*K1387,"Not applicable")</x:f>
        <x:v>0.7</x:v>
      </x:c>
      <x:c r="M1387" s="8" t="str">
        <x:f aca="0">IF(AND(ISNUMBER(H1387),P1387&lt;&gt;"Unresolved unit / layout"),H1387*K1387,"Not applicable")</x:f>
        <x:v>Not applicable</x:v>
      </x:c>
      <x:c r="N1387" s="8" t="str">
        <x:f aca="0">IF(AND(ISNUMBER(I1387),P1387&lt;&gt;"Unresolved unit / layout"),I1387*K1387,"Not applicable")</x:f>
        <x:v>Not applicable</x:v>
      </x:c>
      <x:c r="O1387" s="7" t="s">
        <x:v>1942</x:v>
      </x:c>
      <x:c r="P1387" s="7" t="s">
        <x:v>1921</x:v>
      </x:c>
      <x:c r="Q1387" s="7" t="s">
        <x:v>2064</x:v>
      </x:c>
      <x:c r="R1387" s="7" t="s">
        <x:v>53</x:v>
      </x:c>
      <x:c r="S1387" s="7" t="s">
        <x:v>53</x:v>
      </x:c>
      <x:c r="T1387" s="7" t="s">
        <x:v>53</x:v>
      </x:c>
      <x:c r="U1387" s="7" t="s">
        <x:v>53</x:v>
      </x:c>
      <x:c r="V1387" s="7" t="s">
        <x:v>1999</x:v>
      </x:c>
      <x:c r="W1387" s="7" t="s">
        <x:v>58</x:v>
      </x:c>
      <x:c r="X1387" s="7" t="s">
        <x:v>4642</x:v>
      </x:c>
      <x:c r="Y1387" s="7" t="s">
        <x:v>1333</x:v>
      </x:c>
      <x:c r="Z1387" s="7" t="s">
        <x:v>4477</x:v>
      </x:c>
      <x:c r="AA1387" s="7" t="s">
        <x:v>58</x:v>
      </x:c>
      <x:c r="AB1387" s="8" t="s">
        <x:v>58</x:v>
      </x:c>
      <x:c r="AC1387" s="8" t="s">
        <x:v>58</x:v>
      </x:c>
      <x:c r="AD1387" s="8" t="s">
        <x:v>58</x:v>
      </x:c>
      <x:c r="AE1387" s="8" t="s">
        <x:v>58</x:v>
      </x:c>
      <x:c r="AF1387" s="8" t="s">
        <x:v>58</x:v>
      </x:c>
      <x:c r="AG1387" s="7" t="s">
        <x:v>58</x:v>
      </x:c>
    </x:row>
    <x:row r="1388" ht="66" hidden="0" customHeight="1">
      <x:c r="A1388" s="7" t="s">
        <x:v>4661</x:v>
      </x:c>
      <x:c r="B1388" s="7" t="s">
        <x:v>824</x:v>
      </x:c>
      <x:c r="C1388" s="7" t="s">
        <x:v>826</x:v>
      </x:c>
      <x:c r="D1388" s="7" t="s">
        <x:v>1945</x:v>
      </x:c>
      <x:c r="E1388" s="7" t="s">
        <x:v>4662</x:v>
      </x:c>
      <x:c r="F1388" s="7" t="s">
        <x:v>1929</x:v>
      </x:c>
      <x:c r="G1388" s="8" t="n">
        <x:v>112</x:v>
      </x:c>
      <x:c r="H1388" s="8" t="s">
        <x:v>58</x:v>
      </x:c>
      <x:c r="I1388" s="8" t="s">
        <x:v>58</x:v>
      </x:c>
      <x:c r="J1388" s="7" t="s">
        <x:v>1919</x:v>
      </x:c>
      <x:c r="K1388" s="8" t="n">
        <x:v>1</x:v>
      </x:c>
      <x:c r="L1388" s="8" t="n">
        <x:f aca="0">IF(AND(ISNUMBER(G1388),P1388&lt;&gt;"Unresolved unit / layout"),G1388*K1388,"Not applicable")</x:f>
        <x:v>112</x:v>
      </x:c>
      <x:c r="M1388" s="8" t="str">
        <x:f aca="0">IF(AND(ISNUMBER(H1388),P1388&lt;&gt;"Unresolved unit / layout"),H1388*K1388,"Not applicable")</x:f>
        <x:v>Not applicable</x:v>
      </x:c>
      <x:c r="N1388" s="8" t="str">
        <x:f aca="0">IF(AND(ISNUMBER(I1388),P1388&lt;&gt;"Unresolved unit / layout"),I1388*K1388,"Not applicable")</x:f>
        <x:v>Not applicable</x:v>
      </x:c>
      <x:c r="O1388" s="7" t="s">
        <x:v>1929</x:v>
      </x:c>
      <x:c r="P1388" s="7" t="s">
        <x:v>1921</x:v>
      </x:c>
      <x:c r="Q1388" s="7" t="s">
        <x:v>2064</x:v>
      </x:c>
      <x:c r="R1388" s="7" t="s">
        <x:v>1931</x:v>
      </x:c>
      <x:c r="S1388" s="7" t="s">
        <x:v>53</x:v>
      </x:c>
      <x:c r="T1388" s="7" t="s">
        <x:v>53</x:v>
      </x:c>
      <x:c r="U1388" s="7" t="s">
        <x:v>53</x:v>
      </x:c>
      <x:c r="V1388" s="7" t="s">
        <x:v>2020</x:v>
      </x:c>
      <x:c r="W1388" s="7" t="s">
        <x:v>58</x:v>
      </x:c>
      <x:c r="X1388" s="7" t="s">
        <x:v>4642</x:v>
      </x:c>
      <x:c r="Y1388" s="7" t="s">
        <x:v>1333</x:v>
      </x:c>
      <x:c r="Z1388" s="7" t="s">
        <x:v>4481</x:v>
      </x:c>
      <x:c r="AA1388" s="7" t="s">
        <x:v>58</x:v>
      </x:c>
      <x:c r="AB1388" s="8" t="s">
        <x:v>58</x:v>
      </x:c>
      <x:c r="AC1388" s="8" t="s">
        <x:v>58</x:v>
      </x:c>
      <x:c r="AD1388" s="8" t="s">
        <x:v>58</x:v>
      </x:c>
      <x:c r="AE1388" s="8" t="s">
        <x:v>58</x:v>
      </x:c>
      <x:c r="AF1388" s="8" t="s">
        <x:v>58</x:v>
      </x:c>
      <x:c r="AG1388" s="7" t="s">
        <x:v>58</x:v>
      </x:c>
    </x:row>
    <x:row r="1389" ht="66" hidden="0" customHeight="1">
      <x:c r="A1389" s="7" t="s">
        <x:v>4663</x:v>
      </x:c>
      <x:c r="B1389" s="7" t="s">
        <x:v>824</x:v>
      </x:c>
      <x:c r="C1389" s="7" t="s">
        <x:v>826</x:v>
      </x:c>
      <x:c r="D1389" s="7" t="s">
        <x:v>1945</x:v>
      </x:c>
      <x:c r="E1389" s="7" t="s">
        <x:v>4664</x:v>
      </x:c>
      <x:c r="F1389" s="7" t="s">
        <x:v>1929</x:v>
      </x:c>
      <x:c r="G1389" s="8" t="n">
        <x:v>58</x:v>
      </x:c>
      <x:c r="H1389" s="8" t="s">
        <x:v>58</x:v>
      </x:c>
      <x:c r="I1389" s="8" t="s">
        <x:v>58</x:v>
      </x:c>
      <x:c r="J1389" s="7" t="s">
        <x:v>1919</x:v>
      </x:c>
      <x:c r="K1389" s="8" t="n">
        <x:v>1</x:v>
      </x:c>
      <x:c r="L1389" s="8" t="n">
        <x:f aca="0">IF(AND(ISNUMBER(G1389),P1389&lt;&gt;"Unresolved unit / layout"),G1389*K1389,"Not applicable")</x:f>
        <x:v>58</x:v>
      </x:c>
      <x:c r="M1389" s="8" t="str">
        <x:f aca="0">IF(AND(ISNUMBER(H1389),P1389&lt;&gt;"Unresolved unit / layout"),H1389*K1389,"Not applicable")</x:f>
        <x:v>Not applicable</x:v>
      </x:c>
      <x:c r="N1389" s="8" t="str">
        <x:f aca="0">IF(AND(ISNUMBER(I1389),P1389&lt;&gt;"Unresolved unit / layout"),I1389*K1389,"Not applicable")</x:f>
        <x:v>Not applicable</x:v>
      </x:c>
      <x:c r="O1389" s="7" t="s">
        <x:v>1929</x:v>
      </x:c>
      <x:c r="P1389" s="7" t="s">
        <x:v>1921</x:v>
      </x:c>
      <x:c r="Q1389" s="7" t="s">
        <x:v>2064</x:v>
      </x:c>
      <x:c r="R1389" s="7" t="s">
        <x:v>53</x:v>
      </x:c>
      <x:c r="S1389" s="7" t="s">
        <x:v>53</x:v>
      </x:c>
      <x:c r="T1389" s="7" t="s">
        <x:v>53</x:v>
      </x:c>
      <x:c r="U1389" s="7" t="s">
        <x:v>53</x:v>
      </x:c>
      <x:c r="V1389" s="7" t="s">
        <x:v>2020</x:v>
      </x:c>
      <x:c r="W1389" s="7" t="s">
        <x:v>58</x:v>
      </x:c>
      <x:c r="X1389" s="7" t="s">
        <x:v>4642</x:v>
      </x:c>
      <x:c r="Y1389" s="7" t="s">
        <x:v>1333</x:v>
      </x:c>
      <x:c r="Z1389" s="7" t="s">
        <x:v>4484</x:v>
      </x:c>
      <x:c r="AA1389" s="7" t="s">
        <x:v>58</x:v>
      </x:c>
      <x:c r="AB1389" s="8" t="s">
        <x:v>58</x:v>
      </x:c>
      <x:c r="AC1389" s="8" t="s">
        <x:v>58</x:v>
      </x:c>
      <x:c r="AD1389" s="8" t="s">
        <x:v>58</x:v>
      </x:c>
      <x:c r="AE1389" s="8" t="s">
        <x:v>58</x:v>
      </x:c>
      <x:c r="AF1389" s="8" t="s">
        <x:v>58</x:v>
      </x:c>
      <x:c r="AG1389" s="7" t="s">
        <x:v>58</x:v>
      </x:c>
    </x:row>
    <x:row r="1390" ht="66" hidden="0" customHeight="1">
      <x:c r="A1390" s="7" t="s">
        <x:v>4665</x:v>
      </x:c>
      <x:c r="B1390" s="7" t="s">
        <x:v>824</x:v>
      </x:c>
      <x:c r="C1390" s="7" t="s">
        <x:v>826</x:v>
      </x:c>
      <x:c r="D1390" s="7" t="s">
        <x:v>1950</x:v>
      </x:c>
      <x:c r="E1390" s="7" t="s">
        <x:v>4666</x:v>
      </x:c>
      <x:c r="F1390" s="7" t="s">
        <x:v>1929</x:v>
      </x:c>
      <x:c r="G1390" s="8" t="n">
        <x:v>4530</x:v>
      </x:c>
      <x:c r="H1390" s="8" t="s">
        <x:v>58</x:v>
      </x:c>
      <x:c r="I1390" s="8" t="s">
        <x:v>58</x:v>
      </x:c>
      <x:c r="J1390" s="7" t="s">
        <x:v>1919</x:v>
      </x:c>
      <x:c r="K1390" s="8" t="n">
        <x:v>0.001</x:v>
      </x:c>
      <x:c r="L1390" s="8" t="n">
        <x:f aca="0">IF(AND(ISNUMBER(G1390),P1390&lt;&gt;"Unresolved unit / layout"),G1390*K1390,"Not applicable")</x:f>
        <x:v>4.53</x:v>
      </x:c>
      <x:c r="M1390" s="8" t="str">
        <x:f aca="0">IF(AND(ISNUMBER(H1390),P1390&lt;&gt;"Unresolved unit / layout"),H1390*K1390,"Not applicable")</x:f>
        <x:v>Not applicable</x:v>
      </x:c>
      <x:c r="N1390" s="8" t="str">
        <x:f aca="0">IF(AND(ISNUMBER(I1390),P1390&lt;&gt;"Unresolved unit / layout"),I1390*K1390,"Not applicable")</x:f>
        <x:v>Not applicable</x:v>
      </x:c>
      <x:c r="O1390" s="7" t="s">
        <x:v>1937</x:v>
      </x:c>
      <x:c r="P1390" s="7" t="s">
        <x:v>1921</x:v>
      </x:c>
      <x:c r="Q1390" s="7" t="s">
        <x:v>2064</x:v>
      </x:c>
      <x:c r="R1390" s="7" t="s">
        <x:v>1931</x:v>
      </x:c>
      <x:c r="S1390" s="7" t="s">
        <x:v>53</x:v>
      </x:c>
      <x:c r="T1390" s="7" t="s">
        <x:v>53</x:v>
      </x:c>
      <x:c r="U1390" s="7" t="s">
        <x:v>53</x:v>
      </x:c>
      <x:c r="V1390" s="7" t="s">
        <x:v>2020</x:v>
      </x:c>
      <x:c r="W1390" s="7" t="s">
        <x:v>58</x:v>
      </x:c>
      <x:c r="X1390" s="7" t="s">
        <x:v>4642</x:v>
      </x:c>
      <x:c r="Y1390" s="7" t="s">
        <x:v>1333</x:v>
      </x:c>
      <x:c r="Z1390" s="7" t="s">
        <x:v>4487</x:v>
      </x:c>
      <x:c r="AA1390" s="7" t="s">
        <x:v>58</x:v>
      </x:c>
      <x:c r="AB1390" s="8" t="s">
        <x:v>58</x:v>
      </x:c>
      <x:c r="AC1390" s="8" t="s">
        <x:v>58</x:v>
      </x:c>
      <x:c r="AD1390" s="8" t="s">
        <x:v>58</x:v>
      </x:c>
      <x:c r="AE1390" s="8" t="s">
        <x:v>58</x:v>
      </x:c>
      <x:c r="AF1390" s="8" t="s">
        <x:v>58</x:v>
      </x:c>
      <x:c r="AG1390" s="7" t="s">
        <x:v>58</x:v>
      </x:c>
    </x:row>
    <x:row r="1391" ht="66" hidden="0" customHeight="1">
      <x:c r="A1391" s="7" t="s">
        <x:v>4667</x:v>
      </x:c>
      <x:c r="B1391" s="7" t="s">
        <x:v>824</x:v>
      </x:c>
      <x:c r="C1391" s="7" t="s">
        <x:v>826</x:v>
      </x:c>
      <x:c r="D1391" s="7" t="s">
        <x:v>1950</x:v>
      </x:c>
      <x:c r="E1391" s="7" t="s">
        <x:v>4668</x:v>
      </x:c>
      <x:c r="F1391" s="7" t="s">
        <x:v>1929</x:v>
      </x:c>
      <x:c r="G1391" s="8" t="n">
        <x:v>2212</x:v>
      </x:c>
      <x:c r="H1391" s="8" t="s">
        <x:v>58</x:v>
      </x:c>
      <x:c r="I1391" s="8" t="s">
        <x:v>58</x:v>
      </x:c>
      <x:c r="J1391" s="7" t="s">
        <x:v>1919</x:v>
      </x:c>
      <x:c r="K1391" s="8" t="n">
        <x:v>0.001</x:v>
      </x:c>
      <x:c r="L1391" s="8" t="n">
        <x:f aca="0">IF(AND(ISNUMBER(G1391),P1391&lt;&gt;"Unresolved unit / layout"),G1391*K1391,"Not applicable")</x:f>
        <x:v>2.212</x:v>
      </x:c>
      <x:c r="M1391" s="8" t="str">
        <x:f aca="0">IF(AND(ISNUMBER(H1391),P1391&lt;&gt;"Unresolved unit / layout"),H1391*K1391,"Not applicable")</x:f>
        <x:v>Not applicable</x:v>
      </x:c>
      <x:c r="N1391" s="8" t="str">
        <x:f aca="0">IF(AND(ISNUMBER(I1391),P1391&lt;&gt;"Unresolved unit / layout"),I1391*K1391,"Not applicable")</x:f>
        <x:v>Not applicable</x:v>
      </x:c>
      <x:c r="O1391" s="7" t="s">
        <x:v>1937</x:v>
      </x:c>
      <x:c r="P1391" s="7" t="s">
        <x:v>1921</x:v>
      </x:c>
      <x:c r="Q1391" s="7" t="s">
        <x:v>2064</x:v>
      </x:c>
      <x:c r="R1391" s="7" t="s">
        <x:v>53</x:v>
      </x:c>
      <x:c r="S1391" s="7" t="s">
        <x:v>53</x:v>
      </x:c>
      <x:c r="T1391" s="7" t="s">
        <x:v>53</x:v>
      </x:c>
      <x:c r="U1391" s="7" t="s">
        <x:v>53</x:v>
      </x:c>
      <x:c r="V1391" s="7" t="s">
        <x:v>2020</x:v>
      </x:c>
      <x:c r="W1391" s="7" t="s">
        <x:v>58</x:v>
      </x:c>
      <x:c r="X1391" s="7" t="s">
        <x:v>4642</x:v>
      </x:c>
      <x:c r="Y1391" s="7" t="s">
        <x:v>1333</x:v>
      </x:c>
      <x:c r="Z1391" s="7" t="s">
        <x:v>4490</x:v>
      </x:c>
      <x:c r="AA1391" s="7" t="s">
        <x:v>58</x:v>
      </x:c>
      <x:c r="AB1391" s="8" t="s">
        <x:v>58</x:v>
      </x:c>
      <x:c r="AC1391" s="8" t="s">
        <x:v>58</x:v>
      </x:c>
      <x:c r="AD1391" s="8" t="s">
        <x:v>58</x:v>
      </x:c>
      <x:c r="AE1391" s="8" t="s">
        <x:v>58</x:v>
      </x:c>
      <x:c r="AF1391" s="8" t="s">
        <x:v>58</x:v>
      </x:c>
      <x:c r="AG1391" s="7" t="s">
        <x:v>58</x:v>
      </x:c>
    </x:row>
    <x:row r="1392" ht="66" hidden="0" customHeight="1">
      <x:c r="A1392" s="7" t="s">
        <x:v>4669</x:v>
      </x:c>
      <x:c r="B1392" s="7" t="s">
        <x:v>824</x:v>
      </x:c>
      <x:c r="C1392" s="7" t="s">
        <x:v>826</x:v>
      </x:c>
      <x:c r="D1392" s="7" t="s">
        <x:v>2030</x:v>
      </x:c>
      <x:c r="E1392" s="7" t="s">
        <x:v>4670</x:v>
      </x:c>
      <x:c r="F1392" s="7" t="s">
        <x:v>2033</x:v>
      </x:c>
      <x:c r="G1392" s="8" t="n">
        <x:v>31.7</x:v>
      </x:c>
      <x:c r="H1392" s="8" t="s">
        <x:v>58</x:v>
      </x:c>
      <x:c r="I1392" s="8" t="s">
        <x:v>58</x:v>
      </x:c>
      <x:c r="J1392" s="7" t="s">
        <x:v>1919</x:v>
      </x:c>
      <x:c r="K1392" s="8" t="n">
        <x:v>1</x:v>
      </x:c>
      <x:c r="L1392" s="8" t="n">
        <x:f aca="0">IF(AND(ISNUMBER(G1392),P1392&lt;&gt;"Unresolved unit / layout"),G1392*K1392,"Not applicable")</x:f>
        <x:v>31.7</x:v>
      </x:c>
      <x:c r="M1392" s="8" t="str">
        <x:f aca="0">IF(AND(ISNUMBER(H1392),P1392&lt;&gt;"Unresolved unit / layout"),H1392*K1392,"Not applicable")</x:f>
        <x:v>Not applicable</x:v>
      </x:c>
      <x:c r="N1392" s="8" t="str">
        <x:f aca="0">IF(AND(ISNUMBER(I1392),P1392&lt;&gt;"Unresolved unit / layout"),I1392*K1392,"Not applicable")</x:f>
        <x:v>Not applicable</x:v>
      </x:c>
      <x:c r="O1392" s="7" t="s">
        <x:v>2033</x:v>
      </x:c>
      <x:c r="P1392" s="7" t="s">
        <x:v>1921</x:v>
      </x:c>
      <x:c r="Q1392" s="7" t="s">
        <x:v>2064</x:v>
      </x:c>
      <x:c r="R1392" s="7" t="s">
        <x:v>1931</x:v>
      </x:c>
      <x:c r="S1392" s="7" t="s">
        <x:v>53</x:v>
      </x:c>
      <x:c r="T1392" s="7" t="s">
        <x:v>53</x:v>
      </x:c>
      <x:c r="U1392" s="7" t="s">
        <x:v>53</x:v>
      </x:c>
      <x:c r="V1392" s="7" t="s">
        <x:v>2036</x:v>
      </x:c>
      <x:c r="W1392" s="7" t="s">
        <x:v>53</x:v>
      </x:c>
      <x:c r="X1392" s="7" t="s">
        <x:v>4642</x:v>
      </x:c>
      <x:c r="Y1392" s="7" t="s">
        <x:v>1333</x:v>
      </x:c>
      <x:c r="Z1392" s="7" t="s">
        <x:v>4493</x:v>
      </x:c>
      <x:c r="AA1392" s="7" t="s">
        <x:v>58</x:v>
      </x:c>
      <x:c r="AB1392" s="8" t="s">
        <x:v>58</x:v>
      </x:c>
      <x:c r="AC1392" s="8" t="s">
        <x:v>58</x:v>
      </x:c>
      <x:c r="AD1392" s="8" t="s">
        <x:v>58</x:v>
      </x:c>
      <x:c r="AE1392" s="8" t="s">
        <x:v>58</x:v>
      </x:c>
      <x:c r="AF1392" s="8" t="s">
        <x:v>58</x:v>
      </x:c>
      <x:c r="AG1392" s="7" t="s">
        <x:v>58</x:v>
      </x:c>
    </x:row>
    <x:row r="1393" ht="66" hidden="0" customHeight="1">
      <x:c r="A1393" s="7" t="s">
        <x:v>4671</x:v>
      </x:c>
      <x:c r="B1393" s="7" t="s">
        <x:v>824</x:v>
      </x:c>
      <x:c r="C1393" s="7" t="s">
        <x:v>826</x:v>
      </x:c>
      <x:c r="D1393" s="7" t="s">
        <x:v>2030</x:v>
      </x:c>
      <x:c r="E1393" s="7" t="s">
        <x:v>4672</x:v>
      </x:c>
      <x:c r="F1393" s="7" t="s">
        <x:v>2033</x:v>
      </x:c>
      <x:c r="G1393" s="8" t="n">
        <x:v>10.6</x:v>
      </x:c>
      <x:c r="H1393" s="8" t="s">
        <x:v>58</x:v>
      </x:c>
      <x:c r="I1393" s="8" t="s">
        <x:v>58</x:v>
      </x:c>
      <x:c r="J1393" s="7" t="s">
        <x:v>1919</x:v>
      </x:c>
      <x:c r="K1393" s="8" t="n">
        <x:v>1</x:v>
      </x:c>
      <x:c r="L1393" s="8" t="n">
        <x:f aca="0">IF(AND(ISNUMBER(G1393),P1393&lt;&gt;"Unresolved unit / layout"),G1393*K1393,"Not applicable")</x:f>
        <x:v>10.6</x:v>
      </x:c>
      <x:c r="M1393" s="8" t="str">
        <x:f aca="0">IF(AND(ISNUMBER(H1393),P1393&lt;&gt;"Unresolved unit / layout"),H1393*K1393,"Not applicable")</x:f>
        <x:v>Not applicable</x:v>
      </x:c>
      <x:c r="N1393" s="8" t="str">
        <x:f aca="0">IF(AND(ISNUMBER(I1393),P1393&lt;&gt;"Unresolved unit / layout"),I1393*K1393,"Not applicable")</x:f>
        <x:v>Not applicable</x:v>
      </x:c>
      <x:c r="O1393" s="7" t="s">
        <x:v>2033</x:v>
      </x:c>
      <x:c r="P1393" s="7" t="s">
        <x:v>1921</x:v>
      </x:c>
      <x:c r="Q1393" s="7" t="s">
        <x:v>2064</x:v>
      </x:c>
      <x:c r="R1393" s="7" t="s">
        <x:v>53</x:v>
      </x:c>
      <x:c r="S1393" s="7" t="s">
        <x:v>53</x:v>
      </x:c>
      <x:c r="T1393" s="7" t="s">
        <x:v>53</x:v>
      </x:c>
      <x:c r="U1393" s="7" t="s">
        <x:v>53</x:v>
      </x:c>
      <x:c r="V1393" s="7" t="s">
        <x:v>2036</x:v>
      </x:c>
      <x:c r="W1393" s="7" t="s">
        <x:v>53</x:v>
      </x:c>
      <x:c r="X1393" s="7" t="s">
        <x:v>4642</x:v>
      </x:c>
      <x:c r="Y1393" s="7" t="s">
        <x:v>1333</x:v>
      </x:c>
      <x:c r="Z1393" s="7" t="s">
        <x:v>4496</x:v>
      </x:c>
      <x:c r="AA1393" s="7" t="s">
        <x:v>58</x:v>
      </x:c>
      <x:c r="AB1393" s="8" t="s">
        <x:v>58</x:v>
      </x:c>
      <x:c r="AC1393" s="8" t="s">
        <x:v>58</x:v>
      </x:c>
      <x:c r="AD1393" s="8" t="s">
        <x:v>58</x:v>
      </x:c>
      <x:c r="AE1393" s="8" t="s">
        <x:v>58</x:v>
      </x:c>
      <x:c r="AF1393" s="8" t="s">
        <x:v>58</x:v>
      </x:c>
      <x:c r="AG1393" s="7" t="s">
        <x:v>58</x:v>
      </x:c>
    </x:row>
    <x:row r="1394" ht="66" hidden="0" customHeight="1">
      <x:c r="A1394" s="7" t="s">
        <x:v>4673</x:v>
      </x:c>
      <x:c r="B1394" s="7" t="s">
        <x:v>824</x:v>
      </x:c>
      <x:c r="C1394" s="7" t="s">
        <x:v>1334</x:v>
      </x:c>
      <x:c r="D1394" s="7" t="s">
        <x:v>1916</x:v>
      </x:c>
      <x:c r="E1394" s="7" t="s">
        <x:v>4674</x:v>
      </x:c>
      <x:c r="F1394" s="7" t="s">
        <x:v>1965</x:v>
      </x:c>
      <x:c r="G1394" s="8" t="n">
        <x:v>1.36</x:v>
      </x:c>
      <x:c r="H1394" s="8" t="s">
        <x:v>58</x:v>
      </x:c>
      <x:c r="I1394" s="8" t="s">
        <x:v>58</x:v>
      </x:c>
      <x:c r="J1394" s="7" t="s">
        <x:v>1919</x:v>
      </x:c>
      <x:c r="K1394" s="8" t="n">
        <x:v>1000</x:v>
      </x:c>
      <x:c r="L1394" s="8" t="n">
        <x:f aca="0">IF(AND(ISNUMBER(G1394),P1394&lt;&gt;"Unresolved unit / layout"),G1394*K1394,"Not applicable")</x:f>
        <x:v>1360</x:v>
      </x:c>
      <x:c r="M1394" s="8" t="str">
        <x:f aca="0">IF(AND(ISNUMBER(H1394),P1394&lt;&gt;"Unresolved unit / layout"),H1394*K1394,"Not applicable")</x:f>
        <x:v>Not applicable</x:v>
      </x:c>
      <x:c r="N1394" s="8" t="str">
        <x:f aca="0">IF(AND(ISNUMBER(I1394),P1394&lt;&gt;"Unresolved unit / layout"),I1394*K1394,"Not applicable")</x:f>
        <x:v>Not applicable</x:v>
      </x:c>
      <x:c r="O1394" s="7" t="s">
        <x:v>1920</x:v>
      </x:c>
      <x:c r="P1394" s="7" t="s">
        <x:v>1921</x:v>
      </x:c>
      <x:c r="Q1394" s="7" t="s">
        <x:v>1922</x:v>
      </x:c>
      <x:c r="R1394" s="7" t="s">
        <x:v>58</x:v>
      </x:c>
      <x:c r="S1394" s="7" t="s">
        <x:v>53</x:v>
      </x:c>
      <x:c r="T1394" s="7" t="s">
        <x:v>4675</x:v>
      </x:c>
      <x:c r="U1394" s="7" t="s">
        <x:v>53</x:v>
      </x:c>
      <x:c r="V1394" s="7" t="s">
        <x:v>1966</x:v>
      </x:c>
      <x:c r="W1394" s="7" t="s">
        <x:v>58</x:v>
      </x:c>
      <x:c r="X1394" s="7" t="s">
        <x:v>4676</x:v>
      </x:c>
      <x:c r="Y1394" s="7" t="s">
        <x:v>1336</x:v>
      </x:c>
      <x:c r="Z1394" s="7" t="s">
        <x:v>1925</x:v>
      </x:c>
      <x:c r="AA1394" s="7" t="s">
        <x:v>58</x:v>
      </x:c>
      <x:c r="AB1394" s="8" t="s">
        <x:v>58</x:v>
      </x:c>
      <x:c r="AC1394" s="8" t="s">
        <x:v>58</x:v>
      </x:c>
      <x:c r="AD1394" s="8" t="s">
        <x:v>58</x:v>
      </x:c>
      <x:c r="AE1394" s="8" t="s">
        <x:v>58</x:v>
      </x:c>
      <x:c r="AF1394" s="8" t="s">
        <x:v>58</x:v>
      </x:c>
      <x:c r="AG1394" s="7" t="s">
        <x:v>58</x:v>
      </x:c>
    </x:row>
    <x:row r="1395" ht="66" hidden="0" customHeight="1">
      <x:c r="A1395" s="7" t="s">
        <x:v>4677</x:v>
      </x:c>
      <x:c r="B1395" s="7" t="s">
        <x:v>824</x:v>
      </x:c>
      <x:c r="C1395" s="7" t="s">
        <x:v>1334</x:v>
      </x:c>
      <x:c r="D1395" s="7" t="s">
        <x:v>1959</x:v>
      </x:c>
      <x:c r="E1395" s="7" t="s">
        <x:v>4678</x:v>
      </x:c>
      <x:c r="F1395" s="7" t="s">
        <x:v>1956</x:v>
      </x:c>
      <x:c r="G1395" s="8" t="n">
        <x:v>125.8</x:v>
      </x:c>
      <x:c r="H1395" s="8" t="s">
        <x:v>58</x:v>
      </x:c>
      <x:c r="I1395" s="8" t="s">
        <x:v>58</x:v>
      </x:c>
      <x:c r="J1395" s="7" t="s">
        <x:v>1919</x:v>
      </x:c>
      <x:c r="K1395" s="8" t="n">
        <x:v>1</x:v>
      </x:c>
      <x:c r="L1395" s="8" t="n">
        <x:f aca="0">IF(AND(ISNUMBER(G1395),P1395&lt;&gt;"Unresolved unit / layout"),G1395*K1395,"Not applicable")</x:f>
        <x:v>125.8</x:v>
      </x:c>
      <x:c r="M1395" s="8" t="str">
        <x:f aca="0">IF(AND(ISNUMBER(H1395),P1395&lt;&gt;"Unresolved unit / layout"),H1395*K1395,"Not applicable")</x:f>
        <x:v>Not applicable</x:v>
      </x:c>
      <x:c r="N1395" s="8" t="str">
        <x:f aca="0">IF(AND(ISNUMBER(I1395),P1395&lt;&gt;"Unresolved unit / layout"),I1395*K1395,"Not applicable")</x:f>
        <x:v>Not applicable</x:v>
      </x:c>
      <x:c r="O1395" s="7" t="s">
        <x:v>1956</x:v>
      </x:c>
      <x:c r="P1395" s="7" t="s">
        <x:v>1921</x:v>
      </x:c>
      <x:c r="Q1395" s="7" t="s">
        <x:v>1930</x:v>
      </x:c>
      <x:c r="R1395" s="7" t="s">
        <x:v>58</x:v>
      </x:c>
      <x:c r="S1395" s="7" t="s">
        <x:v>53</x:v>
      </x:c>
      <x:c r="T1395" s="7" t="s">
        <x:v>4675</x:v>
      </x:c>
      <x:c r="U1395" s="7" t="s">
        <x:v>53</x:v>
      </x:c>
      <x:c r="V1395" s="7" t="s">
        <x:v>1988</x:v>
      </x:c>
      <x:c r="W1395" s="7" t="s">
        <x:v>58</x:v>
      </x:c>
      <x:c r="X1395" s="7" t="s">
        <x:v>4676</x:v>
      </x:c>
      <x:c r="Y1395" s="7" t="s">
        <x:v>1336</x:v>
      </x:c>
      <x:c r="Z1395" s="7" t="s">
        <x:v>4086</x:v>
      </x:c>
      <x:c r="AA1395" s="7" t="s">
        <x:v>58</x:v>
      </x:c>
      <x:c r="AB1395" s="8" t="s">
        <x:v>58</x:v>
      </x:c>
      <x:c r="AC1395" s="8" t="s">
        <x:v>58</x:v>
      </x:c>
      <x:c r="AD1395" s="8" t="s">
        <x:v>58</x:v>
      </x:c>
      <x:c r="AE1395" s="8" t="s">
        <x:v>58</x:v>
      </x:c>
      <x:c r="AF1395" s="8" t="s">
        <x:v>58</x:v>
      </x:c>
      <x:c r="AG1395" s="7" t="s">
        <x:v>58</x:v>
      </x:c>
    </x:row>
    <x:row r="1396" ht="66" hidden="0" customHeight="1">
      <x:c r="A1396" s="7" t="s">
        <x:v>4679</x:v>
      </x:c>
      <x:c r="B1396" s="7" t="s">
        <x:v>824</x:v>
      </x:c>
      <x:c r="C1396" s="7" t="s">
        <x:v>1334</x:v>
      </x:c>
      <x:c r="D1396" s="7" t="s">
        <x:v>1935</x:v>
      </x:c>
      <x:c r="E1396" s="7" t="s">
        <x:v>4680</x:v>
      </x:c>
      <x:c r="F1396" s="7" t="s">
        <x:v>1929</x:v>
      </x:c>
      <x:c r="G1396" s="8" t="n">
        <x:v>4552</x:v>
      </x:c>
      <x:c r="H1396" s="8" t="n">
        <x:v>54.6</x:v>
      </x:c>
      <x:c r="I1396" s="8" t="s">
        <x:v>58</x:v>
      </x:c>
      <x:c r="J1396" s="7" t="s">
        <x:v>1919</x:v>
      </x:c>
      <x:c r="K1396" s="8" t="n">
        <x:v>0.001</x:v>
      </x:c>
      <x:c r="L1396" s="8" t="n">
        <x:f aca="0">IF(AND(ISNUMBER(G1396),P1396&lt;&gt;"Unresolved unit / layout"),G1396*K1396,"Not applicable")</x:f>
        <x:v>4.5520000000000005</x:v>
      </x:c>
      <x:c r="M1396" s="8" t="n">
        <x:f aca="0">IF(AND(ISNUMBER(H1396),P1396&lt;&gt;"Unresolved unit / layout"),H1396*K1396,"Not applicable")</x:f>
        <x:v>0.0546</x:v>
      </x:c>
      <x:c r="N1396" s="8" t="str">
        <x:f aca="0">IF(AND(ISNUMBER(I1396),P1396&lt;&gt;"Unresolved unit / layout"),I1396*K1396,"Not applicable")</x:f>
        <x:v>Not applicable</x:v>
      </x:c>
      <x:c r="O1396" s="7" t="s">
        <x:v>1937</x:v>
      </x:c>
      <x:c r="P1396" s="7" t="s">
        <x:v>1921</x:v>
      </x:c>
      <x:c r="Q1396" s="7" t="s">
        <x:v>1930</x:v>
      </x:c>
      <x:c r="R1396" s="7" t="s">
        <x:v>1931</x:v>
      </x:c>
      <x:c r="S1396" s="7" t="s">
        <x:v>3378</x:v>
      </x:c>
      <x:c r="T1396" s="7" t="s">
        <x:v>4675</x:v>
      </x:c>
      <x:c r="U1396" s="7" t="s">
        <x:v>53</x:v>
      </x:c>
      <x:c r="V1396" s="7" t="s">
        <x:v>1999</x:v>
      </x:c>
      <x:c r="W1396" s="7" t="s">
        <x:v>58</x:v>
      </x:c>
      <x:c r="X1396" s="7" t="s">
        <x:v>4676</x:v>
      </x:c>
      <x:c r="Y1396" s="7" t="s">
        <x:v>1336</x:v>
      </x:c>
      <x:c r="Z1396" s="7" t="s">
        <x:v>4089</x:v>
      </x:c>
      <x:c r="AA1396" s="7" t="s">
        <x:v>58</x:v>
      </x:c>
      <x:c r="AB1396" s="8" t="s">
        <x:v>58</x:v>
      </x:c>
      <x:c r="AC1396" s="8" t="s">
        <x:v>58</x:v>
      </x:c>
      <x:c r="AD1396" s="8" t="s">
        <x:v>58</x:v>
      </x:c>
      <x:c r="AE1396" s="8" t="s">
        <x:v>58</x:v>
      </x:c>
      <x:c r="AF1396" s="8" t="s">
        <x:v>58</x:v>
      </x:c>
      <x:c r="AG1396" s="7" t="s">
        <x:v>58</x:v>
      </x:c>
    </x:row>
    <x:row r="1397" ht="66" hidden="0" customHeight="1">
      <x:c r="A1397" s="7" t="s">
        <x:v>4681</x:v>
      </x:c>
      <x:c r="B1397" s="7" t="s">
        <x:v>824</x:v>
      </x:c>
      <x:c r="C1397" s="7" t="s">
        <x:v>1334</x:v>
      </x:c>
      <x:c r="D1397" s="7" t="s">
        <x:v>1935</x:v>
      </x:c>
      <x:c r="E1397" s="7" t="s">
        <x:v>4682</x:v>
      </x:c>
      <x:c r="F1397" s="7" t="s">
        <x:v>1929</x:v>
      </x:c>
      <x:c r="G1397" s="8" t="n">
        <x:v>2557.2</x:v>
      </x:c>
      <x:c r="H1397" s="8" t="n">
        <x:v>101.2</x:v>
      </x:c>
      <x:c r="I1397" s="8" t="s">
        <x:v>58</x:v>
      </x:c>
      <x:c r="J1397" s="7" t="s">
        <x:v>1919</x:v>
      </x:c>
      <x:c r="K1397" s="8" t="n">
        <x:v>0.001</x:v>
      </x:c>
      <x:c r="L1397" s="8" t="n">
        <x:f aca="0">IF(AND(ISNUMBER(G1397),P1397&lt;&gt;"Unresolved unit / layout"),G1397*K1397,"Not applicable")</x:f>
        <x:v>2.5572</x:v>
      </x:c>
      <x:c r="M1397" s="8" t="n">
        <x:f aca="0">IF(AND(ISNUMBER(H1397),P1397&lt;&gt;"Unresolved unit / layout"),H1397*K1397,"Not applicable")</x:f>
        <x:v>0.1012</x:v>
      </x:c>
      <x:c r="N1397" s="8" t="str">
        <x:f aca="0">IF(AND(ISNUMBER(I1397),P1397&lt;&gt;"Unresolved unit / layout"),I1397*K1397,"Not applicable")</x:f>
        <x:v>Not applicable</x:v>
      </x:c>
      <x:c r="O1397" s="7" t="s">
        <x:v>1937</x:v>
      </x:c>
      <x:c r="P1397" s="7" t="s">
        <x:v>1921</x:v>
      </x:c>
      <x:c r="Q1397" s="7" t="s">
        <x:v>1930</x:v>
      </x:c>
      <x:c r="R1397" s="7" t="s">
        <x:v>2003</x:v>
      </x:c>
      <x:c r="S1397" s="7" t="s">
        <x:v>3378</x:v>
      </x:c>
      <x:c r="T1397" s="7" t="s">
        <x:v>4675</x:v>
      </x:c>
      <x:c r="U1397" s="7" t="s">
        <x:v>53</x:v>
      </x:c>
      <x:c r="V1397" s="7" t="s">
        <x:v>1999</x:v>
      </x:c>
      <x:c r="W1397" s="7" t="s">
        <x:v>58</x:v>
      </x:c>
      <x:c r="X1397" s="7" t="s">
        <x:v>4676</x:v>
      </x:c>
      <x:c r="Y1397" s="7" t="s">
        <x:v>1336</x:v>
      </x:c>
      <x:c r="Z1397" s="7" t="s">
        <x:v>4092</x:v>
      </x:c>
      <x:c r="AA1397" s="7" t="s">
        <x:v>58</x:v>
      </x:c>
      <x:c r="AB1397" s="8" t="s">
        <x:v>58</x:v>
      </x:c>
      <x:c r="AC1397" s="8" t="s">
        <x:v>58</x:v>
      </x:c>
      <x:c r="AD1397" s="8" t="s">
        <x:v>58</x:v>
      </x:c>
      <x:c r="AE1397" s="8" t="s">
        <x:v>58</x:v>
      </x:c>
      <x:c r="AF1397" s="8" t="s">
        <x:v>58</x:v>
      </x:c>
      <x:c r="AG1397" s="7" t="s">
        <x:v>58</x:v>
      </x:c>
    </x:row>
    <x:row r="1398" ht="66" hidden="0" customHeight="1">
      <x:c r="A1398" s="7" t="s">
        <x:v>4683</x:v>
      </x:c>
      <x:c r="B1398" s="7" t="s">
        <x:v>824</x:v>
      </x:c>
      <x:c r="C1398" s="7" t="s">
        <x:v>1334</x:v>
      </x:c>
      <x:c r="D1398" s="7" t="s">
        <x:v>2006</x:v>
      </x:c>
      <x:c r="E1398" s="7" t="s">
        <x:v>4684</x:v>
      </x:c>
      <x:c r="F1398" s="7" t="s">
        <x:v>1929</x:v>
      </x:c>
      <x:c r="G1398" s="8" t="n">
        <x:v>64.1</x:v>
      </x:c>
      <x:c r="H1398" s="8" t="n">
        <x:v>2.1</x:v>
      </x:c>
      <x:c r="I1398" s="8" t="s">
        <x:v>58</x:v>
      </x:c>
      <x:c r="J1398" s="7" t="s">
        <x:v>1919</x:v>
      </x:c>
      <x:c r="K1398" s="8" t="n">
        <x:v>1</x:v>
      </x:c>
      <x:c r="L1398" s="8" t="n">
        <x:f aca="0">IF(AND(ISNUMBER(G1398),P1398&lt;&gt;"Unresolved unit / layout"),G1398*K1398,"Not applicable")</x:f>
        <x:v>64.1</x:v>
      </x:c>
      <x:c r="M1398" s="8" t="n">
        <x:f aca="0">IF(AND(ISNUMBER(H1398),P1398&lt;&gt;"Unresolved unit / layout"),H1398*K1398,"Not applicable")</x:f>
        <x:v>2.1</x:v>
      </x:c>
      <x:c r="N1398" s="8" t="str">
        <x:f aca="0">IF(AND(ISNUMBER(I1398),P1398&lt;&gt;"Unresolved unit / layout"),I1398*K1398,"Not applicable")</x:f>
        <x:v>Not applicable</x:v>
      </x:c>
      <x:c r="O1398" s="7" t="s">
        <x:v>1929</x:v>
      </x:c>
      <x:c r="P1398" s="7" t="s">
        <x:v>1921</x:v>
      </x:c>
      <x:c r="Q1398" s="7" t="s">
        <x:v>1930</x:v>
      </x:c>
      <x:c r="R1398" s="7" t="s">
        <x:v>1931</x:v>
      </x:c>
      <x:c r="S1398" s="7" t="s">
        <x:v>3378</x:v>
      </x:c>
      <x:c r="T1398" s="7" t="s">
        <x:v>4675</x:v>
      </x:c>
      <x:c r="U1398" s="7" t="s">
        <x:v>53</x:v>
      </x:c>
      <x:c r="V1398" s="7" t="s">
        <x:v>1999</x:v>
      </x:c>
      <x:c r="W1398" s="7" t="s">
        <x:v>58</x:v>
      </x:c>
      <x:c r="X1398" s="7" t="s">
        <x:v>4676</x:v>
      </x:c>
      <x:c r="Y1398" s="7" t="s">
        <x:v>1336</x:v>
      </x:c>
      <x:c r="Z1398" s="7" t="s">
        <x:v>4095</x:v>
      </x:c>
      <x:c r="AA1398" s="7" t="s">
        <x:v>58</x:v>
      </x:c>
      <x:c r="AB1398" s="8" t="s">
        <x:v>58</x:v>
      </x:c>
      <x:c r="AC1398" s="8" t="s">
        <x:v>58</x:v>
      </x:c>
      <x:c r="AD1398" s="8" t="s">
        <x:v>58</x:v>
      </x:c>
      <x:c r="AE1398" s="8" t="s">
        <x:v>58</x:v>
      </x:c>
      <x:c r="AF1398" s="8" t="s">
        <x:v>58</x:v>
      </x:c>
      <x:c r="AG1398" s="7" t="s">
        <x:v>58</x:v>
      </x:c>
    </x:row>
    <x:row r="1399" ht="66" hidden="0" customHeight="1">
      <x:c r="A1399" s="7" t="s">
        <x:v>4685</x:v>
      </x:c>
      <x:c r="B1399" s="7" t="s">
        <x:v>824</x:v>
      </x:c>
      <x:c r="C1399" s="7" t="s">
        <x:v>1334</x:v>
      </x:c>
      <x:c r="D1399" s="7" t="s">
        <x:v>2006</x:v>
      </x:c>
      <x:c r="E1399" s="7" t="s">
        <x:v>4686</x:v>
      </x:c>
      <x:c r="F1399" s="7" t="s">
        <x:v>1929</x:v>
      </x:c>
      <x:c r="G1399" s="8" t="n">
        <x:v>22.9</x:v>
      </x:c>
      <x:c r="H1399" s="8" t="n">
        <x:v>0.8</x:v>
      </x:c>
      <x:c r="I1399" s="8" t="s">
        <x:v>58</x:v>
      </x:c>
      <x:c r="J1399" s="7" t="s">
        <x:v>1919</x:v>
      </x:c>
      <x:c r="K1399" s="8" t="n">
        <x:v>1</x:v>
      </x:c>
      <x:c r="L1399" s="8" t="n">
        <x:f aca="0">IF(AND(ISNUMBER(G1399),P1399&lt;&gt;"Unresolved unit / layout"),G1399*K1399,"Not applicable")</x:f>
        <x:v>22.9</x:v>
      </x:c>
      <x:c r="M1399" s="8" t="n">
        <x:f aca="0">IF(AND(ISNUMBER(H1399),P1399&lt;&gt;"Unresolved unit / layout"),H1399*K1399,"Not applicable")</x:f>
        <x:v>0.8</x:v>
      </x:c>
      <x:c r="N1399" s="8" t="str">
        <x:f aca="0">IF(AND(ISNUMBER(I1399),P1399&lt;&gt;"Unresolved unit / layout"),I1399*K1399,"Not applicable")</x:f>
        <x:v>Not applicable</x:v>
      </x:c>
      <x:c r="O1399" s="7" t="s">
        <x:v>1929</x:v>
      </x:c>
      <x:c r="P1399" s="7" t="s">
        <x:v>1921</x:v>
      </x:c>
      <x:c r="Q1399" s="7" t="s">
        <x:v>1930</x:v>
      </x:c>
      <x:c r="R1399" s="7" t="s">
        <x:v>2003</x:v>
      </x:c>
      <x:c r="S1399" s="7" t="s">
        <x:v>3378</x:v>
      </x:c>
      <x:c r="T1399" s="7" t="s">
        <x:v>4675</x:v>
      </x:c>
      <x:c r="U1399" s="7" t="s">
        <x:v>53</x:v>
      </x:c>
      <x:c r="V1399" s="7" t="s">
        <x:v>1999</x:v>
      </x:c>
      <x:c r="W1399" s="7" t="s">
        <x:v>58</x:v>
      </x:c>
      <x:c r="X1399" s="7" t="s">
        <x:v>4676</x:v>
      </x:c>
      <x:c r="Y1399" s="7" t="s">
        <x:v>1336</x:v>
      </x:c>
      <x:c r="Z1399" s="7" t="s">
        <x:v>3497</x:v>
      </x:c>
      <x:c r="AA1399" s="7" t="s">
        <x:v>58</x:v>
      </x:c>
      <x:c r="AB1399" s="8" t="s">
        <x:v>58</x:v>
      </x:c>
      <x:c r="AC1399" s="8" t="s">
        <x:v>58</x:v>
      </x:c>
      <x:c r="AD1399" s="8" t="s">
        <x:v>58</x:v>
      </x:c>
      <x:c r="AE1399" s="8" t="s">
        <x:v>58</x:v>
      </x:c>
      <x:c r="AF1399" s="8" t="s">
        <x:v>58</x:v>
      </x:c>
      <x:c r="AG1399" s="7" t="s">
        <x:v>58</x:v>
      </x:c>
    </x:row>
    <x:row r="1400" ht="66" hidden="0" customHeight="1">
      <x:c r="A1400" s="7" t="s">
        <x:v>4687</x:v>
      </x:c>
      <x:c r="B1400" s="7" t="s">
        <x:v>824</x:v>
      </x:c>
      <x:c r="C1400" s="7" t="s">
        <x:v>1334</x:v>
      </x:c>
      <x:c r="D1400" s="7" t="s">
        <x:v>1940</x:v>
      </x:c>
      <x:c r="E1400" s="7" t="s">
        <x:v>4688</x:v>
      </x:c>
      <x:c r="F1400" s="7" t="s">
        <x:v>1942</x:v>
      </x:c>
      <x:c r="G1400" s="8" t="n">
        <x:v>2</x:v>
      </x:c>
      <x:c r="H1400" s="8" t="n">
        <x:v>0.2</x:v>
      </x:c>
      <x:c r="I1400" s="8" t="s">
        <x:v>58</x:v>
      </x:c>
      <x:c r="J1400" s="7" t="s">
        <x:v>1919</x:v>
      </x:c>
      <x:c r="K1400" s="8" t="n">
        <x:v>1</x:v>
      </x:c>
      <x:c r="L1400" s="8" t="n">
        <x:f aca="0">IF(AND(ISNUMBER(G1400),P1400&lt;&gt;"Unresolved unit / layout"),G1400*K1400,"Not applicable")</x:f>
        <x:v>2</x:v>
      </x:c>
      <x:c r="M1400" s="8" t="n">
        <x:f aca="0">IF(AND(ISNUMBER(H1400),P1400&lt;&gt;"Unresolved unit / layout"),H1400*K1400,"Not applicable")</x:f>
        <x:v>0.2</x:v>
      </x:c>
      <x:c r="N1400" s="8" t="str">
        <x:f aca="0">IF(AND(ISNUMBER(I1400),P1400&lt;&gt;"Unresolved unit / layout"),I1400*K1400,"Not applicable")</x:f>
        <x:v>Not applicable</x:v>
      </x:c>
      <x:c r="O1400" s="7" t="s">
        <x:v>1942</x:v>
      </x:c>
      <x:c r="P1400" s="7" t="s">
        <x:v>1921</x:v>
      </x:c>
      <x:c r="Q1400" s="7" t="s">
        <x:v>1930</x:v>
      </x:c>
      <x:c r="R1400" s="7" t="s">
        <x:v>1931</x:v>
      </x:c>
      <x:c r="S1400" s="7" t="s">
        <x:v>3378</x:v>
      </x:c>
      <x:c r="T1400" s="7" t="s">
        <x:v>4675</x:v>
      </x:c>
      <x:c r="U1400" s="7" t="s">
        <x:v>53</x:v>
      </x:c>
      <x:c r="V1400" s="7" t="s">
        <x:v>1999</x:v>
      </x:c>
      <x:c r="W1400" s="7" t="s">
        <x:v>58</x:v>
      </x:c>
      <x:c r="X1400" s="7" t="s">
        <x:v>4676</x:v>
      </x:c>
      <x:c r="Y1400" s="7" t="s">
        <x:v>1336</x:v>
      </x:c>
      <x:c r="Z1400" s="7" t="s">
        <x:v>4100</x:v>
      </x:c>
      <x:c r="AA1400" s="7" t="s">
        <x:v>58</x:v>
      </x:c>
      <x:c r="AB1400" s="8" t="s">
        <x:v>58</x:v>
      </x:c>
      <x:c r="AC1400" s="8" t="s">
        <x:v>58</x:v>
      </x:c>
      <x:c r="AD1400" s="8" t="s">
        <x:v>58</x:v>
      </x:c>
      <x:c r="AE1400" s="8" t="s">
        <x:v>58</x:v>
      </x:c>
      <x:c r="AF1400" s="8" t="s">
        <x:v>58</x:v>
      </x:c>
      <x:c r="AG1400" s="7" t="s">
        <x:v>58</x:v>
      </x:c>
    </x:row>
    <x:row r="1401" ht="66" hidden="0" customHeight="1">
      <x:c r="A1401" s="7" t="s">
        <x:v>4689</x:v>
      </x:c>
      <x:c r="B1401" s="7" t="s">
        <x:v>824</x:v>
      </x:c>
      <x:c r="C1401" s="7" t="s">
        <x:v>1334</x:v>
      </x:c>
      <x:c r="D1401" s="7" t="s">
        <x:v>1940</x:v>
      </x:c>
      <x:c r="E1401" s="7" t="s">
        <x:v>4690</x:v>
      </x:c>
      <x:c r="F1401" s="7" t="s">
        <x:v>1942</x:v>
      </x:c>
      <x:c r="G1401" s="8" t="n">
        <x:v>1.1</x:v>
      </x:c>
      <x:c r="H1401" s="8" t="n">
        <x:v>0.1</x:v>
      </x:c>
      <x:c r="I1401" s="8" t="s">
        <x:v>58</x:v>
      </x:c>
      <x:c r="J1401" s="7" t="s">
        <x:v>1919</x:v>
      </x:c>
      <x:c r="K1401" s="8" t="n">
        <x:v>1</x:v>
      </x:c>
      <x:c r="L1401" s="8" t="n">
        <x:f aca="0">IF(AND(ISNUMBER(G1401),P1401&lt;&gt;"Unresolved unit / layout"),G1401*K1401,"Not applicable")</x:f>
        <x:v>1.1</x:v>
      </x:c>
      <x:c r="M1401" s="8" t="n">
        <x:f aca="0">IF(AND(ISNUMBER(H1401),P1401&lt;&gt;"Unresolved unit / layout"),H1401*K1401,"Not applicable")</x:f>
        <x:v>0.1</x:v>
      </x:c>
      <x:c r="N1401" s="8" t="str">
        <x:f aca="0">IF(AND(ISNUMBER(I1401),P1401&lt;&gt;"Unresolved unit / layout"),I1401*K1401,"Not applicable")</x:f>
        <x:v>Not applicable</x:v>
      </x:c>
      <x:c r="O1401" s="7" t="s">
        <x:v>1942</x:v>
      </x:c>
      <x:c r="P1401" s="7" t="s">
        <x:v>1921</x:v>
      </x:c>
      <x:c r="Q1401" s="7" t="s">
        <x:v>1930</x:v>
      </x:c>
      <x:c r="R1401" s="7" t="s">
        <x:v>2003</x:v>
      </x:c>
      <x:c r="S1401" s="7" t="s">
        <x:v>3378</x:v>
      </x:c>
      <x:c r="T1401" s="7" t="s">
        <x:v>4675</x:v>
      </x:c>
      <x:c r="U1401" s="7" t="s">
        <x:v>53</x:v>
      </x:c>
      <x:c r="V1401" s="7" t="s">
        <x:v>1999</x:v>
      </x:c>
      <x:c r="W1401" s="7" t="s">
        <x:v>58</x:v>
      </x:c>
      <x:c r="X1401" s="7" t="s">
        <x:v>4676</x:v>
      </x:c>
      <x:c r="Y1401" s="7" t="s">
        <x:v>1336</x:v>
      </x:c>
      <x:c r="Z1401" s="7" t="s">
        <x:v>3503</x:v>
      </x:c>
      <x:c r="AA1401" s="7" t="s">
        <x:v>58</x:v>
      </x:c>
      <x:c r="AB1401" s="8" t="s">
        <x:v>58</x:v>
      </x:c>
      <x:c r="AC1401" s="8" t="s">
        <x:v>58</x:v>
      </x:c>
      <x:c r="AD1401" s="8" t="s">
        <x:v>58</x:v>
      </x:c>
      <x:c r="AE1401" s="8" t="s">
        <x:v>58</x:v>
      </x:c>
      <x:c r="AF1401" s="8" t="s">
        <x:v>58</x:v>
      </x:c>
      <x:c r="AG1401" s="7" t="s">
        <x:v>58</x:v>
      </x:c>
    </x:row>
    <x:row r="1402" ht="66" hidden="0" customHeight="1">
      <x:c r="A1402" s="7" t="s">
        <x:v>4691</x:v>
      </x:c>
      <x:c r="B1402" s="7" t="s">
        <x:v>824</x:v>
      </x:c>
      <x:c r="C1402" s="7" t="s">
        <x:v>1334</x:v>
      </x:c>
      <x:c r="D1402" s="7" t="s">
        <x:v>1950</x:v>
      </x:c>
      <x:c r="E1402" s="7" t="s">
        <x:v>4692</x:v>
      </x:c>
      <x:c r="F1402" s="7" t="s">
        <x:v>1929</x:v>
      </x:c>
      <x:c r="G1402" s="8" t="n">
        <x:v>4110.7</x:v>
      </x:c>
      <x:c r="H1402" s="8" t="n">
        <x:v>124.9</x:v>
      </x:c>
      <x:c r="I1402" s="8" t="s">
        <x:v>58</x:v>
      </x:c>
      <x:c r="J1402" s="7" t="s">
        <x:v>1919</x:v>
      </x:c>
      <x:c r="K1402" s="8" t="n">
        <x:v>0.001</x:v>
      </x:c>
      <x:c r="L1402" s="8" t="n">
        <x:f aca="0">IF(AND(ISNUMBER(G1402),P1402&lt;&gt;"Unresolved unit / layout"),G1402*K1402,"Not applicable")</x:f>
        <x:v>4.1107</x:v>
      </x:c>
      <x:c r="M1402" s="8" t="n">
        <x:f aca="0">IF(AND(ISNUMBER(H1402),P1402&lt;&gt;"Unresolved unit / layout"),H1402*K1402,"Not applicable")</x:f>
        <x:v>0.12490000000000001</x:v>
      </x:c>
      <x:c r="N1402" s="8" t="str">
        <x:f aca="0">IF(AND(ISNUMBER(I1402),P1402&lt;&gt;"Unresolved unit / layout"),I1402*K1402,"Not applicable")</x:f>
        <x:v>Not applicable</x:v>
      </x:c>
      <x:c r="O1402" s="7" t="s">
        <x:v>1937</x:v>
      </x:c>
      <x:c r="P1402" s="7" t="s">
        <x:v>1921</x:v>
      </x:c>
      <x:c r="Q1402" s="7" t="s">
        <x:v>1930</x:v>
      </x:c>
      <x:c r="R1402" s="7" t="s">
        <x:v>1931</x:v>
      </x:c>
      <x:c r="S1402" s="7" t="s">
        <x:v>3378</x:v>
      </x:c>
      <x:c r="T1402" s="7" t="s">
        <x:v>4675</x:v>
      </x:c>
      <x:c r="U1402" s="7" t="s">
        <x:v>53</x:v>
      </x:c>
      <x:c r="V1402" s="7" t="s">
        <x:v>2020</x:v>
      </x:c>
      <x:c r="W1402" s="7" t="s">
        <x:v>58</x:v>
      </x:c>
      <x:c r="X1402" s="7" t="s">
        <x:v>4676</x:v>
      </x:c>
      <x:c r="Y1402" s="7" t="s">
        <x:v>1336</x:v>
      </x:c>
      <x:c r="Z1402" s="7" t="s">
        <x:v>4105</x:v>
      </x:c>
      <x:c r="AA1402" s="7" t="s">
        <x:v>58</x:v>
      </x:c>
      <x:c r="AB1402" s="8" t="s">
        <x:v>58</x:v>
      </x:c>
      <x:c r="AC1402" s="8" t="s">
        <x:v>58</x:v>
      </x:c>
      <x:c r="AD1402" s="8" t="s">
        <x:v>58</x:v>
      </x:c>
      <x:c r="AE1402" s="8" t="s">
        <x:v>58</x:v>
      </x:c>
      <x:c r="AF1402" s="8" t="s">
        <x:v>58</x:v>
      </x:c>
      <x:c r="AG1402" s="7" t="s">
        <x:v>58</x:v>
      </x:c>
    </x:row>
    <x:row r="1403" ht="66" hidden="0" customHeight="1">
      <x:c r="A1403" s="7" t="s">
        <x:v>4693</x:v>
      </x:c>
      <x:c r="B1403" s="7" t="s">
        <x:v>824</x:v>
      </x:c>
      <x:c r="C1403" s="7" t="s">
        <x:v>1334</x:v>
      </x:c>
      <x:c r="D1403" s="7" t="s">
        <x:v>1950</x:v>
      </x:c>
      <x:c r="E1403" s="7" t="s">
        <x:v>4694</x:v>
      </x:c>
      <x:c r="F1403" s="7" t="s">
        <x:v>1929</x:v>
      </x:c>
      <x:c r="G1403" s="8" t="n">
        <x:v>2605.7</x:v>
      </x:c>
      <x:c r="H1403" s="8" t="n">
        <x:v>101.8</x:v>
      </x:c>
      <x:c r="I1403" s="8" t="s">
        <x:v>58</x:v>
      </x:c>
      <x:c r="J1403" s="7" t="s">
        <x:v>1919</x:v>
      </x:c>
      <x:c r="K1403" s="8" t="n">
        <x:v>0.001</x:v>
      </x:c>
      <x:c r="L1403" s="8" t="n">
        <x:f aca="0">IF(AND(ISNUMBER(G1403),P1403&lt;&gt;"Unresolved unit / layout"),G1403*K1403,"Not applicable")</x:f>
        <x:v>2.6056999999999997</x:v>
      </x:c>
      <x:c r="M1403" s="8" t="n">
        <x:f aca="0">IF(AND(ISNUMBER(H1403),P1403&lt;&gt;"Unresolved unit / layout"),H1403*K1403,"Not applicable")</x:f>
        <x:v>0.1018</x:v>
      </x:c>
      <x:c r="N1403" s="8" t="str">
        <x:f aca="0">IF(AND(ISNUMBER(I1403),P1403&lt;&gt;"Unresolved unit / layout"),I1403*K1403,"Not applicable")</x:f>
        <x:v>Not applicable</x:v>
      </x:c>
      <x:c r="O1403" s="7" t="s">
        <x:v>1937</x:v>
      </x:c>
      <x:c r="P1403" s="7" t="s">
        <x:v>1921</x:v>
      </x:c>
      <x:c r="Q1403" s="7" t="s">
        <x:v>1930</x:v>
      </x:c>
      <x:c r="R1403" s="7" t="s">
        <x:v>2003</x:v>
      </x:c>
      <x:c r="S1403" s="7" t="s">
        <x:v>3378</x:v>
      </x:c>
      <x:c r="T1403" s="7" t="s">
        <x:v>4675</x:v>
      </x:c>
      <x:c r="U1403" s="7" t="s">
        <x:v>53</x:v>
      </x:c>
      <x:c r="V1403" s="7" t="s">
        <x:v>2020</x:v>
      </x:c>
      <x:c r="W1403" s="7" t="s">
        <x:v>58</x:v>
      </x:c>
      <x:c r="X1403" s="7" t="s">
        <x:v>4676</x:v>
      </x:c>
      <x:c r="Y1403" s="7" t="s">
        <x:v>1336</x:v>
      </x:c>
      <x:c r="Z1403" s="7" t="s">
        <x:v>4108</x:v>
      </x:c>
      <x:c r="AA1403" s="7" t="s">
        <x:v>58</x:v>
      </x:c>
      <x:c r="AB1403" s="8" t="s">
        <x:v>58</x:v>
      </x:c>
      <x:c r="AC1403" s="8" t="s">
        <x:v>58</x:v>
      </x:c>
      <x:c r="AD1403" s="8" t="s">
        <x:v>58</x:v>
      </x:c>
      <x:c r="AE1403" s="8" t="s">
        <x:v>58</x:v>
      </x:c>
      <x:c r="AF1403" s="8" t="s">
        <x:v>58</x:v>
      </x:c>
      <x:c r="AG1403" s="7" t="s">
        <x:v>58</x:v>
      </x:c>
    </x:row>
    <x:row r="1404" ht="66" hidden="0" customHeight="1">
      <x:c r="A1404" s="7" t="s">
        <x:v>4695</x:v>
      </x:c>
      <x:c r="B1404" s="7" t="s">
        <x:v>824</x:v>
      </x:c>
      <x:c r="C1404" s="7" t="s">
        <x:v>1334</x:v>
      </x:c>
      <x:c r="D1404" s="7" t="s">
        <x:v>1945</x:v>
      </x:c>
      <x:c r="E1404" s="7" t="s">
        <x:v>4696</x:v>
      </x:c>
      <x:c r="F1404" s="7" t="s">
        <x:v>1929</x:v>
      </x:c>
      <x:c r="G1404" s="8" t="n">
        <x:v>102.3</x:v>
      </x:c>
      <x:c r="H1404" s="8" t="n">
        <x:v>3.7</x:v>
      </x:c>
      <x:c r="I1404" s="8" t="s">
        <x:v>58</x:v>
      </x:c>
      <x:c r="J1404" s="7" t="s">
        <x:v>1919</x:v>
      </x:c>
      <x:c r="K1404" s="8" t="n">
        <x:v>1</x:v>
      </x:c>
      <x:c r="L1404" s="8" t="n">
        <x:f aca="0">IF(AND(ISNUMBER(G1404),P1404&lt;&gt;"Unresolved unit / layout"),G1404*K1404,"Not applicable")</x:f>
        <x:v>102.3</x:v>
      </x:c>
      <x:c r="M1404" s="8" t="n">
        <x:f aca="0">IF(AND(ISNUMBER(H1404),P1404&lt;&gt;"Unresolved unit / layout"),H1404*K1404,"Not applicable")</x:f>
        <x:v>3.7</x:v>
      </x:c>
      <x:c r="N1404" s="8" t="str">
        <x:f aca="0">IF(AND(ISNUMBER(I1404),P1404&lt;&gt;"Unresolved unit / layout"),I1404*K1404,"Not applicable")</x:f>
        <x:v>Not applicable</x:v>
      </x:c>
      <x:c r="O1404" s="7" t="s">
        <x:v>1929</x:v>
      </x:c>
      <x:c r="P1404" s="7" t="s">
        <x:v>1921</x:v>
      </x:c>
      <x:c r="Q1404" s="7" t="s">
        <x:v>1930</x:v>
      </x:c>
      <x:c r="R1404" s="7" t="s">
        <x:v>1931</x:v>
      </x:c>
      <x:c r="S1404" s="7" t="s">
        <x:v>3378</x:v>
      </x:c>
      <x:c r="T1404" s="7" t="s">
        <x:v>4675</x:v>
      </x:c>
      <x:c r="U1404" s="7" t="s">
        <x:v>53</x:v>
      </x:c>
      <x:c r="V1404" s="7" t="s">
        <x:v>2020</x:v>
      </x:c>
      <x:c r="W1404" s="7" t="s">
        <x:v>58</x:v>
      </x:c>
      <x:c r="X1404" s="7" t="s">
        <x:v>4676</x:v>
      </x:c>
      <x:c r="Y1404" s="7" t="s">
        <x:v>1336</x:v>
      </x:c>
      <x:c r="Z1404" s="7" t="s">
        <x:v>4111</x:v>
      </x:c>
      <x:c r="AA1404" s="7" t="s">
        <x:v>58</x:v>
      </x:c>
      <x:c r="AB1404" s="8" t="s">
        <x:v>58</x:v>
      </x:c>
      <x:c r="AC1404" s="8" t="s">
        <x:v>58</x:v>
      </x:c>
      <x:c r="AD1404" s="8" t="s">
        <x:v>58</x:v>
      </x:c>
      <x:c r="AE1404" s="8" t="s">
        <x:v>58</x:v>
      </x:c>
      <x:c r="AF1404" s="8" t="s">
        <x:v>58</x:v>
      </x:c>
      <x:c r="AG1404" s="7" t="s">
        <x:v>58</x:v>
      </x:c>
    </x:row>
    <x:row r="1405" ht="66" hidden="0" customHeight="1">
      <x:c r="A1405" s="7" t="s">
        <x:v>4697</x:v>
      </x:c>
      <x:c r="B1405" s="7" t="s">
        <x:v>824</x:v>
      </x:c>
      <x:c r="C1405" s="7" t="s">
        <x:v>1334</x:v>
      </x:c>
      <x:c r="D1405" s="7" t="s">
        <x:v>1945</x:v>
      </x:c>
      <x:c r="E1405" s="7" t="s">
        <x:v>4698</x:v>
      </x:c>
      <x:c r="F1405" s="7" t="s">
        <x:v>1929</x:v>
      </x:c>
      <x:c r="G1405" s="8" t="n">
        <x:v>45.7</x:v>
      </x:c>
      <x:c r="H1405" s="8" t="n">
        <x:v>1.1</x:v>
      </x:c>
      <x:c r="I1405" s="8" t="s">
        <x:v>58</x:v>
      </x:c>
      <x:c r="J1405" s="7" t="s">
        <x:v>1919</x:v>
      </x:c>
      <x:c r="K1405" s="8" t="n">
        <x:v>1</x:v>
      </x:c>
      <x:c r="L1405" s="8" t="n">
        <x:f aca="0">IF(AND(ISNUMBER(G1405),P1405&lt;&gt;"Unresolved unit / layout"),G1405*K1405,"Not applicable")</x:f>
        <x:v>45.7</x:v>
      </x:c>
      <x:c r="M1405" s="8" t="n">
        <x:f aca="0">IF(AND(ISNUMBER(H1405),P1405&lt;&gt;"Unresolved unit / layout"),H1405*K1405,"Not applicable")</x:f>
        <x:v>1.1</x:v>
      </x:c>
      <x:c r="N1405" s="8" t="str">
        <x:f aca="0">IF(AND(ISNUMBER(I1405),P1405&lt;&gt;"Unresolved unit / layout"),I1405*K1405,"Not applicable")</x:f>
        <x:v>Not applicable</x:v>
      </x:c>
      <x:c r="O1405" s="7" t="s">
        <x:v>1929</x:v>
      </x:c>
      <x:c r="P1405" s="7" t="s">
        <x:v>1921</x:v>
      </x:c>
      <x:c r="Q1405" s="7" t="s">
        <x:v>1930</x:v>
      </x:c>
      <x:c r="R1405" s="7" t="s">
        <x:v>2003</x:v>
      </x:c>
      <x:c r="S1405" s="7" t="s">
        <x:v>3378</x:v>
      </x:c>
      <x:c r="T1405" s="7" t="s">
        <x:v>4675</x:v>
      </x:c>
      <x:c r="U1405" s="7" t="s">
        <x:v>53</x:v>
      </x:c>
      <x:c r="V1405" s="7" t="s">
        <x:v>2020</x:v>
      </x:c>
      <x:c r="W1405" s="7" t="s">
        <x:v>58</x:v>
      </x:c>
      <x:c r="X1405" s="7" t="s">
        <x:v>4676</x:v>
      </x:c>
      <x:c r="Y1405" s="7" t="s">
        <x:v>1336</x:v>
      </x:c>
      <x:c r="Z1405" s="7" t="s">
        <x:v>4114</x:v>
      </x:c>
      <x:c r="AA1405" s="7" t="s">
        <x:v>58</x:v>
      </x:c>
      <x:c r="AB1405" s="8" t="s">
        <x:v>58</x:v>
      </x:c>
      <x:c r="AC1405" s="8" t="s">
        <x:v>58</x:v>
      </x:c>
      <x:c r="AD1405" s="8" t="s">
        <x:v>58</x:v>
      </x:c>
      <x:c r="AE1405" s="8" t="s">
        <x:v>58</x:v>
      </x:c>
      <x:c r="AF1405" s="8" t="s">
        <x:v>58</x:v>
      </x:c>
      <x:c r="AG1405" s="7" t="s">
        <x:v>58</x:v>
      </x:c>
    </x:row>
    <x:row r="1406" ht="66" hidden="0" customHeight="1">
      <x:c r="A1406" s="7" t="s">
        <x:v>4699</x:v>
      </x:c>
      <x:c r="B1406" s="7" t="s">
        <x:v>824</x:v>
      </x:c>
      <x:c r="C1406" s="7" t="s">
        <x:v>1334</x:v>
      </x:c>
      <x:c r="D1406" s="7" t="s">
        <x:v>2030</x:v>
      </x:c>
      <x:c r="E1406" s="7" t="s">
        <x:v>4700</x:v>
      </x:c>
      <x:c r="F1406" s="7" t="s">
        <x:v>2032</x:v>
      </x:c>
      <x:c r="G1406" s="8" t="n">
        <x:v>7.3</x:v>
      </x:c>
      <x:c r="H1406" s="8" t="n">
        <x:v>0.2</x:v>
      </x:c>
      <x:c r="I1406" s="8" t="s">
        <x:v>58</x:v>
      </x:c>
      <x:c r="J1406" s="7" t="s">
        <x:v>1919</x:v>
      </x:c>
      <x:c r="K1406" s="8" t="n">
        <x:v>1</x:v>
      </x:c>
      <x:c r="L1406" s="8" t="n">
        <x:f aca="0">IF(AND(ISNUMBER(G1406),P1406&lt;&gt;"Unresolved unit / layout"),G1406*K1406,"Not applicable")</x:f>
        <x:v>7.3</x:v>
      </x:c>
      <x:c r="M1406" s="8" t="n">
        <x:f aca="0">IF(AND(ISNUMBER(H1406),P1406&lt;&gt;"Unresolved unit / layout"),H1406*K1406,"Not applicable")</x:f>
        <x:v>0.2</x:v>
      </x:c>
      <x:c r="N1406" s="8" t="str">
        <x:f aca="0">IF(AND(ISNUMBER(I1406),P1406&lt;&gt;"Unresolved unit / layout"),I1406*K1406,"Not applicable")</x:f>
        <x:v>Not applicable</x:v>
      </x:c>
      <x:c r="O1406" s="7" t="s">
        <x:v>2033</x:v>
      </x:c>
      <x:c r="P1406" s="7" t="s">
        <x:v>1921</x:v>
      </x:c>
      <x:c r="Q1406" s="7" t="s">
        <x:v>1930</x:v>
      </x:c>
      <x:c r="R1406" s="7" t="s">
        <x:v>1931</x:v>
      </x:c>
      <x:c r="S1406" s="7" t="s">
        <x:v>3378</x:v>
      </x:c>
      <x:c r="T1406" s="7" t="s">
        <x:v>4675</x:v>
      </x:c>
      <x:c r="U1406" s="7" t="s">
        <x:v>53</x:v>
      </x:c>
      <x:c r="V1406" s="7" t="s">
        <x:v>53</x:v>
      </x:c>
      <x:c r="W1406" s="7" t="s">
        <x:v>2139</x:v>
      </x:c>
      <x:c r="X1406" s="7" t="s">
        <x:v>4676</x:v>
      </x:c>
      <x:c r="Y1406" s="7" t="s">
        <x:v>1336</x:v>
      </x:c>
      <x:c r="Z1406" s="7" t="s">
        <x:v>4117</x:v>
      </x:c>
      <x:c r="AA1406" s="7" t="s">
        <x:v>58</x:v>
      </x:c>
      <x:c r="AB1406" s="8" t="s">
        <x:v>58</x:v>
      </x:c>
      <x:c r="AC1406" s="8" t="s">
        <x:v>58</x:v>
      </x:c>
      <x:c r="AD1406" s="8" t="s">
        <x:v>58</x:v>
      </x:c>
      <x:c r="AE1406" s="8" t="s">
        <x:v>58</x:v>
      </x:c>
      <x:c r="AF1406" s="8" t="s">
        <x:v>58</x:v>
      </x:c>
      <x:c r="AG1406" s="7" t="s">
        <x:v>58</x:v>
      </x:c>
    </x:row>
    <x:row r="1407" ht="66" hidden="0" customHeight="1">
      <x:c r="A1407" s="7" t="s">
        <x:v>4701</x:v>
      </x:c>
      <x:c r="B1407" s="7" t="s">
        <x:v>824</x:v>
      </x:c>
      <x:c r="C1407" s="7" t="s">
        <x:v>1334</x:v>
      </x:c>
      <x:c r="D1407" s="7" t="s">
        <x:v>2030</x:v>
      </x:c>
      <x:c r="E1407" s="7" t="s">
        <x:v>4702</x:v>
      </x:c>
      <x:c r="F1407" s="7" t="s">
        <x:v>2032</x:v>
      </x:c>
      <x:c r="G1407" s="8" t="n">
        <x:v>27.3</x:v>
      </x:c>
      <x:c r="H1407" s="8" t="n">
        <x:v>1.1</x:v>
      </x:c>
      <x:c r="I1407" s="8" t="s">
        <x:v>58</x:v>
      </x:c>
      <x:c r="J1407" s="7" t="s">
        <x:v>1919</x:v>
      </x:c>
      <x:c r="K1407" s="8" t="n">
        <x:v>1</x:v>
      </x:c>
      <x:c r="L1407" s="8" t="n">
        <x:f aca="0">IF(AND(ISNUMBER(G1407),P1407&lt;&gt;"Unresolved unit / layout"),G1407*K1407,"Not applicable")</x:f>
        <x:v>27.3</x:v>
      </x:c>
      <x:c r="M1407" s="8" t="n">
        <x:f aca="0">IF(AND(ISNUMBER(H1407),P1407&lt;&gt;"Unresolved unit / layout"),H1407*K1407,"Not applicable")</x:f>
        <x:v>1.1</x:v>
      </x:c>
      <x:c r="N1407" s="8" t="str">
        <x:f aca="0">IF(AND(ISNUMBER(I1407),P1407&lt;&gt;"Unresolved unit / layout"),I1407*K1407,"Not applicable")</x:f>
        <x:v>Not applicable</x:v>
      </x:c>
      <x:c r="O1407" s="7" t="s">
        <x:v>2033</x:v>
      </x:c>
      <x:c r="P1407" s="7" t="s">
        <x:v>1921</x:v>
      </x:c>
      <x:c r="Q1407" s="7" t="s">
        <x:v>1930</x:v>
      </x:c>
      <x:c r="R1407" s="7" t="s">
        <x:v>1931</x:v>
      </x:c>
      <x:c r="S1407" s="7" t="s">
        <x:v>3378</x:v>
      </x:c>
      <x:c r="T1407" s="7" t="s">
        <x:v>4675</x:v>
      </x:c>
      <x:c r="U1407" s="7" t="s">
        <x:v>53</x:v>
      </x:c>
      <x:c r="V1407" s="7" t="s">
        <x:v>2036</x:v>
      </x:c>
      <x:c r="W1407" s="7" t="s">
        <x:v>2139</x:v>
      </x:c>
      <x:c r="X1407" s="7" t="s">
        <x:v>4676</x:v>
      </x:c>
      <x:c r="Y1407" s="7" t="s">
        <x:v>1336</x:v>
      </x:c>
      <x:c r="Z1407" s="7" t="s">
        <x:v>4120</x:v>
      </x:c>
      <x:c r="AA1407" s="7" t="s">
        <x:v>58</x:v>
      </x:c>
      <x:c r="AB1407" s="8" t="s">
        <x:v>58</x:v>
      </x:c>
      <x:c r="AC1407" s="8" t="s">
        <x:v>58</x:v>
      </x:c>
      <x:c r="AD1407" s="8" t="s">
        <x:v>58</x:v>
      </x:c>
      <x:c r="AE1407" s="8" t="s">
        <x:v>58</x:v>
      </x:c>
      <x:c r="AF1407" s="8" t="s">
        <x:v>58</x:v>
      </x:c>
      <x:c r="AG1407" s="7" t="s">
        <x:v>58</x:v>
      </x:c>
    </x:row>
    <x:row r="1408" ht="66" hidden="0" customHeight="1">
      <x:c r="A1408" s="7" t="s">
        <x:v>4703</x:v>
      </x:c>
      <x:c r="B1408" s="7" t="s">
        <x:v>824</x:v>
      </x:c>
      <x:c r="C1408" s="7" t="s">
        <x:v>1334</x:v>
      </x:c>
      <x:c r="D1408" s="7" t="s">
        <x:v>2030</x:v>
      </x:c>
      <x:c r="E1408" s="7" t="s">
        <x:v>4704</x:v>
      </x:c>
      <x:c r="F1408" s="7" t="s">
        <x:v>2032</x:v>
      </x:c>
      <x:c r="G1408" s="8" t="n">
        <x:v>4.3</x:v>
      </x:c>
      <x:c r="H1408" s="8" t="n">
        <x:v>0.3</x:v>
      </x:c>
      <x:c r="I1408" s="8" t="s">
        <x:v>58</x:v>
      </x:c>
      <x:c r="J1408" s="7" t="s">
        <x:v>1919</x:v>
      </x:c>
      <x:c r="K1408" s="8" t="n">
        <x:v>1</x:v>
      </x:c>
      <x:c r="L1408" s="8" t="n">
        <x:f aca="0">IF(AND(ISNUMBER(G1408),P1408&lt;&gt;"Unresolved unit / layout"),G1408*K1408,"Not applicable")</x:f>
        <x:v>4.3</x:v>
      </x:c>
      <x:c r="M1408" s="8" t="n">
        <x:f aca="0">IF(AND(ISNUMBER(H1408),P1408&lt;&gt;"Unresolved unit / layout"),H1408*K1408,"Not applicable")</x:f>
        <x:v>0.3</x:v>
      </x:c>
      <x:c r="N1408" s="8" t="str">
        <x:f aca="0">IF(AND(ISNUMBER(I1408),P1408&lt;&gt;"Unresolved unit / layout"),I1408*K1408,"Not applicable")</x:f>
        <x:v>Not applicable</x:v>
      </x:c>
      <x:c r="O1408" s="7" t="s">
        <x:v>2033</x:v>
      </x:c>
      <x:c r="P1408" s="7" t="s">
        <x:v>1921</x:v>
      </x:c>
      <x:c r="Q1408" s="7" t="s">
        <x:v>1930</x:v>
      </x:c>
      <x:c r="R1408" s="7" t="s">
        <x:v>2003</x:v>
      </x:c>
      <x:c r="S1408" s="7" t="s">
        <x:v>3378</x:v>
      </x:c>
      <x:c r="T1408" s="7" t="s">
        <x:v>4675</x:v>
      </x:c>
      <x:c r="U1408" s="7" t="s">
        <x:v>53</x:v>
      </x:c>
      <x:c r="V1408" s="7" t="s">
        <x:v>2036</x:v>
      </x:c>
      <x:c r="W1408" s="7" t="s">
        <x:v>2139</x:v>
      </x:c>
      <x:c r="X1408" s="7" t="s">
        <x:v>4676</x:v>
      </x:c>
      <x:c r="Y1408" s="7" t="s">
        <x:v>1336</x:v>
      </x:c>
      <x:c r="Z1408" s="7" t="s">
        <x:v>4123</x:v>
      </x:c>
      <x:c r="AA1408" s="7" t="s">
        <x:v>58</x:v>
      </x:c>
      <x:c r="AB1408" s="8" t="s">
        <x:v>58</x:v>
      </x:c>
      <x:c r="AC1408" s="8" t="s">
        <x:v>58</x:v>
      </x:c>
      <x:c r="AD1408" s="8" t="s">
        <x:v>58</x:v>
      </x:c>
      <x:c r="AE1408" s="8" t="s">
        <x:v>58</x:v>
      </x:c>
      <x:c r="AF1408" s="8" t="s">
        <x:v>58</x:v>
      </x:c>
      <x:c r="AG1408" s="7" t="s">
        <x:v>58</x:v>
      </x:c>
    </x:row>
    <x:row r="1409" ht="51.75" hidden="0" customHeight="1">
      <x:c r="A1409" s="7" t="s">
        <x:v>840</x:v>
      </x:c>
      <x:c r="B1409" s="7" t="s">
        <x:v>834</x:v>
      </x:c>
      <x:c r="C1409" s="7" t="s">
        <x:v>837</x:v>
      </x:c>
      <x:c r="D1409" s="7" t="s">
        <x:v>1916</x:v>
      </x:c>
      <x:c r="E1409" s="7" t="s">
        <x:v>2308</x:v>
      </x:c>
      <x:c r="F1409" s="7" t="s">
        <x:v>2076</x:v>
      </x:c>
      <x:c r="G1409" s="8" t="n">
        <x:v>1.27</x:v>
      </x:c>
      <x:c r="H1409" s="8" t="s">
        <x:v>58</x:v>
      </x:c>
      <x:c r="I1409" s="8" t="s">
        <x:v>58</x:v>
      </x:c>
      <x:c r="J1409" s="7" t="s">
        <x:v>1919</x:v>
      </x:c>
      <x:c r="K1409" s="8" t="n">
        <x:v>1000</x:v>
      </x:c>
      <x:c r="L1409" s="8" t="n">
        <x:f aca="0">IF(AND(ISNUMBER(G1409),P1409&lt;&gt;"Unresolved unit / layout"),G1409*K1409,"Not applicable")</x:f>
        <x:v>1270</x:v>
      </x:c>
      <x:c r="M1409" s="8" t="str">
        <x:f aca="0">IF(AND(ISNUMBER(H1409),P1409&lt;&gt;"Unresolved unit / layout"),H1409*K1409,"Not applicable")</x:f>
        <x:v>Not applicable</x:v>
      </x:c>
      <x:c r="N1409" s="8" t="str">
        <x:f aca="0">IF(AND(ISNUMBER(I1409),P1409&lt;&gt;"Unresolved unit / layout"),I1409*K1409,"Not applicable")</x:f>
        <x:v>Not applicable</x:v>
      </x:c>
      <x:c r="O1409" s="7" t="s">
        <x:v>1920</x:v>
      </x:c>
      <x:c r="P1409" s="7" t="s">
        <x:v>1921</x:v>
      </x:c>
      <x:c r="Q1409" s="7" t="s">
        <x:v>1922</x:v>
      </x:c>
      <x:c r="R1409" s="7" t="s">
        <x:v>58</x:v>
      </x:c>
      <x:c r="S1409" s="7" t="s">
        <x:v>53</x:v>
      </x:c>
      <x:c r="T1409" s="7" t="s">
        <x:v>53</x:v>
      </x:c>
      <x:c r="U1409" s="7" t="s">
        <x:v>53</x:v>
      </x:c>
      <x:c r="V1409" s="7" t="s">
        <x:v>1923</x:v>
      </x:c>
      <x:c r="W1409" s="7" t="s">
        <x:v>58</x:v>
      </x:c>
      <x:c r="X1409" s="7" t="s">
        <x:v>53</x:v>
      </x:c>
      <x:c r="Y1409" s="7" t="s">
        <x:v>1337</x:v>
      </x:c>
      <x:c r="Z1409" s="7" t="s">
        <x:v>1968</x:v>
      </x:c>
      <x:c r="AA1409" s="7" t="s">
        <x:v>58</x:v>
      </x:c>
      <x:c r="AB1409" s="8" t="s">
        <x:v>58</x:v>
      </x:c>
      <x:c r="AC1409" s="8" t="s">
        <x:v>58</x:v>
      </x:c>
      <x:c r="AD1409" s="8" t="s">
        <x:v>58</x:v>
      </x:c>
      <x:c r="AE1409" s="8" t="s">
        <x:v>58</x:v>
      </x:c>
      <x:c r="AF1409" s="8" t="s">
        <x:v>58</x:v>
      </x:c>
      <x:c r="AG1409" s="7" t="s">
        <x:v>58</x:v>
      </x:c>
    </x:row>
    <x:row r="1410" ht="37.5" hidden="0" customHeight="1">
      <x:c r="A1410" s="7" t="s">
        <x:v>4705</x:v>
      </x:c>
      <x:c r="B1410" s="7" t="s">
        <x:v>834</x:v>
      </x:c>
      <x:c r="C1410" s="7" t="s">
        <x:v>837</x:v>
      </x:c>
      <x:c r="D1410" s="7" t="s">
        <x:v>1974</x:v>
      </x:c>
      <x:c r="E1410" s="7" t="s">
        <x:v>3138</x:v>
      </x:c>
      <x:c r="F1410" s="7" t="s">
        <x:v>1956</x:v>
      </x:c>
      <x:c r="G1410" s="8" t="n">
        <x:v>202</x:v>
      </x:c>
      <x:c r="H1410" s="8" t="s">
        <x:v>58</x:v>
      </x:c>
      <x:c r="I1410" s="8" t="s">
        <x:v>58</x:v>
      </x:c>
      <x:c r="J1410" s="7" t="s">
        <x:v>1919</x:v>
      </x:c>
      <x:c r="K1410" s="8" t="n">
        <x:v>1</x:v>
      </x:c>
      <x:c r="L1410" s="8" t="n">
        <x:f aca="0">IF(AND(ISNUMBER(G1410),P1410&lt;&gt;"Unresolved unit / layout"),G1410*K1410,"Not applicable")</x:f>
        <x:v>202</x:v>
      </x:c>
      <x:c r="M1410" s="8" t="str">
        <x:f aca="0">IF(AND(ISNUMBER(H1410),P1410&lt;&gt;"Unresolved unit / layout"),H1410*K1410,"Not applicable")</x:f>
        <x:v>Not applicable</x:v>
      </x:c>
      <x:c r="N1410" s="8" t="str">
        <x:f aca="0">IF(AND(ISNUMBER(I1410),P1410&lt;&gt;"Unresolved unit / layout"),I1410*K1410,"Not applicable")</x:f>
        <x:v>Not applicable</x:v>
      </x:c>
      <x:c r="O1410" s="7" t="s">
        <x:v>1956</x:v>
      </x:c>
      <x:c r="P1410" s="7" t="s">
        <x:v>1921</x:v>
      </x:c>
      <x:c r="Q1410" s="7" t="s">
        <x:v>2064</x:v>
      </x:c>
      <x:c r="R1410" s="7" t="s">
        <x:v>58</x:v>
      </x:c>
      <x:c r="S1410" s="7" t="s">
        <x:v>53</x:v>
      </x:c>
      <x:c r="T1410" s="7" t="s">
        <x:v>53</x:v>
      </x:c>
      <x:c r="U1410" s="7" t="s">
        <x:v>53</x:v>
      </x:c>
      <x:c r="V1410" s="7" t="s">
        <x:v>2082</x:v>
      </x:c>
      <x:c r="W1410" s="7" t="s">
        <x:v>58</x:v>
      </x:c>
      <x:c r="X1410" s="7" t="s">
        <x:v>53</x:v>
      </x:c>
      <x:c r="Y1410" s="7" t="s">
        <x:v>1337</x:v>
      </x:c>
      <x:c r="Z1410" s="7" t="s">
        <x:v>2083</x:v>
      </x:c>
      <x:c r="AA1410" s="7" t="s">
        <x:v>58</x:v>
      </x:c>
      <x:c r="AB1410" s="8" t="s">
        <x:v>58</x:v>
      </x:c>
      <x:c r="AC1410" s="8" t="s">
        <x:v>58</x:v>
      </x:c>
      <x:c r="AD1410" s="8" t="s">
        <x:v>58</x:v>
      </x:c>
      <x:c r="AE1410" s="8" t="s">
        <x:v>58</x:v>
      </x:c>
      <x:c r="AF1410" s="8" t="s">
        <x:v>58</x:v>
      </x:c>
      <x:c r="AG1410" s="7" t="s">
        <x:v>58</x:v>
      </x:c>
    </x:row>
    <x:row r="1411" ht="37.5" hidden="0" customHeight="1">
      <x:c r="A1411" s="7" t="s">
        <x:v>4706</x:v>
      </x:c>
      <x:c r="B1411" s="7" t="s">
        <x:v>834</x:v>
      </x:c>
      <x:c r="C1411" s="7" t="s">
        <x:v>837</x:v>
      </x:c>
      <x:c r="D1411" s="7" t="s">
        <x:v>1954</x:v>
      </x:c>
      <x:c r="E1411" s="7" t="s">
        <x:v>1995</x:v>
      </x:c>
      <x:c r="F1411" s="7" t="s">
        <x:v>1956</x:v>
      </x:c>
      <x:c r="G1411" s="8" t="s">
        <x:v>53</x:v>
      </x:c>
      <x:c r="H1411" s="8" t="s">
        <x:v>58</x:v>
      </x:c>
      <x:c r="I1411" s="8" t="s">
        <x:v>58</x:v>
      </x:c>
      <x:c r="J1411" s="7" t="s">
        <x:v>58</x:v>
      </x:c>
      <x:c r="K1411" s="8" t="n">
        <x:v>1</x:v>
      </x:c>
      <x:c r="L1411" s="8" t="str">
        <x:f aca="0">IF(AND(ISNUMBER(G1411),P1411&lt;&gt;"Unresolved unit / layout"),G1411*K1411,"Not published")</x:f>
        <x:v>Not published</x:v>
      </x:c>
      <x:c r="M1411" s="8" t="str">
        <x:f aca="0">IF(AND(ISNUMBER(H1411),P1411&lt;&gt;"Unresolved unit / layout"),H1411*K1411,"Not applicable")</x:f>
        <x:v>Not applicable</x:v>
      </x:c>
      <x:c r="N1411" s="8" t="str">
        <x:f aca="0">IF(AND(ISNUMBER(I1411),P1411&lt;&gt;"Unresolved unit / layout"),I1411*K1411,"Not applicable")</x:f>
        <x:v>Not applicable</x:v>
      </x:c>
      <x:c r="O1411" s="7" t="s">
        <x:v>1956</x:v>
      </x:c>
      <x:c r="P1411" s="7" t="s">
        <x:v>53</x:v>
      </x:c>
      <x:c r="Q1411" s="7" t="s">
        <x:v>2064</x:v>
      </x:c>
      <x:c r="R1411" s="7" t="s">
        <x:v>58</x:v>
      </x:c>
      <x:c r="S1411" s="7" t="s">
        <x:v>53</x:v>
      </x:c>
      <x:c r="T1411" s="7" t="s">
        <x:v>53</x:v>
      </x:c>
      <x:c r="U1411" s="7" t="s">
        <x:v>53</x:v>
      </x:c>
      <x:c r="V1411" s="7" t="s">
        <x:v>3140</x:v>
      </x:c>
      <x:c r="W1411" s="7" t="s">
        <x:v>58</x:v>
      </x:c>
      <x:c r="X1411" s="7" t="s">
        <x:v>53</x:v>
      </x:c>
      <x:c r="Y1411" s="7" t="s">
        <x:v>1337</x:v>
      </x:c>
      <x:c r="Z1411" s="7" t="s">
        <x:v>3141</x:v>
      </x:c>
      <x:c r="AA1411" s="7" t="s">
        <x:v>58</x:v>
      </x:c>
      <x:c r="AB1411" s="8" t="s">
        <x:v>58</x:v>
      </x:c>
      <x:c r="AC1411" s="8" t="s">
        <x:v>58</x:v>
      </x:c>
      <x:c r="AD1411" s="8" t="s">
        <x:v>58</x:v>
      </x:c>
      <x:c r="AE1411" s="8" t="s">
        <x:v>58</x:v>
      </x:c>
      <x:c r="AF1411" s="8" t="s">
        <x:v>58</x:v>
      </x:c>
      <x:c r="AG1411" s="7" t="s">
        <x:v>58</x:v>
      </x:c>
    </x:row>
    <x:row r="1412" ht="37.5" hidden="0" customHeight="1">
      <x:c r="A1412" s="7" t="s">
        <x:v>4707</x:v>
      </x:c>
      <x:c r="B1412" s="7" t="s">
        <x:v>834</x:v>
      </x:c>
      <x:c r="C1412" s="7" t="s">
        <x:v>837</x:v>
      </x:c>
      <x:c r="D1412" s="7" t="s">
        <x:v>1978</x:v>
      </x:c>
      <x:c r="E1412" s="7" t="s">
        <x:v>1995</x:v>
      </x:c>
      <x:c r="F1412" s="7" t="s">
        <x:v>1956</x:v>
      </x:c>
      <x:c r="G1412" s="8" t="s">
        <x:v>53</x:v>
      </x:c>
      <x:c r="H1412" s="8" t="s">
        <x:v>58</x:v>
      </x:c>
      <x:c r="I1412" s="8" t="s">
        <x:v>58</x:v>
      </x:c>
      <x:c r="J1412" s="7" t="s">
        <x:v>58</x:v>
      </x:c>
      <x:c r="K1412" s="8" t="n">
        <x:v>1</x:v>
      </x:c>
      <x:c r="L1412" s="8" t="str">
        <x:f aca="0">IF(AND(ISNUMBER(G1412),P1412&lt;&gt;"Unresolved unit / layout"),G1412*K1412,"Not published")</x:f>
        <x:v>Not published</x:v>
      </x:c>
      <x:c r="M1412" s="8" t="str">
        <x:f aca="0">IF(AND(ISNUMBER(H1412),P1412&lt;&gt;"Unresolved unit / layout"),H1412*K1412,"Not applicable")</x:f>
        <x:v>Not applicable</x:v>
      </x:c>
      <x:c r="N1412" s="8" t="str">
        <x:f aca="0">IF(AND(ISNUMBER(I1412),P1412&lt;&gt;"Unresolved unit / layout"),I1412*K1412,"Not applicable")</x:f>
        <x:v>Not applicable</x:v>
      </x:c>
      <x:c r="O1412" s="7" t="s">
        <x:v>1956</x:v>
      </x:c>
      <x:c r="P1412" s="7" t="s">
        <x:v>53</x:v>
      </x:c>
      <x:c r="Q1412" s="7" t="s">
        <x:v>2064</x:v>
      </x:c>
      <x:c r="R1412" s="7" t="s">
        <x:v>58</x:v>
      </x:c>
      <x:c r="S1412" s="7" t="s">
        <x:v>53</x:v>
      </x:c>
      <x:c r="T1412" s="7" t="s">
        <x:v>53</x:v>
      </x:c>
      <x:c r="U1412" s="7" t="s">
        <x:v>53</x:v>
      </x:c>
      <x:c r="V1412" s="7" t="s">
        <x:v>2351</x:v>
      </x:c>
      <x:c r="W1412" s="7" t="s">
        <x:v>58</x:v>
      </x:c>
      <x:c r="X1412" s="7" t="s">
        <x:v>53</x:v>
      </x:c>
      <x:c r="Y1412" s="7" t="s">
        <x:v>1337</x:v>
      </x:c>
      <x:c r="Z1412" s="7" t="s">
        <x:v>2188</x:v>
      </x:c>
      <x:c r="AA1412" s="7" t="s">
        <x:v>58</x:v>
      </x:c>
      <x:c r="AB1412" s="8" t="s">
        <x:v>58</x:v>
      </x:c>
      <x:c r="AC1412" s="8" t="s">
        <x:v>58</x:v>
      </x:c>
      <x:c r="AD1412" s="8" t="s">
        <x:v>58</x:v>
      </x:c>
      <x:c r="AE1412" s="8" t="s">
        <x:v>58</x:v>
      </x:c>
      <x:c r="AF1412" s="8" t="s">
        <x:v>58</x:v>
      </x:c>
      <x:c r="AG1412" s="7" t="s">
        <x:v>58</x:v>
      </x:c>
    </x:row>
    <x:row r="1413" ht="37.5" hidden="0" customHeight="1">
      <x:c r="A1413" s="7" t="s">
        <x:v>4708</x:v>
      </x:c>
      <x:c r="B1413" s="7" t="s">
        <x:v>834</x:v>
      </x:c>
      <x:c r="C1413" s="7" t="s">
        <x:v>837</x:v>
      </x:c>
      <x:c r="D1413" s="7" t="s">
        <x:v>1982</x:v>
      </x:c>
      <x:c r="E1413" s="7" t="s">
        <x:v>1995</x:v>
      </x:c>
      <x:c r="F1413" s="7" t="s">
        <x:v>1956</x:v>
      </x:c>
      <x:c r="G1413" s="8" t="s">
        <x:v>53</x:v>
      </x:c>
      <x:c r="H1413" s="8" t="s">
        <x:v>58</x:v>
      </x:c>
      <x:c r="I1413" s="8" t="s">
        <x:v>58</x:v>
      </x:c>
      <x:c r="J1413" s="7" t="s">
        <x:v>58</x:v>
      </x:c>
      <x:c r="K1413" s="8" t="n">
        <x:v>1</x:v>
      </x:c>
      <x:c r="L1413" s="8" t="str">
        <x:f aca="0">IF(AND(ISNUMBER(G1413),P1413&lt;&gt;"Unresolved unit / layout"),G1413*K1413,"Not published")</x:f>
        <x:v>Not published</x:v>
      </x:c>
      <x:c r="M1413" s="8" t="str">
        <x:f aca="0">IF(AND(ISNUMBER(H1413),P1413&lt;&gt;"Unresolved unit / layout"),H1413*K1413,"Not applicable")</x:f>
        <x:v>Not applicable</x:v>
      </x:c>
      <x:c r="N1413" s="8" t="str">
        <x:f aca="0">IF(AND(ISNUMBER(I1413),P1413&lt;&gt;"Unresolved unit / layout"),I1413*K1413,"Not applicable")</x:f>
        <x:v>Not applicable</x:v>
      </x:c>
      <x:c r="O1413" s="7" t="s">
        <x:v>1956</x:v>
      </x:c>
      <x:c r="P1413" s="7" t="s">
        <x:v>53</x:v>
      </x:c>
      <x:c r="Q1413" s="7" t="s">
        <x:v>2064</x:v>
      </x:c>
      <x:c r="R1413" s="7" t="s">
        <x:v>58</x:v>
      </x:c>
      <x:c r="S1413" s="7" t="s">
        <x:v>53</x:v>
      </x:c>
      <x:c r="T1413" s="7" t="s">
        <x:v>53</x:v>
      </x:c>
      <x:c r="U1413" s="7" t="s">
        <x:v>53</x:v>
      </x:c>
      <x:c r="V1413" s="7" t="s">
        <x:v>2088</x:v>
      </x:c>
      <x:c r="W1413" s="7" t="s">
        <x:v>58</x:v>
      </x:c>
      <x:c r="X1413" s="7" t="s">
        <x:v>53</x:v>
      </x:c>
      <x:c r="Y1413" s="7" t="s">
        <x:v>1337</x:v>
      </x:c>
      <x:c r="Z1413" s="7" t="s">
        <x:v>3636</x:v>
      </x:c>
      <x:c r="AA1413" s="7" t="s">
        <x:v>58</x:v>
      </x:c>
      <x:c r="AB1413" s="8" t="s">
        <x:v>58</x:v>
      </x:c>
      <x:c r="AC1413" s="8" t="s">
        <x:v>58</x:v>
      </x:c>
      <x:c r="AD1413" s="8" t="s">
        <x:v>58</x:v>
      </x:c>
      <x:c r="AE1413" s="8" t="s">
        <x:v>58</x:v>
      </x:c>
      <x:c r="AF1413" s="8" t="s">
        <x:v>58</x:v>
      </x:c>
      <x:c r="AG1413" s="7" t="s">
        <x:v>58</x:v>
      </x:c>
    </x:row>
    <x:row r="1414" ht="37.5" hidden="0" customHeight="1">
      <x:c r="A1414" s="7" t="s">
        <x:v>4709</x:v>
      </x:c>
      <x:c r="B1414" s="7" t="s">
        <x:v>834</x:v>
      </x:c>
      <x:c r="C1414" s="7" t="s">
        <x:v>837</x:v>
      </x:c>
      <x:c r="D1414" s="7" t="s">
        <x:v>1959</x:v>
      </x:c>
      <x:c r="E1414" s="7" t="s">
        <x:v>1995</x:v>
      </x:c>
      <x:c r="F1414" s="7" t="s">
        <x:v>1956</x:v>
      </x:c>
      <x:c r="G1414" s="8" t="s">
        <x:v>53</x:v>
      </x:c>
      <x:c r="H1414" s="8" t="s">
        <x:v>58</x:v>
      </x:c>
      <x:c r="I1414" s="8" t="s">
        <x:v>58</x:v>
      </x:c>
      <x:c r="J1414" s="7" t="s">
        <x:v>58</x:v>
      </x:c>
      <x:c r="K1414" s="8" t="n">
        <x:v>1</x:v>
      </x:c>
      <x:c r="L1414" s="8" t="str">
        <x:f aca="0">IF(AND(ISNUMBER(G1414),P1414&lt;&gt;"Unresolved unit / layout"),G1414*K1414,"Not published")</x:f>
        <x:v>Not published</x:v>
      </x:c>
      <x:c r="M1414" s="8" t="str">
        <x:f aca="0">IF(AND(ISNUMBER(H1414),P1414&lt;&gt;"Unresolved unit / layout"),H1414*K1414,"Not applicable")</x:f>
        <x:v>Not applicable</x:v>
      </x:c>
      <x:c r="N1414" s="8" t="str">
        <x:f aca="0">IF(AND(ISNUMBER(I1414),P1414&lt;&gt;"Unresolved unit / layout"),I1414*K1414,"Not applicable")</x:f>
        <x:v>Not applicable</x:v>
      </x:c>
      <x:c r="O1414" s="7" t="s">
        <x:v>1956</x:v>
      </x:c>
      <x:c r="P1414" s="7" t="s">
        <x:v>53</x:v>
      </x:c>
      <x:c r="Q1414" s="7" t="s">
        <x:v>2064</x:v>
      </x:c>
      <x:c r="R1414" s="7" t="s">
        <x:v>58</x:v>
      </x:c>
      <x:c r="S1414" s="7" t="s">
        <x:v>53</x:v>
      </x:c>
      <x:c r="T1414" s="7" t="s">
        <x:v>53</x:v>
      </x:c>
      <x:c r="U1414" s="7" t="s">
        <x:v>53</x:v>
      </x:c>
      <x:c r="V1414" s="7" t="s">
        <x:v>3577</x:v>
      </x:c>
      <x:c r="W1414" s="7" t="s">
        <x:v>58</x:v>
      </x:c>
      <x:c r="X1414" s="7" t="s">
        <x:v>53</x:v>
      </x:c>
      <x:c r="Y1414" s="7" t="s">
        <x:v>1337</x:v>
      </x:c>
      <x:c r="Z1414" s="7" t="s">
        <x:v>3578</x:v>
      </x:c>
      <x:c r="AA1414" s="7" t="s">
        <x:v>3090</x:v>
      </x:c>
      <x:c r="AB1414" s="8" t="s">
        <x:v>58</x:v>
      </x:c>
      <x:c r="AC1414" s="8" t="s">
        <x:v>58</x:v>
      </x:c>
      <x:c r="AD1414" s="8" t="s">
        <x:v>58</x:v>
      </x:c>
      <x:c r="AE1414" s="8" t="s">
        <x:v>58</x:v>
      </x:c>
      <x:c r="AF1414" s="8" t="s">
        <x:v>58</x:v>
      </x:c>
      <x:c r="AG1414" s="7" t="s">
        <x:v>58</x:v>
      </x:c>
    </x:row>
    <x:row r="1415" ht="37.5" hidden="0" customHeight="1">
      <x:c r="A1415" s="7" t="s">
        <x:v>4710</x:v>
      </x:c>
      <x:c r="B1415" s="7" t="s">
        <x:v>834</x:v>
      </x:c>
      <x:c r="C1415" s="7" t="s">
        <x:v>837</x:v>
      </x:c>
      <x:c r="D1415" s="7" t="s">
        <x:v>2099</x:v>
      </x:c>
      <x:c r="E1415" s="7" t="s">
        <x:v>4711</x:v>
      </x:c>
      <x:c r="F1415" s="7" t="s">
        <x:v>1942</x:v>
      </x:c>
      <x:c r="G1415" s="8" t="n">
        <x:v>6.25</x:v>
      </x:c>
      <x:c r="H1415" s="8" t="s">
        <x:v>58</x:v>
      </x:c>
      <x:c r="I1415" s="8" t="s">
        <x:v>58</x:v>
      </x:c>
      <x:c r="J1415" s="7" t="s">
        <x:v>1919</x:v>
      </x:c>
      <x:c r="K1415" s="8" t="n">
        <x:v>1</x:v>
      </x:c>
      <x:c r="L1415" s="8" t="n">
        <x:f aca="0">IF(AND(ISNUMBER(G1415),P1415&lt;&gt;"Unresolved unit / layout"),G1415*K1415,"Not applicable")</x:f>
        <x:v>6.25</x:v>
      </x:c>
      <x:c r="M1415" s="8" t="str">
        <x:f aca="0">IF(AND(ISNUMBER(H1415),P1415&lt;&gt;"Unresolved unit / layout"),H1415*K1415,"Not applicable")</x:f>
        <x:v>Not applicable</x:v>
      </x:c>
      <x:c r="N1415" s="8" t="str">
        <x:f aca="0">IF(AND(ISNUMBER(I1415),P1415&lt;&gt;"Unresolved unit / layout"),I1415*K1415,"Not applicable")</x:f>
        <x:v>Not applicable</x:v>
      </x:c>
      <x:c r="O1415" s="7" t="s">
        <x:v>1942</x:v>
      </x:c>
      <x:c r="P1415" s="7" t="s">
        <x:v>1921</x:v>
      </x:c>
      <x:c r="Q1415" s="7" t="s">
        <x:v>2064</x:v>
      </x:c>
      <x:c r="R1415" s="7" t="s">
        <x:v>58</x:v>
      </x:c>
      <x:c r="S1415" s="7" t="s">
        <x:v>53</x:v>
      </x:c>
      <x:c r="T1415" s="7" t="s">
        <x:v>53</x:v>
      </x:c>
      <x:c r="U1415" s="7" t="s">
        <x:v>53</x:v>
      </x:c>
      <x:c r="V1415" s="7" t="s">
        <x:v>2238</x:v>
      </x:c>
      <x:c r="W1415" s="7" t="s">
        <x:v>58</x:v>
      </x:c>
      <x:c r="X1415" s="7" t="s">
        <x:v>53</x:v>
      </x:c>
      <x:c r="Y1415" s="7" t="s">
        <x:v>1337</x:v>
      </x:c>
      <x:c r="Z1415" s="7" t="s">
        <x:v>2239</x:v>
      </x:c>
      <x:c r="AA1415" s="7" t="s">
        <x:v>58</x:v>
      </x:c>
      <x:c r="AB1415" s="8" t="s">
        <x:v>58</x:v>
      </x:c>
      <x:c r="AC1415" s="8" t="s">
        <x:v>58</x:v>
      </x:c>
      <x:c r="AD1415" s="8" t="s">
        <x:v>58</x:v>
      </x:c>
      <x:c r="AE1415" s="8" t="s">
        <x:v>58</x:v>
      </x:c>
      <x:c r="AF1415" s="8" t="s">
        <x:v>58</x:v>
      </x:c>
      <x:c r="AG1415" s="7" t="s">
        <x:v>58</x:v>
      </x:c>
    </x:row>
    <x:row r="1416" ht="37.5" hidden="0" customHeight="1">
      <x:c r="A1416" s="7" t="s">
        <x:v>4712</x:v>
      </x:c>
      <x:c r="B1416" s="7" t="s">
        <x:v>834</x:v>
      </x:c>
      <x:c r="C1416" s="7" t="s">
        <x:v>837</x:v>
      </x:c>
      <x:c r="D1416" s="7" t="s">
        <x:v>1935</x:v>
      </x:c>
      <x:c r="E1416" s="7" t="s">
        <x:v>1995</x:v>
      </x:c>
      <x:c r="F1416" s="7" t="s">
        <x:v>53</x:v>
      </x:c>
      <x:c r="G1416" s="8" t="s">
        <x:v>53</x:v>
      </x:c>
      <x:c r="H1416" s="8" t="s">
        <x:v>58</x:v>
      </x:c>
      <x:c r="I1416" s="8" t="s">
        <x:v>58</x:v>
      </x:c>
      <x:c r="J1416" s="7" t="s">
        <x:v>58</x:v>
      </x:c>
      <x:c r="K1416" s="8" t="n">
        <x:v>1</x:v>
      </x:c>
      <x:c r="L1416" s="8" t="str">
        <x:f aca="0">IF(AND(ISNUMBER(G1416),P1416&lt;&gt;"Unresolved unit / layout"),G1416*K1416,"Not published")</x:f>
        <x:v>Not published</x:v>
      </x:c>
      <x:c r="M1416" s="8" t="str">
        <x:f aca="0">IF(AND(ISNUMBER(H1416),P1416&lt;&gt;"Unresolved unit / layout"),H1416*K1416,"Not applicable")</x:f>
        <x:v>Not applicable</x:v>
      </x:c>
      <x:c r="N1416" s="8" t="str">
        <x:f aca="0">IF(AND(ISNUMBER(I1416),P1416&lt;&gt;"Unresolved unit / layout"),I1416*K1416,"Not applicable")</x:f>
        <x:v>Not applicable</x:v>
      </x:c>
      <x:c r="O1416" s="7" t="s">
        <x:v>53</x:v>
      </x:c>
      <x:c r="P1416" s="7" t="s">
        <x:v>53</x:v>
      </x:c>
      <x:c r="Q1416" s="7" t="s">
        <x:v>2064</x:v>
      </x:c>
      <x:c r="R1416" s="7" t="s">
        <x:v>53</x:v>
      </x:c>
      <x:c r="S1416" s="7" t="s">
        <x:v>53</x:v>
      </x:c>
      <x:c r="T1416" s="7" t="s">
        <x:v>53</x:v>
      </x:c>
      <x:c r="U1416" s="7" t="s">
        <x:v>53</x:v>
      </x:c>
      <x:c r="V1416" s="7" t="s">
        <x:v>3594</x:v>
      </x:c>
      <x:c r="W1416" s="7" t="s">
        <x:v>58</x:v>
      </x:c>
      <x:c r="X1416" s="7" t="s">
        <x:v>53</x:v>
      </x:c>
      <x:c r="Y1416" s="7" t="s">
        <x:v>1337</x:v>
      </x:c>
      <x:c r="Z1416" s="7" t="s">
        <x:v>4713</x:v>
      </x:c>
      <x:c r="AA1416" s="7" t="s">
        <x:v>58</x:v>
      </x:c>
      <x:c r="AB1416" s="8" t="s">
        <x:v>58</x:v>
      </x:c>
      <x:c r="AC1416" s="8" t="s">
        <x:v>58</x:v>
      </x:c>
      <x:c r="AD1416" s="8" t="s">
        <x:v>58</x:v>
      </x:c>
      <x:c r="AE1416" s="8" t="s">
        <x:v>58</x:v>
      </x:c>
      <x:c r="AF1416" s="8" t="s">
        <x:v>58</x:v>
      </x:c>
      <x:c r="AG1416" s="7" t="s">
        <x:v>58</x:v>
      </x:c>
    </x:row>
    <x:row r="1417" ht="37.5" hidden="0" customHeight="1">
      <x:c r="A1417" s="7" t="s">
        <x:v>4714</x:v>
      </x:c>
      <x:c r="B1417" s="7" t="s">
        <x:v>834</x:v>
      </x:c>
      <x:c r="C1417" s="7" t="s">
        <x:v>837</x:v>
      </x:c>
      <x:c r="D1417" s="7" t="s">
        <x:v>2006</x:v>
      </x:c>
      <x:c r="E1417" s="7" t="s">
        <x:v>1995</x:v>
      </x:c>
      <x:c r="F1417" s="7" t="s">
        <x:v>53</x:v>
      </x:c>
      <x:c r="G1417" s="8" t="s">
        <x:v>53</x:v>
      </x:c>
      <x:c r="H1417" s="8" t="s">
        <x:v>58</x:v>
      </x:c>
      <x:c r="I1417" s="8" t="s">
        <x:v>58</x:v>
      </x:c>
      <x:c r="J1417" s="7" t="s">
        <x:v>58</x:v>
      </x:c>
      <x:c r="K1417" s="8" t="n">
        <x:v>1</x:v>
      </x:c>
      <x:c r="L1417" s="8" t="str">
        <x:f aca="0">IF(AND(ISNUMBER(G1417),P1417&lt;&gt;"Unresolved unit / layout"),G1417*K1417,"Not published")</x:f>
        <x:v>Not published</x:v>
      </x:c>
      <x:c r="M1417" s="8" t="str">
        <x:f aca="0">IF(AND(ISNUMBER(H1417),P1417&lt;&gt;"Unresolved unit / layout"),H1417*K1417,"Not applicable")</x:f>
        <x:v>Not applicable</x:v>
      </x:c>
      <x:c r="N1417" s="8" t="str">
        <x:f aca="0">IF(AND(ISNUMBER(I1417),P1417&lt;&gt;"Unresolved unit / layout"),I1417*K1417,"Not applicable")</x:f>
        <x:v>Not applicable</x:v>
      </x:c>
      <x:c r="O1417" s="7" t="s">
        <x:v>53</x:v>
      </x:c>
      <x:c r="P1417" s="7" t="s">
        <x:v>53</x:v>
      </x:c>
      <x:c r="Q1417" s="7" t="s">
        <x:v>2064</x:v>
      </x:c>
      <x:c r="R1417" s="7" t="s">
        <x:v>53</x:v>
      </x:c>
      <x:c r="S1417" s="7" t="s">
        <x:v>53</x:v>
      </x:c>
      <x:c r="T1417" s="7" t="s">
        <x:v>53</x:v>
      </x:c>
      <x:c r="U1417" s="7" t="s">
        <x:v>53</x:v>
      </x:c>
      <x:c r="V1417" s="7" t="s">
        <x:v>4715</x:v>
      </x:c>
      <x:c r="W1417" s="7" t="s">
        <x:v>58</x:v>
      </x:c>
      <x:c r="X1417" s="7" t="s">
        <x:v>53</x:v>
      </x:c>
      <x:c r="Y1417" s="7" t="s">
        <x:v>1337</x:v>
      </x:c>
      <x:c r="Z1417" s="7" t="s">
        <x:v>4716</x:v>
      </x:c>
      <x:c r="AA1417" s="7" t="s">
        <x:v>58</x:v>
      </x:c>
      <x:c r="AB1417" s="8" t="s">
        <x:v>58</x:v>
      </x:c>
      <x:c r="AC1417" s="8" t="s">
        <x:v>58</x:v>
      </x:c>
      <x:c r="AD1417" s="8" t="s">
        <x:v>58</x:v>
      </x:c>
      <x:c r="AE1417" s="8" t="s">
        <x:v>58</x:v>
      </x:c>
      <x:c r="AF1417" s="8" t="s">
        <x:v>58</x:v>
      </x:c>
      <x:c r="AG1417" s="7" t="s">
        <x:v>58</x:v>
      </x:c>
    </x:row>
    <x:row r="1418" ht="37.5" hidden="0" customHeight="1">
      <x:c r="A1418" s="7" t="s">
        <x:v>4717</x:v>
      </x:c>
      <x:c r="B1418" s="7" t="s">
        <x:v>834</x:v>
      </x:c>
      <x:c r="C1418" s="7" t="s">
        <x:v>837</x:v>
      </x:c>
      <x:c r="D1418" s="7" t="s">
        <x:v>1940</x:v>
      </x:c>
      <x:c r="E1418" s="7" t="s">
        <x:v>1995</x:v>
      </x:c>
      <x:c r="F1418" s="7" t="s">
        <x:v>1942</x:v>
      </x:c>
      <x:c r="G1418" s="8" t="s">
        <x:v>53</x:v>
      </x:c>
      <x:c r="H1418" s="8" t="s">
        <x:v>58</x:v>
      </x:c>
      <x:c r="I1418" s="8" t="s">
        <x:v>58</x:v>
      </x:c>
      <x:c r="J1418" s="7" t="s">
        <x:v>58</x:v>
      </x:c>
      <x:c r="K1418" s="8" t="n">
        <x:v>1</x:v>
      </x:c>
      <x:c r="L1418" s="8" t="str">
        <x:f aca="0">IF(AND(ISNUMBER(G1418),P1418&lt;&gt;"Unresolved unit / layout"),G1418*K1418,"Not published")</x:f>
        <x:v>Not published</x:v>
      </x:c>
      <x:c r="M1418" s="8" t="str">
        <x:f aca="0">IF(AND(ISNUMBER(H1418),P1418&lt;&gt;"Unresolved unit / layout"),H1418*K1418,"Not applicable")</x:f>
        <x:v>Not applicable</x:v>
      </x:c>
      <x:c r="N1418" s="8" t="str">
        <x:f aca="0">IF(AND(ISNUMBER(I1418),P1418&lt;&gt;"Unresolved unit / layout"),I1418*K1418,"Not applicable")</x:f>
        <x:v>Not applicable</x:v>
      </x:c>
      <x:c r="O1418" s="7" t="s">
        <x:v>1942</x:v>
      </x:c>
      <x:c r="P1418" s="7" t="s">
        <x:v>53</x:v>
      </x:c>
      <x:c r="Q1418" s="7" t="s">
        <x:v>2064</x:v>
      </x:c>
      <x:c r="R1418" s="7" t="s">
        <x:v>53</x:v>
      </x:c>
      <x:c r="S1418" s="7" t="s">
        <x:v>53</x:v>
      </x:c>
      <x:c r="T1418" s="7" t="s">
        <x:v>53</x:v>
      </x:c>
      <x:c r="U1418" s="7" t="s">
        <x:v>53</x:v>
      </x:c>
      <x:c r="V1418" s="7" t="s">
        <x:v>4718</x:v>
      </x:c>
      <x:c r="W1418" s="7" t="s">
        <x:v>58</x:v>
      </x:c>
      <x:c r="X1418" s="7" t="s">
        <x:v>53</x:v>
      </x:c>
      <x:c r="Y1418" s="7" t="s">
        <x:v>1337</x:v>
      </x:c>
      <x:c r="Z1418" s="7" t="s">
        <x:v>4719</x:v>
      </x:c>
      <x:c r="AA1418" s="7" t="s">
        <x:v>58</x:v>
      </x:c>
      <x:c r="AB1418" s="8" t="s">
        <x:v>58</x:v>
      </x:c>
      <x:c r="AC1418" s="8" t="s">
        <x:v>58</x:v>
      </x:c>
      <x:c r="AD1418" s="8" t="s">
        <x:v>58</x:v>
      </x:c>
      <x:c r="AE1418" s="8" t="s">
        <x:v>58</x:v>
      </x:c>
      <x:c r="AF1418" s="8" t="s">
        <x:v>58</x:v>
      </x:c>
      <x:c r="AG1418" s="7" t="s">
        <x:v>58</x:v>
      </x:c>
    </x:row>
    <x:row r="1419" ht="37.5" hidden="0" customHeight="1">
      <x:c r="A1419" s="7" t="s">
        <x:v>4720</x:v>
      </x:c>
      <x:c r="B1419" s="7" t="s">
        <x:v>834</x:v>
      </x:c>
      <x:c r="C1419" s="7" t="s">
        <x:v>837</x:v>
      </x:c>
      <x:c r="D1419" s="7" t="s">
        <x:v>1950</x:v>
      </x:c>
      <x:c r="E1419" s="7" t="s">
        <x:v>1995</x:v>
      </x:c>
      <x:c r="F1419" s="7" t="s">
        <x:v>53</x:v>
      </x:c>
      <x:c r="G1419" s="8" t="s">
        <x:v>53</x:v>
      </x:c>
      <x:c r="H1419" s="8" t="s">
        <x:v>58</x:v>
      </x:c>
      <x:c r="I1419" s="8" t="s">
        <x:v>58</x:v>
      </x:c>
      <x:c r="J1419" s="7" t="s">
        <x:v>58</x:v>
      </x:c>
      <x:c r="K1419" s="8" t="n">
        <x:v>1</x:v>
      </x:c>
      <x:c r="L1419" s="8" t="str">
        <x:f aca="0">IF(AND(ISNUMBER(G1419),P1419&lt;&gt;"Unresolved unit / layout"),G1419*K1419,"Not published")</x:f>
        <x:v>Not published</x:v>
      </x:c>
      <x:c r="M1419" s="8" t="str">
        <x:f aca="0">IF(AND(ISNUMBER(H1419),P1419&lt;&gt;"Unresolved unit / layout"),H1419*K1419,"Not applicable")</x:f>
        <x:v>Not applicable</x:v>
      </x:c>
      <x:c r="N1419" s="8" t="str">
        <x:f aca="0">IF(AND(ISNUMBER(I1419),P1419&lt;&gt;"Unresolved unit / layout"),I1419*K1419,"Not applicable")</x:f>
        <x:v>Not applicable</x:v>
      </x:c>
      <x:c r="O1419" s="7" t="s">
        <x:v>53</x:v>
      </x:c>
      <x:c r="P1419" s="7" t="s">
        <x:v>53</x:v>
      </x:c>
      <x:c r="Q1419" s="7" t="s">
        <x:v>2064</x:v>
      </x:c>
      <x:c r="R1419" s="7" t="s">
        <x:v>53</x:v>
      </x:c>
      <x:c r="S1419" s="7" t="s">
        <x:v>53</x:v>
      </x:c>
      <x:c r="T1419" s="7" t="s">
        <x:v>53</x:v>
      </x:c>
      <x:c r="U1419" s="7" t="s">
        <x:v>53</x:v>
      </x:c>
      <x:c r="V1419" s="7" t="s">
        <x:v>3594</x:v>
      </x:c>
      <x:c r="W1419" s="7" t="s">
        <x:v>58</x:v>
      </x:c>
      <x:c r="X1419" s="7" t="s">
        <x:v>53</x:v>
      </x:c>
      <x:c r="Y1419" s="7" t="s">
        <x:v>1337</x:v>
      </x:c>
      <x:c r="Z1419" s="7" t="s">
        <x:v>3595</x:v>
      </x:c>
      <x:c r="AA1419" s="7" t="s">
        <x:v>58</x:v>
      </x:c>
      <x:c r="AB1419" s="8" t="s">
        <x:v>58</x:v>
      </x:c>
      <x:c r="AC1419" s="8" t="s">
        <x:v>58</x:v>
      </x:c>
      <x:c r="AD1419" s="8" t="s">
        <x:v>58</x:v>
      </x:c>
      <x:c r="AE1419" s="8" t="s">
        <x:v>58</x:v>
      </x:c>
      <x:c r="AF1419" s="8" t="s">
        <x:v>58</x:v>
      </x:c>
      <x:c r="AG1419" s="7" t="s">
        <x:v>58</x:v>
      </x:c>
    </x:row>
    <x:row r="1420" ht="37.5" hidden="0" customHeight="1">
      <x:c r="A1420" s="7" t="s">
        <x:v>4721</x:v>
      </x:c>
      <x:c r="B1420" s="7" t="s">
        <x:v>834</x:v>
      </x:c>
      <x:c r="C1420" s="7" t="s">
        <x:v>837</x:v>
      </x:c>
      <x:c r="D1420" s="7" t="s">
        <x:v>3357</x:v>
      </x:c>
      <x:c r="E1420" s="7" t="s">
        <x:v>1995</x:v>
      </x:c>
      <x:c r="F1420" s="7" t="s">
        <x:v>53</x:v>
      </x:c>
      <x:c r="G1420" s="8" t="s">
        <x:v>53</x:v>
      </x:c>
      <x:c r="H1420" s="8" t="s">
        <x:v>58</x:v>
      </x:c>
      <x:c r="I1420" s="8" t="s">
        <x:v>58</x:v>
      </x:c>
      <x:c r="J1420" s="7" t="s">
        <x:v>58</x:v>
      </x:c>
      <x:c r="K1420" s="8" t="n">
        <x:v>1</x:v>
      </x:c>
      <x:c r="L1420" s="8" t="str">
        <x:f aca="0">IF(AND(ISNUMBER(G1420),P1420&lt;&gt;"Unresolved unit / layout"),G1420*K1420,"Not published")</x:f>
        <x:v>Not published</x:v>
      </x:c>
      <x:c r="M1420" s="8" t="str">
        <x:f aca="0">IF(AND(ISNUMBER(H1420),P1420&lt;&gt;"Unresolved unit / layout"),H1420*K1420,"Not applicable")</x:f>
        <x:v>Not applicable</x:v>
      </x:c>
      <x:c r="N1420" s="8" t="str">
        <x:f aca="0">IF(AND(ISNUMBER(I1420),P1420&lt;&gt;"Unresolved unit / layout"),I1420*K1420,"Not applicable")</x:f>
        <x:v>Not applicable</x:v>
      </x:c>
      <x:c r="O1420" s="7" t="s">
        <x:v>53</x:v>
      </x:c>
      <x:c r="P1420" s="7" t="s">
        <x:v>53</x:v>
      </x:c>
      <x:c r="Q1420" s="7" t="s">
        <x:v>2064</x:v>
      </x:c>
      <x:c r="R1420" s="7" t="s">
        <x:v>53</x:v>
      </x:c>
      <x:c r="S1420" s="7" t="s">
        <x:v>53</x:v>
      </x:c>
      <x:c r="T1420" s="7" t="s">
        <x:v>53</x:v>
      </x:c>
      <x:c r="U1420" s="7" t="s">
        <x:v>53</x:v>
      </x:c>
      <x:c r="V1420" s="7" t="s">
        <x:v>4722</x:v>
      </x:c>
      <x:c r="W1420" s="7" t="s">
        <x:v>53</x:v>
      </x:c>
      <x:c r="X1420" s="7" t="s">
        <x:v>53</x:v>
      </x:c>
      <x:c r="Y1420" s="7" t="s">
        <x:v>1337</x:v>
      </x:c>
      <x:c r="Z1420" s="7" t="s">
        <x:v>4723</x:v>
      </x:c>
      <x:c r="AA1420" s="7" t="s">
        <x:v>58</x:v>
      </x:c>
      <x:c r="AB1420" s="8" t="s">
        <x:v>58</x:v>
      </x:c>
      <x:c r="AC1420" s="8" t="s">
        <x:v>58</x:v>
      </x:c>
      <x:c r="AD1420" s="8" t="s">
        <x:v>58</x:v>
      </x:c>
      <x:c r="AE1420" s="8" t="s">
        <x:v>58</x:v>
      </x:c>
      <x:c r="AF1420" s="8" t="s">
        <x:v>58</x:v>
      </x:c>
      <x:c r="AG1420" s="7" t="s">
        <x:v>58</x:v>
      </x:c>
    </x:row>
    <x:row r="1421" ht="51.75" hidden="0" customHeight="1">
      <x:c r="A1421" s="7" t="s">
        <x:v>853</x:v>
      </x:c>
      <x:c r="B1421" s="7" t="s">
        <x:v>847</x:v>
      </x:c>
      <x:c r="C1421" s="7" t="s">
        <x:v>849</x:v>
      </x:c>
      <x:c r="D1421" s="7" t="s">
        <x:v>1916</x:v>
      </x:c>
      <x:c r="E1421" s="7" t="s">
        <x:v>3910</x:v>
      </x:c>
      <x:c r="F1421" s="7" t="s">
        <x:v>2076</x:v>
      </x:c>
      <x:c r="G1421" s="8" t="n">
        <x:v>1.14</x:v>
      </x:c>
      <x:c r="H1421" s="8" t="s">
        <x:v>58</x:v>
      </x:c>
      <x:c r="I1421" s="8" t="s">
        <x:v>58</x:v>
      </x:c>
      <x:c r="J1421" s="7" t="s">
        <x:v>1919</x:v>
      </x:c>
      <x:c r="K1421" s="8" t="n">
        <x:v>1000</x:v>
      </x:c>
      <x:c r="L1421" s="8" t="n">
        <x:f aca="0">IF(AND(ISNUMBER(G1421),P1421&lt;&gt;"Unresolved unit / layout"),G1421*K1421,"Not applicable")</x:f>
        <x:v>1140</x:v>
      </x:c>
      <x:c r="M1421" s="8" t="str">
        <x:f aca="0">IF(AND(ISNUMBER(H1421),P1421&lt;&gt;"Unresolved unit / layout"),H1421*K1421,"Not applicable")</x:f>
        <x:v>Not applicable</x:v>
      </x:c>
      <x:c r="N1421" s="8" t="str">
        <x:f aca="0">IF(AND(ISNUMBER(I1421),P1421&lt;&gt;"Unresolved unit / layout"),I1421*K1421,"Not applicable")</x:f>
        <x:v>Not applicable</x:v>
      </x:c>
      <x:c r="O1421" s="7" t="s">
        <x:v>1920</x:v>
      </x:c>
      <x:c r="P1421" s="7" t="s">
        <x:v>1921</x:v>
      </x:c>
      <x:c r="Q1421" s="7" t="s">
        <x:v>1922</x:v>
      </x:c>
      <x:c r="R1421" s="7" t="s">
        <x:v>58</x:v>
      </x:c>
      <x:c r="S1421" s="7" t="s">
        <x:v>53</x:v>
      </x:c>
      <x:c r="T1421" s="7" t="s">
        <x:v>53</x:v>
      </x:c>
      <x:c r="U1421" s="7" t="s">
        <x:v>53</x:v>
      </x:c>
      <x:c r="V1421" s="7" t="s">
        <x:v>1923</x:v>
      </x:c>
      <x:c r="W1421" s="7" t="s">
        <x:v>58</x:v>
      </x:c>
      <x:c r="X1421" s="7" t="s">
        <x:v>53</x:v>
      </x:c>
      <x:c r="Y1421" s="7" t="s">
        <x:v>1340</x:v>
      </x:c>
      <x:c r="Z1421" s="7" t="s">
        <x:v>1968</x:v>
      </x:c>
      <x:c r="AA1421" s="7" t="s">
        <x:v>58</x:v>
      </x:c>
      <x:c r="AB1421" s="8" t="s">
        <x:v>58</x:v>
      </x:c>
      <x:c r="AC1421" s="8" t="s">
        <x:v>58</x:v>
      </x:c>
      <x:c r="AD1421" s="8" t="s">
        <x:v>58</x:v>
      </x:c>
      <x:c r="AE1421" s="8" t="s">
        <x:v>58</x:v>
      </x:c>
      <x:c r="AF1421" s="8" t="s">
        <x:v>58</x:v>
      </x:c>
      <x:c r="AG1421" s="7" t="s">
        <x:v>58</x:v>
      </x:c>
    </x:row>
    <x:row r="1422" ht="37.5" hidden="0" customHeight="1">
      <x:c r="A1422" s="7" t="s">
        <x:v>4724</x:v>
      </x:c>
      <x:c r="B1422" s="7" t="s">
        <x:v>847</x:v>
      </x:c>
      <x:c r="C1422" s="7" t="s">
        <x:v>849</x:v>
      </x:c>
      <x:c r="D1422" s="7" t="s">
        <x:v>2006</x:v>
      </x:c>
      <x:c r="E1422" s="7" t="s">
        <x:v>4725</x:v>
      </x:c>
      <x:c r="F1422" s="7" t="s">
        <x:v>1929</x:v>
      </x:c>
      <x:c r="G1422" s="8" t="n">
        <x:v>34</x:v>
      </x:c>
      <x:c r="H1422" s="8" t="s">
        <x:v>58</x:v>
      </x:c>
      <x:c r="I1422" s="8" t="s">
        <x:v>58</x:v>
      </x:c>
      <x:c r="J1422" s="7" t="s">
        <x:v>1919</x:v>
      </x:c>
      <x:c r="K1422" s="8" t="n">
        <x:v>1</x:v>
      </x:c>
      <x:c r="L1422" s="8" t="n">
        <x:f aca="0">IF(AND(ISNUMBER(G1422),P1422&lt;&gt;"Unresolved unit / layout"),G1422*K1422,"Not applicable")</x:f>
        <x:v>34</x:v>
      </x:c>
      <x:c r="M1422" s="8" t="str">
        <x:f aca="0">IF(AND(ISNUMBER(H1422),P1422&lt;&gt;"Unresolved unit / layout"),H1422*K1422,"Not applicable")</x:f>
        <x:v>Not applicable</x:v>
      </x:c>
      <x:c r="N1422" s="8" t="str">
        <x:f aca="0">IF(AND(ISNUMBER(I1422),P1422&lt;&gt;"Unresolved unit / layout"),I1422*K1422,"Not applicable")</x:f>
        <x:v>Not applicable</x:v>
      </x:c>
      <x:c r="O1422" s="7" t="s">
        <x:v>1929</x:v>
      </x:c>
      <x:c r="P1422" s="7" t="s">
        <x:v>1921</x:v>
      </x:c>
      <x:c r="Q1422" s="7" t="s">
        <x:v>2064</x:v>
      </x:c>
      <x:c r="R1422" s="7" t="s">
        <x:v>53</x:v>
      </x:c>
      <x:c r="S1422" s="7" t="s">
        <x:v>53</x:v>
      </x:c>
      <x:c r="T1422" s="7" t="s">
        <x:v>53</x:v>
      </x:c>
      <x:c r="U1422" s="7" t="s">
        <x:v>53</x:v>
      </x:c>
      <x:c r="V1422" s="7" t="s">
        <x:v>1932</x:v>
      </x:c>
      <x:c r="W1422" s="7" t="s">
        <x:v>58</x:v>
      </x:c>
      <x:c r="X1422" s="7" t="s">
        <x:v>53</x:v>
      </x:c>
      <x:c r="Y1422" s="7" t="s">
        <x:v>1340</x:v>
      </x:c>
      <x:c r="Z1422" s="7" t="s">
        <x:v>4716</x:v>
      </x:c>
      <x:c r="AA1422" s="7" t="s">
        <x:v>58</x:v>
      </x:c>
      <x:c r="AB1422" s="8" t="s">
        <x:v>58</x:v>
      </x:c>
      <x:c r="AC1422" s="8" t="s">
        <x:v>58</x:v>
      </x:c>
      <x:c r="AD1422" s="8" t="s">
        <x:v>58</x:v>
      </x:c>
      <x:c r="AE1422" s="8" t="s">
        <x:v>58</x:v>
      </x:c>
      <x:c r="AF1422" s="8" t="s">
        <x:v>58</x:v>
      </x:c>
      <x:c r="AG1422" s="7" t="s">
        <x:v>58</x:v>
      </x:c>
    </x:row>
    <x:row r="1423" ht="37.5" hidden="0" customHeight="1">
      <x:c r="A1423" s="7" t="s">
        <x:v>4726</x:v>
      </x:c>
      <x:c r="B1423" s="7" t="s">
        <x:v>847</x:v>
      </x:c>
      <x:c r="C1423" s="7" t="s">
        <x:v>849</x:v>
      </x:c>
      <x:c r="D1423" s="7" t="s">
        <x:v>1935</x:v>
      </x:c>
      <x:c r="E1423" s="7" t="s">
        <x:v>4727</x:v>
      </x:c>
      <x:c r="F1423" s="7" t="s">
        <x:v>1929</x:v>
      </x:c>
      <x:c r="G1423" s="8" t="n">
        <x:v>2400</x:v>
      </x:c>
      <x:c r="H1423" s="8" t="s">
        <x:v>58</x:v>
      </x:c>
      <x:c r="I1423" s="8" t="s">
        <x:v>58</x:v>
      </x:c>
      <x:c r="J1423" s="7" t="s">
        <x:v>1919</x:v>
      </x:c>
      <x:c r="K1423" s="8" t="n">
        <x:v>0.001</x:v>
      </x:c>
      <x:c r="L1423" s="8" t="n">
        <x:f aca="0">IF(AND(ISNUMBER(G1423),P1423&lt;&gt;"Unresolved unit / layout"),G1423*K1423,"Not applicable")</x:f>
        <x:v>2.4</x:v>
      </x:c>
      <x:c r="M1423" s="8" t="str">
        <x:f aca="0">IF(AND(ISNUMBER(H1423),P1423&lt;&gt;"Unresolved unit / layout"),H1423*K1423,"Not applicable")</x:f>
        <x:v>Not applicable</x:v>
      </x:c>
      <x:c r="N1423" s="8" t="str">
        <x:f aca="0">IF(AND(ISNUMBER(I1423),P1423&lt;&gt;"Unresolved unit / layout"),I1423*K1423,"Not applicable")</x:f>
        <x:v>Not applicable</x:v>
      </x:c>
      <x:c r="O1423" s="7" t="s">
        <x:v>1937</x:v>
      </x:c>
      <x:c r="P1423" s="7" t="s">
        <x:v>1921</x:v>
      </x:c>
      <x:c r="Q1423" s="7" t="s">
        <x:v>2064</x:v>
      </x:c>
      <x:c r="R1423" s="7" t="s">
        <x:v>53</x:v>
      </x:c>
      <x:c r="S1423" s="7" t="s">
        <x:v>53</x:v>
      </x:c>
      <x:c r="T1423" s="7" t="s">
        <x:v>53</x:v>
      </x:c>
      <x:c r="U1423" s="7" t="s">
        <x:v>53</x:v>
      </x:c>
      <x:c r="V1423" s="7" t="s">
        <x:v>1932</x:v>
      </x:c>
      <x:c r="W1423" s="7" t="s">
        <x:v>58</x:v>
      </x:c>
      <x:c r="X1423" s="7" t="s">
        <x:v>53</x:v>
      </x:c>
      <x:c r="Y1423" s="7" t="s">
        <x:v>1340</x:v>
      </x:c>
      <x:c r="Z1423" s="7" t="s">
        <x:v>4728</x:v>
      </x:c>
      <x:c r="AA1423" s="7" t="s">
        <x:v>58</x:v>
      </x:c>
      <x:c r="AB1423" s="8" t="s">
        <x:v>58</x:v>
      </x:c>
      <x:c r="AC1423" s="8" t="s">
        <x:v>58</x:v>
      </x:c>
      <x:c r="AD1423" s="8" t="s">
        <x:v>58</x:v>
      </x:c>
      <x:c r="AE1423" s="8" t="s">
        <x:v>58</x:v>
      </x:c>
      <x:c r="AF1423" s="8" t="s">
        <x:v>58</x:v>
      </x:c>
      <x:c r="AG1423" s="7" t="s">
        <x:v>58</x:v>
      </x:c>
    </x:row>
    <x:row r="1424" ht="37.5" hidden="0" customHeight="1">
      <x:c r="A1424" s="7" t="s">
        <x:v>4729</x:v>
      </x:c>
      <x:c r="B1424" s="7" t="s">
        <x:v>847</x:v>
      </x:c>
      <x:c r="C1424" s="7" t="s">
        <x:v>849</x:v>
      </x:c>
      <x:c r="D1424" s="7" t="s">
        <x:v>1940</x:v>
      </x:c>
      <x:c r="E1424" s="7" t="s">
        <x:v>4730</x:v>
      </x:c>
      <x:c r="F1424" s="7" t="s">
        <x:v>1942</x:v>
      </x:c>
      <x:c r="G1424" s="8" t="n">
        <x:v>9</x:v>
      </x:c>
      <x:c r="H1424" s="8" t="s">
        <x:v>58</x:v>
      </x:c>
      <x:c r="I1424" s="8" t="s">
        <x:v>58</x:v>
      </x:c>
      <x:c r="J1424" s="7" t="s">
        <x:v>1919</x:v>
      </x:c>
      <x:c r="K1424" s="8" t="n">
        <x:v>1</x:v>
      </x:c>
      <x:c r="L1424" s="8" t="n">
        <x:f aca="0">IF(AND(ISNUMBER(G1424),P1424&lt;&gt;"Unresolved unit / layout"),G1424*K1424,"Not applicable")</x:f>
        <x:v>9</x:v>
      </x:c>
      <x:c r="M1424" s="8" t="str">
        <x:f aca="0">IF(AND(ISNUMBER(H1424),P1424&lt;&gt;"Unresolved unit / layout"),H1424*K1424,"Not applicable")</x:f>
        <x:v>Not applicable</x:v>
      </x:c>
      <x:c r="N1424" s="8" t="str">
        <x:f aca="0">IF(AND(ISNUMBER(I1424),P1424&lt;&gt;"Unresolved unit / layout"),I1424*K1424,"Not applicable")</x:f>
        <x:v>Not applicable</x:v>
      </x:c>
      <x:c r="O1424" s="7" t="s">
        <x:v>1942</x:v>
      </x:c>
      <x:c r="P1424" s="7" t="s">
        <x:v>1921</x:v>
      </x:c>
      <x:c r="Q1424" s="7" t="s">
        <x:v>2064</x:v>
      </x:c>
      <x:c r="R1424" s="7" t="s">
        <x:v>53</x:v>
      </x:c>
      <x:c r="S1424" s="7" t="s">
        <x:v>53</x:v>
      </x:c>
      <x:c r="T1424" s="7" t="s">
        <x:v>53</x:v>
      </x:c>
      <x:c r="U1424" s="7" t="s">
        <x:v>53</x:v>
      </x:c>
      <x:c r="V1424" s="7" t="s">
        <x:v>1932</x:v>
      </x:c>
      <x:c r="W1424" s="7" t="s">
        <x:v>58</x:v>
      </x:c>
      <x:c r="X1424" s="7" t="s">
        <x:v>53</x:v>
      </x:c>
      <x:c r="Y1424" s="7" t="s">
        <x:v>1340</x:v>
      </x:c>
      <x:c r="Z1424" s="7" t="s">
        <x:v>4731</x:v>
      </x:c>
      <x:c r="AA1424" s="7" t="s">
        <x:v>58</x:v>
      </x:c>
      <x:c r="AB1424" s="8" t="s">
        <x:v>58</x:v>
      </x:c>
      <x:c r="AC1424" s="8" t="s">
        <x:v>58</x:v>
      </x:c>
      <x:c r="AD1424" s="8" t="s">
        <x:v>58</x:v>
      </x:c>
      <x:c r="AE1424" s="8" t="s">
        <x:v>58</x:v>
      </x:c>
      <x:c r="AF1424" s="8" t="s">
        <x:v>58</x:v>
      </x:c>
      <x:c r="AG1424" s="7" t="s">
        <x:v>58</x:v>
      </x:c>
    </x:row>
    <x:row r="1425" ht="37.5" hidden="0" customHeight="1">
      <x:c r="A1425" s="7" t="s">
        <x:v>4732</x:v>
      </x:c>
      <x:c r="B1425" s="7" t="s">
        <x:v>847</x:v>
      </x:c>
      <x:c r="C1425" s="7" t="s">
        <x:v>849</x:v>
      </x:c>
      <x:c r="D1425" s="7" t="s">
        <x:v>1945</x:v>
      </x:c>
      <x:c r="E1425" s="7" t="s">
        <x:v>4733</x:v>
      </x:c>
      <x:c r="F1425" s="7" t="s">
        <x:v>1929</x:v>
      </x:c>
      <x:c r="G1425" s="8" t="n">
        <x:v>50</x:v>
      </x:c>
      <x:c r="H1425" s="8" t="s">
        <x:v>58</x:v>
      </x:c>
      <x:c r="I1425" s="8" t="s">
        <x:v>58</x:v>
      </x:c>
      <x:c r="J1425" s="7" t="s">
        <x:v>1919</x:v>
      </x:c>
      <x:c r="K1425" s="8" t="n">
        <x:v>1</x:v>
      </x:c>
      <x:c r="L1425" s="8" t="n">
        <x:f aca="0">IF(AND(ISNUMBER(G1425),P1425&lt;&gt;"Unresolved unit / layout"),G1425*K1425,"Not applicable")</x:f>
        <x:v>50</x:v>
      </x:c>
      <x:c r="M1425" s="8" t="str">
        <x:f aca="0">IF(AND(ISNUMBER(H1425),P1425&lt;&gt;"Unresolved unit / layout"),H1425*K1425,"Not applicable")</x:f>
        <x:v>Not applicable</x:v>
      </x:c>
      <x:c r="N1425" s="8" t="str">
        <x:f aca="0">IF(AND(ISNUMBER(I1425),P1425&lt;&gt;"Unresolved unit / layout"),I1425*K1425,"Not applicable")</x:f>
        <x:v>Not applicable</x:v>
      </x:c>
      <x:c r="O1425" s="7" t="s">
        <x:v>1929</x:v>
      </x:c>
      <x:c r="P1425" s="7" t="s">
        <x:v>1921</x:v>
      </x:c>
      <x:c r="Q1425" s="7" t="s">
        <x:v>2064</x:v>
      </x:c>
      <x:c r="R1425" s="7" t="s">
        <x:v>53</x:v>
      </x:c>
      <x:c r="S1425" s="7" t="s">
        <x:v>53</x:v>
      </x:c>
      <x:c r="T1425" s="7" t="s">
        <x:v>53</x:v>
      </x:c>
      <x:c r="U1425" s="7" t="s">
        <x:v>53</x:v>
      </x:c>
      <x:c r="V1425" s="7" t="s">
        <x:v>1947</x:v>
      </x:c>
      <x:c r="W1425" s="7" t="s">
        <x:v>58</x:v>
      </x:c>
      <x:c r="X1425" s="7" t="s">
        <x:v>53</x:v>
      </x:c>
      <x:c r="Y1425" s="7" t="s">
        <x:v>1340</x:v>
      </x:c>
      <x:c r="Z1425" s="7" t="s">
        <x:v>4734</x:v>
      </x:c>
      <x:c r="AA1425" s="7" t="s">
        <x:v>58</x:v>
      </x:c>
      <x:c r="AB1425" s="8" t="s">
        <x:v>58</x:v>
      </x:c>
      <x:c r="AC1425" s="8" t="s">
        <x:v>58</x:v>
      </x:c>
      <x:c r="AD1425" s="8" t="s">
        <x:v>58</x:v>
      </x:c>
      <x:c r="AE1425" s="8" t="s">
        <x:v>58</x:v>
      </x:c>
      <x:c r="AF1425" s="8" t="s">
        <x:v>58</x:v>
      </x:c>
      <x:c r="AG1425" s="7" t="s">
        <x:v>58</x:v>
      </x:c>
    </x:row>
    <x:row r="1426" ht="37.5" hidden="0" customHeight="1">
      <x:c r="A1426" s="7" t="s">
        <x:v>4735</x:v>
      </x:c>
      <x:c r="B1426" s="7" t="s">
        <x:v>847</x:v>
      </x:c>
      <x:c r="C1426" s="7" t="s">
        <x:v>849</x:v>
      </x:c>
      <x:c r="D1426" s="7" t="s">
        <x:v>1950</x:v>
      </x:c>
      <x:c r="E1426" s="7" t="s">
        <x:v>4736</x:v>
      </x:c>
      <x:c r="F1426" s="7" t="s">
        <x:v>1929</x:v>
      </x:c>
      <x:c r="G1426" s="8" t="n">
        <x:v>2200</x:v>
      </x:c>
      <x:c r="H1426" s="8" t="s">
        <x:v>58</x:v>
      </x:c>
      <x:c r="I1426" s="8" t="s">
        <x:v>58</x:v>
      </x:c>
      <x:c r="J1426" s="7" t="s">
        <x:v>1919</x:v>
      </x:c>
      <x:c r="K1426" s="8" t="n">
        <x:v>0.001</x:v>
      </x:c>
      <x:c r="L1426" s="8" t="n">
        <x:f aca="0">IF(AND(ISNUMBER(G1426),P1426&lt;&gt;"Unresolved unit / layout"),G1426*K1426,"Not applicable")</x:f>
        <x:v>2.2</x:v>
      </x:c>
      <x:c r="M1426" s="8" t="str">
        <x:f aca="0">IF(AND(ISNUMBER(H1426),P1426&lt;&gt;"Unresolved unit / layout"),H1426*K1426,"Not applicable")</x:f>
        <x:v>Not applicable</x:v>
      </x:c>
      <x:c r="N1426" s="8" t="str">
        <x:f aca="0">IF(AND(ISNUMBER(I1426),P1426&lt;&gt;"Unresolved unit / layout"),I1426*K1426,"Not applicable")</x:f>
        <x:v>Not applicable</x:v>
      </x:c>
      <x:c r="O1426" s="7" t="s">
        <x:v>1937</x:v>
      </x:c>
      <x:c r="P1426" s="7" t="s">
        <x:v>1921</x:v>
      </x:c>
      <x:c r="Q1426" s="7" t="s">
        <x:v>2064</x:v>
      </x:c>
      <x:c r="R1426" s="7" t="s">
        <x:v>53</x:v>
      </x:c>
      <x:c r="S1426" s="7" t="s">
        <x:v>53</x:v>
      </x:c>
      <x:c r="T1426" s="7" t="s">
        <x:v>53</x:v>
      </x:c>
      <x:c r="U1426" s="7" t="s">
        <x:v>53</x:v>
      </x:c>
      <x:c r="V1426" s="7" t="s">
        <x:v>1947</x:v>
      </x:c>
      <x:c r="W1426" s="7" t="s">
        <x:v>58</x:v>
      </x:c>
      <x:c r="X1426" s="7" t="s">
        <x:v>53</x:v>
      </x:c>
      <x:c r="Y1426" s="7" t="s">
        <x:v>1340</x:v>
      </x:c>
      <x:c r="Z1426" s="7" t="s">
        <x:v>4737</x:v>
      </x:c>
      <x:c r="AA1426" s="7" t="s">
        <x:v>58</x:v>
      </x:c>
      <x:c r="AB1426" s="8" t="s">
        <x:v>58</x:v>
      </x:c>
      <x:c r="AC1426" s="8" t="s">
        <x:v>58</x:v>
      </x:c>
      <x:c r="AD1426" s="8" t="s">
        <x:v>58</x:v>
      </x:c>
      <x:c r="AE1426" s="8" t="s">
        <x:v>58</x:v>
      </x:c>
      <x:c r="AF1426" s="8" t="s">
        <x:v>58</x:v>
      </x:c>
      <x:c r="AG1426" s="7" t="s">
        <x:v>58</x:v>
      </x:c>
    </x:row>
    <x:row r="1427" ht="37.5" hidden="0" customHeight="1">
      <x:c r="A1427" s="7" t="s">
        <x:v>4738</x:v>
      </x:c>
      <x:c r="B1427" s="7" t="s">
        <x:v>847</x:v>
      </x:c>
      <x:c r="C1427" s="7" t="s">
        <x:v>849</x:v>
      </x:c>
      <x:c r="D1427" s="7" t="s">
        <x:v>1982</x:v>
      </x:c>
      <x:c r="E1427" s="7" t="s">
        <x:v>4739</x:v>
      </x:c>
      <x:c r="F1427" s="7" t="s">
        <x:v>1956</x:v>
      </x:c>
      <x:c r="G1427" s="8" t="n">
        <x:v>90</x:v>
      </x:c>
      <x:c r="H1427" s="8" t="s">
        <x:v>58</x:v>
      </x:c>
      <x:c r="I1427" s="8" t="s">
        <x:v>58</x:v>
      </x:c>
      <x:c r="J1427" s="7" t="s">
        <x:v>1919</x:v>
      </x:c>
      <x:c r="K1427" s="8" t="n">
        <x:v>1</x:v>
      </x:c>
      <x:c r="L1427" s="8" t="n">
        <x:f aca="0">IF(AND(ISNUMBER(G1427),P1427&lt;&gt;"Unresolved unit / layout"),G1427*K1427,"Not applicable")</x:f>
        <x:v>90</x:v>
      </x:c>
      <x:c r="M1427" s="8" t="str">
        <x:f aca="0">IF(AND(ISNUMBER(H1427),P1427&lt;&gt;"Unresolved unit / layout"),H1427*K1427,"Not applicable")</x:f>
        <x:v>Not applicable</x:v>
      </x:c>
      <x:c r="N1427" s="8" t="str">
        <x:f aca="0">IF(AND(ISNUMBER(I1427),P1427&lt;&gt;"Unresolved unit / layout"),I1427*K1427,"Not applicable")</x:f>
        <x:v>Not applicable</x:v>
      </x:c>
      <x:c r="O1427" s="7" t="s">
        <x:v>1956</x:v>
      </x:c>
      <x:c r="P1427" s="7" t="s">
        <x:v>1921</x:v>
      </x:c>
      <x:c r="Q1427" s="7" t="s">
        <x:v>2064</x:v>
      </x:c>
      <x:c r="R1427" s="7" t="s">
        <x:v>58</x:v>
      </x:c>
      <x:c r="S1427" s="7" t="s">
        <x:v>53</x:v>
      </x:c>
      <x:c r="T1427" s="7" t="s">
        <x:v>53</x:v>
      </x:c>
      <x:c r="U1427" s="7" t="s">
        <x:v>53</x:v>
      </x:c>
      <x:c r="V1427" s="7" t="s">
        <x:v>2854</x:v>
      </x:c>
      <x:c r="W1427" s="7" t="s">
        <x:v>58</x:v>
      </x:c>
      <x:c r="X1427" s="7" t="s">
        <x:v>53</x:v>
      </x:c>
      <x:c r="Y1427" s="7" t="s">
        <x:v>1340</x:v>
      </x:c>
      <x:c r="Z1427" s="7" t="s">
        <x:v>4740</x:v>
      </x:c>
      <x:c r="AA1427" s="7" t="s">
        <x:v>58</x:v>
      </x:c>
      <x:c r="AB1427" s="8" t="s">
        <x:v>58</x:v>
      </x:c>
      <x:c r="AC1427" s="8" t="s">
        <x:v>58</x:v>
      </x:c>
      <x:c r="AD1427" s="8" t="s">
        <x:v>58</x:v>
      </x:c>
      <x:c r="AE1427" s="8" t="s">
        <x:v>58</x:v>
      </x:c>
      <x:c r="AF1427" s="8" t="s">
        <x:v>58</x:v>
      </x:c>
      <x:c r="AG1427" s="7" t="s">
        <x:v>58</x:v>
      </x:c>
    </x:row>
    <x:row r="1428" ht="37.5" hidden="0" customHeight="1">
      <x:c r="A1428" s="7" t="s">
        <x:v>4741</x:v>
      </x:c>
      <x:c r="B1428" s="7" t="s">
        <x:v>847</x:v>
      </x:c>
      <x:c r="C1428" s="7" t="s">
        <x:v>849</x:v>
      </x:c>
      <x:c r="D1428" s="7" t="s">
        <x:v>1954</x:v>
      </x:c>
      <x:c r="E1428" s="7" t="s">
        <x:v>2864</x:v>
      </x:c>
      <x:c r="F1428" s="7" t="s">
        <x:v>1956</x:v>
      </x:c>
      <x:c r="G1428" s="8" t="n">
        <x:v>68</x:v>
      </x:c>
      <x:c r="H1428" s="8" t="s">
        <x:v>58</x:v>
      </x:c>
      <x:c r="I1428" s="8" t="s">
        <x:v>58</x:v>
      </x:c>
      <x:c r="J1428" s="7" t="s">
        <x:v>1919</x:v>
      </x:c>
      <x:c r="K1428" s="8" t="n">
        <x:v>1</x:v>
      </x:c>
      <x:c r="L1428" s="8" t="n">
        <x:f aca="0">IF(AND(ISNUMBER(G1428),P1428&lt;&gt;"Unresolved unit / layout"),G1428*K1428,"Not applicable")</x:f>
        <x:v>68</x:v>
      </x:c>
      <x:c r="M1428" s="8" t="str">
        <x:f aca="0">IF(AND(ISNUMBER(H1428),P1428&lt;&gt;"Unresolved unit / layout"),H1428*K1428,"Not applicable")</x:f>
        <x:v>Not applicable</x:v>
      </x:c>
      <x:c r="N1428" s="8" t="str">
        <x:f aca="0">IF(AND(ISNUMBER(I1428),P1428&lt;&gt;"Unresolved unit / layout"),I1428*K1428,"Not applicable")</x:f>
        <x:v>Not applicable</x:v>
      </x:c>
      <x:c r="O1428" s="7" t="s">
        <x:v>1956</x:v>
      </x:c>
      <x:c r="P1428" s="7" t="s">
        <x:v>1921</x:v>
      </x:c>
      <x:c r="Q1428" s="7" t="s">
        <x:v>2064</x:v>
      </x:c>
      <x:c r="R1428" s="7" t="s">
        <x:v>58</x:v>
      </x:c>
      <x:c r="S1428" s="7" t="s">
        <x:v>53</x:v>
      </x:c>
      <x:c r="T1428" s="7" t="s">
        <x:v>53</x:v>
      </x:c>
      <x:c r="U1428" s="7" t="s">
        <x:v>53</x:v>
      </x:c>
      <x:c r="V1428" s="7" t="s">
        <x:v>1957</x:v>
      </x:c>
      <x:c r="W1428" s="7" t="s">
        <x:v>58</x:v>
      </x:c>
      <x:c r="X1428" s="7" t="s">
        <x:v>53</x:v>
      </x:c>
      <x:c r="Y1428" s="7" t="s">
        <x:v>1340</x:v>
      </x:c>
      <x:c r="Z1428" s="7" t="s">
        <x:v>4742</x:v>
      </x:c>
      <x:c r="AA1428" s="7" t="s">
        <x:v>58</x:v>
      </x:c>
      <x:c r="AB1428" s="8" t="s">
        <x:v>58</x:v>
      </x:c>
      <x:c r="AC1428" s="8" t="s">
        <x:v>58</x:v>
      </x:c>
      <x:c r="AD1428" s="8" t="s">
        <x:v>58</x:v>
      </x:c>
      <x:c r="AE1428" s="8" t="s">
        <x:v>58</x:v>
      </x:c>
      <x:c r="AF1428" s="8" t="s">
        <x:v>58</x:v>
      </x:c>
      <x:c r="AG1428" s="7" t="s">
        <x:v>58</x:v>
      </x:c>
    </x:row>
    <x:row r="1429" ht="37.5" hidden="0" customHeight="1">
      <x:c r="A1429" s="7" t="s">
        <x:v>4743</x:v>
      </x:c>
      <x:c r="B1429" s="7" t="s">
        <x:v>847</x:v>
      </x:c>
      <x:c r="C1429" s="7" t="s">
        <x:v>849</x:v>
      </x:c>
      <x:c r="D1429" s="7" t="s">
        <x:v>1974</x:v>
      </x:c>
      <x:c r="E1429" s="7" t="s">
        <x:v>4085</x:v>
      </x:c>
      <x:c r="F1429" s="7" t="s">
        <x:v>1956</x:v>
      </x:c>
      <x:c r="G1429" s="8" t="n">
        <x:v>175</x:v>
      </x:c>
      <x:c r="H1429" s="8" t="s">
        <x:v>58</x:v>
      </x:c>
      <x:c r="I1429" s="8" t="s">
        <x:v>58</x:v>
      </x:c>
      <x:c r="J1429" s="7" t="s">
        <x:v>1919</x:v>
      </x:c>
      <x:c r="K1429" s="8" t="n">
        <x:v>1</x:v>
      </x:c>
      <x:c r="L1429" s="8" t="n">
        <x:f aca="0">IF(AND(ISNUMBER(G1429),P1429&lt;&gt;"Unresolved unit / layout"),G1429*K1429,"Not applicable")</x:f>
        <x:v>175</x:v>
      </x:c>
      <x:c r="M1429" s="8" t="str">
        <x:f aca="0">IF(AND(ISNUMBER(H1429),P1429&lt;&gt;"Unresolved unit / layout"),H1429*K1429,"Not applicable")</x:f>
        <x:v>Not applicable</x:v>
      </x:c>
      <x:c r="N1429" s="8" t="str">
        <x:f aca="0">IF(AND(ISNUMBER(I1429),P1429&lt;&gt;"Unresolved unit / layout"),I1429*K1429,"Not applicable")</x:f>
        <x:v>Not applicable</x:v>
      </x:c>
      <x:c r="O1429" s="7" t="s">
        <x:v>1956</x:v>
      </x:c>
      <x:c r="P1429" s="7" t="s">
        <x:v>1921</x:v>
      </x:c>
      <x:c r="Q1429" s="7" t="s">
        <x:v>2064</x:v>
      </x:c>
      <x:c r="R1429" s="7" t="s">
        <x:v>58</x:v>
      </x:c>
      <x:c r="S1429" s="7" t="s">
        <x:v>53</x:v>
      </x:c>
      <x:c r="T1429" s="7" t="s">
        <x:v>53</x:v>
      </x:c>
      <x:c r="U1429" s="7" t="s">
        <x:v>53</x:v>
      </x:c>
      <x:c r="V1429" s="7" t="s">
        <x:v>1957</x:v>
      </x:c>
      <x:c r="W1429" s="7" t="s">
        <x:v>58</x:v>
      </x:c>
      <x:c r="X1429" s="7" t="s">
        <x:v>53</x:v>
      </x:c>
      <x:c r="Y1429" s="7" t="s">
        <x:v>1340</x:v>
      </x:c>
      <x:c r="Z1429" s="7" t="s">
        <x:v>4744</x:v>
      </x:c>
      <x:c r="AA1429" s="7" t="s">
        <x:v>58</x:v>
      </x:c>
      <x:c r="AB1429" s="8" t="s">
        <x:v>58</x:v>
      </x:c>
      <x:c r="AC1429" s="8" t="s">
        <x:v>58</x:v>
      </x:c>
      <x:c r="AD1429" s="8" t="s">
        <x:v>58</x:v>
      </x:c>
      <x:c r="AE1429" s="8" t="s">
        <x:v>58</x:v>
      </x:c>
      <x:c r="AF1429" s="8" t="s">
        <x:v>58</x:v>
      </x:c>
      <x:c r="AG1429" s="7" t="s">
        <x:v>58</x:v>
      </x:c>
    </x:row>
    <x:row r="1430" ht="51.75" hidden="0" customHeight="1">
      <x:c r="A1430" s="7" t="s">
        <x:v>867</x:v>
      </x:c>
      <x:c r="B1430" s="7" t="s">
        <x:v>861</x:v>
      </x:c>
      <x:c r="C1430" s="7" t="s">
        <x:v>863</x:v>
      </x:c>
      <x:c r="D1430" s="7" t="s">
        <x:v>1916</x:v>
      </x:c>
      <x:c r="E1430" s="7" t="s">
        <x:v>2893</x:v>
      </x:c>
      <x:c r="F1430" s="7" t="s">
        <x:v>2076</x:v>
      </x:c>
      <x:c r="G1430" s="8" t="n">
        <x:v>1.28</x:v>
      </x:c>
      <x:c r="H1430" s="8" t="s">
        <x:v>58</x:v>
      </x:c>
      <x:c r="I1430" s="8" t="s">
        <x:v>58</x:v>
      </x:c>
      <x:c r="J1430" s="7" t="s">
        <x:v>1919</x:v>
      </x:c>
      <x:c r="K1430" s="8" t="n">
        <x:v>1000</x:v>
      </x:c>
      <x:c r="L1430" s="8" t="n">
        <x:f aca="0">IF(AND(ISNUMBER(G1430),P1430&lt;&gt;"Unresolved unit / layout"),G1430*K1430,"Not applicable")</x:f>
        <x:v>1280</x:v>
      </x:c>
      <x:c r="M1430" s="8" t="str">
        <x:f aca="0">IF(AND(ISNUMBER(H1430),P1430&lt;&gt;"Unresolved unit / layout"),H1430*K1430,"Not applicable")</x:f>
        <x:v>Not applicable</x:v>
      </x:c>
      <x:c r="N1430" s="8" t="str">
        <x:f aca="0">IF(AND(ISNUMBER(I1430),P1430&lt;&gt;"Unresolved unit / layout"),I1430*K1430,"Not applicable")</x:f>
        <x:v>Not applicable</x:v>
      </x:c>
      <x:c r="O1430" s="7" t="s">
        <x:v>1920</x:v>
      </x:c>
      <x:c r="P1430" s="7" t="s">
        <x:v>1921</x:v>
      </x:c>
      <x:c r="Q1430" s="7" t="s">
        <x:v>1922</x:v>
      </x:c>
      <x:c r="R1430" s="7" t="s">
        <x:v>58</x:v>
      </x:c>
      <x:c r="S1430" s="7" t="s">
        <x:v>53</x:v>
      </x:c>
      <x:c r="T1430" s="7" t="s">
        <x:v>53</x:v>
      </x:c>
      <x:c r="U1430" s="7" t="s">
        <x:v>53</x:v>
      </x:c>
      <x:c r="V1430" s="7" t="s">
        <x:v>1923</x:v>
      </x:c>
      <x:c r="W1430" s="7" t="s">
        <x:v>58</x:v>
      </x:c>
      <x:c r="X1430" s="7" t="s">
        <x:v>53</x:v>
      </x:c>
      <x:c r="Y1430" s="7" t="s">
        <x:v>1341</x:v>
      </x:c>
      <x:c r="Z1430" s="7" t="s">
        <x:v>1968</x:v>
      </x:c>
      <x:c r="AA1430" s="7" t="s">
        <x:v>58</x:v>
      </x:c>
      <x:c r="AB1430" s="8" t="s">
        <x:v>58</x:v>
      </x:c>
      <x:c r="AC1430" s="8" t="s">
        <x:v>58</x:v>
      </x:c>
      <x:c r="AD1430" s="8" t="s">
        <x:v>58</x:v>
      </x:c>
      <x:c r="AE1430" s="8" t="s">
        <x:v>58</x:v>
      </x:c>
      <x:c r="AF1430" s="8" t="s">
        <x:v>58</x:v>
      </x:c>
      <x:c r="AG1430" s="7" t="s">
        <x:v>58</x:v>
      </x:c>
    </x:row>
    <x:row r="1431" ht="37.5" hidden="0" customHeight="1">
      <x:c r="A1431" s="7" t="s">
        <x:v>4745</x:v>
      </x:c>
      <x:c r="B1431" s="7" t="s">
        <x:v>861</x:v>
      </x:c>
      <x:c r="C1431" s="7" t="s">
        <x:v>863</x:v>
      </x:c>
      <x:c r="D1431" s="7" t="s">
        <x:v>1974</x:v>
      </x:c>
      <x:c r="E1431" s="7" t="s">
        <x:v>3875</x:v>
      </x:c>
      <x:c r="F1431" s="7" t="s">
        <x:v>1956</x:v>
      </x:c>
      <x:c r="G1431" s="8" t="n">
        <x:v>185</x:v>
      </x:c>
      <x:c r="H1431" s="8" t="s">
        <x:v>58</x:v>
      </x:c>
      <x:c r="I1431" s="8" t="s">
        <x:v>58</x:v>
      </x:c>
      <x:c r="J1431" s="7" t="s">
        <x:v>1919</x:v>
      </x:c>
      <x:c r="K1431" s="8" t="n">
        <x:v>1</x:v>
      </x:c>
      <x:c r="L1431" s="8" t="n">
        <x:f aca="0">IF(AND(ISNUMBER(G1431),P1431&lt;&gt;"Unresolved unit / layout"),G1431*K1431,"Not applicable")</x:f>
        <x:v>185</x:v>
      </x:c>
      <x:c r="M1431" s="8" t="str">
        <x:f aca="0">IF(AND(ISNUMBER(H1431),P1431&lt;&gt;"Unresolved unit / layout"),H1431*K1431,"Not applicable")</x:f>
        <x:v>Not applicable</x:v>
      </x:c>
      <x:c r="N1431" s="8" t="str">
        <x:f aca="0">IF(AND(ISNUMBER(I1431),P1431&lt;&gt;"Unresolved unit / layout"),I1431*K1431,"Not applicable")</x:f>
        <x:v>Not applicable</x:v>
      </x:c>
      <x:c r="O1431" s="7" t="s">
        <x:v>1956</x:v>
      </x:c>
      <x:c r="P1431" s="7" t="s">
        <x:v>1921</x:v>
      </x:c>
      <x:c r="Q1431" s="7" t="s">
        <x:v>2064</x:v>
      </x:c>
      <x:c r="R1431" s="7" t="s">
        <x:v>58</x:v>
      </x:c>
      <x:c r="S1431" s="7" t="s">
        <x:v>53</x:v>
      </x:c>
      <x:c r="T1431" s="7" t="s">
        <x:v>53</x:v>
      </x:c>
      <x:c r="U1431" s="7" t="s">
        <x:v>53</x:v>
      </x:c>
      <x:c r="V1431" s="7" t="s">
        <x:v>2082</x:v>
      </x:c>
      <x:c r="W1431" s="7" t="s">
        <x:v>58</x:v>
      </x:c>
      <x:c r="X1431" s="7" t="s">
        <x:v>53</x:v>
      </x:c>
      <x:c r="Y1431" s="7" t="s">
        <x:v>1341</x:v>
      </x:c>
      <x:c r="Z1431" s="7" t="s">
        <x:v>2083</x:v>
      </x:c>
      <x:c r="AA1431" s="7" t="s">
        <x:v>58</x:v>
      </x:c>
      <x:c r="AB1431" s="8" t="s">
        <x:v>58</x:v>
      </x:c>
      <x:c r="AC1431" s="8" t="s">
        <x:v>58</x:v>
      </x:c>
      <x:c r="AD1431" s="8" t="s">
        <x:v>58</x:v>
      </x:c>
      <x:c r="AE1431" s="8" t="s">
        <x:v>58</x:v>
      </x:c>
      <x:c r="AF1431" s="8" t="s">
        <x:v>58</x:v>
      </x:c>
      <x:c r="AG1431" s="7" t="s">
        <x:v>58</x:v>
      </x:c>
    </x:row>
    <x:row r="1432" ht="37.5" hidden="0" customHeight="1">
      <x:c r="A1432" s="7" t="s">
        <x:v>4746</x:v>
      </x:c>
      <x:c r="B1432" s="7" t="s">
        <x:v>861</x:v>
      </x:c>
      <x:c r="C1432" s="7" t="s">
        <x:v>863</x:v>
      </x:c>
      <x:c r="D1432" s="7" t="s">
        <x:v>1954</x:v>
      </x:c>
      <x:c r="E1432" s="7" t="s">
        <x:v>1995</x:v>
      </x:c>
      <x:c r="F1432" s="7" t="s">
        <x:v>1956</x:v>
      </x:c>
      <x:c r="G1432" s="8" t="s">
        <x:v>53</x:v>
      </x:c>
      <x:c r="H1432" s="8" t="s">
        <x:v>58</x:v>
      </x:c>
      <x:c r="I1432" s="8" t="s">
        <x:v>58</x:v>
      </x:c>
      <x:c r="J1432" s="7" t="s">
        <x:v>58</x:v>
      </x:c>
      <x:c r="K1432" s="8" t="n">
        <x:v>1</x:v>
      </x:c>
      <x:c r="L1432" s="8" t="str">
        <x:f aca="0">IF(AND(ISNUMBER(G1432),P1432&lt;&gt;"Unresolved unit / layout"),G1432*K1432,"Not published")</x:f>
        <x:v>Not published</x:v>
      </x:c>
      <x:c r="M1432" s="8" t="str">
        <x:f aca="0">IF(AND(ISNUMBER(H1432),P1432&lt;&gt;"Unresolved unit / layout"),H1432*K1432,"Not applicable")</x:f>
        <x:v>Not applicable</x:v>
      </x:c>
      <x:c r="N1432" s="8" t="str">
        <x:f aca="0">IF(AND(ISNUMBER(I1432),P1432&lt;&gt;"Unresolved unit / layout"),I1432*K1432,"Not applicable")</x:f>
        <x:v>Not applicable</x:v>
      </x:c>
      <x:c r="O1432" s="7" t="s">
        <x:v>1956</x:v>
      </x:c>
      <x:c r="P1432" s="7" t="s">
        <x:v>53</x:v>
      </x:c>
      <x:c r="Q1432" s="7" t="s">
        <x:v>2064</x:v>
      </x:c>
      <x:c r="R1432" s="7" t="s">
        <x:v>58</x:v>
      </x:c>
      <x:c r="S1432" s="7" t="s">
        <x:v>53</x:v>
      </x:c>
      <x:c r="T1432" s="7" t="s">
        <x:v>53</x:v>
      </x:c>
      <x:c r="U1432" s="7" t="s">
        <x:v>53</x:v>
      </x:c>
      <x:c r="V1432" s="7" t="s">
        <x:v>3140</x:v>
      </x:c>
      <x:c r="W1432" s="7" t="s">
        <x:v>58</x:v>
      </x:c>
      <x:c r="X1432" s="7" t="s">
        <x:v>53</x:v>
      </x:c>
      <x:c r="Y1432" s="7" t="s">
        <x:v>1341</x:v>
      </x:c>
      <x:c r="Z1432" s="7" t="s">
        <x:v>3141</x:v>
      </x:c>
      <x:c r="AA1432" s="7" t="s">
        <x:v>58</x:v>
      </x:c>
      <x:c r="AB1432" s="8" t="s">
        <x:v>58</x:v>
      </x:c>
      <x:c r="AC1432" s="8" t="s">
        <x:v>58</x:v>
      </x:c>
      <x:c r="AD1432" s="8" t="s">
        <x:v>58</x:v>
      </x:c>
      <x:c r="AE1432" s="8" t="s">
        <x:v>58</x:v>
      </x:c>
      <x:c r="AF1432" s="8" t="s">
        <x:v>58</x:v>
      </x:c>
      <x:c r="AG1432" s="7" t="s">
        <x:v>58</x:v>
      </x:c>
    </x:row>
    <x:row r="1433" ht="37.5" hidden="0" customHeight="1">
      <x:c r="A1433" s="7" t="s">
        <x:v>4747</x:v>
      </x:c>
      <x:c r="B1433" s="7" t="s">
        <x:v>861</x:v>
      </x:c>
      <x:c r="C1433" s="7" t="s">
        <x:v>863</x:v>
      </x:c>
      <x:c r="D1433" s="7" t="s">
        <x:v>1978</x:v>
      </x:c>
      <x:c r="E1433" s="7" t="s">
        <x:v>1995</x:v>
      </x:c>
      <x:c r="F1433" s="7" t="s">
        <x:v>1956</x:v>
      </x:c>
      <x:c r="G1433" s="8" t="s">
        <x:v>53</x:v>
      </x:c>
      <x:c r="H1433" s="8" t="s">
        <x:v>58</x:v>
      </x:c>
      <x:c r="I1433" s="8" t="s">
        <x:v>58</x:v>
      </x:c>
      <x:c r="J1433" s="7" t="s">
        <x:v>58</x:v>
      </x:c>
      <x:c r="K1433" s="8" t="n">
        <x:v>1</x:v>
      </x:c>
      <x:c r="L1433" s="8" t="str">
        <x:f aca="0">IF(AND(ISNUMBER(G1433),P1433&lt;&gt;"Unresolved unit / layout"),G1433*K1433,"Not published")</x:f>
        <x:v>Not published</x:v>
      </x:c>
      <x:c r="M1433" s="8" t="str">
        <x:f aca="0">IF(AND(ISNUMBER(H1433),P1433&lt;&gt;"Unresolved unit / layout"),H1433*K1433,"Not applicable")</x:f>
        <x:v>Not applicable</x:v>
      </x:c>
      <x:c r="N1433" s="8" t="str">
        <x:f aca="0">IF(AND(ISNUMBER(I1433),P1433&lt;&gt;"Unresolved unit / layout"),I1433*K1433,"Not applicable")</x:f>
        <x:v>Not applicable</x:v>
      </x:c>
      <x:c r="O1433" s="7" t="s">
        <x:v>1956</x:v>
      </x:c>
      <x:c r="P1433" s="7" t="s">
        <x:v>53</x:v>
      </x:c>
      <x:c r="Q1433" s="7" t="s">
        <x:v>2064</x:v>
      </x:c>
      <x:c r="R1433" s="7" t="s">
        <x:v>58</x:v>
      </x:c>
      <x:c r="S1433" s="7" t="s">
        <x:v>53</x:v>
      </x:c>
      <x:c r="T1433" s="7" t="s">
        <x:v>53</x:v>
      </x:c>
      <x:c r="U1433" s="7" t="s">
        <x:v>53</x:v>
      </x:c>
      <x:c r="V1433" s="7" t="s">
        <x:v>4748</x:v>
      </x:c>
      <x:c r="W1433" s="7" t="s">
        <x:v>58</x:v>
      </x:c>
      <x:c r="X1433" s="7" t="s">
        <x:v>53</x:v>
      </x:c>
      <x:c r="Y1433" s="7" t="s">
        <x:v>1341</x:v>
      </x:c>
      <x:c r="Z1433" s="7" t="s">
        <x:v>2188</x:v>
      </x:c>
      <x:c r="AA1433" s="7" t="s">
        <x:v>58</x:v>
      </x:c>
      <x:c r="AB1433" s="8" t="s">
        <x:v>58</x:v>
      </x:c>
      <x:c r="AC1433" s="8" t="s">
        <x:v>58</x:v>
      </x:c>
      <x:c r="AD1433" s="8" t="s">
        <x:v>58</x:v>
      </x:c>
      <x:c r="AE1433" s="8" t="s">
        <x:v>58</x:v>
      </x:c>
      <x:c r="AF1433" s="8" t="s">
        <x:v>58</x:v>
      </x:c>
      <x:c r="AG1433" s="7" t="s">
        <x:v>58</x:v>
      </x:c>
    </x:row>
    <x:row r="1434" ht="37.5" hidden="0" customHeight="1">
      <x:c r="A1434" s="7" t="s">
        <x:v>4749</x:v>
      </x:c>
      <x:c r="B1434" s="7" t="s">
        <x:v>861</x:v>
      </x:c>
      <x:c r="C1434" s="7" t="s">
        <x:v>863</x:v>
      </x:c>
      <x:c r="D1434" s="7" t="s">
        <x:v>1982</x:v>
      </x:c>
      <x:c r="E1434" s="7" t="s">
        <x:v>1995</x:v>
      </x:c>
      <x:c r="F1434" s="7" t="s">
        <x:v>1956</x:v>
      </x:c>
      <x:c r="G1434" s="8" t="s">
        <x:v>53</x:v>
      </x:c>
      <x:c r="H1434" s="8" t="s">
        <x:v>58</x:v>
      </x:c>
      <x:c r="I1434" s="8" t="s">
        <x:v>58</x:v>
      </x:c>
      <x:c r="J1434" s="7" t="s">
        <x:v>58</x:v>
      </x:c>
      <x:c r="K1434" s="8" t="n">
        <x:v>1</x:v>
      </x:c>
      <x:c r="L1434" s="8" t="str">
        <x:f aca="0">IF(AND(ISNUMBER(G1434),P1434&lt;&gt;"Unresolved unit / layout"),G1434*K1434,"Not published")</x:f>
        <x:v>Not published</x:v>
      </x:c>
      <x:c r="M1434" s="8" t="str">
        <x:f aca="0">IF(AND(ISNUMBER(H1434),P1434&lt;&gt;"Unresolved unit / layout"),H1434*K1434,"Not applicable")</x:f>
        <x:v>Not applicable</x:v>
      </x:c>
      <x:c r="N1434" s="8" t="str">
        <x:f aca="0">IF(AND(ISNUMBER(I1434),P1434&lt;&gt;"Unresolved unit / layout"),I1434*K1434,"Not applicable")</x:f>
        <x:v>Not applicable</x:v>
      </x:c>
      <x:c r="O1434" s="7" t="s">
        <x:v>1956</x:v>
      </x:c>
      <x:c r="P1434" s="7" t="s">
        <x:v>53</x:v>
      </x:c>
      <x:c r="Q1434" s="7" t="s">
        <x:v>2064</x:v>
      </x:c>
      <x:c r="R1434" s="7" t="s">
        <x:v>58</x:v>
      </x:c>
      <x:c r="S1434" s="7" t="s">
        <x:v>53</x:v>
      </x:c>
      <x:c r="T1434" s="7" t="s">
        <x:v>53</x:v>
      </x:c>
      <x:c r="U1434" s="7" t="s">
        <x:v>53</x:v>
      </x:c>
      <x:c r="V1434" s="7" t="s">
        <x:v>2088</x:v>
      </x:c>
      <x:c r="W1434" s="7" t="s">
        <x:v>58</x:v>
      </x:c>
      <x:c r="X1434" s="7" t="s">
        <x:v>53</x:v>
      </x:c>
      <x:c r="Y1434" s="7" t="s">
        <x:v>1341</x:v>
      </x:c>
      <x:c r="Z1434" s="7" t="s">
        <x:v>3636</x:v>
      </x:c>
      <x:c r="AA1434" s="7" t="s">
        <x:v>58</x:v>
      </x:c>
      <x:c r="AB1434" s="8" t="s">
        <x:v>58</x:v>
      </x:c>
      <x:c r="AC1434" s="8" t="s">
        <x:v>58</x:v>
      </x:c>
      <x:c r="AD1434" s="8" t="s">
        <x:v>58</x:v>
      </x:c>
      <x:c r="AE1434" s="8" t="s">
        <x:v>58</x:v>
      </x:c>
      <x:c r="AF1434" s="8" t="s">
        <x:v>58</x:v>
      </x:c>
      <x:c r="AG1434" s="7" t="s">
        <x:v>58</x:v>
      </x:c>
    </x:row>
    <x:row r="1435" ht="37.5" hidden="0" customHeight="1">
      <x:c r="A1435" s="7" t="s">
        <x:v>4750</x:v>
      </x:c>
      <x:c r="B1435" s="7" t="s">
        <x:v>861</x:v>
      </x:c>
      <x:c r="C1435" s="7" t="s">
        <x:v>863</x:v>
      </x:c>
      <x:c r="D1435" s="7" t="s">
        <x:v>1959</x:v>
      </x:c>
      <x:c r="E1435" s="7" t="s">
        <x:v>1995</x:v>
      </x:c>
      <x:c r="F1435" s="7" t="s">
        <x:v>1956</x:v>
      </x:c>
      <x:c r="G1435" s="8" t="s">
        <x:v>53</x:v>
      </x:c>
      <x:c r="H1435" s="8" t="s">
        <x:v>58</x:v>
      </x:c>
      <x:c r="I1435" s="8" t="s">
        <x:v>58</x:v>
      </x:c>
      <x:c r="J1435" s="7" t="s">
        <x:v>58</x:v>
      </x:c>
      <x:c r="K1435" s="8" t="n">
        <x:v>1</x:v>
      </x:c>
      <x:c r="L1435" s="8" t="str">
        <x:f aca="0">IF(AND(ISNUMBER(G1435),P1435&lt;&gt;"Unresolved unit / layout"),G1435*K1435,"Not published")</x:f>
        <x:v>Not published</x:v>
      </x:c>
      <x:c r="M1435" s="8" t="str">
        <x:f aca="0">IF(AND(ISNUMBER(H1435),P1435&lt;&gt;"Unresolved unit / layout"),H1435*K1435,"Not applicable")</x:f>
        <x:v>Not applicable</x:v>
      </x:c>
      <x:c r="N1435" s="8" t="str">
        <x:f aca="0">IF(AND(ISNUMBER(I1435),P1435&lt;&gt;"Unresolved unit / layout"),I1435*K1435,"Not applicable")</x:f>
        <x:v>Not applicable</x:v>
      </x:c>
      <x:c r="O1435" s="7" t="s">
        <x:v>1956</x:v>
      </x:c>
      <x:c r="P1435" s="7" t="s">
        <x:v>53</x:v>
      </x:c>
      <x:c r="Q1435" s="7" t="s">
        <x:v>2064</x:v>
      </x:c>
      <x:c r="R1435" s="7" t="s">
        <x:v>58</x:v>
      </x:c>
      <x:c r="S1435" s="7" t="s">
        <x:v>53</x:v>
      </x:c>
      <x:c r="T1435" s="7" t="s">
        <x:v>53</x:v>
      </x:c>
      <x:c r="U1435" s="7" t="s">
        <x:v>53</x:v>
      </x:c>
      <x:c r="V1435" s="7" t="s">
        <x:v>3577</x:v>
      </x:c>
      <x:c r="W1435" s="7" t="s">
        <x:v>58</x:v>
      </x:c>
      <x:c r="X1435" s="7" t="s">
        <x:v>53</x:v>
      </x:c>
      <x:c r="Y1435" s="7" t="s">
        <x:v>1341</x:v>
      </x:c>
      <x:c r="Z1435" s="7" t="s">
        <x:v>3578</x:v>
      </x:c>
      <x:c r="AA1435" s="7" t="s">
        <x:v>3090</x:v>
      </x:c>
      <x:c r="AB1435" s="8" t="s">
        <x:v>58</x:v>
      </x:c>
      <x:c r="AC1435" s="8" t="s">
        <x:v>58</x:v>
      </x:c>
      <x:c r="AD1435" s="8" t="s">
        <x:v>58</x:v>
      </x:c>
      <x:c r="AE1435" s="8" t="s">
        <x:v>58</x:v>
      </x:c>
      <x:c r="AF1435" s="8" t="s">
        <x:v>58</x:v>
      </x:c>
      <x:c r="AG1435" s="7" t="s">
        <x:v>58</x:v>
      </x:c>
    </x:row>
    <x:row r="1436" ht="37.5" hidden="0" customHeight="1">
      <x:c r="A1436" s="7" t="s">
        <x:v>4751</x:v>
      </x:c>
      <x:c r="B1436" s="7" t="s">
        <x:v>861</x:v>
      </x:c>
      <x:c r="C1436" s="7" t="s">
        <x:v>863</x:v>
      </x:c>
      <x:c r="D1436" s="7" t="s">
        <x:v>2099</x:v>
      </x:c>
      <x:c r="E1436" s="7" t="s">
        <x:v>4752</x:v>
      </x:c>
      <x:c r="F1436" s="7" t="s">
        <x:v>1942</x:v>
      </x:c>
      <x:c r="G1436" s="8" t="n">
        <x:v>1.02</x:v>
      </x:c>
      <x:c r="H1436" s="8" t="s">
        <x:v>58</x:v>
      </x:c>
      <x:c r="I1436" s="8" t="s">
        <x:v>58</x:v>
      </x:c>
      <x:c r="J1436" s="7" t="s">
        <x:v>1919</x:v>
      </x:c>
      <x:c r="K1436" s="8" t="n">
        <x:v>1</x:v>
      </x:c>
      <x:c r="L1436" s="8" t="n">
        <x:f aca="0">IF(AND(ISNUMBER(G1436),P1436&lt;&gt;"Unresolved unit / layout"),G1436*K1436,"Not applicable")</x:f>
        <x:v>1.02</x:v>
      </x:c>
      <x:c r="M1436" s="8" t="str">
        <x:f aca="0">IF(AND(ISNUMBER(H1436),P1436&lt;&gt;"Unresolved unit / layout"),H1436*K1436,"Not applicable")</x:f>
        <x:v>Not applicable</x:v>
      </x:c>
      <x:c r="N1436" s="8" t="str">
        <x:f aca="0">IF(AND(ISNUMBER(I1436),P1436&lt;&gt;"Unresolved unit / layout"),I1436*K1436,"Not applicable")</x:f>
        <x:v>Not applicable</x:v>
      </x:c>
      <x:c r="O1436" s="7" t="s">
        <x:v>1942</x:v>
      </x:c>
      <x:c r="P1436" s="7" t="s">
        <x:v>1921</x:v>
      </x:c>
      <x:c r="Q1436" s="7" t="s">
        <x:v>2064</x:v>
      </x:c>
      <x:c r="R1436" s="7" t="s">
        <x:v>58</x:v>
      </x:c>
      <x:c r="S1436" s="7" t="s">
        <x:v>53</x:v>
      </x:c>
      <x:c r="T1436" s="7" t="s">
        <x:v>53</x:v>
      </x:c>
      <x:c r="U1436" s="7" t="s">
        <x:v>53</x:v>
      </x:c>
      <x:c r="V1436" s="7" t="s">
        <x:v>4753</x:v>
      </x:c>
      <x:c r="W1436" s="7" t="s">
        <x:v>58</x:v>
      </x:c>
      <x:c r="X1436" s="7" t="s">
        <x:v>53</x:v>
      </x:c>
      <x:c r="Y1436" s="7" t="s">
        <x:v>1341</x:v>
      </x:c>
      <x:c r="Z1436" s="7" t="s">
        <x:v>2239</x:v>
      </x:c>
      <x:c r="AA1436" s="7" t="s">
        <x:v>58</x:v>
      </x:c>
      <x:c r="AB1436" s="8" t="s">
        <x:v>58</x:v>
      </x:c>
      <x:c r="AC1436" s="8" t="s">
        <x:v>58</x:v>
      </x:c>
      <x:c r="AD1436" s="8" t="s">
        <x:v>58</x:v>
      </x:c>
      <x:c r="AE1436" s="8" t="s">
        <x:v>58</x:v>
      </x:c>
      <x:c r="AF1436" s="8" t="s">
        <x:v>58</x:v>
      </x:c>
      <x:c r="AG1436" s="7" t="s">
        <x:v>58</x:v>
      </x:c>
    </x:row>
    <x:row r="1437" ht="37.5" hidden="0" customHeight="1">
      <x:c r="A1437" s="7" t="s">
        <x:v>4754</x:v>
      </x:c>
      <x:c r="B1437" s="7" t="s">
        <x:v>861</x:v>
      </x:c>
      <x:c r="C1437" s="7" t="s">
        <x:v>863</x:v>
      </x:c>
      <x:c r="D1437" s="7" t="s">
        <x:v>1935</x:v>
      </x:c>
      <x:c r="E1437" s="7" t="s">
        <x:v>1995</x:v>
      </x:c>
      <x:c r="F1437" s="7" t="s">
        <x:v>53</x:v>
      </x:c>
      <x:c r="G1437" s="8" t="s">
        <x:v>53</x:v>
      </x:c>
      <x:c r="H1437" s="8" t="s">
        <x:v>58</x:v>
      </x:c>
      <x:c r="I1437" s="8" t="s">
        <x:v>58</x:v>
      </x:c>
      <x:c r="J1437" s="7" t="s">
        <x:v>58</x:v>
      </x:c>
      <x:c r="K1437" s="8" t="n">
        <x:v>1</x:v>
      </x:c>
      <x:c r="L1437" s="8" t="str">
        <x:f aca="0">IF(AND(ISNUMBER(G1437),P1437&lt;&gt;"Unresolved unit / layout"),G1437*K1437,"Not published")</x:f>
        <x:v>Not published</x:v>
      </x:c>
      <x:c r="M1437" s="8" t="str">
        <x:f aca="0">IF(AND(ISNUMBER(H1437),P1437&lt;&gt;"Unresolved unit / layout"),H1437*K1437,"Not applicable")</x:f>
        <x:v>Not applicable</x:v>
      </x:c>
      <x:c r="N1437" s="8" t="str">
        <x:f aca="0">IF(AND(ISNUMBER(I1437),P1437&lt;&gt;"Unresolved unit / layout"),I1437*K1437,"Not applicable")</x:f>
        <x:v>Not applicable</x:v>
      </x:c>
      <x:c r="O1437" s="7" t="s">
        <x:v>53</x:v>
      </x:c>
      <x:c r="P1437" s="7" t="s">
        <x:v>53</x:v>
      </x:c>
      <x:c r="Q1437" s="7" t="s">
        <x:v>2064</x:v>
      </x:c>
      <x:c r="R1437" s="7" t="s">
        <x:v>53</x:v>
      </x:c>
      <x:c r="S1437" s="7" t="s">
        <x:v>53</x:v>
      </x:c>
      <x:c r="T1437" s="7" t="s">
        <x:v>53</x:v>
      </x:c>
      <x:c r="U1437" s="7" t="s">
        <x:v>53</x:v>
      </x:c>
      <x:c r="V1437" s="7" t="s">
        <x:v>3594</x:v>
      </x:c>
      <x:c r="W1437" s="7" t="s">
        <x:v>58</x:v>
      </x:c>
      <x:c r="X1437" s="7" t="s">
        <x:v>53</x:v>
      </x:c>
      <x:c r="Y1437" s="7" t="s">
        <x:v>1341</x:v>
      </x:c>
      <x:c r="Z1437" s="7" t="s">
        <x:v>4713</x:v>
      </x:c>
      <x:c r="AA1437" s="7" t="s">
        <x:v>58</x:v>
      </x:c>
      <x:c r="AB1437" s="8" t="s">
        <x:v>58</x:v>
      </x:c>
      <x:c r="AC1437" s="8" t="s">
        <x:v>58</x:v>
      </x:c>
      <x:c r="AD1437" s="8" t="s">
        <x:v>58</x:v>
      </x:c>
      <x:c r="AE1437" s="8" t="s">
        <x:v>58</x:v>
      </x:c>
      <x:c r="AF1437" s="8" t="s">
        <x:v>58</x:v>
      </x:c>
      <x:c r="AG1437" s="7" t="s">
        <x:v>58</x:v>
      </x:c>
    </x:row>
    <x:row r="1438" ht="37.5" hidden="0" customHeight="1">
      <x:c r="A1438" s="7" t="s">
        <x:v>4755</x:v>
      </x:c>
      <x:c r="B1438" s="7" t="s">
        <x:v>861</x:v>
      </x:c>
      <x:c r="C1438" s="7" t="s">
        <x:v>863</x:v>
      </x:c>
      <x:c r="D1438" s="7" t="s">
        <x:v>2006</x:v>
      </x:c>
      <x:c r="E1438" s="7" t="s">
        <x:v>1995</x:v>
      </x:c>
      <x:c r="F1438" s="7" t="s">
        <x:v>53</x:v>
      </x:c>
      <x:c r="G1438" s="8" t="s">
        <x:v>53</x:v>
      </x:c>
      <x:c r="H1438" s="8" t="s">
        <x:v>58</x:v>
      </x:c>
      <x:c r="I1438" s="8" t="s">
        <x:v>58</x:v>
      </x:c>
      <x:c r="J1438" s="7" t="s">
        <x:v>58</x:v>
      </x:c>
      <x:c r="K1438" s="8" t="n">
        <x:v>1</x:v>
      </x:c>
      <x:c r="L1438" s="8" t="str">
        <x:f aca="0">IF(AND(ISNUMBER(G1438),P1438&lt;&gt;"Unresolved unit / layout"),G1438*K1438,"Not published")</x:f>
        <x:v>Not published</x:v>
      </x:c>
      <x:c r="M1438" s="8" t="str">
        <x:f aca="0">IF(AND(ISNUMBER(H1438),P1438&lt;&gt;"Unresolved unit / layout"),H1438*K1438,"Not applicable")</x:f>
        <x:v>Not applicable</x:v>
      </x:c>
      <x:c r="N1438" s="8" t="str">
        <x:f aca="0">IF(AND(ISNUMBER(I1438),P1438&lt;&gt;"Unresolved unit / layout"),I1438*K1438,"Not applicable")</x:f>
        <x:v>Not applicable</x:v>
      </x:c>
      <x:c r="O1438" s="7" t="s">
        <x:v>53</x:v>
      </x:c>
      <x:c r="P1438" s="7" t="s">
        <x:v>53</x:v>
      </x:c>
      <x:c r="Q1438" s="7" t="s">
        <x:v>2064</x:v>
      </x:c>
      <x:c r="R1438" s="7" t="s">
        <x:v>53</x:v>
      </x:c>
      <x:c r="S1438" s="7" t="s">
        <x:v>53</x:v>
      </x:c>
      <x:c r="T1438" s="7" t="s">
        <x:v>53</x:v>
      </x:c>
      <x:c r="U1438" s="7" t="s">
        <x:v>53</x:v>
      </x:c>
      <x:c r="V1438" s="7" t="s">
        <x:v>4715</x:v>
      </x:c>
      <x:c r="W1438" s="7" t="s">
        <x:v>58</x:v>
      </x:c>
      <x:c r="X1438" s="7" t="s">
        <x:v>53</x:v>
      </x:c>
      <x:c r="Y1438" s="7" t="s">
        <x:v>1341</x:v>
      </x:c>
      <x:c r="Z1438" s="7" t="s">
        <x:v>4716</x:v>
      </x:c>
      <x:c r="AA1438" s="7" t="s">
        <x:v>58</x:v>
      </x:c>
      <x:c r="AB1438" s="8" t="s">
        <x:v>58</x:v>
      </x:c>
      <x:c r="AC1438" s="8" t="s">
        <x:v>58</x:v>
      </x:c>
      <x:c r="AD1438" s="8" t="s">
        <x:v>58</x:v>
      </x:c>
      <x:c r="AE1438" s="8" t="s">
        <x:v>58</x:v>
      </x:c>
      <x:c r="AF1438" s="8" t="s">
        <x:v>58</x:v>
      </x:c>
      <x:c r="AG1438" s="7" t="s">
        <x:v>58</x:v>
      </x:c>
    </x:row>
    <x:row r="1439" ht="37.5" hidden="0" customHeight="1">
      <x:c r="A1439" s="7" t="s">
        <x:v>4756</x:v>
      </x:c>
      <x:c r="B1439" s="7" t="s">
        <x:v>861</x:v>
      </x:c>
      <x:c r="C1439" s="7" t="s">
        <x:v>863</x:v>
      </x:c>
      <x:c r="D1439" s="7" t="s">
        <x:v>1940</x:v>
      </x:c>
      <x:c r="E1439" s="7" t="s">
        <x:v>1995</x:v>
      </x:c>
      <x:c r="F1439" s="7" t="s">
        <x:v>1942</x:v>
      </x:c>
      <x:c r="G1439" s="8" t="s">
        <x:v>53</x:v>
      </x:c>
      <x:c r="H1439" s="8" t="s">
        <x:v>58</x:v>
      </x:c>
      <x:c r="I1439" s="8" t="s">
        <x:v>58</x:v>
      </x:c>
      <x:c r="J1439" s="7" t="s">
        <x:v>58</x:v>
      </x:c>
      <x:c r="K1439" s="8" t="n">
        <x:v>1</x:v>
      </x:c>
      <x:c r="L1439" s="8" t="str">
        <x:f aca="0">IF(AND(ISNUMBER(G1439),P1439&lt;&gt;"Unresolved unit / layout"),G1439*K1439,"Not published")</x:f>
        <x:v>Not published</x:v>
      </x:c>
      <x:c r="M1439" s="8" t="str">
        <x:f aca="0">IF(AND(ISNUMBER(H1439),P1439&lt;&gt;"Unresolved unit / layout"),H1439*K1439,"Not applicable")</x:f>
        <x:v>Not applicable</x:v>
      </x:c>
      <x:c r="N1439" s="8" t="str">
        <x:f aca="0">IF(AND(ISNUMBER(I1439),P1439&lt;&gt;"Unresolved unit / layout"),I1439*K1439,"Not applicable")</x:f>
        <x:v>Not applicable</x:v>
      </x:c>
      <x:c r="O1439" s="7" t="s">
        <x:v>1942</x:v>
      </x:c>
      <x:c r="P1439" s="7" t="s">
        <x:v>53</x:v>
      </x:c>
      <x:c r="Q1439" s="7" t="s">
        <x:v>2064</x:v>
      </x:c>
      <x:c r="R1439" s="7" t="s">
        <x:v>53</x:v>
      </x:c>
      <x:c r="S1439" s="7" t="s">
        <x:v>53</x:v>
      </x:c>
      <x:c r="T1439" s="7" t="s">
        <x:v>53</x:v>
      </x:c>
      <x:c r="U1439" s="7" t="s">
        <x:v>53</x:v>
      </x:c>
      <x:c r="V1439" s="7" t="s">
        <x:v>4718</x:v>
      </x:c>
      <x:c r="W1439" s="7" t="s">
        <x:v>58</x:v>
      </x:c>
      <x:c r="X1439" s="7" t="s">
        <x:v>53</x:v>
      </x:c>
      <x:c r="Y1439" s="7" t="s">
        <x:v>1341</x:v>
      </x:c>
      <x:c r="Z1439" s="7" t="s">
        <x:v>4719</x:v>
      </x:c>
      <x:c r="AA1439" s="7" t="s">
        <x:v>58</x:v>
      </x:c>
      <x:c r="AB1439" s="8" t="s">
        <x:v>58</x:v>
      </x:c>
      <x:c r="AC1439" s="8" t="s">
        <x:v>58</x:v>
      </x:c>
      <x:c r="AD1439" s="8" t="s">
        <x:v>58</x:v>
      </x:c>
      <x:c r="AE1439" s="8" t="s">
        <x:v>58</x:v>
      </x:c>
      <x:c r="AF1439" s="8" t="s">
        <x:v>58</x:v>
      </x:c>
      <x:c r="AG1439" s="7" t="s">
        <x:v>58</x:v>
      </x:c>
    </x:row>
    <x:row r="1440" ht="37.5" hidden="0" customHeight="1">
      <x:c r="A1440" s="7" t="s">
        <x:v>4757</x:v>
      </x:c>
      <x:c r="B1440" s="7" t="s">
        <x:v>861</x:v>
      </x:c>
      <x:c r="C1440" s="7" t="s">
        <x:v>863</x:v>
      </x:c>
      <x:c r="D1440" s="7" t="s">
        <x:v>1950</x:v>
      </x:c>
      <x:c r="E1440" s="7" t="s">
        <x:v>1995</x:v>
      </x:c>
      <x:c r="F1440" s="7" t="s">
        <x:v>53</x:v>
      </x:c>
      <x:c r="G1440" s="8" t="s">
        <x:v>53</x:v>
      </x:c>
      <x:c r="H1440" s="8" t="s">
        <x:v>58</x:v>
      </x:c>
      <x:c r="I1440" s="8" t="s">
        <x:v>58</x:v>
      </x:c>
      <x:c r="J1440" s="7" t="s">
        <x:v>58</x:v>
      </x:c>
      <x:c r="K1440" s="8" t="n">
        <x:v>1</x:v>
      </x:c>
      <x:c r="L1440" s="8" t="str">
        <x:f aca="0">IF(AND(ISNUMBER(G1440),P1440&lt;&gt;"Unresolved unit / layout"),G1440*K1440,"Not published")</x:f>
        <x:v>Not published</x:v>
      </x:c>
      <x:c r="M1440" s="8" t="str">
        <x:f aca="0">IF(AND(ISNUMBER(H1440),P1440&lt;&gt;"Unresolved unit / layout"),H1440*K1440,"Not applicable")</x:f>
        <x:v>Not applicable</x:v>
      </x:c>
      <x:c r="N1440" s="8" t="str">
        <x:f aca="0">IF(AND(ISNUMBER(I1440),P1440&lt;&gt;"Unresolved unit / layout"),I1440*K1440,"Not applicable")</x:f>
        <x:v>Not applicable</x:v>
      </x:c>
      <x:c r="O1440" s="7" t="s">
        <x:v>53</x:v>
      </x:c>
      <x:c r="P1440" s="7" t="s">
        <x:v>53</x:v>
      </x:c>
      <x:c r="Q1440" s="7" t="s">
        <x:v>2064</x:v>
      </x:c>
      <x:c r="R1440" s="7" t="s">
        <x:v>53</x:v>
      </x:c>
      <x:c r="S1440" s="7" t="s">
        <x:v>53</x:v>
      </x:c>
      <x:c r="T1440" s="7" t="s">
        <x:v>53</x:v>
      </x:c>
      <x:c r="U1440" s="7" t="s">
        <x:v>53</x:v>
      </x:c>
      <x:c r="V1440" s="7" t="s">
        <x:v>3594</x:v>
      </x:c>
      <x:c r="W1440" s="7" t="s">
        <x:v>58</x:v>
      </x:c>
      <x:c r="X1440" s="7" t="s">
        <x:v>53</x:v>
      </x:c>
      <x:c r="Y1440" s="7" t="s">
        <x:v>1341</x:v>
      </x:c>
      <x:c r="Z1440" s="7" t="s">
        <x:v>3595</x:v>
      </x:c>
      <x:c r="AA1440" s="7" t="s">
        <x:v>58</x:v>
      </x:c>
      <x:c r="AB1440" s="8" t="s">
        <x:v>58</x:v>
      </x:c>
      <x:c r="AC1440" s="8" t="s">
        <x:v>58</x:v>
      </x:c>
      <x:c r="AD1440" s="8" t="s">
        <x:v>58</x:v>
      </x:c>
      <x:c r="AE1440" s="8" t="s">
        <x:v>58</x:v>
      </x:c>
      <x:c r="AF1440" s="8" t="s">
        <x:v>58</x:v>
      </x:c>
      <x:c r="AG1440" s="7" t="s">
        <x:v>58</x:v>
      </x:c>
    </x:row>
    <x:row r="1441" ht="37.5" hidden="0" customHeight="1">
      <x:c r="A1441" s="7" t="s">
        <x:v>4758</x:v>
      </x:c>
      <x:c r="B1441" s="7" t="s">
        <x:v>861</x:v>
      </x:c>
      <x:c r="C1441" s="7" t="s">
        <x:v>863</x:v>
      </x:c>
      <x:c r="D1441" s="7" t="s">
        <x:v>3357</x:v>
      </x:c>
      <x:c r="E1441" s="7" t="s">
        <x:v>1995</x:v>
      </x:c>
      <x:c r="F1441" s="7" t="s">
        <x:v>53</x:v>
      </x:c>
      <x:c r="G1441" s="8" t="s">
        <x:v>53</x:v>
      </x:c>
      <x:c r="H1441" s="8" t="s">
        <x:v>58</x:v>
      </x:c>
      <x:c r="I1441" s="8" t="s">
        <x:v>58</x:v>
      </x:c>
      <x:c r="J1441" s="7" t="s">
        <x:v>58</x:v>
      </x:c>
      <x:c r="K1441" s="8" t="n">
        <x:v>1</x:v>
      </x:c>
      <x:c r="L1441" s="8" t="str">
        <x:f aca="0">IF(AND(ISNUMBER(G1441),P1441&lt;&gt;"Unresolved unit / layout"),G1441*K1441,"Not published")</x:f>
        <x:v>Not published</x:v>
      </x:c>
      <x:c r="M1441" s="8" t="str">
        <x:f aca="0">IF(AND(ISNUMBER(H1441),P1441&lt;&gt;"Unresolved unit / layout"),H1441*K1441,"Not applicable")</x:f>
        <x:v>Not applicable</x:v>
      </x:c>
      <x:c r="N1441" s="8" t="str">
        <x:f aca="0">IF(AND(ISNUMBER(I1441),P1441&lt;&gt;"Unresolved unit / layout"),I1441*K1441,"Not applicable")</x:f>
        <x:v>Not applicable</x:v>
      </x:c>
      <x:c r="O1441" s="7" t="s">
        <x:v>53</x:v>
      </x:c>
      <x:c r="P1441" s="7" t="s">
        <x:v>53</x:v>
      </x:c>
      <x:c r="Q1441" s="7" t="s">
        <x:v>2064</x:v>
      </x:c>
      <x:c r="R1441" s="7" t="s">
        <x:v>53</x:v>
      </x:c>
      <x:c r="S1441" s="7" t="s">
        <x:v>53</x:v>
      </x:c>
      <x:c r="T1441" s="7" t="s">
        <x:v>53</x:v>
      </x:c>
      <x:c r="U1441" s="7" t="s">
        <x:v>53</x:v>
      </x:c>
      <x:c r="V1441" s="7" t="s">
        <x:v>4722</x:v>
      </x:c>
      <x:c r="W1441" s="7" t="s">
        <x:v>53</x:v>
      </x:c>
      <x:c r="X1441" s="7" t="s">
        <x:v>53</x:v>
      </x:c>
      <x:c r="Y1441" s="7" t="s">
        <x:v>1341</x:v>
      </x:c>
      <x:c r="Z1441" s="7" t="s">
        <x:v>4723</x:v>
      </x:c>
      <x:c r="AA1441" s="7" t="s">
        <x:v>58</x:v>
      </x:c>
      <x:c r="AB1441" s="8" t="s">
        <x:v>58</x:v>
      </x:c>
      <x:c r="AC1441" s="8" t="s">
        <x:v>58</x:v>
      </x:c>
      <x:c r="AD1441" s="8" t="s">
        <x:v>58</x:v>
      </x:c>
      <x:c r="AE1441" s="8" t="s">
        <x:v>58</x:v>
      </x:c>
      <x:c r="AF1441" s="8" t="s">
        <x:v>58</x:v>
      </x:c>
      <x:c r="AG1441" s="7" t="s">
        <x:v>58</x:v>
      </x:c>
    </x:row>
    <x:row r="1442" ht="51.75" hidden="0" customHeight="1">
      <x:c r="A1442" s="7" t="s">
        <x:v>874</x:v>
      </x:c>
      <x:c r="B1442" s="7" t="s">
        <x:v>870</x:v>
      </x:c>
      <x:c r="C1442" s="7" t="s">
        <x:v>872</x:v>
      </x:c>
      <x:c r="D1442" s="7" t="s">
        <x:v>1916</x:v>
      </x:c>
      <x:c r="E1442" s="7" t="s">
        <x:v>4759</x:v>
      </x:c>
      <x:c r="F1442" s="7" t="s">
        <x:v>2076</x:v>
      </x:c>
      <x:c r="G1442" s="8" t="n">
        <x:v>1.16</x:v>
      </x:c>
      <x:c r="H1442" s="8" t="s">
        <x:v>58</x:v>
      </x:c>
      <x:c r="I1442" s="8" t="s">
        <x:v>58</x:v>
      </x:c>
      <x:c r="J1442" s="7" t="s">
        <x:v>1919</x:v>
      </x:c>
      <x:c r="K1442" s="8" t="n">
        <x:v>1000</x:v>
      </x:c>
      <x:c r="L1442" s="8" t="n">
        <x:f aca="0">IF(AND(ISNUMBER(G1442),P1442&lt;&gt;"Unresolved unit / layout"),G1442*K1442,"Not applicable")</x:f>
        <x:v>1160</x:v>
      </x:c>
      <x:c r="M1442" s="8" t="str">
        <x:f aca="0">IF(AND(ISNUMBER(H1442),P1442&lt;&gt;"Unresolved unit / layout"),H1442*K1442,"Not applicable")</x:f>
        <x:v>Not applicable</x:v>
      </x:c>
      <x:c r="N1442" s="8" t="str">
        <x:f aca="0">IF(AND(ISNUMBER(I1442),P1442&lt;&gt;"Unresolved unit / layout"),I1442*K1442,"Not applicable")</x:f>
        <x:v>Not applicable</x:v>
      </x:c>
      <x:c r="O1442" s="7" t="s">
        <x:v>1920</x:v>
      </x:c>
      <x:c r="P1442" s="7" t="s">
        <x:v>1921</x:v>
      </x:c>
      <x:c r="Q1442" s="7" t="s">
        <x:v>1922</x:v>
      </x:c>
      <x:c r="R1442" s="7" t="s">
        <x:v>58</x:v>
      </x:c>
      <x:c r="S1442" s="7" t="s">
        <x:v>53</x:v>
      </x:c>
      <x:c r="T1442" s="7" t="s">
        <x:v>53</x:v>
      </x:c>
      <x:c r="U1442" s="7" t="s">
        <x:v>53</x:v>
      </x:c>
      <x:c r="V1442" s="7" t="s">
        <x:v>1923</x:v>
      </x:c>
      <x:c r="W1442" s="7" t="s">
        <x:v>58</x:v>
      </x:c>
      <x:c r="X1442" s="7" t="s">
        <x:v>53</x:v>
      </x:c>
      <x:c r="Y1442" s="7" t="s">
        <x:v>1342</x:v>
      </x:c>
      <x:c r="Z1442" s="7" t="s">
        <x:v>1968</x:v>
      </x:c>
      <x:c r="AA1442" s="7" t="s">
        <x:v>58</x:v>
      </x:c>
      <x:c r="AB1442" s="8" t="s">
        <x:v>58</x:v>
      </x:c>
      <x:c r="AC1442" s="8" t="s">
        <x:v>58</x:v>
      </x:c>
      <x:c r="AD1442" s="8" t="s">
        <x:v>58</x:v>
      </x:c>
      <x:c r="AE1442" s="8" t="s">
        <x:v>58</x:v>
      </x:c>
      <x:c r="AF1442" s="8" t="s">
        <x:v>58</x:v>
      </x:c>
      <x:c r="AG1442" s="7" t="s">
        <x:v>58</x:v>
      </x:c>
    </x:row>
    <x:row r="1443" ht="37.5" hidden="0" customHeight="1">
      <x:c r="A1443" s="7" t="s">
        <x:v>4760</x:v>
      </x:c>
      <x:c r="B1443" s="7" t="s">
        <x:v>870</x:v>
      </x:c>
      <x:c r="C1443" s="7" t="s">
        <x:v>872</x:v>
      </x:c>
      <x:c r="D1443" s="7" t="s">
        <x:v>1974</x:v>
      </x:c>
      <x:c r="E1443" s="7" t="s">
        <x:v>4761</x:v>
      </x:c>
      <x:c r="F1443" s="7" t="s">
        <x:v>1956</x:v>
      </x:c>
      <x:c r="G1443" s="8" t="n">
        <x:v>195</x:v>
      </x:c>
      <x:c r="H1443" s="8" t="s">
        <x:v>58</x:v>
      </x:c>
      <x:c r="I1443" s="8" t="s">
        <x:v>58</x:v>
      </x:c>
      <x:c r="J1443" s="7" t="s">
        <x:v>1919</x:v>
      </x:c>
      <x:c r="K1443" s="8" t="n">
        <x:v>1</x:v>
      </x:c>
      <x:c r="L1443" s="8" t="n">
        <x:f aca="0">IF(AND(ISNUMBER(G1443),P1443&lt;&gt;"Unresolved unit / layout"),G1443*K1443,"Not applicable")</x:f>
        <x:v>195</x:v>
      </x:c>
      <x:c r="M1443" s="8" t="str">
        <x:f aca="0">IF(AND(ISNUMBER(H1443),P1443&lt;&gt;"Unresolved unit / layout"),H1443*K1443,"Not applicable")</x:f>
        <x:v>Not applicable</x:v>
      </x:c>
      <x:c r="N1443" s="8" t="str">
        <x:f aca="0">IF(AND(ISNUMBER(I1443),P1443&lt;&gt;"Unresolved unit / layout"),I1443*K1443,"Not applicable")</x:f>
        <x:v>Not applicable</x:v>
      </x:c>
      <x:c r="O1443" s="7" t="s">
        <x:v>1956</x:v>
      </x:c>
      <x:c r="P1443" s="7" t="s">
        <x:v>1921</x:v>
      </x:c>
      <x:c r="Q1443" s="7" t="s">
        <x:v>2064</x:v>
      </x:c>
      <x:c r="R1443" s="7" t="s">
        <x:v>58</x:v>
      </x:c>
      <x:c r="S1443" s="7" t="s">
        <x:v>53</x:v>
      </x:c>
      <x:c r="T1443" s="7" t="s">
        <x:v>53</x:v>
      </x:c>
      <x:c r="U1443" s="7" t="s">
        <x:v>53</x:v>
      </x:c>
      <x:c r="V1443" s="7" t="s">
        <x:v>2082</x:v>
      </x:c>
      <x:c r="W1443" s="7" t="s">
        <x:v>58</x:v>
      </x:c>
      <x:c r="X1443" s="7" t="s">
        <x:v>53</x:v>
      </x:c>
      <x:c r="Y1443" s="7" t="s">
        <x:v>1342</x:v>
      </x:c>
      <x:c r="Z1443" s="7" t="s">
        <x:v>2083</x:v>
      </x:c>
      <x:c r="AA1443" s="7" t="s">
        <x:v>58</x:v>
      </x:c>
      <x:c r="AB1443" s="8" t="s">
        <x:v>58</x:v>
      </x:c>
      <x:c r="AC1443" s="8" t="s">
        <x:v>58</x:v>
      </x:c>
      <x:c r="AD1443" s="8" t="s">
        <x:v>58</x:v>
      </x:c>
      <x:c r="AE1443" s="8" t="s">
        <x:v>58</x:v>
      </x:c>
      <x:c r="AF1443" s="8" t="s">
        <x:v>58</x:v>
      </x:c>
      <x:c r="AG1443" s="7" t="s">
        <x:v>58</x:v>
      </x:c>
    </x:row>
    <x:row r="1444" ht="37.5" hidden="0" customHeight="1">
      <x:c r="A1444" s="7" t="s">
        <x:v>4762</x:v>
      </x:c>
      <x:c r="B1444" s="7" t="s">
        <x:v>870</x:v>
      </x:c>
      <x:c r="C1444" s="7" t="s">
        <x:v>872</x:v>
      </x:c>
      <x:c r="D1444" s="7" t="s">
        <x:v>1954</x:v>
      </x:c>
      <x:c r="E1444" s="7" t="s">
        <x:v>1995</x:v>
      </x:c>
      <x:c r="F1444" s="7" t="s">
        <x:v>1956</x:v>
      </x:c>
      <x:c r="G1444" s="8" t="s">
        <x:v>53</x:v>
      </x:c>
      <x:c r="H1444" s="8" t="s">
        <x:v>58</x:v>
      </x:c>
      <x:c r="I1444" s="8" t="s">
        <x:v>58</x:v>
      </x:c>
      <x:c r="J1444" s="7" t="s">
        <x:v>58</x:v>
      </x:c>
      <x:c r="K1444" s="8" t="n">
        <x:v>1</x:v>
      </x:c>
      <x:c r="L1444" s="8" t="str">
        <x:f aca="0">IF(AND(ISNUMBER(G1444),P1444&lt;&gt;"Unresolved unit / layout"),G1444*K1444,"Not published")</x:f>
        <x:v>Not published</x:v>
      </x:c>
      <x:c r="M1444" s="8" t="str">
        <x:f aca="0">IF(AND(ISNUMBER(H1444),P1444&lt;&gt;"Unresolved unit / layout"),H1444*K1444,"Not applicable")</x:f>
        <x:v>Not applicable</x:v>
      </x:c>
      <x:c r="N1444" s="8" t="str">
        <x:f aca="0">IF(AND(ISNUMBER(I1444),P1444&lt;&gt;"Unresolved unit / layout"),I1444*K1444,"Not applicable")</x:f>
        <x:v>Not applicable</x:v>
      </x:c>
      <x:c r="O1444" s="7" t="s">
        <x:v>1956</x:v>
      </x:c>
      <x:c r="P1444" s="7" t="s">
        <x:v>53</x:v>
      </x:c>
      <x:c r="Q1444" s="7" t="s">
        <x:v>2064</x:v>
      </x:c>
      <x:c r="R1444" s="7" t="s">
        <x:v>58</x:v>
      </x:c>
      <x:c r="S1444" s="7" t="s">
        <x:v>53</x:v>
      </x:c>
      <x:c r="T1444" s="7" t="s">
        <x:v>53</x:v>
      </x:c>
      <x:c r="U1444" s="7" t="s">
        <x:v>53</x:v>
      </x:c>
      <x:c r="V1444" s="7" t="s">
        <x:v>1957</x:v>
      </x:c>
      <x:c r="W1444" s="7" t="s">
        <x:v>58</x:v>
      </x:c>
      <x:c r="X1444" s="7" t="s">
        <x:v>53</x:v>
      </x:c>
      <x:c r="Y1444" s="7" t="s">
        <x:v>1342</x:v>
      </x:c>
      <x:c r="Z1444" s="7" t="s">
        <x:v>2086</x:v>
      </x:c>
      <x:c r="AA1444" s="7" t="s">
        <x:v>58</x:v>
      </x:c>
      <x:c r="AB1444" s="8" t="s">
        <x:v>58</x:v>
      </x:c>
      <x:c r="AC1444" s="8" t="s">
        <x:v>58</x:v>
      </x:c>
      <x:c r="AD1444" s="8" t="s">
        <x:v>58</x:v>
      </x:c>
      <x:c r="AE1444" s="8" t="s">
        <x:v>58</x:v>
      </x:c>
      <x:c r="AF1444" s="8" t="s">
        <x:v>58</x:v>
      </x:c>
      <x:c r="AG1444" s="7" t="s">
        <x:v>58</x:v>
      </x:c>
    </x:row>
    <x:row r="1445" ht="37.5" hidden="0" customHeight="1">
      <x:c r="A1445" s="7" t="s">
        <x:v>4763</x:v>
      </x:c>
      <x:c r="B1445" s="7" t="s">
        <x:v>870</x:v>
      </x:c>
      <x:c r="C1445" s="7" t="s">
        <x:v>872</x:v>
      </x:c>
      <x:c r="D1445" s="7" t="s">
        <x:v>1978</x:v>
      </x:c>
      <x:c r="E1445" s="7" t="s">
        <x:v>1995</x:v>
      </x:c>
      <x:c r="F1445" s="7" t="s">
        <x:v>1956</x:v>
      </x:c>
      <x:c r="G1445" s="8" t="s">
        <x:v>53</x:v>
      </x:c>
      <x:c r="H1445" s="8" t="s">
        <x:v>58</x:v>
      </x:c>
      <x:c r="I1445" s="8" t="s">
        <x:v>58</x:v>
      </x:c>
      <x:c r="J1445" s="7" t="s">
        <x:v>58</x:v>
      </x:c>
      <x:c r="K1445" s="8" t="n">
        <x:v>1</x:v>
      </x:c>
      <x:c r="L1445" s="8" t="str">
        <x:f aca="0">IF(AND(ISNUMBER(G1445),P1445&lt;&gt;"Unresolved unit / layout"),G1445*K1445,"Not published")</x:f>
        <x:v>Not published</x:v>
      </x:c>
      <x:c r="M1445" s="8" t="str">
        <x:f aca="0">IF(AND(ISNUMBER(H1445),P1445&lt;&gt;"Unresolved unit / layout"),H1445*K1445,"Not applicable")</x:f>
        <x:v>Not applicable</x:v>
      </x:c>
      <x:c r="N1445" s="8" t="str">
        <x:f aca="0">IF(AND(ISNUMBER(I1445),P1445&lt;&gt;"Unresolved unit / layout"),I1445*K1445,"Not applicable")</x:f>
        <x:v>Not applicable</x:v>
      </x:c>
      <x:c r="O1445" s="7" t="s">
        <x:v>1956</x:v>
      </x:c>
      <x:c r="P1445" s="7" t="s">
        <x:v>53</x:v>
      </x:c>
      <x:c r="Q1445" s="7" t="s">
        <x:v>2064</x:v>
      </x:c>
      <x:c r="R1445" s="7" t="s">
        <x:v>58</x:v>
      </x:c>
      <x:c r="S1445" s="7" t="s">
        <x:v>53</x:v>
      </x:c>
      <x:c r="T1445" s="7" t="s">
        <x:v>53</x:v>
      </x:c>
      <x:c r="U1445" s="7" t="s">
        <x:v>53</x:v>
      </x:c>
      <x:c r="V1445" s="7" t="s">
        <x:v>2082</x:v>
      </x:c>
      <x:c r="W1445" s="7" t="s">
        <x:v>58</x:v>
      </x:c>
      <x:c r="X1445" s="7" t="s">
        <x:v>53</x:v>
      </x:c>
      <x:c r="Y1445" s="7" t="s">
        <x:v>1342</x:v>
      </x:c>
      <x:c r="Z1445" s="7" t="s">
        <x:v>2188</x:v>
      </x:c>
      <x:c r="AA1445" s="7" t="s">
        <x:v>58</x:v>
      </x:c>
      <x:c r="AB1445" s="8" t="s">
        <x:v>58</x:v>
      </x:c>
      <x:c r="AC1445" s="8" t="s">
        <x:v>58</x:v>
      </x:c>
      <x:c r="AD1445" s="8" t="s">
        <x:v>58</x:v>
      </x:c>
      <x:c r="AE1445" s="8" t="s">
        <x:v>58</x:v>
      </x:c>
      <x:c r="AF1445" s="8" t="s">
        <x:v>58</x:v>
      </x:c>
      <x:c r="AG1445" s="7" t="s">
        <x:v>58</x:v>
      </x:c>
    </x:row>
    <x:row r="1446" ht="37.5" hidden="0" customHeight="1">
      <x:c r="A1446" s="7" t="s">
        <x:v>4764</x:v>
      </x:c>
      <x:c r="B1446" s="7" t="s">
        <x:v>870</x:v>
      </x:c>
      <x:c r="C1446" s="7" t="s">
        <x:v>872</x:v>
      </x:c>
      <x:c r="D1446" s="7" t="s">
        <x:v>1982</x:v>
      </x:c>
      <x:c r="E1446" s="7" t="s">
        <x:v>1995</x:v>
      </x:c>
      <x:c r="F1446" s="7" t="s">
        <x:v>1956</x:v>
      </x:c>
      <x:c r="G1446" s="8" t="s">
        <x:v>53</x:v>
      </x:c>
      <x:c r="H1446" s="8" t="s">
        <x:v>58</x:v>
      </x:c>
      <x:c r="I1446" s="8" t="s">
        <x:v>58</x:v>
      </x:c>
      <x:c r="J1446" s="7" t="s">
        <x:v>58</x:v>
      </x:c>
      <x:c r="K1446" s="8" t="n">
        <x:v>1</x:v>
      </x:c>
      <x:c r="L1446" s="8" t="str">
        <x:f aca="0">IF(AND(ISNUMBER(G1446),P1446&lt;&gt;"Unresolved unit / layout"),G1446*K1446,"Not published")</x:f>
        <x:v>Not published</x:v>
      </x:c>
      <x:c r="M1446" s="8" t="str">
        <x:f aca="0">IF(AND(ISNUMBER(H1446),P1446&lt;&gt;"Unresolved unit / layout"),H1446*K1446,"Not applicable")</x:f>
        <x:v>Not applicable</x:v>
      </x:c>
      <x:c r="N1446" s="8" t="str">
        <x:f aca="0">IF(AND(ISNUMBER(I1446),P1446&lt;&gt;"Unresolved unit / layout"),I1446*K1446,"Not applicable")</x:f>
        <x:v>Not applicable</x:v>
      </x:c>
      <x:c r="O1446" s="7" t="s">
        <x:v>1956</x:v>
      </x:c>
      <x:c r="P1446" s="7" t="s">
        <x:v>53</x:v>
      </x:c>
      <x:c r="Q1446" s="7" t="s">
        <x:v>2064</x:v>
      </x:c>
      <x:c r="R1446" s="7" t="s">
        <x:v>58</x:v>
      </x:c>
      <x:c r="S1446" s="7" t="s">
        <x:v>53</x:v>
      </x:c>
      <x:c r="T1446" s="7" t="s">
        <x:v>53</x:v>
      </x:c>
      <x:c r="U1446" s="7" t="s">
        <x:v>53</x:v>
      </x:c>
      <x:c r="V1446" s="7" t="s">
        <x:v>1984</x:v>
      </x:c>
      <x:c r="W1446" s="7" t="s">
        <x:v>58</x:v>
      </x:c>
      <x:c r="X1446" s="7" t="s">
        <x:v>53</x:v>
      </x:c>
      <x:c r="Y1446" s="7" t="s">
        <x:v>1342</x:v>
      </x:c>
      <x:c r="Z1446" s="7" t="s">
        <x:v>2092</x:v>
      </x:c>
      <x:c r="AA1446" s="7" t="s">
        <x:v>58</x:v>
      </x:c>
      <x:c r="AB1446" s="8" t="s">
        <x:v>58</x:v>
      </x:c>
      <x:c r="AC1446" s="8" t="s">
        <x:v>58</x:v>
      </x:c>
      <x:c r="AD1446" s="8" t="s">
        <x:v>58</x:v>
      </x:c>
      <x:c r="AE1446" s="8" t="s">
        <x:v>58</x:v>
      </x:c>
      <x:c r="AF1446" s="8" t="s">
        <x:v>58</x:v>
      </x:c>
      <x:c r="AG1446" s="7" t="s">
        <x:v>58</x:v>
      </x:c>
    </x:row>
    <x:row r="1447" ht="37.5" hidden="0" customHeight="1">
      <x:c r="A1447" s="7" t="s">
        <x:v>4765</x:v>
      </x:c>
      <x:c r="B1447" s="7" t="s">
        <x:v>870</x:v>
      </x:c>
      <x:c r="C1447" s="7" t="s">
        <x:v>872</x:v>
      </x:c>
      <x:c r="D1447" s="7" t="s">
        <x:v>1959</x:v>
      </x:c>
      <x:c r="E1447" s="7" t="s">
        <x:v>1995</x:v>
      </x:c>
      <x:c r="F1447" s="7" t="s">
        <x:v>1956</x:v>
      </x:c>
      <x:c r="G1447" s="8" t="s">
        <x:v>53</x:v>
      </x:c>
      <x:c r="H1447" s="8" t="s">
        <x:v>58</x:v>
      </x:c>
      <x:c r="I1447" s="8" t="s">
        <x:v>58</x:v>
      </x:c>
      <x:c r="J1447" s="7" t="s">
        <x:v>58</x:v>
      </x:c>
      <x:c r="K1447" s="8" t="n">
        <x:v>1</x:v>
      </x:c>
      <x:c r="L1447" s="8" t="str">
        <x:f aca="0">IF(AND(ISNUMBER(G1447),P1447&lt;&gt;"Unresolved unit / layout"),G1447*K1447,"Not published")</x:f>
        <x:v>Not published</x:v>
      </x:c>
      <x:c r="M1447" s="8" t="str">
        <x:f aca="0">IF(AND(ISNUMBER(H1447),P1447&lt;&gt;"Unresolved unit / layout"),H1447*K1447,"Not applicable")</x:f>
        <x:v>Not applicable</x:v>
      </x:c>
      <x:c r="N1447" s="8" t="str">
        <x:f aca="0">IF(AND(ISNUMBER(I1447),P1447&lt;&gt;"Unresolved unit / layout"),I1447*K1447,"Not applicable")</x:f>
        <x:v>Not applicable</x:v>
      </x:c>
      <x:c r="O1447" s="7" t="s">
        <x:v>1956</x:v>
      </x:c>
      <x:c r="P1447" s="7" t="s">
        <x:v>53</x:v>
      </x:c>
      <x:c r="Q1447" s="7" t="s">
        <x:v>2064</x:v>
      </x:c>
      <x:c r="R1447" s="7" t="s">
        <x:v>58</x:v>
      </x:c>
      <x:c r="S1447" s="7" t="s">
        <x:v>53</x:v>
      </x:c>
      <x:c r="T1447" s="7" t="s">
        <x:v>53</x:v>
      </x:c>
      <x:c r="U1447" s="7" t="s">
        <x:v>53</x:v>
      </x:c>
      <x:c r="V1447" s="7" t="s">
        <x:v>2095</x:v>
      </x:c>
      <x:c r="W1447" s="7" t="s">
        <x:v>58</x:v>
      </x:c>
      <x:c r="X1447" s="7" t="s">
        <x:v>53</x:v>
      </x:c>
      <x:c r="Y1447" s="7" t="s">
        <x:v>1342</x:v>
      </x:c>
      <x:c r="Z1447" s="7" t="s">
        <x:v>2096</x:v>
      </x:c>
      <x:c r="AA1447" s="7" t="s">
        <x:v>58</x:v>
      </x:c>
      <x:c r="AB1447" s="8" t="s">
        <x:v>58</x:v>
      </x:c>
      <x:c r="AC1447" s="8" t="s">
        <x:v>58</x:v>
      </x:c>
      <x:c r="AD1447" s="8" t="s">
        <x:v>58</x:v>
      </x:c>
      <x:c r="AE1447" s="8" t="s">
        <x:v>58</x:v>
      </x:c>
      <x:c r="AF1447" s="8" t="s">
        <x:v>58</x:v>
      </x:c>
      <x:c r="AG1447" s="7" t="s">
        <x:v>58</x:v>
      </x:c>
    </x:row>
    <x:row r="1448" ht="37.5" hidden="0" customHeight="1">
      <x:c r="A1448" s="7" t="s">
        <x:v>4766</x:v>
      </x:c>
      <x:c r="B1448" s="7" t="s">
        <x:v>870</x:v>
      </x:c>
      <x:c r="C1448" s="7" t="s">
        <x:v>872</x:v>
      </x:c>
      <x:c r="D1448" s="7" t="s">
        <x:v>2099</x:v>
      </x:c>
      <x:c r="E1448" s="7" t="s">
        <x:v>4767</x:v>
      </x:c>
      <x:c r="F1448" s="7" t="s">
        <x:v>1942</x:v>
      </x:c>
      <x:c r="G1448" s="8" t="n">
        <x:v>0.14</x:v>
      </x:c>
      <x:c r="H1448" s="8" t="s">
        <x:v>58</x:v>
      </x:c>
      <x:c r="I1448" s="8" t="s">
        <x:v>58</x:v>
      </x:c>
      <x:c r="J1448" s="7" t="s">
        <x:v>1919</x:v>
      </x:c>
      <x:c r="K1448" s="8" t="n">
        <x:v>1</x:v>
      </x:c>
      <x:c r="L1448" s="8" t="n">
        <x:f aca="0">IF(AND(ISNUMBER(G1448),P1448&lt;&gt;"Unresolved unit / layout"),G1448*K1448,"Not applicable")</x:f>
        <x:v>0.14</x:v>
      </x:c>
      <x:c r="M1448" s="8" t="str">
        <x:f aca="0">IF(AND(ISNUMBER(H1448),P1448&lt;&gt;"Unresolved unit / layout"),H1448*K1448,"Not applicable")</x:f>
        <x:v>Not applicable</x:v>
      </x:c>
      <x:c r="N1448" s="8" t="str">
        <x:f aca="0">IF(AND(ISNUMBER(I1448),P1448&lt;&gt;"Unresolved unit / layout"),I1448*K1448,"Not applicable")</x:f>
        <x:v>Not applicable</x:v>
      </x:c>
      <x:c r="O1448" s="7" t="s">
        <x:v>1942</x:v>
      </x:c>
      <x:c r="P1448" s="7" t="s">
        <x:v>1921</x:v>
      </x:c>
      <x:c r="Q1448" s="7" t="s">
        <x:v>2064</x:v>
      </x:c>
      <x:c r="R1448" s="7" t="s">
        <x:v>58</x:v>
      </x:c>
      <x:c r="S1448" s="7" t="s">
        <x:v>53</x:v>
      </x:c>
      <x:c r="T1448" s="7" t="s">
        <x:v>53</x:v>
      </x:c>
      <x:c r="U1448" s="7" t="s">
        <x:v>53</x:v>
      </x:c>
      <x:c r="V1448" s="7" t="s">
        <x:v>2192</x:v>
      </x:c>
      <x:c r="W1448" s="7" t="s">
        <x:v>58</x:v>
      </x:c>
      <x:c r="X1448" s="7" t="s">
        <x:v>53</x:v>
      </x:c>
      <x:c r="Y1448" s="7" t="s">
        <x:v>1342</x:v>
      </x:c>
      <x:c r="Z1448" s="7" t="s">
        <x:v>2193</x:v>
      </x:c>
      <x:c r="AA1448" s="7" t="s">
        <x:v>58</x:v>
      </x:c>
      <x:c r="AB1448" s="8" t="s">
        <x:v>58</x:v>
      </x:c>
      <x:c r="AC1448" s="8" t="s">
        <x:v>58</x:v>
      </x:c>
      <x:c r="AD1448" s="8" t="s">
        <x:v>58</x:v>
      </x:c>
      <x:c r="AE1448" s="8" t="s">
        <x:v>58</x:v>
      </x:c>
      <x:c r="AF1448" s="8" t="s">
        <x:v>58</x:v>
      </x:c>
      <x:c r="AG1448" s="7" t="s">
        <x:v>58</x:v>
      </x:c>
    </x:row>
    <x:row r="1449" ht="37.5" hidden="0" customHeight="1">
      <x:c r="A1449" s="7" t="s">
        <x:v>4768</x:v>
      </x:c>
      <x:c r="B1449" s="7" t="s">
        <x:v>870</x:v>
      </x:c>
      <x:c r="C1449" s="7" t="s">
        <x:v>872</x:v>
      </x:c>
      <x:c r="D1449" s="7" t="s">
        <x:v>1935</x:v>
      </x:c>
      <x:c r="E1449" s="7" t="s">
        <x:v>1995</x:v>
      </x:c>
      <x:c r="F1449" s="7" t="s">
        <x:v>53</x:v>
      </x:c>
      <x:c r="G1449" s="8" t="s">
        <x:v>53</x:v>
      </x:c>
      <x:c r="H1449" s="8" t="s">
        <x:v>58</x:v>
      </x:c>
      <x:c r="I1449" s="8" t="s">
        <x:v>58</x:v>
      </x:c>
      <x:c r="J1449" s="7" t="s">
        <x:v>58</x:v>
      </x:c>
      <x:c r="K1449" s="8" t="n">
        <x:v>1</x:v>
      </x:c>
      <x:c r="L1449" s="8" t="str">
        <x:f aca="0">IF(AND(ISNUMBER(G1449),P1449&lt;&gt;"Unresolved unit / layout"),G1449*K1449,"Not published")</x:f>
        <x:v>Not published</x:v>
      </x:c>
      <x:c r="M1449" s="8" t="str">
        <x:f aca="0">IF(AND(ISNUMBER(H1449),P1449&lt;&gt;"Unresolved unit / layout"),H1449*K1449,"Not applicable")</x:f>
        <x:v>Not applicable</x:v>
      </x:c>
      <x:c r="N1449" s="8" t="str">
        <x:f aca="0">IF(AND(ISNUMBER(I1449),P1449&lt;&gt;"Unresolved unit / layout"),I1449*K1449,"Not applicable")</x:f>
        <x:v>Not applicable</x:v>
      </x:c>
      <x:c r="O1449" s="7" t="s">
        <x:v>53</x:v>
      </x:c>
      <x:c r="P1449" s="7" t="s">
        <x:v>53</x:v>
      </x:c>
      <x:c r="Q1449" s="7" t="s">
        <x:v>2064</x:v>
      </x:c>
      <x:c r="R1449" s="7" t="s">
        <x:v>1931</x:v>
      </x:c>
      <x:c r="S1449" s="7" t="s">
        <x:v>53</x:v>
      </x:c>
      <x:c r="T1449" s="7" t="s">
        <x:v>53</x:v>
      </x:c>
      <x:c r="U1449" s="7" t="s">
        <x:v>53</x:v>
      </x:c>
      <x:c r="V1449" s="7" t="s">
        <x:v>1999</x:v>
      </x:c>
      <x:c r="W1449" s="7" t="s">
        <x:v>58</x:v>
      </x:c>
      <x:c r="X1449" s="7" t="s">
        <x:v>53</x:v>
      </x:c>
      <x:c r="Y1449" s="7" t="s">
        <x:v>1342</x:v>
      </x:c>
      <x:c r="Z1449" s="7" t="s">
        <x:v>2105</x:v>
      </x:c>
      <x:c r="AA1449" s="7" t="s">
        <x:v>58</x:v>
      </x:c>
      <x:c r="AB1449" s="8" t="s">
        <x:v>58</x:v>
      </x:c>
      <x:c r="AC1449" s="8" t="s">
        <x:v>58</x:v>
      </x:c>
      <x:c r="AD1449" s="8" t="s">
        <x:v>58</x:v>
      </x:c>
      <x:c r="AE1449" s="8" t="s">
        <x:v>58</x:v>
      </x:c>
      <x:c r="AF1449" s="8" t="s">
        <x:v>58</x:v>
      </x:c>
      <x:c r="AG1449" s="7" t="s">
        <x:v>58</x:v>
      </x:c>
    </x:row>
    <x:row r="1450" ht="37.5" hidden="0" customHeight="1">
      <x:c r="A1450" s="7" t="s">
        <x:v>4769</x:v>
      </x:c>
      <x:c r="B1450" s="7" t="s">
        <x:v>870</x:v>
      </x:c>
      <x:c r="C1450" s="7" t="s">
        <x:v>872</x:v>
      </x:c>
      <x:c r="D1450" s="7" t="s">
        <x:v>1935</x:v>
      </x:c>
      <x:c r="E1450" s="7" t="s">
        <x:v>1995</x:v>
      </x:c>
      <x:c r="F1450" s="7" t="s">
        <x:v>53</x:v>
      </x:c>
      <x:c r="G1450" s="8" t="s">
        <x:v>53</x:v>
      </x:c>
      <x:c r="H1450" s="8" t="s">
        <x:v>58</x:v>
      </x:c>
      <x:c r="I1450" s="8" t="s">
        <x:v>58</x:v>
      </x:c>
      <x:c r="J1450" s="7" t="s">
        <x:v>58</x:v>
      </x:c>
      <x:c r="K1450" s="8" t="n">
        <x:v>1</x:v>
      </x:c>
      <x:c r="L1450" s="8" t="str">
        <x:f aca="0">IF(AND(ISNUMBER(G1450),P1450&lt;&gt;"Unresolved unit / layout"),G1450*K1450,"Not published")</x:f>
        <x:v>Not published</x:v>
      </x:c>
      <x:c r="M1450" s="8" t="str">
        <x:f aca="0">IF(AND(ISNUMBER(H1450),P1450&lt;&gt;"Unresolved unit / layout"),H1450*K1450,"Not applicable")</x:f>
        <x:v>Not applicable</x:v>
      </x:c>
      <x:c r="N1450" s="8" t="str">
        <x:f aca="0">IF(AND(ISNUMBER(I1450),P1450&lt;&gt;"Unresolved unit / layout"),I1450*K1450,"Not applicable")</x:f>
        <x:v>Not applicable</x:v>
      </x:c>
      <x:c r="O1450" s="7" t="s">
        <x:v>53</x:v>
      </x:c>
      <x:c r="P1450" s="7" t="s">
        <x:v>53</x:v>
      </x:c>
      <x:c r="Q1450" s="7" t="s">
        <x:v>2064</x:v>
      </x:c>
      <x:c r="R1450" s="7" t="s">
        <x:v>2003</x:v>
      </x:c>
      <x:c r="S1450" s="7" t="s">
        <x:v>53</x:v>
      </x:c>
      <x:c r="T1450" s="7" t="s">
        <x:v>53</x:v>
      </x:c>
      <x:c r="U1450" s="7" t="s">
        <x:v>53</x:v>
      </x:c>
      <x:c r="V1450" s="7" t="s">
        <x:v>1999</x:v>
      </x:c>
      <x:c r="W1450" s="7" t="s">
        <x:v>58</x:v>
      </x:c>
      <x:c r="X1450" s="7" t="s">
        <x:v>53</x:v>
      </x:c>
      <x:c r="Y1450" s="7" t="s">
        <x:v>1342</x:v>
      </x:c>
      <x:c r="Z1450" s="7" t="s">
        <x:v>2108</x:v>
      </x:c>
      <x:c r="AA1450" s="7" t="s">
        <x:v>58</x:v>
      </x:c>
      <x:c r="AB1450" s="8" t="s">
        <x:v>58</x:v>
      </x:c>
      <x:c r="AC1450" s="8" t="s">
        <x:v>58</x:v>
      </x:c>
      <x:c r="AD1450" s="8" t="s">
        <x:v>58</x:v>
      </x:c>
      <x:c r="AE1450" s="8" t="s">
        <x:v>58</x:v>
      </x:c>
      <x:c r="AF1450" s="8" t="s">
        <x:v>58</x:v>
      </x:c>
      <x:c r="AG1450" s="7" t="s">
        <x:v>58</x:v>
      </x:c>
    </x:row>
    <x:row r="1451" ht="37.5" hidden="0" customHeight="1">
      <x:c r="A1451" s="7" t="s">
        <x:v>4770</x:v>
      </x:c>
      <x:c r="B1451" s="7" t="s">
        <x:v>870</x:v>
      </x:c>
      <x:c r="C1451" s="7" t="s">
        <x:v>872</x:v>
      </x:c>
      <x:c r="D1451" s="7" t="s">
        <x:v>2006</x:v>
      </x:c>
      <x:c r="E1451" s="7" t="s">
        <x:v>1995</x:v>
      </x:c>
      <x:c r="F1451" s="7" t="s">
        <x:v>53</x:v>
      </x:c>
      <x:c r="G1451" s="8" t="s">
        <x:v>53</x:v>
      </x:c>
      <x:c r="H1451" s="8" t="s">
        <x:v>58</x:v>
      </x:c>
      <x:c r="I1451" s="8" t="s">
        <x:v>58</x:v>
      </x:c>
      <x:c r="J1451" s="7" t="s">
        <x:v>58</x:v>
      </x:c>
      <x:c r="K1451" s="8" t="n">
        <x:v>1</x:v>
      </x:c>
      <x:c r="L1451" s="8" t="str">
        <x:f aca="0">IF(AND(ISNUMBER(G1451),P1451&lt;&gt;"Unresolved unit / layout"),G1451*K1451,"Not published")</x:f>
        <x:v>Not published</x:v>
      </x:c>
      <x:c r="M1451" s="8" t="str">
        <x:f aca="0">IF(AND(ISNUMBER(H1451),P1451&lt;&gt;"Unresolved unit / layout"),H1451*K1451,"Not applicable")</x:f>
        <x:v>Not applicable</x:v>
      </x:c>
      <x:c r="N1451" s="8" t="str">
        <x:f aca="0">IF(AND(ISNUMBER(I1451),P1451&lt;&gt;"Unresolved unit / layout"),I1451*K1451,"Not applicable")</x:f>
        <x:v>Not applicable</x:v>
      </x:c>
      <x:c r="O1451" s="7" t="s">
        <x:v>53</x:v>
      </x:c>
      <x:c r="P1451" s="7" t="s">
        <x:v>53</x:v>
      </x:c>
      <x:c r="Q1451" s="7" t="s">
        <x:v>2064</x:v>
      </x:c>
      <x:c r="R1451" s="7" t="s">
        <x:v>1931</x:v>
      </x:c>
      <x:c r="S1451" s="7" t="s">
        <x:v>53</x:v>
      </x:c>
      <x:c r="T1451" s="7" t="s">
        <x:v>53</x:v>
      </x:c>
      <x:c r="U1451" s="7" t="s">
        <x:v>53</x:v>
      </x:c>
      <x:c r="V1451" s="7" t="s">
        <x:v>1999</x:v>
      </x:c>
      <x:c r="W1451" s="7" t="s">
        <x:v>58</x:v>
      </x:c>
      <x:c r="X1451" s="7" t="s">
        <x:v>53</x:v>
      </x:c>
      <x:c r="Y1451" s="7" t="s">
        <x:v>1342</x:v>
      </x:c>
      <x:c r="Z1451" s="7" t="s">
        <x:v>2111</x:v>
      </x:c>
      <x:c r="AA1451" s="7" t="s">
        <x:v>58</x:v>
      </x:c>
      <x:c r="AB1451" s="8" t="s">
        <x:v>58</x:v>
      </x:c>
      <x:c r="AC1451" s="8" t="s">
        <x:v>58</x:v>
      </x:c>
      <x:c r="AD1451" s="8" t="s">
        <x:v>58</x:v>
      </x:c>
      <x:c r="AE1451" s="8" t="s">
        <x:v>58</x:v>
      </x:c>
      <x:c r="AF1451" s="8" t="s">
        <x:v>58</x:v>
      </x:c>
      <x:c r="AG1451" s="7" t="s">
        <x:v>58</x:v>
      </x:c>
    </x:row>
    <x:row r="1452" ht="37.5" hidden="0" customHeight="1">
      <x:c r="A1452" s="7" t="s">
        <x:v>4771</x:v>
      </x:c>
      <x:c r="B1452" s="7" t="s">
        <x:v>870</x:v>
      </x:c>
      <x:c r="C1452" s="7" t="s">
        <x:v>872</x:v>
      </x:c>
      <x:c r="D1452" s="7" t="s">
        <x:v>2006</x:v>
      </x:c>
      <x:c r="E1452" s="7" t="s">
        <x:v>1995</x:v>
      </x:c>
      <x:c r="F1452" s="7" t="s">
        <x:v>53</x:v>
      </x:c>
      <x:c r="G1452" s="8" t="s">
        <x:v>53</x:v>
      </x:c>
      <x:c r="H1452" s="8" t="s">
        <x:v>58</x:v>
      </x:c>
      <x:c r="I1452" s="8" t="s">
        <x:v>58</x:v>
      </x:c>
      <x:c r="J1452" s="7" t="s">
        <x:v>58</x:v>
      </x:c>
      <x:c r="K1452" s="8" t="n">
        <x:v>1</x:v>
      </x:c>
      <x:c r="L1452" s="8" t="str">
        <x:f aca="0">IF(AND(ISNUMBER(G1452),P1452&lt;&gt;"Unresolved unit / layout"),G1452*K1452,"Not published")</x:f>
        <x:v>Not published</x:v>
      </x:c>
      <x:c r="M1452" s="8" t="str">
        <x:f aca="0">IF(AND(ISNUMBER(H1452),P1452&lt;&gt;"Unresolved unit / layout"),H1452*K1452,"Not applicable")</x:f>
        <x:v>Not applicable</x:v>
      </x:c>
      <x:c r="N1452" s="8" t="str">
        <x:f aca="0">IF(AND(ISNUMBER(I1452),P1452&lt;&gt;"Unresolved unit / layout"),I1452*K1452,"Not applicable")</x:f>
        <x:v>Not applicable</x:v>
      </x:c>
      <x:c r="O1452" s="7" t="s">
        <x:v>53</x:v>
      </x:c>
      <x:c r="P1452" s="7" t="s">
        <x:v>53</x:v>
      </x:c>
      <x:c r="Q1452" s="7" t="s">
        <x:v>2064</x:v>
      </x:c>
      <x:c r="R1452" s="7" t="s">
        <x:v>2003</x:v>
      </x:c>
      <x:c r="S1452" s="7" t="s">
        <x:v>53</x:v>
      </x:c>
      <x:c r="T1452" s="7" t="s">
        <x:v>53</x:v>
      </x:c>
      <x:c r="U1452" s="7" t="s">
        <x:v>53</x:v>
      </x:c>
      <x:c r="V1452" s="7" t="s">
        <x:v>1999</x:v>
      </x:c>
      <x:c r="W1452" s="7" t="s">
        <x:v>58</x:v>
      </x:c>
      <x:c r="X1452" s="7" t="s">
        <x:v>53</x:v>
      </x:c>
      <x:c r="Y1452" s="7" t="s">
        <x:v>1342</x:v>
      </x:c>
      <x:c r="Z1452" s="7" t="s">
        <x:v>2114</x:v>
      </x:c>
      <x:c r="AA1452" s="7" t="s">
        <x:v>58</x:v>
      </x:c>
      <x:c r="AB1452" s="8" t="s">
        <x:v>58</x:v>
      </x:c>
      <x:c r="AC1452" s="8" t="s">
        <x:v>58</x:v>
      </x:c>
      <x:c r="AD1452" s="8" t="s">
        <x:v>58</x:v>
      </x:c>
      <x:c r="AE1452" s="8" t="s">
        <x:v>58</x:v>
      </x:c>
      <x:c r="AF1452" s="8" t="s">
        <x:v>58</x:v>
      </x:c>
      <x:c r="AG1452" s="7" t="s">
        <x:v>58</x:v>
      </x:c>
    </x:row>
    <x:row r="1453" ht="37.5" hidden="0" customHeight="1">
      <x:c r="A1453" s="7" t="s">
        <x:v>4772</x:v>
      </x:c>
      <x:c r="B1453" s="7" t="s">
        <x:v>870</x:v>
      </x:c>
      <x:c r="C1453" s="7" t="s">
        <x:v>872</x:v>
      </x:c>
      <x:c r="D1453" s="7" t="s">
        <x:v>1940</x:v>
      </x:c>
      <x:c r="E1453" s="7" t="s">
        <x:v>1995</x:v>
      </x:c>
      <x:c r="F1453" s="7" t="s">
        <x:v>1942</x:v>
      </x:c>
      <x:c r="G1453" s="8" t="s">
        <x:v>53</x:v>
      </x:c>
      <x:c r="H1453" s="8" t="s">
        <x:v>58</x:v>
      </x:c>
      <x:c r="I1453" s="8" t="s">
        <x:v>58</x:v>
      </x:c>
      <x:c r="J1453" s="7" t="s">
        <x:v>58</x:v>
      </x:c>
      <x:c r="K1453" s="8" t="n">
        <x:v>1</x:v>
      </x:c>
      <x:c r="L1453" s="8" t="str">
        <x:f aca="0">IF(AND(ISNUMBER(G1453),P1453&lt;&gt;"Unresolved unit / layout"),G1453*K1453,"Not published")</x:f>
        <x:v>Not published</x:v>
      </x:c>
      <x:c r="M1453" s="8" t="str">
        <x:f aca="0">IF(AND(ISNUMBER(H1453),P1453&lt;&gt;"Unresolved unit / layout"),H1453*K1453,"Not applicable")</x:f>
        <x:v>Not applicable</x:v>
      </x:c>
      <x:c r="N1453" s="8" t="str">
        <x:f aca="0">IF(AND(ISNUMBER(I1453),P1453&lt;&gt;"Unresolved unit / layout"),I1453*K1453,"Not applicable")</x:f>
        <x:v>Not applicable</x:v>
      </x:c>
      <x:c r="O1453" s="7" t="s">
        <x:v>1942</x:v>
      </x:c>
      <x:c r="P1453" s="7" t="s">
        <x:v>53</x:v>
      </x:c>
      <x:c r="Q1453" s="7" t="s">
        <x:v>2064</x:v>
      </x:c>
      <x:c r="R1453" s="7" t="s">
        <x:v>1931</x:v>
      </x:c>
      <x:c r="S1453" s="7" t="s">
        <x:v>53</x:v>
      </x:c>
      <x:c r="T1453" s="7" t="s">
        <x:v>53</x:v>
      </x:c>
      <x:c r="U1453" s="7" t="s">
        <x:v>53</x:v>
      </x:c>
      <x:c r="V1453" s="7" t="s">
        <x:v>1999</x:v>
      </x:c>
      <x:c r="W1453" s="7" t="s">
        <x:v>58</x:v>
      </x:c>
      <x:c r="X1453" s="7" t="s">
        <x:v>53</x:v>
      </x:c>
      <x:c r="Y1453" s="7" t="s">
        <x:v>1342</x:v>
      </x:c>
      <x:c r="Z1453" s="7" t="s">
        <x:v>2117</x:v>
      </x:c>
      <x:c r="AA1453" s="7" t="s">
        <x:v>58</x:v>
      </x:c>
      <x:c r="AB1453" s="8" t="s">
        <x:v>58</x:v>
      </x:c>
      <x:c r="AC1453" s="8" t="s">
        <x:v>58</x:v>
      </x:c>
      <x:c r="AD1453" s="8" t="s">
        <x:v>58</x:v>
      </x:c>
      <x:c r="AE1453" s="8" t="s">
        <x:v>58</x:v>
      </x:c>
      <x:c r="AF1453" s="8" t="s">
        <x:v>58</x:v>
      </x:c>
      <x:c r="AG1453" s="7" t="s">
        <x:v>58</x:v>
      </x:c>
    </x:row>
    <x:row r="1454" ht="37.5" hidden="0" customHeight="1">
      <x:c r="A1454" s="7" t="s">
        <x:v>4773</x:v>
      </x:c>
      <x:c r="B1454" s="7" t="s">
        <x:v>870</x:v>
      </x:c>
      <x:c r="C1454" s="7" t="s">
        <x:v>872</x:v>
      </x:c>
      <x:c r="D1454" s="7" t="s">
        <x:v>1940</x:v>
      </x:c>
      <x:c r="E1454" s="7" t="s">
        <x:v>1995</x:v>
      </x:c>
      <x:c r="F1454" s="7" t="s">
        <x:v>1942</x:v>
      </x:c>
      <x:c r="G1454" s="8" t="s">
        <x:v>53</x:v>
      </x:c>
      <x:c r="H1454" s="8" t="s">
        <x:v>58</x:v>
      </x:c>
      <x:c r="I1454" s="8" t="s">
        <x:v>58</x:v>
      </x:c>
      <x:c r="J1454" s="7" t="s">
        <x:v>58</x:v>
      </x:c>
      <x:c r="K1454" s="8" t="n">
        <x:v>1</x:v>
      </x:c>
      <x:c r="L1454" s="8" t="str">
        <x:f aca="0">IF(AND(ISNUMBER(G1454),P1454&lt;&gt;"Unresolved unit / layout"),G1454*K1454,"Not published")</x:f>
        <x:v>Not published</x:v>
      </x:c>
      <x:c r="M1454" s="8" t="str">
        <x:f aca="0">IF(AND(ISNUMBER(H1454),P1454&lt;&gt;"Unresolved unit / layout"),H1454*K1454,"Not applicable")</x:f>
        <x:v>Not applicable</x:v>
      </x:c>
      <x:c r="N1454" s="8" t="str">
        <x:f aca="0">IF(AND(ISNUMBER(I1454),P1454&lt;&gt;"Unresolved unit / layout"),I1454*K1454,"Not applicable")</x:f>
        <x:v>Not applicable</x:v>
      </x:c>
      <x:c r="O1454" s="7" t="s">
        <x:v>1942</x:v>
      </x:c>
      <x:c r="P1454" s="7" t="s">
        <x:v>53</x:v>
      </x:c>
      <x:c r="Q1454" s="7" t="s">
        <x:v>2064</x:v>
      </x:c>
      <x:c r="R1454" s="7" t="s">
        <x:v>2003</x:v>
      </x:c>
      <x:c r="S1454" s="7" t="s">
        <x:v>53</x:v>
      </x:c>
      <x:c r="T1454" s="7" t="s">
        <x:v>53</x:v>
      </x:c>
      <x:c r="U1454" s="7" t="s">
        <x:v>53</x:v>
      </x:c>
      <x:c r="V1454" s="7" t="s">
        <x:v>1999</x:v>
      </x:c>
      <x:c r="W1454" s="7" t="s">
        <x:v>58</x:v>
      </x:c>
      <x:c r="X1454" s="7" t="s">
        <x:v>53</x:v>
      </x:c>
      <x:c r="Y1454" s="7" t="s">
        <x:v>1342</x:v>
      </x:c>
      <x:c r="Z1454" s="7" t="s">
        <x:v>2120</x:v>
      </x:c>
      <x:c r="AA1454" s="7" t="s">
        <x:v>58</x:v>
      </x:c>
      <x:c r="AB1454" s="8" t="s">
        <x:v>58</x:v>
      </x:c>
      <x:c r="AC1454" s="8" t="s">
        <x:v>58</x:v>
      </x:c>
      <x:c r="AD1454" s="8" t="s">
        <x:v>58</x:v>
      </x:c>
      <x:c r="AE1454" s="8" t="s">
        <x:v>58</x:v>
      </x:c>
      <x:c r="AF1454" s="8" t="s">
        <x:v>58</x:v>
      </x:c>
      <x:c r="AG1454" s="7" t="s">
        <x:v>58</x:v>
      </x:c>
    </x:row>
    <x:row r="1455" ht="37.5" hidden="0" customHeight="1">
      <x:c r="A1455" s="7" t="s">
        <x:v>4774</x:v>
      </x:c>
      <x:c r="B1455" s="7" t="s">
        <x:v>870</x:v>
      </x:c>
      <x:c r="C1455" s="7" t="s">
        <x:v>872</x:v>
      </x:c>
      <x:c r="D1455" s="7" t="s">
        <x:v>1950</x:v>
      </x:c>
      <x:c r="E1455" s="7" t="s">
        <x:v>1995</x:v>
      </x:c>
      <x:c r="F1455" s="7" t="s">
        <x:v>53</x:v>
      </x:c>
      <x:c r="G1455" s="8" t="s">
        <x:v>53</x:v>
      </x:c>
      <x:c r="H1455" s="8" t="s">
        <x:v>58</x:v>
      </x:c>
      <x:c r="I1455" s="8" t="s">
        <x:v>58</x:v>
      </x:c>
      <x:c r="J1455" s="7" t="s">
        <x:v>58</x:v>
      </x:c>
      <x:c r="K1455" s="8" t="n">
        <x:v>1</x:v>
      </x:c>
      <x:c r="L1455" s="8" t="str">
        <x:f aca="0">IF(AND(ISNUMBER(G1455),P1455&lt;&gt;"Unresolved unit / layout"),G1455*K1455,"Not published")</x:f>
        <x:v>Not published</x:v>
      </x:c>
      <x:c r="M1455" s="8" t="str">
        <x:f aca="0">IF(AND(ISNUMBER(H1455),P1455&lt;&gt;"Unresolved unit / layout"),H1455*K1455,"Not applicable")</x:f>
        <x:v>Not applicable</x:v>
      </x:c>
      <x:c r="N1455" s="8" t="str">
        <x:f aca="0">IF(AND(ISNUMBER(I1455),P1455&lt;&gt;"Unresolved unit / layout"),I1455*K1455,"Not applicable")</x:f>
        <x:v>Not applicable</x:v>
      </x:c>
      <x:c r="O1455" s="7" t="s">
        <x:v>53</x:v>
      </x:c>
      <x:c r="P1455" s="7" t="s">
        <x:v>53</x:v>
      </x:c>
      <x:c r="Q1455" s="7" t="s">
        <x:v>2064</x:v>
      </x:c>
      <x:c r="R1455" s="7" t="s">
        <x:v>1931</x:v>
      </x:c>
      <x:c r="S1455" s="7" t="s">
        <x:v>53</x:v>
      </x:c>
      <x:c r="T1455" s="7" t="s">
        <x:v>53</x:v>
      </x:c>
      <x:c r="U1455" s="7" t="s">
        <x:v>53</x:v>
      </x:c>
      <x:c r="V1455" s="7" t="s">
        <x:v>2020</x:v>
      </x:c>
      <x:c r="W1455" s="7" t="s">
        <x:v>58</x:v>
      </x:c>
      <x:c r="X1455" s="7" t="s">
        <x:v>53</x:v>
      </x:c>
      <x:c r="Y1455" s="7" t="s">
        <x:v>1342</x:v>
      </x:c>
      <x:c r="Z1455" s="7" t="s">
        <x:v>2123</x:v>
      </x:c>
      <x:c r="AA1455" s="7" t="s">
        <x:v>58</x:v>
      </x:c>
      <x:c r="AB1455" s="8" t="s">
        <x:v>58</x:v>
      </x:c>
      <x:c r="AC1455" s="8" t="s">
        <x:v>58</x:v>
      </x:c>
      <x:c r="AD1455" s="8" t="s">
        <x:v>58</x:v>
      </x:c>
      <x:c r="AE1455" s="8" t="s">
        <x:v>58</x:v>
      </x:c>
      <x:c r="AF1455" s="8" t="s">
        <x:v>58</x:v>
      </x:c>
      <x:c r="AG1455" s="7" t="s">
        <x:v>58</x:v>
      </x:c>
    </x:row>
    <x:row r="1456" ht="37.5" hidden="0" customHeight="1">
      <x:c r="A1456" s="7" t="s">
        <x:v>4775</x:v>
      </x:c>
      <x:c r="B1456" s="7" t="s">
        <x:v>870</x:v>
      </x:c>
      <x:c r="C1456" s="7" t="s">
        <x:v>872</x:v>
      </x:c>
      <x:c r="D1456" s="7" t="s">
        <x:v>1950</x:v>
      </x:c>
      <x:c r="E1456" s="7" t="s">
        <x:v>1995</x:v>
      </x:c>
      <x:c r="F1456" s="7" t="s">
        <x:v>53</x:v>
      </x:c>
      <x:c r="G1456" s="8" t="s">
        <x:v>53</x:v>
      </x:c>
      <x:c r="H1456" s="8" t="s">
        <x:v>58</x:v>
      </x:c>
      <x:c r="I1456" s="8" t="s">
        <x:v>58</x:v>
      </x:c>
      <x:c r="J1456" s="7" t="s">
        <x:v>58</x:v>
      </x:c>
      <x:c r="K1456" s="8" t="n">
        <x:v>1</x:v>
      </x:c>
      <x:c r="L1456" s="8" t="str">
        <x:f aca="0">IF(AND(ISNUMBER(G1456),P1456&lt;&gt;"Unresolved unit / layout"),G1456*K1456,"Not published")</x:f>
        <x:v>Not published</x:v>
      </x:c>
      <x:c r="M1456" s="8" t="str">
        <x:f aca="0">IF(AND(ISNUMBER(H1456),P1456&lt;&gt;"Unresolved unit / layout"),H1456*K1456,"Not applicable")</x:f>
        <x:v>Not applicable</x:v>
      </x:c>
      <x:c r="N1456" s="8" t="str">
        <x:f aca="0">IF(AND(ISNUMBER(I1456),P1456&lt;&gt;"Unresolved unit / layout"),I1456*K1456,"Not applicable")</x:f>
        <x:v>Not applicable</x:v>
      </x:c>
      <x:c r="O1456" s="7" t="s">
        <x:v>53</x:v>
      </x:c>
      <x:c r="P1456" s="7" t="s">
        <x:v>53</x:v>
      </x:c>
      <x:c r="Q1456" s="7" t="s">
        <x:v>2064</x:v>
      </x:c>
      <x:c r="R1456" s="7" t="s">
        <x:v>2003</x:v>
      </x:c>
      <x:c r="S1456" s="7" t="s">
        <x:v>53</x:v>
      </x:c>
      <x:c r="T1456" s="7" t="s">
        <x:v>53</x:v>
      </x:c>
      <x:c r="U1456" s="7" t="s">
        <x:v>53</x:v>
      </x:c>
      <x:c r="V1456" s="7" t="s">
        <x:v>2020</x:v>
      </x:c>
      <x:c r="W1456" s="7" t="s">
        <x:v>58</x:v>
      </x:c>
      <x:c r="X1456" s="7" t="s">
        <x:v>53</x:v>
      </x:c>
      <x:c r="Y1456" s="7" t="s">
        <x:v>1342</x:v>
      </x:c>
      <x:c r="Z1456" s="7" t="s">
        <x:v>2210</x:v>
      </x:c>
      <x:c r="AA1456" s="7" t="s">
        <x:v>58</x:v>
      </x:c>
      <x:c r="AB1456" s="8" t="s">
        <x:v>58</x:v>
      </x:c>
      <x:c r="AC1456" s="8" t="s">
        <x:v>58</x:v>
      </x:c>
      <x:c r="AD1456" s="8" t="s">
        <x:v>58</x:v>
      </x:c>
      <x:c r="AE1456" s="8" t="s">
        <x:v>58</x:v>
      </x:c>
      <x:c r="AF1456" s="8" t="s">
        <x:v>58</x:v>
      </x:c>
      <x:c r="AG1456" s="7" t="s">
        <x:v>58</x:v>
      </x:c>
    </x:row>
    <x:row r="1457" ht="37.5" hidden="0" customHeight="1">
      <x:c r="A1457" s="7" t="s">
        <x:v>4776</x:v>
      </x:c>
      <x:c r="B1457" s="7" t="s">
        <x:v>870</x:v>
      </x:c>
      <x:c r="C1457" s="7" t="s">
        <x:v>872</x:v>
      </x:c>
      <x:c r="D1457" s="7" t="s">
        <x:v>1945</x:v>
      </x:c>
      <x:c r="E1457" s="7" t="s">
        <x:v>1995</x:v>
      </x:c>
      <x:c r="F1457" s="7" t="s">
        <x:v>53</x:v>
      </x:c>
      <x:c r="G1457" s="8" t="s">
        <x:v>53</x:v>
      </x:c>
      <x:c r="H1457" s="8" t="s">
        <x:v>58</x:v>
      </x:c>
      <x:c r="I1457" s="8" t="s">
        <x:v>58</x:v>
      </x:c>
      <x:c r="J1457" s="7" t="s">
        <x:v>58</x:v>
      </x:c>
      <x:c r="K1457" s="8" t="n">
        <x:v>1</x:v>
      </x:c>
      <x:c r="L1457" s="8" t="str">
        <x:f aca="0">IF(AND(ISNUMBER(G1457),P1457&lt;&gt;"Unresolved unit / layout"),G1457*K1457,"Not published")</x:f>
        <x:v>Not published</x:v>
      </x:c>
      <x:c r="M1457" s="8" t="str">
        <x:f aca="0">IF(AND(ISNUMBER(H1457),P1457&lt;&gt;"Unresolved unit / layout"),H1457*K1457,"Not applicable")</x:f>
        <x:v>Not applicable</x:v>
      </x:c>
      <x:c r="N1457" s="8" t="str">
        <x:f aca="0">IF(AND(ISNUMBER(I1457),P1457&lt;&gt;"Unresolved unit / layout"),I1457*K1457,"Not applicable")</x:f>
        <x:v>Not applicable</x:v>
      </x:c>
      <x:c r="O1457" s="7" t="s">
        <x:v>53</x:v>
      </x:c>
      <x:c r="P1457" s="7" t="s">
        <x:v>53</x:v>
      </x:c>
      <x:c r="Q1457" s="7" t="s">
        <x:v>2064</x:v>
      </x:c>
      <x:c r="R1457" s="7" t="s">
        <x:v>1931</x:v>
      </x:c>
      <x:c r="S1457" s="7" t="s">
        <x:v>53</x:v>
      </x:c>
      <x:c r="T1457" s="7" t="s">
        <x:v>53</x:v>
      </x:c>
      <x:c r="U1457" s="7" t="s">
        <x:v>53</x:v>
      </x:c>
      <x:c r="V1457" s="7" t="s">
        <x:v>2020</x:v>
      </x:c>
      <x:c r="W1457" s="7" t="s">
        <x:v>58</x:v>
      </x:c>
      <x:c r="X1457" s="7" t="s">
        <x:v>53</x:v>
      </x:c>
      <x:c r="Y1457" s="7" t="s">
        <x:v>1342</x:v>
      </x:c>
      <x:c r="Z1457" s="7" t="s">
        <x:v>2213</x:v>
      </x:c>
      <x:c r="AA1457" s="7" t="s">
        <x:v>58</x:v>
      </x:c>
      <x:c r="AB1457" s="8" t="s">
        <x:v>58</x:v>
      </x:c>
      <x:c r="AC1457" s="8" t="s">
        <x:v>58</x:v>
      </x:c>
      <x:c r="AD1457" s="8" t="s">
        <x:v>58</x:v>
      </x:c>
      <x:c r="AE1457" s="8" t="s">
        <x:v>58</x:v>
      </x:c>
      <x:c r="AF1457" s="8" t="s">
        <x:v>58</x:v>
      </x:c>
      <x:c r="AG1457" s="7" t="s">
        <x:v>58</x:v>
      </x:c>
    </x:row>
    <x:row r="1458" ht="37.5" hidden="0" customHeight="1">
      <x:c r="A1458" s="7" t="s">
        <x:v>4777</x:v>
      </x:c>
      <x:c r="B1458" s="7" t="s">
        <x:v>870</x:v>
      </x:c>
      <x:c r="C1458" s="7" t="s">
        <x:v>872</x:v>
      </x:c>
      <x:c r="D1458" s="7" t="s">
        <x:v>1945</x:v>
      </x:c>
      <x:c r="E1458" s="7" t="s">
        <x:v>1995</x:v>
      </x:c>
      <x:c r="F1458" s="7" t="s">
        <x:v>53</x:v>
      </x:c>
      <x:c r="G1458" s="8" t="s">
        <x:v>53</x:v>
      </x:c>
      <x:c r="H1458" s="8" t="s">
        <x:v>58</x:v>
      </x:c>
      <x:c r="I1458" s="8" t="s">
        <x:v>58</x:v>
      </x:c>
      <x:c r="J1458" s="7" t="s">
        <x:v>58</x:v>
      </x:c>
      <x:c r="K1458" s="8" t="n">
        <x:v>1</x:v>
      </x:c>
      <x:c r="L1458" s="8" t="str">
        <x:f aca="0">IF(AND(ISNUMBER(G1458),P1458&lt;&gt;"Unresolved unit / layout"),G1458*K1458,"Not published")</x:f>
        <x:v>Not published</x:v>
      </x:c>
      <x:c r="M1458" s="8" t="str">
        <x:f aca="0">IF(AND(ISNUMBER(H1458),P1458&lt;&gt;"Unresolved unit / layout"),H1458*K1458,"Not applicable")</x:f>
        <x:v>Not applicable</x:v>
      </x:c>
      <x:c r="N1458" s="8" t="str">
        <x:f aca="0">IF(AND(ISNUMBER(I1458),P1458&lt;&gt;"Unresolved unit / layout"),I1458*K1458,"Not applicable")</x:f>
        <x:v>Not applicable</x:v>
      </x:c>
      <x:c r="O1458" s="7" t="s">
        <x:v>53</x:v>
      </x:c>
      <x:c r="P1458" s="7" t="s">
        <x:v>53</x:v>
      </x:c>
      <x:c r="Q1458" s="7" t="s">
        <x:v>2064</x:v>
      </x:c>
      <x:c r="R1458" s="7" t="s">
        <x:v>2003</x:v>
      </x:c>
      <x:c r="S1458" s="7" t="s">
        <x:v>53</x:v>
      </x:c>
      <x:c r="T1458" s="7" t="s">
        <x:v>53</x:v>
      </x:c>
      <x:c r="U1458" s="7" t="s">
        <x:v>53</x:v>
      </x:c>
      <x:c r="V1458" s="7" t="s">
        <x:v>2020</x:v>
      </x:c>
      <x:c r="W1458" s="7" t="s">
        <x:v>58</x:v>
      </x:c>
      <x:c r="X1458" s="7" t="s">
        <x:v>53</x:v>
      </x:c>
      <x:c r="Y1458" s="7" t="s">
        <x:v>1342</x:v>
      </x:c>
      <x:c r="Z1458" s="7" t="s">
        <x:v>2216</x:v>
      </x:c>
      <x:c r="AA1458" s="7" t="s">
        <x:v>58</x:v>
      </x:c>
      <x:c r="AB1458" s="8" t="s">
        <x:v>58</x:v>
      </x:c>
      <x:c r="AC1458" s="8" t="s">
        <x:v>58</x:v>
      </x:c>
      <x:c r="AD1458" s="8" t="s">
        <x:v>58</x:v>
      </x:c>
      <x:c r="AE1458" s="8" t="s">
        <x:v>58</x:v>
      </x:c>
      <x:c r="AF1458" s="8" t="s">
        <x:v>58</x:v>
      </x:c>
      <x:c r="AG1458" s="7" t="s">
        <x:v>58</x:v>
      </x:c>
    </x:row>
    <x:row r="1459" ht="37.5" hidden="0" customHeight="1">
      <x:c r="A1459" s="7" t="s">
        <x:v>4778</x:v>
      </x:c>
      <x:c r="B1459" s="7" t="s">
        <x:v>870</x:v>
      </x:c>
      <x:c r="C1459" s="7" t="s">
        <x:v>872</x:v>
      </x:c>
      <x:c r="D1459" s="7" t="s">
        <x:v>2030</x:v>
      </x:c>
      <x:c r="E1459" s="7" t="s">
        <x:v>1995</x:v>
      </x:c>
      <x:c r="F1459" s="7" t="s">
        <x:v>53</x:v>
      </x:c>
      <x:c r="G1459" s="8" t="s">
        <x:v>53</x:v>
      </x:c>
      <x:c r="H1459" s="8" t="s">
        <x:v>58</x:v>
      </x:c>
      <x:c r="I1459" s="8" t="s">
        <x:v>58</x:v>
      </x:c>
      <x:c r="J1459" s="7" t="s">
        <x:v>58</x:v>
      </x:c>
      <x:c r="K1459" s="8" t="n">
        <x:v>1</x:v>
      </x:c>
      <x:c r="L1459" s="8" t="str">
        <x:f aca="0">IF(AND(ISNUMBER(G1459),P1459&lt;&gt;"Unresolved unit / layout"),G1459*K1459,"Not published")</x:f>
        <x:v>Not published</x:v>
      </x:c>
      <x:c r="M1459" s="8" t="str">
        <x:f aca="0">IF(AND(ISNUMBER(H1459),P1459&lt;&gt;"Unresolved unit / layout"),H1459*K1459,"Not applicable")</x:f>
        <x:v>Not applicable</x:v>
      </x:c>
      <x:c r="N1459" s="8" t="str">
        <x:f aca="0">IF(AND(ISNUMBER(I1459),P1459&lt;&gt;"Unresolved unit / layout"),I1459*K1459,"Not applicable")</x:f>
        <x:v>Not applicable</x:v>
      </x:c>
      <x:c r="O1459" s="7" t="s">
        <x:v>53</x:v>
      </x:c>
      <x:c r="P1459" s="7" t="s">
        <x:v>53</x:v>
      </x:c>
      <x:c r="Q1459" s="7" t="s">
        <x:v>2064</x:v>
      </x:c>
      <x:c r="R1459" s="7" t="s">
        <x:v>1931</x:v>
      </x:c>
      <x:c r="S1459" s="7" t="s">
        <x:v>53</x:v>
      </x:c>
      <x:c r="T1459" s="7" t="s">
        <x:v>53</x:v>
      </x:c>
      <x:c r="U1459" s="7" t="s">
        <x:v>53</x:v>
      </x:c>
      <x:c r="V1459" s="7" t="s">
        <x:v>2036</x:v>
      </x:c>
      <x:c r="W1459" s="7" t="s">
        <x:v>53</x:v>
      </x:c>
      <x:c r="X1459" s="7" t="s">
        <x:v>53</x:v>
      </x:c>
      <x:c r="Y1459" s="7" t="s">
        <x:v>1342</x:v>
      </x:c>
      <x:c r="Z1459" s="7" t="s">
        <x:v>2378</x:v>
      </x:c>
      <x:c r="AA1459" s="7" t="s">
        <x:v>58</x:v>
      </x:c>
      <x:c r="AB1459" s="8" t="s">
        <x:v>58</x:v>
      </x:c>
      <x:c r="AC1459" s="8" t="s">
        <x:v>58</x:v>
      </x:c>
      <x:c r="AD1459" s="8" t="s">
        <x:v>58</x:v>
      </x:c>
      <x:c r="AE1459" s="8" t="s">
        <x:v>58</x:v>
      </x:c>
      <x:c r="AF1459" s="8" t="s">
        <x:v>58</x:v>
      </x:c>
      <x:c r="AG1459" s="7" t="s">
        <x:v>58</x:v>
      </x:c>
    </x:row>
    <x:row r="1460" ht="37.5" hidden="0" customHeight="1">
      <x:c r="A1460" s="7" t="s">
        <x:v>4779</x:v>
      </x:c>
      <x:c r="B1460" s="7" t="s">
        <x:v>870</x:v>
      </x:c>
      <x:c r="C1460" s="7" t="s">
        <x:v>872</x:v>
      </x:c>
      <x:c r="D1460" s="7" t="s">
        <x:v>2030</x:v>
      </x:c>
      <x:c r="E1460" s="7" t="s">
        <x:v>1995</x:v>
      </x:c>
      <x:c r="F1460" s="7" t="s">
        <x:v>53</x:v>
      </x:c>
      <x:c r="G1460" s="8" t="s">
        <x:v>53</x:v>
      </x:c>
      <x:c r="H1460" s="8" t="s">
        <x:v>58</x:v>
      </x:c>
      <x:c r="I1460" s="8" t="s">
        <x:v>58</x:v>
      </x:c>
      <x:c r="J1460" s="7" t="s">
        <x:v>58</x:v>
      </x:c>
      <x:c r="K1460" s="8" t="n">
        <x:v>1</x:v>
      </x:c>
      <x:c r="L1460" s="8" t="str">
        <x:f aca="0">IF(AND(ISNUMBER(G1460),P1460&lt;&gt;"Unresolved unit / layout"),G1460*K1460,"Not published")</x:f>
        <x:v>Not published</x:v>
      </x:c>
      <x:c r="M1460" s="8" t="str">
        <x:f aca="0">IF(AND(ISNUMBER(H1460),P1460&lt;&gt;"Unresolved unit / layout"),H1460*K1460,"Not applicable")</x:f>
        <x:v>Not applicable</x:v>
      </x:c>
      <x:c r="N1460" s="8" t="str">
        <x:f aca="0">IF(AND(ISNUMBER(I1460),P1460&lt;&gt;"Unresolved unit / layout"),I1460*K1460,"Not applicable")</x:f>
        <x:v>Not applicable</x:v>
      </x:c>
      <x:c r="O1460" s="7" t="s">
        <x:v>53</x:v>
      </x:c>
      <x:c r="P1460" s="7" t="s">
        <x:v>53</x:v>
      </x:c>
      <x:c r="Q1460" s="7" t="s">
        <x:v>2064</x:v>
      </x:c>
      <x:c r="R1460" s="7" t="s">
        <x:v>2003</x:v>
      </x:c>
      <x:c r="S1460" s="7" t="s">
        <x:v>53</x:v>
      </x:c>
      <x:c r="T1460" s="7" t="s">
        <x:v>53</x:v>
      </x:c>
      <x:c r="U1460" s="7" t="s">
        <x:v>53</x:v>
      </x:c>
      <x:c r="V1460" s="7" t="s">
        <x:v>2036</x:v>
      </x:c>
      <x:c r="W1460" s="7" t="s">
        <x:v>53</x:v>
      </x:c>
      <x:c r="X1460" s="7" t="s">
        <x:v>53</x:v>
      </x:c>
      <x:c r="Y1460" s="7" t="s">
        <x:v>1342</x:v>
      </x:c>
      <x:c r="Z1460" s="7" t="s">
        <x:v>2225</x:v>
      </x:c>
      <x:c r="AA1460" s="7" t="s">
        <x:v>58</x:v>
      </x:c>
      <x:c r="AB1460" s="8" t="s">
        <x:v>58</x:v>
      </x:c>
      <x:c r="AC1460" s="8" t="s">
        <x:v>58</x:v>
      </x:c>
      <x:c r="AD1460" s="8" t="s">
        <x:v>58</x:v>
      </x:c>
      <x:c r="AE1460" s="8" t="s">
        <x:v>58</x:v>
      </x:c>
      <x:c r="AF1460" s="8" t="s">
        <x:v>58</x:v>
      </x:c>
      <x:c r="AG1460" s="7" t="s">
        <x:v>58</x:v>
      </x:c>
    </x:row>
    <x:row r="1461" ht="51.75" hidden="0" customHeight="1">
      <x:c r="A1461" s="7" t="s">
        <x:v>882</x:v>
      </x:c>
      <x:c r="B1461" s="7" t="s">
        <x:v>878</x:v>
      </x:c>
      <x:c r="C1461" s="7" t="s">
        <x:v>880</x:v>
      </x:c>
      <x:c r="D1461" s="7" t="s">
        <x:v>1916</x:v>
      </x:c>
      <x:c r="E1461" s="7" t="s">
        <x:v>4780</x:v>
      </x:c>
      <x:c r="F1461" s="7" t="s">
        <x:v>2076</x:v>
      </x:c>
      <x:c r="G1461" s="8" t="n">
        <x:v>1.17</x:v>
      </x:c>
      <x:c r="H1461" s="8" t="s">
        <x:v>58</x:v>
      </x:c>
      <x:c r="I1461" s="8" t="s">
        <x:v>58</x:v>
      </x:c>
      <x:c r="J1461" s="7" t="s">
        <x:v>1919</x:v>
      </x:c>
      <x:c r="K1461" s="8" t="n">
        <x:v>1000</x:v>
      </x:c>
      <x:c r="L1461" s="8" t="n">
        <x:f aca="0">IF(AND(ISNUMBER(G1461),P1461&lt;&gt;"Unresolved unit / layout"),G1461*K1461,"Not applicable")</x:f>
        <x:v>1170</x:v>
      </x:c>
      <x:c r="M1461" s="8" t="str">
        <x:f aca="0">IF(AND(ISNUMBER(H1461),P1461&lt;&gt;"Unresolved unit / layout"),H1461*K1461,"Not applicable")</x:f>
        <x:v>Not applicable</x:v>
      </x:c>
      <x:c r="N1461" s="8" t="str">
        <x:f aca="0">IF(AND(ISNUMBER(I1461),P1461&lt;&gt;"Unresolved unit / layout"),I1461*K1461,"Not applicable")</x:f>
        <x:v>Not applicable</x:v>
      </x:c>
      <x:c r="O1461" s="7" t="s">
        <x:v>1920</x:v>
      </x:c>
      <x:c r="P1461" s="7" t="s">
        <x:v>1921</x:v>
      </x:c>
      <x:c r="Q1461" s="7" t="s">
        <x:v>1922</x:v>
      </x:c>
      <x:c r="R1461" s="7" t="s">
        <x:v>58</x:v>
      </x:c>
      <x:c r="S1461" s="7" t="s">
        <x:v>53</x:v>
      </x:c>
      <x:c r="T1461" s="7" t="s">
        <x:v>53</x:v>
      </x:c>
      <x:c r="U1461" s="7" t="s">
        <x:v>53</x:v>
      </x:c>
      <x:c r="V1461" s="7" t="s">
        <x:v>1923</x:v>
      </x:c>
      <x:c r="W1461" s="7" t="s">
        <x:v>58</x:v>
      </x:c>
      <x:c r="X1461" s="7" t="s">
        <x:v>53</x:v>
      </x:c>
      <x:c r="Y1461" s="7" t="s">
        <x:v>1343</x:v>
      </x:c>
      <x:c r="Z1461" s="7" t="s">
        <x:v>1968</x:v>
      </x:c>
      <x:c r="AA1461" s="7" t="s">
        <x:v>58</x:v>
      </x:c>
      <x:c r="AB1461" s="8" t="s">
        <x:v>58</x:v>
      </x:c>
      <x:c r="AC1461" s="8" t="s">
        <x:v>58</x:v>
      </x:c>
      <x:c r="AD1461" s="8" t="s">
        <x:v>58</x:v>
      </x:c>
      <x:c r="AE1461" s="8" t="s">
        <x:v>58</x:v>
      </x:c>
      <x:c r="AF1461" s="8" t="s">
        <x:v>58</x:v>
      </x:c>
      <x:c r="AG1461" s="7" t="s">
        <x:v>58</x:v>
      </x:c>
    </x:row>
    <x:row r="1462" ht="37.5" hidden="0" customHeight="1">
      <x:c r="A1462" s="7" t="s">
        <x:v>4781</x:v>
      </x:c>
      <x:c r="B1462" s="7" t="s">
        <x:v>878</x:v>
      </x:c>
      <x:c r="C1462" s="7" t="s">
        <x:v>880</x:v>
      </x:c>
      <x:c r="D1462" s="7" t="s">
        <x:v>1974</x:v>
      </x:c>
      <x:c r="E1462" s="7" t="s">
        <x:v>4782</x:v>
      </x:c>
      <x:c r="F1462" s="7" t="s">
        <x:v>1956</x:v>
      </x:c>
      <x:c r="G1462" s="8" t="n">
        <x:v>255</x:v>
      </x:c>
      <x:c r="H1462" s="8" t="s">
        <x:v>58</x:v>
      </x:c>
      <x:c r="I1462" s="8" t="s">
        <x:v>58</x:v>
      </x:c>
      <x:c r="J1462" s="7" t="s">
        <x:v>1919</x:v>
      </x:c>
      <x:c r="K1462" s="8" t="n">
        <x:v>1</x:v>
      </x:c>
      <x:c r="L1462" s="8" t="n">
        <x:f aca="0">IF(AND(ISNUMBER(G1462),P1462&lt;&gt;"Unresolved unit / layout"),G1462*K1462,"Not applicable")</x:f>
        <x:v>255</x:v>
      </x:c>
      <x:c r="M1462" s="8" t="str">
        <x:f aca="0">IF(AND(ISNUMBER(H1462),P1462&lt;&gt;"Unresolved unit / layout"),H1462*K1462,"Not applicable")</x:f>
        <x:v>Not applicable</x:v>
      </x:c>
      <x:c r="N1462" s="8" t="str">
        <x:f aca="0">IF(AND(ISNUMBER(I1462),P1462&lt;&gt;"Unresolved unit / layout"),I1462*K1462,"Not applicable")</x:f>
        <x:v>Not applicable</x:v>
      </x:c>
      <x:c r="O1462" s="7" t="s">
        <x:v>1956</x:v>
      </x:c>
      <x:c r="P1462" s="7" t="s">
        <x:v>1921</x:v>
      </x:c>
      <x:c r="Q1462" s="7" t="s">
        <x:v>2064</x:v>
      </x:c>
      <x:c r="R1462" s="7" t="s">
        <x:v>58</x:v>
      </x:c>
      <x:c r="S1462" s="7" t="s">
        <x:v>53</x:v>
      </x:c>
      <x:c r="T1462" s="7" t="s">
        <x:v>53</x:v>
      </x:c>
      <x:c r="U1462" s="7" t="s">
        <x:v>53</x:v>
      </x:c>
      <x:c r="V1462" s="7" t="s">
        <x:v>2082</x:v>
      </x:c>
      <x:c r="W1462" s="7" t="s">
        <x:v>58</x:v>
      </x:c>
      <x:c r="X1462" s="7" t="s">
        <x:v>53</x:v>
      </x:c>
      <x:c r="Y1462" s="7" t="s">
        <x:v>1343</x:v>
      </x:c>
      <x:c r="Z1462" s="7" t="s">
        <x:v>2083</x:v>
      </x:c>
      <x:c r="AA1462" s="7" t="s">
        <x:v>58</x:v>
      </x:c>
      <x:c r="AB1462" s="8" t="s">
        <x:v>58</x:v>
      </x:c>
      <x:c r="AC1462" s="8" t="s">
        <x:v>58</x:v>
      </x:c>
      <x:c r="AD1462" s="8" t="s">
        <x:v>58</x:v>
      </x:c>
      <x:c r="AE1462" s="8" t="s">
        <x:v>58</x:v>
      </x:c>
      <x:c r="AF1462" s="8" t="s">
        <x:v>58</x:v>
      </x:c>
      <x:c r="AG1462" s="7" t="s">
        <x:v>58</x:v>
      </x:c>
    </x:row>
    <x:row r="1463" ht="37.5" hidden="0" customHeight="1">
      <x:c r="A1463" s="7" t="s">
        <x:v>4783</x:v>
      </x:c>
      <x:c r="B1463" s="7" t="s">
        <x:v>878</x:v>
      </x:c>
      <x:c r="C1463" s="7" t="s">
        <x:v>880</x:v>
      </x:c>
      <x:c r="D1463" s="7" t="s">
        <x:v>1954</x:v>
      </x:c>
      <x:c r="E1463" s="7" t="s">
        <x:v>1995</x:v>
      </x:c>
      <x:c r="F1463" s="7" t="s">
        <x:v>1956</x:v>
      </x:c>
      <x:c r="G1463" s="8" t="s">
        <x:v>53</x:v>
      </x:c>
      <x:c r="H1463" s="8" t="s">
        <x:v>58</x:v>
      </x:c>
      <x:c r="I1463" s="8" t="s">
        <x:v>58</x:v>
      </x:c>
      <x:c r="J1463" s="7" t="s">
        <x:v>58</x:v>
      </x:c>
      <x:c r="K1463" s="8" t="n">
        <x:v>1</x:v>
      </x:c>
      <x:c r="L1463" s="8" t="str">
        <x:f aca="0">IF(AND(ISNUMBER(G1463),P1463&lt;&gt;"Unresolved unit / layout"),G1463*K1463,"Not published")</x:f>
        <x:v>Not published</x:v>
      </x:c>
      <x:c r="M1463" s="8" t="str">
        <x:f aca="0">IF(AND(ISNUMBER(H1463),P1463&lt;&gt;"Unresolved unit / layout"),H1463*K1463,"Not applicable")</x:f>
        <x:v>Not applicable</x:v>
      </x:c>
      <x:c r="N1463" s="8" t="str">
        <x:f aca="0">IF(AND(ISNUMBER(I1463),P1463&lt;&gt;"Unresolved unit / layout"),I1463*K1463,"Not applicable")</x:f>
        <x:v>Not applicable</x:v>
      </x:c>
      <x:c r="O1463" s="7" t="s">
        <x:v>1956</x:v>
      </x:c>
      <x:c r="P1463" s="7" t="s">
        <x:v>53</x:v>
      </x:c>
      <x:c r="Q1463" s="7" t="s">
        <x:v>2064</x:v>
      </x:c>
      <x:c r="R1463" s="7" t="s">
        <x:v>58</x:v>
      </x:c>
      <x:c r="S1463" s="7" t="s">
        <x:v>53</x:v>
      </x:c>
      <x:c r="T1463" s="7" t="s">
        <x:v>53</x:v>
      </x:c>
      <x:c r="U1463" s="7" t="s">
        <x:v>53</x:v>
      </x:c>
      <x:c r="V1463" s="7" t="s">
        <x:v>3140</x:v>
      </x:c>
      <x:c r="W1463" s="7" t="s">
        <x:v>58</x:v>
      </x:c>
      <x:c r="X1463" s="7" t="s">
        <x:v>53</x:v>
      </x:c>
      <x:c r="Y1463" s="7" t="s">
        <x:v>1343</x:v>
      </x:c>
      <x:c r="Z1463" s="7" t="s">
        <x:v>3141</x:v>
      </x:c>
      <x:c r="AA1463" s="7" t="s">
        <x:v>58</x:v>
      </x:c>
      <x:c r="AB1463" s="8" t="s">
        <x:v>58</x:v>
      </x:c>
      <x:c r="AC1463" s="8" t="s">
        <x:v>58</x:v>
      </x:c>
      <x:c r="AD1463" s="8" t="s">
        <x:v>58</x:v>
      </x:c>
      <x:c r="AE1463" s="8" t="s">
        <x:v>58</x:v>
      </x:c>
      <x:c r="AF1463" s="8" t="s">
        <x:v>58</x:v>
      </x:c>
      <x:c r="AG1463" s="7" t="s">
        <x:v>58</x:v>
      </x:c>
    </x:row>
    <x:row r="1464" ht="37.5" hidden="0" customHeight="1">
      <x:c r="A1464" s="7" t="s">
        <x:v>4784</x:v>
      </x:c>
      <x:c r="B1464" s="7" t="s">
        <x:v>878</x:v>
      </x:c>
      <x:c r="C1464" s="7" t="s">
        <x:v>880</x:v>
      </x:c>
      <x:c r="D1464" s="7" t="s">
        <x:v>1978</x:v>
      </x:c>
      <x:c r="E1464" s="7" t="s">
        <x:v>1995</x:v>
      </x:c>
      <x:c r="F1464" s="7" t="s">
        <x:v>1956</x:v>
      </x:c>
      <x:c r="G1464" s="8" t="s">
        <x:v>53</x:v>
      </x:c>
      <x:c r="H1464" s="8" t="s">
        <x:v>58</x:v>
      </x:c>
      <x:c r="I1464" s="8" t="s">
        <x:v>58</x:v>
      </x:c>
      <x:c r="J1464" s="7" t="s">
        <x:v>58</x:v>
      </x:c>
      <x:c r="K1464" s="8" t="n">
        <x:v>1</x:v>
      </x:c>
      <x:c r="L1464" s="8" t="str">
        <x:f aca="0">IF(AND(ISNUMBER(G1464),P1464&lt;&gt;"Unresolved unit / layout"),G1464*K1464,"Not published")</x:f>
        <x:v>Not published</x:v>
      </x:c>
      <x:c r="M1464" s="8" t="str">
        <x:f aca="0">IF(AND(ISNUMBER(H1464),P1464&lt;&gt;"Unresolved unit / layout"),H1464*K1464,"Not applicable")</x:f>
        <x:v>Not applicable</x:v>
      </x:c>
      <x:c r="N1464" s="8" t="str">
        <x:f aca="0">IF(AND(ISNUMBER(I1464),P1464&lt;&gt;"Unresolved unit / layout"),I1464*K1464,"Not applicable")</x:f>
        <x:v>Not applicable</x:v>
      </x:c>
      <x:c r="O1464" s="7" t="s">
        <x:v>1956</x:v>
      </x:c>
      <x:c r="P1464" s="7" t="s">
        <x:v>53</x:v>
      </x:c>
      <x:c r="Q1464" s="7" t="s">
        <x:v>2064</x:v>
      </x:c>
      <x:c r="R1464" s="7" t="s">
        <x:v>58</x:v>
      </x:c>
      <x:c r="S1464" s="7" t="s">
        <x:v>53</x:v>
      </x:c>
      <x:c r="T1464" s="7" t="s">
        <x:v>53</x:v>
      </x:c>
      <x:c r="U1464" s="7" t="s">
        <x:v>53</x:v>
      </x:c>
      <x:c r="V1464" s="7" t="s">
        <x:v>2351</x:v>
      </x:c>
      <x:c r="W1464" s="7" t="s">
        <x:v>58</x:v>
      </x:c>
      <x:c r="X1464" s="7" t="s">
        <x:v>53</x:v>
      </x:c>
      <x:c r="Y1464" s="7" t="s">
        <x:v>1343</x:v>
      </x:c>
      <x:c r="Z1464" s="7" t="s">
        <x:v>2453</x:v>
      </x:c>
      <x:c r="AA1464" s="7" t="s">
        <x:v>58</x:v>
      </x:c>
      <x:c r="AB1464" s="8" t="s">
        <x:v>58</x:v>
      </x:c>
      <x:c r="AC1464" s="8" t="s">
        <x:v>58</x:v>
      </x:c>
      <x:c r="AD1464" s="8" t="s">
        <x:v>58</x:v>
      </x:c>
      <x:c r="AE1464" s="8" t="s">
        <x:v>58</x:v>
      </x:c>
      <x:c r="AF1464" s="8" t="s">
        <x:v>58</x:v>
      </x:c>
      <x:c r="AG1464" s="7" t="s">
        <x:v>58</x:v>
      </x:c>
    </x:row>
    <x:row r="1465" ht="37.5" hidden="0" customHeight="1">
      <x:c r="A1465" s="7" t="s">
        <x:v>4785</x:v>
      </x:c>
      <x:c r="B1465" s="7" t="s">
        <x:v>878</x:v>
      </x:c>
      <x:c r="C1465" s="7" t="s">
        <x:v>880</x:v>
      </x:c>
      <x:c r="D1465" s="7" t="s">
        <x:v>1982</x:v>
      </x:c>
      <x:c r="E1465" s="7" t="s">
        <x:v>1995</x:v>
      </x:c>
      <x:c r="F1465" s="7" t="s">
        <x:v>1956</x:v>
      </x:c>
      <x:c r="G1465" s="8" t="s">
        <x:v>53</x:v>
      </x:c>
      <x:c r="H1465" s="8" t="s">
        <x:v>58</x:v>
      </x:c>
      <x:c r="I1465" s="8" t="s">
        <x:v>58</x:v>
      </x:c>
      <x:c r="J1465" s="7" t="s">
        <x:v>58</x:v>
      </x:c>
      <x:c r="K1465" s="8" t="n">
        <x:v>1</x:v>
      </x:c>
      <x:c r="L1465" s="8" t="str">
        <x:f aca="0">IF(AND(ISNUMBER(G1465),P1465&lt;&gt;"Unresolved unit / layout"),G1465*K1465,"Not published")</x:f>
        <x:v>Not published</x:v>
      </x:c>
      <x:c r="M1465" s="8" t="str">
        <x:f aca="0">IF(AND(ISNUMBER(H1465),P1465&lt;&gt;"Unresolved unit / layout"),H1465*K1465,"Not applicable")</x:f>
        <x:v>Not applicable</x:v>
      </x:c>
      <x:c r="N1465" s="8" t="str">
        <x:f aca="0">IF(AND(ISNUMBER(I1465),P1465&lt;&gt;"Unresolved unit / layout"),I1465*K1465,"Not applicable")</x:f>
        <x:v>Not applicable</x:v>
      </x:c>
      <x:c r="O1465" s="7" t="s">
        <x:v>1956</x:v>
      </x:c>
      <x:c r="P1465" s="7" t="s">
        <x:v>53</x:v>
      </x:c>
      <x:c r="Q1465" s="7" t="s">
        <x:v>2064</x:v>
      </x:c>
      <x:c r="R1465" s="7" t="s">
        <x:v>58</x:v>
      </x:c>
      <x:c r="S1465" s="7" t="s">
        <x:v>53</x:v>
      </x:c>
      <x:c r="T1465" s="7" t="s">
        <x:v>53</x:v>
      </x:c>
      <x:c r="U1465" s="7" t="s">
        <x:v>53</x:v>
      </x:c>
      <x:c r="V1465" s="7" t="s">
        <x:v>2088</x:v>
      </x:c>
      <x:c r="W1465" s="7" t="s">
        <x:v>58</x:v>
      </x:c>
      <x:c r="X1465" s="7" t="s">
        <x:v>53</x:v>
      </x:c>
      <x:c r="Y1465" s="7" t="s">
        <x:v>1343</x:v>
      </x:c>
      <x:c r="Z1465" s="7" t="s">
        <x:v>3636</x:v>
      </x:c>
      <x:c r="AA1465" s="7" t="s">
        <x:v>58</x:v>
      </x:c>
      <x:c r="AB1465" s="8" t="s">
        <x:v>58</x:v>
      </x:c>
      <x:c r="AC1465" s="8" t="s">
        <x:v>58</x:v>
      </x:c>
      <x:c r="AD1465" s="8" t="s">
        <x:v>58</x:v>
      </x:c>
      <x:c r="AE1465" s="8" t="s">
        <x:v>58</x:v>
      </x:c>
      <x:c r="AF1465" s="8" t="s">
        <x:v>58</x:v>
      </x:c>
      <x:c r="AG1465" s="7" t="s">
        <x:v>58</x:v>
      </x:c>
    </x:row>
    <x:row r="1466" ht="37.5" hidden="0" customHeight="1">
      <x:c r="A1466" s="7" t="s">
        <x:v>4786</x:v>
      </x:c>
      <x:c r="B1466" s="7" t="s">
        <x:v>878</x:v>
      </x:c>
      <x:c r="C1466" s="7" t="s">
        <x:v>880</x:v>
      </x:c>
      <x:c r="D1466" s="7" t="s">
        <x:v>1959</x:v>
      </x:c>
      <x:c r="E1466" s="7" t="s">
        <x:v>1995</x:v>
      </x:c>
      <x:c r="F1466" s="7" t="s">
        <x:v>1956</x:v>
      </x:c>
      <x:c r="G1466" s="8" t="s">
        <x:v>53</x:v>
      </x:c>
      <x:c r="H1466" s="8" t="s">
        <x:v>58</x:v>
      </x:c>
      <x:c r="I1466" s="8" t="s">
        <x:v>58</x:v>
      </x:c>
      <x:c r="J1466" s="7" t="s">
        <x:v>58</x:v>
      </x:c>
      <x:c r="K1466" s="8" t="n">
        <x:v>1</x:v>
      </x:c>
      <x:c r="L1466" s="8" t="str">
        <x:f aca="0">IF(AND(ISNUMBER(G1466),P1466&lt;&gt;"Unresolved unit / layout"),G1466*K1466,"Not published")</x:f>
        <x:v>Not published</x:v>
      </x:c>
      <x:c r="M1466" s="8" t="str">
        <x:f aca="0">IF(AND(ISNUMBER(H1466),P1466&lt;&gt;"Unresolved unit / layout"),H1466*K1466,"Not applicable")</x:f>
        <x:v>Not applicable</x:v>
      </x:c>
      <x:c r="N1466" s="8" t="str">
        <x:f aca="0">IF(AND(ISNUMBER(I1466),P1466&lt;&gt;"Unresolved unit / layout"),I1466*K1466,"Not applicable")</x:f>
        <x:v>Not applicable</x:v>
      </x:c>
      <x:c r="O1466" s="7" t="s">
        <x:v>1956</x:v>
      </x:c>
      <x:c r="P1466" s="7" t="s">
        <x:v>53</x:v>
      </x:c>
      <x:c r="Q1466" s="7" t="s">
        <x:v>2064</x:v>
      </x:c>
      <x:c r="R1466" s="7" t="s">
        <x:v>58</x:v>
      </x:c>
      <x:c r="S1466" s="7" t="s">
        <x:v>53</x:v>
      </x:c>
      <x:c r="T1466" s="7" t="s">
        <x:v>53</x:v>
      </x:c>
      <x:c r="U1466" s="7" t="s">
        <x:v>53</x:v>
      </x:c>
      <x:c r="V1466" s="7" t="s">
        <x:v>4787</x:v>
      </x:c>
      <x:c r="W1466" s="7" t="s">
        <x:v>58</x:v>
      </x:c>
      <x:c r="X1466" s="7" t="s">
        <x:v>53</x:v>
      </x:c>
      <x:c r="Y1466" s="7" t="s">
        <x:v>1343</x:v>
      </x:c>
      <x:c r="Z1466" s="7" t="s">
        <x:v>3578</x:v>
      </x:c>
      <x:c r="AA1466" s="7" t="s">
        <x:v>3090</x:v>
      </x:c>
      <x:c r="AB1466" s="8" t="s">
        <x:v>58</x:v>
      </x:c>
      <x:c r="AC1466" s="8" t="s">
        <x:v>58</x:v>
      </x:c>
      <x:c r="AD1466" s="8" t="s">
        <x:v>58</x:v>
      </x:c>
      <x:c r="AE1466" s="8" t="s">
        <x:v>58</x:v>
      </x:c>
      <x:c r="AF1466" s="8" t="s">
        <x:v>58</x:v>
      </x:c>
      <x:c r="AG1466" s="7" t="s">
        <x:v>58</x:v>
      </x:c>
    </x:row>
    <x:row r="1467" ht="37.5" hidden="0" customHeight="1">
      <x:c r="A1467" s="7" t="s">
        <x:v>4788</x:v>
      </x:c>
      <x:c r="B1467" s="7" t="s">
        <x:v>878</x:v>
      </x:c>
      <x:c r="C1467" s="7" t="s">
        <x:v>880</x:v>
      </x:c>
      <x:c r="D1467" s="7" t="s">
        <x:v>2099</x:v>
      </x:c>
      <x:c r="E1467" s="7" t="s">
        <x:v>4789</x:v>
      </x:c>
      <x:c r="F1467" s="7" t="s">
        <x:v>1942</x:v>
      </x:c>
      <x:c r="G1467" s="8" t="n">
        <x:v>1.23</x:v>
      </x:c>
      <x:c r="H1467" s="8" t="s">
        <x:v>58</x:v>
      </x:c>
      <x:c r="I1467" s="8" t="s">
        <x:v>58</x:v>
      </x:c>
      <x:c r="J1467" s="7" t="s">
        <x:v>1919</x:v>
      </x:c>
      <x:c r="K1467" s="8" t="n">
        <x:v>1</x:v>
      </x:c>
      <x:c r="L1467" s="8" t="n">
        <x:f aca="0">IF(AND(ISNUMBER(G1467),P1467&lt;&gt;"Unresolved unit / layout"),G1467*K1467,"Not applicable")</x:f>
        <x:v>1.23</x:v>
      </x:c>
      <x:c r="M1467" s="8" t="str">
        <x:f aca="0">IF(AND(ISNUMBER(H1467),P1467&lt;&gt;"Unresolved unit / layout"),H1467*K1467,"Not applicable")</x:f>
        <x:v>Not applicable</x:v>
      </x:c>
      <x:c r="N1467" s="8" t="str">
        <x:f aca="0">IF(AND(ISNUMBER(I1467),P1467&lt;&gt;"Unresolved unit / layout"),I1467*K1467,"Not applicable")</x:f>
        <x:v>Not applicable</x:v>
      </x:c>
      <x:c r="O1467" s="7" t="s">
        <x:v>1942</x:v>
      </x:c>
      <x:c r="P1467" s="7" t="s">
        <x:v>1921</x:v>
      </x:c>
      <x:c r="Q1467" s="7" t="s">
        <x:v>2064</x:v>
      </x:c>
      <x:c r="R1467" s="7" t="s">
        <x:v>58</x:v>
      </x:c>
      <x:c r="S1467" s="7" t="s">
        <x:v>53</x:v>
      </x:c>
      <x:c r="T1467" s="7" t="s">
        <x:v>53</x:v>
      </x:c>
      <x:c r="U1467" s="7" t="s">
        <x:v>53</x:v>
      </x:c>
      <x:c r="V1467" s="7" t="s">
        <x:v>2458</x:v>
      </x:c>
      <x:c r="W1467" s="7" t="s">
        <x:v>58</x:v>
      </x:c>
      <x:c r="X1467" s="7" t="s">
        <x:v>53</x:v>
      </x:c>
      <x:c r="Y1467" s="7" t="s">
        <x:v>1343</x:v>
      </x:c>
      <x:c r="Z1467" s="7" t="s">
        <x:v>2459</x:v>
      </x:c>
      <x:c r="AA1467" s="7" t="s">
        <x:v>58</x:v>
      </x:c>
      <x:c r="AB1467" s="8" t="s">
        <x:v>58</x:v>
      </x:c>
      <x:c r="AC1467" s="8" t="s">
        <x:v>58</x:v>
      </x:c>
      <x:c r="AD1467" s="8" t="s">
        <x:v>58</x:v>
      </x:c>
      <x:c r="AE1467" s="8" t="s">
        <x:v>58</x:v>
      </x:c>
      <x:c r="AF1467" s="8" t="s">
        <x:v>58</x:v>
      </x:c>
      <x:c r="AG1467" s="7" t="s">
        <x:v>58</x:v>
      </x:c>
    </x:row>
    <x:row r="1468" ht="37.5" hidden="0" customHeight="1">
      <x:c r="A1468" s="7" t="s">
        <x:v>4790</x:v>
      </x:c>
      <x:c r="B1468" s="7" t="s">
        <x:v>878</x:v>
      </x:c>
      <x:c r="C1468" s="7" t="s">
        <x:v>880</x:v>
      </x:c>
      <x:c r="D1468" s="7" t="s">
        <x:v>1935</x:v>
      </x:c>
      <x:c r="E1468" s="7" t="s">
        <x:v>1995</x:v>
      </x:c>
      <x:c r="F1468" s="7" t="s">
        <x:v>53</x:v>
      </x:c>
      <x:c r="G1468" s="8" t="s">
        <x:v>53</x:v>
      </x:c>
      <x:c r="H1468" s="8" t="s">
        <x:v>58</x:v>
      </x:c>
      <x:c r="I1468" s="8" t="s">
        <x:v>58</x:v>
      </x:c>
      <x:c r="J1468" s="7" t="s">
        <x:v>58</x:v>
      </x:c>
      <x:c r="K1468" s="8" t="n">
        <x:v>1</x:v>
      </x:c>
      <x:c r="L1468" s="8" t="str">
        <x:f aca="0">IF(AND(ISNUMBER(G1468),P1468&lt;&gt;"Unresolved unit / layout"),G1468*K1468,"Not published")</x:f>
        <x:v>Not published</x:v>
      </x:c>
      <x:c r="M1468" s="8" t="str">
        <x:f aca="0">IF(AND(ISNUMBER(H1468),P1468&lt;&gt;"Unresolved unit / layout"),H1468*K1468,"Not applicable")</x:f>
        <x:v>Not applicable</x:v>
      </x:c>
      <x:c r="N1468" s="8" t="str">
        <x:f aca="0">IF(AND(ISNUMBER(I1468),P1468&lt;&gt;"Unresolved unit / layout"),I1468*K1468,"Not applicable")</x:f>
        <x:v>Not applicable</x:v>
      </x:c>
      <x:c r="O1468" s="7" t="s">
        <x:v>53</x:v>
      </x:c>
      <x:c r="P1468" s="7" t="s">
        <x:v>53</x:v>
      </x:c>
      <x:c r="Q1468" s="7" t="s">
        <x:v>2064</x:v>
      </x:c>
      <x:c r="R1468" s="7" t="s">
        <x:v>53</x:v>
      </x:c>
      <x:c r="S1468" s="7" t="s">
        <x:v>53</x:v>
      </x:c>
      <x:c r="T1468" s="7" t="s">
        <x:v>53</x:v>
      </x:c>
      <x:c r="U1468" s="7" t="s">
        <x:v>53</x:v>
      </x:c>
      <x:c r="V1468" s="7" t="s">
        <x:v>3594</x:v>
      </x:c>
      <x:c r="W1468" s="7" t="s">
        <x:v>58</x:v>
      </x:c>
      <x:c r="X1468" s="7" t="s">
        <x:v>53</x:v>
      </x:c>
      <x:c r="Y1468" s="7" t="s">
        <x:v>1343</x:v>
      </x:c>
      <x:c r="Z1468" s="7" t="s">
        <x:v>4713</x:v>
      </x:c>
      <x:c r="AA1468" s="7" t="s">
        <x:v>58</x:v>
      </x:c>
      <x:c r="AB1468" s="8" t="s">
        <x:v>58</x:v>
      </x:c>
      <x:c r="AC1468" s="8" t="s">
        <x:v>58</x:v>
      </x:c>
      <x:c r="AD1468" s="8" t="s">
        <x:v>58</x:v>
      </x:c>
      <x:c r="AE1468" s="8" t="s">
        <x:v>58</x:v>
      </x:c>
      <x:c r="AF1468" s="8" t="s">
        <x:v>58</x:v>
      </x:c>
      <x:c r="AG1468" s="7" t="s">
        <x:v>58</x:v>
      </x:c>
    </x:row>
    <x:row r="1469" ht="37.5" hidden="0" customHeight="1">
      <x:c r="A1469" s="7" t="s">
        <x:v>4791</x:v>
      </x:c>
      <x:c r="B1469" s="7" t="s">
        <x:v>878</x:v>
      </x:c>
      <x:c r="C1469" s="7" t="s">
        <x:v>880</x:v>
      </x:c>
      <x:c r="D1469" s="7" t="s">
        <x:v>2006</x:v>
      </x:c>
      <x:c r="E1469" s="7" t="s">
        <x:v>1995</x:v>
      </x:c>
      <x:c r="F1469" s="7" t="s">
        <x:v>53</x:v>
      </x:c>
      <x:c r="G1469" s="8" t="s">
        <x:v>53</x:v>
      </x:c>
      <x:c r="H1469" s="8" t="s">
        <x:v>58</x:v>
      </x:c>
      <x:c r="I1469" s="8" t="s">
        <x:v>58</x:v>
      </x:c>
      <x:c r="J1469" s="7" t="s">
        <x:v>58</x:v>
      </x:c>
      <x:c r="K1469" s="8" t="n">
        <x:v>1</x:v>
      </x:c>
      <x:c r="L1469" s="8" t="str">
        <x:f aca="0">IF(AND(ISNUMBER(G1469),P1469&lt;&gt;"Unresolved unit / layout"),G1469*K1469,"Not published")</x:f>
        <x:v>Not published</x:v>
      </x:c>
      <x:c r="M1469" s="8" t="str">
        <x:f aca="0">IF(AND(ISNUMBER(H1469),P1469&lt;&gt;"Unresolved unit / layout"),H1469*K1469,"Not applicable")</x:f>
        <x:v>Not applicable</x:v>
      </x:c>
      <x:c r="N1469" s="8" t="str">
        <x:f aca="0">IF(AND(ISNUMBER(I1469),P1469&lt;&gt;"Unresolved unit / layout"),I1469*K1469,"Not applicable")</x:f>
        <x:v>Not applicable</x:v>
      </x:c>
      <x:c r="O1469" s="7" t="s">
        <x:v>53</x:v>
      </x:c>
      <x:c r="P1469" s="7" t="s">
        <x:v>53</x:v>
      </x:c>
      <x:c r="Q1469" s="7" t="s">
        <x:v>2064</x:v>
      </x:c>
      <x:c r="R1469" s="7" t="s">
        <x:v>53</x:v>
      </x:c>
      <x:c r="S1469" s="7" t="s">
        <x:v>53</x:v>
      </x:c>
      <x:c r="T1469" s="7" t="s">
        <x:v>53</x:v>
      </x:c>
      <x:c r="U1469" s="7" t="s">
        <x:v>53</x:v>
      </x:c>
      <x:c r="V1469" s="7" t="s">
        <x:v>4715</x:v>
      </x:c>
      <x:c r="W1469" s="7" t="s">
        <x:v>58</x:v>
      </x:c>
      <x:c r="X1469" s="7" t="s">
        <x:v>53</x:v>
      </x:c>
      <x:c r="Y1469" s="7" t="s">
        <x:v>1343</x:v>
      </x:c>
      <x:c r="Z1469" s="7" t="s">
        <x:v>4716</x:v>
      </x:c>
      <x:c r="AA1469" s="7" t="s">
        <x:v>58</x:v>
      </x:c>
      <x:c r="AB1469" s="8" t="s">
        <x:v>58</x:v>
      </x:c>
      <x:c r="AC1469" s="8" t="s">
        <x:v>58</x:v>
      </x:c>
      <x:c r="AD1469" s="8" t="s">
        <x:v>58</x:v>
      </x:c>
      <x:c r="AE1469" s="8" t="s">
        <x:v>58</x:v>
      </x:c>
      <x:c r="AF1469" s="8" t="s">
        <x:v>58</x:v>
      </x:c>
      <x:c r="AG1469" s="7" t="s">
        <x:v>58</x:v>
      </x:c>
    </x:row>
    <x:row r="1470" ht="37.5" hidden="0" customHeight="1">
      <x:c r="A1470" s="7" t="s">
        <x:v>4792</x:v>
      </x:c>
      <x:c r="B1470" s="7" t="s">
        <x:v>878</x:v>
      </x:c>
      <x:c r="C1470" s="7" t="s">
        <x:v>880</x:v>
      </x:c>
      <x:c r="D1470" s="7" t="s">
        <x:v>1940</x:v>
      </x:c>
      <x:c r="E1470" s="7" t="s">
        <x:v>1995</x:v>
      </x:c>
      <x:c r="F1470" s="7" t="s">
        <x:v>1942</x:v>
      </x:c>
      <x:c r="G1470" s="8" t="s">
        <x:v>53</x:v>
      </x:c>
      <x:c r="H1470" s="8" t="s">
        <x:v>58</x:v>
      </x:c>
      <x:c r="I1470" s="8" t="s">
        <x:v>58</x:v>
      </x:c>
      <x:c r="J1470" s="7" t="s">
        <x:v>58</x:v>
      </x:c>
      <x:c r="K1470" s="8" t="n">
        <x:v>1</x:v>
      </x:c>
      <x:c r="L1470" s="8" t="str">
        <x:f aca="0">IF(AND(ISNUMBER(G1470),P1470&lt;&gt;"Unresolved unit / layout"),G1470*K1470,"Not published")</x:f>
        <x:v>Not published</x:v>
      </x:c>
      <x:c r="M1470" s="8" t="str">
        <x:f aca="0">IF(AND(ISNUMBER(H1470),P1470&lt;&gt;"Unresolved unit / layout"),H1470*K1470,"Not applicable")</x:f>
        <x:v>Not applicable</x:v>
      </x:c>
      <x:c r="N1470" s="8" t="str">
        <x:f aca="0">IF(AND(ISNUMBER(I1470),P1470&lt;&gt;"Unresolved unit / layout"),I1470*K1470,"Not applicable")</x:f>
        <x:v>Not applicable</x:v>
      </x:c>
      <x:c r="O1470" s="7" t="s">
        <x:v>1942</x:v>
      </x:c>
      <x:c r="P1470" s="7" t="s">
        <x:v>53</x:v>
      </x:c>
      <x:c r="Q1470" s="7" t="s">
        <x:v>2064</x:v>
      </x:c>
      <x:c r="R1470" s="7" t="s">
        <x:v>53</x:v>
      </x:c>
      <x:c r="S1470" s="7" t="s">
        <x:v>53</x:v>
      </x:c>
      <x:c r="T1470" s="7" t="s">
        <x:v>53</x:v>
      </x:c>
      <x:c r="U1470" s="7" t="s">
        <x:v>53</x:v>
      </x:c>
      <x:c r="V1470" s="7" t="s">
        <x:v>4718</x:v>
      </x:c>
      <x:c r="W1470" s="7" t="s">
        <x:v>58</x:v>
      </x:c>
      <x:c r="X1470" s="7" t="s">
        <x:v>53</x:v>
      </x:c>
      <x:c r="Y1470" s="7" t="s">
        <x:v>1343</x:v>
      </x:c>
      <x:c r="Z1470" s="7" t="s">
        <x:v>4719</x:v>
      </x:c>
      <x:c r="AA1470" s="7" t="s">
        <x:v>58</x:v>
      </x:c>
      <x:c r="AB1470" s="8" t="s">
        <x:v>58</x:v>
      </x:c>
      <x:c r="AC1470" s="8" t="s">
        <x:v>58</x:v>
      </x:c>
      <x:c r="AD1470" s="8" t="s">
        <x:v>58</x:v>
      </x:c>
      <x:c r="AE1470" s="8" t="s">
        <x:v>58</x:v>
      </x:c>
      <x:c r="AF1470" s="8" t="s">
        <x:v>58</x:v>
      </x:c>
      <x:c r="AG1470" s="7" t="s">
        <x:v>58</x:v>
      </x:c>
    </x:row>
    <x:row r="1471" ht="37.5" hidden="0" customHeight="1">
      <x:c r="A1471" s="7" t="s">
        <x:v>4793</x:v>
      </x:c>
      <x:c r="B1471" s="7" t="s">
        <x:v>878</x:v>
      </x:c>
      <x:c r="C1471" s="7" t="s">
        <x:v>880</x:v>
      </x:c>
      <x:c r="D1471" s="7" t="s">
        <x:v>1950</x:v>
      </x:c>
      <x:c r="E1471" s="7" t="s">
        <x:v>1995</x:v>
      </x:c>
      <x:c r="F1471" s="7" t="s">
        <x:v>53</x:v>
      </x:c>
      <x:c r="G1471" s="8" t="s">
        <x:v>53</x:v>
      </x:c>
      <x:c r="H1471" s="8" t="s">
        <x:v>58</x:v>
      </x:c>
      <x:c r="I1471" s="8" t="s">
        <x:v>58</x:v>
      </x:c>
      <x:c r="J1471" s="7" t="s">
        <x:v>58</x:v>
      </x:c>
      <x:c r="K1471" s="8" t="n">
        <x:v>1</x:v>
      </x:c>
      <x:c r="L1471" s="8" t="str">
        <x:f aca="0">IF(AND(ISNUMBER(G1471),P1471&lt;&gt;"Unresolved unit / layout"),G1471*K1471,"Not published")</x:f>
        <x:v>Not published</x:v>
      </x:c>
      <x:c r="M1471" s="8" t="str">
        <x:f aca="0">IF(AND(ISNUMBER(H1471),P1471&lt;&gt;"Unresolved unit / layout"),H1471*K1471,"Not applicable")</x:f>
        <x:v>Not applicable</x:v>
      </x:c>
      <x:c r="N1471" s="8" t="str">
        <x:f aca="0">IF(AND(ISNUMBER(I1471),P1471&lt;&gt;"Unresolved unit / layout"),I1471*K1471,"Not applicable")</x:f>
        <x:v>Not applicable</x:v>
      </x:c>
      <x:c r="O1471" s="7" t="s">
        <x:v>53</x:v>
      </x:c>
      <x:c r="P1471" s="7" t="s">
        <x:v>53</x:v>
      </x:c>
      <x:c r="Q1471" s="7" t="s">
        <x:v>2064</x:v>
      </x:c>
      <x:c r="R1471" s="7" t="s">
        <x:v>53</x:v>
      </x:c>
      <x:c r="S1471" s="7" t="s">
        <x:v>53</x:v>
      </x:c>
      <x:c r="T1471" s="7" t="s">
        <x:v>53</x:v>
      </x:c>
      <x:c r="U1471" s="7" t="s">
        <x:v>53</x:v>
      </x:c>
      <x:c r="V1471" s="7" t="s">
        <x:v>3594</x:v>
      </x:c>
      <x:c r="W1471" s="7" t="s">
        <x:v>58</x:v>
      </x:c>
      <x:c r="X1471" s="7" t="s">
        <x:v>53</x:v>
      </x:c>
      <x:c r="Y1471" s="7" t="s">
        <x:v>1343</x:v>
      </x:c>
      <x:c r="Z1471" s="7" t="s">
        <x:v>3595</x:v>
      </x:c>
      <x:c r="AA1471" s="7" t="s">
        <x:v>58</x:v>
      </x:c>
      <x:c r="AB1471" s="8" t="s">
        <x:v>58</x:v>
      </x:c>
      <x:c r="AC1471" s="8" t="s">
        <x:v>58</x:v>
      </x:c>
      <x:c r="AD1471" s="8" t="s">
        <x:v>58</x:v>
      </x:c>
      <x:c r="AE1471" s="8" t="s">
        <x:v>58</x:v>
      </x:c>
      <x:c r="AF1471" s="8" t="s">
        <x:v>58</x:v>
      </x:c>
      <x:c r="AG1471" s="7" t="s">
        <x:v>58</x:v>
      </x:c>
    </x:row>
    <x:row r="1472" ht="37.5" hidden="0" customHeight="1">
      <x:c r="A1472" s="7" t="s">
        <x:v>4794</x:v>
      </x:c>
      <x:c r="B1472" s="7" t="s">
        <x:v>878</x:v>
      </x:c>
      <x:c r="C1472" s="7" t="s">
        <x:v>880</x:v>
      </x:c>
      <x:c r="D1472" s="7" t="s">
        <x:v>3357</x:v>
      </x:c>
      <x:c r="E1472" s="7" t="s">
        <x:v>1995</x:v>
      </x:c>
      <x:c r="F1472" s="7" t="s">
        <x:v>53</x:v>
      </x:c>
      <x:c r="G1472" s="8" t="s">
        <x:v>53</x:v>
      </x:c>
      <x:c r="H1472" s="8" t="s">
        <x:v>58</x:v>
      </x:c>
      <x:c r="I1472" s="8" t="s">
        <x:v>58</x:v>
      </x:c>
      <x:c r="J1472" s="7" t="s">
        <x:v>58</x:v>
      </x:c>
      <x:c r="K1472" s="8" t="n">
        <x:v>1</x:v>
      </x:c>
      <x:c r="L1472" s="8" t="str">
        <x:f aca="0">IF(AND(ISNUMBER(G1472),P1472&lt;&gt;"Unresolved unit / layout"),G1472*K1472,"Not published")</x:f>
        <x:v>Not published</x:v>
      </x:c>
      <x:c r="M1472" s="8" t="str">
        <x:f aca="0">IF(AND(ISNUMBER(H1472),P1472&lt;&gt;"Unresolved unit / layout"),H1472*K1472,"Not applicable")</x:f>
        <x:v>Not applicable</x:v>
      </x:c>
      <x:c r="N1472" s="8" t="str">
        <x:f aca="0">IF(AND(ISNUMBER(I1472),P1472&lt;&gt;"Unresolved unit / layout"),I1472*K1472,"Not applicable")</x:f>
        <x:v>Not applicable</x:v>
      </x:c>
      <x:c r="O1472" s="7" t="s">
        <x:v>53</x:v>
      </x:c>
      <x:c r="P1472" s="7" t="s">
        <x:v>53</x:v>
      </x:c>
      <x:c r="Q1472" s="7" t="s">
        <x:v>2064</x:v>
      </x:c>
      <x:c r="R1472" s="7" t="s">
        <x:v>53</x:v>
      </x:c>
      <x:c r="S1472" s="7" t="s">
        <x:v>53</x:v>
      </x:c>
      <x:c r="T1472" s="7" t="s">
        <x:v>53</x:v>
      </x:c>
      <x:c r="U1472" s="7" t="s">
        <x:v>53</x:v>
      </x:c>
      <x:c r="V1472" s="7" t="s">
        <x:v>4722</x:v>
      </x:c>
      <x:c r="W1472" s="7" t="s">
        <x:v>53</x:v>
      </x:c>
      <x:c r="X1472" s="7" t="s">
        <x:v>53</x:v>
      </x:c>
      <x:c r="Y1472" s="7" t="s">
        <x:v>1343</x:v>
      </x:c>
      <x:c r="Z1472" s="7" t="s">
        <x:v>4723</x:v>
      </x:c>
      <x:c r="AA1472" s="7" t="s">
        <x:v>58</x:v>
      </x:c>
      <x:c r="AB1472" s="8" t="s">
        <x:v>58</x:v>
      </x:c>
      <x:c r="AC1472" s="8" t="s">
        <x:v>58</x:v>
      </x:c>
      <x:c r="AD1472" s="8" t="s">
        <x:v>58</x:v>
      </x:c>
      <x:c r="AE1472" s="8" t="s">
        <x:v>58</x:v>
      </x:c>
      <x:c r="AF1472" s="8" t="s">
        <x:v>58</x:v>
      </x:c>
      <x:c r="AG1472" s="7" t="s">
        <x:v>58</x:v>
      </x:c>
    </x:row>
    <x:row r="1473" ht="51.75" hidden="0" customHeight="1">
      <x:c r="A1473" s="7" t="s">
        <x:v>4795</x:v>
      </x:c>
      <x:c r="B1473" s="7" t="s">
        <x:v>884</x:v>
      </x:c>
      <x:c r="C1473" s="7" t="s">
        <x:v>887</x:v>
      </x:c>
      <x:c r="D1473" s="7" t="s">
        <x:v>1916</x:v>
      </x:c>
      <x:c r="E1473" s="7" t="s">
        <x:v>4796</x:v>
      </x:c>
      <x:c r="F1473" s="7" t="s">
        <x:v>1918</x:v>
      </x:c>
      <x:c r="G1473" s="8" t="n">
        <x:v>1.04</x:v>
      </x:c>
      <x:c r="H1473" s="8" t="s">
        <x:v>58</x:v>
      </x:c>
      <x:c r="I1473" s="8" t="s">
        <x:v>58</x:v>
      </x:c>
      <x:c r="J1473" s="7" t="s">
        <x:v>1919</x:v>
      </x:c>
      <x:c r="K1473" s="8" t="n">
        <x:v>1000</x:v>
      </x:c>
      <x:c r="L1473" s="8" t="n">
        <x:f aca="0">IF(AND(ISNUMBER(G1473),P1473&lt;&gt;"Unresolved unit / layout"),G1473*K1473,"Not applicable")</x:f>
        <x:v>1040</x:v>
      </x:c>
      <x:c r="M1473" s="8" t="str">
        <x:f aca="0">IF(AND(ISNUMBER(H1473),P1473&lt;&gt;"Unresolved unit / layout"),H1473*K1473,"Not applicable")</x:f>
        <x:v>Not applicable</x:v>
      </x:c>
      <x:c r="N1473" s="8" t="str">
        <x:f aca="0">IF(AND(ISNUMBER(I1473),P1473&lt;&gt;"Unresolved unit / layout"),I1473*K1473,"Not applicable")</x:f>
        <x:v>Not applicable</x:v>
      </x:c>
      <x:c r="O1473" s="7" t="s">
        <x:v>1920</x:v>
      </x:c>
      <x:c r="P1473" s="7" t="s">
        <x:v>1921</x:v>
      </x:c>
      <x:c r="Q1473" s="7" t="s">
        <x:v>1922</x:v>
      </x:c>
      <x:c r="R1473" s="7" t="s">
        <x:v>58</x:v>
      </x:c>
      <x:c r="S1473" s="7" t="s">
        <x:v>53</x:v>
      </x:c>
      <x:c r="T1473" s="7" t="s">
        <x:v>53</x:v>
      </x:c>
      <x:c r="U1473" s="7" t="s">
        <x:v>53</x:v>
      </x:c>
      <x:c r="V1473" s="7" t="s">
        <x:v>1923</x:v>
      </x:c>
      <x:c r="W1473" s="7" t="s">
        <x:v>58</x:v>
      </x:c>
      <x:c r="X1473" s="7" t="s">
        <x:v>4797</x:v>
      </x:c>
      <x:c r="Y1473" s="7" t="s">
        <x:v>1346</x:v>
      </x:c>
      <x:c r="Z1473" s="7" t="s">
        <x:v>1925</x:v>
      </x:c>
      <x:c r="AA1473" s="7" t="s">
        <x:v>58</x:v>
      </x:c>
      <x:c r="AB1473" s="8" t="s">
        <x:v>58</x:v>
      </x:c>
      <x:c r="AC1473" s="8" t="s">
        <x:v>58</x:v>
      </x:c>
      <x:c r="AD1473" s="8" t="s">
        <x:v>58</x:v>
      </x:c>
      <x:c r="AE1473" s="8" t="s">
        <x:v>58</x:v>
      </x:c>
      <x:c r="AF1473" s="8" t="s">
        <x:v>58</x:v>
      </x:c>
      <x:c r="AG1473" s="7" t="s">
        <x:v>58</x:v>
      </x:c>
    </x:row>
    <x:row r="1474" ht="51.75" hidden="0" customHeight="1">
      <x:c r="A1474" s="7" t="s">
        <x:v>4798</x:v>
      </x:c>
      <x:c r="B1474" s="7" t="s">
        <x:v>884</x:v>
      </x:c>
      <x:c r="C1474" s="7" t="s">
        <x:v>887</x:v>
      </x:c>
      <x:c r="D1474" s="7" t="s">
        <x:v>1927</x:v>
      </x:c>
      <x:c r="E1474" s="7" t="s">
        <x:v>4799</x:v>
      </x:c>
      <x:c r="F1474" s="7" t="s">
        <x:v>1929</x:v>
      </x:c>
      <x:c r="G1474" s="8" t="n">
        <x:v>40</x:v>
      </x:c>
      <x:c r="H1474" s="8" t="s">
        <x:v>58</x:v>
      </x:c>
      <x:c r="I1474" s="8" t="s">
        <x:v>58</x:v>
      </x:c>
      <x:c r="J1474" s="7" t="s">
        <x:v>1919</x:v>
      </x:c>
      <x:c r="K1474" s="8" t="n">
        <x:v>1</x:v>
      </x:c>
      <x:c r="L1474" s="8" t="n">
        <x:f aca="0">IF(AND(ISNUMBER(G1474),P1474&lt;&gt;"Unresolved unit / layout"),G1474*K1474,"Not applicable")</x:f>
        <x:v>40</x:v>
      </x:c>
      <x:c r="M1474" s="8" t="str">
        <x:f aca="0">IF(AND(ISNUMBER(H1474),P1474&lt;&gt;"Unresolved unit / layout"),H1474*K1474,"Not applicable")</x:f>
        <x:v>Not applicable</x:v>
      </x:c>
      <x:c r="N1474" s="8" t="str">
        <x:f aca="0">IF(AND(ISNUMBER(I1474),P1474&lt;&gt;"Unresolved unit / layout"),I1474*K1474,"Not applicable")</x:f>
        <x:v>Not applicable</x:v>
      </x:c>
      <x:c r="O1474" s="7" t="s">
        <x:v>1929</x:v>
      </x:c>
      <x:c r="P1474" s="7" t="s">
        <x:v>1921</x:v>
      </x:c>
      <x:c r="Q1474" s="7" t="s">
        <x:v>1930</x:v>
      </x:c>
      <x:c r="R1474" s="7" t="s">
        <x:v>1931</x:v>
      </x:c>
      <x:c r="S1474" s="7" t="s">
        <x:v>53</x:v>
      </x:c>
      <x:c r="T1474" s="7" t="s">
        <x:v>53</x:v>
      </x:c>
      <x:c r="U1474" s="7" t="s">
        <x:v>53</x:v>
      </x:c>
      <x:c r="V1474" s="7" t="s">
        <x:v>1932</x:v>
      </x:c>
      <x:c r="W1474" s="7" t="s">
        <x:v>58</x:v>
      </x:c>
      <x:c r="X1474" s="7" t="s">
        <x:v>4797</x:v>
      </x:c>
      <x:c r="Y1474" s="7" t="s">
        <x:v>1346</x:v>
      </x:c>
      <x:c r="Z1474" s="7" t="s">
        <x:v>1933</x:v>
      </x:c>
      <x:c r="AA1474" s="7" t="s">
        <x:v>58</x:v>
      </x:c>
      <x:c r="AB1474" s="8" t="s">
        <x:v>58</x:v>
      </x:c>
      <x:c r="AC1474" s="8" t="s">
        <x:v>58</x:v>
      </x:c>
      <x:c r="AD1474" s="8" t="s">
        <x:v>58</x:v>
      </x:c>
      <x:c r="AE1474" s="8" t="s">
        <x:v>58</x:v>
      </x:c>
      <x:c r="AF1474" s="8" t="s">
        <x:v>58</x:v>
      </x:c>
      <x:c r="AG1474" s="7" t="s">
        <x:v>58</x:v>
      </x:c>
    </x:row>
    <x:row r="1475" ht="51.75" hidden="0" customHeight="1">
      <x:c r="A1475" s="7" t="s">
        <x:v>4800</x:v>
      </x:c>
      <x:c r="B1475" s="7" t="s">
        <x:v>884</x:v>
      </x:c>
      <x:c r="C1475" s="7" t="s">
        <x:v>887</x:v>
      </x:c>
      <x:c r="D1475" s="7" t="s">
        <x:v>1935</x:v>
      </x:c>
      <x:c r="E1475" s="7" t="s">
        <x:v>4801</x:v>
      </x:c>
      <x:c r="F1475" s="7" t="s">
        <x:v>1929</x:v>
      </x:c>
      <x:c r="G1475" s="8" t="n">
        <x:v>1350</x:v>
      </x:c>
      <x:c r="H1475" s="8" t="s">
        <x:v>58</x:v>
      </x:c>
      <x:c r="I1475" s="8" t="s">
        <x:v>58</x:v>
      </x:c>
      <x:c r="J1475" s="7" t="s">
        <x:v>1919</x:v>
      </x:c>
      <x:c r="K1475" s="8" t="n">
        <x:v>0.001</x:v>
      </x:c>
      <x:c r="L1475" s="8" t="n">
        <x:f aca="0">IF(AND(ISNUMBER(G1475),P1475&lt;&gt;"Unresolved unit / layout"),G1475*K1475,"Not applicable")</x:f>
        <x:v>1.35</x:v>
      </x:c>
      <x:c r="M1475" s="8" t="str">
        <x:f aca="0">IF(AND(ISNUMBER(H1475),P1475&lt;&gt;"Unresolved unit / layout"),H1475*K1475,"Not applicable")</x:f>
        <x:v>Not applicable</x:v>
      </x:c>
      <x:c r="N1475" s="8" t="str">
        <x:f aca="0">IF(AND(ISNUMBER(I1475),P1475&lt;&gt;"Unresolved unit / layout"),I1475*K1475,"Not applicable")</x:f>
        <x:v>Not applicable</x:v>
      </x:c>
      <x:c r="O1475" s="7" t="s">
        <x:v>1937</x:v>
      </x:c>
      <x:c r="P1475" s="7" t="s">
        <x:v>1921</x:v>
      </x:c>
      <x:c r="Q1475" s="7" t="s">
        <x:v>1930</x:v>
      </x:c>
      <x:c r="R1475" s="7" t="s">
        <x:v>1931</x:v>
      </x:c>
      <x:c r="S1475" s="7" t="s">
        <x:v>53</x:v>
      </x:c>
      <x:c r="T1475" s="7" t="s">
        <x:v>53</x:v>
      </x:c>
      <x:c r="U1475" s="7" t="s">
        <x:v>53</x:v>
      </x:c>
      <x:c r="V1475" s="7" t="s">
        <x:v>1932</x:v>
      </x:c>
      <x:c r="W1475" s="7" t="s">
        <x:v>58</x:v>
      </x:c>
      <x:c r="X1475" s="7" t="s">
        <x:v>4797</x:v>
      </x:c>
      <x:c r="Y1475" s="7" t="s">
        <x:v>1346</x:v>
      </x:c>
      <x:c r="Z1475" s="7" t="s">
        <x:v>1938</x:v>
      </x:c>
      <x:c r="AA1475" s="7" t="s">
        <x:v>58</x:v>
      </x:c>
      <x:c r="AB1475" s="8" t="s">
        <x:v>58</x:v>
      </x:c>
      <x:c r="AC1475" s="8" t="s">
        <x:v>58</x:v>
      </x:c>
      <x:c r="AD1475" s="8" t="s">
        <x:v>58</x:v>
      </x:c>
      <x:c r="AE1475" s="8" t="s">
        <x:v>58</x:v>
      </x:c>
      <x:c r="AF1475" s="8" t="s">
        <x:v>58</x:v>
      </x:c>
      <x:c r="AG1475" s="7" t="s">
        <x:v>58</x:v>
      </x:c>
    </x:row>
    <x:row r="1476" ht="51.75" hidden="0" customHeight="1">
      <x:c r="A1476" s="7" t="s">
        <x:v>4802</x:v>
      </x:c>
      <x:c r="B1476" s="7" t="s">
        <x:v>884</x:v>
      </x:c>
      <x:c r="C1476" s="7" t="s">
        <x:v>887</x:v>
      </x:c>
      <x:c r="D1476" s="7" t="s">
        <x:v>1940</x:v>
      </x:c>
      <x:c r="E1476" s="7" t="s">
        <x:v>4576</x:v>
      </x:c>
      <x:c r="F1476" s="7" t="s">
        <x:v>1942</x:v>
      </x:c>
      <x:c r="G1476" s="8" t="n">
        <x:v>18</x:v>
      </x:c>
      <x:c r="H1476" s="8" t="s">
        <x:v>58</x:v>
      </x:c>
      <x:c r="I1476" s="8" t="s">
        <x:v>58</x:v>
      </x:c>
      <x:c r="J1476" s="7" t="s">
        <x:v>1919</x:v>
      </x:c>
      <x:c r="K1476" s="8" t="n">
        <x:v>1</x:v>
      </x:c>
      <x:c r="L1476" s="8" t="n">
        <x:f aca="0">IF(AND(ISNUMBER(G1476),P1476&lt;&gt;"Unresolved unit / layout"),G1476*K1476,"Not applicable")</x:f>
        <x:v>18</x:v>
      </x:c>
      <x:c r="M1476" s="8" t="str">
        <x:f aca="0">IF(AND(ISNUMBER(H1476),P1476&lt;&gt;"Unresolved unit / layout"),H1476*K1476,"Not applicable")</x:f>
        <x:v>Not applicable</x:v>
      </x:c>
      <x:c r="N1476" s="8" t="str">
        <x:f aca="0">IF(AND(ISNUMBER(I1476),P1476&lt;&gt;"Unresolved unit / layout"),I1476*K1476,"Not applicable")</x:f>
        <x:v>Not applicable</x:v>
      </x:c>
      <x:c r="O1476" s="7" t="s">
        <x:v>1942</x:v>
      </x:c>
      <x:c r="P1476" s="7" t="s">
        <x:v>1921</x:v>
      </x:c>
      <x:c r="Q1476" s="7" t="s">
        <x:v>1930</x:v>
      </x:c>
      <x:c r="R1476" s="7" t="s">
        <x:v>1931</x:v>
      </x:c>
      <x:c r="S1476" s="7" t="s">
        <x:v>53</x:v>
      </x:c>
      <x:c r="T1476" s="7" t="s">
        <x:v>53</x:v>
      </x:c>
      <x:c r="U1476" s="7" t="s">
        <x:v>53</x:v>
      </x:c>
      <x:c r="V1476" s="7" t="s">
        <x:v>1932</x:v>
      </x:c>
      <x:c r="W1476" s="7" t="s">
        <x:v>58</x:v>
      </x:c>
      <x:c r="X1476" s="7" t="s">
        <x:v>4797</x:v>
      </x:c>
      <x:c r="Y1476" s="7" t="s">
        <x:v>1346</x:v>
      </x:c>
      <x:c r="Z1476" s="7" t="s">
        <x:v>1943</x:v>
      </x:c>
      <x:c r="AA1476" s="7" t="s">
        <x:v>58</x:v>
      </x:c>
      <x:c r="AB1476" s="8" t="s">
        <x:v>58</x:v>
      </x:c>
      <x:c r="AC1476" s="8" t="s">
        <x:v>58</x:v>
      </x:c>
      <x:c r="AD1476" s="8" t="s">
        <x:v>58</x:v>
      </x:c>
      <x:c r="AE1476" s="8" t="s">
        <x:v>58</x:v>
      </x:c>
      <x:c r="AF1476" s="8" t="s">
        <x:v>58</x:v>
      </x:c>
      <x:c r="AG1476" s="7" t="s">
        <x:v>58</x:v>
      </x:c>
    </x:row>
    <x:row r="1477" ht="51.75" hidden="0" customHeight="1">
      <x:c r="A1477" s="7" t="s">
        <x:v>4803</x:v>
      </x:c>
      <x:c r="B1477" s="7" t="s">
        <x:v>884</x:v>
      </x:c>
      <x:c r="C1477" s="7" t="s">
        <x:v>887</x:v>
      </x:c>
      <x:c r="D1477" s="7" t="s">
        <x:v>1945</x:v>
      </x:c>
      <x:c r="E1477" s="7" t="s">
        <x:v>2767</x:v>
      </x:c>
      <x:c r="F1477" s="7" t="s">
        <x:v>1929</x:v>
      </x:c>
      <x:c r="G1477" s="8" t="n">
        <x:v>70</x:v>
      </x:c>
      <x:c r="H1477" s="8" t="s">
        <x:v>58</x:v>
      </x:c>
      <x:c r="I1477" s="8" t="s">
        <x:v>58</x:v>
      </x:c>
      <x:c r="J1477" s="7" t="s">
        <x:v>1919</x:v>
      </x:c>
      <x:c r="K1477" s="8" t="n">
        <x:v>1</x:v>
      </x:c>
      <x:c r="L1477" s="8" t="n">
        <x:f aca="0">IF(AND(ISNUMBER(G1477),P1477&lt;&gt;"Unresolved unit / layout"),G1477*K1477,"Not applicable")</x:f>
        <x:v>70</x:v>
      </x:c>
      <x:c r="M1477" s="8" t="str">
        <x:f aca="0">IF(AND(ISNUMBER(H1477),P1477&lt;&gt;"Unresolved unit / layout"),H1477*K1477,"Not applicable")</x:f>
        <x:v>Not applicable</x:v>
      </x:c>
      <x:c r="N1477" s="8" t="str">
        <x:f aca="0">IF(AND(ISNUMBER(I1477),P1477&lt;&gt;"Unresolved unit / layout"),I1477*K1477,"Not applicable")</x:f>
        <x:v>Not applicable</x:v>
      </x:c>
      <x:c r="O1477" s="7" t="s">
        <x:v>1929</x:v>
      </x:c>
      <x:c r="P1477" s="7" t="s">
        <x:v>1921</x:v>
      </x:c>
      <x:c r="Q1477" s="7" t="s">
        <x:v>1930</x:v>
      </x:c>
      <x:c r="R1477" s="7" t="s">
        <x:v>1931</x:v>
      </x:c>
      <x:c r="S1477" s="7" t="s">
        <x:v>53</x:v>
      </x:c>
      <x:c r="T1477" s="7" t="s">
        <x:v>53</x:v>
      </x:c>
      <x:c r="U1477" s="7" t="s">
        <x:v>53</x:v>
      </x:c>
      <x:c r="V1477" s="7" t="s">
        <x:v>1947</x:v>
      </x:c>
      <x:c r="W1477" s="7" t="s">
        <x:v>58</x:v>
      </x:c>
      <x:c r="X1477" s="7" t="s">
        <x:v>4797</x:v>
      </x:c>
      <x:c r="Y1477" s="7" t="s">
        <x:v>1346</x:v>
      </x:c>
      <x:c r="Z1477" s="7" t="s">
        <x:v>1948</x:v>
      </x:c>
      <x:c r="AA1477" s="7" t="s">
        <x:v>58</x:v>
      </x:c>
      <x:c r="AB1477" s="8" t="s">
        <x:v>58</x:v>
      </x:c>
      <x:c r="AC1477" s="8" t="s">
        <x:v>58</x:v>
      </x:c>
      <x:c r="AD1477" s="8" t="s">
        <x:v>58</x:v>
      </x:c>
      <x:c r="AE1477" s="8" t="s">
        <x:v>58</x:v>
      </x:c>
      <x:c r="AF1477" s="8" t="s">
        <x:v>58</x:v>
      </x:c>
      <x:c r="AG1477" s="7" t="s">
        <x:v>58</x:v>
      </x:c>
    </x:row>
    <x:row r="1478" ht="51.75" hidden="0" customHeight="1">
      <x:c r="A1478" s="7" t="s">
        <x:v>4804</x:v>
      </x:c>
      <x:c r="B1478" s="7" t="s">
        <x:v>884</x:v>
      </x:c>
      <x:c r="C1478" s="7" t="s">
        <x:v>887</x:v>
      </x:c>
      <x:c r="D1478" s="7" t="s">
        <x:v>1950</x:v>
      </x:c>
      <x:c r="E1478" s="7" t="s">
        <x:v>4805</x:v>
      </x:c>
      <x:c r="F1478" s="7" t="s">
        <x:v>1929</x:v>
      </x:c>
      <x:c r="G1478" s="8" t="n">
        <x:v>1600</x:v>
      </x:c>
      <x:c r="H1478" s="8" t="s">
        <x:v>58</x:v>
      </x:c>
      <x:c r="I1478" s="8" t="s">
        <x:v>58</x:v>
      </x:c>
      <x:c r="J1478" s="7" t="s">
        <x:v>1919</x:v>
      </x:c>
      <x:c r="K1478" s="8" t="n">
        <x:v>0.001</x:v>
      </x:c>
      <x:c r="L1478" s="8" t="n">
        <x:f aca="0">IF(AND(ISNUMBER(G1478),P1478&lt;&gt;"Unresolved unit / layout"),G1478*K1478,"Not applicable")</x:f>
        <x:v>1.6</x:v>
      </x:c>
      <x:c r="M1478" s="8" t="str">
        <x:f aca="0">IF(AND(ISNUMBER(H1478),P1478&lt;&gt;"Unresolved unit / layout"),H1478*K1478,"Not applicable")</x:f>
        <x:v>Not applicable</x:v>
      </x:c>
      <x:c r="N1478" s="8" t="str">
        <x:f aca="0">IF(AND(ISNUMBER(I1478),P1478&lt;&gt;"Unresolved unit / layout"),I1478*K1478,"Not applicable")</x:f>
        <x:v>Not applicable</x:v>
      </x:c>
      <x:c r="O1478" s="7" t="s">
        <x:v>1937</x:v>
      </x:c>
      <x:c r="P1478" s="7" t="s">
        <x:v>1921</x:v>
      </x:c>
      <x:c r="Q1478" s="7" t="s">
        <x:v>1930</x:v>
      </x:c>
      <x:c r="R1478" s="7" t="s">
        <x:v>1931</x:v>
      </x:c>
      <x:c r="S1478" s="7" t="s">
        <x:v>53</x:v>
      </x:c>
      <x:c r="T1478" s="7" t="s">
        <x:v>53</x:v>
      </x:c>
      <x:c r="U1478" s="7" t="s">
        <x:v>53</x:v>
      </x:c>
      <x:c r="V1478" s="7" t="s">
        <x:v>1947</x:v>
      </x:c>
      <x:c r="W1478" s="7" t="s">
        <x:v>58</x:v>
      </x:c>
      <x:c r="X1478" s="7" t="s">
        <x:v>4797</x:v>
      </x:c>
      <x:c r="Y1478" s="7" t="s">
        <x:v>1346</x:v>
      </x:c>
      <x:c r="Z1478" s="7" t="s">
        <x:v>1952</x:v>
      </x:c>
      <x:c r="AA1478" s="7" t="s">
        <x:v>58</x:v>
      </x:c>
      <x:c r="AB1478" s="8" t="s">
        <x:v>58</x:v>
      </x:c>
      <x:c r="AC1478" s="8" t="s">
        <x:v>58</x:v>
      </x:c>
      <x:c r="AD1478" s="8" t="s">
        <x:v>58</x:v>
      </x:c>
      <x:c r="AE1478" s="8" t="s">
        <x:v>58</x:v>
      </x:c>
      <x:c r="AF1478" s="8" t="s">
        <x:v>58</x:v>
      </x:c>
      <x:c r="AG1478" s="7" t="s">
        <x:v>58</x:v>
      </x:c>
    </x:row>
    <x:row r="1479" ht="51.75" hidden="0" customHeight="1">
      <x:c r="A1479" s="7" t="s">
        <x:v>4806</x:v>
      </x:c>
      <x:c r="B1479" s="7" t="s">
        <x:v>884</x:v>
      </x:c>
      <x:c r="C1479" s="7" t="s">
        <x:v>887</x:v>
      </x:c>
      <x:c r="D1479" s="7" t="s">
        <x:v>1954</x:v>
      </x:c>
      <x:c r="E1479" s="7" t="s">
        <x:v>3801</x:v>
      </x:c>
      <x:c r="F1479" s="7" t="s">
        <x:v>1956</x:v>
      </x:c>
      <x:c r="G1479" s="8" t="n">
        <x:v>100</x:v>
      </x:c>
      <x:c r="H1479" s="8" t="s">
        <x:v>58</x:v>
      </x:c>
      <x:c r="I1479" s="8" t="s">
        <x:v>58</x:v>
      </x:c>
      <x:c r="J1479" s="7" t="s">
        <x:v>1919</x:v>
      </x:c>
      <x:c r="K1479" s="8" t="n">
        <x:v>1</x:v>
      </x:c>
      <x:c r="L1479" s="8" t="n">
        <x:f aca="0">IF(AND(ISNUMBER(G1479),P1479&lt;&gt;"Unresolved unit / layout"),G1479*K1479,"Not applicable")</x:f>
        <x:v>100</x:v>
      </x:c>
      <x:c r="M1479" s="8" t="str">
        <x:f aca="0">IF(AND(ISNUMBER(H1479),P1479&lt;&gt;"Unresolved unit / layout"),H1479*K1479,"Not applicable")</x:f>
        <x:v>Not applicable</x:v>
      </x:c>
      <x:c r="N1479" s="8" t="str">
        <x:f aca="0">IF(AND(ISNUMBER(I1479),P1479&lt;&gt;"Unresolved unit / layout"),I1479*K1479,"Not applicable")</x:f>
        <x:v>Not applicable</x:v>
      </x:c>
      <x:c r="O1479" s="7" t="s">
        <x:v>1956</x:v>
      </x:c>
      <x:c r="P1479" s="7" t="s">
        <x:v>1921</x:v>
      </x:c>
      <x:c r="Q1479" s="7" t="s">
        <x:v>1930</x:v>
      </x:c>
      <x:c r="R1479" s="7" t="s">
        <x:v>58</x:v>
      </x:c>
      <x:c r="S1479" s="7" t="s">
        <x:v>53</x:v>
      </x:c>
      <x:c r="T1479" s="7" t="s">
        <x:v>53</x:v>
      </x:c>
      <x:c r="U1479" s="7" t="s">
        <x:v>53</x:v>
      </x:c>
      <x:c r="V1479" s="7" t="s">
        <x:v>1957</x:v>
      </x:c>
      <x:c r="W1479" s="7" t="s">
        <x:v>58</x:v>
      </x:c>
      <x:c r="X1479" s="7" t="s">
        <x:v>4797</x:v>
      </x:c>
      <x:c r="Y1479" s="7" t="s">
        <x:v>1346</x:v>
      </x:c>
      <x:c r="Z1479" s="7" t="s">
        <x:v>1958</x:v>
      </x:c>
      <x:c r="AA1479" s="7" t="s">
        <x:v>58</x:v>
      </x:c>
      <x:c r="AB1479" s="8" t="s">
        <x:v>58</x:v>
      </x:c>
      <x:c r="AC1479" s="8" t="s">
        <x:v>58</x:v>
      </x:c>
      <x:c r="AD1479" s="8" t="s">
        <x:v>58</x:v>
      </x:c>
      <x:c r="AE1479" s="8" t="s">
        <x:v>58</x:v>
      </x:c>
      <x:c r="AF1479" s="8" t="s">
        <x:v>58</x:v>
      </x:c>
      <x:c r="AG1479" s="7" t="s">
        <x:v>58</x:v>
      </x:c>
    </x:row>
    <x:row r="1480" ht="51.75" hidden="0" customHeight="1">
      <x:c r="A1480" s="7" t="s">
        <x:v>891</x:v>
      </x:c>
      <x:c r="B1480" s="7" t="s">
        <x:v>884</x:v>
      </x:c>
      <x:c r="C1480" s="7" t="s">
        <x:v>887</x:v>
      </x:c>
      <x:c r="D1480" s="7" t="s">
        <x:v>1959</x:v>
      </x:c>
      <x:c r="E1480" s="7" t="s">
        <x:v>1960</x:v>
      </x:c>
      <x:c r="F1480" s="7" t="s">
        <x:v>1956</x:v>
      </x:c>
      <x:c r="G1480" s="8" t="n">
        <x:v>80</x:v>
      </x:c>
      <x:c r="H1480" s="8" t="s">
        <x:v>58</x:v>
      </x:c>
      <x:c r="I1480" s="8" t="s">
        <x:v>58</x:v>
      </x:c>
      <x:c r="J1480" s="7" t="s">
        <x:v>1919</x:v>
      </x:c>
      <x:c r="K1480" s="8" t="n">
        <x:v>1</x:v>
      </x:c>
      <x:c r="L1480" s="8" t="n">
        <x:f aca="0">IF(AND(ISNUMBER(G1480),P1480&lt;&gt;"Unresolved unit / layout"),G1480*K1480,"Not applicable")</x:f>
        <x:v>80</x:v>
      </x:c>
      <x:c r="M1480" s="8" t="str">
        <x:f aca="0">IF(AND(ISNUMBER(H1480),P1480&lt;&gt;"Unresolved unit / layout"),H1480*K1480,"Not applicable")</x:f>
        <x:v>Not applicable</x:v>
      </x:c>
      <x:c r="N1480" s="8" t="str">
        <x:f aca="0">IF(AND(ISNUMBER(I1480),P1480&lt;&gt;"Unresolved unit / layout"),I1480*K1480,"Not applicable")</x:f>
        <x:v>Not applicable</x:v>
      </x:c>
      <x:c r="O1480" s="7" t="s">
        <x:v>1956</x:v>
      </x:c>
      <x:c r="P1480" s="7" t="s">
        <x:v>1921</x:v>
      </x:c>
      <x:c r="Q1480" s="7" t="s">
        <x:v>1930</x:v>
      </x:c>
      <x:c r="R1480" s="7" t="s">
        <x:v>58</x:v>
      </x:c>
      <x:c r="S1480" s="7" t="s">
        <x:v>53</x:v>
      </x:c>
      <x:c r="T1480" s="7" t="s">
        <x:v>53</x:v>
      </x:c>
      <x:c r="U1480" s="7" t="s">
        <x:v>53</x:v>
      </x:c>
      <x:c r="V1480" s="7" t="s">
        <x:v>1961</x:v>
      </x:c>
      <x:c r="W1480" s="7" t="s">
        <x:v>58</x:v>
      </x:c>
      <x:c r="X1480" s="7" t="s">
        <x:v>4797</x:v>
      </x:c>
      <x:c r="Y1480" s="7" t="s">
        <x:v>1346</x:v>
      </x:c>
      <x:c r="Z1480" s="7" t="s">
        <x:v>1962</x:v>
      </x:c>
      <x:c r="AA1480" s="7" t="s">
        <x:v>58</x:v>
      </x:c>
      <x:c r="AB1480" s="8" t="s">
        <x:v>58</x:v>
      </x:c>
      <x:c r="AC1480" s="8" t="s">
        <x:v>58</x:v>
      </x:c>
      <x:c r="AD1480" s="8" t="s">
        <x:v>58</x:v>
      </x:c>
      <x:c r="AE1480" s="8" t="s">
        <x:v>58</x:v>
      </x:c>
      <x:c r="AF1480" s="8" t="s">
        <x:v>58</x:v>
      </x:c>
      <x:c r="AG1480" s="7" t="s">
        <x:v>58</x:v>
      </x:c>
    </x:row>
    <x:row r="1481" ht="51.75" hidden="0" customHeight="1">
      <x:c r="A1481" s="7" t="s">
        <x:v>4807</x:v>
      </x:c>
      <x:c r="B1481" s="7" t="s">
        <x:v>884</x:v>
      </x:c>
      <x:c r="C1481" s="7" t="s">
        <x:v>1348</x:v>
      </x:c>
      <x:c r="D1481" s="7" t="s">
        <x:v>1916</x:v>
      </x:c>
      <x:c r="E1481" s="7" t="s">
        <x:v>3210</x:v>
      </x:c>
      <x:c r="F1481" s="7" t="s">
        <x:v>1965</x:v>
      </x:c>
      <x:c r="G1481" s="8" t="n">
        <x:v>1.05</x:v>
      </x:c>
      <x:c r="H1481" s="8" t="s">
        <x:v>58</x:v>
      </x:c>
      <x:c r="I1481" s="8" t="s">
        <x:v>58</x:v>
      </x:c>
      <x:c r="J1481" s="7" t="s">
        <x:v>1919</x:v>
      </x:c>
      <x:c r="K1481" s="8" t="n">
        <x:v>1000</x:v>
      </x:c>
      <x:c r="L1481" s="8" t="n">
        <x:f aca="0">IF(AND(ISNUMBER(G1481),P1481&lt;&gt;"Unresolved unit / layout"),G1481*K1481,"Not applicable")</x:f>
        <x:v>1050</x:v>
      </x:c>
      <x:c r="M1481" s="8" t="str">
        <x:f aca="0">IF(AND(ISNUMBER(H1481),P1481&lt;&gt;"Unresolved unit / layout"),H1481*K1481,"Not applicable")</x:f>
        <x:v>Not applicable</x:v>
      </x:c>
      <x:c r="N1481" s="8" t="str">
        <x:f aca="0">IF(AND(ISNUMBER(I1481),P1481&lt;&gt;"Unresolved unit / layout"),I1481*K1481,"Not applicable")</x:f>
        <x:v>Not applicable</x:v>
      </x:c>
      <x:c r="O1481" s="7" t="s">
        <x:v>1920</x:v>
      </x:c>
      <x:c r="P1481" s="7" t="s">
        <x:v>1921</x:v>
      </x:c>
      <x:c r="Q1481" s="7" t="s">
        <x:v>1922</x:v>
      </x:c>
      <x:c r="R1481" s="7" t="s">
        <x:v>58</x:v>
      </x:c>
      <x:c r="S1481" s="7" t="s">
        <x:v>53</x:v>
      </x:c>
      <x:c r="T1481" s="7" t="s">
        <x:v>53</x:v>
      </x:c>
      <x:c r="U1481" s="7" t="s">
        <x:v>53</x:v>
      </x:c>
      <x:c r="V1481" s="7" t="s">
        <x:v>1923</x:v>
      </x:c>
      <x:c r="W1481" s="7" t="s">
        <x:v>58</x:v>
      </x:c>
      <x:c r="X1481" s="7" t="s">
        <x:v>53</x:v>
      </x:c>
      <x:c r="Y1481" s="7" t="s">
        <x:v>1350</x:v>
      </x:c>
      <x:c r="Z1481" s="7" t="s">
        <x:v>1925</x:v>
      </x:c>
      <x:c r="AA1481" s="7" t="s">
        <x:v>58</x:v>
      </x:c>
      <x:c r="AB1481" s="8" t="s">
        <x:v>58</x:v>
      </x:c>
      <x:c r="AC1481" s="8" t="s">
        <x:v>58</x:v>
      </x:c>
      <x:c r="AD1481" s="8" t="s">
        <x:v>58</x:v>
      </x:c>
      <x:c r="AE1481" s="8" t="s">
        <x:v>58</x:v>
      </x:c>
      <x:c r="AF1481" s="8" t="s">
        <x:v>58</x:v>
      </x:c>
      <x:c r="AG1481" s="7" t="s">
        <x:v>58</x:v>
      </x:c>
    </x:row>
    <x:row r="1482" ht="37.5" hidden="0" customHeight="1">
      <x:c r="A1482" s="7" t="s">
        <x:v>4808</x:v>
      </x:c>
      <x:c r="B1482" s="7" t="s">
        <x:v>884</x:v>
      </x:c>
      <x:c r="C1482" s="7" t="s">
        <x:v>1348</x:v>
      </x:c>
      <x:c r="D1482" s="7" t="s">
        <x:v>3061</x:v>
      </x:c>
      <x:c r="E1482" s="7" t="s">
        <x:v>4809</x:v>
      </x:c>
      <x:c r="F1482" s="7" t="s">
        <x:v>1929</x:v>
      </x:c>
      <x:c r="G1482" s="8" t="n">
        <x:v>16</x:v>
      </x:c>
      <x:c r="H1482" s="8" t="s">
        <x:v>58</x:v>
      </x:c>
      <x:c r="I1482" s="8" t="s">
        <x:v>58</x:v>
      </x:c>
      <x:c r="J1482" s="7" t="s">
        <x:v>1919</x:v>
      </x:c>
      <x:c r="K1482" s="8" t="n">
        <x:v>1</x:v>
      </x:c>
      <x:c r="L1482" s="8" t="n">
        <x:f aca="0">IF(AND(ISNUMBER(G1482),P1482&lt;&gt;"Unresolved unit / layout"),G1482*K1482,"Not applicable")</x:f>
        <x:v>16</x:v>
      </x:c>
      <x:c r="M1482" s="8" t="str">
        <x:f aca="0">IF(AND(ISNUMBER(H1482),P1482&lt;&gt;"Unresolved unit / layout"),H1482*K1482,"Not applicable")</x:f>
        <x:v>Not applicable</x:v>
      </x:c>
      <x:c r="N1482" s="8" t="str">
        <x:f aca="0">IF(AND(ISNUMBER(I1482),P1482&lt;&gt;"Unresolved unit / layout"),I1482*K1482,"Not applicable")</x:f>
        <x:v>Not applicable</x:v>
      </x:c>
      <x:c r="O1482" s="7" t="s">
        <x:v>1929</x:v>
      </x:c>
      <x:c r="P1482" s="7" t="s">
        <x:v>1921</x:v>
      </x:c>
      <x:c r="Q1482" s="7" t="s">
        <x:v>2064</x:v>
      </x:c>
      <x:c r="R1482" s="7" t="s">
        <x:v>53</x:v>
      </x:c>
      <x:c r="S1482" s="7" t="s">
        <x:v>53</x:v>
      </x:c>
      <x:c r="T1482" s="7" t="s">
        <x:v>53</x:v>
      </x:c>
      <x:c r="U1482" s="7" t="s">
        <x:v>53</x:v>
      </x:c>
      <x:c r="V1482" s="7" t="s">
        <x:v>4810</x:v>
      </x:c>
      <x:c r="W1482" s="7" t="s">
        <x:v>58</x:v>
      </x:c>
      <x:c r="X1482" s="7" t="s">
        <x:v>53</x:v>
      </x:c>
      <x:c r="Y1482" s="7" t="s">
        <x:v>1350</x:v>
      </x:c>
      <x:c r="Z1482" s="7" t="s">
        <x:v>3064</x:v>
      </x:c>
      <x:c r="AA1482" s="7" t="s">
        <x:v>58</x:v>
      </x:c>
      <x:c r="AB1482" s="8" t="s">
        <x:v>58</x:v>
      </x:c>
      <x:c r="AC1482" s="8" t="s">
        <x:v>58</x:v>
      </x:c>
      <x:c r="AD1482" s="8" t="s">
        <x:v>58</x:v>
      </x:c>
      <x:c r="AE1482" s="8" t="s">
        <x:v>58</x:v>
      </x:c>
      <x:c r="AF1482" s="8" t="s">
        <x:v>58</x:v>
      </x:c>
      <x:c r="AG1482" s="7" t="s">
        <x:v>58</x:v>
      </x:c>
    </x:row>
    <x:row r="1483" ht="37.5" hidden="0" customHeight="1">
      <x:c r="A1483" s="7" t="s">
        <x:v>4811</x:v>
      </x:c>
      <x:c r="B1483" s="7" t="s">
        <x:v>884</x:v>
      </x:c>
      <x:c r="C1483" s="7" t="s">
        <x:v>1348</x:v>
      </x:c>
      <x:c r="D1483" s="7" t="s">
        <x:v>1927</x:v>
      </x:c>
      <x:c r="E1483" s="7" t="s">
        <x:v>4809</x:v>
      </x:c>
      <x:c r="F1483" s="7" t="s">
        <x:v>1929</x:v>
      </x:c>
      <x:c r="G1483" s="8" t="n">
        <x:v>16</x:v>
      </x:c>
      <x:c r="H1483" s="8" t="s">
        <x:v>58</x:v>
      </x:c>
      <x:c r="I1483" s="8" t="s">
        <x:v>58</x:v>
      </x:c>
      <x:c r="J1483" s="7" t="s">
        <x:v>1919</x:v>
      </x:c>
      <x:c r="K1483" s="8" t="n">
        <x:v>1</x:v>
      </x:c>
      <x:c r="L1483" s="8" t="n">
        <x:f aca="0">IF(AND(ISNUMBER(G1483),P1483&lt;&gt;"Unresolved unit / layout"),G1483*K1483,"Not applicable")</x:f>
        <x:v>16</x:v>
      </x:c>
      <x:c r="M1483" s="8" t="str">
        <x:f aca="0">IF(AND(ISNUMBER(H1483),P1483&lt;&gt;"Unresolved unit / layout"),H1483*K1483,"Not applicable")</x:f>
        <x:v>Not applicable</x:v>
      </x:c>
      <x:c r="N1483" s="8" t="str">
        <x:f aca="0">IF(AND(ISNUMBER(I1483),P1483&lt;&gt;"Unresolved unit / layout"),I1483*K1483,"Not applicable")</x:f>
        <x:v>Not applicable</x:v>
      </x:c>
      <x:c r="O1483" s="7" t="s">
        <x:v>1929</x:v>
      </x:c>
      <x:c r="P1483" s="7" t="s">
        <x:v>1921</x:v>
      </x:c>
      <x:c r="Q1483" s="7" t="s">
        <x:v>2064</x:v>
      </x:c>
      <x:c r="R1483" s="7" t="s">
        <x:v>53</x:v>
      </x:c>
      <x:c r="S1483" s="7" t="s">
        <x:v>53</x:v>
      </x:c>
      <x:c r="T1483" s="7" t="s">
        <x:v>53</x:v>
      </x:c>
      <x:c r="U1483" s="7" t="s">
        <x:v>53</x:v>
      </x:c>
      <x:c r="V1483" s="7" t="s">
        <x:v>4810</x:v>
      </x:c>
      <x:c r="W1483" s="7" t="s">
        <x:v>58</x:v>
      </x:c>
      <x:c r="X1483" s="7" t="s">
        <x:v>53</x:v>
      </x:c>
      <x:c r="Y1483" s="7" t="s">
        <x:v>1350</x:v>
      </x:c>
      <x:c r="Z1483" s="7" t="s">
        <x:v>3067</x:v>
      </x:c>
      <x:c r="AA1483" s="7" t="s">
        <x:v>58</x:v>
      </x:c>
      <x:c r="AB1483" s="8" t="s">
        <x:v>58</x:v>
      </x:c>
      <x:c r="AC1483" s="8" t="s">
        <x:v>58</x:v>
      </x:c>
      <x:c r="AD1483" s="8" t="s">
        <x:v>58</x:v>
      </x:c>
      <x:c r="AE1483" s="8" t="s">
        <x:v>58</x:v>
      </x:c>
      <x:c r="AF1483" s="8" t="s">
        <x:v>58</x:v>
      </x:c>
      <x:c r="AG1483" s="7" t="s">
        <x:v>58</x:v>
      </x:c>
    </x:row>
    <x:row r="1484" ht="37.5" hidden="0" customHeight="1">
      <x:c r="A1484" s="7" t="s">
        <x:v>4812</x:v>
      </x:c>
      <x:c r="B1484" s="7" t="s">
        <x:v>884</x:v>
      </x:c>
      <x:c r="C1484" s="7" t="s">
        <x:v>1348</x:v>
      </x:c>
      <x:c r="D1484" s="7" t="s">
        <x:v>2820</x:v>
      </x:c>
      <x:c r="E1484" s="7" t="s">
        <x:v>4813</x:v>
      </x:c>
      <x:c r="F1484" s="7" t="s">
        <x:v>1942</x:v>
      </x:c>
      <x:c r="G1484" s="8" t="n">
        <x:v>1.5</x:v>
      </x:c>
      <x:c r="H1484" s="8" t="s">
        <x:v>58</x:v>
      </x:c>
      <x:c r="I1484" s="8" t="s">
        <x:v>58</x:v>
      </x:c>
      <x:c r="J1484" s="7" t="s">
        <x:v>1919</x:v>
      </x:c>
      <x:c r="K1484" s="8" t="n">
        <x:v>1</x:v>
      </x:c>
      <x:c r="L1484" s="8" t="n">
        <x:f aca="0">IF(AND(ISNUMBER(G1484),P1484&lt;&gt;"Unresolved unit / layout"),G1484*K1484,"Not applicable")</x:f>
        <x:v>1.5</x:v>
      </x:c>
      <x:c r="M1484" s="8" t="str">
        <x:f aca="0">IF(AND(ISNUMBER(H1484),P1484&lt;&gt;"Unresolved unit / layout"),H1484*K1484,"Not applicable")</x:f>
        <x:v>Not applicable</x:v>
      </x:c>
      <x:c r="N1484" s="8" t="str">
        <x:f aca="0">IF(AND(ISNUMBER(I1484),P1484&lt;&gt;"Unresolved unit / layout"),I1484*K1484,"Not applicable")</x:f>
        <x:v>Not applicable</x:v>
      </x:c>
      <x:c r="O1484" s="7" t="s">
        <x:v>1942</x:v>
      </x:c>
      <x:c r="P1484" s="7" t="s">
        <x:v>1921</x:v>
      </x:c>
      <x:c r="Q1484" s="7" t="s">
        <x:v>2064</x:v>
      </x:c>
      <x:c r="R1484" s="7" t="s">
        <x:v>53</x:v>
      </x:c>
      <x:c r="S1484" s="7" t="s">
        <x:v>53</x:v>
      </x:c>
      <x:c r="T1484" s="7" t="s">
        <x:v>53</x:v>
      </x:c>
      <x:c r="U1484" s="7" t="s">
        <x:v>53</x:v>
      </x:c>
      <x:c r="V1484" s="7" t="s">
        <x:v>4810</x:v>
      </x:c>
      <x:c r="W1484" s="7" t="s">
        <x:v>58</x:v>
      </x:c>
      <x:c r="X1484" s="7" t="s">
        <x:v>53</x:v>
      </x:c>
      <x:c r="Y1484" s="7" t="s">
        <x:v>1350</x:v>
      </x:c>
      <x:c r="Z1484" s="7" t="s">
        <x:v>4814</x:v>
      </x:c>
      <x:c r="AA1484" s="7" t="s">
        <x:v>58</x:v>
      </x:c>
      <x:c r="AB1484" s="8" t="s">
        <x:v>58</x:v>
      </x:c>
      <x:c r="AC1484" s="8" t="s">
        <x:v>58</x:v>
      </x:c>
      <x:c r="AD1484" s="8" t="s">
        <x:v>58</x:v>
      </x:c>
      <x:c r="AE1484" s="8" t="s">
        <x:v>58</x:v>
      </x:c>
      <x:c r="AF1484" s="8" t="s">
        <x:v>58</x:v>
      </x:c>
      <x:c r="AG1484" s="7" t="s">
        <x:v>58</x:v>
      </x:c>
    </x:row>
    <x:row r="1485" ht="37.5" hidden="0" customHeight="1">
      <x:c r="A1485" s="7" t="s">
        <x:v>4815</x:v>
      </x:c>
      <x:c r="B1485" s="7" t="s">
        <x:v>884</x:v>
      </x:c>
      <x:c r="C1485" s="7" t="s">
        <x:v>1348</x:v>
      </x:c>
      <x:c r="D1485" s="7" t="s">
        <x:v>1940</x:v>
      </x:c>
      <x:c r="E1485" s="7" t="s">
        <x:v>4816</x:v>
      </x:c>
      <x:c r="F1485" s="7" t="s">
        <x:v>1942</x:v>
      </x:c>
      <x:c r="G1485" s="8" t="n">
        <x:v>50</x:v>
      </x:c>
      <x:c r="H1485" s="8" t="s">
        <x:v>58</x:v>
      </x:c>
      <x:c r="I1485" s="8" t="s">
        <x:v>58</x:v>
      </x:c>
      <x:c r="J1485" s="7" t="s">
        <x:v>1919</x:v>
      </x:c>
      <x:c r="K1485" s="8" t="n">
        <x:v>1</x:v>
      </x:c>
      <x:c r="L1485" s="8" t="n">
        <x:f aca="0">IF(AND(ISNUMBER(G1485),P1485&lt;&gt;"Unresolved unit / layout"),G1485*K1485,"Not applicable")</x:f>
        <x:v>50</x:v>
      </x:c>
      <x:c r="M1485" s="8" t="str">
        <x:f aca="0">IF(AND(ISNUMBER(H1485),P1485&lt;&gt;"Unresolved unit / layout"),H1485*K1485,"Not applicable")</x:f>
        <x:v>Not applicable</x:v>
      </x:c>
      <x:c r="N1485" s="8" t="str">
        <x:f aca="0">IF(AND(ISNUMBER(I1485),P1485&lt;&gt;"Unresolved unit / layout"),I1485*K1485,"Not applicable")</x:f>
        <x:v>Not applicable</x:v>
      </x:c>
      <x:c r="O1485" s="7" t="s">
        <x:v>1942</x:v>
      </x:c>
      <x:c r="P1485" s="7" t="s">
        <x:v>1921</x:v>
      </x:c>
      <x:c r="Q1485" s="7" t="s">
        <x:v>2064</x:v>
      </x:c>
      <x:c r="R1485" s="7" t="s">
        <x:v>53</x:v>
      </x:c>
      <x:c r="S1485" s="7" t="s">
        <x:v>53</x:v>
      </x:c>
      <x:c r="T1485" s="7" t="s">
        <x:v>53</x:v>
      </x:c>
      <x:c r="U1485" s="7" t="s">
        <x:v>53</x:v>
      </x:c>
      <x:c r="V1485" s="7" t="s">
        <x:v>4810</x:v>
      </x:c>
      <x:c r="W1485" s="7" t="s">
        <x:v>58</x:v>
      </x:c>
      <x:c r="X1485" s="7" t="s">
        <x:v>53</x:v>
      </x:c>
      <x:c r="Y1485" s="7" t="s">
        <x:v>1350</x:v>
      </x:c>
      <x:c r="Z1485" s="7" t="s">
        <x:v>4021</x:v>
      </x:c>
      <x:c r="AA1485" s="7" t="s">
        <x:v>58</x:v>
      </x:c>
      <x:c r="AB1485" s="8" t="s">
        <x:v>58</x:v>
      </x:c>
      <x:c r="AC1485" s="8" t="s">
        <x:v>58</x:v>
      </x:c>
      <x:c r="AD1485" s="8" t="s">
        <x:v>58</x:v>
      </x:c>
      <x:c r="AE1485" s="8" t="s">
        <x:v>58</x:v>
      </x:c>
      <x:c r="AF1485" s="8" t="s">
        <x:v>58</x:v>
      </x:c>
      <x:c r="AG1485" s="7" t="s">
        <x:v>58</x:v>
      </x:c>
    </x:row>
    <x:row r="1486" ht="37.5" hidden="0" customHeight="1">
      <x:c r="A1486" s="7" t="s">
        <x:v>4817</x:v>
      </x:c>
      <x:c r="B1486" s="7" t="s">
        <x:v>884</x:v>
      </x:c>
      <x:c r="C1486" s="7" t="s">
        <x:v>1348</x:v>
      </x:c>
      <x:c r="D1486" s="7" t="s">
        <x:v>1950</x:v>
      </x:c>
      <x:c r="E1486" s="7" t="s">
        <x:v>4818</x:v>
      </x:c>
      <x:c r="F1486" s="7" t="s">
        <x:v>1929</x:v>
      </x:c>
      <x:c r="G1486" s="8" t="n">
        <x:v>2000</x:v>
      </x:c>
      <x:c r="H1486" s="8" t="s">
        <x:v>58</x:v>
      </x:c>
      <x:c r="I1486" s="8" t="s">
        <x:v>58</x:v>
      </x:c>
      <x:c r="J1486" s="7" t="s">
        <x:v>1919</x:v>
      </x:c>
      <x:c r="K1486" s="8" t="n">
        <x:v>0.001</x:v>
      </x:c>
      <x:c r="L1486" s="8" t="n">
        <x:f aca="0">IF(AND(ISNUMBER(G1486),P1486&lt;&gt;"Unresolved unit / layout"),G1486*K1486,"Not applicable")</x:f>
        <x:v>2</x:v>
      </x:c>
      <x:c r="M1486" s="8" t="str">
        <x:f aca="0">IF(AND(ISNUMBER(H1486),P1486&lt;&gt;"Unresolved unit / layout"),H1486*K1486,"Not applicable")</x:f>
        <x:v>Not applicable</x:v>
      </x:c>
      <x:c r="N1486" s="8" t="str">
        <x:f aca="0">IF(AND(ISNUMBER(I1486),P1486&lt;&gt;"Unresolved unit / layout"),I1486*K1486,"Not applicable")</x:f>
        <x:v>Not applicable</x:v>
      </x:c>
      <x:c r="O1486" s="7" t="s">
        <x:v>1937</x:v>
      </x:c>
      <x:c r="P1486" s="7" t="s">
        <x:v>1921</x:v>
      </x:c>
      <x:c r="Q1486" s="7" t="s">
        <x:v>2064</x:v>
      </x:c>
      <x:c r="R1486" s="7" t="s">
        <x:v>53</x:v>
      </x:c>
      <x:c r="S1486" s="7" t="s">
        <x:v>53</x:v>
      </x:c>
      <x:c r="T1486" s="7" t="s">
        <x:v>53</x:v>
      </x:c>
      <x:c r="U1486" s="7" t="s">
        <x:v>53</x:v>
      </x:c>
      <x:c r="V1486" s="7" t="s">
        <x:v>1947</x:v>
      </x:c>
      <x:c r="W1486" s="7" t="s">
        <x:v>58</x:v>
      </x:c>
      <x:c r="X1486" s="7" t="s">
        <x:v>53</x:v>
      </x:c>
      <x:c r="Y1486" s="7" t="s">
        <x:v>1350</x:v>
      </x:c>
      <x:c r="Z1486" s="7" t="s">
        <x:v>1952</x:v>
      </x:c>
      <x:c r="AA1486" s="7" t="s">
        <x:v>58</x:v>
      </x:c>
      <x:c r="AB1486" s="8" t="s">
        <x:v>58</x:v>
      </x:c>
      <x:c r="AC1486" s="8" t="s">
        <x:v>58</x:v>
      </x:c>
      <x:c r="AD1486" s="8" t="s">
        <x:v>58</x:v>
      </x:c>
      <x:c r="AE1486" s="8" t="s">
        <x:v>58</x:v>
      </x:c>
      <x:c r="AF1486" s="8" t="s">
        <x:v>58</x:v>
      </x:c>
      <x:c r="AG1486" s="7" t="s">
        <x:v>58</x:v>
      </x:c>
    </x:row>
    <x:row r="1487" ht="37.5" hidden="0" customHeight="1">
      <x:c r="A1487" s="7" t="s">
        <x:v>4819</x:v>
      </x:c>
      <x:c r="B1487" s="7" t="s">
        <x:v>884</x:v>
      </x:c>
      <x:c r="C1487" s="7" t="s">
        <x:v>1348</x:v>
      </x:c>
      <x:c r="D1487" s="7" t="s">
        <x:v>1945</x:v>
      </x:c>
      <x:c r="E1487" s="7" t="s">
        <x:v>4733</x:v>
      </x:c>
      <x:c r="F1487" s="7" t="s">
        <x:v>1929</x:v>
      </x:c>
      <x:c r="G1487" s="8" t="n">
        <x:v>50</x:v>
      </x:c>
      <x:c r="H1487" s="8" t="s">
        <x:v>58</x:v>
      </x:c>
      <x:c r="I1487" s="8" t="s">
        <x:v>58</x:v>
      </x:c>
      <x:c r="J1487" s="7" t="s">
        <x:v>1919</x:v>
      </x:c>
      <x:c r="K1487" s="8" t="n">
        <x:v>1</x:v>
      </x:c>
      <x:c r="L1487" s="8" t="n">
        <x:f aca="0">IF(AND(ISNUMBER(G1487),P1487&lt;&gt;"Unresolved unit / layout"),G1487*K1487,"Not applicable")</x:f>
        <x:v>50</x:v>
      </x:c>
      <x:c r="M1487" s="8" t="str">
        <x:f aca="0">IF(AND(ISNUMBER(H1487),P1487&lt;&gt;"Unresolved unit / layout"),H1487*K1487,"Not applicable")</x:f>
        <x:v>Not applicable</x:v>
      </x:c>
      <x:c r="N1487" s="8" t="str">
        <x:f aca="0">IF(AND(ISNUMBER(I1487),P1487&lt;&gt;"Unresolved unit / layout"),I1487*K1487,"Not applicable")</x:f>
        <x:v>Not applicable</x:v>
      </x:c>
      <x:c r="O1487" s="7" t="s">
        <x:v>1929</x:v>
      </x:c>
      <x:c r="P1487" s="7" t="s">
        <x:v>1921</x:v>
      </x:c>
      <x:c r="Q1487" s="7" t="s">
        <x:v>2064</x:v>
      </x:c>
      <x:c r="R1487" s="7" t="s">
        <x:v>53</x:v>
      </x:c>
      <x:c r="S1487" s="7" t="s">
        <x:v>53</x:v>
      </x:c>
      <x:c r="T1487" s="7" t="s">
        <x:v>53</x:v>
      </x:c>
      <x:c r="U1487" s="7" t="s">
        <x:v>53</x:v>
      </x:c>
      <x:c r="V1487" s="7" t="s">
        <x:v>1947</x:v>
      </x:c>
      <x:c r="W1487" s="7" t="s">
        <x:v>58</x:v>
      </x:c>
      <x:c r="X1487" s="7" t="s">
        <x:v>53</x:v>
      </x:c>
      <x:c r="Y1487" s="7" t="s">
        <x:v>1350</x:v>
      </x:c>
      <x:c r="Z1487" s="7" t="s">
        <x:v>1948</x:v>
      </x:c>
      <x:c r="AA1487" s="7" t="s">
        <x:v>58</x:v>
      </x:c>
      <x:c r="AB1487" s="8" t="s">
        <x:v>58</x:v>
      </x:c>
      <x:c r="AC1487" s="8" t="s">
        <x:v>58</x:v>
      </x:c>
      <x:c r="AD1487" s="8" t="s">
        <x:v>58</x:v>
      </x:c>
      <x:c r="AE1487" s="8" t="s">
        <x:v>58</x:v>
      </x:c>
      <x:c r="AF1487" s="8" t="s">
        <x:v>58</x:v>
      </x:c>
      <x:c r="AG1487" s="7" t="s">
        <x:v>58</x:v>
      </x:c>
    </x:row>
    <x:row r="1488" ht="37.5" hidden="0" customHeight="1">
      <x:c r="A1488" s="7" t="s">
        <x:v>4820</x:v>
      </x:c>
      <x:c r="B1488" s="7" t="s">
        <x:v>884</x:v>
      </x:c>
      <x:c r="C1488" s="7" t="s">
        <x:v>1348</x:v>
      </x:c>
      <x:c r="D1488" s="7" t="s">
        <x:v>2030</x:v>
      </x:c>
      <x:c r="E1488" s="7" t="s">
        <x:v>4821</x:v>
      </x:c>
      <x:c r="F1488" s="7" t="s">
        <x:v>2032</x:v>
      </x:c>
      <x:c r="G1488" s="8" t="n">
        <x:v>7</x:v>
      </x:c>
      <x:c r="H1488" s="8" t="s">
        <x:v>58</x:v>
      </x:c>
      <x:c r="I1488" s="8" t="s">
        <x:v>58</x:v>
      </x:c>
      <x:c r="J1488" s="7" t="s">
        <x:v>1919</x:v>
      </x:c>
      <x:c r="K1488" s="8" t="n">
        <x:v>1</x:v>
      </x:c>
      <x:c r="L1488" s="8" t="n">
        <x:f aca="0">IF(AND(ISNUMBER(G1488),P1488&lt;&gt;"Unresolved unit / layout"),G1488*K1488,"Not applicable")</x:f>
        <x:v>7</x:v>
      </x:c>
      <x:c r="M1488" s="8" t="str">
        <x:f aca="0">IF(AND(ISNUMBER(H1488),P1488&lt;&gt;"Unresolved unit / layout"),H1488*K1488,"Not applicable")</x:f>
        <x:v>Not applicable</x:v>
      </x:c>
      <x:c r="N1488" s="8" t="str">
        <x:f aca="0">IF(AND(ISNUMBER(I1488),P1488&lt;&gt;"Unresolved unit / layout"),I1488*K1488,"Not applicable")</x:f>
        <x:v>Not applicable</x:v>
      </x:c>
      <x:c r="O1488" s="7" t="s">
        <x:v>2033</x:v>
      </x:c>
      <x:c r="P1488" s="7" t="s">
        <x:v>1921</x:v>
      </x:c>
      <x:c r="Q1488" s="7" t="s">
        <x:v>2064</x:v>
      </x:c>
      <x:c r="R1488" s="7" t="s">
        <x:v>53</x:v>
      </x:c>
      <x:c r="S1488" s="7" t="s">
        <x:v>53</x:v>
      </x:c>
      <x:c r="T1488" s="7" t="s">
        <x:v>53</x:v>
      </x:c>
      <x:c r="U1488" s="7" t="s">
        <x:v>53</x:v>
      </x:c>
      <x:c r="V1488" s="7" t="s">
        <x:v>4822</x:v>
      </x:c>
      <x:c r="W1488" s="7" t="s">
        <x:v>2139</x:v>
      </x:c>
      <x:c r="X1488" s="7" t="s">
        <x:v>53</x:v>
      </x:c>
      <x:c r="Y1488" s="7" t="s">
        <x:v>1350</x:v>
      </x:c>
      <x:c r="Z1488" s="7" t="s">
        <x:v>4030</x:v>
      </x:c>
      <x:c r="AA1488" s="7" t="s">
        <x:v>58</x:v>
      </x:c>
      <x:c r="AB1488" s="8" t="s">
        <x:v>58</x:v>
      </x:c>
      <x:c r="AC1488" s="8" t="s">
        <x:v>58</x:v>
      </x:c>
      <x:c r="AD1488" s="8" t="s">
        <x:v>58</x:v>
      </x:c>
      <x:c r="AE1488" s="8" t="s">
        <x:v>58</x:v>
      </x:c>
      <x:c r="AF1488" s="8" t="s">
        <x:v>58</x:v>
      </x:c>
      <x:c r="AG1488" s="7" t="s">
        <x:v>58</x:v>
      </x:c>
    </x:row>
    <x:row r="1489" ht="37.5" hidden="0" customHeight="1">
      <x:c r="A1489" s="7" t="s">
        <x:v>4823</x:v>
      </x:c>
      <x:c r="B1489" s="7" t="s">
        <x:v>884</x:v>
      </x:c>
      <x:c r="C1489" s="7" t="s">
        <x:v>1348</x:v>
      </x:c>
      <x:c r="D1489" s="7" t="s">
        <x:v>2834</x:v>
      </x:c>
      <x:c r="E1489" s="7" t="s">
        <x:v>4824</x:v>
      </x:c>
      <x:c r="F1489" s="7" t="s">
        <x:v>4825</x:v>
      </x:c>
      <x:c r="G1489" s="8" t="n">
        <x:v>90</x:v>
      </x:c>
      <x:c r="H1489" s="8" t="s">
        <x:v>58</x:v>
      </x:c>
      <x:c r="I1489" s="8" t="s">
        <x:v>58</x:v>
      </x:c>
      <x:c r="J1489" s="7" t="s">
        <x:v>1919</x:v>
      </x:c>
      <x:c r="K1489" s="8" t="n">
        <x:v>1</x:v>
      </x:c>
      <x:c r="L1489" s="8" t="n">
        <x:f aca="0">IF(AND(ISNUMBER(G1489),P1489&lt;&gt;"Unresolved unit / layout"),G1489*K1489,"Not applicable")</x:f>
        <x:v>90</x:v>
      </x:c>
      <x:c r="M1489" s="8" t="str">
        <x:f aca="0">IF(AND(ISNUMBER(H1489),P1489&lt;&gt;"Unresolved unit / layout"),H1489*K1489,"Not applicable")</x:f>
        <x:v>Not applicable</x:v>
      </x:c>
      <x:c r="N1489" s="8" t="str">
        <x:f aca="0">IF(AND(ISNUMBER(I1489),P1489&lt;&gt;"Unresolved unit / layout"),I1489*K1489,"Not applicable")</x:f>
        <x:v>Not applicable</x:v>
      </x:c>
      <x:c r="O1489" s="7" t="s">
        <x:v>4825</x:v>
      </x:c>
      <x:c r="P1489" s="7" t="s">
        <x:v>1921</x:v>
      </x:c>
      <x:c r="Q1489" s="7" t="s">
        <x:v>2064</x:v>
      </x:c>
      <x:c r="R1489" s="7" t="s">
        <x:v>53</x:v>
      </x:c>
      <x:c r="S1489" s="7" t="s">
        <x:v>53</x:v>
      </x:c>
      <x:c r="T1489" s="7" t="s">
        <x:v>53</x:v>
      </x:c>
      <x:c r="U1489" s="7" t="s">
        <x:v>53</x:v>
      </x:c>
      <x:c r="V1489" s="7" t="s">
        <x:v>4826</x:v>
      </x:c>
      <x:c r="W1489" s="7" t="s">
        <x:v>2139</x:v>
      </x:c>
      <x:c r="X1489" s="7" t="s">
        <x:v>53</x:v>
      </x:c>
      <x:c r="Y1489" s="7" t="s">
        <x:v>1350</x:v>
      </x:c>
      <x:c r="Z1489" s="7" t="s">
        <x:v>4827</x:v>
      </x:c>
      <x:c r="AA1489" s="7" t="s">
        <x:v>58</x:v>
      </x:c>
      <x:c r="AB1489" s="8" t="s">
        <x:v>58</x:v>
      </x:c>
      <x:c r="AC1489" s="8" t="s">
        <x:v>58</x:v>
      </x:c>
      <x:c r="AD1489" s="8" t="s">
        <x:v>58</x:v>
      </x:c>
      <x:c r="AE1489" s="8" t="s">
        <x:v>58</x:v>
      </x:c>
      <x:c r="AF1489" s="8" t="s">
        <x:v>58</x:v>
      </x:c>
      <x:c r="AG1489" s="7" t="s">
        <x:v>58</x:v>
      </x:c>
    </x:row>
    <x:row r="1490" ht="37.5" hidden="0" customHeight="1">
      <x:c r="A1490" s="7" t="s">
        <x:v>4828</x:v>
      </x:c>
      <x:c r="B1490" s="7" t="s">
        <x:v>884</x:v>
      </x:c>
      <x:c r="C1490" s="7" t="s">
        <x:v>1348</x:v>
      </x:c>
      <x:c r="D1490" s="7" t="s">
        <x:v>2846</x:v>
      </x:c>
      <x:c r="E1490" s="7" t="s">
        <x:v>1955</x:v>
      </x:c>
      <x:c r="F1490" s="7" t="s">
        <x:v>3082</x:v>
      </x:c>
      <x:c r="G1490" s="8" t="n">
        <x:v>55</x:v>
      </x:c>
      <x:c r="H1490" s="8" t="s">
        <x:v>58</x:v>
      </x:c>
      <x:c r="I1490" s="8" t="s">
        <x:v>58</x:v>
      </x:c>
      <x:c r="J1490" s="7" t="s">
        <x:v>1919</x:v>
      </x:c>
      <x:c r="K1490" s="8" t="n">
        <x:v>1</x:v>
      </x:c>
      <x:c r="L1490" s="8" t="n">
        <x:f aca="0">IF(AND(ISNUMBER(G1490),P1490&lt;&gt;"Unresolved unit / layout"),G1490*K1490,"Insufficient comparable data")</x:f>
        <x:v>55</x:v>
      </x:c>
      <x:c r="M1490" s="8" t="str">
        <x:f aca="0">IF(AND(ISNUMBER(H1490),P1490&lt;&gt;"Unresolved unit / layout"),H1490*K1490,"Not applicable")</x:f>
        <x:v>Not applicable</x:v>
      </x:c>
      <x:c r="N1490" s="8" t="str">
        <x:f aca="0">IF(AND(ISNUMBER(I1490),P1490&lt;&gt;"Unresolved unit / layout"),I1490*K1490,"Not applicable")</x:f>
        <x:v>Not applicable</x:v>
      </x:c>
      <x:c r="O1490" s="7" t="s">
        <x:v>3082</x:v>
      </x:c>
      <x:c r="P1490" s="7" t="s">
        <x:v>2732</x:v>
      </x:c>
      <x:c r="Q1490" s="7" t="s">
        <x:v>2064</x:v>
      </x:c>
      <x:c r="R1490" s="7" t="s">
        <x:v>53</x:v>
      </x:c>
      <x:c r="S1490" s="7" t="s">
        <x:v>53</x:v>
      </x:c>
      <x:c r="T1490" s="7" t="s">
        <x:v>53</x:v>
      </x:c>
      <x:c r="U1490" s="7" t="s">
        <x:v>53</x:v>
      </x:c>
      <x:c r="V1490" s="7" t="s">
        <x:v>4829</x:v>
      </x:c>
      <x:c r="W1490" s="7" t="s">
        <x:v>58</x:v>
      </x:c>
      <x:c r="X1490" s="7" t="s">
        <x:v>53</x:v>
      </x:c>
      <x:c r="Y1490" s="7" t="s">
        <x:v>1350</x:v>
      </x:c>
      <x:c r="Z1490" s="7" t="s">
        <x:v>4830</x:v>
      </x:c>
      <x:c r="AA1490" s="7" t="s">
        <x:v>4831</x:v>
      </x:c>
      <x:c r="AB1490" s="8" t="s">
        <x:v>58</x:v>
      </x:c>
      <x:c r="AC1490" s="8" t="s">
        <x:v>58</x:v>
      </x:c>
      <x:c r="AD1490" s="8" t="s">
        <x:v>58</x:v>
      </x:c>
      <x:c r="AE1490" s="8" t="s">
        <x:v>58</x:v>
      </x:c>
      <x:c r="AF1490" s="8" t="s">
        <x:v>58</x:v>
      </x:c>
      <x:c r="AG1490" s="7" t="s">
        <x:v>58</x:v>
      </x:c>
    </x:row>
    <x:row r="1491" ht="37.5" hidden="0" customHeight="1">
      <x:c r="A1491" s="7" t="s">
        <x:v>4832</x:v>
      </x:c>
      <x:c r="B1491" s="7" t="s">
        <x:v>884</x:v>
      </x:c>
      <x:c r="C1491" s="7" t="s">
        <x:v>1348</x:v>
      </x:c>
      <x:c r="D1491" s="7" t="s">
        <x:v>1982</x:v>
      </x:c>
      <x:c r="E1491" s="7" t="s">
        <x:v>4833</x:v>
      </x:c>
      <x:c r="F1491" s="7" t="s">
        <x:v>1956</x:v>
      </x:c>
      <x:c r="G1491" s="8" t="n">
        <x:v>87</x:v>
      </x:c>
      <x:c r="H1491" s="8" t="s">
        <x:v>58</x:v>
      </x:c>
      <x:c r="I1491" s="8" t="s">
        <x:v>58</x:v>
      </x:c>
      <x:c r="J1491" s="7" t="s">
        <x:v>1919</x:v>
      </x:c>
      <x:c r="K1491" s="8" t="n">
        <x:v>1</x:v>
      </x:c>
      <x:c r="L1491" s="8" t="n">
        <x:f aca="0">IF(AND(ISNUMBER(G1491),P1491&lt;&gt;"Unresolved unit / layout"),G1491*K1491,"Not applicable")</x:f>
        <x:v>87</x:v>
      </x:c>
      <x:c r="M1491" s="8" t="str">
        <x:f aca="0">IF(AND(ISNUMBER(H1491),P1491&lt;&gt;"Unresolved unit / layout"),H1491*K1491,"Not applicable")</x:f>
        <x:v>Not applicable</x:v>
      </x:c>
      <x:c r="N1491" s="8" t="str">
        <x:f aca="0">IF(AND(ISNUMBER(I1491),P1491&lt;&gt;"Unresolved unit / layout"),I1491*K1491,"Not applicable")</x:f>
        <x:v>Not applicable</x:v>
      </x:c>
      <x:c r="O1491" s="7" t="s">
        <x:v>1956</x:v>
      </x:c>
      <x:c r="P1491" s="7" t="s">
        <x:v>1921</x:v>
      </x:c>
      <x:c r="Q1491" s="7" t="s">
        <x:v>2064</x:v>
      </x:c>
      <x:c r="R1491" s="7" t="s">
        <x:v>58</x:v>
      </x:c>
      <x:c r="S1491" s="7" t="s">
        <x:v>53</x:v>
      </x:c>
      <x:c r="T1491" s="7" t="s">
        <x:v>53</x:v>
      </x:c>
      <x:c r="U1491" s="7" t="s">
        <x:v>53</x:v>
      </x:c>
      <x:c r="V1491" s="7" t="s">
        <x:v>4834</x:v>
      </x:c>
      <x:c r="W1491" s="7" t="s">
        <x:v>58</x:v>
      </x:c>
      <x:c r="X1491" s="7" t="s">
        <x:v>53</x:v>
      </x:c>
      <x:c r="Y1491" s="7" t="s">
        <x:v>1350</x:v>
      </x:c>
      <x:c r="Z1491" s="7" t="s">
        <x:v>3475</x:v>
      </x:c>
      <x:c r="AA1491" s="7" t="s">
        <x:v>58</x:v>
      </x:c>
      <x:c r="AB1491" s="8" t="s">
        <x:v>58</x:v>
      </x:c>
      <x:c r="AC1491" s="8" t="s">
        <x:v>58</x:v>
      </x:c>
      <x:c r="AD1491" s="8" t="s">
        <x:v>58</x:v>
      </x:c>
      <x:c r="AE1491" s="8" t="s">
        <x:v>58</x:v>
      </x:c>
      <x:c r="AF1491" s="8" t="s">
        <x:v>58</x:v>
      </x:c>
      <x:c r="AG1491" s="7" t="s">
        <x:v>58</x:v>
      </x:c>
    </x:row>
    <x:row r="1492" ht="37.5" hidden="0" customHeight="1">
      <x:c r="A1492" s="7" t="s">
        <x:v>4835</x:v>
      </x:c>
      <x:c r="B1492" s="7" t="s">
        <x:v>884</x:v>
      </x:c>
      <x:c r="C1492" s="7" t="s">
        <x:v>1348</x:v>
      </x:c>
      <x:c r="D1492" s="7" t="s">
        <x:v>1959</x:v>
      </x:c>
      <x:c r="E1492" s="7" t="s">
        <x:v>4836</x:v>
      </x:c>
      <x:c r="F1492" s="7" t="s">
        <x:v>1956</x:v>
      </x:c>
      <x:c r="G1492" s="8" t="n">
        <x:v>88</x:v>
      </x:c>
      <x:c r="H1492" s="8" t="s">
        <x:v>58</x:v>
      </x:c>
      <x:c r="I1492" s="8" t="s">
        <x:v>58</x:v>
      </x:c>
      <x:c r="J1492" s="7" t="s">
        <x:v>1919</x:v>
      </x:c>
      <x:c r="K1492" s="8" t="n">
        <x:v>1</x:v>
      </x:c>
      <x:c r="L1492" s="8" t="n">
        <x:f aca="0">IF(AND(ISNUMBER(G1492),P1492&lt;&gt;"Unresolved unit / layout"),G1492*K1492,"Not applicable")</x:f>
        <x:v>88</x:v>
      </x:c>
      <x:c r="M1492" s="8" t="str">
        <x:f aca="0">IF(AND(ISNUMBER(H1492),P1492&lt;&gt;"Unresolved unit / layout"),H1492*K1492,"Not applicable")</x:f>
        <x:v>Not applicable</x:v>
      </x:c>
      <x:c r="N1492" s="8" t="str">
        <x:f aca="0">IF(AND(ISNUMBER(I1492),P1492&lt;&gt;"Unresolved unit / layout"),I1492*K1492,"Not applicable")</x:f>
        <x:v>Not applicable</x:v>
      </x:c>
      <x:c r="O1492" s="7" t="s">
        <x:v>1956</x:v>
      </x:c>
      <x:c r="P1492" s="7" t="s">
        <x:v>1921</x:v>
      </x:c>
      <x:c r="Q1492" s="7" t="s">
        <x:v>2064</x:v>
      </x:c>
      <x:c r="R1492" s="7" t="s">
        <x:v>58</x:v>
      </x:c>
      <x:c r="S1492" s="7" t="s">
        <x:v>53</x:v>
      </x:c>
      <x:c r="T1492" s="7" t="s">
        <x:v>53</x:v>
      </x:c>
      <x:c r="U1492" s="7" t="s">
        <x:v>53</x:v>
      </x:c>
      <x:c r="V1492" s="7" t="s">
        <x:v>4837</x:v>
      </x:c>
      <x:c r="W1492" s="7" t="s">
        <x:v>58</x:v>
      </x:c>
      <x:c r="X1492" s="7" t="s">
        <x:v>53</x:v>
      </x:c>
      <x:c r="Y1492" s="7" t="s">
        <x:v>1350</x:v>
      </x:c>
      <x:c r="Z1492" s="7" t="s">
        <x:v>3089</x:v>
      </x:c>
      <x:c r="AA1492" s="7" t="s">
        <x:v>3090</x:v>
      </x:c>
      <x:c r="AB1492" s="8" t="s">
        <x:v>58</x:v>
      </x:c>
      <x:c r="AC1492" s="8" t="s">
        <x:v>58</x:v>
      </x:c>
      <x:c r="AD1492" s="8" t="s">
        <x:v>58</x:v>
      </x:c>
      <x:c r="AE1492" s="8" t="s">
        <x:v>58</x:v>
      </x:c>
      <x:c r="AF1492" s="8" t="s">
        <x:v>58</x:v>
      </x:c>
      <x:c r="AG1492" s="7" t="s">
        <x:v>58</x:v>
      </x:c>
    </x:row>
    <x:row r="1493" ht="51.75" hidden="0" customHeight="1">
      <x:c r="A1493" s="7" t="s">
        <x:v>4838</x:v>
      </x:c>
      <x:c r="B1493" s="7" t="s">
        <x:v>898</x:v>
      </x:c>
      <x:c r="C1493" s="7" t="s">
        <x:v>901</x:v>
      </x:c>
      <x:c r="D1493" s="7" t="s">
        <x:v>1916</x:v>
      </x:c>
      <x:c r="E1493" s="7" t="s">
        <x:v>4839</x:v>
      </x:c>
      <x:c r="F1493" s="7" t="s">
        <x:v>1918</x:v>
      </x:c>
      <x:c r="G1493" s="8" t="n">
        <x:v>0.81</x:v>
      </x:c>
      <x:c r="H1493" s="8" t="s">
        <x:v>58</x:v>
      </x:c>
      <x:c r="I1493" s="8" t="s">
        <x:v>58</x:v>
      </x:c>
      <x:c r="J1493" s="7" t="s">
        <x:v>1919</x:v>
      </x:c>
      <x:c r="K1493" s="8" t="n">
        <x:v>1000</x:v>
      </x:c>
      <x:c r="L1493" s="8" t="n">
        <x:f aca="0">IF(AND(ISNUMBER(G1493),P1493&lt;&gt;"Unresolved unit / layout"),G1493*K1493,"Not applicable")</x:f>
        <x:v>810</x:v>
      </x:c>
      <x:c r="M1493" s="8" t="str">
        <x:f aca="0">IF(AND(ISNUMBER(H1493),P1493&lt;&gt;"Unresolved unit / layout"),H1493*K1493,"Not applicable")</x:f>
        <x:v>Not applicable</x:v>
      </x:c>
      <x:c r="N1493" s="8" t="str">
        <x:f aca="0">IF(AND(ISNUMBER(I1493),P1493&lt;&gt;"Unresolved unit / layout"),I1493*K1493,"Not applicable")</x:f>
        <x:v>Not applicable</x:v>
      </x:c>
      <x:c r="O1493" s="7" t="s">
        <x:v>1920</x:v>
      </x:c>
      <x:c r="P1493" s="7" t="s">
        <x:v>1921</x:v>
      </x:c>
      <x:c r="Q1493" s="7" t="s">
        <x:v>1922</x:v>
      </x:c>
      <x:c r="R1493" s="7" t="s">
        <x:v>58</x:v>
      </x:c>
      <x:c r="S1493" s="7" t="s">
        <x:v>53</x:v>
      </x:c>
      <x:c r="T1493" s="7" t="s">
        <x:v>53</x:v>
      </x:c>
      <x:c r="U1493" s="7" t="s">
        <x:v>53</x:v>
      </x:c>
      <x:c r="V1493" s="7" t="s">
        <x:v>1923</x:v>
      </x:c>
      <x:c r="W1493" s="7" t="s">
        <x:v>58</x:v>
      </x:c>
      <x:c r="X1493" s="7" t="s">
        <x:v>4840</x:v>
      </x:c>
      <x:c r="Y1493" s="7" t="s">
        <x:v>1352</x:v>
      </x:c>
      <x:c r="Z1493" s="7" t="s">
        <x:v>1925</x:v>
      </x:c>
      <x:c r="AA1493" s="7" t="s">
        <x:v>58</x:v>
      </x:c>
      <x:c r="AB1493" s="8" t="s">
        <x:v>58</x:v>
      </x:c>
      <x:c r="AC1493" s="8" t="s">
        <x:v>58</x:v>
      </x:c>
      <x:c r="AD1493" s="8" t="s">
        <x:v>58</x:v>
      </x:c>
      <x:c r="AE1493" s="8" t="s">
        <x:v>58</x:v>
      </x:c>
      <x:c r="AF1493" s="8" t="s">
        <x:v>58</x:v>
      </x:c>
      <x:c r="AG1493" s="7" t="s">
        <x:v>58</x:v>
      </x:c>
    </x:row>
    <x:row r="1494" ht="51.75" hidden="0" customHeight="1">
      <x:c r="A1494" s="7" t="s">
        <x:v>4841</x:v>
      </x:c>
      <x:c r="B1494" s="7" t="s">
        <x:v>898</x:v>
      </x:c>
      <x:c r="C1494" s="7" t="s">
        <x:v>901</x:v>
      </x:c>
      <x:c r="D1494" s="7" t="s">
        <x:v>1927</x:v>
      </x:c>
      <x:c r="E1494" s="7" t="s">
        <x:v>4842</x:v>
      </x:c>
      <x:c r="F1494" s="7" t="s">
        <x:v>1929</x:v>
      </x:c>
      <x:c r="G1494" s="8" t="n">
        <x:v>38</x:v>
      </x:c>
      <x:c r="H1494" s="8" t="s">
        <x:v>58</x:v>
      </x:c>
      <x:c r="I1494" s="8" t="s">
        <x:v>58</x:v>
      </x:c>
      <x:c r="J1494" s="7" t="s">
        <x:v>1919</x:v>
      </x:c>
      <x:c r="K1494" s="8" t="n">
        <x:v>1</x:v>
      </x:c>
      <x:c r="L1494" s="8" t="n">
        <x:f aca="0">IF(AND(ISNUMBER(G1494),P1494&lt;&gt;"Unresolved unit / layout"),G1494*K1494,"Not applicable")</x:f>
        <x:v>38</x:v>
      </x:c>
      <x:c r="M1494" s="8" t="str">
        <x:f aca="0">IF(AND(ISNUMBER(H1494),P1494&lt;&gt;"Unresolved unit / layout"),H1494*K1494,"Not applicable")</x:f>
        <x:v>Not applicable</x:v>
      </x:c>
      <x:c r="N1494" s="8" t="str">
        <x:f aca="0">IF(AND(ISNUMBER(I1494),P1494&lt;&gt;"Unresolved unit / layout"),I1494*K1494,"Not applicable")</x:f>
        <x:v>Not applicable</x:v>
      </x:c>
      <x:c r="O1494" s="7" t="s">
        <x:v>1929</x:v>
      </x:c>
      <x:c r="P1494" s="7" t="s">
        <x:v>1921</x:v>
      </x:c>
      <x:c r="Q1494" s="7" t="s">
        <x:v>1930</x:v>
      </x:c>
      <x:c r="R1494" s="7" t="s">
        <x:v>1931</x:v>
      </x:c>
      <x:c r="S1494" s="7" t="s">
        <x:v>53</x:v>
      </x:c>
      <x:c r="T1494" s="7" t="s">
        <x:v>53</x:v>
      </x:c>
      <x:c r="U1494" s="7" t="s">
        <x:v>53</x:v>
      </x:c>
      <x:c r="V1494" s="7" t="s">
        <x:v>1932</x:v>
      </x:c>
      <x:c r="W1494" s="7" t="s">
        <x:v>58</x:v>
      </x:c>
      <x:c r="X1494" s="7" t="s">
        <x:v>4840</x:v>
      </x:c>
      <x:c r="Y1494" s="7" t="s">
        <x:v>1352</x:v>
      </x:c>
      <x:c r="Z1494" s="7" t="s">
        <x:v>1933</x:v>
      </x:c>
      <x:c r="AA1494" s="7" t="s">
        <x:v>58</x:v>
      </x:c>
      <x:c r="AB1494" s="8" t="s">
        <x:v>58</x:v>
      </x:c>
      <x:c r="AC1494" s="8" t="s">
        <x:v>58</x:v>
      </x:c>
      <x:c r="AD1494" s="8" t="s">
        <x:v>58</x:v>
      </x:c>
      <x:c r="AE1494" s="8" t="s">
        <x:v>58</x:v>
      </x:c>
      <x:c r="AF1494" s="8" t="s">
        <x:v>58</x:v>
      </x:c>
      <x:c r="AG1494" s="7" t="s">
        <x:v>58</x:v>
      </x:c>
    </x:row>
    <x:row r="1495" ht="51.75" hidden="0" customHeight="1">
      <x:c r="A1495" s="7" t="s">
        <x:v>4843</x:v>
      </x:c>
      <x:c r="B1495" s="7" t="s">
        <x:v>898</x:v>
      </x:c>
      <x:c r="C1495" s="7" t="s">
        <x:v>901</x:v>
      </x:c>
      <x:c r="D1495" s="7" t="s">
        <x:v>1935</x:v>
      </x:c>
      <x:c r="E1495" s="7" t="s">
        <x:v>4844</x:v>
      </x:c>
      <x:c r="F1495" s="7" t="s">
        <x:v>1929</x:v>
      </x:c>
      <x:c r="G1495" s="8" t="n">
        <x:v>1650</x:v>
      </x:c>
      <x:c r="H1495" s="8" t="s">
        <x:v>58</x:v>
      </x:c>
      <x:c r="I1495" s="8" t="s">
        <x:v>58</x:v>
      </x:c>
      <x:c r="J1495" s="7" t="s">
        <x:v>1919</x:v>
      </x:c>
      <x:c r="K1495" s="8" t="n">
        <x:v>0.001</x:v>
      </x:c>
      <x:c r="L1495" s="8" t="n">
        <x:f aca="0">IF(AND(ISNUMBER(G1495),P1495&lt;&gt;"Unresolved unit / layout"),G1495*K1495,"Not applicable")</x:f>
        <x:v>1.6500000000000001</x:v>
      </x:c>
      <x:c r="M1495" s="8" t="str">
        <x:f aca="0">IF(AND(ISNUMBER(H1495),P1495&lt;&gt;"Unresolved unit / layout"),H1495*K1495,"Not applicable")</x:f>
        <x:v>Not applicable</x:v>
      </x:c>
      <x:c r="N1495" s="8" t="str">
        <x:f aca="0">IF(AND(ISNUMBER(I1495),P1495&lt;&gt;"Unresolved unit / layout"),I1495*K1495,"Not applicable")</x:f>
        <x:v>Not applicable</x:v>
      </x:c>
      <x:c r="O1495" s="7" t="s">
        <x:v>1937</x:v>
      </x:c>
      <x:c r="P1495" s="7" t="s">
        <x:v>1921</x:v>
      </x:c>
      <x:c r="Q1495" s="7" t="s">
        <x:v>1930</x:v>
      </x:c>
      <x:c r="R1495" s="7" t="s">
        <x:v>1931</x:v>
      </x:c>
      <x:c r="S1495" s="7" t="s">
        <x:v>53</x:v>
      </x:c>
      <x:c r="T1495" s="7" t="s">
        <x:v>53</x:v>
      </x:c>
      <x:c r="U1495" s="7" t="s">
        <x:v>53</x:v>
      </x:c>
      <x:c r="V1495" s="7" t="s">
        <x:v>1932</x:v>
      </x:c>
      <x:c r="W1495" s="7" t="s">
        <x:v>58</x:v>
      </x:c>
      <x:c r="X1495" s="7" t="s">
        <x:v>4840</x:v>
      </x:c>
      <x:c r="Y1495" s="7" t="s">
        <x:v>1352</x:v>
      </x:c>
      <x:c r="Z1495" s="7" t="s">
        <x:v>1938</x:v>
      </x:c>
      <x:c r="AA1495" s="7" t="s">
        <x:v>58</x:v>
      </x:c>
      <x:c r="AB1495" s="8" t="s">
        <x:v>58</x:v>
      </x:c>
      <x:c r="AC1495" s="8" t="s">
        <x:v>58</x:v>
      </x:c>
      <x:c r="AD1495" s="8" t="s">
        <x:v>58</x:v>
      </x:c>
      <x:c r="AE1495" s="8" t="s">
        <x:v>58</x:v>
      </x:c>
      <x:c r="AF1495" s="8" t="s">
        <x:v>58</x:v>
      </x:c>
      <x:c r="AG1495" s="7" t="s">
        <x:v>58</x:v>
      </x:c>
    </x:row>
    <x:row r="1496" ht="51.75" hidden="0" customHeight="1">
      <x:c r="A1496" s="7" t="s">
        <x:v>4845</x:v>
      </x:c>
      <x:c r="B1496" s="7" t="s">
        <x:v>898</x:v>
      </x:c>
      <x:c r="C1496" s="7" t="s">
        <x:v>901</x:v>
      </x:c>
      <x:c r="D1496" s="7" t="s">
        <x:v>1940</x:v>
      </x:c>
      <x:c r="E1496" s="7" t="s">
        <x:v>3018</x:v>
      </x:c>
      <x:c r="F1496" s="7" t="s">
        <x:v>1942</x:v>
      </x:c>
      <x:c r="G1496" s="8" t="n">
        <x:v>13</x:v>
      </x:c>
      <x:c r="H1496" s="8" t="s">
        <x:v>58</x:v>
      </x:c>
      <x:c r="I1496" s="8" t="s">
        <x:v>58</x:v>
      </x:c>
      <x:c r="J1496" s="7" t="s">
        <x:v>1919</x:v>
      </x:c>
      <x:c r="K1496" s="8" t="n">
        <x:v>1</x:v>
      </x:c>
      <x:c r="L1496" s="8" t="n">
        <x:f aca="0">IF(AND(ISNUMBER(G1496),P1496&lt;&gt;"Unresolved unit / layout"),G1496*K1496,"Not applicable")</x:f>
        <x:v>13</x:v>
      </x:c>
      <x:c r="M1496" s="8" t="str">
        <x:f aca="0">IF(AND(ISNUMBER(H1496),P1496&lt;&gt;"Unresolved unit / layout"),H1496*K1496,"Not applicable")</x:f>
        <x:v>Not applicable</x:v>
      </x:c>
      <x:c r="N1496" s="8" t="str">
        <x:f aca="0">IF(AND(ISNUMBER(I1496),P1496&lt;&gt;"Unresolved unit / layout"),I1496*K1496,"Not applicable")</x:f>
        <x:v>Not applicable</x:v>
      </x:c>
      <x:c r="O1496" s="7" t="s">
        <x:v>1942</x:v>
      </x:c>
      <x:c r="P1496" s="7" t="s">
        <x:v>1921</x:v>
      </x:c>
      <x:c r="Q1496" s="7" t="s">
        <x:v>1930</x:v>
      </x:c>
      <x:c r="R1496" s="7" t="s">
        <x:v>1931</x:v>
      </x:c>
      <x:c r="S1496" s="7" t="s">
        <x:v>53</x:v>
      </x:c>
      <x:c r="T1496" s="7" t="s">
        <x:v>53</x:v>
      </x:c>
      <x:c r="U1496" s="7" t="s">
        <x:v>53</x:v>
      </x:c>
      <x:c r="V1496" s="7" t="s">
        <x:v>1932</x:v>
      </x:c>
      <x:c r="W1496" s="7" t="s">
        <x:v>58</x:v>
      </x:c>
      <x:c r="X1496" s="7" t="s">
        <x:v>4840</x:v>
      </x:c>
      <x:c r="Y1496" s="7" t="s">
        <x:v>1352</x:v>
      </x:c>
      <x:c r="Z1496" s="7" t="s">
        <x:v>1943</x:v>
      </x:c>
      <x:c r="AA1496" s="7" t="s">
        <x:v>58</x:v>
      </x:c>
      <x:c r="AB1496" s="8" t="s">
        <x:v>58</x:v>
      </x:c>
      <x:c r="AC1496" s="8" t="s">
        <x:v>58</x:v>
      </x:c>
      <x:c r="AD1496" s="8" t="s">
        <x:v>58</x:v>
      </x:c>
      <x:c r="AE1496" s="8" t="s">
        <x:v>58</x:v>
      </x:c>
      <x:c r="AF1496" s="8" t="s">
        <x:v>58</x:v>
      </x:c>
      <x:c r="AG1496" s="7" t="s">
        <x:v>58</x:v>
      </x:c>
    </x:row>
    <x:row r="1497" ht="51.75" hidden="0" customHeight="1">
      <x:c r="A1497" s="7" t="s">
        <x:v>4846</x:v>
      </x:c>
      <x:c r="B1497" s="7" t="s">
        <x:v>898</x:v>
      </x:c>
      <x:c r="C1497" s="7" t="s">
        <x:v>901</x:v>
      </x:c>
      <x:c r="D1497" s="7" t="s">
        <x:v>1945</x:v>
      </x:c>
      <x:c r="E1497" s="7" t="s">
        <x:v>4847</x:v>
      </x:c>
      <x:c r="F1497" s="7" t="s">
        <x:v>1929</x:v>
      </x:c>
      <x:c r="G1497" s="8" t="n">
        <x:v>41</x:v>
      </x:c>
      <x:c r="H1497" s="8" t="s">
        <x:v>58</x:v>
      </x:c>
      <x:c r="I1497" s="8" t="s">
        <x:v>58</x:v>
      </x:c>
      <x:c r="J1497" s="7" t="s">
        <x:v>1919</x:v>
      </x:c>
      <x:c r="K1497" s="8" t="n">
        <x:v>1</x:v>
      </x:c>
      <x:c r="L1497" s="8" t="n">
        <x:f aca="0">IF(AND(ISNUMBER(G1497),P1497&lt;&gt;"Unresolved unit / layout"),G1497*K1497,"Not applicable")</x:f>
        <x:v>41</x:v>
      </x:c>
      <x:c r="M1497" s="8" t="str">
        <x:f aca="0">IF(AND(ISNUMBER(H1497),P1497&lt;&gt;"Unresolved unit / layout"),H1497*K1497,"Not applicable")</x:f>
        <x:v>Not applicable</x:v>
      </x:c>
      <x:c r="N1497" s="8" t="str">
        <x:f aca="0">IF(AND(ISNUMBER(I1497),P1497&lt;&gt;"Unresolved unit / layout"),I1497*K1497,"Not applicable")</x:f>
        <x:v>Not applicable</x:v>
      </x:c>
      <x:c r="O1497" s="7" t="s">
        <x:v>1929</x:v>
      </x:c>
      <x:c r="P1497" s="7" t="s">
        <x:v>1921</x:v>
      </x:c>
      <x:c r="Q1497" s="7" t="s">
        <x:v>1930</x:v>
      </x:c>
      <x:c r="R1497" s="7" t="s">
        <x:v>1931</x:v>
      </x:c>
      <x:c r="S1497" s="7" t="s">
        <x:v>53</x:v>
      </x:c>
      <x:c r="T1497" s="7" t="s">
        <x:v>53</x:v>
      </x:c>
      <x:c r="U1497" s="7" t="s">
        <x:v>53</x:v>
      </x:c>
      <x:c r="V1497" s="7" t="s">
        <x:v>1947</x:v>
      </x:c>
      <x:c r="W1497" s="7" t="s">
        <x:v>58</x:v>
      </x:c>
      <x:c r="X1497" s="7" t="s">
        <x:v>4840</x:v>
      </x:c>
      <x:c r="Y1497" s="7" t="s">
        <x:v>1352</x:v>
      </x:c>
      <x:c r="Z1497" s="7" t="s">
        <x:v>1948</x:v>
      </x:c>
      <x:c r="AA1497" s="7" t="s">
        <x:v>58</x:v>
      </x:c>
      <x:c r="AB1497" s="8" t="s">
        <x:v>58</x:v>
      </x:c>
      <x:c r="AC1497" s="8" t="s">
        <x:v>58</x:v>
      </x:c>
      <x:c r="AD1497" s="8" t="s">
        <x:v>58</x:v>
      </x:c>
      <x:c r="AE1497" s="8" t="s">
        <x:v>58</x:v>
      </x:c>
      <x:c r="AF1497" s="8" t="s">
        <x:v>58</x:v>
      </x:c>
      <x:c r="AG1497" s="7" t="s">
        <x:v>58</x:v>
      </x:c>
    </x:row>
    <x:row r="1498" ht="51.75" hidden="0" customHeight="1">
      <x:c r="A1498" s="7" t="s">
        <x:v>4848</x:v>
      </x:c>
      <x:c r="B1498" s="7" t="s">
        <x:v>898</x:v>
      </x:c>
      <x:c r="C1498" s="7" t="s">
        <x:v>901</x:v>
      </x:c>
      <x:c r="D1498" s="7" t="s">
        <x:v>1950</x:v>
      </x:c>
      <x:c r="E1498" s="7" t="s">
        <x:v>4849</x:v>
      </x:c>
      <x:c r="F1498" s="7" t="s">
        <x:v>1929</x:v>
      </x:c>
      <x:c r="G1498" s="8" t="n">
        <x:v>1532</x:v>
      </x:c>
      <x:c r="H1498" s="8" t="s">
        <x:v>58</x:v>
      </x:c>
      <x:c r="I1498" s="8" t="s">
        <x:v>58</x:v>
      </x:c>
      <x:c r="J1498" s="7" t="s">
        <x:v>1919</x:v>
      </x:c>
      <x:c r="K1498" s="8" t="n">
        <x:v>0.001</x:v>
      </x:c>
      <x:c r="L1498" s="8" t="n">
        <x:f aca="0">IF(AND(ISNUMBER(G1498),P1498&lt;&gt;"Unresolved unit / layout"),G1498*K1498,"Not applicable")</x:f>
        <x:v>1.532</x:v>
      </x:c>
      <x:c r="M1498" s="8" t="str">
        <x:f aca="0">IF(AND(ISNUMBER(H1498),P1498&lt;&gt;"Unresolved unit / layout"),H1498*K1498,"Not applicable")</x:f>
        <x:v>Not applicable</x:v>
      </x:c>
      <x:c r="N1498" s="8" t="str">
        <x:f aca="0">IF(AND(ISNUMBER(I1498),P1498&lt;&gt;"Unresolved unit / layout"),I1498*K1498,"Not applicable")</x:f>
        <x:v>Not applicable</x:v>
      </x:c>
      <x:c r="O1498" s="7" t="s">
        <x:v>1937</x:v>
      </x:c>
      <x:c r="P1498" s="7" t="s">
        <x:v>1921</x:v>
      </x:c>
      <x:c r="Q1498" s="7" t="s">
        <x:v>1930</x:v>
      </x:c>
      <x:c r="R1498" s="7" t="s">
        <x:v>1931</x:v>
      </x:c>
      <x:c r="S1498" s="7" t="s">
        <x:v>53</x:v>
      </x:c>
      <x:c r="T1498" s="7" t="s">
        <x:v>53</x:v>
      </x:c>
      <x:c r="U1498" s="7" t="s">
        <x:v>53</x:v>
      </x:c>
      <x:c r="V1498" s="7" t="s">
        <x:v>1947</x:v>
      </x:c>
      <x:c r="W1498" s="7" t="s">
        <x:v>58</x:v>
      </x:c>
      <x:c r="X1498" s="7" t="s">
        <x:v>4840</x:v>
      </x:c>
      <x:c r="Y1498" s="7" t="s">
        <x:v>1352</x:v>
      </x:c>
      <x:c r="Z1498" s="7" t="s">
        <x:v>1952</x:v>
      </x:c>
      <x:c r="AA1498" s="7" t="s">
        <x:v>58</x:v>
      </x:c>
      <x:c r="AB1498" s="8" t="s">
        <x:v>58</x:v>
      </x:c>
      <x:c r="AC1498" s="8" t="s">
        <x:v>58</x:v>
      </x:c>
      <x:c r="AD1498" s="8" t="s">
        <x:v>58</x:v>
      </x:c>
      <x:c r="AE1498" s="8" t="s">
        <x:v>58</x:v>
      </x:c>
      <x:c r="AF1498" s="8" t="s">
        <x:v>58</x:v>
      </x:c>
      <x:c r="AG1498" s="7" t="s">
        <x:v>58</x:v>
      </x:c>
    </x:row>
    <x:row r="1499" ht="51.75" hidden="0" customHeight="1">
      <x:c r="A1499" s="7" t="s">
        <x:v>904</x:v>
      </x:c>
      <x:c r="B1499" s="7" t="s">
        <x:v>898</x:v>
      </x:c>
      <x:c r="C1499" s="7" t="s">
        <x:v>901</x:v>
      </x:c>
      <x:c r="D1499" s="7" t="s">
        <x:v>1959</x:v>
      </x:c>
      <x:c r="E1499" s="7" t="s">
        <x:v>4039</x:v>
      </x:c>
      <x:c r="F1499" s="7" t="s">
        <x:v>1956</x:v>
      </x:c>
      <x:c r="G1499" s="8" t="n">
        <x:v>94</x:v>
      </x:c>
      <x:c r="H1499" s="8" t="s">
        <x:v>58</x:v>
      </x:c>
      <x:c r="I1499" s="8" t="s">
        <x:v>58</x:v>
      </x:c>
      <x:c r="J1499" s="7" t="s">
        <x:v>1919</x:v>
      </x:c>
      <x:c r="K1499" s="8" t="n">
        <x:v>1</x:v>
      </x:c>
      <x:c r="L1499" s="8" t="n">
        <x:f aca="0">IF(AND(ISNUMBER(G1499),P1499&lt;&gt;"Unresolved unit / layout"),G1499*K1499,"Not applicable")</x:f>
        <x:v>94</x:v>
      </x:c>
      <x:c r="M1499" s="8" t="str">
        <x:f aca="0">IF(AND(ISNUMBER(H1499),P1499&lt;&gt;"Unresolved unit / layout"),H1499*K1499,"Not applicable")</x:f>
        <x:v>Not applicable</x:v>
      </x:c>
      <x:c r="N1499" s="8" t="str">
        <x:f aca="0">IF(AND(ISNUMBER(I1499),P1499&lt;&gt;"Unresolved unit / layout"),I1499*K1499,"Not applicable")</x:f>
        <x:v>Not applicable</x:v>
      </x:c>
      <x:c r="O1499" s="7" t="s">
        <x:v>1956</x:v>
      </x:c>
      <x:c r="P1499" s="7" t="s">
        <x:v>1921</x:v>
      </x:c>
      <x:c r="Q1499" s="7" t="s">
        <x:v>1930</x:v>
      </x:c>
      <x:c r="R1499" s="7" t="s">
        <x:v>58</x:v>
      </x:c>
      <x:c r="S1499" s="7" t="s">
        <x:v>53</x:v>
      </x:c>
      <x:c r="T1499" s="7" t="s">
        <x:v>53</x:v>
      </x:c>
      <x:c r="U1499" s="7" t="s">
        <x:v>53</x:v>
      </x:c>
      <x:c r="V1499" s="7" t="s">
        <x:v>1961</x:v>
      </x:c>
      <x:c r="W1499" s="7" t="s">
        <x:v>58</x:v>
      </x:c>
      <x:c r="X1499" s="7" t="s">
        <x:v>4840</x:v>
      </x:c>
      <x:c r="Y1499" s="7" t="s">
        <x:v>1352</x:v>
      </x:c>
      <x:c r="Z1499" s="7" t="s">
        <x:v>1962</x:v>
      </x:c>
      <x:c r="AA1499" s="7" t="s">
        <x:v>58</x:v>
      </x:c>
      <x:c r="AB1499" s="8" t="s">
        <x:v>58</x:v>
      </x:c>
      <x:c r="AC1499" s="8" t="s">
        <x:v>58</x:v>
      </x:c>
      <x:c r="AD1499" s="8" t="s">
        <x:v>58</x:v>
      </x:c>
      <x:c r="AE1499" s="8" t="s">
        <x:v>58</x:v>
      </x:c>
      <x:c r="AF1499" s="8" t="s">
        <x:v>58</x:v>
      </x:c>
      <x:c r="AG1499" s="7" t="s">
        <x:v>58</x:v>
      </x:c>
    </x:row>
    <x:row r="1500" ht="37.5" hidden="0" customHeight="1">
      <x:c r="A1500" s="7" t="s">
        <x:v>4850</x:v>
      </x:c>
      <x:c r="B1500" s="7" t="s">
        <x:v>898</x:v>
      </x:c>
      <x:c r="C1500" s="7" t="s">
        <x:v>1353</x:v>
      </x:c>
      <x:c r="D1500" s="7" t="s">
        <x:v>1940</x:v>
      </x:c>
      <x:c r="E1500" s="7" t="s">
        <x:v>4851</x:v>
      </x:c>
      <x:c r="F1500" s="7" t="s">
        <x:v>1942</x:v>
      </x:c>
      <x:c r="G1500" s="8" t="n">
        <x:v>460</x:v>
      </x:c>
      <x:c r="H1500" s="8" t="s">
        <x:v>58</x:v>
      </x:c>
      <x:c r="I1500" s="8" t="s">
        <x:v>58</x:v>
      </x:c>
      <x:c r="J1500" s="7" t="s">
        <x:v>1919</x:v>
      </x:c>
      <x:c r="K1500" s="8" t="n">
        <x:v>1</x:v>
      </x:c>
      <x:c r="L1500" s="8" t="n">
        <x:f aca="0">IF(AND(ISNUMBER(G1500),P1500&lt;&gt;"Unresolved unit / layout"),G1500*K1500,"Not applicable")</x:f>
        <x:v>460</x:v>
      </x:c>
      <x:c r="M1500" s="8" t="str">
        <x:f aca="0">IF(AND(ISNUMBER(H1500),P1500&lt;&gt;"Unresolved unit / layout"),H1500*K1500,"Not applicable")</x:f>
        <x:v>Not applicable</x:v>
      </x:c>
      <x:c r="N1500" s="8" t="str">
        <x:f aca="0">IF(AND(ISNUMBER(I1500),P1500&lt;&gt;"Unresolved unit / layout"),I1500*K1500,"Not applicable")</x:f>
        <x:v>Not applicable</x:v>
      </x:c>
      <x:c r="O1500" s="7" t="s">
        <x:v>1942</x:v>
      </x:c>
      <x:c r="P1500" s="7" t="s">
        <x:v>1921</x:v>
      </x:c>
      <x:c r="Q1500" s="7" t="s">
        <x:v>2064</x:v>
      </x:c>
      <x:c r="R1500" s="7" t="s">
        <x:v>53</x:v>
      </x:c>
      <x:c r="S1500" s="7" t="s">
        <x:v>53</x:v>
      </x:c>
      <x:c r="T1500" s="7" t="s">
        <x:v>53</x:v>
      </x:c>
      <x:c r="U1500" s="7" t="s">
        <x:v>53</x:v>
      </x:c>
      <x:c r="V1500" s="7" t="s">
        <x:v>4852</x:v>
      </x:c>
      <x:c r="W1500" s="7" t="s">
        <x:v>58</x:v>
      </x:c>
      <x:c r="X1500" s="7" t="s">
        <x:v>53</x:v>
      </x:c>
      <x:c r="Y1500" s="7" t="s">
        <x:v>1354</x:v>
      </x:c>
      <x:c r="Z1500" s="7" t="s">
        <x:v>4853</x:v>
      </x:c>
      <x:c r="AA1500" s="7" t="s">
        <x:v>58</x:v>
      </x:c>
      <x:c r="AB1500" s="8" t="s">
        <x:v>58</x:v>
      </x:c>
      <x:c r="AC1500" s="8" t="s">
        <x:v>58</x:v>
      </x:c>
      <x:c r="AD1500" s="8" t="s">
        <x:v>58</x:v>
      </x:c>
      <x:c r="AE1500" s="8" t="s">
        <x:v>58</x:v>
      </x:c>
      <x:c r="AF1500" s="8" t="s">
        <x:v>58</x:v>
      </x:c>
      <x:c r="AG1500" s="7" t="s">
        <x:v>58</x:v>
      </x:c>
    </x:row>
    <x:row r="1501" ht="37.5" hidden="0" customHeight="1">
      <x:c r="A1501" s="7" t="s">
        <x:v>4854</x:v>
      </x:c>
      <x:c r="B1501" s="7" t="s">
        <x:v>898</x:v>
      </x:c>
      <x:c r="C1501" s="7" t="s">
        <x:v>1353</x:v>
      </x:c>
      <x:c r="D1501" s="7" t="s">
        <x:v>1945</x:v>
      </x:c>
      <x:c r="E1501" s="7" t="s">
        <x:v>4855</x:v>
      </x:c>
      <x:c r="F1501" s="7" t="s">
        <x:v>1929</x:v>
      </x:c>
      <x:c r="G1501" s="8" t="n">
        <x:v>13.9</x:v>
      </x:c>
      <x:c r="H1501" s="8" t="s">
        <x:v>58</x:v>
      </x:c>
      <x:c r="I1501" s="8" t="s">
        <x:v>58</x:v>
      </x:c>
      <x:c r="J1501" s="7" t="s">
        <x:v>1919</x:v>
      </x:c>
      <x:c r="K1501" s="8" t="n">
        <x:v>1</x:v>
      </x:c>
      <x:c r="L1501" s="8" t="n">
        <x:f aca="0">IF(AND(ISNUMBER(G1501),P1501&lt;&gt;"Unresolved unit / layout"),G1501*K1501,"Not applicable")</x:f>
        <x:v>13.9</x:v>
      </x:c>
      <x:c r="M1501" s="8" t="str">
        <x:f aca="0">IF(AND(ISNUMBER(H1501),P1501&lt;&gt;"Unresolved unit / layout"),H1501*K1501,"Not applicable")</x:f>
        <x:v>Not applicable</x:v>
      </x:c>
      <x:c r="N1501" s="8" t="str">
        <x:f aca="0">IF(AND(ISNUMBER(I1501),P1501&lt;&gt;"Unresolved unit / layout"),I1501*K1501,"Not applicable")</x:f>
        <x:v>Not applicable</x:v>
      </x:c>
      <x:c r="O1501" s="7" t="s">
        <x:v>1929</x:v>
      </x:c>
      <x:c r="P1501" s="7" t="s">
        <x:v>1921</x:v>
      </x:c>
      <x:c r="Q1501" s="7" t="s">
        <x:v>2064</x:v>
      </x:c>
      <x:c r="R1501" s="7" t="s">
        <x:v>53</x:v>
      </x:c>
      <x:c r="S1501" s="7" t="s">
        <x:v>53</x:v>
      </x:c>
      <x:c r="T1501" s="7" t="s">
        <x:v>53</x:v>
      </x:c>
      <x:c r="U1501" s="7" t="s">
        <x:v>53</x:v>
      </x:c>
      <x:c r="V1501" s="7" t="s">
        <x:v>4856</x:v>
      </x:c>
      <x:c r="W1501" s="7" t="s">
        <x:v>58</x:v>
      </x:c>
      <x:c r="X1501" s="7" t="s">
        <x:v>53</x:v>
      </x:c>
      <x:c r="Y1501" s="7" t="s">
        <x:v>1354</x:v>
      </x:c>
      <x:c r="Z1501" s="7" t="s">
        <x:v>3489</x:v>
      </x:c>
      <x:c r="AA1501" s="7" t="s">
        <x:v>58</x:v>
      </x:c>
      <x:c r="AB1501" s="8" t="s">
        <x:v>58</x:v>
      </x:c>
      <x:c r="AC1501" s="8" t="s">
        <x:v>58</x:v>
      </x:c>
      <x:c r="AD1501" s="8" t="s">
        <x:v>58</x:v>
      </x:c>
      <x:c r="AE1501" s="8" t="s">
        <x:v>58</x:v>
      </x:c>
      <x:c r="AF1501" s="8" t="s">
        <x:v>58</x:v>
      </x:c>
      <x:c r="AG1501" s="7" t="s">
        <x:v>58</x:v>
      </x:c>
    </x:row>
    <x:row r="1502" ht="37.5" hidden="0" customHeight="1">
      <x:c r="A1502" s="7" t="s">
        <x:v>4857</x:v>
      </x:c>
      <x:c r="B1502" s="7" t="s">
        <x:v>898</x:v>
      </x:c>
      <x:c r="C1502" s="7" t="s">
        <x:v>1353</x:v>
      </x:c>
      <x:c r="D1502" s="7" t="s">
        <x:v>1950</x:v>
      </x:c>
      <x:c r="E1502" s="7" t="s">
        <x:v>4858</x:v>
      </x:c>
      <x:c r="F1502" s="7" t="s">
        <x:v>1929</x:v>
      </x:c>
      <x:c r="G1502" s="8" t="n">
        <x:v>390</x:v>
      </x:c>
      <x:c r="H1502" s="8" t="s">
        <x:v>58</x:v>
      </x:c>
      <x:c r="I1502" s="8" t="s">
        <x:v>58</x:v>
      </x:c>
      <x:c r="J1502" s="7" t="s">
        <x:v>1919</x:v>
      </x:c>
      <x:c r="K1502" s="8" t="n">
        <x:v>0.001</x:v>
      </x:c>
      <x:c r="L1502" s="8" t="n">
        <x:f aca="0">IF(AND(ISNUMBER(G1502),P1502&lt;&gt;"Unresolved unit / layout"),G1502*K1502,"Not applicable")</x:f>
        <x:v>0.39</x:v>
      </x:c>
      <x:c r="M1502" s="8" t="str">
        <x:f aca="0">IF(AND(ISNUMBER(H1502),P1502&lt;&gt;"Unresolved unit / layout"),H1502*K1502,"Not applicable")</x:f>
        <x:v>Not applicable</x:v>
      </x:c>
      <x:c r="N1502" s="8" t="str">
        <x:f aca="0">IF(AND(ISNUMBER(I1502),P1502&lt;&gt;"Unresolved unit / layout"),I1502*K1502,"Not applicable")</x:f>
        <x:v>Not applicable</x:v>
      </x:c>
      <x:c r="O1502" s="7" t="s">
        <x:v>1937</x:v>
      </x:c>
      <x:c r="P1502" s="7" t="s">
        <x:v>1921</x:v>
      </x:c>
      <x:c r="Q1502" s="7" t="s">
        <x:v>2064</x:v>
      </x:c>
      <x:c r="R1502" s="7" t="s">
        <x:v>53</x:v>
      </x:c>
      <x:c r="S1502" s="7" t="s">
        <x:v>53</x:v>
      </x:c>
      <x:c r="T1502" s="7" t="s">
        <x:v>53</x:v>
      </x:c>
      <x:c r="U1502" s="7" t="s">
        <x:v>53</x:v>
      </x:c>
      <x:c r="V1502" s="7" t="s">
        <x:v>4856</x:v>
      </x:c>
      <x:c r="W1502" s="7" t="s">
        <x:v>58</x:v>
      </x:c>
      <x:c r="X1502" s="7" t="s">
        <x:v>53</x:v>
      </x:c>
      <x:c r="Y1502" s="7" t="s">
        <x:v>1354</x:v>
      </x:c>
      <x:c r="Z1502" s="7" t="s">
        <x:v>1952</x:v>
      </x:c>
      <x:c r="AA1502" s="7" t="s">
        <x:v>58</x:v>
      </x:c>
      <x:c r="AB1502" s="8" t="s">
        <x:v>58</x:v>
      </x:c>
      <x:c r="AC1502" s="8" t="s">
        <x:v>58</x:v>
      </x:c>
      <x:c r="AD1502" s="8" t="s">
        <x:v>58</x:v>
      </x:c>
      <x:c r="AE1502" s="8" t="s">
        <x:v>58</x:v>
      </x:c>
      <x:c r="AF1502" s="8" t="s">
        <x:v>58</x:v>
      </x:c>
      <x:c r="AG1502" s="7" t="s">
        <x:v>58</x:v>
      </x:c>
    </x:row>
    <x:row r="1503" ht="37.5" hidden="0" customHeight="1">
      <x:c r="A1503" s="7" t="s">
        <x:v>4859</x:v>
      </x:c>
      <x:c r="B1503" s="7" t="s">
        <x:v>898</x:v>
      </x:c>
      <x:c r="C1503" s="7" t="s">
        <x:v>1353</x:v>
      </x:c>
      <x:c r="D1503" s="7" t="s">
        <x:v>1974</x:v>
      </x:c>
      <x:c r="E1503" s="7" t="s">
        <x:v>4860</x:v>
      </x:c>
      <x:c r="F1503" s="7" t="s">
        <x:v>2273</x:v>
      </x:c>
      <x:c r="G1503" s="8" t="n">
        <x:v>169.4</x:v>
      </x:c>
      <x:c r="H1503" s="8" t="s">
        <x:v>58</x:v>
      </x:c>
      <x:c r="I1503" s="8" t="s">
        <x:v>58</x:v>
      </x:c>
      <x:c r="J1503" s="7" t="s">
        <x:v>1919</x:v>
      </x:c>
      <x:c r="K1503" s="8" t="n">
        <x:v>1</x:v>
      </x:c>
      <x:c r="L1503" s="8" t="n">
        <x:f aca="0">IF(AND(ISNUMBER(G1503),P1503&lt;&gt;"Unresolved unit / layout"),G1503*K1503,"Not applicable")</x:f>
        <x:v>169.4</x:v>
      </x:c>
      <x:c r="M1503" s="8" t="str">
        <x:f aca="0">IF(AND(ISNUMBER(H1503),P1503&lt;&gt;"Unresolved unit / layout"),H1503*K1503,"Not applicable")</x:f>
        <x:v>Not applicable</x:v>
      </x:c>
      <x:c r="N1503" s="8" t="str">
        <x:f aca="0">IF(AND(ISNUMBER(I1503),P1503&lt;&gt;"Unresolved unit / layout"),I1503*K1503,"Not applicable")</x:f>
        <x:v>Not applicable</x:v>
      </x:c>
      <x:c r="O1503" s="7" t="s">
        <x:v>1956</x:v>
      </x:c>
      <x:c r="P1503" s="7" t="s">
        <x:v>1921</x:v>
      </x:c>
      <x:c r="Q1503" s="7" t="s">
        <x:v>2064</x:v>
      </x:c>
      <x:c r="R1503" s="7" t="s">
        <x:v>58</x:v>
      </x:c>
      <x:c r="S1503" s="7" t="s">
        <x:v>53</x:v>
      </x:c>
      <x:c r="T1503" s="7" t="s">
        <x:v>53</x:v>
      </x:c>
      <x:c r="U1503" s="7" t="s">
        <x:v>53</x:v>
      </x:c>
      <x:c r="V1503" s="7" t="s">
        <x:v>53</x:v>
      </x:c>
      <x:c r="W1503" s="7" t="s">
        <x:v>58</x:v>
      </x:c>
      <x:c r="X1503" s="7" t="s">
        <x:v>53</x:v>
      </x:c>
      <x:c r="Y1503" s="7" t="s">
        <x:v>1354</x:v>
      </x:c>
      <x:c r="Z1503" s="7" t="s">
        <x:v>4861</x:v>
      </x:c>
      <x:c r="AA1503" s="7" t="s">
        <x:v>58</x:v>
      </x:c>
      <x:c r="AB1503" s="8" t="s">
        <x:v>58</x:v>
      </x:c>
      <x:c r="AC1503" s="8" t="s">
        <x:v>58</x:v>
      </x:c>
      <x:c r="AD1503" s="8" t="s">
        <x:v>58</x:v>
      </x:c>
      <x:c r="AE1503" s="8" t="s">
        <x:v>58</x:v>
      </x:c>
      <x:c r="AF1503" s="8" t="s">
        <x:v>58</x:v>
      </x:c>
      <x:c r="AG1503" s="7" t="s">
        <x:v>58</x:v>
      </x:c>
    </x:row>
    <x:row r="1504" ht="37.5" hidden="0" customHeight="1">
      <x:c r="A1504" s="7" t="s">
        <x:v>4862</x:v>
      </x:c>
      <x:c r="B1504" s="7" t="s">
        <x:v>898</x:v>
      </x:c>
      <x:c r="C1504" s="7" t="s">
        <x:v>1353</x:v>
      </x:c>
      <x:c r="D1504" s="7" t="s">
        <x:v>1959</x:v>
      </x:c>
      <x:c r="E1504" s="7" t="s">
        <x:v>3721</x:v>
      </x:c>
      <x:c r="F1504" s="7" t="s">
        <x:v>2273</x:v>
      </x:c>
      <x:c r="G1504" s="8" t="n">
        <x:v>92</x:v>
      </x:c>
      <x:c r="H1504" s="8" t="s">
        <x:v>58</x:v>
      </x:c>
      <x:c r="I1504" s="8" t="s">
        <x:v>58</x:v>
      </x:c>
      <x:c r="J1504" s="7" t="s">
        <x:v>1919</x:v>
      </x:c>
      <x:c r="K1504" s="8" t="n">
        <x:v>1</x:v>
      </x:c>
      <x:c r="L1504" s="8" t="n">
        <x:f aca="0">IF(AND(ISNUMBER(G1504),P1504&lt;&gt;"Unresolved unit / layout"),G1504*K1504,"Not applicable")</x:f>
        <x:v>92</x:v>
      </x:c>
      <x:c r="M1504" s="8" t="str">
        <x:f aca="0">IF(AND(ISNUMBER(H1504),P1504&lt;&gt;"Unresolved unit / layout"),H1504*K1504,"Not applicable")</x:f>
        <x:v>Not applicable</x:v>
      </x:c>
      <x:c r="N1504" s="8" t="str">
        <x:f aca="0">IF(AND(ISNUMBER(I1504),P1504&lt;&gt;"Unresolved unit / layout"),I1504*K1504,"Not applicable")</x:f>
        <x:v>Not applicable</x:v>
      </x:c>
      <x:c r="O1504" s="7" t="s">
        <x:v>1956</x:v>
      </x:c>
      <x:c r="P1504" s="7" t="s">
        <x:v>1921</x:v>
      </x:c>
      <x:c r="Q1504" s="7" t="s">
        <x:v>2064</x:v>
      </x:c>
      <x:c r="R1504" s="7" t="s">
        <x:v>58</x:v>
      </x:c>
      <x:c r="S1504" s="7" t="s">
        <x:v>53</x:v>
      </x:c>
      <x:c r="T1504" s="7" t="s">
        <x:v>53</x:v>
      </x:c>
      <x:c r="U1504" s="7" t="s">
        <x:v>53</x:v>
      </x:c>
      <x:c r="V1504" s="7" t="s">
        <x:v>1961</x:v>
      </x:c>
      <x:c r="W1504" s="7" t="s">
        <x:v>58</x:v>
      </x:c>
      <x:c r="X1504" s="7" t="s">
        <x:v>53</x:v>
      </x:c>
      <x:c r="Y1504" s="7" t="s">
        <x:v>1354</x:v>
      </x:c>
      <x:c r="Z1504" s="7" t="s">
        <x:v>4863</x:v>
      </x:c>
      <x:c r="AA1504" s="7" t="s">
        <x:v>3090</x:v>
      </x:c>
      <x:c r="AB1504" s="8" t="s">
        <x:v>58</x:v>
      </x:c>
      <x:c r="AC1504" s="8" t="s">
        <x:v>58</x:v>
      </x:c>
      <x:c r="AD1504" s="8" t="s">
        <x:v>58</x:v>
      </x:c>
      <x:c r="AE1504" s="8" t="s">
        <x:v>58</x:v>
      </x:c>
      <x:c r="AF1504" s="8" t="s">
        <x:v>58</x:v>
      </x:c>
      <x:c r="AG1504" s="7" t="s">
        <x:v>58</x:v>
      </x:c>
    </x:row>
    <x:row r="1505" ht="51.75" hidden="0" customHeight="1">
      <x:c r="A1505" s="7" t="s">
        <x:v>4864</x:v>
      </x:c>
      <x:c r="B1505" s="7" t="s">
        <x:v>910</x:v>
      </x:c>
      <x:c r="C1505" s="7" t="s">
        <x:v>912</x:v>
      </x:c>
      <x:c r="D1505" s="7" t="s">
        <x:v>1916</x:v>
      </x:c>
      <x:c r="E1505" s="7" t="s">
        <x:v>4865</x:v>
      </x:c>
      <x:c r="F1505" s="7" t="s">
        <x:v>1918</x:v>
      </x:c>
      <x:c r="G1505" s="8" t="n">
        <x:v>1.1</x:v>
      </x:c>
      <x:c r="H1505" s="8" t="s">
        <x:v>58</x:v>
      </x:c>
      <x:c r="I1505" s="8" t="s">
        <x:v>58</x:v>
      </x:c>
      <x:c r="J1505" s="7" t="s">
        <x:v>1919</x:v>
      </x:c>
      <x:c r="K1505" s="8" t="n">
        <x:v>1000</x:v>
      </x:c>
      <x:c r="L1505" s="8" t="n">
        <x:f aca="0">IF(AND(ISNUMBER(G1505),P1505&lt;&gt;"Unresolved unit / layout"),G1505*K1505,"Not applicable")</x:f>
        <x:v>1100</x:v>
      </x:c>
      <x:c r="M1505" s="8" t="str">
        <x:f aca="0">IF(AND(ISNUMBER(H1505),P1505&lt;&gt;"Unresolved unit / layout"),H1505*K1505,"Not applicable")</x:f>
        <x:v>Not applicable</x:v>
      </x:c>
      <x:c r="N1505" s="8" t="str">
        <x:f aca="0">IF(AND(ISNUMBER(I1505),P1505&lt;&gt;"Unresolved unit / layout"),I1505*K1505,"Not applicable")</x:f>
        <x:v>Not applicable</x:v>
      </x:c>
      <x:c r="O1505" s="7" t="s">
        <x:v>1920</x:v>
      </x:c>
      <x:c r="P1505" s="7" t="s">
        <x:v>1921</x:v>
      </x:c>
      <x:c r="Q1505" s="7" t="s">
        <x:v>1922</x:v>
      </x:c>
      <x:c r="R1505" s="7" t="s">
        <x:v>58</x:v>
      </x:c>
      <x:c r="S1505" s="7" t="s">
        <x:v>53</x:v>
      </x:c>
      <x:c r="T1505" s="7" t="s">
        <x:v>53</x:v>
      </x:c>
      <x:c r="U1505" s="7" t="s">
        <x:v>53</x:v>
      </x:c>
      <x:c r="V1505" s="7" t="s">
        <x:v>1923</x:v>
      </x:c>
      <x:c r="W1505" s="7" t="s">
        <x:v>58</x:v>
      </x:c>
      <x:c r="X1505" s="7" t="s">
        <x:v>4866</x:v>
      </x:c>
      <x:c r="Y1505" s="7" t="s">
        <x:v>1356</x:v>
      </x:c>
      <x:c r="Z1505" s="7" t="s">
        <x:v>1925</x:v>
      </x:c>
      <x:c r="AA1505" s="7" t="s">
        <x:v>58</x:v>
      </x:c>
      <x:c r="AB1505" s="8" t="s">
        <x:v>58</x:v>
      </x:c>
      <x:c r="AC1505" s="8" t="s">
        <x:v>58</x:v>
      </x:c>
      <x:c r="AD1505" s="8" t="s">
        <x:v>58</x:v>
      </x:c>
      <x:c r="AE1505" s="8" t="s">
        <x:v>58</x:v>
      </x:c>
      <x:c r="AF1505" s="8" t="s">
        <x:v>58</x:v>
      </x:c>
      <x:c r="AG1505" s="7" t="s">
        <x:v>58</x:v>
      </x:c>
    </x:row>
    <x:row r="1506" ht="51.75" hidden="0" customHeight="1">
      <x:c r="A1506" s="7" t="s">
        <x:v>4867</x:v>
      </x:c>
      <x:c r="B1506" s="7" t="s">
        <x:v>910</x:v>
      </x:c>
      <x:c r="C1506" s="7" t="s">
        <x:v>912</x:v>
      </x:c>
      <x:c r="D1506" s="7" t="s">
        <x:v>1927</x:v>
      </x:c>
      <x:c r="E1506" s="7" t="s">
        <x:v>4868</x:v>
      </x:c>
      <x:c r="F1506" s="7" t="s">
        <x:v>1929</x:v>
      </x:c>
      <x:c r="G1506" s="8" t="n">
        <x:v>78</x:v>
      </x:c>
      <x:c r="H1506" s="8" t="s">
        <x:v>58</x:v>
      </x:c>
      <x:c r="I1506" s="8" t="s">
        <x:v>58</x:v>
      </x:c>
      <x:c r="J1506" s="7" t="s">
        <x:v>1919</x:v>
      </x:c>
      <x:c r="K1506" s="8" t="n">
        <x:v>1</x:v>
      </x:c>
      <x:c r="L1506" s="8" t="n">
        <x:f aca="0">IF(AND(ISNUMBER(G1506),P1506&lt;&gt;"Unresolved unit / layout"),G1506*K1506,"Not applicable")</x:f>
        <x:v>78</x:v>
      </x:c>
      <x:c r="M1506" s="8" t="str">
        <x:f aca="0">IF(AND(ISNUMBER(H1506),P1506&lt;&gt;"Unresolved unit / layout"),H1506*K1506,"Not applicable")</x:f>
        <x:v>Not applicable</x:v>
      </x:c>
      <x:c r="N1506" s="8" t="str">
        <x:f aca="0">IF(AND(ISNUMBER(I1506),P1506&lt;&gt;"Unresolved unit / layout"),I1506*K1506,"Not applicable")</x:f>
        <x:v>Not applicable</x:v>
      </x:c>
      <x:c r="O1506" s="7" t="s">
        <x:v>1929</x:v>
      </x:c>
      <x:c r="P1506" s="7" t="s">
        <x:v>1921</x:v>
      </x:c>
      <x:c r="Q1506" s="7" t="s">
        <x:v>1930</x:v>
      </x:c>
      <x:c r="R1506" s="7" t="s">
        <x:v>1931</x:v>
      </x:c>
      <x:c r="S1506" s="7" t="s">
        <x:v>53</x:v>
      </x:c>
      <x:c r="T1506" s="7" t="s">
        <x:v>53</x:v>
      </x:c>
      <x:c r="U1506" s="7" t="s">
        <x:v>53</x:v>
      </x:c>
      <x:c r="V1506" s="7" t="s">
        <x:v>1932</x:v>
      </x:c>
      <x:c r="W1506" s="7" t="s">
        <x:v>58</x:v>
      </x:c>
      <x:c r="X1506" s="7" t="s">
        <x:v>4866</x:v>
      </x:c>
      <x:c r="Y1506" s="7" t="s">
        <x:v>1356</x:v>
      </x:c>
      <x:c r="Z1506" s="7" t="s">
        <x:v>1933</x:v>
      </x:c>
      <x:c r="AA1506" s="7" t="s">
        <x:v>58</x:v>
      </x:c>
      <x:c r="AB1506" s="8" t="s">
        <x:v>58</x:v>
      </x:c>
      <x:c r="AC1506" s="8" t="s">
        <x:v>58</x:v>
      </x:c>
      <x:c r="AD1506" s="8" t="s">
        <x:v>58</x:v>
      </x:c>
      <x:c r="AE1506" s="8" t="s">
        <x:v>58</x:v>
      </x:c>
      <x:c r="AF1506" s="8" t="s">
        <x:v>58</x:v>
      </x:c>
      <x:c r="AG1506" s="7" t="s">
        <x:v>58</x:v>
      </x:c>
    </x:row>
    <x:row r="1507" ht="51.75" hidden="0" customHeight="1">
      <x:c r="A1507" s="7" t="s">
        <x:v>4869</x:v>
      </x:c>
      <x:c r="B1507" s="7" t="s">
        <x:v>910</x:v>
      </x:c>
      <x:c r="C1507" s="7" t="s">
        <x:v>912</x:v>
      </x:c>
      <x:c r="D1507" s="7" t="s">
        <x:v>1935</x:v>
      </x:c>
      <x:c r="E1507" s="7" t="s">
        <x:v>4870</x:v>
      </x:c>
      <x:c r="F1507" s="7" t="s">
        <x:v>1929</x:v>
      </x:c>
      <x:c r="G1507" s="8" t="n">
        <x:v>6150</x:v>
      </x:c>
      <x:c r="H1507" s="8" t="s">
        <x:v>58</x:v>
      </x:c>
      <x:c r="I1507" s="8" t="s">
        <x:v>58</x:v>
      </x:c>
      <x:c r="J1507" s="7" t="s">
        <x:v>1919</x:v>
      </x:c>
      <x:c r="K1507" s="8" t="n">
        <x:v>0.001</x:v>
      </x:c>
      <x:c r="L1507" s="8" t="n">
        <x:f aca="0">IF(AND(ISNUMBER(G1507),P1507&lt;&gt;"Unresolved unit / layout"),G1507*K1507,"Not applicable")</x:f>
        <x:v>6.15</x:v>
      </x:c>
      <x:c r="M1507" s="8" t="str">
        <x:f aca="0">IF(AND(ISNUMBER(H1507),P1507&lt;&gt;"Unresolved unit / layout"),H1507*K1507,"Not applicable")</x:f>
        <x:v>Not applicable</x:v>
      </x:c>
      <x:c r="N1507" s="8" t="str">
        <x:f aca="0">IF(AND(ISNUMBER(I1507),P1507&lt;&gt;"Unresolved unit / layout"),I1507*K1507,"Not applicable")</x:f>
        <x:v>Not applicable</x:v>
      </x:c>
      <x:c r="O1507" s="7" t="s">
        <x:v>1937</x:v>
      </x:c>
      <x:c r="P1507" s="7" t="s">
        <x:v>1921</x:v>
      </x:c>
      <x:c r="Q1507" s="7" t="s">
        <x:v>1930</x:v>
      </x:c>
      <x:c r="R1507" s="7" t="s">
        <x:v>1931</x:v>
      </x:c>
      <x:c r="S1507" s="7" t="s">
        <x:v>53</x:v>
      </x:c>
      <x:c r="T1507" s="7" t="s">
        <x:v>53</x:v>
      </x:c>
      <x:c r="U1507" s="7" t="s">
        <x:v>53</x:v>
      </x:c>
      <x:c r="V1507" s="7" t="s">
        <x:v>1932</x:v>
      </x:c>
      <x:c r="W1507" s="7" t="s">
        <x:v>58</x:v>
      </x:c>
      <x:c r="X1507" s="7" t="s">
        <x:v>4866</x:v>
      </x:c>
      <x:c r="Y1507" s="7" t="s">
        <x:v>1356</x:v>
      </x:c>
      <x:c r="Z1507" s="7" t="s">
        <x:v>1938</x:v>
      </x:c>
      <x:c r="AA1507" s="7" t="s">
        <x:v>58</x:v>
      </x:c>
      <x:c r="AB1507" s="8" t="s">
        <x:v>58</x:v>
      </x:c>
      <x:c r="AC1507" s="8" t="s">
        <x:v>58</x:v>
      </x:c>
      <x:c r="AD1507" s="8" t="s">
        <x:v>58</x:v>
      </x:c>
      <x:c r="AE1507" s="8" t="s">
        <x:v>58</x:v>
      </x:c>
      <x:c r="AF1507" s="8" t="s">
        <x:v>58</x:v>
      </x:c>
      <x:c r="AG1507" s="7" t="s">
        <x:v>58</x:v>
      </x:c>
    </x:row>
    <x:row r="1508" ht="51.75" hidden="0" customHeight="1">
      <x:c r="A1508" s="7" t="s">
        <x:v>4871</x:v>
      </x:c>
      <x:c r="B1508" s="7" t="s">
        <x:v>910</x:v>
      </x:c>
      <x:c r="C1508" s="7" t="s">
        <x:v>912</x:v>
      </x:c>
      <x:c r="D1508" s="7" t="s">
        <x:v>1940</x:v>
      </x:c>
      <x:c r="E1508" s="7" t="s">
        <x:v>4872</x:v>
      </x:c>
      <x:c r="F1508" s="7" t="s">
        <x:v>1942</x:v>
      </x:c>
      <x:c r="G1508" s="8" t="n">
        <x:v>1.5</x:v>
      </x:c>
      <x:c r="H1508" s="8" t="s">
        <x:v>58</x:v>
      </x:c>
      <x:c r="I1508" s="8" t="s">
        <x:v>58</x:v>
      </x:c>
      <x:c r="J1508" s="7" t="s">
        <x:v>1919</x:v>
      </x:c>
      <x:c r="K1508" s="8" t="n">
        <x:v>1</x:v>
      </x:c>
      <x:c r="L1508" s="8" t="n">
        <x:f aca="0">IF(AND(ISNUMBER(G1508),P1508&lt;&gt;"Unresolved unit / layout"),G1508*K1508,"Not applicable")</x:f>
        <x:v>1.5</x:v>
      </x:c>
      <x:c r="M1508" s="8" t="str">
        <x:f aca="0">IF(AND(ISNUMBER(H1508),P1508&lt;&gt;"Unresolved unit / layout"),H1508*K1508,"Not applicable")</x:f>
        <x:v>Not applicable</x:v>
      </x:c>
      <x:c r="N1508" s="8" t="str">
        <x:f aca="0">IF(AND(ISNUMBER(I1508),P1508&lt;&gt;"Unresolved unit / layout"),I1508*K1508,"Not applicable")</x:f>
        <x:v>Not applicable</x:v>
      </x:c>
      <x:c r="O1508" s="7" t="s">
        <x:v>1942</x:v>
      </x:c>
      <x:c r="P1508" s="7" t="s">
        <x:v>1921</x:v>
      </x:c>
      <x:c r="Q1508" s="7" t="s">
        <x:v>1930</x:v>
      </x:c>
      <x:c r="R1508" s="7" t="s">
        <x:v>1931</x:v>
      </x:c>
      <x:c r="S1508" s="7" t="s">
        <x:v>53</x:v>
      </x:c>
      <x:c r="T1508" s="7" t="s">
        <x:v>53</x:v>
      </x:c>
      <x:c r="U1508" s="7" t="s">
        <x:v>53</x:v>
      </x:c>
      <x:c r="V1508" s="7" t="s">
        <x:v>1932</x:v>
      </x:c>
      <x:c r="W1508" s="7" t="s">
        <x:v>58</x:v>
      </x:c>
      <x:c r="X1508" s="7" t="s">
        <x:v>4866</x:v>
      </x:c>
      <x:c r="Y1508" s="7" t="s">
        <x:v>1356</x:v>
      </x:c>
      <x:c r="Z1508" s="7" t="s">
        <x:v>1943</x:v>
      </x:c>
      <x:c r="AA1508" s="7" t="s">
        <x:v>58</x:v>
      </x:c>
      <x:c r="AB1508" s="8" t="s">
        <x:v>58</x:v>
      </x:c>
      <x:c r="AC1508" s="8" t="s">
        <x:v>58</x:v>
      </x:c>
      <x:c r="AD1508" s="8" t="s">
        <x:v>58</x:v>
      </x:c>
      <x:c r="AE1508" s="8" t="s">
        <x:v>58</x:v>
      </x:c>
      <x:c r="AF1508" s="8" t="s">
        <x:v>58</x:v>
      </x:c>
      <x:c r="AG1508" s="7" t="s">
        <x:v>58</x:v>
      </x:c>
    </x:row>
    <x:row r="1509" ht="51.75" hidden="0" customHeight="1">
      <x:c r="A1509" s="7" t="s">
        <x:v>4873</x:v>
      </x:c>
      <x:c r="B1509" s="7" t="s">
        <x:v>910</x:v>
      </x:c>
      <x:c r="C1509" s="7" t="s">
        <x:v>912</x:v>
      </x:c>
      <x:c r="D1509" s="7" t="s">
        <x:v>1945</x:v>
      </x:c>
      <x:c r="E1509" s="7" t="s">
        <x:v>4310</x:v>
      </x:c>
      <x:c r="F1509" s="7" t="s">
        <x:v>1929</x:v>
      </x:c>
      <x:c r="G1509" s="8" t="n">
        <x:v>68</x:v>
      </x:c>
      <x:c r="H1509" s="8" t="s">
        <x:v>58</x:v>
      </x:c>
      <x:c r="I1509" s="8" t="s">
        <x:v>58</x:v>
      </x:c>
      <x:c r="J1509" s="7" t="s">
        <x:v>1919</x:v>
      </x:c>
      <x:c r="K1509" s="8" t="n">
        <x:v>1</x:v>
      </x:c>
      <x:c r="L1509" s="8" t="n">
        <x:f aca="0">IF(AND(ISNUMBER(G1509),P1509&lt;&gt;"Unresolved unit / layout"),G1509*K1509,"Not applicable")</x:f>
        <x:v>68</x:v>
      </x:c>
      <x:c r="M1509" s="8" t="str">
        <x:f aca="0">IF(AND(ISNUMBER(H1509),P1509&lt;&gt;"Unresolved unit / layout"),H1509*K1509,"Not applicable")</x:f>
        <x:v>Not applicable</x:v>
      </x:c>
      <x:c r="N1509" s="8" t="str">
        <x:f aca="0">IF(AND(ISNUMBER(I1509),P1509&lt;&gt;"Unresolved unit / layout"),I1509*K1509,"Not applicable")</x:f>
        <x:v>Not applicable</x:v>
      </x:c>
      <x:c r="O1509" s="7" t="s">
        <x:v>1929</x:v>
      </x:c>
      <x:c r="P1509" s="7" t="s">
        <x:v>1921</x:v>
      </x:c>
      <x:c r="Q1509" s="7" t="s">
        <x:v>1930</x:v>
      </x:c>
      <x:c r="R1509" s="7" t="s">
        <x:v>1931</x:v>
      </x:c>
      <x:c r="S1509" s="7" t="s">
        <x:v>53</x:v>
      </x:c>
      <x:c r="T1509" s="7" t="s">
        <x:v>53</x:v>
      </x:c>
      <x:c r="U1509" s="7" t="s">
        <x:v>53</x:v>
      </x:c>
      <x:c r="V1509" s="7" t="s">
        <x:v>1947</x:v>
      </x:c>
      <x:c r="W1509" s="7" t="s">
        <x:v>58</x:v>
      </x:c>
      <x:c r="X1509" s="7" t="s">
        <x:v>4866</x:v>
      </x:c>
      <x:c r="Y1509" s="7" t="s">
        <x:v>1356</x:v>
      </x:c>
      <x:c r="Z1509" s="7" t="s">
        <x:v>1948</x:v>
      </x:c>
      <x:c r="AA1509" s="7" t="s">
        <x:v>58</x:v>
      </x:c>
      <x:c r="AB1509" s="8" t="s">
        <x:v>58</x:v>
      </x:c>
      <x:c r="AC1509" s="8" t="s">
        <x:v>58</x:v>
      </x:c>
      <x:c r="AD1509" s="8" t="s">
        <x:v>58</x:v>
      </x:c>
      <x:c r="AE1509" s="8" t="s">
        <x:v>58</x:v>
      </x:c>
      <x:c r="AF1509" s="8" t="s">
        <x:v>58</x:v>
      </x:c>
      <x:c r="AG1509" s="7" t="s">
        <x:v>58</x:v>
      </x:c>
    </x:row>
    <x:row r="1510" ht="51.75" hidden="0" customHeight="1">
      <x:c r="A1510" s="7" t="s">
        <x:v>4874</x:v>
      </x:c>
      <x:c r="B1510" s="7" t="s">
        <x:v>910</x:v>
      </x:c>
      <x:c r="C1510" s="7" t="s">
        <x:v>912</x:v>
      </x:c>
      <x:c r="D1510" s="7" t="s">
        <x:v>1950</x:v>
      </x:c>
      <x:c r="E1510" s="7" t="s">
        <x:v>4875</x:v>
      </x:c>
      <x:c r="F1510" s="7" t="s">
        <x:v>1929</x:v>
      </x:c>
      <x:c r="G1510" s="8" t="n">
        <x:v>6100</x:v>
      </x:c>
      <x:c r="H1510" s="8" t="s">
        <x:v>58</x:v>
      </x:c>
      <x:c r="I1510" s="8" t="s">
        <x:v>58</x:v>
      </x:c>
      <x:c r="J1510" s="7" t="s">
        <x:v>1919</x:v>
      </x:c>
      <x:c r="K1510" s="8" t="n">
        <x:v>0.001</x:v>
      </x:c>
      <x:c r="L1510" s="8" t="n">
        <x:f aca="0">IF(AND(ISNUMBER(G1510),P1510&lt;&gt;"Unresolved unit / layout"),G1510*K1510,"Not applicable")</x:f>
        <x:v>6.1000000000000005</x:v>
      </x:c>
      <x:c r="M1510" s="8" t="str">
        <x:f aca="0">IF(AND(ISNUMBER(H1510),P1510&lt;&gt;"Unresolved unit / layout"),H1510*K1510,"Not applicable")</x:f>
        <x:v>Not applicable</x:v>
      </x:c>
      <x:c r="N1510" s="8" t="str">
        <x:f aca="0">IF(AND(ISNUMBER(I1510),P1510&lt;&gt;"Unresolved unit / layout"),I1510*K1510,"Not applicable")</x:f>
        <x:v>Not applicable</x:v>
      </x:c>
      <x:c r="O1510" s="7" t="s">
        <x:v>1937</x:v>
      </x:c>
      <x:c r="P1510" s="7" t="s">
        <x:v>1921</x:v>
      </x:c>
      <x:c r="Q1510" s="7" t="s">
        <x:v>1930</x:v>
      </x:c>
      <x:c r="R1510" s="7" t="s">
        <x:v>1931</x:v>
      </x:c>
      <x:c r="S1510" s="7" t="s">
        <x:v>53</x:v>
      </x:c>
      <x:c r="T1510" s="7" t="s">
        <x:v>53</x:v>
      </x:c>
      <x:c r="U1510" s="7" t="s">
        <x:v>53</x:v>
      </x:c>
      <x:c r="V1510" s="7" t="s">
        <x:v>1947</x:v>
      </x:c>
      <x:c r="W1510" s="7" t="s">
        <x:v>58</x:v>
      </x:c>
      <x:c r="X1510" s="7" t="s">
        <x:v>4866</x:v>
      </x:c>
      <x:c r="Y1510" s="7" t="s">
        <x:v>1356</x:v>
      </x:c>
      <x:c r="Z1510" s="7" t="s">
        <x:v>1952</x:v>
      </x:c>
      <x:c r="AA1510" s="7" t="s">
        <x:v>58</x:v>
      </x:c>
      <x:c r="AB1510" s="8" t="s">
        <x:v>58</x:v>
      </x:c>
      <x:c r="AC1510" s="8" t="s">
        <x:v>58</x:v>
      </x:c>
      <x:c r="AD1510" s="8" t="s">
        <x:v>58</x:v>
      </x:c>
      <x:c r="AE1510" s="8" t="s">
        <x:v>58</x:v>
      </x:c>
      <x:c r="AF1510" s="8" t="s">
        <x:v>58</x:v>
      </x:c>
      <x:c r="AG1510" s="7" t="s">
        <x:v>58</x:v>
      </x:c>
    </x:row>
    <x:row r="1511" ht="51.75" hidden="0" customHeight="1">
      <x:c r="A1511" s="7" t="s">
        <x:v>918</x:v>
      </x:c>
      <x:c r="B1511" s="7" t="s">
        <x:v>910</x:v>
      </x:c>
      <x:c r="C1511" s="7" t="s">
        <x:v>912</x:v>
      </x:c>
      <x:c r="D1511" s="7" t="s">
        <x:v>1959</x:v>
      </x:c>
      <x:c r="E1511" s="7" t="s">
        <x:v>4876</x:v>
      </x:c>
      <x:c r="F1511" s="7" t="s">
        <x:v>1956</x:v>
      </x:c>
      <x:c r="G1511" s="8" t="n">
        <x:v>124</x:v>
      </x:c>
      <x:c r="H1511" s="8" t="s">
        <x:v>58</x:v>
      </x:c>
      <x:c r="I1511" s="8" t="s">
        <x:v>58</x:v>
      </x:c>
      <x:c r="J1511" s="7" t="s">
        <x:v>1919</x:v>
      </x:c>
      <x:c r="K1511" s="8" t="n">
        <x:v>1</x:v>
      </x:c>
      <x:c r="L1511" s="8" t="n">
        <x:f aca="0">IF(AND(ISNUMBER(G1511),P1511&lt;&gt;"Unresolved unit / layout"),G1511*K1511,"Not applicable")</x:f>
        <x:v>124</x:v>
      </x:c>
      <x:c r="M1511" s="8" t="str">
        <x:f aca="0">IF(AND(ISNUMBER(H1511),P1511&lt;&gt;"Unresolved unit / layout"),H1511*K1511,"Not applicable")</x:f>
        <x:v>Not applicable</x:v>
      </x:c>
      <x:c r="N1511" s="8" t="str">
        <x:f aca="0">IF(AND(ISNUMBER(I1511),P1511&lt;&gt;"Unresolved unit / layout"),I1511*K1511,"Not applicable")</x:f>
        <x:v>Not applicable</x:v>
      </x:c>
      <x:c r="O1511" s="7" t="s">
        <x:v>1956</x:v>
      </x:c>
      <x:c r="P1511" s="7" t="s">
        <x:v>1921</x:v>
      </x:c>
      <x:c r="Q1511" s="7" t="s">
        <x:v>1930</x:v>
      </x:c>
      <x:c r="R1511" s="7" t="s">
        <x:v>58</x:v>
      </x:c>
      <x:c r="S1511" s="7" t="s">
        <x:v>53</x:v>
      </x:c>
      <x:c r="T1511" s="7" t="s">
        <x:v>53</x:v>
      </x:c>
      <x:c r="U1511" s="7" t="s">
        <x:v>53</x:v>
      </x:c>
      <x:c r="V1511" s="7" t="s">
        <x:v>1961</x:v>
      </x:c>
      <x:c r="W1511" s="7" t="s">
        <x:v>58</x:v>
      </x:c>
      <x:c r="X1511" s="7" t="s">
        <x:v>4866</x:v>
      </x:c>
      <x:c r="Y1511" s="7" t="s">
        <x:v>1356</x:v>
      </x:c>
      <x:c r="Z1511" s="7" t="s">
        <x:v>1962</x:v>
      </x:c>
      <x:c r="AA1511" s="7" t="s">
        <x:v>58</x:v>
      </x:c>
      <x:c r="AB1511" s="8" t="s">
        <x:v>58</x:v>
      </x:c>
      <x:c r="AC1511" s="8" t="s">
        <x:v>58</x:v>
      </x:c>
      <x:c r="AD1511" s="8" t="s">
        <x:v>58</x:v>
      </x:c>
      <x:c r="AE1511" s="8" t="s">
        <x:v>58</x:v>
      </x:c>
      <x:c r="AF1511" s="8" t="s">
        <x:v>58</x:v>
      </x:c>
      <x:c r="AG1511" s="7" t="s">
        <x:v>58</x:v>
      </x:c>
    </x:row>
    <x:row r="1512" ht="51.75" hidden="0" customHeight="1">
      <x:c r="A1512" s="7" t="s">
        <x:v>4877</x:v>
      </x:c>
      <x:c r="B1512" s="7" t="s">
        <x:v>921</x:v>
      </x:c>
      <x:c r="C1512" s="7" t="s">
        <x:v>923</x:v>
      </x:c>
      <x:c r="D1512" s="7" t="s">
        <x:v>1916</x:v>
      </x:c>
      <x:c r="E1512" s="7" t="s">
        <x:v>3795</x:v>
      </x:c>
      <x:c r="F1512" s="7" t="s">
        <x:v>1918</x:v>
      </x:c>
      <x:c r="G1512" s="8" t="n">
        <x:v>1.12</x:v>
      </x:c>
      <x:c r="H1512" s="8" t="s">
        <x:v>58</x:v>
      </x:c>
      <x:c r="I1512" s="8" t="s">
        <x:v>58</x:v>
      </x:c>
      <x:c r="J1512" s="7" t="s">
        <x:v>1919</x:v>
      </x:c>
      <x:c r="K1512" s="8" t="n">
        <x:v>1000</x:v>
      </x:c>
      <x:c r="L1512" s="8" t="n">
        <x:f aca="0">IF(AND(ISNUMBER(G1512),P1512&lt;&gt;"Unresolved unit / layout"),G1512*K1512,"Not applicable")</x:f>
        <x:v>1120</x:v>
      </x:c>
      <x:c r="M1512" s="8" t="str">
        <x:f aca="0">IF(AND(ISNUMBER(H1512),P1512&lt;&gt;"Unresolved unit / layout"),H1512*K1512,"Not applicable")</x:f>
        <x:v>Not applicable</x:v>
      </x:c>
      <x:c r="N1512" s="8" t="str">
        <x:f aca="0">IF(AND(ISNUMBER(I1512),P1512&lt;&gt;"Unresolved unit / layout"),I1512*K1512,"Not applicable")</x:f>
        <x:v>Not applicable</x:v>
      </x:c>
      <x:c r="O1512" s="7" t="s">
        <x:v>1920</x:v>
      </x:c>
      <x:c r="P1512" s="7" t="s">
        <x:v>1921</x:v>
      </x:c>
      <x:c r="Q1512" s="7" t="s">
        <x:v>1922</x:v>
      </x:c>
      <x:c r="R1512" s="7" t="s">
        <x:v>58</x:v>
      </x:c>
      <x:c r="S1512" s="7" t="s">
        <x:v>53</x:v>
      </x:c>
      <x:c r="T1512" s="7" t="s">
        <x:v>53</x:v>
      </x:c>
      <x:c r="U1512" s="7" t="s">
        <x:v>53</x:v>
      </x:c>
      <x:c r="V1512" s="7" t="s">
        <x:v>1923</x:v>
      </x:c>
      <x:c r="W1512" s="7" t="s">
        <x:v>58</x:v>
      </x:c>
      <x:c r="X1512" s="7" t="s">
        <x:v>4866</x:v>
      </x:c>
      <x:c r="Y1512" s="7" t="s">
        <x:v>1359</x:v>
      </x:c>
      <x:c r="Z1512" s="7" t="s">
        <x:v>1925</x:v>
      </x:c>
      <x:c r="AA1512" s="7" t="s">
        <x:v>58</x:v>
      </x:c>
      <x:c r="AB1512" s="8" t="s">
        <x:v>58</x:v>
      </x:c>
      <x:c r="AC1512" s="8" t="s">
        <x:v>58</x:v>
      </x:c>
      <x:c r="AD1512" s="8" t="s">
        <x:v>58</x:v>
      </x:c>
      <x:c r="AE1512" s="8" t="s">
        <x:v>58</x:v>
      </x:c>
      <x:c r="AF1512" s="8" t="s">
        <x:v>58</x:v>
      </x:c>
      <x:c r="AG1512" s="7" t="s">
        <x:v>58</x:v>
      </x:c>
    </x:row>
    <x:row r="1513" ht="51.75" hidden="0" customHeight="1">
      <x:c r="A1513" s="7" t="s">
        <x:v>4878</x:v>
      </x:c>
      <x:c r="B1513" s="7" t="s">
        <x:v>921</x:v>
      </x:c>
      <x:c r="C1513" s="7" t="s">
        <x:v>923</x:v>
      </x:c>
      <x:c r="D1513" s="7" t="s">
        <x:v>1927</x:v>
      </x:c>
      <x:c r="E1513" s="7" t="s">
        <x:v>4879</x:v>
      </x:c>
      <x:c r="F1513" s="7" t="s">
        <x:v>1929</x:v>
      </x:c>
      <x:c r="G1513" s="8" t="n">
        <x:v>65</x:v>
      </x:c>
      <x:c r="H1513" s="8" t="s">
        <x:v>58</x:v>
      </x:c>
      <x:c r="I1513" s="8" t="s">
        <x:v>58</x:v>
      </x:c>
      <x:c r="J1513" s="7" t="s">
        <x:v>1919</x:v>
      </x:c>
      <x:c r="K1513" s="8" t="n">
        <x:v>1</x:v>
      </x:c>
      <x:c r="L1513" s="8" t="n">
        <x:f aca="0">IF(AND(ISNUMBER(G1513),P1513&lt;&gt;"Unresolved unit / layout"),G1513*K1513,"Not applicable")</x:f>
        <x:v>65</x:v>
      </x:c>
      <x:c r="M1513" s="8" t="str">
        <x:f aca="0">IF(AND(ISNUMBER(H1513),P1513&lt;&gt;"Unresolved unit / layout"),H1513*K1513,"Not applicable")</x:f>
        <x:v>Not applicable</x:v>
      </x:c>
      <x:c r="N1513" s="8" t="str">
        <x:f aca="0">IF(AND(ISNUMBER(I1513),P1513&lt;&gt;"Unresolved unit / layout"),I1513*K1513,"Not applicable")</x:f>
        <x:v>Not applicable</x:v>
      </x:c>
      <x:c r="O1513" s="7" t="s">
        <x:v>1929</x:v>
      </x:c>
      <x:c r="P1513" s="7" t="s">
        <x:v>1921</x:v>
      </x:c>
      <x:c r="Q1513" s="7" t="s">
        <x:v>1930</x:v>
      </x:c>
      <x:c r="R1513" s="7" t="s">
        <x:v>1931</x:v>
      </x:c>
      <x:c r="S1513" s="7" t="s">
        <x:v>53</x:v>
      </x:c>
      <x:c r="T1513" s="7" t="s">
        <x:v>53</x:v>
      </x:c>
      <x:c r="U1513" s="7" t="s">
        <x:v>53</x:v>
      </x:c>
      <x:c r="V1513" s="7" t="s">
        <x:v>1932</x:v>
      </x:c>
      <x:c r="W1513" s="7" t="s">
        <x:v>58</x:v>
      </x:c>
      <x:c r="X1513" s="7" t="s">
        <x:v>4866</x:v>
      </x:c>
      <x:c r="Y1513" s="7" t="s">
        <x:v>1359</x:v>
      </x:c>
      <x:c r="Z1513" s="7" t="s">
        <x:v>1933</x:v>
      </x:c>
      <x:c r="AA1513" s="7" t="s">
        <x:v>58</x:v>
      </x:c>
      <x:c r="AB1513" s="8" t="s">
        <x:v>58</x:v>
      </x:c>
      <x:c r="AC1513" s="8" t="s">
        <x:v>58</x:v>
      </x:c>
      <x:c r="AD1513" s="8" t="s">
        <x:v>58</x:v>
      </x:c>
      <x:c r="AE1513" s="8" t="s">
        <x:v>58</x:v>
      </x:c>
      <x:c r="AF1513" s="8" t="s">
        <x:v>58</x:v>
      </x:c>
      <x:c r="AG1513" s="7" t="s">
        <x:v>58</x:v>
      </x:c>
    </x:row>
    <x:row r="1514" ht="51.75" hidden="0" customHeight="1">
      <x:c r="A1514" s="7" t="s">
        <x:v>4880</x:v>
      </x:c>
      <x:c r="B1514" s="7" t="s">
        <x:v>921</x:v>
      </x:c>
      <x:c r="C1514" s="7" t="s">
        <x:v>923</x:v>
      </x:c>
      <x:c r="D1514" s="7" t="s">
        <x:v>1935</x:v>
      </x:c>
      <x:c r="E1514" s="7" t="s">
        <x:v>4881</x:v>
      </x:c>
      <x:c r="F1514" s="7" t="s">
        <x:v>1929</x:v>
      </x:c>
      <x:c r="G1514" s="8" t="n">
        <x:v>6750</x:v>
      </x:c>
      <x:c r="H1514" s="8" t="s">
        <x:v>58</x:v>
      </x:c>
      <x:c r="I1514" s="8" t="s">
        <x:v>58</x:v>
      </x:c>
      <x:c r="J1514" s="7" t="s">
        <x:v>1919</x:v>
      </x:c>
      <x:c r="K1514" s="8" t="n">
        <x:v>0.001</x:v>
      </x:c>
      <x:c r="L1514" s="8" t="n">
        <x:f aca="0">IF(AND(ISNUMBER(G1514),P1514&lt;&gt;"Unresolved unit / layout"),G1514*K1514,"Not applicable")</x:f>
        <x:v>6.75</x:v>
      </x:c>
      <x:c r="M1514" s="8" t="str">
        <x:f aca="0">IF(AND(ISNUMBER(H1514),P1514&lt;&gt;"Unresolved unit / layout"),H1514*K1514,"Not applicable")</x:f>
        <x:v>Not applicable</x:v>
      </x:c>
      <x:c r="N1514" s="8" t="str">
        <x:f aca="0">IF(AND(ISNUMBER(I1514),P1514&lt;&gt;"Unresolved unit / layout"),I1514*K1514,"Not applicable")</x:f>
        <x:v>Not applicable</x:v>
      </x:c>
      <x:c r="O1514" s="7" t="s">
        <x:v>1937</x:v>
      </x:c>
      <x:c r="P1514" s="7" t="s">
        <x:v>1921</x:v>
      </x:c>
      <x:c r="Q1514" s="7" t="s">
        <x:v>1930</x:v>
      </x:c>
      <x:c r="R1514" s="7" t="s">
        <x:v>1931</x:v>
      </x:c>
      <x:c r="S1514" s="7" t="s">
        <x:v>53</x:v>
      </x:c>
      <x:c r="T1514" s="7" t="s">
        <x:v>53</x:v>
      </x:c>
      <x:c r="U1514" s="7" t="s">
        <x:v>53</x:v>
      </x:c>
      <x:c r="V1514" s="7" t="s">
        <x:v>1932</x:v>
      </x:c>
      <x:c r="W1514" s="7" t="s">
        <x:v>58</x:v>
      </x:c>
      <x:c r="X1514" s="7" t="s">
        <x:v>4866</x:v>
      </x:c>
      <x:c r="Y1514" s="7" t="s">
        <x:v>1359</x:v>
      </x:c>
      <x:c r="Z1514" s="7" t="s">
        <x:v>1938</x:v>
      </x:c>
      <x:c r="AA1514" s="7" t="s">
        <x:v>58</x:v>
      </x:c>
      <x:c r="AB1514" s="8" t="s">
        <x:v>58</x:v>
      </x:c>
      <x:c r="AC1514" s="8" t="s">
        <x:v>58</x:v>
      </x:c>
      <x:c r="AD1514" s="8" t="s">
        <x:v>58</x:v>
      </x:c>
      <x:c r="AE1514" s="8" t="s">
        <x:v>58</x:v>
      </x:c>
      <x:c r="AF1514" s="8" t="s">
        <x:v>58</x:v>
      </x:c>
      <x:c r="AG1514" s="7" t="s">
        <x:v>58</x:v>
      </x:c>
    </x:row>
    <x:row r="1515" ht="51.75" hidden="0" customHeight="1">
      <x:c r="A1515" s="7" t="s">
        <x:v>4882</x:v>
      </x:c>
      <x:c r="B1515" s="7" t="s">
        <x:v>921</x:v>
      </x:c>
      <x:c r="C1515" s="7" t="s">
        <x:v>923</x:v>
      </x:c>
      <x:c r="D1515" s="7" t="s">
        <x:v>1940</x:v>
      </x:c>
      <x:c r="E1515" s="7" t="s">
        <x:v>4883</x:v>
      </x:c>
      <x:c r="F1515" s="7" t="s">
        <x:v>1942</x:v>
      </x:c>
      <x:c r="G1515" s="8" t="n">
        <x:v>1.7</x:v>
      </x:c>
      <x:c r="H1515" s="8" t="s">
        <x:v>58</x:v>
      </x:c>
      <x:c r="I1515" s="8" t="s">
        <x:v>58</x:v>
      </x:c>
      <x:c r="J1515" s="7" t="s">
        <x:v>1919</x:v>
      </x:c>
      <x:c r="K1515" s="8" t="n">
        <x:v>1</x:v>
      </x:c>
      <x:c r="L1515" s="8" t="n">
        <x:f aca="0">IF(AND(ISNUMBER(G1515),P1515&lt;&gt;"Unresolved unit / layout"),G1515*K1515,"Not applicable")</x:f>
        <x:v>1.7</x:v>
      </x:c>
      <x:c r="M1515" s="8" t="str">
        <x:f aca="0">IF(AND(ISNUMBER(H1515),P1515&lt;&gt;"Unresolved unit / layout"),H1515*K1515,"Not applicable")</x:f>
        <x:v>Not applicable</x:v>
      </x:c>
      <x:c r="N1515" s="8" t="str">
        <x:f aca="0">IF(AND(ISNUMBER(I1515),P1515&lt;&gt;"Unresolved unit / layout"),I1515*K1515,"Not applicable")</x:f>
        <x:v>Not applicable</x:v>
      </x:c>
      <x:c r="O1515" s="7" t="s">
        <x:v>1942</x:v>
      </x:c>
      <x:c r="P1515" s="7" t="s">
        <x:v>1921</x:v>
      </x:c>
      <x:c r="Q1515" s="7" t="s">
        <x:v>1930</x:v>
      </x:c>
      <x:c r="R1515" s="7" t="s">
        <x:v>1931</x:v>
      </x:c>
      <x:c r="S1515" s="7" t="s">
        <x:v>53</x:v>
      </x:c>
      <x:c r="T1515" s="7" t="s">
        <x:v>53</x:v>
      </x:c>
      <x:c r="U1515" s="7" t="s">
        <x:v>53</x:v>
      </x:c>
      <x:c r="V1515" s="7" t="s">
        <x:v>1932</x:v>
      </x:c>
      <x:c r="W1515" s="7" t="s">
        <x:v>58</x:v>
      </x:c>
      <x:c r="X1515" s="7" t="s">
        <x:v>4866</x:v>
      </x:c>
      <x:c r="Y1515" s="7" t="s">
        <x:v>1359</x:v>
      </x:c>
      <x:c r="Z1515" s="7" t="s">
        <x:v>1943</x:v>
      </x:c>
      <x:c r="AA1515" s="7" t="s">
        <x:v>58</x:v>
      </x:c>
      <x:c r="AB1515" s="8" t="s">
        <x:v>58</x:v>
      </x:c>
      <x:c r="AC1515" s="8" t="s">
        <x:v>58</x:v>
      </x:c>
      <x:c r="AD1515" s="8" t="s">
        <x:v>58</x:v>
      </x:c>
      <x:c r="AE1515" s="8" t="s">
        <x:v>58</x:v>
      </x:c>
      <x:c r="AF1515" s="8" t="s">
        <x:v>58</x:v>
      </x:c>
      <x:c r="AG1515" s="7" t="s">
        <x:v>58</x:v>
      </x:c>
    </x:row>
    <x:row r="1516" ht="51.75" hidden="0" customHeight="1">
      <x:c r="A1516" s="7" t="s">
        <x:v>4884</x:v>
      </x:c>
      <x:c r="B1516" s="7" t="s">
        <x:v>921</x:v>
      </x:c>
      <x:c r="C1516" s="7" t="s">
        <x:v>923</x:v>
      </x:c>
      <x:c r="D1516" s="7" t="s">
        <x:v>1945</x:v>
      </x:c>
      <x:c r="E1516" s="7" t="s">
        <x:v>4885</x:v>
      </x:c>
      <x:c r="F1516" s="7" t="s">
        <x:v>1929</x:v>
      </x:c>
      <x:c r="G1516" s="8" t="n">
        <x:v>85</x:v>
      </x:c>
      <x:c r="H1516" s="8" t="s">
        <x:v>58</x:v>
      </x:c>
      <x:c r="I1516" s="8" t="s">
        <x:v>58</x:v>
      </x:c>
      <x:c r="J1516" s="7" t="s">
        <x:v>1919</x:v>
      </x:c>
      <x:c r="K1516" s="8" t="n">
        <x:v>1</x:v>
      </x:c>
      <x:c r="L1516" s="8" t="n">
        <x:f aca="0">IF(AND(ISNUMBER(G1516),P1516&lt;&gt;"Unresolved unit / layout"),G1516*K1516,"Not applicable")</x:f>
        <x:v>85</x:v>
      </x:c>
      <x:c r="M1516" s="8" t="str">
        <x:f aca="0">IF(AND(ISNUMBER(H1516),P1516&lt;&gt;"Unresolved unit / layout"),H1516*K1516,"Not applicable")</x:f>
        <x:v>Not applicable</x:v>
      </x:c>
      <x:c r="N1516" s="8" t="str">
        <x:f aca="0">IF(AND(ISNUMBER(I1516),P1516&lt;&gt;"Unresolved unit / layout"),I1516*K1516,"Not applicable")</x:f>
        <x:v>Not applicable</x:v>
      </x:c>
      <x:c r="O1516" s="7" t="s">
        <x:v>1929</x:v>
      </x:c>
      <x:c r="P1516" s="7" t="s">
        <x:v>1921</x:v>
      </x:c>
      <x:c r="Q1516" s="7" t="s">
        <x:v>1930</x:v>
      </x:c>
      <x:c r="R1516" s="7" t="s">
        <x:v>1931</x:v>
      </x:c>
      <x:c r="S1516" s="7" t="s">
        <x:v>53</x:v>
      </x:c>
      <x:c r="T1516" s="7" t="s">
        <x:v>53</x:v>
      </x:c>
      <x:c r="U1516" s="7" t="s">
        <x:v>53</x:v>
      </x:c>
      <x:c r="V1516" s="7" t="s">
        <x:v>1947</x:v>
      </x:c>
      <x:c r="W1516" s="7" t="s">
        <x:v>58</x:v>
      </x:c>
      <x:c r="X1516" s="7" t="s">
        <x:v>4866</x:v>
      </x:c>
      <x:c r="Y1516" s="7" t="s">
        <x:v>1359</x:v>
      </x:c>
      <x:c r="Z1516" s="7" t="s">
        <x:v>1948</x:v>
      </x:c>
      <x:c r="AA1516" s="7" t="s">
        <x:v>58</x:v>
      </x:c>
      <x:c r="AB1516" s="8" t="s">
        <x:v>58</x:v>
      </x:c>
      <x:c r="AC1516" s="8" t="s">
        <x:v>58</x:v>
      </x:c>
      <x:c r="AD1516" s="8" t="s">
        <x:v>58</x:v>
      </x:c>
      <x:c r="AE1516" s="8" t="s">
        <x:v>58</x:v>
      </x:c>
      <x:c r="AF1516" s="8" t="s">
        <x:v>58</x:v>
      </x:c>
      <x:c r="AG1516" s="7" t="s">
        <x:v>58</x:v>
      </x:c>
    </x:row>
    <x:row r="1517" ht="51.75" hidden="0" customHeight="1">
      <x:c r="A1517" s="7" t="s">
        <x:v>4886</x:v>
      </x:c>
      <x:c r="B1517" s="7" t="s">
        <x:v>921</x:v>
      </x:c>
      <x:c r="C1517" s="7" t="s">
        <x:v>923</x:v>
      </x:c>
      <x:c r="D1517" s="7" t="s">
        <x:v>1950</x:v>
      </x:c>
      <x:c r="E1517" s="7" t="s">
        <x:v>4887</x:v>
      </x:c>
      <x:c r="F1517" s="7" t="s">
        <x:v>1929</x:v>
      </x:c>
      <x:c r="G1517" s="8" t="n">
        <x:v>5320</x:v>
      </x:c>
      <x:c r="H1517" s="8" t="s">
        <x:v>58</x:v>
      </x:c>
      <x:c r="I1517" s="8" t="s">
        <x:v>58</x:v>
      </x:c>
      <x:c r="J1517" s="7" t="s">
        <x:v>1919</x:v>
      </x:c>
      <x:c r="K1517" s="8" t="n">
        <x:v>0.001</x:v>
      </x:c>
      <x:c r="L1517" s="8" t="n">
        <x:f aca="0">IF(AND(ISNUMBER(G1517),P1517&lt;&gt;"Unresolved unit / layout"),G1517*K1517,"Not applicable")</x:f>
        <x:v>5.32</x:v>
      </x:c>
      <x:c r="M1517" s="8" t="str">
        <x:f aca="0">IF(AND(ISNUMBER(H1517),P1517&lt;&gt;"Unresolved unit / layout"),H1517*K1517,"Not applicable")</x:f>
        <x:v>Not applicable</x:v>
      </x:c>
      <x:c r="N1517" s="8" t="str">
        <x:f aca="0">IF(AND(ISNUMBER(I1517),P1517&lt;&gt;"Unresolved unit / layout"),I1517*K1517,"Not applicable")</x:f>
        <x:v>Not applicable</x:v>
      </x:c>
      <x:c r="O1517" s="7" t="s">
        <x:v>1937</x:v>
      </x:c>
      <x:c r="P1517" s="7" t="s">
        <x:v>1921</x:v>
      </x:c>
      <x:c r="Q1517" s="7" t="s">
        <x:v>1930</x:v>
      </x:c>
      <x:c r="R1517" s="7" t="s">
        <x:v>1931</x:v>
      </x:c>
      <x:c r="S1517" s="7" t="s">
        <x:v>53</x:v>
      </x:c>
      <x:c r="T1517" s="7" t="s">
        <x:v>53</x:v>
      </x:c>
      <x:c r="U1517" s="7" t="s">
        <x:v>53</x:v>
      </x:c>
      <x:c r="V1517" s="7" t="s">
        <x:v>1947</x:v>
      </x:c>
      <x:c r="W1517" s="7" t="s">
        <x:v>58</x:v>
      </x:c>
      <x:c r="X1517" s="7" t="s">
        <x:v>4866</x:v>
      </x:c>
      <x:c r="Y1517" s="7" t="s">
        <x:v>1359</x:v>
      </x:c>
      <x:c r="Z1517" s="7" t="s">
        <x:v>1952</x:v>
      </x:c>
      <x:c r="AA1517" s="7" t="s">
        <x:v>58</x:v>
      </x:c>
      <x:c r="AB1517" s="8" t="s">
        <x:v>58</x:v>
      </x:c>
      <x:c r="AC1517" s="8" t="s">
        <x:v>58</x:v>
      </x:c>
      <x:c r="AD1517" s="8" t="s">
        <x:v>58</x:v>
      </x:c>
      <x:c r="AE1517" s="8" t="s">
        <x:v>58</x:v>
      </x:c>
      <x:c r="AF1517" s="8" t="s">
        <x:v>58</x:v>
      </x:c>
      <x:c r="AG1517" s="7" t="s">
        <x:v>58</x:v>
      </x:c>
    </x:row>
    <x:row r="1518" ht="51.75" hidden="0" customHeight="1">
      <x:c r="A1518" s="7" t="s">
        <x:v>926</x:v>
      </x:c>
      <x:c r="B1518" s="7" t="s">
        <x:v>921</x:v>
      </x:c>
      <x:c r="C1518" s="7" t="s">
        <x:v>923</x:v>
      </x:c>
      <x:c r="D1518" s="7" t="s">
        <x:v>1959</x:v>
      </x:c>
      <x:c r="E1518" s="7" t="s">
        <x:v>4888</x:v>
      </x:c>
      <x:c r="F1518" s="7" t="s">
        <x:v>1956</x:v>
      </x:c>
      <x:c r="G1518" s="8" t="n">
        <x:v>139</x:v>
      </x:c>
      <x:c r="H1518" s="8" t="s">
        <x:v>58</x:v>
      </x:c>
      <x:c r="I1518" s="8" t="s">
        <x:v>58</x:v>
      </x:c>
      <x:c r="J1518" s="7" t="s">
        <x:v>1919</x:v>
      </x:c>
      <x:c r="K1518" s="8" t="n">
        <x:v>1</x:v>
      </x:c>
      <x:c r="L1518" s="8" t="n">
        <x:f aca="0">IF(AND(ISNUMBER(G1518),P1518&lt;&gt;"Unresolved unit / layout"),G1518*K1518,"Not applicable")</x:f>
        <x:v>139</x:v>
      </x:c>
      <x:c r="M1518" s="8" t="str">
        <x:f aca="0">IF(AND(ISNUMBER(H1518),P1518&lt;&gt;"Unresolved unit / layout"),H1518*K1518,"Not applicable")</x:f>
        <x:v>Not applicable</x:v>
      </x:c>
      <x:c r="N1518" s="8" t="str">
        <x:f aca="0">IF(AND(ISNUMBER(I1518),P1518&lt;&gt;"Unresolved unit / layout"),I1518*K1518,"Not applicable")</x:f>
        <x:v>Not applicable</x:v>
      </x:c>
      <x:c r="O1518" s="7" t="s">
        <x:v>1956</x:v>
      </x:c>
      <x:c r="P1518" s="7" t="s">
        <x:v>1921</x:v>
      </x:c>
      <x:c r="Q1518" s="7" t="s">
        <x:v>1930</x:v>
      </x:c>
      <x:c r="R1518" s="7" t="s">
        <x:v>58</x:v>
      </x:c>
      <x:c r="S1518" s="7" t="s">
        <x:v>53</x:v>
      </x:c>
      <x:c r="T1518" s="7" t="s">
        <x:v>53</x:v>
      </x:c>
      <x:c r="U1518" s="7" t="s">
        <x:v>53</x:v>
      </x:c>
      <x:c r="V1518" s="7" t="s">
        <x:v>1961</x:v>
      </x:c>
      <x:c r="W1518" s="7" t="s">
        <x:v>58</x:v>
      </x:c>
      <x:c r="X1518" s="7" t="s">
        <x:v>4866</x:v>
      </x:c>
      <x:c r="Y1518" s="7" t="s">
        <x:v>1359</x:v>
      </x:c>
      <x:c r="Z1518" s="7" t="s">
        <x:v>1962</x:v>
      </x:c>
      <x:c r="AA1518" s="7" t="s">
        <x:v>58</x:v>
      </x:c>
      <x:c r="AB1518" s="8" t="s">
        <x:v>58</x:v>
      </x:c>
      <x:c r="AC1518" s="8" t="s">
        <x:v>58</x:v>
      </x:c>
      <x:c r="AD1518" s="8" t="s">
        <x:v>58</x:v>
      </x:c>
      <x:c r="AE1518" s="8" t="s">
        <x:v>58</x:v>
      </x:c>
      <x:c r="AF1518" s="8" t="s">
        <x:v>58</x:v>
      </x:c>
      <x:c r="AG1518" s="7" t="s">
        <x:v>58</x:v>
      </x:c>
    </x:row>
    <x:row r="1519" ht="51.75" hidden="0" customHeight="1">
      <x:c r="A1519" s="7" t="s">
        <x:v>934</x:v>
      </x:c>
      <x:c r="B1519" s="7" t="s">
        <x:v>928</x:v>
      </x:c>
      <x:c r="C1519" s="7" t="s">
        <x:v>930</x:v>
      </x:c>
      <x:c r="D1519" s="7" t="s">
        <x:v>1916</x:v>
      </x:c>
      <x:c r="E1519" s="7" t="s">
        <x:v>4889</x:v>
      </x:c>
      <x:c r="F1519" s="7" t="s">
        <x:v>1965</x:v>
      </x:c>
      <x:c r="G1519" s="8" t="n">
        <x:v>1.1</x:v>
      </x:c>
      <x:c r="H1519" s="8" t="s">
        <x:v>58</x:v>
      </x:c>
      <x:c r="I1519" s="8" t="s">
        <x:v>58</x:v>
      </x:c>
      <x:c r="J1519" s="7" t="s">
        <x:v>1919</x:v>
      </x:c>
      <x:c r="K1519" s="8" t="n">
        <x:v>1000</x:v>
      </x:c>
      <x:c r="L1519" s="8" t="n">
        <x:f aca="0">IF(AND(ISNUMBER(G1519),P1519&lt;&gt;"Unresolved unit / layout"),G1519*K1519,"Not applicable")</x:f>
        <x:v>1100</x:v>
      </x:c>
      <x:c r="M1519" s="8" t="str">
        <x:f aca="0">IF(AND(ISNUMBER(H1519),P1519&lt;&gt;"Unresolved unit / layout"),H1519*K1519,"Not applicable")</x:f>
        <x:v>Not applicable</x:v>
      </x:c>
      <x:c r="N1519" s="8" t="str">
        <x:f aca="0">IF(AND(ISNUMBER(I1519),P1519&lt;&gt;"Unresolved unit / layout"),I1519*K1519,"Not applicable")</x:f>
        <x:v>Not applicable</x:v>
      </x:c>
      <x:c r="O1519" s="7" t="s">
        <x:v>1920</x:v>
      </x:c>
      <x:c r="P1519" s="7" t="s">
        <x:v>1921</x:v>
      </x:c>
      <x:c r="Q1519" s="7" t="s">
        <x:v>1922</x:v>
      </x:c>
      <x:c r="R1519" s="7" t="s">
        <x:v>58</x:v>
      </x:c>
      <x:c r="S1519" s="7" t="s">
        <x:v>53</x:v>
      </x:c>
      <x:c r="T1519" s="7" t="s">
        <x:v>53</x:v>
      </x:c>
      <x:c r="U1519" s="7" t="s">
        <x:v>53</x:v>
      </x:c>
      <x:c r="V1519" s="7" t="s">
        <x:v>1923</x:v>
      </x:c>
      <x:c r="W1519" s="7" t="s">
        <x:v>58</x:v>
      </x:c>
      <x:c r="X1519" s="7" t="s">
        <x:v>53</x:v>
      </x:c>
      <x:c r="Y1519" s="7" t="s">
        <x:v>1361</x:v>
      </x:c>
      <x:c r="Z1519" s="7" t="s">
        <x:v>1925</x:v>
      </x:c>
      <x:c r="AA1519" s="7" t="s">
        <x:v>58</x:v>
      </x:c>
      <x:c r="AB1519" s="8" t="s">
        <x:v>58</x:v>
      </x:c>
      <x:c r="AC1519" s="8" t="s">
        <x:v>58</x:v>
      </x:c>
      <x:c r="AD1519" s="8" t="s">
        <x:v>58</x:v>
      </x:c>
      <x:c r="AE1519" s="8" t="s">
        <x:v>58</x:v>
      </x:c>
      <x:c r="AF1519" s="8" t="s">
        <x:v>58</x:v>
      </x:c>
      <x:c r="AG1519" s="7" t="s">
        <x:v>58</x:v>
      </x:c>
    </x:row>
    <x:row r="1520" ht="37.5" hidden="0" customHeight="1">
      <x:c r="A1520" s="7" t="s">
        <x:v>4890</x:v>
      </x:c>
      <x:c r="B1520" s="7" t="s">
        <x:v>928</x:v>
      </x:c>
      <x:c r="C1520" s="7" t="s">
        <x:v>930</x:v>
      </x:c>
      <x:c r="D1520" s="7" t="s">
        <x:v>1927</x:v>
      </x:c>
      <x:c r="E1520" s="7" t="s">
        <x:v>4891</x:v>
      </x:c>
      <x:c r="F1520" s="7" t="s">
        <x:v>2717</x:v>
      </x:c>
      <x:c r="G1520" s="8" t="n">
        <x:v>29</x:v>
      </x:c>
      <x:c r="H1520" s="8" t="s">
        <x:v>58</x:v>
      </x:c>
      <x:c r="I1520" s="8" t="s">
        <x:v>58</x:v>
      </x:c>
      <x:c r="J1520" s="7" t="s">
        <x:v>1919</x:v>
      </x:c>
      <x:c r="K1520" s="8" t="n">
        <x:v>1</x:v>
      </x:c>
      <x:c r="L1520" s="8" t="n">
        <x:f aca="0">IF(AND(ISNUMBER(G1520),P1520&lt;&gt;"Unresolved unit / layout"),G1520*K1520,"Not applicable")</x:f>
        <x:v>29</x:v>
      </x:c>
      <x:c r="M1520" s="8" t="str">
        <x:f aca="0">IF(AND(ISNUMBER(H1520),P1520&lt;&gt;"Unresolved unit / layout"),H1520*K1520,"Not applicable")</x:f>
        <x:v>Not applicable</x:v>
      </x:c>
      <x:c r="N1520" s="8" t="str">
        <x:f aca="0">IF(AND(ISNUMBER(I1520),P1520&lt;&gt;"Unresolved unit / layout"),I1520*K1520,"Not applicable")</x:f>
        <x:v>Not applicable</x:v>
      </x:c>
      <x:c r="O1520" s="7" t="s">
        <x:v>1929</x:v>
      </x:c>
      <x:c r="P1520" s="7" t="s">
        <x:v>1921</x:v>
      </x:c>
      <x:c r="Q1520" s="7" t="s">
        <x:v>2064</x:v>
      </x:c>
      <x:c r="R1520" s="7" t="s">
        <x:v>53</x:v>
      </x:c>
      <x:c r="S1520" s="7" t="s">
        <x:v>53</x:v>
      </x:c>
      <x:c r="T1520" s="7" t="s">
        <x:v>53</x:v>
      </x:c>
      <x:c r="U1520" s="7" t="s">
        <x:v>53</x:v>
      </x:c>
      <x:c r="V1520" s="7" t="s">
        <x:v>1932</x:v>
      </x:c>
      <x:c r="W1520" s="7" t="s">
        <x:v>58</x:v>
      </x:c>
      <x:c r="X1520" s="7" t="s">
        <x:v>53</x:v>
      </x:c>
      <x:c r="Y1520" s="7" t="s">
        <x:v>1361</x:v>
      </x:c>
      <x:c r="Z1520" s="7" t="s">
        <x:v>4892</x:v>
      </x:c>
      <x:c r="AA1520" s="7" t="s">
        <x:v>58</x:v>
      </x:c>
      <x:c r="AB1520" s="8" t="s">
        <x:v>58</x:v>
      </x:c>
      <x:c r="AC1520" s="8" t="s">
        <x:v>58</x:v>
      </x:c>
      <x:c r="AD1520" s="8" t="s">
        <x:v>58</x:v>
      </x:c>
      <x:c r="AE1520" s="8" t="s">
        <x:v>58</x:v>
      </x:c>
      <x:c r="AF1520" s="8" t="s">
        <x:v>58</x:v>
      </x:c>
      <x:c r="AG1520" s="7" t="s">
        <x:v>58</x:v>
      </x:c>
    </x:row>
    <x:row r="1521" ht="37.5" hidden="0" customHeight="1">
      <x:c r="A1521" s="7" t="s">
        <x:v>4893</x:v>
      </x:c>
      <x:c r="B1521" s="7" t="s">
        <x:v>928</x:v>
      </x:c>
      <x:c r="C1521" s="7" t="s">
        <x:v>930</x:v>
      </x:c>
      <x:c r="D1521" s="7" t="s">
        <x:v>1940</x:v>
      </x:c>
      <x:c r="E1521" s="7" t="s">
        <x:v>4894</x:v>
      </x:c>
      <x:c r="F1521" s="7" t="s">
        <x:v>1942</x:v>
      </x:c>
      <x:c r="G1521" s="8" t="n">
        <x:v>18</x:v>
      </x:c>
      <x:c r="H1521" s="8" t="s">
        <x:v>58</x:v>
      </x:c>
      <x:c r="I1521" s="8" t="s">
        <x:v>58</x:v>
      </x:c>
      <x:c r="J1521" s="7" t="s">
        <x:v>1919</x:v>
      </x:c>
      <x:c r="K1521" s="8" t="n">
        <x:v>1</x:v>
      </x:c>
      <x:c r="L1521" s="8" t="n">
        <x:f aca="0">IF(AND(ISNUMBER(G1521),P1521&lt;&gt;"Unresolved unit / layout"),G1521*K1521,"Not applicable")</x:f>
        <x:v>18</x:v>
      </x:c>
      <x:c r="M1521" s="8" t="str">
        <x:f aca="0">IF(AND(ISNUMBER(H1521),P1521&lt;&gt;"Unresolved unit / layout"),H1521*K1521,"Not applicable")</x:f>
        <x:v>Not applicable</x:v>
      </x:c>
      <x:c r="N1521" s="8" t="str">
        <x:f aca="0">IF(AND(ISNUMBER(I1521),P1521&lt;&gt;"Unresolved unit / layout"),I1521*K1521,"Not applicable")</x:f>
        <x:v>Not applicable</x:v>
      </x:c>
      <x:c r="O1521" s="7" t="s">
        <x:v>1942</x:v>
      </x:c>
      <x:c r="P1521" s="7" t="s">
        <x:v>1921</x:v>
      </x:c>
      <x:c r="Q1521" s="7" t="s">
        <x:v>2064</x:v>
      </x:c>
      <x:c r="R1521" s="7" t="s">
        <x:v>53</x:v>
      </x:c>
      <x:c r="S1521" s="7" t="s">
        <x:v>53</x:v>
      </x:c>
      <x:c r="T1521" s="7" t="s">
        <x:v>53</x:v>
      </x:c>
      <x:c r="U1521" s="7" t="s">
        <x:v>53</x:v>
      </x:c>
      <x:c r="V1521" s="7" t="s">
        <x:v>1932</x:v>
      </x:c>
      <x:c r="W1521" s="7" t="s">
        <x:v>58</x:v>
      </x:c>
      <x:c r="X1521" s="7" t="s">
        <x:v>53</x:v>
      </x:c>
      <x:c r="Y1521" s="7" t="s">
        <x:v>1361</x:v>
      </x:c>
      <x:c r="Z1521" s="7" t="s">
        <x:v>4895</x:v>
      </x:c>
      <x:c r="AA1521" s="7" t="s">
        <x:v>58</x:v>
      </x:c>
      <x:c r="AB1521" s="8" t="s">
        <x:v>58</x:v>
      </x:c>
      <x:c r="AC1521" s="8" t="s">
        <x:v>58</x:v>
      </x:c>
      <x:c r="AD1521" s="8" t="s">
        <x:v>58</x:v>
      </x:c>
      <x:c r="AE1521" s="8" t="s">
        <x:v>58</x:v>
      </x:c>
      <x:c r="AF1521" s="8" t="s">
        <x:v>58</x:v>
      </x:c>
      <x:c r="AG1521" s="7" t="s">
        <x:v>58</x:v>
      </x:c>
    </x:row>
    <x:row r="1522" ht="37.5" hidden="0" customHeight="1">
      <x:c r="A1522" s="7" t="s">
        <x:v>4896</x:v>
      </x:c>
      <x:c r="B1522" s="7" t="s">
        <x:v>928</x:v>
      </x:c>
      <x:c r="C1522" s="7" t="s">
        <x:v>930</x:v>
      </x:c>
      <x:c r="D1522" s="7" t="s">
        <x:v>1935</x:v>
      </x:c>
      <x:c r="E1522" s="7" t="s">
        <x:v>4897</x:v>
      </x:c>
      <x:c r="F1522" s="7" t="s">
        <x:v>1937</x:v>
      </x:c>
      <x:c r="G1522" s="8" t="n">
        <x:v>3.5</x:v>
      </x:c>
      <x:c r="H1522" s="8" t="s">
        <x:v>58</x:v>
      </x:c>
      <x:c r="I1522" s="8" t="s">
        <x:v>58</x:v>
      </x:c>
      <x:c r="J1522" s="7" t="s">
        <x:v>1919</x:v>
      </x:c>
      <x:c r="K1522" s="8" t="n">
        <x:v>1</x:v>
      </x:c>
      <x:c r="L1522" s="8" t="n">
        <x:f aca="0">IF(AND(ISNUMBER(G1522),P1522&lt;&gt;"Unresolved unit / layout"),G1522*K1522,"Not applicable")</x:f>
        <x:v>3.5</x:v>
      </x:c>
      <x:c r="M1522" s="8" t="str">
        <x:f aca="0">IF(AND(ISNUMBER(H1522),P1522&lt;&gt;"Unresolved unit / layout"),H1522*K1522,"Not applicable")</x:f>
        <x:v>Not applicable</x:v>
      </x:c>
      <x:c r="N1522" s="8" t="str">
        <x:f aca="0">IF(AND(ISNUMBER(I1522),P1522&lt;&gt;"Unresolved unit / layout"),I1522*K1522,"Not applicable")</x:f>
        <x:v>Not applicable</x:v>
      </x:c>
      <x:c r="O1522" s="7" t="s">
        <x:v>1937</x:v>
      </x:c>
      <x:c r="P1522" s="7" t="s">
        <x:v>1921</x:v>
      </x:c>
      <x:c r="Q1522" s="7" t="s">
        <x:v>2064</x:v>
      </x:c>
      <x:c r="R1522" s="7" t="s">
        <x:v>53</x:v>
      </x:c>
      <x:c r="S1522" s="7" t="s">
        <x:v>53</x:v>
      </x:c>
      <x:c r="T1522" s="7" t="s">
        <x:v>53</x:v>
      </x:c>
      <x:c r="U1522" s="7" t="s">
        <x:v>53</x:v>
      </x:c>
      <x:c r="V1522" s="7" t="s">
        <x:v>1932</x:v>
      </x:c>
      <x:c r="W1522" s="7" t="s">
        <x:v>58</x:v>
      </x:c>
      <x:c r="X1522" s="7" t="s">
        <x:v>53</x:v>
      </x:c>
      <x:c r="Y1522" s="7" t="s">
        <x:v>1361</x:v>
      </x:c>
      <x:c r="Z1522" s="7" t="s">
        <x:v>4898</x:v>
      </x:c>
      <x:c r="AA1522" s="7" t="s">
        <x:v>58</x:v>
      </x:c>
      <x:c r="AB1522" s="8" t="s">
        <x:v>58</x:v>
      </x:c>
      <x:c r="AC1522" s="8" t="s">
        <x:v>58</x:v>
      </x:c>
      <x:c r="AD1522" s="8" t="s">
        <x:v>58</x:v>
      </x:c>
      <x:c r="AE1522" s="8" t="s">
        <x:v>58</x:v>
      </x:c>
      <x:c r="AF1522" s="8" t="s">
        <x:v>58</x:v>
      </x:c>
      <x:c r="AG1522" s="7" t="s">
        <x:v>58</x:v>
      </x:c>
    </x:row>
    <x:row r="1523" ht="37.5" hidden="0" customHeight="1">
      <x:c r="A1523" s="7" t="s">
        <x:v>4899</x:v>
      </x:c>
      <x:c r="B1523" s="7" t="s">
        <x:v>928</x:v>
      </x:c>
      <x:c r="C1523" s="7" t="s">
        <x:v>930</x:v>
      </x:c>
      <x:c r="D1523" s="7" t="s">
        <x:v>1950</x:v>
      </x:c>
      <x:c r="E1523" s="7" t="s">
        <x:v>4900</x:v>
      </x:c>
      <x:c r="F1523" s="7" t="s">
        <x:v>1937</x:v>
      </x:c>
      <x:c r="G1523" s="8" t="n">
        <x:v>3.2</x:v>
      </x:c>
      <x:c r="H1523" s="8" t="s">
        <x:v>58</x:v>
      </x:c>
      <x:c r="I1523" s="8" t="s">
        <x:v>58</x:v>
      </x:c>
      <x:c r="J1523" s="7" t="s">
        <x:v>1919</x:v>
      </x:c>
      <x:c r="K1523" s="8" t="n">
        <x:v>1</x:v>
      </x:c>
      <x:c r="L1523" s="8" t="n">
        <x:f aca="0">IF(AND(ISNUMBER(G1523),P1523&lt;&gt;"Unresolved unit / layout"),G1523*K1523,"Not applicable")</x:f>
        <x:v>3.2</x:v>
      </x:c>
      <x:c r="M1523" s="8" t="str">
        <x:f aca="0">IF(AND(ISNUMBER(H1523),P1523&lt;&gt;"Unresolved unit / layout"),H1523*K1523,"Not applicable")</x:f>
        <x:v>Not applicable</x:v>
      </x:c>
      <x:c r="N1523" s="8" t="str">
        <x:f aca="0">IF(AND(ISNUMBER(I1523),P1523&lt;&gt;"Unresolved unit / layout"),I1523*K1523,"Not applicable")</x:f>
        <x:v>Not applicable</x:v>
      </x:c>
      <x:c r="O1523" s="7" t="s">
        <x:v>1937</x:v>
      </x:c>
      <x:c r="P1523" s="7" t="s">
        <x:v>1921</x:v>
      </x:c>
      <x:c r="Q1523" s="7" t="s">
        <x:v>2064</x:v>
      </x:c>
      <x:c r="R1523" s="7" t="s">
        <x:v>53</x:v>
      </x:c>
      <x:c r="S1523" s="7" t="s">
        <x:v>53</x:v>
      </x:c>
      <x:c r="T1523" s="7" t="s">
        <x:v>53</x:v>
      </x:c>
      <x:c r="U1523" s="7" t="s">
        <x:v>53</x:v>
      </x:c>
      <x:c r="V1523" s="7" t="s">
        <x:v>1947</x:v>
      </x:c>
      <x:c r="W1523" s="7" t="s">
        <x:v>58</x:v>
      </x:c>
      <x:c r="X1523" s="7" t="s">
        <x:v>53</x:v>
      </x:c>
      <x:c r="Y1523" s="7" t="s">
        <x:v>1361</x:v>
      </x:c>
      <x:c r="Z1523" s="7" t="s">
        <x:v>1952</x:v>
      </x:c>
      <x:c r="AA1523" s="7" t="s">
        <x:v>58</x:v>
      </x:c>
      <x:c r="AB1523" s="8" t="s">
        <x:v>58</x:v>
      </x:c>
      <x:c r="AC1523" s="8" t="s">
        <x:v>58</x:v>
      </x:c>
      <x:c r="AD1523" s="8" t="s">
        <x:v>58</x:v>
      </x:c>
      <x:c r="AE1523" s="8" t="s">
        <x:v>58</x:v>
      </x:c>
      <x:c r="AF1523" s="8" t="s">
        <x:v>58</x:v>
      </x:c>
      <x:c r="AG1523" s="7" t="s">
        <x:v>58</x:v>
      </x:c>
    </x:row>
    <x:row r="1524" ht="37.5" hidden="0" customHeight="1">
      <x:c r="A1524" s="7" t="s">
        <x:v>4901</x:v>
      </x:c>
      <x:c r="B1524" s="7" t="s">
        <x:v>928</x:v>
      </x:c>
      <x:c r="C1524" s="7" t="s">
        <x:v>930</x:v>
      </x:c>
      <x:c r="D1524" s="7" t="s">
        <x:v>2030</x:v>
      </x:c>
      <x:c r="E1524" s="7" t="s">
        <x:v>4902</x:v>
      </x:c>
      <x:c r="F1524" s="7" t="s">
        <x:v>2033</x:v>
      </x:c>
      <x:c r="G1524" s="8" t="n">
        <x:v>10</x:v>
      </x:c>
      <x:c r="H1524" s="8" t="s">
        <x:v>58</x:v>
      </x:c>
      <x:c r="I1524" s="8" t="s">
        <x:v>58</x:v>
      </x:c>
      <x:c r="J1524" s="7" t="s">
        <x:v>1919</x:v>
      </x:c>
      <x:c r="K1524" s="8" t="n">
        <x:v>1</x:v>
      </x:c>
      <x:c r="L1524" s="8" t="n">
        <x:f aca="0">IF(AND(ISNUMBER(G1524),P1524&lt;&gt;"Unresolved unit / layout"),G1524*K1524,"Not applicable")</x:f>
        <x:v>10</x:v>
      </x:c>
      <x:c r="M1524" s="8" t="str">
        <x:f aca="0">IF(AND(ISNUMBER(H1524),P1524&lt;&gt;"Unresolved unit / layout"),H1524*K1524,"Not applicable")</x:f>
        <x:v>Not applicable</x:v>
      </x:c>
      <x:c r="N1524" s="8" t="str">
        <x:f aca="0">IF(AND(ISNUMBER(I1524),P1524&lt;&gt;"Unresolved unit / layout"),I1524*K1524,"Not applicable")</x:f>
        <x:v>Not applicable</x:v>
      </x:c>
      <x:c r="O1524" s="7" t="s">
        <x:v>2033</x:v>
      </x:c>
      <x:c r="P1524" s="7" t="s">
        <x:v>1921</x:v>
      </x:c>
      <x:c r="Q1524" s="7" t="s">
        <x:v>2064</x:v>
      </x:c>
      <x:c r="R1524" s="7" t="s">
        <x:v>53</x:v>
      </x:c>
      <x:c r="S1524" s="7" t="s">
        <x:v>53</x:v>
      </x:c>
      <x:c r="T1524" s="7" t="s">
        <x:v>53</x:v>
      </x:c>
      <x:c r="U1524" s="7" t="s">
        <x:v>53</x:v>
      </x:c>
      <x:c r="V1524" s="7" t="s">
        <x:v>4903</x:v>
      </x:c>
      <x:c r="W1524" s="7" t="s">
        <x:v>53</x:v>
      </x:c>
      <x:c r="X1524" s="7" t="s">
        <x:v>53</x:v>
      </x:c>
      <x:c r="Y1524" s="7" t="s">
        <x:v>1361</x:v>
      </x:c>
      <x:c r="Z1524" s="7" t="s">
        <x:v>4027</x:v>
      </x:c>
      <x:c r="AA1524" s="7" t="s">
        <x:v>58</x:v>
      </x:c>
      <x:c r="AB1524" s="8" t="s">
        <x:v>58</x:v>
      </x:c>
      <x:c r="AC1524" s="8" t="s">
        <x:v>58</x:v>
      </x:c>
      <x:c r="AD1524" s="8" t="s">
        <x:v>58</x:v>
      </x:c>
      <x:c r="AE1524" s="8" t="s">
        <x:v>58</x:v>
      </x:c>
      <x:c r="AF1524" s="8" t="s">
        <x:v>58</x:v>
      </x:c>
      <x:c r="AG1524" s="7" t="s">
        <x:v>58</x:v>
      </x:c>
    </x:row>
    <x:row r="1525" ht="37.5" hidden="0" customHeight="1">
      <x:c r="A1525" s="7" t="s">
        <x:v>4904</x:v>
      </x:c>
      <x:c r="B1525" s="7" t="s">
        <x:v>928</x:v>
      </x:c>
      <x:c r="C1525" s="7" t="s">
        <x:v>930</x:v>
      </x:c>
      <x:c r="D1525" s="7" t="s">
        <x:v>2846</x:v>
      </x:c>
      <x:c r="E1525" s="7" t="s">
        <x:v>4905</x:v>
      </x:c>
      <x:c r="F1525" s="7" t="s">
        <x:v>4906</x:v>
      </x:c>
      <x:c r="G1525" s="8" t="n">
        <x:v>80</x:v>
      </x:c>
      <x:c r="H1525" s="8" t="s">
        <x:v>58</x:v>
      </x:c>
      <x:c r="I1525" s="8" t="s">
        <x:v>58</x:v>
      </x:c>
      <x:c r="J1525" s="7" t="s">
        <x:v>1919</x:v>
      </x:c>
      <x:c r="K1525" s="8" t="n">
        <x:v>1</x:v>
      </x:c>
      <x:c r="L1525" s="8" t="n">
        <x:f aca="0">IF(AND(ISNUMBER(G1525),P1525&lt;&gt;"Unresolved unit / layout"),G1525*K1525,"Not applicable")</x:f>
        <x:v>80</x:v>
      </x:c>
      <x:c r="M1525" s="8" t="str">
        <x:f aca="0">IF(AND(ISNUMBER(H1525),P1525&lt;&gt;"Unresolved unit / layout"),H1525*K1525,"Not applicable")</x:f>
        <x:v>Not applicable</x:v>
      </x:c>
      <x:c r="N1525" s="8" t="str">
        <x:f aca="0">IF(AND(ISNUMBER(I1525),P1525&lt;&gt;"Unresolved unit / layout"),I1525*K1525,"Not applicable")</x:f>
        <x:v>Not applicable</x:v>
      </x:c>
      <x:c r="O1525" s="7" t="s">
        <x:v>4906</x:v>
      </x:c>
      <x:c r="P1525" s="7" t="s">
        <x:v>1921</x:v>
      </x:c>
      <x:c r="Q1525" s="7" t="s">
        <x:v>2064</x:v>
      </x:c>
      <x:c r="R1525" s="7" t="s">
        <x:v>53</x:v>
      </x:c>
      <x:c r="S1525" s="7" t="s">
        <x:v>53</x:v>
      </x:c>
      <x:c r="T1525" s="7" t="s">
        <x:v>53</x:v>
      </x:c>
      <x:c r="U1525" s="7" t="s">
        <x:v>53</x:v>
      </x:c>
      <x:c r="V1525" s="7" t="s">
        <x:v>4829</x:v>
      </x:c>
      <x:c r="W1525" s="7" t="s">
        <x:v>58</x:v>
      </x:c>
      <x:c r="X1525" s="7" t="s">
        <x:v>53</x:v>
      </x:c>
      <x:c r="Y1525" s="7" t="s">
        <x:v>1361</x:v>
      </x:c>
      <x:c r="Z1525" s="7" t="s">
        <x:v>4907</x:v>
      </x:c>
      <x:c r="AA1525" s="7" t="s">
        <x:v>4908</x:v>
      </x:c>
      <x:c r="AB1525" s="8" t="s">
        <x:v>58</x:v>
      </x:c>
      <x:c r="AC1525" s="8" t="s">
        <x:v>58</x:v>
      </x:c>
      <x:c r="AD1525" s="8" t="s">
        <x:v>58</x:v>
      </x:c>
      <x:c r="AE1525" s="8" t="s">
        <x:v>58</x:v>
      </x:c>
      <x:c r="AF1525" s="8" t="s">
        <x:v>58</x:v>
      </x:c>
      <x:c r="AG1525" s="7" t="s">
        <x:v>58</x:v>
      </x:c>
    </x:row>
    <x:row r="1526" ht="51.75" hidden="0" customHeight="1">
      <x:c r="A1526" s="7" t="s">
        <x:v>4909</x:v>
      </x:c>
      <x:c r="B1526" s="7" t="s">
        <x:v>957</x:v>
      </x:c>
      <x:c r="C1526" s="7" t="s">
        <x:v>960</x:v>
      </x:c>
      <x:c r="D1526" s="7" t="s">
        <x:v>1916</x:v>
      </x:c>
      <x:c r="E1526" s="7" t="s">
        <x:v>4032</x:v>
      </x:c>
      <x:c r="F1526" s="7" t="s">
        <x:v>1918</x:v>
      </x:c>
      <x:c r="G1526" s="8" t="n">
        <x:v>1.23</x:v>
      </x:c>
      <x:c r="H1526" s="8" t="s">
        <x:v>58</x:v>
      </x:c>
      <x:c r="I1526" s="8" t="s">
        <x:v>58</x:v>
      </x:c>
      <x:c r="J1526" s="7" t="s">
        <x:v>1919</x:v>
      </x:c>
      <x:c r="K1526" s="8" t="n">
        <x:v>1000</x:v>
      </x:c>
      <x:c r="L1526" s="8" t="n">
        <x:f aca="0">IF(AND(ISNUMBER(G1526),P1526&lt;&gt;"Unresolved unit / layout"),G1526*K1526,"Not applicable")</x:f>
        <x:v>1230</x:v>
      </x:c>
      <x:c r="M1526" s="8" t="str">
        <x:f aca="0">IF(AND(ISNUMBER(H1526),P1526&lt;&gt;"Unresolved unit / layout"),H1526*K1526,"Not applicable")</x:f>
        <x:v>Not applicable</x:v>
      </x:c>
      <x:c r="N1526" s="8" t="str">
        <x:f aca="0">IF(AND(ISNUMBER(I1526),P1526&lt;&gt;"Unresolved unit / layout"),I1526*K1526,"Not applicable")</x:f>
        <x:v>Not applicable</x:v>
      </x:c>
      <x:c r="O1526" s="7" t="s">
        <x:v>1920</x:v>
      </x:c>
      <x:c r="P1526" s="7" t="s">
        <x:v>1921</x:v>
      </x:c>
      <x:c r="Q1526" s="7" t="s">
        <x:v>1922</x:v>
      </x:c>
      <x:c r="R1526" s="7" t="s">
        <x:v>58</x:v>
      </x:c>
      <x:c r="S1526" s="7" t="s">
        <x:v>53</x:v>
      </x:c>
      <x:c r="T1526" s="7" t="s">
        <x:v>53</x:v>
      </x:c>
      <x:c r="U1526" s="7" t="s">
        <x:v>53</x:v>
      </x:c>
      <x:c r="V1526" s="7" t="s">
        <x:v>1923</x:v>
      </x:c>
      <x:c r="W1526" s="7" t="s">
        <x:v>58</x:v>
      </x:c>
      <x:c r="X1526" s="7" t="s">
        <x:v>4910</x:v>
      </x:c>
      <x:c r="Y1526" s="7" t="s">
        <x:v>1369</x:v>
      </x:c>
      <x:c r="Z1526" s="7" t="s">
        <x:v>1925</x:v>
      </x:c>
      <x:c r="AA1526" s="7" t="s">
        <x:v>58</x:v>
      </x:c>
      <x:c r="AB1526" s="8" t="s">
        <x:v>58</x:v>
      </x:c>
      <x:c r="AC1526" s="8" t="s">
        <x:v>58</x:v>
      </x:c>
      <x:c r="AD1526" s="8" t="s">
        <x:v>58</x:v>
      </x:c>
      <x:c r="AE1526" s="8" t="s">
        <x:v>58</x:v>
      </x:c>
      <x:c r="AF1526" s="8" t="s">
        <x:v>58</x:v>
      </x:c>
      <x:c r="AG1526" s="7" t="s">
        <x:v>58</x:v>
      </x:c>
    </x:row>
    <x:row r="1527" ht="51.75" hidden="0" customHeight="1">
      <x:c r="A1527" s="7" t="s">
        <x:v>4911</x:v>
      </x:c>
      <x:c r="B1527" s="7" t="s">
        <x:v>957</x:v>
      </x:c>
      <x:c r="C1527" s="7" t="s">
        <x:v>960</x:v>
      </x:c>
      <x:c r="D1527" s="7" t="s">
        <x:v>1927</x:v>
      </x:c>
      <x:c r="E1527" s="7" t="s">
        <x:v>4912</x:v>
      </x:c>
      <x:c r="F1527" s="7" t="s">
        <x:v>1929</x:v>
      </x:c>
      <x:c r="G1527" s="8" t="n">
        <x:v>45</x:v>
      </x:c>
      <x:c r="H1527" s="8" t="s">
        <x:v>58</x:v>
      </x:c>
      <x:c r="I1527" s="8" t="s">
        <x:v>58</x:v>
      </x:c>
      <x:c r="J1527" s="7" t="s">
        <x:v>1919</x:v>
      </x:c>
      <x:c r="K1527" s="8" t="n">
        <x:v>1</x:v>
      </x:c>
      <x:c r="L1527" s="8" t="n">
        <x:f aca="0">IF(AND(ISNUMBER(G1527),P1527&lt;&gt;"Unresolved unit / layout"),G1527*K1527,"Not applicable")</x:f>
        <x:v>45</x:v>
      </x:c>
      <x:c r="M1527" s="8" t="str">
        <x:f aca="0">IF(AND(ISNUMBER(H1527),P1527&lt;&gt;"Unresolved unit / layout"),H1527*K1527,"Not applicable")</x:f>
        <x:v>Not applicable</x:v>
      </x:c>
      <x:c r="N1527" s="8" t="str">
        <x:f aca="0">IF(AND(ISNUMBER(I1527),P1527&lt;&gt;"Unresolved unit / layout"),I1527*K1527,"Not applicable")</x:f>
        <x:v>Not applicable</x:v>
      </x:c>
      <x:c r="O1527" s="7" t="s">
        <x:v>1929</x:v>
      </x:c>
      <x:c r="P1527" s="7" t="s">
        <x:v>1921</x:v>
      </x:c>
      <x:c r="Q1527" s="7" t="s">
        <x:v>1930</x:v>
      </x:c>
      <x:c r="R1527" s="7" t="s">
        <x:v>1931</x:v>
      </x:c>
      <x:c r="S1527" s="7" t="s">
        <x:v>53</x:v>
      </x:c>
      <x:c r="T1527" s="7" t="s">
        <x:v>53</x:v>
      </x:c>
      <x:c r="U1527" s="7" t="s">
        <x:v>53</x:v>
      </x:c>
      <x:c r="V1527" s="7" t="s">
        <x:v>1932</x:v>
      </x:c>
      <x:c r="W1527" s="7" t="s">
        <x:v>58</x:v>
      </x:c>
      <x:c r="X1527" s="7" t="s">
        <x:v>4910</x:v>
      </x:c>
      <x:c r="Y1527" s="7" t="s">
        <x:v>1369</x:v>
      </x:c>
      <x:c r="Z1527" s="7" t="s">
        <x:v>1933</x:v>
      </x:c>
      <x:c r="AA1527" s="7" t="s">
        <x:v>58</x:v>
      </x:c>
      <x:c r="AB1527" s="8" t="s">
        <x:v>58</x:v>
      </x:c>
      <x:c r="AC1527" s="8" t="s">
        <x:v>58</x:v>
      </x:c>
      <x:c r="AD1527" s="8" t="s">
        <x:v>58</x:v>
      </x:c>
      <x:c r="AE1527" s="8" t="s">
        <x:v>58</x:v>
      </x:c>
      <x:c r="AF1527" s="8" t="s">
        <x:v>58</x:v>
      </x:c>
      <x:c r="AG1527" s="7" t="s">
        <x:v>58</x:v>
      </x:c>
    </x:row>
    <x:row r="1528" ht="51.75" hidden="0" customHeight="1">
      <x:c r="A1528" s="7" t="s">
        <x:v>4913</x:v>
      </x:c>
      <x:c r="B1528" s="7" t="s">
        <x:v>957</x:v>
      </x:c>
      <x:c r="C1528" s="7" t="s">
        <x:v>960</x:v>
      </x:c>
      <x:c r="D1528" s="7" t="s">
        <x:v>1935</x:v>
      </x:c>
      <x:c r="E1528" s="7" t="s">
        <x:v>4914</x:v>
      </x:c>
      <x:c r="F1528" s="7" t="s">
        <x:v>1929</x:v>
      </x:c>
      <x:c r="G1528" s="8" t="n">
        <x:v>1755</x:v>
      </x:c>
      <x:c r="H1528" s="8" t="s">
        <x:v>58</x:v>
      </x:c>
      <x:c r="I1528" s="8" t="s">
        <x:v>58</x:v>
      </x:c>
      <x:c r="J1528" s="7" t="s">
        <x:v>1919</x:v>
      </x:c>
      <x:c r="K1528" s="8" t="n">
        <x:v>0.001</x:v>
      </x:c>
      <x:c r="L1528" s="8" t="n">
        <x:f aca="0">IF(AND(ISNUMBER(G1528),P1528&lt;&gt;"Unresolved unit / layout"),G1528*K1528,"Not applicable")</x:f>
        <x:v>1.7550000000000001</x:v>
      </x:c>
      <x:c r="M1528" s="8" t="str">
        <x:f aca="0">IF(AND(ISNUMBER(H1528),P1528&lt;&gt;"Unresolved unit / layout"),H1528*K1528,"Not applicable")</x:f>
        <x:v>Not applicable</x:v>
      </x:c>
      <x:c r="N1528" s="8" t="str">
        <x:f aca="0">IF(AND(ISNUMBER(I1528),P1528&lt;&gt;"Unresolved unit / layout"),I1528*K1528,"Not applicable")</x:f>
        <x:v>Not applicable</x:v>
      </x:c>
      <x:c r="O1528" s="7" t="s">
        <x:v>1937</x:v>
      </x:c>
      <x:c r="P1528" s="7" t="s">
        <x:v>1921</x:v>
      </x:c>
      <x:c r="Q1528" s="7" t="s">
        <x:v>1930</x:v>
      </x:c>
      <x:c r="R1528" s="7" t="s">
        <x:v>1931</x:v>
      </x:c>
      <x:c r="S1528" s="7" t="s">
        <x:v>53</x:v>
      </x:c>
      <x:c r="T1528" s="7" t="s">
        <x:v>53</x:v>
      </x:c>
      <x:c r="U1528" s="7" t="s">
        <x:v>53</x:v>
      </x:c>
      <x:c r="V1528" s="7" t="s">
        <x:v>1932</x:v>
      </x:c>
      <x:c r="W1528" s="7" t="s">
        <x:v>58</x:v>
      </x:c>
      <x:c r="X1528" s="7" t="s">
        <x:v>4910</x:v>
      </x:c>
      <x:c r="Y1528" s="7" t="s">
        <x:v>1369</x:v>
      </x:c>
      <x:c r="Z1528" s="7" t="s">
        <x:v>1938</x:v>
      </x:c>
      <x:c r="AA1528" s="7" t="s">
        <x:v>58</x:v>
      </x:c>
      <x:c r="AB1528" s="8" t="s">
        <x:v>58</x:v>
      </x:c>
      <x:c r="AC1528" s="8" t="s">
        <x:v>58</x:v>
      </x:c>
      <x:c r="AD1528" s="8" t="s">
        <x:v>58</x:v>
      </x:c>
      <x:c r="AE1528" s="8" t="s">
        <x:v>58</x:v>
      </x:c>
      <x:c r="AF1528" s="8" t="s">
        <x:v>58</x:v>
      </x:c>
      <x:c r="AG1528" s="7" t="s">
        <x:v>58</x:v>
      </x:c>
    </x:row>
    <x:row r="1529" ht="51.75" hidden="0" customHeight="1">
      <x:c r="A1529" s="7" t="s">
        <x:v>4915</x:v>
      </x:c>
      <x:c r="B1529" s="7" t="s">
        <x:v>957</x:v>
      </x:c>
      <x:c r="C1529" s="7" t="s">
        <x:v>960</x:v>
      </x:c>
      <x:c r="D1529" s="7" t="s">
        <x:v>1940</x:v>
      </x:c>
      <x:c r="E1529" s="7" t="s">
        <x:v>4916</x:v>
      </x:c>
      <x:c r="F1529" s="7" t="s">
        <x:v>1942</x:v>
      </x:c>
      <x:c r="G1529" s="8" t="n">
        <x:v>24</x:v>
      </x:c>
      <x:c r="H1529" s="8" t="s">
        <x:v>58</x:v>
      </x:c>
      <x:c r="I1529" s="8" t="s">
        <x:v>58</x:v>
      </x:c>
      <x:c r="J1529" s="7" t="s">
        <x:v>1919</x:v>
      </x:c>
      <x:c r="K1529" s="8" t="n">
        <x:v>1</x:v>
      </x:c>
      <x:c r="L1529" s="8" t="n">
        <x:f aca="0">IF(AND(ISNUMBER(G1529),P1529&lt;&gt;"Unresolved unit / layout"),G1529*K1529,"Not applicable")</x:f>
        <x:v>24</x:v>
      </x:c>
      <x:c r="M1529" s="8" t="str">
        <x:f aca="0">IF(AND(ISNUMBER(H1529),P1529&lt;&gt;"Unresolved unit / layout"),H1529*K1529,"Not applicable")</x:f>
        <x:v>Not applicable</x:v>
      </x:c>
      <x:c r="N1529" s="8" t="str">
        <x:f aca="0">IF(AND(ISNUMBER(I1529),P1529&lt;&gt;"Unresolved unit / layout"),I1529*K1529,"Not applicable")</x:f>
        <x:v>Not applicable</x:v>
      </x:c>
      <x:c r="O1529" s="7" t="s">
        <x:v>1942</x:v>
      </x:c>
      <x:c r="P1529" s="7" t="s">
        <x:v>1921</x:v>
      </x:c>
      <x:c r="Q1529" s="7" t="s">
        <x:v>1930</x:v>
      </x:c>
      <x:c r="R1529" s="7" t="s">
        <x:v>1931</x:v>
      </x:c>
      <x:c r="S1529" s="7" t="s">
        <x:v>53</x:v>
      </x:c>
      <x:c r="T1529" s="7" t="s">
        <x:v>53</x:v>
      </x:c>
      <x:c r="U1529" s="7" t="s">
        <x:v>53</x:v>
      </x:c>
      <x:c r="V1529" s="7" t="s">
        <x:v>1932</x:v>
      </x:c>
      <x:c r="W1529" s="7" t="s">
        <x:v>58</x:v>
      </x:c>
      <x:c r="X1529" s="7" t="s">
        <x:v>4910</x:v>
      </x:c>
      <x:c r="Y1529" s="7" t="s">
        <x:v>1369</x:v>
      </x:c>
      <x:c r="Z1529" s="7" t="s">
        <x:v>1943</x:v>
      </x:c>
      <x:c r="AA1529" s="7" t="s">
        <x:v>58</x:v>
      </x:c>
      <x:c r="AB1529" s="8" t="s">
        <x:v>58</x:v>
      </x:c>
      <x:c r="AC1529" s="8" t="s">
        <x:v>58</x:v>
      </x:c>
      <x:c r="AD1529" s="8" t="s">
        <x:v>58</x:v>
      </x:c>
      <x:c r="AE1529" s="8" t="s">
        <x:v>58</x:v>
      </x:c>
      <x:c r="AF1529" s="8" t="s">
        <x:v>58</x:v>
      </x:c>
      <x:c r="AG1529" s="7" t="s">
        <x:v>58</x:v>
      </x:c>
    </x:row>
    <x:row r="1530" ht="51.75" hidden="0" customHeight="1">
      <x:c r="A1530" s="7" t="s">
        <x:v>4917</x:v>
      </x:c>
      <x:c r="B1530" s="7" t="s">
        <x:v>957</x:v>
      </x:c>
      <x:c r="C1530" s="7" t="s">
        <x:v>960</x:v>
      </x:c>
      <x:c r="D1530" s="7" t="s">
        <x:v>1945</x:v>
      </x:c>
      <x:c r="E1530" s="7" t="s">
        <x:v>3950</x:v>
      </x:c>
      <x:c r="F1530" s="7" t="s">
        <x:v>1929</x:v>
      </x:c>
      <x:c r="G1530" s="8" t="n">
        <x:v>72</x:v>
      </x:c>
      <x:c r="H1530" s="8" t="s">
        <x:v>58</x:v>
      </x:c>
      <x:c r="I1530" s="8" t="s">
        <x:v>58</x:v>
      </x:c>
      <x:c r="J1530" s="7" t="s">
        <x:v>1919</x:v>
      </x:c>
      <x:c r="K1530" s="8" t="n">
        <x:v>1</x:v>
      </x:c>
      <x:c r="L1530" s="8" t="n">
        <x:f aca="0">IF(AND(ISNUMBER(G1530),P1530&lt;&gt;"Unresolved unit / layout"),G1530*K1530,"Not applicable")</x:f>
        <x:v>72</x:v>
      </x:c>
      <x:c r="M1530" s="8" t="str">
        <x:f aca="0">IF(AND(ISNUMBER(H1530),P1530&lt;&gt;"Unresolved unit / layout"),H1530*K1530,"Not applicable")</x:f>
        <x:v>Not applicable</x:v>
      </x:c>
      <x:c r="N1530" s="8" t="str">
        <x:f aca="0">IF(AND(ISNUMBER(I1530),P1530&lt;&gt;"Unresolved unit / layout"),I1530*K1530,"Not applicable")</x:f>
        <x:v>Not applicable</x:v>
      </x:c>
      <x:c r="O1530" s="7" t="s">
        <x:v>1929</x:v>
      </x:c>
      <x:c r="P1530" s="7" t="s">
        <x:v>1921</x:v>
      </x:c>
      <x:c r="Q1530" s="7" t="s">
        <x:v>1930</x:v>
      </x:c>
      <x:c r="R1530" s="7" t="s">
        <x:v>1931</x:v>
      </x:c>
      <x:c r="S1530" s="7" t="s">
        <x:v>53</x:v>
      </x:c>
      <x:c r="T1530" s="7" t="s">
        <x:v>53</x:v>
      </x:c>
      <x:c r="U1530" s="7" t="s">
        <x:v>53</x:v>
      </x:c>
      <x:c r="V1530" s="7" t="s">
        <x:v>1947</x:v>
      </x:c>
      <x:c r="W1530" s="7" t="s">
        <x:v>58</x:v>
      </x:c>
      <x:c r="X1530" s="7" t="s">
        <x:v>4910</x:v>
      </x:c>
      <x:c r="Y1530" s="7" t="s">
        <x:v>1369</x:v>
      </x:c>
      <x:c r="Z1530" s="7" t="s">
        <x:v>1948</x:v>
      </x:c>
      <x:c r="AA1530" s="7" t="s">
        <x:v>58</x:v>
      </x:c>
      <x:c r="AB1530" s="8" t="s">
        <x:v>58</x:v>
      </x:c>
      <x:c r="AC1530" s="8" t="s">
        <x:v>58</x:v>
      </x:c>
      <x:c r="AD1530" s="8" t="s">
        <x:v>58</x:v>
      </x:c>
      <x:c r="AE1530" s="8" t="s">
        <x:v>58</x:v>
      </x:c>
      <x:c r="AF1530" s="8" t="s">
        <x:v>58</x:v>
      </x:c>
      <x:c r="AG1530" s="7" t="s">
        <x:v>58</x:v>
      </x:c>
    </x:row>
    <x:row r="1531" ht="51.75" hidden="0" customHeight="1">
      <x:c r="A1531" s="7" t="s">
        <x:v>4918</x:v>
      </x:c>
      <x:c r="B1531" s="7" t="s">
        <x:v>957</x:v>
      </x:c>
      <x:c r="C1531" s="7" t="s">
        <x:v>960</x:v>
      </x:c>
      <x:c r="D1531" s="7" t="s">
        <x:v>1950</x:v>
      </x:c>
      <x:c r="E1531" s="7" t="s">
        <x:v>4805</x:v>
      </x:c>
      <x:c r="F1531" s="7" t="s">
        <x:v>1929</x:v>
      </x:c>
      <x:c r="G1531" s="8" t="n">
        <x:v>1600</x:v>
      </x:c>
      <x:c r="H1531" s="8" t="s">
        <x:v>58</x:v>
      </x:c>
      <x:c r="I1531" s="8" t="s">
        <x:v>58</x:v>
      </x:c>
      <x:c r="J1531" s="7" t="s">
        <x:v>1919</x:v>
      </x:c>
      <x:c r="K1531" s="8" t="n">
        <x:v>0.001</x:v>
      </x:c>
      <x:c r="L1531" s="8" t="n">
        <x:f aca="0">IF(AND(ISNUMBER(G1531),P1531&lt;&gt;"Unresolved unit / layout"),G1531*K1531,"Not applicable")</x:f>
        <x:v>1.6</x:v>
      </x:c>
      <x:c r="M1531" s="8" t="str">
        <x:f aca="0">IF(AND(ISNUMBER(H1531),P1531&lt;&gt;"Unresolved unit / layout"),H1531*K1531,"Not applicable")</x:f>
        <x:v>Not applicable</x:v>
      </x:c>
      <x:c r="N1531" s="8" t="str">
        <x:f aca="0">IF(AND(ISNUMBER(I1531),P1531&lt;&gt;"Unresolved unit / layout"),I1531*K1531,"Not applicable")</x:f>
        <x:v>Not applicable</x:v>
      </x:c>
      <x:c r="O1531" s="7" t="s">
        <x:v>1937</x:v>
      </x:c>
      <x:c r="P1531" s="7" t="s">
        <x:v>1921</x:v>
      </x:c>
      <x:c r="Q1531" s="7" t="s">
        <x:v>1930</x:v>
      </x:c>
      <x:c r="R1531" s="7" t="s">
        <x:v>1931</x:v>
      </x:c>
      <x:c r="S1531" s="7" t="s">
        <x:v>53</x:v>
      </x:c>
      <x:c r="T1531" s="7" t="s">
        <x:v>53</x:v>
      </x:c>
      <x:c r="U1531" s="7" t="s">
        <x:v>53</x:v>
      </x:c>
      <x:c r="V1531" s="7" t="s">
        <x:v>1947</x:v>
      </x:c>
      <x:c r="W1531" s="7" t="s">
        <x:v>58</x:v>
      </x:c>
      <x:c r="X1531" s="7" t="s">
        <x:v>4910</x:v>
      </x:c>
      <x:c r="Y1531" s="7" t="s">
        <x:v>1369</x:v>
      </x:c>
      <x:c r="Z1531" s="7" t="s">
        <x:v>1952</x:v>
      </x:c>
      <x:c r="AA1531" s="7" t="s">
        <x:v>58</x:v>
      </x:c>
      <x:c r="AB1531" s="8" t="s">
        <x:v>58</x:v>
      </x:c>
      <x:c r="AC1531" s="8" t="s">
        <x:v>58</x:v>
      </x:c>
      <x:c r="AD1531" s="8" t="s">
        <x:v>58</x:v>
      </x:c>
      <x:c r="AE1531" s="8" t="s">
        <x:v>58</x:v>
      </x:c>
      <x:c r="AF1531" s="8" t="s">
        <x:v>58</x:v>
      </x:c>
      <x:c r="AG1531" s="7" t="s">
        <x:v>58</x:v>
      </x:c>
    </x:row>
    <x:row r="1532" ht="51.75" hidden="0" customHeight="1">
      <x:c r="A1532" s="7" t="s">
        <x:v>4919</x:v>
      </x:c>
      <x:c r="B1532" s="7" t="s">
        <x:v>957</x:v>
      </x:c>
      <x:c r="C1532" s="7" t="s">
        <x:v>960</x:v>
      </x:c>
      <x:c r="D1532" s="7" t="s">
        <x:v>2834</x:v>
      </x:c>
      <x:c r="E1532" s="7" t="s">
        <x:v>1941</x:v>
      </x:c>
      <x:c r="F1532" s="7" t="s">
        <x:v>2032</x:v>
      </x:c>
      <x:c r="G1532" s="8" t="n">
        <x:v>8</x:v>
      </x:c>
      <x:c r="H1532" s="8" t="s">
        <x:v>58</x:v>
      </x:c>
      <x:c r="I1532" s="8" t="s">
        <x:v>58</x:v>
      </x:c>
      <x:c r="J1532" s="7" t="s">
        <x:v>1919</x:v>
      </x:c>
      <x:c r="K1532" s="8" t="n">
        <x:v>1</x:v>
      </x:c>
      <x:c r="L1532" s="8" t="n">
        <x:f aca="0">IF(AND(ISNUMBER(G1532),P1532&lt;&gt;"Unresolved unit / layout"),G1532*K1532,"Insufficient comparable data")</x:f>
        <x:v>8</x:v>
      </x:c>
      <x:c r="M1532" s="8" t="str">
        <x:f aca="0">IF(AND(ISNUMBER(H1532),P1532&lt;&gt;"Unresolved unit / layout"),H1532*K1532,"Not applicable")</x:f>
        <x:v>Not applicable</x:v>
      </x:c>
      <x:c r="N1532" s="8" t="str">
        <x:f aca="0">IF(AND(ISNUMBER(I1532),P1532&lt;&gt;"Unresolved unit / layout"),I1532*K1532,"Not applicable")</x:f>
        <x:v>Not applicable</x:v>
      </x:c>
      <x:c r="O1532" s="7" t="s">
        <x:v>2033</x:v>
      </x:c>
      <x:c r="P1532" s="7" t="s">
        <x:v>2732</x:v>
      </x:c>
      <x:c r="Q1532" s="7" t="s">
        <x:v>1930</x:v>
      </x:c>
      <x:c r="R1532" s="7" t="s">
        <x:v>1931</x:v>
      </x:c>
      <x:c r="S1532" s="7" t="s">
        <x:v>53</x:v>
      </x:c>
      <x:c r="T1532" s="7" t="s">
        <x:v>53</x:v>
      </x:c>
      <x:c r="U1532" s="7" t="s">
        <x:v>53</x:v>
      </x:c>
      <x:c r="V1532" s="7" t="s">
        <x:v>4920</x:v>
      </x:c>
      <x:c r="W1532" s="7" t="s">
        <x:v>53</x:v>
      </x:c>
      <x:c r="X1532" s="7" t="s">
        <x:v>4910</x:v>
      </x:c>
      <x:c r="Y1532" s="7" t="s">
        <x:v>1369</x:v>
      </x:c>
      <x:c r="Z1532" s="7" t="s">
        <x:v>4921</x:v>
      </x:c>
      <x:c r="AA1532" s="7" t="s">
        <x:v>4922</x:v>
      </x:c>
      <x:c r="AB1532" s="8" t="s">
        <x:v>58</x:v>
      </x:c>
      <x:c r="AC1532" s="8" t="s">
        <x:v>58</x:v>
      </x:c>
      <x:c r="AD1532" s="8" t="s">
        <x:v>58</x:v>
      </x:c>
      <x:c r="AE1532" s="8" t="s">
        <x:v>58</x:v>
      </x:c>
      <x:c r="AF1532" s="8" t="s">
        <x:v>58</x:v>
      </x:c>
      <x:c r="AG1532" s="7" t="s">
        <x:v>58</x:v>
      </x:c>
    </x:row>
    <x:row r="1533" ht="51.75" hidden="0" customHeight="1">
      <x:c r="A1533" s="7" t="s">
        <x:v>4923</x:v>
      </x:c>
      <x:c r="B1533" s="7" t="s">
        <x:v>957</x:v>
      </x:c>
      <x:c r="C1533" s="7" t="s">
        <x:v>960</x:v>
      </x:c>
      <x:c r="D1533" s="7" t="s">
        <x:v>1954</x:v>
      </x:c>
      <x:c r="E1533" s="7" t="s">
        <x:v>4868</x:v>
      </x:c>
      <x:c r="F1533" s="7" t="s">
        <x:v>1956</x:v>
      </x:c>
      <x:c r="G1533" s="8" t="n">
        <x:v>78</x:v>
      </x:c>
      <x:c r="H1533" s="8" t="s">
        <x:v>58</x:v>
      </x:c>
      <x:c r="I1533" s="8" t="s">
        <x:v>58</x:v>
      </x:c>
      <x:c r="J1533" s="7" t="s">
        <x:v>1919</x:v>
      </x:c>
      <x:c r="K1533" s="8" t="n">
        <x:v>1</x:v>
      </x:c>
      <x:c r="L1533" s="8" t="n">
        <x:f aca="0">IF(AND(ISNUMBER(G1533),P1533&lt;&gt;"Unresolved unit / layout"),G1533*K1533,"Not applicable")</x:f>
        <x:v>78</x:v>
      </x:c>
      <x:c r="M1533" s="8" t="str">
        <x:f aca="0">IF(AND(ISNUMBER(H1533),P1533&lt;&gt;"Unresolved unit / layout"),H1533*K1533,"Not applicable")</x:f>
        <x:v>Not applicable</x:v>
      </x:c>
      <x:c r="N1533" s="8" t="str">
        <x:f aca="0">IF(AND(ISNUMBER(I1533),P1533&lt;&gt;"Unresolved unit / layout"),I1533*K1533,"Not applicable")</x:f>
        <x:v>Not applicable</x:v>
      </x:c>
      <x:c r="O1533" s="7" t="s">
        <x:v>1956</x:v>
      </x:c>
      <x:c r="P1533" s="7" t="s">
        <x:v>1921</x:v>
      </x:c>
      <x:c r="Q1533" s="7" t="s">
        <x:v>1930</x:v>
      </x:c>
      <x:c r="R1533" s="7" t="s">
        <x:v>58</x:v>
      </x:c>
      <x:c r="S1533" s="7" t="s">
        <x:v>53</x:v>
      </x:c>
      <x:c r="T1533" s="7" t="s">
        <x:v>53</x:v>
      </x:c>
      <x:c r="U1533" s="7" t="s">
        <x:v>53</x:v>
      </x:c>
      <x:c r="V1533" s="7" t="s">
        <x:v>1957</x:v>
      </x:c>
      <x:c r="W1533" s="7" t="s">
        <x:v>58</x:v>
      </x:c>
      <x:c r="X1533" s="7" t="s">
        <x:v>4910</x:v>
      </x:c>
      <x:c r="Y1533" s="7" t="s">
        <x:v>1369</x:v>
      </x:c>
      <x:c r="Z1533" s="7" t="s">
        <x:v>1958</x:v>
      </x:c>
      <x:c r="AA1533" s="7" t="s">
        <x:v>58</x:v>
      </x:c>
      <x:c r="AB1533" s="8" t="s">
        <x:v>58</x:v>
      </x:c>
      <x:c r="AC1533" s="8" t="s">
        <x:v>58</x:v>
      </x:c>
      <x:c r="AD1533" s="8" t="s">
        <x:v>58</x:v>
      </x:c>
      <x:c r="AE1533" s="8" t="s">
        <x:v>58</x:v>
      </x:c>
      <x:c r="AF1533" s="8" t="s">
        <x:v>58</x:v>
      </x:c>
      <x:c r="AG1533" s="7" t="s">
        <x:v>58</x:v>
      </x:c>
    </x:row>
    <x:row r="1534" ht="51.75" hidden="0" customHeight="1">
      <x:c r="A1534" s="7" t="s">
        <x:v>965</x:v>
      </x:c>
      <x:c r="B1534" s="7" t="s">
        <x:v>957</x:v>
      </x:c>
      <x:c r="C1534" s="7" t="s">
        <x:v>960</x:v>
      </x:c>
      <x:c r="D1534" s="7" t="s">
        <x:v>1959</x:v>
      </x:c>
      <x:c r="E1534" s="7" t="s">
        <x:v>3186</x:v>
      </x:c>
      <x:c r="F1534" s="7" t="s">
        <x:v>1956</x:v>
      </x:c>
      <x:c r="G1534" s="8" t="n">
        <x:v>76</x:v>
      </x:c>
      <x:c r="H1534" s="8" t="s">
        <x:v>58</x:v>
      </x:c>
      <x:c r="I1534" s="8" t="s">
        <x:v>58</x:v>
      </x:c>
      <x:c r="J1534" s="7" t="s">
        <x:v>1919</x:v>
      </x:c>
      <x:c r="K1534" s="8" t="n">
        <x:v>1</x:v>
      </x:c>
      <x:c r="L1534" s="8" t="n">
        <x:f aca="0">IF(AND(ISNUMBER(G1534),P1534&lt;&gt;"Unresolved unit / layout"),G1534*K1534,"Not applicable")</x:f>
        <x:v>76</x:v>
      </x:c>
      <x:c r="M1534" s="8" t="str">
        <x:f aca="0">IF(AND(ISNUMBER(H1534),P1534&lt;&gt;"Unresolved unit / layout"),H1534*K1534,"Not applicable")</x:f>
        <x:v>Not applicable</x:v>
      </x:c>
      <x:c r="N1534" s="8" t="str">
        <x:f aca="0">IF(AND(ISNUMBER(I1534),P1534&lt;&gt;"Unresolved unit / layout"),I1534*K1534,"Not applicable")</x:f>
        <x:v>Not applicable</x:v>
      </x:c>
      <x:c r="O1534" s="7" t="s">
        <x:v>1956</x:v>
      </x:c>
      <x:c r="P1534" s="7" t="s">
        <x:v>1921</x:v>
      </x:c>
      <x:c r="Q1534" s="7" t="s">
        <x:v>1930</x:v>
      </x:c>
      <x:c r="R1534" s="7" t="s">
        <x:v>58</x:v>
      </x:c>
      <x:c r="S1534" s="7" t="s">
        <x:v>53</x:v>
      </x:c>
      <x:c r="T1534" s="7" t="s">
        <x:v>53</x:v>
      </x:c>
      <x:c r="U1534" s="7" t="s">
        <x:v>53</x:v>
      </x:c>
      <x:c r="V1534" s="7" t="s">
        <x:v>1961</x:v>
      </x:c>
      <x:c r="W1534" s="7" t="s">
        <x:v>58</x:v>
      </x:c>
      <x:c r="X1534" s="7" t="s">
        <x:v>4910</x:v>
      </x:c>
      <x:c r="Y1534" s="7" t="s">
        <x:v>1369</x:v>
      </x:c>
      <x:c r="Z1534" s="7" t="s">
        <x:v>1962</x:v>
      </x:c>
      <x:c r="AA1534" s="7" t="s">
        <x:v>58</x:v>
      </x:c>
      <x:c r="AB1534" s="8" t="s">
        <x:v>58</x:v>
      </x:c>
      <x:c r="AC1534" s="8" t="s">
        <x:v>58</x:v>
      </x:c>
      <x:c r="AD1534" s="8" t="s">
        <x:v>58</x:v>
      </x:c>
      <x:c r="AE1534" s="8" t="s">
        <x:v>58</x:v>
      </x:c>
      <x:c r="AF1534" s="8" t="s">
        <x:v>58</x:v>
      </x:c>
      <x:c r="AG1534" s="7" t="s">
        <x:v>58</x:v>
      </x:c>
    </x:row>
    <x:row r="1535" ht="51.75" hidden="0" customHeight="1">
      <x:c r="A1535" s="7" t="s">
        <x:v>4924</x:v>
      </x:c>
      <x:c r="B1535" s="7" t="s">
        <x:v>957</x:v>
      </x:c>
      <x:c r="C1535" s="7" t="s">
        <x:v>1371</x:v>
      </x:c>
      <x:c r="D1535" s="7" t="s">
        <x:v>1916</x:v>
      </x:c>
      <x:c r="E1535" s="7" t="s">
        <x:v>1964</x:v>
      </x:c>
      <x:c r="F1535" s="7" t="s">
        <x:v>1965</x:v>
      </x:c>
      <x:c r="G1535" s="8" t="n">
        <x:v>1.23</x:v>
      </x:c>
      <x:c r="H1535" s="8" t="s">
        <x:v>58</x:v>
      </x:c>
      <x:c r="I1535" s="8" t="s">
        <x:v>58</x:v>
      </x:c>
      <x:c r="J1535" s="7" t="s">
        <x:v>1919</x:v>
      </x:c>
      <x:c r="K1535" s="8" t="n">
        <x:v>1000</x:v>
      </x:c>
      <x:c r="L1535" s="8" t="n">
        <x:f aca="0">IF(AND(ISNUMBER(G1535),P1535&lt;&gt;"Unresolved unit / layout"),G1535*K1535,"Not applicable")</x:f>
        <x:v>1230</x:v>
      </x:c>
      <x:c r="M1535" s="8" t="str">
        <x:f aca="0">IF(AND(ISNUMBER(H1535),P1535&lt;&gt;"Unresolved unit / layout"),H1535*K1535,"Not applicable")</x:f>
        <x:v>Not applicable</x:v>
      </x:c>
      <x:c r="N1535" s="8" t="str">
        <x:f aca="0">IF(AND(ISNUMBER(I1535),P1535&lt;&gt;"Unresolved unit / layout"),I1535*K1535,"Not applicable")</x:f>
        <x:v>Not applicable</x:v>
      </x:c>
      <x:c r="O1535" s="7" t="s">
        <x:v>1920</x:v>
      </x:c>
      <x:c r="P1535" s="7" t="s">
        <x:v>1921</x:v>
      </x:c>
      <x:c r="Q1535" s="7" t="s">
        <x:v>1922</x:v>
      </x:c>
      <x:c r="R1535" s="7" t="s">
        <x:v>58</x:v>
      </x:c>
      <x:c r="S1535" s="7" t="s">
        <x:v>53</x:v>
      </x:c>
      <x:c r="T1535" s="7" t="s">
        <x:v>53</x:v>
      </x:c>
      <x:c r="U1535" s="7" t="s">
        <x:v>53</x:v>
      </x:c>
      <x:c r="V1535" s="7" t="s">
        <x:v>2810</x:v>
      </x:c>
      <x:c r="W1535" s="7" t="s">
        <x:v>58</x:v>
      </x:c>
      <x:c r="X1535" s="7" t="s">
        <x:v>53</x:v>
      </x:c>
      <x:c r="Y1535" s="7" t="s">
        <x:v>1373</x:v>
      </x:c>
      <x:c r="Z1535" s="7" t="s">
        <x:v>3059</x:v>
      </x:c>
      <x:c r="AA1535" s="7" t="s">
        <x:v>58</x:v>
      </x:c>
      <x:c r="AB1535" s="8" t="s">
        <x:v>58</x:v>
      </x:c>
      <x:c r="AC1535" s="8" t="s">
        <x:v>58</x:v>
      </x:c>
      <x:c r="AD1535" s="8" t="s">
        <x:v>58</x:v>
      </x:c>
      <x:c r="AE1535" s="8" t="s">
        <x:v>58</x:v>
      </x:c>
      <x:c r="AF1535" s="8" t="s">
        <x:v>58</x:v>
      </x:c>
      <x:c r="AG1535" s="7" t="s">
        <x:v>58</x:v>
      </x:c>
    </x:row>
    <x:row r="1536" ht="37.5" hidden="0" customHeight="1">
      <x:c r="A1536" s="7" t="s">
        <x:v>4925</x:v>
      </x:c>
      <x:c r="B1536" s="7" t="s">
        <x:v>957</x:v>
      </x:c>
      <x:c r="C1536" s="7" t="s">
        <x:v>1371</x:v>
      </x:c>
      <x:c r="D1536" s="7" t="s">
        <x:v>2846</x:v>
      </x:c>
      <x:c r="E1536" s="7" t="s">
        <x:v>4926</x:v>
      </x:c>
      <x:c r="F1536" s="7" t="s">
        <x:v>3082</x:v>
      </x:c>
      <x:c r="G1536" s="8" t="n">
        <x:v>105</x:v>
      </x:c>
      <x:c r="H1536" s="8" t="s">
        <x:v>58</x:v>
      </x:c>
      <x:c r="I1536" s="8" t="s">
        <x:v>58</x:v>
      </x:c>
      <x:c r="J1536" s="7" t="s">
        <x:v>1919</x:v>
      </x:c>
      <x:c r="K1536" s="8" t="n">
        <x:v>1</x:v>
      </x:c>
      <x:c r="L1536" s="8" t="n">
        <x:f aca="0">IF(AND(ISNUMBER(G1536),P1536&lt;&gt;"Unresolved unit / layout"),G1536*K1536,"Not applicable")</x:f>
        <x:v>105</x:v>
      </x:c>
      <x:c r="M1536" s="8" t="str">
        <x:f aca="0">IF(AND(ISNUMBER(H1536),P1536&lt;&gt;"Unresolved unit / layout"),H1536*K1536,"Not applicable")</x:f>
        <x:v>Not applicable</x:v>
      </x:c>
      <x:c r="N1536" s="8" t="str">
        <x:f aca="0">IF(AND(ISNUMBER(I1536),P1536&lt;&gt;"Unresolved unit / layout"),I1536*K1536,"Not applicable")</x:f>
        <x:v>Not applicable</x:v>
      </x:c>
      <x:c r="O1536" s="7" t="s">
        <x:v>3082</x:v>
      </x:c>
      <x:c r="P1536" s="7" t="s">
        <x:v>1921</x:v>
      </x:c>
      <x:c r="Q1536" s="7" t="s">
        <x:v>2064</x:v>
      </x:c>
      <x:c r="R1536" s="7" t="s">
        <x:v>53</x:v>
      </x:c>
      <x:c r="S1536" s="7" t="s">
        <x:v>53</x:v>
      </x:c>
      <x:c r="T1536" s="7" t="s">
        <x:v>53</x:v>
      </x:c>
      <x:c r="U1536" s="7" t="s">
        <x:v>53</x:v>
      </x:c>
      <x:c r="V1536" s="7" t="s">
        <x:v>3083</x:v>
      </x:c>
      <x:c r="W1536" s="7" t="s">
        <x:v>58</x:v>
      </x:c>
      <x:c r="X1536" s="7" t="s">
        <x:v>53</x:v>
      </x:c>
      <x:c r="Y1536" s="7" t="s">
        <x:v>1373</x:v>
      </x:c>
      <x:c r="Z1536" s="7" t="s">
        <x:v>4907</x:v>
      </x:c>
      <x:c r="AA1536" s="7" t="s">
        <x:v>4908</x:v>
      </x:c>
      <x:c r="AB1536" s="8" t="s">
        <x:v>58</x:v>
      </x:c>
      <x:c r="AC1536" s="8" t="s">
        <x:v>58</x:v>
      </x:c>
      <x:c r="AD1536" s="8" t="s">
        <x:v>58</x:v>
      </x:c>
      <x:c r="AE1536" s="8" t="s">
        <x:v>58</x:v>
      </x:c>
      <x:c r="AF1536" s="8" t="s">
        <x:v>58</x:v>
      </x:c>
      <x:c r="AG1536" s="7" t="s">
        <x:v>58</x:v>
      </x:c>
    </x:row>
    <x:row r="1537" ht="37.5" hidden="0" customHeight="1">
      <x:c r="A1537" s="7" t="s">
        <x:v>4927</x:v>
      </x:c>
      <x:c r="B1537" s="7" t="s">
        <x:v>957</x:v>
      </x:c>
      <x:c r="C1537" s="7" t="s">
        <x:v>1371</x:v>
      </x:c>
      <x:c r="D1537" s="7" t="s">
        <x:v>3061</x:v>
      </x:c>
      <x:c r="E1537" s="7" t="s">
        <x:v>4928</x:v>
      </x:c>
      <x:c r="F1537" s="7" t="s">
        <x:v>1929</x:v>
      </x:c>
      <x:c r="G1537" s="8" t="n">
        <x:v>44</x:v>
      </x:c>
      <x:c r="H1537" s="8" t="s">
        <x:v>58</x:v>
      </x:c>
      <x:c r="I1537" s="8" t="s">
        <x:v>58</x:v>
      </x:c>
      <x:c r="J1537" s="7" t="s">
        <x:v>1919</x:v>
      </x:c>
      <x:c r="K1537" s="8" t="n">
        <x:v>1</x:v>
      </x:c>
      <x:c r="L1537" s="8" t="n">
        <x:f aca="0">IF(AND(ISNUMBER(G1537),P1537&lt;&gt;"Unresolved unit / layout"),G1537*K1537,"Not applicable")</x:f>
        <x:v>44</x:v>
      </x:c>
      <x:c r="M1537" s="8" t="str">
        <x:f aca="0">IF(AND(ISNUMBER(H1537),P1537&lt;&gt;"Unresolved unit / layout"),H1537*K1537,"Not applicable")</x:f>
        <x:v>Not applicable</x:v>
      </x:c>
      <x:c r="N1537" s="8" t="str">
        <x:f aca="0">IF(AND(ISNUMBER(I1537),P1537&lt;&gt;"Unresolved unit / layout"),I1537*K1537,"Not applicable")</x:f>
        <x:v>Not applicable</x:v>
      </x:c>
      <x:c r="O1537" s="7" t="s">
        <x:v>1929</x:v>
      </x:c>
      <x:c r="P1537" s="7" t="s">
        <x:v>1921</x:v>
      </x:c>
      <x:c r="Q1537" s="7" t="s">
        <x:v>2064</x:v>
      </x:c>
      <x:c r="R1537" s="7" t="s">
        <x:v>53</x:v>
      </x:c>
      <x:c r="S1537" s="7" t="s">
        <x:v>53</x:v>
      </x:c>
      <x:c r="T1537" s="7" t="s">
        <x:v>53</x:v>
      </x:c>
      <x:c r="U1537" s="7" t="s">
        <x:v>53</x:v>
      </x:c>
      <x:c r="V1537" s="7" t="s">
        <x:v>1932</x:v>
      </x:c>
      <x:c r="W1537" s="7" t="s">
        <x:v>58</x:v>
      </x:c>
      <x:c r="X1537" s="7" t="s">
        <x:v>53</x:v>
      </x:c>
      <x:c r="Y1537" s="7" t="s">
        <x:v>1373</x:v>
      </x:c>
      <x:c r="Z1537" s="7" t="s">
        <x:v>4929</x:v>
      </x:c>
      <x:c r="AA1537" s="7" t="s">
        <x:v>58</x:v>
      </x:c>
      <x:c r="AB1537" s="8" t="s">
        <x:v>58</x:v>
      </x:c>
      <x:c r="AC1537" s="8" t="s">
        <x:v>58</x:v>
      </x:c>
      <x:c r="AD1537" s="8" t="s">
        <x:v>58</x:v>
      </x:c>
      <x:c r="AE1537" s="8" t="s">
        <x:v>58</x:v>
      </x:c>
      <x:c r="AF1537" s="8" t="s">
        <x:v>58</x:v>
      </x:c>
      <x:c r="AG1537" s="7" t="s">
        <x:v>58</x:v>
      </x:c>
    </x:row>
    <x:row r="1538" ht="37.5" hidden="0" customHeight="1">
      <x:c r="A1538" s="7" t="s">
        <x:v>4930</x:v>
      </x:c>
      <x:c r="B1538" s="7" t="s">
        <x:v>957</x:v>
      </x:c>
      <x:c r="C1538" s="7" t="s">
        <x:v>1371</x:v>
      </x:c>
      <x:c r="D1538" s="7" t="s">
        <x:v>1927</x:v>
      </x:c>
      <x:c r="E1538" s="7" t="s">
        <x:v>4931</x:v>
      </x:c>
      <x:c r="F1538" s="7" t="s">
        <x:v>2717</x:v>
      </x:c>
      <x:c r="G1538" s="8" t="n">
        <x:v>46</x:v>
      </x:c>
      <x:c r="H1538" s="8" t="s">
        <x:v>58</x:v>
      </x:c>
      <x:c r="I1538" s="8" t="s">
        <x:v>58</x:v>
      </x:c>
      <x:c r="J1538" s="7" t="s">
        <x:v>1919</x:v>
      </x:c>
      <x:c r="K1538" s="8" t="n">
        <x:v>1</x:v>
      </x:c>
      <x:c r="L1538" s="8" t="n">
        <x:f aca="0">IF(AND(ISNUMBER(G1538),P1538&lt;&gt;"Unresolved unit / layout"),G1538*K1538,"Not applicable")</x:f>
        <x:v>46</x:v>
      </x:c>
      <x:c r="M1538" s="8" t="str">
        <x:f aca="0">IF(AND(ISNUMBER(H1538),P1538&lt;&gt;"Unresolved unit / layout"),H1538*K1538,"Not applicable")</x:f>
        <x:v>Not applicable</x:v>
      </x:c>
      <x:c r="N1538" s="8" t="str">
        <x:f aca="0">IF(AND(ISNUMBER(I1538),P1538&lt;&gt;"Unresolved unit / layout"),I1538*K1538,"Not applicable")</x:f>
        <x:v>Not applicable</x:v>
      </x:c>
      <x:c r="O1538" s="7" t="s">
        <x:v>1929</x:v>
      </x:c>
      <x:c r="P1538" s="7" t="s">
        <x:v>1921</x:v>
      </x:c>
      <x:c r="Q1538" s="7" t="s">
        <x:v>2064</x:v>
      </x:c>
      <x:c r="R1538" s="7" t="s">
        <x:v>53</x:v>
      </x:c>
      <x:c r="S1538" s="7" t="s">
        <x:v>53</x:v>
      </x:c>
      <x:c r="T1538" s="7" t="s">
        <x:v>53</x:v>
      </x:c>
      <x:c r="U1538" s="7" t="s">
        <x:v>53</x:v>
      </x:c>
      <x:c r="V1538" s="7" t="s">
        <x:v>1932</x:v>
      </x:c>
      <x:c r="W1538" s="7" t="s">
        <x:v>58</x:v>
      </x:c>
      <x:c r="X1538" s="7" t="s">
        <x:v>53</x:v>
      </x:c>
      <x:c r="Y1538" s="7" t="s">
        <x:v>1373</x:v>
      </x:c>
      <x:c r="Z1538" s="7" t="s">
        <x:v>4932</x:v>
      </x:c>
      <x:c r="AA1538" s="7" t="s">
        <x:v>58</x:v>
      </x:c>
      <x:c r="AB1538" s="8" t="s">
        <x:v>58</x:v>
      </x:c>
      <x:c r="AC1538" s="8" t="s">
        <x:v>58</x:v>
      </x:c>
      <x:c r="AD1538" s="8" t="s">
        <x:v>58</x:v>
      </x:c>
      <x:c r="AE1538" s="8" t="s">
        <x:v>58</x:v>
      </x:c>
      <x:c r="AF1538" s="8" t="s">
        <x:v>58</x:v>
      </x:c>
      <x:c r="AG1538" s="7" t="s">
        <x:v>58</x:v>
      </x:c>
    </x:row>
    <x:row r="1539" ht="37.5" hidden="0" customHeight="1">
      <x:c r="A1539" s="7" t="s">
        <x:v>4933</x:v>
      </x:c>
      <x:c r="B1539" s="7" t="s">
        <x:v>957</x:v>
      </x:c>
      <x:c r="C1539" s="7" t="s">
        <x:v>1371</x:v>
      </x:c>
      <x:c r="D1539" s="7" t="s">
        <x:v>2820</x:v>
      </x:c>
      <x:c r="E1539" s="7" t="s">
        <x:v>4934</x:v>
      </x:c>
      <x:c r="F1539" s="7" t="s">
        <x:v>1942</x:v>
      </x:c>
      <x:c r="G1539" s="8" t="n">
        <x:v>4.4</x:v>
      </x:c>
      <x:c r="H1539" s="8" t="s">
        <x:v>58</x:v>
      </x:c>
      <x:c r="I1539" s="8" t="s">
        <x:v>58</x:v>
      </x:c>
      <x:c r="J1539" s="7" t="s">
        <x:v>1919</x:v>
      </x:c>
      <x:c r="K1539" s="8" t="n">
        <x:v>1</x:v>
      </x:c>
      <x:c r="L1539" s="8" t="n">
        <x:f aca="0">IF(AND(ISNUMBER(G1539),P1539&lt;&gt;"Unresolved unit / layout"),G1539*K1539,"Not applicable")</x:f>
        <x:v>4.4</x:v>
      </x:c>
      <x:c r="M1539" s="8" t="str">
        <x:f aca="0">IF(AND(ISNUMBER(H1539),P1539&lt;&gt;"Unresolved unit / layout"),H1539*K1539,"Not applicable")</x:f>
        <x:v>Not applicable</x:v>
      </x:c>
      <x:c r="N1539" s="8" t="str">
        <x:f aca="0">IF(AND(ISNUMBER(I1539),P1539&lt;&gt;"Unresolved unit / layout"),I1539*K1539,"Not applicable")</x:f>
        <x:v>Not applicable</x:v>
      </x:c>
      <x:c r="O1539" s="7" t="s">
        <x:v>1942</x:v>
      </x:c>
      <x:c r="P1539" s="7" t="s">
        <x:v>1921</x:v>
      </x:c>
      <x:c r="Q1539" s="7" t="s">
        <x:v>2064</x:v>
      </x:c>
      <x:c r="R1539" s="7" t="s">
        <x:v>53</x:v>
      </x:c>
      <x:c r="S1539" s="7" t="s">
        <x:v>53</x:v>
      </x:c>
      <x:c r="T1539" s="7" t="s">
        <x:v>53</x:v>
      </x:c>
      <x:c r="U1539" s="7" t="s">
        <x:v>53</x:v>
      </x:c>
      <x:c r="V1539" s="7" t="s">
        <x:v>1932</x:v>
      </x:c>
      <x:c r="W1539" s="7" t="s">
        <x:v>58</x:v>
      </x:c>
      <x:c r="X1539" s="7" t="s">
        <x:v>53</x:v>
      </x:c>
      <x:c r="Y1539" s="7" t="s">
        <x:v>1373</x:v>
      </x:c>
      <x:c r="Z1539" s="7" t="s">
        <x:v>2822</x:v>
      </x:c>
      <x:c r="AA1539" s="7" t="s">
        <x:v>58</x:v>
      </x:c>
      <x:c r="AB1539" s="8" t="s">
        <x:v>58</x:v>
      </x:c>
      <x:c r="AC1539" s="8" t="s">
        <x:v>58</x:v>
      </x:c>
      <x:c r="AD1539" s="8" t="s">
        <x:v>58</x:v>
      </x:c>
      <x:c r="AE1539" s="8" t="s">
        <x:v>58</x:v>
      </x:c>
      <x:c r="AF1539" s="8" t="s">
        <x:v>58</x:v>
      </x:c>
      <x:c r="AG1539" s="7" t="s">
        <x:v>58</x:v>
      </x:c>
    </x:row>
    <x:row r="1540" ht="37.5" hidden="0" customHeight="1">
      <x:c r="A1540" s="7" t="s">
        <x:v>4935</x:v>
      </x:c>
      <x:c r="B1540" s="7" t="s">
        <x:v>957</x:v>
      </x:c>
      <x:c r="C1540" s="7" t="s">
        <x:v>1371</x:v>
      </x:c>
      <x:c r="D1540" s="7" t="s">
        <x:v>1940</x:v>
      </x:c>
      <x:c r="E1540" s="7" t="s">
        <x:v>4936</x:v>
      </x:c>
      <x:c r="F1540" s="7" t="s">
        <x:v>1942</x:v>
      </x:c>
      <x:c r="G1540" s="8" t="n">
        <x:v>220</x:v>
      </x:c>
      <x:c r="H1540" s="8" t="s">
        <x:v>58</x:v>
      </x:c>
      <x:c r="I1540" s="8" t="s">
        <x:v>58</x:v>
      </x:c>
      <x:c r="J1540" s="7" t="s">
        <x:v>1919</x:v>
      </x:c>
      <x:c r="K1540" s="8" t="n">
        <x:v>1</x:v>
      </x:c>
      <x:c r="L1540" s="8" t="n">
        <x:f aca="0">IF(AND(ISNUMBER(G1540),P1540&lt;&gt;"Unresolved unit / layout"),G1540*K1540,"Not applicable")</x:f>
        <x:v>220</x:v>
      </x:c>
      <x:c r="M1540" s="8" t="str">
        <x:f aca="0">IF(AND(ISNUMBER(H1540),P1540&lt;&gt;"Unresolved unit / layout"),H1540*K1540,"Not applicable")</x:f>
        <x:v>Not applicable</x:v>
      </x:c>
      <x:c r="N1540" s="8" t="str">
        <x:f aca="0">IF(AND(ISNUMBER(I1540),P1540&lt;&gt;"Unresolved unit / layout"),I1540*K1540,"Not applicable")</x:f>
        <x:v>Not applicable</x:v>
      </x:c>
      <x:c r="O1540" s="7" t="s">
        <x:v>1942</x:v>
      </x:c>
      <x:c r="P1540" s="7" t="s">
        <x:v>1921</x:v>
      </x:c>
      <x:c r="Q1540" s="7" t="s">
        <x:v>2064</x:v>
      </x:c>
      <x:c r="R1540" s="7" t="s">
        <x:v>53</x:v>
      </x:c>
      <x:c r="S1540" s="7" t="s">
        <x:v>53</x:v>
      </x:c>
      <x:c r="T1540" s="7" t="s">
        <x:v>53</x:v>
      </x:c>
      <x:c r="U1540" s="7" t="s">
        <x:v>53</x:v>
      </x:c>
      <x:c r="V1540" s="7" t="s">
        <x:v>1932</x:v>
      </x:c>
      <x:c r="W1540" s="7" t="s">
        <x:v>58</x:v>
      </x:c>
      <x:c r="X1540" s="7" t="s">
        <x:v>53</x:v>
      </x:c>
      <x:c r="Y1540" s="7" t="s">
        <x:v>1373</x:v>
      </x:c>
      <x:c r="Z1540" s="7" t="s">
        <x:v>3070</x:v>
      </x:c>
      <x:c r="AA1540" s="7" t="s">
        <x:v>58</x:v>
      </x:c>
      <x:c r="AB1540" s="8" t="s">
        <x:v>58</x:v>
      </x:c>
      <x:c r="AC1540" s="8" t="s">
        <x:v>58</x:v>
      </x:c>
      <x:c r="AD1540" s="8" t="s">
        <x:v>58</x:v>
      </x:c>
      <x:c r="AE1540" s="8" t="s">
        <x:v>58</x:v>
      </x:c>
      <x:c r="AF1540" s="8" t="s">
        <x:v>58</x:v>
      </x:c>
      <x:c r="AG1540" s="7" t="s">
        <x:v>58</x:v>
      </x:c>
    </x:row>
    <x:row r="1541" ht="37.5" hidden="0" customHeight="1">
      <x:c r="A1541" s="7" t="s">
        <x:v>4937</x:v>
      </x:c>
      <x:c r="B1541" s="7" t="s">
        <x:v>957</x:v>
      </x:c>
      <x:c r="C1541" s="7" t="s">
        <x:v>1371</x:v>
      </x:c>
      <x:c r="D1541" s="7" t="s">
        <x:v>1945</x:v>
      </x:c>
      <x:c r="E1541" s="7" t="s">
        <x:v>4938</x:v>
      </x:c>
      <x:c r="F1541" s="7" t="s">
        <x:v>2717</x:v>
      </x:c>
      <x:c r="G1541" s="8" t="n">
        <x:v>60</x:v>
      </x:c>
      <x:c r="H1541" s="8" t="s">
        <x:v>58</x:v>
      </x:c>
      <x:c r="I1541" s="8" t="s">
        <x:v>58</x:v>
      </x:c>
      <x:c r="J1541" s="7" t="s">
        <x:v>1919</x:v>
      </x:c>
      <x:c r="K1541" s="8" t="n">
        <x:v>1</x:v>
      </x:c>
      <x:c r="L1541" s="8" t="n">
        <x:f aca="0">IF(AND(ISNUMBER(G1541),P1541&lt;&gt;"Unresolved unit / layout"),G1541*K1541,"Not applicable")</x:f>
        <x:v>60</x:v>
      </x:c>
      <x:c r="M1541" s="8" t="str">
        <x:f aca="0">IF(AND(ISNUMBER(H1541),P1541&lt;&gt;"Unresolved unit / layout"),H1541*K1541,"Not applicable")</x:f>
        <x:v>Not applicable</x:v>
      </x:c>
      <x:c r="N1541" s="8" t="str">
        <x:f aca="0">IF(AND(ISNUMBER(I1541),P1541&lt;&gt;"Unresolved unit / layout"),I1541*K1541,"Not applicable")</x:f>
        <x:v>Not applicable</x:v>
      </x:c>
      <x:c r="O1541" s="7" t="s">
        <x:v>1929</x:v>
      </x:c>
      <x:c r="P1541" s="7" t="s">
        <x:v>1921</x:v>
      </x:c>
      <x:c r="Q1541" s="7" t="s">
        <x:v>2064</x:v>
      </x:c>
      <x:c r="R1541" s="7" t="s">
        <x:v>53</x:v>
      </x:c>
      <x:c r="S1541" s="7" t="s">
        <x:v>53</x:v>
      </x:c>
      <x:c r="T1541" s="7" t="s">
        <x:v>53</x:v>
      </x:c>
      <x:c r="U1541" s="7" t="s">
        <x:v>53</x:v>
      </x:c>
      <x:c r="V1541" s="7" t="s">
        <x:v>1947</x:v>
      </x:c>
      <x:c r="W1541" s="7" t="s">
        <x:v>58</x:v>
      </x:c>
      <x:c r="X1541" s="7" t="s">
        <x:v>53</x:v>
      </x:c>
      <x:c r="Y1541" s="7" t="s">
        <x:v>1373</x:v>
      </x:c>
      <x:c r="Z1541" s="7" t="s">
        <x:v>1948</x:v>
      </x:c>
      <x:c r="AA1541" s="7" t="s">
        <x:v>58</x:v>
      </x:c>
      <x:c r="AB1541" s="8" t="s">
        <x:v>58</x:v>
      </x:c>
      <x:c r="AC1541" s="8" t="s">
        <x:v>58</x:v>
      </x:c>
      <x:c r="AD1541" s="8" t="s">
        <x:v>58</x:v>
      </x:c>
      <x:c r="AE1541" s="8" t="s">
        <x:v>58</x:v>
      </x:c>
      <x:c r="AF1541" s="8" t="s">
        <x:v>58</x:v>
      </x:c>
      <x:c r="AG1541" s="7" t="s">
        <x:v>58</x:v>
      </x:c>
    </x:row>
    <x:row r="1542" ht="37.5" hidden="0" customHeight="1">
      <x:c r="A1542" s="7" t="s">
        <x:v>4939</x:v>
      </x:c>
      <x:c r="B1542" s="7" t="s">
        <x:v>957</x:v>
      </x:c>
      <x:c r="C1542" s="7" t="s">
        <x:v>1371</x:v>
      </x:c>
      <x:c r="D1542" s="7" t="s">
        <x:v>1950</x:v>
      </x:c>
      <x:c r="E1542" s="7" t="s">
        <x:v>4940</x:v>
      </x:c>
      <x:c r="F1542" s="7" t="s">
        <x:v>2717</x:v>
      </x:c>
      <x:c r="G1542" s="8" t="n">
        <x:v>1600</x:v>
      </x:c>
      <x:c r="H1542" s="8" t="s">
        <x:v>58</x:v>
      </x:c>
      <x:c r="I1542" s="8" t="s">
        <x:v>58</x:v>
      </x:c>
      <x:c r="J1542" s="7" t="s">
        <x:v>1919</x:v>
      </x:c>
      <x:c r="K1542" s="8" t="n">
        <x:v>0.001</x:v>
      </x:c>
      <x:c r="L1542" s="8" t="n">
        <x:f aca="0">IF(AND(ISNUMBER(G1542),P1542&lt;&gt;"Unresolved unit / layout"),G1542*K1542,"Not applicable")</x:f>
        <x:v>1.6</x:v>
      </x:c>
      <x:c r="M1542" s="8" t="str">
        <x:f aca="0">IF(AND(ISNUMBER(H1542),P1542&lt;&gt;"Unresolved unit / layout"),H1542*K1542,"Not applicable")</x:f>
        <x:v>Not applicable</x:v>
      </x:c>
      <x:c r="N1542" s="8" t="str">
        <x:f aca="0">IF(AND(ISNUMBER(I1542),P1542&lt;&gt;"Unresolved unit / layout"),I1542*K1542,"Not applicable")</x:f>
        <x:v>Not applicable</x:v>
      </x:c>
      <x:c r="O1542" s="7" t="s">
        <x:v>1937</x:v>
      </x:c>
      <x:c r="P1542" s="7" t="s">
        <x:v>1921</x:v>
      </x:c>
      <x:c r="Q1542" s="7" t="s">
        <x:v>2064</x:v>
      </x:c>
      <x:c r="R1542" s="7" t="s">
        <x:v>53</x:v>
      </x:c>
      <x:c r="S1542" s="7" t="s">
        <x:v>53</x:v>
      </x:c>
      <x:c r="T1542" s="7" t="s">
        <x:v>53</x:v>
      </x:c>
      <x:c r="U1542" s="7" t="s">
        <x:v>53</x:v>
      </x:c>
      <x:c r="V1542" s="7" t="s">
        <x:v>1947</x:v>
      </x:c>
      <x:c r="W1542" s="7" t="s">
        <x:v>58</x:v>
      </x:c>
      <x:c r="X1542" s="7" t="s">
        <x:v>53</x:v>
      </x:c>
      <x:c r="Y1542" s="7" t="s">
        <x:v>1373</x:v>
      </x:c>
      <x:c r="Z1542" s="7" t="s">
        <x:v>1952</x:v>
      </x:c>
      <x:c r="AA1542" s="7" t="s">
        <x:v>58</x:v>
      </x:c>
      <x:c r="AB1542" s="8" t="s">
        <x:v>58</x:v>
      </x:c>
      <x:c r="AC1542" s="8" t="s">
        <x:v>58</x:v>
      </x:c>
      <x:c r="AD1542" s="8" t="s">
        <x:v>58</x:v>
      </x:c>
      <x:c r="AE1542" s="8" t="s">
        <x:v>58</x:v>
      </x:c>
      <x:c r="AF1542" s="8" t="s">
        <x:v>58</x:v>
      </x:c>
      <x:c r="AG1542" s="7" t="s">
        <x:v>58</x:v>
      </x:c>
    </x:row>
    <x:row r="1543" ht="37.5" hidden="0" customHeight="1">
      <x:c r="A1543" s="7" t="s">
        <x:v>4941</x:v>
      </x:c>
      <x:c r="B1543" s="7" t="s">
        <x:v>957</x:v>
      </x:c>
      <x:c r="C1543" s="7" t="s">
        <x:v>1371</x:v>
      </x:c>
      <x:c r="D1543" s="7" t="s">
        <x:v>2834</x:v>
      </x:c>
      <x:c r="E1543" s="7" t="s">
        <x:v>4942</x:v>
      </x:c>
      <x:c r="F1543" s="7" t="s">
        <x:v>1956</x:v>
      </x:c>
      <x:c r="G1543" s="8" t="n">
        <x:v>93</x:v>
      </x:c>
      <x:c r="H1543" s="8" t="s">
        <x:v>58</x:v>
      </x:c>
      <x:c r="I1543" s="8" t="s">
        <x:v>58</x:v>
      </x:c>
      <x:c r="J1543" s="7" t="s">
        <x:v>1919</x:v>
      </x:c>
      <x:c r="K1543" s="8" t="n">
        <x:v>1</x:v>
      </x:c>
      <x:c r="L1543" s="8" t="str">
        <x:f aca="0">IF(AND(ISNUMBER(G1543),P1543&lt;&gt;"Unresolved unit / layout"),G1543*K1543,"Insufficient comparable data")</x:f>
        <x:v>Insufficient comparable data</x:v>
      </x:c>
      <x:c r="M1543" s="8" t="str">
        <x:f aca="0">IF(AND(ISNUMBER(H1543),P1543&lt;&gt;"Unresolved unit / layout"),H1543*K1543,"Not applicable")</x:f>
        <x:v>Not applicable</x:v>
      </x:c>
      <x:c r="N1543" s="8" t="str">
        <x:f aca="0">IF(AND(ISNUMBER(I1543),P1543&lt;&gt;"Unresolved unit / layout"),I1543*K1543,"Not applicable")</x:f>
        <x:v>Not applicable</x:v>
      </x:c>
      <x:c r="O1543" s="7" t="s">
        <x:v>1956</x:v>
      </x:c>
      <x:c r="P1543" s="7" t="s">
        <x:v>2848</x:v>
      </x:c>
      <x:c r="Q1543" s="7" t="s">
        <x:v>2064</x:v>
      </x:c>
      <x:c r="R1543" s="7" t="s">
        <x:v>53</x:v>
      </x:c>
      <x:c r="S1543" s="7" t="s">
        <x:v>53</x:v>
      </x:c>
      <x:c r="T1543" s="7" t="s">
        <x:v>53</x:v>
      </x:c>
      <x:c r="U1543" s="7" t="s">
        <x:v>53</x:v>
      </x:c>
      <x:c r="V1543" s="7" t="s">
        <x:v>2836</x:v>
      </x:c>
      <x:c r="W1543" s="7" t="s">
        <x:v>2139</x:v>
      </x:c>
      <x:c r="X1543" s="7" t="s">
        <x:v>53</x:v>
      </x:c>
      <x:c r="Y1543" s="7" t="s">
        <x:v>1373</x:v>
      </x:c>
      <x:c r="Z1543" s="7" t="s">
        <x:v>4943</x:v>
      </x:c>
      <x:c r="AA1543" s="7" t="s">
        <x:v>4944</x:v>
      </x:c>
      <x:c r="AB1543" s="8" t="s">
        <x:v>58</x:v>
      </x:c>
      <x:c r="AC1543" s="8" t="s">
        <x:v>58</x:v>
      </x:c>
      <x:c r="AD1543" s="8" t="s">
        <x:v>58</x:v>
      </x:c>
      <x:c r="AE1543" s="8" t="s">
        <x:v>58</x:v>
      </x:c>
      <x:c r="AF1543" s="8" t="s">
        <x:v>58</x:v>
      </x:c>
      <x:c r="AG1543" s="7" t="s">
        <x:v>58</x:v>
      </x:c>
    </x:row>
    <x:row r="1544" ht="37.5" hidden="0" customHeight="1">
      <x:c r="A1544" s="7" t="s">
        <x:v>4945</x:v>
      </x:c>
      <x:c r="B1544" s="7" t="s">
        <x:v>957</x:v>
      </x:c>
      <x:c r="C1544" s="7" t="s">
        <x:v>1371</x:v>
      </x:c>
      <x:c r="D1544" s="7" t="s">
        <x:v>1982</x:v>
      </x:c>
      <x:c r="E1544" s="7" t="s">
        <x:v>4836</x:v>
      </x:c>
      <x:c r="F1544" s="7" t="s">
        <x:v>1956</x:v>
      </x:c>
      <x:c r="G1544" s="8" t="n">
        <x:v>88</x:v>
      </x:c>
      <x:c r="H1544" s="8" t="s">
        <x:v>58</x:v>
      </x:c>
      <x:c r="I1544" s="8" t="s">
        <x:v>58</x:v>
      </x:c>
      <x:c r="J1544" s="7" t="s">
        <x:v>1919</x:v>
      </x:c>
      <x:c r="K1544" s="8" t="n">
        <x:v>1</x:v>
      </x:c>
      <x:c r="L1544" s="8" t="n">
        <x:f aca="0">IF(AND(ISNUMBER(G1544),P1544&lt;&gt;"Unresolved unit / layout"),G1544*K1544,"Not applicable")</x:f>
        <x:v>88</x:v>
      </x:c>
      <x:c r="M1544" s="8" t="str">
        <x:f aca="0">IF(AND(ISNUMBER(H1544),P1544&lt;&gt;"Unresolved unit / layout"),H1544*K1544,"Not applicable")</x:f>
        <x:v>Not applicable</x:v>
      </x:c>
      <x:c r="N1544" s="8" t="str">
        <x:f aca="0">IF(AND(ISNUMBER(I1544),P1544&lt;&gt;"Unresolved unit / layout"),I1544*K1544,"Not applicable")</x:f>
        <x:v>Not applicable</x:v>
      </x:c>
      <x:c r="O1544" s="7" t="s">
        <x:v>1956</x:v>
      </x:c>
      <x:c r="P1544" s="7" t="s">
        <x:v>1921</x:v>
      </x:c>
      <x:c r="Q1544" s="7" t="s">
        <x:v>2064</x:v>
      </x:c>
      <x:c r="R1544" s="7" t="s">
        <x:v>58</x:v>
      </x:c>
      <x:c r="S1544" s="7" t="s">
        <x:v>53</x:v>
      </x:c>
      <x:c r="T1544" s="7" t="s">
        <x:v>53</x:v>
      </x:c>
      <x:c r="U1544" s="7" t="s">
        <x:v>53</x:v>
      </x:c>
      <x:c r="V1544" s="7" t="s">
        <x:v>1957</x:v>
      </x:c>
      <x:c r="W1544" s="7" t="s">
        <x:v>58</x:v>
      </x:c>
      <x:c r="X1544" s="7" t="s">
        <x:v>53</x:v>
      </x:c>
      <x:c r="Y1544" s="7" t="s">
        <x:v>1373</x:v>
      </x:c>
      <x:c r="Z1544" s="7" t="s">
        <x:v>4946</x:v>
      </x:c>
      <x:c r="AA1544" s="7" t="s">
        <x:v>58</x:v>
      </x:c>
      <x:c r="AB1544" s="8" t="s">
        <x:v>58</x:v>
      </x:c>
      <x:c r="AC1544" s="8" t="s">
        <x:v>58</x:v>
      </x:c>
      <x:c r="AD1544" s="8" t="s">
        <x:v>58</x:v>
      </x:c>
      <x:c r="AE1544" s="8" t="s">
        <x:v>58</x:v>
      </x:c>
      <x:c r="AF1544" s="8" t="s">
        <x:v>58</x:v>
      </x:c>
      <x:c r="AG1544" s="7" t="s">
        <x:v>58</x:v>
      </x:c>
    </x:row>
    <x:row r="1545" ht="51.75" hidden="0" customHeight="1">
      <x:c r="A1545" s="7" t="s">
        <x:v>4947</x:v>
      </x:c>
      <x:c r="B1545" s="7" t="s">
        <x:v>978</x:v>
      </x:c>
      <x:c r="C1545" s="7" t="s">
        <x:v>1379</x:v>
      </x:c>
      <x:c r="D1545" s="7" t="s">
        <x:v>1916</x:v>
      </x:c>
      <x:c r="E1545" s="7" t="s">
        <x:v>4948</x:v>
      </x:c>
      <x:c r="F1545" s="7" t="s">
        <x:v>1965</x:v>
      </x:c>
      <x:c r="G1545" s="8" t="n">
        <x:v>1.28</x:v>
      </x:c>
      <x:c r="H1545" s="8" t="s">
        <x:v>58</x:v>
      </x:c>
      <x:c r="I1545" s="8" t="s">
        <x:v>58</x:v>
      </x:c>
      <x:c r="J1545" s="7" t="s">
        <x:v>1919</x:v>
      </x:c>
      <x:c r="K1545" s="8" t="n">
        <x:v>1000</x:v>
      </x:c>
      <x:c r="L1545" s="8" t="n">
        <x:f aca="0">IF(AND(ISNUMBER(G1545),P1545&lt;&gt;"Unresolved unit / layout"),G1545*K1545,"Not applicable")</x:f>
        <x:v>1280</x:v>
      </x:c>
      <x:c r="M1545" s="8" t="str">
        <x:f aca="0">IF(AND(ISNUMBER(H1545),P1545&lt;&gt;"Unresolved unit / layout"),H1545*K1545,"Not applicable")</x:f>
        <x:v>Not applicable</x:v>
      </x:c>
      <x:c r="N1545" s="8" t="str">
        <x:f aca="0">IF(AND(ISNUMBER(I1545),P1545&lt;&gt;"Unresolved unit / layout"),I1545*K1545,"Not applicable")</x:f>
        <x:v>Not applicable</x:v>
      </x:c>
      <x:c r="O1545" s="7" t="s">
        <x:v>1920</x:v>
      </x:c>
      <x:c r="P1545" s="7" t="s">
        <x:v>1921</x:v>
      </x:c>
      <x:c r="Q1545" s="7" t="s">
        <x:v>1922</x:v>
      </x:c>
      <x:c r="R1545" s="7" t="s">
        <x:v>58</x:v>
      </x:c>
      <x:c r="S1545" s="7" t="s">
        <x:v>53</x:v>
      </x:c>
      <x:c r="T1545" s="7" t="s">
        <x:v>53</x:v>
      </x:c>
      <x:c r="U1545" s="7" t="s">
        <x:v>53</x:v>
      </x:c>
      <x:c r="V1545" s="7" t="s">
        <x:v>2810</x:v>
      </x:c>
      <x:c r="W1545" s="7" t="s">
        <x:v>58</x:v>
      </x:c>
      <x:c r="X1545" s="7" t="s">
        <x:v>53</x:v>
      </x:c>
      <x:c r="Y1545" s="7" t="s">
        <x:v>1381</x:v>
      </x:c>
      <x:c r="Z1545" s="7" t="s">
        <x:v>1925</x:v>
      </x:c>
      <x:c r="AA1545" s="7" t="s">
        <x:v>58</x:v>
      </x:c>
      <x:c r="AB1545" s="8" t="s">
        <x:v>58</x:v>
      </x:c>
      <x:c r="AC1545" s="8" t="s">
        <x:v>58</x:v>
      </x:c>
      <x:c r="AD1545" s="8" t="s">
        <x:v>58</x:v>
      </x:c>
      <x:c r="AE1545" s="8" t="s">
        <x:v>58</x:v>
      </x:c>
      <x:c r="AF1545" s="8" t="s">
        <x:v>58</x:v>
      </x:c>
      <x:c r="AG1545" s="7" t="s">
        <x:v>58</x:v>
      </x:c>
    </x:row>
    <x:row r="1546" ht="37.5" hidden="0" customHeight="1">
      <x:c r="A1546" s="7" t="s">
        <x:v>4949</x:v>
      </x:c>
      <x:c r="B1546" s="7" t="s">
        <x:v>978</x:v>
      </x:c>
      <x:c r="C1546" s="7" t="s">
        <x:v>1379</x:v>
      </x:c>
      <x:c r="D1546" s="7" t="s">
        <x:v>1940</x:v>
      </x:c>
      <x:c r="E1546" s="7" t="s">
        <x:v>4950</x:v>
      </x:c>
      <x:c r="F1546" s="7" t="s">
        <x:v>1942</x:v>
      </x:c>
      <x:c r="G1546" s="8" t="n">
        <x:v>5</x:v>
      </x:c>
      <x:c r="H1546" s="8" t="s">
        <x:v>58</x:v>
      </x:c>
      <x:c r="I1546" s="8" t="s">
        <x:v>58</x:v>
      </x:c>
      <x:c r="J1546" s="7" t="s">
        <x:v>1919</x:v>
      </x:c>
      <x:c r="K1546" s="8" t="n">
        <x:v>1</x:v>
      </x:c>
      <x:c r="L1546" s="8" t="n">
        <x:f aca="0">IF(AND(ISNUMBER(G1546),P1546&lt;&gt;"Unresolved unit / layout"),G1546*K1546,"Not applicable")</x:f>
        <x:v>5</x:v>
      </x:c>
      <x:c r="M1546" s="8" t="str">
        <x:f aca="0">IF(AND(ISNUMBER(H1546),P1546&lt;&gt;"Unresolved unit / layout"),H1546*K1546,"Not applicable")</x:f>
        <x:v>Not applicable</x:v>
      </x:c>
      <x:c r="N1546" s="8" t="str">
        <x:f aca="0">IF(AND(ISNUMBER(I1546),P1546&lt;&gt;"Unresolved unit / layout"),I1546*K1546,"Not applicable")</x:f>
        <x:v>Not applicable</x:v>
      </x:c>
      <x:c r="O1546" s="7" t="s">
        <x:v>1942</x:v>
      </x:c>
      <x:c r="P1546" s="7" t="s">
        <x:v>1921</x:v>
      </x:c>
      <x:c r="Q1546" s="7" t="s">
        <x:v>2064</x:v>
      </x:c>
      <x:c r="R1546" s="7" t="s">
        <x:v>53</x:v>
      </x:c>
      <x:c r="S1546" s="7" t="s">
        <x:v>53</x:v>
      </x:c>
      <x:c r="T1546" s="7" t="s">
        <x:v>53</x:v>
      </x:c>
      <x:c r="U1546" s="7" t="s">
        <x:v>53</x:v>
      </x:c>
      <x:c r="V1546" s="7" t="s">
        <x:v>1932</x:v>
      </x:c>
      <x:c r="W1546" s="7" t="s">
        <x:v>58</x:v>
      </x:c>
      <x:c r="X1546" s="7" t="s">
        <x:v>53</x:v>
      </x:c>
      <x:c r="Y1546" s="7" t="s">
        <x:v>1381</x:v>
      </x:c>
      <x:c r="Z1546" s="7" t="s">
        <x:v>3070</x:v>
      </x:c>
      <x:c r="AA1546" s="7" t="s">
        <x:v>58</x:v>
      </x:c>
      <x:c r="AB1546" s="8" t="s">
        <x:v>58</x:v>
      </x:c>
      <x:c r="AC1546" s="8" t="s">
        <x:v>58</x:v>
      </x:c>
      <x:c r="AD1546" s="8" t="s">
        <x:v>58</x:v>
      </x:c>
      <x:c r="AE1546" s="8" t="s">
        <x:v>58</x:v>
      </x:c>
      <x:c r="AF1546" s="8" t="s">
        <x:v>58</x:v>
      </x:c>
      <x:c r="AG1546" s="7" t="s">
        <x:v>58</x:v>
      </x:c>
    </x:row>
    <x:row r="1547" ht="37.5" hidden="0" customHeight="1">
      <x:c r="A1547" s="7" t="s">
        <x:v>4951</x:v>
      </x:c>
      <x:c r="B1547" s="7" t="s">
        <x:v>978</x:v>
      </x:c>
      <x:c r="C1547" s="7" t="s">
        <x:v>1379</x:v>
      </x:c>
      <x:c r="D1547" s="7" t="s">
        <x:v>3061</x:v>
      </x:c>
      <x:c r="E1547" s="7" t="s">
        <x:v>4952</x:v>
      </x:c>
      <x:c r="F1547" s="7" t="s">
        <x:v>1929</x:v>
      </x:c>
      <x:c r="G1547" s="8" t="n">
        <x:v>70</x:v>
      </x:c>
      <x:c r="H1547" s="8" t="s">
        <x:v>58</x:v>
      </x:c>
      <x:c r="I1547" s="8" t="s">
        <x:v>58</x:v>
      </x:c>
      <x:c r="J1547" s="7" t="s">
        <x:v>1919</x:v>
      </x:c>
      <x:c r="K1547" s="8" t="n">
        <x:v>1</x:v>
      </x:c>
      <x:c r="L1547" s="8" t="n">
        <x:f aca="0">IF(AND(ISNUMBER(G1547),P1547&lt;&gt;"Unresolved unit / layout"),G1547*K1547,"Not applicable")</x:f>
        <x:v>70</x:v>
      </x:c>
      <x:c r="M1547" s="8" t="str">
        <x:f aca="0">IF(AND(ISNUMBER(H1547),P1547&lt;&gt;"Unresolved unit / layout"),H1547*K1547,"Not applicable")</x:f>
        <x:v>Not applicable</x:v>
      </x:c>
      <x:c r="N1547" s="8" t="str">
        <x:f aca="0">IF(AND(ISNUMBER(I1547),P1547&lt;&gt;"Unresolved unit / layout"),I1547*K1547,"Not applicable")</x:f>
        <x:v>Not applicable</x:v>
      </x:c>
      <x:c r="O1547" s="7" t="s">
        <x:v>1929</x:v>
      </x:c>
      <x:c r="P1547" s="7" t="s">
        <x:v>1921</x:v>
      </x:c>
      <x:c r="Q1547" s="7" t="s">
        <x:v>2064</x:v>
      </x:c>
      <x:c r="R1547" s="7" t="s">
        <x:v>53</x:v>
      </x:c>
      <x:c r="S1547" s="7" t="s">
        <x:v>53</x:v>
      </x:c>
      <x:c r="T1547" s="7" t="s">
        <x:v>53</x:v>
      </x:c>
      <x:c r="U1547" s="7" t="s">
        <x:v>53</x:v>
      </x:c>
      <x:c r="V1547" s="7" t="s">
        <x:v>1932</x:v>
      </x:c>
      <x:c r="W1547" s="7" t="s">
        <x:v>58</x:v>
      </x:c>
      <x:c r="X1547" s="7" t="s">
        <x:v>53</x:v>
      </x:c>
      <x:c r="Y1547" s="7" t="s">
        <x:v>1381</x:v>
      </x:c>
      <x:c r="Z1547" s="7" t="s">
        <x:v>4929</x:v>
      </x:c>
      <x:c r="AA1547" s="7" t="s">
        <x:v>58</x:v>
      </x:c>
      <x:c r="AB1547" s="8" t="s">
        <x:v>58</x:v>
      </x:c>
      <x:c r="AC1547" s="8" t="s">
        <x:v>58</x:v>
      </x:c>
      <x:c r="AD1547" s="8" t="s">
        <x:v>58</x:v>
      </x:c>
      <x:c r="AE1547" s="8" t="s">
        <x:v>58</x:v>
      </x:c>
      <x:c r="AF1547" s="8" t="s">
        <x:v>58</x:v>
      </x:c>
      <x:c r="AG1547" s="7" t="s">
        <x:v>58</x:v>
      </x:c>
    </x:row>
    <x:row r="1548" ht="37.5" hidden="0" customHeight="1">
      <x:c r="A1548" s="7" t="s">
        <x:v>4953</x:v>
      </x:c>
      <x:c r="B1548" s="7" t="s">
        <x:v>978</x:v>
      </x:c>
      <x:c r="C1548" s="7" t="s">
        <x:v>1379</x:v>
      </x:c>
      <x:c r="D1548" s="7" t="s">
        <x:v>1927</x:v>
      </x:c>
      <x:c r="E1548" s="7" t="s">
        <x:v>4598</x:v>
      </x:c>
      <x:c r="F1548" s="7" t="s">
        <x:v>1929</x:v>
      </x:c>
      <x:c r="G1548" s="8" t="n">
        <x:v>65</x:v>
      </x:c>
      <x:c r="H1548" s="8" t="s">
        <x:v>58</x:v>
      </x:c>
      <x:c r="I1548" s="8" t="s">
        <x:v>58</x:v>
      </x:c>
      <x:c r="J1548" s="7" t="s">
        <x:v>1919</x:v>
      </x:c>
      <x:c r="K1548" s="8" t="n">
        <x:v>1</x:v>
      </x:c>
      <x:c r="L1548" s="8" t="n">
        <x:f aca="0">IF(AND(ISNUMBER(G1548),P1548&lt;&gt;"Unresolved unit / layout"),G1548*K1548,"Not applicable")</x:f>
        <x:v>65</x:v>
      </x:c>
      <x:c r="M1548" s="8" t="str">
        <x:f aca="0">IF(AND(ISNUMBER(H1548),P1548&lt;&gt;"Unresolved unit / layout"),H1548*K1548,"Not applicable")</x:f>
        <x:v>Not applicable</x:v>
      </x:c>
      <x:c r="N1548" s="8" t="str">
        <x:f aca="0">IF(AND(ISNUMBER(I1548),P1548&lt;&gt;"Unresolved unit / layout"),I1548*K1548,"Not applicable")</x:f>
        <x:v>Not applicable</x:v>
      </x:c>
      <x:c r="O1548" s="7" t="s">
        <x:v>1929</x:v>
      </x:c>
      <x:c r="P1548" s="7" t="s">
        <x:v>1921</x:v>
      </x:c>
      <x:c r="Q1548" s="7" t="s">
        <x:v>2064</x:v>
      </x:c>
      <x:c r="R1548" s="7" t="s">
        <x:v>53</x:v>
      </x:c>
      <x:c r="S1548" s="7" t="s">
        <x:v>53</x:v>
      </x:c>
      <x:c r="T1548" s="7" t="s">
        <x:v>53</x:v>
      </x:c>
      <x:c r="U1548" s="7" t="s">
        <x:v>53</x:v>
      </x:c>
      <x:c r="V1548" s="7" t="s">
        <x:v>1932</x:v>
      </x:c>
      <x:c r="W1548" s="7" t="s">
        <x:v>58</x:v>
      </x:c>
      <x:c r="X1548" s="7" t="s">
        <x:v>53</x:v>
      </x:c>
      <x:c r="Y1548" s="7" t="s">
        <x:v>1381</x:v>
      </x:c>
      <x:c r="Z1548" s="7" t="s">
        <x:v>4932</x:v>
      </x:c>
      <x:c r="AA1548" s="7" t="s">
        <x:v>58</x:v>
      </x:c>
      <x:c r="AB1548" s="8" t="s">
        <x:v>58</x:v>
      </x:c>
      <x:c r="AC1548" s="8" t="s">
        <x:v>58</x:v>
      </x:c>
      <x:c r="AD1548" s="8" t="s">
        <x:v>58</x:v>
      </x:c>
      <x:c r="AE1548" s="8" t="s">
        <x:v>58</x:v>
      </x:c>
      <x:c r="AF1548" s="8" t="s">
        <x:v>58</x:v>
      </x:c>
      <x:c r="AG1548" s="7" t="s">
        <x:v>58</x:v>
      </x:c>
    </x:row>
    <x:row r="1549" ht="37.5" hidden="0" customHeight="1">
      <x:c r="A1549" s="7" t="s">
        <x:v>4954</x:v>
      </x:c>
      <x:c r="B1549" s="7" t="s">
        <x:v>978</x:v>
      </x:c>
      <x:c r="C1549" s="7" t="s">
        <x:v>1379</x:v>
      </x:c>
      <x:c r="D1549" s="7" t="s">
        <x:v>1982</x:v>
      </x:c>
      <x:c r="E1549" s="7" t="s">
        <x:v>4955</x:v>
      </x:c>
      <x:c r="F1549" s="7" t="s">
        <x:v>1956</x:v>
      </x:c>
      <x:c r="G1549" s="8" t="n">
        <x:v>77</x:v>
      </x:c>
      <x:c r="H1549" s="8" t="s">
        <x:v>58</x:v>
      </x:c>
      <x:c r="I1549" s="8" t="s">
        <x:v>58</x:v>
      </x:c>
      <x:c r="J1549" s="7" t="s">
        <x:v>1919</x:v>
      </x:c>
      <x:c r="K1549" s="8" t="n">
        <x:v>1</x:v>
      </x:c>
      <x:c r="L1549" s="8" t="n">
        <x:f aca="0">IF(AND(ISNUMBER(G1549),P1549&lt;&gt;"Unresolved unit / layout"),G1549*K1549,"Not applicable")</x:f>
        <x:v>77</x:v>
      </x:c>
      <x:c r="M1549" s="8" t="str">
        <x:f aca="0">IF(AND(ISNUMBER(H1549),P1549&lt;&gt;"Unresolved unit / layout"),H1549*K1549,"Not applicable")</x:f>
        <x:v>Not applicable</x:v>
      </x:c>
      <x:c r="N1549" s="8" t="str">
        <x:f aca="0">IF(AND(ISNUMBER(I1549),P1549&lt;&gt;"Unresolved unit / layout"),I1549*K1549,"Not applicable")</x:f>
        <x:v>Not applicable</x:v>
      </x:c>
      <x:c r="O1549" s="7" t="s">
        <x:v>1956</x:v>
      </x:c>
      <x:c r="P1549" s="7" t="s">
        <x:v>1921</x:v>
      </x:c>
      <x:c r="Q1549" s="7" t="s">
        <x:v>2064</x:v>
      </x:c>
      <x:c r="R1549" s="7" t="s">
        <x:v>58</x:v>
      </x:c>
      <x:c r="S1549" s="7" t="s">
        <x:v>53</x:v>
      </x:c>
      <x:c r="T1549" s="7" t="s">
        <x:v>53</x:v>
      </x:c>
      <x:c r="U1549" s="7" t="s">
        <x:v>53</x:v>
      </x:c>
      <x:c r="V1549" s="7" t="s">
        <x:v>4956</x:v>
      </x:c>
      <x:c r="W1549" s="7" t="s">
        <x:v>58</x:v>
      </x:c>
      <x:c r="X1549" s="7" t="s">
        <x:v>53</x:v>
      </x:c>
      <x:c r="Y1549" s="7" t="s">
        <x:v>1381</x:v>
      </x:c>
      <x:c r="Z1549" s="7" t="s">
        <x:v>4946</x:v>
      </x:c>
      <x:c r="AA1549" s="7" t="s">
        <x:v>58</x:v>
      </x:c>
      <x:c r="AB1549" s="8" t="s">
        <x:v>58</x:v>
      </x:c>
      <x:c r="AC1549" s="8" t="s">
        <x:v>58</x:v>
      </x:c>
      <x:c r="AD1549" s="8" t="s">
        <x:v>58</x:v>
      </x:c>
      <x:c r="AE1549" s="8" t="s">
        <x:v>58</x:v>
      </x:c>
      <x:c r="AF1549" s="8" t="s">
        <x:v>58</x:v>
      </x:c>
      <x:c r="AG1549" s="7" t="s">
        <x:v>58</x:v>
      </x:c>
    </x:row>
    <x:row r="1550" ht="51.75" hidden="0" customHeight="1">
      <x:c r="A1550" s="7" t="s">
        <x:v>4957</x:v>
      </x:c>
      <x:c r="B1550" s="7" t="s">
        <x:v>1020</x:v>
      </x:c>
      <x:c r="C1550" s="7" t="s">
        <x:v>1023</x:v>
      </x:c>
      <x:c r="D1550" s="7" t="s">
        <x:v>1916</x:v>
      </x:c>
      <x:c r="E1550" s="7" t="s">
        <x:v>4308</x:v>
      </x:c>
      <x:c r="F1550" s="7" t="s">
        <x:v>1918</x:v>
      </x:c>
      <x:c r="G1550" s="8" t="n">
        <x:v>1.14</x:v>
      </x:c>
      <x:c r="H1550" s="8" t="s">
        <x:v>58</x:v>
      </x:c>
      <x:c r="I1550" s="8" t="s">
        <x:v>58</x:v>
      </x:c>
      <x:c r="J1550" s="7" t="s">
        <x:v>1919</x:v>
      </x:c>
      <x:c r="K1550" s="8" t="n">
        <x:v>1000</x:v>
      </x:c>
      <x:c r="L1550" s="8" t="n">
        <x:f aca="0">IF(AND(ISNUMBER(G1550),P1550&lt;&gt;"Unresolved unit / layout"),G1550*K1550,"Not applicable")</x:f>
        <x:v>1140</x:v>
      </x:c>
      <x:c r="M1550" s="8" t="str">
        <x:f aca="0">IF(AND(ISNUMBER(H1550),P1550&lt;&gt;"Unresolved unit / layout"),H1550*K1550,"Not applicable")</x:f>
        <x:v>Not applicable</x:v>
      </x:c>
      <x:c r="N1550" s="8" t="str">
        <x:f aca="0">IF(AND(ISNUMBER(I1550),P1550&lt;&gt;"Unresolved unit / layout"),I1550*K1550,"Not applicable")</x:f>
        <x:v>Not applicable</x:v>
      </x:c>
      <x:c r="O1550" s="7" t="s">
        <x:v>1920</x:v>
      </x:c>
      <x:c r="P1550" s="7" t="s">
        <x:v>1921</x:v>
      </x:c>
      <x:c r="Q1550" s="7" t="s">
        <x:v>1922</x:v>
      </x:c>
      <x:c r="R1550" s="7" t="s">
        <x:v>58</x:v>
      </x:c>
      <x:c r="S1550" s="7" t="s">
        <x:v>53</x:v>
      </x:c>
      <x:c r="T1550" s="7" t="s">
        <x:v>53</x:v>
      </x:c>
      <x:c r="U1550" s="7" t="s">
        <x:v>53</x:v>
      </x:c>
      <x:c r="V1550" s="7" t="s">
        <x:v>1923</x:v>
      </x:c>
      <x:c r="W1550" s="7" t="s">
        <x:v>58</x:v>
      </x:c>
      <x:c r="X1550" s="7" t="s">
        <x:v>4958</x:v>
      </x:c>
      <x:c r="Y1550" s="7" t="s">
        <x:v>1389</x:v>
      </x:c>
      <x:c r="Z1550" s="7" t="s">
        <x:v>1925</x:v>
      </x:c>
      <x:c r="AA1550" s="7" t="s">
        <x:v>58</x:v>
      </x:c>
      <x:c r="AB1550" s="8" t="s">
        <x:v>58</x:v>
      </x:c>
      <x:c r="AC1550" s="8" t="s">
        <x:v>58</x:v>
      </x:c>
      <x:c r="AD1550" s="8" t="s">
        <x:v>58</x:v>
      </x:c>
      <x:c r="AE1550" s="8" t="s">
        <x:v>58</x:v>
      </x:c>
      <x:c r="AF1550" s="8" t="s">
        <x:v>58</x:v>
      </x:c>
      <x:c r="AG1550" s="7" t="s">
        <x:v>58</x:v>
      </x:c>
    </x:row>
    <x:row r="1551" ht="51.75" hidden="0" customHeight="1">
      <x:c r="A1551" s="7" t="s">
        <x:v>4959</x:v>
      </x:c>
      <x:c r="B1551" s="7" t="s">
        <x:v>1020</x:v>
      </x:c>
      <x:c r="C1551" s="7" t="s">
        <x:v>1023</x:v>
      </x:c>
      <x:c r="D1551" s="7" t="s">
        <x:v>1927</x:v>
      </x:c>
      <x:c r="E1551" s="7" t="s">
        <x:v>4960</x:v>
      </x:c>
      <x:c r="F1551" s="7" t="s">
        <x:v>1929</x:v>
      </x:c>
      <x:c r="G1551" s="8" t="n">
        <x:v>59</x:v>
      </x:c>
      <x:c r="H1551" s="8" t="s">
        <x:v>58</x:v>
      </x:c>
      <x:c r="I1551" s="8" t="s">
        <x:v>58</x:v>
      </x:c>
      <x:c r="J1551" s="7" t="s">
        <x:v>1919</x:v>
      </x:c>
      <x:c r="K1551" s="8" t="n">
        <x:v>1</x:v>
      </x:c>
      <x:c r="L1551" s="8" t="n">
        <x:f aca="0">IF(AND(ISNUMBER(G1551),P1551&lt;&gt;"Unresolved unit / layout"),G1551*K1551,"Not applicable")</x:f>
        <x:v>59</x:v>
      </x:c>
      <x:c r="M1551" s="8" t="str">
        <x:f aca="0">IF(AND(ISNUMBER(H1551),P1551&lt;&gt;"Unresolved unit / layout"),H1551*K1551,"Not applicable")</x:f>
        <x:v>Not applicable</x:v>
      </x:c>
      <x:c r="N1551" s="8" t="str">
        <x:f aca="0">IF(AND(ISNUMBER(I1551),P1551&lt;&gt;"Unresolved unit / layout"),I1551*K1551,"Not applicable")</x:f>
        <x:v>Not applicable</x:v>
      </x:c>
      <x:c r="O1551" s="7" t="s">
        <x:v>1929</x:v>
      </x:c>
      <x:c r="P1551" s="7" t="s">
        <x:v>1921</x:v>
      </x:c>
      <x:c r="Q1551" s="7" t="s">
        <x:v>1930</x:v>
      </x:c>
      <x:c r="R1551" s="7" t="s">
        <x:v>1931</x:v>
      </x:c>
      <x:c r="S1551" s="7" t="s">
        <x:v>53</x:v>
      </x:c>
      <x:c r="T1551" s="7" t="s">
        <x:v>53</x:v>
      </x:c>
      <x:c r="U1551" s="7" t="s">
        <x:v>53</x:v>
      </x:c>
      <x:c r="V1551" s="7" t="s">
        <x:v>1932</x:v>
      </x:c>
      <x:c r="W1551" s="7" t="s">
        <x:v>58</x:v>
      </x:c>
      <x:c r="X1551" s="7" t="s">
        <x:v>4958</x:v>
      </x:c>
      <x:c r="Y1551" s="7" t="s">
        <x:v>1389</x:v>
      </x:c>
      <x:c r="Z1551" s="7" t="s">
        <x:v>1933</x:v>
      </x:c>
      <x:c r="AA1551" s="7" t="s">
        <x:v>58</x:v>
      </x:c>
      <x:c r="AB1551" s="8" t="s">
        <x:v>58</x:v>
      </x:c>
      <x:c r="AC1551" s="8" t="s">
        <x:v>58</x:v>
      </x:c>
      <x:c r="AD1551" s="8" t="s">
        <x:v>58</x:v>
      </x:c>
      <x:c r="AE1551" s="8" t="s">
        <x:v>58</x:v>
      </x:c>
      <x:c r="AF1551" s="8" t="s">
        <x:v>58</x:v>
      </x:c>
      <x:c r="AG1551" s="7" t="s">
        <x:v>58</x:v>
      </x:c>
    </x:row>
    <x:row r="1552" ht="51.75" hidden="0" customHeight="1">
      <x:c r="A1552" s="7" t="s">
        <x:v>4961</x:v>
      </x:c>
      <x:c r="B1552" s="7" t="s">
        <x:v>1020</x:v>
      </x:c>
      <x:c r="C1552" s="7" t="s">
        <x:v>1023</x:v>
      </x:c>
      <x:c r="D1552" s="7" t="s">
        <x:v>1935</x:v>
      </x:c>
      <x:c r="E1552" s="7" t="s">
        <x:v>4962</x:v>
      </x:c>
      <x:c r="F1552" s="7" t="s">
        <x:v>1929</x:v>
      </x:c>
      <x:c r="G1552" s="8" t="n">
        <x:v>2200</x:v>
      </x:c>
      <x:c r="H1552" s="8" t="s">
        <x:v>58</x:v>
      </x:c>
      <x:c r="I1552" s="8" t="s">
        <x:v>58</x:v>
      </x:c>
      <x:c r="J1552" s="7" t="s">
        <x:v>1919</x:v>
      </x:c>
      <x:c r="K1552" s="8" t="n">
        <x:v>0.001</x:v>
      </x:c>
      <x:c r="L1552" s="8" t="n">
        <x:f aca="0">IF(AND(ISNUMBER(G1552),P1552&lt;&gt;"Unresolved unit / layout"),G1552*K1552,"Not applicable")</x:f>
        <x:v>2.2</x:v>
      </x:c>
      <x:c r="M1552" s="8" t="str">
        <x:f aca="0">IF(AND(ISNUMBER(H1552),P1552&lt;&gt;"Unresolved unit / layout"),H1552*K1552,"Not applicable")</x:f>
        <x:v>Not applicable</x:v>
      </x:c>
      <x:c r="N1552" s="8" t="str">
        <x:f aca="0">IF(AND(ISNUMBER(I1552),P1552&lt;&gt;"Unresolved unit / layout"),I1552*K1552,"Not applicable")</x:f>
        <x:v>Not applicable</x:v>
      </x:c>
      <x:c r="O1552" s="7" t="s">
        <x:v>1937</x:v>
      </x:c>
      <x:c r="P1552" s="7" t="s">
        <x:v>1921</x:v>
      </x:c>
      <x:c r="Q1552" s="7" t="s">
        <x:v>1930</x:v>
      </x:c>
      <x:c r="R1552" s="7" t="s">
        <x:v>1931</x:v>
      </x:c>
      <x:c r="S1552" s="7" t="s">
        <x:v>53</x:v>
      </x:c>
      <x:c r="T1552" s="7" t="s">
        <x:v>53</x:v>
      </x:c>
      <x:c r="U1552" s="7" t="s">
        <x:v>53</x:v>
      </x:c>
      <x:c r="V1552" s="7" t="s">
        <x:v>1932</x:v>
      </x:c>
      <x:c r="W1552" s="7" t="s">
        <x:v>58</x:v>
      </x:c>
      <x:c r="X1552" s="7" t="s">
        <x:v>4958</x:v>
      </x:c>
      <x:c r="Y1552" s="7" t="s">
        <x:v>1389</x:v>
      </x:c>
      <x:c r="Z1552" s="7" t="s">
        <x:v>1938</x:v>
      </x:c>
      <x:c r="AA1552" s="7" t="s">
        <x:v>58</x:v>
      </x:c>
      <x:c r="AB1552" s="8" t="s">
        <x:v>58</x:v>
      </x:c>
      <x:c r="AC1552" s="8" t="s">
        <x:v>58</x:v>
      </x:c>
      <x:c r="AD1552" s="8" t="s">
        <x:v>58</x:v>
      </x:c>
      <x:c r="AE1552" s="8" t="s">
        <x:v>58</x:v>
      </x:c>
      <x:c r="AF1552" s="8" t="s">
        <x:v>58</x:v>
      </x:c>
      <x:c r="AG1552" s="7" t="s">
        <x:v>58</x:v>
      </x:c>
    </x:row>
    <x:row r="1553" ht="51.75" hidden="0" customHeight="1">
      <x:c r="A1553" s="7" t="s">
        <x:v>4963</x:v>
      </x:c>
      <x:c r="B1553" s="7" t="s">
        <x:v>1020</x:v>
      </x:c>
      <x:c r="C1553" s="7" t="s">
        <x:v>1023</x:v>
      </x:c>
      <x:c r="D1553" s="7" t="s">
        <x:v>1940</x:v>
      </x:c>
      <x:c r="E1553" s="7" t="s">
        <x:v>2763</x:v>
      </x:c>
      <x:c r="F1553" s="7" t="s">
        <x:v>1942</x:v>
      </x:c>
      <x:c r="G1553" s="8" t="n">
        <x:v>75</x:v>
      </x:c>
      <x:c r="H1553" s="8" t="s">
        <x:v>58</x:v>
      </x:c>
      <x:c r="I1553" s="8" t="s">
        <x:v>58</x:v>
      </x:c>
      <x:c r="J1553" s="7" t="s">
        <x:v>1919</x:v>
      </x:c>
      <x:c r="K1553" s="8" t="n">
        <x:v>1</x:v>
      </x:c>
      <x:c r="L1553" s="8" t="n">
        <x:f aca="0">IF(AND(ISNUMBER(G1553),P1553&lt;&gt;"Unresolved unit / layout"),G1553*K1553,"Not applicable")</x:f>
        <x:v>75</x:v>
      </x:c>
      <x:c r="M1553" s="8" t="str">
        <x:f aca="0">IF(AND(ISNUMBER(H1553),P1553&lt;&gt;"Unresolved unit / layout"),H1553*K1553,"Not applicable")</x:f>
        <x:v>Not applicable</x:v>
      </x:c>
      <x:c r="N1553" s="8" t="str">
        <x:f aca="0">IF(AND(ISNUMBER(I1553),P1553&lt;&gt;"Unresolved unit / layout"),I1553*K1553,"Not applicable")</x:f>
        <x:v>Not applicable</x:v>
      </x:c>
      <x:c r="O1553" s="7" t="s">
        <x:v>1942</x:v>
      </x:c>
      <x:c r="P1553" s="7" t="s">
        <x:v>1921</x:v>
      </x:c>
      <x:c r="Q1553" s="7" t="s">
        <x:v>1930</x:v>
      </x:c>
      <x:c r="R1553" s="7" t="s">
        <x:v>1931</x:v>
      </x:c>
      <x:c r="S1553" s="7" t="s">
        <x:v>53</x:v>
      </x:c>
      <x:c r="T1553" s="7" t="s">
        <x:v>53</x:v>
      </x:c>
      <x:c r="U1553" s="7" t="s">
        <x:v>53</x:v>
      </x:c>
      <x:c r="V1553" s="7" t="s">
        <x:v>1932</x:v>
      </x:c>
      <x:c r="W1553" s="7" t="s">
        <x:v>58</x:v>
      </x:c>
      <x:c r="X1553" s="7" t="s">
        <x:v>4958</x:v>
      </x:c>
      <x:c r="Y1553" s="7" t="s">
        <x:v>1389</x:v>
      </x:c>
      <x:c r="Z1553" s="7" t="s">
        <x:v>1943</x:v>
      </x:c>
      <x:c r="AA1553" s="7" t="s">
        <x:v>58</x:v>
      </x:c>
      <x:c r="AB1553" s="8" t="s">
        <x:v>58</x:v>
      </x:c>
      <x:c r="AC1553" s="8" t="s">
        <x:v>58</x:v>
      </x:c>
      <x:c r="AD1553" s="8" t="s">
        <x:v>58</x:v>
      </x:c>
      <x:c r="AE1553" s="8" t="s">
        <x:v>58</x:v>
      </x:c>
      <x:c r="AF1553" s="8" t="s">
        <x:v>58</x:v>
      </x:c>
      <x:c r="AG1553" s="7" t="s">
        <x:v>58</x:v>
      </x:c>
    </x:row>
    <x:row r="1554" ht="51.75" hidden="0" customHeight="1">
      <x:c r="A1554" s="7" t="s">
        <x:v>4964</x:v>
      </x:c>
      <x:c r="B1554" s="7" t="s">
        <x:v>1020</x:v>
      </x:c>
      <x:c r="C1554" s="7" t="s">
        <x:v>1023</x:v>
      </x:c>
      <x:c r="D1554" s="7" t="s">
        <x:v>1945</x:v>
      </x:c>
      <x:c r="E1554" s="7" t="s">
        <x:v>4965</x:v>
      </x:c>
      <x:c r="F1554" s="7" t="s">
        <x:v>1929</x:v>
      </x:c>
      <x:c r="G1554" s="8" t="n">
        <x:v>86</x:v>
      </x:c>
      <x:c r="H1554" s="8" t="s">
        <x:v>58</x:v>
      </x:c>
      <x:c r="I1554" s="8" t="s">
        <x:v>58</x:v>
      </x:c>
      <x:c r="J1554" s="7" t="s">
        <x:v>1919</x:v>
      </x:c>
      <x:c r="K1554" s="8" t="n">
        <x:v>1</x:v>
      </x:c>
      <x:c r="L1554" s="8" t="n">
        <x:f aca="0">IF(AND(ISNUMBER(G1554),P1554&lt;&gt;"Unresolved unit / layout"),G1554*K1554,"Not applicable")</x:f>
        <x:v>86</x:v>
      </x:c>
      <x:c r="M1554" s="8" t="str">
        <x:f aca="0">IF(AND(ISNUMBER(H1554),P1554&lt;&gt;"Unresolved unit / layout"),H1554*K1554,"Not applicable")</x:f>
        <x:v>Not applicable</x:v>
      </x:c>
      <x:c r="N1554" s="8" t="str">
        <x:f aca="0">IF(AND(ISNUMBER(I1554),P1554&lt;&gt;"Unresolved unit / layout"),I1554*K1554,"Not applicable")</x:f>
        <x:v>Not applicable</x:v>
      </x:c>
      <x:c r="O1554" s="7" t="s">
        <x:v>1929</x:v>
      </x:c>
      <x:c r="P1554" s="7" t="s">
        <x:v>1921</x:v>
      </x:c>
      <x:c r="Q1554" s="7" t="s">
        <x:v>1930</x:v>
      </x:c>
      <x:c r="R1554" s="7" t="s">
        <x:v>1931</x:v>
      </x:c>
      <x:c r="S1554" s="7" t="s">
        <x:v>53</x:v>
      </x:c>
      <x:c r="T1554" s="7" t="s">
        <x:v>53</x:v>
      </x:c>
      <x:c r="U1554" s="7" t="s">
        <x:v>53</x:v>
      </x:c>
      <x:c r="V1554" s="7" t="s">
        <x:v>1947</x:v>
      </x:c>
      <x:c r="W1554" s="7" t="s">
        <x:v>58</x:v>
      </x:c>
      <x:c r="X1554" s="7" t="s">
        <x:v>4958</x:v>
      </x:c>
      <x:c r="Y1554" s="7" t="s">
        <x:v>1389</x:v>
      </x:c>
      <x:c r="Z1554" s="7" t="s">
        <x:v>1948</x:v>
      </x:c>
      <x:c r="AA1554" s="7" t="s">
        <x:v>58</x:v>
      </x:c>
      <x:c r="AB1554" s="8" t="s">
        <x:v>58</x:v>
      </x:c>
      <x:c r="AC1554" s="8" t="s">
        <x:v>58</x:v>
      </x:c>
      <x:c r="AD1554" s="8" t="s">
        <x:v>58</x:v>
      </x:c>
      <x:c r="AE1554" s="8" t="s">
        <x:v>58</x:v>
      </x:c>
      <x:c r="AF1554" s="8" t="s">
        <x:v>58</x:v>
      </x:c>
      <x:c r="AG1554" s="7" t="s">
        <x:v>58</x:v>
      </x:c>
    </x:row>
    <x:row r="1555" ht="51.75" hidden="0" customHeight="1">
      <x:c r="A1555" s="7" t="s">
        <x:v>4966</x:v>
      </x:c>
      <x:c r="B1555" s="7" t="s">
        <x:v>1020</x:v>
      </x:c>
      <x:c r="C1555" s="7" t="s">
        <x:v>1023</x:v>
      </x:c>
      <x:c r="D1555" s="7" t="s">
        <x:v>1950</x:v>
      </x:c>
      <x:c r="E1555" s="7" t="s">
        <x:v>4967</x:v>
      </x:c>
      <x:c r="F1555" s="7" t="s">
        <x:v>1929</x:v>
      </x:c>
      <x:c r="G1555" s="8" t="n">
        <x:v>2370</x:v>
      </x:c>
      <x:c r="H1555" s="8" t="s">
        <x:v>58</x:v>
      </x:c>
      <x:c r="I1555" s="8" t="s">
        <x:v>58</x:v>
      </x:c>
      <x:c r="J1555" s="7" t="s">
        <x:v>1919</x:v>
      </x:c>
      <x:c r="K1555" s="8" t="n">
        <x:v>0.001</x:v>
      </x:c>
      <x:c r="L1555" s="8" t="n">
        <x:f aca="0">IF(AND(ISNUMBER(G1555),P1555&lt;&gt;"Unresolved unit / layout"),G1555*K1555,"Not applicable")</x:f>
        <x:v>2.37</x:v>
      </x:c>
      <x:c r="M1555" s="8" t="str">
        <x:f aca="0">IF(AND(ISNUMBER(H1555),P1555&lt;&gt;"Unresolved unit / layout"),H1555*K1555,"Not applicable")</x:f>
        <x:v>Not applicable</x:v>
      </x:c>
      <x:c r="N1555" s="8" t="str">
        <x:f aca="0">IF(AND(ISNUMBER(I1555),P1555&lt;&gt;"Unresolved unit / layout"),I1555*K1555,"Not applicable")</x:f>
        <x:v>Not applicable</x:v>
      </x:c>
      <x:c r="O1555" s="7" t="s">
        <x:v>1937</x:v>
      </x:c>
      <x:c r="P1555" s="7" t="s">
        <x:v>1921</x:v>
      </x:c>
      <x:c r="Q1555" s="7" t="s">
        <x:v>1930</x:v>
      </x:c>
      <x:c r="R1555" s="7" t="s">
        <x:v>1931</x:v>
      </x:c>
      <x:c r="S1555" s="7" t="s">
        <x:v>53</x:v>
      </x:c>
      <x:c r="T1555" s="7" t="s">
        <x:v>53</x:v>
      </x:c>
      <x:c r="U1555" s="7" t="s">
        <x:v>53</x:v>
      </x:c>
      <x:c r="V1555" s="7" t="s">
        <x:v>1947</x:v>
      </x:c>
      <x:c r="W1555" s="7" t="s">
        <x:v>58</x:v>
      </x:c>
      <x:c r="X1555" s="7" t="s">
        <x:v>4958</x:v>
      </x:c>
      <x:c r="Y1555" s="7" t="s">
        <x:v>1389</x:v>
      </x:c>
      <x:c r="Z1555" s="7" t="s">
        <x:v>1952</x:v>
      </x:c>
      <x:c r="AA1555" s="7" t="s">
        <x:v>58</x:v>
      </x:c>
      <x:c r="AB1555" s="8" t="s">
        <x:v>58</x:v>
      </x:c>
      <x:c r="AC1555" s="8" t="s">
        <x:v>58</x:v>
      </x:c>
      <x:c r="AD1555" s="8" t="s">
        <x:v>58</x:v>
      </x:c>
      <x:c r="AE1555" s="8" t="s">
        <x:v>58</x:v>
      </x:c>
      <x:c r="AF1555" s="8" t="s">
        <x:v>58</x:v>
      </x:c>
      <x:c r="AG1555" s="7" t="s">
        <x:v>58</x:v>
      </x:c>
    </x:row>
    <x:row r="1556" ht="51.75" hidden="0" customHeight="1">
      <x:c r="A1556" s="7" t="s">
        <x:v>4968</x:v>
      </x:c>
      <x:c r="B1556" s="7" t="s">
        <x:v>1020</x:v>
      </x:c>
      <x:c r="C1556" s="7" t="s">
        <x:v>1023</x:v>
      </x:c>
      <x:c r="D1556" s="7" t="s">
        <x:v>1954</x:v>
      </x:c>
      <x:c r="E1556" s="7" t="s">
        <x:v>4969</x:v>
      </x:c>
      <x:c r="F1556" s="7" t="s">
        <x:v>1956</x:v>
      </x:c>
      <x:c r="G1556" s="8" t="n">
        <x:v>137</x:v>
      </x:c>
      <x:c r="H1556" s="8" t="s">
        <x:v>58</x:v>
      </x:c>
      <x:c r="I1556" s="8" t="s">
        <x:v>58</x:v>
      </x:c>
      <x:c r="J1556" s="7" t="s">
        <x:v>1919</x:v>
      </x:c>
      <x:c r="K1556" s="8" t="n">
        <x:v>1</x:v>
      </x:c>
      <x:c r="L1556" s="8" t="n">
        <x:f aca="0">IF(AND(ISNUMBER(G1556),P1556&lt;&gt;"Unresolved unit / layout"),G1556*K1556,"Not applicable")</x:f>
        <x:v>137</x:v>
      </x:c>
      <x:c r="M1556" s="8" t="str">
        <x:f aca="0">IF(AND(ISNUMBER(H1556),P1556&lt;&gt;"Unresolved unit / layout"),H1556*K1556,"Not applicable")</x:f>
        <x:v>Not applicable</x:v>
      </x:c>
      <x:c r="N1556" s="8" t="str">
        <x:f aca="0">IF(AND(ISNUMBER(I1556),P1556&lt;&gt;"Unresolved unit / layout"),I1556*K1556,"Not applicable")</x:f>
        <x:v>Not applicable</x:v>
      </x:c>
      <x:c r="O1556" s="7" t="s">
        <x:v>1956</x:v>
      </x:c>
      <x:c r="P1556" s="7" t="s">
        <x:v>1921</x:v>
      </x:c>
      <x:c r="Q1556" s="7" t="s">
        <x:v>1930</x:v>
      </x:c>
      <x:c r="R1556" s="7" t="s">
        <x:v>58</x:v>
      </x:c>
      <x:c r="S1556" s="7" t="s">
        <x:v>53</x:v>
      </x:c>
      <x:c r="T1556" s="7" t="s">
        <x:v>53</x:v>
      </x:c>
      <x:c r="U1556" s="7" t="s">
        <x:v>53</x:v>
      </x:c>
      <x:c r="V1556" s="7" t="s">
        <x:v>1957</x:v>
      </x:c>
      <x:c r="W1556" s="7" t="s">
        <x:v>58</x:v>
      </x:c>
      <x:c r="X1556" s="7" t="s">
        <x:v>4958</x:v>
      </x:c>
      <x:c r="Y1556" s="7" t="s">
        <x:v>1389</x:v>
      </x:c>
      <x:c r="Z1556" s="7" t="s">
        <x:v>1958</x:v>
      </x:c>
      <x:c r="AA1556" s="7" t="s">
        <x:v>58</x:v>
      </x:c>
      <x:c r="AB1556" s="8" t="s">
        <x:v>58</x:v>
      </x:c>
      <x:c r="AC1556" s="8" t="s">
        <x:v>58</x:v>
      </x:c>
      <x:c r="AD1556" s="8" t="s">
        <x:v>58</x:v>
      </x:c>
      <x:c r="AE1556" s="8" t="s">
        <x:v>58</x:v>
      </x:c>
      <x:c r="AF1556" s="8" t="s">
        <x:v>58</x:v>
      </x:c>
      <x:c r="AG1556" s="7" t="s">
        <x:v>58</x:v>
      </x:c>
    </x:row>
    <x:row r="1557" ht="51.75" hidden="0" customHeight="1">
      <x:c r="A1557" s="7" t="s">
        <x:v>1026</x:v>
      </x:c>
      <x:c r="B1557" s="7" t="s">
        <x:v>1020</x:v>
      </x:c>
      <x:c r="C1557" s="7" t="s">
        <x:v>1023</x:v>
      </x:c>
      <x:c r="D1557" s="7" t="s">
        <x:v>1959</x:v>
      </x:c>
      <x:c r="E1557" s="7" t="s">
        <x:v>4970</x:v>
      </x:c>
      <x:c r="F1557" s="7" t="s">
        <x:v>1956</x:v>
      </x:c>
      <x:c r="G1557" s="8" t="n">
        <x:v>126</x:v>
      </x:c>
      <x:c r="H1557" s="8" t="s">
        <x:v>58</x:v>
      </x:c>
      <x:c r="I1557" s="8" t="s">
        <x:v>58</x:v>
      </x:c>
      <x:c r="J1557" s="7" t="s">
        <x:v>1919</x:v>
      </x:c>
      <x:c r="K1557" s="8" t="n">
        <x:v>1</x:v>
      </x:c>
      <x:c r="L1557" s="8" t="n">
        <x:f aca="0">IF(AND(ISNUMBER(G1557),P1557&lt;&gt;"Unresolved unit / layout"),G1557*K1557,"Not applicable")</x:f>
        <x:v>126</x:v>
      </x:c>
      <x:c r="M1557" s="8" t="str">
        <x:f aca="0">IF(AND(ISNUMBER(H1557),P1557&lt;&gt;"Unresolved unit / layout"),H1557*K1557,"Not applicable")</x:f>
        <x:v>Not applicable</x:v>
      </x:c>
      <x:c r="N1557" s="8" t="str">
        <x:f aca="0">IF(AND(ISNUMBER(I1557),P1557&lt;&gt;"Unresolved unit / layout"),I1557*K1557,"Not applicable")</x:f>
        <x:v>Not applicable</x:v>
      </x:c>
      <x:c r="O1557" s="7" t="s">
        <x:v>1956</x:v>
      </x:c>
      <x:c r="P1557" s="7" t="s">
        <x:v>1921</x:v>
      </x:c>
      <x:c r="Q1557" s="7" t="s">
        <x:v>1930</x:v>
      </x:c>
      <x:c r="R1557" s="7" t="s">
        <x:v>58</x:v>
      </x:c>
      <x:c r="S1557" s="7" t="s">
        <x:v>53</x:v>
      </x:c>
      <x:c r="T1557" s="7" t="s">
        <x:v>53</x:v>
      </x:c>
      <x:c r="U1557" s="7" t="s">
        <x:v>53</x:v>
      </x:c>
      <x:c r="V1557" s="7" t="s">
        <x:v>1961</x:v>
      </x:c>
      <x:c r="W1557" s="7" t="s">
        <x:v>58</x:v>
      </x:c>
      <x:c r="X1557" s="7" t="s">
        <x:v>4958</x:v>
      </x:c>
      <x:c r="Y1557" s="7" t="s">
        <x:v>1389</x:v>
      </x:c>
      <x:c r="Z1557" s="7" t="s">
        <x:v>1962</x:v>
      </x:c>
      <x:c r="AA1557" s="7" t="s">
        <x:v>58</x:v>
      </x:c>
      <x:c r="AB1557" s="8" t="s">
        <x:v>58</x:v>
      </x:c>
      <x:c r="AC1557" s="8" t="s">
        <x:v>58</x:v>
      </x:c>
      <x:c r="AD1557" s="8" t="s">
        <x:v>58</x:v>
      </x:c>
      <x:c r="AE1557" s="8" t="s">
        <x:v>58</x:v>
      </x:c>
      <x:c r="AF1557" s="8" t="s">
        <x:v>58</x:v>
      </x:c>
      <x:c r="AG1557" s="7" t="s">
        <x:v>58</x:v>
      </x:c>
    </x:row>
    <x:row r="1558" ht="66" hidden="0" customHeight="1">
      <x:c r="A1558" s="7" t="s">
        <x:v>4971</x:v>
      </x:c>
      <x:c r="B1558" s="7" t="s">
        <x:v>1020</x:v>
      </x:c>
      <x:c r="C1558" s="7" t="s">
        <x:v>1391</x:v>
      </x:c>
      <x:c r="D1558" s="7" t="s">
        <x:v>1916</x:v>
      </x:c>
      <x:c r="E1558" s="7" t="s">
        <x:v>4889</x:v>
      </x:c>
      <x:c r="F1558" s="7" t="s">
        <x:v>1965</x:v>
      </x:c>
      <x:c r="G1558" s="8" t="n">
        <x:v>1.1</x:v>
      </x:c>
      <x:c r="H1558" s="8" t="s">
        <x:v>58</x:v>
      </x:c>
      <x:c r="I1558" s="8" t="s">
        <x:v>58</x:v>
      </x:c>
      <x:c r="J1558" s="7" t="s">
        <x:v>1919</x:v>
      </x:c>
      <x:c r="K1558" s="8" t="n">
        <x:v>1000</x:v>
      </x:c>
      <x:c r="L1558" s="8" t="n">
        <x:f aca="0">IF(AND(ISNUMBER(G1558),P1558&lt;&gt;"Unresolved unit / layout"),G1558*K1558,"Not applicable")</x:f>
        <x:v>1100</x:v>
      </x:c>
      <x:c r="M1558" s="8" t="str">
        <x:f aca="0">IF(AND(ISNUMBER(H1558),P1558&lt;&gt;"Unresolved unit / layout"),H1558*K1558,"Not applicable")</x:f>
        <x:v>Not applicable</x:v>
      </x:c>
      <x:c r="N1558" s="8" t="str">
        <x:f aca="0">IF(AND(ISNUMBER(I1558),P1558&lt;&gt;"Unresolved unit / layout"),I1558*K1558,"Not applicable")</x:f>
        <x:v>Not applicable</x:v>
      </x:c>
      <x:c r="O1558" s="7" t="s">
        <x:v>1920</x:v>
      </x:c>
      <x:c r="P1558" s="7" t="s">
        <x:v>1921</x:v>
      </x:c>
      <x:c r="Q1558" s="7" t="s">
        <x:v>1922</x:v>
      </x:c>
      <x:c r="R1558" s="7" t="s">
        <x:v>58</x:v>
      </x:c>
      <x:c r="S1558" s="7" t="s">
        <x:v>53</x:v>
      </x:c>
      <x:c r="T1558" s="7" t="s">
        <x:v>53</x:v>
      </x:c>
      <x:c r="U1558" s="7" t="s">
        <x:v>53</x:v>
      </x:c>
      <x:c r="V1558" s="7" t="s">
        <x:v>1966</x:v>
      </x:c>
      <x:c r="W1558" s="7" t="s">
        <x:v>58</x:v>
      </x:c>
      <x:c r="X1558" s="7" t="s">
        <x:v>4972</x:v>
      </x:c>
      <x:c r="Y1558" s="7" t="s">
        <x:v>1393</x:v>
      </x:c>
      <x:c r="Z1558" s="7" t="s">
        <x:v>1968</x:v>
      </x:c>
      <x:c r="AA1558" s="7" t="s">
        <x:v>58</x:v>
      </x:c>
      <x:c r="AB1558" s="8" t="s">
        <x:v>58</x:v>
      </x:c>
      <x:c r="AC1558" s="8" t="s">
        <x:v>58</x:v>
      </x:c>
      <x:c r="AD1558" s="8" t="s">
        <x:v>58</x:v>
      </x:c>
      <x:c r="AE1558" s="8" t="s">
        <x:v>58</x:v>
      </x:c>
      <x:c r="AF1558" s="8" t="s">
        <x:v>58</x:v>
      </x:c>
      <x:c r="AG1558" s="7" t="s">
        <x:v>58</x:v>
      </x:c>
    </x:row>
    <x:row r="1559" ht="66" hidden="0" customHeight="1">
      <x:c r="A1559" s="7" t="s">
        <x:v>4973</x:v>
      </x:c>
      <x:c r="B1559" s="7" t="s">
        <x:v>1020</x:v>
      </x:c>
      <x:c r="C1559" s="7" t="s">
        <x:v>1391</x:v>
      </x:c>
      <x:c r="D1559" s="7" t="s">
        <x:v>1954</x:v>
      </x:c>
      <x:c r="E1559" s="7" t="s">
        <x:v>4974</x:v>
      </x:c>
      <x:c r="F1559" s="7" t="s">
        <x:v>1956</x:v>
      </x:c>
      <x:c r="G1559" s="8" t="n">
        <x:v>109</x:v>
      </x:c>
      <x:c r="H1559" s="8" t="s">
        <x:v>58</x:v>
      </x:c>
      <x:c r="I1559" s="8" t="s">
        <x:v>58</x:v>
      </x:c>
      <x:c r="J1559" s="7" t="s">
        <x:v>1919</x:v>
      </x:c>
      <x:c r="K1559" s="8" t="n">
        <x:v>1</x:v>
      </x:c>
      <x:c r="L1559" s="8" t="n">
        <x:f aca="0">IF(AND(ISNUMBER(G1559),P1559&lt;&gt;"Unresolved unit / layout"),G1559*K1559,"Not applicable")</x:f>
        <x:v>109</x:v>
      </x:c>
      <x:c r="M1559" s="8" t="str">
        <x:f aca="0">IF(AND(ISNUMBER(H1559),P1559&lt;&gt;"Unresolved unit / layout"),H1559*K1559,"Not applicable")</x:f>
        <x:v>Not applicable</x:v>
      </x:c>
      <x:c r="N1559" s="8" t="str">
        <x:f aca="0">IF(AND(ISNUMBER(I1559),P1559&lt;&gt;"Unresolved unit / layout"),I1559*K1559,"Not applicable")</x:f>
        <x:v>Not applicable</x:v>
      </x:c>
      <x:c r="O1559" s="7" t="s">
        <x:v>1956</x:v>
      </x:c>
      <x:c r="P1559" s="7" t="s">
        <x:v>1921</x:v>
      </x:c>
      <x:c r="Q1559" s="7" t="s">
        <x:v>1930</x:v>
      </x:c>
      <x:c r="R1559" s="7" t="s">
        <x:v>58</x:v>
      </x:c>
      <x:c r="S1559" s="7" t="s">
        <x:v>53</x:v>
      </x:c>
      <x:c r="T1559" s="7" t="s">
        <x:v>53</x:v>
      </x:c>
      <x:c r="U1559" s="7" t="s">
        <x:v>53</x:v>
      </x:c>
      <x:c r="V1559" s="7" t="s">
        <x:v>1971</x:v>
      </x:c>
      <x:c r="W1559" s="7" t="s">
        <x:v>58</x:v>
      </x:c>
      <x:c r="X1559" s="7" t="s">
        <x:v>4972</x:v>
      </x:c>
      <x:c r="Y1559" s="7" t="s">
        <x:v>1393</x:v>
      </x:c>
      <x:c r="Z1559" s="7" t="s">
        <x:v>1972</x:v>
      </x:c>
      <x:c r="AA1559" s="7" t="s">
        <x:v>58</x:v>
      </x:c>
      <x:c r="AB1559" s="8" t="s">
        <x:v>58</x:v>
      </x:c>
      <x:c r="AC1559" s="8" t="s">
        <x:v>58</x:v>
      </x:c>
      <x:c r="AD1559" s="8" t="s">
        <x:v>58</x:v>
      </x:c>
      <x:c r="AE1559" s="8" t="s">
        <x:v>58</x:v>
      </x:c>
      <x:c r="AF1559" s="8" t="s">
        <x:v>58</x:v>
      </x:c>
      <x:c r="AG1559" s="7" t="s">
        <x:v>58</x:v>
      </x:c>
    </x:row>
    <x:row r="1560" ht="66" hidden="0" customHeight="1">
      <x:c r="A1560" s="7" t="s">
        <x:v>4975</x:v>
      </x:c>
      <x:c r="B1560" s="7" t="s">
        <x:v>1020</x:v>
      </x:c>
      <x:c r="C1560" s="7" t="s">
        <x:v>1391</x:v>
      </x:c>
      <x:c r="D1560" s="7" t="s">
        <x:v>1974</x:v>
      </x:c>
      <x:c r="E1560" s="7" t="s">
        <x:v>1995</x:v>
      </x:c>
      <x:c r="F1560" s="7" t="s">
        <x:v>1956</x:v>
      </x:c>
      <x:c r="G1560" s="8" t="s">
        <x:v>53</x:v>
      </x:c>
      <x:c r="H1560" s="8" t="s">
        <x:v>58</x:v>
      </x:c>
      <x:c r="I1560" s="8" t="s">
        <x:v>58</x:v>
      </x:c>
      <x:c r="J1560" s="7" t="s">
        <x:v>58</x:v>
      </x:c>
      <x:c r="K1560" s="8" t="n">
        <x:v>1</x:v>
      </x:c>
      <x:c r="L1560" s="8" t="str">
        <x:f aca="0">IF(AND(ISNUMBER(G1560),P1560&lt;&gt;"Unresolved unit / layout"),G1560*K1560,"Not published")</x:f>
        <x:v>Not published</x:v>
      </x:c>
      <x:c r="M1560" s="8" t="str">
        <x:f aca="0">IF(AND(ISNUMBER(H1560),P1560&lt;&gt;"Unresolved unit / layout"),H1560*K1560,"Not applicable")</x:f>
        <x:v>Not applicable</x:v>
      </x:c>
      <x:c r="N1560" s="8" t="str">
        <x:f aca="0">IF(AND(ISNUMBER(I1560),P1560&lt;&gt;"Unresolved unit / layout"),I1560*K1560,"Not applicable")</x:f>
        <x:v>Not applicable</x:v>
      </x:c>
      <x:c r="O1560" s="7" t="s">
        <x:v>1956</x:v>
      </x:c>
      <x:c r="P1560" s="7" t="s">
        <x:v>53</x:v>
      </x:c>
      <x:c r="Q1560" s="7" t="s">
        <x:v>1930</x:v>
      </x:c>
      <x:c r="R1560" s="7" t="s">
        <x:v>58</x:v>
      </x:c>
      <x:c r="S1560" s="7" t="s">
        <x:v>53</x:v>
      </x:c>
      <x:c r="T1560" s="7" t="s">
        <x:v>53</x:v>
      </x:c>
      <x:c r="U1560" s="7" t="s">
        <x:v>53</x:v>
      </x:c>
      <x:c r="V1560" s="7" t="s">
        <x:v>1971</x:v>
      </x:c>
      <x:c r="W1560" s="7" t="s">
        <x:v>58</x:v>
      </x:c>
      <x:c r="X1560" s="7" t="s">
        <x:v>4972</x:v>
      </x:c>
      <x:c r="Y1560" s="7" t="s">
        <x:v>1393</x:v>
      </x:c>
      <x:c r="Z1560" s="7" t="s">
        <x:v>1976</x:v>
      </x:c>
      <x:c r="AA1560" s="7" t="s">
        <x:v>58</x:v>
      </x:c>
      <x:c r="AB1560" s="8" t="s">
        <x:v>58</x:v>
      </x:c>
      <x:c r="AC1560" s="8" t="s">
        <x:v>58</x:v>
      </x:c>
      <x:c r="AD1560" s="8" t="s">
        <x:v>58</x:v>
      </x:c>
      <x:c r="AE1560" s="8" t="s">
        <x:v>58</x:v>
      </x:c>
      <x:c r="AF1560" s="8" t="s">
        <x:v>58</x:v>
      </x:c>
      <x:c r="AG1560" s="7" t="s">
        <x:v>58</x:v>
      </x:c>
    </x:row>
    <x:row r="1561" ht="66" hidden="0" customHeight="1">
      <x:c r="A1561" s="7" t="s">
        <x:v>4976</x:v>
      </x:c>
      <x:c r="B1561" s="7" t="s">
        <x:v>1020</x:v>
      </x:c>
      <x:c r="C1561" s="7" t="s">
        <x:v>1391</x:v>
      </x:c>
      <x:c r="D1561" s="7" t="s">
        <x:v>1978</x:v>
      </x:c>
      <x:c r="E1561" s="7" t="s">
        <x:v>1995</x:v>
      </x:c>
      <x:c r="F1561" s="7" t="s">
        <x:v>1956</x:v>
      </x:c>
      <x:c r="G1561" s="8" t="s">
        <x:v>53</x:v>
      </x:c>
      <x:c r="H1561" s="8" t="s">
        <x:v>58</x:v>
      </x:c>
      <x:c r="I1561" s="8" t="s">
        <x:v>58</x:v>
      </x:c>
      <x:c r="J1561" s="7" t="s">
        <x:v>58</x:v>
      </x:c>
      <x:c r="K1561" s="8" t="n">
        <x:v>1</x:v>
      </x:c>
      <x:c r="L1561" s="8" t="str">
        <x:f aca="0">IF(AND(ISNUMBER(G1561),P1561&lt;&gt;"Unresolved unit / layout"),G1561*K1561,"Not published")</x:f>
        <x:v>Not published</x:v>
      </x:c>
      <x:c r="M1561" s="8" t="str">
        <x:f aca="0">IF(AND(ISNUMBER(H1561),P1561&lt;&gt;"Unresolved unit / layout"),H1561*K1561,"Not applicable")</x:f>
        <x:v>Not applicable</x:v>
      </x:c>
      <x:c r="N1561" s="8" t="str">
        <x:f aca="0">IF(AND(ISNUMBER(I1561),P1561&lt;&gt;"Unresolved unit / layout"),I1561*K1561,"Not applicable")</x:f>
        <x:v>Not applicable</x:v>
      </x:c>
      <x:c r="O1561" s="7" t="s">
        <x:v>1956</x:v>
      </x:c>
      <x:c r="P1561" s="7" t="s">
        <x:v>53</x:v>
      </x:c>
      <x:c r="Q1561" s="7" t="s">
        <x:v>1930</x:v>
      </x:c>
      <x:c r="R1561" s="7" t="s">
        <x:v>58</x:v>
      </x:c>
      <x:c r="S1561" s="7" t="s">
        <x:v>53</x:v>
      </x:c>
      <x:c r="T1561" s="7" t="s">
        <x:v>53</x:v>
      </x:c>
      <x:c r="U1561" s="7" t="s">
        <x:v>53</x:v>
      </x:c>
      <x:c r="V1561" s="7" t="s">
        <x:v>1971</x:v>
      </x:c>
      <x:c r="W1561" s="7" t="s">
        <x:v>58</x:v>
      </x:c>
      <x:c r="X1561" s="7" t="s">
        <x:v>4972</x:v>
      </x:c>
      <x:c r="Y1561" s="7" t="s">
        <x:v>1393</x:v>
      </x:c>
      <x:c r="Z1561" s="7" t="s">
        <x:v>1980</x:v>
      </x:c>
      <x:c r="AA1561" s="7" t="s">
        <x:v>58</x:v>
      </x:c>
      <x:c r="AB1561" s="8" t="s">
        <x:v>58</x:v>
      </x:c>
      <x:c r="AC1561" s="8" t="s">
        <x:v>58</x:v>
      </x:c>
      <x:c r="AD1561" s="8" t="s">
        <x:v>58</x:v>
      </x:c>
      <x:c r="AE1561" s="8" t="s">
        <x:v>58</x:v>
      </x:c>
      <x:c r="AF1561" s="8" t="s">
        <x:v>58</x:v>
      </x:c>
      <x:c r="AG1561" s="7" t="s">
        <x:v>58</x:v>
      </x:c>
    </x:row>
    <x:row r="1562" ht="66" hidden="0" customHeight="1">
      <x:c r="A1562" s="7" t="s">
        <x:v>4977</x:v>
      </x:c>
      <x:c r="B1562" s="7" t="s">
        <x:v>1020</x:v>
      </x:c>
      <x:c r="C1562" s="7" t="s">
        <x:v>1391</x:v>
      </x:c>
      <x:c r="D1562" s="7" t="s">
        <x:v>1982</x:v>
      </x:c>
      <x:c r="E1562" s="7" t="s">
        <x:v>4978</x:v>
      </x:c>
      <x:c r="F1562" s="7" t="s">
        <x:v>1956</x:v>
      </x:c>
      <x:c r="G1562" s="8" t="n">
        <x:v>135</x:v>
      </x:c>
      <x:c r="H1562" s="8" t="s">
        <x:v>58</x:v>
      </x:c>
      <x:c r="I1562" s="8" t="s">
        <x:v>58</x:v>
      </x:c>
      <x:c r="J1562" s="7" t="s">
        <x:v>1919</x:v>
      </x:c>
      <x:c r="K1562" s="8" t="n">
        <x:v>1</x:v>
      </x:c>
      <x:c r="L1562" s="8" t="n">
        <x:f aca="0">IF(AND(ISNUMBER(G1562),P1562&lt;&gt;"Unresolved unit / layout"),G1562*K1562,"Not applicable")</x:f>
        <x:v>135</x:v>
      </x:c>
      <x:c r="M1562" s="8" t="str">
        <x:f aca="0">IF(AND(ISNUMBER(H1562),P1562&lt;&gt;"Unresolved unit / layout"),H1562*K1562,"Not applicable")</x:f>
        <x:v>Not applicable</x:v>
      </x:c>
      <x:c r="N1562" s="8" t="str">
        <x:f aca="0">IF(AND(ISNUMBER(I1562),P1562&lt;&gt;"Unresolved unit / layout"),I1562*K1562,"Not applicable")</x:f>
        <x:v>Not applicable</x:v>
      </x:c>
      <x:c r="O1562" s="7" t="s">
        <x:v>1956</x:v>
      </x:c>
      <x:c r="P1562" s="7" t="s">
        <x:v>1921</x:v>
      </x:c>
      <x:c r="Q1562" s="7" t="s">
        <x:v>1930</x:v>
      </x:c>
      <x:c r="R1562" s="7" t="s">
        <x:v>58</x:v>
      </x:c>
      <x:c r="S1562" s="7" t="s">
        <x:v>53</x:v>
      </x:c>
      <x:c r="T1562" s="7" t="s">
        <x:v>53</x:v>
      </x:c>
      <x:c r="U1562" s="7" t="s">
        <x:v>53</x:v>
      </x:c>
      <x:c r="V1562" s="7" t="s">
        <x:v>1984</x:v>
      </x:c>
      <x:c r="W1562" s="7" t="s">
        <x:v>58</x:v>
      </x:c>
      <x:c r="X1562" s="7" t="s">
        <x:v>4972</x:v>
      </x:c>
      <x:c r="Y1562" s="7" t="s">
        <x:v>1393</x:v>
      </x:c>
      <x:c r="Z1562" s="7" t="s">
        <x:v>1985</x:v>
      </x:c>
      <x:c r="AA1562" s="7" t="s">
        <x:v>58</x:v>
      </x:c>
      <x:c r="AB1562" s="8" t="s">
        <x:v>58</x:v>
      </x:c>
      <x:c r="AC1562" s="8" t="s">
        <x:v>58</x:v>
      </x:c>
      <x:c r="AD1562" s="8" t="s">
        <x:v>58</x:v>
      </x:c>
      <x:c r="AE1562" s="8" t="s">
        <x:v>58</x:v>
      </x:c>
      <x:c r="AF1562" s="8" t="s">
        <x:v>58</x:v>
      </x:c>
      <x:c r="AG1562" s="7" t="s">
        <x:v>58</x:v>
      </x:c>
    </x:row>
    <x:row r="1563" ht="66" hidden="0" customHeight="1">
      <x:c r="A1563" s="7" t="s">
        <x:v>4979</x:v>
      </x:c>
      <x:c r="B1563" s="7" t="s">
        <x:v>1020</x:v>
      </x:c>
      <x:c r="C1563" s="7" t="s">
        <x:v>1391</x:v>
      </x:c>
      <x:c r="D1563" s="7" t="s">
        <x:v>1959</x:v>
      </x:c>
      <x:c r="E1563" s="7" t="s">
        <x:v>4980</x:v>
      </x:c>
      <x:c r="F1563" s="7" t="s">
        <x:v>1956</x:v>
      </x:c>
      <x:c r="G1563" s="8" t="n">
        <x:v>106.4</x:v>
      </x:c>
      <x:c r="H1563" s="8" t="s">
        <x:v>58</x:v>
      </x:c>
      <x:c r="I1563" s="8" t="s">
        <x:v>58</x:v>
      </x:c>
      <x:c r="J1563" s="7" t="s">
        <x:v>1919</x:v>
      </x:c>
      <x:c r="K1563" s="8" t="n">
        <x:v>1</x:v>
      </x:c>
      <x:c r="L1563" s="8" t="n">
        <x:f aca="0">IF(AND(ISNUMBER(G1563),P1563&lt;&gt;"Unresolved unit / layout"),G1563*K1563,"Not applicable")</x:f>
        <x:v>106.4</x:v>
      </x:c>
      <x:c r="M1563" s="8" t="str">
        <x:f aca="0">IF(AND(ISNUMBER(H1563),P1563&lt;&gt;"Unresolved unit / layout"),H1563*K1563,"Not applicable")</x:f>
        <x:v>Not applicable</x:v>
      </x:c>
      <x:c r="N1563" s="8" t="str">
        <x:f aca="0">IF(AND(ISNUMBER(I1563),P1563&lt;&gt;"Unresolved unit / layout"),I1563*K1563,"Not applicable")</x:f>
        <x:v>Not applicable</x:v>
      </x:c>
      <x:c r="O1563" s="7" t="s">
        <x:v>1956</x:v>
      </x:c>
      <x:c r="P1563" s="7" t="s">
        <x:v>1921</x:v>
      </x:c>
      <x:c r="Q1563" s="7" t="s">
        <x:v>1930</x:v>
      </x:c>
      <x:c r="R1563" s="7" t="s">
        <x:v>58</x:v>
      </x:c>
      <x:c r="S1563" s="7" t="s">
        <x:v>53</x:v>
      </x:c>
      <x:c r="T1563" s="7" t="s">
        <x:v>53</x:v>
      </x:c>
      <x:c r="U1563" s="7" t="s">
        <x:v>53</x:v>
      </x:c>
      <x:c r="V1563" s="7" t="s">
        <x:v>1988</x:v>
      </x:c>
      <x:c r="W1563" s="7" t="s">
        <x:v>58</x:v>
      </x:c>
      <x:c r="X1563" s="7" t="s">
        <x:v>4972</x:v>
      </x:c>
      <x:c r="Y1563" s="7" t="s">
        <x:v>1393</x:v>
      </x:c>
      <x:c r="Z1563" s="7" t="s">
        <x:v>1989</x:v>
      </x:c>
      <x:c r="AA1563" s="7" t="s">
        <x:v>58</x:v>
      </x:c>
      <x:c r="AB1563" s="8" t="s">
        <x:v>58</x:v>
      </x:c>
      <x:c r="AC1563" s="8" t="s">
        <x:v>58</x:v>
      </x:c>
      <x:c r="AD1563" s="8" t="s">
        <x:v>58</x:v>
      </x:c>
      <x:c r="AE1563" s="8" t="s">
        <x:v>58</x:v>
      </x:c>
      <x:c r="AF1563" s="8" t="s">
        <x:v>58</x:v>
      </x:c>
      <x:c r="AG1563" s="7" t="s">
        <x:v>58</x:v>
      </x:c>
    </x:row>
    <x:row r="1564" ht="66" hidden="0" customHeight="1">
      <x:c r="A1564" s="7" t="s">
        <x:v>4981</x:v>
      </x:c>
      <x:c r="B1564" s="7" t="s">
        <x:v>1020</x:v>
      </x:c>
      <x:c r="C1564" s="7" t="s">
        <x:v>1391</x:v>
      </x:c>
      <x:c r="D1564" s="7" t="s">
        <x:v>1959</x:v>
      </x:c>
      <x:c r="E1564" s="7" t="s">
        <x:v>4982</x:v>
      </x:c>
      <x:c r="F1564" s="7" t="s">
        <x:v>1956</x:v>
      </x:c>
      <x:c r="G1564" s="8" t="n">
        <x:v>111.7</x:v>
      </x:c>
      <x:c r="H1564" s="8" t="s">
        <x:v>58</x:v>
      </x:c>
      <x:c r="I1564" s="8" t="s">
        <x:v>58</x:v>
      </x:c>
      <x:c r="J1564" s="7" t="s">
        <x:v>1919</x:v>
      </x:c>
      <x:c r="K1564" s="8" t="n">
        <x:v>1</x:v>
      </x:c>
      <x:c r="L1564" s="8" t="n">
        <x:f aca="0">IF(AND(ISNUMBER(G1564),P1564&lt;&gt;"Unresolved unit / layout"),G1564*K1564,"Not applicable")</x:f>
        <x:v>111.7</x:v>
      </x:c>
      <x:c r="M1564" s="8" t="str">
        <x:f aca="0">IF(AND(ISNUMBER(H1564),P1564&lt;&gt;"Unresolved unit / layout"),H1564*K1564,"Not applicable")</x:f>
        <x:v>Not applicable</x:v>
      </x:c>
      <x:c r="N1564" s="8" t="str">
        <x:f aca="0">IF(AND(ISNUMBER(I1564),P1564&lt;&gt;"Unresolved unit / layout"),I1564*K1564,"Not applicable")</x:f>
        <x:v>Not applicable</x:v>
      </x:c>
      <x:c r="O1564" s="7" t="s">
        <x:v>1956</x:v>
      </x:c>
      <x:c r="P1564" s="7" t="s">
        <x:v>1921</x:v>
      </x:c>
      <x:c r="Q1564" s="7" t="s">
        <x:v>1930</x:v>
      </x:c>
      <x:c r="R1564" s="7" t="s">
        <x:v>58</x:v>
      </x:c>
      <x:c r="S1564" s="7" t="s">
        <x:v>53</x:v>
      </x:c>
      <x:c r="T1564" s="7" t="s">
        <x:v>53</x:v>
      </x:c>
      <x:c r="U1564" s="7" t="s">
        <x:v>53</x:v>
      </x:c>
      <x:c r="V1564" s="7" t="s">
        <x:v>1992</x:v>
      </x:c>
      <x:c r="W1564" s="7" t="s">
        <x:v>58</x:v>
      </x:c>
      <x:c r="X1564" s="7" t="s">
        <x:v>4972</x:v>
      </x:c>
      <x:c r="Y1564" s="7" t="s">
        <x:v>1393</x:v>
      </x:c>
      <x:c r="Z1564" s="7" t="s">
        <x:v>1989</x:v>
      </x:c>
      <x:c r="AA1564" s="7" t="s">
        <x:v>58</x:v>
      </x:c>
      <x:c r="AB1564" s="8" t="s">
        <x:v>58</x:v>
      </x:c>
      <x:c r="AC1564" s="8" t="s">
        <x:v>58</x:v>
      </x:c>
      <x:c r="AD1564" s="8" t="s">
        <x:v>58</x:v>
      </x:c>
      <x:c r="AE1564" s="8" t="s">
        <x:v>58</x:v>
      </x:c>
      <x:c r="AF1564" s="8" t="s">
        <x:v>58</x:v>
      </x:c>
      <x:c r="AG1564" s="7" t="s">
        <x:v>58</x:v>
      </x:c>
    </x:row>
    <x:row r="1565" ht="66" hidden="0" customHeight="1">
      <x:c r="A1565" s="7" t="s">
        <x:v>4983</x:v>
      </x:c>
      <x:c r="B1565" s="7" t="s">
        <x:v>1020</x:v>
      </x:c>
      <x:c r="C1565" s="7" t="s">
        <x:v>1391</x:v>
      </x:c>
      <x:c r="D1565" s="7" t="s">
        <x:v>1994</x:v>
      </x:c>
      <x:c r="E1565" s="7" t="s">
        <x:v>1995</x:v>
      </x:c>
      <x:c r="F1565" s="7" t="s">
        <x:v>53</x:v>
      </x:c>
      <x:c r="G1565" s="8" t="s">
        <x:v>53</x:v>
      </x:c>
      <x:c r="H1565" s="8" t="s">
        <x:v>58</x:v>
      </x:c>
      <x:c r="I1565" s="8" t="s">
        <x:v>58</x:v>
      </x:c>
      <x:c r="J1565" s="7" t="s">
        <x:v>58</x:v>
      </x:c>
      <x:c r="K1565" s="8" t="n">
        <x:v>1</x:v>
      </x:c>
      <x:c r="L1565" s="8" t="str">
        <x:f aca="0">IF(AND(ISNUMBER(G1565),P1565&lt;&gt;"Unresolved unit / layout"),G1565*K1565,"Not published")</x:f>
        <x:v>Not published</x:v>
      </x:c>
      <x:c r="M1565" s="8" t="str">
        <x:f aca="0">IF(AND(ISNUMBER(H1565),P1565&lt;&gt;"Unresolved unit / layout"),H1565*K1565,"Not applicable")</x:f>
        <x:v>Not applicable</x:v>
      </x:c>
      <x:c r="N1565" s="8" t="str">
        <x:f aca="0">IF(AND(ISNUMBER(I1565),P1565&lt;&gt;"Unresolved unit / layout"),I1565*K1565,"Not applicable")</x:f>
        <x:v>Not applicable</x:v>
      </x:c>
      <x:c r="O1565" s="7" t="s">
        <x:v>53</x:v>
      </x:c>
      <x:c r="P1565" s="7" t="s">
        <x:v>53</x:v>
      </x:c>
      <x:c r="Q1565" s="7" t="s">
        <x:v>1930</x:v>
      </x:c>
      <x:c r="R1565" s="7" t="s">
        <x:v>53</x:v>
      </x:c>
      <x:c r="S1565" s="7" t="s">
        <x:v>53</x:v>
      </x:c>
      <x:c r="T1565" s="7" t="s">
        <x:v>53</x:v>
      </x:c>
      <x:c r="U1565" s="7" t="s">
        <x:v>53</x:v>
      </x:c>
      <x:c r="V1565" s="7" t="s">
        <x:v>1995</x:v>
      </x:c>
      <x:c r="W1565" s="7" t="s">
        <x:v>58</x:v>
      </x:c>
      <x:c r="X1565" s="7" t="s">
        <x:v>4972</x:v>
      </x:c>
      <x:c r="Y1565" s="7" t="s">
        <x:v>1393</x:v>
      </x:c>
      <x:c r="Z1565" s="7" t="s">
        <x:v>1996</x:v>
      </x:c>
      <x:c r="AA1565" s="7" t="s">
        <x:v>58</x:v>
      </x:c>
      <x:c r="AB1565" s="8" t="s">
        <x:v>58</x:v>
      </x:c>
      <x:c r="AC1565" s="8" t="s">
        <x:v>58</x:v>
      </x:c>
      <x:c r="AD1565" s="8" t="s">
        <x:v>58</x:v>
      </x:c>
      <x:c r="AE1565" s="8" t="s">
        <x:v>58</x:v>
      </x:c>
      <x:c r="AF1565" s="8" t="s">
        <x:v>58</x:v>
      </x:c>
      <x:c r="AG1565" s="7" t="s">
        <x:v>58</x:v>
      </x:c>
    </x:row>
    <x:row r="1566" ht="66" hidden="0" customHeight="1">
      <x:c r="A1566" s="7" t="s">
        <x:v>4984</x:v>
      </x:c>
      <x:c r="B1566" s="7" t="s">
        <x:v>1020</x:v>
      </x:c>
      <x:c r="C1566" s="7" t="s">
        <x:v>1391</x:v>
      </x:c>
      <x:c r="D1566" s="7" t="s">
        <x:v>1935</x:v>
      </x:c>
      <x:c r="E1566" s="7" t="s">
        <x:v>4985</x:v>
      </x:c>
      <x:c r="F1566" s="7" t="s">
        <x:v>1929</x:v>
      </x:c>
      <x:c r="G1566" s="8" t="n">
        <x:v>1835</x:v>
      </x:c>
      <x:c r="H1566" s="8" t="n">
        <x:v>65</x:v>
      </x:c>
      <x:c r="I1566" s="8" t="s">
        <x:v>58</x:v>
      </x:c>
      <x:c r="J1566" s="7" t="s">
        <x:v>1919</x:v>
      </x:c>
      <x:c r="K1566" s="8" t="n">
        <x:v>0.001</x:v>
      </x:c>
      <x:c r="L1566" s="8" t="n">
        <x:f aca="0">IF(AND(ISNUMBER(G1566),P1566&lt;&gt;"Unresolved unit / layout"),G1566*K1566,"Not applicable")</x:f>
        <x:v>1.835</x:v>
      </x:c>
      <x:c r="M1566" s="8" t="n">
        <x:f aca="0">IF(AND(ISNUMBER(H1566),P1566&lt;&gt;"Unresolved unit / layout"),H1566*K1566,"Not applicable")</x:f>
        <x:v>0.065</x:v>
      </x:c>
      <x:c r="N1566" s="8" t="str">
        <x:f aca="0">IF(AND(ISNUMBER(I1566),P1566&lt;&gt;"Unresolved unit / layout"),I1566*K1566,"Not applicable")</x:f>
        <x:v>Not applicable</x:v>
      </x:c>
      <x:c r="O1566" s="7" t="s">
        <x:v>1937</x:v>
      </x:c>
      <x:c r="P1566" s="7" t="s">
        <x:v>1921</x:v>
      </x:c>
      <x:c r="Q1566" s="7" t="s">
        <x:v>1930</x:v>
      </x:c>
      <x:c r="R1566" s="7" t="s">
        <x:v>1931</x:v>
      </x:c>
      <x:c r="S1566" s="7" t="s">
        <x:v>53</x:v>
      </x:c>
      <x:c r="T1566" s="7" t="s">
        <x:v>53</x:v>
      </x:c>
      <x:c r="U1566" s="7" t="s">
        <x:v>53</x:v>
      </x:c>
      <x:c r="V1566" s="7" t="s">
        <x:v>1999</x:v>
      </x:c>
      <x:c r="W1566" s="7" t="s">
        <x:v>58</x:v>
      </x:c>
      <x:c r="X1566" s="7" t="s">
        <x:v>4972</x:v>
      </x:c>
      <x:c r="Y1566" s="7" t="s">
        <x:v>1393</x:v>
      </x:c>
      <x:c r="Z1566" s="7" t="s">
        <x:v>2784</x:v>
      </x:c>
      <x:c r="AA1566" s="7" t="s">
        <x:v>58</x:v>
      </x:c>
      <x:c r="AB1566" s="8" t="s">
        <x:v>58</x:v>
      </x:c>
      <x:c r="AC1566" s="8" t="s">
        <x:v>58</x:v>
      </x:c>
      <x:c r="AD1566" s="8" t="s">
        <x:v>58</x:v>
      </x:c>
      <x:c r="AE1566" s="8" t="s">
        <x:v>58</x:v>
      </x:c>
      <x:c r="AF1566" s="8" t="s">
        <x:v>58</x:v>
      </x:c>
      <x:c r="AG1566" s="7" t="s">
        <x:v>58</x:v>
      </x:c>
    </x:row>
    <x:row r="1567" ht="66" hidden="0" customHeight="1">
      <x:c r="A1567" s="7" t="s">
        <x:v>4986</x:v>
      </x:c>
      <x:c r="B1567" s="7" t="s">
        <x:v>1020</x:v>
      </x:c>
      <x:c r="C1567" s="7" t="s">
        <x:v>1391</x:v>
      </x:c>
      <x:c r="D1567" s="7" t="s">
        <x:v>1935</x:v>
      </x:c>
      <x:c r="E1567" s="7" t="s">
        <x:v>4987</x:v>
      </x:c>
      <x:c r="F1567" s="7" t="s">
        <x:v>1929</x:v>
      </x:c>
      <x:c r="G1567" s="8" t="n">
        <x:v>1677</x:v>
      </x:c>
      <x:c r="H1567" s="8" t="n">
        <x:v>94</x:v>
      </x:c>
      <x:c r="I1567" s="8" t="s">
        <x:v>58</x:v>
      </x:c>
      <x:c r="J1567" s="7" t="s">
        <x:v>1919</x:v>
      </x:c>
      <x:c r="K1567" s="8" t="n">
        <x:v>0.001</x:v>
      </x:c>
      <x:c r="L1567" s="8" t="n">
        <x:f aca="0">IF(AND(ISNUMBER(G1567),P1567&lt;&gt;"Unresolved unit / layout"),G1567*K1567,"Not applicable")</x:f>
        <x:v>1.677</x:v>
      </x:c>
      <x:c r="M1567" s="8" t="n">
        <x:f aca="0">IF(AND(ISNUMBER(H1567),P1567&lt;&gt;"Unresolved unit / layout"),H1567*K1567,"Not applicable")</x:f>
        <x:v>0.094</x:v>
      </x:c>
      <x:c r="N1567" s="8" t="str">
        <x:f aca="0">IF(AND(ISNUMBER(I1567),P1567&lt;&gt;"Unresolved unit / layout"),I1567*K1567,"Not applicable")</x:f>
        <x:v>Not applicable</x:v>
      </x:c>
      <x:c r="O1567" s="7" t="s">
        <x:v>1937</x:v>
      </x:c>
      <x:c r="P1567" s="7" t="s">
        <x:v>1921</x:v>
      </x:c>
      <x:c r="Q1567" s="7" t="s">
        <x:v>1930</x:v>
      </x:c>
      <x:c r="R1567" s="7" t="s">
        <x:v>2003</x:v>
      </x:c>
      <x:c r="S1567" s="7" t="s">
        <x:v>53</x:v>
      </x:c>
      <x:c r="T1567" s="7" t="s">
        <x:v>53</x:v>
      </x:c>
      <x:c r="U1567" s="7" t="s">
        <x:v>53</x:v>
      </x:c>
      <x:c r="V1567" s="7" t="s">
        <x:v>1999</x:v>
      </x:c>
      <x:c r="W1567" s="7" t="s">
        <x:v>58</x:v>
      </x:c>
      <x:c r="X1567" s="7" t="s">
        <x:v>4972</x:v>
      </x:c>
      <x:c r="Y1567" s="7" t="s">
        <x:v>1393</x:v>
      </x:c>
      <x:c r="Z1567" s="7" t="s">
        <x:v>2787</x:v>
      </x:c>
      <x:c r="AA1567" s="7" t="s">
        <x:v>58</x:v>
      </x:c>
      <x:c r="AB1567" s="8" t="s">
        <x:v>58</x:v>
      </x:c>
      <x:c r="AC1567" s="8" t="s">
        <x:v>58</x:v>
      </x:c>
      <x:c r="AD1567" s="8" t="s">
        <x:v>58</x:v>
      </x:c>
      <x:c r="AE1567" s="8" t="s">
        <x:v>58</x:v>
      </x:c>
      <x:c r="AF1567" s="8" t="s">
        <x:v>58</x:v>
      </x:c>
      <x:c r="AG1567" s="7" t="s">
        <x:v>58</x:v>
      </x:c>
    </x:row>
    <x:row r="1568" ht="66" hidden="0" customHeight="1">
      <x:c r="A1568" s="7" t="s">
        <x:v>4988</x:v>
      </x:c>
      <x:c r="B1568" s="7" t="s">
        <x:v>1020</x:v>
      </x:c>
      <x:c r="C1568" s="7" t="s">
        <x:v>1391</x:v>
      </x:c>
      <x:c r="D1568" s="7" t="s">
        <x:v>2006</x:v>
      </x:c>
      <x:c r="E1568" s="7" t="s">
        <x:v>4989</x:v>
      </x:c>
      <x:c r="F1568" s="7" t="s">
        <x:v>1929</x:v>
      </x:c>
      <x:c r="G1568" s="8" t="n">
        <x:v>39.9</x:v>
      </x:c>
      <x:c r="H1568" s="8" t="n">
        <x:v>1</x:v>
      </x:c>
      <x:c r="I1568" s="8" t="s">
        <x:v>58</x:v>
      </x:c>
      <x:c r="J1568" s="7" t="s">
        <x:v>1919</x:v>
      </x:c>
      <x:c r="K1568" s="8" t="n">
        <x:v>1</x:v>
      </x:c>
      <x:c r="L1568" s="8" t="n">
        <x:f aca="0">IF(AND(ISNUMBER(G1568),P1568&lt;&gt;"Unresolved unit / layout"),G1568*K1568,"Not applicable")</x:f>
        <x:v>39.9</x:v>
      </x:c>
      <x:c r="M1568" s="8" t="n">
        <x:f aca="0">IF(AND(ISNUMBER(H1568),P1568&lt;&gt;"Unresolved unit / layout"),H1568*K1568,"Not applicable")</x:f>
        <x:v>1</x:v>
      </x:c>
      <x:c r="N1568" s="8" t="str">
        <x:f aca="0">IF(AND(ISNUMBER(I1568),P1568&lt;&gt;"Unresolved unit / layout"),I1568*K1568,"Not applicable")</x:f>
        <x:v>Not applicable</x:v>
      </x:c>
      <x:c r="O1568" s="7" t="s">
        <x:v>1929</x:v>
      </x:c>
      <x:c r="P1568" s="7" t="s">
        <x:v>1921</x:v>
      </x:c>
      <x:c r="Q1568" s="7" t="s">
        <x:v>1930</x:v>
      </x:c>
      <x:c r="R1568" s="7" t="s">
        <x:v>1931</x:v>
      </x:c>
      <x:c r="S1568" s="7" t="s">
        <x:v>53</x:v>
      </x:c>
      <x:c r="T1568" s="7" t="s">
        <x:v>53</x:v>
      </x:c>
      <x:c r="U1568" s="7" t="s">
        <x:v>53</x:v>
      </x:c>
      <x:c r="V1568" s="7" t="s">
        <x:v>1999</x:v>
      </x:c>
      <x:c r="W1568" s="7" t="s">
        <x:v>58</x:v>
      </x:c>
      <x:c r="X1568" s="7" t="s">
        <x:v>4972</x:v>
      </x:c>
      <x:c r="Y1568" s="7" t="s">
        <x:v>1393</x:v>
      </x:c>
      <x:c r="Z1568" s="7" t="s">
        <x:v>2684</x:v>
      </x:c>
      <x:c r="AA1568" s="7" t="s">
        <x:v>58</x:v>
      </x:c>
      <x:c r="AB1568" s="8" t="s">
        <x:v>58</x:v>
      </x:c>
      <x:c r="AC1568" s="8" t="s">
        <x:v>58</x:v>
      </x:c>
      <x:c r="AD1568" s="8" t="s">
        <x:v>58</x:v>
      </x:c>
      <x:c r="AE1568" s="8" t="s">
        <x:v>58</x:v>
      </x:c>
      <x:c r="AF1568" s="8" t="s">
        <x:v>58</x:v>
      </x:c>
      <x:c r="AG1568" s="7" t="s">
        <x:v>58</x:v>
      </x:c>
    </x:row>
    <x:row r="1569" ht="66" hidden="0" customHeight="1">
      <x:c r="A1569" s="7" t="s">
        <x:v>4990</x:v>
      </x:c>
      <x:c r="B1569" s="7" t="s">
        <x:v>1020</x:v>
      </x:c>
      <x:c r="C1569" s="7" t="s">
        <x:v>1391</x:v>
      </x:c>
      <x:c r="D1569" s="7" t="s">
        <x:v>2006</x:v>
      </x:c>
      <x:c r="E1569" s="7" t="s">
        <x:v>4991</x:v>
      </x:c>
      <x:c r="F1569" s="7" t="s">
        <x:v>1929</x:v>
      </x:c>
      <x:c r="G1569" s="8" t="n">
        <x:v>22.9</x:v>
      </x:c>
      <x:c r="H1569" s="8" t="n">
        <x:v>1.2</x:v>
      </x:c>
      <x:c r="I1569" s="8" t="s">
        <x:v>58</x:v>
      </x:c>
      <x:c r="J1569" s="7" t="s">
        <x:v>1919</x:v>
      </x:c>
      <x:c r="K1569" s="8" t="n">
        <x:v>1</x:v>
      </x:c>
      <x:c r="L1569" s="8" t="n">
        <x:f aca="0">IF(AND(ISNUMBER(G1569),P1569&lt;&gt;"Unresolved unit / layout"),G1569*K1569,"Not applicable")</x:f>
        <x:v>22.9</x:v>
      </x:c>
      <x:c r="M1569" s="8" t="n">
        <x:f aca="0">IF(AND(ISNUMBER(H1569),P1569&lt;&gt;"Unresolved unit / layout"),H1569*K1569,"Not applicable")</x:f>
        <x:v>1.2</x:v>
      </x:c>
      <x:c r="N1569" s="8" t="str">
        <x:f aca="0">IF(AND(ISNUMBER(I1569),P1569&lt;&gt;"Unresolved unit / layout"),I1569*K1569,"Not applicable")</x:f>
        <x:v>Not applicable</x:v>
      </x:c>
      <x:c r="O1569" s="7" t="s">
        <x:v>1929</x:v>
      </x:c>
      <x:c r="P1569" s="7" t="s">
        <x:v>1921</x:v>
      </x:c>
      <x:c r="Q1569" s="7" t="s">
        <x:v>1930</x:v>
      </x:c>
      <x:c r="R1569" s="7" t="s">
        <x:v>2003</x:v>
      </x:c>
      <x:c r="S1569" s="7" t="s">
        <x:v>53</x:v>
      </x:c>
      <x:c r="T1569" s="7" t="s">
        <x:v>53</x:v>
      </x:c>
      <x:c r="U1569" s="7" t="s">
        <x:v>53</x:v>
      </x:c>
      <x:c r="V1569" s="7" t="s">
        <x:v>1999</x:v>
      </x:c>
      <x:c r="W1569" s="7" t="s">
        <x:v>58</x:v>
      </x:c>
      <x:c r="X1569" s="7" t="s">
        <x:v>4972</x:v>
      </x:c>
      <x:c r="Y1569" s="7" t="s">
        <x:v>1393</x:v>
      </x:c>
      <x:c r="Z1569" s="7" t="s">
        <x:v>2687</x:v>
      </x:c>
      <x:c r="AA1569" s="7" t="s">
        <x:v>58</x:v>
      </x:c>
      <x:c r="AB1569" s="8" t="s">
        <x:v>58</x:v>
      </x:c>
      <x:c r="AC1569" s="8" t="s">
        <x:v>58</x:v>
      </x:c>
      <x:c r="AD1569" s="8" t="s">
        <x:v>58</x:v>
      </x:c>
      <x:c r="AE1569" s="8" t="s">
        <x:v>58</x:v>
      </x:c>
      <x:c r="AF1569" s="8" t="s">
        <x:v>58</x:v>
      </x:c>
      <x:c r="AG1569" s="7" t="s">
        <x:v>58</x:v>
      </x:c>
    </x:row>
    <x:row r="1570" ht="66" hidden="0" customHeight="1">
      <x:c r="A1570" s="7" t="s">
        <x:v>4992</x:v>
      </x:c>
      <x:c r="B1570" s="7" t="s">
        <x:v>1020</x:v>
      </x:c>
      <x:c r="C1570" s="7" t="s">
        <x:v>1391</x:v>
      </x:c>
      <x:c r="D1570" s="7" t="s">
        <x:v>1940</x:v>
      </x:c>
      <x:c r="E1570" s="7" t="s">
        <x:v>4993</x:v>
      </x:c>
      <x:c r="F1570" s="7" t="s">
        <x:v>1942</x:v>
      </x:c>
      <x:c r="G1570" s="8" t="n">
        <x:v>4.2</x:v>
      </x:c>
      <x:c r="H1570" s="8" t="n">
        <x:v>0.3</x:v>
      </x:c>
      <x:c r="I1570" s="8" t="s">
        <x:v>58</x:v>
      </x:c>
      <x:c r="J1570" s="7" t="s">
        <x:v>1919</x:v>
      </x:c>
      <x:c r="K1570" s="8" t="n">
        <x:v>1</x:v>
      </x:c>
      <x:c r="L1570" s="8" t="n">
        <x:f aca="0">IF(AND(ISNUMBER(G1570),P1570&lt;&gt;"Unresolved unit / layout"),G1570*K1570,"Not applicable")</x:f>
        <x:v>4.2</x:v>
      </x:c>
      <x:c r="M1570" s="8" t="n">
        <x:f aca="0">IF(AND(ISNUMBER(H1570),P1570&lt;&gt;"Unresolved unit / layout"),H1570*K1570,"Not applicable")</x:f>
        <x:v>0.3</x:v>
      </x:c>
      <x:c r="N1570" s="8" t="str">
        <x:f aca="0">IF(AND(ISNUMBER(I1570),P1570&lt;&gt;"Unresolved unit / layout"),I1570*K1570,"Not applicable")</x:f>
        <x:v>Not applicable</x:v>
      </x:c>
      <x:c r="O1570" s="7" t="s">
        <x:v>1942</x:v>
      </x:c>
      <x:c r="P1570" s="7" t="s">
        <x:v>1921</x:v>
      </x:c>
      <x:c r="Q1570" s="7" t="s">
        <x:v>1930</x:v>
      </x:c>
      <x:c r="R1570" s="7" t="s">
        <x:v>1931</x:v>
      </x:c>
      <x:c r="S1570" s="7" t="s">
        <x:v>53</x:v>
      </x:c>
      <x:c r="T1570" s="7" t="s">
        <x:v>53</x:v>
      </x:c>
      <x:c r="U1570" s="7" t="s">
        <x:v>53</x:v>
      </x:c>
      <x:c r="V1570" s="7" t="s">
        <x:v>1999</x:v>
      </x:c>
      <x:c r="W1570" s="7" t="s">
        <x:v>58</x:v>
      </x:c>
      <x:c r="X1570" s="7" t="s">
        <x:v>4972</x:v>
      </x:c>
      <x:c r="Y1570" s="7" t="s">
        <x:v>1393</x:v>
      </x:c>
      <x:c r="Z1570" s="7" t="s">
        <x:v>2690</x:v>
      </x:c>
      <x:c r="AA1570" s="7" t="s">
        <x:v>58</x:v>
      </x:c>
      <x:c r="AB1570" s="8" t="s">
        <x:v>58</x:v>
      </x:c>
      <x:c r="AC1570" s="8" t="s">
        <x:v>58</x:v>
      </x:c>
      <x:c r="AD1570" s="8" t="s">
        <x:v>58</x:v>
      </x:c>
      <x:c r="AE1570" s="8" t="s">
        <x:v>58</x:v>
      </x:c>
      <x:c r="AF1570" s="8" t="s">
        <x:v>58</x:v>
      </x:c>
      <x:c r="AG1570" s="7" t="s">
        <x:v>58</x:v>
      </x:c>
    </x:row>
    <x:row r="1571" ht="66" hidden="0" customHeight="1">
      <x:c r="A1571" s="7" t="s">
        <x:v>4994</x:v>
      </x:c>
      <x:c r="B1571" s="7" t="s">
        <x:v>1020</x:v>
      </x:c>
      <x:c r="C1571" s="7" t="s">
        <x:v>1391</x:v>
      </x:c>
      <x:c r="D1571" s="7" t="s">
        <x:v>1940</x:v>
      </x:c>
      <x:c r="E1571" s="7" t="s">
        <x:v>4995</x:v>
      </x:c>
      <x:c r="F1571" s="7" t="s">
        <x:v>1942</x:v>
      </x:c>
      <x:c r="G1571" s="8" t="n">
        <x:v>1.5</x:v>
      </x:c>
      <x:c r="H1571" s="8" t="n">
        <x:v>0.1</x:v>
      </x:c>
      <x:c r="I1571" s="8" t="s">
        <x:v>58</x:v>
      </x:c>
      <x:c r="J1571" s="7" t="s">
        <x:v>1919</x:v>
      </x:c>
      <x:c r="K1571" s="8" t="n">
        <x:v>1</x:v>
      </x:c>
      <x:c r="L1571" s="8" t="n">
        <x:f aca="0">IF(AND(ISNUMBER(G1571),P1571&lt;&gt;"Unresolved unit / layout"),G1571*K1571,"Not applicable")</x:f>
        <x:v>1.5</x:v>
      </x:c>
      <x:c r="M1571" s="8" t="n">
        <x:f aca="0">IF(AND(ISNUMBER(H1571),P1571&lt;&gt;"Unresolved unit / layout"),H1571*K1571,"Not applicable")</x:f>
        <x:v>0.1</x:v>
      </x:c>
      <x:c r="N1571" s="8" t="str">
        <x:f aca="0">IF(AND(ISNUMBER(I1571),P1571&lt;&gt;"Unresolved unit / layout"),I1571*K1571,"Not applicable")</x:f>
        <x:v>Not applicable</x:v>
      </x:c>
      <x:c r="O1571" s="7" t="s">
        <x:v>1942</x:v>
      </x:c>
      <x:c r="P1571" s="7" t="s">
        <x:v>1921</x:v>
      </x:c>
      <x:c r="Q1571" s="7" t="s">
        <x:v>1930</x:v>
      </x:c>
      <x:c r="R1571" s="7" t="s">
        <x:v>2003</x:v>
      </x:c>
      <x:c r="S1571" s="7" t="s">
        <x:v>53</x:v>
      </x:c>
      <x:c r="T1571" s="7" t="s">
        <x:v>53</x:v>
      </x:c>
      <x:c r="U1571" s="7" t="s">
        <x:v>53</x:v>
      </x:c>
      <x:c r="V1571" s="7" t="s">
        <x:v>1999</x:v>
      </x:c>
      <x:c r="W1571" s="7" t="s">
        <x:v>58</x:v>
      </x:c>
      <x:c r="X1571" s="7" t="s">
        <x:v>4972</x:v>
      </x:c>
      <x:c r="Y1571" s="7" t="s">
        <x:v>1393</x:v>
      </x:c>
      <x:c r="Z1571" s="7" t="s">
        <x:v>2693</x:v>
      </x:c>
      <x:c r="AA1571" s="7" t="s">
        <x:v>58</x:v>
      </x:c>
      <x:c r="AB1571" s="8" t="s">
        <x:v>58</x:v>
      </x:c>
      <x:c r="AC1571" s="8" t="s">
        <x:v>58</x:v>
      </x:c>
      <x:c r="AD1571" s="8" t="s">
        <x:v>58</x:v>
      </x:c>
      <x:c r="AE1571" s="8" t="s">
        <x:v>58</x:v>
      </x:c>
      <x:c r="AF1571" s="8" t="s">
        <x:v>58</x:v>
      </x:c>
      <x:c r="AG1571" s="7" t="s">
        <x:v>58</x:v>
      </x:c>
    </x:row>
    <x:row r="1572" ht="66" hidden="0" customHeight="1">
      <x:c r="A1572" s="7" t="s">
        <x:v>4996</x:v>
      </x:c>
      <x:c r="B1572" s="7" t="s">
        <x:v>1020</x:v>
      </x:c>
      <x:c r="C1572" s="7" t="s">
        <x:v>1391</x:v>
      </x:c>
      <x:c r="D1572" s="7" t="s">
        <x:v>1950</x:v>
      </x:c>
      <x:c r="E1572" s="7" t="s">
        <x:v>4997</x:v>
      </x:c>
      <x:c r="F1572" s="7" t="s">
        <x:v>1929</x:v>
      </x:c>
      <x:c r="G1572" s="8" t="n">
        <x:v>2081</x:v>
      </x:c>
      <x:c r="H1572" s="8" t="n">
        <x:v>106</x:v>
      </x:c>
      <x:c r="I1572" s="8" t="s">
        <x:v>58</x:v>
      </x:c>
      <x:c r="J1572" s="7" t="s">
        <x:v>1919</x:v>
      </x:c>
      <x:c r="K1572" s="8" t="n">
        <x:v>0.001</x:v>
      </x:c>
      <x:c r="L1572" s="8" t="n">
        <x:f aca="0">IF(AND(ISNUMBER(G1572),P1572&lt;&gt;"Unresolved unit / layout"),G1572*K1572,"Not applicable")</x:f>
        <x:v>2.081</x:v>
      </x:c>
      <x:c r="M1572" s="8" t="n">
        <x:f aca="0">IF(AND(ISNUMBER(H1572),P1572&lt;&gt;"Unresolved unit / layout"),H1572*K1572,"Not applicable")</x:f>
        <x:v>0.106</x:v>
      </x:c>
      <x:c r="N1572" s="8" t="str">
        <x:f aca="0">IF(AND(ISNUMBER(I1572),P1572&lt;&gt;"Unresolved unit / layout"),I1572*K1572,"Not applicable")</x:f>
        <x:v>Not applicable</x:v>
      </x:c>
      <x:c r="O1572" s="7" t="s">
        <x:v>1937</x:v>
      </x:c>
      <x:c r="P1572" s="7" t="s">
        <x:v>1921</x:v>
      </x:c>
      <x:c r="Q1572" s="7" t="s">
        <x:v>1930</x:v>
      </x:c>
      <x:c r="R1572" s="7" t="s">
        <x:v>1931</x:v>
      </x:c>
      <x:c r="S1572" s="7" t="s">
        <x:v>53</x:v>
      </x:c>
      <x:c r="T1572" s="7" t="s">
        <x:v>53</x:v>
      </x:c>
      <x:c r="U1572" s="7" t="s">
        <x:v>53</x:v>
      </x:c>
      <x:c r="V1572" s="7" t="s">
        <x:v>2020</x:v>
      </x:c>
      <x:c r="W1572" s="7" t="s">
        <x:v>58</x:v>
      </x:c>
      <x:c r="X1572" s="7" t="s">
        <x:v>4972</x:v>
      </x:c>
      <x:c r="Y1572" s="7" t="s">
        <x:v>1393</x:v>
      </x:c>
      <x:c r="Z1572" s="7" t="s">
        <x:v>2696</x:v>
      </x:c>
      <x:c r="AA1572" s="7" t="s">
        <x:v>58</x:v>
      </x:c>
      <x:c r="AB1572" s="8" t="s">
        <x:v>58</x:v>
      </x:c>
      <x:c r="AC1572" s="8" t="s">
        <x:v>58</x:v>
      </x:c>
      <x:c r="AD1572" s="8" t="s">
        <x:v>58</x:v>
      </x:c>
      <x:c r="AE1572" s="8" t="s">
        <x:v>58</x:v>
      </x:c>
      <x:c r="AF1572" s="8" t="s">
        <x:v>58</x:v>
      </x:c>
      <x:c r="AG1572" s="7" t="s">
        <x:v>58</x:v>
      </x:c>
    </x:row>
    <x:row r="1573" ht="66" hidden="0" customHeight="1">
      <x:c r="A1573" s="7" t="s">
        <x:v>4998</x:v>
      </x:c>
      <x:c r="B1573" s="7" t="s">
        <x:v>1020</x:v>
      </x:c>
      <x:c r="C1573" s="7" t="s">
        <x:v>1391</x:v>
      </x:c>
      <x:c r="D1573" s="7" t="s">
        <x:v>1950</x:v>
      </x:c>
      <x:c r="E1573" s="7" t="s">
        <x:v>1995</x:v>
      </x:c>
      <x:c r="F1573" s="7" t="s">
        <x:v>53</x:v>
      </x:c>
      <x:c r="G1573" s="8" t="s">
        <x:v>53</x:v>
      </x:c>
      <x:c r="H1573" s="8" t="s">
        <x:v>58</x:v>
      </x:c>
      <x:c r="I1573" s="8" t="s">
        <x:v>58</x:v>
      </x:c>
      <x:c r="J1573" s="7" t="s">
        <x:v>58</x:v>
      </x:c>
      <x:c r="K1573" s="8" t="n">
        <x:v>1</x:v>
      </x:c>
      <x:c r="L1573" s="8" t="str">
        <x:f aca="0">IF(AND(ISNUMBER(G1573),P1573&lt;&gt;"Unresolved unit / layout"),G1573*K1573,"Not published")</x:f>
        <x:v>Not published</x:v>
      </x:c>
      <x:c r="M1573" s="8" t="str">
        <x:f aca="0">IF(AND(ISNUMBER(H1573),P1573&lt;&gt;"Unresolved unit / layout"),H1573*K1573,"Not applicable")</x:f>
        <x:v>Not applicable</x:v>
      </x:c>
      <x:c r="N1573" s="8" t="str">
        <x:f aca="0">IF(AND(ISNUMBER(I1573),P1573&lt;&gt;"Unresolved unit / layout"),I1573*K1573,"Not applicable")</x:f>
        <x:v>Not applicable</x:v>
      </x:c>
      <x:c r="O1573" s="7" t="s">
        <x:v>53</x:v>
      </x:c>
      <x:c r="P1573" s="7" t="s">
        <x:v>53</x:v>
      </x:c>
      <x:c r="Q1573" s="7" t="s">
        <x:v>1930</x:v>
      </x:c>
      <x:c r="R1573" s="7" t="s">
        <x:v>2003</x:v>
      </x:c>
      <x:c r="S1573" s="7" t="s">
        <x:v>53</x:v>
      </x:c>
      <x:c r="T1573" s="7" t="s">
        <x:v>53</x:v>
      </x:c>
      <x:c r="U1573" s="7" t="s">
        <x:v>53</x:v>
      </x:c>
      <x:c r="V1573" s="7" t="s">
        <x:v>2020</x:v>
      </x:c>
      <x:c r="W1573" s="7" t="s">
        <x:v>58</x:v>
      </x:c>
      <x:c r="X1573" s="7" t="s">
        <x:v>4972</x:v>
      </x:c>
      <x:c r="Y1573" s="7" t="s">
        <x:v>1393</x:v>
      </x:c>
      <x:c r="Z1573" s="7" t="s">
        <x:v>2699</x:v>
      </x:c>
      <x:c r="AA1573" s="7" t="s">
        <x:v>58</x:v>
      </x:c>
      <x:c r="AB1573" s="8" t="s">
        <x:v>58</x:v>
      </x:c>
      <x:c r="AC1573" s="8" t="s">
        <x:v>58</x:v>
      </x:c>
      <x:c r="AD1573" s="8" t="s">
        <x:v>58</x:v>
      </x:c>
      <x:c r="AE1573" s="8" t="s">
        <x:v>58</x:v>
      </x:c>
      <x:c r="AF1573" s="8" t="s">
        <x:v>58</x:v>
      </x:c>
      <x:c r="AG1573" s="7" t="s">
        <x:v>58</x:v>
      </x:c>
    </x:row>
    <x:row r="1574" ht="66" hidden="0" customHeight="1">
      <x:c r="A1574" s="7" t="s">
        <x:v>4999</x:v>
      </x:c>
      <x:c r="B1574" s="7" t="s">
        <x:v>1020</x:v>
      </x:c>
      <x:c r="C1574" s="7" t="s">
        <x:v>1391</x:v>
      </x:c>
      <x:c r="D1574" s="7" t="s">
        <x:v>1945</x:v>
      </x:c>
      <x:c r="E1574" s="7" t="s">
        <x:v>5000</x:v>
      </x:c>
      <x:c r="F1574" s="7" t="s">
        <x:v>1929</x:v>
      </x:c>
      <x:c r="G1574" s="8" t="n">
        <x:v>66.3</x:v>
      </x:c>
      <x:c r="H1574" s="8" t="n">
        <x:v>0.9</x:v>
      </x:c>
      <x:c r="I1574" s="8" t="s">
        <x:v>58</x:v>
      </x:c>
      <x:c r="J1574" s="7" t="s">
        <x:v>1919</x:v>
      </x:c>
      <x:c r="K1574" s="8" t="n">
        <x:v>1</x:v>
      </x:c>
      <x:c r="L1574" s="8" t="n">
        <x:f aca="0">IF(AND(ISNUMBER(G1574),P1574&lt;&gt;"Unresolved unit / layout"),G1574*K1574,"Not applicable")</x:f>
        <x:v>66.3</x:v>
      </x:c>
      <x:c r="M1574" s="8" t="n">
        <x:f aca="0">IF(AND(ISNUMBER(H1574),P1574&lt;&gt;"Unresolved unit / layout"),H1574*K1574,"Not applicable")</x:f>
        <x:v>0.9</x:v>
      </x:c>
      <x:c r="N1574" s="8" t="str">
        <x:f aca="0">IF(AND(ISNUMBER(I1574),P1574&lt;&gt;"Unresolved unit / layout"),I1574*K1574,"Not applicable")</x:f>
        <x:v>Not applicable</x:v>
      </x:c>
      <x:c r="O1574" s="7" t="s">
        <x:v>1929</x:v>
      </x:c>
      <x:c r="P1574" s="7" t="s">
        <x:v>1921</x:v>
      </x:c>
      <x:c r="Q1574" s="7" t="s">
        <x:v>1930</x:v>
      </x:c>
      <x:c r="R1574" s="7" t="s">
        <x:v>1931</x:v>
      </x:c>
      <x:c r="S1574" s="7" t="s">
        <x:v>53</x:v>
      </x:c>
      <x:c r="T1574" s="7" t="s">
        <x:v>53</x:v>
      </x:c>
      <x:c r="U1574" s="7" t="s">
        <x:v>53</x:v>
      </x:c>
      <x:c r="V1574" s="7" t="s">
        <x:v>2020</x:v>
      </x:c>
      <x:c r="W1574" s="7" t="s">
        <x:v>58</x:v>
      </x:c>
      <x:c r="X1574" s="7" t="s">
        <x:v>4972</x:v>
      </x:c>
      <x:c r="Y1574" s="7" t="s">
        <x:v>1393</x:v>
      </x:c>
      <x:c r="Z1574" s="7" t="s">
        <x:v>2702</x:v>
      </x:c>
      <x:c r="AA1574" s="7" t="s">
        <x:v>58</x:v>
      </x:c>
      <x:c r="AB1574" s="8" t="s">
        <x:v>58</x:v>
      </x:c>
      <x:c r="AC1574" s="8" t="s">
        <x:v>58</x:v>
      </x:c>
      <x:c r="AD1574" s="8" t="s">
        <x:v>58</x:v>
      </x:c>
      <x:c r="AE1574" s="8" t="s">
        <x:v>58</x:v>
      </x:c>
      <x:c r="AF1574" s="8" t="s">
        <x:v>58</x:v>
      </x:c>
      <x:c r="AG1574" s="7" t="s">
        <x:v>58</x:v>
      </x:c>
    </x:row>
    <x:row r="1575" ht="66" hidden="0" customHeight="1">
      <x:c r="A1575" s="7" t="s">
        <x:v>5001</x:v>
      </x:c>
      <x:c r="B1575" s="7" t="s">
        <x:v>1020</x:v>
      </x:c>
      <x:c r="C1575" s="7" t="s">
        <x:v>1391</x:v>
      </x:c>
      <x:c r="D1575" s="7" t="s">
        <x:v>1945</x:v>
      </x:c>
      <x:c r="E1575" s="7" t="s">
        <x:v>1995</x:v>
      </x:c>
      <x:c r="F1575" s="7" t="s">
        <x:v>53</x:v>
      </x:c>
      <x:c r="G1575" s="8" t="s">
        <x:v>53</x:v>
      </x:c>
      <x:c r="H1575" s="8" t="s">
        <x:v>58</x:v>
      </x:c>
      <x:c r="I1575" s="8" t="s">
        <x:v>58</x:v>
      </x:c>
      <x:c r="J1575" s="7" t="s">
        <x:v>58</x:v>
      </x:c>
      <x:c r="K1575" s="8" t="n">
        <x:v>1</x:v>
      </x:c>
      <x:c r="L1575" s="8" t="str">
        <x:f aca="0">IF(AND(ISNUMBER(G1575),P1575&lt;&gt;"Unresolved unit / layout"),G1575*K1575,"Not published")</x:f>
        <x:v>Not published</x:v>
      </x:c>
      <x:c r="M1575" s="8" t="str">
        <x:f aca="0">IF(AND(ISNUMBER(H1575),P1575&lt;&gt;"Unresolved unit / layout"),H1575*K1575,"Not applicable")</x:f>
        <x:v>Not applicable</x:v>
      </x:c>
      <x:c r="N1575" s="8" t="str">
        <x:f aca="0">IF(AND(ISNUMBER(I1575),P1575&lt;&gt;"Unresolved unit / layout"),I1575*K1575,"Not applicable")</x:f>
        <x:v>Not applicable</x:v>
      </x:c>
      <x:c r="O1575" s="7" t="s">
        <x:v>53</x:v>
      </x:c>
      <x:c r="P1575" s="7" t="s">
        <x:v>53</x:v>
      </x:c>
      <x:c r="Q1575" s="7" t="s">
        <x:v>1930</x:v>
      </x:c>
      <x:c r="R1575" s="7" t="s">
        <x:v>2003</x:v>
      </x:c>
      <x:c r="S1575" s="7" t="s">
        <x:v>53</x:v>
      </x:c>
      <x:c r="T1575" s="7" t="s">
        <x:v>53</x:v>
      </x:c>
      <x:c r="U1575" s="7" t="s">
        <x:v>53</x:v>
      </x:c>
      <x:c r="V1575" s="7" t="s">
        <x:v>2020</x:v>
      </x:c>
      <x:c r="W1575" s="7" t="s">
        <x:v>58</x:v>
      </x:c>
      <x:c r="X1575" s="7" t="s">
        <x:v>4972</x:v>
      </x:c>
      <x:c r="Y1575" s="7" t="s">
        <x:v>1393</x:v>
      </x:c>
      <x:c r="Z1575" s="7" t="s">
        <x:v>2705</x:v>
      </x:c>
      <x:c r="AA1575" s="7" t="s">
        <x:v>58</x:v>
      </x:c>
      <x:c r="AB1575" s="8" t="s">
        <x:v>58</x:v>
      </x:c>
      <x:c r="AC1575" s="8" t="s">
        <x:v>58</x:v>
      </x:c>
      <x:c r="AD1575" s="8" t="s">
        <x:v>58</x:v>
      </x:c>
      <x:c r="AE1575" s="8" t="s">
        <x:v>58</x:v>
      </x:c>
      <x:c r="AF1575" s="8" t="s">
        <x:v>58</x:v>
      </x:c>
      <x:c r="AG1575" s="7" t="s">
        <x:v>58</x:v>
      </x:c>
    </x:row>
    <x:row r="1576" ht="66" hidden="0" customHeight="1">
      <x:c r="A1576" s="7" t="s">
        <x:v>5002</x:v>
      </x:c>
      <x:c r="B1576" s="7" t="s">
        <x:v>1020</x:v>
      </x:c>
      <x:c r="C1576" s="7" t="s">
        <x:v>1391</x:v>
      </x:c>
      <x:c r="D1576" s="7" t="s">
        <x:v>2030</x:v>
      </x:c>
      <x:c r="E1576" s="7" t="s">
        <x:v>5003</x:v>
      </x:c>
      <x:c r="F1576" s="7" t="s">
        <x:v>2032</x:v>
      </x:c>
      <x:c r="G1576" s="8" t="n">
        <x:v>25.8</x:v>
      </x:c>
      <x:c r="H1576" s="8" t="n">
        <x:v>1.3</x:v>
      </x:c>
      <x:c r="I1576" s="8" t="s">
        <x:v>58</x:v>
      </x:c>
      <x:c r="J1576" s="7" t="s">
        <x:v>1919</x:v>
      </x:c>
      <x:c r="K1576" s="8" t="n">
        <x:v>1</x:v>
      </x:c>
      <x:c r="L1576" s="8" t="n">
        <x:f aca="0">IF(AND(ISNUMBER(G1576),P1576&lt;&gt;"Unresolved unit / layout"),G1576*K1576,"Not applicable")</x:f>
        <x:v>25.8</x:v>
      </x:c>
      <x:c r="M1576" s="8" t="n">
        <x:f aca="0">IF(AND(ISNUMBER(H1576),P1576&lt;&gt;"Unresolved unit / layout"),H1576*K1576,"Not applicable")</x:f>
        <x:v>1.3</x:v>
      </x:c>
      <x:c r="N1576" s="8" t="str">
        <x:f aca="0">IF(AND(ISNUMBER(I1576),P1576&lt;&gt;"Unresolved unit / layout"),I1576*K1576,"Not applicable")</x:f>
        <x:v>Not applicable</x:v>
      </x:c>
      <x:c r="O1576" s="7" t="s">
        <x:v>2033</x:v>
      </x:c>
      <x:c r="P1576" s="7" t="s">
        <x:v>1921</x:v>
      </x:c>
      <x:c r="Q1576" s="7" t="s">
        <x:v>1930</x:v>
      </x:c>
      <x:c r="R1576" s="7" t="s">
        <x:v>1931</x:v>
      </x:c>
      <x:c r="S1576" s="7" t="s">
        <x:v>53</x:v>
      </x:c>
      <x:c r="T1576" s="7" t="s">
        <x:v>53</x:v>
      </x:c>
      <x:c r="U1576" s="7" t="s">
        <x:v>53</x:v>
      </x:c>
      <x:c r="V1576" s="7" t="s">
        <x:v>53</x:v>
      </x:c>
      <x:c r="W1576" s="7" t="s">
        <x:v>53</x:v>
      </x:c>
      <x:c r="X1576" s="7" t="s">
        <x:v>4972</x:v>
      </x:c>
      <x:c r="Y1576" s="7" t="s">
        <x:v>1393</x:v>
      </x:c>
      <x:c r="Z1576" s="7" t="s">
        <x:v>2804</x:v>
      </x:c>
      <x:c r="AA1576" s="7" t="s">
        <x:v>58</x:v>
      </x:c>
      <x:c r="AB1576" s="8" t="s">
        <x:v>58</x:v>
      </x:c>
      <x:c r="AC1576" s="8" t="s">
        <x:v>58</x:v>
      </x:c>
      <x:c r="AD1576" s="8" t="s">
        <x:v>58</x:v>
      </x:c>
      <x:c r="AE1576" s="8" t="s">
        <x:v>58</x:v>
      </x:c>
      <x:c r="AF1576" s="8" t="s">
        <x:v>58</x:v>
      </x:c>
      <x:c r="AG1576" s="7" t="s">
        <x:v>58</x:v>
      </x:c>
    </x:row>
    <x:row r="1577" ht="66" hidden="0" customHeight="1">
      <x:c r="A1577" s="7" t="s">
        <x:v>5004</x:v>
      </x:c>
      <x:c r="B1577" s="7" t="s">
        <x:v>1020</x:v>
      </x:c>
      <x:c r="C1577" s="7" t="s">
        <x:v>1391</x:v>
      </x:c>
      <x:c r="D1577" s="7" t="s">
        <x:v>2030</x:v>
      </x:c>
      <x:c r="E1577" s="7" t="s">
        <x:v>1995</x:v>
      </x:c>
      <x:c r="F1577" s="7" t="s">
        <x:v>53</x:v>
      </x:c>
      <x:c r="G1577" s="8" t="s">
        <x:v>53</x:v>
      </x:c>
      <x:c r="H1577" s="8" t="s">
        <x:v>58</x:v>
      </x:c>
      <x:c r="I1577" s="8" t="s">
        <x:v>58</x:v>
      </x:c>
      <x:c r="J1577" s="7" t="s">
        <x:v>58</x:v>
      </x:c>
      <x:c r="K1577" s="8" t="n">
        <x:v>1</x:v>
      </x:c>
      <x:c r="L1577" s="8" t="str">
        <x:f aca="0">IF(AND(ISNUMBER(G1577),P1577&lt;&gt;"Unresolved unit / layout"),G1577*K1577,"Not published")</x:f>
        <x:v>Not published</x:v>
      </x:c>
      <x:c r="M1577" s="8" t="str">
        <x:f aca="0">IF(AND(ISNUMBER(H1577),P1577&lt;&gt;"Unresolved unit / layout"),H1577*K1577,"Not applicable")</x:f>
        <x:v>Not applicable</x:v>
      </x:c>
      <x:c r="N1577" s="8" t="str">
        <x:f aca="0">IF(AND(ISNUMBER(I1577),P1577&lt;&gt;"Unresolved unit / layout"),I1577*K1577,"Not applicable")</x:f>
        <x:v>Not applicable</x:v>
      </x:c>
      <x:c r="O1577" s="7" t="s">
        <x:v>53</x:v>
      </x:c>
      <x:c r="P1577" s="7" t="s">
        <x:v>53</x:v>
      </x:c>
      <x:c r="Q1577" s="7" t="s">
        <x:v>1930</x:v>
      </x:c>
      <x:c r="R1577" s="7" t="s">
        <x:v>2003</x:v>
      </x:c>
      <x:c r="S1577" s="7" t="s">
        <x:v>53</x:v>
      </x:c>
      <x:c r="T1577" s="7" t="s">
        <x:v>53</x:v>
      </x:c>
      <x:c r="U1577" s="7" t="s">
        <x:v>53</x:v>
      </x:c>
      <x:c r="V1577" s="7" t="s">
        <x:v>2806</x:v>
      </x:c>
      <x:c r="W1577" s="7" t="s">
        <x:v>53</x:v>
      </x:c>
      <x:c r="X1577" s="7" t="s">
        <x:v>4972</x:v>
      </x:c>
      <x:c r="Y1577" s="7" t="s">
        <x:v>1393</x:v>
      </x:c>
      <x:c r="Z1577" s="7" t="s">
        <x:v>2807</x:v>
      </x:c>
      <x:c r="AA1577" s="7" t="s">
        <x:v>58</x:v>
      </x:c>
      <x:c r="AB1577" s="8" t="s">
        <x:v>58</x:v>
      </x:c>
      <x:c r="AC1577" s="8" t="s">
        <x:v>58</x:v>
      </x:c>
      <x:c r="AD1577" s="8" t="s">
        <x:v>58</x:v>
      </x:c>
      <x:c r="AE1577" s="8" t="s">
        <x:v>58</x:v>
      </x:c>
      <x:c r="AF1577" s="8" t="s">
        <x:v>58</x:v>
      </x:c>
      <x:c r="AG1577" s="7" t="s">
        <x:v>58</x:v>
      </x:c>
    </x:row>
    <x:row r="1578" ht="51.75" hidden="0" customHeight="1">
      <x:c r="A1578" s="7" t="s">
        <x:v>5005</x:v>
      </x:c>
      <x:c r="B1578" s="7" t="s">
        <x:v>1020</x:v>
      </x:c>
      <x:c r="C1578" s="7" t="s">
        <x:v>1394</x:v>
      </x:c>
      <x:c r="D1578" s="7" t="s">
        <x:v>1916</x:v>
      </x:c>
      <x:c r="E1578" s="7" t="s">
        <x:v>5006</x:v>
      </x:c>
      <x:c r="F1578" s="7" t="s">
        <x:v>1965</x:v>
      </x:c>
      <x:c r="G1578" s="8" t="n">
        <x:v>1.17</x:v>
      </x:c>
      <x:c r="H1578" s="8" t="s">
        <x:v>58</x:v>
      </x:c>
      <x:c r="I1578" s="8" t="s">
        <x:v>58</x:v>
      </x:c>
      <x:c r="J1578" s="7" t="s">
        <x:v>1919</x:v>
      </x:c>
      <x:c r="K1578" s="8" t="n">
        <x:v>1000</x:v>
      </x:c>
      <x:c r="L1578" s="8" t="n">
        <x:f aca="0">IF(AND(ISNUMBER(G1578),P1578&lt;&gt;"Unresolved unit / layout"),G1578*K1578,"Not applicable")</x:f>
        <x:v>1170</x:v>
      </x:c>
      <x:c r="M1578" s="8" t="str">
        <x:f aca="0">IF(AND(ISNUMBER(H1578),P1578&lt;&gt;"Unresolved unit / layout"),H1578*K1578,"Not applicable")</x:f>
        <x:v>Not applicable</x:v>
      </x:c>
      <x:c r="N1578" s="8" t="str">
        <x:f aca="0">IF(AND(ISNUMBER(I1578),P1578&lt;&gt;"Unresolved unit / layout"),I1578*K1578,"Not applicable")</x:f>
        <x:v>Not applicable</x:v>
      </x:c>
      <x:c r="O1578" s="7" t="s">
        <x:v>1920</x:v>
      </x:c>
      <x:c r="P1578" s="7" t="s">
        <x:v>1921</x:v>
      </x:c>
      <x:c r="Q1578" s="7" t="s">
        <x:v>1922</x:v>
      </x:c>
      <x:c r="R1578" s="7" t="s">
        <x:v>58</x:v>
      </x:c>
      <x:c r="S1578" s="7" t="s">
        <x:v>53</x:v>
      </x:c>
      <x:c r="T1578" s="7" t="s">
        <x:v>53</x:v>
      </x:c>
      <x:c r="U1578" s="7" t="s">
        <x:v>53</x:v>
      </x:c>
      <x:c r="V1578" s="7" t="s">
        <x:v>1923</x:v>
      </x:c>
      <x:c r="W1578" s="7" t="s">
        <x:v>58</x:v>
      </x:c>
      <x:c r="X1578" s="7" t="s">
        <x:v>53</x:v>
      </x:c>
      <x:c r="Y1578" s="7" t="s">
        <x:v>1396</x:v>
      </x:c>
      <x:c r="Z1578" s="7" t="s">
        <x:v>3059</x:v>
      </x:c>
      <x:c r="AA1578" s="7" t="s">
        <x:v>58</x:v>
      </x:c>
      <x:c r="AB1578" s="8" t="s">
        <x:v>58</x:v>
      </x:c>
      <x:c r="AC1578" s="8" t="s">
        <x:v>58</x:v>
      </x:c>
      <x:c r="AD1578" s="8" t="s">
        <x:v>58</x:v>
      </x:c>
      <x:c r="AE1578" s="8" t="s">
        <x:v>58</x:v>
      </x:c>
      <x:c r="AF1578" s="8" t="s">
        <x:v>58</x:v>
      </x:c>
      <x:c r="AG1578" s="7" t="s">
        <x:v>58</x:v>
      </x:c>
    </x:row>
    <x:row r="1579" ht="37.5" hidden="0" customHeight="1">
      <x:c r="A1579" s="7" t="s">
        <x:v>5007</x:v>
      </x:c>
      <x:c r="B1579" s="7" t="s">
        <x:v>1020</x:v>
      </x:c>
      <x:c r="C1579" s="7" t="s">
        <x:v>1394</x:v>
      </x:c>
      <x:c r="D1579" s="7" t="s">
        <x:v>2834</x:v>
      </x:c>
      <x:c r="E1579" s="7" t="s">
        <x:v>5008</x:v>
      </x:c>
      <x:c r="F1579" s="7" t="s">
        <x:v>2032</x:v>
      </x:c>
      <x:c r="G1579" s="8" t="n">
        <x:v>35</x:v>
      </x:c>
      <x:c r="H1579" s="8" t="s">
        <x:v>58</x:v>
      </x:c>
      <x:c r="I1579" s="8" t="s">
        <x:v>58</x:v>
      </x:c>
      <x:c r="J1579" s="7" t="s">
        <x:v>1919</x:v>
      </x:c>
      <x:c r="K1579" s="8" t="n">
        <x:v>1</x:v>
      </x:c>
      <x:c r="L1579" s="8" t="n">
        <x:f aca="0">IF(AND(ISNUMBER(G1579),P1579&lt;&gt;"Unresolved unit / layout"),G1579*K1579,"Not applicable")</x:f>
        <x:v>35</x:v>
      </x:c>
      <x:c r="M1579" s="8" t="str">
        <x:f aca="0">IF(AND(ISNUMBER(H1579),P1579&lt;&gt;"Unresolved unit / layout"),H1579*K1579,"Not applicable")</x:f>
        <x:v>Not applicable</x:v>
      </x:c>
      <x:c r="N1579" s="8" t="str">
        <x:f aca="0">IF(AND(ISNUMBER(I1579),P1579&lt;&gt;"Unresolved unit / layout"),I1579*K1579,"Not applicable")</x:f>
        <x:v>Not applicable</x:v>
      </x:c>
      <x:c r="O1579" s="7" t="s">
        <x:v>2033</x:v>
      </x:c>
      <x:c r="P1579" s="7" t="s">
        <x:v>1921</x:v>
      </x:c>
      <x:c r="Q1579" s="7" t="s">
        <x:v>2064</x:v>
      </x:c>
      <x:c r="R1579" s="7" t="s">
        <x:v>53</x:v>
      </x:c>
      <x:c r="S1579" s="7" t="s">
        <x:v>53</x:v>
      </x:c>
      <x:c r="T1579" s="7" t="s">
        <x:v>53</x:v>
      </x:c>
      <x:c r="U1579" s="7" t="s">
        <x:v>53</x:v>
      </x:c>
      <x:c r="V1579" s="7" t="s">
        <x:v>5009</x:v>
      </x:c>
      <x:c r="W1579" s="7" t="s">
        <x:v>2139</x:v>
      </x:c>
      <x:c r="X1579" s="7" t="s">
        <x:v>53</x:v>
      </x:c>
      <x:c r="Y1579" s="7" t="s">
        <x:v>1396</x:v>
      </x:c>
      <x:c r="Z1579" s="7" t="s">
        <x:v>5010</x:v>
      </x:c>
      <x:c r="AA1579" s="7" t="s">
        <x:v>58</x:v>
      </x:c>
      <x:c r="AB1579" s="8" t="s">
        <x:v>58</x:v>
      </x:c>
      <x:c r="AC1579" s="8" t="s">
        <x:v>58</x:v>
      </x:c>
      <x:c r="AD1579" s="8" t="s">
        <x:v>58</x:v>
      </x:c>
      <x:c r="AE1579" s="8" t="s">
        <x:v>58</x:v>
      </x:c>
      <x:c r="AF1579" s="8" t="s">
        <x:v>58</x:v>
      </x:c>
      <x:c r="AG1579" s="7" t="s">
        <x:v>58</x:v>
      </x:c>
    </x:row>
    <x:row r="1580" ht="37.5" hidden="0" customHeight="1">
      <x:c r="A1580" s="7" t="s">
        <x:v>5011</x:v>
      </x:c>
      <x:c r="B1580" s="7" t="s">
        <x:v>1020</x:v>
      </x:c>
      <x:c r="C1580" s="7" t="s">
        <x:v>1394</x:v>
      </x:c>
      <x:c r="D1580" s="7" t="s">
        <x:v>2820</x:v>
      </x:c>
      <x:c r="E1580" s="7" t="s">
        <x:v>5012</x:v>
      </x:c>
      <x:c r="F1580" s="7" t="s">
        <x:v>1942</x:v>
      </x:c>
      <x:c r="G1580" s="8" t="n">
        <x:v>4</x:v>
      </x:c>
      <x:c r="H1580" s="8" t="s">
        <x:v>58</x:v>
      </x:c>
      <x:c r="I1580" s="8" t="s">
        <x:v>58</x:v>
      </x:c>
      <x:c r="J1580" s="7" t="s">
        <x:v>1919</x:v>
      </x:c>
      <x:c r="K1580" s="8" t="n">
        <x:v>1</x:v>
      </x:c>
      <x:c r="L1580" s="8" t="n">
        <x:f aca="0">IF(AND(ISNUMBER(G1580),P1580&lt;&gt;"Unresolved unit / layout"),G1580*K1580,"Not applicable")</x:f>
        <x:v>4</x:v>
      </x:c>
      <x:c r="M1580" s="8" t="str">
        <x:f aca="0">IF(AND(ISNUMBER(H1580),P1580&lt;&gt;"Unresolved unit / layout"),H1580*K1580,"Not applicable")</x:f>
        <x:v>Not applicable</x:v>
      </x:c>
      <x:c r="N1580" s="8" t="str">
        <x:f aca="0">IF(AND(ISNUMBER(I1580),P1580&lt;&gt;"Unresolved unit / layout"),I1580*K1580,"Not applicable")</x:f>
        <x:v>Not applicable</x:v>
      </x:c>
      <x:c r="O1580" s="7" t="s">
        <x:v>1942</x:v>
      </x:c>
      <x:c r="P1580" s="7" t="s">
        <x:v>1921</x:v>
      </x:c>
      <x:c r="Q1580" s="7" t="s">
        <x:v>2064</x:v>
      </x:c>
      <x:c r="R1580" s="7" t="s">
        <x:v>53</x:v>
      </x:c>
      <x:c r="S1580" s="7" t="s">
        <x:v>53</x:v>
      </x:c>
      <x:c r="T1580" s="7" t="s">
        <x:v>53</x:v>
      </x:c>
      <x:c r="U1580" s="7" t="s">
        <x:v>53</x:v>
      </x:c>
      <x:c r="V1580" s="7" t="s">
        <x:v>5013</x:v>
      </x:c>
      <x:c r="W1580" s="7" t="s">
        <x:v>58</x:v>
      </x:c>
      <x:c r="X1580" s="7" t="s">
        <x:v>53</x:v>
      </x:c>
      <x:c r="Y1580" s="7" t="s">
        <x:v>1396</x:v>
      </x:c>
      <x:c r="Z1580" s="7" t="s">
        <x:v>5014</x:v>
      </x:c>
      <x:c r="AA1580" s="7" t="s">
        <x:v>58</x:v>
      </x:c>
      <x:c r="AB1580" s="8" t="s">
        <x:v>58</x:v>
      </x:c>
      <x:c r="AC1580" s="8" t="s">
        <x:v>58</x:v>
      </x:c>
      <x:c r="AD1580" s="8" t="s">
        <x:v>58</x:v>
      </x:c>
      <x:c r="AE1580" s="8" t="s">
        <x:v>58</x:v>
      </x:c>
      <x:c r="AF1580" s="8" t="s">
        <x:v>58</x:v>
      </x:c>
      <x:c r="AG1580" s="7" t="s">
        <x:v>58</x:v>
      </x:c>
    </x:row>
    <x:row r="1581" ht="37.5" hidden="0" customHeight="1">
      <x:c r="A1581" s="7" t="s">
        <x:v>5015</x:v>
      </x:c>
      <x:c r="B1581" s="7" t="s">
        <x:v>1020</x:v>
      </x:c>
      <x:c r="C1581" s="7" t="s">
        <x:v>1394</x:v>
      </x:c>
      <x:c r="D1581" s="7" t="s">
        <x:v>1940</x:v>
      </x:c>
      <x:c r="E1581" s="7" t="s">
        <x:v>5016</x:v>
      </x:c>
      <x:c r="F1581" s="7" t="s">
        <x:v>1942</x:v>
      </x:c>
      <x:c r="G1581" s="8" t="n">
        <x:v>50</x:v>
      </x:c>
      <x:c r="H1581" s="8" t="s">
        <x:v>58</x:v>
      </x:c>
      <x:c r="I1581" s="8" t="s">
        <x:v>58</x:v>
      </x:c>
      <x:c r="J1581" s="7" t="s">
        <x:v>3460</x:v>
      </x:c>
      <x:c r="K1581" s="8" t="n">
        <x:v>1</x:v>
      </x:c>
      <x:c r="L1581" s="8" t="n">
        <x:f aca="0">IF(AND(ISNUMBER(G1581),P1581&lt;&gt;"Unresolved unit / layout"),G1581*K1581,"Not applicable")</x:f>
        <x:v>50</x:v>
      </x:c>
      <x:c r="M1581" s="8" t="str">
        <x:f aca="0">IF(AND(ISNUMBER(H1581),P1581&lt;&gt;"Unresolved unit / layout"),H1581*K1581,"Not applicable")</x:f>
        <x:v>Not applicable</x:v>
      </x:c>
      <x:c r="N1581" s="8" t="str">
        <x:f aca="0">IF(AND(ISNUMBER(I1581),P1581&lt;&gt;"Unresolved unit / layout"),I1581*K1581,"Not applicable")</x:f>
        <x:v>Not applicable</x:v>
      </x:c>
      <x:c r="O1581" s="7" t="s">
        <x:v>1942</x:v>
      </x:c>
      <x:c r="P1581" s="7" t="s">
        <x:v>1921</x:v>
      </x:c>
      <x:c r="Q1581" s="7" t="s">
        <x:v>2064</x:v>
      </x:c>
      <x:c r="R1581" s="7" t="s">
        <x:v>53</x:v>
      </x:c>
      <x:c r="S1581" s="7" t="s">
        <x:v>53</x:v>
      </x:c>
      <x:c r="T1581" s="7" t="s">
        <x:v>53</x:v>
      </x:c>
      <x:c r="U1581" s="7" t="s">
        <x:v>53</x:v>
      </x:c>
      <x:c r="V1581" s="7" t="s">
        <x:v>5013</x:v>
      </x:c>
      <x:c r="W1581" s="7" t="s">
        <x:v>58</x:v>
      </x:c>
      <x:c r="X1581" s="7" t="s">
        <x:v>53</x:v>
      </x:c>
      <x:c r="Y1581" s="7" t="s">
        <x:v>1396</x:v>
      </x:c>
      <x:c r="Z1581" s="7" t="s">
        <x:v>5017</x:v>
      </x:c>
      <x:c r="AA1581" s="7" t="s">
        <x:v>58</x:v>
      </x:c>
      <x:c r="AB1581" s="8" t="s">
        <x:v>58</x:v>
      </x:c>
      <x:c r="AC1581" s="8" t="s">
        <x:v>58</x:v>
      </x:c>
      <x:c r="AD1581" s="8" t="s">
        <x:v>58</x:v>
      </x:c>
      <x:c r="AE1581" s="8" t="s">
        <x:v>58</x:v>
      </x:c>
      <x:c r="AF1581" s="8" t="s">
        <x:v>58</x:v>
      </x:c>
      <x:c r="AG1581" s="7" t="s">
        <x:v>58</x:v>
      </x:c>
    </x:row>
    <x:row r="1582" ht="37.5" hidden="0" customHeight="1">
      <x:c r="A1582" s="7" t="s">
        <x:v>5018</x:v>
      </x:c>
      <x:c r="B1582" s="7" t="s">
        <x:v>1020</x:v>
      </x:c>
      <x:c r="C1582" s="7" t="s">
        <x:v>1394</x:v>
      </x:c>
      <x:c r="D1582" s="7" t="s">
        <x:v>1935</x:v>
      </x:c>
      <x:c r="E1582" s="7" t="s">
        <x:v>5019</x:v>
      </x:c>
      <x:c r="F1582" s="7" t="s">
        <x:v>1929</x:v>
      </x:c>
      <x:c r="G1582" s="8" t="n">
        <x:v>2850</x:v>
      </x:c>
      <x:c r="H1582" s="8" t="s">
        <x:v>58</x:v>
      </x:c>
      <x:c r="I1582" s="8" t="s">
        <x:v>58</x:v>
      </x:c>
      <x:c r="J1582" s="7" t="s">
        <x:v>1919</x:v>
      </x:c>
      <x:c r="K1582" s="8" t="n">
        <x:v>0.001</x:v>
      </x:c>
      <x:c r="L1582" s="8" t="n">
        <x:f aca="0">IF(AND(ISNUMBER(G1582),P1582&lt;&gt;"Unresolved unit / layout"),G1582*K1582,"Not applicable")</x:f>
        <x:v>2.85</x:v>
      </x:c>
      <x:c r="M1582" s="8" t="str">
        <x:f aca="0">IF(AND(ISNUMBER(H1582),P1582&lt;&gt;"Unresolved unit / layout"),H1582*K1582,"Not applicable")</x:f>
        <x:v>Not applicable</x:v>
      </x:c>
      <x:c r="N1582" s="8" t="str">
        <x:f aca="0">IF(AND(ISNUMBER(I1582),P1582&lt;&gt;"Unresolved unit / layout"),I1582*K1582,"Not applicable")</x:f>
        <x:v>Not applicable</x:v>
      </x:c>
      <x:c r="O1582" s="7" t="s">
        <x:v>1937</x:v>
      </x:c>
      <x:c r="P1582" s="7" t="s">
        <x:v>1921</x:v>
      </x:c>
      <x:c r="Q1582" s="7" t="s">
        <x:v>2064</x:v>
      </x:c>
      <x:c r="R1582" s="7" t="s">
        <x:v>53</x:v>
      </x:c>
      <x:c r="S1582" s="7" t="s">
        <x:v>53</x:v>
      </x:c>
      <x:c r="T1582" s="7" t="s">
        <x:v>53</x:v>
      </x:c>
      <x:c r="U1582" s="7" t="s">
        <x:v>53</x:v>
      </x:c>
      <x:c r="V1582" s="7" t="s">
        <x:v>5020</x:v>
      </x:c>
      <x:c r="W1582" s="7" t="s">
        <x:v>58</x:v>
      </x:c>
      <x:c r="X1582" s="7" t="s">
        <x:v>53</x:v>
      </x:c>
      <x:c r="Y1582" s="7" t="s">
        <x:v>1396</x:v>
      </x:c>
      <x:c r="Z1582" s="7" t="s">
        <x:v>1938</x:v>
      </x:c>
      <x:c r="AA1582" s="7" t="s">
        <x:v>58</x:v>
      </x:c>
      <x:c r="AB1582" s="8" t="s">
        <x:v>58</x:v>
      </x:c>
      <x:c r="AC1582" s="8" t="s">
        <x:v>58</x:v>
      </x:c>
      <x:c r="AD1582" s="8" t="s">
        <x:v>58</x:v>
      </x:c>
      <x:c r="AE1582" s="8" t="s">
        <x:v>58</x:v>
      </x:c>
      <x:c r="AF1582" s="8" t="s">
        <x:v>58</x:v>
      </x:c>
      <x:c r="AG1582" s="7" t="s">
        <x:v>58</x:v>
      </x:c>
    </x:row>
    <x:row r="1583" ht="37.5" hidden="0" customHeight="1">
      <x:c r="A1583" s="7" t="s">
        <x:v>5021</x:v>
      </x:c>
      <x:c r="B1583" s="7" t="s">
        <x:v>1020</x:v>
      </x:c>
      <x:c r="C1583" s="7" t="s">
        <x:v>1394</x:v>
      </x:c>
      <x:c r="D1583" s="7" t="s">
        <x:v>3061</x:v>
      </x:c>
      <x:c r="E1583" s="7" t="s">
        <x:v>5022</x:v>
      </x:c>
      <x:c r="F1583" s="7" t="s">
        <x:v>1929</x:v>
      </x:c>
      <x:c r="G1583" s="8" t="n">
        <x:v>60</x:v>
      </x:c>
      <x:c r="H1583" s="8" t="s">
        <x:v>58</x:v>
      </x:c>
      <x:c r="I1583" s="8" t="s">
        <x:v>58</x:v>
      </x:c>
      <x:c r="J1583" s="7" t="s">
        <x:v>1919</x:v>
      </x:c>
      <x:c r="K1583" s="8" t="n">
        <x:v>1</x:v>
      </x:c>
      <x:c r="L1583" s="8" t="n">
        <x:f aca="0">IF(AND(ISNUMBER(G1583),P1583&lt;&gt;"Unresolved unit / layout"),G1583*K1583,"Not applicable")</x:f>
        <x:v>60</x:v>
      </x:c>
      <x:c r="M1583" s="8" t="str">
        <x:f aca="0">IF(AND(ISNUMBER(H1583),P1583&lt;&gt;"Unresolved unit / layout"),H1583*K1583,"Not applicable")</x:f>
        <x:v>Not applicable</x:v>
      </x:c>
      <x:c r="N1583" s="8" t="str">
        <x:f aca="0">IF(AND(ISNUMBER(I1583),P1583&lt;&gt;"Unresolved unit / layout"),I1583*K1583,"Not applicable")</x:f>
        <x:v>Not applicable</x:v>
      </x:c>
      <x:c r="O1583" s="7" t="s">
        <x:v>1929</x:v>
      </x:c>
      <x:c r="P1583" s="7" t="s">
        <x:v>1921</x:v>
      </x:c>
      <x:c r="Q1583" s="7" t="s">
        <x:v>2064</x:v>
      </x:c>
      <x:c r="R1583" s="7" t="s">
        <x:v>53</x:v>
      </x:c>
      <x:c r="S1583" s="7" t="s">
        <x:v>53</x:v>
      </x:c>
      <x:c r="T1583" s="7" t="s">
        <x:v>53</x:v>
      </x:c>
      <x:c r="U1583" s="7" t="s">
        <x:v>53</x:v>
      </x:c>
      <x:c r="V1583" s="7" t="s">
        <x:v>5013</x:v>
      </x:c>
      <x:c r="W1583" s="7" t="s">
        <x:v>58</x:v>
      </x:c>
      <x:c r="X1583" s="7" t="s">
        <x:v>53</x:v>
      </x:c>
      <x:c r="Y1583" s="7" t="s">
        <x:v>1396</x:v>
      </x:c>
      <x:c r="Z1583" s="7" t="s">
        <x:v>5023</x:v>
      </x:c>
      <x:c r="AA1583" s="7" t="s">
        <x:v>58</x:v>
      </x:c>
      <x:c r="AB1583" s="8" t="s">
        <x:v>58</x:v>
      </x:c>
      <x:c r="AC1583" s="8" t="s">
        <x:v>58</x:v>
      </x:c>
      <x:c r="AD1583" s="8" t="s">
        <x:v>58</x:v>
      </x:c>
      <x:c r="AE1583" s="8" t="s">
        <x:v>58</x:v>
      </x:c>
      <x:c r="AF1583" s="8" t="s">
        <x:v>58</x:v>
      </x:c>
      <x:c r="AG1583" s="7" t="s">
        <x:v>58</x:v>
      </x:c>
    </x:row>
    <x:row r="1584" ht="37.5" hidden="0" customHeight="1">
      <x:c r="A1584" s="7" t="s">
        <x:v>5024</x:v>
      </x:c>
      <x:c r="B1584" s="7" t="s">
        <x:v>1020</x:v>
      </x:c>
      <x:c r="C1584" s="7" t="s">
        <x:v>1394</x:v>
      </x:c>
      <x:c r="D1584" s="7" t="s">
        <x:v>1945</x:v>
      </x:c>
      <x:c r="E1584" s="7" t="s">
        <x:v>5025</x:v>
      </x:c>
      <x:c r="F1584" s="7" t="s">
        <x:v>1929</x:v>
      </x:c>
      <x:c r="G1584" s="8" t="n">
        <x:v>110</x:v>
      </x:c>
      <x:c r="H1584" s="8" t="s">
        <x:v>58</x:v>
      </x:c>
      <x:c r="I1584" s="8" t="s">
        <x:v>58</x:v>
      </x:c>
      <x:c r="J1584" s="7" t="s">
        <x:v>1919</x:v>
      </x:c>
      <x:c r="K1584" s="8" t="n">
        <x:v>1</x:v>
      </x:c>
      <x:c r="L1584" s="8" t="n">
        <x:f aca="0">IF(AND(ISNUMBER(G1584),P1584&lt;&gt;"Unresolved unit / layout"),G1584*K1584,"Not applicable")</x:f>
        <x:v>110</x:v>
      </x:c>
      <x:c r="M1584" s="8" t="str">
        <x:f aca="0">IF(AND(ISNUMBER(H1584),P1584&lt;&gt;"Unresolved unit / layout"),H1584*K1584,"Not applicable")</x:f>
        <x:v>Not applicable</x:v>
      </x:c>
      <x:c r="N1584" s="8" t="str">
        <x:f aca="0">IF(AND(ISNUMBER(I1584),P1584&lt;&gt;"Unresolved unit / layout"),I1584*K1584,"Not applicable")</x:f>
        <x:v>Not applicable</x:v>
      </x:c>
      <x:c r="O1584" s="7" t="s">
        <x:v>1929</x:v>
      </x:c>
      <x:c r="P1584" s="7" t="s">
        <x:v>1921</x:v>
      </x:c>
      <x:c r="Q1584" s="7" t="s">
        <x:v>2064</x:v>
      </x:c>
      <x:c r="R1584" s="7" t="s">
        <x:v>53</x:v>
      </x:c>
      <x:c r="S1584" s="7" t="s">
        <x:v>53</x:v>
      </x:c>
      <x:c r="T1584" s="7" t="s">
        <x:v>53</x:v>
      </x:c>
      <x:c r="U1584" s="7" t="s">
        <x:v>53</x:v>
      </x:c>
      <x:c r="V1584" s="7" t="s">
        <x:v>1947</x:v>
      </x:c>
      <x:c r="W1584" s="7" t="s">
        <x:v>58</x:v>
      </x:c>
      <x:c r="X1584" s="7" t="s">
        <x:v>53</x:v>
      </x:c>
      <x:c r="Y1584" s="7" t="s">
        <x:v>1396</x:v>
      </x:c>
      <x:c r="Z1584" s="7" t="s">
        <x:v>2832</x:v>
      </x:c>
      <x:c r="AA1584" s="7" t="s">
        <x:v>58</x:v>
      </x:c>
      <x:c r="AB1584" s="8" t="s">
        <x:v>58</x:v>
      </x:c>
      <x:c r="AC1584" s="8" t="s">
        <x:v>58</x:v>
      </x:c>
      <x:c r="AD1584" s="8" t="s">
        <x:v>58</x:v>
      </x:c>
      <x:c r="AE1584" s="8" t="s">
        <x:v>58</x:v>
      </x:c>
      <x:c r="AF1584" s="8" t="s">
        <x:v>58</x:v>
      </x:c>
      <x:c r="AG1584" s="7" t="s">
        <x:v>58</x:v>
      </x:c>
    </x:row>
    <x:row r="1585" ht="37.5" hidden="0" customHeight="1">
      <x:c r="A1585" s="7" t="s">
        <x:v>5026</x:v>
      </x:c>
      <x:c r="B1585" s="7" t="s">
        <x:v>1020</x:v>
      </x:c>
      <x:c r="C1585" s="7" t="s">
        <x:v>1394</x:v>
      </x:c>
      <x:c r="D1585" s="7" t="s">
        <x:v>1982</x:v>
      </x:c>
      <x:c r="E1585" s="7" t="s">
        <x:v>5027</x:v>
      </x:c>
      <x:c r="F1585" s="7" t="s">
        <x:v>1956</x:v>
      </x:c>
      <x:c r="G1585" s="8" t="n">
        <x:v>104</x:v>
      </x:c>
      <x:c r="H1585" s="8" t="s">
        <x:v>58</x:v>
      </x:c>
      <x:c r="I1585" s="8" t="s">
        <x:v>58</x:v>
      </x:c>
      <x:c r="J1585" s="7" t="s">
        <x:v>1919</x:v>
      </x:c>
      <x:c r="K1585" s="8" t="n">
        <x:v>1</x:v>
      </x:c>
      <x:c r="L1585" s="8" t="n">
        <x:f aca="0">IF(AND(ISNUMBER(G1585),P1585&lt;&gt;"Unresolved unit / layout"),G1585*K1585,"Not applicable")</x:f>
        <x:v>104</x:v>
      </x:c>
      <x:c r="M1585" s="8" t="str">
        <x:f aca="0">IF(AND(ISNUMBER(H1585),P1585&lt;&gt;"Unresolved unit / layout"),H1585*K1585,"Not applicable")</x:f>
        <x:v>Not applicable</x:v>
      </x:c>
      <x:c r="N1585" s="8" t="str">
        <x:f aca="0">IF(AND(ISNUMBER(I1585),P1585&lt;&gt;"Unresolved unit / layout"),I1585*K1585,"Not applicable")</x:f>
        <x:v>Not applicable</x:v>
      </x:c>
      <x:c r="O1585" s="7" t="s">
        <x:v>1956</x:v>
      </x:c>
      <x:c r="P1585" s="7" t="s">
        <x:v>1921</x:v>
      </x:c>
      <x:c r="Q1585" s="7" t="s">
        <x:v>2064</x:v>
      </x:c>
      <x:c r="R1585" s="7" t="s">
        <x:v>58</x:v>
      </x:c>
      <x:c r="S1585" s="7" t="s">
        <x:v>53</x:v>
      </x:c>
      <x:c r="T1585" s="7" t="s">
        <x:v>53</x:v>
      </x:c>
      <x:c r="U1585" s="7" t="s">
        <x:v>53</x:v>
      </x:c>
      <x:c r="V1585" s="7" t="s">
        <x:v>2854</x:v>
      </x:c>
      <x:c r="W1585" s="7" t="s">
        <x:v>58</x:v>
      </x:c>
      <x:c r="X1585" s="7" t="s">
        <x:v>53</x:v>
      </x:c>
      <x:c r="Y1585" s="7" t="s">
        <x:v>1396</x:v>
      </x:c>
      <x:c r="Z1585" s="7" t="s">
        <x:v>3348</x:v>
      </x:c>
      <x:c r="AA1585" s="7" t="s">
        <x:v>58</x:v>
      </x:c>
      <x:c r="AB1585" s="8" t="s">
        <x:v>58</x:v>
      </x:c>
      <x:c r="AC1585" s="8" t="s">
        <x:v>58</x:v>
      </x:c>
      <x:c r="AD1585" s="8" t="s">
        <x:v>58</x:v>
      </x:c>
      <x:c r="AE1585" s="8" t="s">
        <x:v>58</x:v>
      </x:c>
      <x:c r="AF1585" s="8" t="s">
        <x:v>58</x:v>
      </x:c>
      <x:c r="AG1585" s="7" t="s">
        <x:v>58</x:v>
      </x:c>
    </x:row>
    <x:row r="1586" ht="66" hidden="0" customHeight="1">
      <x:c r="A1586" s="7" t="s">
        <x:v>5028</x:v>
      </x:c>
      <x:c r="B1586" s="7" t="s">
        <x:v>1031</x:v>
      </x:c>
      <x:c r="C1586" s="7" t="s">
        <x:v>1033</x:v>
      </x:c>
      <x:c r="D1586" s="7" t="s">
        <x:v>1916</x:v>
      </x:c>
      <x:c r="E1586" s="7" t="s">
        <x:v>4253</x:v>
      </x:c>
      <x:c r="F1586" s="7" t="s">
        <x:v>1965</x:v>
      </x:c>
      <x:c r="G1586" s="8" t="n">
        <x:v>1.2</x:v>
      </x:c>
      <x:c r="H1586" s="8" t="s">
        <x:v>58</x:v>
      </x:c>
      <x:c r="I1586" s="8" t="s">
        <x:v>58</x:v>
      </x:c>
      <x:c r="J1586" s="7" t="s">
        <x:v>1919</x:v>
      </x:c>
      <x:c r="K1586" s="8" t="n">
        <x:v>1000</x:v>
      </x:c>
      <x:c r="L1586" s="8" t="n">
        <x:f aca="0">IF(AND(ISNUMBER(G1586),P1586&lt;&gt;"Unresolved unit / layout"),G1586*K1586,"Not applicable")</x:f>
        <x:v>1200</x:v>
      </x:c>
      <x:c r="M1586" s="8" t="str">
        <x:f aca="0">IF(AND(ISNUMBER(H1586),P1586&lt;&gt;"Unresolved unit / layout"),H1586*K1586,"Not applicable")</x:f>
        <x:v>Not applicable</x:v>
      </x:c>
      <x:c r="N1586" s="8" t="str">
        <x:f aca="0">IF(AND(ISNUMBER(I1586),P1586&lt;&gt;"Unresolved unit / layout"),I1586*K1586,"Not applicable")</x:f>
        <x:v>Not applicable</x:v>
      </x:c>
      <x:c r="O1586" s="7" t="s">
        <x:v>1920</x:v>
      </x:c>
      <x:c r="P1586" s="7" t="s">
        <x:v>1921</x:v>
      </x:c>
      <x:c r="Q1586" s="7" t="s">
        <x:v>1922</x:v>
      </x:c>
      <x:c r="R1586" s="7" t="s">
        <x:v>58</x:v>
      </x:c>
      <x:c r="S1586" s="7" t="s">
        <x:v>53</x:v>
      </x:c>
      <x:c r="T1586" s="7" t="s">
        <x:v>53</x:v>
      </x:c>
      <x:c r="U1586" s="7" t="s">
        <x:v>53</x:v>
      </x:c>
      <x:c r="V1586" s="7" t="s">
        <x:v>1966</x:v>
      </x:c>
      <x:c r="W1586" s="7" t="s">
        <x:v>58</x:v>
      </x:c>
      <x:c r="X1586" s="7" t="s">
        <x:v>5029</x:v>
      </x:c>
      <x:c r="Y1586" s="7" t="s">
        <x:v>1398</x:v>
      </x:c>
      <x:c r="Z1586" s="7" t="s">
        <x:v>1968</x:v>
      </x:c>
      <x:c r="AA1586" s="7" t="s">
        <x:v>58</x:v>
      </x:c>
      <x:c r="AB1586" s="8" t="s">
        <x:v>58</x:v>
      </x:c>
      <x:c r="AC1586" s="8" t="s">
        <x:v>58</x:v>
      </x:c>
      <x:c r="AD1586" s="8" t="s">
        <x:v>58</x:v>
      </x:c>
      <x:c r="AE1586" s="8" t="s">
        <x:v>58</x:v>
      </x:c>
      <x:c r="AF1586" s="8" t="s">
        <x:v>58</x:v>
      </x:c>
      <x:c r="AG1586" s="7" t="s">
        <x:v>58</x:v>
      </x:c>
    </x:row>
    <x:row r="1587" ht="66" hidden="0" customHeight="1">
      <x:c r="A1587" s="7" t="s">
        <x:v>5030</x:v>
      </x:c>
      <x:c r="B1587" s="7" t="s">
        <x:v>1031</x:v>
      </x:c>
      <x:c r="C1587" s="7" t="s">
        <x:v>1033</x:v>
      </x:c>
      <x:c r="D1587" s="7" t="s">
        <x:v>1954</x:v>
      </x:c>
      <x:c r="E1587" s="7" t="s">
        <x:v>3830</x:v>
      </x:c>
      <x:c r="F1587" s="7" t="s">
        <x:v>1956</x:v>
      </x:c>
      <x:c r="G1587" s="8" t="n">
        <x:v>140</x:v>
      </x:c>
      <x:c r="H1587" s="8" t="s">
        <x:v>58</x:v>
      </x:c>
      <x:c r="I1587" s="8" t="s">
        <x:v>58</x:v>
      </x:c>
      <x:c r="J1587" s="7" t="s">
        <x:v>1919</x:v>
      </x:c>
      <x:c r="K1587" s="8" t="n">
        <x:v>1</x:v>
      </x:c>
      <x:c r="L1587" s="8" t="n">
        <x:f aca="0">IF(AND(ISNUMBER(G1587),P1587&lt;&gt;"Unresolved unit / layout"),G1587*K1587,"Not applicable")</x:f>
        <x:v>140</x:v>
      </x:c>
      <x:c r="M1587" s="8" t="str">
        <x:f aca="0">IF(AND(ISNUMBER(H1587),P1587&lt;&gt;"Unresolved unit / layout"),H1587*K1587,"Not applicable")</x:f>
        <x:v>Not applicable</x:v>
      </x:c>
      <x:c r="N1587" s="8" t="str">
        <x:f aca="0">IF(AND(ISNUMBER(I1587),P1587&lt;&gt;"Unresolved unit / layout"),I1587*K1587,"Not applicable")</x:f>
        <x:v>Not applicable</x:v>
      </x:c>
      <x:c r="O1587" s="7" t="s">
        <x:v>1956</x:v>
      </x:c>
      <x:c r="P1587" s="7" t="s">
        <x:v>1921</x:v>
      </x:c>
      <x:c r="Q1587" s="7" t="s">
        <x:v>1930</x:v>
      </x:c>
      <x:c r="R1587" s="7" t="s">
        <x:v>58</x:v>
      </x:c>
      <x:c r="S1587" s="7" t="s">
        <x:v>53</x:v>
      </x:c>
      <x:c r="T1587" s="7" t="s">
        <x:v>53</x:v>
      </x:c>
      <x:c r="U1587" s="7" t="s">
        <x:v>53</x:v>
      </x:c>
      <x:c r="V1587" s="7" t="s">
        <x:v>1971</x:v>
      </x:c>
      <x:c r="W1587" s="7" t="s">
        <x:v>58</x:v>
      </x:c>
      <x:c r="X1587" s="7" t="s">
        <x:v>5029</x:v>
      </x:c>
      <x:c r="Y1587" s="7" t="s">
        <x:v>1398</x:v>
      </x:c>
      <x:c r="Z1587" s="7" t="s">
        <x:v>1972</x:v>
      </x:c>
      <x:c r="AA1587" s="7" t="s">
        <x:v>58</x:v>
      </x:c>
      <x:c r="AB1587" s="8" t="s">
        <x:v>58</x:v>
      </x:c>
      <x:c r="AC1587" s="8" t="s">
        <x:v>58</x:v>
      </x:c>
      <x:c r="AD1587" s="8" t="s">
        <x:v>58</x:v>
      </x:c>
      <x:c r="AE1587" s="8" t="s">
        <x:v>58</x:v>
      </x:c>
      <x:c r="AF1587" s="8" t="s">
        <x:v>58</x:v>
      </x:c>
      <x:c r="AG1587" s="7" t="s">
        <x:v>58</x:v>
      </x:c>
    </x:row>
    <x:row r="1588" ht="66" hidden="0" customHeight="1">
      <x:c r="A1588" s="7" t="s">
        <x:v>5031</x:v>
      </x:c>
      <x:c r="B1588" s="7" t="s">
        <x:v>1031</x:v>
      </x:c>
      <x:c r="C1588" s="7" t="s">
        <x:v>1033</x:v>
      </x:c>
      <x:c r="D1588" s="7" t="s">
        <x:v>1974</x:v>
      </x:c>
      <x:c r="E1588" s="7" t="s">
        <x:v>3872</x:v>
      </x:c>
      <x:c r="F1588" s="7" t="s">
        <x:v>1956</x:v>
      </x:c>
      <x:c r="G1588" s="8" t="n">
        <x:v>223</x:v>
      </x:c>
      <x:c r="H1588" s="8" t="s">
        <x:v>58</x:v>
      </x:c>
      <x:c r="I1588" s="8" t="s">
        <x:v>58</x:v>
      </x:c>
      <x:c r="J1588" s="7" t="s">
        <x:v>1919</x:v>
      </x:c>
      <x:c r="K1588" s="8" t="n">
        <x:v>1</x:v>
      </x:c>
      <x:c r="L1588" s="8" t="n">
        <x:f aca="0">IF(AND(ISNUMBER(G1588),P1588&lt;&gt;"Unresolved unit / layout"),G1588*K1588,"Not applicable")</x:f>
        <x:v>223</x:v>
      </x:c>
      <x:c r="M1588" s="8" t="str">
        <x:f aca="0">IF(AND(ISNUMBER(H1588),P1588&lt;&gt;"Unresolved unit / layout"),H1588*K1588,"Not applicable")</x:f>
        <x:v>Not applicable</x:v>
      </x:c>
      <x:c r="N1588" s="8" t="str">
        <x:f aca="0">IF(AND(ISNUMBER(I1588),P1588&lt;&gt;"Unresolved unit / layout"),I1588*K1588,"Not applicable")</x:f>
        <x:v>Not applicable</x:v>
      </x:c>
      <x:c r="O1588" s="7" t="s">
        <x:v>1956</x:v>
      </x:c>
      <x:c r="P1588" s="7" t="s">
        <x:v>1921</x:v>
      </x:c>
      <x:c r="Q1588" s="7" t="s">
        <x:v>1930</x:v>
      </x:c>
      <x:c r="R1588" s="7" t="s">
        <x:v>58</x:v>
      </x:c>
      <x:c r="S1588" s="7" t="s">
        <x:v>53</x:v>
      </x:c>
      <x:c r="T1588" s="7" t="s">
        <x:v>53</x:v>
      </x:c>
      <x:c r="U1588" s="7" t="s">
        <x:v>53</x:v>
      </x:c>
      <x:c r="V1588" s="7" t="s">
        <x:v>1971</x:v>
      </x:c>
      <x:c r="W1588" s="7" t="s">
        <x:v>58</x:v>
      </x:c>
      <x:c r="X1588" s="7" t="s">
        <x:v>5029</x:v>
      </x:c>
      <x:c r="Y1588" s="7" t="s">
        <x:v>1398</x:v>
      </x:c>
      <x:c r="Z1588" s="7" t="s">
        <x:v>1976</x:v>
      </x:c>
      <x:c r="AA1588" s="7" t="s">
        <x:v>58</x:v>
      </x:c>
      <x:c r="AB1588" s="8" t="s">
        <x:v>58</x:v>
      </x:c>
      <x:c r="AC1588" s="8" t="s">
        <x:v>58</x:v>
      </x:c>
      <x:c r="AD1588" s="8" t="s">
        <x:v>58</x:v>
      </x:c>
      <x:c r="AE1588" s="8" t="s">
        <x:v>58</x:v>
      </x:c>
      <x:c r="AF1588" s="8" t="s">
        <x:v>58</x:v>
      </x:c>
      <x:c r="AG1588" s="7" t="s">
        <x:v>58</x:v>
      </x:c>
    </x:row>
    <x:row r="1589" ht="66" hidden="0" customHeight="1">
      <x:c r="A1589" s="7" t="s">
        <x:v>5032</x:v>
      </x:c>
      <x:c r="B1589" s="7" t="s">
        <x:v>1031</x:v>
      </x:c>
      <x:c r="C1589" s="7" t="s">
        <x:v>1033</x:v>
      </x:c>
      <x:c r="D1589" s="7" t="s">
        <x:v>1978</x:v>
      </x:c>
      <x:c r="E1589" s="7" t="s">
        <x:v>3879</x:v>
      </x:c>
      <x:c r="F1589" s="7" t="s">
        <x:v>1956</x:v>
      </x:c>
      <x:c r="G1589" s="8" t="n">
        <x:v>186</x:v>
      </x:c>
      <x:c r="H1589" s="8" t="s">
        <x:v>58</x:v>
      </x:c>
      <x:c r="I1589" s="8" t="s">
        <x:v>58</x:v>
      </x:c>
      <x:c r="J1589" s="7" t="s">
        <x:v>1919</x:v>
      </x:c>
      <x:c r="K1589" s="8" t="n">
        <x:v>1</x:v>
      </x:c>
      <x:c r="L1589" s="8" t="n">
        <x:f aca="0">IF(AND(ISNUMBER(G1589),P1589&lt;&gt;"Unresolved unit / layout"),G1589*K1589,"Not applicable")</x:f>
        <x:v>186</x:v>
      </x:c>
      <x:c r="M1589" s="8" t="str">
        <x:f aca="0">IF(AND(ISNUMBER(H1589),P1589&lt;&gt;"Unresolved unit / layout"),H1589*K1589,"Not applicable")</x:f>
        <x:v>Not applicable</x:v>
      </x:c>
      <x:c r="N1589" s="8" t="str">
        <x:f aca="0">IF(AND(ISNUMBER(I1589),P1589&lt;&gt;"Unresolved unit / layout"),I1589*K1589,"Not applicable")</x:f>
        <x:v>Not applicable</x:v>
      </x:c>
      <x:c r="O1589" s="7" t="s">
        <x:v>1956</x:v>
      </x:c>
      <x:c r="P1589" s="7" t="s">
        <x:v>1921</x:v>
      </x:c>
      <x:c r="Q1589" s="7" t="s">
        <x:v>1930</x:v>
      </x:c>
      <x:c r="R1589" s="7" t="s">
        <x:v>58</x:v>
      </x:c>
      <x:c r="S1589" s="7" t="s">
        <x:v>53</x:v>
      </x:c>
      <x:c r="T1589" s="7" t="s">
        <x:v>53</x:v>
      </x:c>
      <x:c r="U1589" s="7" t="s">
        <x:v>53</x:v>
      </x:c>
      <x:c r="V1589" s="7" t="s">
        <x:v>1971</x:v>
      </x:c>
      <x:c r="W1589" s="7" t="s">
        <x:v>58</x:v>
      </x:c>
      <x:c r="X1589" s="7" t="s">
        <x:v>5029</x:v>
      </x:c>
      <x:c r="Y1589" s="7" t="s">
        <x:v>1398</x:v>
      </x:c>
      <x:c r="Z1589" s="7" t="s">
        <x:v>1980</x:v>
      </x:c>
      <x:c r="AA1589" s="7" t="s">
        <x:v>58</x:v>
      </x:c>
      <x:c r="AB1589" s="8" t="s">
        <x:v>58</x:v>
      </x:c>
      <x:c r="AC1589" s="8" t="s">
        <x:v>58</x:v>
      </x:c>
      <x:c r="AD1589" s="8" t="s">
        <x:v>58</x:v>
      </x:c>
      <x:c r="AE1589" s="8" t="s">
        <x:v>58</x:v>
      </x:c>
      <x:c r="AF1589" s="8" t="s">
        <x:v>58</x:v>
      </x:c>
      <x:c r="AG1589" s="7" t="s">
        <x:v>58</x:v>
      </x:c>
    </x:row>
    <x:row r="1590" ht="66" hidden="0" customHeight="1">
      <x:c r="A1590" s="7" t="s">
        <x:v>5033</x:v>
      </x:c>
      <x:c r="B1590" s="7" t="s">
        <x:v>1031</x:v>
      </x:c>
      <x:c r="C1590" s="7" t="s">
        <x:v>1033</x:v>
      </x:c>
      <x:c r="D1590" s="7" t="s">
        <x:v>1982</x:v>
      </x:c>
      <x:c r="E1590" s="7" t="s">
        <x:v>5034</x:v>
      </x:c>
      <x:c r="F1590" s="7" t="s">
        <x:v>1956</x:v>
      </x:c>
      <x:c r="G1590" s="8" t="n">
        <x:v>139</x:v>
      </x:c>
      <x:c r="H1590" s="8" t="s">
        <x:v>58</x:v>
      </x:c>
      <x:c r="I1590" s="8" t="s">
        <x:v>58</x:v>
      </x:c>
      <x:c r="J1590" s="7" t="s">
        <x:v>1919</x:v>
      </x:c>
      <x:c r="K1590" s="8" t="n">
        <x:v>1</x:v>
      </x:c>
      <x:c r="L1590" s="8" t="n">
        <x:f aca="0">IF(AND(ISNUMBER(G1590),P1590&lt;&gt;"Unresolved unit / layout"),G1590*K1590,"Not applicable")</x:f>
        <x:v>139</x:v>
      </x:c>
      <x:c r="M1590" s="8" t="str">
        <x:f aca="0">IF(AND(ISNUMBER(H1590),P1590&lt;&gt;"Unresolved unit / layout"),H1590*K1590,"Not applicable")</x:f>
        <x:v>Not applicable</x:v>
      </x:c>
      <x:c r="N1590" s="8" t="str">
        <x:f aca="0">IF(AND(ISNUMBER(I1590),P1590&lt;&gt;"Unresolved unit / layout"),I1590*K1590,"Not applicable")</x:f>
        <x:v>Not applicable</x:v>
      </x:c>
      <x:c r="O1590" s="7" t="s">
        <x:v>1956</x:v>
      </x:c>
      <x:c r="P1590" s="7" t="s">
        <x:v>1921</x:v>
      </x:c>
      <x:c r="Q1590" s="7" t="s">
        <x:v>1930</x:v>
      </x:c>
      <x:c r="R1590" s="7" t="s">
        <x:v>58</x:v>
      </x:c>
      <x:c r="S1590" s="7" t="s">
        <x:v>53</x:v>
      </x:c>
      <x:c r="T1590" s="7" t="s">
        <x:v>53</x:v>
      </x:c>
      <x:c r="U1590" s="7" t="s">
        <x:v>53</x:v>
      </x:c>
      <x:c r="V1590" s="7" t="s">
        <x:v>1984</x:v>
      </x:c>
      <x:c r="W1590" s="7" t="s">
        <x:v>58</x:v>
      </x:c>
      <x:c r="X1590" s="7" t="s">
        <x:v>5029</x:v>
      </x:c>
      <x:c r="Y1590" s="7" t="s">
        <x:v>1398</x:v>
      </x:c>
      <x:c r="Z1590" s="7" t="s">
        <x:v>1985</x:v>
      </x:c>
      <x:c r="AA1590" s="7" t="s">
        <x:v>58</x:v>
      </x:c>
      <x:c r="AB1590" s="8" t="s">
        <x:v>58</x:v>
      </x:c>
      <x:c r="AC1590" s="8" t="s">
        <x:v>58</x:v>
      </x:c>
      <x:c r="AD1590" s="8" t="s">
        <x:v>58</x:v>
      </x:c>
      <x:c r="AE1590" s="8" t="s">
        <x:v>58</x:v>
      </x:c>
      <x:c r="AF1590" s="8" t="s">
        <x:v>58</x:v>
      </x:c>
      <x:c r="AG1590" s="7" t="s">
        <x:v>58</x:v>
      </x:c>
    </x:row>
    <x:row r="1591" ht="66" hidden="0" customHeight="1">
      <x:c r="A1591" s="7" t="s">
        <x:v>5035</x:v>
      </x:c>
      <x:c r="B1591" s="7" t="s">
        <x:v>1031</x:v>
      </x:c>
      <x:c r="C1591" s="7" t="s">
        <x:v>1033</x:v>
      </x:c>
      <x:c r="D1591" s="7" t="s">
        <x:v>1959</x:v>
      </x:c>
      <x:c r="E1591" s="7" t="s">
        <x:v>5036</x:v>
      </x:c>
      <x:c r="F1591" s="7" t="s">
        <x:v>1956</x:v>
      </x:c>
      <x:c r="G1591" s="8" t="n">
        <x:v>90.8</x:v>
      </x:c>
      <x:c r="H1591" s="8" t="s">
        <x:v>58</x:v>
      </x:c>
      <x:c r="I1591" s="8" t="s">
        <x:v>58</x:v>
      </x:c>
      <x:c r="J1591" s="7" t="s">
        <x:v>1919</x:v>
      </x:c>
      <x:c r="K1591" s="8" t="n">
        <x:v>1</x:v>
      </x:c>
      <x:c r="L1591" s="8" t="n">
        <x:f aca="0">IF(AND(ISNUMBER(G1591),P1591&lt;&gt;"Unresolved unit / layout"),G1591*K1591,"Not applicable")</x:f>
        <x:v>90.8</x:v>
      </x:c>
      <x:c r="M1591" s="8" t="str">
        <x:f aca="0">IF(AND(ISNUMBER(H1591),P1591&lt;&gt;"Unresolved unit / layout"),H1591*K1591,"Not applicable")</x:f>
        <x:v>Not applicable</x:v>
      </x:c>
      <x:c r="N1591" s="8" t="str">
        <x:f aca="0">IF(AND(ISNUMBER(I1591),P1591&lt;&gt;"Unresolved unit / layout"),I1591*K1591,"Not applicable")</x:f>
        <x:v>Not applicable</x:v>
      </x:c>
      <x:c r="O1591" s="7" t="s">
        <x:v>1956</x:v>
      </x:c>
      <x:c r="P1591" s="7" t="s">
        <x:v>1921</x:v>
      </x:c>
      <x:c r="Q1591" s="7" t="s">
        <x:v>1930</x:v>
      </x:c>
      <x:c r="R1591" s="7" t="s">
        <x:v>58</x:v>
      </x:c>
      <x:c r="S1591" s="7" t="s">
        <x:v>53</x:v>
      </x:c>
      <x:c r="T1591" s="7" t="s">
        <x:v>53</x:v>
      </x:c>
      <x:c r="U1591" s="7" t="s">
        <x:v>53</x:v>
      </x:c>
      <x:c r="V1591" s="7" t="s">
        <x:v>1988</x:v>
      </x:c>
      <x:c r="W1591" s="7" t="s">
        <x:v>58</x:v>
      </x:c>
      <x:c r="X1591" s="7" t="s">
        <x:v>5029</x:v>
      </x:c>
      <x:c r="Y1591" s="7" t="s">
        <x:v>1398</x:v>
      </x:c>
      <x:c r="Z1591" s="7" t="s">
        <x:v>1989</x:v>
      </x:c>
      <x:c r="AA1591" s="7" t="s">
        <x:v>58</x:v>
      </x:c>
      <x:c r="AB1591" s="8" t="s">
        <x:v>58</x:v>
      </x:c>
      <x:c r="AC1591" s="8" t="s">
        <x:v>58</x:v>
      </x:c>
      <x:c r="AD1591" s="8" t="s">
        <x:v>58</x:v>
      </x:c>
      <x:c r="AE1591" s="8" t="s">
        <x:v>58</x:v>
      </x:c>
      <x:c r="AF1591" s="8" t="s">
        <x:v>58</x:v>
      </x:c>
      <x:c r="AG1591" s="7" t="s">
        <x:v>58</x:v>
      </x:c>
    </x:row>
    <x:row r="1592" ht="66" hidden="0" customHeight="1">
      <x:c r="A1592" s="7" t="s">
        <x:v>1039</x:v>
      </x:c>
      <x:c r="B1592" s="7" t="s">
        <x:v>1031</x:v>
      </x:c>
      <x:c r="C1592" s="7" t="s">
        <x:v>1033</x:v>
      </x:c>
      <x:c r="D1592" s="7" t="s">
        <x:v>1959</x:v>
      </x:c>
      <x:c r="E1592" s="7" t="s">
        <x:v>5037</x:v>
      </x:c>
      <x:c r="F1592" s="7" t="s">
        <x:v>1956</x:v>
      </x:c>
      <x:c r="G1592" s="8" t="n">
        <x:v>107.4</x:v>
      </x:c>
      <x:c r="H1592" s="8" t="s">
        <x:v>58</x:v>
      </x:c>
      <x:c r="I1592" s="8" t="s">
        <x:v>58</x:v>
      </x:c>
      <x:c r="J1592" s="7" t="s">
        <x:v>1919</x:v>
      </x:c>
      <x:c r="K1592" s="8" t="n">
        <x:v>1</x:v>
      </x:c>
      <x:c r="L1592" s="8" t="n">
        <x:f aca="0">IF(AND(ISNUMBER(G1592),P1592&lt;&gt;"Unresolved unit / layout"),G1592*K1592,"Not applicable")</x:f>
        <x:v>107.4</x:v>
      </x:c>
      <x:c r="M1592" s="8" t="str">
        <x:f aca="0">IF(AND(ISNUMBER(H1592),P1592&lt;&gt;"Unresolved unit / layout"),H1592*K1592,"Not applicable")</x:f>
        <x:v>Not applicable</x:v>
      </x:c>
      <x:c r="N1592" s="8" t="str">
        <x:f aca="0">IF(AND(ISNUMBER(I1592),P1592&lt;&gt;"Unresolved unit / layout"),I1592*K1592,"Not applicable")</x:f>
        <x:v>Not applicable</x:v>
      </x:c>
      <x:c r="O1592" s="7" t="s">
        <x:v>1956</x:v>
      </x:c>
      <x:c r="P1592" s="7" t="s">
        <x:v>1921</x:v>
      </x:c>
      <x:c r="Q1592" s="7" t="s">
        <x:v>1930</x:v>
      </x:c>
      <x:c r="R1592" s="7" t="s">
        <x:v>58</x:v>
      </x:c>
      <x:c r="S1592" s="7" t="s">
        <x:v>53</x:v>
      </x:c>
      <x:c r="T1592" s="7" t="s">
        <x:v>53</x:v>
      </x:c>
      <x:c r="U1592" s="7" t="s">
        <x:v>53</x:v>
      </x:c>
      <x:c r="V1592" s="7" t="s">
        <x:v>1992</x:v>
      </x:c>
      <x:c r="W1592" s="7" t="s">
        <x:v>58</x:v>
      </x:c>
      <x:c r="X1592" s="7" t="s">
        <x:v>5029</x:v>
      </x:c>
      <x:c r="Y1592" s="7" t="s">
        <x:v>1398</x:v>
      </x:c>
      <x:c r="Z1592" s="7" t="s">
        <x:v>1989</x:v>
      </x:c>
      <x:c r="AA1592" s="7" t="s">
        <x:v>58</x:v>
      </x:c>
      <x:c r="AB1592" s="8" t="s">
        <x:v>58</x:v>
      </x:c>
      <x:c r="AC1592" s="8" t="s">
        <x:v>58</x:v>
      </x:c>
      <x:c r="AD1592" s="8" t="s">
        <x:v>58</x:v>
      </x:c>
      <x:c r="AE1592" s="8" t="s">
        <x:v>58</x:v>
      </x:c>
      <x:c r="AF1592" s="8" t="s">
        <x:v>58</x:v>
      </x:c>
      <x:c r="AG1592" s="7" t="s">
        <x:v>58</x:v>
      </x:c>
    </x:row>
    <x:row r="1593" ht="66" hidden="0" customHeight="1">
      <x:c r="A1593" s="7" t="s">
        <x:v>5038</x:v>
      </x:c>
      <x:c r="B1593" s="7" t="s">
        <x:v>1031</x:v>
      </x:c>
      <x:c r="C1593" s="7" t="s">
        <x:v>1033</x:v>
      </x:c>
      <x:c r="D1593" s="7" t="s">
        <x:v>1994</x:v>
      </x:c>
      <x:c r="E1593" s="7" t="s">
        <x:v>1995</x:v>
      </x:c>
      <x:c r="F1593" s="7" t="s">
        <x:v>53</x:v>
      </x:c>
      <x:c r="G1593" s="8" t="s">
        <x:v>53</x:v>
      </x:c>
      <x:c r="H1593" s="8" t="s">
        <x:v>58</x:v>
      </x:c>
      <x:c r="I1593" s="8" t="s">
        <x:v>58</x:v>
      </x:c>
      <x:c r="J1593" s="7" t="s">
        <x:v>58</x:v>
      </x:c>
      <x:c r="K1593" s="8" t="n">
        <x:v>1</x:v>
      </x:c>
      <x:c r="L1593" s="8" t="str">
        <x:f aca="0">IF(AND(ISNUMBER(G1593),P1593&lt;&gt;"Unresolved unit / layout"),G1593*K1593,"Not published")</x:f>
        <x:v>Not published</x:v>
      </x:c>
      <x:c r="M1593" s="8" t="str">
        <x:f aca="0">IF(AND(ISNUMBER(H1593),P1593&lt;&gt;"Unresolved unit / layout"),H1593*K1593,"Not applicable")</x:f>
        <x:v>Not applicable</x:v>
      </x:c>
      <x:c r="N1593" s="8" t="str">
        <x:f aca="0">IF(AND(ISNUMBER(I1593),P1593&lt;&gt;"Unresolved unit / layout"),I1593*K1593,"Not applicable")</x:f>
        <x:v>Not applicable</x:v>
      </x:c>
      <x:c r="O1593" s="7" t="s">
        <x:v>53</x:v>
      </x:c>
      <x:c r="P1593" s="7" t="s">
        <x:v>53</x:v>
      </x:c>
      <x:c r="Q1593" s="7" t="s">
        <x:v>1930</x:v>
      </x:c>
      <x:c r="R1593" s="7" t="s">
        <x:v>53</x:v>
      </x:c>
      <x:c r="S1593" s="7" t="s">
        <x:v>53</x:v>
      </x:c>
      <x:c r="T1593" s="7" t="s">
        <x:v>53</x:v>
      </x:c>
      <x:c r="U1593" s="7" t="s">
        <x:v>53</x:v>
      </x:c>
      <x:c r="V1593" s="7" t="s">
        <x:v>1995</x:v>
      </x:c>
      <x:c r="W1593" s="7" t="s">
        <x:v>58</x:v>
      </x:c>
      <x:c r="X1593" s="7" t="s">
        <x:v>5029</x:v>
      </x:c>
      <x:c r="Y1593" s="7" t="s">
        <x:v>1398</x:v>
      </x:c>
      <x:c r="Z1593" s="7" t="s">
        <x:v>1996</x:v>
      </x:c>
      <x:c r="AA1593" s="7" t="s">
        <x:v>58</x:v>
      </x:c>
      <x:c r="AB1593" s="8" t="s">
        <x:v>58</x:v>
      </x:c>
      <x:c r="AC1593" s="8" t="s">
        <x:v>58</x:v>
      </x:c>
      <x:c r="AD1593" s="8" t="s">
        <x:v>58</x:v>
      </x:c>
      <x:c r="AE1593" s="8" t="s">
        <x:v>58</x:v>
      </x:c>
      <x:c r="AF1593" s="8" t="s">
        <x:v>58</x:v>
      </x:c>
      <x:c r="AG1593" s="7" t="s">
        <x:v>58</x:v>
      </x:c>
    </x:row>
    <x:row r="1594" ht="66" hidden="0" customHeight="1">
      <x:c r="A1594" s="7" t="s">
        <x:v>5039</x:v>
      </x:c>
      <x:c r="B1594" s="7" t="s">
        <x:v>1031</x:v>
      </x:c>
      <x:c r="C1594" s="7" t="s">
        <x:v>1033</x:v>
      </x:c>
      <x:c r="D1594" s="7" t="s">
        <x:v>1935</x:v>
      </x:c>
      <x:c r="E1594" s="7" t="s">
        <x:v>5040</x:v>
      </x:c>
      <x:c r="F1594" s="7" t="s">
        <x:v>1929</x:v>
      </x:c>
      <x:c r="G1594" s="8" t="n">
        <x:v>1849</x:v>
      </x:c>
      <x:c r="H1594" s="8" t="n">
        <x:v>103</x:v>
      </x:c>
      <x:c r="I1594" s="8" t="s">
        <x:v>58</x:v>
      </x:c>
      <x:c r="J1594" s="7" t="s">
        <x:v>1919</x:v>
      </x:c>
      <x:c r="K1594" s="8" t="n">
        <x:v>0.001</x:v>
      </x:c>
      <x:c r="L1594" s="8" t="n">
        <x:f aca="0">IF(AND(ISNUMBER(G1594),P1594&lt;&gt;"Unresolved unit / layout"),G1594*K1594,"Not applicable")</x:f>
        <x:v>1.849</x:v>
      </x:c>
      <x:c r="M1594" s="8" t="n">
        <x:f aca="0">IF(AND(ISNUMBER(H1594),P1594&lt;&gt;"Unresolved unit / layout"),H1594*K1594,"Not applicable")</x:f>
        <x:v>0.10300000000000001</x:v>
      </x:c>
      <x:c r="N1594" s="8" t="str">
        <x:f aca="0">IF(AND(ISNUMBER(I1594),P1594&lt;&gt;"Unresolved unit / layout"),I1594*K1594,"Not applicable")</x:f>
        <x:v>Not applicable</x:v>
      </x:c>
      <x:c r="O1594" s="7" t="s">
        <x:v>1937</x:v>
      </x:c>
      <x:c r="P1594" s="7" t="s">
        <x:v>1921</x:v>
      </x:c>
      <x:c r="Q1594" s="7" t="s">
        <x:v>1930</x:v>
      </x:c>
      <x:c r="R1594" s="7" t="s">
        <x:v>1931</x:v>
      </x:c>
      <x:c r="S1594" s="7" t="s">
        <x:v>53</x:v>
      </x:c>
      <x:c r="T1594" s="7" t="s">
        <x:v>53</x:v>
      </x:c>
      <x:c r="U1594" s="7" t="s">
        <x:v>53</x:v>
      </x:c>
      <x:c r="V1594" s="7" t="s">
        <x:v>1999</x:v>
      </x:c>
      <x:c r="W1594" s="7" t="s">
        <x:v>58</x:v>
      </x:c>
      <x:c r="X1594" s="7" t="s">
        <x:v>5029</x:v>
      </x:c>
      <x:c r="Y1594" s="7" t="s">
        <x:v>1398</x:v>
      </x:c>
      <x:c r="Z1594" s="7" t="s">
        <x:v>2784</x:v>
      </x:c>
      <x:c r="AA1594" s="7" t="s">
        <x:v>58</x:v>
      </x:c>
      <x:c r="AB1594" s="8" t="s">
        <x:v>58</x:v>
      </x:c>
      <x:c r="AC1594" s="8" t="s">
        <x:v>58</x:v>
      </x:c>
      <x:c r="AD1594" s="8" t="s">
        <x:v>58</x:v>
      </x:c>
      <x:c r="AE1594" s="8" t="s">
        <x:v>58</x:v>
      </x:c>
      <x:c r="AF1594" s="8" t="s">
        <x:v>58</x:v>
      </x:c>
      <x:c r="AG1594" s="7" t="s">
        <x:v>58</x:v>
      </x:c>
    </x:row>
    <x:row r="1595" ht="66" hidden="0" customHeight="1">
      <x:c r="A1595" s="7" t="s">
        <x:v>5041</x:v>
      </x:c>
      <x:c r="B1595" s="7" t="s">
        <x:v>1031</x:v>
      </x:c>
      <x:c r="C1595" s="7" t="s">
        <x:v>1033</x:v>
      </x:c>
      <x:c r="D1595" s="7" t="s">
        <x:v>1935</x:v>
      </x:c>
      <x:c r="E1595" s="7" t="s">
        <x:v>5042</x:v>
      </x:c>
      <x:c r="F1595" s="7" t="s">
        <x:v>1929</x:v>
      </x:c>
      <x:c r="G1595" s="8" t="n">
        <x:v>1659</x:v>
      </x:c>
      <x:c r="H1595" s="8" t="n">
        <x:v>66</x:v>
      </x:c>
      <x:c r="I1595" s="8" t="s">
        <x:v>58</x:v>
      </x:c>
      <x:c r="J1595" s="7" t="s">
        <x:v>1919</x:v>
      </x:c>
      <x:c r="K1595" s="8" t="n">
        <x:v>0.001</x:v>
      </x:c>
      <x:c r="L1595" s="8" t="n">
        <x:f aca="0">IF(AND(ISNUMBER(G1595),P1595&lt;&gt;"Unresolved unit / layout"),G1595*K1595,"Not applicable")</x:f>
        <x:v>1.659</x:v>
      </x:c>
      <x:c r="M1595" s="8" t="n">
        <x:f aca="0">IF(AND(ISNUMBER(H1595),P1595&lt;&gt;"Unresolved unit / layout"),H1595*K1595,"Not applicable")</x:f>
        <x:v>0.066</x:v>
      </x:c>
      <x:c r="N1595" s="8" t="str">
        <x:f aca="0">IF(AND(ISNUMBER(I1595),P1595&lt;&gt;"Unresolved unit / layout"),I1595*K1595,"Not applicable")</x:f>
        <x:v>Not applicable</x:v>
      </x:c>
      <x:c r="O1595" s="7" t="s">
        <x:v>1937</x:v>
      </x:c>
      <x:c r="P1595" s="7" t="s">
        <x:v>1921</x:v>
      </x:c>
      <x:c r="Q1595" s="7" t="s">
        <x:v>1930</x:v>
      </x:c>
      <x:c r="R1595" s="7" t="s">
        <x:v>2003</x:v>
      </x:c>
      <x:c r="S1595" s="7" t="s">
        <x:v>53</x:v>
      </x:c>
      <x:c r="T1595" s="7" t="s">
        <x:v>53</x:v>
      </x:c>
      <x:c r="U1595" s="7" t="s">
        <x:v>53</x:v>
      </x:c>
      <x:c r="V1595" s="7" t="s">
        <x:v>1999</x:v>
      </x:c>
      <x:c r="W1595" s="7" t="s">
        <x:v>58</x:v>
      </x:c>
      <x:c r="X1595" s="7" t="s">
        <x:v>5029</x:v>
      </x:c>
      <x:c r="Y1595" s="7" t="s">
        <x:v>1398</x:v>
      </x:c>
      <x:c r="Z1595" s="7" t="s">
        <x:v>2787</x:v>
      </x:c>
      <x:c r="AA1595" s="7" t="s">
        <x:v>58</x:v>
      </x:c>
      <x:c r="AB1595" s="8" t="s">
        <x:v>58</x:v>
      </x:c>
      <x:c r="AC1595" s="8" t="s">
        <x:v>58</x:v>
      </x:c>
      <x:c r="AD1595" s="8" t="s">
        <x:v>58</x:v>
      </x:c>
      <x:c r="AE1595" s="8" t="s">
        <x:v>58</x:v>
      </x:c>
      <x:c r="AF1595" s="8" t="s">
        <x:v>58</x:v>
      </x:c>
      <x:c r="AG1595" s="7" t="s">
        <x:v>58</x:v>
      </x:c>
    </x:row>
    <x:row r="1596" ht="66" hidden="0" customHeight="1">
      <x:c r="A1596" s="7" t="s">
        <x:v>5043</x:v>
      </x:c>
      <x:c r="B1596" s="7" t="s">
        <x:v>1031</x:v>
      </x:c>
      <x:c r="C1596" s="7" t="s">
        <x:v>1033</x:v>
      </x:c>
      <x:c r="D1596" s="7" t="s">
        <x:v>2006</x:v>
      </x:c>
      <x:c r="E1596" s="7" t="s">
        <x:v>5044</x:v>
      </x:c>
      <x:c r="F1596" s="7" t="s">
        <x:v>1929</x:v>
      </x:c>
      <x:c r="G1596" s="8" t="n">
        <x:v>43.2</x:v>
      </x:c>
      <x:c r="H1596" s="8" t="n">
        <x:v>0.5</x:v>
      </x:c>
      <x:c r="I1596" s="8" t="s">
        <x:v>58</x:v>
      </x:c>
      <x:c r="J1596" s="7" t="s">
        <x:v>1919</x:v>
      </x:c>
      <x:c r="K1596" s="8" t="n">
        <x:v>1</x:v>
      </x:c>
      <x:c r="L1596" s="8" t="n">
        <x:f aca="0">IF(AND(ISNUMBER(G1596),P1596&lt;&gt;"Unresolved unit / layout"),G1596*K1596,"Not applicable")</x:f>
        <x:v>43.2</x:v>
      </x:c>
      <x:c r="M1596" s="8" t="n">
        <x:f aca="0">IF(AND(ISNUMBER(H1596),P1596&lt;&gt;"Unresolved unit / layout"),H1596*K1596,"Not applicable")</x:f>
        <x:v>0.5</x:v>
      </x:c>
      <x:c r="N1596" s="8" t="str">
        <x:f aca="0">IF(AND(ISNUMBER(I1596),P1596&lt;&gt;"Unresolved unit / layout"),I1596*K1596,"Not applicable")</x:f>
        <x:v>Not applicable</x:v>
      </x:c>
      <x:c r="O1596" s="7" t="s">
        <x:v>1929</x:v>
      </x:c>
      <x:c r="P1596" s="7" t="s">
        <x:v>1921</x:v>
      </x:c>
      <x:c r="Q1596" s="7" t="s">
        <x:v>1930</x:v>
      </x:c>
      <x:c r="R1596" s="7" t="s">
        <x:v>1931</x:v>
      </x:c>
      <x:c r="S1596" s="7" t="s">
        <x:v>53</x:v>
      </x:c>
      <x:c r="T1596" s="7" t="s">
        <x:v>53</x:v>
      </x:c>
      <x:c r="U1596" s="7" t="s">
        <x:v>53</x:v>
      </x:c>
      <x:c r="V1596" s="7" t="s">
        <x:v>1999</x:v>
      </x:c>
      <x:c r="W1596" s="7" t="s">
        <x:v>58</x:v>
      </x:c>
      <x:c r="X1596" s="7" t="s">
        <x:v>5029</x:v>
      </x:c>
      <x:c r="Y1596" s="7" t="s">
        <x:v>1398</x:v>
      </x:c>
      <x:c r="Z1596" s="7" t="s">
        <x:v>2684</x:v>
      </x:c>
      <x:c r="AA1596" s="7" t="s">
        <x:v>58</x:v>
      </x:c>
      <x:c r="AB1596" s="8" t="s">
        <x:v>58</x:v>
      </x:c>
      <x:c r="AC1596" s="8" t="s">
        <x:v>58</x:v>
      </x:c>
      <x:c r="AD1596" s="8" t="s">
        <x:v>58</x:v>
      </x:c>
      <x:c r="AE1596" s="8" t="s">
        <x:v>58</x:v>
      </x:c>
      <x:c r="AF1596" s="8" t="s">
        <x:v>58</x:v>
      </x:c>
      <x:c r="AG1596" s="7" t="s">
        <x:v>58</x:v>
      </x:c>
    </x:row>
    <x:row r="1597" ht="66" hidden="0" customHeight="1">
      <x:c r="A1597" s="7" t="s">
        <x:v>5045</x:v>
      </x:c>
      <x:c r="B1597" s="7" t="s">
        <x:v>1031</x:v>
      </x:c>
      <x:c r="C1597" s="7" t="s">
        <x:v>1033</x:v>
      </x:c>
      <x:c r="D1597" s="7" t="s">
        <x:v>2006</x:v>
      </x:c>
      <x:c r="E1597" s="7" t="s">
        <x:v>5046</x:v>
      </x:c>
      <x:c r="F1597" s="7" t="s">
        <x:v>1929</x:v>
      </x:c>
      <x:c r="G1597" s="8" t="n">
        <x:v>28.6</x:v>
      </x:c>
      <x:c r="H1597" s="8" t="n">
        <x:v>0.4</x:v>
      </x:c>
      <x:c r="I1597" s="8" t="s">
        <x:v>58</x:v>
      </x:c>
      <x:c r="J1597" s="7" t="s">
        <x:v>1919</x:v>
      </x:c>
      <x:c r="K1597" s="8" t="n">
        <x:v>1</x:v>
      </x:c>
      <x:c r="L1597" s="8" t="n">
        <x:f aca="0">IF(AND(ISNUMBER(G1597),P1597&lt;&gt;"Unresolved unit / layout"),G1597*K1597,"Not applicable")</x:f>
        <x:v>28.6</x:v>
      </x:c>
      <x:c r="M1597" s="8" t="n">
        <x:f aca="0">IF(AND(ISNUMBER(H1597),P1597&lt;&gt;"Unresolved unit / layout"),H1597*K1597,"Not applicable")</x:f>
        <x:v>0.4</x:v>
      </x:c>
      <x:c r="N1597" s="8" t="str">
        <x:f aca="0">IF(AND(ISNUMBER(I1597),P1597&lt;&gt;"Unresolved unit / layout"),I1597*K1597,"Not applicable")</x:f>
        <x:v>Not applicable</x:v>
      </x:c>
      <x:c r="O1597" s="7" t="s">
        <x:v>1929</x:v>
      </x:c>
      <x:c r="P1597" s="7" t="s">
        <x:v>1921</x:v>
      </x:c>
      <x:c r="Q1597" s="7" t="s">
        <x:v>1930</x:v>
      </x:c>
      <x:c r="R1597" s="7" t="s">
        <x:v>2003</x:v>
      </x:c>
      <x:c r="S1597" s="7" t="s">
        <x:v>53</x:v>
      </x:c>
      <x:c r="T1597" s="7" t="s">
        <x:v>53</x:v>
      </x:c>
      <x:c r="U1597" s="7" t="s">
        <x:v>53</x:v>
      </x:c>
      <x:c r="V1597" s="7" t="s">
        <x:v>1999</x:v>
      </x:c>
      <x:c r="W1597" s="7" t="s">
        <x:v>58</x:v>
      </x:c>
      <x:c r="X1597" s="7" t="s">
        <x:v>5029</x:v>
      </x:c>
      <x:c r="Y1597" s="7" t="s">
        <x:v>1398</x:v>
      </x:c>
      <x:c r="Z1597" s="7" t="s">
        <x:v>2687</x:v>
      </x:c>
      <x:c r="AA1597" s="7" t="s">
        <x:v>58</x:v>
      </x:c>
      <x:c r="AB1597" s="8" t="s">
        <x:v>58</x:v>
      </x:c>
      <x:c r="AC1597" s="8" t="s">
        <x:v>58</x:v>
      </x:c>
      <x:c r="AD1597" s="8" t="s">
        <x:v>58</x:v>
      </x:c>
      <x:c r="AE1597" s="8" t="s">
        <x:v>58</x:v>
      </x:c>
      <x:c r="AF1597" s="8" t="s">
        <x:v>58</x:v>
      </x:c>
      <x:c r="AG1597" s="7" t="s">
        <x:v>58</x:v>
      </x:c>
    </x:row>
    <x:row r="1598" ht="66" hidden="0" customHeight="1">
      <x:c r="A1598" s="7" t="s">
        <x:v>5047</x:v>
      </x:c>
      <x:c r="B1598" s="7" t="s">
        <x:v>1031</x:v>
      </x:c>
      <x:c r="C1598" s="7" t="s">
        <x:v>1033</x:v>
      </x:c>
      <x:c r="D1598" s="7" t="s">
        <x:v>1940</x:v>
      </x:c>
      <x:c r="E1598" s="7" t="s">
        <x:v>5048</x:v>
      </x:c>
      <x:c r="F1598" s="7" t="s">
        <x:v>1942</x:v>
      </x:c>
      <x:c r="G1598" s="8" t="n">
        <x:v>4.6</x:v>
      </x:c>
      <x:c r="H1598" s="8" t="n">
        <x:v>0.7</x:v>
      </x:c>
      <x:c r="I1598" s="8" t="s">
        <x:v>58</x:v>
      </x:c>
      <x:c r="J1598" s="7" t="s">
        <x:v>1919</x:v>
      </x:c>
      <x:c r="K1598" s="8" t="n">
        <x:v>1</x:v>
      </x:c>
      <x:c r="L1598" s="8" t="n">
        <x:f aca="0">IF(AND(ISNUMBER(G1598),P1598&lt;&gt;"Unresolved unit / layout"),G1598*K1598,"Not applicable")</x:f>
        <x:v>4.6</x:v>
      </x:c>
      <x:c r="M1598" s="8" t="n">
        <x:f aca="0">IF(AND(ISNUMBER(H1598),P1598&lt;&gt;"Unresolved unit / layout"),H1598*K1598,"Not applicable")</x:f>
        <x:v>0.7</x:v>
      </x:c>
      <x:c r="N1598" s="8" t="str">
        <x:f aca="0">IF(AND(ISNUMBER(I1598),P1598&lt;&gt;"Unresolved unit / layout"),I1598*K1598,"Not applicable")</x:f>
        <x:v>Not applicable</x:v>
      </x:c>
      <x:c r="O1598" s="7" t="s">
        <x:v>1942</x:v>
      </x:c>
      <x:c r="P1598" s="7" t="s">
        <x:v>1921</x:v>
      </x:c>
      <x:c r="Q1598" s="7" t="s">
        <x:v>1930</x:v>
      </x:c>
      <x:c r="R1598" s="7" t="s">
        <x:v>1931</x:v>
      </x:c>
      <x:c r="S1598" s="7" t="s">
        <x:v>53</x:v>
      </x:c>
      <x:c r="T1598" s="7" t="s">
        <x:v>53</x:v>
      </x:c>
      <x:c r="U1598" s="7" t="s">
        <x:v>53</x:v>
      </x:c>
      <x:c r="V1598" s="7" t="s">
        <x:v>1999</x:v>
      </x:c>
      <x:c r="W1598" s="7" t="s">
        <x:v>58</x:v>
      </x:c>
      <x:c r="X1598" s="7" t="s">
        <x:v>5029</x:v>
      </x:c>
      <x:c r="Y1598" s="7" t="s">
        <x:v>1398</x:v>
      </x:c>
      <x:c r="Z1598" s="7" t="s">
        <x:v>2690</x:v>
      </x:c>
      <x:c r="AA1598" s="7" t="s">
        <x:v>58</x:v>
      </x:c>
      <x:c r="AB1598" s="8" t="s">
        <x:v>58</x:v>
      </x:c>
      <x:c r="AC1598" s="8" t="s">
        <x:v>58</x:v>
      </x:c>
      <x:c r="AD1598" s="8" t="s">
        <x:v>58</x:v>
      </x:c>
      <x:c r="AE1598" s="8" t="s">
        <x:v>58</x:v>
      </x:c>
      <x:c r="AF1598" s="8" t="s">
        <x:v>58</x:v>
      </x:c>
      <x:c r="AG1598" s="7" t="s">
        <x:v>58</x:v>
      </x:c>
    </x:row>
    <x:row r="1599" ht="66" hidden="0" customHeight="1">
      <x:c r="A1599" s="7" t="s">
        <x:v>5049</x:v>
      </x:c>
      <x:c r="B1599" s="7" t="s">
        <x:v>1031</x:v>
      </x:c>
      <x:c r="C1599" s="7" t="s">
        <x:v>1033</x:v>
      </x:c>
      <x:c r="D1599" s="7" t="s">
        <x:v>1940</x:v>
      </x:c>
      <x:c r="E1599" s="7" t="s">
        <x:v>5050</x:v>
      </x:c>
      <x:c r="F1599" s="7" t="s">
        <x:v>1942</x:v>
      </x:c>
      <x:c r="G1599" s="8" t="n">
        <x:v>1.8</x:v>
      </x:c>
      <x:c r="H1599" s="8" t="n">
        <x:v>0.3</x:v>
      </x:c>
      <x:c r="I1599" s="8" t="s">
        <x:v>58</x:v>
      </x:c>
      <x:c r="J1599" s="7" t="s">
        <x:v>1919</x:v>
      </x:c>
      <x:c r="K1599" s="8" t="n">
        <x:v>1</x:v>
      </x:c>
      <x:c r="L1599" s="8" t="n">
        <x:f aca="0">IF(AND(ISNUMBER(G1599),P1599&lt;&gt;"Unresolved unit / layout"),G1599*K1599,"Not applicable")</x:f>
        <x:v>1.8</x:v>
      </x:c>
      <x:c r="M1599" s="8" t="n">
        <x:f aca="0">IF(AND(ISNUMBER(H1599),P1599&lt;&gt;"Unresolved unit / layout"),H1599*K1599,"Not applicable")</x:f>
        <x:v>0.3</x:v>
      </x:c>
      <x:c r="N1599" s="8" t="str">
        <x:f aca="0">IF(AND(ISNUMBER(I1599),P1599&lt;&gt;"Unresolved unit / layout"),I1599*K1599,"Not applicable")</x:f>
        <x:v>Not applicable</x:v>
      </x:c>
      <x:c r="O1599" s="7" t="s">
        <x:v>1942</x:v>
      </x:c>
      <x:c r="P1599" s="7" t="s">
        <x:v>1921</x:v>
      </x:c>
      <x:c r="Q1599" s="7" t="s">
        <x:v>1930</x:v>
      </x:c>
      <x:c r="R1599" s="7" t="s">
        <x:v>2003</x:v>
      </x:c>
      <x:c r="S1599" s="7" t="s">
        <x:v>53</x:v>
      </x:c>
      <x:c r="T1599" s="7" t="s">
        <x:v>53</x:v>
      </x:c>
      <x:c r="U1599" s="7" t="s">
        <x:v>53</x:v>
      </x:c>
      <x:c r="V1599" s="7" t="s">
        <x:v>1999</x:v>
      </x:c>
      <x:c r="W1599" s="7" t="s">
        <x:v>58</x:v>
      </x:c>
      <x:c r="X1599" s="7" t="s">
        <x:v>5029</x:v>
      </x:c>
      <x:c r="Y1599" s="7" t="s">
        <x:v>1398</x:v>
      </x:c>
      <x:c r="Z1599" s="7" t="s">
        <x:v>2693</x:v>
      </x:c>
      <x:c r="AA1599" s="7" t="s">
        <x:v>58</x:v>
      </x:c>
      <x:c r="AB1599" s="8" t="s">
        <x:v>58</x:v>
      </x:c>
      <x:c r="AC1599" s="8" t="s">
        <x:v>58</x:v>
      </x:c>
      <x:c r="AD1599" s="8" t="s">
        <x:v>58</x:v>
      </x:c>
      <x:c r="AE1599" s="8" t="s">
        <x:v>58</x:v>
      </x:c>
      <x:c r="AF1599" s="8" t="s">
        <x:v>58</x:v>
      </x:c>
      <x:c r="AG1599" s="7" t="s">
        <x:v>58</x:v>
      </x:c>
    </x:row>
    <x:row r="1600" ht="66" hidden="0" customHeight="1">
      <x:c r="A1600" s="7" t="s">
        <x:v>5051</x:v>
      </x:c>
      <x:c r="B1600" s="7" t="s">
        <x:v>1031</x:v>
      </x:c>
      <x:c r="C1600" s="7" t="s">
        <x:v>1033</x:v>
      </x:c>
      <x:c r="D1600" s="7" t="s">
        <x:v>1950</x:v>
      </x:c>
      <x:c r="E1600" s="7" t="s">
        <x:v>5052</x:v>
      </x:c>
      <x:c r="F1600" s="7" t="s">
        <x:v>1929</x:v>
      </x:c>
      <x:c r="G1600" s="8" t="n">
        <x:v>1933</x:v>
      </x:c>
      <x:c r="H1600" s="8" t="n">
        <x:v>83</x:v>
      </x:c>
      <x:c r="I1600" s="8" t="s">
        <x:v>58</x:v>
      </x:c>
      <x:c r="J1600" s="7" t="s">
        <x:v>1919</x:v>
      </x:c>
      <x:c r="K1600" s="8" t="n">
        <x:v>0.001</x:v>
      </x:c>
      <x:c r="L1600" s="8" t="n">
        <x:f aca="0">IF(AND(ISNUMBER(G1600),P1600&lt;&gt;"Unresolved unit / layout"),G1600*K1600,"Not applicable")</x:f>
        <x:v>1.933</x:v>
      </x:c>
      <x:c r="M1600" s="8" t="n">
        <x:f aca="0">IF(AND(ISNUMBER(H1600),P1600&lt;&gt;"Unresolved unit / layout"),H1600*K1600,"Not applicable")</x:f>
        <x:v>0.083</x:v>
      </x:c>
      <x:c r="N1600" s="8" t="str">
        <x:f aca="0">IF(AND(ISNUMBER(I1600),P1600&lt;&gt;"Unresolved unit / layout"),I1600*K1600,"Not applicable")</x:f>
        <x:v>Not applicable</x:v>
      </x:c>
      <x:c r="O1600" s="7" t="s">
        <x:v>1937</x:v>
      </x:c>
      <x:c r="P1600" s="7" t="s">
        <x:v>1921</x:v>
      </x:c>
      <x:c r="Q1600" s="7" t="s">
        <x:v>1930</x:v>
      </x:c>
      <x:c r="R1600" s="7" t="s">
        <x:v>1931</x:v>
      </x:c>
      <x:c r="S1600" s="7" t="s">
        <x:v>53</x:v>
      </x:c>
      <x:c r="T1600" s="7" t="s">
        <x:v>53</x:v>
      </x:c>
      <x:c r="U1600" s="7" t="s">
        <x:v>53</x:v>
      </x:c>
      <x:c r="V1600" s="7" t="s">
        <x:v>2020</x:v>
      </x:c>
      <x:c r="W1600" s="7" t="s">
        <x:v>58</x:v>
      </x:c>
      <x:c r="X1600" s="7" t="s">
        <x:v>5029</x:v>
      </x:c>
      <x:c r="Y1600" s="7" t="s">
        <x:v>1398</x:v>
      </x:c>
      <x:c r="Z1600" s="7" t="s">
        <x:v>2696</x:v>
      </x:c>
      <x:c r="AA1600" s="7" t="s">
        <x:v>58</x:v>
      </x:c>
      <x:c r="AB1600" s="8" t="s">
        <x:v>58</x:v>
      </x:c>
      <x:c r="AC1600" s="8" t="s">
        <x:v>58</x:v>
      </x:c>
      <x:c r="AD1600" s="8" t="s">
        <x:v>58</x:v>
      </x:c>
      <x:c r="AE1600" s="8" t="s">
        <x:v>58</x:v>
      </x:c>
      <x:c r="AF1600" s="8" t="s">
        <x:v>58</x:v>
      </x:c>
      <x:c r="AG1600" s="7" t="s">
        <x:v>58</x:v>
      </x:c>
    </x:row>
    <x:row r="1601" ht="66" hidden="0" customHeight="1">
      <x:c r="A1601" s="7" t="s">
        <x:v>5053</x:v>
      </x:c>
      <x:c r="B1601" s="7" t="s">
        <x:v>1031</x:v>
      </x:c>
      <x:c r="C1601" s="7" t="s">
        <x:v>1033</x:v>
      </x:c>
      <x:c r="D1601" s="7" t="s">
        <x:v>1950</x:v>
      </x:c>
      <x:c r="E1601" s="7" t="s">
        <x:v>1995</x:v>
      </x:c>
      <x:c r="F1601" s="7" t="s">
        <x:v>53</x:v>
      </x:c>
      <x:c r="G1601" s="8" t="s">
        <x:v>53</x:v>
      </x:c>
      <x:c r="H1601" s="8" t="s">
        <x:v>58</x:v>
      </x:c>
      <x:c r="I1601" s="8" t="s">
        <x:v>58</x:v>
      </x:c>
      <x:c r="J1601" s="7" t="s">
        <x:v>58</x:v>
      </x:c>
      <x:c r="K1601" s="8" t="n">
        <x:v>1</x:v>
      </x:c>
      <x:c r="L1601" s="8" t="str">
        <x:f aca="0">IF(AND(ISNUMBER(G1601),P1601&lt;&gt;"Unresolved unit / layout"),G1601*K1601,"Not published")</x:f>
        <x:v>Not published</x:v>
      </x:c>
      <x:c r="M1601" s="8" t="str">
        <x:f aca="0">IF(AND(ISNUMBER(H1601),P1601&lt;&gt;"Unresolved unit / layout"),H1601*K1601,"Not applicable")</x:f>
        <x:v>Not applicable</x:v>
      </x:c>
      <x:c r="N1601" s="8" t="str">
        <x:f aca="0">IF(AND(ISNUMBER(I1601),P1601&lt;&gt;"Unresolved unit / layout"),I1601*K1601,"Not applicable")</x:f>
        <x:v>Not applicable</x:v>
      </x:c>
      <x:c r="O1601" s="7" t="s">
        <x:v>53</x:v>
      </x:c>
      <x:c r="P1601" s="7" t="s">
        <x:v>53</x:v>
      </x:c>
      <x:c r="Q1601" s="7" t="s">
        <x:v>1930</x:v>
      </x:c>
      <x:c r="R1601" s="7" t="s">
        <x:v>2003</x:v>
      </x:c>
      <x:c r="S1601" s="7" t="s">
        <x:v>53</x:v>
      </x:c>
      <x:c r="T1601" s="7" t="s">
        <x:v>53</x:v>
      </x:c>
      <x:c r="U1601" s="7" t="s">
        <x:v>53</x:v>
      </x:c>
      <x:c r="V1601" s="7" t="s">
        <x:v>2020</x:v>
      </x:c>
      <x:c r="W1601" s="7" t="s">
        <x:v>58</x:v>
      </x:c>
      <x:c r="X1601" s="7" t="s">
        <x:v>5029</x:v>
      </x:c>
      <x:c r="Y1601" s="7" t="s">
        <x:v>1398</x:v>
      </x:c>
      <x:c r="Z1601" s="7" t="s">
        <x:v>2699</x:v>
      </x:c>
      <x:c r="AA1601" s="7" t="s">
        <x:v>58</x:v>
      </x:c>
      <x:c r="AB1601" s="8" t="s">
        <x:v>58</x:v>
      </x:c>
      <x:c r="AC1601" s="8" t="s">
        <x:v>58</x:v>
      </x:c>
      <x:c r="AD1601" s="8" t="s">
        <x:v>58</x:v>
      </x:c>
      <x:c r="AE1601" s="8" t="s">
        <x:v>58</x:v>
      </x:c>
      <x:c r="AF1601" s="8" t="s">
        <x:v>58</x:v>
      </x:c>
      <x:c r="AG1601" s="7" t="s">
        <x:v>58</x:v>
      </x:c>
    </x:row>
    <x:row r="1602" ht="66" hidden="0" customHeight="1">
      <x:c r="A1602" s="7" t="s">
        <x:v>5054</x:v>
      </x:c>
      <x:c r="B1602" s="7" t="s">
        <x:v>1031</x:v>
      </x:c>
      <x:c r="C1602" s="7" t="s">
        <x:v>1033</x:v>
      </x:c>
      <x:c r="D1602" s="7" t="s">
        <x:v>1945</x:v>
      </x:c>
      <x:c r="E1602" s="7" t="s">
        <x:v>5055</x:v>
      </x:c>
      <x:c r="F1602" s="7" t="s">
        <x:v>1929</x:v>
      </x:c>
      <x:c r="G1602" s="8" t="n">
        <x:v>66.4</x:v>
      </x:c>
      <x:c r="H1602" s="8" t="n">
        <x:v>0.3</x:v>
      </x:c>
      <x:c r="I1602" s="8" t="s">
        <x:v>58</x:v>
      </x:c>
      <x:c r="J1602" s="7" t="s">
        <x:v>1919</x:v>
      </x:c>
      <x:c r="K1602" s="8" t="n">
        <x:v>1</x:v>
      </x:c>
      <x:c r="L1602" s="8" t="n">
        <x:f aca="0">IF(AND(ISNUMBER(G1602),P1602&lt;&gt;"Unresolved unit / layout"),G1602*K1602,"Not applicable")</x:f>
        <x:v>66.4</x:v>
      </x:c>
      <x:c r="M1602" s="8" t="n">
        <x:f aca="0">IF(AND(ISNUMBER(H1602),P1602&lt;&gt;"Unresolved unit / layout"),H1602*K1602,"Not applicable")</x:f>
        <x:v>0.3</x:v>
      </x:c>
      <x:c r="N1602" s="8" t="str">
        <x:f aca="0">IF(AND(ISNUMBER(I1602),P1602&lt;&gt;"Unresolved unit / layout"),I1602*K1602,"Not applicable")</x:f>
        <x:v>Not applicable</x:v>
      </x:c>
      <x:c r="O1602" s="7" t="s">
        <x:v>1929</x:v>
      </x:c>
      <x:c r="P1602" s="7" t="s">
        <x:v>1921</x:v>
      </x:c>
      <x:c r="Q1602" s="7" t="s">
        <x:v>1930</x:v>
      </x:c>
      <x:c r="R1602" s="7" t="s">
        <x:v>1931</x:v>
      </x:c>
      <x:c r="S1602" s="7" t="s">
        <x:v>53</x:v>
      </x:c>
      <x:c r="T1602" s="7" t="s">
        <x:v>53</x:v>
      </x:c>
      <x:c r="U1602" s="7" t="s">
        <x:v>53</x:v>
      </x:c>
      <x:c r="V1602" s="7" t="s">
        <x:v>2020</x:v>
      </x:c>
      <x:c r="W1602" s="7" t="s">
        <x:v>58</x:v>
      </x:c>
      <x:c r="X1602" s="7" t="s">
        <x:v>5029</x:v>
      </x:c>
      <x:c r="Y1602" s="7" t="s">
        <x:v>1398</x:v>
      </x:c>
      <x:c r="Z1602" s="7" t="s">
        <x:v>2702</x:v>
      </x:c>
      <x:c r="AA1602" s="7" t="s">
        <x:v>58</x:v>
      </x:c>
      <x:c r="AB1602" s="8" t="s">
        <x:v>58</x:v>
      </x:c>
      <x:c r="AC1602" s="8" t="s">
        <x:v>58</x:v>
      </x:c>
      <x:c r="AD1602" s="8" t="s">
        <x:v>58</x:v>
      </x:c>
      <x:c r="AE1602" s="8" t="s">
        <x:v>58</x:v>
      </x:c>
      <x:c r="AF1602" s="8" t="s">
        <x:v>58</x:v>
      </x:c>
      <x:c r="AG1602" s="7" t="s">
        <x:v>58</x:v>
      </x:c>
    </x:row>
    <x:row r="1603" ht="66" hidden="0" customHeight="1">
      <x:c r="A1603" s="7" t="s">
        <x:v>5056</x:v>
      </x:c>
      <x:c r="B1603" s="7" t="s">
        <x:v>1031</x:v>
      </x:c>
      <x:c r="C1603" s="7" t="s">
        <x:v>1033</x:v>
      </x:c>
      <x:c r="D1603" s="7" t="s">
        <x:v>1945</x:v>
      </x:c>
      <x:c r="E1603" s="7" t="s">
        <x:v>1995</x:v>
      </x:c>
      <x:c r="F1603" s="7" t="s">
        <x:v>53</x:v>
      </x:c>
      <x:c r="G1603" s="8" t="s">
        <x:v>53</x:v>
      </x:c>
      <x:c r="H1603" s="8" t="s">
        <x:v>58</x:v>
      </x:c>
      <x:c r="I1603" s="8" t="s">
        <x:v>58</x:v>
      </x:c>
      <x:c r="J1603" s="7" t="s">
        <x:v>58</x:v>
      </x:c>
      <x:c r="K1603" s="8" t="n">
        <x:v>1</x:v>
      </x:c>
      <x:c r="L1603" s="8" t="str">
        <x:f aca="0">IF(AND(ISNUMBER(G1603),P1603&lt;&gt;"Unresolved unit / layout"),G1603*K1603,"Not published")</x:f>
        <x:v>Not published</x:v>
      </x:c>
      <x:c r="M1603" s="8" t="str">
        <x:f aca="0">IF(AND(ISNUMBER(H1603),P1603&lt;&gt;"Unresolved unit / layout"),H1603*K1603,"Not applicable")</x:f>
        <x:v>Not applicable</x:v>
      </x:c>
      <x:c r="N1603" s="8" t="str">
        <x:f aca="0">IF(AND(ISNUMBER(I1603),P1603&lt;&gt;"Unresolved unit / layout"),I1603*K1603,"Not applicable")</x:f>
        <x:v>Not applicable</x:v>
      </x:c>
      <x:c r="O1603" s="7" t="s">
        <x:v>53</x:v>
      </x:c>
      <x:c r="P1603" s="7" t="s">
        <x:v>53</x:v>
      </x:c>
      <x:c r="Q1603" s="7" t="s">
        <x:v>1930</x:v>
      </x:c>
      <x:c r="R1603" s="7" t="s">
        <x:v>2003</x:v>
      </x:c>
      <x:c r="S1603" s="7" t="s">
        <x:v>53</x:v>
      </x:c>
      <x:c r="T1603" s="7" t="s">
        <x:v>53</x:v>
      </x:c>
      <x:c r="U1603" s="7" t="s">
        <x:v>53</x:v>
      </x:c>
      <x:c r="V1603" s="7" t="s">
        <x:v>2020</x:v>
      </x:c>
      <x:c r="W1603" s="7" t="s">
        <x:v>58</x:v>
      </x:c>
      <x:c r="X1603" s="7" t="s">
        <x:v>5029</x:v>
      </x:c>
      <x:c r="Y1603" s="7" t="s">
        <x:v>1398</x:v>
      </x:c>
      <x:c r="Z1603" s="7" t="s">
        <x:v>2705</x:v>
      </x:c>
      <x:c r="AA1603" s="7" t="s">
        <x:v>58</x:v>
      </x:c>
      <x:c r="AB1603" s="8" t="s">
        <x:v>58</x:v>
      </x:c>
      <x:c r="AC1603" s="8" t="s">
        <x:v>58</x:v>
      </x:c>
      <x:c r="AD1603" s="8" t="s">
        <x:v>58</x:v>
      </x:c>
      <x:c r="AE1603" s="8" t="s">
        <x:v>58</x:v>
      </x:c>
      <x:c r="AF1603" s="8" t="s">
        <x:v>58</x:v>
      </x:c>
      <x:c r="AG1603" s="7" t="s">
        <x:v>58</x:v>
      </x:c>
    </x:row>
    <x:row r="1604" ht="66" hidden="0" customHeight="1">
      <x:c r="A1604" s="7" t="s">
        <x:v>5057</x:v>
      </x:c>
      <x:c r="B1604" s="7" t="s">
        <x:v>1031</x:v>
      </x:c>
      <x:c r="C1604" s="7" t="s">
        <x:v>1033</x:v>
      </x:c>
      <x:c r="D1604" s="7" t="s">
        <x:v>2030</x:v>
      </x:c>
      <x:c r="E1604" s="7" t="s">
        <x:v>5058</x:v>
      </x:c>
      <x:c r="F1604" s="7" t="s">
        <x:v>2032</x:v>
      </x:c>
      <x:c r="G1604" s="8" t="n">
        <x:v>21.4</x:v>
      </x:c>
      <x:c r="H1604" s="8" t="n">
        <x:v>0.3</x:v>
      </x:c>
      <x:c r="I1604" s="8" t="s">
        <x:v>58</x:v>
      </x:c>
      <x:c r="J1604" s="7" t="s">
        <x:v>1919</x:v>
      </x:c>
      <x:c r="K1604" s="8" t="n">
        <x:v>1</x:v>
      </x:c>
      <x:c r="L1604" s="8" t="n">
        <x:f aca="0">IF(AND(ISNUMBER(G1604),P1604&lt;&gt;"Unresolved unit / layout"),G1604*K1604,"Not applicable")</x:f>
        <x:v>21.4</x:v>
      </x:c>
      <x:c r="M1604" s="8" t="n">
        <x:f aca="0">IF(AND(ISNUMBER(H1604),P1604&lt;&gt;"Unresolved unit / layout"),H1604*K1604,"Not applicable")</x:f>
        <x:v>0.3</x:v>
      </x:c>
      <x:c r="N1604" s="8" t="str">
        <x:f aca="0">IF(AND(ISNUMBER(I1604),P1604&lt;&gt;"Unresolved unit / layout"),I1604*K1604,"Not applicable")</x:f>
        <x:v>Not applicable</x:v>
      </x:c>
      <x:c r="O1604" s="7" t="s">
        <x:v>2033</x:v>
      </x:c>
      <x:c r="P1604" s="7" t="s">
        <x:v>1921</x:v>
      </x:c>
      <x:c r="Q1604" s="7" t="s">
        <x:v>1930</x:v>
      </x:c>
      <x:c r="R1604" s="7" t="s">
        <x:v>1931</x:v>
      </x:c>
      <x:c r="S1604" s="7" t="s">
        <x:v>53</x:v>
      </x:c>
      <x:c r="T1604" s="7" t="s">
        <x:v>53</x:v>
      </x:c>
      <x:c r="U1604" s="7" t="s">
        <x:v>53</x:v>
      </x:c>
      <x:c r="V1604" s="7" t="s">
        <x:v>53</x:v>
      </x:c>
      <x:c r="W1604" s="7" t="s">
        <x:v>53</x:v>
      </x:c>
      <x:c r="X1604" s="7" t="s">
        <x:v>5029</x:v>
      </x:c>
      <x:c r="Y1604" s="7" t="s">
        <x:v>1398</x:v>
      </x:c>
      <x:c r="Z1604" s="7" t="s">
        <x:v>2804</x:v>
      </x:c>
      <x:c r="AA1604" s="7" t="s">
        <x:v>58</x:v>
      </x:c>
      <x:c r="AB1604" s="8" t="s">
        <x:v>58</x:v>
      </x:c>
      <x:c r="AC1604" s="8" t="s">
        <x:v>58</x:v>
      </x:c>
      <x:c r="AD1604" s="8" t="s">
        <x:v>58</x:v>
      </x:c>
      <x:c r="AE1604" s="8" t="s">
        <x:v>58</x:v>
      </x:c>
      <x:c r="AF1604" s="8" t="s">
        <x:v>58</x:v>
      </x:c>
      <x:c r="AG1604" s="7" t="s">
        <x:v>58</x:v>
      </x:c>
    </x:row>
    <x:row r="1605" ht="66" hidden="0" customHeight="1">
      <x:c r="A1605" s="7" t="s">
        <x:v>5059</x:v>
      </x:c>
      <x:c r="B1605" s="7" t="s">
        <x:v>1031</x:v>
      </x:c>
      <x:c r="C1605" s="7" t="s">
        <x:v>1033</x:v>
      </x:c>
      <x:c r="D1605" s="7" t="s">
        <x:v>2030</x:v>
      </x:c>
      <x:c r="E1605" s="7" t="s">
        <x:v>1995</x:v>
      </x:c>
      <x:c r="F1605" s="7" t="s">
        <x:v>53</x:v>
      </x:c>
      <x:c r="G1605" s="8" t="s">
        <x:v>53</x:v>
      </x:c>
      <x:c r="H1605" s="8" t="s">
        <x:v>58</x:v>
      </x:c>
      <x:c r="I1605" s="8" t="s">
        <x:v>58</x:v>
      </x:c>
      <x:c r="J1605" s="7" t="s">
        <x:v>58</x:v>
      </x:c>
      <x:c r="K1605" s="8" t="n">
        <x:v>1</x:v>
      </x:c>
      <x:c r="L1605" s="8" t="str">
        <x:f aca="0">IF(AND(ISNUMBER(G1605),P1605&lt;&gt;"Unresolved unit / layout"),G1605*K1605,"Not published")</x:f>
        <x:v>Not published</x:v>
      </x:c>
      <x:c r="M1605" s="8" t="str">
        <x:f aca="0">IF(AND(ISNUMBER(H1605),P1605&lt;&gt;"Unresolved unit / layout"),H1605*K1605,"Not applicable")</x:f>
        <x:v>Not applicable</x:v>
      </x:c>
      <x:c r="N1605" s="8" t="str">
        <x:f aca="0">IF(AND(ISNUMBER(I1605),P1605&lt;&gt;"Unresolved unit / layout"),I1605*K1605,"Not applicable")</x:f>
        <x:v>Not applicable</x:v>
      </x:c>
      <x:c r="O1605" s="7" t="s">
        <x:v>53</x:v>
      </x:c>
      <x:c r="P1605" s="7" t="s">
        <x:v>53</x:v>
      </x:c>
      <x:c r="Q1605" s="7" t="s">
        <x:v>1930</x:v>
      </x:c>
      <x:c r="R1605" s="7" t="s">
        <x:v>2003</x:v>
      </x:c>
      <x:c r="S1605" s="7" t="s">
        <x:v>53</x:v>
      </x:c>
      <x:c r="T1605" s="7" t="s">
        <x:v>53</x:v>
      </x:c>
      <x:c r="U1605" s="7" t="s">
        <x:v>53</x:v>
      </x:c>
      <x:c r="V1605" s="7" t="s">
        <x:v>2036</x:v>
      </x:c>
      <x:c r="W1605" s="7" t="s">
        <x:v>53</x:v>
      </x:c>
      <x:c r="X1605" s="7" t="s">
        <x:v>5029</x:v>
      </x:c>
      <x:c r="Y1605" s="7" t="s">
        <x:v>1398</x:v>
      </x:c>
      <x:c r="Z1605" s="7" t="s">
        <x:v>2807</x:v>
      </x:c>
      <x:c r="AA1605" s="7" t="s">
        <x:v>58</x:v>
      </x:c>
      <x:c r="AB1605" s="8" t="s">
        <x:v>58</x:v>
      </x:c>
      <x:c r="AC1605" s="8" t="s">
        <x:v>58</x:v>
      </x:c>
      <x:c r="AD1605" s="8" t="s">
        <x:v>58</x:v>
      </x:c>
      <x:c r="AE1605" s="8" t="s">
        <x:v>58</x:v>
      </x:c>
      <x:c r="AF1605" s="8" t="s">
        <x:v>58</x:v>
      </x:c>
      <x:c r="AG1605" s="7" t="s">
        <x:v>58</x:v>
      </x:c>
    </x:row>
    <x:row r="1606" ht="51.75" hidden="0" customHeight="1">
      <x:c r="A1606" s="7" t="s">
        <x:v>5060</x:v>
      </x:c>
      <x:c r="B1606" s="7" t="s">
        <x:v>1042</x:v>
      </x:c>
      <x:c r="C1606" s="7" t="s">
        <x:v>1045</x:v>
      </x:c>
      <x:c r="D1606" s="7" t="s">
        <x:v>1916</x:v>
      </x:c>
      <x:c r="E1606" s="7" t="s">
        <x:v>5061</x:v>
      </x:c>
      <x:c r="F1606" s="7" t="s">
        <x:v>1918</x:v>
      </x:c>
      <x:c r="G1606" s="8" t="n">
        <x:v>1.71</x:v>
      </x:c>
      <x:c r="H1606" s="8" t="s">
        <x:v>58</x:v>
      </x:c>
      <x:c r="I1606" s="8" t="s">
        <x:v>58</x:v>
      </x:c>
      <x:c r="J1606" s="7" t="s">
        <x:v>1919</x:v>
      </x:c>
      <x:c r="K1606" s="8" t="n">
        <x:v>1000</x:v>
      </x:c>
      <x:c r="L1606" s="8" t="n">
        <x:f aca="0">IF(AND(ISNUMBER(G1606),P1606&lt;&gt;"Unresolved unit / layout"),G1606*K1606,"Not applicable")</x:f>
        <x:v>1710</x:v>
      </x:c>
      <x:c r="M1606" s="8" t="str">
        <x:f aca="0">IF(AND(ISNUMBER(H1606),P1606&lt;&gt;"Unresolved unit / layout"),H1606*K1606,"Not applicable")</x:f>
        <x:v>Not applicable</x:v>
      </x:c>
      <x:c r="N1606" s="8" t="str">
        <x:f aca="0">IF(AND(ISNUMBER(I1606),P1606&lt;&gt;"Unresolved unit / layout"),I1606*K1606,"Not applicable")</x:f>
        <x:v>Not applicable</x:v>
      </x:c>
      <x:c r="O1606" s="7" t="s">
        <x:v>1920</x:v>
      </x:c>
      <x:c r="P1606" s="7" t="s">
        <x:v>1921</x:v>
      </x:c>
      <x:c r="Q1606" s="7" t="s">
        <x:v>1922</x:v>
      </x:c>
      <x:c r="R1606" s="7" t="s">
        <x:v>58</x:v>
      </x:c>
      <x:c r="S1606" s="7" t="s">
        <x:v>53</x:v>
      </x:c>
      <x:c r="T1606" s="7" t="s">
        <x:v>53</x:v>
      </x:c>
      <x:c r="U1606" s="7" t="s">
        <x:v>53</x:v>
      </x:c>
      <x:c r="V1606" s="7" t="s">
        <x:v>1923</x:v>
      </x:c>
      <x:c r="W1606" s="7" t="s">
        <x:v>58</x:v>
      </x:c>
      <x:c r="X1606" s="7" t="s">
        <x:v>5062</x:v>
      </x:c>
      <x:c r="Y1606" s="7" t="s">
        <x:v>1400</x:v>
      </x:c>
      <x:c r="Z1606" s="7" t="s">
        <x:v>1925</x:v>
      </x:c>
      <x:c r="AA1606" s="7" t="s">
        <x:v>58</x:v>
      </x:c>
      <x:c r="AB1606" s="8" t="s">
        <x:v>58</x:v>
      </x:c>
      <x:c r="AC1606" s="8" t="s">
        <x:v>58</x:v>
      </x:c>
      <x:c r="AD1606" s="8" t="s">
        <x:v>58</x:v>
      </x:c>
      <x:c r="AE1606" s="8" t="s">
        <x:v>58</x:v>
      </x:c>
      <x:c r="AF1606" s="8" t="s">
        <x:v>58</x:v>
      </x:c>
      <x:c r="AG1606" s="7" t="s">
        <x:v>58</x:v>
      </x:c>
    </x:row>
    <x:row r="1607" ht="51.75" hidden="0" customHeight="1">
      <x:c r="A1607" s="7" t="s">
        <x:v>5063</x:v>
      </x:c>
      <x:c r="B1607" s="7" t="s">
        <x:v>1042</x:v>
      </x:c>
      <x:c r="C1607" s="7" t="s">
        <x:v>1045</x:v>
      </x:c>
      <x:c r="D1607" s="7" t="s">
        <x:v>1927</x:v>
      </x:c>
      <x:c r="E1607" s="7" t="s">
        <x:v>5064</x:v>
      </x:c>
      <x:c r="F1607" s="7" t="s">
        <x:v>1929</x:v>
      </x:c>
      <x:c r="G1607" s="8" t="n">
        <x:v>51</x:v>
      </x:c>
      <x:c r="H1607" s="8" t="s">
        <x:v>58</x:v>
      </x:c>
      <x:c r="I1607" s="8" t="s">
        <x:v>58</x:v>
      </x:c>
      <x:c r="J1607" s="7" t="s">
        <x:v>1919</x:v>
      </x:c>
      <x:c r="K1607" s="8" t="n">
        <x:v>1</x:v>
      </x:c>
      <x:c r="L1607" s="8" t="n">
        <x:f aca="0">IF(AND(ISNUMBER(G1607),P1607&lt;&gt;"Unresolved unit / layout"),G1607*K1607,"Not applicable")</x:f>
        <x:v>51</x:v>
      </x:c>
      <x:c r="M1607" s="8" t="str">
        <x:f aca="0">IF(AND(ISNUMBER(H1607),P1607&lt;&gt;"Unresolved unit / layout"),H1607*K1607,"Not applicable")</x:f>
        <x:v>Not applicable</x:v>
      </x:c>
      <x:c r="N1607" s="8" t="str">
        <x:f aca="0">IF(AND(ISNUMBER(I1607),P1607&lt;&gt;"Unresolved unit / layout"),I1607*K1607,"Not applicable")</x:f>
        <x:v>Not applicable</x:v>
      </x:c>
      <x:c r="O1607" s="7" t="s">
        <x:v>1929</x:v>
      </x:c>
      <x:c r="P1607" s="7" t="s">
        <x:v>1921</x:v>
      </x:c>
      <x:c r="Q1607" s="7" t="s">
        <x:v>1930</x:v>
      </x:c>
      <x:c r="R1607" s="7" t="s">
        <x:v>1931</x:v>
      </x:c>
      <x:c r="S1607" s="7" t="s">
        <x:v>53</x:v>
      </x:c>
      <x:c r="T1607" s="7" t="s">
        <x:v>53</x:v>
      </x:c>
      <x:c r="U1607" s="7" t="s">
        <x:v>53</x:v>
      </x:c>
      <x:c r="V1607" s="7" t="s">
        <x:v>1932</x:v>
      </x:c>
      <x:c r="W1607" s="7" t="s">
        <x:v>58</x:v>
      </x:c>
      <x:c r="X1607" s="7" t="s">
        <x:v>5062</x:v>
      </x:c>
      <x:c r="Y1607" s="7" t="s">
        <x:v>1400</x:v>
      </x:c>
      <x:c r="Z1607" s="7" t="s">
        <x:v>1933</x:v>
      </x:c>
      <x:c r="AA1607" s="7" t="s">
        <x:v>58</x:v>
      </x:c>
      <x:c r="AB1607" s="8" t="s">
        <x:v>58</x:v>
      </x:c>
      <x:c r="AC1607" s="8" t="s">
        <x:v>58</x:v>
      </x:c>
      <x:c r="AD1607" s="8" t="s">
        <x:v>58</x:v>
      </x:c>
      <x:c r="AE1607" s="8" t="s">
        <x:v>58</x:v>
      </x:c>
      <x:c r="AF1607" s="8" t="s">
        <x:v>58</x:v>
      </x:c>
      <x:c r="AG1607" s="7" t="s">
        <x:v>58</x:v>
      </x:c>
    </x:row>
    <x:row r="1608" ht="51.75" hidden="0" customHeight="1">
      <x:c r="A1608" s="7" t="s">
        <x:v>5065</x:v>
      </x:c>
      <x:c r="B1608" s="7" t="s">
        <x:v>1042</x:v>
      </x:c>
      <x:c r="C1608" s="7" t="s">
        <x:v>1045</x:v>
      </x:c>
      <x:c r="D1608" s="7" t="s">
        <x:v>1935</x:v>
      </x:c>
      <x:c r="E1608" s="7" t="s">
        <x:v>5066</x:v>
      </x:c>
      <x:c r="F1608" s="7" t="s">
        <x:v>1929</x:v>
      </x:c>
      <x:c r="G1608" s="8" t="n">
        <x:v>2450</x:v>
      </x:c>
      <x:c r="H1608" s="8" t="s">
        <x:v>58</x:v>
      </x:c>
      <x:c r="I1608" s="8" t="s">
        <x:v>58</x:v>
      </x:c>
      <x:c r="J1608" s="7" t="s">
        <x:v>1919</x:v>
      </x:c>
      <x:c r="K1608" s="8" t="n">
        <x:v>0.001</x:v>
      </x:c>
      <x:c r="L1608" s="8" t="n">
        <x:f aca="0">IF(AND(ISNUMBER(G1608),P1608&lt;&gt;"Unresolved unit / layout"),G1608*K1608,"Not applicable")</x:f>
        <x:v>2.45</x:v>
      </x:c>
      <x:c r="M1608" s="8" t="str">
        <x:f aca="0">IF(AND(ISNUMBER(H1608),P1608&lt;&gt;"Unresolved unit / layout"),H1608*K1608,"Not applicable")</x:f>
        <x:v>Not applicable</x:v>
      </x:c>
      <x:c r="N1608" s="8" t="str">
        <x:f aca="0">IF(AND(ISNUMBER(I1608),P1608&lt;&gt;"Unresolved unit / layout"),I1608*K1608,"Not applicable")</x:f>
        <x:v>Not applicable</x:v>
      </x:c>
      <x:c r="O1608" s="7" t="s">
        <x:v>1937</x:v>
      </x:c>
      <x:c r="P1608" s="7" t="s">
        <x:v>1921</x:v>
      </x:c>
      <x:c r="Q1608" s="7" t="s">
        <x:v>1930</x:v>
      </x:c>
      <x:c r="R1608" s="7" t="s">
        <x:v>1931</x:v>
      </x:c>
      <x:c r="S1608" s="7" t="s">
        <x:v>53</x:v>
      </x:c>
      <x:c r="T1608" s="7" t="s">
        <x:v>53</x:v>
      </x:c>
      <x:c r="U1608" s="7" t="s">
        <x:v>53</x:v>
      </x:c>
      <x:c r="V1608" s="7" t="s">
        <x:v>1932</x:v>
      </x:c>
      <x:c r="W1608" s="7" t="s">
        <x:v>58</x:v>
      </x:c>
      <x:c r="X1608" s="7" t="s">
        <x:v>5062</x:v>
      </x:c>
      <x:c r="Y1608" s="7" t="s">
        <x:v>1400</x:v>
      </x:c>
      <x:c r="Z1608" s="7" t="s">
        <x:v>1938</x:v>
      </x:c>
      <x:c r="AA1608" s="7" t="s">
        <x:v>58</x:v>
      </x:c>
      <x:c r="AB1608" s="8" t="s">
        <x:v>58</x:v>
      </x:c>
      <x:c r="AC1608" s="8" t="s">
        <x:v>58</x:v>
      </x:c>
      <x:c r="AD1608" s="8" t="s">
        <x:v>58</x:v>
      </x:c>
      <x:c r="AE1608" s="8" t="s">
        <x:v>58</x:v>
      </x:c>
      <x:c r="AF1608" s="8" t="s">
        <x:v>58</x:v>
      </x:c>
      <x:c r="AG1608" s="7" t="s">
        <x:v>58</x:v>
      </x:c>
    </x:row>
    <x:row r="1609" ht="51.75" hidden="0" customHeight="1">
      <x:c r="A1609" s="7" t="s">
        <x:v>5067</x:v>
      </x:c>
      <x:c r="B1609" s="7" t="s">
        <x:v>1042</x:v>
      </x:c>
      <x:c r="C1609" s="7" t="s">
        <x:v>1045</x:v>
      </x:c>
      <x:c r="D1609" s="7" t="s">
        <x:v>1940</x:v>
      </x:c>
      <x:c r="E1609" s="7" t="s">
        <x:v>5068</x:v>
      </x:c>
      <x:c r="F1609" s="7" t="s">
        <x:v>1942</x:v>
      </x:c>
      <x:c r="G1609" s="8" t="n">
        <x:v>25</x:v>
      </x:c>
      <x:c r="H1609" s="8" t="s">
        <x:v>58</x:v>
      </x:c>
      <x:c r="I1609" s="8" t="s">
        <x:v>58</x:v>
      </x:c>
      <x:c r="J1609" s="7" t="s">
        <x:v>1919</x:v>
      </x:c>
      <x:c r="K1609" s="8" t="n">
        <x:v>1</x:v>
      </x:c>
      <x:c r="L1609" s="8" t="n">
        <x:f aca="0">IF(AND(ISNUMBER(G1609),P1609&lt;&gt;"Unresolved unit / layout"),G1609*K1609,"Not applicable")</x:f>
        <x:v>25</x:v>
      </x:c>
      <x:c r="M1609" s="8" t="str">
        <x:f aca="0">IF(AND(ISNUMBER(H1609),P1609&lt;&gt;"Unresolved unit / layout"),H1609*K1609,"Not applicable")</x:f>
        <x:v>Not applicable</x:v>
      </x:c>
      <x:c r="N1609" s="8" t="str">
        <x:f aca="0">IF(AND(ISNUMBER(I1609),P1609&lt;&gt;"Unresolved unit / layout"),I1609*K1609,"Not applicable")</x:f>
        <x:v>Not applicable</x:v>
      </x:c>
      <x:c r="O1609" s="7" t="s">
        <x:v>1942</x:v>
      </x:c>
      <x:c r="P1609" s="7" t="s">
        <x:v>1921</x:v>
      </x:c>
      <x:c r="Q1609" s="7" t="s">
        <x:v>1930</x:v>
      </x:c>
      <x:c r="R1609" s="7" t="s">
        <x:v>1931</x:v>
      </x:c>
      <x:c r="S1609" s="7" t="s">
        <x:v>53</x:v>
      </x:c>
      <x:c r="T1609" s="7" t="s">
        <x:v>53</x:v>
      </x:c>
      <x:c r="U1609" s="7" t="s">
        <x:v>53</x:v>
      </x:c>
      <x:c r="V1609" s="7" t="s">
        <x:v>1932</x:v>
      </x:c>
      <x:c r="W1609" s="7" t="s">
        <x:v>58</x:v>
      </x:c>
      <x:c r="X1609" s="7" t="s">
        <x:v>5062</x:v>
      </x:c>
      <x:c r="Y1609" s="7" t="s">
        <x:v>1400</x:v>
      </x:c>
      <x:c r="Z1609" s="7" t="s">
        <x:v>1943</x:v>
      </x:c>
      <x:c r="AA1609" s="7" t="s">
        <x:v>58</x:v>
      </x:c>
      <x:c r="AB1609" s="8" t="s">
        <x:v>58</x:v>
      </x:c>
      <x:c r="AC1609" s="8" t="s">
        <x:v>58</x:v>
      </x:c>
      <x:c r="AD1609" s="8" t="s">
        <x:v>58</x:v>
      </x:c>
      <x:c r="AE1609" s="8" t="s">
        <x:v>58</x:v>
      </x:c>
      <x:c r="AF1609" s="8" t="s">
        <x:v>58</x:v>
      </x:c>
      <x:c r="AG1609" s="7" t="s">
        <x:v>58</x:v>
      </x:c>
    </x:row>
    <x:row r="1610" ht="51.75" hidden="0" customHeight="1">
      <x:c r="A1610" s="7" t="s">
        <x:v>5069</x:v>
      </x:c>
      <x:c r="B1610" s="7" t="s">
        <x:v>1042</x:v>
      </x:c>
      <x:c r="C1610" s="7" t="s">
        <x:v>1045</x:v>
      </x:c>
      <x:c r="D1610" s="7" t="s">
        <x:v>1945</x:v>
      </x:c>
      <x:c r="E1610" s="7" t="s">
        <x:v>3014</x:v>
      </x:c>
      <x:c r="F1610" s="7" t="s">
        <x:v>1929</x:v>
      </x:c>
      <x:c r="G1610" s="8" t="n">
        <x:v>50</x:v>
      </x:c>
      <x:c r="H1610" s="8" t="s">
        <x:v>58</x:v>
      </x:c>
      <x:c r="I1610" s="8" t="s">
        <x:v>58</x:v>
      </x:c>
      <x:c r="J1610" s="7" t="s">
        <x:v>1919</x:v>
      </x:c>
      <x:c r="K1610" s="8" t="n">
        <x:v>1</x:v>
      </x:c>
      <x:c r="L1610" s="8" t="n">
        <x:f aca="0">IF(AND(ISNUMBER(G1610),P1610&lt;&gt;"Unresolved unit / layout"),G1610*K1610,"Not applicable")</x:f>
        <x:v>50</x:v>
      </x:c>
      <x:c r="M1610" s="8" t="str">
        <x:f aca="0">IF(AND(ISNUMBER(H1610),P1610&lt;&gt;"Unresolved unit / layout"),H1610*K1610,"Not applicable")</x:f>
        <x:v>Not applicable</x:v>
      </x:c>
      <x:c r="N1610" s="8" t="str">
        <x:f aca="0">IF(AND(ISNUMBER(I1610),P1610&lt;&gt;"Unresolved unit / layout"),I1610*K1610,"Not applicable")</x:f>
        <x:v>Not applicable</x:v>
      </x:c>
      <x:c r="O1610" s="7" t="s">
        <x:v>1929</x:v>
      </x:c>
      <x:c r="P1610" s="7" t="s">
        <x:v>1921</x:v>
      </x:c>
      <x:c r="Q1610" s="7" t="s">
        <x:v>1930</x:v>
      </x:c>
      <x:c r="R1610" s="7" t="s">
        <x:v>1931</x:v>
      </x:c>
      <x:c r="S1610" s="7" t="s">
        <x:v>53</x:v>
      </x:c>
      <x:c r="T1610" s="7" t="s">
        <x:v>53</x:v>
      </x:c>
      <x:c r="U1610" s="7" t="s">
        <x:v>53</x:v>
      </x:c>
      <x:c r="V1610" s="7" t="s">
        <x:v>1947</x:v>
      </x:c>
      <x:c r="W1610" s="7" t="s">
        <x:v>58</x:v>
      </x:c>
      <x:c r="X1610" s="7" t="s">
        <x:v>5062</x:v>
      </x:c>
      <x:c r="Y1610" s="7" t="s">
        <x:v>1400</x:v>
      </x:c>
      <x:c r="Z1610" s="7" t="s">
        <x:v>1948</x:v>
      </x:c>
      <x:c r="AA1610" s="7" t="s">
        <x:v>58</x:v>
      </x:c>
      <x:c r="AB1610" s="8" t="s">
        <x:v>58</x:v>
      </x:c>
      <x:c r="AC1610" s="8" t="s">
        <x:v>58</x:v>
      </x:c>
      <x:c r="AD1610" s="8" t="s">
        <x:v>58</x:v>
      </x:c>
      <x:c r="AE1610" s="8" t="s">
        <x:v>58</x:v>
      </x:c>
      <x:c r="AF1610" s="8" t="s">
        <x:v>58</x:v>
      </x:c>
      <x:c r="AG1610" s="7" t="s">
        <x:v>58</x:v>
      </x:c>
    </x:row>
    <x:row r="1611" ht="51.75" hidden="0" customHeight="1">
      <x:c r="A1611" s="7" t="s">
        <x:v>5070</x:v>
      </x:c>
      <x:c r="B1611" s="7" t="s">
        <x:v>1042</x:v>
      </x:c>
      <x:c r="C1611" s="7" t="s">
        <x:v>1045</x:v>
      </x:c>
      <x:c r="D1611" s="7" t="s">
        <x:v>1950</x:v>
      </x:c>
      <x:c r="E1611" s="7" t="s">
        <x:v>3016</x:v>
      </x:c>
      <x:c r="F1611" s="7" t="s">
        <x:v>1929</x:v>
      </x:c>
      <x:c r="G1611" s="8" t="n">
        <x:v>1800</x:v>
      </x:c>
      <x:c r="H1611" s="8" t="s">
        <x:v>58</x:v>
      </x:c>
      <x:c r="I1611" s="8" t="s">
        <x:v>58</x:v>
      </x:c>
      <x:c r="J1611" s="7" t="s">
        <x:v>1919</x:v>
      </x:c>
      <x:c r="K1611" s="8" t="n">
        <x:v>0.001</x:v>
      </x:c>
      <x:c r="L1611" s="8" t="n">
        <x:f aca="0">IF(AND(ISNUMBER(G1611),P1611&lt;&gt;"Unresolved unit / layout"),G1611*K1611,"Not applicable")</x:f>
        <x:v>1.8</x:v>
      </x:c>
      <x:c r="M1611" s="8" t="str">
        <x:f aca="0">IF(AND(ISNUMBER(H1611),P1611&lt;&gt;"Unresolved unit / layout"),H1611*K1611,"Not applicable")</x:f>
        <x:v>Not applicable</x:v>
      </x:c>
      <x:c r="N1611" s="8" t="str">
        <x:f aca="0">IF(AND(ISNUMBER(I1611),P1611&lt;&gt;"Unresolved unit / layout"),I1611*K1611,"Not applicable")</x:f>
        <x:v>Not applicable</x:v>
      </x:c>
      <x:c r="O1611" s="7" t="s">
        <x:v>1937</x:v>
      </x:c>
      <x:c r="P1611" s="7" t="s">
        <x:v>1921</x:v>
      </x:c>
      <x:c r="Q1611" s="7" t="s">
        <x:v>1930</x:v>
      </x:c>
      <x:c r="R1611" s="7" t="s">
        <x:v>1931</x:v>
      </x:c>
      <x:c r="S1611" s="7" t="s">
        <x:v>53</x:v>
      </x:c>
      <x:c r="T1611" s="7" t="s">
        <x:v>53</x:v>
      </x:c>
      <x:c r="U1611" s="7" t="s">
        <x:v>53</x:v>
      </x:c>
      <x:c r="V1611" s="7" t="s">
        <x:v>1947</x:v>
      </x:c>
      <x:c r="W1611" s="7" t="s">
        <x:v>58</x:v>
      </x:c>
      <x:c r="X1611" s="7" t="s">
        <x:v>5062</x:v>
      </x:c>
      <x:c r="Y1611" s="7" t="s">
        <x:v>1400</x:v>
      </x:c>
      <x:c r="Z1611" s="7" t="s">
        <x:v>1952</x:v>
      </x:c>
      <x:c r="AA1611" s="7" t="s">
        <x:v>58</x:v>
      </x:c>
      <x:c r="AB1611" s="8" t="s">
        <x:v>58</x:v>
      </x:c>
      <x:c r="AC1611" s="8" t="s">
        <x:v>58</x:v>
      </x:c>
      <x:c r="AD1611" s="8" t="s">
        <x:v>58</x:v>
      </x:c>
      <x:c r="AE1611" s="8" t="s">
        <x:v>58</x:v>
      </x:c>
      <x:c r="AF1611" s="8" t="s">
        <x:v>58</x:v>
      </x:c>
      <x:c r="AG1611" s="7" t="s">
        <x:v>58</x:v>
      </x:c>
    </x:row>
    <x:row r="1612" ht="51.75" hidden="0" customHeight="1">
      <x:c r="A1612" s="7" t="s">
        <x:v>5071</x:v>
      </x:c>
      <x:c r="B1612" s="7" t="s">
        <x:v>1042</x:v>
      </x:c>
      <x:c r="C1612" s="7" t="s">
        <x:v>1045</x:v>
      </x:c>
      <x:c r="D1612" s="7" t="s">
        <x:v>1974</x:v>
      </x:c>
      <x:c r="E1612" s="7" t="s">
        <x:v>5072</x:v>
      </x:c>
      <x:c r="F1612" s="7" t="s">
        <x:v>1956</x:v>
      </x:c>
      <x:c r="G1612" s="8" t="n">
        <x:v>170</x:v>
      </x:c>
      <x:c r="H1612" s="8" t="s">
        <x:v>58</x:v>
      </x:c>
      <x:c r="I1612" s="8" t="s">
        <x:v>58</x:v>
      </x:c>
      <x:c r="J1612" s="7" t="s">
        <x:v>1919</x:v>
      </x:c>
      <x:c r="K1612" s="8" t="n">
        <x:v>1</x:v>
      </x:c>
      <x:c r="L1612" s="8" t="n">
        <x:f aca="0">IF(AND(ISNUMBER(G1612),P1612&lt;&gt;"Unresolved unit / layout"),G1612*K1612,"Not applicable")</x:f>
        <x:v>170</x:v>
      </x:c>
      <x:c r="M1612" s="8" t="str">
        <x:f aca="0">IF(AND(ISNUMBER(H1612),P1612&lt;&gt;"Unresolved unit / layout"),H1612*K1612,"Not applicable")</x:f>
        <x:v>Not applicable</x:v>
      </x:c>
      <x:c r="N1612" s="8" t="str">
        <x:f aca="0">IF(AND(ISNUMBER(I1612),P1612&lt;&gt;"Unresolved unit / layout"),I1612*K1612,"Not applicable")</x:f>
        <x:v>Not applicable</x:v>
      </x:c>
      <x:c r="O1612" s="7" t="s">
        <x:v>1956</x:v>
      </x:c>
      <x:c r="P1612" s="7" t="s">
        <x:v>1921</x:v>
      </x:c>
      <x:c r="Q1612" s="7" t="s">
        <x:v>1930</x:v>
      </x:c>
      <x:c r="R1612" s="7" t="s">
        <x:v>58</x:v>
      </x:c>
      <x:c r="S1612" s="7" t="s">
        <x:v>53</x:v>
      </x:c>
      <x:c r="T1612" s="7" t="s">
        <x:v>53</x:v>
      </x:c>
      <x:c r="U1612" s="7" t="s">
        <x:v>53</x:v>
      </x:c>
      <x:c r="V1612" s="7" t="s">
        <x:v>4583</x:v>
      </x:c>
      <x:c r="W1612" s="7" t="s">
        <x:v>58</x:v>
      </x:c>
      <x:c r="X1612" s="7" t="s">
        <x:v>5062</x:v>
      </x:c>
      <x:c r="Y1612" s="7" t="s">
        <x:v>1400</x:v>
      </x:c>
      <x:c r="Z1612" s="7" t="s">
        <x:v>4226</x:v>
      </x:c>
      <x:c r="AA1612" s="7" t="s">
        <x:v>58</x:v>
      </x:c>
      <x:c r="AB1612" s="8" t="s">
        <x:v>58</x:v>
      </x:c>
      <x:c r="AC1612" s="8" t="s">
        <x:v>58</x:v>
      </x:c>
      <x:c r="AD1612" s="8" t="s">
        <x:v>58</x:v>
      </x:c>
      <x:c r="AE1612" s="8" t="s">
        <x:v>58</x:v>
      </x:c>
      <x:c r="AF1612" s="8" t="s">
        <x:v>58</x:v>
      </x:c>
      <x:c r="AG1612" s="7" t="s">
        <x:v>58</x:v>
      </x:c>
    </x:row>
    <x:row r="1613" ht="51.75" hidden="0" customHeight="1">
      <x:c r="A1613" s="7" t="s">
        <x:v>1049</x:v>
      </x:c>
      <x:c r="B1613" s="7" t="s">
        <x:v>1042</x:v>
      </x:c>
      <x:c r="C1613" s="7" t="s">
        <x:v>1045</x:v>
      </x:c>
      <x:c r="D1613" s="7" t="s">
        <x:v>1959</x:v>
      </x:c>
      <x:c r="E1613" s="7" t="s">
        <x:v>3959</x:v>
      </x:c>
      <x:c r="F1613" s="7" t="s">
        <x:v>1956</x:v>
      </x:c>
      <x:c r="G1613" s="8" t="n">
        <x:v>158</x:v>
      </x:c>
      <x:c r="H1613" s="8" t="s">
        <x:v>58</x:v>
      </x:c>
      <x:c r="I1613" s="8" t="s">
        <x:v>58</x:v>
      </x:c>
      <x:c r="J1613" s="7" t="s">
        <x:v>1919</x:v>
      </x:c>
      <x:c r="K1613" s="8" t="n">
        <x:v>1</x:v>
      </x:c>
      <x:c r="L1613" s="8" t="n">
        <x:f aca="0">IF(AND(ISNUMBER(G1613),P1613&lt;&gt;"Unresolved unit / layout"),G1613*K1613,"Not applicable")</x:f>
        <x:v>158</x:v>
      </x:c>
      <x:c r="M1613" s="8" t="str">
        <x:f aca="0">IF(AND(ISNUMBER(H1613),P1613&lt;&gt;"Unresolved unit / layout"),H1613*K1613,"Not applicable")</x:f>
        <x:v>Not applicable</x:v>
      </x:c>
      <x:c r="N1613" s="8" t="str">
        <x:f aca="0">IF(AND(ISNUMBER(I1613),P1613&lt;&gt;"Unresolved unit / layout"),I1613*K1613,"Not applicable")</x:f>
        <x:v>Not applicable</x:v>
      </x:c>
      <x:c r="O1613" s="7" t="s">
        <x:v>1956</x:v>
      </x:c>
      <x:c r="P1613" s="7" t="s">
        <x:v>1921</x:v>
      </x:c>
      <x:c r="Q1613" s="7" t="s">
        <x:v>1930</x:v>
      </x:c>
      <x:c r="R1613" s="7" t="s">
        <x:v>58</x:v>
      </x:c>
      <x:c r="S1613" s="7" t="s">
        <x:v>53</x:v>
      </x:c>
      <x:c r="T1613" s="7" t="s">
        <x:v>53</x:v>
      </x:c>
      <x:c r="U1613" s="7" t="s">
        <x:v>53</x:v>
      </x:c>
      <x:c r="V1613" s="7" t="s">
        <x:v>1961</x:v>
      </x:c>
      <x:c r="W1613" s="7" t="s">
        <x:v>58</x:v>
      </x:c>
      <x:c r="X1613" s="7" t="s">
        <x:v>5062</x:v>
      </x:c>
      <x:c r="Y1613" s="7" t="s">
        <x:v>1400</x:v>
      </x:c>
      <x:c r="Z1613" s="7" t="s">
        <x:v>1962</x:v>
      </x:c>
      <x:c r="AA1613" s="7" t="s">
        <x:v>58</x:v>
      </x:c>
      <x:c r="AB1613" s="8" t="s">
        <x:v>58</x:v>
      </x:c>
      <x:c r="AC1613" s="8" t="s">
        <x:v>58</x:v>
      </x:c>
      <x:c r="AD1613" s="8" t="s">
        <x:v>58</x:v>
      </x:c>
      <x:c r="AE1613" s="8" t="s">
        <x:v>58</x:v>
      </x:c>
      <x:c r="AF1613" s="8" t="s">
        <x:v>58</x:v>
      </x:c>
      <x:c r="AG1613" s="7" t="s">
        <x:v>58</x:v>
      </x:c>
    </x:row>
    <x:row r="1614" ht="51.75" hidden="0" customHeight="1">
      <x:c r="A1614" s="7" t="s">
        <x:v>5073</x:v>
      </x:c>
      <x:c r="B1614" s="7" t="s">
        <x:v>1051</x:v>
      </x:c>
      <x:c r="C1614" s="7" t="s">
        <x:v>1055</x:v>
      </x:c>
      <x:c r="D1614" s="7" t="s">
        <x:v>1916</x:v>
      </x:c>
      <x:c r="E1614" s="7" t="s">
        <x:v>5074</x:v>
      </x:c>
      <x:c r="F1614" s="7" t="s">
        <x:v>1918</x:v>
      </x:c>
      <x:c r="G1614" s="8" t="n">
        <x:v>1.3</x:v>
      </x:c>
      <x:c r="H1614" s="8" t="s">
        <x:v>58</x:v>
      </x:c>
      <x:c r="I1614" s="8" t="s">
        <x:v>58</x:v>
      </x:c>
      <x:c r="J1614" s="7" t="s">
        <x:v>1919</x:v>
      </x:c>
      <x:c r="K1614" s="8" t="n">
        <x:v>1000</x:v>
      </x:c>
      <x:c r="L1614" s="8" t="n">
        <x:f aca="0">IF(AND(ISNUMBER(G1614),P1614&lt;&gt;"Unresolved unit / layout"),G1614*K1614,"Not applicable")</x:f>
        <x:v>1300</x:v>
      </x:c>
      <x:c r="M1614" s="8" t="str">
        <x:f aca="0">IF(AND(ISNUMBER(H1614),P1614&lt;&gt;"Unresolved unit / layout"),H1614*K1614,"Not applicable")</x:f>
        <x:v>Not applicable</x:v>
      </x:c>
      <x:c r="N1614" s="8" t="str">
        <x:f aca="0">IF(AND(ISNUMBER(I1614),P1614&lt;&gt;"Unresolved unit / layout"),I1614*K1614,"Not applicable")</x:f>
        <x:v>Not applicable</x:v>
      </x:c>
      <x:c r="O1614" s="7" t="s">
        <x:v>1920</x:v>
      </x:c>
      <x:c r="P1614" s="7" t="s">
        <x:v>1921</x:v>
      </x:c>
      <x:c r="Q1614" s="7" t="s">
        <x:v>1922</x:v>
      </x:c>
      <x:c r="R1614" s="7" t="s">
        <x:v>58</x:v>
      </x:c>
      <x:c r="S1614" s="7" t="s">
        <x:v>53</x:v>
      </x:c>
      <x:c r="T1614" s="7" t="s">
        <x:v>53</x:v>
      </x:c>
      <x:c r="U1614" s="7" t="s">
        <x:v>53</x:v>
      </x:c>
      <x:c r="V1614" s="7" t="s">
        <x:v>1923</x:v>
      </x:c>
      <x:c r="W1614" s="7" t="s">
        <x:v>58</x:v>
      </x:c>
      <x:c r="X1614" s="7" t="s">
        <x:v>5075</x:v>
      </x:c>
      <x:c r="Y1614" s="7" t="s">
        <x:v>1403</x:v>
      </x:c>
      <x:c r="Z1614" s="7" t="s">
        <x:v>1925</x:v>
      </x:c>
      <x:c r="AA1614" s="7" t="s">
        <x:v>58</x:v>
      </x:c>
      <x:c r="AB1614" s="8" t="s">
        <x:v>58</x:v>
      </x:c>
      <x:c r="AC1614" s="8" t="s">
        <x:v>58</x:v>
      </x:c>
      <x:c r="AD1614" s="8" t="s">
        <x:v>58</x:v>
      </x:c>
      <x:c r="AE1614" s="8" t="s">
        <x:v>58</x:v>
      </x:c>
      <x:c r="AF1614" s="8" t="s">
        <x:v>58</x:v>
      </x:c>
      <x:c r="AG1614" s="7" t="s">
        <x:v>58</x:v>
      </x:c>
    </x:row>
    <x:row r="1615" ht="51.75" hidden="0" customHeight="1">
      <x:c r="A1615" s="7" t="s">
        <x:v>5076</x:v>
      </x:c>
      <x:c r="B1615" s="7" t="s">
        <x:v>1051</x:v>
      </x:c>
      <x:c r="C1615" s="7" t="s">
        <x:v>1055</x:v>
      </x:c>
      <x:c r="D1615" s="7" t="s">
        <x:v>2006</x:v>
      </x:c>
      <x:c r="E1615" s="7" t="s">
        <x:v>3801</x:v>
      </x:c>
      <x:c r="F1615" s="7" t="s">
        <x:v>1929</x:v>
      </x:c>
      <x:c r="G1615" s="8" t="n">
        <x:v>100</x:v>
      </x:c>
      <x:c r="H1615" s="8" t="s">
        <x:v>58</x:v>
      </x:c>
      <x:c r="I1615" s="8" t="s">
        <x:v>58</x:v>
      </x:c>
      <x:c r="J1615" s="7" t="s">
        <x:v>1919</x:v>
      </x:c>
      <x:c r="K1615" s="8" t="n">
        <x:v>1</x:v>
      </x:c>
      <x:c r="L1615" s="8" t="n">
        <x:f aca="0">IF(AND(ISNUMBER(G1615),P1615&lt;&gt;"Unresolved unit / layout"),G1615*K1615,"Not applicable")</x:f>
        <x:v>100</x:v>
      </x:c>
      <x:c r="M1615" s="8" t="str">
        <x:f aca="0">IF(AND(ISNUMBER(H1615),P1615&lt;&gt;"Unresolved unit / layout"),H1615*K1615,"Not applicable")</x:f>
        <x:v>Not applicable</x:v>
      </x:c>
      <x:c r="N1615" s="8" t="str">
        <x:f aca="0">IF(AND(ISNUMBER(I1615),P1615&lt;&gt;"Unresolved unit / layout"),I1615*K1615,"Not applicable")</x:f>
        <x:v>Not applicable</x:v>
      </x:c>
      <x:c r="O1615" s="7" t="s">
        <x:v>1929</x:v>
      </x:c>
      <x:c r="P1615" s="7" t="s">
        <x:v>1921</x:v>
      </x:c>
      <x:c r="Q1615" s="7" t="s">
        <x:v>1930</x:v>
      </x:c>
      <x:c r="R1615" s="7" t="s">
        <x:v>1931</x:v>
      </x:c>
      <x:c r="S1615" s="7" t="s">
        <x:v>53</x:v>
      </x:c>
      <x:c r="T1615" s="7" t="s">
        <x:v>53</x:v>
      </x:c>
      <x:c r="U1615" s="7" t="s">
        <x:v>53</x:v>
      </x:c>
      <x:c r="V1615" s="7" t="s">
        <x:v>1932</x:v>
      </x:c>
      <x:c r="W1615" s="7" t="s">
        <x:v>58</x:v>
      </x:c>
      <x:c r="X1615" s="7" t="s">
        <x:v>5075</x:v>
      </x:c>
      <x:c r="Y1615" s="7" t="s">
        <x:v>1403</x:v>
      </x:c>
      <x:c r="Z1615" s="7" t="s">
        <x:v>2825</x:v>
      </x:c>
      <x:c r="AA1615" s="7" t="s">
        <x:v>58</x:v>
      </x:c>
      <x:c r="AB1615" s="8" t="s">
        <x:v>58</x:v>
      </x:c>
      <x:c r="AC1615" s="8" t="s">
        <x:v>58</x:v>
      </x:c>
      <x:c r="AD1615" s="8" t="s">
        <x:v>58</x:v>
      </x:c>
      <x:c r="AE1615" s="8" t="s">
        <x:v>58</x:v>
      </x:c>
      <x:c r="AF1615" s="8" t="s">
        <x:v>58</x:v>
      </x:c>
      <x:c r="AG1615" s="7" t="s">
        <x:v>58</x:v>
      </x:c>
    </x:row>
    <x:row r="1616" ht="51.75" hidden="0" customHeight="1">
      <x:c r="A1616" s="7" t="s">
        <x:v>5077</x:v>
      </x:c>
      <x:c r="B1616" s="7" t="s">
        <x:v>1051</x:v>
      </x:c>
      <x:c r="C1616" s="7" t="s">
        <x:v>1055</x:v>
      </x:c>
      <x:c r="D1616" s="7" t="s">
        <x:v>1935</x:v>
      </x:c>
      <x:c r="E1616" s="7" t="s">
        <x:v>5078</x:v>
      </x:c>
      <x:c r="F1616" s="7" t="s">
        <x:v>1929</x:v>
      </x:c>
      <x:c r="G1616" s="8" t="n">
        <x:v>3720</x:v>
      </x:c>
      <x:c r="H1616" s="8" t="s">
        <x:v>58</x:v>
      </x:c>
      <x:c r="I1616" s="8" t="s">
        <x:v>58</x:v>
      </x:c>
      <x:c r="J1616" s="7" t="s">
        <x:v>1919</x:v>
      </x:c>
      <x:c r="K1616" s="8" t="n">
        <x:v>0.001</x:v>
      </x:c>
      <x:c r="L1616" s="8" t="n">
        <x:f aca="0">IF(AND(ISNUMBER(G1616),P1616&lt;&gt;"Unresolved unit / layout"),G1616*K1616,"Not applicable")</x:f>
        <x:v>3.72</x:v>
      </x:c>
      <x:c r="M1616" s="8" t="str">
        <x:f aca="0">IF(AND(ISNUMBER(H1616),P1616&lt;&gt;"Unresolved unit / layout"),H1616*K1616,"Not applicable")</x:f>
        <x:v>Not applicable</x:v>
      </x:c>
      <x:c r="N1616" s="8" t="str">
        <x:f aca="0">IF(AND(ISNUMBER(I1616),P1616&lt;&gt;"Unresolved unit / layout"),I1616*K1616,"Not applicable")</x:f>
        <x:v>Not applicable</x:v>
      </x:c>
      <x:c r="O1616" s="7" t="s">
        <x:v>1937</x:v>
      </x:c>
      <x:c r="P1616" s="7" t="s">
        <x:v>1921</x:v>
      </x:c>
      <x:c r="Q1616" s="7" t="s">
        <x:v>1930</x:v>
      </x:c>
      <x:c r="R1616" s="7" t="s">
        <x:v>1931</x:v>
      </x:c>
      <x:c r="S1616" s="7" t="s">
        <x:v>53</x:v>
      </x:c>
      <x:c r="T1616" s="7" t="s">
        <x:v>53</x:v>
      </x:c>
      <x:c r="U1616" s="7" t="s">
        <x:v>53</x:v>
      </x:c>
      <x:c r="V1616" s="7" t="s">
        <x:v>1932</x:v>
      </x:c>
      <x:c r="W1616" s="7" t="s">
        <x:v>58</x:v>
      </x:c>
      <x:c r="X1616" s="7" t="s">
        <x:v>5075</x:v>
      </x:c>
      <x:c r="Y1616" s="7" t="s">
        <x:v>1403</x:v>
      </x:c>
      <x:c r="Z1616" s="7" t="s">
        <x:v>1938</x:v>
      </x:c>
      <x:c r="AA1616" s="7" t="s">
        <x:v>58</x:v>
      </x:c>
      <x:c r="AB1616" s="8" t="s">
        <x:v>58</x:v>
      </x:c>
      <x:c r="AC1616" s="8" t="s">
        <x:v>58</x:v>
      </x:c>
      <x:c r="AD1616" s="8" t="s">
        <x:v>58</x:v>
      </x:c>
      <x:c r="AE1616" s="8" t="s">
        <x:v>58</x:v>
      </x:c>
      <x:c r="AF1616" s="8" t="s">
        <x:v>58</x:v>
      </x:c>
      <x:c r="AG1616" s="7" t="s">
        <x:v>58</x:v>
      </x:c>
    </x:row>
    <x:row r="1617" ht="51.75" hidden="0" customHeight="1">
      <x:c r="A1617" s="7" t="s">
        <x:v>5079</x:v>
      </x:c>
      <x:c r="B1617" s="7" t="s">
        <x:v>1051</x:v>
      </x:c>
      <x:c r="C1617" s="7" t="s">
        <x:v>1055</x:v>
      </x:c>
      <x:c r="D1617" s="7" t="s">
        <x:v>1940</x:v>
      </x:c>
      <x:c r="E1617" s="7" t="s">
        <x:v>5080</x:v>
      </x:c>
      <x:c r="F1617" s="7" t="s">
        <x:v>1942</x:v>
      </x:c>
      <x:c r="G1617" s="8" t="n">
        <x:v>28</x:v>
      </x:c>
      <x:c r="H1617" s="8" t="s">
        <x:v>58</x:v>
      </x:c>
      <x:c r="I1617" s="8" t="s">
        <x:v>58</x:v>
      </x:c>
      <x:c r="J1617" s="7" t="s">
        <x:v>1919</x:v>
      </x:c>
      <x:c r="K1617" s="8" t="n">
        <x:v>1</x:v>
      </x:c>
      <x:c r="L1617" s="8" t="n">
        <x:f aca="0">IF(AND(ISNUMBER(G1617),P1617&lt;&gt;"Unresolved unit / layout"),G1617*K1617,"Not applicable")</x:f>
        <x:v>28</x:v>
      </x:c>
      <x:c r="M1617" s="8" t="str">
        <x:f aca="0">IF(AND(ISNUMBER(H1617),P1617&lt;&gt;"Unresolved unit / layout"),H1617*K1617,"Not applicable")</x:f>
        <x:v>Not applicable</x:v>
      </x:c>
      <x:c r="N1617" s="8" t="str">
        <x:f aca="0">IF(AND(ISNUMBER(I1617),P1617&lt;&gt;"Unresolved unit / layout"),I1617*K1617,"Not applicable")</x:f>
        <x:v>Not applicable</x:v>
      </x:c>
      <x:c r="O1617" s="7" t="s">
        <x:v>1942</x:v>
      </x:c>
      <x:c r="P1617" s="7" t="s">
        <x:v>1921</x:v>
      </x:c>
      <x:c r="Q1617" s="7" t="s">
        <x:v>1930</x:v>
      </x:c>
      <x:c r="R1617" s="7" t="s">
        <x:v>1931</x:v>
      </x:c>
      <x:c r="S1617" s="7" t="s">
        <x:v>53</x:v>
      </x:c>
      <x:c r="T1617" s="7" t="s">
        <x:v>53</x:v>
      </x:c>
      <x:c r="U1617" s="7" t="s">
        <x:v>53</x:v>
      </x:c>
      <x:c r="V1617" s="7" t="s">
        <x:v>1932</x:v>
      </x:c>
      <x:c r="W1617" s="7" t="s">
        <x:v>58</x:v>
      </x:c>
      <x:c r="X1617" s="7" t="s">
        <x:v>5075</x:v>
      </x:c>
      <x:c r="Y1617" s="7" t="s">
        <x:v>1403</x:v>
      </x:c>
      <x:c r="Z1617" s="7" t="s">
        <x:v>5081</x:v>
      </x:c>
      <x:c r="AA1617" s="7" t="s">
        <x:v>58</x:v>
      </x:c>
      <x:c r="AB1617" s="8" t="s">
        <x:v>58</x:v>
      </x:c>
      <x:c r="AC1617" s="8" t="s">
        <x:v>58</x:v>
      </x:c>
      <x:c r="AD1617" s="8" t="s">
        <x:v>58</x:v>
      </x:c>
      <x:c r="AE1617" s="8" t="s">
        <x:v>58</x:v>
      </x:c>
      <x:c r="AF1617" s="8" t="s">
        <x:v>58</x:v>
      </x:c>
      <x:c r="AG1617" s="7" t="s">
        <x:v>58</x:v>
      </x:c>
    </x:row>
    <x:row r="1618" ht="51.75" hidden="0" customHeight="1">
      <x:c r="A1618" s="7" t="s">
        <x:v>5082</x:v>
      </x:c>
      <x:c r="B1618" s="7" t="s">
        <x:v>1051</x:v>
      </x:c>
      <x:c r="C1618" s="7" t="s">
        <x:v>1055</x:v>
      </x:c>
      <x:c r="D1618" s="7" t="s">
        <x:v>1945</x:v>
      </x:c>
      <x:c r="E1618" s="7" t="s">
        <x:v>5083</x:v>
      </x:c>
      <x:c r="F1618" s="7" t="s">
        <x:v>1929</x:v>
      </x:c>
      <x:c r="G1618" s="8" t="n">
        <x:v>130</x:v>
      </x:c>
      <x:c r="H1618" s="8" t="s">
        <x:v>58</x:v>
      </x:c>
      <x:c r="I1618" s="8" t="s">
        <x:v>58</x:v>
      </x:c>
      <x:c r="J1618" s="7" t="s">
        <x:v>1919</x:v>
      </x:c>
      <x:c r="K1618" s="8" t="n">
        <x:v>1</x:v>
      </x:c>
      <x:c r="L1618" s="8" t="n">
        <x:f aca="0">IF(AND(ISNUMBER(G1618),P1618&lt;&gt;"Unresolved unit / layout"),G1618*K1618,"Not applicable")</x:f>
        <x:v>130</x:v>
      </x:c>
      <x:c r="M1618" s="8" t="str">
        <x:f aca="0">IF(AND(ISNUMBER(H1618),P1618&lt;&gt;"Unresolved unit / layout"),H1618*K1618,"Not applicable")</x:f>
        <x:v>Not applicable</x:v>
      </x:c>
      <x:c r="N1618" s="8" t="str">
        <x:f aca="0">IF(AND(ISNUMBER(I1618),P1618&lt;&gt;"Unresolved unit / layout"),I1618*K1618,"Not applicable")</x:f>
        <x:v>Not applicable</x:v>
      </x:c>
      <x:c r="O1618" s="7" t="s">
        <x:v>1929</x:v>
      </x:c>
      <x:c r="P1618" s="7" t="s">
        <x:v>1921</x:v>
      </x:c>
      <x:c r="Q1618" s="7" t="s">
        <x:v>1930</x:v>
      </x:c>
      <x:c r="R1618" s="7" t="s">
        <x:v>1931</x:v>
      </x:c>
      <x:c r="S1618" s="7" t="s">
        <x:v>53</x:v>
      </x:c>
      <x:c r="T1618" s="7" t="s">
        <x:v>53</x:v>
      </x:c>
      <x:c r="U1618" s="7" t="s">
        <x:v>53</x:v>
      </x:c>
      <x:c r="V1618" s="7" t="s">
        <x:v>1947</x:v>
      </x:c>
      <x:c r="W1618" s="7" t="s">
        <x:v>58</x:v>
      </x:c>
      <x:c r="X1618" s="7" t="s">
        <x:v>5075</x:v>
      </x:c>
      <x:c r="Y1618" s="7" t="s">
        <x:v>1403</x:v>
      </x:c>
      <x:c r="Z1618" s="7" t="s">
        <x:v>1948</x:v>
      </x:c>
      <x:c r="AA1618" s="7" t="s">
        <x:v>58</x:v>
      </x:c>
      <x:c r="AB1618" s="8" t="s">
        <x:v>58</x:v>
      </x:c>
      <x:c r="AC1618" s="8" t="s">
        <x:v>58</x:v>
      </x:c>
      <x:c r="AD1618" s="8" t="s">
        <x:v>58</x:v>
      </x:c>
      <x:c r="AE1618" s="8" t="s">
        <x:v>58</x:v>
      </x:c>
      <x:c r="AF1618" s="8" t="s">
        <x:v>58</x:v>
      </x:c>
      <x:c r="AG1618" s="7" t="s">
        <x:v>58</x:v>
      </x:c>
    </x:row>
    <x:row r="1619" ht="51.75" hidden="0" customHeight="1">
      <x:c r="A1619" s="7" t="s">
        <x:v>5084</x:v>
      </x:c>
      <x:c r="B1619" s="7" t="s">
        <x:v>1051</x:v>
      </x:c>
      <x:c r="C1619" s="7" t="s">
        <x:v>1055</x:v>
      </x:c>
      <x:c r="D1619" s="7" t="s">
        <x:v>1950</x:v>
      </x:c>
      <x:c r="E1619" s="7" t="s">
        <x:v>5085</x:v>
      </x:c>
      <x:c r="F1619" s="7" t="s">
        <x:v>1929</x:v>
      </x:c>
      <x:c r="G1619" s="8" t="n">
        <x:v>2700</x:v>
      </x:c>
      <x:c r="H1619" s="8" t="s">
        <x:v>58</x:v>
      </x:c>
      <x:c r="I1619" s="8" t="s">
        <x:v>58</x:v>
      </x:c>
      <x:c r="J1619" s="7" t="s">
        <x:v>1919</x:v>
      </x:c>
      <x:c r="K1619" s="8" t="n">
        <x:v>0.001</x:v>
      </x:c>
      <x:c r="L1619" s="8" t="n">
        <x:f aca="0">IF(AND(ISNUMBER(G1619),P1619&lt;&gt;"Unresolved unit / layout"),G1619*K1619,"Not applicable")</x:f>
        <x:v>2.7</x:v>
      </x:c>
      <x:c r="M1619" s="8" t="str">
        <x:f aca="0">IF(AND(ISNUMBER(H1619),P1619&lt;&gt;"Unresolved unit / layout"),H1619*K1619,"Not applicable")</x:f>
        <x:v>Not applicable</x:v>
      </x:c>
      <x:c r="N1619" s="8" t="str">
        <x:f aca="0">IF(AND(ISNUMBER(I1619),P1619&lt;&gt;"Unresolved unit / layout"),I1619*K1619,"Not applicable")</x:f>
        <x:v>Not applicable</x:v>
      </x:c>
      <x:c r="O1619" s="7" t="s">
        <x:v>1937</x:v>
      </x:c>
      <x:c r="P1619" s="7" t="s">
        <x:v>1921</x:v>
      </x:c>
      <x:c r="Q1619" s="7" t="s">
        <x:v>1930</x:v>
      </x:c>
      <x:c r="R1619" s="7" t="s">
        <x:v>1931</x:v>
      </x:c>
      <x:c r="S1619" s="7" t="s">
        <x:v>53</x:v>
      </x:c>
      <x:c r="T1619" s="7" t="s">
        <x:v>53</x:v>
      </x:c>
      <x:c r="U1619" s="7" t="s">
        <x:v>53</x:v>
      </x:c>
      <x:c r="V1619" s="7" t="s">
        <x:v>1947</x:v>
      </x:c>
      <x:c r="W1619" s="7" t="s">
        <x:v>58</x:v>
      </x:c>
      <x:c r="X1619" s="7" t="s">
        <x:v>5075</x:v>
      </x:c>
      <x:c r="Y1619" s="7" t="s">
        <x:v>1403</x:v>
      </x:c>
      <x:c r="Z1619" s="7" t="s">
        <x:v>1952</x:v>
      </x:c>
      <x:c r="AA1619" s="7" t="s">
        <x:v>58</x:v>
      </x:c>
      <x:c r="AB1619" s="8" t="s">
        <x:v>58</x:v>
      </x:c>
      <x:c r="AC1619" s="8" t="s">
        <x:v>58</x:v>
      </x:c>
      <x:c r="AD1619" s="8" t="s">
        <x:v>58</x:v>
      </x:c>
      <x:c r="AE1619" s="8" t="s">
        <x:v>58</x:v>
      </x:c>
      <x:c r="AF1619" s="8" t="s">
        <x:v>58</x:v>
      </x:c>
      <x:c r="AG1619" s="7" t="s">
        <x:v>58</x:v>
      </x:c>
    </x:row>
    <x:row r="1620" ht="51.75" hidden="0" customHeight="1">
      <x:c r="A1620" s="7" t="s">
        <x:v>5086</x:v>
      </x:c>
      <x:c r="B1620" s="7" t="s">
        <x:v>1051</x:v>
      </x:c>
      <x:c r="C1620" s="7" t="s">
        <x:v>1055</x:v>
      </x:c>
      <x:c r="D1620" s="7" t="s">
        <x:v>1954</x:v>
      </x:c>
      <x:c r="E1620" s="7" t="s">
        <x:v>3451</x:v>
      </x:c>
      <x:c r="F1620" s="7" t="s">
        <x:v>1956</x:v>
      </x:c>
      <x:c r="G1620" s="8" t="n">
        <x:v>143</x:v>
      </x:c>
      <x:c r="H1620" s="8" t="s">
        <x:v>58</x:v>
      </x:c>
      <x:c r="I1620" s="8" t="s">
        <x:v>58</x:v>
      </x:c>
      <x:c r="J1620" s="7" t="s">
        <x:v>1919</x:v>
      </x:c>
      <x:c r="K1620" s="8" t="n">
        <x:v>1</x:v>
      </x:c>
      <x:c r="L1620" s="8" t="n">
        <x:f aca="0">IF(AND(ISNUMBER(G1620),P1620&lt;&gt;"Unresolved unit / layout"),G1620*K1620,"Not applicable")</x:f>
        <x:v>143</x:v>
      </x:c>
      <x:c r="M1620" s="8" t="str">
        <x:f aca="0">IF(AND(ISNUMBER(H1620),P1620&lt;&gt;"Unresolved unit / layout"),H1620*K1620,"Not applicable")</x:f>
        <x:v>Not applicable</x:v>
      </x:c>
      <x:c r="N1620" s="8" t="str">
        <x:f aca="0">IF(AND(ISNUMBER(I1620),P1620&lt;&gt;"Unresolved unit / layout"),I1620*K1620,"Not applicable")</x:f>
        <x:v>Not applicable</x:v>
      </x:c>
      <x:c r="O1620" s="7" t="s">
        <x:v>1956</x:v>
      </x:c>
      <x:c r="P1620" s="7" t="s">
        <x:v>1921</x:v>
      </x:c>
      <x:c r="Q1620" s="7" t="s">
        <x:v>1930</x:v>
      </x:c>
      <x:c r="R1620" s="7" t="s">
        <x:v>58</x:v>
      </x:c>
      <x:c r="S1620" s="7" t="s">
        <x:v>53</x:v>
      </x:c>
      <x:c r="T1620" s="7" t="s">
        <x:v>53</x:v>
      </x:c>
      <x:c r="U1620" s="7" t="s">
        <x:v>53</x:v>
      </x:c>
      <x:c r="V1620" s="7" t="s">
        <x:v>1957</x:v>
      </x:c>
      <x:c r="W1620" s="7" t="s">
        <x:v>58</x:v>
      </x:c>
      <x:c r="X1620" s="7" t="s">
        <x:v>5075</x:v>
      </x:c>
      <x:c r="Y1620" s="7" t="s">
        <x:v>1403</x:v>
      </x:c>
      <x:c r="Z1620" s="7" t="s">
        <x:v>3215</x:v>
      </x:c>
      <x:c r="AA1620" s="7" t="s">
        <x:v>58</x:v>
      </x:c>
      <x:c r="AB1620" s="8" t="s">
        <x:v>58</x:v>
      </x:c>
      <x:c r="AC1620" s="8" t="s">
        <x:v>58</x:v>
      </x:c>
      <x:c r="AD1620" s="8" t="s">
        <x:v>58</x:v>
      </x:c>
      <x:c r="AE1620" s="8" t="s">
        <x:v>58</x:v>
      </x:c>
      <x:c r="AF1620" s="8" t="s">
        <x:v>58</x:v>
      </x:c>
      <x:c r="AG1620" s="7" t="s">
        <x:v>58</x:v>
      </x:c>
    </x:row>
    <x:row r="1621" ht="51.75" hidden="0" customHeight="1">
      <x:c r="A1621" s="7" t="s">
        <x:v>1061</x:v>
      </x:c>
      <x:c r="B1621" s="7" t="s">
        <x:v>1051</x:v>
      </x:c>
      <x:c r="C1621" s="7" t="s">
        <x:v>1055</x:v>
      </x:c>
      <x:c r="D1621" s="7" t="s">
        <x:v>1959</x:v>
      </x:c>
      <x:c r="E1621" s="7" t="s">
        <x:v>3807</x:v>
      </x:c>
      <x:c r="F1621" s="7" t="s">
        <x:v>1956</x:v>
      </x:c>
      <x:c r="G1621" s="8" t="n">
        <x:v>140</x:v>
      </x:c>
      <x:c r="H1621" s="8" t="s">
        <x:v>58</x:v>
      </x:c>
      <x:c r="I1621" s="8" t="s">
        <x:v>58</x:v>
      </x:c>
      <x:c r="J1621" s="7" t="s">
        <x:v>1919</x:v>
      </x:c>
      <x:c r="K1621" s="8" t="n">
        <x:v>1</x:v>
      </x:c>
      <x:c r="L1621" s="8" t="n">
        <x:f aca="0">IF(AND(ISNUMBER(G1621),P1621&lt;&gt;"Unresolved unit / layout"),G1621*K1621,"Not applicable")</x:f>
        <x:v>140</x:v>
      </x:c>
      <x:c r="M1621" s="8" t="str">
        <x:f aca="0">IF(AND(ISNUMBER(H1621),P1621&lt;&gt;"Unresolved unit / layout"),H1621*K1621,"Not applicable")</x:f>
        <x:v>Not applicable</x:v>
      </x:c>
      <x:c r="N1621" s="8" t="str">
        <x:f aca="0">IF(AND(ISNUMBER(I1621),P1621&lt;&gt;"Unresolved unit / layout"),I1621*K1621,"Not applicable")</x:f>
        <x:v>Not applicable</x:v>
      </x:c>
      <x:c r="O1621" s="7" t="s">
        <x:v>1956</x:v>
      </x:c>
      <x:c r="P1621" s="7" t="s">
        <x:v>1921</x:v>
      </x:c>
      <x:c r="Q1621" s="7" t="s">
        <x:v>1930</x:v>
      </x:c>
      <x:c r="R1621" s="7" t="s">
        <x:v>58</x:v>
      </x:c>
      <x:c r="S1621" s="7" t="s">
        <x:v>53</x:v>
      </x:c>
      <x:c r="T1621" s="7" t="s">
        <x:v>53</x:v>
      </x:c>
      <x:c r="U1621" s="7" t="s">
        <x:v>53</x:v>
      </x:c>
      <x:c r="V1621" s="7" t="s">
        <x:v>1961</x:v>
      </x:c>
      <x:c r="W1621" s="7" t="s">
        <x:v>58</x:v>
      </x:c>
      <x:c r="X1621" s="7" t="s">
        <x:v>5075</x:v>
      </x:c>
      <x:c r="Y1621" s="7" t="s">
        <x:v>1403</x:v>
      </x:c>
      <x:c r="Z1621" s="7" t="s">
        <x:v>1962</x:v>
      </x:c>
      <x:c r="AA1621" s="7" t="s">
        <x:v>58</x:v>
      </x:c>
      <x:c r="AB1621" s="8" t="s">
        <x:v>58</x:v>
      </x:c>
      <x:c r="AC1621" s="8" t="s">
        <x:v>58</x:v>
      </x:c>
      <x:c r="AD1621" s="8" t="s">
        <x:v>58</x:v>
      </x:c>
      <x:c r="AE1621" s="8" t="s">
        <x:v>58</x:v>
      </x:c>
      <x:c r="AF1621" s="8" t="s">
        <x:v>58</x:v>
      </x:c>
      <x:c r="AG1621" s="7" t="s">
        <x:v>58</x:v>
      </x:c>
    </x:row>
    <x:row r="1622" ht="51.75" hidden="0" customHeight="1">
      <x:c r="A1622" s="7" t="s">
        <x:v>5087</x:v>
      </x:c>
      <x:c r="B1622" s="7" t="s">
        <x:v>1068</x:v>
      </x:c>
      <x:c r="C1622" s="7" t="s">
        <x:v>1070</x:v>
      </x:c>
      <x:c r="D1622" s="7" t="s">
        <x:v>1916</x:v>
      </x:c>
      <x:c r="E1622" s="7" t="s">
        <x:v>5088</x:v>
      </x:c>
      <x:c r="F1622" s="7" t="s">
        <x:v>1918</x:v>
      </x:c>
      <x:c r="G1622" s="8" t="n">
        <x:v>1.27</x:v>
      </x:c>
      <x:c r="H1622" s="8" t="s">
        <x:v>58</x:v>
      </x:c>
      <x:c r="I1622" s="8" t="s">
        <x:v>58</x:v>
      </x:c>
      <x:c r="J1622" s="7" t="s">
        <x:v>1919</x:v>
      </x:c>
      <x:c r="K1622" s="8" t="n">
        <x:v>1000</x:v>
      </x:c>
      <x:c r="L1622" s="8" t="n">
        <x:f aca="0">IF(AND(ISNUMBER(G1622),P1622&lt;&gt;"Unresolved unit / layout"),G1622*K1622,"Not applicable")</x:f>
        <x:v>1270</x:v>
      </x:c>
      <x:c r="M1622" s="8" t="str">
        <x:f aca="0">IF(AND(ISNUMBER(H1622),P1622&lt;&gt;"Unresolved unit / layout"),H1622*K1622,"Not applicable")</x:f>
        <x:v>Not applicable</x:v>
      </x:c>
      <x:c r="N1622" s="8" t="str">
        <x:f aca="0">IF(AND(ISNUMBER(I1622),P1622&lt;&gt;"Unresolved unit / layout"),I1622*K1622,"Not applicable")</x:f>
        <x:v>Not applicable</x:v>
      </x:c>
      <x:c r="O1622" s="7" t="s">
        <x:v>1920</x:v>
      </x:c>
      <x:c r="P1622" s="7" t="s">
        <x:v>1921</x:v>
      </x:c>
      <x:c r="Q1622" s="7" t="s">
        <x:v>1922</x:v>
      </x:c>
      <x:c r="R1622" s="7" t="s">
        <x:v>58</x:v>
      </x:c>
      <x:c r="S1622" s="7" t="s">
        <x:v>53</x:v>
      </x:c>
      <x:c r="T1622" s="7" t="s">
        <x:v>53</x:v>
      </x:c>
      <x:c r="U1622" s="7" t="s">
        <x:v>53</x:v>
      </x:c>
      <x:c r="V1622" s="7" t="s">
        <x:v>1923</x:v>
      </x:c>
      <x:c r="W1622" s="7" t="s">
        <x:v>58</x:v>
      </x:c>
      <x:c r="X1622" s="7" t="s">
        <x:v>5089</x:v>
      </x:c>
      <x:c r="Y1622" s="7" t="s">
        <x:v>1408</x:v>
      </x:c>
      <x:c r="Z1622" s="7" t="s">
        <x:v>1925</x:v>
      </x:c>
      <x:c r="AA1622" s="7" t="s">
        <x:v>58</x:v>
      </x:c>
      <x:c r="AB1622" s="8" t="s">
        <x:v>58</x:v>
      </x:c>
      <x:c r="AC1622" s="8" t="s">
        <x:v>58</x:v>
      </x:c>
      <x:c r="AD1622" s="8" t="s">
        <x:v>58</x:v>
      </x:c>
      <x:c r="AE1622" s="8" t="s">
        <x:v>58</x:v>
      </x:c>
      <x:c r="AF1622" s="8" t="s">
        <x:v>58</x:v>
      </x:c>
      <x:c r="AG1622" s="7" t="s">
        <x:v>58</x:v>
      </x:c>
    </x:row>
    <x:row r="1623" ht="51.75" hidden="0" customHeight="1">
      <x:c r="A1623" s="7" t="s">
        <x:v>5090</x:v>
      </x:c>
      <x:c r="B1623" s="7" t="s">
        <x:v>1068</x:v>
      </x:c>
      <x:c r="C1623" s="7" t="s">
        <x:v>1070</x:v>
      </x:c>
      <x:c r="D1623" s="7" t="s">
        <x:v>2006</x:v>
      </x:c>
      <x:c r="E1623" s="7" t="s">
        <x:v>3190</x:v>
      </x:c>
      <x:c r="F1623" s="7" t="s">
        <x:v>1929</x:v>
      </x:c>
      <x:c r="G1623" s="8" t="n">
        <x:v>105</x:v>
      </x:c>
      <x:c r="H1623" s="8" t="s">
        <x:v>58</x:v>
      </x:c>
      <x:c r="I1623" s="8" t="s">
        <x:v>58</x:v>
      </x:c>
      <x:c r="J1623" s="7" t="s">
        <x:v>1919</x:v>
      </x:c>
      <x:c r="K1623" s="8" t="n">
        <x:v>1</x:v>
      </x:c>
      <x:c r="L1623" s="8" t="n">
        <x:f aca="0">IF(AND(ISNUMBER(G1623),P1623&lt;&gt;"Unresolved unit / layout"),G1623*K1623,"Not applicable")</x:f>
        <x:v>105</x:v>
      </x:c>
      <x:c r="M1623" s="8" t="str">
        <x:f aca="0">IF(AND(ISNUMBER(H1623),P1623&lt;&gt;"Unresolved unit / layout"),H1623*K1623,"Not applicable")</x:f>
        <x:v>Not applicable</x:v>
      </x:c>
      <x:c r="N1623" s="8" t="str">
        <x:f aca="0">IF(AND(ISNUMBER(I1623),P1623&lt;&gt;"Unresolved unit / layout"),I1623*K1623,"Not applicable")</x:f>
        <x:v>Not applicable</x:v>
      </x:c>
      <x:c r="O1623" s="7" t="s">
        <x:v>1929</x:v>
      </x:c>
      <x:c r="P1623" s="7" t="s">
        <x:v>1921</x:v>
      </x:c>
      <x:c r="Q1623" s="7" t="s">
        <x:v>1930</x:v>
      </x:c>
      <x:c r="R1623" s="7" t="s">
        <x:v>1931</x:v>
      </x:c>
      <x:c r="S1623" s="7" t="s">
        <x:v>53</x:v>
      </x:c>
      <x:c r="T1623" s="7" t="s">
        <x:v>53</x:v>
      </x:c>
      <x:c r="U1623" s="7" t="s">
        <x:v>53</x:v>
      </x:c>
      <x:c r="V1623" s="7" t="s">
        <x:v>1932</x:v>
      </x:c>
      <x:c r="W1623" s="7" t="s">
        <x:v>58</x:v>
      </x:c>
      <x:c r="X1623" s="7" t="s">
        <x:v>5089</x:v>
      </x:c>
      <x:c r="Y1623" s="7" t="s">
        <x:v>1408</x:v>
      </x:c>
      <x:c r="Z1623" s="7" t="s">
        <x:v>2825</x:v>
      </x:c>
      <x:c r="AA1623" s="7" t="s">
        <x:v>58</x:v>
      </x:c>
      <x:c r="AB1623" s="8" t="s">
        <x:v>58</x:v>
      </x:c>
      <x:c r="AC1623" s="8" t="s">
        <x:v>58</x:v>
      </x:c>
      <x:c r="AD1623" s="8" t="s">
        <x:v>58</x:v>
      </x:c>
      <x:c r="AE1623" s="8" t="s">
        <x:v>58</x:v>
      </x:c>
      <x:c r="AF1623" s="8" t="s">
        <x:v>58</x:v>
      </x:c>
      <x:c r="AG1623" s="7" t="s">
        <x:v>58</x:v>
      </x:c>
    </x:row>
    <x:row r="1624" ht="51.75" hidden="0" customHeight="1">
      <x:c r="A1624" s="7" t="s">
        <x:v>5091</x:v>
      </x:c>
      <x:c r="B1624" s="7" t="s">
        <x:v>1068</x:v>
      </x:c>
      <x:c r="C1624" s="7" t="s">
        <x:v>1070</x:v>
      </x:c>
      <x:c r="D1624" s="7" t="s">
        <x:v>1935</x:v>
      </x:c>
      <x:c r="E1624" s="7" t="s">
        <x:v>5092</x:v>
      </x:c>
      <x:c r="F1624" s="7" t="s">
        <x:v>1929</x:v>
      </x:c>
      <x:c r="G1624" s="8" t="n">
        <x:v>2750</x:v>
      </x:c>
      <x:c r="H1624" s="8" t="s">
        <x:v>58</x:v>
      </x:c>
      <x:c r="I1624" s="8" t="s">
        <x:v>58</x:v>
      </x:c>
      <x:c r="J1624" s="7" t="s">
        <x:v>1919</x:v>
      </x:c>
      <x:c r="K1624" s="8" t="n">
        <x:v>0.001</x:v>
      </x:c>
      <x:c r="L1624" s="8" t="n">
        <x:f aca="0">IF(AND(ISNUMBER(G1624),P1624&lt;&gt;"Unresolved unit / layout"),G1624*K1624,"Not applicable")</x:f>
        <x:v>2.75</x:v>
      </x:c>
      <x:c r="M1624" s="8" t="str">
        <x:f aca="0">IF(AND(ISNUMBER(H1624),P1624&lt;&gt;"Unresolved unit / layout"),H1624*K1624,"Not applicable")</x:f>
        <x:v>Not applicable</x:v>
      </x:c>
      <x:c r="N1624" s="8" t="str">
        <x:f aca="0">IF(AND(ISNUMBER(I1624),P1624&lt;&gt;"Unresolved unit / layout"),I1624*K1624,"Not applicable")</x:f>
        <x:v>Not applicable</x:v>
      </x:c>
      <x:c r="O1624" s="7" t="s">
        <x:v>1937</x:v>
      </x:c>
      <x:c r="P1624" s="7" t="s">
        <x:v>1921</x:v>
      </x:c>
      <x:c r="Q1624" s="7" t="s">
        <x:v>1930</x:v>
      </x:c>
      <x:c r="R1624" s="7" t="s">
        <x:v>1931</x:v>
      </x:c>
      <x:c r="S1624" s="7" t="s">
        <x:v>53</x:v>
      </x:c>
      <x:c r="T1624" s="7" t="s">
        <x:v>53</x:v>
      </x:c>
      <x:c r="U1624" s="7" t="s">
        <x:v>53</x:v>
      </x:c>
      <x:c r="V1624" s="7" t="s">
        <x:v>1932</x:v>
      </x:c>
      <x:c r="W1624" s="7" t="s">
        <x:v>58</x:v>
      </x:c>
      <x:c r="X1624" s="7" t="s">
        <x:v>5089</x:v>
      </x:c>
      <x:c r="Y1624" s="7" t="s">
        <x:v>1408</x:v>
      </x:c>
      <x:c r="Z1624" s="7" t="s">
        <x:v>1938</x:v>
      </x:c>
      <x:c r="AA1624" s="7" t="s">
        <x:v>58</x:v>
      </x:c>
      <x:c r="AB1624" s="8" t="s">
        <x:v>58</x:v>
      </x:c>
      <x:c r="AC1624" s="8" t="s">
        <x:v>58</x:v>
      </x:c>
      <x:c r="AD1624" s="8" t="s">
        <x:v>58</x:v>
      </x:c>
      <x:c r="AE1624" s="8" t="s">
        <x:v>58</x:v>
      </x:c>
      <x:c r="AF1624" s="8" t="s">
        <x:v>58</x:v>
      </x:c>
      <x:c r="AG1624" s="7" t="s">
        <x:v>58</x:v>
      </x:c>
    </x:row>
    <x:row r="1625" ht="51.75" hidden="0" customHeight="1">
      <x:c r="A1625" s="7" t="s">
        <x:v>5093</x:v>
      </x:c>
      <x:c r="B1625" s="7" t="s">
        <x:v>1068</x:v>
      </x:c>
      <x:c r="C1625" s="7" t="s">
        <x:v>1070</x:v>
      </x:c>
      <x:c r="D1625" s="7" t="s">
        <x:v>1940</x:v>
      </x:c>
      <x:c r="E1625" s="7" t="s">
        <x:v>5094</x:v>
      </x:c>
      <x:c r="F1625" s="7" t="s">
        <x:v>1942</x:v>
      </x:c>
      <x:c r="G1625" s="8" t="n">
        <x:v>5</x:v>
      </x:c>
      <x:c r="H1625" s="8" t="s">
        <x:v>58</x:v>
      </x:c>
      <x:c r="I1625" s="8" t="s">
        <x:v>58</x:v>
      </x:c>
      <x:c r="J1625" s="7" t="s">
        <x:v>1919</x:v>
      </x:c>
      <x:c r="K1625" s="8" t="n">
        <x:v>1</x:v>
      </x:c>
      <x:c r="L1625" s="8" t="n">
        <x:f aca="0">IF(AND(ISNUMBER(G1625),P1625&lt;&gt;"Unresolved unit / layout"),G1625*K1625,"Not applicable")</x:f>
        <x:v>5</x:v>
      </x:c>
      <x:c r="M1625" s="8" t="str">
        <x:f aca="0">IF(AND(ISNUMBER(H1625),P1625&lt;&gt;"Unresolved unit / layout"),H1625*K1625,"Not applicable")</x:f>
        <x:v>Not applicable</x:v>
      </x:c>
      <x:c r="N1625" s="8" t="str">
        <x:f aca="0">IF(AND(ISNUMBER(I1625),P1625&lt;&gt;"Unresolved unit / layout"),I1625*K1625,"Not applicable")</x:f>
        <x:v>Not applicable</x:v>
      </x:c>
      <x:c r="O1625" s="7" t="s">
        <x:v>1942</x:v>
      </x:c>
      <x:c r="P1625" s="7" t="s">
        <x:v>1921</x:v>
      </x:c>
      <x:c r="Q1625" s="7" t="s">
        <x:v>1930</x:v>
      </x:c>
      <x:c r="R1625" s="7" t="s">
        <x:v>1931</x:v>
      </x:c>
      <x:c r="S1625" s="7" t="s">
        <x:v>53</x:v>
      </x:c>
      <x:c r="T1625" s="7" t="s">
        <x:v>53</x:v>
      </x:c>
      <x:c r="U1625" s="7" t="s">
        <x:v>53</x:v>
      </x:c>
      <x:c r="V1625" s="7" t="s">
        <x:v>1932</x:v>
      </x:c>
      <x:c r="W1625" s="7" t="s">
        <x:v>58</x:v>
      </x:c>
      <x:c r="X1625" s="7" t="s">
        <x:v>5089</x:v>
      </x:c>
      <x:c r="Y1625" s="7" t="s">
        <x:v>1408</x:v>
      </x:c>
      <x:c r="Z1625" s="7" t="s">
        <x:v>5081</x:v>
      </x:c>
      <x:c r="AA1625" s="7" t="s">
        <x:v>58</x:v>
      </x:c>
      <x:c r="AB1625" s="8" t="s">
        <x:v>58</x:v>
      </x:c>
      <x:c r="AC1625" s="8" t="s">
        <x:v>58</x:v>
      </x:c>
      <x:c r="AD1625" s="8" t="s">
        <x:v>58</x:v>
      </x:c>
      <x:c r="AE1625" s="8" t="s">
        <x:v>58</x:v>
      </x:c>
      <x:c r="AF1625" s="8" t="s">
        <x:v>58</x:v>
      </x:c>
      <x:c r="AG1625" s="7" t="s">
        <x:v>58</x:v>
      </x:c>
    </x:row>
    <x:row r="1626" ht="51.75" hidden="0" customHeight="1">
      <x:c r="A1626" s="7" t="s">
        <x:v>5095</x:v>
      </x:c>
      <x:c r="B1626" s="7" t="s">
        <x:v>1068</x:v>
      </x:c>
      <x:c r="C1626" s="7" t="s">
        <x:v>1070</x:v>
      </x:c>
      <x:c r="D1626" s="7" t="s">
        <x:v>1945</x:v>
      </x:c>
      <x:c r="E1626" s="7" t="s">
        <x:v>5096</x:v>
      </x:c>
      <x:c r="F1626" s="7" t="s">
        <x:v>1929</x:v>
      </x:c>
      <x:c r="G1626" s="8" t="n">
        <x:v>95</x:v>
      </x:c>
      <x:c r="H1626" s="8" t="s">
        <x:v>58</x:v>
      </x:c>
      <x:c r="I1626" s="8" t="s">
        <x:v>58</x:v>
      </x:c>
      <x:c r="J1626" s="7" t="s">
        <x:v>1919</x:v>
      </x:c>
      <x:c r="K1626" s="8" t="n">
        <x:v>1</x:v>
      </x:c>
      <x:c r="L1626" s="8" t="n">
        <x:f aca="0">IF(AND(ISNUMBER(G1626),P1626&lt;&gt;"Unresolved unit / layout"),G1626*K1626,"Not applicable")</x:f>
        <x:v>95</x:v>
      </x:c>
      <x:c r="M1626" s="8" t="str">
        <x:f aca="0">IF(AND(ISNUMBER(H1626),P1626&lt;&gt;"Unresolved unit / layout"),H1626*K1626,"Not applicable")</x:f>
        <x:v>Not applicable</x:v>
      </x:c>
      <x:c r="N1626" s="8" t="str">
        <x:f aca="0">IF(AND(ISNUMBER(I1626),P1626&lt;&gt;"Unresolved unit / layout"),I1626*K1626,"Not applicable")</x:f>
        <x:v>Not applicable</x:v>
      </x:c>
      <x:c r="O1626" s="7" t="s">
        <x:v>1929</x:v>
      </x:c>
      <x:c r="P1626" s="7" t="s">
        <x:v>1921</x:v>
      </x:c>
      <x:c r="Q1626" s="7" t="s">
        <x:v>1930</x:v>
      </x:c>
      <x:c r="R1626" s="7" t="s">
        <x:v>1931</x:v>
      </x:c>
      <x:c r="S1626" s="7" t="s">
        <x:v>53</x:v>
      </x:c>
      <x:c r="T1626" s="7" t="s">
        <x:v>53</x:v>
      </x:c>
      <x:c r="U1626" s="7" t="s">
        <x:v>53</x:v>
      </x:c>
      <x:c r="V1626" s="7" t="s">
        <x:v>1947</x:v>
      </x:c>
      <x:c r="W1626" s="7" t="s">
        <x:v>58</x:v>
      </x:c>
      <x:c r="X1626" s="7" t="s">
        <x:v>5089</x:v>
      </x:c>
      <x:c r="Y1626" s="7" t="s">
        <x:v>1408</x:v>
      </x:c>
      <x:c r="Z1626" s="7" t="s">
        <x:v>1948</x:v>
      </x:c>
      <x:c r="AA1626" s="7" t="s">
        <x:v>58</x:v>
      </x:c>
      <x:c r="AB1626" s="8" t="s">
        <x:v>58</x:v>
      </x:c>
      <x:c r="AC1626" s="8" t="s">
        <x:v>58</x:v>
      </x:c>
      <x:c r="AD1626" s="8" t="s">
        <x:v>58</x:v>
      </x:c>
      <x:c r="AE1626" s="8" t="s">
        <x:v>58</x:v>
      </x:c>
      <x:c r="AF1626" s="8" t="s">
        <x:v>58</x:v>
      </x:c>
      <x:c r="AG1626" s="7" t="s">
        <x:v>58</x:v>
      </x:c>
    </x:row>
    <x:row r="1627" ht="51.75" hidden="0" customHeight="1">
      <x:c r="A1627" s="7" t="s">
        <x:v>5097</x:v>
      </x:c>
      <x:c r="B1627" s="7" t="s">
        <x:v>1068</x:v>
      </x:c>
      <x:c r="C1627" s="7" t="s">
        <x:v>1070</x:v>
      </x:c>
      <x:c r="D1627" s="7" t="s">
        <x:v>1950</x:v>
      </x:c>
      <x:c r="E1627" s="7" t="s">
        <x:v>5098</x:v>
      </x:c>
      <x:c r="F1627" s="7" t="s">
        <x:v>1929</x:v>
      </x:c>
      <x:c r="G1627" s="8" t="n">
        <x:v>2680</x:v>
      </x:c>
      <x:c r="H1627" s="8" t="s">
        <x:v>58</x:v>
      </x:c>
      <x:c r="I1627" s="8" t="s">
        <x:v>58</x:v>
      </x:c>
      <x:c r="J1627" s="7" t="s">
        <x:v>1919</x:v>
      </x:c>
      <x:c r="K1627" s="8" t="n">
        <x:v>0.001</x:v>
      </x:c>
      <x:c r="L1627" s="8" t="n">
        <x:f aca="0">IF(AND(ISNUMBER(G1627),P1627&lt;&gt;"Unresolved unit / layout"),G1627*K1627,"Not applicable")</x:f>
        <x:v>2.68</x:v>
      </x:c>
      <x:c r="M1627" s="8" t="str">
        <x:f aca="0">IF(AND(ISNUMBER(H1627),P1627&lt;&gt;"Unresolved unit / layout"),H1627*K1627,"Not applicable")</x:f>
        <x:v>Not applicable</x:v>
      </x:c>
      <x:c r="N1627" s="8" t="str">
        <x:f aca="0">IF(AND(ISNUMBER(I1627),P1627&lt;&gt;"Unresolved unit / layout"),I1627*K1627,"Not applicable")</x:f>
        <x:v>Not applicable</x:v>
      </x:c>
      <x:c r="O1627" s="7" t="s">
        <x:v>1937</x:v>
      </x:c>
      <x:c r="P1627" s="7" t="s">
        <x:v>1921</x:v>
      </x:c>
      <x:c r="Q1627" s="7" t="s">
        <x:v>1930</x:v>
      </x:c>
      <x:c r="R1627" s="7" t="s">
        <x:v>1931</x:v>
      </x:c>
      <x:c r="S1627" s="7" t="s">
        <x:v>53</x:v>
      </x:c>
      <x:c r="T1627" s="7" t="s">
        <x:v>53</x:v>
      </x:c>
      <x:c r="U1627" s="7" t="s">
        <x:v>53</x:v>
      </x:c>
      <x:c r="V1627" s="7" t="s">
        <x:v>1947</x:v>
      </x:c>
      <x:c r="W1627" s="7" t="s">
        <x:v>58</x:v>
      </x:c>
      <x:c r="X1627" s="7" t="s">
        <x:v>5089</x:v>
      </x:c>
      <x:c r="Y1627" s="7" t="s">
        <x:v>1408</x:v>
      </x:c>
      <x:c r="Z1627" s="7" t="s">
        <x:v>1952</x:v>
      </x:c>
      <x:c r="AA1627" s="7" t="s">
        <x:v>58</x:v>
      </x:c>
      <x:c r="AB1627" s="8" t="s">
        <x:v>58</x:v>
      </x:c>
      <x:c r="AC1627" s="8" t="s">
        <x:v>58</x:v>
      </x:c>
      <x:c r="AD1627" s="8" t="s">
        <x:v>58</x:v>
      </x:c>
      <x:c r="AE1627" s="8" t="s">
        <x:v>58</x:v>
      </x:c>
      <x:c r="AF1627" s="8" t="s">
        <x:v>58</x:v>
      </x:c>
      <x:c r="AG1627" s="7" t="s">
        <x:v>58</x:v>
      </x:c>
    </x:row>
    <x:row r="1628" ht="51.75" hidden="0" customHeight="1">
      <x:c r="A1628" s="7" t="s">
        <x:v>5099</x:v>
      </x:c>
      <x:c r="B1628" s="7" t="s">
        <x:v>1068</x:v>
      </x:c>
      <x:c r="C1628" s="7" t="s">
        <x:v>1070</x:v>
      </x:c>
      <x:c r="D1628" s="7" t="s">
        <x:v>1954</x:v>
      </x:c>
      <x:c r="E1628" s="7" t="s">
        <x:v>5100</x:v>
      </x:c>
      <x:c r="F1628" s="7" t="s">
        <x:v>1956</x:v>
      </x:c>
      <x:c r="G1628" s="8" t="n">
        <x:v>162</x:v>
      </x:c>
      <x:c r="H1628" s="8" t="s">
        <x:v>58</x:v>
      </x:c>
      <x:c r="I1628" s="8" t="s">
        <x:v>58</x:v>
      </x:c>
      <x:c r="J1628" s="7" t="s">
        <x:v>1919</x:v>
      </x:c>
      <x:c r="K1628" s="8" t="n">
        <x:v>1</x:v>
      </x:c>
      <x:c r="L1628" s="8" t="n">
        <x:f aca="0">IF(AND(ISNUMBER(G1628),P1628&lt;&gt;"Unresolved unit / layout"),G1628*K1628,"Not applicable")</x:f>
        <x:v>162</x:v>
      </x:c>
      <x:c r="M1628" s="8" t="str">
        <x:f aca="0">IF(AND(ISNUMBER(H1628),P1628&lt;&gt;"Unresolved unit / layout"),H1628*K1628,"Not applicable")</x:f>
        <x:v>Not applicable</x:v>
      </x:c>
      <x:c r="N1628" s="8" t="str">
        <x:f aca="0">IF(AND(ISNUMBER(I1628),P1628&lt;&gt;"Unresolved unit / layout"),I1628*K1628,"Not applicable")</x:f>
        <x:v>Not applicable</x:v>
      </x:c>
      <x:c r="O1628" s="7" t="s">
        <x:v>1956</x:v>
      </x:c>
      <x:c r="P1628" s="7" t="s">
        <x:v>1921</x:v>
      </x:c>
      <x:c r="Q1628" s="7" t="s">
        <x:v>1930</x:v>
      </x:c>
      <x:c r="R1628" s="7" t="s">
        <x:v>58</x:v>
      </x:c>
      <x:c r="S1628" s="7" t="s">
        <x:v>53</x:v>
      </x:c>
      <x:c r="T1628" s="7" t="s">
        <x:v>53</x:v>
      </x:c>
      <x:c r="U1628" s="7" t="s">
        <x:v>53</x:v>
      </x:c>
      <x:c r="V1628" s="7" t="s">
        <x:v>1957</x:v>
      </x:c>
      <x:c r="W1628" s="7" t="s">
        <x:v>58</x:v>
      </x:c>
      <x:c r="X1628" s="7" t="s">
        <x:v>5089</x:v>
      </x:c>
      <x:c r="Y1628" s="7" t="s">
        <x:v>1408</x:v>
      </x:c>
      <x:c r="Z1628" s="7" t="s">
        <x:v>3215</x:v>
      </x:c>
      <x:c r="AA1628" s="7" t="s">
        <x:v>58</x:v>
      </x:c>
      <x:c r="AB1628" s="8" t="s">
        <x:v>58</x:v>
      </x:c>
      <x:c r="AC1628" s="8" t="s">
        <x:v>58</x:v>
      </x:c>
      <x:c r="AD1628" s="8" t="s">
        <x:v>58</x:v>
      </x:c>
      <x:c r="AE1628" s="8" t="s">
        <x:v>58</x:v>
      </x:c>
      <x:c r="AF1628" s="8" t="s">
        <x:v>58</x:v>
      </x:c>
      <x:c r="AG1628" s="7" t="s">
        <x:v>58</x:v>
      </x:c>
    </x:row>
    <x:row r="1629" ht="51.75" hidden="0" customHeight="1">
      <x:c r="A1629" s="7" t="s">
        <x:v>1076</x:v>
      </x:c>
      <x:c r="B1629" s="7" t="s">
        <x:v>1068</x:v>
      </x:c>
      <x:c r="C1629" s="7" t="s">
        <x:v>1070</x:v>
      </x:c>
      <x:c r="D1629" s="7" t="s">
        <x:v>1959</x:v>
      </x:c>
      <x:c r="E1629" s="7" t="s">
        <x:v>3960</x:v>
      </x:c>
      <x:c r="F1629" s="7" t="s">
        <x:v>1956</x:v>
      </x:c>
      <x:c r="G1629" s="8" t="n">
        <x:v>150</x:v>
      </x:c>
      <x:c r="H1629" s="8" t="s">
        <x:v>58</x:v>
      </x:c>
      <x:c r="I1629" s="8" t="s">
        <x:v>58</x:v>
      </x:c>
      <x:c r="J1629" s="7" t="s">
        <x:v>1919</x:v>
      </x:c>
      <x:c r="K1629" s="8" t="n">
        <x:v>1</x:v>
      </x:c>
      <x:c r="L1629" s="8" t="n">
        <x:f aca="0">IF(AND(ISNUMBER(G1629),P1629&lt;&gt;"Unresolved unit / layout"),G1629*K1629,"Not applicable")</x:f>
        <x:v>150</x:v>
      </x:c>
      <x:c r="M1629" s="8" t="str">
        <x:f aca="0">IF(AND(ISNUMBER(H1629),P1629&lt;&gt;"Unresolved unit / layout"),H1629*K1629,"Not applicable")</x:f>
        <x:v>Not applicable</x:v>
      </x:c>
      <x:c r="N1629" s="8" t="str">
        <x:f aca="0">IF(AND(ISNUMBER(I1629),P1629&lt;&gt;"Unresolved unit / layout"),I1629*K1629,"Not applicable")</x:f>
        <x:v>Not applicable</x:v>
      </x:c>
      <x:c r="O1629" s="7" t="s">
        <x:v>1956</x:v>
      </x:c>
      <x:c r="P1629" s="7" t="s">
        <x:v>1921</x:v>
      </x:c>
      <x:c r="Q1629" s="7" t="s">
        <x:v>1930</x:v>
      </x:c>
      <x:c r="R1629" s="7" t="s">
        <x:v>58</x:v>
      </x:c>
      <x:c r="S1629" s="7" t="s">
        <x:v>53</x:v>
      </x:c>
      <x:c r="T1629" s="7" t="s">
        <x:v>53</x:v>
      </x:c>
      <x:c r="U1629" s="7" t="s">
        <x:v>53</x:v>
      </x:c>
      <x:c r="V1629" s="7" t="s">
        <x:v>1961</x:v>
      </x:c>
      <x:c r="W1629" s="7" t="s">
        <x:v>58</x:v>
      </x:c>
      <x:c r="X1629" s="7" t="s">
        <x:v>5089</x:v>
      </x:c>
      <x:c r="Y1629" s="7" t="s">
        <x:v>1408</x:v>
      </x:c>
      <x:c r="Z1629" s="7" t="s">
        <x:v>1962</x:v>
      </x:c>
      <x:c r="AA1629" s="7" t="s">
        <x:v>58</x:v>
      </x:c>
      <x:c r="AB1629" s="8" t="s">
        <x:v>58</x:v>
      </x:c>
      <x:c r="AC1629" s="8" t="s">
        <x:v>58</x:v>
      </x:c>
      <x:c r="AD1629" s="8" t="s">
        <x:v>58</x:v>
      </x:c>
      <x:c r="AE1629" s="8" t="s">
        <x:v>58</x:v>
      </x:c>
      <x:c r="AF1629" s="8" t="s">
        <x:v>58</x:v>
      </x:c>
      <x:c r="AG1629" s="7" t="s">
        <x:v>58</x:v>
      </x:c>
    </x:row>
    <x:row r="1630" ht="51.75" hidden="0" customHeight="1">
      <x:c r="A1630" s="7" t="s">
        <x:v>5101</x:v>
      </x:c>
      <x:c r="B1630" s="7" t="s">
        <x:v>1068</x:v>
      </x:c>
      <x:c r="C1630" s="7" t="s">
        <x:v>1410</x:v>
      </x:c>
      <x:c r="D1630" s="7" t="s">
        <x:v>1916</x:v>
      </x:c>
      <x:c r="E1630" s="7" t="s">
        <x:v>5102</x:v>
      </x:c>
      <x:c r="F1630" s="7" t="s">
        <x:v>1918</x:v>
      </x:c>
      <x:c r="G1630" s="8" t="n">
        <x:v>1.29</x:v>
      </x:c>
      <x:c r="H1630" s="8" t="s">
        <x:v>58</x:v>
      </x:c>
      <x:c r="I1630" s="8" t="s">
        <x:v>58</x:v>
      </x:c>
      <x:c r="J1630" s="7" t="s">
        <x:v>1919</x:v>
      </x:c>
      <x:c r="K1630" s="8" t="n">
        <x:v>1000</x:v>
      </x:c>
      <x:c r="L1630" s="8" t="n">
        <x:f aca="0">IF(AND(ISNUMBER(G1630),P1630&lt;&gt;"Unresolved unit / layout"),G1630*K1630,"Not applicable")</x:f>
        <x:v>1290</x:v>
      </x:c>
      <x:c r="M1630" s="8" t="str">
        <x:f aca="0">IF(AND(ISNUMBER(H1630),P1630&lt;&gt;"Unresolved unit / layout"),H1630*K1630,"Not applicable")</x:f>
        <x:v>Not applicable</x:v>
      </x:c>
      <x:c r="N1630" s="8" t="str">
        <x:f aca="0">IF(AND(ISNUMBER(I1630),P1630&lt;&gt;"Unresolved unit / layout"),I1630*K1630,"Not applicable")</x:f>
        <x:v>Not applicable</x:v>
      </x:c>
      <x:c r="O1630" s="7" t="s">
        <x:v>1920</x:v>
      </x:c>
      <x:c r="P1630" s="7" t="s">
        <x:v>1921</x:v>
      </x:c>
      <x:c r="Q1630" s="7" t="s">
        <x:v>1922</x:v>
      </x:c>
      <x:c r="R1630" s="7" t="s">
        <x:v>58</x:v>
      </x:c>
      <x:c r="S1630" s="7" t="s">
        <x:v>53</x:v>
      </x:c>
      <x:c r="T1630" s="7" t="s">
        <x:v>53</x:v>
      </x:c>
      <x:c r="U1630" s="7" t="s">
        <x:v>53</x:v>
      </x:c>
      <x:c r="V1630" s="7" t="s">
        <x:v>1923</x:v>
      </x:c>
      <x:c r="W1630" s="7" t="s">
        <x:v>58</x:v>
      </x:c>
      <x:c r="X1630" s="7" t="s">
        <x:v>5103</x:v>
      </x:c>
      <x:c r="Y1630" s="7" t="s">
        <x:v>1412</x:v>
      </x:c>
      <x:c r="Z1630" s="7" t="s">
        <x:v>1925</x:v>
      </x:c>
      <x:c r="AA1630" s="7" t="s">
        <x:v>58</x:v>
      </x:c>
      <x:c r="AB1630" s="8" t="s">
        <x:v>58</x:v>
      </x:c>
      <x:c r="AC1630" s="8" t="s">
        <x:v>58</x:v>
      </x:c>
      <x:c r="AD1630" s="8" t="s">
        <x:v>58</x:v>
      </x:c>
      <x:c r="AE1630" s="8" t="s">
        <x:v>58</x:v>
      </x:c>
      <x:c r="AF1630" s="8" t="s">
        <x:v>58</x:v>
      </x:c>
      <x:c r="AG1630" s="7" t="s">
        <x:v>58</x:v>
      </x:c>
    </x:row>
    <x:row r="1631" ht="51.75" hidden="0" customHeight="1">
      <x:c r="A1631" s="7" t="s">
        <x:v>5104</x:v>
      </x:c>
      <x:c r="B1631" s="7" t="s">
        <x:v>1068</x:v>
      </x:c>
      <x:c r="C1631" s="7" t="s">
        <x:v>1410</x:v>
      </x:c>
      <x:c r="D1631" s="7" t="s">
        <x:v>2006</x:v>
      </x:c>
      <x:c r="E1631" s="7" t="s">
        <x:v>3190</x:v>
      </x:c>
      <x:c r="F1631" s="7" t="s">
        <x:v>1929</x:v>
      </x:c>
      <x:c r="G1631" s="8" t="n">
        <x:v>105</x:v>
      </x:c>
      <x:c r="H1631" s="8" t="s">
        <x:v>58</x:v>
      </x:c>
      <x:c r="I1631" s="8" t="s">
        <x:v>58</x:v>
      </x:c>
      <x:c r="J1631" s="7" t="s">
        <x:v>1919</x:v>
      </x:c>
      <x:c r="K1631" s="8" t="n">
        <x:v>1</x:v>
      </x:c>
      <x:c r="L1631" s="8" t="n">
        <x:f aca="0">IF(AND(ISNUMBER(G1631),P1631&lt;&gt;"Unresolved unit / layout"),G1631*K1631,"Not applicable")</x:f>
        <x:v>105</x:v>
      </x:c>
      <x:c r="M1631" s="8" t="str">
        <x:f aca="0">IF(AND(ISNUMBER(H1631),P1631&lt;&gt;"Unresolved unit / layout"),H1631*K1631,"Not applicable")</x:f>
        <x:v>Not applicable</x:v>
      </x:c>
      <x:c r="N1631" s="8" t="str">
        <x:f aca="0">IF(AND(ISNUMBER(I1631),P1631&lt;&gt;"Unresolved unit / layout"),I1631*K1631,"Not applicable")</x:f>
        <x:v>Not applicable</x:v>
      </x:c>
      <x:c r="O1631" s="7" t="s">
        <x:v>1929</x:v>
      </x:c>
      <x:c r="P1631" s="7" t="s">
        <x:v>1921</x:v>
      </x:c>
      <x:c r="Q1631" s="7" t="s">
        <x:v>1930</x:v>
      </x:c>
      <x:c r="R1631" s="7" t="s">
        <x:v>1931</x:v>
      </x:c>
      <x:c r="S1631" s="7" t="s">
        <x:v>53</x:v>
      </x:c>
      <x:c r="T1631" s="7" t="s">
        <x:v>53</x:v>
      </x:c>
      <x:c r="U1631" s="7" t="s">
        <x:v>53</x:v>
      </x:c>
      <x:c r="V1631" s="7" t="s">
        <x:v>1932</x:v>
      </x:c>
      <x:c r="W1631" s="7" t="s">
        <x:v>58</x:v>
      </x:c>
      <x:c r="X1631" s="7" t="s">
        <x:v>5103</x:v>
      </x:c>
      <x:c r="Y1631" s="7" t="s">
        <x:v>1412</x:v>
      </x:c>
      <x:c r="Z1631" s="7" t="s">
        <x:v>2825</x:v>
      </x:c>
      <x:c r="AA1631" s="7" t="s">
        <x:v>58</x:v>
      </x:c>
      <x:c r="AB1631" s="8" t="s">
        <x:v>58</x:v>
      </x:c>
      <x:c r="AC1631" s="8" t="s">
        <x:v>58</x:v>
      </x:c>
      <x:c r="AD1631" s="8" t="s">
        <x:v>58</x:v>
      </x:c>
      <x:c r="AE1631" s="8" t="s">
        <x:v>58</x:v>
      </x:c>
      <x:c r="AF1631" s="8" t="s">
        <x:v>58</x:v>
      </x:c>
      <x:c r="AG1631" s="7" t="s">
        <x:v>58</x:v>
      </x:c>
    </x:row>
    <x:row r="1632" ht="51.75" hidden="0" customHeight="1">
      <x:c r="A1632" s="7" t="s">
        <x:v>5105</x:v>
      </x:c>
      <x:c r="B1632" s="7" t="s">
        <x:v>1068</x:v>
      </x:c>
      <x:c r="C1632" s="7" t="s">
        <x:v>1410</x:v>
      </x:c>
      <x:c r="D1632" s="7" t="s">
        <x:v>1935</x:v>
      </x:c>
      <x:c r="E1632" s="7" t="s">
        <x:v>5106</x:v>
      </x:c>
      <x:c r="F1632" s="7" t="s">
        <x:v>1929</x:v>
      </x:c>
      <x:c r="G1632" s="8" t="n">
        <x:v>3200</x:v>
      </x:c>
      <x:c r="H1632" s="8" t="s">
        <x:v>58</x:v>
      </x:c>
      <x:c r="I1632" s="8" t="s">
        <x:v>58</x:v>
      </x:c>
      <x:c r="J1632" s="7" t="s">
        <x:v>1919</x:v>
      </x:c>
      <x:c r="K1632" s="8" t="n">
        <x:v>0.001</x:v>
      </x:c>
      <x:c r="L1632" s="8" t="n">
        <x:f aca="0">IF(AND(ISNUMBER(G1632),P1632&lt;&gt;"Unresolved unit / layout"),G1632*K1632,"Not applicable")</x:f>
        <x:v>3.2</x:v>
      </x:c>
      <x:c r="M1632" s="8" t="str">
        <x:f aca="0">IF(AND(ISNUMBER(H1632),P1632&lt;&gt;"Unresolved unit / layout"),H1632*K1632,"Not applicable")</x:f>
        <x:v>Not applicable</x:v>
      </x:c>
      <x:c r="N1632" s="8" t="str">
        <x:f aca="0">IF(AND(ISNUMBER(I1632),P1632&lt;&gt;"Unresolved unit / layout"),I1632*K1632,"Not applicable")</x:f>
        <x:v>Not applicable</x:v>
      </x:c>
      <x:c r="O1632" s="7" t="s">
        <x:v>1937</x:v>
      </x:c>
      <x:c r="P1632" s="7" t="s">
        <x:v>1921</x:v>
      </x:c>
      <x:c r="Q1632" s="7" t="s">
        <x:v>1930</x:v>
      </x:c>
      <x:c r="R1632" s="7" t="s">
        <x:v>1931</x:v>
      </x:c>
      <x:c r="S1632" s="7" t="s">
        <x:v>53</x:v>
      </x:c>
      <x:c r="T1632" s="7" t="s">
        <x:v>53</x:v>
      </x:c>
      <x:c r="U1632" s="7" t="s">
        <x:v>53</x:v>
      </x:c>
      <x:c r="V1632" s="7" t="s">
        <x:v>1932</x:v>
      </x:c>
      <x:c r="W1632" s="7" t="s">
        <x:v>58</x:v>
      </x:c>
      <x:c r="X1632" s="7" t="s">
        <x:v>5103</x:v>
      </x:c>
      <x:c r="Y1632" s="7" t="s">
        <x:v>1412</x:v>
      </x:c>
      <x:c r="Z1632" s="7" t="s">
        <x:v>1938</x:v>
      </x:c>
      <x:c r="AA1632" s="7" t="s">
        <x:v>58</x:v>
      </x:c>
      <x:c r="AB1632" s="8" t="s">
        <x:v>58</x:v>
      </x:c>
      <x:c r="AC1632" s="8" t="s">
        <x:v>58</x:v>
      </x:c>
      <x:c r="AD1632" s="8" t="s">
        <x:v>58</x:v>
      </x:c>
      <x:c r="AE1632" s="8" t="s">
        <x:v>58</x:v>
      </x:c>
      <x:c r="AF1632" s="8" t="s">
        <x:v>58</x:v>
      </x:c>
      <x:c r="AG1632" s="7" t="s">
        <x:v>58</x:v>
      </x:c>
    </x:row>
    <x:row r="1633" ht="51.75" hidden="0" customHeight="1">
      <x:c r="A1633" s="7" t="s">
        <x:v>5107</x:v>
      </x:c>
      <x:c r="B1633" s="7" t="s">
        <x:v>1068</x:v>
      </x:c>
      <x:c r="C1633" s="7" t="s">
        <x:v>1410</x:v>
      </x:c>
      <x:c r="D1633" s="7" t="s">
        <x:v>1940</x:v>
      </x:c>
      <x:c r="E1633" s="7" t="s">
        <x:v>5108</x:v>
      </x:c>
      <x:c r="F1633" s="7" t="s">
        <x:v>1942</x:v>
      </x:c>
      <x:c r="G1633" s="8" t="n">
        <x:v>10</x:v>
      </x:c>
      <x:c r="H1633" s="8" t="s">
        <x:v>58</x:v>
      </x:c>
      <x:c r="I1633" s="8" t="s">
        <x:v>58</x:v>
      </x:c>
      <x:c r="J1633" s="7" t="s">
        <x:v>1919</x:v>
      </x:c>
      <x:c r="K1633" s="8" t="n">
        <x:v>1</x:v>
      </x:c>
      <x:c r="L1633" s="8" t="n">
        <x:f aca="0">IF(AND(ISNUMBER(G1633),P1633&lt;&gt;"Unresolved unit / layout"),G1633*K1633,"Not applicable")</x:f>
        <x:v>10</x:v>
      </x:c>
      <x:c r="M1633" s="8" t="str">
        <x:f aca="0">IF(AND(ISNUMBER(H1633),P1633&lt;&gt;"Unresolved unit / layout"),H1633*K1633,"Not applicable")</x:f>
        <x:v>Not applicable</x:v>
      </x:c>
      <x:c r="N1633" s="8" t="str">
        <x:f aca="0">IF(AND(ISNUMBER(I1633),P1633&lt;&gt;"Unresolved unit / layout"),I1633*K1633,"Not applicable")</x:f>
        <x:v>Not applicable</x:v>
      </x:c>
      <x:c r="O1633" s="7" t="s">
        <x:v>1942</x:v>
      </x:c>
      <x:c r="P1633" s="7" t="s">
        <x:v>1921</x:v>
      </x:c>
      <x:c r="Q1633" s="7" t="s">
        <x:v>1930</x:v>
      </x:c>
      <x:c r="R1633" s="7" t="s">
        <x:v>1931</x:v>
      </x:c>
      <x:c r="S1633" s="7" t="s">
        <x:v>53</x:v>
      </x:c>
      <x:c r="T1633" s="7" t="s">
        <x:v>53</x:v>
      </x:c>
      <x:c r="U1633" s="7" t="s">
        <x:v>53</x:v>
      </x:c>
      <x:c r="V1633" s="7" t="s">
        <x:v>1932</x:v>
      </x:c>
      <x:c r="W1633" s="7" t="s">
        <x:v>58</x:v>
      </x:c>
      <x:c r="X1633" s="7" t="s">
        <x:v>5103</x:v>
      </x:c>
      <x:c r="Y1633" s="7" t="s">
        <x:v>1412</x:v>
      </x:c>
      <x:c r="Z1633" s="7" t="s">
        <x:v>5081</x:v>
      </x:c>
      <x:c r="AA1633" s="7" t="s">
        <x:v>58</x:v>
      </x:c>
      <x:c r="AB1633" s="8" t="s">
        <x:v>58</x:v>
      </x:c>
      <x:c r="AC1633" s="8" t="s">
        <x:v>58</x:v>
      </x:c>
      <x:c r="AD1633" s="8" t="s">
        <x:v>58</x:v>
      </x:c>
      <x:c r="AE1633" s="8" t="s">
        <x:v>58</x:v>
      </x:c>
      <x:c r="AF1633" s="8" t="s">
        <x:v>58</x:v>
      </x:c>
      <x:c r="AG1633" s="7" t="s">
        <x:v>58</x:v>
      </x:c>
    </x:row>
    <x:row r="1634" ht="51.75" hidden="0" customHeight="1">
      <x:c r="A1634" s="7" t="s">
        <x:v>5109</x:v>
      </x:c>
      <x:c r="B1634" s="7" t="s">
        <x:v>1068</x:v>
      </x:c>
      <x:c r="C1634" s="7" t="s">
        <x:v>1410</x:v>
      </x:c>
      <x:c r="D1634" s="7" t="s">
        <x:v>1945</x:v>
      </x:c>
      <x:c r="E1634" s="7" t="s">
        <x:v>5110</x:v>
      </x:c>
      <x:c r="F1634" s="7" t="s">
        <x:v>1929</x:v>
      </x:c>
      <x:c r="G1634" s="8" t="n">
        <x:v>134</x:v>
      </x:c>
      <x:c r="H1634" s="8" t="s">
        <x:v>58</x:v>
      </x:c>
      <x:c r="I1634" s="8" t="s">
        <x:v>58</x:v>
      </x:c>
      <x:c r="J1634" s="7" t="s">
        <x:v>1919</x:v>
      </x:c>
      <x:c r="K1634" s="8" t="n">
        <x:v>1</x:v>
      </x:c>
      <x:c r="L1634" s="8" t="n">
        <x:f aca="0">IF(AND(ISNUMBER(G1634),P1634&lt;&gt;"Unresolved unit / layout"),G1634*K1634,"Not applicable")</x:f>
        <x:v>134</x:v>
      </x:c>
      <x:c r="M1634" s="8" t="str">
        <x:f aca="0">IF(AND(ISNUMBER(H1634),P1634&lt;&gt;"Unresolved unit / layout"),H1634*K1634,"Not applicable")</x:f>
        <x:v>Not applicable</x:v>
      </x:c>
      <x:c r="N1634" s="8" t="str">
        <x:f aca="0">IF(AND(ISNUMBER(I1634),P1634&lt;&gt;"Unresolved unit / layout"),I1634*K1634,"Not applicable")</x:f>
        <x:v>Not applicable</x:v>
      </x:c>
      <x:c r="O1634" s="7" t="s">
        <x:v>1929</x:v>
      </x:c>
      <x:c r="P1634" s="7" t="s">
        <x:v>1921</x:v>
      </x:c>
      <x:c r="Q1634" s="7" t="s">
        <x:v>1930</x:v>
      </x:c>
      <x:c r="R1634" s="7" t="s">
        <x:v>1931</x:v>
      </x:c>
      <x:c r="S1634" s="7" t="s">
        <x:v>53</x:v>
      </x:c>
      <x:c r="T1634" s="7" t="s">
        <x:v>53</x:v>
      </x:c>
      <x:c r="U1634" s="7" t="s">
        <x:v>53</x:v>
      </x:c>
      <x:c r="V1634" s="7" t="s">
        <x:v>1947</x:v>
      </x:c>
      <x:c r="W1634" s="7" t="s">
        <x:v>58</x:v>
      </x:c>
      <x:c r="X1634" s="7" t="s">
        <x:v>5103</x:v>
      </x:c>
      <x:c r="Y1634" s="7" t="s">
        <x:v>1412</x:v>
      </x:c>
      <x:c r="Z1634" s="7" t="s">
        <x:v>1948</x:v>
      </x:c>
      <x:c r="AA1634" s="7" t="s">
        <x:v>58</x:v>
      </x:c>
      <x:c r="AB1634" s="8" t="s">
        <x:v>58</x:v>
      </x:c>
      <x:c r="AC1634" s="8" t="s">
        <x:v>58</x:v>
      </x:c>
      <x:c r="AD1634" s="8" t="s">
        <x:v>58</x:v>
      </x:c>
      <x:c r="AE1634" s="8" t="s">
        <x:v>58</x:v>
      </x:c>
      <x:c r="AF1634" s="8" t="s">
        <x:v>58</x:v>
      </x:c>
      <x:c r="AG1634" s="7" t="s">
        <x:v>58</x:v>
      </x:c>
    </x:row>
    <x:row r="1635" ht="51.75" hidden="0" customHeight="1">
      <x:c r="A1635" s="7" t="s">
        <x:v>5111</x:v>
      </x:c>
      <x:c r="B1635" s="7" t="s">
        <x:v>1068</x:v>
      </x:c>
      <x:c r="C1635" s="7" t="s">
        <x:v>1410</x:v>
      </x:c>
      <x:c r="D1635" s="7" t="s">
        <x:v>1950</x:v>
      </x:c>
      <x:c r="E1635" s="7" t="s">
        <x:v>5112</x:v>
      </x:c>
      <x:c r="F1635" s="7" t="s">
        <x:v>1929</x:v>
      </x:c>
      <x:c r="G1635" s="8" t="n">
        <x:v>2900</x:v>
      </x:c>
      <x:c r="H1635" s="8" t="s">
        <x:v>58</x:v>
      </x:c>
      <x:c r="I1635" s="8" t="s">
        <x:v>58</x:v>
      </x:c>
      <x:c r="J1635" s="7" t="s">
        <x:v>1919</x:v>
      </x:c>
      <x:c r="K1635" s="8" t="n">
        <x:v>0.001</x:v>
      </x:c>
      <x:c r="L1635" s="8" t="n">
        <x:f aca="0">IF(AND(ISNUMBER(G1635),P1635&lt;&gt;"Unresolved unit / layout"),G1635*K1635,"Not applicable")</x:f>
        <x:v>2.9</x:v>
      </x:c>
      <x:c r="M1635" s="8" t="str">
        <x:f aca="0">IF(AND(ISNUMBER(H1635),P1635&lt;&gt;"Unresolved unit / layout"),H1635*K1635,"Not applicable")</x:f>
        <x:v>Not applicable</x:v>
      </x:c>
      <x:c r="N1635" s="8" t="str">
        <x:f aca="0">IF(AND(ISNUMBER(I1635),P1635&lt;&gt;"Unresolved unit / layout"),I1635*K1635,"Not applicable")</x:f>
        <x:v>Not applicable</x:v>
      </x:c>
      <x:c r="O1635" s="7" t="s">
        <x:v>1937</x:v>
      </x:c>
      <x:c r="P1635" s="7" t="s">
        <x:v>1921</x:v>
      </x:c>
      <x:c r="Q1635" s="7" t="s">
        <x:v>1930</x:v>
      </x:c>
      <x:c r="R1635" s="7" t="s">
        <x:v>1931</x:v>
      </x:c>
      <x:c r="S1635" s="7" t="s">
        <x:v>53</x:v>
      </x:c>
      <x:c r="T1635" s="7" t="s">
        <x:v>53</x:v>
      </x:c>
      <x:c r="U1635" s="7" t="s">
        <x:v>53</x:v>
      </x:c>
      <x:c r="V1635" s="7" t="s">
        <x:v>1947</x:v>
      </x:c>
      <x:c r="W1635" s="7" t="s">
        <x:v>58</x:v>
      </x:c>
      <x:c r="X1635" s="7" t="s">
        <x:v>5103</x:v>
      </x:c>
      <x:c r="Y1635" s="7" t="s">
        <x:v>1412</x:v>
      </x:c>
      <x:c r="Z1635" s="7" t="s">
        <x:v>1952</x:v>
      </x:c>
      <x:c r="AA1635" s="7" t="s">
        <x:v>58</x:v>
      </x:c>
      <x:c r="AB1635" s="8" t="s">
        <x:v>58</x:v>
      </x:c>
      <x:c r="AC1635" s="8" t="s">
        <x:v>58</x:v>
      </x:c>
      <x:c r="AD1635" s="8" t="s">
        <x:v>58</x:v>
      </x:c>
      <x:c r="AE1635" s="8" t="s">
        <x:v>58</x:v>
      </x:c>
      <x:c r="AF1635" s="8" t="s">
        <x:v>58</x:v>
      </x:c>
      <x:c r="AG1635" s="7" t="s">
        <x:v>58</x:v>
      </x:c>
    </x:row>
    <x:row r="1636" ht="51.75" hidden="0" customHeight="1">
      <x:c r="A1636" s="7" t="s">
        <x:v>5113</x:v>
      </x:c>
      <x:c r="B1636" s="7" t="s">
        <x:v>1068</x:v>
      </x:c>
      <x:c r="C1636" s="7" t="s">
        <x:v>1410</x:v>
      </x:c>
      <x:c r="D1636" s="7" t="s">
        <x:v>1954</x:v>
      </x:c>
      <x:c r="E1636" s="7" t="s">
        <x:v>5114</x:v>
      </x:c>
      <x:c r="F1636" s="7" t="s">
        <x:v>1956</x:v>
      </x:c>
      <x:c r="G1636" s="8" t="n">
        <x:v>165</x:v>
      </x:c>
      <x:c r="H1636" s="8" t="s">
        <x:v>58</x:v>
      </x:c>
      <x:c r="I1636" s="8" t="s">
        <x:v>58</x:v>
      </x:c>
      <x:c r="J1636" s="7" t="s">
        <x:v>1919</x:v>
      </x:c>
      <x:c r="K1636" s="8" t="n">
        <x:v>1</x:v>
      </x:c>
      <x:c r="L1636" s="8" t="n">
        <x:f aca="0">IF(AND(ISNUMBER(G1636),P1636&lt;&gt;"Unresolved unit / layout"),G1636*K1636,"Not applicable")</x:f>
        <x:v>165</x:v>
      </x:c>
      <x:c r="M1636" s="8" t="str">
        <x:f aca="0">IF(AND(ISNUMBER(H1636),P1636&lt;&gt;"Unresolved unit / layout"),H1636*K1636,"Not applicable")</x:f>
        <x:v>Not applicable</x:v>
      </x:c>
      <x:c r="N1636" s="8" t="str">
        <x:f aca="0">IF(AND(ISNUMBER(I1636),P1636&lt;&gt;"Unresolved unit / layout"),I1636*K1636,"Not applicable")</x:f>
        <x:v>Not applicable</x:v>
      </x:c>
      <x:c r="O1636" s="7" t="s">
        <x:v>1956</x:v>
      </x:c>
      <x:c r="P1636" s="7" t="s">
        <x:v>1921</x:v>
      </x:c>
      <x:c r="Q1636" s="7" t="s">
        <x:v>1930</x:v>
      </x:c>
      <x:c r="R1636" s="7" t="s">
        <x:v>58</x:v>
      </x:c>
      <x:c r="S1636" s="7" t="s">
        <x:v>53</x:v>
      </x:c>
      <x:c r="T1636" s="7" t="s">
        <x:v>53</x:v>
      </x:c>
      <x:c r="U1636" s="7" t="s">
        <x:v>53</x:v>
      </x:c>
      <x:c r="V1636" s="7" t="s">
        <x:v>1957</x:v>
      </x:c>
      <x:c r="W1636" s="7" t="s">
        <x:v>58</x:v>
      </x:c>
      <x:c r="X1636" s="7" t="s">
        <x:v>5103</x:v>
      </x:c>
      <x:c r="Y1636" s="7" t="s">
        <x:v>1412</x:v>
      </x:c>
      <x:c r="Z1636" s="7" t="s">
        <x:v>3215</x:v>
      </x:c>
      <x:c r="AA1636" s="7" t="s">
        <x:v>58</x:v>
      </x:c>
      <x:c r="AB1636" s="8" t="s">
        <x:v>58</x:v>
      </x:c>
      <x:c r="AC1636" s="8" t="s">
        <x:v>58</x:v>
      </x:c>
      <x:c r="AD1636" s="8" t="s">
        <x:v>58</x:v>
      </x:c>
      <x:c r="AE1636" s="8" t="s">
        <x:v>58</x:v>
      </x:c>
      <x:c r="AF1636" s="8" t="s">
        <x:v>58</x:v>
      </x:c>
      <x:c r="AG1636" s="7" t="s">
        <x:v>58</x:v>
      </x:c>
    </x:row>
    <x:row r="1637" ht="51.75" hidden="0" customHeight="1">
      <x:c r="A1637" s="7" t="s">
        <x:v>5115</x:v>
      </x:c>
      <x:c r="B1637" s="7" t="s">
        <x:v>1068</x:v>
      </x:c>
      <x:c r="C1637" s="7" t="s">
        <x:v>1410</x:v>
      </x:c>
      <x:c r="D1637" s="7" t="s">
        <x:v>1959</x:v>
      </x:c>
      <x:c r="E1637" s="7" t="s">
        <x:v>5116</x:v>
      </x:c>
      <x:c r="F1637" s="7" t="s">
        <x:v>1956</x:v>
      </x:c>
      <x:c r="G1637" s="8" t="n">
        <x:v>182</x:v>
      </x:c>
      <x:c r="H1637" s="8" t="s">
        <x:v>58</x:v>
      </x:c>
      <x:c r="I1637" s="8" t="s">
        <x:v>58</x:v>
      </x:c>
      <x:c r="J1637" s="7" t="s">
        <x:v>1919</x:v>
      </x:c>
      <x:c r="K1637" s="8" t="n">
        <x:v>1</x:v>
      </x:c>
      <x:c r="L1637" s="8" t="n">
        <x:f aca="0">IF(AND(ISNUMBER(G1637),P1637&lt;&gt;"Unresolved unit / layout"),G1637*K1637,"Not applicable")</x:f>
        <x:v>182</x:v>
      </x:c>
      <x:c r="M1637" s="8" t="str">
        <x:f aca="0">IF(AND(ISNUMBER(H1637),P1637&lt;&gt;"Unresolved unit / layout"),H1637*K1637,"Not applicable")</x:f>
        <x:v>Not applicable</x:v>
      </x:c>
      <x:c r="N1637" s="8" t="str">
        <x:f aca="0">IF(AND(ISNUMBER(I1637),P1637&lt;&gt;"Unresolved unit / layout"),I1637*K1637,"Not applicable")</x:f>
        <x:v>Not applicable</x:v>
      </x:c>
      <x:c r="O1637" s="7" t="s">
        <x:v>1956</x:v>
      </x:c>
      <x:c r="P1637" s="7" t="s">
        <x:v>1921</x:v>
      </x:c>
      <x:c r="Q1637" s="7" t="s">
        <x:v>1930</x:v>
      </x:c>
      <x:c r="R1637" s="7" t="s">
        <x:v>58</x:v>
      </x:c>
      <x:c r="S1637" s="7" t="s">
        <x:v>53</x:v>
      </x:c>
      <x:c r="T1637" s="7" t="s">
        <x:v>53</x:v>
      </x:c>
      <x:c r="U1637" s="7" t="s">
        <x:v>53</x:v>
      </x:c>
      <x:c r="V1637" s="7" t="s">
        <x:v>1961</x:v>
      </x:c>
      <x:c r="W1637" s="7" t="s">
        <x:v>58</x:v>
      </x:c>
      <x:c r="X1637" s="7" t="s">
        <x:v>5103</x:v>
      </x:c>
      <x:c r="Y1637" s="7" t="s">
        <x:v>1412</x:v>
      </x:c>
      <x:c r="Z1637" s="7" t="s">
        <x:v>1962</x:v>
      </x:c>
      <x:c r="AA1637" s="7" t="s">
        <x:v>58</x:v>
      </x:c>
      <x:c r="AB1637" s="8" t="s">
        <x:v>58</x:v>
      </x:c>
      <x:c r="AC1637" s="8" t="s">
        <x:v>58</x:v>
      </x:c>
      <x:c r="AD1637" s="8" t="s">
        <x:v>58</x:v>
      </x:c>
      <x:c r="AE1637" s="8" t="s">
        <x:v>58</x:v>
      </x:c>
      <x:c r="AF1637" s="8" t="s">
        <x:v>58</x:v>
      </x:c>
      <x:c r="AG1637" s="7" t="s">
        <x:v>58</x:v>
      </x:c>
    </x:row>
    <x:row r="1638" ht="51.75" hidden="0" customHeight="1">
      <x:c r="A1638" s="7" t="s">
        <x:v>5117</x:v>
      </x:c>
      <x:c r="B1638" s="7" t="s">
        <x:v>1080</x:v>
      </x:c>
      <x:c r="C1638" s="7" t="s">
        <x:v>1082</x:v>
      </x:c>
      <x:c r="D1638" s="7" t="s">
        <x:v>1916</x:v>
      </x:c>
      <x:c r="E1638" s="7" t="s">
        <x:v>5088</x:v>
      </x:c>
      <x:c r="F1638" s="7" t="s">
        <x:v>1918</x:v>
      </x:c>
      <x:c r="G1638" s="8" t="n">
        <x:v>1.27</x:v>
      </x:c>
      <x:c r="H1638" s="8" t="s">
        <x:v>58</x:v>
      </x:c>
      <x:c r="I1638" s="8" t="s">
        <x:v>58</x:v>
      </x:c>
      <x:c r="J1638" s="7" t="s">
        <x:v>1919</x:v>
      </x:c>
      <x:c r="K1638" s="8" t="n">
        <x:v>1000</x:v>
      </x:c>
      <x:c r="L1638" s="8" t="n">
        <x:f aca="0">IF(AND(ISNUMBER(G1638),P1638&lt;&gt;"Unresolved unit / layout"),G1638*K1638,"Not applicable")</x:f>
        <x:v>1270</x:v>
      </x:c>
      <x:c r="M1638" s="8" t="str">
        <x:f aca="0">IF(AND(ISNUMBER(H1638),P1638&lt;&gt;"Unresolved unit / layout"),H1638*K1638,"Not applicable")</x:f>
        <x:v>Not applicable</x:v>
      </x:c>
      <x:c r="N1638" s="8" t="str">
        <x:f aca="0">IF(AND(ISNUMBER(I1638),P1638&lt;&gt;"Unresolved unit / layout"),I1638*K1638,"Not applicable")</x:f>
        <x:v>Not applicable</x:v>
      </x:c>
      <x:c r="O1638" s="7" t="s">
        <x:v>1920</x:v>
      </x:c>
      <x:c r="P1638" s="7" t="s">
        <x:v>1921</x:v>
      </x:c>
      <x:c r="Q1638" s="7" t="s">
        <x:v>1922</x:v>
      </x:c>
      <x:c r="R1638" s="7" t="s">
        <x:v>58</x:v>
      </x:c>
      <x:c r="S1638" s="7" t="s">
        <x:v>53</x:v>
      </x:c>
      <x:c r="T1638" s="7" t="s">
        <x:v>53</x:v>
      </x:c>
      <x:c r="U1638" s="7" t="s">
        <x:v>53</x:v>
      </x:c>
      <x:c r="V1638" s="7" t="s">
        <x:v>1923</x:v>
      </x:c>
      <x:c r="W1638" s="7" t="s">
        <x:v>58</x:v>
      </x:c>
      <x:c r="X1638" s="7" t="s">
        <x:v>5075</x:v>
      </x:c>
      <x:c r="Y1638" s="7" t="s">
        <x:v>1414</x:v>
      </x:c>
      <x:c r="Z1638" s="7" t="s">
        <x:v>1925</x:v>
      </x:c>
      <x:c r="AA1638" s="7" t="s">
        <x:v>58</x:v>
      </x:c>
      <x:c r="AB1638" s="8" t="s">
        <x:v>58</x:v>
      </x:c>
      <x:c r="AC1638" s="8" t="s">
        <x:v>58</x:v>
      </x:c>
      <x:c r="AD1638" s="8" t="s">
        <x:v>58</x:v>
      </x:c>
      <x:c r="AE1638" s="8" t="s">
        <x:v>58</x:v>
      </x:c>
      <x:c r="AF1638" s="8" t="s">
        <x:v>58</x:v>
      </x:c>
      <x:c r="AG1638" s="7" t="s">
        <x:v>58</x:v>
      </x:c>
    </x:row>
    <x:row r="1639" ht="51.75" hidden="0" customHeight="1">
      <x:c r="A1639" s="7" t="s">
        <x:v>5118</x:v>
      </x:c>
      <x:c r="B1639" s="7" t="s">
        <x:v>1080</x:v>
      </x:c>
      <x:c r="C1639" s="7" t="s">
        <x:v>1082</x:v>
      </x:c>
      <x:c r="D1639" s="7" t="s">
        <x:v>2006</x:v>
      </x:c>
      <x:c r="E1639" s="7" t="s">
        <x:v>1928</x:v>
      </x:c>
      <x:c r="F1639" s="7" t="s">
        <x:v>1929</x:v>
      </x:c>
      <x:c r="G1639" s="8" t="n">
        <x:v>56</x:v>
      </x:c>
      <x:c r="H1639" s="8" t="s">
        <x:v>58</x:v>
      </x:c>
      <x:c r="I1639" s="8" t="s">
        <x:v>58</x:v>
      </x:c>
      <x:c r="J1639" s="7" t="s">
        <x:v>1919</x:v>
      </x:c>
      <x:c r="K1639" s="8" t="n">
        <x:v>1</x:v>
      </x:c>
      <x:c r="L1639" s="8" t="n">
        <x:f aca="0">IF(AND(ISNUMBER(G1639),P1639&lt;&gt;"Unresolved unit / layout"),G1639*K1639,"Not applicable")</x:f>
        <x:v>56</x:v>
      </x:c>
      <x:c r="M1639" s="8" t="str">
        <x:f aca="0">IF(AND(ISNUMBER(H1639),P1639&lt;&gt;"Unresolved unit / layout"),H1639*K1639,"Not applicable")</x:f>
        <x:v>Not applicable</x:v>
      </x:c>
      <x:c r="N1639" s="8" t="str">
        <x:f aca="0">IF(AND(ISNUMBER(I1639),P1639&lt;&gt;"Unresolved unit / layout"),I1639*K1639,"Not applicable")</x:f>
        <x:v>Not applicable</x:v>
      </x:c>
      <x:c r="O1639" s="7" t="s">
        <x:v>1929</x:v>
      </x:c>
      <x:c r="P1639" s="7" t="s">
        <x:v>1921</x:v>
      </x:c>
      <x:c r="Q1639" s="7" t="s">
        <x:v>1930</x:v>
      </x:c>
      <x:c r="R1639" s="7" t="s">
        <x:v>1931</x:v>
      </x:c>
      <x:c r="S1639" s="7" t="s">
        <x:v>53</x:v>
      </x:c>
      <x:c r="T1639" s="7" t="s">
        <x:v>53</x:v>
      </x:c>
      <x:c r="U1639" s="7" t="s">
        <x:v>53</x:v>
      </x:c>
      <x:c r="V1639" s="7" t="s">
        <x:v>1932</x:v>
      </x:c>
      <x:c r="W1639" s="7" t="s">
        <x:v>58</x:v>
      </x:c>
      <x:c r="X1639" s="7" t="s">
        <x:v>5075</x:v>
      </x:c>
      <x:c r="Y1639" s="7" t="s">
        <x:v>1414</x:v>
      </x:c>
      <x:c r="Z1639" s="7" t="s">
        <x:v>2825</x:v>
      </x:c>
      <x:c r="AA1639" s="7" t="s">
        <x:v>58</x:v>
      </x:c>
      <x:c r="AB1639" s="8" t="s">
        <x:v>58</x:v>
      </x:c>
      <x:c r="AC1639" s="8" t="s">
        <x:v>58</x:v>
      </x:c>
      <x:c r="AD1639" s="8" t="s">
        <x:v>58</x:v>
      </x:c>
      <x:c r="AE1639" s="8" t="s">
        <x:v>58</x:v>
      </x:c>
      <x:c r="AF1639" s="8" t="s">
        <x:v>58</x:v>
      </x:c>
      <x:c r="AG1639" s="7" t="s">
        <x:v>58</x:v>
      </x:c>
    </x:row>
    <x:row r="1640" ht="51.75" hidden="0" customHeight="1">
      <x:c r="A1640" s="7" t="s">
        <x:v>5119</x:v>
      </x:c>
      <x:c r="B1640" s="7" t="s">
        <x:v>1080</x:v>
      </x:c>
      <x:c r="C1640" s="7" t="s">
        <x:v>1082</x:v>
      </x:c>
      <x:c r="D1640" s="7" t="s">
        <x:v>1935</x:v>
      </x:c>
      <x:c r="E1640" s="7" t="s">
        <x:v>5120</x:v>
      </x:c>
      <x:c r="F1640" s="7" t="s">
        <x:v>1929</x:v>
      </x:c>
      <x:c r="G1640" s="8" t="n">
        <x:v>2500</x:v>
      </x:c>
      <x:c r="H1640" s="8" t="s">
        <x:v>58</x:v>
      </x:c>
      <x:c r="I1640" s="8" t="s">
        <x:v>58</x:v>
      </x:c>
      <x:c r="J1640" s="7" t="s">
        <x:v>1919</x:v>
      </x:c>
      <x:c r="K1640" s="8" t="n">
        <x:v>0.001</x:v>
      </x:c>
      <x:c r="L1640" s="8" t="n">
        <x:f aca="0">IF(AND(ISNUMBER(G1640),P1640&lt;&gt;"Unresolved unit / layout"),G1640*K1640,"Not applicable")</x:f>
        <x:v>2.5</x:v>
      </x:c>
      <x:c r="M1640" s="8" t="str">
        <x:f aca="0">IF(AND(ISNUMBER(H1640),P1640&lt;&gt;"Unresolved unit / layout"),H1640*K1640,"Not applicable")</x:f>
        <x:v>Not applicable</x:v>
      </x:c>
      <x:c r="N1640" s="8" t="str">
        <x:f aca="0">IF(AND(ISNUMBER(I1640),P1640&lt;&gt;"Unresolved unit / layout"),I1640*K1640,"Not applicable")</x:f>
        <x:v>Not applicable</x:v>
      </x:c>
      <x:c r="O1640" s="7" t="s">
        <x:v>1937</x:v>
      </x:c>
      <x:c r="P1640" s="7" t="s">
        <x:v>1921</x:v>
      </x:c>
      <x:c r="Q1640" s="7" t="s">
        <x:v>1930</x:v>
      </x:c>
      <x:c r="R1640" s="7" t="s">
        <x:v>1931</x:v>
      </x:c>
      <x:c r="S1640" s="7" t="s">
        <x:v>53</x:v>
      </x:c>
      <x:c r="T1640" s="7" t="s">
        <x:v>53</x:v>
      </x:c>
      <x:c r="U1640" s="7" t="s">
        <x:v>53</x:v>
      </x:c>
      <x:c r="V1640" s="7" t="s">
        <x:v>1932</x:v>
      </x:c>
      <x:c r="W1640" s="7" t="s">
        <x:v>58</x:v>
      </x:c>
      <x:c r="X1640" s="7" t="s">
        <x:v>5075</x:v>
      </x:c>
      <x:c r="Y1640" s="7" t="s">
        <x:v>1414</x:v>
      </x:c>
      <x:c r="Z1640" s="7" t="s">
        <x:v>1938</x:v>
      </x:c>
      <x:c r="AA1640" s="7" t="s">
        <x:v>58</x:v>
      </x:c>
      <x:c r="AB1640" s="8" t="s">
        <x:v>58</x:v>
      </x:c>
      <x:c r="AC1640" s="8" t="s">
        <x:v>58</x:v>
      </x:c>
      <x:c r="AD1640" s="8" t="s">
        <x:v>58</x:v>
      </x:c>
      <x:c r="AE1640" s="8" t="s">
        <x:v>58</x:v>
      </x:c>
      <x:c r="AF1640" s="8" t="s">
        <x:v>58</x:v>
      </x:c>
      <x:c r="AG1640" s="7" t="s">
        <x:v>58</x:v>
      </x:c>
    </x:row>
    <x:row r="1641" ht="51.75" hidden="0" customHeight="1">
      <x:c r="A1641" s="7" t="s">
        <x:v>5121</x:v>
      </x:c>
      <x:c r="B1641" s="7" t="s">
        <x:v>1080</x:v>
      </x:c>
      <x:c r="C1641" s="7" t="s">
        <x:v>1082</x:v>
      </x:c>
      <x:c r="D1641" s="7" t="s">
        <x:v>1940</x:v>
      </x:c>
      <x:c r="E1641" s="7" t="s">
        <x:v>3192</x:v>
      </x:c>
      <x:c r="F1641" s="7" t="s">
        <x:v>1942</x:v>
      </x:c>
      <x:c r="G1641" s="8" t="n">
        <x:v>3</x:v>
      </x:c>
      <x:c r="H1641" s="8" t="s">
        <x:v>58</x:v>
      </x:c>
      <x:c r="I1641" s="8" t="s">
        <x:v>58</x:v>
      </x:c>
      <x:c r="J1641" s="7" t="s">
        <x:v>1919</x:v>
      </x:c>
      <x:c r="K1641" s="8" t="n">
        <x:v>1</x:v>
      </x:c>
      <x:c r="L1641" s="8" t="n">
        <x:f aca="0">IF(AND(ISNUMBER(G1641),P1641&lt;&gt;"Unresolved unit / layout"),G1641*K1641,"Not applicable")</x:f>
        <x:v>3</x:v>
      </x:c>
      <x:c r="M1641" s="8" t="str">
        <x:f aca="0">IF(AND(ISNUMBER(H1641),P1641&lt;&gt;"Unresolved unit / layout"),H1641*K1641,"Not applicable")</x:f>
        <x:v>Not applicable</x:v>
      </x:c>
      <x:c r="N1641" s="8" t="str">
        <x:f aca="0">IF(AND(ISNUMBER(I1641),P1641&lt;&gt;"Unresolved unit / layout"),I1641*K1641,"Not applicable")</x:f>
        <x:v>Not applicable</x:v>
      </x:c>
      <x:c r="O1641" s="7" t="s">
        <x:v>1942</x:v>
      </x:c>
      <x:c r="P1641" s="7" t="s">
        <x:v>1921</x:v>
      </x:c>
      <x:c r="Q1641" s="7" t="s">
        <x:v>1930</x:v>
      </x:c>
      <x:c r="R1641" s="7" t="s">
        <x:v>1931</x:v>
      </x:c>
      <x:c r="S1641" s="7" t="s">
        <x:v>53</x:v>
      </x:c>
      <x:c r="T1641" s="7" t="s">
        <x:v>53</x:v>
      </x:c>
      <x:c r="U1641" s="7" t="s">
        <x:v>53</x:v>
      </x:c>
      <x:c r="V1641" s="7" t="s">
        <x:v>1932</x:v>
      </x:c>
      <x:c r="W1641" s="7" t="s">
        <x:v>58</x:v>
      </x:c>
      <x:c r="X1641" s="7" t="s">
        <x:v>5075</x:v>
      </x:c>
      <x:c r="Y1641" s="7" t="s">
        <x:v>1414</x:v>
      </x:c>
      <x:c r="Z1641" s="7" t="s">
        <x:v>5081</x:v>
      </x:c>
      <x:c r="AA1641" s="7" t="s">
        <x:v>58</x:v>
      </x:c>
      <x:c r="AB1641" s="8" t="s">
        <x:v>58</x:v>
      </x:c>
      <x:c r="AC1641" s="8" t="s">
        <x:v>58</x:v>
      </x:c>
      <x:c r="AD1641" s="8" t="s">
        <x:v>58</x:v>
      </x:c>
      <x:c r="AE1641" s="8" t="s">
        <x:v>58</x:v>
      </x:c>
      <x:c r="AF1641" s="8" t="s">
        <x:v>58</x:v>
      </x:c>
      <x:c r="AG1641" s="7" t="s">
        <x:v>58</x:v>
      </x:c>
    </x:row>
    <x:row r="1642" ht="51.75" hidden="0" customHeight="1">
      <x:c r="A1642" s="7" t="s">
        <x:v>5122</x:v>
      </x:c>
      <x:c r="B1642" s="7" t="s">
        <x:v>1080</x:v>
      </x:c>
      <x:c r="C1642" s="7" t="s">
        <x:v>1082</x:v>
      </x:c>
      <x:c r="D1642" s="7" t="s">
        <x:v>1945</x:v>
      </x:c>
      <x:c r="E1642" s="7" t="s">
        <x:v>5123</x:v>
      </x:c>
      <x:c r="F1642" s="7" t="s">
        <x:v>1929</x:v>
      </x:c>
      <x:c r="G1642" s="8" t="n">
        <x:v>110</x:v>
      </x:c>
      <x:c r="H1642" s="8" t="s">
        <x:v>58</x:v>
      </x:c>
      <x:c r="I1642" s="8" t="s">
        <x:v>58</x:v>
      </x:c>
      <x:c r="J1642" s="7" t="s">
        <x:v>1919</x:v>
      </x:c>
      <x:c r="K1642" s="8" t="n">
        <x:v>1</x:v>
      </x:c>
      <x:c r="L1642" s="8" t="n">
        <x:f aca="0">IF(AND(ISNUMBER(G1642),P1642&lt;&gt;"Unresolved unit / layout"),G1642*K1642,"Not applicable")</x:f>
        <x:v>110</x:v>
      </x:c>
      <x:c r="M1642" s="8" t="str">
        <x:f aca="0">IF(AND(ISNUMBER(H1642),P1642&lt;&gt;"Unresolved unit / layout"),H1642*K1642,"Not applicable")</x:f>
        <x:v>Not applicable</x:v>
      </x:c>
      <x:c r="N1642" s="8" t="str">
        <x:f aca="0">IF(AND(ISNUMBER(I1642),P1642&lt;&gt;"Unresolved unit / layout"),I1642*K1642,"Not applicable")</x:f>
        <x:v>Not applicable</x:v>
      </x:c>
      <x:c r="O1642" s="7" t="s">
        <x:v>1929</x:v>
      </x:c>
      <x:c r="P1642" s="7" t="s">
        <x:v>1921</x:v>
      </x:c>
      <x:c r="Q1642" s="7" t="s">
        <x:v>1930</x:v>
      </x:c>
      <x:c r="R1642" s="7" t="s">
        <x:v>1931</x:v>
      </x:c>
      <x:c r="S1642" s="7" t="s">
        <x:v>53</x:v>
      </x:c>
      <x:c r="T1642" s="7" t="s">
        <x:v>53</x:v>
      </x:c>
      <x:c r="U1642" s="7" t="s">
        <x:v>53</x:v>
      </x:c>
      <x:c r="V1642" s="7" t="s">
        <x:v>1947</x:v>
      </x:c>
      <x:c r="W1642" s="7" t="s">
        <x:v>58</x:v>
      </x:c>
      <x:c r="X1642" s="7" t="s">
        <x:v>5075</x:v>
      </x:c>
      <x:c r="Y1642" s="7" t="s">
        <x:v>1414</x:v>
      </x:c>
      <x:c r="Z1642" s="7" t="s">
        <x:v>1948</x:v>
      </x:c>
      <x:c r="AA1642" s="7" t="s">
        <x:v>58</x:v>
      </x:c>
      <x:c r="AB1642" s="8" t="s">
        <x:v>58</x:v>
      </x:c>
      <x:c r="AC1642" s="8" t="s">
        <x:v>58</x:v>
      </x:c>
      <x:c r="AD1642" s="8" t="s">
        <x:v>58</x:v>
      </x:c>
      <x:c r="AE1642" s="8" t="s">
        <x:v>58</x:v>
      </x:c>
      <x:c r="AF1642" s="8" t="s">
        <x:v>58</x:v>
      </x:c>
      <x:c r="AG1642" s="7" t="s">
        <x:v>58</x:v>
      </x:c>
    </x:row>
    <x:row r="1643" ht="51.75" hidden="0" customHeight="1">
      <x:c r="A1643" s="7" t="s">
        <x:v>5124</x:v>
      </x:c>
      <x:c r="B1643" s="7" t="s">
        <x:v>1080</x:v>
      </x:c>
      <x:c r="C1643" s="7" t="s">
        <x:v>1082</x:v>
      </x:c>
      <x:c r="D1643" s="7" t="s">
        <x:v>1950</x:v>
      </x:c>
      <x:c r="E1643" s="7" t="s">
        <x:v>5125</x:v>
      </x:c>
      <x:c r="F1643" s="7" t="s">
        <x:v>1929</x:v>
      </x:c>
      <x:c r="G1643" s="8" t="n">
        <x:v>2510</x:v>
      </x:c>
      <x:c r="H1643" s="8" t="s">
        <x:v>58</x:v>
      </x:c>
      <x:c r="I1643" s="8" t="s">
        <x:v>58</x:v>
      </x:c>
      <x:c r="J1643" s="7" t="s">
        <x:v>1919</x:v>
      </x:c>
      <x:c r="K1643" s="8" t="n">
        <x:v>0.001</x:v>
      </x:c>
      <x:c r="L1643" s="8" t="n">
        <x:f aca="0">IF(AND(ISNUMBER(G1643),P1643&lt;&gt;"Unresolved unit / layout"),G1643*K1643,"Not applicable")</x:f>
        <x:v>2.5100000000000002</x:v>
      </x:c>
      <x:c r="M1643" s="8" t="str">
        <x:f aca="0">IF(AND(ISNUMBER(H1643),P1643&lt;&gt;"Unresolved unit / layout"),H1643*K1643,"Not applicable")</x:f>
        <x:v>Not applicable</x:v>
      </x:c>
      <x:c r="N1643" s="8" t="str">
        <x:f aca="0">IF(AND(ISNUMBER(I1643),P1643&lt;&gt;"Unresolved unit / layout"),I1643*K1643,"Not applicable")</x:f>
        <x:v>Not applicable</x:v>
      </x:c>
      <x:c r="O1643" s="7" t="s">
        <x:v>1937</x:v>
      </x:c>
      <x:c r="P1643" s="7" t="s">
        <x:v>1921</x:v>
      </x:c>
      <x:c r="Q1643" s="7" t="s">
        <x:v>1930</x:v>
      </x:c>
      <x:c r="R1643" s="7" t="s">
        <x:v>1931</x:v>
      </x:c>
      <x:c r="S1643" s="7" t="s">
        <x:v>53</x:v>
      </x:c>
      <x:c r="T1643" s="7" t="s">
        <x:v>53</x:v>
      </x:c>
      <x:c r="U1643" s="7" t="s">
        <x:v>53</x:v>
      </x:c>
      <x:c r="V1643" s="7" t="s">
        <x:v>1947</x:v>
      </x:c>
      <x:c r="W1643" s="7" t="s">
        <x:v>58</x:v>
      </x:c>
      <x:c r="X1643" s="7" t="s">
        <x:v>5075</x:v>
      </x:c>
      <x:c r="Y1643" s="7" t="s">
        <x:v>1414</x:v>
      </x:c>
      <x:c r="Z1643" s="7" t="s">
        <x:v>1952</x:v>
      </x:c>
      <x:c r="AA1643" s="7" t="s">
        <x:v>58</x:v>
      </x:c>
      <x:c r="AB1643" s="8" t="s">
        <x:v>58</x:v>
      </x:c>
      <x:c r="AC1643" s="8" t="s">
        <x:v>58</x:v>
      </x:c>
      <x:c r="AD1643" s="8" t="s">
        <x:v>58</x:v>
      </x:c>
      <x:c r="AE1643" s="8" t="s">
        <x:v>58</x:v>
      </x:c>
      <x:c r="AF1643" s="8" t="s">
        <x:v>58</x:v>
      </x:c>
      <x:c r="AG1643" s="7" t="s">
        <x:v>58</x:v>
      </x:c>
    </x:row>
    <x:row r="1644" ht="51.75" hidden="0" customHeight="1">
      <x:c r="A1644" s="7" t="s">
        <x:v>5126</x:v>
      </x:c>
      <x:c r="B1644" s="7" t="s">
        <x:v>1080</x:v>
      </x:c>
      <x:c r="C1644" s="7" t="s">
        <x:v>1082</x:v>
      </x:c>
      <x:c r="D1644" s="7" t="s">
        <x:v>1954</x:v>
      </x:c>
      <x:c r="E1644" s="7" t="s">
        <x:v>5127</x:v>
      </x:c>
      <x:c r="F1644" s="7" t="s">
        <x:v>1956</x:v>
      </x:c>
      <x:c r="G1644" s="8" t="n">
        <x:v>217</x:v>
      </x:c>
      <x:c r="H1644" s="8" t="s">
        <x:v>58</x:v>
      </x:c>
      <x:c r="I1644" s="8" t="s">
        <x:v>58</x:v>
      </x:c>
      <x:c r="J1644" s="7" t="s">
        <x:v>1919</x:v>
      </x:c>
      <x:c r="K1644" s="8" t="n">
        <x:v>1</x:v>
      </x:c>
      <x:c r="L1644" s="8" t="n">
        <x:f aca="0">IF(AND(ISNUMBER(G1644),P1644&lt;&gt;"Unresolved unit / layout"),G1644*K1644,"Not applicable")</x:f>
        <x:v>217</x:v>
      </x:c>
      <x:c r="M1644" s="8" t="str">
        <x:f aca="0">IF(AND(ISNUMBER(H1644),P1644&lt;&gt;"Unresolved unit / layout"),H1644*K1644,"Not applicable")</x:f>
        <x:v>Not applicable</x:v>
      </x:c>
      <x:c r="N1644" s="8" t="str">
        <x:f aca="0">IF(AND(ISNUMBER(I1644),P1644&lt;&gt;"Unresolved unit / layout"),I1644*K1644,"Not applicable")</x:f>
        <x:v>Not applicable</x:v>
      </x:c>
      <x:c r="O1644" s="7" t="s">
        <x:v>1956</x:v>
      </x:c>
      <x:c r="P1644" s="7" t="s">
        <x:v>1921</x:v>
      </x:c>
      <x:c r="Q1644" s="7" t="s">
        <x:v>1930</x:v>
      </x:c>
      <x:c r="R1644" s="7" t="s">
        <x:v>58</x:v>
      </x:c>
      <x:c r="S1644" s="7" t="s">
        <x:v>53</x:v>
      </x:c>
      <x:c r="T1644" s="7" t="s">
        <x:v>53</x:v>
      </x:c>
      <x:c r="U1644" s="7" t="s">
        <x:v>53</x:v>
      </x:c>
      <x:c r="V1644" s="7" t="s">
        <x:v>1957</x:v>
      </x:c>
      <x:c r="W1644" s="7" t="s">
        <x:v>58</x:v>
      </x:c>
      <x:c r="X1644" s="7" t="s">
        <x:v>5075</x:v>
      </x:c>
      <x:c r="Y1644" s="7" t="s">
        <x:v>1414</x:v>
      </x:c>
      <x:c r="Z1644" s="7" t="s">
        <x:v>3215</x:v>
      </x:c>
      <x:c r="AA1644" s="7" t="s">
        <x:v>58</x:v>
      </x:c>
      <x:c r="AB1644" s="8" t="s">
        <x:v>58</x:v>
      </x:c>
      <x:c r="AC1644" s="8" t="s">
        <x:v>58</x:v>
      </x:c>
      <x:c r="AD1644" s="8" t="s">
        <x:v>58</x:v>
      </x:c>
      <x:c r="AE1644" s="8" t="s">
        <x:v>58</x:v>
      </x:c>
      <x:c r="AF1644" s="8" t="s">
        <x:v>58</x:v>
      </x:c>
      <x:c r="AG1644" s="7" t="s">
        <x:v>58</x:v>
      </x:c>
    </x:row>
    <x:row r="1645" ht="51.75" hidden="0" customHeight="1">
      <x:c r="A1645" s="7" t="s">
        <x:v>1087</x:v>
      </x:c>
      <x:c r="B1645" s="7" t="s">
        <x:v>1080</x:v>
      </x:c>
      <x:c r="C1645" s="7" t="s">
        <x:v>1082</x:v>
      </x:c>
      <x:c r="D1645" s="7" t="s">
        <x:v>1959</x:v>
      </x:c>
      <x:c r="E1645" s="7" t="s">
        <x:v>5128</x:v>
      </x:c>
      <x:c r="F1645" s="7" t="s">
        <x:v>1956</x:v>
      </x:c>
      <x:c r="G1645" s="8" t="n">
        <x:v>208</x:v>
      </x:c>
      <x:c r="H1645" s="8" t="s">
        <x:v>58</x:v>
      </x:c>
      <x:c r="I1645" s="8" t="s">
        <x:v>58</x:v>
      </x:c>
      <x:c r="J1645" s="7" t="s">
        <x:v>1919</x:v>
      </x:c>
      <x:c r="K1645" s="8" t="n">
        <x:v>1</x:v>
      </x:c>
      <x:c r="L1645" s="8" t="n">
        <x:f aca="0">IF(AND(ISNUMBER(G1645),P1645&lt;&gt;"Unresolved unit / layout"),G1645*K1645,"Not applicable")</x:f>
        <x:v>208</x:v>
      </x:c>
      <x:c r="M1645" s="8" t="str">
        <x:f aca="0">IF(AND(ISNUMBER(H1645),P1645&lt;&gt;"Unresolved unit / layout"),H1645*K1645,"Not applicable")</x:f>
        <x:v>Not applicable</x:v>
      </x:c>
      <x:c r="N1645" s="8" t="str">
        <x:f aca="0">IF(AND(ISNUMBER(I1645),P1645&lt;&gt;"Unresolved unit / layout"),I1645*K1645,"Not applicable")</x:f>
        <x:v>Not applicable</x:v>
      </x:c>
      <x:c r="O1645" s="7" t="s">
        <x:v>1956</x:v>
      </x:c>
      <x:c r="P1645" s="7" t="s">
        <x:v>1921</x:v>
      </x:c>
      <x:c r="Q1645" s="7" t="s">
        <x:v>1930</x:v>
      </x:c>
      <x:c r="R1645" s="7" t="s">
        <x:v>58</x:v>
      </x:c>
      <x:c r="S1645" s="7" t="s">
        <x:v>53</x:v>
      </x:c>
      <x:c r="T1645" s="7" t="s">
        <x:v>53</x:v>
      </x:c>
      <x:c r="U1645" s="7" t="s">
        <x:v>53</x:v>
      </x:c>
      <x:c r="V1645" s="7" t="s">
        <x:v>1961</x:v>
      </x:c>
      <x:c r="W1645" s="7" t="s">
        <x:v>58</x:v>
      </x:c>
      <x:c r="X1645" s="7" t="s">
        <x:v>5075</x:v>
      </x:c>
      <x:c r="Y1645" s="7" t="s">
        <x:v>1414</x:v>
      </x:c>
      <x:c r="Z1645" s="7" t="s">
        <x:v>1962</x:v>
      </x:c>
      <x:c r="AA1645" s="7" t="s">
        <x:v>58</x:v>
      </x:c>
      <x:c r="AB1645" s="8" t="s">
        <x:v>58</x:v>
      </x:c>
      <x:c r="AC1645" s="8" t="s">
        <x:v>58</x:v>
      </x:c>
      <x:c r="AD1645" s="8" t="s">
        <x:v>58</x:v>
      </x:c>
      <x:c r="AE1645" s="8" t="s">
        <x:v>58</x:v>
      </x:c>
      <x:c r="AF1645" s="8" t="s">
        <x:v>58</x:v>
      </x:c>
      <x:c r="AG1645" s="7" t="s">
        <x:v>58</x:v>
      </x:c>
    </x:row>
    <x:row r="1646" ht="51.75" hidden="0" customHeight="1">
      <x:c r="A1646" s="7" t="s">
        <x:v>5129</x:v>
      </x:c>
      <x:c r="B1646" s="7" t="s">
        <x:v>1093</x:v>
      </x:c>
      <x:c r="C1646" s="7" t="s">
        <x:v>1095</x:v>
      </x:c>
      <x:c r="D1646" s="7" t="s">
        <x:v>1916</x:v>
      </x:c>
      <x:c r="E1646" s="7" t="s">
        <x:v>1917</x:v>
      </x:c>
      <x:c r="F1646" s="7" t="s">
        <x:v>1918</x:v>
      </x:c>
      <x:c r="G1646" s="8" t="n">
        <x:v>1.24</x:v>
      </x:c>
      <x:c r="H1646" s="8" t="s">
        <x:v>58</x:v>
      </x:c>
      <x:c r="I1646" s="8" t="s">
        <x:v>58</x:v>
      </x:c>
      <x:c r="J1646" s="7" t="s">
        <x:v>1919</x:v>
      </x:c>
      <x:c r="K1646" s="8" t="n">
        <x:v>1000</x:v>
      </x:c>
      <x:c r="L1646" s="8" t="n">
        <x:f aca="0">IF(AND(ISNUMBER(G1646),P1646&lt;&gt;"Unresolved unit / layout"),G1646*K1646,"Not applicable")</x:f>
        <x:v>1240</x:v>
      </x:c>
      <x:c r="M1646" s="8" t="str">
        <x:f aca="0">IF(AND(ISNUMBER(H1646),P1646&lt;&gt;"Unresolved unit / layout"),H1646*K1646,"Not applicable")</x:f>
        <x:v>Not applicable</x:v>
      </x:c>
      <x:c r="N1646" s="8" t="str">
        <x:f aca="0">IF(AND(ISNUMBER(I1646),P1646&lt;&gt;"Unresolved unit / layout"),I1646*K1646,"Not applicable")</x:f>
        <x:v>Not applicable</x:v>
      </x:c>
      <x:c r="O1646" s="7" t="s">
        <x:v>1920</x:v>
      </x:c>
      <x:c r="P1646" s="7" t="s">
        <x:v>1921</x:v>
      </x:c>
      <x:c r="Q1646" s="7" t="s">
        <x:v>1922</x:v>
      </x:c>
      <x:c r="R1646" s="7" t="s">
        <x:v>58</x:v>
      </x:c>
      <x:c r="S1646" s="7" t="s">
        <x:v>53</x:v>
      </x:c>
      <x:c r="T1646" s="7" t="s">
        <x:v>53</x:v>
      </x:c>
      <x:c r="U1646" s="7" t="s">
        <x:v>53</x:v>
      </x:c>
      <x:c r="V1646" s="7" t="s">
        <x:v>1923</x:v>
      </x:c>
      <x:c r="W1646" s="7" t="s">
        <x:v>58</x:v>
      </x:c>
      <x:c r="X1646" s="7" t="s">
        <x:v>5130</x:v>
      </x:c>
      <x:c r="Y1646" s="7" t="s">
        <x:v>1420</x:v>
      </x:c>
      <x:c r="Z1646" s="7" t="s">
        <x:v>1925</x:v>
      </x:c>
      <x:c r="AA1646" s="7" t="s">
        <x:v>58</x:v>
      </x:c>
      <x:c r="AB1646" s="8" t="s">
        <x:v>58</x:v>
      </x:c>
      <x:c r="AC1646" s="8" t="s">
        <x:v>58</x:v>
      </x:c>
      <x:c r="AD1646" s="8" t="s">
        <x:v>58</x:v>
      </x:c>
      <x:c r="AE1646" s="8" t="s">
        <x:v>58</x:v>
      </x:c>
      <x:c r="AF1646" s="8" t="s">
        <x:v>58</x:v>
      </x:c>
      <x:c r="AG1646" s="7" t="s">
        <x:v>58</x:v>
      </x:c>
    </x:row>
    <x:row r="1647" ht="51.75" hidden="0" customHeight="1">
      <x:c r="A1647" s="7" t="s">
        <x:v>5131</x:v>
      </x:c>
      <x:c r="B1647" s="7" t="s">
        <x:v>1093</x:v>
      </x:c>
      <x:c r="C1647" s="7" t="s">
        <x:v>1095</x:v>
      </x:c>
      <x:c r="D1647" s="7" t="s">
        <x:v>2006</x:v>
      </x:c>
      <x:c r="E1647" s="7" t="s">
        <x:v>4578</x:v>
      </x:c>
      <x:c r="F1647" s="7" t="s">
        <x:v>1929</x:v>
      </x:c>
      <x:c r="G1647" s="8" t="n">
        <x:v>52</x:v>
      </x:c>
      <x:c r="H1647" s="8" t="s">
        <x:v>58</x:v>
      </x:c>
      <x:c r="I1647" s="8" t="s">
        <x:v>58</x:v>
      </x:c>
      <x:c r="J1647" s="7" t="s">
        <x:v>1919</x:v>
      </x:c>
      <x:c r="K1647" s="8" t="n">
        <x:v>1</x:v>
      </x:c>
      <x:c r="L1647" s="8" t="n">
        <x:f aca="0">IF(AND(ISNUMBER(G1647),P1647&lt;&gt;"Unresolved unit / layout"),G1647*K1647,"Not applicable")</x:f>
        <x:v>52</x:v>
      </x:c>
      <x:c r="M1647" s="8" t="str">
        <x:f aca="0">IF(AND(ISNUMBER(H1647),P1647&lt;&gt;"Unresolved unit / layout"),H1647*K1647,"Not applicable")</x:f>
        <x:v>Not applicable</x:v>
      </x:c>
      <x:c r="N1647" s="8" t="str">
        <x:f aca="0">IF(AND(ISNUMBER(I1647),P1647&lt;&gt;"Unresolved unit / layout"),I1647*K1647,"Not applicable")</x:f>
        <x:v>Not applicable</x:v>
      </x:c>
      <x:c r="O1647" s="7" t="s">
        <x:v>1929</x:v>
      </x:c>
      <x:c r="P1647" s="7" t="s">
        <x:v>1921</x:v>
      </x:c>
      <x:c r="Q1647" s="7" t="s">
        <x:v>1930</x:v>
      </x:c>
      <x:c r="R1647" s="7" t="s">
        <x:v>1931</x:v>
      </x:c>
      <x:c r="S1647" s="7" t="s">
        <x:v>53</x:v>
      </x:c>
      <x:c r="T1647" s="7" t="s">
        <x:v>53</x:v>
      </x:c>
      <x:c r="U1647" s="7" t="s">
        <x:v>53</x:v>
      </x:c>
      <x:c r="V1647" s="7" t="s">
        <x:v>1932</x:v>
      </x:c>
      <x:c r="W1647" s="7" t="s">
        <x:v>58</x:v>
      </x:c>
      <x:c r="X1647" s="7" t="s">
        <x:v>5130</x:v>
      </x:c>
      <x:c r="Y1647" s="7" t="s">
        <x:v>1420</x:v>
      </x:c>
      <x:c r="Z1647" s="7" t="s">
        <x:v>2825</x:v>
      </x:c>
      <x:c r="AA1647" s="7" t="s">
        <x:v>58</x:v>
      </x:c>
      <x:c r="AB1647" s="8" t="s">
        <x:v>58</x:v>
      </x:c>
      <x:c r="AC1647" s="8" t="s">
        <x:v>58</x:v>
      </x:c>
      <x:c r="AD1647" s="8" t="s">
        <x:v>58</x:v>
      </x:c>
      <x:c r="AE1647" s="8" t="s">
        <x:v>58</x:v>
      </x:c>
      <x:c r="AF1647" s="8" t="s">
        <x:v>58</x:v>
      </x:c>
      <x:c r="AG1647" s="7" t="s">
        <x:v>58</x:v>
      </x:c>
    </x:row>
    <x:row r="1648" ht="51.75" hidden="0" customHeight="1">
      <x:c r="A1648" s="7" t="s">
        <x:v>5132</x:v>
      </x:c>
      <x:c r="B1648" s="7" t="s">
        <x:v>1093</x:v>
      </x:c>
      <x:c r="C1648" s="7" t="s">
        <x:v>1095</x:v>
      </x:c>
      <x:c r="D1648" s="7" t="s">
        <x:v>1935</x:v>
      </x:c>
      <x:c r="E1648" s="7" t="s">
        <x:v>5133</x:v>
      </x:c>
      <x:c r="F1648" s="7" t="s">
        <x:v>1929</x:v>
      </x:c>
      <x:c r="G1648" s="8" t="n">
        <x:v>2100</x:v>
      </x:c>
      <x:c r="H1648" s="8" t="s">
        <x:v>58</x:v>
      </x:c>
      <x:c r="I1648" s="8" t="s">
        <x:v>58</x:v>
      </x:c>
      <x:c r="J1648" s="7" t="s">
        <x:v>1919</x:v>
      </x:c>
      <x:c r="K1648" s="8" t="n">
        <x:v>0.001</x:v>
      </x:c>
      <x:c r="L1648" s="8" t="n">
        <x:f aca="0">IF(AND(ISNUMBER(G1648),P1648&lt;&gt;"Unresolved unit / layout"),G1648*K1648,"Not applicable")</x:f>
        <x:v>2.1</x:v>
      </x:c>
      <x:c r="M1648" s="8" t="str">
        <x:f aca="0">IF(AND(ISNUMBER(H1648),P1648&lt;&gt;"Unresolved unit / layout"),H1648*K1648,"Not applicable")</x:f>
        <x:v>Not applicable</x:v>
      </x:c>
      <x:c r="N1648" s="8" t="str">
        <x:f aca="0">IF(AND(ISNUMBER(I1648),P1648&lt;&gt;"Unresolved unit / layout"),I1648*K1648,"Not applicable")</x:f>
        <x:v>Not applicable</x:v>
      </x:c>
      <x:c r="O1648" s="7" t="s">
        <x:v>1937</x:v>
      </x:c>
      <x:c r="P1648" s="7" t="s">
        <x:v>1921</x:v>
      </x:c>
      <x:c r="Q1648" s="7" t="s">
        <x:v>1930</x:v>
      </x:c>
      <x:c r="R1648" s="7" t="s">
        <x:v>1931</x:v>
      </x:c>
      <x:c r="S1648" s="7" t="s">
        <x:v>53</x:v>
      </x:c>
      <x:c r="T1648" s="7" t="s">
        <x:v>53</x:v>
      </x:c>
      <x:c r="U1648" s="7" t="s">
        <x:v>53</x:v>
      </x:c>
      <x:c r="V1648" s="7" t="s">
        <x:v>1932</x:v>
      </x:c>
      <x:c r="W1648" s="7" t="s">
        <x:v>58</x:v>
      </x:c>
      <x:c r="X1648" s="7" t="s">
        <x:v>5130</x:v>
      </x:c>
      <x:c r="Y1648" s="7" t="s">
        <x:v>1420</x:v>
      </x:c>
      <x:c r="Z1648" s="7" t="s">
        <x:v>1938</x:v>
      </x:c>
      <x:c r="AA1648" s="7" t="s">
        <x:v>58</x:v>
      </x:c>
      <x:c r="AB1648" s="8" t="s">
        <x:v>58</x:v>
      </x:c>
      <x:c r="AC1648" s="8" t="s">
        <x:v>58</x:v>
      </x:c>
      <x:c r="AD1648" s="8" t="s">
        <x:v>58</x:v>
      </x:c>
      <x:c r="AE1648" s="8" t="s">
        <x:v>58</x:v>
      </x:c>
      <x:c r="AF1648" s="8" t="s">
        <x:v>58</x:v>
      </x:c>
      <x:c r="AG1648" s="7" t="s">
        <x:v>58</x:v>
      </x:c>
    </x:row>
    <x:row r="1649" ht="51.75" hidden="0" customHeight="1">
      <x:c r="A1649" s="7" t="s">
        <x:v>5134</x:v>
      </x:c>
      <x:c r="B1649" s="7" t="s">
        <x:v>1093</x:v>
      </x:c>
      <x:c r="C1649" s="7" t="s">
        <x:v>1095</x:v>
      </x:c>
      <x:c r="D1649" s="7" t="s">
        <x:v>1940</x:v>
      </x:c>
      <x:c r="E1649" s="7" t="s">
        <x:v>1941</x:v>
      </x:c>
      <x:c r="F1649" s="7" t="s">
        <x:v>1942</x:v>
      </x:c>
      <x:c r="G1649" s="8" t="n">
        <x:v>8</x:v>
      </x:c>
      <x:c r="H1649" s="8" t="s">
        <x:v>58</x:v>
      </x:c>
      <x:c r="I1649" s="8" t="s">
        <x:v>58</x:v>
      </x:c>
      <x:c r="J1649" s="7" t="s">
        <x:v>1919</x:v>
      </x:c>
      <x:c r="K1649" s="8" t="n">
        <x:v>1</x:v>
      </x:c>
      <x:c r="L1649" s="8" t="n">
        <x:f aca="0">IF(AND(ISNUMBER(G1649),P1649&lt;&gt;"Unresolved unit / layout"),G1649*K1649,"Not applicable")</x:f>
        <x:v>8</x:v>
      </x:c>
      <x:c r="M1649" s="8" t="str">
        <x:f aca="0">IF(AND(ISNUMBER(H1649),P1649&lt;&gt;"Unresolved unit / layout"),H1649*K1649,"Not applicable")</x:f>
        <x:v>Not applicable</x:v>
      </x:c>
      <x:c r="N1649" s="8" t="str">
        <x:f aca="0">IF(AND(ISNUMBER(I1649),P1649&lt;&gt;"Unresolved unit / layout"),I1649*K1649,"Not applicable")</x:f>
        <x:v>Not applicable</x:v>
      </x:c>
      <x:c r="O1649" s="7" t="s">
        <x:v>1942</x:v>
      </x:c>
      <x:c r="P1649" s="7" t="s">
        <x:v>1921</x:v>
      </x:c>
      <x:c r="Q1649" s="7" t="s">
        <x:v>1930</x:v>
      </x:c>
      <x:c r="R1649" s="7" t="s">
        <x:v>1931</x:v>
      </x:c>
      <x:c r="S1649" s="7" t="s">
        <x:v>53</x:v>
      </x:c>
      <x:c r="T1649" s="7" t="s">
        <x:v>53</x:v>
      </x:c>
      <x:c r="U1649" s="7" t="s">
        <x:v>53</x:v>
      </x:c>
      <x:c r="V1649" s="7" t="s">
        <x:v>1932</x:v>
      </x:c>
      <x:c r="W1649" s="7" t="s">
        <x:v>58</x:v>
      </x:c>
      <x:c r="X1649" s="7" t="s">
        <x:v>5130</x:v>
      </x:c>
      <x:c r="Y1649" s="7" t="s">
        <x:v>1420</x:v>
      </x:c>
      <x:c r="Z1649" s="7" t="s">
        <x:v>5081</x:v>
      </x:c>
      <x:c r="AA1649" s="7" t="s">
        <x:v>58</x:v>
      </x:c>
      <x:c r="AB1649" s="8" t="s">
        <x:v>58</x:v>
      </x:c>
      <x:c r="AC1649" s="8" t="s">
        <x:v>58</x:v>
      </x:c>
      <x:c r="AD1649" s="8" t="s">
        <x:v>58</x:v>
      </x:c>
      <x:c r="AE1649" s="8" t="s">
        <x:v>58</x:v>
      </x:c>
      <x:c r="AF1649" s="8" t="s">
        <x:v>58</x:v>
      </x:c>
      <x:c r="AG1649" s="7" t="s">
        <x:v>58</x:v>
      </x:c>
    </x:row>
    <x:row r="1650" ht="51.75" hidden="0" customHeight="1">
      <x:c r="A1650" s="7" t="s">
        <x:v>5135</x:v>
      </x:c>
      <x:c r="B1650" s="7" t="s">
        <x:v>1093</x:v>
      </x:c>
      <x:c r="C1650" s="7" t="s">
        <x:v>1095</x:v>
      </x:c>
      <x:c r="D1650" s="7" t="s">
        <x:v>1945</x:v>
      </x:c>
      <x:c r="E1650" s="7" t="s">
        <x:v>5136</x:v>
      </x:c>
      <x:c r="F1650" s="7" t="s">
        <x:v>1929</x:v>
      </x:c>
      <x:c r="G1650" s="8" t="n">
        <x:v>87</x:v>
      </x:c>
      <x:c r="H1650" s="8" t="s">
        <x:v>58</x:v>
      </x:c>
      <x:c r="I1650" s="8" t="s">
        <x:v>58</x:v>
      </x:c>
      <x:c r="J1650" s="7" t="s">
        <x:v>1919</x:v>
      </x:c>
      <x:c r="K1650" s="8" t="n">
        <x:v>1</x:v>
      </x:c>
      <x:c r="L1650" s="8" t="n">
        <x:f aca="0">IF(AND(ISNUMBER(G1650),P1650&lt;&gt;"Unresolved unit / layout"),G1650*K1650,"Not applicable")</x:f>
        <x:v>87</x:v>
      </x:c>
      <x:c r="M1650" s="8" t="str">
        <x:f aca="0">IF(AND(ISNUMBER(H1650),P1650&lt;&gt;"Unresolved unit / layout"),H1650*K1650,"Not applicable")</x:f>
        <x:v>Not applicable</x:v>
      </x:c>
      <x:c r="N1650" s="8" t="str">
        <x:f aca="0">IF(AND(ISNUMBER(I1650),P1650&lt;&gt;"Unresolved unit / layout"),I1650*K1650,"Not applicable")</x:f>
        <x:v>Not applicable</x:v>
      </x:c>
      <x:c r="O1650" s="7" t="s">
        <x:v>1929</x:v>
      </x:c>
      <x:c r="P1650" s="7" t="s">
        <x:v>1921</x:v>
      </x:c>
      <x:c r="Q1650" s="7" t="s">
        <x:v>1930</x:v>
      </x:c>
      <x:c r="R1650" s="7" t="s">
        <x:v>1931</x:v>
      </x:c>
      <x:c r="S1650" s="7" t="s">
        <x:v>53</x:v>
      </x:c>
      <x:c r="T1650" s="7" t="s">
        <x:v>53</x:v>
      </x:c>
      <x:c r="U1650" s="7" t="s">
        <x:v>53</x:v>
      </x:c>
      <x:c r="V1650" s="7" t="s">
        <x:v>1947</x:v>
      </x:c>
      <x:c r="W1650" s="7" t="s">
        <x:v>58</x:v>
      </x:c>
      <x:c r="X1650" s="7" t="s">
        <x:v>5130</x:v>
      </x:c>
      <x:c r="Y1650" s="7" t="s">
        <x:v>1420</x:v>
      </x:c>
      <x:c r="Z1650" s="7" t="s">
        <x:v>1948</x:v>
      </x:c>
      <x:c r="AA1650" s="7" t="s">
        <x:v>58</x:v>
      </x:c>
      <x:c r="AB1650" s="8" t="s">
        <x:v>58</x:v>
      </x:c>
      <x:c r="AC1650" s="8" t="s">
        <x:v>58</x:v>
      </x:c>
      <x:c r="AD1650" s="8" t="s">
        <x:v>58</x:v>
      </x:c>
      <x:c r="AE1650" s="8" t="s">
        <x:v>58</x:v>
      </x:c>
      <x:c r="AF1650" s="8" t="s">
        <x:v>58</x:v>
      </x:c>
      <x:c r="AG1650" s="7" t="s">
        <x:v>58</x:v>
      </x:c>
    </x:row>
    <x:row r="1651" ht="51.75" hidden="0" customHeight="1">
      <x:c r="A1651" s="7" t="s">
        <x:v>5137</x:v>
      </x:c>
      <x:c r="B1651" s="7" t="s">
        <x:v>1093</x:v>
      </x:c>
      <x:c r="C1651" s="7" t="s">
        <x:v>1095</x:v>
      </x:c>
      <x:c r="D1651" s="7" t="s">
        <x:v>1950</x:v>
      </x:c>
      <x:c r="E1651" s="7" t="s">
        <x:v>3804</x:v>
      </x:c>
      <x:c r="F1651" s="7" t="s">
        <x:v>1929</x:v>
      </x:c>
      <x:c r="G1651" s="8" t="n">
        <x:v>2050</x:v>
      </x:c>
      <x:c r="H1651" s="8" t="s">
        <x:v>58</x:v>
      </x:c>
      <x:c r="I1651" s="8" t="s">
        <x:v>58</x:v>
      </x:c>
      <x:c r="J1651" s="7" t="s">
        <x:v>1919</x:v>
      </x:c>
      <x:c r="K1651" s="8" t="n">
        <x:v>0.001</x:v>
      </x:c>
      <x:c r="L1651" s="8" t="n">
        <x:f aca="0">IF(AND(ISNUMBER(G1651),P1651&lt;&gt;"Unresolved unit / layout"),G1651*K1651,"Not applicable")</x:f>
        <x:v>2.05</x:v>
      </x:c>
      <x:c r="M1651" s="8" t="str">
        <x:f aca="0">IF(AND(ISNUMBER(H1651),P1651&lt;&gt;"Unresolved unit / layout"),H1651*K1651,"Not applicable")</x:f>
        <x:v>Not applicable</x:v>
      </x:c>
      <x:c r="N1651" s="8" t="str">
        <x:f aca="0">IF(AND(ISNUMBER(I1651),P1651&lt;&gt;"Unresolved unit / layout"),I1651*K1651,"Not applicable")</x:f>
        <x:v>Not applicable</x:v>
      </x:c>
      <x:c r="O1651" s="7" t="s">
        <x:v>1937</x:v>
      </x:c>
      <x:c r="P1651" s="7" t="s">
        <x:v>1921</x:v>
      </x:c>
      <x:c r="Q1651" s="7" t="s">
        <x:v>1930</x:v>
      </x:c>
      <x:c r="R1651" s="7" t="s">
        <x:v>1931</x:v>
      </x:c>
      <x:c r="S1651" s="7" t="s">
        <x:v>53</x:v>
      </x:c>
      <x:c r="T1651" s="7" t="s">
        <x:v>53</x:v>
      </x:c>
      <x:c r="U1651" s="7" t="s">
        <x:v>53</x:v>
      </x:c>
      <x:c r="V1651" s="7" t="s">
        <x:v>1947</x:v>
      </x:c>
      <x:c r="W1651" s="7" t="s">
        <x:v>58</x:v>
      </x:c>
      <x:c r="X1651" s="7" t="s">
        <x:v>5130</x:v>
      </x:c>
      <x:c r="Y1651" s="7" t="s">
        <x:v>1420</x:v>
      </x:c>
      <x:c r="Z1651" s="7" t="s">
        <x:v>1952</x:v>
      </x:c>
      <x:c r="AA1651" s="7" t="s">
        <x:v>58</x:v>
      </x:c>
      <x:c r="AB1651" s="8" t="s">
        <x:v>58</x:v>
      </x:c>
      <x:c r="AC1651" s="8" t="s">
        <x:v>58</x:v>
      </x:c>
      <x:c r="AD1651" s="8" t="s">
        <x:v>58</x:v>
      </x:c>
      <x:c r="AE1651" s="8" t="s">
        <x:v>58</x:v>
      </x:c>
      <x:c r="AF1651" s="8" t="s">
        <x:v>58</x:v>
      </x:c>
      <x:c r="AG1651" s="7" t="s">
        <x:v>58</x:v>
      </x:c>
    </x:row>
    <x:row r="1652" ht="51.75" hidden="0" customHeight="1">
      <x:c r="A1652" s="7" t="s">
        <x:v>5138</x:v>
      </x:c>
      <x:c r="B1652" s="7" t="s">
        <x:v>1093</x:v>
      </x:c>
      <x:c r="C1652" s="7" t="s">
        <x:v>1095</x:v>
      </x:c>
      <x:c r="D1652" s="7" t="s">
        <x:v>1954</x:v>
      </x:c>
      <x:c r="E1652" s="7" t="s">
        <x:v>5139</x:v>
      </x:c>
      <x:c r="F1652" s="7" t="s">
        <x:v>1956</x:v>
      </x:c>
      <x:c r="G1652" s="8" t="n">
        <x:v>187</x:v>
      </x:c>
      <x:c r="H1652" s="8" t="s">
        <x:v>58</x:v>
      </x:c>
      <x:c r="I1652" s="8" t="s">
        <x:v>58</x:v>
      </x:c>
      <x:c r="J1652" s="7" t="s">
        <x:v>1919</x:v>
      </x:c>
      <x:c r="K1652" s="8" t="n">
        <x:v>1</x:v>
      </x:c>
      <x:c r="L1652" s="8" t="n">
        <x:f aca="0">IF(AND(ISNUMBER(G1652),P1652&lt;&gt;"Unresolved unit / layout"),G1652*K1652,"Not applicable")</x:f>
        <x:v>187</x:v>
      </x:c>
      <x:c r="M1652" s="8" t="str">
        <x:f aca="0">IF(AND(ISNUMBER(H1652),P1652&lt;&gt;"Unresolved unit / layout"),H1652*K1652,"Not applicable")</x:f>
        <x:v>Not applicable</x:v>
      </x:c>
      <x:c r="N1652" s="8" t="str">
        <x:f aca="0">IF(AND(ISNUMBER(I1652),P1652&lt;&gt;"Unresolved unit / layout"),I1652*K1652,"Not applicable")</x:f>
        <x:v>Not applicable</x:v>
      </x:c>
      <x:c r="O1652" s="7" t="s">
        <x:v>1956</x:v>
      </x:c>
      <x:c r="P1652" s="7" t="s">
        <x:v>1921</x:v>
      </x:c>
      <x:c r="Q1652" s="7" t="s">
        <x:v>1930</x:v>
      </x:c>
      <x:c r="R1652" s="7" t="s">
        <x:v>58</x:v>
      </x:c>
      <x:c r="S1652" s="7" t="s">
        <x:v>53</x:v>
      </x:c>
      <x:c r="T1652" s="7" t="s">
        <x:v>53</x:v>
      </x:c>
      <x:c r="U1652" s="7" t="s">
        <x:v>53</x:v>
      </x:c>
      <x:c r="V1652" s="7" t="s">
        <x:v>1957</x:v>
      </x:c>
      <x:c r="W1652" s="7" t="s">
        <x:v>58</x:v>
      </x:c>
      <x:c r="X1652" s="7" t="s">
        <x:v>5130</x:v>
      </x:c>
      <x:c r="Y1652" s="7" t="s">
        <x:v>1420</x:v>
      </x:c>
      <x:c r="Z1652" s="7" t="s">
        <x:v>3215</x:v>
      </x:c>
      <x:c r="AA1652" s="7" t="s">
        <x:v>58</x:v>
      </x:c>
      <x:c r="AB1652" s="8" t="s">
        <x:v>58</x:v>
      </x:c>
      <x:c r="AC1652" s="8" t="s">
        <x:v>58</x:v>
      </x:c>
      <x:c r="AD1652" s="8" t="s">
        <x:v>58</x:v>
      </x:c>
      <x:c r="AE1652" s="8" t="s">
        <x:v>58</x:v>
      </x:c>
      <x:c r="AF1652" s="8" t="s">
        <x:v>58</x:v>
      </x:c>
      <x:c r="AG1652" s="7" t="s">
        <x:v>58</x:v>
      </x:c>
    </x:row>
    <x:row r="1653" ht="51.75" hidden="0" customHeight="1">
      <x:c r="A1653" s="7" t="s">
        <x:v>1100</x:v>
      </x:c>
      <x:c r="B1653" s="7" t="s">
        <x:v>1093</x:v>
      </x:c>
      <x:c r="C1653" s="7" t="s">
        <x:v>1095</x:v>
      </x:c>
      <x:c r="D1653" s="7" t="s">
        <x:v>1959</x:v>
      </x:c>
      <x:c r="E1653" s="7" t="s">
        <x:v>5140</x:v>
      </x:c>
      <x:c r="F1653" s="7" t="s">
        <x:v>1956</x:v>
      </x:c>
      <x:c r="G1653" s="8" t="n">
        <x:v>172</x:v>
      </x:c>
      <x:c r="H1653" s="8" t="s">
        <x:v>58</x:v>
      </x:c>
      <x:c r="I1653" s="8" t="s">
        <x:v>58</x:v>
      </x:c>
      <x:c r="J1653" s="7" t="s">
        <x:v>1919</x:v>
      </x:c>
      <x:c r="K1653" s="8" t="n">
        <x:v>1</x:v>
      </x:c>
      <x:c r="L1653" s="8" t="n">
        <x:f aca="0">IF(AND(ISNUMBER(G1653),P1653&lt;&gt;"Unresolved unit / layout"),G1653*K1653,"Not applicable")</x:f>
        <x:v>172</x:v>
      </x:c>
      <x:c r="M1653" s="8" t="str">
        <x:f aca="0">IF(AND(ISNUMBER(H1653),P1653&lt;&gt;"Unresolved unit / layout"),H1653*K1653,"Not applicable")</x:f>
        <x:v>Not applicable</x:v>
      </x:c>
      <x:c r="N1653" s="8" t="str">
        <x:f aca="0">IF(AND(ISNUMBER(I1653),P1653&lt;&gt;"Unresolved unit / layout"),I1653*K1653,"Not applicable")</x:f>
        <x:v>Not applicable</x:v>
      </x:c>
      <x:c r="O1653" s="7" t="s">
        <x:v>1956</x:v>
      </x:c>
      <x:c r="P1653" s="7" t="s">
        <x:v>1921</x:v>
      </x:c>
      <x:c r="Q1653" s="7" t="s">
        <x:v>1930</x:v>
      </x:c>
      <x:c r="R1653" s="7" t="s">
        <x:v>58</x:v>
      </x:c>
      <x:c r="S1653" s="7" t="s">
        <x:v>53</x:v>
      </x:c>
      <x:c r="T1653" s="7" t="s">
        <x:v>53</x:v>
      </x:c>
      <x:c r="U1653" s="7" t="s">
        <x:v>53</x:v>
      </x:c>
      <x:c r="V1653" s="7" t="s">
        <x:v>1961</x:v>
      </x:c>
      <x:c r="W1653" s="7" t="s">
        <x:v>58</x:v>
      </x:c>
      <x:c r="X1653" s="7" t="s">
        <x:v>5130</x:v>
      </x:c>
      <x:c r="Y1653" s="7" t="s">
        <x:v>1420</x:v>
      </x:c>
      <x:c r="Z1653" s="7" t="s">
        <x:v>1962</x:v>
      </x:c>
      <x:c r="AA1653" s="7" t="s">
        <x:v>58</x:v>
      </x:c>
      <x:c r="AB1653" s="8" t="s">
        <x:v>58</x:v>
      </x:c>
      <x:c r="AC1653" s="8" t="s">
        <x:v>58</x:v>
      </x:c>
      <x:c r="AD1653" s="8" t="s">
        <x:v>58</x:v>
      </x:c>
      <x:c r="AE1653" s="8" t="s">
        <x:v>58</x:v>
      </x:c>
      <x:c r="AF1653" s="8" t="s">
        <x:v>58</x:v>
      </x:c>
      <x:c r="AG1653" s="7" t="s">
        <x:v>58</x:v>
      </x:c>
    </x:row>
    <x:row r="1654" ht="51.75" hidden="0" customHeight="1">
      <x:c r="A1654" s="7" t="s">
        <x:v>1109</x:v>
      </x:c>
      <x:c r="B1654" s="7" t="s">
        <x:v>1104</x:v>
      </x:c>
      <x:c r="C1654" s="7" t="s">
        <x:v>1106</x:v>
      </x:c>
      <x:c r="D1654" s="7" t="s">
        <x:v>1916</x:v>
      </x:c>
      <x:c r="E1654" s="7" t="s">
        <x:v>5141</x:v>
      </x:c>
      <x:c r="F1654" s="7" t="s">
        <x:v>1918</x:v>
      </x:c>
      <x:c r="G1654" s="8" t="n">
        <x:v>1.37</x:v>
      </x:c>
      <x:c r="H1654" s="8" t="s">
        <x:v>58</x:v>
      </x:c>
      <x:c r="I1654" s="8" t="s">
        <x:v>58</x:v>
      </x:c>
      <x:c r="J1654" s="7" t="s">
        <x:v>1919</x:v>
      </x:c>
      <x:c r="K1654" s="8" t="n">
        <x:v>1000</x:v>
      </x:c>
      <x:c r="L1654" s="8" t="n">
        <x:f aca="0">IF(AND(ISNUMBER(G1654),P1654&lt;&gt;"Unresolved unit / layout"),G1654*K1654,"Not applicable")</x:f>
        <x:v>1370</x:v>
      </x:c>
      <x:c r="M1654" s="8" t="str">
        <x:f aca="0">IF(AND(ISNUMBER(H1654),P1654&lt;&gt;"Unresolved unit / layout"),H1654*K1654,"Not applicable")</x:f>
        <x:v>Not applicable</x:v>
      </x:c>
      <x:c r="N1654" s="8" t="str">
        <x:f aca="0">IF(AND(ISNUMBER(I1654),P1654&lt;&gt;"Unresolved unit / layout"),I1654*K1654,"Not applicable")</x:f>
        <x:v>Not applicable</x:v>
      </x:c>
      <x:c r="O1654" s="7" t="s">
        <x:v>1920</x:v>
      </x:c>
      <x:c r="P1654" s="7" t="s">
        <x:v>1921</x:v>
      </x:c>
      <x:c r="Q1654" s="7" t="s">
        <x:v>1922</x:v>
      </x:c>
      <x:c r="R1654" s="7" t="s">
        <x:v>58</x:v>
      </x:c>
      <x:c r="S1654" s="7" t="s">
        <x:v>53</x:v>
      </x:c>
      <x:c r="T1654" s="7" t="s">
        <x:v>53</x:v>
      </x:c>
      <x:c r="U1654" s="7" t="s">
        <x:v>53</x:v>
      </x:c>
      <x:c r="V1654" s="7" t="s">
        <x:v>1923</x:v>
      </x:c>
      <x:c r="W1654" s="7" t="s">
        <x:v>58</x:v>
      </x:c>
      <x:c r="X1654" s="7" t="s">
        <x:v>53</x:v>
      </x:c>
      <x:c r="Y1654" s="7" t="s">
        <x:v>1423</x:v>
      </x:c>
      <x:c r="Z1654" s="7" t="s">
        <x:v>1925</x:v>
      </x:c>
      <x:c r="AA1654" s="7" t="s">
        <x:v>58</x:v>
      </x:c>
      <x:c r="AB1654" s="8" t="s">
        <x:v>58</x:v>
      </x:c>
      <x:c r="AC1654" s="8" t="s">
        <x:v>58</x:v>
      </x:c>
      <x:c r="AD1654" s="8" t="s">
        <x:v>58</x:v>
      </x:c>
      <x:c r="AE1654" s="8" t="s">
        <x:v>58</x:v>
      </x:c>
      <x:c r="AF1654" s="8" t="s">
        <x:v>58</x:v>
      </x:c>
      <x:c r="AG1654" s="7" t="s">
        <x:v>58</x:v>
      </x:c>
    </x:row>
    <x:row r="1655" ht="37.5" hidden="0" customHeight="1">
      <x:c r="A1655" s="7" t="s">
        <x:v>5142</x:v>
      </x:c>
      <x:c r="B1655" s="7" t="s">
        <x:v>1104</x:v>
      </x:c>
      <x:c r="C1655" s="7" t="s">
        <x:v>1106</x:v>
      </x:c>
      <x:c r="D1655" s="7" t="s">
        <x:v>3061</x:v>
      </x:c>
      <x:c r="E1655" s="7" t="s">
        <x:v>4965</x:v>
      </x:c>
      <x:c r="F1655" s="7" t="s">
        <x:v>1929</x:v>
      </x:c>
      <x:c r="G1655" s="8" t="n">
        <x:v>86</x:v>
      </x:c>
      <x:c r="H1655" s="8" t="s">
        <x:v>58</x:v>
      </x:c>
      <x:c r="I1655" s="8" t="s">
        <x:v>58</x:v>
      </x:c>
      <x:c r="J1655" s="7" t="s">
        <x:v>1919</x:v>
      </x:c>
      <x:c r="K1655" s="8" t="n">
        <x:v>1</x:v>
      </x:c>
      <x:c r="L1655" s="8" t="n">
        <x:f aca="0">IF(AND(ISNUMBER(G1655),P1655&lt;&gt;"Unresolved unit / layout"),G1655*K1655,"Not applicable")</x:f>
        <x:v>86</x:v>
      </x:c>
      <x:c r="M1655" s="8" t="str">
        <x:f aca="0">IF(AND(ISNUMBER(H1655),P1655&lt;&gt;"Unresolved unit / layout"),H1655*K1655,"Not applicable")</x:f>
        <x:v>Not applicable</x:v>
      </x:c>
      <x:c r="N1655" s="8" t="str">
        <x:f aca="0">IF(AND(ISNUMBER(I1655),P1655&lt;&gt;"Unresolved unit / layout"),I1655*K1655,"Not applicable")</x:f>
        <x:v>Not applicable</x:v>
      </x:c>
      <x:c r="O1655" s="7" t="s">
        <x:v>1929</x:v>
      </x:c>
      <x:c r="P1655" s="7" t="s">
        <x:v>1921</x:v>
      </x:c>
      <x:c r="Q1655" s="7" t="s">
        <x:v>2064</x:v>
      </x:c>
      <x:c r="R1655" s="7" t="s">
        <x:v>53</x:v>
      </x:c>
      <x:c r="S1655" s="7" t="s">
        <x:v>53</x:v>
      </x:c>
      <x:c r="T1655" s="7" t="s">
        <x:v>53</x:v>
      </x:c>
      <x:c r="U1655" s="7" t="s">
        <x:v>53</x:v>
      </x:c>
      <x:c r="V1655" s="7" t="s">
        <x:v>1932</x:v>
      </x:c>
      <x:c r="W1655" s="7" t="s">
        <x:v>58</x:v>
      </x:c>
      <x:c r="X1655" s="7" t="s">
        <x:v>53</x:v>
      </x:c>
      <x:c r="Y1655" s="7" t="s">
        <x:v>1423</x:v>
      </x:c>
      <x:c r="Z1655" s="7" t="s">
        <x:v>5143</x:v>
      </x:c>
      <x:c r="AA1655" s="7" t="s">
        <x:v>58</x:v>
      </x:c>
      <x:c r="AB1655" s="8" t="s">
        <x:v>58</x:v>
      </x:c>
      <x:c r="AC1655" s="8" t="s">
        <x:v>58</x:v>
      </x:c>
      <x:c r="AD1655" s="8" t="s">
        <x:v>58</x:v>
      </x:c>
      <x:c r="AE1655" s="8" t="s">
        <x:v>58</x:v>
      </x:c>
      <x:c r="AF1655" s="8" t="s">
        <x:v>58</x:v>
      </x:c>
      <x:c r="AG1655" s="7" t="s">
        <x:v>58</x:v>
      </x:c>
    </x:row>
    <x:row r="1656" ht="37.5" hidden="0" customHeight="1">
      <x:c r="A1656" s="7" t="s">
        <x:v>5144</x:v>
      </x:c>
      <x:c r="B1656" s="7" t="s">
        <x:v>1104</x:v>
      </x:c>
      <x:c r="C1656" s="7" t="s">
        <x:v>1106</x:v>
      </x:c>
      <x:c r="D1656" s="7" t="s">
        <x:v>1935</x:v>
      </x:c>
      <x:c r="E1656" s="7" t="s">
        <x:v>5145</x:v>
      </x:c>
      <x:c r="F1656" s="7" t="s">
        <x:v>1929</x:v>
      </x:c>
      <x:c r="G1656" s="8" t="n">
        <x:v>2640</x:v>
      </x:c>
      <x:c r="H1656" s="8" t="s">
        <x:v>58</x:v>
      </x:c>
      <x:c r="I1656" s="8" t="s">
        <x:v>58</x:v>
      </x:c>
      <x:c r="J1656" s="7" t="s">
        <x:v>1919</x:v>
      </x:c>
      <x:c r="K1656" s="8" t="n">
        <x:v>0.001</x:v>
      </x:c>
      <x:c r="L1656" s="8" t="n">
        <x:f aca="0">IF(AND(ISNUMBER(G1656),P1656&lt;&gt;"Unresolved unit / layout"),G1656*K1656,"Not applicable")</x:f>
        <x:v>2.64</x:v>
      </x:c>
      <x:c r="M1656" s="8" t="str">
        <x:f aca="0">IF(AND(ISNUMBER(H1656),P1656&lt;&gt;"Unresolved unit / layout"),H1656*K1656,"Not applicable")</x:f>
        <x:v>Not applicable</x:v>
      </x:c>
      <x:c r="N1656" s="8" t="str">
        <x:f aca="0">IF(AND(ISNUMBER(I1656),P1656&lt;&gt;"Unresolved unit / layout"),I1656*K1656,"Not applicable")</x:f>
        <x:v>Not applicable</x:v>
      </x:c>
      <x:c r="O1656" s="7" t="s">
        <x:v>1937</x:v>
      </x:c>
      <x:c r="P1656" s="7" t="s">
        <x:v>1921</x:v>
      </x:c>
      <x:c r="Q1656" s="7" t="s">
        <x:v>2064</x:v>
      </x:c>
      <x:c r="R1656" s="7" t="s">
        <x:v>53</x:v>
      </x:c>
      <x:c r="S1656" s="7" t="s">
        <x:v>53</x:v>
      </x:c>
      <x:c r="T1656" s="7" t="s">
        <x:v>53</x:v>
      </x:c>
      <x:c r="U1656" s="7" t="s">
        <x:v>53</x:v>
      </x:c>
      <x:c r="V1656" s="7" t="s">
        <x:v>1932</x:v>
      </x:c>
      <x:c r="W1656" s="7" t="s">
        <x:v>58</x:v>
      </x:c>
      <x:c r="X1656" s="7" t="s">
        <x:v>53</x:v>
      </x:c>
      <x:c r="Y1656" s="7" t="s">
        <x:v>1423</x:v>
      </x:c>
      <x:c r="Z1656" s="7" t="s">
        <x:v>1938</x:v>
      </x:c>
      <x:c r="AA1656" s="7" t="s">
        <x:v>58</x:v>
      </x:c>
      <x:c r="AB1656" s="8" t="s">
        <x:v>58</x:v>
      </x:c>
      <x:c r="AC1656" s="8" t="s">
        <x:v>58</x:v>
      </x:c>
      <x:c r="AD1656" s="8" t="s">
        <x:v>58</x:v>
      </x:c>
      <x:c r="AE1656" s="8" t="s">
        <x:v>58</x:v>
      </x:c>
      <x:c r="AF1656" s="8" t="s">
        <x:v>58</x:v>
      </x:c>
      <x:c r="AG1656" s="7" t="s">
        <x:v>58</x:v>
      </x:c>
    </x:row>
    <x:row r="1657" ht="37.5" hidden="0" customHeight="1">
      <x:c r="A1657" s="7" t="s">
        <x:v>5146</x:v>
      </x:c>
      <x:c r="B1657" s="7" t="s">
        <x:v>1104</x:v>
      </x:c>
      <x:c r="C1657" s="7" t="s">
        <x:v>1106</x:v>
      </x:c>
      <x:c r="D1657" s="7" t="s">
        <x:v>2820</x:v>
      </x:c>
      <x:c r="E1657" s="7" t="s">
        <x:v>5147</x:v>
      </x:c>
      <x:c r="F1657" s="7" t="s">
        <x:v>1942</x:v>
      </x:c>
      <x:c r="G1657" s="8" t="n">
        <x:v>6.9</x:v>
      </x:c>
      <x:c r="H1657" s="8" t="s">
        <x:v>58</x:v>
      </x:c>
      <x:c r="I1657" s="8" t="s">
        <x:v>58</x:v>
      </x:c>
      <x:c r="J1657" s="7" t="s">
        <x:v>1919</x:v>
      </x:c>
      <x:c r="K1657" s="8" t="n">
        <x:v>1</x:v>
      </x:c>
      <x:c r="L1657" s="8" t="n">
        <x:f aca="0">IF(AND(ISNUMBER(G1657),P1657&lt;&gt;"Unresolved unit / layout"),G1657*K1657,"Not applicable")</x:f>
        <x:v>6.9</x:v>
      </x:c>
      <x:c r="M1657" s="8" t="str">
        <x:f aca="0">IF(AND(ISNUMBER(H1657),P1657&lt;&gt;"Unresolved unit / layout"),H1657*K1657,"Not applicable")</x:f>
        <x:v>Not applicable</x:v>
      </x:c>
      <x:c r="N1657" s="8" t="str">
        <x:f aca="0">IF(AND(ISNUMBER(I1657),P1657&lt;&gt;"Unresolved unit / layout"),I1657*K1657,"Not applicable")</x:f>
        <x:v>Not applicable</x:v>
      </x:c>
      <x:c r="O1657" s="7" t="s">
        <x:v>1942</x:v>
      </x:c>
      <x:c r="P1657" s="7" t="s">
        <x:v>1921</x:v>
      </x:c>
      <x:c r="Q1657" s="7" t="s">
        <x:v>2064</x:v>
      </x:c>
      <x:c r="R1657" s="7" t="s">
        <x:v>53</x:v>
      </x:c>
      <x:c r="S1657" s="7" t="s">
        <x:v>53</x:v>
      </x:c>
      <x:c r="T1657" s="7" t="s">
        <x:v>53</x:v>
      </x:c>
      <x:c r="U1657" s="7" t="s">
        <x:v>53</x:v>
      </x:c>
      <x:c r="V1657" s="7" t="s">
        <x:v>1932</x:v>
      </x:c>
      <x:c r="W1657" s="7" t="s">
        <x:v>58</x:v>
      </x:c>
      <x:c r="X1657" s="7" t="s">
        <x:v>53</x:v>
      </x:c>
      <x:c r="Y1657" s="7" t="s">
        <x:v>1423</x:v>
      </x:c>
      <x:c r="Z1657" s="7" t="s">
        <x:v>5148</x:v>
      </x:c>
      <x:c r="AA1657" s="7" t="s">
        <x:v>58</x:v>
      </x:c>
      <x:c r="AB1657" s="8" t="s">
        <x:v>58</x:v>
      </x:c>
      <x:c r="AC1657" s="8" t="s">
        <x:v>58</x:v>
      </x:c>
      <x:c r="AD1657" s="8" t="s">
        <x:v>58</x:v>
      </x:c>
      <x:c r="AE1657" s="8" t="s">
        <x:v>58</x:v>
      </x:c>
      <x:c r="AF1657" s="8" t="s">
        <x:v>58</x:v>
      </x:c>
      <x:c r="AG1657" s="7" t="s">
        <x:v>58</x:v>
      </x:c>
    </x:row>
    <x:row r="1658" ht="37.5" hidden="0" customHeight="1">
      <x:c r="A1658" s="7" t="s">
        <x:v>5149</x:v>
      </x:c>
      <x:c r="B1658" s="7" t="s">
        <x:v>1104</x:v>
      </x:c>
      <x:c r="C1658" s="7" t="s">
        <x:v>1106</x:v>
      </x:c>
      <x:c r="D1658" s="7" t="s">
        <x:v>1945</x:v>
      </x:c>
      <x:c r="E1658" s="7" t="s">
        <x:v>4965</x:v>
      </x:c>
      <x:c r="F1658" s="7" t="s">
        <x:v>1929</x:v>
      </x:c>
      <x:c r="G1658" s="8" t="n">
        <x:v>86</x:v>
      </x:c>
      <x:c r="H1658" s="8" t="s">
        <x:v>58</x:v>
      </x:c>
      <x:c r="I1658" s="8" t="s">
        <x:v>58</x:v>
      </x:c>
      <x:c r="J1658" s="7" t="s">
        <x:v>1919</x:v>
      </x:c>
      <x:c r="K1658" s="8" t="n">
        <x:v>1</x:v>
      </x:c>
      <x:c r="L1658" s="8" t="n">
        <x:f aca="0">IF(AND(ISNUMBER(G1658),P1658&lt;&gt;"Unresolved unit / layout"),G1658*K1658,"Not applicable")</x:f>
        <x:v>86</x:v>
      </x:c>
      <x:c r="M1658" s="8" t="str">
        <x:f aca="0">IF(AND(ISNUMBER(H1658),P1658&lt;&gt;"Unresolved unit / layout"),H1658*K1658,"Not applicable")</x:f>
        <x:v>Not applicable</x:v>
      </x:c>
      <x:c r="N1658" s="8" t="str">
        <x:f aca="0">IF(AND(ISNUMBER(I1658),P1658&lt;&gt;"Unresolved unit / layout"),I1658*K1658,"Not applicable")</x:f>
        <x:v>Not applicable</x:v>
      </x:c>
      <x:c r="O1658" s="7" t="s">
        <x:v>1929</x:v>
      </x:c>
      <x:c r="P1658" s="7" t="s">
        <x:v>1921</x:v>
      </x:c>
      <x:c r="Q1658" s="7" t="s">
        <x:v>2064</x:v>
      </x:c>
      <x:c r="R1658" s="7" t="s">
        <x:v>53</x:v>
      </x:c>
      <x:c r="S1658" s="7" t="s">
        <x:v>53</x:v>
      </x:c>
      <x:c r="T1658" s="7" t="s">
        <x:v>53</x:v>
      </x:c>
      <x:c r="U1658" s="7" t="s">
        <x:v>53</x:v>
      </x:c>
      <x:c r="V1658" s="7" t="s">
        <x:v>1947</x:v>
      </x:c>
      <x:c r="W1658" s="7" t="s">
        <x:v>58</x:v>
      </x:c>
      <x:c r="X1658" s="7" t="s">
        <x:v>53</x:v>
      </x:c>
      <x:c r="Y1658" s="7" t="s">
        <x:v>1423</x:v>
      </x:c>
      <x:c r="Z1658" s="7" t="s">
        <x:v>1948</x:v>
      </x:c>
      <x:c r="AA1658" s="7" t="s">
        <x:v>58</x:v>
      </x:c>
      <x:c r="AB1658" s="8" t="s">
        <x:v>58</x:v>
      </x:c>
      <x:c r="AC1658" s="8" t="s">
        <x:v>58</x:v>
      </x:c>
      <x:c r="AD1658" s="8" t="s">
        <x:v>58</x:v>
      </x:c>
      <x:c r="AE1658" s="8" t="s">
        <x:v>58</x:v>
      </x:c>
      <x:c r="AF1658" s="8" t="s">
        <x:v>58</x:v>
      </x:c>
      <x:c r="AG1658" s="7" t="s">
        <x:v>58</x:v>
      </x:c>
    </x:row>
    <x:row r="1659" ht="37.5" hidden="0" customHeight="1">
      <x:c r="A1659" s="7" t="s">
        <x:v>5150</x:v>
      </x:c>
      <x:c r="B1659" s="7" t="s">
        <x:v>1104</x:v>
      </x:c>
      <x:c r="C1659" s="7" t="s">
        <x:v>1106</x:v>
      </x:c>
      <x:c r="D1659" s="7" t="s">
        <x:v>1950</x:v>
      </x:c>
      <x:c r="E1659" s="7" t="s">
        <x:v>4967</x:v>
      </x:c>
      <x:c r="F1659" s="7" t="s">
        <x:v>1929</x:v>
      </x:c>
      <x:c r="G1659" s="8" t="n">
        <x:v>2370</x:v>
      </x:c>
      <x:c r="H1659" s="8" t="s">
        <x:v>58</x:v>
      </x:c>
      <x:c r="I1659" s="8" t="s">
        <x:v>58</x:v>
      </x:c>
      <x:c r="J1659" s="7" t="s">
        <x:v>1919</x:v>
      </x:c>
      <x:c r="K1659" s="8" t="n">
        <x:v>0.001</x:v>
      </x:c>
      <x:c r="L1659" s="8" t="n">
        <x:f aca="0">IF(AND(ISNUMBER(G1659),P1659&lt;&gt;"Unresolved unit / layout"),G1659*K1659,"Not applicable")</x:f>
        <x:v>2.37</x:v>
      </x:c>
      <x:c r="M1659" s="8" t="str">
        <x:f aca="0">IF(AND(ISNUMBER(H1659),P1659&lt;&gt;"Unresolved unit / layout"),H1659*K1659,"Not applicable")</x:f>
        <x:v>Not applicable</x:v>
      </x:c>
      <x:c r="N1659" s="8" t="str">
        <x:f aca="0">IF(AND(ISNUMBER(I1659),P1659&lt;&gt;"Unresolved unit / layout"),I1659*K1659,"Not applicable")</x:f>
        <x:v>Not applicable</x:v>
      </x:c>
      <x:c r="O1659" s="7" t="s">
        <x:v>1937</x:v>
      </x:c>
      <x:c r="P1659" s="7" t="s">
        <x:v>1921</x:v>
      </x:c>
      <x:c r="Q1659" s="7" t="s">
        <x:v>2064</x:v>
      </x:c>
      <x:c r="R1659" s="7" t="s">
        <x:v>53</x:v>
      </x:c>
      <x:c r="S1659" s="7" t="s">
        <x:v>53</x:v>
      </x:c>
      <x:c r="T1659" s="7" t="s">
        <x:v>53</x:v>
      </x:c>
      <x:c r="U1659" s="7" t="s">
        <x:v>53</x:v>
      </x:c>
      <x:c r="V1659" s="7" t="s">
        <x:v>1947</x:v>
      </x:c>
      <x:c r="W1659" s="7" t="s">
        <x:v>58</x:v>
      </x:c>
      <x:c r="X1659" s="7" t="s">
        <x:v>53</x:v>
      </x:c>
      <x:c r="Y1659" s="7" t="s">
        <x:v>1423</x:v>
      </x:c>
      <x:c r="Z1659" s="7" t="s">
        <x:v>1952</x:v>
      </x:c>
      <x:c r="AA1659" s="7" t="s">
        <x:v>58</x:v>
      </x:c>
      <x:c r="AB1659" s="8" t="s">
        <x:v>58</x:v>
      </x:c>
      <x:c r="AC1659" s="8" t="s">
        <x:v>58</x:v>
      </x:c>
      <x:c r="AD1659" s="8" t="s">
        <x:v>58</x:v>
      </x:c>
      <x:c r="AE1659" s="8" t="s">
        <x:v>58</x:v>
      </x:c>
      <x:c r="AF1659" s="8" t="s">
        <x:v>58</x:v>
      </x:c>
      <x:c r="AG1659" s="7" t="s">
        <x:v>58</x:v>
      </x:c>
    </x:row>
    <x:row r="1660" ht="37.5" hidden="0" customHeight="1">
      <x:c r="A1660" s="7" t="s">
        <x:v>5151</x:v>
      </x:c>
      <x:c r="B1660" s="7" t="s">
        <x:v>1104</x:v>
      </x:c>
      <x:c r="C1660" s="7" t="s">
        <x:v>1106</x:v>
      </x:c>
      <x:c r="D1660" s="7" t="s">
        <x:v>1954</x:v>
      </x:c>
      <x:c r="E1660" s="7" t="s">
        <x:v>5152</x:v>
      </x:c>
      <x:c r="F1660" s="7" t="s">
        <x:v>1956</x:v>
      </x:c>
      <x:c r="G1660" s="8" t="n">
        <x:v>225</x:v>
      </x:c>
      <x:c r="H1660" s="8" t="s">
        <x:v>58</x:v>
      </x:c>
      <x:c r="I1660" s="8" t="s">
        <x:v>58</x:v>
      </x:c>
      <x:c r="J1660" s="7" t="s">
        <x:v>1919</x:v>
      </x:c>
      <x:c r="K1660" s="8" t="n">
        <x:v>1</x:v>
      </x:c>
      <x:c r="L1660" s="8" t="n">
        <x:f aca="0">IF(AND(ISNUMBER(G1660),P1660&lt;&gt;"Unresolved unit / layout"),G1660*K1660,"Not applicable")</x:f>
        <x:v>225</x:v>
      </x:c>
      <x:c r="M1660" s="8" t="str">
        <x:f aca="0">IF(AND(ISNUMBER(H1660),P1660&lt;&gt;"Unresolved unit / layout"),H1660*K1660,"Not applicable")</x:f>
        <x:v>Not applicable</x:v>
      </x:c>
      <x:c r="N1660" s="8" t="str">
        <x:f aca="0">IF(AND(ISNUMBER(I1660),P1660&lt;&gt;"Unresolved unit / layout"),I1660*K1660,"Not applicable")</x:f>
        <x:v>Not applicable</x:v>
      </x:c>
      <x:c r="O1660" s="7" t="s">
        <x:v>1956</x:v>
      </x:c>
      <x:c r="P1660" s="7" t="s">
        <x:v>1921</x:v>
      </x:c>
      <x:c r="Q1660" s="7" t="s">
        <x:v>2064</x:v>
      </x:c>
      <x:c r="R1660" s="7" t="s">
        <x:v>58</x:v>
      </x:c>
      <x:c r="S1660" s="7" t="s">
        <x:v>53</x:v>
      </x:c>
      <x:c r="T1660" s="7" t="s">
        <x:v>53</x:v>
      </x:c>
      <x:c r="U1660" s="7" t="s">
        <x:v>53</x:v>
      </x:c>
      <x:c r="V1660" s="7" t="s">
        <x:v>1957</x:v>
      </x:c>
      <x:c r="W1660" s="7" t="s">
        <x:v>58</x:v>
      </x:c>
      <x:c r="X1660" s="7" t="s">
        <x:v>53</x:v>
      </x:c>
      <x:c r="Y1660" s="7" t="s">
        <x:v>1423</x:v>
      </x:c>
      <x:c r="Z1660" s="7" t="s">
        <x:v>1958</x:v>
      </x:c>
      <x:c r="AA1660" s="7" t="s">
        <x:v>58</x:v>
      </x:c>
      <x:c r="AB1660" s="8" t="s">
        <x:v>58</x:v>
      </x:c>
      <x:c r="AC1660" s="8" t="s">
        <x:v>58</x:v>
      </x:c>
      <x:c r="AD1660" s="8" t="s">
        <x:v>58</x:v>
      </x:c>
      <x:c r="AE1660" s="8" t="s">
        <x:v>58</x:v>
      </x:c>
      <x:c r="AF1660" s="8" t="s">
        <x:v>58</x:v>
      </x:c>
      <x:c r="AG1660" s="7" t="s">
        <x:v>58</x:v>
      </x:c>
    </x:row>
    <x:row r="1661" ht="37.5" hidden="0" customHeight="1">
      <x:c r="A1661" s="7" t="s">
        <x:v>5153</x:v>
      </x:c>
      <x:c r="B1661" s="7" t="s">
        <x:v>1104</x:v>
      </x:c>
      <x:c r="C1661" s="7" t="s">
        <x:v>1106</x:v>
      </x:c>
      <x:c r="D1661" s="7" t="s">
        <x:v>1959</x:v>
      </x:c>
      <x:c r="E1661" s="7" t="s">
        <x:v>5154</x:v>
      </x:c>
      <x:c r="F1661" s="7" t="s">
        <x:v>1956</x:v>
      </x:c>
      <x:c r="G1661" s="8" t="n">
        <x:v>205</x:v>
      </x:c>
      <x:c r="H1661" s="8" t="s">
        <x:v>58</x:v>
      </x:c>
      <x:c r="I1661" s="8" t="s">
        <x:v>58</x:v>
      </x:c>
      <x:c r="J1661" s="7" t="s">
        <x:v>1919</x:v>
      </x:c>
      <x:c r="K1661" s="8" t="n">
        <x:v>1</x:v>
      </x:c>
      <x:c r="L1661" s="8" t="n">
        <x:f aca="0">IF(AND(ISNUMBER(G1661),P1661&lt;&gt;"Unresolved unit / layout"),G1661*K1661,"Not applicable")</x:f>
        <x:v>205</x:v>
      </x:c>
      <x:c r="M1661" s="8" t="str">
        <x:f aca="0">IF(AND(ISNUMBER(H1661),P1661&lt;&gt;"Unresolved unit / layout"),H1661*K1661,"Not applicable")</x:f>
        <x:v>Not applicable</x:v>
      </x:c>
      <x:c r="N1661" s="8" t="str">
        <x:f aca="0">IF(AND(ISNUMBER(I1661),P1661&lt;&gt;"Unresolved unit / layout"),I1661*K1661,"Not applicable")</x:f>
        <x:v>Not applicable</x:v>
      </x:c>
      <x:c r="O1661" s="7" t="s">
        <x:v>1956</x:v>
      </x:c>
      <x:c r="P1661" s="7" t="s">
        <x:v>1921</x:v>
      </x:c>
      <x:c r="Q1661" s="7" t="s">
        <x:v>2064</x:v>
      </x:c>
      <x:c r="R1661" s="7" t="s">
        <x:v>58</x:v>
      </x:c>
      <x:c r="S1661" s="7" t="s">
        <x:v>53</x:v>
      </x:c>
      <x:c r="T1661" s="7" t="s">
        <x:v>53</x:v>
      </x:c>
      <x:c r="U1661" s="7" t="s">
        <x:v>53</x:v>
      </x:c>
      <x:c r="V1661" s="7" t="s">
        <x:v>1961</x:v>
      </x:c>
      <x:c r="W1661" s="7" t="s">
        <x:v>58</x:v>
      </x:c>
      <x:c r="X1661" s="7" t="s">
        <x:v>53</x:v>
      </x:c>
      <x:c r="Y1661" s="7" t="s">
        <x:v>1423</x:v>
      </x:c>
      <x:c r="Z1661" s="7" t="s">
        <x:v>5155</x:v>
      </x:c>
      <x:c r="AA1661" s="7" t="s">
        <x:v>58</x:v>
      </x:c>
      <x:c r="AB1661" s="8" t="s">
        <x:v>58</x:v>
      </x:c>
      <x:c r="AC1661" s="8" t="s">
        <x:v>58</x:v>
      </x:c>
      <x:c r="AD1661" s="8" t="s">
        <x:v>58</x:v>
      </x:c>
      <x:c r="AE1661" s="8" t="s">
        <x:v>58</x:v>
      </x:c>
      <x:c r="AF1661" s="8" t="s">
        <x:v>58</x:v>
      </x:c>
      <x:c r="AG1661" s="7" t="s">
        <x:v>58</x:v>
      </x:c>
    </x:row>
    <x:row r="1662" ht="51.75" hidden="0" customHeight="1">
      <x:c r="A1662" s="7" t="s">
        <x:v>5156</x:v>
      </x:c>
      <x:c r="B1662" s="7" t="s">
        <x:v>1113</x:v>
      </x:c>
      <x:c r="C1662" s="7" t="s">
        <x:v>1115</x:v>
      </x:c>
      <x:c r="D1662" s="7" t="s">
        <x:v>1916</x:v>
      </x:c>
      <x:c r="E1662" s="7" t="s">
        <x:v>2755</x:v>
      </x:c>
      <x:c r="F1662" s="7" t="s">
        <x:v>1918</x:v>
      </x:c>
      <x:c r="G1662" s="8" t="n">
        <x:v>1.28</x:v>
      </x:c>
      <x:c r="H1662" s="8" t="s">
        <x:v>58</x:v>
      </x:c>
      <x:c r="I1662" s="8" t="s">
        <x:v>58</x:v>
      </x:c>
      <x:c r="J1662" s="7" t="s">
        <x:v>1919</x:v>
      </x:c>
      <x:c r="K1662" s="8" t="n">
        <x:v>1000</x:v>
      </x:c>
      <x:c r="L1662" s="8" t="n">
        <x:f aca="0">IF(AND(ISNUMBER(G1662),P1662&lt;&gt;"Unresolved unit / layout"),G1662*K1662,"Not applicable")</x:f>
        <x:v>1280</x:v>
      </x:c>
      <x:c r="M1662" s="8" t="str">
        <x:f aca="0">IF(AND(ISNUMBER(H1662),P1662&lt;&gt;"Unresolved unit / layout"),H1662*K1662,"Not applicable")</x:f>
        <x:v>Not applicable</x:v>
      </x:c>
      <x:c r="N1662" s="8" t="str">
        <x:f aca="0">IF(AND(ISNUMBER(I1662),P1662&lt;&gt;"Unresolved unit / layout"),I1662*K1662,"Not applicable")</x:f>
        <x:v>Not applicable</x:v>
      </x:c>
      <x:c r="O1662" s="7" t="s">
        <x:v>1920</x:v>
      </x:c>
      <x:c r="P1662" s="7" t="s">
        <x:v>1921</x:v>
      </x:c>
      <x:c r="Q1662" s="7" t="s">
        <x:v>1922</x:v>
      </x:c>
      <x:c r="R1662" s="7" t="s">
        <x:v>58</x:v>
      </x:c>
      <x:c r="S1662" s="7" t="s">
        <x:v>53</x:v>
      </x:c>
      <x:c r="T1662" s="7" t="s">
        <x:v>53</x:v>
      </x:c>
      <x:c r="U1662" s="7" t="s">
        <x:v>53</x:v>
      </x:c>
      <x:c r="V1662" s="7" t="s">
        <x:v>1923</x:v>
      </x:c>
      <x:c r="W1662" s="7" t="s">
        <x:v>58</x:v>
      </x:c>
      <x:c r="X1662" s="7" t="s">
        <x:v>5157</x:v>
      </x:c>
      <x:c r="Y1662" s="7" t="s">
        <x:v>1426</x:v>
      </x:c>
      <x:c r="Z1662" s="7" t="s">
        <x:v>1925</x:v>
      </x:c>
      <x:c r="AA1662" s="7" t="s">
        <x:v>58</x:v>
      </x:c>
      <x:c r="AB1662" s="8" t="s">
        <x:v>58</x:v>
      </x:c>
      <x:c r="AC1662" s="8" t="s">
        <x:v>58</x:v>
      </x:c>
      <x:c r="AD1662" s="8" t="s">
        <x:v>58</x:v>
      </x:c>
      <x:c r="AE1662" s="8" t="s">
        <x:v>58</x:v>
      </x:c>
      <x:c r="AF1662" s="8" t="s">
        <x:v>58</x:v>
      </x:c>
      <x:c r="AG1662" s="7" t="s">
        <x:v>58</x:v>
      </x:c>
    </x:row>
    <x:row r="1663" ht="51.75" hidden="0" customHeight="1">
      <x:c r="A1663" s="7" t="s">
        <x:v>5158</x:v>
      </x:c>
      <x:c r="B1663" s="7" t="s">
        <x:v>1113</x:v>
      </x:c>
      <x:c r="C1663" s="7" t="s">
        <x:v>1115</x:v>
      </x:c>
      <x:c r="D1663" s="7" t="s">
        <x:v>2006</x:v>
      </x:c>
      <x:c r="E1663" s="7" t="s">
        <x:v>1955</x:v>
      </x:c>
      <x:c r="F1663" s="7" t="s">
        <x:v>1929</x:v>
      </x:c>
      <x:c r="G1663" s="8" t="n">
        <x:v>55</x:v>
      </x:c>
      <x:c r="H1663" s="8" t="s">
        <x:v>58</x:v>
      </x:c>
      <x:c r="I1663" s="8" t="s">
        <x:v>58</x:v>
      </x:c>
      <x:c r="J1663" s="7" t="s">
        <x:v>1919</x:v>
      </x:c>
      <x:c r="K1663" s="8" t="n">
        <x:v>1</x:v>
      </x:c>
      <x:c r="L1663" s="8" t="n">
        <x:f aca="0">IF(AND(ISNUMBER(G1663),P1663&lt;&gt;"Unresolved unit / layout"),G1663*K1663,"Not applicable")</x:f>
        <x:v>55</x:v>
      </x:c>
      <x:c r="M1663" s="8" t="str">
        <x:f aca="0">IF(AND(ISNUMBER(H1663),P1663&lt;&gt;"Unresolved unit / layout"),H1663*K1663,"Not applicable")</x:f>
        <x:v>Not applicable</x:v>
      </x:c>
      <x:c r="N1663" s="8" t="str">
        <x:f aca="0">IF(AND(ISNUMBER(I1663),P1663&lt;&gt;"Unresolved unit / layout"),I1663*K1663,"Not applicable")</x:f>
        <x:v>Not applicable</x:v>
      </x:c>
      <x:c r="O1663" s="7" t="s">
        <x:v>1929</x:v>
      </x:c>
      <x:c r="P1663" s="7" t="s">
        <x:v>1921</x:v>
      </x:c>
      <x:c r="Q1663" s="7" t="s">
        <x:v>1930</x:v>
      </x:c>
      <x:c r="R1663" s="7" t="s">
        <x:v>1931</x:v>
      </x:c>
      <x:c r="S1663" s="7" t="s">
        <x:v>53</x:v>
      </x:c>
      <x:c r="T1663" s="7" t="s">
        <x:v>53</x:v>
      </x:c>
      <x:c r="U1663" s="7" t="s">
        <x:v>53</x:v>
      </x:c>
      <x:c r="V1663" s="7" t="s">
        <x:v>1932</x:v>
      </x:c>
      <x:c r="W1663" s="7" t="s">
        <x:v>58</x:v>
      </x:c>
      <x:c r="X1663" s="7" t="s">
        <x:v>5157</x:v>
      </x:c>
      <x:c r="Y1663" s="7" t="s">
        <x:v>1426</x:v>
      </x:c>
      <x:c r="Z1663" s="7" t="s">
        <x:v>2825</x:v>
      </x:c>
      <x:c r="AA1663" s="7" t="s">
        <x:v>58</x:v>
      </x:c>
      <x:c r="AB1663" s="8" t="s">
        <x:v>58</x:v>
      </x:c>
      <x:c r="AC1663" s="8" t="s">
        <x:v>58</x:v>
      </x:c>
      <x:c r="AD1663" s="8" t="s">
        <x:v>58</x:v>
      </x:c>
      <x:c r="AE1663" s="8" t="s">
        <x:v>58</x:v>
      </x:c>
      <x:c r="AF1663" s="8" t="s">
        <x:v>58</x:v>
      </x:c>
      <x:c r="AG1663" s="7" t="s">
        <x:v>58</x:v>
      </x:c>
    </x:row>
    <x:row r="1664" ht="51.75" hidden="0" customHeight="1">
      <x:c r="A1664" s="7" t="s">
        <x:v>5159</x:v>
      </x:c>
      <x:c r="B1664" s="7" t="s">
        <x:v>1113</x:v>
      </x:c>
      <x:c r="C1664" s="7" t="s">
        <x:v>1115</x:v>
      </x:c>
      <x:c r="D1664" s="7" t="s">
        <x:v>1935</x:v>
      </x:c>
      <x:c r="E1664" s="7" t="s">
        <x:v>5160</x:v>
      </x:c>
      <x:c r="F1664" s="7" t="s">
        <x:v>1929</x:v>
      </x:c>
      <x:c r="G1664" s="8" t="n">
        <x:v>2310</x:v>
      </x:c>
      <x:c r="H1664" s="8" t="s">
        <x:v>58</x:v>
      </x:c>
      <x:c r="I1664" s="8" t="s">
        <x:v>58</x:v>
      </x:c>
      <x:c r="J1664" s="7" t="s">
        <x:v>1919</x:v>
      </x:c>
      <x:c r="K1664" s="8" t="n">
        <x:v>0.001</x:v>
      </x:c>
      <x:c r="L1664" s="8" t="n">
        <x:f aca="0">IF(AND(ISNUMBER(G1664),P1664&lt;&gt;"Unresolved unit / layout"),G1664*K1664,"Not applicable")</x:f>
        <x:v>2.31</x:v>
      </x:c>
      <x:c r="M1664" s="8" t="str">
        <x:f aca="0">IF(AND(ISNUMBER(H1664),P1664&lt;&gt;"Unresolved unit / layout"),H1664*K1664,"Not applicable")</x:f>
        <x:v>Not applicable</x:v>
      </x:c>
      <x:c r="N1664" s="8" t="str">
        <x:f aca="0">IF(AND(ISNUMBER(I1664),P1664&lt;&gt;"Unresolved unit / layout"),I1664*K1664,"Not applicable")</x:f>
        <x:v>Not applicable</x:v>
      </x:c>
      <x:c r="O1664" s="7" t="s">
        <x:v>1937</x:v>
      </x:c>
      <x:c r="P1664" s="7" t="s">
        <x:v>1921</x:v>
      </x:c>
      <x:c r="Q1664" s="7" t="s">
        <x:v>1930</x:v>
      </x:c>
      <x:c r="R1664" s="7" t="s">
        <x:v>1931</x:v>
      </x:c>
      <x:c r="S1664" s="7" t="s">
        <x:v>53</x:v>
      </x:c>
      <x:c r="T1664" s="7" t="s">
        <x:v>53</x:v>
      </x:c>
      <x:c r="U1664" s="7" t="s">
        <x:v>53</x:v>
      </x:c>
      <x:c r="V1664" s="7" t="s">
        <x:v>1932</x:v>
      </x:c>
      <x:c r="W1664" s="7" t="s">
        <x:v>58</x:v>
      </x:c>
      <x:c r="X1664" s="7" t="s">
        <x:v>5157</x:v>
      </x:c>
      <x:c r="Y1664" s="7" t="s">
        <x:v>1426</x:v>
      </x:c>
      <x:c r="Z1664" s="7" t="s">
        <x:v>1938</x:v>
      </x:c>
      <x:c r="AA1664" s="7" t="s">
        <x:v>58</x:v>
      </x:c>
      <x:c r="AB1664" s="8" t="s">
        <x:v>58</x:v>
      </x:c>
      <x:c r="AC1664" s="8" t="s">
        <x:v>58</x:v>
      </x:c>
      <x:c r="AD1664" s="8" t="s">
        <x:v>58</x:v>
      </x:c>
      <x:c r="AE1664" s="8" t="s">
        <x:v>58</x:v>
      </x:c>
      <x:c r="AF1664" s="8" t="s">
        <x:v>58</x:v>
      </x:c>
      <x:c r="AG1664" s="7" t="s">
        <x:v>58</x:v>
      </x:c>
    </x:row>
    <x:row r="1665" ht="51.75" hidden="0" customHeight="1">
      <x:c r="A1665" s="7" t="s">
        <x:v>5161</x:v>
      </x:c>
      <x:c r="B1665" s="7" t="s">
        <x:v>1113</x:v>
      </x:c>
      <x:c r="C1665" s="7" t="s">
        <x:v>1115</x:v>
      </x:c>
      <x:c r="D1665" s="7" t="s">
        <x:v>1940</x:v>
      </x:c>
      <x:c r="E1665" s="7" t="s">
        <x:v>3192</x:v>
      </x:c>
      <x:c r="F1665" s="7" t="s">
        <x:v>1942</x:v>
      </x:c>
      <x:c r="G1665" s="8" t="n">
        <x:v>3</x:v>
      </x:c>
      <x:c r="H1665" s="8" t="s">
        <x:v>58</x:v>
      </x:c>
      <x:c r="I1665" s="8" t="s">
        <x:v>58</x:v>
      </x:c>
      <x:c r="J1665" s="7" t="s">
        <x:v>1919</x:v>
      </x:c>
      <x:c r="K1665" s="8" t="n">
        <x:v>1</x:v>
      </x:c>
      <x:c r="L1665" s="8" t="n">
        <x:f aca="0">IF(AND(ISNUMBER(G1665),P1665&lt;&gt;"Unresolved unit / layout"),G1665*K1665,"Not applicable")</x:f>
        <x:v>3</x:v>
      </x:c>
      <x:c r="M1665" s="8" t="str">
        <x:f aca="0">IF(AND(ISNUMBER(H1665),P1665&lt;&gt;"Unresolved unit / layout"),H1665*K1665,"Not applicable")</x:f>
        <x:v>Not applicable</x:v>
      </x:c>
      <x:c r="N1665" s="8" t="str">
        <x:f aca="0">IF(AND(ISNUMBER(I1665),P1665&lt;&gt;"Unresolved unit / layout"),I1665*K1665,"Not applicable")</x:f>
        <x:v>Not applicable</x:v>
      </x:c>
      <x:c r="O1665" s="7" t="s">
        <x:v>1942</x:v>
      </x:c>
      <x:c r="P1665" s="7" t="s">
        <x:v>1921</x:v>
      </x:c>
      <x:c r="Q1665" s="7" t="s">
        <x:v>1930</x:v>
      </x:c>
      <x:c r="R1665" s="7" t="s">
        <x:v>1931</x:v>
      </x:c>
      <x:c r="S1665" s="7" t="s">
        <x:v>53</x:v>
      </x:c>
      <x:c r="T1665" s="7" t="s">
        <x:v>53</x:v>
      </x:c>
      <x:c r="U1665" s="7" t="s">
        <x:v>53</x:v>
      </x:c>
      <x:c r="V1665" s="7" t="s">
        <x:v>1932</x:v>
      </x:c>
      <x:c r="W1665" s="7" t="s">
        <x:v>58</x:v>
      </x:c>
      <x:c r="X1665" s="7" t="s">
        <x:v>5157</x:v>
      </x:c>
      <x:c r="Y1665" s="7" t="s">
        <x:v>1426</x:v>
      </x:c>
      <x:c r="Z1665" s="7" t="s">
        <x:v>5081</x:v>
      </x:c>
      <x:c r="AA1665" s="7" t="s">
        <x:v>58</x:v>
      </x:c>
      <x:c r="AB1665" s="8" t="s">
        <x:v>58</x:v>
      </x:c>
      <x:c r="AC1665" s="8" t="s">
        <x:v>58</x:v>
      </x:c>
      <x:c r="AD1665" s="8" t="s">
        <x:v>58</x:v>
      </x:c>
      <x:c r="AE1665" s="8" t="s">
        <x:v>58</x:v>
      </x:c>
      <x:c r="AF1665" s="8" t="s">
        <x:v>58</x:v>
      </x:c>
      <x:c r="AG1665" s="7" t="s">
        <x:v>58</x:v>
      </x:c>
    </x:row>
    <x:row r="1666" ht="51.75" hidden="0" customHeight="1">
      <x:c r="A1666" s="7" t="s">
        <x:v>5162</x:v>
      </x:c>
      <x:c r="B1666" s="7" t="s">
        <x:v>1113</x:v>
      </x:c>
      <x:c r="C1666" s="7" t="s">
        <x:v>1115</x:v>
      </x:c>
      <x:c r="D1666" s="7" t="s">
        <x:v>1945</x:v>
      </x:c>
      <x:c r="E1666" s="7" t="s">
        <x:v>5123</x:v>
      </x:c>
      <x:c r="F1666" s="7" t="s">
        <x:v>1929</x:v>
      </x:c>
      <x:c r="G1666" s="8" t="n">
        <x:v>110</x:v>
      </x:c>
      <x:c r="H1666" s="8" t="s">
        <x:v>58</x:v>
      </x:c>
      <x:c r="I1666" s="8" t="s">
        <x:v>58</x:v>
      </x:c>
      <x:c r="J1666" s="7" t="s">
        <x:v>1919</x:v>
      </x:c>
      <x:c r="K1666" s="8" t="n">
        <x:v>1</x:v>
      </x:c>
      <x:c r="L1666" s="8" t="n">
        <x:f aca="0">IF(AND(ISNUMBER(G1666),P1666&lt;&gt;"Unresolved unit / layout"),G1666*K1666,"Not applicable")</x:f>
        <x:v>110</x:v>
      </x:c>
      <x:c r="M1666" s="8" t="str">
        <x:f aca="0">IF(AND(ISNUMBER(H1666),P1666&lt;&gt;"Unresolved unit / layout"),H1666*K1666,"Not applicable")</x:f>
        <x:v>Not applicable</x:v>
      </x:c>
      <x:c r="N1666" s="8" t="str">
        <x:f aca="0">IF(AND(ISNUMBER(I1666),P1666&lt;&gt;"Unresolved unit / layout"),I1666*K1666,"Not applicable")</x:f>
        <x:v>Not applicable</x:v>
      </x:c>
      <x:c r="O1666" s="7" t="s">
        <x:v>1929</x:v>
      </x:c>
      <x:c r="P1666" s="7" t="s">
        <x:v>1921</x:v>
      </x:c>
      <x:c r="Q1666" s="7" t="s">
        <x:v>1930</x:v>
      </x:c>
      <x:c r="R1666" s="7" t="s">
        <x:v>1931</x:v>
      </x:c>
      <x:c r="S1666" s="7" t="s">
        <x:v>53</x:v>
      </x:c>
      <x:c r="T1666" s="7" t="s">
        <x:v>53</x:v>
      </x:c>
      <x:c r="U1666" s="7" t="s">
        <x:v>53</x:v>
      </x:c>
      <x:c r="V1666" s="7" t="s">
        <x:v>1947</x:v>
      </x:c>
      <x:c r="W1666" s="7" t="s">
        <x:v>58</x:v>
      </x:c>
      <x:c r="X1666" s="7" t="s">
        <x:v>5157</x:v>
      </x:c>
      <x:c r="Y1666" s="7" t="s">
        <x:v>1426</x:v>
      </x:c>
      <x:c r="Z1666" s="7" t="s">
        <x:v>1948</x:v>
      </x:c>
      <x:c r="AA1666" s="7" t="s">
        <x:v>58</x:v>
      </x:c>
      <x:c r="AB1666" s="8" t="s">
        <x:v>58</x:v>
      </x:c>
      <x:c r="AC1666" s="8" t="s">
        <x:v>58</x:v>
      </x:c>
      <x:c r="AD1666" s="8" t="s">
        <x:v>58</x:v>
      </x:c>
      <x:c r="AE1666" s="8" t="s">
        <x:v>58</x:v>
      </x:c>
      <x:c r="AF1666" s="8" t="s">
        <x:v>58</x:v>
      </x:c>
      <x:c r="AG1666" s="7" t="s">
        <x:v>58</x:v>
      </x:c>
    </x:row>
    <x:row r="1667" ht="51.75" hidden="0" customHeight="1">
      <x:c r="A1667" s="7" t="s">
        <x:v>5163</x:v>
      </x:c>
      <x:c r="B1667" s="7" t="s">
        <x:v>1113</x:v>
      </x:c>
      <x:c r="C1667" s="7" t="s">
        <x:v>1115</x:v>
      </x:c>
      <x:c r="D1667" s="7" t="s">
        <x:v>1950</x:v>
      </x:c>
      <x:c r="E1667" s="7" t="s">
        <x:v>5164</x:v>
      </x:c>
      <x:c r="F1667" s="7" t="s">
        <x:v>1929</x:v>
      </x:c>
      <x:c r="G1667" s="8" t="n">
        <x:v>2215</x:v>
      </x:c>
      <x:c r="H1667" s="8" t="s">
        <x:v>58</x:v>
      </x:c>
      <x:c r="I1667" s="8" t="s">
        <x:v>58</x:v>
      </x:c>
      <x:c r="J1667" s="7" t="s">
        <x:v>1919</x:v>
      </x:c>
      <x:c r="K1667" s="8" t="n">
        <x:v>0.001</x:v>
      </x:c>
      <x:c r="L1667" s="8" t="n">
        <x:f aca="0">IF(AND(ISNUMBER(G1667),P1667&lt;&gt;"Unresolved unit / layout"),G1667*K1667,"Not applicable")</x:f>
        <x:v>2.215</x:v>
      </x:c>
      <x:c r="M1667" s="8" t="str">
        <x:f aca="0">IF(AND(ISNUMBER(H1667),P1667&lt;&gt;"Unresolved unit / layout"),H1667*K1667,"Not applicable")</x:f>
        <x:v>Not applicable</x:v>
      </x:c>
      <x:c r="N1667" s="8" t="str">
        <x:f aca="0">IF(AND(ISNUMBER(I1667),P1667&lt;&gt;"Unresolved unit / layout"),I1667*K1667,"Not applicable")</x:f>
        <x:v>Not applicable</x:v>
      </x:c>
      <x:c r="O1667" s="7" t="s">
        <x:v>1937</x:v>
      </x:c>
      <x:c r="P1667" s="7" t="s">
        <x:v>1921</x:v>
      </x:c>
      <x:c r="Q1667" s="7" t="s">
        <x:v>1930</x:v>
      </x:c>
      <x:c r="R1667" s="7" t="s">
        <x:v>1931</x:v>
      </x:c>
      <x:c r="S1667" s="7" t="s">
        <x:v>53</x:v>
      </x:c>
      <x:c r="T1667" s="7" t="s">
        <x:v>53</x:v>
      </x:c>
      <x:c r="U1667" s="7" t="s">
        <x:v>53</x:v>
      </x:c>
      <x:c r="V1667" s="7" t="s">
        <x:v>1947</x:v>
      </x:c>
      <x:c r="W1667" s="7" t="s">
        <x:v>58</x:v>
      </x:c>
      <x:c r="X1667" s="7" t="s">
        <x:v>5157</x:v>
      </x:c>
      <x:c r="Y1667" s="7" t="s">
        <x:v>1426</x:v>
      </x:c>
      <x:c r="Z1667" s="7" t="s">
        <x:v>1952</x:v>
      </x:c>
      <x:c r="AA1667" s="7" t="s">
        <x:v>58</x:v>
      </x:c>
      <x:c r="AB1667" s="8" t="s">
        <x:v>58</x:v>
      </x:c>
      <x:c r="AC1667" s="8" t="s">
        <x:v>58</x:v>
      </x:c>
      <x:c r="AD1667" s="8" t="s">
        <x:v>58</x:v>
      </x:c>
      <x:c r="AE1667" s="8" t="s">
        <x:v>58</x:v>
      </x:c>
      <x:c r="AF1667" s="8" t="s">
        <x:v>58</x:v>
      </x:c>
      <x:c r="AG1667" s="7" t="s">
        <x:v>58</x:v>
      </x:c>
    </x:row>
    <x:row r="1668" ht="51.75" hidden="0" customHeight="1">
      <x:c r="A1668" s="7" t="s">
        <x:v>5165</x:v>
      </x:c>
      <x:c r="B1668" s="7" t="s">
        <x:v>1113</x:v>
      </x:c>
      <x:c r="C1668" s="7" t="s">
        <x:v>1115</x:v>
      </x:c>
      <x:c r="D1668" s="7" t="s">
        <x:v>1954</x:v>
      </x:c>
      <x:c r="E1668" s="7" t="s">
        <x:v>5166</x:v>
      </x:c>
      <x:c r="F1668" s="7" t="s">
        <x:v>1956</x:v>
      </x:c>
      <x:c r="G1668" s="8" t="n">
        <x:v>230</x:v>
      </x:c>
      <x:c r="H1668" s="8" t="s">
        <x:v>58</x:v>
      </x:c>
      <x:c r="I1668" s="8" t="s">
        <x:v>58</x:v>
      </x:c>
      <x:c r="J1668" s="7" t="s">
        <x:v>1919</x:v>
      </x:c>
      <x:c r="K1668" s="8" t="n">
        <x:v>1</x:v>
      </x:c>
      <x:c r="L1668" s="8" t="n">
        <x:f aca="0">IF(AND(ISNUMBER(G1668),P1668&lt;&gt;"Unresolved unit / layout"),G1668*K1668,"Not applicable")</x:f>
        <x:v>230</x:v>
      </x:c>
      <x:c r="M1668" s="8" t="str">
        <x:f aca="0">IF(AND(ISNUMBER(H1668),P1668&lt;&gt;"Unresolved unit / layout"),H1668*K1668,"Not applicable")</x:f>
        <x:v>Not applicable</x:v>
      </x:c>
      <x:c r="N1668" s="8" t="str">
        <x:f aca="0">IF(AND(ISNUMBER(I1668),P1668&lt;&gt;"Unresolved unit / layout"),I1668*K1668,"Not applicable")</x:f>
        <x:v>Not applicable</x:v>
      </x:c>
      <x:c r="O1668" s="7" t="s">
        <x:v>1956</x:v>
      </x:c>
      <x:c r="P1668" s="7" t="s">
        <x:v>1921</x:v>
      </x:c>
      <x:c r="Q1668" s="7" t="s">
        <x:v>1930</x:v>
      </x:c>
      <x:c r="R1668" s="7" t="s">
        <x:v>58</x:v>
      </x:c>
      <x:c r="S1668" s="7" t="s">
        <x:v>53</x:v>
      </x:c>
      <x:c r="T1668" s="7" t="s">
        <x:v>53</x:v>
      </x:c>
      <x:c r="U1668" s="7" t="s">
        <x:v>53</x:v>
      </x:c>
      <x:c r="V1668" s="7" t="s">
        <x:v>1957</x:v>
      </x:c>
      <x:c r="W1668" s="7" t="s">
        <x:v>58</x:v>
      </x:c>
      <x:c r="X1668" s="7" t="s">
        <x:v>5157</x:v>
      </x:c>
      <x:c r="Y1668" s="7" t="s">
        <x:v>1426</x:v>
      </x:c>
      <x:c r="Z1668" s="7" t="s">
        <x:v>3215</x:v>
      </x:c>
      <x:c r="AA1668" s="7" t="s">
        <x:v>58</x:v>
      </x:c>
      <x:c r="AB1668" s="8" t="s">
        <x:v>58</x:v>
      </x:c>
      <x:c r="AC1668" s="8" t="s">
        <x:v>58</x:v>
      </x:c>
      <x:c r="AD1668" s="8" t="s">
        <x:v>58</x:v>
      </x:c>
      <x:c r="AE1668" s="8" t="s">
        <x:v>58</x:v>
      </x:c>
      <x:c r="AF1668" s="8" t="s">
        <x:v>58</x:v>
      </x:c>
      <x:c r="AG1668" s="7" t="s">
        <x:v>58</x:v>
      </x:c>
    </x:row>
    <x:row r="1669" ht="51.75" hidden="0" customHeight="1">
      <x:c r="A1669" s="7" t="s">
        <x:v>1119</x:v>
      </x:c>
      <x:c r="B1669" s="7" t="s">
        <x:v>1113</x:v>
      </x:c>
      <x:c r="C1669" s="7" t="s">
        <x:v>1115</x:v>
      </x:c>
      <x:c r="D1669" s="7" t="s">
        <x:v>1959</x:v>
      </x:c>
      <x:c r="E1669" s="7" t="s">
        <x:v>5167</x:v>
      </x:c>
      <x:c r="F1669" s="7" t="s">
        <x:v>1956</x:v>
      </x:c>
      <x:c r="G1669" s="8" t="n">
        <x:v>190</x:v>
      </x:c>
      <x:c r="H1669" s="8" t="s">
        <x:v>58</x:v>
      </x:c>
      <x:c r="I1669" s="8" t="s">
        <x:v>58</x:v>
      </x:c>
      <x:c r="J1669" s="7" t="s">
        <x:v>1919</x:v>
      </x:c>
      <x:c r="K1669" s="8" t="n">
        <x:v>1</x:v>
      </x:c>
      <x:c r="L1669" s="8" t="n">
        <x:f aca="0">IF(AND(ISNUMBER(G1669),P1669&lt;&gt;"Unresolved unit / layout"),G1669*K1669,"Not applicable")</x:f>
        <x:v>190</x:v>
      </x:c>
      <x:c r="M1669" s="8" t="str">
        <x:f aca="0">IF(AND(ISNUMBER(H1669),P1669&lt;&gt;"Unresolved unit / layout"),H1669*K1669,"Not applicable")</x:f>
        <x:v>Not applicable</x:v>
      </x:c>
      <x:c r="N1669" s="8" t="str">
        <x:f aca="0">IF(AND(ISNUMBER(I1669),P1669&lt;&gt;"Unresolved unit / layout"),I1669*K1669,"Not applicable")</x:f>
        <x:v>Not applicable</x:v>
      </x:c>
      <x:c r="O1669" s="7" t="s">
        <x:v>1956</x:v>
      </x:c>
      <x:c r="P1669" s="7" t="s">
        <x:v>1921</x:v>
      </x:c>
      <x:c r="Q1669" s="7" t="s">
        <x:v>1930</x:v>
      </x:c>
      <x:c r="R1669" s="7" t="s">
        <x:v>58</x:v>
      </x:c>
      <x:c r="S1669" s="7" t="s">
        <x:v>53</x:v>
      </x:c>
      <x:c r="T1669" s="7" t="s">
        <x:v>53</x:v>
      </x:c>
      <x:c r="U1669" s="7" t="s">
        <x:v>53</x:v>
      </x:c>
      <x:c r="V1669" s="7" t="s">
        <x:v>1961</x:v>
      </x:c>
      <x:c r="W1669" s="7" t="s">
        <x:v>58</x:v>
      </x:c>
      <x:c r="X1669" s="7" t="s">
        <x:v>5157</x:v>
      </x:c>
      <x:c r="Y1669" s="7" t="s">
        <x:v>1426</x:v>
      </x:c>
      <x:c r="Z1669" s="7" t="s">
        <x:v>1962</x:v>
      </x:c>
      <x:c r="AA1669" s="7" t="s">
        <x:v>58</x:v>
      </x:c>
      <x:c r="AB1669" s="8" t="s">
        <x:v>58</x:v>
      </x:c>
      <x:c r="AC1669" s="8" t="s">
        <x:v>58</x:v>
      </x:c>
      <x:c r="AD1669" s="8" t="s">
        <x:v>58</x:v>
      </x:c>
      <x:c r="AE1669" s="8" t="s">
        <x:v>58</x:v>
      </x:c>
      <x:c r="AF1669" s="8" t="s">
        <x:v>58</x:v>
      </x:c>
      <x:c r="AG1669" s="7" t="s">
        <x:v>58</x:v>
      </x:c>
    </x:row>
    <x:row r="1670" ht="51.75" hidden="0" customHeight="1">
      <x:c r="A1670" s="7" t="s">
        <x:v>5168</x:v>
      </x:c>
      <x:c r="B1670" s="7" t="s">
        <x:v>1113</x:v>
      </x:c>
      <x:c r="C1670" s="7" t="s">
        <x:v>1428</x:v>
      </x:c>
      <x:c r="D1670" s="7" t="s">
        <x:v>1916</x:v>
      </x:c>
      <x:c r="E1670" s="7" t="s">
        <x:v>2809</x:v>
      </x:c>
      <x:c r="F1670" s="7" t="s">
        <x:v>2059</x:v>
      </x:c>
      <x:c r="G1670" s="8" t="n">
        <x:v>1.29</x:v>
      </x:c>
      <x:c r="H1670" s="8" t="s">
        <x:v>58</x:v>
      </x:c>
      <x:c r="I1670" s="8" t="s">
        <x:v>58</x:v>
      </x:c>
      <x:c r="J1670" s="7" t="s">
        <x:v>1919</x:v>
      </x:c>
      <x:c r="K1670" s="8" t="n">
        <x:v>1000</x:v>
      </x:c>
      <x:c r="L1670" s="8" t="n">
        <x:f aca="0">IF(AND(ISNUMBER(G1670),P1670&lt;&gt;"Unresolved unit / layout"),G1670*K1670,"Not applicable")</x:f>
        <x:v>1290</x:v>
      </x:c>
      <x:c r="M1670" s="8" t="str">
        <x:f aca="0">IF(AND(ISNUMBER(H1670),P1670&lt;&gt;"Unresolved unit / layout"),H1670*K1670,"Not applicable")</x:f>
        <x:v>Not applicable</x:v>
      </x:c>
      <x:c r="N1670" s="8" t="str">
        <x:f aca="0">IF(AND(ISNUMBER(I1670),P1670&lt;&gt;"Unresolved unit / layout"),I1670*K1670,"Not applicable")</x:f>
        <x:v>Not applicable</x:v>
      </x:c>
      <x:c r="O1670" s="7" t="s">
        <x:v>1920</x:v>
      </x:c>
      <x:c r="P1670" s="7" t="s">
        <x:v>1921</x:v>
      </x:c>
      <x:c r="Q1670" s="7" t="s">
        <x:v>1922</x:v>
      </x:c>
      <x:c r="R1670" s="7" t="s">
        <x:v>58</x:v>
      </x:c>
      <x:c r="S1670" s="7" t="s">
        <x:v>53</x:v>
      </x:c>
      <x:c r="T1670" s="7" t="s">
        <x:v>53</x:v>
      </x:c>
      <x:c r="U1670" s="7" t="s">
        <x:v>53</x:v>
      </x:c>
      <x:c r="V1670" s="7" t="s">
        <x:v>2810</x:v>
      </x:c>
      <x:c r="W1670" s="7" t="s">
        <x:v>58</x:v>
      </x:c>
      <x:c r="X1670" s="7" t="s">
        <x:v>53</x:v>
      </x:c>
      <x:c r="Y1670" s="7" t="s">
        <x:v>1429</x:v>
      </x:c>
      <x:c r="Z1670" s="7" t="s">
        <x:v>1925</x:v>
      </x:c>
      <x:c r="AA1670" s="7" t="s">
        <x:v>58</x:v>
      </x:c>
      <x:c r="AB1670" s="8" t="s">
        <x:v>58</x:v>
      </x:c>
      <x:c r="AC1670" s="8" t="s">
        <x:v>58</x:v>
      </x:c>
      <x:c r="AD1670" s="8" t="s">
        <x:v>58</x:v>
      </x:c>
      <x:c r="AE1670" s="8" t="s">
        <x:v>58</x:v>
      </x:c>
      <x:c r="AF1670" s="8" t="s">
        <x:v>58</x:v>
      </x:c>
      <x:c r="AG1670" s="7" t="s">
        <x:v>58</x:v>
      </x:c>
    </x:row>
    <x:row r="1671" ht="37.5" hidden="0" customHeight="1">
      <x:c r="A1671" s="7" t="s">
        <x:v>5169</x:v>
      </x:c>
      <x:c r="B1671" s="7" t="s">
        <x:v>1113</x:v>
      </x:c>
      <x:c r="C1671" s="7" t="s">
        <x:v>1428</x:v>
      </x:c>
      <x:c r="D1671" s="7" t="s">
        <x:v>2099</x:v>
      </x:c>
      <x:c r="E1671" s="7" t="s">
        <x:v>4419</x:v>
      </x:c>
      <x:c r="F1671" s="7" t="s">
        <x:v>1942</x:v>
      </x:c>
      <x:c r="G1671" s="8" t="n">
        <x:v>0.37</x:v>
      </x:c>
      <x:c r="H1671" s="8" t="s">
        <x:v>58</x:v>
      </x:c>
      <x:c r="I1671" s="8" t="s">
        <x:v>58</x:v>
      </x:c>
      <x:c r="J1671" s="7" t="s">
        <x:v>1919</x:v>
      </x:c>
      <x:c r="K1671" s="8" t="n">
        <x:v>1</x:v>
      </x:c>
      <x:c r="L1671" s="8" t="n">
        <x:f aca="0">IF(AND(ISNUMBER(G1671),P1671&lt;&gt;"Unresolved unit / layout"),G1671*K1671,"Not applicable")</x:f>
        <x:v>0.37</x:v>
      </x:c>
      <x:c r="M1671" s="8" t="str">
        <x:f aca="0">IF(AND(ISNUMBER(H1671),P1671&lt;&gt;"Unresolved unit / layout"),H1671*K1671,"Not applicable")</x:f>
        <x:v>Not applicable</x:v>
      </x:c>
      <x:c r="N1671" s="8" t="str">
        <x:f aca="0">IF(AND(ISNUMBER(I1671),P1671&lt;&gt;"Unresolved unit / layout"),I1671*K1671,"Not applicable")</x:f>
        <x:v>Not applicable</x:v>
      </x:c>
      <x:c r="O1671" s="7" t="s">
        <x:v>1942</x:v>
      </x:c>
      <x:c r="P1671" s="7" t="s">
        <x:v>1921</x:v>
      </x:c>
      <x:c r="Q1671" s="7" t="s">
        <x:v>2064</x:v>
      </x:c>
      <x:c r="R1671" s="7" t="s">
        <x:v>58</x:v>
      </x:c>
      <x:c r="S1671" s="7" t="s">
        <x:v>53</x:v>
      </x:c>
      <x:c r="T1671" s="7" t="s">
        <x:v>53</x:v>
      </x:c>
      <x:c r="U1671" s="7" t="s">
        <x:v>53</x:v>
      </x:c>
      <x:c r="V1671" s="7" t="s">
        <x:v>5170</x:v>
      </x:c>
      <x:c r="W1671" s="7" t="s">
        <x:v>58</x:v>
      </x:c>
      <x:c r="X1671" s="7" t="s">
        <x:v>53</x:v>
      </x:c>
      <x:c r="Y1671" s="7" t="s">
        <x:v>1429</x:v>
      </x:c>
      <x:c r="Z1671" s="7" t="s">
        <x:v>5171</x:v>
      </x:c>
      <x:c r="AA1671" s="7" t="s">
        <x:v>58</x:v>
      </x:c>
      <x:c r="AB1671" s="8" t="s">
        <x:v>58</x:v>
      </x:c>
      <x:c r="AC1671" s="8" t="s">
        <x:v>58</x:v>
      </x:c>
      <x:c r="AD1671" s="8" t="s">
        <x:v>58</x:v>
      </x:c>
      <x:c r="AE1671" s="8" t="s">
        <x:v>58</x:v>
      </x:c>
      <x:c r="AF1671" s="8" t="s">
        <x:v>58</x:v>
      </x:c>
      <x:c r="AG1671" s="7" t="s">
        <x:v>58</x:v>
      </x:c>
    </x:row>
    <x:row r="1672" ht="37.5" hidden="0" customHeight="1">
      <x:c r="A1672" s="7" t="s">
        <x:v>5172</x:v>
      </x:c>
      <x:c r="B1672" s="7" t="s">
        <x:v>1113</x:v>
      </x:c>
      <x:c r="C1672" s="7" t="s">
        <x:v>1428</x:v>
      </x:c>
      <x:c r="D1672" s="7" t="s">
        <x:v>1935</x:v>
      </x:c>
      <x:c r="E1672" s="7" t="s">
        <x:v>5173</x:v>
      </x:c>
      <x:c r="F1672" s="7" t="s">
        <x:v>2717</x:v>
      </x:c>
      <x:c r="G1672" s="8" t="n">
        <x:v>2340</x:v>
      </x:c>
      <x:c r="H1672" s="8" t="s">
        <x:v>58</x:v>
      </x:c>
      <x:c r="I1672" s="8" t="s">
        <x:v>58</x:v>
      </x:c>
      <x:c r="J1672" s="7" t="s">
        <x:v>1919</x:v>
      </x:c>
      <x:c r="K1672" s="8" t="n">
        <x:v>0.001</x:v>
      </x:c>
      <x:c r="L1672" s="8" t="n">
        <x:f aca="0">IF(AND(ISNUMBER(G1672),P1672&lt;&gt;"Unresolved unit / layout"),G1672*K1672,"Not applicable")</x:f>
        <x:v>2.34</x:v>
      </x:c>
      <x:c r="M1672" s="8" t="str">
        <x:f aca="0">IF(AND(ISNUMBER(H1672),P1672&lt;&gt;"Unresolved unit / layout"),H1672*K1672,"Not applicable")</x:f>
        <x:v>Not applicable</x:v>
      </x:c>
      <x:c r="N1672" s="8" t="str">
        <x:f aca="0">IF(AND(ISNUMBER(I1672),P1672&lt;&gt;"Unresolved unit / layout"),I1672*K1672,"Not applicable")</x:f>
        <x:v>Not applicable</x:v>
      </x:c>
      <x:c r="O1672" s="7" t="s">
        <x:v>1937</x:v>
      </x:c>
      <x:c r="P1672" s="7" t="s">
        <x:v>1921</x:v>
      </x:c>
      <x:c r="Q1672" s="7" t="s">
        <x:v>2064</x:v>
      </x:c>
      <x:c r="R1672" s="7" t="s">
        <x:v>53</x:v>
      </x:c>
      <x:c r="S1672" s="7" t="s">
        <x:v>53</x:v>
      </x:c>
      <x:c r="T1672" s="7" t="s">
        <x:v>53</x:v>
      </x:c>
      <x:c r="U1672" s="7" t="s">
        <x:v>53</x:v>
      </x:c>
      <x:c r="V1672" s="7" t="s">
        <x:v>5174</x:v>
      </x:c>
      <x:c r="W1672" s="7" t="s">
        <x:v>58</x:v>
      </x:c>
      <x:c r="X1672" s="7" t="s">
        <x:v>53</x:v>
      </x:c>
      <x:c r="Y1672" s="7" t="s">
        <x:v>1429</x:v>
      </x:c>
      <x:c r="Z1672" s="7" t="s">
        <x:v>5175</x:v>
      </x:c>
      <x:c r="AA1672" s="7" t="s">
        <x:v>58</x:v>
      </x:c>
      <x:c r="AB1672" s="8" t="s">
        <x:v>58</x:v>
      </x:c>
      <x:c r="AC1672" s="8" t="s">
        <x:v>58</x:v>
      </x:c>
      <x:c r="AD1672" s="8" t="s">
        <x:v>58</x:v>
      </x:c>
      <x:c r="AE1672" s="8" t="s">
        <x:v>58</x:v>
      </x:c>
      <x:c r="AF1672" s="8" t="s">
        <x:v>58</x:v>
      </x:c>
      <x:c r="AG1672" s="7" t="s">
        <x:v>58</x:v>
      </x:c>
    </x:row>
    <x:row r="1673" ht="37.5" hidden="0" customHeight="1">
      <x:c r="A1673" s="7" t="s">
        <x:v>5176</x:v>
      </x:c>
      <x:c r="B1673" s="7" t="s">
        <x:v>1113</x:v>
      </x:c>
      <x:c r="C1673" s="7" t="s">
        <x:v>1428</x:v>
      </x:c>
      <x:c r="D1673" s="7" t="s">
        <x:v>2006</x:v>
      </x:c>
      <x:c r="E1673" s="7" t="s">
        <x:v>5177</x:v>
      </x:c>
      <x:c r="F1673" s="7" t="s">
        <x:v>2717</x:v>
      </x:c>
      <x:c r="G1673" s="8" t="n">
        <x:v>69.6</x:v>
      </x:c>
      <x:c r="H1673" s="8" t="s">
        <x:v>58</x:v>
      </x:c>
      <x:c r="I1673" s="8" t="s">
        <x:v>58</x:v>
      </x:c>
      <x:c r="J1673" s="7" t="s">
        <x:v>1919</x:v>
      </x:c>
      <x:c r="K1673" s="8" t="n">
        <x:v>1</x:v>
      </x:c>
      <x:c r="L1673" s="8" t="n">
        <x:f aca="0">IF(AND(ISNUMBER(G1673),P1673&lt;&gt;"Unresolved unit / layout"),G1673*K1673,"Not applicable")</x:f>
        <x:v>69.6</x:v>
      </x:c>
      <x:c r="M1673" s="8" t="str">
        <x:f aca="0">IF(AND(ISNUMBER(H1673),P1673&lt;&gt;"Unresolved unit / layout"),H1673*K1673,"Not applicable")</x:f>
        <x:v>Not applicable</x:v>
      </x:c>
      <x:c r="N1673" s="8" t="str">
        <x:f aca="0">IF(AND(ISNUMBER(I1673),P1673&lt;&gt;"Unresolved unit / layout"),I1673*K1673,"Not applicable")</x:f>
        <x:v>Not applicable</x:v>
      </x:c>
      <x:c r="O1673" s="7" t="s">
        <x:v>1929</x:v>
      </x:c>
      <x:c r="P1673" s="7" t="s">
        <x:v>1921</x:v>
      </x:c>
      <x:c r="Q1673" s="7" t="s">
        <x:v>2064</x:v>
      </x:c>
      <x:c r="R1673" s="7" t="s">
        <x:v>53</x:v>
      </x:c>
      <x:c r="S1673" s="7" t="s">
        <x:v>53</x:v>
      </x:c>
      <x:c r="T1673" s="7" t="s">
        <x:v>53</x:v>
      </x:c>
      <x:c r="U1673" s="7" t="s">
        <x:v>53</x:v>
      </x:c>
      <x:c r="V1673" s="7" t="s">
        <x:v>5174</x:v>
      </x:c>
      <x:c r="W1673" s="7" t="s">
        <x:v>58</x:v>
      </x:c>
      <x:c r="X1673" s="7" t="s">
        <x:v>53</x:v>
      </x:c>
      <x:c r="Y1673" s="7" t="s">
        <x:v>1429</x:v>
      </x:c>
      <x:c r="Z1673" s="7" t="s">
        <x:v>5178</x:v>
      </x:c>
      <x:c r="AA1673" s="7" t="s">
        <x:v>58</x:v>
      </x:c>
      <x:c r="AB1673" s="8" t="s">
        <x:v>58</x:v>
      </x:c>
      <x:c r="AC1673" s="8" t="s">
        <x:v>58</x:v>
      </x:c>
      <x:c r="AD1673" s="8" t="s">
        <x:v>58</x:v>
      </x:c>
      <x:c r="AE1673" s="8" t="s">
        <x:v>58</x:v>
      </x:c>
      <x:c r="AF1673" s="8" t="s">
        <x:v>58</x:v>
      </x:c>
      <x:c r="AG1673" s="7" t="s">
        <x:v>58</x:v>
      </x:c>
    </x:row>
    <x:row r="1674" ht="37.5" hidden="0" customHeight="1">
      <x:c r="A1674" s="7" t="s">
        <x:v>5179</x:v>
      </x:c>
      <x:c r="B1674" s="7" t="s">
        <x:v>1113</x:v>
      </x:c>
      <x:c r="C1674" s="7" t="s">
        <x:v>1428</x:v>
      </x:c>
      <x:c r="D1674" s="7" t="s">
        <x:v>1950</x:v>
      </x:c>
      <x:c r="E1674" s="7" t="s">
        <x:v>5180</x:v>
      </x:c>
      <x:c r="F1674" s="7" t="s">
        <x:v>2717</x:v>
      </x:c>
      <x:c r="G1674" s="8" t="n">
        <x:v>2410</x:v>
      </x:c>
      <x:c r="H1674" s="8" t="s">
        <x:v>58</x:v>
      </x:c>
      <x:c r="I1674" s="8" t="s">
        <x:v>58</x:v>
      </x:c>
      <x:c r="J1674" s="7" t="s">
        <x:v>1919</x:v>
      </x:c>
      <x:c r="K1674" s="8" t="n">
        <x:v>0.001</x:v>
      </x:c>
      <x:c r="L1674" s="8" t="n">
        <x:f aca="0">IF(AND(ISNUMBER(G1674),P1674&lt;&gt;"Unresolved unit / layout"),G1674*K1674,"Not applicable")</x:f>
        <x:v>2.41</x:v>
      </x:c>
      <x:c r="M1674" s="8" t="str">
        <x:f aca="0">IF(AND(ISNUMBER(H1674),P1674&lt;&gt;"Unresolved unit / layout"),H1674*K1674,"Not applicable")</x:f>
        <x:v>Not applicable</x:v>
      </x:c>
      <x:c r="N1674" s="8" t="str">
        <x:f aca="0">IF(AND(ISNUMBER(I1674),P1674&lt;&gt;"Unresolved unit / layout"),I1674*K1674,"Not applicable")</x:f>
        <x:v>Not applicable</x:v>
      </x:c>
      <x:c r="O1674" s="7" t="s">
        <x:v>1937</x:v>
      </x:c>
      <x:c r="P1674" s="7" t="s">
        <x:v>1921</x:v>
      </x:c>
      <x:c r="Q1674" s="7" t="s">
        <x:v>2064</x:v>
      </x:c>
      <x:c r="R1674" s="7" t="s">
        <x:v>53</x:v>
      </x:c>
      <x:c r="S1674" s="7" t="s">
        <x:v>53</x:v>
      </x:c>
      <x:c r="T1674" s="7" t="s">
        <x:v>53</x:v>
      </x:c>
      <x:c r="U1674" s="7" t="s">
        <x:v>53</x:v>
      </x:c>
      <x:c r="V1674" s="7" t="s">
        <x:v>3465</x:v>
      </x:c>
      <x:c r="W1674" s="7" t="s">
        <x:v>58</x:v>
      </x:c>
      <x:c r="X1674" s="7" t="s">
        <x:v>53</x:v>
      </x:c>
      <x:c r="Y1674" s="7" t="s">
        <x:v>1429</x:v>
      </x:c>
      <x:c r="Z1674" s="7" t="s">
        <x:v>5181</x:v>
      </x:c>
      <x:c r="AA1674" s="7" t="s">
        <x:v>58</x:v>
      </x:c>
      <x:c r="AB1674" s="8" t="s">
        <x:v>58</x:v>
      </x:c>
      <x:c r="AC1674" s="8" t="s">
        <x:v>58</x:v>
      </x:c>
      <x:c r="AD1674" s="8" t="s">
        <x:v>58</x:v>
      </x:c>
      <x:c r="AE1674" s="8" t="s">
        <x:v>58</x:v>
      </x:c>
      <x:c r="AF1674" s="8" t="s">
        <x:v>58</x:v>
      </x:c>
      <x:c r="AG1674" s="7" t="s">
        <x:v>58</x:v>
      </x:c>
    </x:row>
    <x:row r="1675" ht="37.5" hidden="0" customHeight="1">
      <x:c r="A1675" s="7" t="s">
        <x:v>5182</x:v>
      </x:c>
      <x:c r="B1675" s="7" t="s">
        <x:v>1113</x:v>
      </x:c>
      <x:c r="C1675" s="7" t="s">
        <x:v>1428</x:v>
      </x:c>
      <x:c r="D1675" s="7" t="s">
        <x:v>1945</x:v>
      </x:c>
      <x:c r="E1675" s="7" t="s">
        <x:v>5183</x:v>
      </x:c>
      <x:c r="F1675" s="7" t="s">
        <x:v>2717</x:v>
      </x:c>
      <x:c r="G1675" s="8" t="n">
        <x:v>91</x:v>
      </x:c>
      <x:c r="H1675" s="8" t="s">
        <x:v>58</x:v>
      </x:c>
      <x:c r="I1675" s="8" t="s">
        <x:v>58</x:v>
      </x:c>
      <x:c r="J1675" s="7" t="s">
        <x:v>1919</x:v>
      </x:c>
      <x:c r="K1675" s="8" t="n">
        <x:v>1</x:v>
      </x:c>
      <x:c r="L1675" s="8" t="n">
        <x:f aca="0">IF(AND(ISNUMBER(G1675),P1675&lt;&gt;"Unresolved unit / layout"),G1675*K1675,"Not applicable")</x:f>
        <x:v>91</x:v>
      </x:c>
      <x:c r="M1675" s="8" t="str">
        <x:f aca="0">IF(AND(ISNUMBER(H1675),P1675&lt;&gt;"Unresolved unit / layout"),H1675*K1675,"Not applicable")</x:f>
        <x:v>Not applicable</x:v>
      </x:c>
      <x:c r="N1675" s="8" t="str">
        <x:f aca="0">IF(AND(ISNUMBER(I1675),P1675&lt;&gt;"Unresolved unit / layout"),I1675*K1675,"Not applicable")</x:f>
        <x:v>Not applicable</x:v>
      </x:c>
      <x:c r="O1675" s="7" t="s">
        <x:v>1929</x:v>
      </x:c>
      <x:c r="P1675" s="7" t="s">
        <x:v>1921</x:v>
      </x:c>
      <x:c r="Q1675" s="7" t="s">
        <x:v>2064</x:v>
      </x:c>
      <x:c r="R1675" s="7" t="s">
        <x:v>53</x:v>
      </x:c>
      <x:c r="S1675" s="7" t="s">
        <x:v>53</x:v>
      </x:c>
      <x:c r="T1675" s="7" t="s">
        <x:v>53</x:v>
      </x:c>
      <x:c r="U1675" s="7" t="s">
        <x:v>53</x:v>
      </x:c>
      <x:c r="V1675" s="7" t="s">
        <x:v>3465</x:v>
      </x:c>
      <x:c r="W1675" s="7" t="s">
        <x:v>58</x:v>
      </x:c>
      <x:c r="X1675" s="7" t="s">
        <x:v>53</x:v>
      </x:c>
      <x:c r="Y1675" s="7" t="s">
        <x:v>1429</x:v>
      </x:c>
      <x:c r="Z1675" s="7" t="s">
        <x:v>5184</x:v>
      </x:c>
      <x:c r="AA1675" s="7" t="s">
        <x:v>58</x:v>
      </x:c>
      <x:c r="AB1675" s="8" t="s">
        <x:v>58</x:v>
      </x:c>
      <x:c r="AC1675" s="8" t="s">
        <x:v>58</x:v>
      </x:c>
      <x:c r="AD1675" s="8" t="s">
        <x:v>58</x:v>
      </x:c>
      <x:c r="AE1675" s="8" t="s">
        <x:v>58</x:v>
      </x:c>
      <x:c r="AF1675" s="8" t="s">
        <x:v>58</x:v>
      </x:c>
      <x:c r="AG1675" s="7" t="s">
        <x:v>58</x:v>
      </x:c>
    </x:row>
    <x:row r="1676" ht="37.5" hidden="0" customHeight="1">
      <x:c r="A1676" s="7" t="s">
        <x:v>5185</x:v>
      </x:c>
      <x:c r="B1676" s="7" t="s">
        <x:v>1113</x:v>
      </x:c>
      <x:c r="C1676" s="7" t="s">
        <x:v>1428</x:v>
      </x:c>
      <x:c r="D1676" s="7" t="s">
        <x:v>2834</x:v>
      </x:c>
      <x:c r="E1676" s="7" t="s">
        <x:v>5186</x:v>
      </x:c>
      <x:c r="F1676" s="7" t="s">
        <x:v>4825</x:v>
      </x:c>
      <x:c r="G1676" s="8" t="n">
        <x:v>690</x:v>
      </x:c>
      <x:c r="H1676" s="8" t="s">
        <x:v>58</x:v>
      </x:c>
      <x:c r="I1676" s="8" t="s">
        <x:v>58</x:v>
      </x:c>
      <x:c r="J1676" s="7" t="s">
        <x:v>1919</x:v>
      </x:c>
      <x:c r="K1676" s="8" t="n">
        <x:v>1</x:v>
      </x:c>
      <x:c r="L1676" s="8" t="n">
        <x:f aca="0">IF(AND(ISNUMBER(G1676),P1676&lt;&gt;"Unresolved unit / layout"),G1676*K1676,"Not applicable")</x:f>
        <x:v>690</x:v>
      </x:c>
      <x:c r="M1676" s="8" t="str">
        <x:f aca="0">IF(AND(ISNUMBER(H1676),P1676&lt;&gt;"Unresolved unit / layout"),H1676*K1676,"Not applicable")</x:f>
        <x:v>Not applicable</x:v>
      </x:c>
      <x:c r="N1676" s="8" t="str">
        <x:f aca="0">IF(AND(ISNUMBER(I1676),P1676&lt;&gt;"Unresolved unit / layout"),I1676*K1676,"Not applicable")</x:f>
        <x:v>Not applicable</x:v>
      </x:c>
      <x:c r="O1676" s="7" t="s">
        <x:v>4825</x:v>
      </x:c>
      <x:c r="P1676" s="7" t="s">
        <x:v>1921</x:v>
      </x:c>
      <x:c r="Q1676" s="7" t="s">
        <x:v>2064</x:v>
      </x:c>
      <x:c r="R1676" s="7" t="s">
        <x:v>53</x:v>
      </x:c>
      <x:c r="S1676" s="7" t="s">
        <x:v>53</x:v>
      </x:c>
      <x:c r="T1676" s="7" t="s">
        <x:v>53</x:v>
      </x:c>
      <x:c r="U1676" s="7" t="s">
        <x:v>53</x:v>
      </x:c>
      <x:c r="V1676" s="7" t="s">
        <x:v>2739</x:v>
      </x:c>
      <x:c r="W1676" s="7" t="s">
        <x:v>2139</x:v>
      </x:c>
      <x:c r="X1676" s="7" t="s">
        <x:v>53</x:v>
      </x:c>
      <x:c r="Y1676" s="7" t="s">
        <x:v>1429</x:v>
      </x:c>
      <x:c r="Z1676" s="7" t="s">
        <x:v>3360</x:v>
      </x:c>
      <x:c r="AA1676" s="7" t="s">
        <x:v>58</x:v>
      </x:c>
      <x:c r="AB1676" s="8" t="s">
        <x:v>58</x:v>
      </x:c>
      <x:c r="AC1676" s="8" t="s">
        <x:v>58</x:v>
      </x:c>
      <x:c r="AD1676" s="8" t="s">
        <x:v>58</x:v>
      </x:c>
      <x:c r="AE1676" s="8" t="s">
        <x:v>58</x:v>
      </x:c>
      <x:c r="AF1676" s="8" t="s">
        <x:v>58</x:v>
      </x:c>
      <x:c r="AG1676" s="7" t="s">
        <x:v>58</x:v>
      </x:c>
    </x:row>
    <x:row r="1677" ht="37.5" hidden="0" customHeight="1">
      <x:c r="A1677" s="7" t="s">
        <x:v>5187</x:v>
      </x:c>
      <x:c r="B1677" s="7" t="s">
        <x:v>1113</x:v>
      </x:c>
      <x:c r="C1677" s="7" t="s">
        <x:v>1428</x:v>
      </x:c>
      <x:c r="D1677" s="7" t="s">
        <x:v>1959</x:v>
      </x:c>
      <x:c r="E1677" s="7" t="s">
        <x:v>5188</x:v>
      </x:c>
      <x:c r="F1677" s="7" t="s">
        <x:v>1956</x:v>
      </x:c>
      <x:c r="G1677" s="8" t="n">
        <x:v>207</x:v>
      </x:c>
      <x:c r="H1677" s="8" t="s">
        <x:v>58</x:v>
      </x:c>
      <x:c r="I1677" s="8" t="s">
        <x:v>58</x:v>
      </x:c>
      <x:c r="J1677" s="7" t="s">
        <x:v>1919</x:v>
      </x:c>
      <x:c r="K1677" s="8" t="n">
        <x:v>1</x:v>
      </x:c>
      <x:c r="L1677" s="8" t="n">
        <x:f aca="0">IF(AND(ISNUMBER(G1677),P1677&lt;&gt;"Unresolved unit / layout"),G1677*K1677,"Not applicable")</x:f>
        <x:v>207</x:v>
      </x:c>
      <x:c r="M1677" s="8" t="str">
        <x:f aca="0">IF(AND(ISNUMBER(H1677),P1677&lt;&gt;"Unresolved unit / layout"),H1677*K1677,"Not applicable")</x:f>
        <x:v>Not applicable</x:v>
      </x:c>
      <x:c r="N1677" s="8" t="str">
        <x:f aca="0">IF(AND(ISNUMBER(I1677),P1677&lt;&gt;"Unresolved unit / layout"),I1677*K1677,"Not applicable")</x:f>
        <x:v>Not applicable</x:v>
      </x:c>
      <x:c r="O1677" s="7" t="s">
        <x:v>1956</x:v>
      </x:c>
      <x:c r="P1677" s="7" t="s">
        <x:v>1921</x:v>
      </x:c>
      <x:c r="Q1677" s="7" t="s">
        <x:v>2064</x:v>
      </x:c>
      <x:c r="R1677" s="7" t="s">
        <x:v>58</x:v>
      </x:c>
      <x:c r="S1677" s="7" t="s">
        <x:v>53</x:v>
      </x:c>
      <x:c r="T1677" s="7" t="s">
        <x:v>53</x:v>
      </x:c>
      <x:c r="U1677" s="7" t="s">
        <x:v>53</x:v>
      </x:c>
      <x:c r="V1677" s="7" t="s">
        <x:v>2739</x:v>
      </x:c>
      <x:c r="W1677" s="7" t="s">
        <x:v>58</x:v>
      </x:c>
      <x:c r="X1677" s="7" t="s">
        <x:v>53</x:v>
      </x:c>
      <x:c r="Y1677" s="7" t="s">
        <x:v>1429</x:v>
      </x:c>
      <x:c r="Z1677" s="7" t="s">
        <x:v>2096</x:v>
      </x:c>
      <x:c r="AA1677" s="7" t="s">
        <x:v>3090</x:v>
      </x:c>
      <x:c r="AB1677" s="8" t="s">
        <x:v>58</x:v>
      </x:c>
      <x:c r="AC1677" s="8" t="s">
        <x:v>58</x:v>
      </x:c>
      <x:c r="AD1677" s="8" t="s">
        <x:v>58</x:v>
      </x:c>
      <x:c r="AE1677" s="8" t="s">
        <x:v>58</x:v>
      </x:c>
      <x:c r="AF1677" s="8" t="s">
        <x:v>58</x:v>
      </x:c>
      <x:c r="AG1677" s="7" t="s">
        <x:v>58</x:v>
      </x:c>
    </x:row>
    <x:row r="1678" ht="37.5" hidden="0" customHeight="1">
      <x:c r="A1678" s="7" t="s">
        <x:v>5189</x:v>
      </x:c>
      <x:c r="B1678" s="7" t="s">
        <x:v>1113</x:v>
      </x:c>
      <x:c r="C1678" s="7" t="s">
        <x:v>1428</x:v>
      </x:c>
      <x:c r="D1678" s="7" t="s">
        <x:v>1954</x:v>
      </x:c>
      <x:c r="E1678" s="7" t="s">
        <x:v>5190</x:v>
      </x:c>
      <x:c r="F1678" s="7" t="s">
        <x:v>1956</x:v>
      </x:c>
      <x:c r="G1678" s="8" t="n">
        <x:v>220</x:v>
      </x:c>
      <x:c r="H1678" s="8" t="s">
        <x:v>58</x:v>
      </x:c>
      <x:c r="I1678" s="8" t="s">
        <x:v>58</x:v>
      </x:c>
      <x:c r="J1678" s="7" t="s">
        <x:v>1919</x:v>
      </x:c>
      <x:c r="K1678" s="8" t="n">
        <x:v>1</x:v>
      </x:c>
      <x:c r="L1678" s="8" t="n">
        <x:f aca="0">IF(AND(ISNUMBER(G1678),P1678&lt;&gt;"Unresolved unit / layout"),G1678*K1678,"Not applicable")</x:f>
        <x:v>220</x:v>
      </x:c>
      <x:c r="M1678" s="8" t="str">
        <x:f aca="0">IF(AND(ISNUMBER(H1678),P1678&lt;&gt;"Unresolved unit / layout"),H1678*K1678,"Not applicable")</x:f>
        <x:v>Not applicable</x:v>
      </x:c>
      <x:c r="N1678" s="8" t="str">
        <x:f aca="0">IF(AND(ISNUMBER(I1678),P1678&lt;&gt;"Unresolved unit / layout"),I1678*K1678,"Not applicable")</x:f>
        <x:v>Not applicable</x:v>
      </x:c>
      <x:c r="O1678" s="7" t="s">
        <x:v>1956</x:v>
      </x:c>
      <x:c r="P1678" s="7" t="s">
        <x:v>1921</x:v>
      </x:c>
      <x:c r="Q1678" s="7" t="s">
        <x:v>2064</x:v>
      </x:c>
      <x:c r="R1678" s="7" t="s">
        <x:v>58</x:v>
      </x:c>
      <x:c r="S1678" s="7" t="s">
        <x:v>53</x:v>
      </x:c>
      <x:c r="T1678" s="7" t="s">
        <x:v>53</x:v>
      </x:c>
      <x:c r="U1678" s="7" t="s">
        <x:v>53</x:v>
      </x:c>
      <x:c r="V1678" s="7" t="s">
        <x:v>2739</x:v>
      </x:c>
      <x:c r="W1678" s="7" t="s">
        <x:v>58</x:v>
      </x:c>
      <x:c r="X1678" s="7" t="s">
        <x:v>53</x:v>
      </x:c>
      <x:c r="Y1678" s="7" t="s">
        <x:v>1429</x:v>
      </x:c>
      <x:c r="Z1678" s="7" t="s">
        <x:v>2086</x:v>
      </x:c>
      <x:c r="AA1678" s="7" t="s">
        <x:v>58</x:v>
      </x:c>
      <x:c r="AB1678" s="8" t="s">
        <x:v>58</x:v>
      </x:c>
      <x:c r="AC1678" s="8" t="s">
        <x:v>58</x:v>
      </x:c>
      <x:c r="AD1678" s="8" t="s">
        <x:v>58</x:v>
      </x:c>
      <x:c r="AE1678" s="8" t="s">
        <x:v>58</x:v>
      </x:c>
      <x:c r="AF1678" s="8" t="s">
        <x:v>58</x:v>
      </x:c>
      <x:c r="AG1678" s="7" t="s">
        <x:v>58</x:v>
      </x:c>
    </x:row>
    <x:row r="1679" ht="51.75" hidden="0" customHeight="1">
      <x:c r="A1679" s="7" t="s">
        <x:v>984</x:v>
      </x:c>
      <x:c r="B1679" s="7" t="s">
        <x:v>978</x:v>
      </x:c>
      <x:c r="C1679" s="7" t="s">
        <x:v>980</x:v>
      </x:c>
      <x:c r="D1679" s="7" t="s">
        <x:v>1916</x:v>
      </x:c>
      <x:c r="E1679" s="7" t="s">
        <x:v>3947</x:v>
      </x:c>
      <x:c r="F1679" s="7" t="s">
        <x:v>2076</x:v>
      </x:c>
      <x:c r="G1679" s="8" t="n">
        <x:v>1.16</x:v>
      </x:c>
      <x:c r="H1679" s="8" t="s">
        <x:v>58</x:v>
      </x:c>
      <x:c r="I1679" s="8" t="s">
        <x:v>58</x:v>
      </x:c>
      <x:c r="J1679" s="7" t="s">
        <x:v>1919</x:v>
      </x:c>
      <x:c r="K1679" s="8" t="n">
        <x:v>1000</x:v>
      </x:c>
      <x:c r="L1679" s="8" t="n">
        <x:f aca="0">IF(AND(ISNUMBER(G1679),P1679&lt;&gt;"Unresolved unit / layout"),G1679*K1679,"Not applicable")</x:f>
        <x:v>1160</x:v>
      </x:c>
      <x:c r="M1679" s="8" t="str">
        <x:f aca="0">IF(AND(ISNUMBER(H1679),P1679&lt;&gt;"Unresolved unit / layout"),H1679*K1679,"Not applicable")</x:f>
        <x:v>Not applicable</x:v>
      </x:c>
      <x:c r="N1679" s="8" t="str">
        <x:f aca="0">IF(AND(ISNUMBER(I1679),P1679&lt;&gt;"Unresolved unit / layout"),I1679*K1679,"Not applicable")</x:f>
        <x:v>Not applicable</x:v>
      </x:c>
      <x:c r="O1679" s="7" t="s">
        <x:v>1920</x:v>
      </x:c>
      <x:c r="P1679" s="7" t="s">
        <x:v>1921</x:v>
      </x:c>
      <x:c r="Q1679" s="7" t="s">
        <x:v>1922</x:v>
      </x:c>
      <x:c r="R1679" s="7" t="s">
        <x:v>53</x:v>
      </x:c>
      <x:c r="S1679" s="7" t="s">
        <x:v>53</x:v>
      </x:c>
      <x:c r="T1679" s="7" t="s">
        <x:v>53</x:v>
      </x:c>
      <x:c r="U1679" s="7" t="s">
        <x:v>53</x:v>
      </x:c>
      <x:c r="V1679" s="7" t="s">
        <x:v>53</x:v>
      </x:c>
      <x:c r="W1679" s="7" t="s">
        <x:v>58</x:v>
      </x:c>
      <x:c r="X1679" s="7" t="s">
        <x:v>53</x:v>
      </x:c>
      <x:c r="Y1679" s="7" t="s">
        <x:v>1378</x:v>
      </x:c>
      <x:c r="Z1679" s="7" t="s">
        <x:v>1925</x:v>
      </x:c>
      <x:c r="AA1679" s="7" t="s">
        <x:v>5191</x:v>
      </x:c>
      <x:c r="AB1679" s="8" t="s">
        <x:v>58</x:v>
      </x:c>
      <x:c r="AC1679" s="8" t="s">
        <x:v>58</x:v>
      </x:c>
      <x:c r="AD1679" s="8" t="s">
        <x:v>58</x:v>
      </x:c>
      <x:c r="AE1679" s="8" t="s">
        <x:v>58</x:v>
      </x:c>
      <x:c r="AF1679" s="8" t="s">
        <x:v>58</x:v>
      </x:c>
      <x:c r="AG1679" s="7" t="s">
        <x:v>58</x:v>
      </x:c>
    </x:row>
    <x:row r="1680" ht="51.75" hidden="0" customHeight="1">
      <x:c r="A1680" s="7" t="s">
        <x:v>5192</x:v>
      </x:c>
      <x:c r="B1680" s="7" t="s">
        <x:v>978</x:v>
      </x:c>
      <x:c r="C1680" s="7" t="s">
        <x:v>980</x:v>
      </x:c>
      <x:c r="D1680" s="7" t="s">
        <x:v>3061</x:v>
      </x:c>
      <x:c r="E1680" s="7" t="s">
        <x:v>5193</x:v>
      </x:c>
      <x:c r="F1680" s="7" t="s">
        <x:v>1929</x:v>
      </x:c>
      <x:c r="G1680" s="8" t="n">
        <x:v>52.4</x:v>
      </x:c>
      <x:c r="H1680" s="8" t="s">
        <x:v>58</x:v>
      </x:c>
      <x:c r="I1680" s="8" t="s">
        <x:v>58</x:v>
      </x:c>
      <x:c r="J1680" s="7" t="s">
        <x:v>1919</x:v>
      </x:c>
      <x:c r="K1680" s="8" t="n">
        <x:v>1</x:v>
      </x:c>
      <x:c r="L1680" s="8" t="n">
        <x:f aca="0">IF(AND(ISNUMBER(G1680),P1680&lt;&gt;"Unresolved unit / layout"),G1680*K1680,"Not applicable")</x:f>
        <x:v>52.4</x:v>
      </x:c>
      <x:c r="M1680" s="8" t="str">
        <x:f aca="0">IF(AND(ISNUMBER(H1680),P1680&lt;&gt;"Unresolved unit / layout"),H1680*K1680,"Not applicable")</x:f>
        <x:v>Not applicable</x:v>
      </x:c>
      <x:c r="N1680" s="8" t="str">
        <x:f aca="0">IF(AND(ISNUMBER(I1680),P1680&lt;&gt;"Unresolved unit / layout"),I1680*K1680,"Not applicable")</x:f>
        <x:v>Not applicable</x:v>
      </x:c>
      <x:c r="O1680" s="7" t="s">
        <x:v>1929</x:v>
      </x:c>
      <x:c r="P1680" s="7" t="s">
        <x:v>1921</x:v>
      </x:c>
      <x:c r="Q1680" s="7" t="s">
        <x:v>2064</x:v>
      </x:c>
      <x:c r="R1680" s="7" t="s">
        <x:v>53</x:v>
      </x:c>
      <x:c r="S1680" s="7" t="s">
        <x:v>53</x:v>
      </x:c>
      <x:c r="T1680" s="7" t="s">
        <x:v>53</x:v>
      </x:c>
      <x:c r="U1680" s="7" t="s">
        <x:v>53</x:v>
      </x:c>
      <x:c r="V1680" s="7" t="s">
        <x:v>5194</x:v>
      </x:c>
      <x:c r="W1680" s="7" t="s">
        <x:v>58</x:v>
      </x:c>
      <x:c r="X1680" s="7" t="s">
        <x:v>53</x:v>
      </x:c>
      <x:c r="Y1680" s="7" t="s">
        <x:v>1378</x:v>
      </x:c>
      <x:c r="Z1680" s="7" t="s">
        <x:v>5195</x:v>
      </x:c>
      <x:c r="AA1680" s="7" t="s">
        <x:v>5191</x:v>
      </x:c>
      <x:c r="AB1680" s="8" t="s">
        <x:v>58</x:v>
      </x:c>
      <x:c r="AC1680" s="8" t="s">
        <x:v>58</x:v>
      </x:c>
      <x:c r="AD1680" s="8" t="s">
        <x:v>58</x:v>
      </x:c>
      <x:c r="AE1680" s="8" t="s">
        <x:v>58</x:v>
      </x:c>
      <x:c r="AF1680" s="8" t="s">
        <x:v>58</x:v>
      </x:c>
      <x:c r="AG1680" s="7" t="s">
        <x:v>58</x:v>
      </x:c>
    </x:row>
    <x:row r="1681" ht="51.75" hidden="0" customHeight="1">
      <x:c r="A1681" s="7" t="s">
        <x:v>5196</x:v>
      </x:c>
      <x:c r="B1681" s="7" t="s">
        <x:v>978</x:v>
      </x:c>
      <x:c r="C1681" s="7" t="s">
        <x:v>980</x:v>
      </x:c>
      <x:c r="D1681" s="7" t="s">
        <x:v>1927</x:v>
      </x:c>
      <x:c r="E1681" s="7" t="s">
        <x:v>5197</x:v>
      </x:c>
      <x:c r="F1681" s="7" t="s">
        <x:v>1929</x:v>
      </x:c>
      <x:c r="G1681" s="8" t="n">
        <x:v>37.7</x:v>
      </x:c>
      <x:c r="H1681" s="8" t="s">
        <x:v>58</x:v>
      </x:c>
      <x:c r="I1681" s="8" t="s">
        <x:v>58</x:v>
      </x:c>
      <x:c r="J1681" s="7" t="s">
        <x:v>1919</x:v>
      </x:c>
      <x:c r="K1681" s="8" t="n">
        <x:v>1</x:v>
      </x:c>
      <x:c r="L1681" s="8" t="n">
        <x:f aca="0">IF(AND(ISNUMBER(G1681),P1681&lt;&gt;"Unresolved unit / layout"),G1681*K1681,"Not applicable")</x:f>
        <x:v>37.7</x:v>
      </x:c>
      <x:c r="M1681" s="8" t="str">
        <x:f aca="0">IF(AND(ISNUMBER(H1681),P1681&lt;&gt;"Unresolved unit / layout"),H1681*K1681,"Not applicable")</x:f>
        <x:v>Not applicable</x:v>
      </x:c>
      <x:c r="N1681" s="8" t="str">
        <x:f aca="0">IF(AND(ISNUMBER(I1681),P1681&lt;&gt;"Unresolved unit / layout"),I1681*K1681,"Not applicable")</x:f>
        <x:v>Not applicable</x:v>
      </x:c>
      <x:c r="O1681" s="7" t="s">
        <x:v>1929</x:v>
      </x:c>
      <x:c r="P1681" s="7" t="s">
        <x:v>1921</x:v>
      </x:c>
      <x:c r="Q1681" s="7" t="s">
        <x:v>2064</x:v>
      </x:c>
      <x:c r="R1681" s="7" t="s">
        <x:v>53</x:v>
      </x:c>
      <x:c r="S1681" s="7" t="s">
        <x:v>53</x:v>
      </x:c>
      <x:c r="T1681" s="7" t="s">
        <x:v>53</x:v>
      </x:c>
      <x:c r="U1681" s="7" t="s">
        <x:v>53</x:v>
      </x:c>
      <x:c r="V1681" s="7" t="s">
        <x:v>5194</x:v>
      </x:c>
      <x:c r="W1681" s="7" t="s">
        <x:v>58</x:v>
      </x:c>
      <x:c r="X1681" s="7" t="s">
        <x:v>53</x:v>
      </x:c>
      <x:c r="Y1681" s="7" t="s">
        <x:v>1378</x:v>
      </x:c>
      <x:c r="Z1681" s="7" t="s">
        <x:v>5198</x:v>
      </x:c>
      <x:c r="AA1681" s="7" t="s">
        <x:v>5191</x:v>
      </x:c>
      <x:c r="AB1681" s="8" t="s">
        <x:v>58</x:v>
      </x:c>
      <x:c r="AC1681" s="8" t="s">
        <x:v>58</x:v>
      </x:c>
      <x:c r="AD1681" s="8" t="s">
        <x:v>58</x:v>
      </x:c>
      <x:c r="AE1681" s="8" t="s">
        <x:v>58</x:v>
      </x:c>
      <x:c r="AF1681" s="8" t="s">
        <x:v>58</x:v>
      </x:c>
      <x:c r="AG1681" s="7" t="s">
        <x:v>58</x:v>
      </x:c>
    </x:row>
    <x:row r="1682" ht="51.75" hidden="0" customHeight="1">
      <x:c r="A1682" s="7" t="s">
        <x:v>5199</x:v>
      </x:c>
      <x:c r="B1682" s="7" t="s">
        <x:v>978</x:v>
      </x:c>
      <x:c r="C1682" s="7" t="s">
        <x:v>980</x:v>
      </x:c>
      <x:c r="D1682" s="7" t="s">
        <x:v>1940</x:v>
      </x:c>
      <x:c r="E1682" s="7" t="s">
        <x:v>5200</x:v>
      </x:c>
      <x:c r="F1682" s="7" t="s">
        <x:v>1942</x:v>
      </x:c>
      <x:c r="G1682" s="8" t="n">
        <x:v>8</x:v>
      </x:c>
      <x:c r="H1682" s="8" t="s">
        <x:v>58</x:v>
      </x:c>
      <x:c r="I1682" s="8" t="s">
        <x:v>58</x:v>
      </x:c>
      <x:c r="J1682" s="7" t="s">
        <x:v>1919</x:v>
      </x:c>
      <x:c r="K1682" s="8" t="n">
        <x:v>1</x:v>
      </x:c>
      <x:c r="L1682" s="8" t="n">
        <x:f aca="0">IF(AND(ISNUMBER(G1682),P1682&lt;&gt;"Unresolved unit / layout"),G1682*K1682,"Not applicable")</x:f>
        <x:v>8</x:v>
      </x:c>
      <x:c r="M1682" s="8" t="str">
        <x:f aca="0">IF(AND(ISNUMBER(H1682),P1682&lt;&gt;"Unresolved unit / layout"),H1682*K1682,"Not applicable")</x:f>
        <x:v>Not applicable</x:v>
      </x:c>
      <x:c r="N1682" s="8" t="str">
        <x:f aca="0">IF(AND(ISNUMBER(I1682),P1682&lt;&gt;"Unresolved unit / layout"),I1682*K1682,"Not applicable")</x:f>
        <x:v>Not applicable</x:v>
      </x:c>
      <x:c r="O1682" s="7" t="s">
        <x:v>1942</x:v>
      </x:c>
      <x:c r="P1682" s="7" t="s">
        <x:v>1921</x:v>
      </x:c>
      <x:c r="Q1682" s="7" t="s">
        <x:v>2064</x:v>
      </x:c>
      <x:c r="R1682" s="7" t="s">
        <x:v>53</x:v>
      </x:c>
      <x:c r="S1682" s="7" t="s">
        <x:v>53</x:v>
      </x:c>
      <x:c r="T1682" s="7" t="s">
        <x:v>53</x:v>
      </x:c>
      <x:c r="U1682" s="7" t="s">
        <x:v>53</x:v>
      </x:c>
      <x:c r="V1682" s="7" t="s">
        <x:v>5194</x:v>
      </x:c>
      <x:c r="W1682" s="7" t="s">
        <x:v>58</x:v>
      </x:c>
      <x:c r="X1682" s="7" t="s">
        <x:v>53</x:v>
      </x:c>
      <x:c r="Y1682" s="7" t="s">
        <x:v>1378</x:v>
      </x:c>
      <x:c r="Z1682" s="7" t="s">
        <x:v>4895</x:v>
      </x:c>
      <x:c r="AA1682" s="7" t="s">
        <x:v>5191</x:v>
      </x:c>
      <x:c r="AB1682" s="8" t="s">
        <x:v>58</x:v>
      </x:c>
      <x:c r="AC1682" s="8" t="s">
        <x:v>58</x:v>
      </x:c>
      <x:c r="AD1682" s="8" t="s">
        <x:v>58</x:v>
      </x:c>
      <x:c r="AE1682" s="8" t="s">
        <x:v>58</x:v>
      </x:c>
      <x:c r="AF1682" s="8" t="s">
        <x:v>58</x:v>
      </x:c>
      <x:c r="AG1682" s="7" t="s">
        <x:v>58</x:v>
      </x:c>
    </x:row>
    <x:row r="1683" ht="51.75" hidden="0" customHeight="1">
      <x:c r="A1683" s="7" t="s">
        <x:v>5201</x:v>
      </x:c>
      <x:c r="B1683" s="7" t="s">
        <x:v>978</x:v>
      </x:c>
      <x:c r="C1683" s="7" t="s">
        <x:v>980</x:v>
      </x:c>
      <x:c r="D1683" s="7" t="s">
        <x:v>1935</x:v>
      </x:c>
      <x:c r="E1683" s="7" t="s">
        <x:v>4962</x:v>
      </x:c>
      <x:c r="F1683" s="7" t="s">
        <x:v>1929</x:v>
      </x:c>
      <x:c r="G1683" s="8" t="n">
        <x:v>2200</x:v>
      </x:c>
      <x:c r="H1683" s="8" t="s">
        <x:v>58</x:v>
      </x:c>
      <x:c r="I1683" s="8" t="s">
        <x:v>58</x:v>
      </x:c>
      <x:c r="J1683" s="7" t="s">
        <x:v>1919</x:v>
      </x:c>
      <x:c r="K1683" s="8" t="n">
        <x:v>0.001</x:v>
      </x:c>
      <x:c r="L1683" s="8" t="n">
        <x:f aca="0">IF(AND(ISNUMBER(G1683),P1683&lt;&gt;"Unresolved unit / layout"),G1683*K1683,"Not applicable")</x:f>
        <x:v>2.2</x:v>
      </x:c>
      <x:c r="M1683" s="8" t="str">
        <x:f aca="0">IF(AND(ISNUMBER(H1683),P1683&lt;&gt;"Unresolved unit / layout"),H1683*K1683,"Not applicable")</x:f>
        <x:v>Not applicable</x:v>
      </x:c>
      <x:c r="N1683" s="8" t="str">
        <x:f aca="0">IF(AND(ISNUMBER(I1683),P1683&lt;&gt;"Unresolved unit / layout"),I1683*K1683,"Not applicable")</x:f>
        <x:v>Not applicable</x:v>
      </x:c>
      <x:c r="O1683" s="7" t="s">
        <x:v>1937</x:v>
      </x:c>
      <x:c r="P1683" s="7" t="s">
        <x:v>1921</x:v>
      </x:c>
      <x:c r="Q1683" s="7" t="s">
        <x:v>2064</x:v>
      </x:c>
      <x:c r="R1683" s="7" t="s">
        <x:v>53</x:v>
      </x:c>
      <x:c r="S1683" s="7" t="s">
        <x:v>53</x:v>
      </x:c>
      <x:c r="T1683" s="7" t="s">
        <x:v>53</x:v>
      </x:c>
      <x:c r="U1683" s="7" t="s">
        <x:v>53</x:v>
      </x:c>
      <x:c r="V1683" s="7" t="s">
        <x:v>5202</x:v>
      </x:c>
      <x:c r="W1683" s="7" t="s">
        <x:v>58</x:v>
      </x:c>
      <x:c r="X1683" s="7" t="s">
        <x:v>53</x:v>
      </x:c>
      <x:c r="Y1683" s="7" t="s">
        <x:v>1378</x:v>
      </x:c>
      <x:c r="Z1683" s="7" t="s">
        <x:v>5203</x:v>
      </x:c>
      <x:c r="AA1683" s="7" t="s">
        <x:v>5191</x:v>
      </x:c>
      <x:c r="AB1683" s="8" t="s">
        <x:v>58</x:v>
      </x:c>
      <x:c r="AC1683" s="8" t="s">
        <x:v>58</x:v>
      </x:c>
      <x:c r="AD1683" s="8" t="s">
        <x:v>58</x:v>
      </x:c>
      <x:c r="AE1683" s="8" t="s">
        <x:v>58</x:v>
      </x:c>
      <x:c r="AF1683" s="8" t="s">
        <x:v>58</x:v>
      </x:c>
      <x:c r="AG1683" s="7" t="s">
        <x:v>58</x:v>
      </x:c>
    </x:row>
    <x:row r="1684" ht="51.75" hidden="0" customHeight="1">
      <x:c r="A1684" s="7" t="s">
        <x:v>5204</x:v>
      </x:c>
      <x:c r="B1684" s="7" t="s">
        <x:v>978</x:v>
      </x:c>
      <x:c r="C1684" s="7" t="s">
        <x:v>980</x:v>
      </x:c>
      <x:c r="D1684" s="7" t="s">
        <x:v>2030</x:v>
      </x:c>
      <x:c r="E1684" s="7" t="s">
        <x:v>5205</x:v>
      </x:c>
      <x:c r="F1684" s="7" t="s">
        <x:v>2033</x:v>
      </x:c>
      <x:c r="G1684" s="8" t="n">
        <x:v>105.9</x:v>
      </x:c>
      <x:c r="H1684" s="8" t="s">
        <x:v>58</x:v>
      </x:c>
      <x:c r="I1684" s="8" t="s">
        <x:v>58</x:v>
      </x:c>
      <x:c r="J1684" s="7" t="s">
        <x:v>1919</x:v>
      </x:c>
      <x:c r="K1684" s="8" t="n">
        <x:v>1</x:v>
      </x:c>
      <x:c r="L1684" s="8" t="n">
        <x:f aca="0">IF(AND(ISNUMBER(G1684),P1684&lt;&gt;"Unresolved unit / layout"),G1684*K1684,"Not applicable")</x:f>
        <x:v>105.9</x:v>
      </x:c>
      <x:c r="M1684" s="8" t="str">
        <x:f aca="0">IF(AND(ISNUMBER(H1684),P1684&lt;&gt;"Unresolved unit / layout"),H1684*K1684,"Not applicable")</x:f>
        <x:v>Not applicable</x:v>
      </x:c>
      <x:c r="N1684" s="8" t="str">
        <x:f aca="0">IF(AND(ISNUMBER(I1684),P1684&lt;&gt;"Unresolved unit / layout"),I1684*K1684,"Not applicable")</x:f>
        <x:v>Not applicable</x:v>
      </x:c>
      <x:c r="O1684" s="7" t="s">
        <x:v>2033</x:v>
      </x:c>
      <x:c r="P1684" s="7" t="s">
        <x:v>1921</x:v>
      </x:c>
      <x:c r="Q1684" s="7" t="s">
        <x:v>2064</x:v>
      </x:c>
      <x:c r="R1684" s="7" t="s">
        <x:v>53</x:v>
      </x:c>
      <x:c r="S1684" s="7" t="s">
        <x:v>53</x:v>
      </x:c>
      <x:c r="T1684" s="7" t="s">
        <x:v>53</x:v>
      </x:c>
      <x:c r="U1684" s="7" t="s">
        <x:v>5206</x:v>
      </x:c>
      <x:c r="V1684" s="7" t="s">
        <x:v>5207</x:v>
      </x:c>
      <x:c r="W1684" s="7" t="s">
        <x:v>2135</x:v>
      </x:c>
      <x:c r="X1684" s="7" t="s">
        <x:v>53</x:v>
      </x:c>
      <x:c r="Y1684" s="7" t="s">
        <x:v>1378</x:v>
      </x:c>
      <x:c r="Z1684" s="7" t="s">
        <x:v>5208</x:v>
      </x:c>
      <x:c r="AA1684" s="7" t="s">
        <x:v>5191</x:v>
      </x:c>
      <x:c r="AB1684" s="8" t="s">
        <x:v>58</x:v>
      </x:c>
      <x:c r="AC1684" s="8" t="s">
        <x:v>58</x:v>
      </x:c>
      <x:c r="AD1684" s="8" t="s">
        <x:v>58</x:v>
      </x:c>
      <x:c r="AE1684" s="8" t="s">
        <x:v>58</x:v>
      </x:c>
      <x:c r="AF1684" s="8" t="s">
        <x:v>58</x:v>
      </x:c>
      <x:c r="AG1684" s="7" t="s">
        <x:v>58</x:v>
      </x:c>
    </x:row>
    <x:row r="1685" ht="51.75" hidden="0" customHeight="1">
      <x:c r="A1685" s="7" t="s">
        <x:v>5209</x:v>
      </x:c>
      <x:c r="B1685" s="7" t="s">
        <x:v>978</x:v>
      </x:c>
      <x:c r="C1685" s="7" t="s">
        <x:v>980</x:v>
      </x:c>
      <x:c r="D1685" s="7" t="s">
        <x:v>2846</x:v>
      </x:c>
      <x:c r="E1685" s="7" t="s">
        <x:v>5210</x:v>
      </x:c>
      <x:c r="F1685" s="7" t="s">
        <x:v>3716</x:v>
      </x:c>
      <x:c r="G1685" s="8" t="n">
        <x:v>77</x:v>
      </x:c>
      <x:c r="H1685" s="8" t="s">
        <x:v>58</x:v>
      </x:c>
      <x:c r="I1685" s="8" t="s">
        <x:v>58</x:v>
      </x:c>
      <x:c r="J1685" s="7" t="s">
        <x:v>1919</x:v>
      </x:c>
      <x:c r="K1685" s="8" t="n">
        <x:v>1</x:v>
      </x:c>
      <x:c r="L1685" s="8" t="n">
        <x:f aca="0">IF(AND(ISNUMBER(G1685),P1685&lt;&gt;"Unresolved unit / layout"),G1685*K1685,"Not applicable")</x:f>
        <x:v>77</x:v>
      </x:c>
      <x:c r="M1685" s="8" t="str">
        <x:f aca="0">IF(AND(ISNUMBER(H1685),P1685&lt;&gt;"Unresolved unit / layout"),H1685*K1685,"Not applicable")</x:f>
        <x:v>Not applicable</x:v>
      </x:c>
      <x:c r="N1685" s="8" t="str">
        <x:f aca="0">IF(AND(ISNUMBER(I1685),P1685&lt;&gt;"Unresolved unit / layout"),I1685*K1685,"Not applicable")</x:f>
        <x:v>Not applicable</x:v>
      </x:c>
      <x:c r="O1685" s="7" t="s">
        <x:v>3716</x:v>
      </x:c>
      <x:c r="P1685" s="7" t="s">
        <x:v>1921</x:v>
      </x:c>
      <x:c r="Q1685" s="7" t="s">
        <x:v>2064</x:v>
      </x:c>
      <x:c r="R1685" s="7" t="s">
        <x:v>53</x:v>
      </x:c>
      <x:c r="S1685" s="7" t="s">
        <x:v>53</x:v>
      </x:c>
      <x:c r="T1685" s="7" t="s">
        <x:v>53</x:v>
      </x:c>
      <x:c r="U1685" s="7" t="s">
        <x:v>53</x:v>
      </x:c>
      <x:c r="V1685" s="7" t="s">
        <x:v>5211</x:v>
      </x:c>
      <x:c r="W1685" s="7" t="s">
        <x:v>58</x:v>
      </x:c>
      <x:c r="X1685" s="7" t="s">
        <x:v>53</x:v>
      </x:c>
      <x:c r="Y1685" s="7" t="s">
        <x:v>1378</x:v>
      </x:c>
      <x:c r="Z1685" s="7" t="s">
        <x:v>5212</x:v>
      </x:c>
      <x:c r="AA1685" s="7" t="s">
        <x:v>5213</x:v>
      </x:c>
      <x:c r="AB1685" s="8" t="s">
        <x:v>58</x:v>
      </x:c>
      <x:c r="AC1685" s="8" t="s">
        <x:v>58</x:v>
      </x:c>
      <x:c r="AD1685" s="8" t="s">
        <x:v>58</x:v>
      </x:c>
      <x:c r="AE1685" s="8" t="s">
        <x:v>58</x:v>
      </x:c>
      <x:c r="AF1685" s="8" t="s">
        <x:v>58</x:v>
      </x:c>
      <x:c r="AG1685" s="7" t="s">
        <x:v>58</x:v>
      </x:c>
    </x:row>
    <x:row r="1686" ht="51.75" hidden="0" customHeight="1">
      <x:c r="A1686" s="7" t="s">
        <x:v>941</x:v>
      </x:c>
      <x:c r="B1686" s="7" t="s">
        <x:v>936</x:v>
      </x:c>
      <x:c r="C1686" s="7" t="s">
        <x:v>938</x:v>
      </x:c>
      <x:c r="D1686" s="7" t="s">
        <x:v>1916</x:v>
      </x:c>
      <x:c r="E1686" s="7" t="s">
        <x:v>5214</x:v>
      </x:c>
      <x:c r="F1686" s="7" t="s">
        <x:v>1918</x:v>
      </x:c>
      <x:c r="G1686" s="8" t="n">
        <x:v>0.905</x:v>
      </x:c>
      <x:c r="H1686" s="8" t="s">
        <x:v>58</x:v>
      </x:c>
      <x:c r="I1686" s="8" t="s">
        <x:v>58</x:v>
      </x:c>
      <x:c r="J1686" s="7" t="s">
        <x:v>1919</x:v>
      </x:c>
      <x:c r="K1686" s="8" t="n">
        <x:v>1000</x:v>
      </x:c>
      <x:c r="L1686" s="8" t="n">
        <x:f aca="0">IF(AND(ISNUMBER(G1686),P1686&lt;&gt;"Unresolved unit / layout"),G1686*K1686,"Not applicable")</x:f>
        <x:v>905</x:v>
      </x:c>
      <x:c r="M1686" s="8" t="str">
        <x:f aca="0">IF(AND(ISNUMBER(H1686),P1686&lt;&gt;"Unresolved unit / layout"),H1686*K1686,"Not applicable")</x:f>
        <x:v>Not applicable</x:v>
      </x:c>
      <x:c r="N1686" s="8" t="str">
        <x:f aca="0">IF(AND(ISNUMBER(I1686),P1686&lt;&gt;"Unresolved unit / layout"),I1686*K1686,"Not applicable")</x:f>
        <x:v>Not applicable</x:v>
      </x:c>
      <x:c r="O1686" s="7" t="s">
        <x:v>1920</x:v>
      </x:c>
      <x:c r="P1686" s="7" t="s">
        <x:v>1921</x:v>
      </x:c>
      <x:c r="Q1686" s="7" t="s">
        <x:v>1922</x:v>
      </x:c>
      <x:c r="R1686" s="7" t="s">
        <x:v>53</x:v>
      </x:c>
      <x:c r="S1686" s="7" t="s">
        <x:v>53</x:v>
      </x:c>
      <x:c r="T1686" s="7" t="s">
        <x:v>53</x:v>
      </x:c>
      <x:c r="U1686" s="7" t="s">
        <x:v>53</x:v>
      </x:c>
      <x:c r="V1686" s="7" t="s">
        <x:v>2810</x:v>
      </x:c>
      <x:c r="W1686" s="7" t="s">
        <x:v>58</x:v>
      </x:c>
      <x:c r="X1686" s="7" t="s">
        <x:v>53</x:v>
      </x:c>
      <x:c r="Y1686" s="7" t="s">
        <x:v>1364</x:v>
      </x:c>
      <x:c r="Z1686" s="7" t="s">
        <x:v>1925</x:v>
      </x:c>
      <x:c r="AA1686" s="7" t="s">
        <x:v>5215</x:v>
      </x:c>
      <x:c r="AB1686" s="8" t="s">
        <x:v>58</x:v>
      </x:c>
      <x:c r="AC1686" s="8" t="s">
        <x:v>58</x:v>
      </x:c>
      <x:c r="AD1686" s="8" t="s">
        <x:v>58</x:v>
      </x:c>
      <x:c r="AE1686" s="8" t="s">
        <x:v>58</x:v>
      </x:c>
      <x:c r="AF1686" s="8" t="s">
        <x:v>58</x:v>
      </x:c>
      <x:c r="AG1686" s="7" t="s">
        <x:v>58</x:v>
      </x:c>
    </x:row>
    <x:row r="1687" ht="37.5" hidden="0" customHeight="1">
      <x:c r="A1687" s="7" t="s">
        <x:v>5216</x:v>
      </x:c>
      <x:c r="B1687" s="7" t="s">
        <x:v>936</x:v>
      </x:c>
      <x:c r="C1687" s="7" t="s">
        <x:v>938</x:v>
      </x:c>
      <x:c r="D1687" s="7" t="s">
        <x:v>1974</x:v>
      </x:c>
      <x:c r="E1687" s="7" t="s">
        <x:v>5083</x:v>
      </x:c>
      <x:c r="F1687" s="7" t="s">
        <x:v>1956</x:v>
      </x:c>
      <x:c r="G1687" s="8" t="n">
        <x:v>130</x:v>
      </x:c>
      <x:c r="H1687" s="8" t="s">
        <x:v>58</x:v>
      </x:c>
      <x:c r="I1687" s="8" t="s">
        <x:v>58</x:v>
      </x:c>
      <x:c r="J1687" s="7" t="s">
        <x:v>1919</x:v>
      </x:c>
      <x:c r="K1687" s="8" t="n">
        <x:v>1</x:v>
      </x:c>
      <x:c r="L1687" s="8" t="n">
        <x:f aca="0">IF(AND(ISNUMBER(G1687),P1687&lt;&gt;"Unresolved unit / layout"),G1687*K1687,"Not applicable")</x:f>
        <x:v>130</x:v>
      </x:c>
      <x:c r="M1687" s="8" t="str">
        <x:f aca="0">IF(AND(ISNUMBER(H1687),P1687&lt;&gt;"Unresolved unit / layout"),H1687*K1687,"Not applicable")</x:f>
        <x:v>Not applicable</x:v>
      </x:c>
      <x:c r="N1687" s="8" t="str">
        <x:f aca="0">IF(AND(ISNUMBER(I1687),P1687&lt;&gt;"Unresolved unit / layout"),I1687*K1687,"Not applicable")</x:f>
        <x:v>Not applicable</x:v>
      </x:c>
      <x:c r="O1687" s="7" t="s">
        <x:v>1956</x:v>
      </x:c>
      <x:c r="P1687" s="7" t="s">
        <x:v>1921</x:v>
      </x:c>
      <x:c r="Q1687" s="7" t="s">
        <x:v>2064</x:v>
      </x:c>
      <x:c r="R1687" s="7" t="s">
        <x:v>53</x:v>
      </x:c>
      <x:c r="S1687" s="7" t="s">
        <x:v>53</x:v>
      </x:c>
      <x:c r="T1687" s="7" t="s">
        <x:v>53</x:v>
      </x:c>
      <x:c r="U1687" s="7" t="s">
        <x:v>53</x:v>
      </x:c>
      <x:c r="V1687" s="7" t="s">
        <x:v>1957</x:v>
      </x:c>
      <x:c r="W1687" s="7" t="s">
        <x:v>58</x:v>
      </x:c>
      <x:c r="X1687" s="7" t="s">
        <x:v>53</x:v>
      </x:c>
      <x:c r="Y1687" s="7" t="s">
        <x:v>1364</x:v>
      </x:c>
      <x:c r="Z1687" s="7" t="s">
        <x:v>5217</x:v>
      </x:c>
      <x:c r="AA1687" s="7" t="s">
        <x:v>5215</x:v>
      </x:c>
      <x:c r="AB1687" s="8" t="s">
        <x:v>58</x:v>
      </x:c>
      <x:c r="AC1687" s="8" t="s">
        <x:v>58</x:v>
      </x:c>
      <x:c r="AD1687" s="8" t="s">
        <x:v>58</x:v>
      </x:c>
      <x:c r="AE1687" s="8" t="s">
        <x:v>58</x:v>
      </x:c>
      <x:c r="AF1687" s="8" t="s">
        <x:v>58</x:v>
      </x:c>
      <x:c r="AG1687" s="7" t="s">
        <x:v>58</x:v>
      </x:c>
    </x:row>
    <x:row r="1688" ht="37.5" hidden="0" customHeight="1">
      <x:c r="A1688" s="7" t="s">
        <x:v>5218</x:v>
      </x:c>
      <x:c r="B1688" s="7" t="s">
        <x:v>936</x:v>
      </x:c>
      <x:c r="C1688" s="7" t="s">
        <x:v>938</x:v>
      </x:c>
      <x:c r="D1688" s="7" t="s">
        <x:v>3061</x:v>
      </x:c>
      <x:c r="E1688" s="7" t="s">
        <x:v>5219</x:v>
      </x:c>
      <x:c r="F1688" s="7" t="s">
        <x:v>1929</x:v>
      </x:c>
      <x:c r="G1688" s="8" t="n">
        <x:v>14</x:v>
      </x:c>
      <x:c r="H1688" s="8" t="s">
        <x:v>58</x:v>
      </x:c>
      <x:c r="I1688" s="8" t="s">
        <x:v>58</x:v>
      </x:c>
      <x:c r="J1688" s="7" t="s">
        <x:v>1919</x:v>
      </x:c>
      <x:c r="K1688" s="8" t="n">
        <x:v>1</x:v>
      </x:c>
      <x:c r="L1688" s="8" t="n">
        <x:f aca="0">IF(AND(ISNUMBER(G1688),P1688&lt;&gt;"Unresolved unit / layout"),G1688*K1688,"Not applicable")</x:f>
        <x:v>14</x:v>
      </x:c>
      <x:c r="M1688" s="8" t="str">
        <x:f aca="0">IF(AND(ISNUMBER(H1688),P1688&lt;&gt;"Unresolved unit / layout"),H1688*K1688,"Not applicable")</x:f>
        <x:v>Not applicable</x:v>
      </x:c>
      <x:c r="N1688" s="8" t="str">
        <x:f aca="0">IF(AND(ISNUMBER(I1688),P1688&lt;&gt;"Unresolved unit / layout"),I1688*K1688,"Not applicable")</x:f>
        <x:v>Not applicable</x:v>
      </x:c>
      <x:c r="O1688" s="7" t="s">
        <x:v>1929</x:v>
      </x:c>
      <x:c r="P1688" s="7" t="s">
        <x:v>1921</x:v>
      </x:c>
      <x:c r="Q1688" s="7" t="s">
        <x:v>2064</x:v>
      </x:c>
      <x:c r="R1688" s="7" t="s">
        <x:v>53</x:v>
      </x:c>
      <x:c r="S1688" s="7" t="s">
        <x:v>53</x:v>
      </x:c>
      <x:c r="T1688" s="7" t="s">
        <x:v>53</x:v>
      </x:c>
      <x:c r="U1688" s="7" t="s">
        <x:v>53</x:v>
      </x:c>
      <x:c r="V1688" s="7" t="s">
        <x:v>5220</x:v>
      </x:c>
      <x:c r="W1688" s="7" t="s">
        <x:v>58</x:v>
      </x:c>
      <x:c r="X1688" s="7" t="s">
        <x:v>53</x:v>
      </x:c>
      <x:c r="Y1688" s="7" t="s">
        <x:v>1364</x:v>
      </x:c>
      <x:c r="Z1688" s="7" t="s">
        <x:v>5195</x:v>
      </x:c>
      <x:c r="AA1688" s="7" t="s">
        <x:v>5215</x:v>
      </x:c>
      <x:c r="AB1688" s="8" t="s">
        <x:v>58</x:v>
      </x:c>
      <x:c r="AC1688" s="8" t="s">
        <x:v>58</x:v>
      </x:c>
      <x:c r="AD1688" s="8" t="s">
        <x:v>58</x:v>
      </x:c>
      <x:c r="AE1688" s="8" t="s">
        <x:v>58</x:v>
      </x:c>
      <x:c r="AF1688" s="8" t="s">
        <x:v>58</x:v>
      </x:c>
      <x:c r="AG1688" s="7" t="s">
        <x:v>58</x:v>
      </x:c>
    </x:row>
    <x:row r="1689" ht="37.5" hidden="0" customHeight="1">
      <x:c r="A1689" s="7" t="s">
        <x:v>5221</x:v>
      </x:c>
      <x:c r="B1689" s="7" t="s">
        <x:v>936</x:v>
      </x:c>
      <x:c r="C1689" s="7" t="s">
        <x:v>938</x:v>
      </x:c>
      <x:c r="D1689" s="7" t="s">
        <x:v>2820</x:v>
      </x:c>
      <x:c r="E1689" s="7" t="s">
        <x:v>5108</x:v>
      </x:c>
      <x:c r="F1689" s="7" t="s">
        <x:v>1942</x:v>
      </x:c>
      <x:c r="G1689" s="8" t="n">
        <x:v>10</x:v>
      </x:c>
      <x:c r="H1689" s="8" t="s">
        <x:v>58</x:v>
      </x:c>
      <x:c r="I1689" s="8" t="s">
        <x:v>58</x:v>
      </x:c>
      <x:c r="J1689" s="7" t="s">
        <x:v>1919</x:v>
      </x:c>
      <x:c r="K1689" s="8" t="n">
        <x:v>1</x:v>
      </x:c>
      <x:c r="L1689" s="8" t="n">
        <x:f aca="0">IF(AND(ISNUMBER(G1689),P1689&lt;&gt;"Unresolved unit / layout"),G1689*K1689,"Not applicable")</x:f>
        <x:v>10</x:v>
      </x:c>
      <x:c r="M1689" s="8" t="str">
        <x:f aca="0">IF(AND(ISNUMBER(H1689),P1689&lt;&gt;"Unresolved unit / layout"),H1689*K1689,"Not applicable")</x:f>
        <x:v>Not applicable</x:v>
      </x:c>
      <x:c r="N1689" s="8" t="str">
        <x:f aca="0">IF(AND(ISNUMBER(I1689),P1689&lt;&gt;"Unresolved unit / layout"),I1689*K1689,"Not applicable")</x:f>
        <x:v>Not applicable</x:v>
      </x:c>
      <x:c r="O1689" s="7" t="s">
        <x:v>1942</x:v>
      </x:c>
      <x:c r="P1689" s="7" t="s">
        <x:v>1921</x:v>
      </x:c>
      <x:c r="Q1689" s="7" t="s">
        <x:v>2064</x:v>
      </x:c>
      <x:c r="R1689" s="7" t="s">
        <x:v>53</x:v>
      </x:c>
      <x:c r="S1689" s="7" t="s">
        <x:v>53</x:v>
      </x:c>
      <x:c r="T1689" s="7" t="s">
        <x:v>53</x:v>
      </x:c>
      <x:c r="U1689" s="7" t="s">
        <x:v>53</x:v>
      </x:c>
      <x:c r="V1689" s="7" t="s">
        <x:v>5220</x:v>
      </x:c>
      <x:c r="W1689" s="7" t="s">
        <x:v>58</x:v>
      </x:c>
      <x:c r="X1689" s="7" t="s">
        <x:v>53</x:v>
      </x:c>
      <x:c r="Y1689" s="7" t="s">
        <x:v>1364</x:v>
      </x:c>
      <x:c r="Z1689" s="7" t="s">
        <x:v>5222</x:v>
      </x:c>
      <x:c r="AA1689" s="7" t="s">
        <x:v>5215</x:v>
      </x:c>
      <x:c r="AB1689" s="8" t="s">
        <x:v>58</x:v>
      </x:c>
      <x:c r="AC1689" s="8" t="s">
        <x:v>58</x:v>
      </x:c>
      <x:c r="AD1689" s="8" t="s">
        <x:v>58</x:v>
      </x:c>
      <x:c r="AE1689" s="8" t="s">
        <x:v>58</x:v>
      </x:c>
      <x:c r="AF1689" s="8" t="s">
        <x:v>58</x:v>
      </x:c>
      <x:c r="AG1689" s="7" t="s">
        <x:v>58</x:v>
      </x:c>
    </x:row>
    <x:row r="1690" ht="37.5" hidden="0" customHeight="1">
      <x:c r="A1690" s="7" t="s">
        <x:v>5223</x:v>
      </x:c>
      <x:c r="B1690" s="7" t="s">
        <x:v>936</x:v>
      </x:c>
      <x:c r="C1690" s="7" t="s">
        <x:v>938</x:v>
      </x:c>
      <x:c r="D1690" s="7" t="s">
        <x:v>1927</x:v>
      </x:c>
      <x:c r="E1690" s="7" t="s">
        <x:v>5219</x:v>
      </x:c>
      <x:c r="F1690" s="7" t="s">
        <x:v>1929</x:v>
      </x:c>
      <x:c r="G1690" s="8" t="n">
        <x:v>14</x:v>
      </x:c>
      <x:c r="H1690" s="8" t="s">
        <x:v>58</x:v>
      </x:c>
      <x:c r="I1690" s="8" t="s">
        <x:v>58</x:v>
      </x:c>
      <x:c r="J1690" s="7" t="s">
        <x:v>1919</x:v>
      </x:c>
      <x:c r="K1690" s="8" t="n">
        <x:v>1</x:v>
      </x:c>
      <x:c r="L1690" s="8" t="n">
        <x:f aca="0">IF(AND(ISNUMBER(G1690),P1690&lt;&gt;"Unresolved unit / layout"),G1690*K1690,"Not applicable")</x:f>
        <x:v>14</x:v>
      </x:c>
      <x:c r="M1690" s="8" t="str">
        <x:f aca="0">IF(AND(ISNUMBER(H1690),P1690&lt;&gt;"Unresolved unit / layout"),H1690*K1690,"Not applicable")</x:f>
        <x:v>Not applicable</x:v>
      </x:c>
      <x:c r="N1690" s="8" t="str">
        <x:f aca="0">IF(AND(ISNUMBER(I1690),P1690&lt;&gt;"Unresolved unit / layout"),I1690*K1690,"Not applicable")</x:f>
        <x:v>Not applicable</x:v>
      </x:c>
      <x:c r="O1690" s="7" t="s">
        <x:v>1929</x:v>
      </x:c>
      <x:c r="P1690" s="7" t="s">
        <x:v>1921</x:v>
      </x:c>
      <x:c r="Q1690" s="7" t="s">
        <x:v>2064</x:v>
      </x:c>
      <x:c r="R1690" s="7" t="s">
        <x:v>53</x:v>
      </x:c>
      <x:c r="S1690" s="7" t="s">
        <x:v>53</x:v>
      </x:c>
      <x:c r="T1690" s="7" t="s">
        <x:v>53</x:v>
      </x:c>
      <x:c r="U1690" s="7" t="s">
        <x:v>53</x:v>
      </x:c>
      <x:c r="V1690" s="7" t="s">
        <x:v>5220</x:v>
      </x:c>
      <x:c r="W1690" s="7" t="s">
        <x:v>58</x:v>
      </x:c>
      <x:c r="X1690" s="7" t="s">
        <x:v>53</x:v>
      </x:c>
      <x:c r="Y1690" s="7" t="s">
        <x:v>1364</x:v>
      </x:c>
      <x:c r="Z1690" s="7" t="s">
        <x:v>5198</x:v>
      </x:c>
      <x:c r="AA1690" s="7" t="s">
        <x:v>5215</x:v>
      </x:c>
      <x:c r="AB1690" s="8" t="s">
        <x:v>58</x:v>
      </x:c>
      <x:c r="AC1690" s="8" t="s">
        <x:v>58</x:v>
      </x:c>
      <x:c r="AD1690" s="8" t="s">
        <x:v>58</x:v>
      </x:c>
      <x:c r="AE1690" s="8" t="s">
        <x:v>58</x:v>
      </x:c>
      <x:c r="AF1690" s="8" t="s">
        <x:v>58</x:v>
      </x:c>
      <x:c r="AG1690" s="7" t="s">
        <x:v>58</x:v>
      </x:c>
    </x:row>
    <x:row r="1691" ht="37.5" hidden="0" customHeight="1">
      <x:c r="A1691" s="7" t="s">
        <x:v>5224</x:v>
      </x:c>
      <x:c r="B1691" s="7" t="s">
        <x:v>936</x:v>
      </x:c>
      <x:c r="C1691" s="7" t="s">
        <x:v>938</x:v>
      </x:c>
      <x:c r="D1691" s="7" t="s">
        <x:v>1940</x:v>
      </x:c>
      <x:c r="E1691" s="7" t="s">
        <x:v>5225</x:v>
      </x:c>
      <x:c r="F1691" s="7" t="s">
        <x:v>1942</x:v>
      </x:c>
      <x:c r="G1691" s="8" t="n">
        <x:v>700</x:v>
      </x:c>
      <x:c r="H1691" s="8" t="s">
        <x:v>58</x:v>
      </x:c>
      <x:c r="I1691" s="8" t="s">
        <x:v>58</x:v>
      </x:c>
      <x:c r="J1691" s="7" t="s">
        <x:v>3460</x:v>
      </x:c>
      <x:c r="K1691" s="8" t="n">
        <x:v>1</x:v>
      </x:c>
      <x:c r="L1691" s="8" t="n">
        <x:f aca="0">IF(AND(ISNUMBER(G1691),P1691&lt;&gt;"Unresolved unit / layout"),G1691*K1691,"Not applicable")</x:f>
        <x:v>700</x:v>
      </x:c>
      <x:c r="M1691" s="8" t="str">
        <x:f aca="0">IF(AND(ISNUMBER(H1691),P1691&lt;&gt;"Unresolved unit / layout"),H1691*K1691,"Not applicable")</x:f>
        <x:v>Not applicable</x:v>
      </x:c>
      <x:c r="N1691" s="8" t="str">
        <x:f aca="0">IF(AND(ISNUMBER(I1691),P1691&lt;&gt;"Unresolved unit / layout"),I1691*K1691,"Not applicable")</x:f>
        <x:v>Not applicable</x:v>
      </x:c>
      <x:c r="O1691" s="7" t="s">
        <x:v>1942</x:v>
      </x:c>
      <x:c r="P1691" s="7" t="s">
        <x:v>1921</x:v>
      </x:c>
      <x:c r="Q1691" s="7" t="s">
        <x:v>2064</x:v>
      </x:c>
      <x:c r="R1691" s="7" t="s">
        <x:v>53</x:v>
      </x:c>
      <x:c r="S1691" s="7" t="s">
        <x:v>53</x:v>
      </x:c>
      <x:c r="T1691" s="7" t="s">
        <x:v>53</x:v>
      </x:c>
      <x:c r="U1691" s="7" t="s">
        <x:v>53</x:v>
      </x:c>
      <x:c r="V1691" s="7" t="s">
        <x:v>5220</x:v>
      </x:c>
      <x:c r="W1691" s="7" t="s">
        <x:v>58</x:v>
      </x:c>
      <x:c r="X1691" s="7" t="s">
        <x:v>53</x:v>
      </x:c>
      <x:c r="Y1691" s="7" t="s">
        <x:v>1364</x:v>
      </x:c>
      <x:c r="Z1691" s="7" t="s">
        <x:v>4895</x:v>
      </x:c>
      <x:c r="AA1691" s="7" t="s">
        <x:v>5215</x:v>
      </x:c>
      <x:c r="AB1691" s="8" t="s">
        <x:v>58</x:v>
      </x:c>
      <x:c r="AC1691" s="8" t="s">
        <x:v>58</x:v>
      </x:c>
      <x:c r="AD1691" s="8" t="s">
        <x:v>58</x:v>
      </x:c>
      <x:c r="AE1691" s="8" t="s">
        <x:v>58</x:v>
      </x:c>
      <x:c r="AF1691" s="8" t="s">
        <x:v>58</x:v>
      </x:c>
      <x:c r="AG1691" s="7" t="s">
        <x:v>58</x:v>
      </x:c>
    </x:row>
    <x:row r="1692" ht="51.75" hidden="0" customHeight="1">
      <x:c r="A1692" s="7" t="s">
        <x:v>539</x:v>
      </x:c>
      <x:c r="B1692" s="7" t="s">
        <x:v>533</x:v>
      </x:c>
      <x:c r="C1692" s="7" t="s">
        <x:v>535</x:v>
      </x:c>
      <x:c r="D1692" s="7" t="s">
        <x:v>1916</x:v>
      </x:c>
      <x:c r="E1692" s="7" t="s">
        <x:v>5226</x:v>
      </x:c>
      <x:c r="F1692" s="7" t="s">
        <x:v>1920</x:v>
      </x:c>
      <x:c r="G1692" s="8" t="n">
        <x:v>1150</x:v>
      </x:c>
      <x:c r="H1692" s="8" t="s">
        <x:v>58</x:v>
      </x:c>
      <x:c r="I1692" s="8" t="s">
        <x:v>58</x:v>
      </x:c>
      <x:c r="J1692" s="7" t="s">
        <x:v>1919</x:v>
      </x:c>
      <x:c r="K1692" s="8" t="n">
        <x:v>1</x:v>
      </x:c>
      <x:c r="L1692" s="8" t="n">
        <x:f aca="0">IF(AND(ISNUMBER(G1692),P1692&lt;&gt;"Unresolved unit / layout"),G1692*K1692,"Not applicable")</x:f>
        <x:v>1150</x:v>
      </x:c>
      <x:c r="M1692" s="8" t="str">
        <x:f aca="0">IF(AND(ISNUMBER(H1692),P1692&lt;&gt;"Unresolved unit / layout"),H1692*K1692,"Not applicable")</x:f>
        <x:v>Not applicable</x:v>
      </x:c>
      <x:c r="N1692" s="8" t="str">
        <x:f aca="0">IF(AND(ISNUMBER(I1692),P1692&lt;&gt;"Unresolved unit / layout"),I1692*K1692,"Not applicable")</x:f>
        <x:v>Not applicable</x:v>
      </x:c>
      <x:c r="O1692" s="7" t="s">
        <x:v>1920</x:v>
      </x:c>
      <x:c r="P1692" s="7" t="s">
        <x:v>1921</x:v>
      </x:c>
      <x:c r="Q1692" s="7" t="s">
        <x:v>1922</x:v>
      </x:c>
      <x:c r="R1692" s="7" t="s">
        <x:v>53</x:v>
      </x:c>
      <x:c r="S1692" s="7" t="s">
        <x:v>53</x:v>
      </x:c>
      <x:c r="T1692" s="7" t="s">
        <x:v>53</x:v>
      </x:c>
      <x:c r="U1692" s="7" t="s">
        <x:v>53</x:v>
      </x:c>
      <x:c r="V1692" s="7" t="s">
        <x:v>5227</x:v>
      </x:c>
      <x:c r="W1692" s="7" t="s">
        <x:v>58</x:v>
      </x:c>
      <x:c r="X1692" s="7" t="s">
        <x:v>53</x:v>
      </x:c>
      <x:c r="Y1692" s="7" t="s">
        <x:v>1253</x:v>
      </x:c>
      <x:c r="Z1692" s="7" t="s">
        <x:v>1968</x:v>
      </x:c>
      <x:c r="AA1692" s="7" t="s">
        <x:v>5215</x:v>
      </x:c>
      <x:c r="AB1692" s="8" t="s">
        <x:v>58</x:v>
      </x:c>
      <x:c r="AC1692" s="8" t="s">
        <x:v>58</x:v>
      </x:c>
      <x:c r="AD1692" s="8" t="s">
        <x:v>58</x:v>
      </x:c>
      <x:c r="AE1692" s="8" t="s">
        <x:v>58</x:v>
      </x:c>
      <x:c r="AF1692" s="8" t="s">
        <x:v>58</x:v>
      </x:c>
      <x:c r="AG1692" s="7" t="s">
        <x:v>58</x:v>
      </x:c>
    </x:row>
    <x:row r="1693" ht="51.75" hidden="0" customHeight="1">
      <x:c r="A1693" s="7" t="s">
        <x:v>555</x:v>
      </x:c>
      <x:c r="B1693" s="7" t="s">
        <x:v>551</x:v>
      </x:c>
      <x:c r="C1693" s="7" t="s">
        <x:v>553</x:v>
      </x:c>
      <x:c r="D1693" s="7" t="s">
        <x:v>1916</x:v>
      </x:c>
      <x:c r="E1693" s="7" t="s">
        <x:v>5226</x:v>
      </x:c>
      <x:c r="F1693" s="7" t="s">
        <x:v>1920</x:v>
      </x:c>
      <x:c r="G1693" s="8" t="n">
        <x:v>1150</x:v>
      </x:c>
      <x:c r="H1693" s="8" t="s">
        <x:v>58</x:v>
      </x:c>
      <x:c r="I1693" s="8" t="s">
        <x:v>58</x:v>
      </x:c>
      <x:c r="J1693" s="7" t="s">
        <x:v>1919</x:v>
      </x:c>
      <x:c r="K1693" s="8" t="n">
        <x:v>1</x:v>
      </x:c>
      <x:c r="L1693" s="8" t="n">
        <x:f aca="0">IF(AND(ISNUMBER(G1693),P1693&lt;&gt;"Unresolved unit / layout"),G1693*K1693,"Not applicable")</x:f>
        <x:v>1150</x:v>
      </x:c>
      <x:c r="M1693" s="8" t="str">
        <x:f aca="0">IF(AND(ISNUMBER(H1693),P1693&lt;&gt;"Unresolved unit / layout"),H1693*K1693,"Not applicable")</x:f>
        <x:v>Not applicable</x:v>
      </x:c>
      <x:c r="N1693" s="8" t="str">
        <x:f aca="0">IF(AND(ISNUMBER(I1693),P1693&lt;&gt;"Unresolved unit / layout"),I1693*K1693,"Not applicable")</x:f>
        <x:v>Not applicable</x:v>
      </x:c>
      <x:c r="O1693" s="7" t="s">
        <x:v>1920</x:v>
      </x:c>
      <x:c r="P1693" s="7" t="s">
        <x:v>1921</x:v>
      </x:c>
      <x:c r="Q1693" s="7" t="s">
        <x:v>1922</x:v>
      </x:c>
      <x:c r="R1693" s="7" t="s">
        <x:v>53</x:v>
      </x:c>
      <x:c r="S1693" s="7" t="s">
        <x:v>53</x:v>
      </x:c>
      <x:c r="T1693" s="7" t="s">
        <x:v>53</x:v>
      </x:c>
      <x:c r="U1693" s="7" t="s">
        <x:v>53</x:v>
      </x:c>
      <x:c r="V1693" s="7" t="s">
        <x:v>5227</x:v>
      </x:c>
      <x:c r="W1693" s="7" t="s">
        <x:v>58</x:v>
      </x:c>
      <x:c r="X1693" s="7" t="s">
        <x:v>53</x:v>
      </x:c>
      <x:c r="Y1693" s="7" t="s">
        <x:v>1253</x:v>
      </x:c>
      <x:c r="Z1693" s="7" t="s">
        <x:v>1968</x:v>
      </x:c>
      <x:c r="AA1693" s="7" t="s">
        <x:v>5215</x:v>
      </x:c>
      <x:c r="AB1693" s="8" t="s">
        <x:v>58</x:v>
      </x:c>
      <x:c r="AC1693" s="8" t="s">
        <x:v>58</x:v>
      </x:c>
      <x:c r="AD1693" s="8" t="s">
        <x:v>58</x:v>
      </x:c>
      <x:c r="AE1693" s="8" t="s">
        <x:v>58</x:v>
      </x:c>
      <x:c r="AF1693" s="8" t="s">
        <x:v>58</x:v>
      </x:c>
      <x:c r="AG1693" s="7" t="s">
        <x:v>58</x:v>
      </x:c>
    </x:row>
    <x:row r="1694" ht="37.5" hidden="0" customHeight="1">
      <x:c r="A1694" s="7" t="s">
        <x:v>5228</x:v>
      </x:c>
      <x:c r="B1694" s="7" t="s">
        <x:v>533</x:v>
      </x:c>
      <x:c r="C1694" s="7" t="s">
        <x:v>535</x:v>
      </x:c>
      <x:c r="D1694" s="7" t="s">
        <x:v>1954</x:v>
      </x:c>
      <x:c r="E1694" s="7" t="s">
        <x:v>5229</x:v>
      </x:c>
      <x:c r="F1694" s="7" t="s">
        <x:v>1956</x:v>
      </x:c>
      <x:c r="G1694" s="8" t="n">
        <x:v>-35</x:v>
      </x:c>
      <x:c r="H1694" s="8" t="s">
        <x:v>58</x:v>
      </x:c>
      <x:c r="I1694" s="8" t="s">
        <x:v>58</x:v>
      </x:c>
      <x:c r="J1694" s="7" t="s">
        <x:v>1919</x:v>
      </x:c>
      <x:c r="K1694" s="8" t="n">
        <x:v>1</x:v>
      </x:c>
      <x:c r="L1694" s="8" t="n">
        <x:f aca="0">IF(AND(ISNUMBER(G1694),P1694&lt;&gt;"Unresolved unit / layout"),G1694*K1694,"Not applicable")</x:f>
        <x:v>-35</x:v>
      </x:c>
      <x:c r="M1694" s="8" t="str">
        <x:f aca="0">IF(AND(ISNUMBER(H1694),P1694&lt;&gt;"Unresolved unit / layout"),H1694*K1694,"Not applicable")</x:f>
        <x:v>Not applicable</x:v>
      </x:c>
      <x:c r="N1694" s="8" t="str">
        <x:f aca="0">IF(AND(ISNUMBER(I1694),P1694&lt;&gt;"Unresolved unit / layout"),I1694*K1694,"Not applicable")</x:f>
        <x:v>Not applicable</x:v>
      </x:c>
      <x:c r="O1694" s="7" t="s">
        <x:v>1956</x:v>
      </x:c>
      <x:c r="P1694" s="7" t="s">
        <x:v>1921</x:v>
      </x:c>
      <x:c r="Q1694" s="7" t="s">
        <x:v>2064</x:v>
      </x:c>
      <x:c r="R1694" s="7" t="s">
        <x:v>53</x:v>
      </x:c>
      <x:c r="S1694" s="7" t="s">
        <x:v>53</x:v>
      </x:c>
      <x:c r="T1694" s="7" t="s">
        <x:v>53</x:v>
      </x:c>
      <x:c r="U1694" s="7" t="s">
        <x:v>53</x:v>
      </x:c>
      <x:c r="V1694" s="7" t="s">
        <x:v>5230</x:v>
      </x:c>
      <x:c r="W1694" s="7" t="s">
        <x:v>58</x:v>
      </x:c>
      <x:c r="X1694" s="7" t="s">
        <x:v>53</x:v>
      </x:c>
      <x:c r="Y1694" s="7" t="s">
        <x:v>1253</x:v>
      </x:c>
      <x:c r="Z1694" s="7" t="s">
        <x:v>5231</x:v>
      </x:c>
      <x:c r="AA1694" s="7" t="s">
        <x:v>5215</x:v>
      </x:c>
      <x:c r="AB1694" s="8" t="s">
        <x:v>58</x:v>
      </x:c>
      <x:c r="AC1694" s="8" t="s">
        <x:v>58</x:v>
      </x:c>
      <x:c r="AD1694" s="8" t="s">
        <x:v>58</x:v>
      </x:c>
      <x:c r="AE1694" s="8" t="s">
        <x:v>58</x:v>
      </x:c>
      <x:c r="AF1694" s="8" t="s">
        <x:v>58</x:v>
      </x:c>
      <x:c r="AG1694" s="7" t="s">
        <x:v>58</x:v>
      </x:c>
    </x:row>
    <x:row r="1695" ht="37.5" hidden="0" customHeight="1">
      <x:c r="A1695" s="7" t="s">
        <x:v>5232</x:v>
      </x:c>
      <x:c r="B1695" s="7" t="s">
        <x:v>551</x:v>
      </x:c>
      <x:c r="C1695" s="7" t="s">
        <x:v>553</x:v>
      </x:c>
      <x:c r="D1695" s="7" t="s">
        <x:v>1954</x:v>
      </x:c>
      <x:c r="E1695" s="7" t="s">
        <x:v>5229</x:v>
      </x:c>
      <x:c r="F1695" s="7" t="s">
        <x:v>1956</x:v>
      </x:c>
      <x:c r="G1695" s="8" t="n">
        <x:v>-35</x:v>
      </x:c>
      <x:c r="H1695" s="8" t="s">
        <x:v>58</x:v>
      </x:c>
      <x:c r="I1695" s="8" t="s">
        <x:v>58</x:v>
      </x:c>
      <x:c r="J1695" s="7" t="s">
        <x:v>1919</x:v>
      </x:c>
      <x:c r="K1695" s="8" t="n">
        <x:v>1</x:v>
      </x:c>
      <x:c r="L1695" s="8" t="n">
        <x:f aca="0">IF(AND(ISNUMBER(G1695),P1695&lt;&gt;"Unresolved unit / layout"),G1695*K1695,"Not applicable")</x:f>
        <x:v>-35</x:v>
      </x:c>
      <x:c r="M1695" s="8" t="str">
        <x:f aca="0">IF(AND(ISNUMBER(H1695),P1695&lt;&gt;"Unresolved unit / layout"),H1695*K1695,"Not applicable")</x:f>
        <x:v>Not applicable</x:v>
      </x:c>
      <x:c r="N1695" s="8" t="str">
        <x:f aca="0">IF(AND(ISNUMBER(I1695),P1695&lt;&gt;"Unresolved unit / layout"),I1695*K1695,"Not applicable")</x:f>
        <x:v>Not applicable</x:v>
      </x:c>
      <x:c r="O1695" s="7" t="s">
        <x:v>1956</x:v>
      </x:c>
      <x:c r="P1695" s="7" t="s">
        <x:v>1921</x:v>
      </x:c>
      <x:c r="Q1695" s="7" t="s">
        <x:v>2064</x:v>
      </x:c>
      <x:c r="R1695" s="7" t="s">
        <x:v>53</x:v>
      </x:c>
      <x:c r="S1695" s="7" t="s">
        <x:v>53</x:v>
      </x:c>
      <x:c r="T1695" s="7" t="s">
        <x:v>53</x:v>
      </x:c>
      <x:c r="U1695" s="7" t="s">
        <x:v>53</x:v>
      </x:c>
      <x:c r="V1695" s="7" t="s">
        <x:v>5230</x:v>
      </x:c>
      <x:c r="W1695" s="7" t="s">
        <x:v>58</x:v>
      </x:c>
      <x:c r="X1695" s="7" t="s">
        <x:v>53</x:v>
      </x:c>
      <x:c r="Y1695" s="7" t="s">
        <x:v>1253</x:v>
      </x:c>
      <x:c r="Z1695" s="7" t="s">
        <x:v>5231</x:v>
      </x:c>
      <x:c r="AA1695" s="7" t="s">
        <x:v>5215</x:v>
      </x:c>
      <x:c r="AB1695" s="8" t="s">
        <x:v>58</x:v>
      </x:c>
      <x:c r="AC1695" s="8" t="s">
        <x:v>58</x:v>
      </x:c>
      <x:c r="AD1695" s="8" t="s">
        <x:v>58</x:v>
      </x:c>
      <x:c r="AE1695" s="8" t="s">
        <x:v>58</x:v>
      </x:c>
      <x:c r="AF1695" s="8" t="s">
        <x:v>58</x:v>
      </x:c>
      <x:c r="AG1695" s="7" t="s">
        <x:v>58</x:v>
      </x:c>
    </x:row>
    <x:row r="1696" ht="37.5" hidden="0" customHeight="1">
      <x:c r="A1696" s="7" t="s">
        <x:v>5233</x:v>
      </x:c>
      <x:c r="B1696" s="7" t="s">
        <x:v>533</x:v>
      </x:c>
      <x:c r="C1696" s="7" t="s">
        <x:v>535</x:v>
      </x:c>
      <x:c r="D1696" s="7" t="s">
        <x:v>1974</x:v>
      </x:c>
      <x:c r="E1696" s="7" t="s">
        <x:v>5234</x:v>
      </x:c>
      <x:c r="F1696" s="7" t="s">
        <x:v>1956</x:v>
      </x:c>
      <x:c r="G1696" s="8" t="n">
        <x:v>180</x:v>
      </x:c>
      <x:c r="H1696" s="8" t="s">
        <x:v>58</x:v>
      </x:c>
      <x:c r="I1696" s="8" t="s">
        <x:v>58</x:v>
      </x:c>
      <x:c r="J1696" s="7" t="s">
        <x:v>1919</x:v>
      </x:c>
      <x:c r="K1696" s="8" t="n">
        <x:v>1</x:v>
      </x:c>
      <x:c r="L1696" s="8" t="n">
        <x:f aca="0">IF(AND(ISNUMBER(G1696),P1696&lt;&gt;"Unresolved unit / layout"),G1696*K1696,"Not applicable")</x:f>
        <x:v>180</x:v>
      </x:c>
      <x:c r="M1696" s="8" t="str">
        <x:f aca="0">IF(AND(ISNUMBER(H1696),P1696&lt;&gt;"Unresolved unit / layout"),H1696*K1696,"Not applicable")</x:f>
        <x:v>Not applicable</x:v>
      </x:c>
      <x:c r="N1696" s="8" t="str">
        <x:f aca="0">IF(AND(ISNUMBER(I1696),P1696&lt;&gt;"Unresolved unit / layout"),I1696*K1696,"Not applicable")</x:f>
        <x:v>Not applicable</x:v>
      </x:c>
      <x:c r="O1696" s="7" t="s">
        <x:v>1956</x:v>
      </x:c>
      <x:c r="P1696" s="7" t="s">
        <x:v>1921</x:v>
      </x:c>
      <x:c r="Q1696" s="7" t="s">
        <x:v>2064</x:v>
      </x:c>
      <x:c r="R1696" s="7" t="s">
        <x:v>53</x:v>
      </x:c>
      <x:c r="S1696" s="7" t="s">
        <x:v>53</x:v>
      </x:c>
      <x:c r="T1696" s="7" t="s">
        <x:v>53</x:v>
      </x:c>
      <x:c r="U1696" s="7" t="s">
        <x:v>53</x:v>
      </x:c>
      <x:c r="V1696" s="7" t="s">
        <x:v>5235</x:v>
      </x:c>
      <x:c r="W1696" s="7" t="s">
        <x:v>58</x:v>
      </x:c>
      <x:c r="X1696" s="7" t="s">
        <x:v>53</x:v>
      </x:c>
      <x:c r="Y1696" s="7" t="s">
        <x:v>1253</x:v>
      </x:c>
      <x:c r="Z1696" s="7" t="s">
        <x:v>5236</x:v>
      </x:c>
      <x:c r="AA1696" s="7" t="s">
        <x:v>5215</x:v>
      </x:c>
      <x:c r="AB1696" s="8" t="s">
        <x:v>58</x:v>
      </x:c>
      <x:c r="AC1696" s="8" t="s">
        <x:v>58</x:v>
      </x:c>
      <x:c r="AD1696" s="8" t="s">
        <x:v>58</x:v>
      </x:c>
      <x:c r="AE1696" s="8" t="s">
        <x:v>58</x:v>
      </x:c>
      <x:c r="AF1696" s="8" t="s">
        <x:v>58</x:v>
      </x:c>
      <x:c r="AG1696" s="7" t="s">
        <x:v>58</x:v>
      </x:c>
    </x:row>
    <x:row r="1697" ht="37.5" hidden="0" customHeight="1">
      <x:c r="A1697" s="7" t="s">
        <x:v>5237</x:v>
      </x:c>
      <x:c r="B1697" s="7" t="s">
        <x:v>551</x:v>
      </x:c>
      <x:c r="C1697" s="7" t="s">
        <x:v>553</x:v>
      </x:c>
      <x:c r="D1697" s="7" t="s">
        <x:v>1974</x:v>
      </x:c>
      <x:c r="E1697" s="7" t="s">
        <x:v>5234</x:v>
      </x:c>
      <x:c r="F1697" s="7" t="s">
        <x:v>1956</x:v>
      </x:c>
      <x:c r="G1697" s="8" t="n">
        <x:v>180</x:v>
      </x:c>
      <x:c r="H1697" s="8" t="s">
        <x:v>58</x:v>
      </x:c>
      <x:c r="I1697" s="8" t="s">
        <x:v>58</x:v>
      </x:c>
      <x:c r="J1697" s="7" t="s">
        <x:v>1919</x:v>
      </x:c>
      <x:c r="K1697" s="8" t="n">
        <x:v>1</x:v>
      </x:c>
      <x:c r="L1697" s="8" t="n">
        <x:f aca="0">IF(AND(ISNUMBER(G1697),P1697&lt;&gt;"Unresolved unit / layout"),G1697*K1697,"Not applicable")</x:f>
        <x:v>180</x:v>
      </x:c>
      <x:c r="M1697" s="8" t="str">
        <x:f aca="0">IF(AND(ISNUMBER(H1697),P1697&lt;&gt;"Unresolved unit / layout"),H1697*K1697,"Not applicable")</x:f>
        <x:v>Not applicable</x:v>
      </x:c>
      <x:c r="N1697" s="8" t="str">
        <x:f aca="0">IF(AND(ISNUMBER(I1697),P1697&lt;&gt;"Unresolved unit / layout"),I1697*K1697,"Not applicable")</x:f>
        <x:v>Not applicable</x:v>
      </x:c>
      <x:c r="O1697" s="7" t="s">
        <x:v>1956</x:v>
      </x:c>
      <x:c r="P1697" s="7" t="s">
        <x:v>1921</x:v>
      </x:c>
      <x:c r="Q1697" s="7" t="s">
        <x:v>2064</x:v>
      </x:c>
      <x:c r="R1697" s="7" t="s">
        <x:v>53</x:v>
      </x:c>
      <x:c r="S1697" s="7" t="s">
        <x:v>53</x:v>
      </x:c>
      <x:c r="T1697" s="7" t="s">
        <x:v>53</x:v>
      </x:c>
      <x:c r="U1697" s="7" t="s">
        <x:v>53</x:v>
      </x:c>
      <x:c r="V1697" s="7" t="s">
        <x:v>5235</x:v>
      </x:c>
      <x:c r="W1697" s="7" t="s">
        <x:v>58</x:v>
      </x:c>
      <x:c r="X1697" s="7" t="s">
        <x:v>53</x:v>
      </x:c>
      <x:c r="Y1697" s="7" t="s">
        <x:v>1253</x:v>
      </x:c>
      <x:c r="Z1697" s="7" t="s">
        <x:v>5236</x:v>
      </x:c>
      <x:c r="AA1697" s="7" t="s">
        <x:v>5215</x:v>
      </x:c>
      <x:c r="AB1697" s="8" t="s">
        <x:v>58</x:v>
      </x:c>
      <x:c r="AC1697" s="8" t="s">
        <x:v>58</x:v>
      </x:c>
      <x:c r="AD1697" s="8" t="s">
        <x:v>58</x:v>
      </x:c>
      <x:c r="AE1697" s="8" t="s">
        <x:v>58</x:v>
      </x:c>
      <x:c r="AF1697" s="8" t="s">
        <x:v>58</x:v>
      </x:c>
      <x:c r="AG1697" s="7" t="s">
        <x:v>58</x:v>
      </x:c>
    </x:row>
    <x:row r="1698" ht="51.75" hidden="0" customHeight="1">
      <x:c r="A1698" s="7" t="s">
        <x:v>1014</x:v>
      </x:c>
      <x:c r="B1698" s="7" t="s">
        <x:v>1007</x:v>
      </x:c>
      <x:c r="C1698" s="7" t="s">
        <x:v>1010</x:v>
      </x:c>
      <x:c r="D1698" s="7" t="s">
        <x:v>1916</x:v>
      </x:c>
      <x:c r="E1698" s="7" t="s">
        <x:v>5238</x:v>
      </x:c>
      <x:c r="F1698" s="7" t="s">
        <x:v>2076</x:v>
      </x:c>
      <x:c r="G1698" s="8" t="n">
        <x:v>1.1</x:v>
      </x:c>
      <x:c r="H1698" s="8" t="s">
        <x:v>58</x:v>
      </x:c>
      <x:c r="I1698" s="8" t="s">
        <x:v>58</x:v>
      </x:c>
      <x:c r="J1698" s="7" t="s">
        <x:v>1919</x:v>
      </x:c>
      <x:c r="K1698" s="8" t="n">
        <x:v>1000</x:v>
      </x:c>
      <x:c r="L1698" s="8" t="n">
        <x:f aca="0">IF(AND(ISNUMBER(G1698),P1698&lt;&gt;"Unresolved unit / layout"),G1698*K1698,"Not applicable")</x:f>
        <x:v>1100</x:v>
      </x:c>
      <x:c r="M1698" s="8" t="str">
        <x:f aca="0">IF(AND(ISNUMBER(H1698),P1698&lt;&gt;"Unresolved unit / layout"),H1698*K1698,"Not applicable")</x:f>
        <x:v>Not applicable</x:v>
      </x:c>
      <x:c r="N1698" s="8" t="str">
        <x:f aca="0">IF(AND(ISNUMBER(I1698),P1698&lt;&gt;"Unresolved unit / layout"),I1698*K1698,"Not applicable")</x:f>
        <x:v>Not applicable</x:v>
      </x:c>
      <x:c r="O1698" s="7" t="s">
        <x:v>1920</x:v>
      </x:c>
      <x:c r="P1698" s="7" t="s">
        <x:v>1921</x:v>
      </x:c>
      <x:c r="Q1698" s="7" t="s">
        <x:v>1922</x:v>
      </x:c>
      <x:c r="R1698" s="7" t="s">
        <x:v>53</x:v>
      </x:c>
      <x:c r="S1698" s="7" t="s">
        <x:v>53</x:v>
      </x:c>
      <x:c r="T1698" s="7" t="s">
        <x:v>53</x:v>
      </x:c>
      <x:c r="U1698" s="7" t="s">
        <x:v>53</x:v>
      </x:c>
      <x:c r="V1698" s="7" t="s">
        <x:v>5239</x:v>
      </x:c>
      <x:c r="W1698" s="7" t="s">
        <x:v>58</x:v>
      </x:c>
      <x:c r="X1698" s="7" t="s">
        <x:v>53</x:v>
      </x:c>
      <x:c r="Y1698" s="7" t="s">
        <x:v>1387</x:v>
      </x:c>
      <x:c r="Z1698" s="7" t="s">
        <x:v>1968</x:v>
      </x:c>
      <x:c r="AA1698" s="7" t="s">
        <x:v>5215</x:v>
      </x:c>
      <x:c r="AB1698" s="8" t="s">
        <x:v>58</x:v>
      </x:c>
      <x:c r="AC1698" s="8" t="s">
        <x:v>58</x:v>
      </x:c>
      <x:c r="AD1698" s="8" t="s">
        <x:v>58</x:v>
      </x:c>
      <x:c r="AE1698" s="8" t="s">
        <x:v>58</x:v>
      </x:c>
      <x:c r="AF1698" s="8" t="s">
        <x:v>58</x:v>
      </x:c>
      <x:c r="AG1698" s="7" t="s">
        <x:v>58</x:v>
      </x:c>
    </x:row>
    <x:row r="1699" ht="30" hidden="0" customHeight="1">
      <x:c r="A1699" s="7" t="s">
        <x:v>5240</x:v>
      </x:c>
      <x:c r="B1699" s="7" t="s">
        <x:v>1007</x:v>
      </x:c>
      <x:c r="C1699" s="7" t="s">
        <x:v>1010</x:v>
      </x:c>
      <x:c r="D1699" s="7" t="s">
        <x:v>2099</x:v>
      </x:c>
      <x:c r="E1699" s="7" t="s">
        <x:v>5241</x:v>
      </x:c>
      <x:c r="F1699" s="7" t="s">
        <x:v>1942</x:v>
      </x:c>
      <x:c r="G1699" s="8" t="n">
        <x:v>0.18</x:v>
      </x:c>
      <x:c r="H1699" s="8" t="s">
        <x:v>58</x:v>
      </x:c>
      <x:c r="I1699" s="8" t="s">
        <x:v>58</x:v>
      </x:c>
      <x:c r="J1699" s="7" t="s">
        <x:v>1919</x:v>
      </x:c>
      <x:c r="K1699" s="8" t="n">
        <x:v>1</x:v>
      </x:c>
      <x:c r="L1699" s="8" t="n">
        <x:f aca="0">IF(AND(ISNUMBER(G1699),P1699&lt;&gt;"Unresolved unit / layout"),G1699*K1699,"Not applicable")</x:f>
        <x:v>0.18</x:v>
      </x:c>
      <x:c r="M1699" s="8" t="str">
        <x:f aca="0">IF(AND(ISNUMBER(H1699),P1699&lt;&gt;"Unresolved unit / layout"),H1699*K1699,"Not applicable")</x:f>
        <x:v>Not applicable</x:v>
      </x:c>
      <x:c r="N1699" s="8" t="str">
        <x:f aca="0">IF(AND(ISNUMBER(I1699),P1699&lt;&gt;"Unresolved unit / layout"),I1699*K1699,"Not applicable")</x:f>
        <x:v>Not applicable</x:v>
      </x:c>
      <x:c r="O1699" s="7" t="s">
        <x:v>1942</x:v>
      </x:c>
      <x:c r="P1699" s="7" t="s">
        <x:v>1921</x:v>
      </x:c>
      <x:c r="Q1699" s="7" t="s">
        <x:v>53</x:v>
      </x:c>
      <x:c r="R1699" s="7" t="s">
        <x:v>53</x:v>
      </x:c>
      <x:c r="S1699" s="7" t="s">
        <x:v>53</x:v>
      </x:c>
      <x:c r="T1699" s="7" t="s">
        <x:v>53</x:v>
      </x:c>
      <x:c r="U1699" s="7" t="s">
        <x:v>53</x:v>
      </x:c>
      <x:c r="V1699" s="7" t="s">
        <x:v>5239</x:v>
      </x:c>
      <x:c r="W1699" s="7" t="s">
        <x:v>58</x:v>
      </x:c>
      <x:c r="X1699" s="7" t="s">
        <x:v>5242</x:v>
      </x:c>
      <x:c r="Y1699" s="7" t="s">
        <x:v>1387</x:v>
      </x:c>
      <x:c r="Z1699" s="7" t="s">
        <x:v>5243</x:v>
      </x:c>
      <x:c r="AA1699" s="7" t="s">
        <x:v>5215</x:v>
      </x:c>
      <x:c r="AB1699" s="8" t="s">
        <x:v>58</x:v>
      </x:c>
      <x:c r="AC1699" s="8" t="s">
        <x:v>58</x:v>
      </x:c>
      <x:c r="AD1699" s="8" t="s">
        <x:v>58</x:v>
      </x:c>
      <x:c r="AE1699" s="8" t="s">
        <x:v>58</x:v>
      </x:c>
      <x:c r="AF1699" s="8" t="s">
        <x:v>58</x:v>
      </x:c>
      <x:c r="AG1699" s="7" t="s">
        <x:v>58</x:v>
      </x:c>
    </x:row>
    <x:row r="1700" ht="30" hidden="0" customHeight="1">
      <x:c r="A1700" s="7" t="s">
        <x:v>5244</x:v>
      </x:c>
      <x:c r="B1700" s="7" t="s">
        <x:v>1007</x:v>
      </x:c>
      <x:c r="C1700" s="7" t="s">
        <x:v>1010</x:v>
      </x:c>
      <x:c r="D1700" s="7" t="s">
        <x:v>2099</x:v>
      </x:c>
      <x:c r="E1700" s="7" t="s">
        <x:v>5245</x:v>
      </x:c>
      <x:c r="F1700" s="7" t="s">
        <x:v>1942</x:v>
      </x:c>
      <x:c r="G1700" s="8" t="n">
        <x:v>0.35</x:v>
      </x:c>
      <x:c r="H1700" s="8" t="s">
        <x:v>58</x:v>
      </x:c>
      <x:c r="I1700" s="8" t="s">
        <x:v>58</x:v>
      </x:c>
      <x:c r="J1700" s="7" t="s">
        <x:v>1919</x:v>
      </x:c>
      <x:c r="K1700" s="8" t="n">
        <x:v>1</x:v>
      </x:c>
      <x:c r="L1700" s="8" t="n">
        <x:f aca="0">IF(AND(ISNUMBER(G1700),P1700&lt;&gt;"Unresolved unit / layout"),G1700*K1700,"Not applicable")</x:f>
        <x:v>0.35</x:v>
      </x:c>
      <x:c r="M1700" s="8" t="str">
        <x:f aca="0">IF(AND(ISNUMBER(H1700),P1700&lt;&gt;"Unresolved unit / layout"),H1700*K1700,"Not applicable")</x:f>
        <x:v>Not applicable</x:v>
      </x:c>
      <x:c r="N1700" s="8" t="str">
        <x:f aca="0">IF(AND(ISNUMBER(I1700),P1700&lt;&gt;"Unresolved unit / layout"),I1700*K1700,"Not applicable")</x:f>
        <x:v>Not applicable</x:v>
      </x:c>
      <x:c r="O1700" s="7" t="s">
        <x:v>1942</x:v>
      </x:c>
      <x:c r="P1700" s="7" t="s">
        <x:v>1921</x:v>
      </x:c>
      <x:c r="Q1700" s="7" t="s">
        <x:v>53</x:v>
      </x:c>
      <x:c r="R1700" s="7" t="s">
        <x:v>53</x:v>
      </x:c>
      <x:c r="S1700" s="7" t="s">
        <x:v>53</x:v>
      </x:c>
      <x:c r="T1700" s="7" t="s">
        <x:v>53</x:v>
      </x:c>
      <x:c r="U1700" s="7" t="s">
        <x:v>53</x:v>
      </x:c>
      <x:c r="V1700" s="7" t="s">
        <x:v>5239</x:v>
      </x:c>
      <x:c r="W1700" s="7" t="s">
        <x:v>58</x:v>
      </x:c>
      <x:c r="X1700" s="7" t="s">
        <x:v>5246</x:v>
      </x:c>
      <x:c r="Y1700" s="7" t="s">
        <x:v>1387</x:v>
      </x:c>
      <x:c r="Z1700" s="7" t="s">
        <x:v>5243</x:v>
      </x:c>
      <x:c r="AA1700" s="7" t="s">
        <x:v>5215</x:v>
      </x:c>
      <x:c r="AB1700" s="8" t="s">
        <x:v>58</x:v>
      </x:c>
      <x:c r="AC1700" s="8" t="s">
        <x:v>58</x:v>
      </x:c>
      <x:c r="AD1700" s="8" t="s">
        <x:v>58</x:v>
      </x:c>
      <x:c r="AE1700" s="8" t="s">
        <x:v>58</x:v>
      </x:c>
      <x:c r="AF1700" s="8" t="s">
        <x:v>58</x:v>
      </x:c>
      <x:c r="AG1700" s="7" t="s">
        <x:v>58</x:v>
      </x:c>
    </x:row>
    <x:row r="1701" ht="30" hidden="0" customHeight="1">
      <x:c r="A1701" s="7" t="s">
        <x:v>1015</x:v>
      </x:c>
      <x:c r="B1701" s="7" t="s">
        <x:v>1007</x:v>
      </x:c>
      <x:c r="C1701" s="7" t="s">
        <x:v>1010</x:v>
      </x:c>
      <x:c r="D1701" s="7" t="s">
        <x:v>1959</x:v>
      </x:c>
      <x:c r="E1701" s="7" t="s">
        <x:v>5247</x:v>
      </x:c>
      <x:c r="F1701" s="7" t="s">
        <x:v>1956</x:v>
      </x:c>
      <x:c r="G1701" s="8" t="n">
        <x:v>63</x:v>
      </x:c>
      <x:c r="H1701" s="8" t="s">
        <x:v>58</x:v>
      </x:c>
      <x:c r="I1701" s="8" t="s">
        <x:v>58</x:v>
      </x:c>
      <x:c r="J1701" s="7" t="s">
        <x:v>1919</x:v>
      </x:c>
      <x:c r="K1701" s="8" t="n">
        <x:v>1</x:v>
      </x:c>
      <x:c r="L1701" s="8" t="n">
        <x:f aca="0">IF(AND(ISNUMBER(G1701),P1701&lt;&gt;"Unresolved unit / layout"),G1701*K1701,"Not applicable")</x:f>
        <x:v>63</x:v>
      </x:c>
      <x:c r="M1701" s="8" t="str">
        <x:f aca="0">IF(AND(ISNUMBER(H1701),P1701&lt;&gt;"Unresolved unit / layout"),H1701*K1701,"Not applicable")</x:f>
        <x:v>Not applicable</x:v>
      </x:c>
      <x:c r="N1701" s="8" t="str">
        <x:f aca="0">IF(AND(ISNUMBER(I1701),P1701&lt;&gt;"Unresolved unit / layout"),I1701*K1701,"Not applicable")</x:f>
        <x:v>Not applicable</x:v>
      </x:c>
      <x:c r="O1701" s="7" t="s">
        <x:v>1956</x:v>
      </x:c>
      <x:c r="P1701" s="7" t="s">
        <x:v>1921</x:v>
      </x:c>
      <x:c r="Q1701" s="7" t="s">
        <x:v>53</x:v>
      </x:c>
      <x:c r="R1701" s="7" t="s">
        <x:v>53</x:v>
      </x:c>
      <x:c r="S1701" s="7" t="s">
        <x:v>53</x:v>
      </x:c>
      <x:c r="T1701" s="7" t="s">
        <x:v>53</x:v>
      </x:c>
      <x:c r="U1701" s="7" t="s">
        <x:v>53</x:v>
      </x:c>
      <x:c r="V1701" s="7" t="s">
        <x:v>5248</x:v>
      </x:c>
      <x:c r="W1701" s="7" t="s">
        <x:v>58</x:v>
      </x:c>
      <x:c r="X1701" s="7" t="s">
        <x:v>53</x:v>
      </x:c>
      <x:c r="Y1701" s="7" t="s">
        <x:v>1387</x:v>
      </x:c>
      <x:c r="Z1701" s="7" t="s">
        <x:v>5249</x:v>
      </x:c>
      <x:c r="AA1701" s="7" t="s">
        <x:v>5215</x:v>
      </x:c>
      <x:c r="AB1701" s="8" t="s">
        <x:v>58</x:v>
      </x:c>
      <x:c r="AC1701" s="8" t="s">
        <x:v>58</x:v>
      </x:c>
      <x:c r="AD1701" s="8" t="s">
        <x:v>58</x:v>
      </x:c>
      <x:c r="AE1701" s="8" t="s">
        <x:v>58</x:v>
      </x:c>
      <x:c r="AF1701" s="8" t="s">
        <x:v>58</x:v>
      </x:c>
      <x:c r="AG1701" s="7" t="s">
        <x:v>58</x:v>
      </x:c>
    </x:row>
    <x:row r="1702" ht="30" hidden="0" customHeight="1">
      <x:c r="A1702" s="7" t="s">
        <x:v>5250</x:v>
      </x:c>
      <x:c r="B1702" s="7" t="s">
        <x:v>1007</x:v>
      </x:c>
      <x:c r="C1702" s="7" t="s">
        <x:v>1010</x:v>
      </x:c>
      <x:c r="D1702" s="7" t="s">
        <x:v>1959</x:v>
      </x:c>
      <x:c r="E1702" s="7" t="s">
        <x:v>3199</x:v>
      </x:c>
      <x:c r="F1702" s="7" t="s">
        <x:v>1956</x:v>
      </x:c>
      <x:c r="G1702" s="8" t="n">
        <x:v>58</x:v>
      </x:c>
      <x:c r="H1702" s="8" t="s">
        <x:v>58</x:v>
      </x:c>
      <x:c r="I1702" s="8" t="s">
        <x:v>58</x:v>
      </x:c>
      <x:c r="J1702" s="7" t="s">
        <x:v>1919</x:v>
      </x:c>
      <x:c r="K1702" s="8" t="n">
        <x:v>1</x:v>
      </x:c>
      <x:c r="L1702" s="8" t="n">
        <x:f aca="0">IF(AND(ISNUMBER(G1702),P1702&lt;&gt;"Unresolved unit / layout"),G1702*K1702,"Not applicable")</x:f>
        <x:v>58</x:v>
      </x:c>
      <x:c r="M1702" s="8" t="str">
        <x:f aca="0">IF(AND(ISNUMBER(H1702),P1702&lt;&gt;"Unresolved unit / layout"),H1702*K1702,"Not applicable")</x:f>
        <x:v>Not applicable</x:v>
      </x:c>
      <x:c r="N1702" s="8" t="str">
        <x:f aca="0">IF(AND(ISNUMBER(I1702),P1702&lt;&gt;"Unresolved unit / layout"),I1702*K1702,"Not applicable")</x:f>
        <x:v>Not applicable</x:v>
      </x:c>
      <x:c r="O1702" s="7" t="s">
        <x:v>1956</x:v>
      </x:c>
      <x:c r="P1702" s="7" t="s">
        <x:v>1921</x:v>
      </x:c>
      <x:c r="Q1702" s="7" t="s">
        <x:v>53</x:v>
      </x:c>
      <x:c r="R1702" s="7" t="s">
        <x:v>53</x:v>
      </x:c>
      <x:c r="S1702" s="7" t="s">
        <x:v>53</x:v>
      </x:c>
      <x:c r="T1702" s="7" t="s">
        <x:v>53</x:v>
      </x:c>
      <x:c r="U1702" s="7" t="s">
        <x:v>53</x:v>
      </x:c>
      <x:c r="V1702" s="7" t="s">
        <x:v>5251</x:v>
      </x:c>
      <x:c r="W1702" s="7" t="s">
        <x:v>58</x:v>
      </x:c>
      <x:c r="X1702" s="7" t="s">
        <x:v>53</x:v>
      </x:c>
      <x:c r="Y1702" s="7" t="s">
        <x:v>1387</x:v>
      </x:c>
      <x:c r="Z1702" s="7" t="s">
        <x:v>5249</x:v>
      </x:c>
      <x:c r="AA1702" s="7" t="s">
        <x:v>5215</x:v>
      </x:c>
      <x:c r="AB1702" s="8" t="s">
        <x:v>58</x:v>
      </x:c>
      <x:c r="AC1702" s="8" t="s">
        <x:v>58</x:v>
      </x:c>
      <x:c r="AD1702" s="8" t="s">
        <x:v>58</x:v>
      </x:c>
      <x:c r="AE1702" s="8" t="s">
        <x:v>58</x:v>
      </x:c>
      <x:c r="AF1702" s="8" t="s">
        <x:v>58</x:v>
      </x:c>
      <x:c r="AG1702" s="7" t="s">
        <x:v>58</x:v>
      </x:c>
    </x:row>
    <x:row r="1703" ht="37.5" hidden="0" customHeight="1">
      <x:c r="A1703" s="7" t="s">
        <x:v>5252</x:v>
      </x:c>
      <x:c r="B1703" s="7" t="s">
        <x:v>1007</x:v>
      </x:c>
      <x:c r="C1703" s="7" t="s">
        <x:v>1010</x:v>
      </x:c>
      <x:c r="D1703" s="7" t="s">
        <x:v>3061</x:v>
      </x:c>
      <x:c r="E1703" s="7" t="s">
        <x:v>5253</x:v>
      </x:c>
      <x:c r="F1703" s="7" t="s">
        <x:v>1929</x:v>
      </x:c>
      <x:c r="G1703" s="8" t="n">
        <x:v>57</x:v>
      </x:c>
      <x:c r="H1703" s="8" t="n">
        <x:v>1</x:v>
      </x:c>
      <x:c r="I1703" s="8" t="s">
        <x:v>58</x:v>
      </x:c>
      <x:c r="J1703" s="7" t="s">
        <x:v>1919</x:v>
      </x:c>
      <x:c r="K1703" s="8" t="n">
        <x:v>1</x:v>
      </x:c>
      <x:c r="L1703" s="8" t="n">
        <x:f aca="0">IF(AND(ISNUMBER(G1703),P1703&lt;&gt;"Unresolved unit / layout"),G1703*K1703,"Not applicable")</x:f>
        <x:v>57</x:v>
      </x:c>
      <x:c r="M1703" s="8" t="n">
        <x:f aca="0">IF(AND(ISNUMBER(H1703),P1703&lt;&gt;"Unresolved unit / layout"),H1703*K1703,"Not applicable")</x:f>
        <x:v>1</x:v>
      </x:c>
      <x:c r="N1703" s="8" t="str">
        <x:f aca="0">IF(AND(ISNUMBER(I1703),P1703&lt;&gt;"Unresolved unit / layout"),I1703*K1703,"Not applicable")</x:f>
        <x:v>Not applicable</x:v>
      </x:c>
      <x:c r="O1703" s="7" t="s">
        <x:v>1929</x:v>
      </x:c>
      <x:c r="P1703" s="7" t="s">
        <x:v>1921</x:v>
      </x:c>
      <x:c r="Q1703" s="7" t="s">
        <x:v>5254</x:v>
      </x:c>
      <x:c r="R1703" s="7" t="s">
        <x:v>53</x:v>
      </x:c>
      <x:c r="S1703" s="7" t="s">
        <x:v>53</x:v>
      </x:c>
      <x:c r="T1703" s="7" t="s">
        <x:v>53</x:v>
      </x:c>
      <x:c r="U1703" s="7" t="s">
        <x:v>53</x:v>
      </x:c>
      <x:c r="V1703" s="7" t="s">
        <x:v>1932</x:v>
      </x:c>
      <x:c r="W1703" s="7" t="s">
        <x:v>58</x:v>
      </x:c>
      <x:c r="X1703" s="7" t="s">
        <x:v>53</x:v>
      </x:c>
      <x:c r="Y1703" s="7" t="s">
        <x:v>1387</x:v>
      </x:c>
      <x:c r="Z1703" s="7" t="s">
        <x:v>5255</x:v>
      </x:c>
      <x:c r="AA1703" s="7" t="s">
        <x:v>5215</x:v>
      </x:c>
      <x:c r="AB1703" s="8" t="s">
        <x:v>58</x:v>
      </x:c>
      <x:c r="AC1703" s="8" t="s">
        <x:v>58</x:v>
      </x:c>
      <x:c r="AD1703" s="8" t="s">
        <x:v>58</x:v>
      </x:c>
      <x:c r="AE1703" s="8" t="s">
        <x:v>58</x:v>
      </x:c>
      <x:c r="AF1703" s="8" t="s">
        <x:v>58</x:v>
      </x:c>
      <x:c r="AG1703" s="7" t="s">
        <x:v>58</x:v>
      </x:c>
    </x:row>
    <x:row r="1704" ht="37.5" hidden="0" customHeight="1">
      <x:c r="A1704" s="7" t="s">
        <x:v>5256</x:v>
      </x:c>
      <x:c r="B1704" s="7" t="s">
        <x:v>1007</x:v>
      </x:c>
      <x:c r="C1704" s="7" t="s">
        <x:v>1010</x:v>
      </x:c>
      <x:c r="D1704" s="7" t="s">
        <x:v>2846</x:v>
      </x:c>
      <x:c r="E1704" s="7" t="s">
        <x:v>5210</x:v>
      </x:c>
      <x:c r="F1704" s="7" t="s">
        <x:v>3716</x:v>
      </x:c>
      <x:c r="G1704" s="8" t="n">
        <x:v>77</x:v>
      </x:c>
      <x:c r="H1704" s="8" t="s">
        <x:v>58</x:v>
      </x:c>
      <x:c r="I1704" s="8" t="s">
        <x:v>58</x:v>
      </x:c>
      <x:c r="J1704" s="7" t="s">
        <x:v>1919</x:v>
      </x:c>
      <x:c r="K1704" s="8" t="n">
        <x:v>1</x:v>
      </x:c>
      <x:c r="L1704" s="8" t="n">
        <x:f aca="0">IF(AND(ISNUMBER(G1704),P1704&lt;&gt;"Unresolved unit / layout"),G1704*K1704,"Not applicable")</x:f>
        <x:v>77</x:v>
      </x:c>
      <x:c r="M1704" s="8" t="str">
        <x:f aca="0">IF(AND(ISNUMBER(H1704),P1704&lt;&gt;"Unresolved unit / layout"),H1704*K1704,"Not applicable")</x:f>
        <x:v>Not applicable</x:v>
      </x:c>
      <x:c r="N1704" s="8" t="str">
        <x:f aca="0">IF(AND(ISNUMBER(I1704),P1704&lt;&gt;"Unresolved unit / layout"),I1704*K1704,"Not applicable")</x:f>
        <x:v>Not applicable</x:v>
      </x:c>
      <x:c r="O1704" s="7" t="s">
        <x:v>3716</x:v>
      </x:c>
      <x:c r="P1704" s="7" t="s">
        <x:v>1921</x:v>
      </x:c>
      <x:c r="Q1704" s="7" t="s">
        <x:v>53</x:v>
      </x:c>
      <x:c r="R1704" s="7" t="s">
        <x:v>53</x:v>
      </x:c>
      <x:c r="S1704" s="7" t="s">
        <x:v>53</x:v>
      </x:c>
      <x:c r="T1704" s="7" t="s">
        <x:v>53</x:v>
      </x:c>
      <x:c r="U1704" s="7" t="s">
        <x:v>53</x:v>
      </x:c>
      <x:c r="V1704" s="7" t="s">
        <x:v>5239</x:v>
      </x:c>
      <x:c r="W1704" s="7" t="s">
        <x:v>58</x:v>
      </x:c>
      <x:c r="X1704" s="7" t="s">
        <x:v>53</x:v>
      </x:c>
      <x:c r="Y1704" s="7" t="s">
        <x:v>1387</x:v>
      </x:c>
      <x:c r="Z1704" s="7" t="s">
        <x:v>5257</x:v>
      </x:c>
      <x:c r="AA1704" s="7" t="s">
        <x:v>5258</x:v>
      </x:c>
      <x:c r="AB1704" s="8" t="s">
        <x:v>58</x:v>
      </x:c>
      <x:c r="AC1704" s="8" t="s">
        <x:v>58</x:v>
      </x:c>
      <x:c r="AD1704" s="8" t="s">
        <x:v>58</x:v>
      </x:c>
      <x:c r="AE1704" s="8" t="s">
        <x:v>58</x:v>
      </x:c>
      <x:c r="AF1704" s="8" t="s">
        <x:v>58</x:v>
      </x:c>
      <x:c r="AG1704" s="7" t="s">
        <x:v>58</x:v>
      </x:c>
    </x:row>
    <x:row r="1705" ht="37.5" hidden="0" customHeight="1">
      <x:c r="A1705" s="7" t="s">
        <x:v>5259</x:v>
      </x:c>
      <x:c r="B1705" s="7" t="s">
        <x:v>1007</x:v>
      </x:c>
      <x:c r="C1705" s="7" t="s">
        <x:v>1010</x:v>
      </x:c>
      <x:c r="D1705" s="7" t="s">
        <x:v>5260</x:v>
      </x:c>
      <x:c r="E1705" s="7" t="s">
        <x:v>5261</x:v>
      </x:c>
      <x:c r="F1705" s="7" t="s">
        <x:v>1929</x:v>
      </x:c>
      <x:c r="G1705" s="8" t="n">
        <x:v>9</x:v>
      </x:c>
      <x:c r="H1705" s="8" t="n">
        <x:v>1</x:v>
      </x:c>
      <x:c r="I1705" s="8" t="s">
        <x:v>58</x:v>
      </x:c>
      <x:c r="J1705" s="7" t="s">
        <x:v>1919</x:v>
      </x:c>
      <x:c r="K1705" s="8" t="n">
        <x:v>1</x:v>
      </x:c>
      <x:c r="L1705" s="8" t="n">
        <x:f aca="0">IF(AND(ISNUMBER(G1705),P1705&lt;&gt;"Unresolved unit / layout"),G1705*K1705,"Not applicable")</x:f>
        <x:v>9</x:v>
      </x:c>
      <x:c r="M1705" s="8" t="n">
        <x:f aca="0">IF(AND(ISNUMBER(H1705),P1705&lt;&gt;"Unresolved unit / layout"),H1705*K1705,"Not applicable")</x:f>
        <x:v>1</x:v>
      </x:c>
      <x:c r="N1705" s="8" t="str">
        <x:f aca="0">IF(AND(ISNUMBER(I1705),P1705&lt;&gt;"Unresolved unit / layout"),I1705*K1705,"Not applicable")</x:f>
        <x:v>Not applicable</x:v>
      </x:c>
      <x:c r="O1705" s="7" t="s">
        <x:v>1929</x:v>
      </x:c>
      <x:c r="P1705" s="7" t="s">
        <x:v>1921</x:v>
      </x:c>
      <x:c r="Q1705" s="7" t="s">
        <x:v>53</x:v>
      </x:c>
      <x:c r="R1705" s="7" t="s">
        <x:v>53</x:v>
      </x:c>
      <x:c r="S1705" s="7" t="s">
        <x:v>53</x:v>
      </x:c>
      <x:c r="T1705" s="7" t="s">
        <x:v>53</x:v>
      </x:c>
      <x:c r="U1705" s="7" t="s">
        <x:v>53</x:v>
      </x:c>
      <x:c r="V1705" s="7" t="s">
        <x:v>5239</x:v>
      </x:c>
      <x:c r="W1705" s="7" t="s">
        <x:v>58</x:v>
      </x:c>
      <x:c r="X1705" s="7" t="s">
        <x:v>53</x:v>
      </x:c>
      <x:c r="Y1705" s="7" t="s">
        <x:v>1387</x:v>
      </x:c>
      <x:c r="Z1705" s="7" t="s">
        <x:v>5262</x:v>
      </x:c>
      <x:c r="AA1705" s="7" t="s">
        <x:v>5215</x:v>
      </x:c>
      <x:c r="AB1705" s="8" t="s">
        <x:v>58</x:v>
      </x:c>
      <x:c r="AC1705" s="8" t="s">
        <x:v>58</x:v>
      </x:c>
      <x:c r="AD1705" s="8" t="s">
        <x:v>58</x:v>
      </x:c>
      <x:c r="AE1705" s="8" t="s">
        <x:v>58</x:v>
      </x:c>
      <x:c r="AF1705" s="8" t="s">
        <x:v>58</x:v>
      </x:c>
      <x:c r="AG1705" s="7" t="s">
        <x:v>58</x:v>
      </x:c>
    </x:row>
    <x:row r="1706" ht="51.75" hidden="0" customHeight="1">
      <x:c r="A1706" s="7" t="s">
        <x:v>5263</x:v>
      </x:c>
      <x:c r="B1706" s="7" t="s">
        <x:v>1007</x:v>
      </x:c>
      <x:c r="C1706" s="7" t="s">
        <x:v>1010</x:v>
      </x:c>
      <x:c r="D1706" s="7" t="s">
        <x:v>3061</x:v>
      </x:c>
      <x:c r="E1706" s="7" t="s">
        <x:v>5264</x:v>
      </x:c>
      <x:c r="F1706" s="7" t="s">
        <x:v>1929</x:v>
      </x:c>
      <x:c r="G1706" s="8" t="n">
        <x:v>50</x:v>
      </x:c>
      <x:c r="H1706" s="8" t="n">
        <x:v>5</x:v>
      </x:c>
      <x:c r="I1706" s="8" t="s">
        <x:v>58</x:v>
      </x:c>
      <x:c r="J1706" s="7" t="s">
        <x:v>1919</x:v>
      </x:c>
      <x:c r="K1706" s="8" t="n">
        <x:v>1</x:v>
      </x:c>
      <x:c r="L1706" s="8" t="n">
        <x:f aca="0">IF(AND(ISNUMBER(G1706),P1706&lt;&gt;"Unresolved unit / layout"),G1706*K1706,"Not applicable")</x:f>
        <x:v>50</x:v>
      </x:c>
      <x:c r="M1706" s="8" t="n">
        <x:f aca="0">IF(AND(ISNUMBER(H1706),P1706&lt;&gt;"Unresolved unit / layout"),H1706*K1706,"Not applicable")</x:f>
        <x:v>5</x:v>
      </x:c>
      <x:c r="N1706" s="8" t="str">
        <x:f aca="0">IF(AND(ISNUMBER(I1706),P1706&lt;&gt;"Unresolved unit / layout"),I1706*K1706,"Not applicable")</x:f>
        <x:v>Not applicable</x:v>
      </x:c>
      <x:c r="O1706" s="7" t="s">
        <x:v>1929</x:v>
      </x:c>
      <x:c r="P1706" s="7" t="s">
        <x:v>1921</x:v>
      </x:c>
      <x:c r="Q1706" s="7" t="s">
        <x:v>1930</x:v>
      </x:c>
      <x:c r="R1706" s="7" t="s">
        <x:v>5265</x:v>
      </x:c>
      <x:c r="S1706" s="7" t="s">
        <x:v>53</x:v>
      </x:c>
      <x:c r="T1706" s="7" t="s">
        <x:v>53</x:v>
      </x:c>
      <x:c r="U1706" s="7" t="s">
        <x:v>53</x:v>
      </x:c>
      <x:c r="V1706" s="7" t="s">
        <x:v>5266</x:v>
      </x:c>
      <x:c r="W1706" s="7" t="s">
        <x:v>58</x:v>
      </x:c>
      <x:c r="X1706" s="7" t="s">
        <x:v>5267</x:v>
      </x:c>
      <x:c r="Y1706" s="7" t="s">
        <x:v>1387</x:v>
      </x:c>
      <x:c r="Z1706" s="7" t="s">
        <x:v>5268</x:v>
      </x:c>
      <x:c r="AA1706" s="7" t="s">
        <x:v>5215</x:v>
      </x:c>
      <x:c r="AB1706" s="8" t="s">
        <x:v>58</x:v>
      </x:c>
      <x:c r="AC1706" s="8" t="s">
        <x:v>58</x:v>
      </x:c>
      <x:c r="AD1706" s="8" t="s">
        <x:v>58</x:v>
      </x:c>
      <x:c r="AE1706" s="8" t="s">
        <x:v>58</x:v>
      </x:c>
      <x:c r="AF1706" s="8" t="s">
        <x:v>58</x:v>
      </x:c>
      <x:c r="AG1706" s="7" t="s">
        <x:v>58</x:v>
      </x:c>
    </x:row>
    <x:row r="1707" ht="51.75" hidden="0" customHeight="1">
      <x:c r="A1707" s="7" t="s">
        <x:v>5269</x:v>
      </x:c>
      <x:c r="B1707" s="7" t="s">
        <x:v>1007</x:v>
      </x:c>
      <x:c r="C1707" s="7" t="s">
        <x:v>1010</x:v>
      </x:c>
      <x:c r="D1707" s="7" t="s">
        <x:v>3061</x:v>
      </x:c>
      <x:c r="E1707" s="7" t="s">
        <x:v>5270</x:v>
      </x:c>
      <x:c r="F1707" s="7" t="s">
        <x:v>1929</x:v>
      </x:c>
      <x:c r="G1707" s="8" t="n">
        <x:v>49</x:v>
      </x:c>
      <x:c r="H1707" s="8" t="n">
        <x:v>5</x:v>
      </x:c>
      <x:c r="I1707" s="8" t="s">
        <x:v>58</x:v>
      </x:c>
      <x:c r="J1707" s="7" t="s">
        <x:v>1919</x:v>
      </x:c>
      <x:c r="K1707" s="8" t="n">
        <x:v>1</x:v>
      </x:c>
      <x:c r="L1707" s="8" t="n">
        <x:f aca="0">IF(AND(ISNUMBER(G1707),P1707&lt;&gt;"Unresolved unit / layout"),G1707*K1707,"Not applicable")</x:f>
        <x:v>49</x:v>
      </x:c>
      <x:c r="M1707" s="8" t="n">
        <x:f aca="0">IF(AND(ISNUMBER(H1707),P1707&lt;&gt;"Unresolved unit / layout"),H1707*K1707,"Not applicable")</x:f>
        <x:v>5</x:v>
      </x:c>
      <x:c r="N1707" s="8" t="str">
        <x:f aca="0">IF(AND(ISNUMBER(I1707),P1707&lt;&gt;"Unresolved unit / layout"),I1707*K1707,"Not applicable")</x:f>
        <x:v>Not applicable</x:v>
      </x:c>
      <x:c r="O1707" s="7" t="s">
        <x:v>1929</x:v>
      </x:c>
      <x:c r="P1707" s="7" t="s">
        <x:v>1921</x:v>
      </x:c>
      <x:c r="Q1707" s="7" t="s">
        <x:v>1930</x:v>
      </x:c>
      <x:c r="R1707" s="7" t="s">
        <x:v>5271</x:v>
      </x:c>
      <x:c r="S1707" s="7" t="s">
        <x:v>53</x:v>
      </x:c>
      <x:c r="T1707" s="7" t="s">
        <x:v>53</x:v>
      </x:c>
      <x:c r="U1707" s="7" t="s">
        <x:v>53</x:v>
      </x:c>
      <x:c r="V1707" s="7" t="s">
        <x:v>5266</x:v>
      </x:c>
      <x:c r="W1707" s="7" t="s">
        <x:v>58</x:v>
      </x:c>
      <x:c r="X1707" s="7" t="s">
        <x:v>5267</x:v>
      </x:c>
      <x:c r="Y1707" s="7" t="s">
        <x:v>1387</x:v>
      </x:c>
      <x:c r="Z1707" s="7" t="s">
        <x:v>5268</x:v>
      </x:c>
      <x:c r="AA1707" s="7" t="s">
        <x:v>5215</x:v>
      </x:c>
      <x:c r="AB1707" s="8" t="s">
        <x:v>58</x:v>
      </x:c>
      <x:c r="AC1707" s="8" t="s">
        <x:v>58</x:v>
      </x:c>
      <x:c r="AD1707" s="8" t="s">
        <x:v>58</x:v>
      </x:c>
      <x:c r="AE1707" s="8" t="s">
        <x:v>58</x:v>
      </x:c>
      <x:c r="AF1707" s="8" t="s">
        <x:v>58</x:v>
      </x:c>
      <x:c r="AG1707" s="7" t="s">
        <x:v>58</x:v>
      </x:c>
    </x:row>
    <x:row r="1708" ht="51.75" hidden="0" customHeight="1">
      <x:c r="A1708" s="7" t="s">
        <x:v>5272</x:v>
      </x:c>
      <x:c r="B1708" s="7" t="s">
        <x:v>1007</x:v>
      </x:c>
      <x:c r="C1708" s="7" t="s">
        <x:v>1010</x:v>
      </x:c>
      <x:c r="D1708" s="7" t="s">
        <x:v>1935</x:v>
      </x:c>
      <x:c r="E1708" s="7" t="s">
        <x:v>5273</x:v>
      </x:c>
      <x:c r="F1708" s="7" t="s">
        <x:v>1937</x:v>
      </x:c>
      <x:c r="G1708" s="8" t="n">
        <x:v>1.7</x:v>
      </x:c>
      <x:c r="H1708" s="8" t="n">
        <x:v>0.1</x:v>
      </x:c>
      <x:c r="I1708" s="8" t="s">
        <x:v>58</x:v>
      </x:c>
      <x:c r="J1708" s="7" t="s">
        <x:v>1919</x:v>
      </x:c>
      <x:c r="K1708" s="8" t="n">
        <x:v>1</x:v>
      </x:c>
      <x:c r="L1708" s="8" t="n">
        <x:f aca="0">IF(AND(ISNUMBER(G1708),P1708&lt;&gt;"Unresolved unit / layout"),G1708*K1708,"Not applicable")</x:f>
        <x:v>1.7</x:v>
      </x:c>
      <x:c r="M1708" s="8" t="n">
        <x:f aca="0">IF(AND(ISNUMBER(H1708),P1708&lt;&gt;"Unresolved unit / layout"),H1708*K1708,"Not applicable")</x:f>
        <x:v>0.1</x:v>
      </x:c>
      <x:c r="N1708" s="8" t="str">
        <x:f aca="0">IF(AND(ISNUMBER(I1708),P1708&lt;&gt;"Unresolved unit / layout"),I1708*K1708,"Not applicable")</x:f>
        <x:v>Not applicable</x:v>
      </x:c>
      <x:c r="O1708" s="7" t="s">
        <x:v>1937</x:v>
      </x:c>
      <x:c r="P1708" s="7" t="s">
        <x:v>1921</x:v>
      </x:c>
      <x:c r="Q1708" s="7" t="s">
        <x:v>1930</x:v>
      </x:c>
      <x:c r="R1708" s="7" t="s">
        <x:v>5265</x:v>
      </x:c>
      <x:c r="S1708" s="7" t="s">
        <x:v>53</x:v>
      </x:c>
      <x:c r="T1708" s="7" t="s">
        <x:v>53</x:v>
      </x:c>
      <x:c r="U1708" s="7" t="s">
        <x:v>53</x:v>
      </x:c>
      <x:c r="V1708" s="7" t="s">
        <x:v>5266</x:v>
      </x:c>
      <x:c r="W1708" s="7" t="s">
        <x:v>58</x:v>
      </x:c>
      <x:c r="X1708" s="7" t="s">
        <x:v>5267</x:v>
      </x:c>
      <x:c r="Y1708" s="7" t="s">
        <x:v>1387</x:v>
      </x:c>
      <x:c r="Z1708" s="7" t="s">
        <x:v>5274</x:v>
      </x:c>
      <x:c r="AA1708" s="7" t="s">
        <x:v>5215</x:v>
      </x:c>
      <x:c r="AB1708" s="8" t="s">
        <x:v>58</x:v>
      </x:c>
      <x:c r="AC1708" s="8" t="s">
        <x:v>58</x:v>
      </x:c>
      <x:c r="AD1708" s="8" t="s">
        <x:v>58</x:v>
      </x:c>
      <x:c r="AE1708" s="8" t="s">
        <x:v>58</x:v>
      </x:c>
      <x:c r="AF1708" s="8" t="s">
        <x:v>58</x:v>
      </x:c>
      <x:c r="AG1708" s="7" t="s">
        <x:v>58</x:v>
      </x:c>
    </x:row>
    <x:row r="1709" ht="51.75" hidden="0" customHeight="1">
      <x:c r="A1709" s="7" t="s">
        <x:v>5275</x:v>
      </x:c>
      <x:c r="B1709" s="7" t="s">
        <x:v>1007</x:v>
      </x:c>
      <x:c r="C1709" s="7" t="s">
        <x:v>1010</x:v>
      </x:c>
      <x:c r="D1709" s="7" t="s">
        <x:v>1935</x:v>
      </x:c>
      <x:c r="E1709" s="7" t="s">
        <x:v>5273</x:v>
      </x:c>
      <x:c r="F1709" s="7" t="s">
        <x:v>1937</x:v>
      </x:c>
      <x:c r="G1709" s="8" t="n">
        <x:v>1.7</x:v>
      </x:c>
      <x:c r="H1709" s="8" t="n">
        <x:v>0.1</x:v>
      </x:c>
      <x:c r="I1709" s="8" t="s">
        <x:v>58</x:v>
      </x:c>
      <x:c r="J1709" s="7" t="s">
        <x:v>1919</x:v>
      </x:c>
      <x:c r="K1709" s="8" t="n">
        <x:v>1</x:v>
      </x:c>
      <x:c r="L1709" s="8" t="n">
        <x:f aca="0">IF(AND(ISNUMBER(G1709),P1709&lt;&gt;"Unresolved unit / layout"),G1709*K1709,"Not applicable")</x:f>
        <x:v>1.7</x:v>
      </x:c>
      <x:c r="M1709" s="8" t="n">
        <x:f aca="0">IF(AND(ISNUMBER(H1709),P1709&lt;&gt;"Unresolved unit / layout"),H1709*K1709,"Not applicable")</x:f>
        <x:v>0.1</x:v>
      </x:c>
      <x:c r="N1709" s="8" t="str">
        <x:f aca="0">IF(AND(ISNUMBER(I1709),P1709&lt;&gt;"Unresolved unit / layout"),I1709*K1709,"Not applicable")</x:f>
        <x:v>Not applicable</x:v>
      </x:c>
      <x:c r="O1709" s="7" t="s">
        <x:v>1937</x:v>
      </x:c>
      <x:c r="P1709" s="7" t="s">
        <x:v>1921</x:v>
      </x:c>
      <x:c r="Q1709" s="7" t="s">
        <x:v>1930</x:v>
      </x:c>
      <x:c r="R1709" s="7" t="s">
        <x:v>5271</x:v>
      </x:c>
      <x:c r="S1709" s="7" t="s">
        <x:v>53</x:v>
      </x:c>
      <x:c r="T1709" s="7" t="s">
        <x:v>53</x:v>
      </x:c>
      <x:c r="U1709" s="7" t="s">
        <x:v>53</x:v>
      </x:c>
      <x:c r="V1709" s="7" t="s">
        <x:v>5266</x:v>
      </x:c>
      <x:c r="W1709" s="7" t="s">
        <x:v>58</x:v>
      </x:c>
      <x:c r="X1709" s="7" t="s">
        <x:v>5267</x:v>
      </x:c>
      <x:c r="Y1709" s="7" t="s">
        <x:v>1387</x:v>
      </x:c>
      <x:c r="Z1709" s="7" t="s">
        <x:v>5274</x:v>
      </x:c>
      <x:c r="AA1709" s="7" t="s">
        <x:v>5215</x:v>
      </x:c>
      <x:c r="AB1709" s="8" t="s">
        <x:v>58</x:v>
      </x:c>
      <x:c r="AC1709" s="8" t="s">
        <x:v>58</x:v>
      </x:c>
      <x:c r="AD1709" s="8" t="s">
        <x:v>58</x:v>
      </x:c>
      <x:c r="AE1709" s="8" t="s">
        <x:v>58</x:v>
      </x:c>
      <x:c r="AF1709" s="8" t="s">
        <x:v>58</x:v>
      </x:c>
      <x:c r="AG1709" s="7" t="s">
        <x:v>58</x:v>
      </x:c>
    </x:row>
    <x:row r="1710" ht="51.75" hidden="0" customHeight="1">
      <x:c r="A1710" s="7" t="s">
        <x:v>5276</x:v>
      </x:c>
      <x:c r="B1710" s="7" t="s">
        <x:v>1007</x:v>
      </x:c>
      <x:c r="C1710" s="7" t="s">
        <x:v>1010</x:v>
      </x:c>
      <x:c r="D1710" s="7" t="s">
        <x:v>2820</x:v>
      </x:c>
      <x:c r="E1710" s="7" t="s">
        <x:v>5277</x:v>
      </x:c>
      <x:c r="F1710" s="7" t="s">
        <x:v>1942</x:v>
      </x:c>
      <x:c r="G1710" s="8" t="n">
        <x:v>4.6</x:v>
      </x:c>
      <x:c r="H1710" s="8" t="n">
        <x:v>0.7</x:v>
      </x:c>
      <x:c r="I1710" s="8" t="s">
        <x:v>58</x:v>
      </x:c>
      <x:c r="J1710" s="7" t="s">
        <x:v>1919</x:v>
      </x:c>
      <x:c r="K1710" s="8" t="n">
        <x:v>1</x:v>
      </x:c>
      <x:c r="L1710" s="8" t="n">
        <x:f aca="0">IF(AND(ISNUMBER(G1710),P1710&lt;&gt;"Unresolved unit / layout"),G1710*K1710,"Not applicable")</x:f>
        <x:v>4.6</x:v>
      </x:c>
      <x:c r="M1710" s="8" t="n">
        <x:f aca="0">IF(AND(ISNUMBER(H1710),P1710&lt;&gt;"Unresolved unit / layout"),H1710*K1710,"Not applicable")</x:f>
        <x:v>0.7</x:v>
      </x:c>
      <x:c r="N1710" s="8" t="str">
        <x:f aca="0">IF(AND(ISNUMBER(I1710),P1710&lt;&gt;"Unresolved unit / layout"),I1710*K1710,"Not applicable")</x:f>
        <x:v>Not applicable</x:v>
      </x:c>
      <x:c r="O1710" s="7" t="s">
        <x:v>1942</x:v>
      </x:c>
      <x:c r="P1710" s="7" t="s">
        <x:v>1921</x:v>
      </x:c>
      <x:c r="Q1710" s="7" t="s">
        <x:v>1930</x:v>
      </x:c>
      <x:c r="R1710" s="7" t="s">
        <x:v>5265</x:v>
      </x:c>
      <x:c r="S1710" s="7" t="s">
        <x:v>53</x:v>
      </x:c>
      <x:c r="T1710" s="7" t="s">
        <x:v>53</x:v>
      </x:c>
      <x:c r="U1710" s="7" t="s">
        <x:v>53</x:v>
      </x:c>
      <x:c r="V1710" s="7" t="s">
        <x:v>5266</x:v>
      </x:c>
      <x:c r="W1710" s="7" t="s">
        <x:v>58</x:v>
      </x:c>
      <x:c r="X1710" s="7" t="s">
        <x:v>5267</x:v>
      </x:c>
      <x:c r="Y1710" s="7" t="s">
        <x:v>1387</x:v>
      </x:c>
      <x:c r="Z1710" s="7" t="s">
        <x:v>5278</x:v>
      </x:c>
      <x:c r="AA1710" s="7" t="s">
        <x:v>5215</x:v>
      </x:c>
      <x:c r="AB1710" s="8" t="s">
        <x:v>58</x:v>
      </x:c>
      <x:c r="AC1710" s="8" t="s">
        <x:v>58</x:v>
      </x:c>
      <x:c r="AD1710" s="8" t="s">
        <x:v>58</x:v>
      </x:c>
      <x:c r="AE1710" s="8" t="s">
        <x:v>58</x:v>
      </x:c>
      <x:c r="AF1710" s="8" t="s">
        <x:v>58</x:v>
      </x:c>
      <x:c r="AG1710" s="7" t="s">
        <x:v>58</x:v>
      </x:c>
    </x:row>
    <x:row r="1711" ht="51.75" hidden="0" customHeight="1">
      <x:c r="A1711" s="7" t="s">
        <x:v>5279</x:v>
      </x:c>
      <x:c r="B1711" s="7" t="s">
        <x:v>1007</x:v>
      </x:c>
      <x:c r="C1711" s="7" t="s">
        <x:v>1010</x:v>
      </x:c>
      <x:c r="D1711" s="7" t="s">
        <x:v>2820</x:v>
      </x:c>
      <x:c r="E1711" s="7" t="s">
        <x:v>5280</x:v>
      </x:c>
      <x:c r="F1711" s="7" t="s">
        <x:v>1942</x:v>
      </x:c>
      <x:c r="G1711" s="8" t="n">
        <x:v>4.4</x:v>
      </x:c>
      <x:c r="H1711" s="8" t="n">
        <x:v>0.7</x:v>
      </x:c>
      <x:c r="I1711" s="8" t="s">
        <x:v>58</x:v>
      </x:c>
      <x:c r="J1711" s="7" t="s">
        <x:v>1919</x:v>
      </x:c>
      <x:c r="K1711" s="8" t="n">
        <x:v>1</x:v>
      </x:c>
      <x:c r="L1711" s="8" t="n">
        <x:f aca="0">IF(AND(ISNUMBER(G1711),P1711&lt;&gt;"Unresolved unit / layout"),G1711*K1711,"Not applicable")</x:f>
        <x:v>4.4</x:v>
      </x:c>
      <x:c r="M1711" s="8" t="n">
        <x:f aca="0">IF(AND(ISNUMBER(H1711),P1711&lt;&gt;"Unresolved unit / layout"),H1711*K1711,"Not applicable")</x:f>
        <x:v>0.7</x:v>
      </x:c>
      <x:c r="N1711" s="8" t="str">
        <x:f aca="0">IF(AND(ISNUMBER(I1711),P1711&lt;&gt;"Unresolved unit / layout"),I1711*K1711,"Not applicable")</x:f>
        <x:v>Not applicable</x:v>
      </x:c>
      <x:c r="O1711" s="7" t="s">
        <x:v>1942</x:v>
      </x:c>
      <x:c r="P1711" s="7" t="s">
        <x:v>1921</x:v>
      </x:c>
      <x:c r="Q1711" s="7" t="s">
        <x:v>1930</x:v>
      </x:c>
      <x:c r="R1711" s="7" t="s">
        <x:v>5271</x:v>
      </x:c>
      <x:c r="S1711" s="7" t="s">
        <x:v>53</x:v>
      </x:c>
      <x:c r="T1711" s="7" t="s">
        <x:v>53</x:v>
      </x:c>
      <x:c r="U1711" s="7" t="s">
        <x:v>53</x:v>
      </x:c>
      <x:c r="V1711" s="7" t="s">
        <x:v>5266</x:v>
      </x:c>
      <x:c r="W1711" s="7" t="s">
        <x:v>58</x:v>
      </x:c>
      <x:c r="X1711" s="7" t="s">
        <x:v>5267</x:v>
      </x:c>
      <x:c r="Y1711" s="7" t="s">
        <x:v>1387</x:v>
      </x:c>
      <x:c r="Z1711" s="7" t="s">
        <x:v>5278</x:v>
      </x:c>
      <x:c r="AA1711" s="7" t="s">
        <x:v>5215</x:v>
      </x:c>
      <x:c r="AB1711" s="8" t="s">
        <x:v>58</x:v>
      </x:c>
      <x:c r="AC1711" s="8" t="s">
        <x:v>58</x:v>
      </x:c>
      <x:c r="AD1711" s="8" t="s">
        <x:v>58</x:v>
      </x:c>
      <x:c r="AE1711" s="8" t="s">
        <x:v>58</x:v>
      </x:c>
      <x:c r="AF1711" s="8" t="s">
        <x:v>58</x:v>
      </x:c>
      <x:c r="AG1711" s="7" t="s">
        <x:v>58</x:v>
      </x:c>
    </x:row>
    <x:row r="1712" ht="51.75" hidden="0" customHeight="1">
      <x:c r="A1712" s="7" t="s">
        <x:v>5281</x:v>
      </x:c>
      <x:c r="B1712" s="7" t="s">
        <x:v>1007</x:v>
      </x:c>
      <x:c r="C1712" s="7" t="s">
        <x:v>1010</x:v>
      </x:c>
      <x:c r="D1712" s="7" t="s">
        <x:v>1945</x:v>
      </x:c>
      <x:c r="E1712" s="7" t="s">
        <x:v>5282</x:v>
      </x:c>
      <x:c r="F1712" s="7" t="s">
        <x:v>1929</x:v>
      </x:c>
      <x:c r="G1712" s="8" t="n">
        <x:v>72</x:v>
      </x:c>
      <x:c r="H1712" s="8" t="n">
        <x:v>1</x:v>
      </x:c>
      <x:c r="I1712" s="8" t="s">
        <x:v>58</x:v>
      </x:c>
      <x:c r="J1712" s="7" t="s">
        <x:v>1919</x:v>
      </x:c>
      <x:c r="K1712" s="8" t="n">
        <x:v>1</x:v>
      </x:c>
      <x:c r="L1712" s="8" t="n">
        <x:f aca="0">IF(AND(ISNUMBER(G1712),P1712&lt;&gt;"Unresolved unit / layout"),G1712*K1712,"Not applicable")</x:f>
        <x:v>72</x:v>
      </x:c>
      <x:c r="M1712" s="8" t="n">
        <x:f aca="0">IF(AND(ISNUMBER(H1712),P1712&lt;&gt;"Unresolved unit / layout"),H1712*K1712,"Not applicable")</x:f>
        <x:v>1</x:v>
      </x:c>
      <x:c r="N1712" s="8" t="str">
        <x:f aca="0">IF(AND(ISNUMBER(I1712),P1712&lt;&gt;"Unresolved unit / layout"),I1712*K1712,"Not applicable")</x:f>
        <x:v>Not applicable</x:v>
      </x:c>
      <x:c r="O1712" s="7" t="s">
        <x:v>1929</x:v>
      </x:c>
      <x:c r="P1712" s="7" t="s">
        <x:v>1921</x:v>
      </x:c>
      <x:c r="Q1712" s="7" t="s">
        <x:v>1930</x:v>
      </x:c>
      <x:c r="R1712" s="7" t="s">
        <x:v>5265</x:v>
      </x:c>
      <x:c r="S1712" s="7" t="s">
        <x:v>53</x:v>
      </x:c>
      <x:c r="T1712" s="7" t="s">
        <x:v>53</x:v>
      </x:c>
      <x:c r="U1712" s="7" t="s">
        <x:v>53</x:v>
      </x:c>
      <x:c r="V1712" s="7" t="s">
        <x:v>1947</x:v>
      </x:c>
      <x:c r="W1712" s="7" t="s">
        <x:v>58</x:v>
      </x:c>
      <x:c r="X1712" s="7" t="s">
        <x:v>5267</x:v>
      </x:c>
      <x:c r="Y1712" s="7" t="s">
        <x:v>1387</x:v>
      </x:c>
      <x:c r="Z1712" s="7" t="s">
        <x:v>5283</x:v>
      </x:c>
      <x:c r="AA1712" s="7" t="s">
        <x:v>5215</x:v>
      </x:c>
      <x:c r="AB1712" s="8" t="s">
        <x:v>58</x:v>
      </x:c>
      <x:c r="AC1712" s="8" t="s">
        <x:v>58</x:v>
      </x:c>
      <x:c r="AD1712" s="8" t="s">
        <x:v>58</x:v>
      </x:c>
      <x:c r="AE1712" s="8" t="s">
        <x:v>58</x:v>
      </x:c>
      <x:c r="AF1712" s="8" t="s">
        <x:v>58</x:v>
      </x:c>
      <x:c r="AG1712" s="7" t="s">
        <x:v>58</x:v>
      </x:c>
    </x:row>
    <x:row r="1713" ht="51.75" hidden="0" customHeight="1">
      <x:c r="A1713" s="7" t="s">
        <x:v>5284</x:v>
      </x:c>
      <x:c r="B1713" s="7" t="s">
        <x:v>1007</x:v>
      </x:c>
      <x:c r="C1713" s="7" t="s">
        <x:v>1010</x:v>
      </x:c>
      <x:c r="D1713" s="7" t="s">
        <x:v>1945</x:v>
      </x:c>
      <x:c r="E1713" s="7" t="s">
        <x:v>5285</x:v>
      </x:c>
      <x:c r="F1713" s="7" t="s">
        <x:v>1929</x:v>
      </x:c>
      <x:c r="G1713" s="8" t="n">
        <x:v>73</x:v>
      </x:c>
      <x:c r="H1713" s="8" t="n">
        <x:v>3</x:v>
      </x:c>
      <x:c r="I1713" s="8" t="s">
        <x:v>58</x:v>
      </x:c>
      <x:c r="J1713" s="7" t="s">
        <x:v>1919</x:v>
      </x:c>
      <x:c r="K1713" s="8" t="n">
        <x:v>1</x:v>
      </x:c>
      <x:c r="L1713" s="8" t="n">
        <x:f aca="0">IF(AND(ISNUMBER(G1713),P1713&lt;&gt;"Unresolved unit / layout"),G1713*K1713,"Not applicable")</x:f>
        <x:v>73</x:v>
      </x:c>
      <x:c r="M1713" s="8" t="n">
        <x:f aca="0">IF(AND(ISNUMBER(H1713),P1713&lt;&gt;"Unresolved unit / layout"),H1713*K1713,"Not applicable")</x:f>
        <x:v>3</x:v>
      </x:c>
      <x:c r="N1713" s="8" t="str">
        <x:f aca="0">IF(AND(ISNUMBER(I1713),P1713&lt;&gt;"Unresolved unit / layout"),I1713*K1713,"Not applicable")</x:f>
        <x:v>Not applicable</x:v>
      </x:c>
      <x:c r="O1713" s="7" t="s">
        <x:v>1929</x:v>
      </x:c>
      <x:c r="P1713" s="7" t="s">
        <x:v>1921</x:v>
      </x:c>
      <x:c r="Q1713" s="7" t="s">
        <x:v>1930</x:v>
      </x:c>
      <x:c r="R1713" s="7" t="s">
        <x:v>5271</x:v>
      </x:c>
      <x:c r="S1713" s="7" t="s">
        <x:v>53</x:v>
      </x:c>
      <x:c r="T1713" s="7" t="s">
        <x:v>53</x:v>
      </x:c>
      <x:c r="U1713" s="7" t="s">
        <x:v>53</x:v>
      </x:c>
      <x:c r="V1713" s="7" t="s">
        <x:v>1947</x:v>
      </x:c>
      <x:c r="W1713" s="7" t="s">
        <x:v>58</x:v>
      </x:c>
      <x:c r="X1713" s="7" t="s">
        <x:v>5267</x:v>
      </x:c>
      <x:c r="Y1713" s="7" t="s">
        <x:v>1387</x:v>
      </x:c>
      <x:c r="Z1713" s="7" t="s">
        <x:v>5283</x:v>
      </x:c>
      <x:c r="AA1713" s="7" t="s">
        <x:v>5215</x:v>
      </x:c>
      <x:c r="AB1713" s="8" t="s">
        <x:v>58</x:v>
      </x:c>
      <x:c r="AC1713" s="8" t="s">
        <x:v>58</x:v>
      </x:c>
      <x:c r="AD1713" s="8" t="s">
        <x:v>58</x:v>
      </x:c>
      <x:c r="AE1713" s="8" t="s">
        <x:v>58</x:v>
      </x:c>
      <x:c r="AF1713" s="8" t="s">
        <x:v>58</x:v>
      </x:c>
      <x:c r="AG1713" s="7" t="s">
        <x:v>58</x:v>
      </x:c>
    </x:row>
    <x:row r="1714" ht="51.75" hidden="0" customHeight="1">
      <x:c r="A1714" s="7" t="s">
        <x:v>5286</x:v>
      </x:c>
      <x:c r="B1714" s="7" t="s">
        <x:v>1007</x:v>
      </x:c>
      <x:c r="C1714" s="7" t="s">
        <x:v>1010</x:v>
      </x:c>
      <x:c r="D1714" s="7" t="s">
        <x:v>1950</x:v>
      </x:c>
      <x:c r="E1714" s="7" t="s">
        <x:v>5287</x:v>
      </x:c>
      <x:c r="F1714" s="7" t="s">
        <x:v>1937</x:v>
      </x:c>
      <x:c r="G1714" s="8" t="n">
        <x:v>2.2</x:v>
      </x:c>
      <x:c r="H1714" s="8" t="n">
        <x:v>0.1</x:v>
      </x:c>
      <x:c r="I1714" s="8" t="s">
        <x:v>58</x:v>
      </x:c>
      <x:c r="J1714" s="7" t="s">
        <x:v>1919</x:v>
      </x:c>
      <x:c r="K1714" s="8" t="n">
        <x:v>1</x:v>
      </x:c>
      <x:c r="L1714" s="8" t="n">
        <x:f aca="0">IF(AND(ISNUMBER(G1714),P1714&lt;&gt;"Unresolved unit / layout"),G1714*K1714,"Not applicable")</x:f>
        <x:v>2.2</x:v>
      </x:c>
      <x:c r="M1714" s="8" t="n">
        <x:f aca="0">IF(AND(ISNUMBER(H1714),P1714&lt;&gt;"Unresolved unit / layout"),H1714*K1714,"Not applicable")</x:f>
        <x:v>0.1</x:v>
      </x:c>
      <x:c r="N1714" s="8" t="str">
        <x:f aca="0">IF(AND(ISNUMBER(I1714),P1714&lt;&gt;"Unresolved unit / layout"),I1714*K1714,"Not applicable")</x:f>
        <x:v>Not applicable</x:v>
      </x:c>
      <x:c r="O1714" s="7" t="s">
        <x:v>1937</x:v>
      </x:c>
      <x:c r="P1714" s="7" t="s">
        <x:v>1921</x:v>
      </x:c>
      <x:c r="Q1714" s="7" t="s">
        <x:v>1930</x:v>
      </x:c>
      <x:c r="R1714" s="7" t="s">
        <x:v>5265</x:v>
      </x:c>
      <x:c r="S1714" s="7" t="s">
        <x:v>53</x:v>
      </x:c>
      <x:c r="T1714" s="7" t="s">
        <x:v>53</x:v>
      </x:c>
      <x:c r="U1714" s="7" t="s">
        <x:v>53</x:v>
      </x:c>
      <x:c r="V1714" s="7" t="s">
        <x:v>1947</x:v>
      </x:c>
      <x:c r="W1714" s="7" t="s">
        <x:v>58</x:v>
      </x:c>
      <x:c r="X1714" s="7" t="s">
        <x:v>5267</x:v>
      </x:c>
      <x:c r="Y1714" s="7" t="s">
        <x:v>1387</x:v>
      </x:c>
      <x:c r="Z1714" s="7" t="s">
        <x:v>5288</x:v>
      </x:c>
      <x:c r="AA1714" s="7" t="s">
        <x:v>5215</x:v>
      </x:c>
      <x:c r="AB1714" s="8" t="s">
        <x:v>58</x:v>
      </x:c>
      <x:c r="AC1714" s="8" t="s">
        <x:v>58</x:v>
      </x:c>
      <x:c r="AD1714" s="8" t="s">
        <x:v>58</x:v>
      </x:c>
      <x:c r="AE1714" s="8" t="s">
        <x:v>58</x:v>
      </x:c>
      <x:c r="AF1714" s="8" t="s">
        <x:v>58</x:v>
      </x:c>
      <x:c r="AG1714" s="7" t="s">
        <x:v>58</x:v>
      </x:c>
    </x:row>
    <x:row r="1715" ht="51.75" hidden="0" customHeight="1">
      <x:c r="A1715" s="7" t="s">
        <x:v>5289</x:v>
      </x:c>
      <x:c r="B1715" s="7" t="s">
        <x:v>1007</x:v>
      </x:c>
      <x:c r="C1715" s="7" t="s">
        <x:v>1010</x:v>
      </x:c>
      <x:c r="D1715" s="7" t="s">
        <x:v>1950</x:v>
      </x:c>
      <x:c r="E1715" s="7" t="s">
        <x:v>5290</x:v>
      </x:c>
      <x:c r="F1715" s="7" t="s">
        <x:v>1937</x:v>
      </x:c>
      <x:c r="G1715" s="8" t="n">
        <x:v>2.3</x:v>
      </x:c>
      <x:c r="H1715" s="8" t="n">
        <x:v>0.1</x:v>
      </x:c>
      <x:c r="I1715" s="8" t="s">
        <x:v>58</x:v>
      </x:c>
      <x:c r="J1715" s="7" t="s">
        <x:v>1919</x:v>
      </x:c>
      <x:c r="K1715" s="8" t="n">
        <x:v>1</x:v>
      </x:c>
      <x:c r="L1715" s="8" t="n">
        <x:f aca="0">IF(AND(ISNUMBER(G1715),P1715&lt;&gt;"Unresolved unit / layout"),G1715*K1715,"Not applicable")</x:f>
        <x:v>2.3</x:v>
      </x:c>
      <x:c r="M1715" s="8" t="n">
        <x:f aca="0">IF(AND(ISNUMBER(H1715),P1715&lt;&gt;"Unresolved unit / layout"),H1715*K1715,"Not applicable")</x:f>
        <x:v>0.1</x:v>
      </x:c>
      <x:c r="N1715" s="8" t="str">
        <x:f aca="0">IF(AND(ISNUMBER(I1715),P1715&lt;&gt;"Unresolved unit / layout"),I1715*K1715,"Not applicable")</x:f>
        <x:v>Not applicable</x:v>
      </x:c>
      <x:c r="O1715" s="7" t="s">
        <x:v>1937</x:v>
      </x:c>
      <x:c r="P1715" s="7" t="s">
        <x:v>1921</x:v>
      </x:c>
      <x:c r="Q1715" s="7" t="s">
        <x:v>1930</x:v>
      </x:c>
      <x:c r="R1715" s="7" t="s">
        <x:v>5271</x:v>
      </x:c>
      <x:c r="S1715" s="7" t="s">
        <x:v>53</x:v>
      </x:c>
      <x:c r="T1715" s="7" t="s">
        <x:v>53</x:v>
      </x:c>
      <x:c r="U1715" s="7" t="s">
        <x:v>53</x:v>
      </x:c>
      <x:c r="V1715" s="7" t="s">
        <x:v>1947</x:v>
      </x:c>
      <x:c r="W1715" s="7" t="s">
        <x:v>58</x:v>
      </x:c>
      <x:c r="X1715" s="7" t="s">
        <x:v>5267</x:v>
      </x:c>
      <x:c r="Y1715" s="7" t="s">
        <x:v>1387</x:v>
      </x:c>
      <x:c r="Z1715" s="7" t="s">
        <x:v>5288</x:v>
      </x:c>
      <x:c r="AA1715" s="7" t="s">
        <x:v>5215</x:v>
      </x:c>
      <x:c r="AB1715" s="8" t="s">
        <x:v>58</x:v>
      </x:c>
      <x:c r="AC1715" s="8" t="s">
        <x:v>58</x:v>
      </x:c>
      <x:c r="AD1715" s="8" t="s">
        <x:v>58</x:v>
      </x:c>
      <x:c r="AE1715" s="8" t="s">
        <x:v>58</x:v>
      </x:c>
      <x:c r="AF1715" s="8" t="s">
        <x:v>58</x:v>
      </x:c>
      <x:c r="AG1715" s="7" t="s">
        <x:v>58</x:v>
      </x:c>
    </x:row>
    <x:row r="1716" ht="51.75" hidden="0" customHeight="1">
      <x:c r="A1716" s="7" t="s">
        <x:v>5291</x:v>
      </x:c>
      <x:c r="B1716" s="7" t="s">
        <x:v>1007</x:v>
      </x:c>
      <x:c r="C1716" s="7" t="s">
        <x:v>1010</x:v>
      </x:c>
      <x:c r="D1716" s="7" t="s">
        <x:v>2030</x:v>
      </x:c>
      <x:c r="E1716" s="7" t="s">
        <x:v>5292</x:v>
      </x:c>
      <x:c r="F1716" s="7" t="s">
        <x:v>2033</x:v>
      </x:c>
      <x:c r="G1716" s="8" t="n">
        <x:v>55</x:v>
      </x:c>
      <x:c r="H1716" s="8" t="n">
        <x:v>7</x:v>
      </x:c>
      <x:c r="I1716" s="8" t="s">
        <x:v>58</x:v>
      </x:c>
      <x:c r="J1716" s="7" t="s">
        <x:v>1919</x:v>
      </x:c>
      <x:c r="K1716" s="8" t="n">
        <x:v>1</x:v>
      </x:c>
      <x:c r="L1716" s="8" t="n">
        <x:f aca="0">IF(AND(ISNUMBER(G1716),P1716&lt;&gt;"Unresolved unit / layout"),G1716*K1716,"Not applicable")</x:f>
        <x:v>55</x:v>
      </x:c>
      <x:c r="M1716" s="8" t="n">
        <x:f aca="0">IF(AND(ISNUMBER(H1716),P1716&lt;&gt;"Unresolved unit / layout"),H1716*K1716,"Not applicable")</x:f>
        <x:v>7</x:v>
      </x:c>
      <x:c r="N1716" s="8" t="str">
        <x:f aca="0">IF(AND(ISNUMBER(I1716),P1716&lt;&gt;"Unresolved unit / layout"),I1716*K1716,"Not applicable")</x:f>
        <x:v>Not applicable</x:v>
      </x:c>
      <x:c r="O1716" s="7" t="s">
        <x:v>2033</x:v>
      </x:c>
      <x:c r="P1716" s="7" t="s">
        <x:v>1921</x:v>
      </x:c>
      <x:c r="Q1716" s="7" t="s">
        <x:v>1930</x:v>
      </x:c>
      <x:c r="R1716" s="7" t="s">
        <x:v>5265</x:v>
      </x:c>
      <x:c r="S1716" s="7" t="s">
        <x:v>53</x:v>
      </x:c>
      <x:c r="T1716" s="7" t="s">
        <x:v>53</x:v>
      </x:c>
      <x:c r="U1716" s="7" t="s">
        <x:v>53</x:v>
      </x:c>
      <x:c r="V1716" s="7" t="s">
        <x:v>5293</x:v>
      </x:c>
      <x:c r="W1716" s="7" t="s">
        <x:v>2135</x:v>
      </x:c>
      <x:c r="X1716" s="7" t="s">
        <x:v>5267</x:v>
      </x:c>
      <x:c r="Y1716" s="7" t="s">
        <x:v>1387</x:v>
      </x:c>
      <x:c r="Z1716" s="7" t="s">
        <x:v>5294</x:v>
      </x:c>
      <x:c r="AA1716" s="7" t="s">
        <x:v>5215</x:v>
      </x:c>
      <x:c r="AB1716" s="8" t="s">
        <x:v>58</x:v>
      </x:c>
      <x:c r="AC1716" s="8" t="s">
        <x:v>58</x:v>
      </x:c>
      <x:c r="AD1716" s="8" t="s">
        <x:v>58</x:v>
      </x:c>
      <x:c r="AE1716" s="8" t="s">
        <x:v>58</x:v>
      </x:c>
      <x:c r="AF1716" s="8" t="s">
        <x:v>58</x:v>
      </x:c>
      <x:c r="AG1716" s="7" t="s">
        <x:v>58</x:v>
      </x:c>
    </x:row>
    <x:row r="1717" ht="51.75" hidden="0" customHeight="1">
      <x:c r="A1717" s="7" t="s">
        <x:v>5295</x:v>
      </x:c>
      <x:c r="B1717" s="7" t="s">
        <x:v>1007</x:v>
      </x:c>
      <x:c r="C1717" s="7" t="s">
        <x:v>1010</x:v>
      </x:c>
      <x:c r="D1717" s="7" t="s">
        <x:v>2030</x:v>
      </x:c>
      <x:c r="E1717" s="7" t="s">
        <x:v>5296</x:v>
      </x:c>
      <x:c r="F1717" s="7" t="s">
        <x:v>2033</x:v>
      </x:c>
      <x:c r="G1717" s="8" t="n">
        <x:v>59</x:v>
      </x:c>
      <x:c r="H1717" s="8" t="n">
        <x:v>12</x:v>
      </x:c>
      <x:c r="I1717" s="8" t="s">
        <x:v>58</x:v>
      </x:c>
      <x:c r="J1717" s="7" t="s">
        <x:v>1919</x:v>
      </x:c>
      <x:c r="K1717" s="8" t="n">
        <x:v>1</x:v>
      </x:c>
      <x:c r="L1717" s="8" t="n">
        <x:f aca="0">IF(AND(ISNUMBER(G1717),P1717&lt;&gt;"Unresolved unit / layout"),G1717*K1717,"Not applicable")</x:f>
        <x:v>59</x:v>
      </x:c>
      <x:c r="M1717" s="8" t="n">
        <x:f aca="0">IF(AND(ISNUMBER(H1717),P1717&lt;&gt;"Unresolved unit / layout"),H1717*K1717,"Not applicable")</x:f>
        <x:v>12</x:v>
      </x:c>
      <x:c r="N1717" s="8" t="str">
        <x:f aca="0">IF(AND(ISNUMBER(I1717),P1717&lt;&gt;"Unresolved unit / layout"),I1717*K1717,"Not applicable")</x:f>
        <x:v>Not applicable</x:v>
      </x:c>
      <x:c r="O1717" s="7" t="s">
        <x:v>2033</x:v>
      </x:c>
      <x:c r="P1717" s="7" t="s">
        <x:v>1921</x:v>
      </x:c>
      <x:c r="Q1717" s="7" t="s">
        <x:v>1930</x:v>
      </x:c>
      <x:c r="R1717" s="7" t="s">
        <x:v>5271</x:v>
      </x:c>
      <x:c r="S1717" s="7" t="s">
        <x:v>53</x:v>
      </x:c>
      <x:c r="T1717" s="7" t="s">
        <x:v>53</x:v>
      </x:c>
      <x:c r="U1717" s="7" t="s">
        <x:v>53</x:v>
      </x:c>
      <x:c r="V1717" s="7" t="s">
        <x:v>5293</x:v>
      </x:c>
      <x:c r="W1717" s="7" t="s">
        <x:v>2135</x:v>
      </x:c>
      <x:c r="X1717" s="7" t="s">
        <x:v>5267</x:v>
      </x:c>
      <x:c r="Y1717" s="7" t="s">
        <x:v>1387</x:v>
      </x:c>
      <x:c r="Z1717" s="7" t="s">
        <x:v>5294</x:v>
      </x:c>
      <x:c r="AA1717" s="7" t="s">
        <x:v>5215</x:v>
      </x:c>
      <x:c r="AB1717" s="8" t="s">
        <x:v>58</x:v>
      </x:c>
      <x:c r="AC1717" s="8" t="s">
        <x:v>58</x:v>
      </x:c>
      <x:c r="AD1717" s="8" t="s">
        <x:v>58</x:v>
      </x:c>
      <x:c r="AE1717" s="8" t="s">
        <x:v>58</x:v>
      </x:c>
      <x:c r="AF1717" s="8" t="s">
        <x:v>58</x:v>
      </x:c>
      <x:c r="AG1717" s="7" t="s">
        <x:v>58</x:v>
      </x:c>
    </x:row>
    <x:row r="1718" ht="51.75" hidden="0" customHeight="1">
      <x:c r="A1718" s="7" t="s">
        <x:v>5297</x:v>
      </x:c>
      <x:c r="B1718" s="7" t="s">
        <x:v>1007</x:v>
      </x:c>
      <x:c r="C1718" s="7" t="s">
        <x:v>1010</x:v>
      </x:c>
      <x:c r="D1718" s="7" t="s">
        <x:v>2030</x:v>
      </x:c>
      <x:c r="E1718" s="7" t="s">
        <x:v>5298</x:v>
      </x:c>
      <x:c r="F1718" s="7" t="s">
        <x:v>2033</x:v>
      </x:c>
      <x:c r="G1718" s="8" t="n">
        <x:v>7</x:v>
      </x:c>
      <x:c r="H1718" s="8" t="n">
        <x:v>1</x:v>
      </x:c>
      <x:c r="I1718" s="8" t="s">
        <x:v>58</x:v>
      </x:c>
      <x:c r="J1718" s="7" t="s">
        <x:v>1919</x:v>
      </x:c>
      <x:c r="K1718" s="8" t="n">
        <x:v>1</x:v>
      </x:c>
      <x:c r="L1718" s="8" t="n">
        <x:f aca="0">IF(AND(ISNUMBER(G1718),P1718&lt;&gt;"Unresolved unit / layout"),G1718*K1718,"Not applicable")</x:f>
        <x:v>7</x:v>
      </x:c>
      <x:c r="M1718" s="8" t="n">
        <x:f aca="0">IF(AND(ISNUMBER(H1718),P1718&lt;&gt;"Unresolved unit / layout"),H1718*K1718,"Not applicable")</x:f>
        <x:v>1</x:v>
      </x:c>
      <x:c r="N1718" s="8" t="str">
        <x:f aca="0">IF(AND(ISNUMBER(I1718),P1718&lt;&gt;"Unresolved unit / layout"),I1718*K1718,"Not applicable")</x:f>
        <x:v>Not applicable</x:v>
      </x:c>
      <x:c r="O1718" s="7" t="s">
        <x:v>2033</x:v>
      </x:c>
      <x:c r="P1718" s="7" t="s">
        <x:v>1921</x:v>
      </x:c>
      <x:c r="Q1718" s="7" t="s">
        <x:v>1930</x:v>
      </x:c>
      <x:c r="R1718" s="7" t="s">
        <x:v>5265</x:v>
      </x:c>
      <x:c r="S1718" s="7" t="s">
        <x:v>53</x:v>
      </x:c>
      <x:c r="T1718" s="7" t="s">
        <x:v>53</x:v>
      </x:c>
      <x:c r="U1718" s="7" t="s">
        <x:v>53</x:v>
      </x:c>
      <x:c r="V1718" s="7" t="s">
        <x:v>5299</x:v>
      </x:c>
      <x:c r="W1718" s="7" t="s">
        <x:v>2139</x:v>
      </x:c>
      <x:c r="X1718" s="7" t="s">
        <x:v>5267</x:v>
      </x:c>
      <x:c r="Y1718" s="7" t="s">
        <x:v>1387</x:v>
      </x:c>
      <x:c r="Z1718" s="7" t="s">
        <x:v>5300</x:v>
      </x:c>
      <x:c r="AA1718" s="7" t="s">
        <x:v>5215</x:v>
      </x:c>
      <x:c r="AB1718" s="8" t="s">
        <x:v>58</x:v>
      </x:c>
      <x:c r="AC1718" s="8" t="s">
        <x:v>58</x:v>
      </x:c>
      <x:c r="AD1718" s="8" t="s">
        <x:v>58</x:v>
      </x:c>
      <x:c r="AE1718" s="8" t="s">
        <x:v>58</x:v>
      </x:c>
      <x:c r="AF1718" s="8" t="s">
        <x:v>58</x:v>
      </x:c>
      <x:c r="AG1718" s="7" t="s">
        <x:v>58</x:v>
      </x:c>
    </x:row>
    <x:row r="1719" ht="51.75" hidden="0" customHeight="1">
      <x:c r="A1719" s="7" t="s">
        <x:v>5301</x:v>
      </x:c>
      <x:c r="B1719" s="7" t="s">
        <x:v>1007</x:v>
      </x:c>
      <x:c r="C1719" s="7" t="s">
        <x:v>1010</x:v>
      </x:c>
      <x:c r="D1719" s="7" t="s">
        <x:v>2030</x:v>
      </x:c>
      <x:c r="E1719" s="7" t="s">
        <x:v>5302</x:v>
      </x:c>
      <x:c r="F1719" s="7" t="s">
        <x:v>2033</x:v>
      </x:c>
      <x:c r="G1719" s="8" t="n">
        <x:v>10</x:v>
      </x:c>
      <x:c r="H1719" s="8" t="n">
        <x:v>1</x:v>
      </x:c>
      <x:c r="I1719" s="8" t="s">
        <x:v>58</x:v>
      </x:c>
      <x:c r="J1719" s="7" t="s">
        <x:v>1919</x:v>
      </x:c>
      <x:c r="K1719" s="8" t="n">
        <x:v>1</x:v>
      </x:c>
      <x:c r="L1719" s="8" t="n">
        <x:f aca="0">IF(AND(ISNUMBER(G1719),P1719&lt;&gt;"Unresolved unit / layout"),G1719*K1719,"Not applicable")</x:f>
        <x:v>10</x:v>
      </x:c>
      <x:c r="M1719" s="8" t="n">
        <x:f aca="0">IF(AND(ISNUMBER(H1719),P1719&lt;&gt;"Unresolved unit / layout"),H1719*K1719,"Not applicable")</x:f>
        <x:v>1</x:v>
      </x:c>
      <x:c r="N1719" s="8" t="str">
        <x:f aca="0">IF(AND(ISNUMBER(I1719),P1719&lt;&gt;"Unresolved unit / layout"),I1719*K1719,"Not applicable")</x:f>
        <x:v>Not applicable</x:v>
      </x:c>
      <x:c r="O1719" s="7" t="s">
        <x:v>2033</x:v>
      </x:c>
      <x:c r="P1719" s="7" t="s">
        <x:v>1921</x:v>
      </x:c>
      <x:c r="Q1719" s="7" t="s">
        <x:v>1930</x:v>
      </x:c>
      <x:c r="R1719" s="7" t="s">
        <x:v>5271</x:v>
      </x:c>
      <x:c r="S1719" s="7" t="s">
        <x:v>53</x:v>
      </x:c>
      <x:c r="T1719" s="7" t="s">
        <x:v>53</x:v>
      </x:c>
      <x:c r="U1719" s="7" t="s">
        <x:v>53</x:v>
      </x:c>
      <x:c r="V1719" s="7" t="s">
        <x:v>5299</x:v>
      </x:c>
      <x:c r="W1719" s="7" t="s">
        <x:v>2139</x:v>
      </x:c>
      <x:c r="X1719" s="7" t="s">
        <x:v>5267</x:v>
      </x:c>
      <x:c r="Y1719" s="7" t="s">
        <x:v>1387</x:v>
      </x:c>
      <x:c r="Z1719" s="7" t="s">
        <x:v>5300</x:v>
      </x:c>
      <x:c r="AA1719" s="7" t="s">
        <x:v>5215</x:v>
      </x:c>
      <x:c r="AB1719" s="8" t="s">
        <x:v>58</x:v>
      </x:c>
      <x:c r="AC1719" s="8" t="s">
        <x:v>58</x:v>
      </x:c>
      <x:c r="AD1719" s="8" t="s">
        <x:v>58</x:v>
      </x:c>
      <x:c r="AE1719" s="8" t="s">
        <x:v>58</x:v>
      </x:c>
      <x:c r="AF1719" s="8" t="s">
        <x:v>58</x:v>
      </x:c>
      <x:c r="AG1719" s="7" t="s">
        <x:v>58</x:v>
      </x:c>
    </x:row>
    <x:row r="1720" ht="37.5" hidden="0" customHeight="1">
      <x:c r="A1720" s="7" t="s">
        <x:v>5303</x:v>
      </x:c>
      <x:c r="B1720" s="7" t="s">
        <x:v>1080</x:v>
      </x:c>
      <x:c r="C1720" s="7" t="s">
        <x:v>1416</x:v>
      </x:c>
      <x:c r="D1720" s="7" t="s">
        <x:v>1935</x:v>
      </x:c>
      <x:c r="E1720" s="7" t="s">
        <x:v>5304</x:v>
      </x:c>
      <x:c r="F1720" s="7" t="s">
        <x:v>1929</x:v>
      </x:c>
      <x:c r="G1720" s="8" t="n">
        <x:v>2176</x:v>
      </x:c>
      <x:c r="H1720" s="8" t="s">
        <x:v>58</x:v>
      </x:c>
      <x:c r="I1720" s="8" t="s">
        <x:v>58</x:v>
      </x:c>
      <x:c r="J1720" s="7" t="s">
        <x:v>1919</x:v>
      </x:c>
      <x:c r="K1720" s="8" t="n">
        <x:v>0.001</x:v>
      </x:c>
      <x:c r="L1720" s="8" t="n">
        <x:f aca="0">IF(AND(ISNUMBER(G1720),P1720&lt;&gt;"Unresolved unit / layout"),G1720*K1720,"Not applicable")</x:f>
        <x:v>2.176</x:v>
      </x:c>
      <x:c r="M1720" s="8" t="str">
        <x:f aca="0">IF(AND(ISNUMBER(H1720),P1720&lt;&gt;"Unresolved unit / layout"),H1720*K1720,"Not applicable")</x:f>
        <x:v>Not applicable</x:v>
      </x:c>
      <x:c r="N1720" s="8" t="str">
        <x:f aca="0">IF(AND(ISNUMBER(I1720),P1720&lt;&gt;"Unresolved unit / layout"),I1720*K1720,"Not applicable")</x:f>
        <x:v>Not applicable</x:v>
      </x:c>
      <x:c r="O1720" s="7" t="s">
        <x:v>1937</x:v>
      </x:c>
      <x:c r="P1720" s="7" t="s">
        <x:v>1921</x:v>
      </x:c>
      <x:c r="Q1720" s="7" t="s">
        <x:v>2064</x:v>
      </x:c>
      <x:c r="R1720" s="7" t="s">
        <x:v>1931</x:v>
      </x:c>
      <x:c r="S1720" s="7" t="s">
        <x:v>53</x:v>
      </x:c>
      <x:c r="T1720" s="7" t="s">
        <x:v>53</x:v>
      </x:c>
      <x:c r="U1720" s="7" t="s">
        <x:v>53</x:v>
      </x:c>
      <x:c r="V1720" s="7" t="s">
        <x:v>5174</x:v>
      </x:c>
      <x:c r="W1720" s="7" t="s">
        <x:v>58</x:v>
      </x:c>
      <x:c r="X1720" s="7" t="s">
        <x:v>53</x:v>
      </x:c>
      <x:c r="Y1720" s="7" t="s">
        <x:v>1418</x:v>
      </x:c>
      <x:c r="Z1720" s="7" t="s">
        <x:v>5305</x:v>
      </x:c>
      <x:c r="AA1720" s="7" t="s">
        <x:v>5215</x:v>
      </x:c>
      <x:c r="AB1720" s="8" t="s">
        <x:v>58</x:v>
      </x:c>
      <x:c r="AC1720" s="8" t="s">
        <x:v>58</x:v>
      </x:c>
      <x:c r="AD1720" s="8" t="s">
        <x:v>58</x:v>
      </x:c>
      <x:c r="AE1720" s="8" t="s">
        <x:v>58</x:v>
      </x:c>
      <x:c r="AF1720" s="8" t="s">
        <x:v>58</x:v>
      </x:c>
      <x:c r="AG1720" s="7" t="s">
        <x:v>58</x:v>
      </x:c>
    </x:row>
    <x:row r="1721" ht="37.5" hidden="0" customHeight="1">
      <x:c r="A1721" s="7" t="s">
        <x:v>5306</x:v>
      </x:c>
      <x:c r="B1721" s="7" t="s">
        <x:v>1080</x:v>
      </x:c>
      <x:c r="C1721" s="7" t="s">
        <x:v>1416</x:v>
      </x:c>
      <x:c r="D1721" s="7" t="s">
        <x:v>1935</x:v>
      </x:c>
      <x:c r="E1721" s="7" t="s">
        <x:v>5307</x:v>
      </x:c>
      <x:c r="F1721" s="7" t="s">
        <x:v>1929</x:v>
      </x:c>
      <x:c r="G1721" s="8" t="n">
        <x:v>2555</x:v>
      </x:c>
      <x:c r="H1721" s="8" t="s">
        <x:v>58</x:v>
      </x:c>
      <x:c r="I1721" s="8" t="s">
        <x:v>58</x:v>
      </x:c>
      <x:c r="J1721" s="7" t="s">
        <x:v>1919</x:v>
      </x:c>
      <x:c r="K1721" s="8" t="n">
        <x:v>0.001</x:v>
      </x:c>
      <x:c r="L1721" s="8" t="n">
        <x:f aca="0">IF(AND(ISNUMBER(G1721),P1721&lt;&gt;"Unresolved unit / layout"),G1721*K1721,"Not applicable")</x:f>
        <x:v>2.555</x:v>
      </x:c>
      <x:c r="M1721" s="8" t="str">
        <x:f aca="0">IF(AND(ISNUMBER(H1721),P1721&lt;&gt;"Unresolved unit / layout"),H1721*K1721,"Not applicable")</x:f>
        <x:v>Not applicable</x:v>
      </x:c>
      <x:c r="N1721" s="8" t="str">
        <x:f aca="0">IF(AND(ISNUMBER(I1721),P1721&lt;&gt;"Unresolved unit / layout"),I1721*K1721,"Not applicable")</x:f>
        <x:v>Not applicable</x:v>
      </x:c>
      <x:c r="O1721" s="7" t="s">
        <x:v>1937</x:v>
      </x:c>
      <x:c r="P1721" s="7" t="s">
        <x:v>1921</x:v>
      </x:c>
      <x:c r="Q1721" s="7" t="s">
        <x:v>2064</x:v>
      </x:c>
      <x:c r="R1721" s="7" t="s">
        <x:v>5308</x:v>
      </x:c>
      <x:c r="S1721" s="7" t="s">
        <x:v>53</x:v>
      </x:c>
      <x:c r="T1721" s="7" t="s">
        <x:v>53</x:v>
      </x:c>
      <x:c r="U1721" s="7" t="s">
        <x:v>53</x:v>
      </x:c>
      <x:c r="V1721" s="7" t="s">
        <x:v>5174</x:v>
      </x:c>
      <x:c r="W1721" s="7" t="s">
        <x:v>58</x:v>
      </x:c>
      <x:c r="X1721" s="7" t="s">
        <x:v>53</x:v>
      </x:c>
      <x:c r="Y1721" s="7" t="s">
        <x:v>1418</x:v>
      </x:c>
      <x:c r="Z1721" s="7" t="s">
        <x:v>5305</x:v>
      </x:c>
      <x:c r="AA1721" s="7" t="s">
        <x:v>5215</x:v>
      </x:c>
      <x:c r="AB1721" s="8" t="s">
        <x:v>58</x:v>
      </x:c>
      <x:c r="AC1721" s="8" t="s">
        <x:v>58</x:v>
      </x:c>
      <x:c r="AD1721" s="8" t="s">
        <x:v>58</x:v>
      </x:c>
      <x:c r="AE1721" s="8" t="s">
        <x:v>58</x:v>
      </x:c>
      <x:c r="AF1721" s="8" t="s">
        <x:v>58</x:v>
      </x:c>
      <x:c r="AG1721" s="7" t="s">
        <x:v>58</x:v>
      </x:c>
    </x:row>
    <x:row r="1722" ht="37.5" hidden="0" customHeight="1">
      <x:c r="A1722" s="7" t="s">
        <x:v>5309</x:v>
      </x:c>
      <x:c r="B1722" s="7" t="s">
        <x:v>1080</x:v>
      </x:c>
      <x:c r="C1722" s="7" t="s">
        <x:v>1416</x:v>
      </x:c>
      <x:c r="D1722" s="7" t="s">
        <x:v>1935</x:v>
      </x:c>
      <x:c r="E1722" s="7" t="s">
        <x:v>5310</x:v>
      </x:c>
      <x:c r="F1722" s="7" t="s">
        <x:v>1929</x:v>
      </x:c>
      <x:c r="G1722" s="8" t="n">
        <x:v>2439</x:v>
      </x:c>
      <x:c r="H1722" s="8" t="s">
        <x:v>58</x:v>
      </x:c>
      <x:c r="I1722" s="8" t="s">
        <x:v>58</x:v>
      </x:c>
      <x:c r="J1722" s="7" t="s">
        <x:v>1919</x:v>
      </x:c>
      <x:c r="K1722" s="8" t="n">
        <x:v>0.001</x:v>
      </x:c>
      <x:c r="L1722" s="8" t="n">
        <x:f aca="0">IF(AND(ISNUMBER(G1722),P1722&lt;&gt;"Unresolved unit / layout"),G1722*K1722,"Not applicable")</x:f>
        <x:v>2.439</x:v>
      </x:c>
      <x:c r="M1722" s="8" t="str">
        <x:f aca="0">IF(AND(ISNUMBER(H1722),P1722&lt;&gt;"Unresolved unit / layout"),H1722*K1722,"Not applicable")</x:f>
        <x:v>Not applicable</x:v>
      </x:c>
      <x:c r="N1722" s="8" t="str">
        <x:f aca="0">IF(AND(ISNUMBER(I1722),P1722&lt;&gt;"Unresolved unit / layout"),I1722*K1722,"Not applicable")</x:f>
        <x:v>Not applicable</x:v>
      </x:c>
      <x:c r="O1722" s="7" t="s">
        <x:v>1937</x:v>
      </x:c>
      <x:c r="P1722" s="7" t="s">
        <x:v>1921</x:v>
      </x:c>
      <x:c r="Q1722" s="7" t="s">
        <x:v>2064</x:v>
      </x:c>
      <x:c r="R1722" s="7" t="s">
        <x:v>5311</x:v>
      </x:c>
      <x:c r="S1722" s="7" t="s">
        <x:v>53</x:v>
      </x:c>
      <x:c r="T1722" s="7" t="s">
        <x:v>53</x:v>
      </x:c>
      <x:c r="U1722" s="7" t="s">
        <x:v>53</x:v>
      </x:c>
      <x:c r="V1722" s="7" t="s">
        <x:v>5174</x:v>
      </x:c>
      <x:c r="W1722" s="7" t="s">
        <x:v>58</x:v>
      </x:c>
      <x:c r="X1722" s="7" t="s">
        <x:v>53</x:v>
      </x:c>
      <x:c r="Y1722" s="7" t="s">
        <x:v>1418</x:v>
      </x:c>
      <x:c r="Z1722" s="7" t="s">
        <x:v>5305</x:v>
      </x:c>
      <x:c r="AA1722" s="7" t="s">
        <x:v>5215</x:v>
      </x:c>
      <x:c r="AB1722" s="8" t="s">
        <x:v>58</x:v>
      </x:c>
      <x:c r="AC1722" s="8" t="s">
        <x:v>58</x:v>
      </x:c>
      <x:c r="AD1722" s="8" t="s">
        <x:v>58</x:v>
      </x:c>
      <x:c r="AE1722" s="8" t="s">
        <x:v>58</x:v>
      </x:c>
      <x:c r="AF1722" s="8" t="s">
        <x:v>58</x:v>
      </x:c>
      <x:c r="AG1722" s="7" t="s">
        <x:v>58</x:v>
      </x:c>
    </x:row>
    <x:row r="1723" ht="37.5" hidden="0" customHeight="1">
      <x:c r="A1723" s="7" t="s">
        <x:v>5312</x:v>
      </x:c>
      <x:c r="B1723" s="7" t="s">
        <x:v>1080</x:v>
      </x:c>
      <x:c r="C1723" s="7" t="s">
        <x:v>1416</x:v>
      </x:c>
      <x:c r="D1723" s="7" t="s">
        <x:v>1927</x:v>
      </x:c>
      <x:c r="E1723" s="7" t="s">
        <x:v>5313</x:v>
      </x:c>
      <x:c r="F1723" s="7" t="s">
        <x:v>1929</x:v>
      </x:c>
      <x:c r="G1723" s="8" t="n">
        <x:v>62</x:v>
      </x:c>
      <x:c r="H1723" s="8" t="s">
        <x:v>58</x:v>
      </x:c>
      <x:c r="I1723" s="8" t="s">
        <x:v>58</x:v>
      </x:c>
      <x:c r="J1723" s="7" t="s">
        <x:v>1919</x:v>
      </x:c>
      <x:c r="K1723" s="8" t="n">
        <x:v>1</x:v>
      </x:c>
      <x:c r="L1723" s="8" t="n">
        <x:f aca="0">IF(AND(ISNUMBER(G1723),P1723&lt;&gt;"Unresolved unit / layout"),G1723*K1723,"Not applicable")</x:f>
        <x:v>62</x:v>
      </x:c>
      <x:c r="M1723" s="8" t="str">
        <x:f aca="0">IF(AND(ISNUMBER(H1723),P1723&lt;&gt;"Unresolved unit / layout"),H1723*K1723,"Not applicable")</x:f>
        <x:v>Not applicable</x:v>
      </x:c>
      <x:c r="N1723" s="8" t="str">
        <x:f aca="0">IF(AND(ISNUMBER(I1723),P1723&lt;&gt;"Unresolved unit / layout"),I1723*K1723,"Not applicable")</x:f>
        <x:v>Not applicable</x:v>
      </x:c>
      <x:c r="O1723" s="7" t="s">
        <x:v>1929</x:v>
      </x:c>
      <x:c r="P1723" s="7" t="s">
        <x:v>1921</x:v>
      </x:c>
      <x:c r="Q1723" s="7" t="s">
        <x:v>2064</x:v>
      </x:c>
      <x:c r="R1723" s="7" t="s">
        <x:v>1931</x:v>
      </x:c>
      <x:c r="S1723" s="7" t="s">
        <x:v>53</x:v>
      </x:c>
      <x:c r="T1723" s="7" t="s">
        <x:v>53</x:v>
      </x:c>
      <x:c r="U1723" s="7" t="s">
        <x:v>53</x:v>
      </x:c>
      <x:c r="V1723" s="7" t="s">
        <x:v>5314</x:v>
      </x:c>
      <x:c r="W1723" s="7" t="s">
        <x:v>58</x:v>
      </x:c>
      <x:c r="X1723" s="7" t="s">
        <x:v>53</x:v>
      </x:c>
      <x:c r="Y1723" s="7" t="s">
        <x:v>1418</x:v>
      </x:c>
      <x:c r="Z1723" s="7" t="s">
        <x:v>5315</x:v>
      </x:c>
      <x:c r="AA1723" s="7" t="s">
        <x:v>5215</x:v>
      </x:c>
      <x:c r="AB1723" s="8" t="s">
        <x:v>58</x:v>
      </x:c>
      <x:c r="AC1723" s="8" t="s">
        <x:v>58</x:v>
      </x:c>
      <x:c r="AD1723" s="8" t="s">
        <x:v>58</x:v>
      </x:c>
      <x:c r="AE1723" s="8" t="s">
        <x:v>58</x:v>
      </x:c>
      <x:c r="AF1723" s="8" t="s">
        <x:v>58</x:v>
      </x:c>
      <x:c r="AG1723" s="7" t="s">
        <x:v>58</x:v>
      </x:c>
    </x:row>
    <x:row r="1724" ht="37.5" hidden="0" customHeight="1">
      <x:c r="A1724" s="7" t="s">
        <x:v>5316</x:v>
      </x:c>
      <x:c r="B1724" s="7" t="s">
        <x:v>1080</x:v>
      </x:c>
      <x:c r="C1724" s="7" t="s">
        <x:v>1416</x:v>
      </x:c>
      <x:c r="D1724" s="7" t="s">
        <x:v>1927</x:v>
      </x:c>
      <x:c r="E1724" s="7" t="s">
        <x:v>1960</x:v>
      </x:c>
      <x:c r="F1724" s="7" t="s">
        <x:v>1929</x:v>
      </x:c>
      <x:c r="G1724" s="8" t="n">
        <x:v>80</x:v>
      </x:c>
      <x:c r="H1724" s="8" t="s">
        <x:v>58</x:v>
      </x:c>
      <x:c r="I1724" s="8" t="s">
        <x:v>58</x:v>
      </x:c>
      <x:c r="J1724" s="7" t="s">
        <x:v>1919</x:v>
      </x:c>
      <x:c r="K1724" s="8" t="n">
        <x:v>1</x:v>
      </x:c>
      <x:c r="L1724" s="8" t="n">
        <x:f aca="0">IF(AND(ISNUMBER(G1724),P1724&lt;&gt;"Unresolved unit / layout"),G1724*K1724,"Not applicable")</x:f>
        <x:v>80</x:v>
      </x:c>
      <x:c r="M1724" s="8" t="str">
        <x:f aca="0">IF(AND(ISNUMBER(H1724),P1724&lt;&gt;"Unresolved unit / layout"),H1724*K1724,"Not applicable")</x:f>
        <x:v>Not applicable</x:v>
      </x:c>
      <x:c r="N1724" s="8" t="str">
        <x:f aca="0">IF(AND(ISNUMBER(I1724),P1724&lt;&gt;"Unresolved unit / layout"),I1724*K1724,"Not applicable")</x:f>
        <x:v>Not applicable</x:v>
      </x:c>
      <x:c r="O1724" s="7" t="s">
        <x:v>1929</x:v>
      </x:c>
      <x:c r="P1724" s="7" t="s">
        <x:v>1921</x:v>
      </x:c>
      <x:c r="Q1724" s="7" t="s">
        <x:v>2064</x:v>
      </x:c>
      <x:c r="R1724" s="7" t="s">
        <x:v>5308</x:v>
      </x:c>
      <x:c r="S1724" s="7" t="s">
        <x:v>53</x:v>
      </x:c>
      <x:c r="T1724" s="7" t="s">
        <x:v>53</x:v>
      </x:c>
      <x:c r="U1724" s="7" t="s">
        <x:v>53</x:v>
      </x:c>
      <x:c r="V1724" s="7" t="s">
        <x:v>5314</x:v>
      </x:c>
      <x:c r="W1724" s="7" t="s">
        <x:v>58</x:v>
      </x:c>
      <x:c r="X1724" s="7" t="s">
        <x:v>53</x:v>
      </x:c>
      <x:c r="Y1724" s="7" t="s">
        <x:v>1418</x:v>
      </x:c>
      <x:c r="Z1724" s="7" t="s">
        <x:v>5315</x:v>
      </x:c>
      <x:c r="AA1724" s="7" t="s">
        <x:v>5215</x:v>
      </x:c>
      <x:c r="AB1724" s="8" t="s">
        <x:v>58</x:v>
      </x:c>
      <x:c r="AC1724" s="8" t="s">
        <x:v>58</x:v>
      </x:c>
      <x:c r="AD1724" s="8" t="s">
        <x:v>58</x:v>
      </x:c>
      <x:c r="AE1724" s="8" t="s">
        <x:v>58</x:v>
      </x:c>
      <x:c r="AF1724" s="8" t="s">
        <x:v>58</x:v>
      </x:c>
      <x:c r="AG1724" s="7" t="s">
        <x:v>58</x:v>
      </x:c>
    </x:row>
    <x:row r="1725" ht="37.5" hidden="0" customHeight="1">
      <x:c r="A1725" s="7" t="s">
        <x:v>5317</x:v>
      </x:c>
      <x:c r="B1725" s="7" t="s">
        <x:v>1080</x:v>
      </x:c>
      <x:c r="C1725" s="7" t="s">
        <x:v>1416</x:v>
      </x:c>
      <x:c r="D1725" s="7" t="s">
        <x:v>1927</x:v>
      </x:c>
      <x:c r="E1725" s="7" t="s">
        <x:v>4912</x:v>
      </x:c>
      <x:c r="F1725" s="7" t="s">
        <x:v>1929</x:v>
      </x:c>
      <x:c r="G1725" s="8" t="n">
        <x:v>45</x:v>
      </x:c>
      <x:c r="H1725" s="8" t="s">
        <x:v>58</x:v>
      </x:c>
      <x:c r="I1725" s="8" t="s">
        <x:v>58</x:v>
      </x:c>
      <x:c r="J1725" s="7" t="s">
        <x:v>1919</x:v>
      </x:c>
      <x:c r="K1725" s="8" t="n">
        <x:v>1</x:v>
      </x:c>
      <x:c r="L1725" s="8" t="n">
        <x:f aca="0">IF(AND(ISNUMBER(G1725),P1725&lt;&gt;"Unresolved unit / layout"),G1725*K1725,"Not applicable")</x:f>
        <x:v>45</x:v>
      </x:c>
      <x:c r="M1725" s="8" t="str">
        <x:f aca="0">IF(AND(ISNUMBER(H1725),P1725&lt;&gt;"Unresolved unit / layout"),H1725*K1725,"Not applicable")</x:f>
        <x:v>Not applicable</x:v>
      </x:c>
      <x:c r="N1725" s="8" t="str">
        <x:f aca="0">IF(AND(ISNUMBER(I1725),P1725&lt;&gt;"Unresolved unit / layout"),I1725*K1725,"Not applicable")</x:f>
        <x:v>Not applicable</x:v>
      </x:c>
      <x:c r="O1725" s="7" t="s">
        <x:v>1929</x:v>
      </x:c>
      <x:c r="P1725" s="7" t="s">
        <x:v>1921</x:v>
      </x:c>
      <x:c r="Q1725" s="7" t="s">
        <x:v>2064</x:v>
      </x:c>
      <x:c r="R1725" s="7" t="s">
        <x:v>5311</x:v>
      </x:c>
      <x:c r="S1725" s="7" t="s">
        <x:v>53</x:v>
      </x:c>
      <x:c r="T1725" s="7" t="s">
        <x:v>53</x:v>
      </x:c>
      <x:c r="U1725" s="7" t="s">
        <x:v>53</x:v>
      </x:c>
      <x:c r="V1725" s="7" t="s">
        <x:v>5314</x:v>
      </x:c>
      <x:c r="W1725" s="7" t="s">
        <x:v>58</x:v>
      </x:c>
      <x:c r="X1725" s="7" t="s">
        <x:v>53</x:v>
      </x:c>
      <x:c r="Y1725" s="7" t="s">
        <x:v>1418</x:v>
      </x:c>
      <x:c r="Z1725" s="7" t="s">
        <x:v>5315</x:v>
      </x:c>
      <x:c r="AA1725" s="7" t="s">
        <x:v>5215</x:v>
      </x:c>
      <x:c r="AB1725" s="8" t="s">
        <x:v>58</x:v>
      </x:c>
      <x:c r="AC1725" s="8" t="s">
        <x:v>58</x:v>
      </x:c>
      <x:c r="AD1725" s="8" t="s">
        <x:v>58</x:v>
      </x:c>
      <x:c r="AE1725" s="8" t="s">
        <x:v>58</x:v>
      </x:c>
      <x:c r="AF1725" s="8" t="s">
        <x:v>58</x:v>
      </x:c>
      <x:c r="AG1725" s="7" t="s">
        <x:v>58</x:v>
      </x:c>
    </x:row>
    <x:row r="1726" ht="37.5" hidden="0" customHeight="1">
      <x:c r="A1726" s="7" t="s">
        <x:v>5318</x:v>
      </x:c>
      <x:c r="B1726" s="7" t="s">
        <x:v>1080</x:v>
      </x:c>
      <x:c r="C1726" s="7" t="s">
        <x:v>1416</x:v>
      </x:c>
      <x:c r="D1726" s="7" t="s">
        <x:v>1940</x:v>
      </x:c>
      <x:c r="E1726" s="7" t="s">
        <x:v>5319</x:v>
      </x:c>
      <x:c r="F1726" s="7" t="s">
        <x:v>1942</x:v>
      </x:c>
      <x:c r="G1726" s="8" t="n">
        <x:v>5.1</x:v>
      </x:c>
      <x:c r="H1726" s="8" t="s">
        <x:v>58</x:v>
      </x:c>
      <x:c r="I1726" s="8" t="s">
        <x:v>58</x:v>
      </x:c>
      <x:c r="J1726" s="7" t="s">
        <x:v>1919</x:v>
      </x:c>
      <x:c r="K1726" s="8" t="n">
        <x:v>1</x:v>
      </x:c>
      <x:c r="L1726" s="8" t="n">
        <x:f aca="0">IF(AND(ISNUMBER(G1726),P1726&lt;&gt;"Unresolved unit / layout"),G1726*K1726,"Not applicable")</x:f>
        <x:v>5.1</x:v>
      </x:c>
      <x:c r="M1726" s="8" t="str">
        <x:f aca="0">IF(AND(ISNUMBER(H1726),P1726&lt;&gt;"Unresolved unit / layout"),H1726*K1726,"Not applicable")</x:f>
        <x:v>Not applicable</x:v>
      </x:c>
      <x:c r="N1726" s="8" t="str">
        <x:f aca="0">IF(AND(ISNUMBER(I1726),P1726&lt;&gt;"Unresolved unit / layout"),I1726*K1726,"Not applicable")</x:f>
        <x:v>Not applicable</x:v>
      </x:c>
      <x:c r="O1726" s="7" t="s">
        <x:v>1942</x:v>
      </x:c>
      <x:c r="P1726" s="7" t="s">
        <x:v>1921</x:v>
      </x:c>
      <x:c r="Q1726" s="7" t="s">
        <x:v>2064</x:v>
      </x:c>
      <x:c r="R1726" s="7" t="s">
        <x:v>1931</x:v>
      </x:c>
      <x:c r="S1726" s="7" t="s">
        <x:v>53</x:v>
      </x:c>
      <x:c r="T1726" s="7" t="s">
        <x:v>53</x:v>
      </x:c>
      <x:c r="U1726" s="7" t="s">
        <x:v>53</x:v>
      </x:c>
      <x:c r="V1726" s="7" t="s">
        <x:v>5314</x:v>
      </x:c>
      <x:c r="W1726" s="7" t="s">
        <x:v>58</x:v>
      </x:c>
      <x:c r="X1726" s="7" t="s">
        <x:v>53</x:v>
      </x:c>
      <x:c r="Y1726" s="7" t="s">
        <x:v>1418</x:v>
      </x:c>
      <x:c r="Z1726" s="7" t="s">
        <x:v>5320</x:v>
      </x:c>
      <x:c r="AA1726" s="7" t="s">
        <x:v>5215</x:v>
      </x:c>
      <x:c r="AB1726" s="8" t="s">
        <x:v>58</x:v>
      </x:c>
      <x:c r="AC1726" s="8" t="s">
        <x:v>58</x:v>
      </x:c>
      <x:c r="AD1726" s="8" t="s">
        <x:v>58</x:v>
      </x:c>
      <x:c r="AE1726" s="8" t="s">
        <x:v>58</x:v>
      </x:c>
      <x:c r="AF1726" s="8" t="s">
        <x:v>58</x:v>
      </x:c>
      <x:c r="AG1726" s="7" t="s">
        <x:v>58</x:v>
      </x:c>
    </x:row>
    <x:row r="1727" ht="37.5" hidden="0" customHeight="1">
      <x:c r="A1727" s="7" t="s">
        <x:v>5321</x:v>
      </x:c>
      <x:c r="B1727" s="7" t="s">
        <x:v>1080</x:v>
      </x:c>
      <x:c r="C1727" s="7" t="s">
        <x:v>1416</x:v>
      </x:c>
      <x:c r="D1727" s="7" t="s">
        <x:v>1940</x:v>
      </x:c>
      <x:c r="E1727" s="7" t="s">
        <x:v>5322</x:v>
      </x:c>
      <x:c r="F1727" s="7" t="s">
        <x:v>1942</x:v>
      </x:c>
      <x:c r="G1727" s="8" t="n">
        <x:v>5.8</x:v>
      </x:c>
      <x:c r="H1727" s="8" t="s">
        <x:v>58</x:v>
      </x:c>
      <x:c r="I1727" s="8" t="s">
        <x:v>58</x:v>
      </x:c>
      <x:c r="J1727" s="7" t="s">
        <x:v>1919</x:v>
      </x:c>
      <x:c r="K1727" s="8" t="n">
        <x:v>1</x:v>
      </x:c>
      <x:c r="L1727" s="8" t="n">
        <x:f aca="0">IF(AND(ISNUMBER(G1727),P1727&lt;&gt;"Unresolved unit / layout"),G1727*K1727,"Not applicable")</x:f>
        <x:v>5.8</x:v>
      </x:c>
      <x:c r="M1727" s="8" t="str">
        <x:f aca="0">IF(AND(ISNUMBER(H1727),P1727&lt;&gt;"Unresolved unit / layout"),H1727*K1727,"Not applicable")</x:f>
        <x:v>Not applicable</x:v>
      </x:c>
      <x:c r="N1727" s="8" t="str">
        <x:f aca="0">IF(AND(ISNUMBER(I1727),P1727&lt;&gt;"Unresolved unit / layout"),I1727*K1727,"Not applicable")</x:f>
        <x:v>Not applicable</x:v>
      </x:c>
      <x:c r="O1727" s="7" t="s">
        <x:v>1942</x:v>
      </x:c>
      <x:c r="P1727" s="7" t="s">
        <x:v>1921</x:v>
      </x:c>
      <x:c r="Q1727" s="7" t="s">
        <x:v>2064</x:v>
      </x:c>
      <x:c r="R1727" s="7" t="s">
        <x:v>5308</x:v>
      </x:c>
      <x:c r="S1727" s="7" t="s">
        <x:v>53</x:v>
      </x:c>
      <x:c r="T1727" s="7" t="s">
        <x:v>53</x:v>
      </x:c>
      <x:c r="U1727" s="7" t="s">
        <x:v>53</x:v>
      </x:c>
      <x:c r="V1727" s="7" t="s">
        <x:v>5314</x:v>
      </x:c>
      <x:c r="W1727" s="7" t="s">
        <x:v>58</x:v>
      </x:c>
      <x:c r="X1727" s="7" t="s">
        <x:v>53</x:v>
      </x:c>
      <x:c r="Y1727" s="7" t="s">
        <x:v>1418</x:v>
      </x:c>
      <x:c r="Z1727" s="7" t="s">
        <x:v>5320</x:v>
      </x:c>
      <x:c r="AA1727" s="7" t="s">
        <x:v>5215</x:v>
      </x:c>
      <x:c r="AB1727" s="8" t="s">
        <x:v>58</x:v>
      </x:c>
      <x:c r="AC1727" s="8" t="s">
        <x:v>58</x:v>
      </x:c>
      <x:c r="AD1727" s="8" t="s">
        <x:v>58</x:v>
      </x:c>
      <x:c r="AE1727" s="8" t="s">
        <x:v>58</x:v>
      </x:c>
      <x:c r="AF1727" s="8" t="s">
        <x:v>58</x:v>
      </x:c>
      <x:c r="AG1727" s="7" t="s">
        <x:v>58</x:v>
      </x:c>
    </x:row>
    <x:row r="1728" ht="37.5" hidden="0" customHeight="1">
      <x:c r="A1728" s="7" t="s">
        <x:v>5323</x:v>
      </x:c>
      <x:c r="B1728" s="7" t="s">
        <x:v>1080</x:v>
      </x:c>
      <x:c r="C1728" s="7" t="s">
        <x:v>1416</x:v>
      </x:c>
      <x:c r="D1728" s="7" t="s">
        <x:v>1940</x:v>
      </x:c>
      <x:c r="E1728" s="7" t="s">
        <x:v>5324</x:v>
      </x:c>
      <x:c r="F1728" s="7" t="s">
        <x:v>1942</x:v>
      </x:c>
      <x:c r="G1728" s="8" t="n">
        <x:v>2.3</x:v>
      </x:c>
      <x:c r="H1728" s="8" t="s">
        <x:v>58</x:v>
      </x:c>
      <x:c r="I1728" s="8" t="s">
        <x:v>58</x:v>
      </x:c>
      <x:c r="J1728" s="7" t="s">
        <x:v>1919</x:v>
      </x:c>
      <x:c r="K1728" s="8" t="n">
        <x:v>1</x:v>
      </x:c>
      <x:c r="L1728" s="8" t="n">
        <x:f aca="0">IF(AND(ISNUMBER(G1728),P1728&lt;&gt;"Unresolved unit / layout"),G1728*K1728,"Not applicable")</x:f>
        <x:v>2.3</x:v>
      </x:c>
      <x:c r="M1728" s="8" t="str">
        <x:f aca="0">IF(AND(ISNUMBER(H1728),P1728&lt;&gt;"Unresolved unit / layout"),H1728*K1728,"Not applicable")</x:f>
        <x:v>Not applicable</x:v>
      </x:c>
      <x:c r="N1728" s="8" t="str">
        <x:f aca="0">IF(AND(ISNUMBER(I1728),P1728&lt;&gt;"Unresolved unit / layout"),I1728*K1728,"Not applicable")</x:f>
        <x:v>Not applicable</x:v>
      </x:c>
      <x:c r="O1728" s="7" t="s">
        <x:v>1942</x:v>
      </x:c>
      <x:c r="P1728" s="7" t="s">
        <x:v>1921</x:v>
      </x:c>
      <x:c r="Q1728" s="7" t="s">
        <x:v>2064</x:v>
      </x:c>
      <x:c r="R1728" s="7" t="s">
        <x:v>5311</x:v>
      </x:c>
      <x:c r="S1728" s="7" t="s">
        <x:v>53</x:v>
      </x:c>
      <x:c r="T1728" s="7" t="s">
        <x:v>53</x:v>
      </x:c>
      <x:c r="U1728" s="7" t="s">
        <x:v>53</x:v>
      </x:c>
      <x:c r="V1728" s="7" t="s">
        <x:v>5314</x:v>
      </x:c>
      <x:c r="W1728" s="7" t="s">
        <x:v>58</x:v>
      </x:c>
      <x:c r="X1728" s="7" t="s">
        <x:v>53</x:v>
      </x:c>
      <x:c r="Y1728" s="7" t="s">
        <x:v>1418</x:v>
      </x:c>
      <x:c r="Z1728" s="7" t="s">
        <x:v>5320</x:v>
      </x:c>
      <x:c r="AA1728" s="7" t="s">
        <x:v>5215</x:v>
      </x:c>
      <x:c r="AB1728" s="8" t="s">
        <x:v>58</x:v>
      </x:c>
      <x:c r="AC1728" s="8" t="s">
        <x:v>58</x:v>
      </x:c>
      <x:c r="AD1728" s="8" t="s">
        <x:v>58</x:v>
      </x:c>
      <x:c r="AE1728" s="8" t="s">
        <x:v>58</x:v>
      </x:c>
      <x:c r="AF1728" s="8" t="s">
        <x:v>58</x:v>
      </x:c>
      <x:c r="AG1728" s="7" t="s">
        <x:v>58</x:v>
      </x:c>
    </x:row>
    <x:row r="1729" ht="37.5" hidden="0" customHeight="1">
      <x:c r="A1729" s="7" t="s">
        <x:v>5325</x:v>
      </x:c>
      <x:c r="B1729" s="7" t="s">
        <x:v>1080</x:v>
      </x:c>
      <x:c r="C1729" s="7" t="s">
        <x:v>1416</x:v>
      </x:c>
      <x:c r="D1729" s="7" t="s">
        <x:v>1950</x:v>
      </x:c>
      <x:c r="E1729" s="7" t="s">
        <x:v>5326</x:v>
      </x:c>
      <x:c r="F1729" s="7" t="s">
        <x:v>1929</x:v>
      </x:c>
      <x:c r="G1729" s="8" t="n">
        <x:v>2126</x:v>
      </x:c>
      <x:c r="H1729" s="8" t="s">
        <x:v>58</x:v>
      </x:c>
      <x:c r="I1729" s="8" t="s">
        <x:v>58</x:v>
      </x:c>
      <x:c r="J1729" s="7" t="s">
        <x:v>1919</x:v>
      </x:c>
      <x:c r="K1729" s="8" t="n">
        <x:v>0.001</x:v>
      </x:c>
      <x:c r="L1729" s="8" t="n">
        <x:f aca="0">IF(AND(ISNUMBER(G1729),P1729&lt;&gt;"Unresolved unit / layout"),G1729*K1729,"Not applicable")</x:f>
        <x:v>2.126</x:v>
      </x:c>
      <x:c r="M1729" s="8" t="str">
        <x:f aca="0">IF(AND(ISNUMBER(H1729),P1729&lt;&gt;"Unresolved unit / layout"),H1729*K1729,"Not applicable")</x:f>
        <x:v>Not applicable</x:v>
      </x:c>
      <x:c r="N1729" s="8" t="str">
        <x:f aca="0">IF(AND(ISNUMBER(I1729),P1729&lt;&gt;"Unresolved unit / layout"),I1729*K1729,"Not applicable")</x:f>
        <x:v>Not applicable</x:v>
      </x:c>
      <x:c r="O1729" s="7" t="s">
        <x:v>1937</x:v>
      </x:c>
      <x:c r="P1729" s="7" t="s">
        <x:v>1921</x:v>
      </x:c>
      <x:c r="Q1729" s="7" t="s">
        <x:v>2064</x:v>
      </x:c>
      <x:c r="R1729" s="7" t="s">
        <x:v>1931</x:v>
      </x:c>
      <x:c r="S1729" s="7" t="s">
        <x:v>53</x:v>
      </x:c>
      <x:c r="T1729" s="7" t="s">
        <x:v>53</x:v>
      </x:c>
      <x:c r="U1729" s="7" t="s">
        <x:v>53</x:v>
      </x:c>
      <x:c r="V1729" s="7" t="s">
        <x:v>5327</x:v>
      </x:c>
      <x:c r="W1729" s="7" t="s">
        <x:v>58</x:v>
      </x:c>
      <x:c r="X1729" s="7" t="s">
        <x:v>53</x:v>
      </x:c>
      <x:c r="Y1729" s="7" t="s">
        <x:v>1418</x:v>
      </x:c>
      <x:c r="Z1729" s="7" t="s">
        <x:v>5328</x:v>
      </x:c>
      <x:c r="AA1729" s="7" t="s">
        <x:v>5215</x:v>
      </x:c>
      <x:c r="AB1729" s="8" t="s">
        <x:v>58</x:v>
      </x:c>
      <x:c r="AC1729" s="8" t="s">
        <x:v>58</x:v>
      </x:c>
      <x:c r="AD1729" s="8" t="s">
        <x:v>58</x:v>
      </x:c>
      <x:c r="AE1729" s="8" t="s">
        <x:v>58</x:v>
      </x:c>
      <x:c r="AF1729" s="8" t="s">
        <x:v>58</x:v>
      </x:c>
      <x:c r="AG1729" s="7" t="s">
        <x:v>58</x:v>
      </x:c>
    </x:row>
    <x:row r="1730" ht="37.5" hidden="0" customHeight="1">
      <x:c r="A1730" s="7" t="s">
        <x:v>5329</x:v>
      </x:c>
      <x:c r="B1730" s="7" t="s">
        <x:v>1080</x:v>
      </x:c>
      <x:c r="C1730" s="7" t="s">
        <x:v>1416</x:v>
      </x:c>
      <x:c r="D1730" s="7" t="s">
        <x:v>1950</x:v>
      </x:c>
      <x:c r="E1730" s="7" t="s">
        <x:v>5330</x:v>
      </x:c>
      <x:c r="F1730" s="7" t="s">
        <x:v>1929</x:v>
      </x:c>
      <x:c r="G1730" s="8" t="n">
        <x:v>2550</x:v>
      </x:c>
      <x:c r="H1730" s="8" t="s">
        <x:v>58</x:v>
      </x:c>
      <x:c r="I1730" s="8" t="s">
        <x:v>58</x:v>
      </x:c>
      <x:c r="J1730" s="7" t="s">
        <x:v>1919</x:v>
      </x:c>
      <x:c r="K1730" s="8" t="n">
        <x:v>0.001</x:v>
      </x:c>
      <x:c r="L1730" s="8" t="n">
        <x:f aca="0">IF(AND(ISNUMBER(G1730),P1730&lt;&gt;"Unresolved unit / layout"),G1730*K1730,"Not applicable")</x:f>
        <x:v>2.5500000000000003</x:v>
      </x:c>
      <x:c r="M1730" s="8" t="str">
        <x:f aca="0">IF(AND(ISNUMBER(H1730),P1730&lt;&gt;"Unresolved unit / layout"),H1730*K1730,"Not applicable")</x:f>
        <x:v>Not applicable</x:v>
      </x:c>
      <x:c r="N1730" s="8" t="str">
        <x:f aca="0">IF(AND(ISNUMBER(I1730),P1730&lt;&gt;"Unresolved unit / layout"),I1730*K1730,"Not applicable")</x:f>
        <x:v>Not applicable</x:v>
      </x:c>
      <x:c r="O1730" s="7" t="s">
        <x:v>1937</x:v>
      </x:c>
      <x:c r="P1730" s="7" t="s">
        <x:v>1921</x:v>
      </x:c>
      <x:c r="Q1730" s="7" t="s">
        <x:v>2064</x:v>
      </x:c>
      <x:c r="R1730" s="7" t="s">
        <x:v>5308</x:v>
      </x:c>
      <x:c r="S1730" s="7" t="s">
        <x:v>53</x:v>
      </x:c>
      <x:c r="T1730" s="7" t="s">
        <x:v>53</x:v>
      </x:c>
      <x:c r="U1730" s="7" t="s">
        <x:v>53</x:v>
      </x:c>
      <x:c r="V1730" s="7" t="s">
        <x:v>5327</x:v>
      </x:c>
      <x:c r="W1730" s="7" t="s">
        <x:v>58</x:v>
      </x:c>
      <x:c r="X1730" s="7" t="s">
        <x:v>53</x:v>
      </x:c>
      <x:c r="Y1730" s="7" t="s">
        <x:v>1418</x:v>
      </x:c>
      <x:c r="Z1730" s="7" t="s">
        <x:v>5328</x:v>
      </x:c>
      <x:c r="AA1730" s="7" t="s">
        <x:v>5215</x:v>
      </x:c>
      <x:c r="AB1730" s="8" t="s">
        <x:v>58</x:v>
      </x:c>
      <x:c r="AC1730" s="8" t="s">
        <x:v>58</x:v>
      </x:c>
      <x:c r="AD1730" s="8" t="s">
        <x:v>58</x:v>
      </x:c>
      <x:c r="AE1730" s="8" t="s">
        <x:v>58</x:v>
      </x:c>
      <x:c r="AF1730" s="8" t="s">
        <x:v>58</x:v>
      </x:c>
      <x:c r="AG1730" s="7" t="s">
        <x:v>58</x:v>
      </x:c>
    </x:row>
    <x:row r="1731" ht="37.5" hidden="0" customHeight="1">
      <x:c r="A1731" s="7" t="s">
        <x:v>5331</x:v>
      </x:c>
      <x:c r="B1731" s="7" t="s">
        <x:v>1080</x:v>
      </x:c>
      <x:c r="C1731" s="7" t="s">
        <x:v>1416</x:v>
      </x:c>
      <x:c r="D1731" s="7" t="s">
        <x:v>1950</x:v>
      </x:c>
      <x:c r="E1731" s="7" t="s">
        <x:v>5332</x:v>
      </x:c>
      <x:c r="F1731" s="7" t="s">
        <x:v>1929</x:v>
      </x:c>
      <x:c r="G1731" s="8" t="n">
        <x:v>2070</x:v>
      </x:c>
      <x:c r="H1731" s="8" t="s">
        <x:v>58</x:v>
      </x:c>
      <x:c r="I1731" s="8" t="s">
        <x:v>58</x:v>
      </x:c>
      <x:c r="J1731" s="7" t="s">
        <x:v>1919</x:v>
      </x:c>
      <x:c r="K1731" s="8" t="n">
        <x:v>0.001</x:v>
      </x:c>
      <x:c r="L1731" s="8" t="n">
        <x:f aca="0">IF(AND(ISNUMBER(G1731),P1731&lt;&gt;"Unresolved unit / layout"),G1731*K1731,"Not applicable")</x:f>
        <x:v>2.07</x:v>
      </x:c>
      <x:c r="M1731" s="8" t="str">
        <x:f aca="0">IF(AND(ISNUMBER(H1731),P1731&lt;&gt;"Unresolved unit / layout"),H1731*K1731,"Not applicable")</x:f>
        <x:v>Not applicable</x:v>
      </x:c>
      <x:c r="N1731" s="8" t="str">
        <x:f aca="0">IF(AND(ISNUMBER(I1731),P1731&lt;&gt;"Unresolved unit / layout"),I1731*K1731,"Not applicable")</x:f>
        <x:v>Not applicable</x:v>
      </x:c>
      <x:c r="O1731" s="7" t="s">
        <x:v>1937</x:v>
      </x:c>
      <x:c r="P1731" s="7" t="s">
        <x:v>1921</x:v>
      </x:c>
      <x:c r="Q1731" s="7" t="s">
        <x:v>2064</x:v>
      </x:c>
      <x:c r="R1731" s="7" t="s">
        <x:v>5311</x:v>
      </x:c>
      <x:c r="S1731" s="7" t="s">
        <x:v>53</x:v>
      </x:c>
      <x:c r="T1731" s="7" t="s">
        <x:v>53</x:v>
      </x:c>
      <x:c r="U1731" s="7" t="s">
        <x:v>53</x:v>
      </x:c>
      <x:c r="V1731" s="7" t="s">
        <x:v>5327</x:v>
      </x:c>
      <x:c r="W1731" s="7" t="s">
        <x:v>58</x:v>
      </x:c>
      <x:c r="X1731" s="7" t="s">
        <x:v>53</x:v>
      </x:c>
      <x:c r="Y1731" s="7" t="s">
        <x:v>1418</x:v>
      </x:c>
      <x:c r="Z1731" s="7" t="s">
        <x:v>5328</x:v>
      </x:c>
      <x:c r="AA1731" s="7" t="s">
        <x:v>5215</x:v>
      </x:c>
      <x:c r="AB1731" s="8" t="s">
        <x:v>58</x:v>
      </x:c>
      <x:c r="AC1731" s="8" t="s">
        <x:v>58</x:v>
      </x:c>
      <x:c r="AD1731" s="8" t="s">
        <x:v>58</x:v>
      </x:c>
      <x:c r="AE1731" s="8" t="s">
        <x:v>58</x:v>
      </x:c>
      <x:c r="AF1731" s="8" t="s">
        <x:v>58</x:v>
      </x:c>
      <x:c r="AG1731" s="7" t="s">
        <x:v>58</x:v>
      </x:c>
    </x:row>
    <x:row r="1732" ht="37.5" hidden="0" customHeight="1">
      <x:c r="A1732" s="7" t="s">
        <x:v>5333</x:v>
      </x:c>
      <x:c r="B1732" s="7" t="s">
        <x:v>1080</x:v>
      </x:c>
      <x:c r="C1732" s="7" t="s">
        <x:v>1416</x:v>
      </x:c>
      <x:c r="D1732" s="7" t="s">
        <x:v>2834</x:v>
      </x:c>
      <x:c r="E1732" s="7" t="s">
        <x:v>5334</x:v>
      </x:c>
      <x:c r="F1732" s="7" t="s">
        <x:v>4825</x:v>
      </x:c>
      <x:c r="G1732" s="8" t="n">
        <x:v>104</x:v>
      </x:c>
      <x:c r="H1732" s="8" t="s">
        <x:v>58</x:v>
      </x:c>
      <x:c r="I1732" s="8" t="s">
        <x:v>58</x:v>
      </x:c>
      <x:c r="J1732" s="7" t="s">
        <x:v>1919</x:v>
      </x:c>
      <x:c r="K1732" s="8" t="n">
        <x:v>1</x:v>
      </x:c>
      <x:c r="L1732" s="8" t="n">
        <x:f aca="0">IF(AND(ISNUMBER(G1732),P1732&lt;&gt;"Unresolved unit / layout"),G1732*K1732,"Not applicable")</x:f>
        <x:v>104</x:v>
      </x:c>
      <x:c r="M1732" s="8" t="str">
        <x:f aca="0">IF(AND(ISNUMBER(H1732),P1732&lt;&gt;"Unresolved unit / layout"),H1732*K1732,"Not applicable")</x:f>
        <x:v>Not applicable</x:v>
      </x:c>
      <x:c r="N1732" s="8" t="str">
        <x:f aca="0">IF(AND(ISNUMBER(I1732),P1732&lt;&gt;"Unresolved unit / layout"),I1732*K1732,"Not applicable")</x:f>
        <x:v>Not applicable</x:v>
      </x:c>
      <x:c r="O1732" s="7" t="s">
        <x:v>4825</x:v>
      </x:c>
      <x:c r="P1732" s="7" t="s">
        <x:v>1921</x:v>
      </x:c>
      <x:c r="Q1732" s="7" t="s">
        <x:v>2064</x:v>
      </x:c>
      <x:c r="R1732" s="7" t="s">
        <x:v>1931</x:v>
      </x:c>
      <x:c r="S1732" s="7" t="s">
        <x:v>53</x:v>
      </x:c>
      <x:c r="T1732" s="7" t="s">
        <x:v>53</x:v>
      </x:c>
      <x:c r="U1732" s="7" t="s">
        <x:v>2842</x:v>
      </x:c>
      <x:c r="V1732" s="7" t="s">
        <x:v>5335</x:v>
      </x:c>
      <x:c r="W1732" s="7" t="s">
        <x:v>2139</x:v>
      </x:c>
      <x:c r="X1732" s="7" t="s">
        <x:v>53</x:v>
      </x:c>
      <x:c r="Y1732" s="7" t="s">
        <x:v>1418</x:v>
      </x:c>
      <x:c r="Z1732" s="7" t="s">
        <x:v>5336</x:v>
      </x:c>
      <x:c r="AA1732" s="7" t="s">
        <x:v>5215</x:v>
      </x:c>
      <x:c r="AB1732" s="8" t="s">
        <x:v>58</x:v>
      </x:c>
      <x:c r="AC1732" s="8" t="s">
        <x:v>58</x:v>
      </x:c>
      <x:c r="AD1732" s="8" t="s">
        <x:v>58</x:v>
      </x:c>
      <x:c r="AE1732" s="8" t="s">
        <x:v>58</x:v>
      </x:c>
      <x:c r="AF1732" s="8" t="s">
        <x:v>58</x:v>
      </x:c>
      <x:c r="AG1732" s="7" t="s">
        <x:v>58</x:v>
      </x:c>
    </x:row>
    <x:row r="1733" ht="37.5" hidden="0" customHeight="1">
      <x:c r="A1733" s="7" t="s">
        <x:v>5337</x:v>
      </x:c>
      <x:c r="B1733" s="7" t="s">
        <x:v>1080</x:v>
      </x:c>
      <x:c r="C1733" s="7" t="s">
        <x:v>1416</x:v>
      </x:c>
      <x:c r="D1733" s="7" t="s">
        <x:v>2834</x:v>
      </x:c>
      <x:c r="E1733" s="7" t="s">
        <x:v>3801</x:v>
      </x:c>
      <x:c r="F1733" s="7" t="s">
        <x:v>4825</x:v>
      </x:c>
      <x:c r="G1733" s="8" t="n">
        <x:v>100</x:v>
      </x:c>
      <x:c r="H1733" s="8" t="s">
        <x:v>58</x:v>
      </x:c>
      <x:c r="I1733" s="8" t="s">
        <x:v>58</x:v>
      </x:c>
      <x:c r="J1733" s="7" t="s">
        <x:v>1919</x:v>
      </x:c>
      <x:c r="K1733" s="8" t="n">
        <x:v>1</x:v>
      </x:c>
      <x:c r="L1733" s="8" t="n">
        <x:f aca="0">IF(AND(ISNUMBER(G1733),P1733&lt;&gt;"Unresolved unit / layout"),G1733*K1733,"Not applicable")</x:f>
        <x:v>100</x:v>
      </x:c>
      <x:c r="M1733" s="8" t="str">
        <x:f aca="0">IF(AND(ISNUMBER(H1733),P1733&lt;&gt;"Unresolved unit / layout"),H1733*K1733,"Not applicable")</x:f>
        <x:v>Not applicable</x:v>
      </x:c>
      <x:c r="N1733" s="8" t="str">
        <x:f aca="0">IF(AND(ISNUMBER(I1733),P1733&lt;&gt;"Unresolved unit / layout"),I1733*K1733,"Not applicable")</x:f>
        <x:v>Not applicable</x:v>
      </x:c>
      <x:c r="O1733" s="7" t="s">
        <x:v>4825</x:v>
      </x:c>
      <x:c r="P1733" s="7" t="s">
        <x:v>1921</x:v>
      </x:c>
      <x:c r="Q1733" s="7" t="s">
        <x:v>2064</x:v>
      </x:c>
      <x:c r="R1733" s="7" t="s">
        <x:v>5308</x:v>
      </x:c>
      <x:c r="S1733" s="7" t="s">
        <x:v>53</x:v>
      </x:c>
      <x:c r="T1733" s="7" t="s">
        <x:v>53</x:v>
      </x:c>
      <x:c r="U1733" s="7" t="s">
        <x:v>2842</x:v>
      </x:c>
      <x:c r="V1733" s="7" t="s">
        <x:v>5335</x:v>
      </x:c>
      <x:c r="W1733" s="7" t="s">
        <x:v>2139</x:v>
      </x:c>
      <x:c r="X1733" s="7" t="s">
        <x:v>53</x:v>
      </x:c>
      <x:c r="Y1733" s="7" t="s">
        <x:v>1418</x:v>
      </x:c>
      <x:c r="Z1733" s="7" t="s">
        <x:v>5336</x:v>
      </x:c>
      <x:c r="AA1733" s="7" t="s">
        <x:v>5215</x:v>
      </x:c>
      <x:c r="AB1733" s="8" t="s">
        <x:v>58</x:v>
      </x:c>
      <x:c r="AC1733" s="8" t="s">
        <x:v>58</x:v>
      </x:c>
      <x:c r="AD1733" s="8" t="s">
        <x:v>58</x:v>
      </x:c>
      <x:c r="AE1733" s="8" t="s">
        <x:v>58</x:v>
      </x:c>
      <x:c r="AF1733" s="8" t="s">
        <x:v>58</x:v>
      </x:c>
      <x:c r="AG1733" s="7" t="s">
        <x:v>58</x:v>
      </x:c>
    </x:row>
    <x:row r="1734" ht="37.5" hidden="0" customHeight="1">
      <x:c r="A1734" s="7" t="s">
        <x:v>5338</x:v>
      </x:c>
      <x:c r="B1734" s="7" t="s">
        <x:v>1080</x:v>
      </x:c>
      <x:c r="C1734" s="7" t="s">
        <x:v>1416</x:v>
      </x:c>
      <x:c r="D1734" s="7" t="s">
        <x:v>2834</x:v>
      </x:c>
      <x:c r="E1734" s="7" t="s">
        <x:v>5339</x:v>
      </x:c>
      <x:c r="F1734" s="7" t="s">
        <x:v>4825</x:v>
      </x:c>
      <x:c r="G1734" s="8" t="n">
        <x:v>33</x:v>
      </x:c>
      <x:c r="H1734" s="8" t="s">
        <x:v>58</x:v>
      </x:c>
      <x:c r="I1734" s="8" t="s">
        <x:v>58</x:v>
      </x:c>
      <x:c r="J1734" s="7" t="s">
        <x:v>1919</x:v>
      </x:c>
      <x:c r="K1734" s="8" t="n">
        <x:v>1</x:v>
      </x:c>
      <x:c r="L1734" s="8" t="n">
        <x:f aca="0">IF(AND(ISNUMBER(G1734),P1734&lt;&gt;"Unresolved unit / layout"),G1734*K1734,"Not applicable")</x:f>
        <x:v>33</x:v>
      </x:c>
      <x:c r="M1734" s="8" t="str">
        <x:f aca="0">IF(AND(ISNUMBER(H1734),P1734&lt;&gt;"Unresolved unit / layout"),H1734*K1734,"Not applicable")</x:f>
        <x:v>Not applicable</x:v>
      </x:c>
      <x:c r="N1734" s="8" t="str">
        <x:f aca="0">IF(AND(ISNUMBER(I1734),P1734&lt;&gt;"Unresolved unit / layout"),I1734*K1734,"Not applicable")</x:f>
        <x:v>Not applicable</x:v>
      </x:c>
      <x:c r="O1734" s="7" t="s">
        <x:v>4825</x:v>
      </x:c>
      <x:c r="P1734" s="7" t="s">
        <x:v>1921</x:v>
      </x:c>
      <x:c r="Q1734" s="7" t="s">
        <x:v>2064</x:v>
      </x:c>
      <x:c r="R1734" s="7" t="s">
        <x:v>5311</x:v>
      </x:c>
      <x:c r="S1734" s="7" t="s">
        <x:v>53</x:v>
      </x:c>
      <x:c r="T1734" s="7" t="s">
        <x:v>53</x:v>
      </x:c>
      <x:c r="U1734" s="7" t="s">
        <x:v>2842</x:v>
      </x:c>
      <x:c r="V1734" s="7" t="s">
        <x:v>5335</x:v>
      </x:c>
      <x:c r="W1734" s="7" t="s">
        <x:v>2139</x:v>
      </x:c>
      <x:c r="X1734" s="7" t="s">
        <x:v>53</x:v>
      </x:c>
      <x:c r="Y1734" s="7" t="s">
        <x:v>1418</x:v>
      </x:c>
      <x:c r="Z1734" s="7" t="s">
        <x:v>5336</x:v>
      </x:c>
      <x:c r="AA1734" s="7" t="s">
        <x:v>5215</x:v>
      </x:c>
      <x:c r="AB1734" s="8" t="s">
        <x:v>58</x:v>
      </x:c>
      <x:c r="AC1734" s="8" t="s">
        <x:v>58</x:v>
      </x:c>
      <x:c r="AD1734" s="8" t="s">
        <x:v>58</x:v>
      </x:c>
      <x:c r="AE1734" s="8" t="s">
        <x:v>58</x:v>
      </x:c>
      <x:c r="AF1734" s="8" t="s">
        <x:v>58</x:v>
      </x:c>
      <x:c r="AG1734" s="7" t="s">
        <x:v>58</x:v>
      </x:c>
    </x:row>
    <x:row r="1735" ht="37.5" hidden="0" customHeight="1">
      <x:c r="A1735" s="7" t="s">
        <x:v>5340</x:v>
      </x:c>
      <x:c r="B1735" s="7" t="s">
        <x:v>1080</x:v>
      </x:c>
      <x:c r="C1735" s="7" t="s">
        <x:v>1416</x:v>
      </x:c>
      <x:c r="D1735" s="7" t="s">
        <x:v>2834</x:v>
      </x:c>
      <x:c r="E1735" s="7" t="s">
        <x:v>5341</x:v>
      </x:c>
      <x:c r="F1735" s="7" t="s">
        <x:v>4825</x:v>
      </x:c>
      <x:c r="G1735" s="8" t="n">
        <x:v>763</x:v>
      </x:c>
      <x:c r="H1735" s="8" t="s">
        <x:v>58</x:v>
      </x:c>
      <x:c r="I1735" s="8" t="s">
        <x:v>58</x:v>
      </x:c>
      <x:c r="J1735" s="7" t="s">
        <x:v>1919</x:v>
      </x:c>
      <x:c r="K1735" s="8" t="n">
        <x:v>1</x:v>
      </x:c>
      <x:c r="L1735" s="8" t="n">
        <x:f aca="0">IF(AND(ISNUMBER(G1735),P1735&lt;&gt;"Unresolved unit / layout"),G1735*K1735,"Not applicable")</x:f>
        <x:v>763</x:v>
      </x:c>
      <x:c r="M1735" s="8" t="str">
        <x:f aca="0">IF(AND(ISNUMBER(H1735),P1735&lt;&gt;"Unresolved unit / layout"),H1735*K1735,"Not applicable")</x:f>
        <x:v>Not applicable</x:v>
      </x:c>
      <x:c r="N1735" s="8" t="str">
        <x:f aca="0">IF(AND(ISNUMBER(I1735),P1735&lt;&gt;"Unresolved unit / layout"),I1735*K1735,"Not applicable")</x:f>
        <x:v>Not applicable</x:v>
      </x:c>
      <x:c r="O1735" s="7" t="s">
        <x:v>4825</x:v>
      </x:c>
      <x:c r="P1735" s="7" t="s">
        <x:v>1921</x:v>
      </x:c>
      <x:c r="Q1735" s="7" t="s">
        <x:v>2064</x:v>
      </x:c>
      <x:c r="R1735" s="7" t="s">
        <x:v>1931</x:v>
      </x:c>
      <x:c r="S1735" s="7" t="s">
        <x:v>53</x:v>
      </x:c>
      <x:c r="T1735" s="7" t="s">
        <x:v>53</x:v>
      </x:c>
      <x:c r="U1735" s="7" t="s">
        <x:v>2842</x:v>
      </x:c>
      <x:c r="V1735" s="7" t="s">
        <x:v>5335</x:v>
      </x:c>
      <x:c r="W1735" s="7" t="s">
        <x:v>2135</x:v>
      </x:c>
      <x:c r="X1735" s="7" t="s">
        <x:v>53</x:v>
      </x:c>
      <x:c r="Y1735" s="7" t="s">
        <x:v>1418</x:v>
      </x:c>
      <x:c r="Z1735" s="7" t="s">
        <x:v>5342</x:v>
      </x:c>
      <x:c r="AA1735" s="7" t="s">
        <x:v>5215</x:v>
      </x:c>
      <x:c r="AB1735" s="8" t="s">
        <x:v>58</x:v>
      </x:c>
      <x:c r="AC1735" s="8" t="s">
        <x:v>58</x:v>
      </x:c>
      <x:c r="AD1735" s="8" t="s">
        <x:v>58</x:v>
      </x:c>
      <x:c r="AE1735" s="8" t="s">
        <x:v>58</x:v>
      </x:c>
      <x:c r="AF1735" s="8" t="s">
        <x:v>58</x:v>
      </x:c>
      <x:c r="AG1735" s="7" t="s">
        <x:v>58</x:v>
      </x:c>
    </x:row>
    <x:row r="1736" ht="37.5" hidden="0" customHeight="1">
      <x:c r="A1736" s="7" t="s">
        <x:v>5343</x:v>
      </x:c>
      <x:c r="B1736" s="7" t="s">
        <x:v>1080</x:v>
      </x:c>
      <x:c r="C1736" s="7" t="s">
        <x:v>1416</x:v>
      </x:c>
      <x:c r="D1736" s="7" t="s">
        <x:v>2834</x:v>
      </x:c>
      <x:c r="E1736" s="7" t="s">
        <x:v>5344</x:v>
      </x:c>
      <x:c r="F1736" s="7" t="s">
        <x:v>4825</x:v>
      </x:c>
      <x:c r="G1736" s="8" t="n">
        <x:v>1003</x:v>
      </x:c>
      <x:c r="H1736" s="8" t="s">
        <x:v>58</x:v>
      </x:c>
      <x:c r="I1736" s="8" t="s">
        <x:v>58</x:v>
      </x:c>
      <x:c r="J1736" s="7" t="s">
        <x:v>1919</x:v>
      </x:c>
      <x:c r="K1736" s="8" t="n">
        <x:v>1</x:v>
      </x:c>
      <x:c r="L1736" s="8" t="n">
        <x:f aca="0">IF(AND(ISNUMBER(G1736),P1736&lt;&gt;"Unresolved unit / layout"),G1736*K1736,"Not applicable")</x:f>
        <x:v>1003</x:v>
      </x:c>
      <x:c r="M1736" s="8" t="str">
        <x:f aca="0">IF(AND(ISNUMBER(H1736),P1736&lt;&gt;"Unresolved unit / layout"),H1736*K1736,"Not applicable")</x:f>
        <x:v>Not applicable</x:v>
      </x:c>
      <x:c r="N1736" s="8" t="str">
        <x:f aca="0">IF(AND(ISNUMBER(I1736),P1736&lt;&gt;"Unresolved unit / layout"),I1736*K1736,"Not applicable")</x:f>
        <x:v>Not applicable</x:v>
      </x:c>
      <x:c r="O1736" s="7" t="s">
        <x:v>4825</x:v>
      </x:c>
      <x:c r="P1736" s="7" t="s">
        <x:v>1921</x:v>
      </x:c>
      <x:c r="Q1736" s="7" t="s">
        <x:v>2064</x:v>
      </x:c>
      <x:c r="R1736" s="7" t="s">
        <x:v>5308</x:v>
      </x:c>
      <x:c r="S1736" s="7" t="s">
        <x:v>53</x:v>
      </x:c>
      <x:c r="T1736" s="7" t="s">
        <x:v>53</x:v>
      </x:c>
      <x:c r="U1736" s="7" t="s">
        <x:v>2842</x:v>
      </x:c>
      <x:c r="V1736" s="7" t="s">
        <x:v>5335</x:v>
      </x:c>
      <x:c r="W1736" s="7" t="s">
        <x:v>2135</x:v>
      </x:c>
      <x:c r="X1736" s="7" t="s">
        <x:v>53</x:v>
      </x:c>
      <x:c r="Y1736" s="7" t="s">
        <x:v>1418</x:v>
      </x:c>
      <x:c r="Z1736" s="7" t="s">
        <x:v>5342</x:v>
      </x:c>
      <x:c r="AA1736" s="7" t="s">
        <x:v>5215</x:v>
      </x:c>
      <x:c r="AB1736" s="8" t="s">
        <x:v>58</x:v>
      </x:c>
      <x:c r="AC1736" s="8" t="s">
        <x:v>58</x:v>
      </x:c>
      <x:c r="AD1736" s="8" t="s">
        <x:v>58</x:v>
      </x:c>
      <x:c r="AE1736" s="8" t="s">
        <x:v>58</x:v>
      </x:c>
      <x:c r="AF1736" s="8" t="s">
        <x:v>58</x:v>
      </x:c>
      <x:c r="AG1736" s="7" t="s">
        <x:v>58</x:v>
      </x:c>
    </x:row>
    <x:row r="1737" ht="37.5" hidden="0" customHeight="1">
      <x:c r="A1737" s="7" t="s">
        <x:v>5345</x:v>
      </x:c>
      <x:c r="B1737" s="7" t="s">
        <x:v>1080</x:v>
      </x:c>
      <x:c r="C1737" s="7" t="s">
        <x:v>1416</x:v>
      </x:c>
      <x:c r="D1737" s="7" t="s">
        <x:v>2834</x:v>
      </x:c>
      <x:c r="E1737" s="7" t="s">
        <x:v>5346</x:v>
      </x:c>
      <x:c r="F1737" s="7" t="s">
        <x:v>4825</x:v>
      </x:c>
      <x:c r="G1737" s="8" t="n">
        <x:v>131</x:v>
      </x:c>
      <x:c r="H1737" s="8" t="s">
        <x:v>58</x:v>
      </x:c>
      <x:c r="I1737" s="8" t="s">
        <x:v>58</x:v>
      </x:c>
      <x:c r="J1737" s="7" t="s">
        <x:v>1919</x:v>
      </x:c>
      <x:c r="K1737" s="8" t="n">
        <x:v>1</x:v>
      </x:c>
      <x:c r="L1737" s="8" t="n">
        <x:f aca="0">IF(AND(ISNUMBER(G1737),P1737&lt;&gt;"Unresolved unit / layout"),G1737*K1737,"Not applicable")</x:f>
        <x:v>131</x:v>
      </x:c>
      <x:c r="M1737" s="8" t="str">
        <x:f aca="0">IF(AND(ISNUMBER(H1737),P1737&lt;&gt;"Unresolved unit / layout"),H1737*K1737,"Not applicable")</x:f>
        <x:v>Not applicable</x:v>
      </x:c>
      <x:c r="N1737" s="8" t="str">
        <x:f aca="0">IF(AND(ISNUMBER(I1737),P1737&lt;&gt;"Unresolved unit / layout"),I1737*K1737,"Not applicable")</x:f>
        <x:v>Not applicable</x:v>
      </x:c>
      <x:c r="O1737" s="7" t="s">
        <x:v>4825</x:v>
      </x:c>
      <x:c r="P1737" s="7" t="s">
        <x:v>1921</x:v>
      </x:c>
      <x:c r="Q1737" s="7" t="s">
        <x:v>2064</x:v>
      </x:c>
      <x:c r="R1737" s="7" t="s">
        <x:v>5311</x:v>
      </x:c>
      <x:c r="S1737" s="7" t="s">
        <x:v>53</x:v>
      </x:c>
      <x:c r="T1737" s="7" t="s">
        <x:v>53</x:v>
      </x:c>
      <x:c r="U1737" s="7" t="s">
        <x:v>2842</x:v>
      </x:c>
      <x:c r="V1737" s="7" t="s">
        <x:v>5335</x:v>
      </x:c>
      <x:c r="W1737" s="7" t="s">
        <x:v>2135</x:v>
      </x:c>
      <x:c r="X1737" s="7" t="s">
        <x:v>53</x:v>
      </x:c>
      <x:c r="Y1737" s="7" t="s">
        <x:v>1418</x:v>
      </x:c>
      <x:c r="Z1737" s="7" t="s">
        <x:v>5342</x:v>
      </x:c>
      <x:c r="AA1737" s="7" t="s">
        <x:v>5215</x:v>
      </x:c>
      <x:c r="AB1737" s="8" t="s">
        <x:v>58</x:v>
      </x:c>
      <x:c r="AC1737" s="8" t="s">
        <x:v>58</x:v>
      </x:c>
      <x:c r="AD1737" s="8" t="s">
        <x:v>58</x:v>
      </x:c>
      <x:c r="AE1737" s="8" t="s">
        <x:v>58</x:v>
      </x:c>
      <x:c r="AF1737" s="8" t="s">
        <x:v>58</x:v>
      </x:c>
      <x:c r="AG1737" s="7" t="s">
        <x:v>58</x:v>
      </x:c>
    </x:row>
    <x:row r="1738" ht="37.5" hidden="0" customHeight="1">
      <x:c r="A1738" s="7" t="s">
        <x:v>5347</x:v>
      </x:c>
      <x:c r="B1738" s="7" t="s">
        <x:v>1080</x:v>
      </x:c>
      <x:c r="C1738" s="7" t="s">
        <x:v>1416</x:v>
      </x:c>
      <x:c r="D1738" s="7" t="s">
        <x:v>1959</x:v>
      </x:c>
      <x:c r="E1738" s="7" t="s">
        <x:v>5348</x:v>
      </x:c>
      <x:c r="F1738" s="7" t="s">
        <x:v>1956</x:v>
      </x:c>
      <x:c r="G1738" s="8" t="n">
        <x:v>175</x:v>
      </x:c>
      <x:c r="H1738" s="8" t="s">
        <x:v>58</x:v>
      </x:c>
      <x:c r="I1738" s="8" t="s">
        <x:v>58</x:v>
      </x:c>
      <x:c r="J1738" s="7" t="s">
        <x:v>1919</x:v>
      </x:c>
      <x:c r="K1738" s="8" t="n">
        <x:v>1</x:v>
      </x:c>
      <x:c r="L1738" s="8" t="n">
        <x:f aca="0">IF(AND(ISNUMBER(G1738),P1738&lt;&gt;"Unresolved unit / layout"),G1738*K1738,"Not applicable")</x:f>
        <x:v>175</x:v>
      </x:c>
      <x:c r="M1738" s="8" t="str">
        <x:f aca="0">IF(AND(ISNUMBER(H1738),P1738&lt;&gt;"Unresolved unit / layout"),H1738*K1738,"Not applicable")</x:f>
        <x:v>Not applicable</x:v>
      </x:c>
      <x:c r="N1738" s="8" t="str">
        <x:f aca="0">IF(AND(ISNUMBER(I1738),P1738&lt;&gt;"Unresolved unit / layout"),I1738*K1738,"Not applicable")</x:f>
        <x:v>Not applicable</x:v>
      </x:c>
      <x:c r="O1738" s="7" t="s">
        <x:v>1956</x:v>
      </x:c>
      <x:c r="P1738" s="7" t="s">
        <x:v>1921</x:v>
      </x:c>
      <x:c r="Q1738" s="7" t="s">
        <x:v>2064</x:v>
      </x:c>
      <x:c r="R1738" s="7" t="s">
        <x:v>1931</x:v>
      </x:c>
      <x:c r="S1738" s="7" t="s">
        <x:v>53</x:v>
      </x:c>
      <x:c r="T1738" s="7" t="s">
        <x:v>5349</x:v>
      </x:c>
      <x:c r="U1738" s="7" t="s">
        <x:v>53</x:v>
      </x:c>
      <x:c r="V1738" s="7" t="s">
        <x:v>5350</x:v>
      </x:c>
      <x:c r="W1738" s="7" t="s">
        <x:v>58</x:v>
      </x:c>
      <x:c r="X1738" s="7" t="s">
        <x:v>53</x:v>
      </x:c>
      <x:c r="Y1738" s="7" t="s">
        <x:v>1418</x:v>
      </x:c>
      <x:c r="Z1738" s="7" t="s">
        <x:v>5351</x:v>
      </x:c>
      <x:c r="AA1738" s="7" t="s">
        <x:v>5215</x:v>
      </x:c>
      <x:c r="AB1738" s="8" t="s">
        <x:v>58</x:v>
      </x:c>
      <x:c r="AC1738" s="8" t="s">
        <x:v>58</x:v>
      </x:c>
      <x:c r="AD1738" s="8" t="s">
        <x:v>58</x:v>
      </x:c>
      <x:c r="AE1738" s="8" t="s">
        <x:v>58</x:v>
      </x:c>
      <x:c r="AF1738" s="8" t="s">
        <x:v>58</x:v>
      </x:c>
      <x:c r="AG1738" s="7" t="s">
        <x:v>58</x:v>
      </x:c>
    </x:row>
    <x:row r="1739" ht="37.5" hidden="0" customHeight="1">
      <x:c r="A1739" s="7" t="s">
        <x:v>5352</x:v>
      </x:c>
      <x:c r="B1739" s="7" t="s">
        <x:v>1080</x:v>
      </x:c>
      <x:c r="C1739" s="7" t="s">
        <x:v>1416</x:v>
      </x:c>
      <x:c r="D1739" s="7" t="s">
        <x:v>1959</x:v>
      </x:c>
      <x:c r="E1739" s="7" t="s">
        <x:v>5348</x:v>
      </x:c>
      <x:c r="F1739" s="7" t="s">
        <x:v>1956</x:v>
      </x:c>
      <x:c r="G1739" s="8" t="n">
        <x:v>175</x:v>
      </x:c>
      <x:c r="H1739" s="8" t="s">
        <x:v>58</x:v>
      </x:c>
      <x:c r="I1739" s="8" t="s">
        <x:v>58</x:v>
      </x:c>
      <x:c r="J1739" s="7" t="s">
        <x:v>1919</x:v>
      </x:c>
      <x:c r="K1739" s="8" t="n">
        <x:v>1</x:v>
      </x:c>
      <x:c r="L1739" s="8" t="n">
        <x:f aca="0">IF(AND(ISNUMBER(G1739),P1739&lt;&gt;"Unresolved unit / layout"),G1739*K1739,"Not applicable")</x:f>
        <x:v>175</x:v>
      </x:c>
      <x:c r="M1739" s="8" t="str">
        <x:f aca="0">IF(AND(ISNUMBER(H1739),P1739&lt;&gt;"Unresolved unit / layout"),H1739*K1739,"Not applicable")</x:f>
        <x:v>Not applicable</x:v>
      </x:c>
      <x:c r="N1739" s="8" t="str">
        <x:f aca="0">IF(AND(ISNUMBER(I1739),P1739&lt;&gt;"Unresolved unit / layout"),I1739*K1739,"Not applicable")</x:f>
        <x:v>Not applicable</x:v>
      </x:c>
      <x:c r="O1739" s="7" t="s">
        <x:v>1956</x:v>
      </x:c>
      <x:c r="P1739" s="7" t="s">
        <x:v>1921</x:v>
      </x:c>
      <x:c r="Q1739" s="7" t="s">
        <x:v>2064</x:v>
      </x:c>
      <x:c r="R1739" s="7" t="s">
        <x:v>5308</x:v>
      </x:c>
      <x:c r="S1739" s="7" t="s">
        <x:v>53</x:v>
      </x:c>
      <x:c r="T1739" s="7" t="s">
        <x:v>5349</x:v>
      </x:c>
      <x:c r="U1739" s="7" t="s">
        <x:v>53</x:v>
      </x:c>
      <x:c r="V1739" s="7" t="s">
        <x:v>5350</x:v>
      </x:c>
      <x:c r="W1739" s="7" t="s">
        <x:v>58</x:v>
      </x:c>
      <x:c r="X1739" s="7" t="s">
        <x:v>53</x:v>
      </x:c>
      <x:c r="Y1739" s="7" t="s">
        <x:v>1418</x:v>
      </x:c>
      <x:c r="Z1739" s="7" t="s">
        <x:v>5351</x:v>
      </x:c>
      <x:c r="AA1739" s="7" t="s">
        <x:v>5215</x:v>
      </x:c>
      <x:c r="AB1739" s="8" t="s">
        <x:v>58</x:v>
      </x:c>
      <x:c r="AC1739" s="8" t="s">
        <x:v>58</x:v>
      </x:c>
      <x:c r="AD1739" s="8" t="s">
        <x:v>58</x:v>
      </x:c>
      <x:c r="AE1739" s="8" t="s">
        <x:v>58</x:v>
      </x:c>
      <x:c r="AF1739" s="8" t="s">
        <x:v>58</x:v>
      </x:c>
      <x:c r="AG1739" s="7" t="s">
        <x:v>58</x:v>
      </x:c>
    </x:row>
    <x:row r="1740" ht="37.5" hidden="0" customHeight="1">
      <x:c r="A1740" s="7" t="s">
        <x:v>5353</x:v>
      </x:c>
      <x:c r="B1740" s="7" t="s">
        <x:v>1080</x:v>
      </x:c>
      <x:c r="C1740" s="7" t="s">
        <x:v>1416</x:v>
      </x:c>
      <x:c r="D1740" s="7" t="s">
        <x:v>1959</x:v>
      </x:c>
      <x:c r="E1740" s="7" t="s">
        <x:v>5114</x:v>
      </x:c>
      <x:c r="F1740" s="7" t="s">
        <x:v>1956</x:v>
      </x:c>
      <x:c r="G1740" s="8" t="n">
        <x:v>165</x:v>
      </x:c>
      <x:c r="H1740" s="8" t="s">
        <x:v>58</x:v>
      </x:c>
      <x:c r="I1740" s="8" t="s">
        <x:v>58</x:v>
      </x:c>
      <x:c r="J1740" s="7" t="s">
        <x:v>1919</x:v>
      </x:c>
      <x:c r="K1740" s="8" t="n">
        <x:v>1</x:v>
      </x:c>
      <x:c r="L1740" s="8" t="n">
        <x:f aca="0">IF(AND(ISNUMBER(G1740),P1740&lt;&gt;"Unresolved unit / layout"),G1740*K1740,"Not applicable")</x:f>
        <x:v>165</x:v>
      </x:c>
      <x:c r="M1740" s="8" t="str">
        <x:f aca="0">IF(AND(ISNUMBER(H1740),P1740&lt;&gt;"Unresolved unit / layout"),H1740*K1740,"Not applicable")</x:f>
        <x:v>Not applicable</x:v>
      </x:c>
      <x:c r="N1740" s="8" t="str">
        <x:f aca="0">IF(AND(ISNUMBER(I1740),P1740&lt;&gt;"Unresolved unit / layout"),I1740*K1740,"Not applicable")</x:f>
        <x:v>Not applicable</x:v>
      </x:c>
      <x:c r="O1740" s="7" t="s">
        <x:v>1956</x:v>
      </x:c>
      <x:c r="P1740" s="7" t="s">
        <x:v>1921</x:v>
      </x:c>
      <x:c r="Q1740" s="7" t="s">
        <x:v>2064</x:v>
      </x:c>
      <x:c r="R1740" s="7" t="s">
        <x:v>5311</x:v>
      </x:c>
      <x:c r="S1740" s="7" t="s">
        <x:v>53</x:v>
      </x:c>
      <x:c r="T1740" s="7" t="s">
        <x:v>5349</x:v>
      </x:c>
      <x:c r="U1740" s="7" t="s">
        <x:v>53</x:v>
      </x:c>
      <x:c r="V1740" s="7" t="s">
        <x:v>5350</x:v>
      </x:c>
      <x:c r="W1740" s="7" t="s">
        <x:v>58</x:v>
      </x:c>
      <x:c r="X1740" s="7" t="s">
        <x:v>53</x:v>
      </x:c>
      <x:c r="Y1740" s="7" t="s">
        <x:v>1418</x:v>
      </x:c>
      <x:c r="Z1740" s="7" t="s">
        <x:v>5351</x:v>
      </x:c>
      <x:c r="AA1740" s="7" t="s">
        <x:v>5215</x:v>
      </x:c>
      <x:c r="AB1740" s="8" t="s">
        <x:v>58</x:v>
      </x:c>
      <x:c r="AC1740" s="8" t="s">
        <x:v>58</x:v>
      </x:c>
      <x:c r="AD1740" s="8" t="s">
        <x:v>58</x:v>
      </x:c>
      <x:c r="AE1740" s="8" t="s">
        <x:v>58</x:v>
      </x:c>
      <x:c r="AF1740" s="8" t="s">
        <x:v>58</x:v>
      </x:c>
      <x:c r="AG1740" s="7" t="s">
        <x:v>58</x:v>
      </x:c>
    </x:row>
    <x:row r="1741" ht="51.75" hidden="0" customHeight="1">
      <x:c r="A1741" s="7" t="s">
        <x:v>5354</x:v>
      </x:c>
      <x:c r="B1741" s="7" t="s">
        <x:v>1080</x:v>
      </x:c>
      <x:c r="C1741" s="7" t="s">
        <x:v>1416</x:v>
      </x:c>
      <x:c r="D1741" s="7" t="s">
        <x:v>1916</x:v>
      </x:c>
      <x:c r="E1741" s="7" t="s">
        <x:v>5355</x:v>
      </x:c>
      <x:c r="F1741" s="7" t="s">
        <x:v>2076</x:v>
      </x:c>
      <x:c r="G1741" s="8" t="n">
        <x:v>1.275</x:v>
      </x:c>
      <x:c r="H1741" s="8" t="s">
        <x:v>58</x:v>
      </x:c>
      <x:c r="I1741" s="8" t="s">
        <x:v>58</x:v>
      </x:c>
      <x:c r="J1741" s="7" t="s">
        <x:v>1919</x:v>
      </x:c>
      <x:c r="K1741" s="8" t="n">
        <x:v>1000</x:v>
      </x:c>
      <x:c r="L1741" s="8" t="n">
        <x:f aca="0">IF(AND(ISNUMBER(G1741),P1741&lt;&gt;"Unresolved unit / layout"),G1741*K1741,"Not applicable")</x:f>
        <x:v>1275</x:v>
      </x:c>
      <x:c r="M1741" s="8" t="str">
        <x:f aca="0">IF(AND(ISNUMBER(H1741),P1741&lt;&gt;"Unresolved unit / layout"),H1741*K1741,"Not applicable")</x:f>
        <x:v>Not applicable</x:v>
      </x:c>
      <x:c r="N1741" s="8" t="str">
        <x:f aca="0">IF(AND(ISNUMBER(I1741),P1741&lt;&gt;"Unresolved unit / layout"),I1741*K1741,"Not applicable")</x:f>
        <x:v>Not applicable</x:v>
      </x:c>
      <x:c r="O1741" s="7" t="s">
        <x:v>1920</x:v>
      </x:c>
      <x:c r="P1741" s="7" t="s">
        <x:v>1921</x:v>
      </x:c>
      <x:c r="Q1741" s="7" t="s">
        <x:v>1922</x:v>
      </x:c>
      <x:c r="R1741" s="7" t="s">
        <x:v>53</x:v>
      </x:c>
      <x:c r="S1741" s="7" t="s">
        <x:v>53</x:v>
      </x:c>
      <x:c r="T1741" s="7" t="s">
        <x:v>53</x:v>
      </x:c>
      <x:c r="U1741" s="7" t="s">
        <x:v>53</x:v>
      </x:c>
      <x:c r="V1741" s="7" t="s">
        <x:v>2810</x:v>
      </x:c>
      <x:c r="W1741" s="7" t="s">
        <x:v>58</x:v>
      </x:c>
      <x:c r="X1741" s="7" t="s">
        <x:v>53</x:v>
      </x:c>
      <x:c r="Y1741" s="7" t="s">
        <x:v>1418</x:v>
      </x:c>
      <x:c r="Z1741" s="7" t="s">
        <x:v>1968</x:v>
      </x:c>
      <x:c r="AA1741" s="7" t="s">
        <x:v>5215</x:v>
      </x:c>
      <x:c r="AB1741" s="8" t="s">
        <x:v>58</x:v>
      </x:c>
      <x:c r="AC1741" s="8" t="s">
        <x:v>58</x:v>
      </x:c>
      <x:c r="AD1741" s="8" t="s">
        <x:v>58</x:v>
      </x:c>
      <x:c r="AE1741" s="8" t="s">
        <x:v>58</x:v>
      </x:c>
      <x:c r="AF1741" s="8" t="s">
        <x:v>58</x:v>
      </x:c>
      <x:c r="AG1741" s="7" t="s">
        <x:v>58</x:v>
      </x:c>
    </x:row>
    <x:row r="1742" ht="37.5" hidden="0" customHeight="1">
      <x:c r="A1742" s="7" t="s">
        <x:v>5356</x:v>
      </x:c>
      <x:c r="B1742" s="7" t="s">
        <x:v>1051</x:v>
      </x:c>
      <x:c r="C1742" s="7" t="s">
        <x:v>1405</x:v>
      </x:c>
      <x:c r="D1742" s="7" t="s">
        <x:v>3061</x:v>
      </x:c>
      <x:c r="E1742" s="7" t="s">
        <x:v>3801</x:v>
      </x:c>
      <x:c r="F1742" s="7" t="s">
        <x:v>1929</x:v>
      </x:c>
      <x:c r="G1742" s="8" t="n">
        <x:v>100</x:v>
      </x:c>
      <x:c r="H1742" s="8" t="s">
        <x:v>58</x:v>
      </x:c>
      <x:c r="I1742" s="8" t="s">
        <x:v>58</x:v>
      </x:c>
      <x:c r="J1742" s="7" t="s">
        <x:v>1919</x:v>
      </x:c>
      <x:c r="K1742" s="8" t="n">
        <x:v>1</x:v>
      </x:c>
      <x:c r="L1742" s="8" t="n">
        <x:f aca="0">IF(AND(ISNUMBER(G1742),P1742&lt;&gt;"Unresolved unit / layout"),G1742*K1742,"Not applicable")</x:f>
        <x:v>100</x:v>
      </x:c>
      <x:c r="M1742" s="8" t="str">
        <x:f aca="0">IF(AND(ISNUMBER(H1742),P1742&lt;&gt;"Unresolved unit / layout"),H1742*K1742,"Not applicable")</x:f>
        <x:v>Not applicable</x:v>
      </x:c>
      <x:c r="N1742" s="8" t="str">
        <x:f aca="0">IF(AND(ISNUMBER(I1742),P1742&lt;&gt;"Unresolved unit / layout"),I1742*K1742,"Not applicable")</x:f>
        <x:v>Not applicable</x:v>
      </x:c>
      <x:c r="O1742" s="7" t="s">
        <x:v>1929</x:v>
      </x:c>
      <x:c r="P1742" s="7" t="s">
        <x:v>1921</x:v>
      </x:c>
      <x:c r="Q1742" s="7" t="s">
        <x:v>2064</x:v>
      </x:c>
      <x:c r="R1742" s="7" t="s">
        <x:v>53</x:v>
      </x:c>
      <x:c r="S1742" s="7" t="s">
        <x:v>53</x:v>
      </x:c>
      <x:c r="T1742" s="7" t="s">
        <x:v>53</x:v>
      </x:c>
      <x:c r="U1742" s="7" t="s">
        <x:v>2842</x:v>
      </x:c>
      <x:c r="V1742" s="7" t="s">
        <x:v>1932</x:v>
      </x:c>
      <x:c r="W1742" s="7" t="s">
        <x:v>58</x:v>
      </x:c>
      <x:c r="X1742" s="7" t="s">
        <x:v>53</x:v>
      </x:c>
      <x:c r="Y1742" s="7" t="s">
        <x:v>1406</x:v>
      </x:c>
      <x:c r="Z1742" s="7" t="s">
        <x:v>5195</x:v>
      </x:c>
      <x:c r="AA1742" s="7" t="s">
        <x:v>5215</x:v>
      </x:c>
      <x:c r="AB1742" s="8" t="s">
        <x:v>58</x:v>
      </x:c>
      <x:c r="AC1742" s="8" t="s">
        <x:v>58</x:v>
      </x:c>
      <x:c r="AD1742" s="8" t="s">
        <x:v>58</x:v>
      </x:c>
      <x:c r="AE1742" s="8" t="s">
        <x:v>58</x:v>
      </x:c>
      <x:c r="AF1742" s="8" t="s">
        <x:v>58</x:v>
      </x:c>
      <x:c r="AG1742" s="7" t="s">
        <x:v>58</x:v>
      </x:c>
    </x:row>
    <x:row r="1743" ht="37.5" hidden="0" customHeight="1">
      <x:c r="A1743" s="7" t="s">
        <x:v>5357</x:v>
      </x:c>
      <x:c r="B1743" s="7" t="s">
        <x:v>1051</x:v>
      </x:c>
      <x:c r="C1743" s="7" t="s">
        <x:v>1405</x:v>
      </x:c>
      <x:c r="D1743" s="7" t="s">
        <x:v>1940</x:v>
      </x:c>
      <x:c r="E1743" s="7" t="s">
        <x:v>4799</x:v>
      </x:c>
      <x:c r="F1743" s="7" t="s">
        <x:v>1942</x:v>
      </x:c>
      <x:c r="G1743" s="8" t="n">
        <x:v>40</x:v>
      </x:c>
      <x:c r="H1743" s="8" t="s">
        <x:v>58</x:v>
      </x:c>
      <x:c r="I1743" s="8" t="s">
        <x:v>58</x:v>
      </x:c>
      <x:c r="J1743" s="7" t="s">
        <x:v>1919</x:v>
      </x:c>
      <x:c r="K1743" s="8" t="n">
        <x:v>1</x:v>
      </x:c>
      <x:c r="L1743" s="8" t="n">
        <x:f aca="0">IF(AND(ISNUMBER(G1743),P1743&lt;&gt;"Unresolved unit / layout"),G1743*K1743,"Not applicable")</x:f>
        <x:v>40</x:v>
      </x:c>
      <x:c r="M1743" s="8" t="str">
        <x:f aca="0">IF(AND(ISNUMBER(H1743),P1743&lt;&gt;"Unresolved unit / layout"),H1743*K1743,"Not applicable")</x:f>
        <x:v>Not applicable</x:v>
      </x:c>
      <x:c r="N1743" s="8" t="str">
        <x:f aca="0">IF(AND(ISNUMBER(I1743),P1743&lt;&gt;"Unresolved unit / layout"),I1743*K1743,"Not applicable")</x:f>
        <x:v>Not applicable</x:v>
      </x:c>
      <x:c r="O1743" s="7" t="s">
        <x:v>1942</x:v>
      </x:c>
      <x:c r="P1743" s="7" t="s">
        <x:v>1921</x:v>
      </x:c>
      <x:c r="Q1743" s="7" t="s">
        <x:v>2064</x:v>
      </x:c>
      <x:c r="R1743" s="7" t="s">
        <x:v>53</x:v>
      </x:c>
      <x:c r="S1743" s="7" t="s">
        <x:v>53</x:v>
      </x:c>
      <x:c r="T1743" s="7" t="s">
        <x:v>53</x:v>
      </x:c>
      <x:c r="U1743" s="7" t="s">
        <x:v>2842</x:v>
      </x:c>
      <x:c r="V1743" s="7" t="s">
        <x:v>1932</x:v>
      </x:c>
      <x:c r="W1743" s="7" t="s">
        <x:v>58</x:v>
      </x:c>
      <x:c r="X1743" s="7" t="s">
        <x:v>53</x:v>
      </x:c>
      <x:c r="Y1743" s="7" t="s">
        <x:v>1406</x:v>
      </x:c>
      <x:c r="Z1743" s="7" t="s">
        <x:v>4895</x:v>
      </x:c>
      <x:c r="AA1743" s="7" t="s">
        <x:v>5215</x:v>
      </x:c>
      <x:c r="AB1743" s="8" t="s">
        <x:v>58</x:v>
      </x:c>
      <x:c r="AC1743" s="8" t="s">
        <x:v>58</x:v>
      </x:c>
      <x:c r="AD1743" s="8" t="s">
        <x:v>58</x:v>
      </x:c>
      <x:c r="AE1743" s="8" t="s">
        <x:v>58</x:v>
      </x:c>
      <x:c r="AF1743" s="8" t="s">
        <x:v>58</x:v>
      </x:c>
      <x:c r="AG1743" s="7" t="s">
        <x:v>58</x:v>
      </x:c>
    </x:row>
    <x:row r="1744" ht="37.5" hidden="0" customHeight="1">
      <x:c r="A1744" s="7" t="s">
        <x:v>5358</x:v>
      </x:c>
      <x:c r="B1744" s="7" t="s">
        <x:v>1051</x:v>
      </x:c>
      <x:c r="C1744" s="7" t="s">
        <x:v>1405</x:v>
      </x:c>
      <x:c r="D1744" s="7" t="s">
        <x:v>1945</x:v>
      </x:c>
      <x:c r="E1744" s="7" t="s">
        <x:v>5072</x:v>
      </x:c>
      <x:c r="F1744" s="7" t="s">
        <x:v>1929</x:v>
      </x:c>
      <x:c r="G1744" s="8" t="n">
        <x:v>170</x:v>
      </x:c>
      <x:c r="H1744" s="8" t="s">
        <x:v>58</x:v>
      </x:c>
      <x:c r="I1744" s="8" t="s">
        <x:v>58</x:v>
      </x:c>
      <x:c r="J1744" s="7" t="s">
        <x:v>1919</x:v>
      </x:c>
      <x:c r="K1744" s="8" t="n">
        <x:v>1</x:v>
      </x:c>
      <x:c r="L1744" s="8" t="n">
        <x:f aca="0">IF(AND(ISNUMBER(G1744),P1744&lt;&gt;"Unresolved unit / layout"),G1744*K1744,"Not applicable")</x:f>
        <x:v>170</x:v>
      </x:c>
      <x:c r="M1744" s="8" t="str">
        <x:f aca="0">IF(AND(ISNUMBER(H1744),P1744&lt;&gt;"Unresolved unit / layout"),H1744*K1744,"Not applicable")</x:f>
        <x:v>Not applicable</x:v>
      </x:c>
      <x:c r="N1744" s="8" t="str">
        <x:f aca="0">IF(AND(ISNUMBER(I1744),P1744&lt;&gt;"Unresolved unit / layout"),I1744*K1744,"Not applicable")</x:f>
        <x:v>Not applicable</x:v>
      </x:c>
      <x:c r="O1744" s="7" t="s">
        <x:v>1929</x:v>
      </x:c>
      <x:c r="P1744" s="7" t="s">
        <x:v>1921</x:v>
      </x:c>
      <x:c r="Q1744" s="7" t="s">
        <x:v>2064</x:v>
      </x:c>
      <x:c r="R1744" s="7" t="s">
        <x:v>53</x:v>
      </x:c>
      <x:c r="S1744" s="7" t="s">
        <x:v>53</x:v>
      </x:c>
      <x:c r="T1744" s="7" t="s">
        <x:v>53</x:v>
      </x:c>
      <x:c r="U1744" s="7" t="s">
        <x:v>2842</x:v>
      </x:c>
      <x:c r="V1744" s="7" t="s">
        <x:v>5359</x:v>
      </x:c>
      <x:c r="W1744" s="7" t="s">
        <x:v>58</x:v>
      </x:c>
      <x:c r="X1744" s="7" t="s">
        <x:v>53</x:v>
      </x:c>
      <x:c r="Y1744" s="7" t="s">
        <x:v>1406</x:v>
      </x:c>
      <x:c r="Z1744" s="7" t="s">
        <x:v>5360</x:v>
      </x:c>
      <x:c r="AA1744" s="7" t="s">
        <x:v>5215</x:v>
      </x:c>
      <x:c r="AB1744" s="8" t="s">
        <x:v>58</x:v>
      </x:c>
      <x:c r="AC1744" s="8" t="s">
        <x:v>58</x:v>
      </x:c>
      <x:c r="AD1744" s="8" t="s">
        <x:v>58</x:v>
      </x:c>
      <x:c r="AE1744" s="8" t="s">
        <x:v>58</x:v>
      </x:c>
      <x:c r="AF1744" s="8" t="s">
        <x:v>58</x:v>
      </x:c>
      <x:c r="AG1744" s="7" t="s">
        <x:v>58</x:v>
      </x:c>
    </x:row>
    <x:row r="1745" ht="37.5" hidden="0" customHeight="1">
      <x:c r="A1745" s="7" t="s">
        <x:v>5361</x:v>
      </x:c>
      <x:c r="B1745" s="7" t="s">
        <x:v>1051</x:v>
      </x:c>
      <x:c r="C1745" s="7" t="s">
        <x:v>1405</x:v>
      </x:c>
      <x:c r="D1745" s="7" t="s">
        <x:v>1950</x:v>
      </x:c>
      <x:c r="E1745" s="7" t="s">
        <x:v>5362</x:v>
      </x:c>
      <x:c r="F1745" s="7" t="s">
        <x:v>1937</x:v>
      </x:c>
      <x:c r="G1745" s="8" t="n">
        <x:v>4.2</x:v>
      </x:c>
      <x:c r="H1745" s="8" t="s">
        <x:v>58</x:v>
      </x:c>
      <x:c r="I1745" s="8" t="s">
        <x:v>58</x:v>
      </x:c>
      <x:c r="J1745" s="7" t="s">
        <x:v>1919</x:v>
      </x:c>
      <x:c r="K1745" s="8" t="n">
        <x:v>1</x:v>
      </x:c>
      <x:c r="L1745" s="8" t="n">
        <x:f aca="0">IF(AND(ISNUMBER(G1745),P1745&lt;&gt;"Unresolved unit / layout"),G1745*K1745,"Not applicable")</x:f>
        <x:v>4.2</x:v>
      </x:c>
      <x:c r="M1745" s="8" t="str">
        <x:f aca="0">IF(AND(ISNUMBER(H1745),P1745&lt;&gt;"Unresolved unit / layout"),H1745*K1745,"Not applicable")</x:f>
        <x:v>Not applicable</x:v>
      </x:c>
      <x:c r="N1745" s="8" t="str">
        <x:f aca="0">IF(AND(ISNUMBER(I1745),P1745&lt;&gt;"Unresolved unit / layout"),I1745*K1745,"Not applicable")</x:f>
        <x:v>Not applicable</x:v>
      </x:c>
      <x:c r="O1745" s="7" t="s">
        <x:v>1937</x:v>
      </x:c>
      <x:c r="P1745" s="7" t="s">
        <x:v>1921</x:v>
      </x:c>
      <x:c r="Q1745" s="7" t="s">
        <x:v>2064</x:v>
      </x:c>
      <x:c r="R1745" s="7" t="s">
        <x:v>53</x:v>
      </x:c>
      <x:c r="S1745" s="7" t="s">
        <x:v>53</x:v>
      </x:c>
      <x:c r="T1745" s="7" t="s">
        <x:v>53</x:v>
      </x:c>
      <x:c r="U1745" s="7" t="s">
        <x:v>2842</x:v>
      </x:c>
      <x:c r="V1745" s="7" t="s">
        <x:v>1947</x:v>
      </x:c>
      <x:c r="W1745" s="7" t="s">
        <x:v>58</x:v>
      </x:c>
      <x:c r="X1745" s="7" t="s">
        <x:v>53</x:v>
      </x:c>
      <x:c r="Y1745" s="7" t="s">
        <x:v>1406</x:v>
      </x:c>
      <x:c r="Z1745" s="7" t="s">
        <x:v>2749</x:v>
      </x:c>
      <x:c r="AA1745" s="7" t="s">
        <x:v>5215</x:v>
      </x:c>
      <x:c r="AB1745" s="8" t="s">
        <x:v>58</x:v>
      </x:c>
      <x:c r="AC1745" s="8" t="s">
        <x:v>58</x:v>
      </x:c>
      <x:c r="AD1745" s="8" t="s">
        <x:v>58</x:v>
      </x:c>
      <x:c r="AE1745" s="8" t="s">
        <x:v>58</x:v>
      </x:c>
      <x:c r="AF1745" s="8" t="s">
        <x:v>58</x:v>
      </x:c>
      <x:c r="AG1745" s="7" t="s">
        <x:v>58</x:v>
      </x:c>
    </x:row>
    <x:row r="1746" ht="37.5" hidden="0" customHeight="1">
      <x:c r="A1746" s="7" t="s">
        <x:v>5363</x:v>
      </x:c>
      <x:c r="B1746" s="7" t="s">
        <x:v>1051</x:v>
      </x:c>
      <x:c r="C1746" s="7" t="s">
        <x:v>1405</x:v>
      </x:c>
      <x:c r="D1746" s="7" t="s">
        <x:v>5364</x:v>
      </x:c>
      <x:c r="E1746" s="7" t="s">
        <x:v>5365</x:v>
      </x:c>
      <x:c r="F1746" s="7" t="s">
        <x:v>1929</x:v>
      </x:c>
      <x:c r="G1746" s="8" t="n">
        <x:v>125</x:v>
      </x:c>
      <x:c r="H1746" s="8" t="s">
        <x:v>58</x:v>
      </x:c>
      <x:c r="I1746" s="8" t="s">
        <x:v>58</x:v>
      </x:c>
      <x:c r="J1746" s="7" t="s">
        <x:v>1919</x:v>
      </x:c>
      <x:c r="K1746" s="8" t="n">
        <x:v>1</x:v>
      </x:c>
      <x:c r="L1746" s="8" t="n">
        <x:f aca="0">IF(AND(ISNUMBER(G1746),P1746&lt;&gt;"Unresolved unit / layout"),G1746*K1746,"Not applicable")</x:f>
        <x:v>125</x:v>
      </x:c>
      <x:c r="M1746" s="8" t="str">
        <x:f aca="0">IF(AND(ISNUMBER(H1746),P1746&lt;&gt;"Unresolved unit / layout"),H1746*K1746,"Not applicable")</x:f>
        <x:v>Not applicable</x:v>
      </x:c>
      <x:c r="N1746" s="8" t="str">
        <x:f aca="0">IF(AND(ISNUMBER(I1746),P1746&lt;&gt;"Unresolved unit / layout"),I1746*K1746,"Not applicable")</x:f>
        <x:v>Not applicable</x:v>
      </x:c>
      <x:c r="O1746" s="7" t="s">
        <x:v>1929</x:v>
      </x:c>
      <x:c r="P1746" s="7" t="s">
        <x:v>1921</x:v>
      </x:c>
      <x:c r="Q1746" s="7" t="s">
        <x:v>2064</x:v>
      </x:c>
      <x:c r="R1746" s="7" t="s">
        <x:v>53</x:v>
      </x:c>
      <x:c r="S1746" s="7" t="s">
        <x:v>53</x:v>
      </x:c>
      <x:c r="T1746" s="7" t="s">
        <x:v>53</x:v>
      </x:c>
      <x:c r="U1746" s="7" t="s">
        <x:v>2842</x:v>
      </x:c>
      <x:c r="V1746" s="7" t="s">
        <x:v>5366</x:v>
      </x:c>
      <x:c r="W1746" s="7" t="s">
        <x:v>58</x:v>
      </x:c>
      <x:c r="X1746" s="7" t="s">
        <x:v>53</x:v>
      </x:c>
      <x:c r="Y1746" s="7" t="s">
        <x:v>1406</x:v>
      </x:c>
      <x:c r="Z1746" s="7" t="s">
        <x:v>5367</x:v>
      </x:c>
      <x:c r="AA1746" s="7" t="s">
        <x:v>5215</x:v>
      </x:c>
      <x:c r="AB1746" s="8" t="s">
        <x:v>58</x:v>
      </x:c>
      <x:c r="AC1746" s="8" t="s">
        <x:v>58</x:v>
      </x:c>
      <x:c r="AD1746" s="8" t="s">
        <x:v>58</x:v>
      </x:c>
      <x:c r="AE1746" s="8" t="s">
        <x:v>58</x:v>
      </x:c>
      <x:c r="AF1746" s="8" t="s">
        <x:v>58</x:v>
      </x:c>
      <x:c r="AG1746" s="7" t="s">
        <x:v>58</x:v>
      </x:c>
    </x:row>
    <x:row r="1747" ht="37.5" hidden="0" customHeight="1">
      <x:c r="A1747" s="7" t="s">
        <x:v>5368</x:v>
      </x:c>
      <x:c r="B1747" s="7" t="s">
        <x:v>1051</x:v>
      </x:c>
      <x:c r="C1747" s="7" t="s">
        <x:v>1405</x:v>
      </x:c>
      <x:c r="D1747" s="7" t="s">
        <x:v>2030</x:v>
      </x:c>
      <x:c r="E1747" s="7" t="s">
        <x:v>4246</x:v>
      </x:c>
      <x:c r="F1747" s="7" t="s">
        <x:v>2033</x:v>
      </x:c>
      <x:c r="G1747" s="8" t="n">
        <x:v>6</x:v>
      </x:c>
      <x:c r="H1747" s="8" t="s">
        <x:v>58</x:v>
      </x:c>
      <x:c r="I1747" s="8" t="s">
        <x:v>58</x:v>
      </x:c>
      <x:c r="J1747" s="7" t="s">
        <x:v>1919</x:v>
      </x:c>
      <x:c r="K1747" s="8" t="n">
        <x:v>1</x:v>
      </x:c>
      <x:c r="L1747" s="8" t="n">
        <x:f aca="0">IF(AND(ISNUMBER(G1747),P1747&lt;&gt;"Unresolved unit / layout"),G1747*K1747,"Not applicable")</x:f>
        <x:v>6</x:v>
      </x:c>
      <x:c r="M1747" s="8" t="str">
        <x:f aca="0">IF(AND(ISNUMBER(H1747),P1747&lt;&gt;"Unresolved unit / layout"),H1747*K1747,"Not applicable")</x:f>
        <x:v>Not applicable</x:v>
      </x:c>
      <x:c r="N1747" s="8" t="str">
        <x:f aca="0">IF(AND(ISNUMBER(I1747),P1747&lt;&gt;"Unresolved unit / layout"),I1747*K1747,"Not applicable")</x:f>
        <x:v>Not applicable</x:v>
      </x:c>
      <x:c r="O1747" s="7" t="s">
        <x:v>2033</x:v>
      </x:c>
      <x:c r="P1747" s="7" t="s">
        <x:v>1921</x:v>
      </x:c>
      <x:c r="Q1747" s="7" t="s">
        <x:v>2064</x:v>
      </x:c>
      <x:c r="R1747" s="7" t="s">
        <x:v>53</x:v>
      </x:c>
      <x:c r="S1747" s="7" t="s">
        <x:v>53</x:v>
      </x:c>
      <x:c r="T1747" s="7" t="s">
        <x:v>53</x:v>
      </x:c>
      <x:c r="U1747" s="7" t="s">
        <x:v>2842</x:v>
      </x:c>
      <x:c r="V1747" s="7" t="s">
        <x:v>5369</x:v>
      </x:c>
      <x:c r="W1747" s="7" t="s">
        <x:v>2139</x:v>
      </x:c>
      <x:c r="X1747" s="7" t="s">
        <x:v>53</x:v>
      </x:c>
      <x:c r="Y1747" s="7" t="s">
        <x:v>1406</x:v>
      </x:c>
      <x:c r="Z1747" s="7" t="s">
        <x:v>5370</x:v>
      </x:c>
      <x:c r="AA1747" s="7" t="s">
        <x:v>5215</x:v>
      </x:c>
      <x:c r="AB1747" s="8" t="s">
        <x:v>58</x:v>
      </x:c>
      <x:c r="AC1747" s="8" t="s">
        <x:v>58</x:v>
      </x:c>
      <x:c r="AD1747" s="8" t="s">
        <x:v>58</x:v>
      </x:c>
      <x:c r="AE1747" s="8" t="s">
        <x:v>58</x:v>
      </x:c>
      <x:c r="AF1747" s="8" t="s">
        <x:v>58</x:v>
      </x:c>
      <x:c r="AG1747" s="7" t="s">
        <x:v>58</x:v>
      </x:c>
    </x:row>
    <x:row r="1748" ht="37.5" hidden="0" customHeight="1">
      <x:c r="A1748" s="7" t="s">
        <x:v>5371</x:v>
      </x:c>
      <x:c r="B1748" s="7" t="s">
        <x:v>1051</x:v>
      </x:c>
      <x:c r="C1748" s="7" t="s">
        <x:v>1405</x:v>
      </x:c>
      <x:c r="D1748" s="7" t="s">
        <x:v>2834</x:v>
      </x:c>
      <x:c r="E1748" s="7" t="s">
        <x:v>4246</x:v>
      </x:c>
      <x:c r="F1748" s="7" t="s">
        <x:v>2033</x:v>
      </x:c>
      <x:c r="G1748" s="8" t="n">
        <x:v>6</x:v>
      </x:c>
      <x:c r="H1748" s="8" t="s">
        <x:v>58</x:v>
      </x:c>
      <x:c r="I1748" s="8" t="s">
        <x:v>58</x:v>
      </x:c>
      <x:c r="J1748" s="7" t="s">
        <x:v>1919</x:v>
      </x:c>
      <x:c r="K1748" s="8" t="n">
        <x:v>1</x:v>
      </x:c>
      <x:c r="L1748" s="8" t="n">
        <x:f aca="0">IF(AND(ISNUMBER(G1748),P1748&lt;&gt;"Unresolved unit / layout"),G1748*K1748,"Not applicable")</x:f>
        <x:v>6</x:v>
      </x:c>
      <x:c r="M1748" s="8" t="str">
        <x:f aca="0">IF(AND(ISNUMBER(H1748),P1748&lt;&gt;"Unresolved unit / layout"),H1748*K1748,"Not applicable")</x:f>
        <x:v>Not applicable</x:v>
      </x:c>
      <x:c r="N1748" s="8" t="str">
        <x:f aca="0">IF(AND(ISNUMBER(I1748),P1748&lt;&gt;"Unresolved unit / layout"),I1748*K1748,"Not applicable")</x:f>
        <x:v>Not applicable</x:v>
      </x:c>
      <x:c r="O1748" s="7" t="s">
        <x:v>2033</x:v>
      </x:c>
      <x:c r="P1748" s="7" t="s">
        <x:v>1921</x:v>
      </x:c>
      <x:c r="Q1748" s="7" t="s">
        <x:v>2064</x:v>
      </x:c>
      <x:c r="R1748" s="7" t="s">
        <x:v>53</x:v>
      </x:c>
      <x:c r="S1748" s="7" t="s">
        <x:v>53</x:v>
      </x:c>
      <x:c r="T1748" s="7" t="s">
        <x:v>53</x:v>
      </x:c>
      <x:c r="U1748" s="7" t="s">
        <x:v>2842</x:v>
      </x:c>
      <x:c r="V1748" s="7" t="s">
        <x:v>4920</x:v>
      </x:c>
      <x:c r="W1748" s="7" t="s">
        <x:v>2139</x:v>
      </x:c>
      <x:c r="X1748" s="7" t="s">
        <x:v>53</x:v>
      </x:c>
      <x:c r="Y1748" s="7" t="s">
        <x:v>1406</x:v>
      </x:c>
      <x:c r="Z1748" s="7" t="s">
        <x:v>5336</x:v>
      </x:c>
      <x:c r="AA1748" s="7" t="s">
        <x:v>5215</x:v>
      </x:c>
      <x:c r="AB1748" s="8" t="s">
        <x:v>58</x:v>
      </x:c>
      <x:c r="AC1748" s="8" t="s">
        <x:v>58</x:v>
      </x:c>
      <x:c r="AD1748" s="8" t="s">
        <x:v>58</x:v>
      </x:c>
      <x:c r="AE1748" s="8" t="s">
        <x:v>58</x:v>
      </x:c>
      <x:c r="AF1748" s="8" t="s">
        <x:v>58</x:v>
      </x:c>
      <x:c r="AG1748" s="7" t="s">
        <x:v>58</x:v>
      </x:c>
    </x:row>
    <x:row r="1749" ht="37.5" hidden="0" customHeight="1">
      <x:c r="A1749" s="7" t="s">
        <x:v>5372</x:v>
      </x:c>
      <x:c r="B1749" s="7" t="s">
        <x:v>1051</x:v>
      </x:c>
      <x:c r="C1749" s="7" t="s">
        <x:v>1405</x:v>
      </x:c>
      <x:c r="D1749" s="7" t="s">
        <x:v>1974</x:v>
      </x:c>
      <x:c r="E1749" s="7" t="s">
        <x:v>5373</x:v>
      </x:c>
      <x:c r="F1749" s="7" t="s">
        <x:v>1956</x:v>
      </x:c>
      <x:c r="G1749" s="8" t="n">
        <x:v>343</x:v>
      </x:c>
      <x:c r="H1749" s="8" t="s">
        <x:v>58</x:v>
      </x:c>
      <x:c r="I1749" s="8" t="s">
        <x:v>58</x:v>
      </x:c>
      <x:c r="J1749" s="7" t="s">
        <x:v>1919</x:v>
      </x:c>
      <x:c r="K1749" s="8" t="n">
        <x:v>1</x:v>
      </x:c>
      <x:c r="L1749" s="8" t="n">
        <x:f aca="0">IF(AND(ISNUMBER(G1749),P1749&lt;&gt;"Unresolved unit / layout"),G1749*K1749,"Not applicable")</x:f>
        <x:v>343</x:v>
      </x:c>
      <x:c r="M1749" s="8" t="str">
        <x:f aca="0">IF(AND(ISNUMBER(H1749),P1749&lt;&gt;"Unresolved unit / layout"),H1749*K1749,"Not applicable")</x:f>
        <x:v>Not applicable</x:v>
      </x:c>
      <x:c r="N1749" s="8" t="str">
        <x:f aca="0">IF(AND(ISNUMBER(I1749),P1749&lt;&gt;"Unresolved unit / layout"),I1749*K1749,"Not applicable")</x:f>
        <x:v>Not applicable</x:v>
      </x:c>
      <x:c r="O1749" s="7" t="s">
        <x:v>1956</x:v>
      </x:c>
      <x:c r="P1749" s="7" t="s">
        <x:v>1921</x:v>
      </x:c>
      <x:c r="Q1749" s="7" t="s">
        <x:v>2064</x:v>
      </x:c>
      <x:c r="R1749" s="7" t="s">
        <x:v>58</x:v>
      </x:c>
      <x:c r="S1749" s="7" t="s">
        <x:v>53</x:v>
      </x:c>
      <x:c r="T1749" s="7" t="s">
        <x:v>53</x:v>
      </x:c>
      <x:c r="U1749" s="7" t="s">
        <x:v>53</x:v>
      </x:c>
      <x:c r="V1749" s="7" t="s">
        <x:v>4583</x:v>
      </x:c>
      <x:c r="W1749" s="7" t="s">
        <x:v>58</x:v>
      </x:c>
      <x:c r="X1749" s="7" t="s">
        <x:v>53</x:v>
      </x:c>
      <x:c r="Y1749" s="7" t="s">
        <x:v>1406</x:v>
      </x:c>
      <x:c r="Z1749" s="7" t="s">
        <x:v>5217</x:v>
      </x:c>
      <x:c r="AA1749" s="7" t="s">
        <x:v>5215</x:v>
      </x:c>
      <x:c r="AB1749" s="8" t="s">
        <x:v>58</x:v>
      </x:c>
      <x:c r="AC1749" s="8" t="s">
        <x:v>58</x:v>
      </x:c>
      <x:c r="AD1749" s="8" t="s">
        <x:v>58</x:v>
      </x:c>
      <x:c r="AE1749" s="8" t="s">
        <x:v>58</x:v>
      </x:c>
      <x:c r="AF1749" s="8" t="s">
        <x:v>58</x:v>
      </x:c>
      <x:c r="AG1749" s="7" t="s">
        <x:v>58</x:v>
      </x:c>
    </x:row>
    <x:row r="1750" ht="37.5" hidden="0" customHeight="1">
      <x:c r="A1750" s="7" t="s">
        <x:v>5374</x:v>
      </x:c>
      <x:c r="B1750" s="7" t="s">
        <x:v>1051</x:v>
      </x:c>
      <x:c r="C1750" s="7" t="s">
        <x:v>1405</x:v>
      </x:c>
      <x:c r="D1750" s="7" t="s">
        <x:v>1954</x:v>
      </x:c>
      <x:c r="E1750" s="7" t="s">
        <x:v>3451</x:v>
      </x:c>
      <x:c r="F1750" s="7" t="s">
        <x:v>1956</x:v>
      </x:c>
      <x:c r="G1750" s="8" t="n">
        <x:v>143</x:v>
      </x:c>
      <x:c r="H1750" s="8" t="s">
        <x:v>58</x:v>
      </x:c>
      <x:c r="I1750" s="8" t="s">
        <x:v>58</x:v>
      </x:c>
      <x:c r="J1750" s="7" t="s">
        <x:v>1919</x:v>
      </x:c>
      <x:c r="K1750" s="8" t="n">
        <x:v>1</x:v>
      </x:c>
      <x:c r="L1750" s="8" t="n">
        <x:f aca="0">IF(AND(ISNUMBER(G1750),P1750&lt;&gt;"Unresolved unit / layout"),G1750*K1750,"Not applicable")</x:f>
        <x:v>143</x:v>
      </x:c>
      <x:c r="M1750" s="8" t="str">
        <x:f aca="0">IF(AND(ISNUMBER(H1750),P1750&lt;&gt;"Unresolved unit / layout"),H1750*K1750,"Not applicable")</x:f>
        <x:v>Not applicable</x:v>
      </x:c>
      <x:c r="N1750" s="8" t="str">
        <x:f aca="0">IF(AND(ISNUMBER(I1750),P1750&lt;&gt;"Unresolved unit / layout"),I1750*K1750,"Not applicable")</x:f>
        <x:v>Not applicable</x:v>
      </x:c>
      <x:c r="O1750" s="7" t="s">
        <x:v>1956</x:v>
      </x:c>
      <x:c r="P1750" s="7" t="s">
        <x:v>1921</x:v>
      </x:c>
      <x:c r="Q1750" s="7" t="s">
        <x:v>2064</x:v>
      </x:c>
      <x:c r="R1750" s="7" t="s">
        <x:v>58</x:v>
      </x:c>
      <x:c r="S1750" s="7" t="s">
        <x:v>53</x:v>
      </x:c>
      <x:c r="T1750" s="7" t="s">
        <x:v>53</x:v>
      </x:c>
      <x:c r="U1750" s="7" t="s">
        <x:v>53</x:v>
      </x:c>
      <x:c r="V1750" s="7" t="s">
        <x:v>5375</x:v>
      </x:c>
      <x:c r="W1750" s="7" t="s">
        <x:v>58</x:v>
      </x:c>
      <x:c r="X1750" s="7" t="s">
        <x:v>53</x:v>
      </x:c>
      <x:c r="Y1750" s="7" t="s">
        <x:v>1406</x:v>
      </x:c>
      <x:c r="Z1750" s="7" t="s">
        <x:v>5376</x:v>
      </x:c>
      <x:c r="AA1750" s="7" t="s">
        <x:v>5215</x:v>
      </x:c>
      <x:c r="AB1750" s="8" t="s">
        <x:v>58</x:v>
      </x:c>
      <x:c r="AC1750" s="8" t="s">
        <x:v>58</x:v>
      </x:c>
      <x:c r="AD1750" s="8" t="s">
        <x:v>58</x:v>
      </x:c>
      <x:c r="AE1750" s="8" t="s">
        <x:v>58</x:v>
      </x:c>
      <x:c r="AF1750" s="8" t="s">
        <x:v>58</x:v>
      </x:c>
      <x:c r="AG1750" s="7" t="s">
        <x:v>58</x:v>
      </x:c>
    </x:row>
    <x:row r="1751" ht="37.5" hidden="0" customHeight="1">
      <x:c r="A1751" s="7" t="s">
        <x:v>5377</x:v>
      </x:c>
      <x:c r="B1751" s="7" t="s">
        <x:v>1051</x:v>
      </x:c>
      <x:c r="C1751" s="7" t="s">
        <x:v>1405</x:v>
      </x:c>
      <x:c r="D1751" s="7" t="s">
        <x:v>5378</x:v>
      </x:c>
      <x:c r="E1751" s="7" t="s">
        <x:v>4912</x:v>
      </x:c>
      <x:c r="F1751" s="7" t="s">
        <x:v>5379</x:v>
      </x:c>
      <x:c r="G1751" s="8" t="n">
        <x:v>45</x:v>
      </x:c>
      <x:c r="H1751" s="8" t="s">
        <x:v>58</x:v>
      </x:c>
      <x:c r="I1751" s="8" t="s">
        <x:v>58</x:v>
      </x:c>
      <x:c r="J1751" s="7" t="s">
        <x:v>1919</x:v>
      </x:c>
      <x:c r="K1751" s="8" t="n">
        <x:v>1</x:v>
      </x:c>
      <x:c r="L1751" s="8" t="n">
        <x:f aca="0">IF(AND(ISNUMBER(G1751),P1751&lt;&gt;"Unresolved unit / layout"),G1751*K1751,"Not applicable")</x:f>
        <x:v>45</x:v>
      </x:c>
      <x:c r="M1751" s="8" t="str">
        <x:f aca="0">IF(AND(ISNUMBER(H1751),P1751&lt;&gt;"Unresolved unit / layout"),H1751*K1751,"Not applicable")</x:f>
        <x:v>Not applicable</x:v>
      </x:c>
      <x:c r="N1751" s="8" t="str">
        <x:f aca="0">IF(AND(ISNUMBER(I1751),P1751&lt;&gt;"Unresolved unit / layout"),I1751*K1751,"Not applicable")</x:f>
        <x:v>Not applicable</x:v>
      </x:c>
      <x:c r="O1751" s="7" t="s">
        <x:v>5380</x:v>
      </x:c>
      <x:c r="P1751" s="7" t="s">
        <x:v>1921</x:v>
      </x:c>
      <x:c r="Q1751" s="7" t="s">
        <x:v>2064</x:v>
      </x:c>
      <x:c r="R1751" s="7" t="s">
        <x:v>5381</x:v>
      </x:c>
      <x:c r="S1751" s="7" t="s">
        <x:v>53</x:v>
      </x:c>
      <x:c r="T1751" s="7" t="s">
        <x:v>53</x:v>
      </x:c>
      <x:c r="U1751" s="7" t="s">
        <x:v>53</x:v>
      </x:c>
      <x:c r="V1751" s="7" t="s">
        <x:v>5382</x:v>
      </x:c>
      <x:c r="W1751" s="7" t="s">
        <x:v>58</x:v>
      </x:c>
      <x:c r="X1751" s="7" t="s">
        <x:v>53</x:v>
      </x:c>
      <x:c r="Y1751" s="7" t="s">
        <x:v>1406</x:v>
      </x:c>
      <x:c r="Z1751" s="7" t="s">
        <x:v>5383</x:v>
      </x:c>
      <x:c r="AA1751" s="7" t="s">
        <x:v>5215</x:v>
      </x:c>
      <x:c r="AB1751" s="8" t="s">
        <x:v>58</x:v>
      </x:c>
      <x:c r="AC1751" s="8" t="s">
        <x:v>58</x:v>
      </x:c>
      <x:c r="AD1751" s="8" t="s">
        <x:v>58</x:v>
      </x:c>
      <x:c r="AE1751" s="8" t="s">
        <x:v>58</x:v>
      </x:c>
      <x:c r="AF1751" s="8" t="s">
        <x:v>58</x:v>
      </x:c>
      <x:c r="AG1751" s="7" t="s">
        <x:v>58</x:v>
      </x:c>
    </x:row>
    <x:row r="1752" ht="37.5" hidden="0" customHeight="1">
      <x:c r="A1752" s="7" t="s">
        <x:v>5384</x:v>
      </x:c>
      <x:c r="B1752" s="7" t="s">
        <x:v>1051</x:v>
      </x:c>
      <x:c r="C1752" s="7" t="s">
        <x:v>1405</x:v>
      </x:c>
      <x:c r="D1752" s="7" t="s">
        <x:v>1959</x:v>
      </x:c>
      <x:c r="E1752" s="7" t="s">
        <x:v>5385</x:v>
      </x:c>
      <x:c r="F1752" s="7" t="s">
        <x:v>1956</x:v>
      </x:c>
      <x:c r="G1752" s="8" t="n">
        <x:v>152</x:v>
      </x:c>
      <x:c r="H1752" s="8" t="s">
        <x:v>58</x:v>
      </x:c>
      <x:c r="I1752" s="8" t="s">
        <x:v>58</x:v>
      </x:c>
      <x:c r="J1752" s="7" t="s">
        <x:v>1919</x:v>
      </x:c>
      <x:c r="K1752" s="8" t="n">
        <x:v>1</x:v>
      </x:c>
      <x:c r="L1752" s="8" t="n">
        <x:f aca="0">IF(AND(ISNUMBER(G1752),P1752&lt;&gt;"Unresolved unit / layout"),G1752*K1752,"Not applicable")</x:f>
        <x:v>152</x:v>
      </x:c>
      <x:c r="M1752" s="8" t="str">
        <x:f aca="0">IF(AND(ISNUMBER(H1752),P1752&lt;&gt;"Unresolved unit / layout"),H1752*K1752,"Not applicable")</x:f>
        <x:v>Not applicable</x:v>
      </x:c>
      <x:c r="N1752" s="8" t="str">
        <x:f aca="0">IF(AND(ISNUMBER(I1752),P1752&lt;&gt;"Unresolved unit / layout"),I1752*K1752,"Not applicable")</x:f>
        <x:v>Not applicable</x:v>
      </x:c>
      <x:c r="O1752" s="7" t="s">
        <x:v>1956</x:v>
      </x:c>
      <x:c r="P1752" s="7" t="s">
        <x:v>1921</x:v>
      </x:c>
      <x:c r="Q1752" s="7" t="s">
        <x:v>2064</x:v>
      </x:c>
      <x:c r="R1752" s="7" t="s">
        <x:v>58</x:v>
      </x:c>
      <x:c r="S1752" s="7" t="s">
        <x:v>53</x:v>
      </x:c>
      <x:c r="T1752" s="7" t="s">
        <x:v>53</x:v>
      </x:c>
      <x:c r="U1752" s="7" t="s">
        <x:v>53</x:v>
      </x:c>
      <x:c r="V1752" s="7" t="s">
        <x:v>5386</x:v>
      </x:c>
      <x:c r="W1752" s="7" t="s">
        <x:v>58</x:v>
      </x:c>
      <x:c r="X1752" s="7" t="s">
        <x:v>53</x:v>
      </x:c>
      <x:c r="Y1752" s="7" t="s">
        <x:v>1406</x:v>
      </x:c>
      <x:c r="Z1752" s="7" t="s">
        <x:v>5387</x:v>
      </x:c>
      <x:c r="AA1752" s="7" t="s">
        <x:v>5215</x:v>
      </x:c>
      <x:c r="AB1752" s="8" t="s">
        <x:v>58</x:v>
      </x:c>
      <x:c r="AC1752" s="8" t="s">
        <x:v>58</x:v>
      </x:c>
      <x:c r="AD1752" s="8" t="s">
        <x:v>58</x:v>
      </x:c>
      <x:c r="AE1752" s="8" t="s">
        <x:v>58</x:v>
      </x:c>
      <x:c r="AF1752" s="8" t="s">
        <x:v>58</x:v>
      </x:c>
      <x:c r="AG1752" s="7" t="s">
        <x:v>58</x:v>
      </x:c>
    </x:row>
    <x:row r="1753" ht="51.75" hidden="0" customHeight="1">
      <x:c r="A1753" s="7" t="s">
        <x:v>5388</x:v>
      </x:c>
      <x:c r="B1753" s="7" t="s">
        <x:v>1051</x:v>
      </x:c>
      <x:c r="C1753" s="7" t="s">
        <x:v>1405</x:v>
      </x:c>
      <x:c r="D1753" s="7" t="s">
        <x:v>1916</x:v>
      </x:c>
      <x:c r="E1753" s="7" t="s">
        <x:v>5074</x:v>
      </x:c>
      <x:c r="F1753" s="7" t="s">
        <x:v>2076</x:v>
      </x:c>
      <x:c r="G1753" s="8" t="n">
        <x:v>1.3</x:v>
      </x:c>
      <x:c r="H1753" s="8" t="s">
        <x:v>58</x:v>
      </x:c>
      <x:c r="I1753" s="8" t="s">
        <x:v>58</x:v>
      </x:c>
      <x:c r="J1753" s="7" t="s">
        <x:v>1919</x:v>
      </x:c>
      <x:c r="K1753" s="8" t="n">
        <x:v>1000</x:v>
      </x:c>
      <x:c r="L1753" s="8" t="n">
        <x:f aca="0">IF(AND(ISNUMBER(G1753),P1753&lt;&gt;"Unresolved unit / layout"),G1753*K1753,"Not applicable")</x:f>
        <x:v>1300</x:v>
      </x:c>
      <x:c r="M1753" s="8" t="str">
        <x:f aca="0">IF(AND(ISNUMBER(H1753),P1753&lt;&gt;"Unresolved unit / layout"),H1753*K1753,"Not applicable")</x:f>
        <x:v>Not applicable</x:v>
      </x:c>
      <x:c r="N1753" s="8" t="str">
        <x:f aca="0">IF(AND(ISNUMBER(I1753),P1753&lt;&gt;"Unresolved unit / layout"),I1753*K1753,"Not applicable")</x:f>
        <x:v>Not applicable</x:v>
      </x:c>
      <x:c r="O1753" s="7" t="s">
        <x:v>1920</x:v>
      </x:c>
      <x:c r="P1753" s="7" t="s">
        <x:v>1921</x:v>
      </x:c>
      <x:c r="Q1753" s="7" t="s">
        <x:v>1922</x:v>
      </x:c>
      <x:c r="R1753" s="7" t="s">
        <x:v>58</x:v>
      </x:c>
      <x:c r="S1753" s="7" t="s">
        <x:v>53</x:v>
      </x:c>
      <x:c r="T1753" s="7" t="s">
        <x:v>53</x:v>
      </x:c>
      <x:c r="U1753" s="7" t="s">
        <x:v>53</x:v>
      </x:c>
      <x:c r="V1753" s="7" t="s">
        <x:v>5389</x:v>
      </x:c>
      <x:c r="W1753" s="7" t="s">
        <x:v>58</x:v>
      </x:c>
      <x:c r="X1753" s="7" t="s">
        <x:v>53</x:v>
      </x:c>
      <x:c r="Y1753" s="7" t="s">
        <x:v>1406</x:v>
      </x:c>
      <x:c r="Z1753" s="7" t="s">
        <x:v>1925</x:v>
      </x:c>
      <x:c r="AA1753" s="7" t="s">
        <x:v>5215</x:v>
      </x:c>
      <x:c r="AB1753" s="8" t="s">
        <x:v>58</x:v>
      </x:c>
      <x:c r="AC1753" s="8" t="s">
        <x:v>58</x:v>
      </x:c>
      <x:c r="AD1753" s="8" t="s">
        <x:v>58</x:v>
      </x:c>
      <x:c r="AE1753" s="8" t="s">
        <x:v>58</x:v>
      </x:c>
      <x:c r="AF1753" s="8" t="s">
        <x:v>58</x:v>
      </x:c>
      <x:c r="AG1753" s="7" t="s">
        <x:v>58</x:v>
      </x:c>
    </x:row>
    <x:row r="1754" ht="37.5" hidden="0" customHeight="1">
      <x:c r="A1754" s="7" t="s">
        <x:v>5390</x:v>
      </x:c>
      <x:c r="B1754" s="7" t="s">
        <x:v>1051</x:v>
      </x:c>
      <x:c r="C1754" s="7" t="s">
        <x:v>1405</x:v>
      </x:c>
      <x:c r="D1754" s="7" t="s">
        <x:v>2846</x:v>
      </x:c>
      <x:c r="E1754" s="7" t="s">
        <x:v>4885</x:v>
      </x:c>
      <x:c r="F1754" s="7" t="s">
        <x:v>3716</x:v>
      </x:c>
      <x:c r="G1754" s="8" t="n">
        <x:v>85</x:v>
      </x:c>
      <x:c r="H1754" s="8" t="s">
        <x:v>58</x:v>
      </x:c>
      <x:c r="I1754" s="8" t="s">
        <x:v>58</x:v>
      </x:c>
      <x:c r="J1754" s="7" t="s">
        <x:v>1919</x:v>
      </x:c>
      <x:c r="K1754" s="8" t="n">
        <x:v>1</x:v>
      </x:c>
      <x:c r="L1754" s="8" t="n">
        <x:f aca="0">IF(AND(ISNUMBER(G1754),P1754&lt;&gt;"Unresolved unit / layout"),G1754*K1754,"Not applicable")</x:f>
        <x:v>85</x:v>
      </x:c>
      <x:c r="M1754" s="8" t="str">
        <x:f aca="0">IF(AND(ISNUMBER(H1754),P1754&lt;&gt;"Unresolved unit / layout"),H1754*K1754,"Not applicable")</x:f>
        <x:v>Not applicable</x:v>
      </x:c>
      <x:c r="N1754" s="8" t="str">
        <x:f aca="0">IF(AND(ISNUMBER(I1754),P1754&lt;&gt;"Unresolved unit / layout"),I1754*K1754,"Not applicable")</x:f>
        <x:v>Not applicable</x:v>
      </x:c>
      <x:c r="O1754" s="7" t="s">
        <x:v>3716</x:v>
      </x:c>
      <x:c r="P1754" s="7" t="s">
        <x:v>1921</x:v>
      </x:c>
      <x:c r="Q1754" s="7" t="s">
        <x:v>2064</x:v>
      </x:c>
      <x:c r="R1754" s="7" t="s">
        <x:v>53</x:v>
      </x:c>
      <x:c r="S1754" s="7" t="s">
        <x:v>53</x:v>
      </x:c>
      <x:c r="T1754" s="7" t="s">
        <x:v>53</x:v>
      </x:c>
      <x:c r="U1754" s="7" t="s">
        <x:v>2842</x:v>
      </x:c>
      <x:c r="V1754" s="7" t="s">
        <x:v>5391</x:v>
      </x:c>
      <x:c r="W1754" s="7" t="s">
        <x:v>58</x:v>
      </x:c>
      <x:c r="X1754" s="7" t="s">
        <x:v>53</x:v>
      </x:c>
      <x:c r="Y1754" s="7" t="s">
        <x:v>1406</x:v>
      </x:c>
      <x:c r="Z1754" s="7" t="s">
        <x:v>5257</x:v>
      </x:c>
      <x:c r="AA1754" s="7" t="s">
        <x:v>5258</x:v>
      </x:c>
      <x:c r="AB1754" s="8" t="s">
        <x:v>58</x:v>
      </x:c>
      <x:c r="AC1754" s="8" t="s">
        <x:v>58</x:v>
      </x:c>
      <x:c r="AD1754" s="8" t="s">
        <x:v>58</x:v>
      </x:c>
      <x:c r="AE1754" s="8" t="s">
        <x:v>58</x:v>
      </x:c>
      <x:c r="AF1754" s="8" t="s">
        <x:v>58</x:v>
      </x:c>
      <x:c r="AG1754" s="7" t="s">
        <x:v>58</x:v>
      </x:c>
    </x:row>
    <x:row r="1755" ht="37.5" hidden="0" customHeight="1">
      <x:c r="A1755" s="7" t="s">
        <x:v>5392</x:v>
      </x:c>
      <x:c r="B1755" s="7" t="s">
        <x:v>1051</x:v>
      </x:c>
      <x:c r="C1755" s="7" t="s">
        <x:v>1405</x:v>
      </x:c>
      <x:c r="D1755" s="7" t="s">
        <x:v>2099</x:v>
      </x:c>
      <x:c r="E1755" s="7" t="s">
        <x:v>5393</x:v>
      </x:c>
      <x:c r="F1755" s="7" t="s">
        <x:v>1942</x:v>
      </x:c>
      <x:c r="G1755" s="8" t="n">
        <x:v>0.4</x:v>
      </x:c>
      <x:c r="H1755" s="8" t="s">
        <x:v>58</x:v>
      </x:c>
      <x:c r="I1755" s="8" t="s">
        <x:v>58</x:v>
      </x:c>
      <x:c r="J1755" s="7" t="s">
        <x:v>1919</x:v>
      </x:c>
      <x:c r="K1755" s="8" t="n">
        <x:v>1</x:v>
      </x:c>
      <x:c r="L1755" s="8" t="n">
        <x:f aca="0">IF(AND(ISNUMBER(G1755),P1755&lt;&gt;"Unresolved unit / layout"),G1755*K1755,"Not applicable")</x:f>
        <x:v>0.4</x:v>
      </x:c>
      <x:c r="M1755" s="8" t="str">
        <x:f aca="0">IF(AND(ISNUMBER(H1755),P1755&lt;&gt;"Unresolved unit / layout"),H1755*K1755,"Not applicable")</x:f>
        <x:v>Not applicable</x:v>
      </x:c>
      <x:c r="N1755" s="8" t="str">
        <x:f aca="0">IF(AND(ISNUMBER(I1755),P1755&lt;&gt;"Unresolved unit / layout"),I1755*K1755,"Not applicable")</x:f>
        <x:v>Not applicable</x:v>
      </x:c>
      <x:c r="O1755" s="7" t="s">
        <x:v>1942</x:v>
      </x:c>
      <x:c r="P1755" s="7" t="s">
        <x:v>1921</x:v>
      </x:c>
      <x:c r="Q1755" s="7" t="s">
        <x:v>2064</x:v>
      </x:c>
      <x:c r="R1755" s="7" t="s">
        <x:v>58</x:v>
      </x:c>
      <x:c r="S1755" s="7" t="s">
        <x:v>53</x:v>
      </x:c>
      <x:c r="T1755" s="7" t="s">
        <x:v>53</x:v>
      </x:c>
      <x:c r="U1755" s="7" t="s">
        <x:v>2842</x:v>
      </x:c>
      <x:c r="V1755" s="7" t="s">
        <x:v>5394</x:v>
      </x:c>
      <x:c r="W1755" s="7" t="s">
        <x:v>58</x:v>
      </x:c>
      <x:c r="X1755" s="7" t="s">
        <x:v>53</x:v>
      </x:c>
      <x:c r="Y1755" s="7" t="s">
        <x:v>1406</x:v>
      </x:c>
      <x:c r="Z1755" s="7" t="s">
        <x:v>5243</x:v>
      </x:c>
      <x:c r="AA1755" s="7" t="s">
        <x:v>5215</x:v>
      </x:c>
      <x:c r="AB1755" s="8" t="s">
        <x:v>58</x:v>
      </x:c>
      <x:c r="AC1755" s="8" t="s">
        <x:v>58</x:v>
      </x:c>
      <x:c r="AD1755" s="8" t="s">
        <x:v>58</x:v>
      </x:c>
      <x:c r="AE1755" s="8" t="s">
        <x:v>58</x:v>
      </x:c>
      <x:c r="AF1755" s="8" t="s">
        <x:v>58</x:v>
      </x:c>
      <x:c r="AG1755" s="7" t="s">
        <x:v>58</x:v>
      </x:c>
    </x:row>
    <x:row r="1756" ht="37.5" hidden="0" customHeight="1">
      <x:c r="A1756" s="7" t="s">
        <x:v>745</x:v>
      </x:c>
      <x:c r="B1756" s="7" t="s">
        <x:v>738</x:v>
      </x:c>
      <x:c r="C1756" s="7" t="s">
        <x:v>741</x:v>
      </x:c>
      <x:c r="D1756" s="7" t="s">
        <x:v>1916</x:v>
      </x:c>
      <x:c r="E1756" s="7" t="s">
        <x:v>5395</x:v>
      </x:c>
      <x:c r="F1756" s="7" t="s">
        <x:v>2076</x:v>
      </x:c>
      <x:c r="G1756" s="8" t="n">
        <x:v>1.34</x:v>
      </x:c>
      <x:c r="H1756" s="8" t="s">
        <x:v>58</x:v>
      </x:c>
      <x:c r="I1756" s="8" t="s">
        <x:v>58</x:v>
      </x:c>
      <x:c r="J1756" s="7" t="s">
        <x:v>1919</x:v>
      </x:c>
      <x:c r="K1756" s="8" t="n">
        <x:v>1000</x:v>
      </x:c>
      <x:c r="L1756" s="8" t="n">
        <x:f aca="0">IF(AND(ISNUMBER(G1756),P1756&lt;&gt;"Unresolved unit / layout"),G1756*K1756,"Not applicable")</x:f>
        <x:v>1340</x:v>
      </x:c>
      <x:c r="M1756" s="8" t="str">
        <x:f aca="0">IF(AND(ISNUMBER(H1756),P1756&lt;&gt;"Unresolved unit / layout"),H1756*K1756,"Not applicable")</x:f>
        <x:v>Not applicable</x:v>
      </x:c>
      <x:c r="N1756" s="8" t="str">
        <x:f aca="0">IF(AND(ISNUMBER(I1756),P1756&lt;&gt;"Unresolved unit / layout"),I1756*K1756,"Not applicable")</x:f>
        <x:v>Not applicable</x:v>
      </x:c>
      <x:c r="O1756" s="7" t="s">
        <x:v>1920</x:v>
      </x:c>
      <x:c r="P1756" s="7" t="s">
        <x:v>1921</x:v>
      </x:c>
      <x:c r="Q1756" s="7" t="s">
        <x:v>2064</x:v>
      </x:c>
      <x:c r="R1756" s="7" t="s">
        <x:v>53</x:v>
      </x:c>
      <x:c r="S1756" s="7" t="s">
        <x:v>53</x:v>
      </x:c>
      <x:c r="T1756" s="7" t="s">
        <x:v>53</x:v>
      </x:c>
      <x:c r="U1756" s="7" t="s">
        <x:v>53</x:v>
      </x:c>
      <x:c r="V1756" s="7" t="s">
        <x:v>53</x:v>
      </x:c>
      <x:c r="W1756" s="7" t="s">
        <x:v>58</x:v>
      </x:c>
      <x:c r="X1756" s="7" t="s">
        <x:v>53</x:v>
      </x:c>
      <x:c r="Y1756" s="7" t="s">
        <x:v>1313</x:v>
      </x:c>
      <x:c r="Z1756" s="7" t="s">
        <x:v>1925</x:v>
      </x:c>
      <x:c r="AA1756" s="7" t="s">
        <x:v>5396</x:v>
      </x:c>
      <x:c r="AB1756" s="8" t="s">
        <x:v>58</x:v>
      </x:c>
      <x:c r="AC1756" s="8" t="s">
        <x:v>58</x:v>
      </x:c>
      <x:c r="AD1756" s="8" t="s">
        <x:v>58</x:v>
      </x:c>
      <x:c r="AE1756" s="8" t="s">
        <x:v>58</x:v>
      </x:c>
      <x:c r="AF1756" s="8" t="s">
        <x:v>58</x:v>
      </x:c>
      <x:c r="AG1756" s="7" t="s">
        <x:v>58</x:v>
      </x:c>
    </x:row>
    <x:row r="1757" ht="37.5" hidden="0" customHeight="1">
      <x:c r="A1757" s="7" t="s">
        <x:v>5397</x:v>
      </x:c>
      <x:c r="B1757" s="7" t="s">
        <x:v>738</x:v>
      </x:c>
      <x:c r="C1757" s="7" t="s">
        <x:v>741</x:v>
      </x:c>
      <x:c r="D1757" s="7" t="s">
        <x:v>2030</x:v>
      </x:c>
      <x:c r="E1757" s="7" t="s">
        <x:v>4883</x:v>
      </x:c>
      <x:c r="F1757" s="7" t="s">
        <x:v>2033</x:v>
      </x:c>
      <x:c r="G1757" s="8" t="n">
        <x:v>1.7</x:v>
      </x:c>
      <x:c r="H1757" s="8" t="s">
        <x:v>58</x:v>
      </x:c>
      <x:c r="I1757" s="8" t="s">
        <x:v>58</x:v>
      </x:c>
      <x:c r="J1757" s="7" t="s">
        <x:v>1919</x:v>
      </x:c>
      <x:c r="K1757" s="8" t="n">
        <x:v>1</x:v>
      </x:c>
      <x:c r="L1757" s="8" t="n">
        <x:f aca="0">IF(AND(ISNUMBER(G1757),P1757&lt;&gt;"Unresolved unit / layout"),G1757*K1757,"Not applicable")</x:f>
        <x:v>1.7</x:v>
      </x:c>
      <x:c r="M1757" s="8" t="str">
        <x:f aca="0">IF(AND(ISNUMBER(H1757),P1757&lt;&gt;"Unresolved unit / layout"),H1757*K1757,"Not applicable")</x:f>
        <x:v>Not applicable</x:v>
      </x:c>
      <x:c r="N1757" s="8" t="str">
        <x:f aca="0">IF(AND(ISNUMBER(I1757),P1757&lt;&gt;"Unresolved unit / layout"),I1757*K1757,"Not applicable")</x:f>
        <x:v>Not applicable</x:v>
      </x:c>
      <x:c r="O1757" s="7" t="s">
        <x:v>2033</x:v>
      </x:c>
      <x:c r="P1757" s="7" t="s">
        <x:v>1921</x:v>
      </x:c>
      <x:c r="Q1757" s="7" t="s">
        <x:v>2064</x:v>
      </x:c>
      <x:c r="R1757" s="7" t="s">
        <x:v>53</x:v>
      </x:c>
      <x:c r="S1757" s="7" t="s">
        <x:v>53</x:v>
      </x:c>
      <x:c r="T1757" s="7" t="s">
        <x:v>53</x:v>
      </x:c>
      <x:c r="U1757" s="7" t="s">
        <x:v>2842</x:v>
      </x:c>
      <x:c r="V1757" s="7" t="s">
        <x:v>5398</x:v>
      </x:c>
      <x:c r="W1757" s="7" t="s">
        <x:v>2139</x:v>
      </x:c>
      <x:c r="X1757" s="7" t="s">
        <x:v>53</x:v>
      </x:c>
      <x:c r="Y1757" s="7" t="s">
        <x:v>1313</x:v>
      </x:c>
      <x:c r="Z1757" s="7" t="s">
        <x:v>5370</x:v>
      </x:c>
      <x:c r="AA1757" s="7" t="s">
        <x:v>5396</x:v>
      </x:c>
      <x:c r="AB1757" s="8" t="s">
        <x:v>58</x:v>
      </x:c>
      <x:c r="AC1757" s="8" t="s">
        <x:v>58</x:v>
      </x:c>
      <x:c r="AD1757" s="8" t="s">
        <x:v>58</x:v>
      </x:c>
      <x:c r="AE1757" s="8" t="s">
        <x:v>58</x:v>
      </x:c>
      <x:c r="AF1757" s="8" t="s">
        <x:v>58</x:v>
      </x:c>
      <x:c r="AG1757" s="7" t="s">
        <x:v>58</x:v>
      </x:c>
    </x:row>
    <x:row r="1758" ht="37.5" hidden="0" customHeight="1">
      <x:c r="A1758" s="7" t="s">
        <x:v>5399</x:v>
      </x:c>
      <x:c r="B1758" s="7" t="s">
        <x:v>738</x:v>
      </x:c>
      <x:c r="C1758" s="7" t="s">
        <x:v>741</x:v>
      </x:c>
      <x:c r="D1758" s="7" t="s">
        <x:v>3061</x:v>
      </x:c>
      <x:c r="E1758" s="7" t="s">
        <x:v>5400</x:v>
      </x:c>
      <x:c r="F1758" s="7" t="s">
        <x:v>1929</x:v>
      </x:c>
      <x:c r="G1758" s="8" t="n">
        <x:v>59.4</x:v>
      </x:c>
      <x:c r="H1758" s="8" t="s">
        <x:v>58</x:v>
      </x:c>
      <x:c r="I1758" s="8" t="s">
        <x:v>58</x:v>
      </x:c>
      <x:c r="J1758" s="7" t="s">
        <x:v>1919</x:v>
      </x:c>
      <x:c r="K1758" s="8" t="n">
        <x:v>1</x:v>
      </x:c>
      <x:c r="L1758" s="8" t="n">
        <x:f aca="0">IF(AND(ISNUMBER(G1758),P1758&lt;&gt;"Unresolved unit / layout"),G1758*K1758,"Not applicable")</x:f>
        <x:v>59.4</x:v>
      </x:c>
      <x:c r="M1758" s="8" t="str">
        <x:f aca="0">IF(AND(ISNUMBER(H1758),P1758&lt;&gt;"Unresolved unit / layout"),H1758*K1758,"Not applicable")</x:f>
        <x:v>Not applicable</x:v>
      </x:c>
      <x:c r="N1758" s="8" t="str">
        <x:f aca="0">IF(AND(ISNUMBER(I1758),P1758&lt;&gt;"Unresolved unit / layout"),I1758*K1758,"Not applicable")</x:f>
        <x:v>Not applicable</x:v>
      </x:c>
      <x:c r="O1758" s="7" t="s">
        <x:v>1929</x:v>
      </x:c>
      <x:c r="P1758" s="7" t="s">
        <x:v>1921</x:v>
      </x:c>
      <x:c r="Q1758" s="7" t="s">
        <x:v>2064</x:v>
      </x:c>
      <x:c r="R1758" s="7" t="s">
        <x:v>53</x:v>
      </x:c>
      <x:c r="S1758" s="7" t="s">
        <x:v>53</x:v>
      </x:c>
      <x:c r="T1758" s="7" t="s">
        <x:v>53</x:v>
      </x:c>
      <x:c r="U1758" s="7" t="s">
        <x:v>53</x:v>
      </x:c>
      <x:c r="V1758" s="7" t="s">
        <x:v>2818</x:v>
      </x:c>
      <x:c r="W1758" s="7" t="s">
        <x:v>58</x:v>
      </x:c>
      <x:c r="X1758" s="7" t="s">
        <x:v>53</x:v>
      </x:c>
      <x:c r="Y1758" s="7" t="s">
        <x:v>1313</x:v>
      </x:c>
      <x:c r="Z1758" s="7" t="s">
        <x:v>5195</x:v>
      </x:c>
      <x:c r="AA1758" s="7" t="s">
        <x:v>5396</x:v>
      </x:c>
      <x:c r="AB1758" s="8" t="s">
        <x:v>58</x:v>
      </x:c>
      <x:c r="AC1758" s="8" t="s">
        <x:v>58</x:v>
      </x:c>
      <x:c r="AD1758" s="8" t="s">
        <x:v>58</x:v>
      </x:c>
      <x:c r="AE1758" s="8" t="s">
        <x:v>58</x:v>
      </x:c>
      <x:c r="AF1758" s="8" t="s">
        <x:v>58</x:v>
      </x:c>
      <x:c r="AG1758" s="7" t="s">
        <x:v>58</x:v>
      </x:c>
    </x:row>
    <x:row r="1759" ht="37.5" hidden="0" customHeight="1">
      <x:c r="A1759" s="7" t="s">
        <x:v>5401</x:v>
      </x:c>
      <x:c r="B1759" s="7" t="s">
        <x:v>738</x:v>
      </x:c>
      <x:c r="C1759" s="7" t="s">
        <x:v>741</x:v>
      </x:c>
      <x:c r="D1759" s="7" t="s">
        <x:v>1927</x:v>
      </x:c>
      <x:c r="E1759" s="7" t="s">
        <x:v>5402</x:v>
      </x:c>
      <x:c r="F1759" s="7" t="s">
        <x:v>1929</x:v>
      </x:c>
      <x:c r="G1759" s="8" t="n">
        <x:v>54.3</x:v>
      </x:c>
      <x:c r="H1759" s="8" t="s">
        <x:v>58</x:v>
      </x:c>
      <x:c r="I1759" s="8" t="s">
        <x:v>58</x:v>
      </x:c>
      <x:c r="J1759" s="7" t="s">
        <x:v>1919</x:v>
      </x:c>
      <x:c r="K1759" s="8" t="n">
        <x:v>1</x:v>
      </x:c>
      <x:c r="L1759" s="8" t="n">
        <x:f aca="0">IF(AND(ISNUMBER(G1759),P1759&lt;&gt;"Unresolved unit / layout"),G1759*K1759,"Not applicable")</x:f>
        <x:v>54.3</x:v>
      </x:c>
      <x:c r="M1759" s="8" t="str">
        <x:f aca="0">IF(AND(ISNUMBER(H1759),P1759&lt;&gt;"Unresolved unit / layout"),H1759*K1759,"Not applicable")</x:f>
        <x:v>Not applicable</x:v>
      </x:c>
      <x:c r="N1759" s="8" t="str">
        <x:f aca="0">IF(AND(ISNUMBER(I1759),P1759&lt;&gt;"Unresolved unit / layout"),I1759*K1759,"Not applicable")</x:f>
        <x:v>Not applicable</x:v>
      </x:c>
      <x:c r="O1759" s="7" t="s">
        <x:v>1929</x:v>
      </x:c>
      <x:c r="P1759" s="7" t="s">
        <x:v>1921</x:v>
      </x:c>
      <x:c r="Q1759" s="7" t="s">
        <x:v>2064</x:v>
      </x:c>
      <x:c r="R1759" s="7" t="s">
        <x:v>53</x:v>
      </x:c>
      <x:c r="S1759" s="7" t="s">
        <x:v>53</x:v>
      </x:c>
      <x:c r="T1759" s="7" t="s">
        <x:v>53</x:v>
      </x:c>
      <x:c r="U1759" s="7" t="s">
        <x:v>53</x:v>
      </x:c>
      <x:c r="V1759" s="7" t="s">
        <x:v>2818</x:v>
      </x:c>
      <x:c r="W1759" s="7" t="s">
        <x:v>58</x:v>
      </x:c>
      <x:c r="X1759" s="7" t="s">
        <x:v>53</x:v>
      </x:c>
      <x:c r="Y1759" s="7" t="s">
        <x:v>1313</x:v>
      </x:c>
      <x:c r="Z1759" s="7" t="s">
        <x:v>5198</x:v>
      </x:c>
      <x:c r="AA1759" s="7" t="s">
        <x:v>5396</x:v>
      </x:c>
      <x:c r="AB1759" s="8" t="s">
        <x:v>58</x:v>
      </x:c>
      <x:c r="AC1759" s="8" t="s">
        <x:v>58</x:v>
      </x:c>
      <x:c r="AD1759" s="8" t="s">
        <x:v>58</x:v>
      </x:c>
      <x:c r="AE1759" s="8" t="s">
        <x:v>58</x:v>
      </x:c>
      <x:c r="AF1759" s="8" t="s">
        <x:v>58</x:v>
      </x:c>
      <x:c r="AG1759" s="7" t="s">
        <x:v>58</x:v>
      </x:c>
    </x:row>
    <x:row r="1760" ht="37.5" hidden="0" customHeight="1">
      <x:c r="A1760" s="7" t="s">
        <x:v>5403</x:v>
      </x:c>
      <x:c r="B1760" s="7" t="s">
        <x:v>738</x:v>
      </x:c>
      <x:c r="C1760" s="7" t="s">
        <x:v>741</x:v>
      </x:c>
      <x:c r="D1760" s="7" t="s">
        <x:v>1935</x:v>
      </x:c>
      <x:c r="E1760" s="7" t="s">
        <x:v>5404</x:v>
      </x:c>
      <x:c r="F1760" s="7" t="s">
        <x:v>1929</x:v>
      </x:c>
      <x:c r="G1760" s="8" t="n">
        <x:v>2564</x:v>
      </x:c>
      <x:c r="H1760" s="8" t="s">
        <x:v>58</x:v>
      </x:c>
      <x:c r="I1760" s="8" t="s">
        <x:v>58</x:v>
      </x:c>
      <x:c r="J1760" s="7" t="s">
        <x:v>1919</x:v>
      </x:c>
      <x:c r="K1760" s="8" t="n">
        <x:v>0.001</x:v>
      </x:c>
      <x:c r="L1760" s="8" t="n">
        <x:f aca="0">IF(AND(ISNUMBER(G1760),P1760&lt;&gt;"Unresolved unit / layout"),G1760*K1760,"Not applicable")</x:f>
        <x:v>2.564</x:v>
      </x:c>
      <x:c r="M1760" s="8" t="str">
        <x:f aca="0">IF(AND(ISNUMBER(H1760),P1760&lt;&gt;"Unresolved unit / layout"),H1760*K1760,"Not applicable")</x:f>
        <x:v>Not applicable</x:v>
      </x:c>
      <x:c r="N1760" s="8" t="str">
        <x:f aca="0">IF(AND(ISNUMBER(I1760),P1760&lt;&gt;"Unresolved unit / layout"),I1760*K1760,"Not applicable")</x:f>
        <x:v>Not applicable</x:v>
      </x:c>
      <x:c r="O1760" s="7" t="s">
        <x:v>1937</x:v>
      </x:c>
      <x:c r="P1760" s="7" t="s">
        <x:v>1921</x:v>
      </x:c>
      <x:c r="Q1760" s="7" t="s">
        <x:v>2064</x:v>
      </x:c>
      <x:c r="R1760" s="7" t="s">
        <x:v>53</x:v>
      </x:c>
      <x:c r="S1760" s="7" t="s">
        <x:v>53</x:v>
      </x:c>
      <x:c r="T1760" s="7" t="s">
        <x:v>53</x:v>
      </x:c>
      <x:c r="U1760" s="7" t="s">
        <x:v>53</x:v>
      </x:c>
      <x:c r="V1760" s="7" t="s">
        <x:v>2818</x:v>
      </x:c>
      <x:c r="W1760" s="7" t="s">
        <x:v>58</x:v>
      </x:c>
      <x:c r="X1760" s="7" t="s">
        <x:v>53</x:v>
      </x:c>
      <x:c r="Y1760" s="7" t="s">
        <x:v>1313</x:v>
      </x:c>
      <x:c r="Z1760" s="7" t="s">
        <x:v>5203</x:v>
      </x:c>
      <x:c r="AA1760" s="7" t="s">
        <x:v>5396</x:v>
      </x:c>
      <x:c r="AB1760" s="8" t="s">
        <x:v>58</x:v>
      </x:c>
      <x:c r="AC1760" s="8" t="s">
        <x:v>58</x:v>
      </x:c>
      <x:c r="AD1760" s="8" t="s">
        <x:v>58</x:v>
      </x:c>
      <x:c r="AE1760" s="8" t="s">
        <x:v>58</x:v>
      </x:c>
      <x:c r="AF1760" s="8" t="s">
        <x:v>58</x:v>
      </x:c>
      <x:c r="AG1760" s="7" t="s">
        <x:v>58</x:v>
      </x:c>
    </x:row>
    <x:row r="1761" ht="37.5" hidden="0" customHeight="1">
      <x:c r="A1761" s="7" t="s">
        <x:v>5405</x:v>
      </x:c>
      <x:c r="B1761" s="7" t="s">
        <x:v>738</x:v>
      </x:c>
      <x:c r="C1761" s="7" t="s">
        <x:v>741</x:v>
      </x:c>
      <x:c r="D1761" s="7" t="s">
        <x:v>2820</x:v>
      </x:c>
      <x:c r="E1761" s="7" t="s">
        <x:v>5406</x:v>
      </x:c>
      <x:c r="F1761" s="7" t="s">
        <x:v>1942</x:v>
      </x:c>
      <x:c r="G1761" s="8" t="n">
        <x:v>2.9</x:v>
      </x:c>
      <x:c r="H1761" s="8" t="s">
        <x:v>58</x:v>
      </x:c>
      <x:c r="I1761" s="8" t="s">
        <x:v>58</x:v>
      </x:c>
      <x:c r="J1761" s="7" t="s">
        <x:v>1919</x:v>
      </x:c>
      <x:c r="K1761" s="8" t="n">
        <x:v>1</x:v>
      </x:c>
      <x:c r="L1761" s="8" t="n">
        <x:f aca="0">IF(AND(ISNUMBER(G1761),P1761&lt;&gt;"Unresolved unit / layout"),G1761*K1761,"Not applicable")</x:f>
        <x:v>2.9</x:v>
      </x:c>
      <x:c r="M1761" s="8" t="str">
        <x:f aca="0">IF(AND(ISNUMBER(H1761),P1761&lt;&gt;"Unresolved unit / layout"),H1761*K1761,"Not applicable")</x:f>
        <x:v>Not applicable</x:v>
      </x:c>
      <x:c r="N1761" s="8" t="str">
        <x:f aca="0">IF(AND(ISNUMBER(I1761),P1761&lt;&gt;"Unresolved unit / layout"),I1761*K1761,"Not applicable")</x:f>
        <x:v>Not applicable</x:v>
      </x:c>
      <x:c r="O1761" s="7" t="s">
        <x:v>1942</x:v>
      </x:c>
      <x:c r="P1761" s="7" t="s">
        <x:v>1921</x:v>
      </x:c>
      <x:c r="Q1761" s="7" t="s">
        <x:v>2064</x:v>
      </x:c>
      <x:c r="R1761" s="7" t="s">
        <x:v>53</x:v>
      </x:c>
      <x:c r="S1761" s="7" t="s">
        <x:v>53</x:v>
      </x:c>
      <x:c r="T1761" s="7" t="s">
        <x:v>53</x:v>
      </x:c>
      <x:c r="U1761" s="7" t="s">
        <x:v>53</x:v>
      </x:c>
      <x:c r="V1761" s="7" t="s">
        <x:v>2818</x:v>
      </x:c>
      <x:c r="W1761" s="7" t="s">
        <x:v>58</x:v>
      </x:c>
      <x:c r="X1761" s="7" t="s">
        <x:v>53</x:v>
      </x:c>
      <x:c r="Y1761" s="7" t="s">
        <x:v>1313</x:v>
      </x:c>
      <x:c r="Z1761" s="7" t="s">
        <x:v>5222</x:v>
      </x:c>
      <x:c r="AA1761" s="7" t="s">
        <x:v>5396</x:v>
      </x:c>
      <x:c r="AB1761" s="8" t="s">
        <x:v>58</x:v>
      </x:c>
      <x:c r="AC1761" s="8" t="s">
        <x:v>58</x:v>
      </x:c>
      <x:c r="AD1761" s="8" t="s">
        <x:v>58</x:v>
      </x:c>
      <x:c r="AE1761" s="8" t="s">
        <x:v>58</x:v>
      </x:c>
      <x:c r="AF1761" s="8" t="s">
        <x:v>58</x:v>
      </x:c>
      <x:c r="AG1761" s="7" t="s">
        <x:v>58</x:v>
      </x:c>
    </x:row>
    <x:row r="1762" ht="37.5" hidden="0" customHeight="1">
      <x:c r="A1762" s="7" t="s">
        <x:v>5407</x:v>
      </x:c>
      <x:c r="B1762" s="7" t="s">
        <x:v>738</x:v>
      </x:c>
      <x:c r="C1762" s="7" t="s">
        <x:v>741</x:v>
      </x:c>
      <x:c r="D1762" s="7" t="s">
        <x:v>1940</x:v>
      </x:c>
      <x:c r="E1762" s="7" t="s">
        <x:v>5408</x:v>
      </x:c>
      <x:c r="F1762" s="7" t="s">
        <x:v>1942</x:v>
      </x:c>
      <x:c r="G1762" s="8" t="n">
        <x:v>5.2</x:v>
      </x:c>
      <x:c r="H1762" s="8" t="s">
        <x:v>58</x:v>
      </x:c>
      <x:c r="I1762" s="8" t="s">
        <x:v>58</x:v>
      </x:c>
      <x:c r="J1762" s="7" t="s">
        <x:v>1919</x:v>
      </x:c>
      <x:c r="K1762" s="8" t="n">
        <x:v>1</x:v>
      </x:c>
      <x:c r="L1762" s="8" t="n">
        <x:f aca="0">IF(AND(ISNUMBER(G1762),P1762&lt;&gt;"Unresolved unit / layout"),G1762*K1762,"Not applicable")</x:f>
        <x:v>5.2</x:v>
      </x:c>
      <x:c r="M1762" s="8" t="str">
        <x:f aca="0">IF(AND(ISNUMBER(H1762),P1762&lt;&gt;"Unresolved unit / layout"),H1762*K1762,"Not applicable")</x:f>
        <x:v>Not applicable</x:v>
      </x:c>
      <x:c r="N1762" s="8" t="str">
        <x:f aca="0">IF(AND(ISNUMBER(I1762),P1762&lt;&gt;"Unresolved unit / layout"),I1762*K1762,"Not applicable")</x:f>
        <x:v>Not applicable</x:v>
      </x:c>
      <x:c r="O1762" s="7" t="s">
        <x:v>1942</x:v>
      </x:c>
      <x:c r="P1762" s="7" t="s">
        <x:v>1921</x:v>
      </x:c>
      <x:c r="Q1762" s="7" t="s">
        <x:v>2064</x:v>
      </x:c>
      <x:c r="R1762" s="7" t="s">
        <x:v>53</x:v>
      </x:c>
      <x:c r="S1762" s="7" t="s">
        <x:v>53</x:v>
      </x:c>
      <x:c r="T1762" s="7" t="s">
        <x:v>53</x:v>
      </x:c>
      <x:c r="U1762" s="7" t="s">
        <x:v>53</x:v>
      </x:c>
      <x:c r="V1762" s="7" t="s">
        <x:v>2818</x:v>
      </x:c>
      <x:c r="W1762" s="7" t="s">
        <x:v>58</x:v>
      </x:c>
      <x:c r="X1762" s="7" t="s">
        <x:v>53</x:v>
      </x:c>
      <x:c r="Y1762" s="7" t="s">
        <x:v>1313</x:v>
      </x:c>
      <x:c r="Z1762" s="7" t="s">
        <x:v>4895</x:v>
      </x:c>
      <x:c r="AA1762" s="7" t="s">
        <x:v>5396</x:v>
      </x:c>
      <x:c r="AB1762" s="8" t="s">
        <x:v>58</x:v>
      </x:c>
      <x:c r="AC1762" s="8" t="s">
        <x:v>58</x:v>
      </x:c>
      <x:c r="AD1762" s="8" t="s">
        <x:v>58</x:v>
      </x:c>
      <x:c r="AE1762" s="8" t="s">
        <x:v>58</x:v>
      </x:c>
      <x:c r="AF1762" s="8" t="s">
        <x:v>58</x:v>
      </x:c>
      <x:c r="AG1762" s="7" t="s">
        <x:v>58</x:v>
      </x:c>
    </x:row>
    <x:row r="1763" ht="37.5" hidden="0" customHeight="1">
      <x:c r="A1763" s="7" t="s">
        <x:v>5409</x:v>
      </x:c>
      <x:c r="B1763" s="7" t="s">
        <x:v>738</x:v>
      </x:c>
      <x:c r="C1763" s="7" t="s">
        <x:v>741</x:v>
      </x:c>
      <x:c r="D1763" s="7" t="s">
        <x:v>1945</x:v>
      </x:c>
      <x:c r="E1763" s="7" t="s">
        <x:v>5410</x:v>
      </x:c>
      <x:c r="F1763" s="7" t="s">
        <x:v>1929</x:v>
      </x:c>
      <x:c r="G1763" s="8" t="n">
        <x:v>87.5</x:v>
      </x:c>
      <x:c r="H1763" s="8" t="s">
        <x:v>58</x:v>
      </x:c>
      <x:c r="I1763" s="8" t="s">
        <x:v>58</x:v>
      </x:c>
      <x:c r="J1763" s="7" t="s">
        <x:v>1919</x:v>
      </x:c>
      <x:c r="K1763" s="8" t="n">
        <x:v>1</x:v>
      </x:c>
      <x:c r="L1763" s="8" t="n">
        <x:f aca="0">IF(AND(ISNUMBER(G1763),P1763&lt;&gt;"Unresolved unit / layout"),G1763*K1763,"Not applicable")</x:f>
        <x:v>87.5</x:v>
      </x:c>
      <x:c r="M1763" s="8" t="str">
        <x:f aca="0">IF(AND(ISNUMBER(H1763),P1763&lt;&gt;"Unresolved unit / layout"),H1763*K1763,"Not applicable")</x:f>
        <x:v>Not applicable</x:v>
      </x:c>
      <x:c r="N1763" s="8" t="str">
        <x:f aca="0">IF(AND(ISNUMBER(I1763),P1763&lt;&gt;"Unresolved unit / layout"),I1763*K1763,"Not applicable")</x:f>
        <x:v>Not applicable</x:v>
      </x:c>
      <x:c r="O1763" s="7" t="s">
        <x:v>1929</x:v>
      </x:c>
      <x:c r="P1763" s="7" t="s">
        <x:v>1921</x:v>
      </x:c>
      <x:c r="Q1763" s="7" t="s">
        <x:v>2064</x:v>
      </x:c>
      <x:c r="R1763" s="7" t="s">
        <x:v>53</x:v>
      </x:c>
      <x:c r="S1763" s="7" t="s">
        <x:v>53</x:v>
      </x:c>
      <x:c r="T1763" s="7" t="s">
        <x:v>53</x:v>
      </x:c>
      <x:c r="U1763" s="7" t="s">
        <x:v>53</x:v>
      </x:c>
      <x:c r="V1763" s="7" t="s">
        <x:v>1947</x:v>
      </x:c>
      <x:c r="W1763" s="7" t="s">
        <x:v>58</x:v>
      </x:c>
      <x:c r="X1763" s="7" t="s">
        <x:v>53</x:v>
      </x:c>
      <x:c r="Y1763" s="7" t="s">
        <x:v>1313</x:v>
      </x:c>
      <x:c r="Z1763" s="7" t="s">
        <x:v>5360</x:v>
      </x:c>
      <x:c r="AA1763" s="7" t="s">
        <x:v>5396</x:v>
      </x:c>
      <x:c r="AB1763" s="8" t="s">
        <x:v>58</x:v>
      </x:c>
      <x:c r="AC1763" s="8" t="s">
        <x:v>58</x:v>
      </x:c>
      <x:c r="AD1763" s="8" t="s">
        <x:v>58</x:v>
      </x:c>
      <x:c r="AE1763" s="8" t="s">
        <x:v>58</x:v>
      </x:c>
      <x:c r="AF1763" s="8" t="s">
        <x:v>58</x:v>
      </x:c>
      <x:c r="AG1763" s="7" t="s">
        <x:v>58</x:v>
      </x:c>
    </x:row>
    <x:row r="1764" ht="37.5" hidden="0" customHeight="1">
      <x:c r="A1764" s="7" t="s">
        <x:v>5411</x:v>
      </x:c>
      <x:c r="B1764" s="7" t="s">
        <x:v>738</x:v>
      </x:c>
      <x:c r="C1764" s="7" t="s">
        <x:v>741</x:v>
      </x:c>
      <x:c r="D1764" s="7" t="s">
        <x:v>1950</x:v>
      </x:c>
      <x:c r="E1764" s="7" t="s">
        <x:v>5412</x:v>
      </x:c>
      <x:c r="F1764" s="7" t="s">
        <x:v>1929</x:v>
      </x:c>
      <x:c r="G1764" s="8" t="n">
        <x:v>2621</x:v>
      </x:c>
      <x:c r="H1764" s="8" t="s">
        <x:v>58</x:v>
      </x:c>
      <x:c r="I1764" s="8" t="s">
        <x:v>58</x:v>
      </x:c>
      <x:c r="J1764" s="7" t="s">
        <x:v>1919</x:v>
      </x:c>
      <x:c r="K1764" s="8" t="n">
        <x:v>0.001</x:v>
      </x:c>
      <x:c r="L1764" s="8" t="n">
        <x:f aca="0">IF(AND(ISNUMBER(G1764),P1764&lt;&gt;"Unresolved unit / layout"),G1764*K1764,"Not applicable")</x:f>
        <x:v>2.621</x:v>
      </x:c>
      <x:c r="M1764" s="8" t="str">
        <x:f aca="0">IF(AND(ISNUMBER(H1764),P1764&lt;&gt;"Unresolved unit / layout"),H1764*K1764,"Not applicable")</x:f>
        <x:v>Not applicable</x:v>
      </x:c>
      <x:c r="N1764" s="8" t="str">
        <x:f aca="0">IF(AND(ISNUMBER(I1764),P1764&lt;&gt;"Unresolved unit / layout"),I1764*K1764,"Not applicable")</x:f>
        <x:v>Not applicable</x:v>
      </x:c>
      <x:c r="O1764" s="7" t="s">
        <x:v>1937</x:v>
      </x:c>
      <x:c r="P1764" s="7" t="s">
        <x:v>1921</x:v>
      </x:c>
      <x:c r="Q1764" s="7" t="s">
        <x:v>2064</x:v>
      </x:c>
      <x:c r="R1764" s="7" t="s">
        <x:v>53</x:v>
      </x:c>
      <x:c r="S1764" s="7" t="s">
        <x:v>53</x:v>
      </x:c>
      <x:c r="T1764" s="7" t="s">
        <x:v>53</x:v>
      </x:c>
      <x:c r="U1764" s="7" t="s">
        <x:v>53</x:v>
      </x:c>
      <x:c r="V1764" s="7" t="s">
        <x:v>1947</x:v>
      </x:c>
      <x:c r="W1764" s="7" t="s">
        <x:v>58</x:v>
      </x:c>
      <x:c r="X1764" s="7" t="s">
        <x:v>53</x:v>
      </x:c>
      <x:c r="Y1764" s="7" t="s">
        <x:v>1313</x:v>
      </x:c>
      <x:c r="Z1764" s="7" t="s">
        <x:v>2749</x:v>
      </x:c>
      <x:c r="AA1764" s="7" t="s">
        <x:v>5396</x:v>
      </x:c>
      <x:c r="AB1764" s="8" t="s">
        <x:v>58</x:v>
      </x:c>
      <x:c r="AC1764" s="8" t="s">
        <x:v>58</x:v>
      </x:c>
      <x:c r="AD1764" s="8" t="s">
        <x:v>58</x:v>
      </x:c>
      <x:c r="AE1764" s="8" t="s">
        <x:v>58</x:v>
      </x:c>
      <x:c r="AF1764" s="8" t="s">
        <x:v>58</x:v>
      </x:c>
      <x:c r="AG1764" s="7" t="s">
        <x:v>58</x:v>
      </x:c>
    </x:row>
    <x:row r="1765" ht="37.5" hidden="0" customHeight="1">
      <x:c r="A1765" s="7" t="s">
        <x:v>5413</x:v>
      </x:c>
      <x:c r="B1765" s="7" t="s">
        <x:v>738</x:v>
      </x:c>
      <x:c r="C1765" s="7" t="s">
        <x:v>741</x:v>
      </x:c>
      <x:c r="D1765" s="7" t="s">
        <x:v>1959</x:v>
      </x:c>
      <x:c r="E1765" s="7" t="s">
        <x:v>5414</x:v>
      </x:c>
      <x:c r="F1765" s="7" t="s">
        <x:v>1956</x:v>
      </x:c>
      <x:c r="G1765" s="8" t="n">
        <x:v>65.7</x:v>
      </x:c>
      <x:c r="H1765" s="8" t="s">
        <x:v>58</x:v>
      </x:c>
      <x:c r="I1765" s="8" t="s">
        <x:v>58</x:v>
      </x:c>
      <x:c r="J1765" s="7" t="s">
        <x:v>1919</x:v>
      </x:c>
      <x:c r="K1765" s="8" t="n">
        <x:v>1</x:v>
      </x:c>
      <x:c r="L1765" s="8" t="n">
        <x:f aca="0">IF(AND(ISNUMBER(G1765),P1765&lt;&gt;"Unresolved unit / layout"),G1765*K1765,"Not applicable")</x:f>
        <x:v>65.7</x:v>
      </x:c>
      <x:c r="M1765" s="8" t="str">
        <x:f aca="0">IF(AND(ISNUMBER(H1765),P1765&lt;&gt;"Unresolved unit / layout"),H1765*K1765,"Not applicable")</x:f>
        <x:v>Not applicable</x:v>
      </x:c>
      <x:c r="N1765" s="8" t="str">
        <x:f aca="0">IF(AND(ISNUMBER(I1765),P1765&lt;&gt;"Unresolved unit / layout"),I1765*K1765,"Not applicable")</x:f>
        <x:v>Not applicable</x:v>
      </x:c>
      <x:c r="O1765" s="7" t="s">
        <x:v>1956</x:v>
      </x:c>
      <x:c r="P1765" s="7" t="s">
        <x:v>1921</x:v>
      </x:c>
      <x:c r="Q1765" s="7" t="s">
        <x:v>2064</x:v>
      </x:c>
      <x:c r="R1765" s="7" t="s">
        <x:v>53</x:v>
      </x:c>
      <x:c r="S1765" s="7" t="s">
        <x:v>53</x:v>
      </x:c>
      <x:c r="T1765" s="7" t="s">
        <x:v>53</x:v>
      </x:c>
      <x:c r="U1765" s="7" t="s">
        <x:v>53</x:v>
      </x:c>
      <x:c r="V1765" s="7" t="s">
        <x:v>5415</x:v>
      </x:c>
      <x:c r="W1765" s="7" t="s">
        <x:v>58</x:v>
      </x:c>
      <x:c r="X1765" s="7" t="s">
        <x:v>53</x:v>
      </x:c>
      <x:c r="Y1765" s="7" t="s">
        <x:v>1313</x:v>
      </x:c>
      <x:c r="Z1765" s="7" t="s">
        <x:v>5387</x:v>
      </x:c>
      <x:c r="AA1765" s="7" t="s">
        <x:v>5396</x:v>
      </x:c>
      <x:c r="AB1765" s="8" t="s">
        <x:v>58</x:v>
      </x:c>
      <x:c r="AC1765" s="8" t="s">
        <x:v>58</x:v>
      </x:c>
      <x:c r="AD1765" s="8" t="s">
        <x:v>58</x:v>
      </x:c>
      <x:c r="AE1765" s="8" t="s">
        <x:v>58</x:v>
      </x:c>
      <x:c r="AF1765" s="8" t="s">
        <x:v>58</x:v>
      </x:c>
      <x:c r="AG1765" s="7" t="s">
        <x:v>58</x:v>
      </x:c>
    </x:row>
    <x:row r="1766" ht="37.5" hidden="0" customHeight="1">
      <x:c r="A1766" s="7" t="s">
        <x:v>5416</x:v>
      </x:c>
      <x:c r="B1766" s="7" t="s">
        <x:v>738</x:v>
      </x:c>
      <x:c r="C1766" s="7" t="s">
        <x:v>741</x:v>
      </x:c>
      <x:c r="D1766" s="7" t="s">
        <x:v>1982</x:v>
      </x:c>
      <x:c r="E1766" s="7" t="s">
        <x:v>5417</x:v>
      </x:c>
      <x:c r="F1766" s="7" t="s">
        <x:v>1956</x:v>
      </x:c>
      <x:c r="G1766" s="8" t="n">
        <x:v>65.9</x:v>
      </x:c>
      <x:c r="H1766" s="8" t="s">
        <x:v>58</x:v>
      </x:c>
      <x:c r="I1766" s="8" t="s">
        <x:v>58</x:v>
      </x:c>
      <x:c r="J1766" s="7" t="s">
        <x:v>1919</x:v>
      </x:c>
      <x:c r="K1766" s="8" t="n">
        <x:v>1</x:v>
      </x:c>
      <x:c r="L1766" s="8" t="n">
        <x:f aca="0">IF(AND(ISNUMBER(G1766),P1766&lt;&gt;"Unresolved unit / layout"),G1766*K1766,"Not applicable")</x:f>
        <x:v>65.9</x:v>
      </x:c>
      <x:c r="M1766" s="8" t="str">
        <x:f aca="0">IF(AND(ISNUMBER(H1766),P1766&lt;&gt;"Unresolved unit / layout"),H1766*K1766,"Not applicable")</x:f>
        <x:v>Not applicable</x:v>
      </x:c>
      <x:c r="N1766" s="8" t="str">
        <x:f aca="0">IF(AND(ISNUMBER(I1766),P1766&lt;&gt;"Unresolved unit / layout"),I1766*K1766,"Not applicable")</x:f>
        <x:v>Not applicable</x:v>
      </x:c>
      <x:c r="O1766" s="7" t="s">
        <x:v>1956</x:v>
      </x:c>
      <x:c r="P1766" s="7" t="s">
        <x:v>1921</x:v>
      </x:c>
      <x:c r="Q1766" s="7" t="s">
        <x:v>2064</x:v>
      </x:c>
      <x:c r="R1766" s="7" t="s">
        <x:v>53</x:v>
      </x:c>
      <x:c r="S1766" s="7" t="s">
        <x:v>53</x:v>
      </x:c>
      <x:c r="T1766" s="7" t="s">
        <x:v>53</x:v>
      </x:c>
      <x:c r="U1766" s="7" t="s">
        <x:v>53</x:v>
      </x:c>
      <x:c r="V1766" s="7" t="s">
        <x:v>2854</x:v>
      </x:c>
      <x:c r="W1766" s="7" t="s">
        <x:v>58</x:v>
      </x:c>
      <x:c r="X1766" s="7" t="s">
        <x:v>53</x:v>
      </x:c>
      <x:c r="Y1766" s="7" t="s">
        <x:v>1313</x:v>
      </x:c>
      <x:c r="Z1766" s="7" t="s">
        <x:v>5418</x:v>
      </x:c>
      <x:c r="AA1766" s="7" t="s">
        <x:v>5396</x:v>
      </x:c>
      <x:c r="AB1766" s="8" t="s">
        <x:v>58</x:v>
      </x:c>
      <x:c r="AC1766" s="8" t="s">
        <x:v>58</x:v>
      </x:c>
      <x:c r="AD1766" s="8" t="s">
        <x:v>58</x:v>
      </x:c>
      <x:c r="AE1766" s="8" t="s">
        <x:v>58</x:v>
      </x:c>
      <x:c r="AF1766" s="8" t="s">
        <x:v>58</x:v>
      </x:c>
      <x:c r="AG1766" s="7" t="s">
        <x:v>58</x:v>
      </x:c>
    </x:row>
    <x:row r="1767" ht="37.5" hidden="0" customHeight="1">
      <x:c r="A1767" s="7" t="s">
        <x:v>5419</x:v>
      </x:c>
      <x:c r="B1767" s="7" t="s">
        <x:v>738</x:v>
      </x:c>
      <x:c r="C1767" s="7" t="s">
        <x:v>741</x:v>
      </x:c>
      <x:c r="D1767" s="7" t="s">
        <x:v>1954</x:v>
      </x:c>
      <x:c r="E1767" s="7" t="s">
        <x:v>2767</x:v>
      </x:c>
      <x:c r="F1767" s="7" t="s">
        <x:v>1956</x:v>
      </x:c>
      <x:c r="G1767" s="8" t="n">
        <x:v>70</x:v>
      </x:c>
      <x:c r="H1767" s="8" t="s">
        <x:v>58</x:v>
      </x:c>
      <x:c r="I1767" s="8" t="s">
        <x:v>58</x:v>
      </x:c>
      <x:c r="J1767" s="7" t="s">
        <x:v>1919</x:v>
      </x:c>
      <x:c r="K1767" s="8" t="n">
        <x:v>1</x:v>
      </x:c>
      <x:c r="L1767" s="8" t="n">
        <x:f aca="0">IF(AND(ISNUMBER(G1767),P1767&lt;&gt;"Unresolved unit / layout"),G1767*K1767,"Not applicable")</x:f>
        <x:v>70</x:v>
      </x:c>
      <x:c r="M1767" s="8" t="str">
        <x:f aca="0">IF(AND(ISNUMBER(H1767),P1767&lt;&gt;"Unresolved unit / layout"),H1767*K1767,"Not applicable")</x:f>
        <x:v>Not applicable</x:v>
      </x:c>
      <x:c r="N1767" s="8" t="str">
        <x:f aca="0">IF(AND(ISNUMBER(I1767),P1767&lt;&gt;"Unresolved unit / layout"),I1767*K1767,"Not applicable")</x:f>
        <x:v>Not applicable</x:v>
      </x:c>
      <x:c r="O1767" s="7" t="s">
        <x:v>1956</x:v>
      </x:c>
      <x:c r="P1767" s="7" t="s">
        <x:v>1921</x:v>
      </x:c>
      <x:c r="Q1767" s="7" t="s">
        <x:v>2064</x:v>
      </x:c>
      <x:c r="R1767" s="7" t="s">
        <x:v>53</x:v>
      </x:c>
      <x:c r="S1767" s="7" t="s">
        <x:v>53</x:v>
      </x:c>
      <x:c r="T1767" s="7" t="s">
        <x:v>53</x:v>
      </x:c>
      <x:c r="U1767" s="7" t="s">
        <x:v>53</x:v>
      </x:c>
      <x:c r="V1767" s="7" t="s">
        <x:v>5420</x:v>
      </x:c>
      <x:c r="W1767" s="7" t="s">
        <x:v>58</x:v>
      </x:c>
      <x:c r="X1767" s="7" t="s">
        <x:v>53</x:v>
      </x:c>
      <x:c r="Y1767" s="7" t="s">
        <x:v>1313</x:v>
      </x:c>
      <x:c r="Z1767" s="7" t="s">
        <x:v>5376</x:v>
      </x:c>
      <x:c r="AA1767" s="7" t="s">
        <x:v>5396</x:v>
      </x:c>
      <x:c r="AB1767" s="8" t="s">
        <x:v>58</x:v>
      </x:c>
      <x:c r="AC1767" s="8" t="s">
        <x:v>58</x:v>
      </x:c>
      <x:c r="AD1767" s="8" t="s">
        <x:v>58</x:v>
      </x:c>
      <x:c r="AE1767" s="8" t="s">
        <x:v>58</x:v>
      </x:c>
      <x:c r="AF1767" s="8" t="s">
        <x:v>58</x:v>
      </x:c>
      <x:c r="AG1767" s="7" t="s">
        <x:v>58</x:v>
      </x:c>
    </x:row>
    <x:row r="1768" ht="51.75" hidden="0" customHeight="1">
      <x:c r="A1768" s="7" t="s">
        <x:v>5421</x:v>
      </x:c>
      <x:c r="B1768" s="7" t="s">
        <x:v>390</x:v>
      </x:c>
      <x:c r="C1768" s="7" t="s">
        <x:v>1430</x:v>
      </x:c>
      <x:c r="D1768" s="7" t="s">
        <x:v>5422</x:v>
      </x:c>
      <x:c r="E1768" s="7" t="s">
        <x:v>5423</x:v>
      </x:c>
      <x:c r="F1768" s="7" t="s">
        <x:v>5424</x:v>
      </x:c>
      <x:c r="G1768" s="8" t="n">
        <x:v>308</x:v>
      </x:c>
      <x:c r="H1768" s="8" t="s">
        <x:v>58</x:v>
      </x:c>
      <x:c r="I1768" s="8" t="s">
        <x:v>58</x:v>
      </x:c>
      <x:c r="J1768" s="7" t="s">
        <x:v>1919</x:v>
      </x:c>
      <x:c r="K1768" s="8" t="n">
        <x:v>1</x:v>
      </x:c>
      <x:c r="L1768" s="8" t="n">
        <x:f aca="0">IF(AND(ISNUMBER(G1768),P1768&lt;&gt;"Unresolved unit / layout"),G1768*K1768,"Not applicable")</x:f>
        <x:v>308</x:v>
      </x:c>
      <x:c r="M1768" s="8" t="str">
        <x:f aca="0">IF(AND(ISNUMBER(H1768),P1768&lt;&gt;"Unresolved unit / layout"),H1768*K1768,"Not applicable")</x:f>
        <x:v>Not applicable</x:v>
      </x:c>
      <x:c r="N1768" s="8" t="str">
        <x:f aca="0">IF(AND(ISNUMBER(I1768),P1768&lt;&gt;"Unresolved unit / layout"),I1768*K1768,"Not applicable")</x:f>
        <x:v>Not applicable</x:v>
      </x:c>
      <x:c r="O1768" s="7" t="s">
        <x:v>5424</x:v>
      </x:c>
      <x:c r="P1768" s="7" t="s">
        <x:v>1921</x:v>
      </x:c>
      <x:c r="Q1768" s="7" t="s">
        <x:v>1930</x:v>
      </x:c>
      <x:c r="R1768" s="7" t="s">
        <x:v>1931</x:v>
      </x:c>
      <x:c r="S1768" s="7" t="s">
        <x:v>53</x:v>
      </x:c>
      <x:c r="T1768" s="7" t="s">
        <x:v>53</x:v>
      </x:c>
      <x:c r="U1768" s="7" t="s">
        <x:v>487</x:v>
      </x:c>
      <x:c r="V1768" s="7" t="s">
        <x:v>5425</x:v>
      </x:c>
      <x:c r="W1768" s="7" t="s">
        <x:v>58</x:v>
      </x:c>
      <x:c r="X1768" s="7" t="s">
        <x:v>5426</x:v>
      </x:c>
      <x:c r="Y1768" s="7" t="s">
        <x:v>1437</x:v>
      </x:c>
      <x:c r="Z1768" s="7" t="s">
        <x:v>5427</x:v>
      </x:c>
      <x:c r="AA1768" s="7" t="s">
        <x:v>5428</x:v>
      </x:c>
      <x:c r="AB1768" s="8" t="n">
        <x:v>28.63</x:v>
      </x:c>
      <x:c r="AC1768" s="8" t="n">
        <x:v>1.43</x:v>
      </x:c>
      <x:c r="AD1768" s="8" t="n">
        <x:v>13.6</x:v>
      </x:c>
      <x:c r="AE1768" s="8" t="n">
        <x:v>10</x:v>
      </x:c>
      <x:c r="AF1768" s="8" t="n">
        <x:v>0.05</x:v>
      </x:c>
      <x:c r="AG1768" s="11" t="b">
        <x:f aca="0">FALSE()</x:f>
        <x:v>0</x:v>
      </x:c>
    </x:row>
    <x:row r="1769" ht="51.75" hidden="0" customHeight="1">
      <x:c r="A1769" s="7" t="s">
        <x:v>5429</x:v>
      </x:c>
      <x:c r="B1769" s="7" t="s">
        <x:v>390</x:v>
      </x:c>
      <x:c r="C1769" s="7" t="s">
        <x:v>1430</x:v>
      </x:c>
      <x:c r="D1769" s="7" t="s">
        <x:v>5422</x:v>
      </x:c>
      <x:c r="E1769" s="7" t="s">
        <x:v>5430</x:v>
      </x:c>
      <x:c r="F1769" s="7" t="s">
        <x:v>5424</x:v>
      </x:c>
      <x:c r="G1769" s="8" t="n">
        <x:v>1519</x:v>
      </x:c>
      <x:c r="H1769" s="8" t="s">
        <x:v>58</x:v>
      </x:c>
      <x:c r="I1769" s="8" t="s">
        <x:v>58</x:v>
      </x:c>
      <x:c r="J1769" s="7" t="s">
        <x:v>1919</x:v>
      </x:c>
      <x:c r="K1769" s="8" t="n">
        <x:v>1</x:v>
      </x:c>
      <x:c r="L1769" s="8" t="n">
        <x:f aca="0">IF(AND(ISNUMBER(G1769),P1769&lt;&gt;"Unresolved unit / layout"),G1769*K1769,"Not applicable")</x:f>
        <x:v>1519</x:v>
      </x:c>
      <x:c r="M1769" s="8" t="str">
        <x:f aca="0">IF(AND(ISNUMBER(H1769),P1769&lt;&gt;"Unresolved unit / layout"),H1769*K1769,"Not applicable")</x:f>
        <x:v>Not applicable</x:v>
      </x:c>
      <x:c r="N1769" s="8" t="str">
        <x:f aca="0">IF(AND(ISNUMBER(I1769),P1769&lt;&gt;"Unresolved unit / layout"),I1769*K1769,"Not applicable")</x:f>
        <x:v>Not applicable</x:v>
      </x:c>
      <x:c r="O1769" s="7" t="s">
        <x:v>5424</x:v>
      </x:c>
      <x:c r="P1769" s="7" t="s">
        <x:v>1921</x:v>
      </x:c>
      <x:c r="Q1769" s="7" t="s">
        <x:v>1930</x:v>
      </x:c>
      <x:c r="R1769" s="7" t="s">
        <x:v>1931</x:v>
      </x:c>
      <x:c r="S1769" s="7" t="s">
        <x:v>53</x:v>
      </x:c>
      <x:c r="T1769" s="7" t="s">
        <x:v>53</x:v>
      </x:c>
      <x:c r="U1769" s="7" t="s">
        <x:v>487</x:v>
      </x:c>
      <x:c r="V1769" s="7" t="s">
        <x:v>5425</x:v>
      </x:c>
      <x:c r="W1769" s="7" t="s">
        <x:v>58</x:v>
      </x:c>
      <x:c r="X1769" s="7" t="s">
        <x:v>5431</x:v>
      </x:c>
      <x:c r="Y1769" s="7" t="s">
        <x:v>1437</x:v>
      </x:c>
      <x:c r="Z1769" s="7" t="s">
        <x:v>5432</x:v>
      </x:c>
      <x:c r="AA1769" s="7" t="s">
        <x:v>5428</x:v>
      </x:c>
      <x:c r="AB1769" s="8" t="n">
        <x:v>21.89</x:v>
      </x:c>
      <x:c r="AC1769" s="8" t="n">
        <x:v>1.09</x:v>
      </x:c>
      <x:c r="AD1769" s="8" t="n">
        <x:v>10.4</x:v>
      </x:c>
      <x:c r="AE1769" s="8" t="n">
        <x:v>10</x:v>
      </x:c>
      <x:c r="AF1769" s="8" t="n">
        <x:v>0.05</x:v>
      </x:c>
      <x:c r="AG1769" s="11" t="b">
        <x:f aca="0">FALSE()</x:f>
        <x:v>0</x:v>
      </x:c>
    </x:row>
    <x:row r="1770" ht="51.75" hidden="0" customHeight="1">
      <x:c r="A1770" s="7" t="s">
        <x:v>5433</x:v>
      </x:c>
      <x:c r="B1770" s="7" t="s">
        <x:v>390</x:v>
      </x:c>
      <x:c r="C1770" s="7" t="s">
        <x:v>1430</x:v>
      </x:c>
      <x:c r="D1770" s="7" t="s">
        <x:v>5422</x:v>
      </x:c>
      <x:c r="E1770" s="7" t="s">
        <x:v>5434</x:v>
      </x:c>
      <x:c r="F1770" s="7" t="s">
        <x:v>5424</x:v>
      </x:c>
      <x:c r="G1770" s="8" t="n">
        <x:v>123460</x:v>
      </x:c>
      <x:c r="H1770" s="8" t="s">
        <x:v>58</x:v>
      </x:c>
      <x:c r="I1770" s="8" t="s">
        <x:v>58</x:v>
      </x:c>
      <x:c r="J1770" s="7" t="s">
        <x:v>1919</x:v>
      </x:c>
      <x:c r="K1770" s="8" t="n">
        <x:v>1</x:v>
      </x:c>
      <x:c r="L1770" s="8" t="n">
        <x:f aca="0">IF(AND(ISNUMBER(G1770),P1770&lt;&gt;"Unresolved unit / layout"),G1770*K1770,"Not applicable")</x:f>
        <x:v>123460</x:v>
      </x:c>
      <x:c r="M1770" s="8" t="str">
        <x:f aca="0">IF(AND(ISNUMBER(H1770),P1770&lt;&gt;"Unresolved unit / layout"),H1770*K1770,"Not applicable")</x:f>
        <x:v>Not applicable</x:v>
      </x:c>
      <x:c r="N1770" s="8" t="str">
        <x:f aca="0">IF(AND(ISNUMBER(I1770),P1770&lt;&gt;"Unresolved unit / layout"),I1770*K1770,"Not applicable")</x:f>
        <x:v>Not applicable</x:v>
      </x:c>
      <x:c r="O1770" s="7" t="s">
        <x:v>5424</x:v>
      </x:c>
      <x:c r="P1770" s="7" t="s">
        <x:v>1921</x:v>
      </x:c>
      <x:c r="Q1770" s="7" t="s">
        <x:v>1930</x:v>
      </x:c>
      <x:c r="R1770" s="7" t="s">
        <x:v>1931</x:v>
      </x:c>
      <x:c r="S1770" s="7" t="s">
        <x:v>53</x:v>
      </x:c>
      <x:c r="T1770" s="7" t="s">
        <x:v>53</x:v>
      </x:c>
      <x:c r="U1770" s="7" t="s">
        <x:v>487</x:v>
      </x:c>
      <x:c r="V1770" s="7" t="s">
        <x:v>5425</x:v>
      </x:c>
      <x:c r="W1770" s="7" t="s">
        <x:v>58</x:v>
      </x:c>
      <x:c r="X1770" s="7" t="s">
        <x:v>5435</x:v>
      </x:c>
      <x:c r="Y1770" s="7" t="s">
        <x:v>1437</x:v>
      </x:c>
      <x:c r="Z1770" s="7" t="s">
        <x:v>5436</x:v>
      </x:c>
      <x:c r="AA1770" s="7" t="s">
        <x:v>5428</x:v>
      </x:c>
      <x:c r="AB1770" s="8" t="n">
        <x:v>10.11</x:v>
      </x:c>
      <x:c r="AC1770" s="8" t="n">
        <x:v>0.51</x:v>
      </x:c>
      <x:c r="AD1770" s="8" t="n">
        <x:v>4.8</x:v>
      </x:c>
      <x:c r="AE1770" s="8" t="n">
        <x:v>10</x:v>
      </x:c>
      <x:c r="AF1770" s="8" t="n">
        <x:v>0.05</x:v>
      </x:c>
      <x:c r="AG1770" s="11" t="b">
        <x:f aca="0">FALSE()</x:f>
        <x:v>0</x:v>
      </x:c>
    </x:row>
    <x:row r="1771" ht="51.75" hidden="0" customHeight="1">
      <x:c r="A1771" s="7" t="s">
        <x:v>5437</x:v>
      </x:c>
      <x:c r="B1771" s="7" t="s">
        <x:v>390</x:v>
      </x:c>
      <x:c r="C1771" s="7" t="s">
        <x:v>1430</x:v>
      </x:c>
      <x:c r="D1771" s="7" t="s">
        <x:v>5422</x:v>
      </x:c>
      <x:c r="E1771" s="7" t="s">
        <x:v>5438</x:v>
      </x:c>
      <x:c r="F1771" s="7" t="s">
        <x:v>5424</x:v>
      </x:c>
      <x:c r="G1771" s="8" t="n">
        <x:v>1000000</x:v>
      </x:c>
      <x:c r="H1771" s="8" t="s">
        <x:v>58</x:v>
      </x:c>
      <x:c r="I1771" s="8" t="s">
        <x:v>58</x:v>
      </x:c>
      <x:c r="J1771" s="7" t="s">
        <x:v>1919</x:v>
      </x:c>
      <x:c r="K1771" s="8" t="n">
        <x:v>1</x:v>
      </x:c>
      <x:c r="L1771" s="8" t="n">
        <x:f aca="0">IF(AND(ISNUMBER(G1771),P1771&lt;&gt;"Unresolved unit / layout"),G1771*K1771,"Not applicable")</x:f>
        <x:v>1000000</x:v>
      </x:c>
      <x:c r="M1771" s="8" t="str">
        <x:f aca="0">IF(AND(ISNUMBER(H1771),P1771&lt;&gt;"Unresolved unit / layout"),H1771*K1771,"Not applicable")</x:f>
        <x:v>Not applicable</x:v>
      </x:c>
      <x:c r="N1771" s="8" t="str">
        <x:f aca="0">IF(AND(ISNUMBER(I1771),P1771&lt;&gt;"Unresolved unit / layout"),I1771*K1771,"Not applicable")</x:f>
        <x:v>Not applicable</x:v>
      </x:c>
      <x:c r="O1771" s="7" t="s">
        <x:v>5424</x:v>
      </x:c>
      <x:c r="P1771" s="7" t="s">
        <x:v>1921</x:v>
      </x:c>
      <x:c r="Q1771" s="7" t="s">
        <x:v>1930</x:v>
      </x:c>
      <x:c r="R1771" s="7" t="s">
        <x:v>1931</x:v>
      </x:c>
      <x:c r="S1771" s="7" t="s">
        <x:v>53</x:v>
      </x:c>
      <x:c r="T1771" s="7" t="s">
        <x:v>53</x:v>
      </x:c>
      <x:c r="U1771" s="7" t="s">
        <x:v>487</x:v>
      </x:c>
      <x:c r="V1771" s="7" t="s">
        <x:v>5425</x:v>
      </x:c>
      <x:c r="W1771" s="7" t="s">
        <x:v>58</x:v>
      </x:c>
      <x:c r="X1771" s="7" t="s">
        <x:v>5439</x:v>
      </x:c>
      <x:c r="Y1771" s="7" t="s">
        <x:v>1437</x:v>
      </x:c>
      <x:c r="Z1771" s="7" t="s">
        <x:v>5440</x:v>
      </x:c>
      <x:c r="AA1771" s="7" t="s">
        <x:v>5428</x:v>
      </x:c>
      <x:c r="AB1771" s="8" t="n">
        <x:v>6.74</x:v>
      </x:c>
      <x:c r="AC1771" s="8" t="n">
        <x:v>0.34</x:v>
      </x:c>
      <x:c r="AD1771" s="8" t="n">
        <x:v>3.2</x:v>
      </x:c>
      <x:c r="AE1771" s="8" t="n">
        <x:v>10</x:v>
      </x:c>
      <x:c r="AF1771" s="8" t="n">
        <x:v>0.05</x:v>
      </x:c>
      <x:c r="AG1771" s="11" t="b">
        <x:f aca="0">TRUE()</x:f>
        <x:v>1</x:v>
      </x:c>
    </x:row>
    <x:row r="1772" ht="51.75" hidden="0" customHeight="1">
      <x:c r="A1772" s="7" t="s">
        <x:v>5441</x:v>
      </x:c>
      <x:c r="B1772" s="7" t="s">
        <x:v>390</x:v>
      </x:c>
      <x:c r="C1772" s="7" t="s">
        <x:v>1430</x:v>
      </x:c>
      <x:c r="D1772" s="7" t="s">
        <x:v>5422</x:v>
      </x:c>
      <x:c r="E1772" s="7" t="s">
        <x:v>5438</x:v>
      </x:c>
      <x:c r="F1772" s="7" t="s">
        <x:v>5424</x:v>
      </x:c>
      <x:c r="G1772" s="8" t="n">
        <x:v>1000000</x:v>
      </x:c>
      <x:c r="H1772" s="8" t="s">
        <x:v>58</x:v>
      </x:c>
      <x:c r="I1772" s="8" t="s">
        <x:v>58</x:v>
      </x:c>
      <x:c r="J1772" s="7" t="s">
        <x:v>1919</x:v>
      </x:c>
      <x:c r="K1772" s="8" t="n">
        <x:v>1</x:v>
      </x:c>
      <x:c r="L1772" s="8" t="n">
        <x:f aca="0">IF(AND(ISNUMBER(G1772),P1772&lt;&gt;"Unresolved unit / layout"),G1772*K1772,"Not applicable")</x:f>
        <x:v>1000000</x:v>
      </x:c>
      <x:c r="M1772" s="8" t="str">
        <x:f aca="0">IF(AND(ISNUMBER(H1772),P1772&lt;&gt;"Unresolved unit / layout"),H1772*K1772,"Not applicable")</x:f>
        <x:v>Not applicable</x:v>
      </x:c>
      <x:c r="N1772" s="8" t="str">
        <x:f aca="0">IF(AND(ISNUMBER(I1772),P1772&lt;&gt;"Unresolved unit / layout"),I1772*K1772,"Not applicable")</x:f>
        <x:v>Not applicable</x:v>
      </x:c>
      <x:c r="O1772" s="7" t="s">
        <x:v>5424</x:v>
      </x:c>
      <x:c r="P1772" s="7" t="s">
        <x:v>1921</x:v>
      </x:c>
      <x:c r="Q1772" s="7" t="s">
        <x:v>1930</x:v>
      </x:c>
      <x:c r="R1772" s="7" t="s">
        <x:v>1931</x:v>
      </x:c>
      <x:c r="S1772" s="7" t="s">
        <x:v>53</x:v>
      </x:c>
      <x:c r="T1772" s="7" t="s">
        <x:v>53</x:v>
      </x:c>
      <x:c r="U1772" s="7" t="s">
        <x:v>487</x:v>
      </x:c>
      <x:c r="V1772" s="7" t="s">
        <x:v>5425</x:v>
      </x:c>
      <x:c r="W1772" s="7" t="s">
        <x:v>58</x:v>
      </x:c>
      <x:c r="X1772" s="7" t="s">
        <x:v>5442</x:v>
      </x:c>
      <x:c r="Y1772" s="7" t="s">
        <x:v>1437</x:v>
      </x:c>
      <x:c r="Z1772" s="7" t="s">
        <x:v>5443</x:v>
      </x:c>
      <x:c r="AA1772" s="7" t="s">
        <x:v>5428</x:v>
      </x:c>
      <x:c r="AB1772" s="8" t="n">
        <x:v>8.42</x:v>
      </x:c>
      <x:c r="AC1772" s="8" t="n">
        <x:v>0.42</x:v>
      </x:c>
      <x:c r="AD1772" s="8" t="n">
        <x:v>4</x:v>
      </x:c>
      <x:c r="AE1772" s="8" t="n">
        <x:v>10</x:v>
      </x:c>
      <x:c r="AF1772" s="8" t="n">
        <x:v>0.05</x:v>
      </x:c>
      <x:c r="AG1772" s="11" t="b">
        <x:f aca="0">TRUE()</x:f>
        <x:v>1</x:v>
      </x:c>
    </x:row>
    <x:row r="1773" ht="51.75" hidden="0" customHeight="1">
      <x:c r="A1773" s="7" t="s">
        <x:v>5444</x:v>
      </x:c>
      <x:c r="B1773" s="7" t="s">
        <x:v>390</x:v>
      </x:c>
      <x:c r="C1773" s="7" t="s">
        <x:v>1430</x:v>
      </x:c>
      <x:c r="D1773" s="7" t="s">
        <x:v>5422</x:v>
      </x:c>
      <x:c r="E1773" s="7" t="s">
        <x:v>5445</x:v>
      </x:c>
      <x:c r="F1773" s="7" t="s">
        <x:v>5424</x:v>
      </x:c>
      <x:c r="G1773" s="8" t="n">
        <x:v>29658</x:v>
      </x:c>
      <x:c r="H1773" s="8" t="s">
        <x:v>58</x:v>
      </x:c>
      <x:c r="I1773" s="8" t="s">
        <x:v>58</x:v>
      </x:c>
      <x:c r="J1773" s="7" t="s">
        <x:v>1919</x:v>
      </x:c>
      <x:c r="K1773" s="8" t="n">
        <x:v>1</x:v>
      </x:c>
      <x:c r="L1773" s="8" t="n">
        <x:f aca="0">IF(AND(ISNUMBER(G1773),P1773&lt;&gt;"Unresolved unit / layout"),G1773*K1773,"Not applicable")</x:f>
        <x:v>29658</x:v>
      </x:c>
      <x:c r="M1773" s="8" t="str">
        <x:f aca="0">IF(AND(ISNUMBER(H1773),P1773&lt;&gt;"Unresolved unit / layout"),H1773*K1773,"Not applicable")</x:f>
        <x:v>Not applicable</x:v>
      </x:c>
      <x:c r="N1773" s="8" t="str">
        <x:f aca="0">IF(AND(ISNUMBER(I1773),P1773&lt;&gt;"Unresolved unit / layout"),I1773*K1773,"Not applicable")</x:f>
        <x:v>Not applicable</x:v>
      </x:c>
      <x:c r="O1773" s="7" t="s">
        <x:v>5424</x:v>
      </x:c>
      <x:c r="P1773" s="7" t="s">
        <x:v>1921</x:v>
      </x:c>
      <x:c r="Q1773" s="7" t="s">
        <x:v>1930</x:v>
      </x:c>
      <x:c r="R1773" s="7" t="s">
        <x:v>1931</x:v>
      </x:c>
      <x:c r="S1773" s="7" t="s">
        <x:v>53</x:v>
      </x:c>
      <x:c r="T1773" s="7" t="s">
        <x:v>53</x:v>
      </x:c>
      <x:c r="U1773" s="7" t="s">
        <x:v>487</x:v>
      </x:c>
      <x:c r="V1773" s="7" t="s">
        <x:v>5425</x:v>
      </x:c>
      <x:c r="W1773" s="7" t="s">
        <x:v>58</x:v>
      </x:c>
      <x:c r="X1773" s="7" t="s">
        <x:v>5446</x:v>
      </x:c>
      <x:c r="Y1773" s="7" t="s">
        <x:v>1437</x:v>
      </x:c>
      <x:c r="Z1773" s="7" t="s">
        <x:v>5447</x:v>
      </x:c>
      <x:c r="AA1773" s="7" t="s">
        <x:v>5428</x:v>
      </x:c>
      <x:c r="AB1773" s="8" t="n">
        <x:v>13.47</x:v>
      </x:c>
      <x:c r="AC1773" s="8" t="n">
        <x:v>0.67</x:v>
      </x:c>
      <x:c r="AD1773" s="8" t="n">
        <x:v>6.4</x:v>
      </x:c>
      <x:c r="AE1773" s="8" t="n">
        <x:v>10</x:v>
      </x:c>
      <x:c r="AF1773" s="8" t="n">
        <x:v>0.05</x:v>
      </x:c>
      <x:c r="AG1773" s="11" t="b">
        <x:f aca="0">FALSE()</x:f>
        <x:v>0</x:v>
      </x:c>
    </x:row>
    <x:row r="1774" ht="51.75" hidden="0" customHeight="1">
      <x:c r="A1774" s="7" t="s">
        <x:v>5448</x:v>
      </x:c>
      <x:c r="B1774" s="7" t="s">
        <x:v>390</x:v>
      </x:c>
      <x:c r="C1774" s="7" t="s">
        <x:v>1430</x:v>
      </x:c>
      <x:c r="D1774" s="7" t="s">
        <x:v>5422</x:v>
      </x:c>
      <x:c r="E1774" s="7" t="s">
        <x:v>5449</x:v>
      </x:c>
      <x:c r="F1774" s="7" t="s">
        <x:v>5424</x:v>
      </x:c>
      <x:c r="G1774" s="8" t="n">
        <x:v>320571</x:v>
      </x:c>
      <x:c r="H1774" s="8" t="s">
        <x:v>58</x:v>
      </x:c>
      <x:c r="I1774" s="8" t="s">
        <x:v>58</x:v>
      </x:c>
      <x:c r="J1774" s="7" t="s">
        <x:v>1919</x:v>
      </x:c>
      <x:c r="K1774" s="8" t="n">
        <x:v>1</x:v>
      </x:c>
      <x:c r="L1774" s="8" t="n">
        <x:f aca="0">IF(AND(ISNUMBER(G1774),P1774&lt;&gt;"Unresolved unit / layout"),G1774*K1774,"Not applicable")</x:f>
        <x:v>320571</x:v>
      </x:c>
      <x:c r="M1774" s="8" t="str">
        <x:f aca="0">IF(AND(ISNUMBER(H1774),P1774&lt;&gt;"Unresolved unit / layout"),H1774*K1774,"Not applicable")</x:f>
        <x:v>Not applicable</x:v>
      </x:c>
      <x:c r="N1774" s="8" t="str">
        <x:f aca="0">IF(AND(ISNUMBER(I1774),P1774&lt;&gt;"Unresolved unit / layout"),I1774*K1774,"Not applicable")</x:f>
        <x:v>Not applicable</x:v>
      </x:c>
      <x:c r="O1774" s="7" t="s">
        <x:v>5424</x:v>
      </x:c>
      <x:c r="P1774" s="7" t="s">
        <x:v>1921</x:v>
      </x:c>
      <x:c r="Q1774" s="7" t="s">
        <x:v>1930</x:v>
      </x:c>
      <x:c r="R1774" s="7" t="s">
        <x:v>1931</x:v>
      </x:c>
      <x:c r="S1774" s="7" t="s">
        <x:v>53</x:v>
      </x:c>
      <x:c r="T1774" s="7" t="s">
        <x:v>53</x:v>
      </x:c>
      <x:c r="U1774" s="7" t="s">
        <x:v>487</x:v>
      </x:c>
      <x:c r="V1774" s="7" t="s">
        <x:v>5425</x:v>
      </x:c>
      <x:c r="W1774" s="7" t="s">
        <x:v>58</x:v>
      </x:c>
      <x:c r="X1774" s="7" t="s">
        <x:v>5450</x:v>
      </x:c>
      <x:c r="Y1774" s="7" t="s">
        <x:v>1437</x:v>
      </x:c>
      <x:c r="Z1774" s="7" t="s">
        <x:v>5451</x:v>
      </x:c>
      <x:c r="AA1774" s="7" t="s">
        <x:v>5428</x:v>
      </x:c>
      <x:c r="AB1774" s="8" t="n">
        <x:v>9.09</x:v>
      </x:c>
      <x:c r="AC1774" s="8" t="n">
        <x:v>0.45</x:v>
      </x:c>
      <x:c r="AD1774" s="8" t="n">
        <x:v>4.32</x:v>
      </x:c>
      <x:c r="AE1774" s="8" t="n">
        <x:v>10</x:v>
      </x:c>
      <x:c r="AF1774" s="8" t="n">
        <x:v>0.05</x:v>
      </x:c>
      <x:c r="AG1774" s="11" t="b">
        <x:f aca="0">FALSE()</x:f>
        <x:v>0</x:v>
      </x:c>
    </x:row>
    <x:row r="1775" ht="51.75" hidden="0" customHeight="1">
      <x:c r="A1775" s="7" t="s">
        <x:v>5452</x:v>
      </x:c>
      <x:c r="B1775" s="7" t="s">
        <x:v>390</x:v>
      </x:c>
      <x:c r="C1775" s="7" t="s">
        <x:v>1430</x:v>
      </x:c>
      <x:c r="D1775" s="7" t="s">
        <x:v>5422</x:v>
      </x:c>
      <x:c r="E1775" s="7" t="s">
        <x:v>5453</x:v>
      </x:c>
      <x:c r="F1775" s="7" t="s">
        <x:v>5424</x:v>
      </x:c>
      <x:c r="G1775" s="8" t="n">
        <x:v>47978</x:v>
      </x:c>
      <x:c r="H1775" s="8" t="s">
        <x:v>58</x:v>
      </x:c>
      <x:c r="I1775" s="8" t="s">
        <x:v>58</x:v>
      </x:c>
      <x:c r="J1775" s="7" t="s">
        <x:v>1919</x:v>
      </x:c>
      <x:c r="K1775" s="8" t="n">
        <x:v>1</x:v>
      </x:c>
      <x:c r="L1775" s="8" t="n">
        <x:f aca="0">IF(AND(ISNUMBER(G1775),P1775&lt;&gt;"Unresolved unit / layout"),G1775*K1775,"Not applicable")</x:f>
        <x:v>47978</x:v>
      </x:c>
      <x:c r="M1775" s="8" t="str">
        <x:f aca="0">IF(AND(ISNUMBER(H1775),P1775&lt;&gt;"Unresolved unit / layout"),H1775*K1775,"Not applicable")</x:f>
        <x:v>Not applicable</x:v>
      </x:c>
      <x:c r="N1775" s="8" t="str">
        <x:f aca="0">IF(AND(ISNUMBER(I1775),P1775&lt;&gt;"Unresolved unit / layout"),I1775*K1775,"Not applicable")</x:f>
        <x:v>Not applicable</x:v>
      </x:c>
      <x:c r="O1775" s="7" t="s">
        <x:v>5424</x:v>
      </x:c>
      <x:c r="P1775" s="7" t="s">
        <x:v>1921</x:v>
      </x:c>
      <x:c r="Q1775" s="7" t="s">
        <x:v>1930</x:v>
      </x:c>
      <x:c r="R1775" s="7" t="s">
        <x:v>1931</x:v>
      </x:c>
      <x:c r="S1775" s="7" t="s">
        <x:v>53</x:v>
      </x:c>
      <x:c r="T1775" s="7" t="s">
        <x:v>53</x:v>
      </x:c>
      <x:c r="U1775" s="7" t="s">
        <x:v>487</x:v>
      </x:c>
      <x:c r="V1775" s="7" t="s">
        <x:v>5425</x:v>
      </x:c>
      <x:c r="W1775" s="7" t="s">
        <x:v>58</x:v>
      </x:c>
      <x:c r="X1775" s="7" t="s">
        <x:v>5454</x:v>
      </x:c>
      <x:c r="Y1775" s="7" t="s">
        <x:v>1437</x:v>
      </x:c>
      <x:c r="Z1775" s="7" t="s">
        <x:v>5455</x:v>
      </x:c>
      <x:c r="AA1775" s="7" t="s">
        <x:v>5428</x:v>
      </x:c>
      <x:c r="AB1775" s="8" t="n">
        <x:v>11.79</x:v>
      </x:c>
      <x:c r="AC1775" s="8" t="n">
        <x:v>0.59</x:v>
      </x:c>
      <x:c r="AD1775" s="8" t="n">
        <x:v>5.6</x:v>
      </x:c>
      <x:c r="AE1775" s="8" t="n">
        <x:v>10</x:v>
      </x:c>
      <x:c r="AF1775" s="8" t="n">
        <x:v>0.05</x:v>
      </x:c>
      <x:c r="AG1775" s="11" t="b">
        <x:f aca="0">FALSE()</x:f>
        <x:v>0</x:v>
      </x:c>
    </x:row>
    <x:row r="1776" ht="51.75" hidden="0" customHeight="1">
      <x:c r="A1776" s="7" t="s">
        <x:v>5456</x:v>
      </x:c>
      <x:c r="B1776" s="7" t="s">
        <x:v>390</x:v>
      </x:c>
      <x:c r="C1776" s="7" t="s">
        <x:v>1430</x:v>
      </x:c>
      <x:c r="D1776" s="7" t="s">
        <x:v>5422</x:v>
      </x:c>
      <x:c r="E1776" s="7" t="s">
        <x:v>5457</x:v>
      </x:c>
      <x:c r="F1776" s="7" t="s">
        <x:v>5424</x:v>
      </x:c>
      <x:c r="G1776" s="8" t="n">
        <x:v>192376</x:v>
      </x:c>
      <x:c r="H1776" s="8" t="s">
        <x:v>58</x:v>
      </x:c>
      <x:c r="I1776" s="8" t="s">
        <x:v>58</x:v>
      </x:c>
      <x:c r="J1776" s="7" t="s">
        <x:v>1919</x:v>
      </x:c>
      <x:c r="K1776" s="8" t="n">
        <x:v>1</x:v>
      </x:c>
      <x:c r="L1776" s="8" t="n">
        <x:f aca="0">IF(AND(ISNUMBER(G1776),P1776&lt;&gt;"Unresolved unit / layout"),G1776*K1776,"Not applicable")</x:f>
        <x:v>192376</x:v>
      </x:c>
      <x:c r="M1776" s="8" t="str">
        <x:f aca="0">IF(AND(ISNUMBER(H1776),P1776&lt;&gt;"Unresolved unit / layout"),H1776*K1776,"Not applicable")</x:f>
        <x:v>Not applicable</x:v>
      </x:c>
      <x:c r="N1776" s="8" t="str">
        <x:f aca="0">IF(AND(ISNUMBER(I1776),P1776&lt;&gt;"Unresolved unit / layout"),I1776*K1776,"Not applicable")</x:f>
        <x:v>Not applicable</x:v>
      </x:c>
      <x:c r="O1776" s="7" t="s">
        <x:v>5424</x:v>
      </x:c>
      <x:c r="P1776" s="7" t="s">
        <x:v>1921</x:v>
      </x:c>
      <x:c r="Q1776" s="7" t="s">
        <x:v>1930</x:v>
      </x:c>
      <x:c r="R1776" s="7" t="s">
        <x:v>1931</x:v>
      </x:c>
      <x:c r="S1776" s="7" t="s">
        <x:v>53</x:v>
      </x:c>
      <x:c r="T1776" s="7" t="s">
        <x:v>53</x:v>
      </x:c>
      <x:c r="U1776" s="7" t="s">
        <x:v>487</x:v>
      </x:c>
      <x:c r="V1776" s="7" t="s">
        <x:v>5425</x:v>
      </x:c>
      <x:c r="W1776" s="7" t="s">
        <x:v>58</x:v>
      </x:c>
      <x:c r="X1776" s="7" t="s">
        <x:v>5450</x:v>
      </x:c>
      <x:c r="Y1776" s="7" t="s">
        <x:v>1437</x:v>
      </x:c>
      <x:c r="Z1776" s="7" t="s">
        <x:v>5458</x:v>
      </x:c>
      <x:c r="AA1776" s="7" t="s">
        <x:v>5428</x:v>
      </x:c>
      <x:c r="AB1776" s="8" t="n">
        <x:v>9.09</x:v>
      </x:c>
      <x:c r="AC1776" s="8" t="n">
        <x:v>0.45</x:v>
      </x:c>
      <x:c r="AD1776" s="8" t="n">
        <x:v>4.32</x:v>
      </x:c>
      <x:c r="AE1776" s="8" t="n">
        <x:v>10</x:v>
      </x:c>
      <x:c r="AF1776" s="8" t="n">
        <x:v>0.05</x:v>
      </x:c>
      <x:c r="AG1776" s="11" t="b">
        <x:f aca="0">FALSE()</x:f>
        <x:v>0</x:v>
      </x:c>
    </x:row>
    <x:row r="1777" ht="51.75" hidden="0" customHeight="1">
      <x:c r="A1777" s="7" t="s">
        <x:v>5459</x:v>
      </x:c>
      <x:c r="B1777" s="7" t="s">
        <x:v>390</x:v>
      </x:c>
      <x:c r="C1777" s="7" t="s">
        <x:v>1430</x:v>
      </x:c>
      <x:c r="D1777" s="7" t="s">
        <x:v>5422</x:v>
      </x:c>
      <x:c r="E1777" s="7" t="s">
        <x:v>5460</x:v>
      </x:c>
      <x:c r="F1777" s="7" t="s">
        <x:v>5424</x:v>
      </x:c>
      <x:c r="G1777" s="8" t="n">
        <x:v>90640</x:v>
      </x:c>
      <x:c r="H1777" s="8" t="s">
        <x:v>58</x:v>
      </x:c>
      <x:c r="I1777" s="8" t="s">
        <x:v>58</x:v>
      </x:c>
      <x:c r="J1777" s="7" t="s">
        <x:v>1919</x:v>
      </x:c>
      <x:c r="K1777" s="8" t="n">
        <x:v>1</x:v>
      </x:c>
      <x:c r="L1777" s="8" t="n">
        <x:f aca="0">IF(AND(ISNUMBER(G1777),P1777&lt;&gt;"Unresolved unit / layout"),G1777*K1777,"Not applicable")</x:f>
        <x:v>90640</x:v>
      </x:c>
      <x:c r="M1777" s="8" t="str">
        <x:f aca="0">IF(AND(ISNUMBER(H1777),P1777&lt;&gt;"Unresolved unit / layout"),H1777*K1777,"Not applicable")</x:f>
        <x:v>Not applicable</x:v>
      </x:c>
      <x:c r="N1777" s="8" t="str">
        <x:f aca="0">IF(AND(ISNUMBER(I1777),P1777&lt;&gt;"Unresolved unit / layout"),I1777*K1777,"Not applicable")</x:f>
        <x:v>Not applicable</x:v>
      </x:c>
      <x:c r="O1777" s="7" t="s">
        <x:v>5424</x:v>
      </x:c>
      <x:c r="P1777" s="7" t="s">
        <x:v>1921</x:v>
      </x:c>
      <x:c r="Q1777" s="7" t="s">
        <x:v>1930</x:v>
      </x:c>
      <x:c r="R1777" s="7" t="s">
        <x:v>1931</x:v>
      </x:c>
      <x:c r="S1777" s="7" t="s">
        <x:v>53</x:v>
      </x:c>
      <x:c r="T1777" s="7" t="s">
        <x:v>53</x:v>
      </x:c>
      <x:c r="U1777" s="7" t="s">
        <x:v>487</x:v>
      </x:c>
      <x:c r="V1777" s="7" t="s">
        <x:v>5425</x:v>
      </x:c>
      <x:c r="W1777" s="7" t="s">
        <x:v>58</x:v>
      </x:c>
      <x:c r="X1777" s="7" t="s">
        <x:v>5435</x:v>
      </x:c>
      <x:c r="Y1777" s="7" t="s">
        <x:v>1437</x:v>
      </x:c>
      <x:c r="Z1777" s="7" t="s">
        <x:v>5461</x:v>
      </x:c>
      <x:c r="AA1777" s="7" t="s">
        <x:v>5428</x:v>
      </x:c>
      <x:c r="AB1777" s="8" t="n">
        <x:v>10.11</x:v>
      </x:c>
      <x:c r="AC1777" s="8" t="n">
        <x:v>0.51</x:v>
      </x:c>
      <x:c r="AD1777" s="8" t="n">
        <x:v>4.8</x:v>
      </x:c>
      <x:c r="AE1777" s="8" t="n">
        <x:v>10</x:v>
      </x:c>
      <x:c r="AF1777" s="8" t="n">
        <x:v>0.05</x:v>
      </x:c>
      <x:c r="AG1777" s="11" t="b">
        <x:f aca="0">FALSE()</x:f>
        <x:v>0</x:v>
      </x:c>
    </x:row>
    <x:row r="1778" ht="51.75" hidden="0" customHeight="1">
      <x:c r="A1778" s="7" t="s">
        <x:v>5462</x:v>
      </x:c>
      <x:c r="B1778" s="7" t="s">
        <x:v>437</x:v>
      </x:c>
      <x:c r="C1778" s="7" t="s">
        <x:v>1440</x:v>
      </x:c>
      <x:c r="D1778" s="7" t="s">
        <x:v>5422</x:v>
      </x:c>
      <x:c r="E1778" s="7" t="s">
        <x:v>5463</x:v>
      </x:c>
      <x:c r="F1778" s="7" t="s">
        <x:v>5424</x:v>
      </x:c>
      <x:c r="G1778" s="8" t="n">
        <x:v>3368</x:v>
      </x:c>
      <x:c r="H1778" s="8" t="s">
        <x:v>58</x:v>
      </x:c>
      <x:c r="I1778" s="8" t="s">
        <x:v>58</x:v>
      </x:c>
      <x:c r="J1778" s="7" t="s">
        <x:v>1919</x:v>
      </x:c>
      <x:c r="K1778" s="8" t="n">
        <x:v>1</x:v>
      </x:c>
      <x:c r="L1778" s="8" t="n">
        <x:f aca="0">IF(AND(ISNUMBER(G1778),P1778&lt;&gt;"Unresolved unit / layout"),G1778*K1778,"Not applicable")</x:f>
        <x:v>3368</x:v>
      </x:c>
      <x:c r="M1778" s="8" t="str">
        <x:f aca="0">IF(AND(ISNUMBER(H1778),P1778&lt;&gt;"Unresolved unit / layout"),H1778*K1778,"Not applicable")</x:f>
        <x:v>Not applicable</x:v>
      </x:c>
      <x:c r="N1778" s="8" t="str">
        <x:f aca="0">IF(AND(ISNUMBER(I1778),P1778&lt;&gt;"Unresolved unit / layout"),I1778*K1778,"Not applicable")</x:f>
        <x:v>Not applicable</x:v>
      </x:c>
      <x:c r="O1778" s="7" t="s">
        <x:v>5424</x:v>
      </x:c>
      <x:c r="P1778" s="7" t="s">
        <x:v>1921</x:v>
      </x:c>
      <x:c r="Q1778" s="7" t="s">
        <x:v>1930</x:v>
      </x:c>
      <x:c r="R1778" s="7" t="s">
        <x:v>1931</x:v>
      </x:c>
      <x:c r="S1778" s="7" t="s">
        <x:v>53</x:v>
      </x:c>
      <x:c r="T1778" s="7" t="s">
        <x:v>53</x:v>
      </x:c>
      <x:c r="U1778" s="7" t="s">
        <x:v>487</x:v>
      </x:c>
      <x:c r="V1778" s="7" t="s">
        <x:v>5425</x:v>
      </x:c>
      <x:c r="W1778" s="7" t="s">
        <x:v>58</x:v>
      </x:c>
      <x:c r="X1778" s="7" t="s">
        <x:v>5464</x:v>
      </x:c>
      <x:c r="Y1778" s="7" t="s">
        <x:v>1437</x:v>
      </x:c>
      <x:c r="Z1778" s="7" t="s">
        <x:v>5465</x:v>
      </x:c>
      <x:c r="AA1778" s="7" t="s">
        <x:v>5428</x:v>
      </x:c>
      <x:c r="AB1778" s="8" t="n">
        <x:v>21.35</x:v>
      </x:c>
      <x:c r="AC1778" s="8" t="n">
        <x:v>1.07</x:v>
      </x:c>
      <x:c r="AD1778" s="8" t="n">
        <x:v>10.14</x:v>
      </x:c>
      <x:c r="AE1778" s="8" t="n">
        <x:v>10</x:v>
      </x:c>
      <x:c r="AF1778" s="8" t="n">
        <x:v>0.05</x:v>
      </x:c>
      <x:c r="AG1778" s="11" t="b">
        <x:f aca="0">FALSE()</x:f>
        <x:v>0</x:v>
      </x:c>
    </x:row>
    <x:row r="1779" ht="51.75" hidden="0" customHeight="1">
      <x:c r="A1779" s="7" t="s">
        <x:v>5466</x:v>
      </x:c>
      <x:c r="B1779" s="7" t="s">
        <x:v>437</x:v>
      </x:c>
      <x:c r="C1779" s="7" t="s">
        <x:v>1440</x:v>
      </x:c>
      <x:c r="D1779" s="7" t="s">
        <x:v>5422</x:v>
      </x:c>
      <x:c r="E1779" s="7" t="s">
        <x:v>5467</x:v>
      </x:c>
      <x:c r="F1779" s="7" t="s">
        <x:v>5424</x:v>
      </x:c>
      <x:c r="G1779" s="8" t="n">
        <x:v>11269</x:v>
      </x:c>
      <x:c r="H1779" s="8" t="s">
        <x:v>58</x:v>
      </x:c>
      <x:c r="I1779" s="8" t="s">
        <x:v>58</x:v>
      </x:c>
      <x:c r="J1779" s="7" t="s">
        <x:v>1919</x:v>
      </x:c>
      <x:c r="K1779" s="8" t="n">
        <x:v>1</x:v>
      </x:c>
      <x:c r="L1779" s="8" t="n">
        <x:f aca="0">IF(AND(ISNUMBER(G1779),P1779&lt;&gt;"Unresolved unit / layout"),G1779*K1779,"Not applicable")</x:f>
        <x:v>11269</x:v>
      </x:c>
      <x:c r="M1779" s="8" t="str">
        <x:f aca="0">IF(AND(ISNUMBER(H1779),P1779&lt;&gt;"Unresolved unit / layout"),H1779*K1779,"Not applicable")</x:f>
        <x:v>Not applicable</x:v>
      </x:c>
      <x:c r="N1779" s="8" t="str">
        <x:f aca="0">IF(AND(ISNUMBER(I1779),P1779&lt;&gt;"Unresolved unit / layout"),I1779*K1779,"Not applicable")</x:f>
        <x:v>Not applicable</x:v>
      </x:c>
      <x:c r="O1779" s="7" t="s">
        <x:v>5424</x:v>
      </x:c>
      <x:c r="P1779" s="7" t="s">
        <x:v>1921</x:v>
      </x:c>
      <x:c r="Q1779" s="7" t="s">
        <x:v>1930</x:v>
      </x:c>
      <x:c r="R1779" s="7" t="s">
        <x:v>1931</x:v>
      </x:c>
      <x:c r="S1779" s="7" t="s">
        <x:v>53</x:v>
      </x:c>
      <x:c r="T1779" s="7" t="s">
        <x:v>53</x:v>
      </x:c>
      <x:c r="U1779" s="7" t="s">
        <x:v>487</x:v>
      </x:c>
      <x:c r="V1779" s="7" t="s">
        <x:v>5425</x:v>
      </x:c>
      <x:c r="W1779" s="7" t="s">
        <x:v>58</x:v>
      </x:c>
      <x:c r="X1779" s="7" t="s">
        <x:v>5468</x:v>
      </x:c>
      <x:c r="Y1779" s="7" t="s">
        <x:v>1437</x:v>
      </x:c>
      <x:c r="Z1779" s="7" t="s">
        <x:v>5469</x:v>
      </x:c>
      <x:c r="AA1779" s="7" t="s">
        <x:v>5428</x:v>
      </x:c>
      <x:c r="AB1779" s="8" t="n">
        <x:v>13.35</x:v>
      </x:c>
      <x:c r="AC1779" s="8" t="n">
        <x:v>0.67</x:v>
      </x:c>
      <x:c r="AD1779" s="8" t="n">
        <x:v>6.34</x:v>
      </x:c>
      <x:c r="AE1779" s="8" t="n">
        <x:v>10</x:v>
      </x:c>
      <x:c r="AF1779" s="8" t="n">
        <x:v>0.05</x:v>
      </x:c>
      <x:c r="AG1779" s="11" t="b">
        <x:f aca="0">FALSE()</x:f>
        <x:v>0</x:v>
      </x:c>
    </x:row>
    <x:row r="1780" ht="51.75" hidden="0" customHeight="1">
      <x:c r="A1780" s="7" t="s">
        <x:v>5470</x:v>
      </x:c>
      <x:c r="B1780" s="7" t="s">
        <x:v>437</x:v>
      </x:c>
      <x:c r="C1780" s="7" t="s">
        <x:v>1440</x:v>
      </x:c>
      <x:c r="D1780" s="7" t="s">
        <x:v>5422</x:v>
      </x:c>
      <x:c r="E1780" s="7" t="s">
        <x:v>5471</x:v>
      </x:c>
      <x:c r="F1780" s="7" t="s">
        <x:v>5424</x:v>
      </x:c>
      <x:c r="G1780" s="8" t="n">
        <x:v>182224</x:v>
      </x:c>
      <x:c r="H1780" s="8" t="s">
        <x:v>58</x:v>
      </x:c>
      <x:c r="I1780" s="8" t="s">
        <x:v>58</x:v>
      </x:c>
      <x:c r="J1780" s="7" t="s">
        <x:v>1919</x:v>
      </x:c>
      <x:c r="K1780" s="8" t="n">
        <x:v>1</x:v>
      </x:c>
      <x:c r="L1780" s="8" t="n">
        <x:f aca="0">IF(AND(ISNUMBER(G1780),P1780&lt;&gt;"Unresolved unit / layout"),G1780*K1780,"Not applicable")</x:f>
        <x:v>182224</x:v>
      </x:c>
      <x:c r="M1780" s="8" t="str">
        <x:f aca="0">IF(AND(ISNUMBER(H1780),P1780&lt;&gt;"Unresolved unit / layout"),H1780*K1780,"Not applicable")</x:f>
        <x:v>Not applicable</x:v>
      </x:c>
      <x:c r="N1780" s="8" t="str">
        <x:f aca="0">IF(AND(ISNUMBER(I1780),P1780&lt;&gt;"Unresolved unit / layout"),I1780*K1780,"Not applicable")</x:f>
        <x:v>Not applicable</x:v>
      </x:c>
      <x:c r="O1780" s="7" t="s">
        <x:v>5424</x:v>
      </x:c>
      <x:c r="P1780" s="7" t="s">
        <x:v>1921</x:v>
      </x:c>
      <x:c r="Q1780" s="7" t="s">
        <x:v>1930</x:v>
      </x:c>
      <x:c r="R1780" s="7" t="s">
        <x:v>1931</x:v>
      </x:c>
      <x:c r="S1780" s="7" t="s">
        <x:v>53</x:v>
      </x:c>
      <x:c r="T1780" s="7" t="s">
        <x:v>53</x:v>
      </x:c>
      <x:c r="U1780" s="7" t="s">
        <x:v>487</x:v>
      </x:c>
      <x:c r="V1780" s="7" t="s">
        <x:v>5425</x:v>
      </x:c>
      <x:c r="W1780" s="7" t="s">
        <x:v>58</x:v>
      </x:c>
      <x:c r="X1780" s="7" t="s">
        <x:v>5472</x:v>
      </x:c>
      <x:c r="Y1780" s="7" t="s">
        <x:v>1437</x:v>
      </x:c>
      <x:c r="Z1780" s="7" t="s">
        <x:v>5473</x:v>
      </x:c>
      <x:c r="AA1780" s="7" t="s">
        <x:v>5428</x:v>
      </x:c>
      <x:c r="AB1780" s="8" t="n">
        <x:v>5.34</x:v>
      </x:c>
      <x:c r="AC1780" s="8" t="n">
        <x:v>0.27</x:v>
      </x:c>
      <x:c r="AD1780" s="8" t="n">
        <x:v>2.54</x:v>
      </x:c>
      <x:c r="AE1780" s="8" t="n">
        <x:v>10</x:v>
      </x:c>
      <x:c r="AF1780" s="8" t="n">
        <x:v>0.05</x:v>
      </x:c>
      <x:c r="AG1780" s="11" t="b">
        <x:f aca="0">FALSE()</x:f>
        <x:v>0</x:v>
      </x:c>
    </x:row>
    <x:row r="1781" ht="51.75" hidden="0" customHeight="1">
      <x:c r="A1781" s="7" t="s">
        <x:v>5474</x:v>
      </x:c>
      <x:c r="B1781" s="7" t="s">
        <x:v>437</x:v>
      </x:c>
      <x:c r="C1781" s="7" t="s">
        <x:v>1440</x:v>
      </x:c>
      <x:c r="D1781" s="7" t="s">
        <x:v>5422</x:v>
      </x:c>
      <x:c r="E1781" s="7" t="s">
        <x:v>5438</x:v>
      </x:c>
      <x:c r="F1781" s="7" t="s">
        <x:v>5424</x:v>
      </x:c>
      <x:c r="G1781" s="8" t="n">
        <x:v>1000000</x:v>
      </x:c>
      <x:c r="H1781" s="8" t="s">
        <x:v>58</x:v>
      </x:c>
      <x:c r="I1781" s="8" t="s">
        <x:v>58</x:v>
      </x:c>
      <x:c r="J1781" s="7" t="s">
        <x:v>1919</x:v>
      </x:c>
      <x:c r="K1781" s="8" t="n">
        <x:v>1</x:v>
      </x:c>
      <x:c r="L1781" s="8" t="n">
        <x:f aca="0">IF(AND(ISNUMBER(G1781),P1781&lt;&gt;"Unresolved unit / layout"),G1781*K1781,"Not applicable")</x:f>
        <x:v>1000000</x:v>
      </x:c>
      <x:c r="M1781" s="8" t="str">
        <x:f aca="0">IF(AND(ISNUMBER(H1781),P1781&lt;&gt;"Unresolved unit / layout"),H1781*K1781,"Not applicable")</x:f>
        <x:v>Not applicable</x:v>
      </x:c>
      <x:c r="N1781" s="8" t="str">
        <x:f aca="0">IF(AND(ISNUMBER(I1781),P1781&lt;&gt;"Unresolved unit / layout"),I1781*K1781,"Not applicable")</x:f>
        <x:v>Not applicable</x:v>
      </x:c>
      <x:c r="O1781" s="7" t="s">
        <x:v>5424</x:v>
      </x:c>
      <x:c r="P1781" s="7" t="s">
        <x:v>1921</x:v>
      </x:c>
      <x:c r="Q1781" s="7" t="s">
        <x:v>1930</x:v>
      </x:c>
      <x:c r="R1781" s="7" t="s">
        <x:v>1931</x:v>
      </x:c>
      <x:c r="S1781" s="7" t="s">
        <x:v>53</x:v>
      </x:c>
      <x:c r="T1781" s="7" t="s">
        <x:v>53</x:v>
      </x:c>
      <x:c r="U1781" s="7" t="s">
        <x:v>487</x:v>
      </x:c>
      <x:c r="V1781" s="7" t="s">
        <x:v>5425</x:v>
      </x:c>
      <x:c r="W1781" s="7" t="s">
        <x:v>58</x:v>
      </x:c>
      <x:c r="X1781" s="7" t="s">
        <x:v>5475</x:v>
      </x:c>
      <x:c r="Y1781" s="7" t="s">
        <x:v>1437</x:v>
      </x:c>
      <x:c r="Z1781" s="7" t="s">
        <x:v>5476</x:v>
      </x:c>
      <x:c r="AA1781" s="7" t="s">
        <x:v>5428</x:v>
      </x:c>
      <x:c r="AB1781" s="8" t="n">
        <x:v>2.67</x:v>
      </x:c>
      <x:c r="AC1781" s="8" t="n">
        <x:v>0.13</x:v>
      </x:c>
      <x:c r="AD1781" s="8" t="n">
        <x:v>1.27</x:v>
      </x:c>
      <x:c r="AE1781" s="8" t="n">
        <x:v>10</x:v>
      </x:c>
      <x:c r="AF1781" s="8" t="n">
        <x:v>0.05</x:v>
      </x:c>
      <x:c r="AG1781" s="11" t="b">
        <x:f aca="0">TRUE()</x:f>
        <x:v>1</x:v>
      </x:c>
    </x:row>
    <x:row r="1782" ht="51.75" hidden="0" customHeight="1">
      <x:c r="A1782" s="7" t="s">
        <x:v>5477</x:v>
      </x:c>
      <x:c r="B1782" s="7" t="s">
        <x:v>437</x:v>
      </x:c>
      <x:c r="C1782" s="7" t="s">
        <x:v>1440</x:v>
      </x:c>
      <x:c r="D1782" s="7" t="s">
        <x:v>5422</x:v>
      </x:c>
      <x:c r="E1782" s="7" t="s">
        <x:v>5438</x:v>
      </x:c>
      <x:c r="F1782" s="7" t="s">
        <x:v>5424</x:v>
      </x:c>
      <x:c r="G1782" s="8" t="n">
        <x:v>1000000</x:v>
      </x:c>
      <x:c r="H1782" s="8" t="s">
        <x:v>58</x:v>
      </x:c>
      <x:c r="I1782" s="8" t="s">
        <x:v>58</x:v>
      </x:c>
      <x:c r="J1782" s="7" t="s">
        <x:v>1919</x:v>
      </x:c>
      <x:c r="K1782" s="8" t="n">
        <x:v>1</x:v>
      </x:c>
      <x:c r="L1782" s="8" t="n">
        <x:f aca="0">IF(AND(ISNUMBER(G1782),P1782&lt;&gt;"Unresolved unit / layout"),G1782*K1782,"Not applicable")</x:f>
        <x:v>1000000</x:v>
      </x:c>
      <x:c r="M1782" s="8" t="str">
        <x:f aca="0">IF(AND(ISNUMBER(H1782),P1782&lt;&gt;"Unresolved unit / layout"),H1782*K1782,"Not applicable")</x:f>
        <x:v>Not applicable</x:v>
      </x:c>
      <x:c r="N1782" s="8" t="str">
        <x:f aca="0">IF(AND(ISNUMBER(I1782),P1782&lt;&gt;"Unresolved unit / layout"),I1782*K1782,"Not applicable")</x:f>
        <x:v>Not applicable</x:v>
      </x:c>
      <x:c r="O1782" s="7" t="s">
        <x:v>5424</x:v>
      </x:c>
      <x:c r="P1782" s="7" t="s">
        <x:v>1921</x:v>
      </x:c>
      <x:c r="Q1782" s="7" t="s">
        <x:v>1930</x:v>
      </x:c>
      <x:c r="R1782" s="7" t="s">
        <x:v>1931</x:v>
      </x:c>
      <x:c r="S1782" s="7" t="s">
        <x:v>53</x:v>
      </x:c>
      <x:c r="T1782" s="7" t="s">
        <x:v>53</x:v>
      </x:c>
      <x:c r="U1782" s="7" t="s">
        <x:v>487</x:v>
      </x:c>
      <x:c r="V1782" s="7" t="s">
        <x:v>5425</x:v>
      </x:c>
      <x:c r="W1782" s="7" t="s">
        <x:v>58</x:v>
      </x:c>
      <x:c r="X1782" s="7" t="s">
        <x:v>5478</x:v>
      </x:c>
      <x:c r="Y1782" s="7" t="s">
        <x:v>1437</x:v>
      </x:c>
      <x:c r="Z1782" s="7" t="s">
        <x:v>5479</x:v>
      </x:c>
      <x:c r="AA1782" s="7" t="s">
        <x:v>5428</x:v>
      </x:c>
      <x:c r="AB1782" s="8" t="n">
        <x:v>3.74</x:v>
      </x:c>
      <x:c r="AC1782" s="8" t="n">
        <x:v>0.19</x:v>
      </x:c>
      <x:c r="AD1782" s="8" t="n">
        <x:v>1.78</x:v>
      </x:c>
      <x:c r="AE1782" s="8" t="n">
        <x:v>10</x:v>
      </x:c>
      <x:c r="AF1782" s="8" t="n">
        <x:v>0.05</x:v>
      </x:c>
      <x:c r="AG1782" s="11" t="b">
        <x:f aca="0">TRUE()</x:f>
        <x:v>1</x:v>
      </x:c>
    </x:row>
    <x:row r="1783" ht="51.75" hidden="0" customHeight="1">
      <x:c r="A1783" s="7" t="s">
        <x:v>5480</x:v>
      </x:c>
      <x:c r="B1783" s="7" t="s">
        <x:v>437</x:v>
      </x:c>
      <x:c r="C1783" s="7" t="s">
        <x:v>1440</x:v>
      </x:c>
      <x:c r="D1783" s="7" t="s">
        <x:v>5422</x:v>
      </x:c>
      <x:c r="E1783" s="7" t="s">
        <x:v>5481</x:v>
      </x:c>
      <x:c r="F1783" s="7" t="s">
        <x:v>5424</x:v>
      </x:c>
      <x:c r="G1783" s="8" t="n">
        <x:v>220112</x:v>
      </x:c>
      <x:c r="H1783" s="8" t="s">
        <x:v>58</x:v>
      </x:c>
      <x:c r="I1783" s="8" t="s">
        <x:v>58</x:v>
      </x:c>
      <x:c r="J1783" s="7" t="s">
        <x:v>1919</x:v>
      </x:c>
      <x:c r="K1783" s="8" t="n">
        <x:v>1</x:v>
      </x:c>
      <x:c r="L1783" s="8" t="n">
        <x:f aca="0">IF(AND(ISNUMBER(G1783),P1783&lt;&gt;"Unresolved unit / layout"),G1783*K1783,"Not applicable")</x:f>
        <x:v>220112</x:v>
      </x:c>
      <x:c r="M1783" s="8" t="str">
        <x:f aca="0">IF(AND(ISNUMBER(H1783),P1783&lt;&gt;"Unresolved unit / layout"),H1783*K1783,"Not applicable")</x:f>
        <x:v>Not applicable</x:v>
      </x:c>
      <x:c r="N1783" s="8" t="str">
        <x:f aca="0">IF(AND(ISNUMBER(I1783),P1783&lt;&gt;"Unresolved unit / layout"),I1783*K1783,"Not applicable")</x:f>
        <x:v>Not applicable</x:v>
      </x:c>
      <x:c r="O1783" s="7" t="s">
        <x:v>5424</x:v>
      </x:c>
      <x:c r="P1783" s="7" t="s">
        <x:v>1921</x:v>
      </x:c>
      <x:c r="Q1783" s="7" t="s">
        <x:v>1930</x:v>
      </x:c>
      <x:c r="R1783" s="7" t="s">
        <x:v>1931</x:v>
      </x:c>
      <x:c r="S1783" s="7" t="s">
        <x:v>53</x:v>
      </x:c>
      <x:c r="T1783" s="7" t="s">
        <x:v>53</x:v>
      </x:c>
      <x:c r="U1783" s="7" t="s">
        <x:v>487</x:v>
      </x:c>
      <x:c r="V1783" s="7" t="s">
        <x:v>5425</x:v>
      </x:c>
      <x:c r="W1783" s="7" t="s">
        <x:v>58</x:v>
      </x:c>
      <x:c r="X1783" s="7" t="s">
        <x:v>5482</x:v>
      </x:c>
      <x:c r="Y1783" s="7" t="s">
        <x:v>1437</x:v>
      </x:c>
      <x:c r="Z1783" s="7" t="s">
        <x:v>5483</x:v>
      </x:c>
      <x:c r="AA1783" s="7" t="s">
        <x:v>5428</x:v>
      </x:c>
      <x:c r="AB1783" s="8" t="n">
        <x:v>4.8</x:v>
      </x:c>
      <x:c r="AC1783" s="8" t="n">
        <x:v>0.24</x:v>
      </x:c>
      <x:c r="AD1783" s="8" t="n">
        <x:v>2.28</x:v>
      </x:c>
      <x:c r="AE1783" s="8" t="n">
        <x:v>10</x:v>
      </x:c>
      <x:c r="AF1783" s="8" t="n">
        <x:v>0.05</x:v>
      </x:c>
      <x:c r="AG1783" s="11" t="b">
        <x:f aca="0">FALSE()</x:f>
        <x:v>0</x:v>
      </x:c>
    </x:row>
    <x:row r="1784" ht="51.75" hidden="0" customHeight="1">
      <x:c r="A1784" s="7" t="s">
        <x:v>5484</x:v>
      </x:c>
      <x:c r="B1784" s="7" t="s">
        <x:v>437</x:v>
      </x:c>
      <x:c r="C1784" s="7" t="s">
        <x:v>1440</x:v>
      </x:c>
      <x:c r="D1784" s="7" t="s">
        <x:v>5422</x:v>
      </x:c>
      <x:c r="E1784" s="7" t="s">
        <x:v>5485</x:v>
      </x:c>
      <x:c r="F1784" s="7" t="s">
        <x:v>5424</x:v>
      </x:c>
      <x:c r="G1784" s="8" t="n">
        <x:v>834070</x:v>
      </x:c>
      <x:c r="H1784" s="8" t="s">
        <x:v>58</x:v>
      </x:c>
      <x:c r="I1784" s="8" t="s">
        <x:v>58</x:v>
      </x:c>
      <x:c r="J1784" s="7" t="s">
        <x:v>1919</x:v>
      </x:c>
      <x:c r="K1784" s="8" t="n">
        <x:v>1</x:v>
      </x:c>
      <x:c r="L1784" s="8" t="n">
        <x:f aca="0">IF(AND(ISNUMBER(G1784),P1784&lt;&gt;"Unresolved unit / layout"),G1784*K1784,"Not applicable")</x:f>
        <x:v>834070</x:v>
      </x:c>
      <x:c r="M1784" s="8" t="str">
        <x:f aca="0">IF(AND(ISNUMBER(H1784),P1784&lt;&gt;"Unresolved unit / layout"),H1784*K1784,"Not applicable")</x:f>
        <x:v>Not applicable</x:v>
      </x:c>
      <x:c r="N1784" s="8" t="str">
        <x:f aca="0">IF(AND(ISNUMBER(I1784),P1784&lt;&gt;"Unresolved unit / layout"),I1784*K1784,"Not applicable")</x:f>
        <x:v>Not applicable</x:v>
      </x:c>
      <x:c r="O1784" s="7" t="s">
        <x:v>5424</x:v>
      </x:c>
      <x:c r="P1784" s="7" t="s">
        <x:v>1921</x:v>
      </x:c>
      <x:c r="Q1784" s="7" t="s">
        <x:v>1930</x:v>
      </x:c>
      <x:c r="R1784" s="7" t="s">
        <x:v>1931</x:v>
      </x:c>
      <x:c r="S1784" s="7" t="s">
        <x:v>53</x:v>
      </x:c>
      <x:c r="T1784" s="7" t="s">
        <x:v>53</x:v>
      </x:c>
      <x:c r="U1784" s="7" t="s">
        <x:v>487</x:v>
      </x:c>
      <x:c r="V1784" s="7" t="s">
        <x:v>5425</x:v>
      </x:c>
      <x:c r="W1784" s="7" t="s">
        <x:v>58</x:v>
      </x:c>
      <x:c r="X1784" s="7" t="s">
        <x:v>5486</x:v>
      </x:c>
      <x:c r="Y1784" s="7" t="s">
        <x:v>1437</x:v>
      </x:c>
      <x:c r="Z1784" s="7" t="s">
        <x:v>5487</x:v>
      </x:c>
      <x:c r="AA1784" s="7" t="s">
        <x:v>5428</x:v>
      </x:c>
      <x:c r="AB1784" s="8" t="n">
        <x:v>4.27</x:v>
      </x:c>
      <x:c r="AC1784" s="8" t="n">
        <x:v>0.21</x:v>
      </x:c>
      <x:c r="AD1784" s="8" t="n">
        <x:v>2.03</x:v>
      </x:c>
      <x:c r="AE1784" s="8" t="n">
        <x:v>10</x:v>
      </x:c>
      <x:c r="AF1784" s="8" t="n">
        <x:v>0.05</x:v>
      </x:c>
      <x:c r="AG1784" s="11" t="b">
        <x:f aca="0">FALSE()</x:f>
        <x:v>0</x:v>
      </x:c>
    </x:row>
    <x:row r="1785" ht="51.75" hidden="0" customHeight="1">
      <x:c r="A1785" s="7" t="s">
        <x:v>5488</x:v>
      </x:c>
      <x:c r="B1785" s="7" t="s">
        <x:v>437</x:v>
      </x:c>
      <x:c r="C1785" s="7" t="s">
        <x:v>1440</x:v>
      </x:c>
      <x:c r="D1785" s="7" t="s">
        <x:v>5422</x:v>
      </x:c>
      <x:c r="E1785" s="7" t="s">
        <x:v>5489</x:v>
      </x:c>
      <x:c r="F1785" s="7" t="s">
        <x:v>5424</x:v>
      </x:c>
      <x:c r="G1785" s="8" t="n">
        <x:v>520942</x:v>
      </x:c>
      <x:c r="H1785" s="8" t="s">
        <x:v>58</x:v>
      </x:c>
      <x:c r="I1785" s="8" t="s">
        <x:v>58</x:v>
      </x:c>
      <x:c r="J1785" s="7" t="s">
        <x:v>1919</x:v>
      </x:c>
      <x:c r="K1785" s="8" t="n">
        <x:v>1</x:v>
      </x:c>
      <x:c r="L1785" s="8" t="n">
        <x:f aca="0">IF(AND(ISNUMBER(G1785),P1785&lt;&gt;"Unresolved unit / layout"),G1785*K1785,"Not applicable")</x:f>
        <x:v>520942</x:v>
      </x:c>
      <x:c r="M1785" s="8" t="str">
        <x:f aca="0">IF(AND(ISNUMBER(H1785),P1785&lt;&gt;"Unresolved unit / layout"),H1785*K1785,"Not applicable")</x:f>
        <x:v>Not applicable</x:v>
      </x:c>
      <x:c r="N1785" s="8" t="str">
        <x:f aca="0">IF(AND(ISNUMBER(I1785),P1785&lt;&gt;"Unresolved unit / layout"),I1785*K1785,"Not applicable")</x:f>
        <x:v>Not applicable</x:v>
      </x:c>
      <x:c r="O1785" s="7" t="s">
        <x:v>5424</x:v>
      </x:c>
      <x:c r="P1785" s="7" t="s">
        <x:v>1921</x:v>
      </x:c>
      <x:c r="Q1785" s="7" t="s">
        <x:v>1930</x:v>
      </x:c>
      <x:c r="R1785" s="7" t="s">
        <x:v>1931</x:v>
      </x:c>
      <x:c r="S1785" s="7" t="s">
        <x:v>53</x:v>
      </x:c>
      <x:c r="T1785" s="7" t="s">
        <x:v>53</x:v>
      </x:c>
      <x:c r="U1785" s="7" t="s">
        <x:v>487</x:v>
      </x:c>
      <x:c r="V1785" s="7" t="s">
        <x:v>5425</x:v>
      </x:c>
      <x:c r="W1785" s="7" t="s">
        <x:v>58</x:v>
      </x:c>
      <x:c r="X1785" s="7" t="s">
        <x:v>5486</x:v>
      </x:c>
      <x:c r="Y1785" s="7" t="s">
        <x:v>1437</x:v>
      </x:c>
      <x:c r="Z1785" s="7" t="s">
        <x:v>5490</x:v>
      </x:c>
      <x:c r="AA1785" s="7" t="s">
        <x:v>5428</x:v>
      </x:c>
      <x:c r="AB1785" s="8" t="n">
        <x:v>4.27</x:v>
      </x:c>
      <x:c r="AC1785" s="8" t="n">
        <x:v>0.21</x:v>
      </x:c>
      <x:c r="AD1785" s="8" t="n">
        <x:v>2.03</x:v>
      </x:c>
      <x:c r="AE1785" s="8" t="n">
        <x:v>10</x:v>
      </x:c>
      <x:c r="AF1785" s="8" t="n">
        <x:v>0.05</x:v>
      </x:c>
      <x:c r="AG1785" s="11" t="b">
        <x:f aca="0">FALSE()</x:f>
        <x:v>0</x:v>
      </x:c>
    </x:row>
    <x:row r="1786" ht="51.75" hidden="0" customHeight="1">
      <x:c r="A1786" s="7" t="s">
        <x:v>5491</x:v>
      </x:c>
      <x:c r="B1786" s="7" t="s">
        <x:v>437</x:v>
      </x:c>
      <x:c r="C1786" s="7" t="s">
        <x:v>1440</x:v>
      </x:c>
      <x:c r="D1786" s="7" t="s">
        <x:v>5422</x:v>
      </x:c>
      <x:c r="E1786" s="7" t="s">
        <x:v>5492</x:v>
      </x:c>
      <x:c r="F1786" s="7" t="s">
        <x:v>5424</x:v>
      </x:c>
      <x:c r="G1786" s="8" t="n">
        <x:v>299132</x:v>
      </x:c>
      <x:c r="H1786" s="8" t="s">
        <x:v>58</x:v>
      </x:c>
      <x:c r="I1786" s="8" t="s">
        <x:v>58</x:v>
      </x:c>
      <x:c r="J1786" s="7" t="s">
        <x:v>1919</x:v>
      </x:c>
      <x:c r="K1786" s="8" t="n">
        <x:v>1</x:v>
      </x:c>
      <x:c r="L1786" s="8" t="n">
        <x:f aca="0">IF(AND(ISNUMBER(G1786),P1786&lt;&gt;"Unresolved unit / layout"),G1786*K1786,"Not applicable")</x:f>
        <x:v>299132</x:v>
      </x:c>
      <x:c r="M1786" s="8" t="str">
        <x:f aca="0">IF(AND(ISNUMBER(H1786),P1786&lt;&gt;"Unresolved unit / layout"),H1786*K1786,"Not applicable")</x:f>
        <x:v>Not applicable</x:v>
      </x:c>
      <x:c r="N1786" s="8" t="str">
        <x:f aca="0">IF(AND(ISNUMBER(I1786),P1786&lt;&gt;"Unresolved unit / layout"),I1786*K1786,"Not applicable")</x:f>
        <x:v>Not applicable</x:v>
      </x:c>
      <x:c r="O1786" s="7" t="s">
        <x:v>5424</x:v>
      </x:c>
      <x:c r="P1786" s="7" t="s">
        <x:v>1921</x:v>
      </x:c>
      <x:c r="Q1786" s="7" t="s">
        <x:v>1930</x:v>
      </x:c>
      <x:c r="R1786" s="7" t="s">
        <x:v>1931</x:v>
      </x:c>
      <x:c r="S1786" s="7" t="s">
        <x:v>53</x:v>
      </x:c>
      <x:c r="T1786" s="7" t="s">
        <x:v>53</x:v>
      </x:c>
      <x:c r="U1786" s="7" t="s">
        <x:v>487</x:v>
      </x:c>
      <x:c r="V1786" s="7" t="s">
        <x:v>5425</x:v>
      </x:c>
      <x:c r="W1786" s="7" t="s">
        <x:v>58</x:v>
      </x:c>
      <x:c r="X1786" s="7" t="s">
        <x:v>5482</x:v>
      </x:c>
      <x:c r="Y1786" s="7" t="s">
        <x:v>1437</x:v>
      </x:c>
      <x:c r="Z1786" s="7" t="s">
        <x:v>5493</x:v>
      </x:c>
      <x:c r="AA1786" s="7" t="s">
        <x:v>5428</x:v>
      </x:c>
      <x:c r="AB1786" s="8" t="n">
        <x:v>4.8</x:v>
      </x:c>
      <x:c r="AC1786" s="8" t="n">
        <x:v>0.24</x:v>
      </x:c>
      <x:c r="AD1786" s="8" t="n">
        <x:v>2.28</x:v>
      </x:c>
      <x:c r="AE1786" s="8" t="n">
        <x:v>10</x:v>
      </x:c>
      <x:c r="AF1786" s="8" t="n">
        <x:v>0.05</x:v>
      </x:c>
      <x:c r="AG1786" s="11" t="b">
        <x:f aca="0">FALSE()</x:f>
        <x:v>0</x:v>
      </x:c>
    </x:row>
    <x:row r="1787" ht="51.75" hidden="0" customHeight="1">
      <x:c r="A1787" s="7" t="s">
        <x:v>5494</x:v>
      </x:c>
      <x:c r="B1787" s="7" t="s">
        <x:v>437</x:v>
      </x:c>
      <x:c r="C1787" s="7" t="s">
        <x:v>1440</x:v>
      </x:c>
      <x:c r="D1787" s="7" t="s">
        <x:v>5422</x:v>
      </x:c>
      <x:c r="E1787" s="7" t="s">
        <x:v>5495</x:v>
      </x:c>
      <x:c r="F1787" s="7" t="s">
        <x:v>5424</x:v>
      </x:c>
      <x:c r="G1787" s="8" t="n">
        <x:v>600516</x:v>
      </x:c>
      <x:c r="H1787" s="8" t="s">
        <x:v>58</x:v>
      </x:c>
      <x:c r="I1787" s="8" t="s">
        <x:v>58</x:v>
      </x:c>
      <x:c r="J1787" s="7" t="s">
        <x:v>1919</x:v>
      </x:c>
      <x:c r="K1787" s="8" t="n">
        <x:v>1</x:v>
      </x:c>
      <x:c r="L1787" s="8" t="n">
        <x:f aca="0">IF(AND(ISNUMBER(G1787),P1787&lt;&gt;"Unresolved unit / layout"),G1787*K1787,"Not applicable")</x:f>
        <x:v>600516</x:v>
      </x:c>
      <x:c r="M1787" s="8" t="str">
        <x:f aca="0">IF(AND(ISNUMBER(H1787),P1787&lt;&gt;"Unresolved unit / layout"),H1787*K1787,"Not applicable")</x:f>
        <x:v>Not applicable</x:v>
      </x:c>
      <x:c r="N1787" s="8" t="str">
        <x:f aca="0">IF(AND(ISNUMBER(I1787),P1787&lt;&gt;"Unresolved unit / layout"),I1787*K1787,"Not applicable")</x:f>
        <x:v>Not applicable</x:v>
      </x:c>
      <x:c r="O1787" s="7" t="s">
        <x:v>5424</x:v>
      </x:c>
      <x:c r="P1787" s="7" t="s">
        <x:v>1921</x:v>
      </x:c>
      <x:c r="Q1787" s="7" t="s">
        <x:v>1930</x:v>
      </x:c>
      <x:c r="R1787" s="7" t="s">
        <x:v>1931</x:v>
      </x:c>
      <x:c r="S1787" s="7" t="s">
        <x:v>53</x:v>
      </x:c>
      <x:c r="T1787" s="7" t="s">
        <x:v>53</x:v>
      </x:c>
      <x:c r="U1787" s="7" t="s">
        <x:v>487</x:v>
      </x:c>
      <x:c r="V1787" s="7" t="s">
        <x:v>5425</x:v>
      </x:c>
      <x:c r="W1787" s="7" t="s">
        <x:v>58</x:v>
      </x:c>
      <x:c r="X1787" s="7" t="s">
        <x:v>5496</x:v>
      </x:c>
      <x:c r="Y1787" s="7" t="s">
        <x:v>1437</x:v>
      </x:c>
      <x:c r="Z1787" s="7" t="s">
        <x:v>5497</x:v>
      </x:c>
      <x:c r="AA1787" s="7" t="s">
        <x:v>5428</x:v>
      </x:c>
      <x:c r="AB1787" s="8" t="n">
        <x:v>4.54</x:v>
      </x:c>
      <x:c r="AC1787" s="8" t="n">
        <x:v>0.23</x:v>
      </x:c>
      <x:c r="AD1787" s="8" t="n">
        <x:v>2.16</x:v>
      </x:c>
      <x:c r="AE1787" s="8" t="n">
        <x:v>10</x:v>
      </x:c>
      <x:c r="AF1787" s="8" t="n">
        <x:v>0.05</x:v>
      </x:c>
      <x:c r="AG1787" s="11" t="b">
        <x:f aca="0">FALSE()</x:f>
        <x:v>0</x:v>
      </x:c>
    </x:row>
    <x:row r="1788" ht="51.75" hidden="0" customHeight="1">
      <x:c r="A1788" s="7" t="s">
        <x:v>5498</x:v>
      </x:c>
      <x:c r="B1788" s="7" t="s">
        <x:v>616</x:v>
      </x:c>
      <x:c r="C1788" s="7" t="s">
        <x:v>1443</x:v>
      </x:c>
      <x:c r="D1788" s="7" t="s">
        <x:v>5422</x:v>
      </x:c>
      <x:c r="E1788" s="7" t="s">
        <x:v>5499</x:v>
      </x:c>
      <x:c r="F1788" s="7" t="s">
        <x:v>5424</x:v>
      </x:c>
      <x:c r="G1788" s="8" t="n">
        <x:v>1121</x:v>
      </x:c>
      <x:c r="H1788" s="8" t="s">
        <x:v>58</x:v>
      </x:c>
      <x:c r="I1788" s="8" t="s">
        <x:v>58</x:v>
      </x:c>
      <x:c r="J1788" s="7" t="s">
        <x:v>1919</x:v>
      </x:c>
      <x:c r="K1788" s="8" t="n">
        <x:v>1</x:v>
      </x:c>
      <x:c r="L1788" s="8" t="n">
        <x:f aca="0">IF(AND(ISNUMBER(G1788),P1788&lt;&gt;"Unresolved unit / layout"),G1788*K1788,"Not applicable")</x:f>
        <x:v>1121</x:v>
      </x:c>
      <x:c r="M1788" s="8" t="str">
        <x:f aca="0">IF(AND(ISNUMBER(H1788),P1788&lt;&gt;"Unresolved unit / layout"),H1788*K1788,"Not applicable")</x:f>
        <x:v>Not applicable</x:v>
      </x:c>
      <x:c r="N1788" s="8" t="str">
        <x:f aca="0">IF(AND(ISNUMBER(I1788),P1788&lt;&gt;"Unresolved unit / layout"),I1788*K1788,"Not applicable")</x:f>
        <x:v>Not applicable</x:v>
      </x:c>
      <x:c r="O1788" s="7" t="s">
        <x:v>5424</x:v>
      </x:c>
      <x:c r="P1788" s="7" t="s">
        <x:v>1921</x:v>
      </x:c>
      <x:c r="Q1788" s="7" t="s">
        <x:v>1930</x:v>
      </x:c>
      <x:c r="R1788" s="7" t="s">
        <x:v>1931</x:v>
      </x:c>
      <x:c r="S1788" s="7" t="s">
        <x:v>53</x:v>
      </x:c>
      <x:c r="T1788" s="7" t="s">
        <x:v>53</x:v>
      </x:c>
      <x:c r="U1788" s="7" t="s">
        <x:v>487</x:v>
      </x:c>
      <x:c r="V1788" s="7" t="s">
        <x:v>5425</x:v>
      </x:c>
      <x:c r="W1788" s="7" t="s">
        <x:v>58</x:v>
      </x:c>
      <x:c r="X1788" s="7" t="s">
        <x:v>5500</x:v>
      </x:c>
      <x:c r="Y1788" s="7" t="s">
        <x:v>1437</x:v>
      </x:c>
      <x:c r="Z1788" s="7" t="s">
        <x:v>5501</x:v>
      </x:c>
      <x:c r="AA1788" s="7" t="s">
        <x:v>5428</x:v>
      </x:c>
      <x:c r="AB1788" s="8" t="n">
        <x:v>39.18</x:v>
      </x:c>
      <x:c r="AC1788" s="8" t="n">
        <x:v>1.96</x:v>
      </x:c>
      <x:c r="AD1788" s="8" t="n">
        <x:v>18.61</x:v>
      </x:c>
      <x:c r="AE1788" s="8" t="n">
        <x:v>10</x:v>
      </x:c>
      <x:c r="AF1788" s="8" t="n">
        <x:v>0.05</x:v>
      </x:c>
      <x:c r="AG1788" s="11" t="b">
        <x:f aca="0">FALSE()</x:f>
        <x:v>0</x:v>
      </x:c>
    </x:row>
    <x:row r="1789" ht="51.75" hidden="0" customHeight="1">
      <x:c r="A1789" s="7" t="s">
        <x:v>5502</x:v>
      </x:c>
      <x:c r="B1789" s="7" t="s">
        <x:v>616</x:v>
      </x:c>
      <x:c r="C1789" s="7" t="s">
        <x:v>1443</x:v>
      </x:c>
      <x:c r="D1789" s="7" t="s">
        <x:v>5422</x:v>
      </x:c>
      <x:c r="E1789" s="7" t="s">
        <x:v>5503</x:v>
      </x:c>
      <x:c r="F1789" s="7" t="s">
        <x:v>5424</x:v>
      </x:c>
      <x:c r="G1789" s="8" t="n">
        <x:v>29657</x:v>
      </x:c>
      <x:c r="H1789" s="8" t="s">
        <x:v>58</x:v>
      </x:c>
      <x:c r="I1789" s="8" t="s">
        <x:v>58</x:v>
      </x:c>
      <x:c r="J1789" s="7" t="s">
        <x:v>1919</x:v>
      </x:c>
      <x:c r="K1789" s="8" t="n">
        <x:v>1</x:v>
      </x:c>
      <x:c r="L1789" s="8" t="n">
        <x:f aca="0">IF(AND(ISNUMBER(G1789),P1789&lt;&gt;"Unresolved unit / layout"),G1789*K1789,"Not applicable")</x:f>
        <x:v>29657</x:v>
      </x:c>
      <x:c r="M1789" s="8" t="str">
        <x:f aca="0">IF(AND(ISNUMBER(H1789),P1789&lt;&gt;"Unresolved unit / layout"),H1789*K1789,"Not applicable")</x:f>
        <x:v>Not applicable</x:v>
      </x:c>
      <x:c r="N1789" s="8" t="str">
        <x:f aca="0">IF(AND(ISNUMBER(I1789),P1789&lt;&gt;"Unresolved unit / layout"),I1789*K1789,"Not applicable")</x:f>
        <x:v>Not applicable</x:v>
      </x:c>
      <x:c r="O1789" s="7" t="s">
        <x:v>5424</x:v>
      </x:c>
      <x:c r="P1789" s="7" t="s">
        <x:v>1921</x:v>
      </x:c>
      <x:c r="Q1789" s="7" t="s">
        <x:v>1930</x:v>
      </x:c>
      <x:c r="R1789" s="7" t="s">
        <x:v>1931</x:v>
      </x:c>
      <x:c r="S1789" s="7" t="s">
        <x:v>53</x:v>
      </x:c>
      <x:c r="T1789" s="7" t="s">
        <x:v>53</x:v>
      </x:c>
      <x:c r="U1789" s="7" t="s">
        <x:v>487</x:v>
      </x:c>
      <x:c r="V1789" s="7" t="s">
        <x:v>5425</x:v>
      </x:c>
      <x:c r="W1789" s="7" t="s">
        <x:v>58</x:v>
      </x:c>
      <x:c r="X1789" s="7" t="s">
        <x:v>5504</x:v>
      </x:c>
      <x:c r="Y1789" s="7" t="s">
        <x:v>1437</x:v>
      </x:c>
      <x:c r="Z1789" s="7" t="s">
        <x:v>5505</x:v>
      </x:c>
      <x:c r="AA1789" s="7" t="s">
        <x:v>5428</x:v>
      </x:c>
      <x:c r="AB1789" s="8" t="n">
        <x:v>18.44</x:v>
      </x:c>
      <x:c r="AC1789" s="8" t="n">
        <x:v>0.92</x:v>
      </x:c>
      <x:c r="AD1789" s="8" t="n">
        <x:v>8.76</x:v>
      </x:c>
      <x:c r="AE1789" s="8" t="n">
        <x:v>10</x:v>
      </x:c>
      <x:c r="AF1789" s="8" t="n">
        <x:v>0.05</x:v>
      </x:c>
      <x:c r="AG1789" s="11" t="b">
        <x:f aca="0">FALSE()</x:f>
        <x:v>0</x:v>
      </x:c>
    </x:row>
    <x:row r="1790" ht="51.75" hidden="0" customHeight="1">
      <x:c r="A1790" s="7" t="s">
        <x:v>5506</x:v>
      </x:c>
      <x:c r="B1790" s="7" t="s">
        <x:v>616</x:v>
      </x:c>
      <x:c r="C1790" s="7" t="s">
        <x:v>1443</x:v>
      </x:c>
      <x:c r="D1790" s="7" t="s">
        <x:v>5422</x:v>
      </x:c>
      <x:c r="E1790" s="7" t="s">
        <x:v>5507</x:v>
      </x:c>
      <x:c r="F1790" s="7" t="s">
        <x:v>5424</x:v>
      </x:c>
      <x:c r="G1790" s="8" t="n">
        <x:v>429098</x:v>
      </x:c>
      <x:c r="H1790" s="8" t="s">
        <x:v>58</x:v>
      </x:c>
      <x:c r="I1790" s="8" t="s">
        <x:v>58</x:v>
      </x:c>
      <x:c r="J1790" s="7" t="s">
        <x:v>1919</x:v>
      </x:c>
      <x:c r="K1790" s="8" t="n">
        <x:v>1</x:v>
      </x:c>
      <x:c r="L1790" s="8" t="n">
        <x:f aca="0">IF(AND(ISNUMBER(G1790),P1790&lt;&gt;"Unresolved unit / layout"),G1790*K1790,"Not applicable")</x:f>
        <x:v>429098</x:v>
      </x:c>
      <x:c r="M1790" s="8" t="str">
        <x:f aca="0">IF(AND(ISNUMBER(H1790),P1790&lt;&gt;"Unresolved unit / layout"),H1790*K1790,"Not applicable")</x:f>
        <x:v>Not applicable</x:v>
      </x:c>
      <x:c r="N1790" s="8" t="str">
        <x:f aca="0">IF(AND(ISNUMBER(I1790),P1790&lt;&gt;"Unresolved unit / layout"),I1790*K1790,"Not applicable")</x:f>
        <x:v>Not applicable</x:v>
      </x:c>
      <x:c r="O1790" s="7" t="s">
        <x:v>5424</x:v>
      </x:c>
      <x:c r="P1790" s="7" t="s">
        <x:v>1921</x:v>
      </x:c>
      <x:c r="Q1790" s="7" t="s">
        <x:v>1930</x:v>
      </x:c>
      <x:c r="R1790" s="7" t="s">
        <x:v>1931</x:v>
      </x:c>
      <x:c r="S1790" s="7" t="s">
        <x:v>53</x:v>
      </x:c>
      <x:c r="T1790" s="7" t="s">
        <x:v>53</x:v>
      </x:c>
      <x:c r="U1790" s="7" t="s">
        <x:v>487</x:v>
      </x:c>
      <x:c r="V1790" s="7" t="s">
        <x:v>5425</x:v>
      </x:c>
      <x:c r="W1790" s="7" t="s">
        <x:v>58</x:v>
      </x:c>
      <x:c r="X1790" s="7" t="s">
        <x:v>5508</x:v>
      </x:c>
      <x:c r="Y1790" s="7" t="s">
        <x:v>1437</x:v>
      </x:c>
      <x:c r="Z1790" s="7" t="s">
        <x:v>5509</x:v>
      </x:c>
      <x:c r="AA1790" s="7" t="s">
        <x:v>5428</x:v>
      </x:c>
      <x:c r="AB1790" s="8" t="n">
        <x:v>9.22</x:v>
      </x:c>
      <x:c r="AC1790" s="8" t="n">
        <x:v>0.46</x:v>
      </x:c>
      <x:c r="AD1790" s="8" t="n">
        <x:v>4.38</x:v>
      </x:c>
      <x:c r="AE1790" s="8" t="n">
        <x:v>10</x:v>
      </x:c>
      <x:c r="AF1790" s="8" t="n">
        <x:v>0.05</x:v>
      </x:c>
      <x:c r="AG1790" s="11" t="b">
        <x:f aca="0">FALSE()</x:f>
        <x:v>0</x:v>
      </x:c>
    </x:row>
    <x:row r="1791" ht="51.75" hidden="0" customHeight="1">
      <x:c r="A1791" s="7" t="s">
        <x:v>5510</x:v>
      </x:c>
      <x:c r="B1791" s="7" t="s">
        <x:v>616</x:v>
      </x:c>
      <x:c r="C1791" s="7" t="s">
        <x:v>1443</x:v>
      </x:c>
      <x:c r="D1791" s="7" t="s">
        <x:v>5422</x:v>
      </x:c>
      <x:c r="E1791" s="7" t="s">
        <x:v>5438</x:v>
      </x:c>
      <x:c r="F1791" s="7" t="s">
        <x:v>5424</x:v>
      </x:c>
      <x:c r="G1791" s="8" t="n">
        <x:v>1000000</x:v>
      </x:c>
      <x:c r="H1791" s="8" t="s">
        <x:v>58</x:v>
      </x:c>
      <x:c r="I1791" s="8" t="s">
        <x:v>58</x:v>
      </x:c>
      <x:c r="J1791" s="7" t="s">
        <x:v>1919</x:v>
      </x:c>
      <x:c r="K1791" s="8" t="n">
        <x:v>1</x:v>
      </x:c>
      <x:c r="L1791" s="8" t="n">
        <x:f aca="0">IF(AND(ISNUMBER(G1791),P1791&lt;&gt;"Unresolved unit / layout"),G1791*K1791,"Not applicable")</x:f>
        <x:v>1000000</x:v>
      </x:c>
      <x:c r="M1791" s="8" t="str">
        <x:f aca="0">IF(AND(ISNUMBER(H1791),P1791&lt;&gt;"Unresolved unit / layout"),H1791*K1791,"Not applicable")</x:f>
        <x:v>Not applicable</x:v>
      </x:c>
      <x:c r="N1791" s="8" t="str">
        <x:f aca="0">IF(AND(ISNUMBER(I1791),P1791&lt;&gt;"Unresolved unit / layout"),I1791*K1791,"Not applicable")</x:f>
        <x:v>Not applicable</x:v>
      </x:c>
      <x:c r="O1791" s="7" t="s">
        <x:v>5424</x:v>
      </x:c>
      <x:c r="P1791" s="7" t="s">
        <x:v>1921</x:v>
      </x:c>
      <x:c r="Q1791" s="7" t="s">
        <x:v>1930</x:v>
      </x:c>
      <x:c r="R1791" s="7" t="s">
        <x:v>1931</x:v>
      </x:c>
      <x:c r="S1791" s="7" t="s">
        <x:v>53</x:v>
      </x:c>
      <x:c r="T1791" s="7" t="s">
        <x:v>53</x:v>
      </x:c>
      <x:c r="U1791" s="7" t="s">
        <x:v>487</x:v>
      </x:c>
      <x:c r="V1791" s="7" t="s">
        <x:v>5425</x:v>
      </x:c>
      <x:c r="W1791" s="7" t="s">
        <x:v>58</x:v>
      </x:c>
      <x:c r="X1791" s="7" t="s">
        <x:v>5511</x:v>
      </x:c>
      <x:c r="Y1791" s="7" t="s">
        <x:v>1437</x:v>
      </x:c>
      <x:c r="Z1791" s="7" t="s">
        <x:v>5512</x:v>
      </x:c>
      <x:c r="AA1791" s="7" t="s">
        <x:v>5428</x:v>
      </x:c>
      <x:c r="AB1791" s="8" t="n">
        <x:v>4.61</x:v>
      </x:c>
      <x:c r="AC1791" s="8" t="n">
        <x:v>0.23</x:v>
      </x:c>
      <x:c r="AD1791" s="8" t="n">
        <x:v>2.19</x:v>
      </x:c>
      <x:c r="AE1791" s="8" t="n">
        <x:v>10</x:v>
      </x:c>
      <x:c r="AF1791" s="8" t="n">
        <x:v>0.05</x:v>
      </x:c>
      <x:c r="AG1791" s="11" t="b">
        <x:f aca="0">TRUE()</x:f>
        <x:v>1</x:v>
      </x:c>
    </x:row>
    <x:row r="1792" ht="51.75" hidden="0" customHeight="1">
      <x:c r="A1792" s="7" t="s">
        <x:v>5513</x:v>
      </x:c>
      <x:c r="B1792" s="7" t="s">
        <x:v>616</x:v>
      </x:c>
      <x:c r="C1792" s="7" t="s">
        <x:v>1443</x:v>
      </x:c>
      <x:c r="D1792" s="7" t="s">
        <x:v>5422</x:v>
      </x:c>
      <x:c r="E1792" s="7" t="s">
        <x:v>5438</x:v>
      </x:c>
      <x:c r="F1792" s="7" t="s">
        <x:v>5424</x:v>
      </x:c>
      <x:c r="G1792" s="8" t="n">
        <x:v>1000000</x:v>
      </x:c>
      <x:c r="H1792" s="8" t="s">
        <x:v>58</x:v>
      </x:c>
      <x:c r="I1792" s="8" t="s">
        <x:v>58</x:v>
      </x:c>
      <x:c r="J1792" s="7" t="s">
        <x:v>1919</x:v>
      </x:c>
      <x:c r="K1792" s="8" t="n">
        <x:v>1</x:v>
      </x:c>
      <x:c r="L1792" s="8" t="n">
        <x:f aca="0">IF(AND(ISNUMBER(G1792),P1792&lt;&gt;"Unresolved unit / layout"),G1792*K1792,"Not applicable")</x:f>
        <x:v>1000000</x:v>
      </x:c>
      <x:c r="M1792" s="8" t="str">
        <x:f aca="0">IF(AND(ISNUMBER(H1792),P1792&lt;&gt;"Unresolved unit / layout"),H1792*K1792,"Not applicable")</x:f>
        <x:v>Not applicable</x:v>
      </x:c>
      <x:c r="N1792" s="8" t="str">
        <x:f aca="0">IF(AND(ISNUMBER(I1792),P1792&lt;&gt;"Unresolved unit / layout"),I1792*K1792,"Not applicable")</x:f>
        <x:v>Not applicable</x:v>
      </x:c>
      <x:c r="O1792" s="7" t="s">
        <x:v>5424</x:v>
      </x:c>
      <x:c r="P1792" s="7" t="s">
        <x:v>1921</x:v>
      </x:c>
      <x:c r="Q1792" s="7" t="s">
        <x:v>1930</x:v>
      </x:c>
      <x:c r="R1792" s="7" t="s">
        <x:v>1931</x:v>
      </x:c>
      <x:c r="S1792" s="7" t="s">
        <x:v>53</x:v>
      </x:c>
      <x:c r="T1792" s="7" t="s">
        <x:v>53</x:v>
      </x:c>
      <x:c r="U1792" s="7" t="s">
        <x:v>487</x:v>
      </x:c>
      <x:c r="V1792" s="7" t="s">
        <x:v>5425</x:v>
      </x:c>
      <x:c r="W1792" s="7" t="s">
        <x:v>58</x:v>
      </x:c>
      <x:c r="X1792" s="7" t="s">
        <x:v>5514</x:v>
      </x:c>
      <x:c r="Y1792" s="7" t="s">
        <x:v>1437</x:v>
      </x:c>
      <x:c r="Z1792" s="7" t="s">
        <x:v>5515</x:v>
      </x:c>
      <x:c r="AA1792" s="7" t="s">
        <x:v>5428</x:v>
      </x:c>
      <x:c r="AB1792" s="8" t="n">
        <x:v>6.91</x:v>
      </x:c>
      <x:c r="AC1792" s="8" t="n">
        <x:v>0.35</x:v>
      </x:c>
      <x:c r="AD1792" s="8" t="n">
        <x:v>3.28</x:v>
      </x:c>
      <x:c r="AE1792" s="8" t="n">
        <x:v>10</x:v>
      </x:c>
      <x:c r="AF1792" s="8" t="n">
        <x:v>0.05</x:v>
      </x:c>
      <x:c r="AG1792" s="11" t="b">
        <x:f aca="0">TRUE()</x:f>
        <x:v>1</x:v>
      </x:c>
    </x:row>
    <x:row r="1793" ht="51.75" hidden="0" customHeight="1">
      <x:c r="A1793" s="7" t="s">
        <x:v>5516</x:v>
      </x:c>
      <x:c r="B1793" s="7" t="s">
        <x:v>616</x:v>
      </x:c>
      <x:c r="C1793" s="7" t="s">
        <x:v>1443</x:v>
      </x:c>
      <x:c r="D1793" s="7" t="s">
        <x:v>5422</x:v>
      </x:c>
      <x:c r="E1793" s="7" t="s">
        <x:v>5438</x:v>
      </x:c>
      <x:c r="F1793" s="7" t="s">
        <x:v>5424</x:v>
      </x:c>
      <x:c r="G1793" s="8" t="n">
        <x:v>1000000</x:v>
      </x:c>
      <x:c r="H1793" s="8" t="s">
        <x:v>58</x:v>
      </x:c>
      <x:c r="I1793" s="8" t="s">
        <x:v>58</x:v>
      </x:c>
      <x:c r="J1793" s="7" t="s">
        <x:v>1919</x:v>
      </x:c>
      <x:c r="K1793" s="8" t="n">
        <x:v>1</x:v>
      </x:c>
      <x:c r="L1793" s="8" t="n">
        <x:f aca="0">IF(AND(ISNUMBER(G1793),P1793&lt;&gt;"Unresolved unit / layout"),G1793*K1793,"Not applicable")</x:f>
        <x:v>1000000</x:v>
      </x:c>
      <x:c r="M1793" s="8" t="str">
        <x:f aca="0">IF(AND(ISNUMBER(H1793),P1793&lt;&gt;"Unresolved unit / layout"),H1793*K1793,"Not applicable")</x:f>
        <x:v>Not applicable</x:v>
      </x:c>
      <x:c r="N1793" s="8" t="str">
        <x:f aca="0">IF(AND(ISNUMBER(I1793),P1793&lt;&gt;"Unresolved unit / layout"),I1793*K1793,"Not applicable")</x:f>
        <x:v>Not applicable</x:v>
      </x:c>
      <x:c r="O1793" s="7" t="s">
        <x:v>5424</x:v>
      </x:c>
      <x:c r="P1793" s="7" t="s">
        <x:v>1921</x:v>
      </x:c>
      <x:c r="Q1793" s="7" t="s">
        <x:v>1930</x:v>
      </x:c>
      <x:c r="R1793" s="7" t="s">
        <x:v>1931</x:v>
      </x:c>
      <x:c r="S1793" s="7" t="s">
        <x:v>53</x:v>
      </x:c>
      <x:c r="T1793" s="7" t="s">
        <x:v>53</x:v>
      </x:c>
      <x:c r="U1793" s="7" t="s">
        <x:v>487</x:v>
      </x:c>
      <x:c r="V1793" s="7" t="s">
        <x:v>5425</x:v>
      </x:c>
      <x:c r="W1793" s="7" t="s">
        <x:v>58</x:v>
      </x:c>
      <x:c r="X1793" s="7" t="s">
        <x:v>5517</x:v>
      </x:c>
      <x:c r="Y1793" s="7" t="s">
        <x:v>1437</x:v>
      </x:c>
      <x:c r="Z1793" s="7" t="s">
        <x:v>5518</x:v>
      </x:c>
      <x:c r="AA1793" s="7" t="s">
        <x:v>5428</x:v>
      </x:c>
      <x:c r="AB1793" s="8" t="n">
        <x:v>7.84</x:v>
      </x:c>
      <x:c r="AC1793" s="8" t="n">
        <x:v>0.39</x:v>
      </x:c>
      <x:c r="AD1793" s="8" t="n">
        <x:v>3.72</x:v>
      </x:c>
      <x:c r="AE1793" s="8" t="n">
        <x:v>10</x:v>
      </x:c>
      <x:c r="AF1793" s="8" t="n">
        <x:v>0.05</x:v>
      </x:c>
      <x:c r="AG1793" s="11" t="b">
        <x:f aca="0">TRUE()</x:f>
        <x:v>1</x:v>
      </x:c>
    </x:row>
    <x:row r="1794" ht="51.75" hidden="0" customHeight="1">
      <x:c r="A1794" s="7" t="s">
        <x:v>5519</x:v>
      </x:c>
      <x:c r="B1794" s="7" t="s">
        <x:v>616</x:v>
      </x:c>
      <x:c r="C1794" s="7" t="s">
        <x:v>1443</x:v>
      </x:c>
      <x:c r="D1794" s="7" t="s">
        <x:v>5422</x:v>
      </x:c>
      <x:c r="E1794" s="7" t="s">
        <x:v>5520</x:v>
      </x:c>
      <x:c r="F1794" s="7" t="s">
        <x:v>5424</x:v>
      </x:c>
      <x:c r="G1794" s="8" t="n">
        <x:v>658938</x:v>
      </x:c>
      <x:c r="H1794" s="8" t="s">
        <x:v>58</x:v>
      </x:c>
      <x:c r="I1794" s="8" t="s">
        <x:v>58</x:v>
      </x:c>
      <x:c r="J1794" s="7" t="s">
        <x:v>1919</x:v>
      </x:c>
      <x:c r="K1794" s="8" t="n">
        <x:v>1</x:v>
      </x:c>
      <x:c r="L1794" s="8" t="n">
        <x:f aca="0">IF(AND(ISNUMBER(G1794),P1794&lt;&gt;"Unresolved unit / layout"),G1794*K1794,"Not applicable")</x:f>
        <x:v>658938</x:v>
      </x:c>
      <x:c r="M1794" s="8" t="str">
        <x:f aca="0">IF(AND(ISNUMBER(H1794),P1794&lt;&gt;"Unresolved unit / layout"),H1794*K1794,"Not applicable")</x:f>
        <x:v>Not applicable</x:v>
      </x:c>
      <x:c r="N1794" s="8" t="str">
        <x:f aca="0">IF(AND(ISNUMBER(I1794),P1794&lt;&gt;"Unresolved unit / layout"),I1794*K1794,"Not applicable")</x:f>
        <x:v>Not applicable</x:v>
      </x:c>
      <x:c r="O1794" s="7" t="s">
        <x:v>5424</x:v>
      </x:c>
      <x:c r="P1794" s="7" t="s">
        <x:v>1921</x:v>
      </x:c>
      <x:c r="Q1794" s="7" t="s">
        <x:v>1930</x:v>
      </x:c>
      <x:c r="R1794" s="7" t="s">
        <x:v>1931</x:v>
      </x:c>
      <x:c r="S1794" s="7" t="s">
        <x:v>53</x:v>
      </x:c>
      <x:c r="T1794" s="7" t="s">
        <x:v>53</x:v>
      </x:c>
      <x:c r="U1794" s="7" t="s">
        <x:v>487</x:v>
      </x:c>
      <x:c r="V1794" s="7" t="s">
        <x:v>5425</x:v>
      </x:c>
      <x:c r="W1794" s="7" t="s">
        <x:v>58</x:v>
      </x:c>
      <x:c r="X1794" s="7" t="s">
        <x:v>5521</x:v>
      </x:c>
      <x:c r="Y1794" s="7" t="s">
        <x:v>1437</x:v>
      </x:c>
      <x:c r="Z1794" s="7" t="s">
        <x:v>5522</x:v>
      </x:c>
      <x:c r="AA1794" s="7" t="s">
        <x:v>5428</x:v>
      </x:c>
      <x:c r="AB1794" s="8" t="n">
        <x:v>8.76</x:v>
      </x:c>
      <x:c r="AC1794" s="8" t="n">
        <x:v>0.44</x:v>
      </x:c>
      <x:c r="AD1794" s="8" t="n">
        <x:v>4.16</x:v>
      </x:c>
      <x:c r="AE1794" s="8" t="n">
        <x:v>10</x:v>
      </x:c>
      <x:c r="AF1794" s="8" t="n">
        <x:v>0.05</x:v>
      </x:c>
      <x:c r="AG1794" s="11" t="b">
        <x:f aca="0">FALSE()</x:f>
        <x:v>0</x:v>
      </x:c>
    </x:row>
    <x:row r="1795" ht="51.75" hidden="0" customHeight="1">
      <x:c r="A1795" s="7" t="s">
        <x:v>5523</x:v>
      </x:c>
      <x:c r="B1795" s="7" t="s">
        <x:v>616</x:v>
      </x:c>
      <x:c r="C1795" s="7" t="s">
        <x:v>1443</x:v>
      </x:c>
      <x:c r="D1795" s="7" t="s">
        <x:v>5422</x:v>
      </x:c>
      <x:c r="E1795" s="7" t="s">
        <x:v>5524</x:v>
      </x:c>
      <x:c r="F1795" s="7" t="s">
        <x:v>5424</x:v>
      </x:c>
      <x:c r="G1795" s="8" t="n">
        <x:v>951076</x:v>
      </x:c>
      <x:c r="H1795" s="8" t="s">
        <x:v>58</x:v>
      </x:c>
      <x:c r="I1795" s="8" t="s">
        <x:v>58</x:v>
      </x:c>
      <x:c r="J1795" s="7" t="s">
        <x:v>1919</x:v>
      </x:c>
      <x:c r="K1795" s="8" t="n">
        <x:v>1</x:v>
      </x:c>
      <x:c r="L1795" s="8" t="n">
        <x:f aca="0">IF(AND(ISNUMBER(G1795),P1795&lt;&gt;"Unresolved unit / layout"),G1795*K1795,"Not applicable")</x:f>
        <x:v>951076</x:v>
      </x:c>
      <x:c r="M1795" s="8" t="str">
        <x:f aca="0">IF(AND(ISNUMBER(H1795),P1795&lt;&gt;"Unresolved unit / layout"),H1795*K1795,"Not applicable")</x:f>
        <x:v>Not applicable</x:v>
      </x:c>
      <x:c r="N1795" s="8" t="str">
        <x:f aca="0">IF(AND(ISNUMBER(I1795),P1795&lt;&gt;"Unresolved unit / layout"),I1795*K1795,"Not applicable")</x:f>
        <x:v>Not applicable</x:v>
      </x:c>
      <x:c r="O1795" s="7" t="s">
        <x:v>5424</x:v>
      </x:c>
      <x:c r="P1795" s="7" t="s">
        <x:v>1921</x:v>
      </x:c>
      <x:c r="Q1795" s="7" t="s">
        <x:v>1930</x:v>
      </x:c>
      <x:c r="R1795" s="7" t="s">
        <x:v>1931</x:v>
      </x:c>
      <x:c r="S1795" s="7" t="s">
        <x:v>53</x:v>
      </x:c>
      <x:c r="T1795" s="7" t="s">
        <x:v>53</x:v>
      </x:c>
      <x:c r="U1795" s="7" t="s">
        <x:v>487</x:v>
      </x:c>
      <x:c r="V1795" s="7" t="s">
        <x:v>5425</x:v>
      </x:c>
      <x:c r="W1795" s="7" t="s">
        <x:v>58</x:v>
      </x:c>
      <x:c r="X1795" s="7" t="s">
        <x:v>5525</x:v>
      </x:c>
      <x:c r="Y1795" s="7" t="s">
        <x:v>1437</x:v>
      </x:c>
      <x:c r="Z1795" s="7" t="s">
        <x:v>5526</x:v>
      </x:c>
      <x:c r="AA1795" s="7" t="s">
        <x:v>5428</x:v>
      </x:c>
      <x:c r="AB1795" s="8" t="n">
        <x:v>8.29</x:v>
      </x:c>
      <x:c r="AC1795" s="8" t="n">
        <x:v>0.42</x:v>
      </x:c>
      <x:c r="AD1795" s="8" t="n">
        <x:v>3.94</x:v>
      </x:c>
      <x:c r="AE1795" s="8" t="n">
        <x:v>10</x:v>
      </x:c>
      <x:c r="AF1795" s="8" t="n">
        <x:v>0.05</x:v>
      </x:c>
      <x:c r="AG1795" s="11" t="b">
        <x:f aca="0">FALSE()</x:f>
        <x:v>0</x:v>
      </x:c>
    </x:row>
    <x:row r="1796" ht="51.75" hidden="0" customHeight="1">
      <x:c r="A1796" s="7" t="s">
        <x:v>5527</x:v>
      </x:c>
      <x:c r="B1796" s="7" t="s">
        <x:v>616</x:v>
      </x:c>
      <x:c r="C1796" s="7" t="s">
        <x:v>1443</x:v>
      </x:c>
      <x:c r="D1796" s="7" t="s">
        <x:v>5422</x:v>
      </x:c>
      <x:c r="E1796" s="7" t="s">
        <x:v>5528</x:v>
      </x:c>
      <x:c r="F1796" s="7" t="s">
        <x:v>5424</x:v>
      </x:c>
      <x:c r="G1796" s="8" t="n">
        <x:v>647745</x:v>
      </x:c>
      <x:c r="H1796" s="8" t="s">
        <x:v>58</x:v>
      </x:c>
      <x:c r="I1796" s="8" t="s">
        <x:v>58</x:v>
      </x:c>
      <x:c r="J1796" s="7" t="s">
        <x:v>1919</x:v>
      </x:c>
      <x:c r="K1796" s="8" t="n">
        <x:v>1</x:v>
      </x:c>
      <x:c r="L1796" s="8" t="n">
        <x:f aca="0">IF(AND(ISNUMBER(G1796),P1796&lt;&gt;"Unresolved unit / layout"),G1796*K1796,"Not applicable")</x:f>
        <x:v>647745</x:v>
      </x:c>
      <x:c r="M1796" s="8" t="str">
        <x:f aca="0">IF(AND(ISNUMBER(H1796),P1796&lt;&gt;"Unresolved unit / layout"),H1796*K1796,"Not applicable")</x:f>
        <x:v>Not applicable</x:v>
      </x:c>
      <x:c r="N1796" s="8" t="str">
        <x:f aca="0">IF(AND(ISNUMBER(I1796),P1796&lt;&gt;"Unresolved unit / layout"),I1796*K1796,"Not applicable")</x:f>
        <x:v>Not applicable</x:v>
      </x:c>
      <x:c r="O1796" s="7" t="s">
        <x:v>5424</x:v>
      </x:c>
      <x:c r="P1796" s="7" t="s">
        <x:v>1921</x:v>
      </x:c>
      <x:c r="Q1796" s="7" t="s">
        <x:v>1930</x:v>
      </x:c>
      <x:c r="R1796" s="7" t="s">
        <x:v>1931</x:v>
      </x:c>
      <x:c r="S1796" s="7" t="s">
        <x:v>53</x:v>
      </x:c>
      <x:c r="T1796" s="7" t="s">
        <x:v>53</x:v>
      </x:c>
      <x:c r="U1796" s="7" t="s">
        <x:v>487</x:v>
      </x:c>
      <x:c r="V1796" s="7" t="s">
        <x:v>5425</x:v>
      </x:c>
      <x:c r="W1796" s="7" t="s">
        <x:v>58</x:v>
      </x:c>
      <x:c r="X1796" s="7" t="s">
        <x:v>5521</x:v>
      </x:c>
      <x:c r="Y1796" s="7" t="s">
        <x:v>1437</x:v>
      </x:c>
      <x:c r="Z1796" s="7" t="s">
        <x:v>5529</x:v>
      </x:c>
      <x:c r="AA1796" s="7" t="s">
        <x:v>5428</x:v>
      </x:c>
      <x:c r="AB1796" s="8" t="n">
        <x:v>8.76</x:v>
      </x:c>
      <x:c r="AC1796" s="8" t="n">
        <x:v>0.44</x:v>
      </x:c>
      <x:c r="AD1796" s="8" t="n">
        <x:v>4.16</x:v>
      </x:c>
      <x:c r="AE1796" s="8" t="n">
        <x:v>10</x:v>
      </x:c>
      <x:c r="AF1796" s="8" t="n">
        <x:v>0.05</x:v>
      </x:c>
      <x:c r="AG1796" s="11" t="b">
        <x:f aca="0">FALSE()</x:f>
        <x:v>0</x:v>
      </x:c>
    </x:row>
    <x:row r="1797" ht="51.75" hidden="0" customHeight="1">
      <x:c r="A1797" s="7" t="s">
        <x:v>5530</x:v>
      </x:c>
      <x:c r="B1797" s="7" t="s">
        <x:v>616</x:v>
      </x:c>
      <x:c r="C1797" s="7" t="s">
        <x:v>1443</x:v>
      </x:c>
      <x:c r="D1797" s="7" t="s">
        <x:v>5422</x:v>
      </x:c>
      <x:c r="E1797" s="7" t="s">
        <x:v>5531</x:v>
      </x:c>
      <x:c r="F1797" s="7" t="s">
        <x:v>5424</x:v>
      </x:c>
      <x:c r="G1797" s="8" t="n">
        <x:v>395066</x:v>
      </x:c>
      <x:c r="H1797" s="8" t="s">
        <x:v>58</x:v>
      </x:c>
      <x:c r="I1797" s="8" t="s">
        <x:v>58</x:v>
      </x:c>
      <x:c r="J1797" s="7" t="s">
        <x:v>1919</x:v>
      </x:c>
      <x:c r="K1797" s="8" t="n">
        <x:v>1</x:v>
      </x:c>
      <x:c r="L1797" s="8" t="n">
        <x:f aca="0">IF(AND(ISNUMBER(G1797),P1797&lt;&gt;"Unresolved unit / layout"),G1797*K1797,"Not applicable")</x:f>
        <x:v>395066</x:v>
      </x:c>
      <x:c r="M1797" s="8" t="str">
        <x:f aca="0">IF(AND(ISNUMBER(H1797),P1797&lt;&gt;"Unresolved unit / layout"),H1797*K1797,"Not applicable")</x:f>
        <x:v>Not applicable</x:v>
      </x:c>
      <x:c r="N1797" s="8" t="str">
        <x:f aca="0">IF(AND(ISNUMBER(I1797),P1797&lt;&gt;"Unresolved unit / layout"),I1797*K1797,"Not applicable")</x:f>
        <x:v>Not applicable</x:v>
      </x:c>
      <x:c r="O1797" s="7" t="s">
        <x:v>5424</x:v>
      </x:c>
      <x:c r="P1797" s="7" t="s">
        <x:v>1921</x:v>
      </x:c>
      <x:c r="Q1797" s="7" t="s">
        <x:v>1930</x:v>
      </x:c>
      <x:c r="R1797" s="7" t="s">
        <x:v>1931</x:v>
      </x:c>
      <x:c r="S1797" s="7" t="s">
        <x:v>53</x:v>
      </x:c>
      <x:c r="T1797" s="7" t="s">
        <x:v>53</x:v>
      </x:c>
      <x:c r="U1797" s="7" t="s">
        <x:v>487</x:v>
      </x:c>
      <x:c r="V1797" s="7" t="s">
        <x:v>5425</x:v>
      </x:c>
      <x:c r="W1797" s="7" t="s">
        <x:v>58</x:v>
      </x:c>
      <x:c r="X1797" s="7" t="s">
        <x:v>5508</x:v>
      </x:c>
      <x:c r="Y1797" s="7" t="s">
        <x:v>1437</x:v>
      </x:c>
      <x:c r="Z1797" s="7" t="s">
        <x:v>5532</x:v>
      </x:c>
      <x:c r="AA1797" s="7" t="s">
        <x:v>5428</x:v>
      </x:c>
      <x:c r="AB1797" s="8" t="n">
        <x:v>9.22</x:v>
      </x:c>
      <x:c r="AC1797" s="8" t="n">
        <x:v>0.46</x:v>
      </x:c>
      <x:c r="AD1797" s="8" t="n">
        <x:v>4.38</x:v>
      </x:c>
      <x:c r="AE1797" s="8" t="n">
        <x:v>10</x:v>
      </x:c>
      <x:c r="AF1797" s="8" t="n">
        <x:v>0.05</x:v>
      </x:c>
      <x:c r="AG1797" s="11" t="b">
        <x:f aca="0">FALSE()</x:f>
        <x:v>0</x:v>
      </x:c>
    </x:row>
    <x:row r="1798" ht="51.75" hidden="0" customHeight="1">
      <x:c r="A1798" s="7" t="s">
        <x:v>5533</x:v>
      </x:c>
      <x:c r="B1798" s="7" t="s">
        <x:v>616</x:v>
      </x:c>
      <x:c r="C1798" s="7" t="s">
        <x:v>1443</x:v>
      </x:c>
      <x:c r="D1798" s="7" t="s">
        <x:v>5422</x:v>
      </x:c>
      <x:c r="E1798" s="7" t="s">
        <x:v>5534</x:v>
      </x:c>
      <x:c r="F1798" s="7" t="s">
        <x:v>5424</x:v>
      </x:c>
      <x:c r="G1798" s="8" t="n">
        <x:v>73546</x:v>
      </x:c>
      <x:c r="H1798" s="8" t="s">
        <x:v>58</x:v>
      </x:c>
      <x:c r="I1798" s="8" t="s">
        <x:v>58</x:v>
      </x:c>
      <x:c r="J1798" s="7" t="s">
        <x:v>1919</x:v>
      </x:c>
      <x:c r="K1798" s="8" t="n">
        <x:v>1</x:v>
      </x:c>
      <x:c r="L1798" s="8" t="n">
        <x:f aca="0">IF(AND(ISNUMBER(G1798),P1798&lt;&gt;"Unresolved unit / layout"),G1798*K1798,"Not applicable")</x:f>
        <x:v>73546</x:v>
      </x:c>
      <x:c r="M1798" s="8" t="str">
        <x:f aca="0">IF(AND(ISNUMBER(H1798),P1798&lt;&gt;"Unresolved unit / layout"),H1798*K1798,"Not applicable")</x:f>
        <x:v>Not applicable</x:v>
      </x:c>
      <x:c r="N1798" s="8" t="str">
        <x:f aca="0">IF(AND(ISNUMBER(I1798),P1798&lt;&gt;"Unresolved unit / layout"),I1798*K1798,"Not applicable")</x:f>
        <x:v>Not applicable</x:v>
      </x:c>
      <x:c r="O1798" s="7" t="s">
        <x:v>5424</x:v>
      </x:c>
      <x:c r="P1798" s="7" t="s">
        <x:v>1921</x:v>
      </x:c>
      <x:c r="Q1798" s="7" t="s">
        <x:v>1930</x:v>
      </x:c>
      <x:c r="R1798" s="7" t="s">
        <x:v>1931</x:v>
      </x:c>
      <x:c r="S1798" s="7" t="s">
        <x:v>53</x:v>
      </x:c>
      <x:c r="T1798" s="7" t="s">
        <x:v>53</x:v>
      </x:c>
      <x:c r="U1798" s="7" t="s">
        <x:v>487</x:v>
      </x:c>
      <x:c r="V1798" s="7" t="s">
        <x:v>5425</x:v>
      </x:c>
      <x:c r="W1798" s="7" t="s">
        <x:v>58</x:v>
      </x:c>
      <x:c r="X1798" s="7" t="s">
        <x:v>5535</x:v>
      </x:c>
      <x:c r="Y1798" s="7" t="s">
        <x:v>1437</x:v>
      </x:c>
      <x:c r="Z1798" s="7" t="s">
        <x:v>5536</x:v>
      </x:c>
      <x:c r="AA1798" s="7" t="s">
        <x:v>5428</x:v>
      </x:c>
      <x:c r="AB1798" s="8" t="n">
        <x:v>13.83</x:v>
      </x:c>
      <x:c r="AC1798" s="8" t="n">
        <x:v>0.69</x:v>
      </x:c>
      <x:c r="AD1798" s="8" t="n">
        <x:v>6.57</x:v>
      </x:c>
      <x:c r="AE1798" s="8" t="n">
        <x:v>10</x:v>
      </x:c>
      <x:c r="AF1798" s="8" t="n">
        <x:v>0.05</x:v>
      </x:c>
      <x:c r="AG1798" s="11" t="b">
        <x:f aca="0">FALSE()</x:f>
        <x:v>0</x:v>
      </x:c>
    </x:row>
    <x:row r="1799" ht="51.75" hidden="0" customHeight="1">
      <x:c r="A1799" s="7" t="s">
        <x:v>5537</x:v>
      </x:c>
      <x:c r="B1799" s="7" t="s">
        <x:v>616</x:v>
      </x:c>
      <x:c r="C1799" s="7" t="s">
        <x:v>1443</x:v>
      </x:c>
      <x:c r="D1799" s="7" t="s">
        <x:v>5422</x:v>
      </x:c>
      <x:c r="E1799" s="7" t="s">
        <x:v>5538</x:v>
      </x:c>
      <x:c r="F1799" s="7" t="s">
        <x:v>5424</x:v>
      </x:c>
      <x:c r="G1799" s="8" t="n">
        <x:v>2551</x:v>
      </x:c>
      <x:c r="H1799" s="8" t="s">
        <x:v>58</x:v>
      </x:c>
      <x:c r="I1799" s="8" t="s">
        <x:v>58</x:v>
      </x:c>
      <x:c r="J1799" s="7" t="s">
        <x:v>1919</x:v>
      </x:c>
      <x:c r="K1799" s="8" t="n">
        <x:v>1</x:v>
      </x:c>
      <x:c r="L1799" s="8" t="n">
        <x:f aca="0">IF(AND(ISNUMBER(G1799),P1799&lt;&gt;"Unresolved unit / layout"),G1799*K1799,"Not applicable")</x:f>
        <x:v>2551</x:v>
      </x:c>
      <x:c r="M1799" s="8" t="str">
        <x:f aca="0">IF(AND(ISNUMBER(H1799),P1799&lt;&gt;"Unresolved unit / layout"),H1799*K1799,"Not applicable")</x:f>
        <x:v>Not applicable</x:v>
      </x:c>
      <x:c r="N1799" s="8" t="str">
        <x:f aca="0">IF(AND(ISNUMBER(I1799),P1799&lt;&gt;"Unresolved unit / layout"),I1799*K1799,"Not applicable")</x:f>
        <x:v>Not applicable</x:v>
      </x:c>
      <x:c r="O1799" s="7" t="s">
        <x:v>5424</x:v>
      </x:c>
      <x:c r="P1799" s="7" t="s">
        <x:v>1921</x:v>
      </x:c>
      <x:c r="Q1799" s="7" t="s">
        <x:v>1930</x:v>
      </x:c>
      <x:c r="R1799" s="7" t="s">
        <x:v>1931</x:v>
      </x:c>
      <x:c r="S1799" s="7" t="s">
        <x:v>53</x:v>
      </x:c>
      <x:c r="T1799" s="7" t="s">
        <x:v>53</x:v>
      </x:c>
      <x:c r="U1799" s="7" t="s">
        <x:v>487</x:v>
      </x:c>
      <x:c r="V1799" s="7" t="s">
        <x:v>5425</x:v>
      </x:c>
      <x:c r="W1799" s="7" t="s">
        <x:v>58</x:v>
      </x:c>
      <x:c r="X1799" s="7" t="s">
        <x:v>5539</x:v>
      </x:c>
      <x:c r="Y1799" s="7" t="s">
        <x:v>1437</x:v>
      </x:c>
      <x:c r="Z1799" s="7" t="s">
        <x:v>5540</x:v>
      </x:c>
      <x:c r="AA1799" s="7" t="s">
        <x:v>5428</x:v>
      </x:c>
      <x:c r="AB1799" s="8" t="n">
        <x:v>29.96</x:v>
      </x:c>
      <x:c r="AC1799" s="8" t="n">
        <x:v>1.49</x:v>
      </x:c>
      <x:c r="AD1799" s="8" t="n">
        <x:v>14.23</x:v>
      </x:c>
      <x:c r="AE1799" s="8" t="n">
        <x:v>10</x:v>
      </x:c>
      <x:c r="AF1799" s="8" t="n">
        <x:v>0.05</x:v>
      </x:c>
      <x:c r="AG1799" s="11" t="b">
        <x:f aca="0">FALSE()</x:f>
        <x:v>0</x:v>
      </x:c>
    </x:row>
    <x:row r="1800" ht="51.75" hidden="0" customHeight="1">
      <x:c r="A1800" s="7" t="s">
        <x:v>5541</x:v>
      </x:c>
      <x:c r="B1800" s="7" t="s">
        <x:v>1020</x:v>
      </x:c>
      <x:c r="C1800" s="7" t="s">
        <x:v>1447</x:v>
      </x:c>
      <x:c r="D1800" s="7" t="s">
        <x:v>5422</x:v>
      </x:c>
      <x:c r="E1800" s="7" t="s">
        <x:v>5542</x:v>
      </x:c>
      <x:c r="F1800" s="7" t="s">
        <x:v>5424</x:v>
      </x:c>
      <x:c r="G1800" s="8" t="n">
        <x:v>455</x:v>
      </x:c>
      <x:c r="H1800" s="8" t="s">
        <x:v>58</x:v>
      </x:c>
      <x:c r="I1800" s="8" t="s">
        <x:v>58</x:v>
      </x:c>
      <x:c r="J1800" s="7" t="s">
        <x:v>1919</x:v>
      </x:c>
      <x:c r="K1800" s="8" t="n">
        <x:v>1</x:v>
      </x:c>
      <x:c r="L1800" s="8" t="n">
        <x:f aca="0">IF(AND(ISNUMBER(G1800),P1800&lt;&gt;"Unresolved unit / layout"),G1800*K1800,"Not applicable")</x:f>
        <x:v>455</x:v>
      </x:c>
      <x:c r="M1800" s="8" t="str">
        <x:f aca="0">IF(AND(ISNUMBER(H1800),P1800&lt;&gt;"Unresolved unit / layout"),H1800*K1800,"Not applicable")</x:f>
        <x:v>Not applicable</x:v>
      </x:c>
      <x:c r="N1800" s="8" t="str">
        <x:f aca="0">IF(AND(ISNUMBER(I1800),P1800&lt;&gt;"Unresolved unit / layout"),I1800*K1800,"Not applicable")</x:f>
        <x:v>Not applicable</x:v>
      </x:c>
      <x:c r="O1800" s="7" t="s">
        <x:v>5424</x:v>
      </x:c>
      <x:c r="P1800" s="7" t="s">
        <x:v>1921</x:v>
      </x:c>
      <x:c r="Q1800" s="7" t="s">
        <x:v>1930</x:v>
      </x:c>
      <x:c r="R1800" s="7" t="s">
        <x:v>1931</x:v>
      </x:c>
      <x:c r="S1800" s="7" t="s">
        <x:v>53</x:v>
      </x:c>
      <x:c r="T1800" s="7" t="s">
        <x:v>53</x:v>
      </x:c>
      <x:c r="U1800" s="7" t="s">
        <x:v>487</x:v>
      </x:c>
      <x:c r="V1800" s="7" t="s">
        <x:v>5425</x:v>
      </x:c>
      <x:c r="W1800" s="7" t="s">
        <x:v>58</x:v>
      </x:c>
      <x:c r="X1800" s="7" t="s">
        <x:v>5543</x:v>
      </x:c>
      <x:c r="Y1800" s="7" t="s">
        <x:v>1437</x:v>
      </x:c>
      <x:c r="Z1800" s="7" t="s">
        <x:v>5544</x:v>
      </x:c>
      <x:c r="AA1800" s="7" t="s">
        <x:v>5428</x:v>
      </x:c>
      <x:c r="AB1800" s="8" t="n">
        <x:v>28.18</x:v>
      </x:c>
      <x:c r="AC1800" s="8" t="n">
        <x:v>1.41</x:v>
      </x:c>
      <x:c r="AD1800" s="8" t="n">
        <x:v>13.39</x:v>
      </x:c>
      <x:c r="AE1800" s="8" t="n">
        <x:v>10</x:v>
      </x:c>
      <x:c r="AF1800" s="8" t="n">
        <x:v>0.05</x:v>
      </x:c>
      <x:c r="AG1800" s="11" t="b">
        <x:f aca="0">FALSE()</x:f>
        <x:v>0</x:v>
      </x:c>
    </x:row>
    <x:row r="1801" ht="51.75" hidden="0" customHeight="1">
      <x:c r="A1801" s="7" t="s">
        <x:v>5545</x:v>
      </x:c>
      <x:c r="B1801" s="7" t="s">
        <x:v>1020</x:v>
      </x:c>
      <x:c r="C1801" s="7" t="s">
        <x:v>1447</x:v>
      </x:c>
      <x:c r="D1801" s="7" t="s">
        <x:v>5422</x:v>
      </x:c>
      <x:c r="E1801" s="7" t="s">
        <x:v>5546</x:v>
      </x:c>
      <x:c r="F1801" s="7" t="s">
        <x:v>5424</x:v>
      </x:c>
      <x:c r="G1801" s="8" t="n">
        <x:v>13927</x:v>
      </x:c>
      <x:c r="H1801" s="8" t="s">
        <x:v>58</x:v>
      </x:c>
      <x:c r="I1801" s="8" t="s">
        <x:v>58</x:v>
      </x:c>
      <x:c r="J1801" s="7" t="s">
        <x:v>1919</x:v>
      </x:c>
      <x:c r="K1801" s="8" t="n">
        <x:v>1</x:v>
      </x:c>
      <x:c r="L1801" s="8" t="n">
        <x:f aca="0">IF(AND(ISNUMBER(G1801),P1801&lt;&gt;"Unresolved unit / layout"),G1801*K1801,"Not applicable")</x:f>
        <x:v>13927</x:v>
      </x:c>
      <x:c r="M1801" s="8" t="str">
        <x:f aca="0">IF(AND(ISNUMBER(H1801),P1801&lt;&gt;"Unresolved unit / layout"),H1801*K1801,"Not applicable")</x:f>
        <x:v>Not applicable</x:v>
      </x:c>
      <x:c r="N1801" s="8" t="str">
        <x:f aca="0">IF(AND(ISNUMBER(I1801),P1801&lt;&gt;"Unresolved unit / layout"),I1801*K1801,"Not applicable")</x:f>
        <x:v>Not applicable</x:v>
      </x:c>
      <x:c r="O1801" s="7" t="s">
        <x:v>5424</x:v>
      </x:c>
      <x:c r="P1801" s="7" t="s">
        <x:v>1921</x:v>
      </x:c>
      <x:c r="Q1801" s="7" t="s">
        <x:v>1930</x:v>
      </x:c>
      <x:c r="R1801" s="7" t="s">
        <x:v>1931</x:v>
      </x:c>
      <x:c r="S1801" s="7" t="s">
        <x:v>53</x:v>
      </x:c>
      <x:c r="T1801" s="7" t="s">
        <x:v>53</x:v>
      </x:c>
      <x:c r="U1801" s="7" t="s">
        <x:v>487</x:v>
      </x:c>
      <x:c r="V1801" s="7" t="s">
        <x:v>5425</x:v>
      </x:c>
      <x:c r="W1801" s="7" t="s">
        <x:v>58</x:v>
      </x:c>
      <x:c r="X1801" s="7" t="s">
        <x:v>5547</x:v>
      </x:c>
      <x:c r="Y1801" s="7" t="s">
        <x:v>1437</x:v>
      </x:c>
      <x:c r="Z1801" s="7" t="s">
        <x:v>5548</x:v>
      </x:c>
      <x:c r="AA1801" s="7" t="s">
        <x:v>5428</x:v>
      </x:c>
      <x:c r="AB1801" s="8" t="n">
        <x:v>13.26</x:v>
      </x:c>
      <x:c r="AC1801" s="8" t="n">
        <x:v>0.66</x:v>
      </x:c>
      <x:c r="AD1801" s="8" t="n">
        <x:v>6.3</x:v>
      </x:c>
      <x:c r="AE1801" s="8" t="n">
        <x:v>10</x:v>
      </x:c>
      <x:c r="AF1801" s="8" t="n">
        <x:v>0.05</x:v>
      </x:c>
      <x:c r="AG1801" s="11" t="b">
        <x:f aca="0">FALSE()</x:f>
        <x:v>0</x:v>
      </x:c>
    </x:row>
    <x:row r="1802" ht="51.75" hidden="0" customHeight="1">
      <x:c r="A1802" s="7" t="s">
        <x:v>5549</x:v>
      </x:c>
      <x:c r="B1802" s="7" t="s">
        <x:v>1020</x:v>
      </x:c>
      <x:c r="C1802" s="7" t="s">
        <x:v>1447</x:v>
      </x:c>
      <x:c r="D1802" s="7" t="s">
        <x:v>5422</x:v>
      </x:c>
      <x:c r="E1802" s="7" t="s">
        <x:v>5438</x:v>
      </x:c>
      <x:c r="F1802" s="7" t="s">
        <x:v>5424</x:v>
      </x:c>
      <x:c r="G1802" s="8" t="n">
        <x:v>1000000</x:v>
      </x:c>
      <x:c r="H1802" s="8" t="s">
        <x:v>58</x:v>
      </x:c>
      <x:c r="I1802" s="8" t="s">
        <x:v>58</x:v>
      </x:c>
      <x:c r="J1802" s="7" t="s">
        <x:v>1919</x:v>
      </x:c>
      <x:c r="K1802" s="8" t="n">
        <x:v>1</x:v>
      </x:c>
      <x:c r="L1802" s="8" t="n">
        <x:f aca="0">IF(AND(ISNUMBER(G1802),P1802&lt;&gt;"Unresolved unit / layout"),G1802*K1802,"Not applicable")</x:f>
        <x:v>1000000</x:v>
      </x:c>
      <x:c r="M1802" s="8" t="str">
        <x:f aca="0">IF(AND(ISNUMBER(H1802),P1802&lt;&gt;"Unresolved unit / layout"),H1802*K1802,"Not applicable")</x:f>
        <x:v>Not applicable</x:v>
      </x:c>
      <x:c r="N1802" s="8" t="str">
        <x:f aca="0">IF(AND(ISNUMBER(I1802),P1802&lt;&gt;"Unresolved unit / layout"),I1802*K1802,"Not applicable")</x:f>
        <x:v>Not applicable</x:v>
      </x:c>
      <x:c r="O1802" s="7" t="s">
        <x:v>5424</x:v>
      </x:c>
      <x:c r="P1802" s="7" t="s">
        <x:v>1921</x:v>
      </x:c>
      <x:c r="Q1802" s="7" t="s">
        <x:v>1930</x:v>
      </x:c>
      <x:c r="R1802" s="7" t="s">
        <x:v>1931</x:v>
      </x:c>
      <x:c r="S1802" s="7" t="s">
        <x:v>53</x:v>
      </x:c>
      <x:c r="T1802" s="7" t="s">
        <x:v>53</x:v>
      </x:c>
      <x:c r="U1802" s="7" t="s">
        <x:v>487</x:v>
      </x:c>
      <x:c r="V1802" s="7" t="s">
        <x:v>5425</x:v>
      </x:c>
      <x:c r="W1802" s="7" t="s">
        <x:v>58</x:v>
      </x:c>
      <x:c r="X1802" s="7" t="s">
        <x:v>5550</x:v>
      </x:c>
      <x:c r="Y1802" s="7" t="s">
        <x:v>1437</x:v>
      </x:c>
      <x:c r="Z1802" s="7" t="s">
        <x:v>5551</x:v>
      </x:c>
      <x:c r="AA1802" s="7" t="s">
        <x:v>5428</x:v>
      </x:c>
      <x:c r="AB1802" s="8" t="n">
        <x:v>4.97</x:v>
      </x:c>
      <x:c r="AC1802" s="8" t="n">
        <x:v>0.25</x:v>
      </x:c>
      <x:c r="AD1802" s="8" t="n">
        <x:v>2.36</x:v>
      </x:c>
      <x:c r="AE1802" s="8" t="n">
        <x:v>10</x:v>
      </x:c>
      <x:c r="AF1802" s="8" t="n">
        <x:v>0.05</x:v>
      </x:c>
      <x:c r="AG1802" s="11" t="b">
        <x:f aca="0">TRUE()</x:f>
        <x:v>1</x:v>
      </x:c>
    </x:row>
    <x:row r="1803" ht="51.75" hidden="0" customHeight="1">
      <x:c r="A1803" s="7" t="s">
        <x:v>5552</x:v>
      </x:c>
      <x:c r="B1803" s="7" t="s">
        <x:v>1020</x:v>
      </x:c>
      <x:c r="C1803" s="7" t="s">
        <x:v>1447</x:v>
      </x:c>
      <x:c r="D1803" s="7" t="s">
        <x:v>5422</x:v>
      </x:c>
      <x:c r="E1803" s="7" t="s">
        <x:v>5553</x:v>
      </x:c>
      <x:c r="F1803" s="7" t="s">
        <x:v>5424</x:v>
      </x:c>
      <x:c r="G1803" s="8" t="n">
        <x:v>256682</x:v>
      </x:c>
      <x:c r="H1803" s="8" t="s">
        <x:v>58</x:v>
      </x:c>
      <x:c r="I1803" s="8" t="s">
        <x:v>58</x:v>
      </x:c>
      <x:c r="J1803" s="7" t="s">
        <x:v>1919</x:v>
      </x:c>
      <x:c r="K1803" s="8" t="n">
        <x:v>1</x:v>
      </x:c>
      <x:c r="L1803" s="8" t="n">
        <x:f aca="0">IF(AND(ISNUMBER(G1803),P1803&lt;&gt;"Unresolved unit / layout"),G1803*K1803,"Not applicable")</x:f>
        <x:v>256682</x:v>
      </x:c>
      <x:c r="M1803" s="8" t="str">
        <x:f aca="0">IF(AND(ISNUMBER(H1803),P1803&lt;&gt;"Unresolved unit / layout"),H1803*K1803,"Not applicable")</x:f>
        <x:v>Not applicable</x:v>
      </x:c>
      <x:c r="N1803" s="8" t="str">
        <x:f aca="0">IF(AND(ISNUMBER(I1803),P1803&lt;&gt;"Unresolved unit / layout"),I1803*K1803,"Not applicable")</x:f>
        <x:v>Not applicable</x:v>
      </x:c>
      <x:c r="O1803" s="7" t="s">
        <x:v>5424</x:v>
      </x:c>
      <x:c r="P1803" s="7" t="s">
        <x:v>1921</x:v>
      </x:c>
      <x:c r="Q1803" s="7" t="s">
        <x:v>1930</x:v>
      </x:c>
      <x:c r="R1803" s="7" t="s">
        <x:v>1931</x:v>
      </x:c>
      <x:c r="S1803" s="7" t="s">
        <x:v>53</x:v>
      </x:c>
      <x:c r="T1803" s="7" t="s">
        <x:v>53</x:v>
      </x:c>
      <x:c r="U1803" s="7" t="s">
        <x:v>487</x:v>
      </x:c>
      <x:c r="V1803" s="7" t="s">
        <x:v>5425</x:v>
      </x:c>
      <x:c r="W1803" s="7" t="s">
        <x:v>58</x:v>
      </x:c>
      <x:c r="X1803" s="7" t="s">
        <x:v>5554</x:v>
      </x:c>
      <x:c r="Y1803" s="7" t="s">
        <x:v>1437</x:v>
      </x:c>
      <x:c r="Z1803" s="7" t="s">
        <x:v>5555</x:v>
      </x:c>
      <x:c r="AA1803" s="7" t="s">
        <x:v>5428</x:v>
      </x:c>
      <x:c r="AB1803" s="8" t="n">
        <x:v>6.63</x:v>
      </x:c>
      <x:c r="AC1803" s="8" t="n">
        <x:v>0.33</x:v>
      </x:c>
      <x:c r="AD1803" s="8" t="n">
        <x:v>3.15</x:v>
      </x:c>
      <x:c r="AE1803" s="8" t="n">
        <x:v>10</x:v>
      </x:c>
      <x:c r="AF1803" s="8" t="n">
        <x:v>0.05</x:v>
      </x:c>
      <x:c r="AG1803" s="11" t="b">
        <x:f aca="0">FALSE()</x:f>
        <x:v>0</x:v>
      </x:c>
    </x:row>
    <x:row r="1804" ht="51.75" hidden="0" customHeight="1">
      <x:c r="A1804" s="7" t="s">
        <x:v>5556</x:v>
      </x:c>
      <x:c r="B1804" s="7" t="s">
        <x:v>1020</x:v>
      </x:c>
      <x:c r="C1804" s="7" t="s">
        <x:v>1447</x:v>
      </x:c>
      <x:c r="D1804" s="7" t="s">
        <x:v>5422</x:v>
      </x:c>
      <x:c r="E1804" s="7" t="s">
        <x:v>5557</x:v>
      </x:c>
      <x:c r="F1804" s="7" t="s">
        <x:v>5424</x:v>
      </x:c>
      <x:c r="G1804" s="8" t="n">
        <x:v>688867</x:v>
      </x:c>
      <x:c r="H1804" s="8" t="s">
        <x:v>58</x:v>
      </x:c>
      <x:c r="I1804" s="8" t="s">
        <x:v>58</x:v>
      </x:c>
      <x:c r="J1804" s="7" t="s">
        <x:v>1919</x:v>
      </x:c>
      <x:c r="K1804" s="8" t="n">
        <x:v>1</x:v>
      </x:c>
      <x:c r="L1804" s="8" t="n">
        <x:f aca="0">IF(AND(ISNUMBER(G1804),P1804&lt;&gt;"Unresolved unit / layout"),G1804*K1804,"Not applicable")</x:f>
        <x:v>688867</x:v>
      </x:c>
      <x:c r="M1804" s="8" t="str">
        <x:f aca="0">IF(AND(ISNUMBER(H1804),P1804&lt;&gt;"Unresolved unit / layout"),H1804*K1804,"Not applicable")</x:f>
        <x:v>Not applicable</x:v>
      </x:c>
      <x:c r="N1804" s="8" t="str">
        <x:f aca="0">IF(AND(ISNUMBER(I1804),P1804&lt;&gt;"Unresolved unit / layout"),I1804*K1804,"Not applicable")</x:f>
        <x:v>Not applicable</x:v>
      </x:c>
      <x:c r="O1804" s="7" t="s">
        <x:v>5424</x:v>
      </x:c>
      <x:c r="P1804" s="7" t="s">
        <x:v>1921</x:v>
      </x:c>
      <x:c r="Q1804" s="7" t="s">
        <x:v>1930</x:v>
      </x:c>
      <x:c r="R1804" s="7" t="s">
        <x:v>1931</x:v>
      </x:c>
      <x:c r="S1804" s="7" t="s">
        <x:v>53</x:v>
      </x:c>
      <x:c r="T1804" s="7" t="s">
        <x:v>53</x:v>
      </x:c>
      <x:c r="U1804" s="7" t="s">
        <x:v>487</x:v>
      </x:c>
      <x:c r="V1804" s="7" t="s">
        <x:v>5425</x:v>
      </x:c>
      <x:c r="W1804" s="7" t="s">
        <x:v>58</x:v>
      </x:c>
      <x:c r="X1804" s="7" t="s">
        <x:v>5558</x:v>
      </x:c>
      <x:c r="Y1804" s="7" t="s">
        <x:v>1437</x:v>
      </x:c>
      <x:c r="Z1804" s="7" t="s">
        <x:v>5559</x:v>
      </x:c>
      <x:c r="AA1804" s="7" t="s">
        <x:v>5428</x:v>
      </x:c>
      <x:c r="AB1804" s="8" t="n">
        <x:v>5.64</x:v>
      </x:c>
      <x:c r="AC1804" s="8" t="n">
        <x:v>0.28</x:v>
      </x:c>
      <x:c r="AD1804" s="8" t="n">
        <x:v>2.68</x:v>
      </x:c>
      <x:c r="AE1804" s="8" t="n">
        <x:v>10</x:v>
      </x:c>
      <x:c r="AF1804" s="8" t="n">
        <x:v>0.05</x:v>
      </x:c>
      <x:c r="AG1804" s="11" t="b">
        <x:f aca="0">FALSE()</x:f>
        <x:v>0</x:v>
      </x:c>
    </x:row>
    <x:row r="1805" ht="51.75" hidden="0" customHeight="1">
      <x:c r="A1805" s="7" t="s">
        <x:v>5560</x:v>
      </x:c>
      <x:c r="B1805" s="7" t="s">
        <x:v>1020</x:v>
      </x:c>
      <x:c r="C1805" s="7" t="s">
        <x:v>1447</x:v>
      </x:c>
      <x:c r="D1805" s="7" t="s">
        <x:v>5422</x:v>
      </x:c>
      <x:c r="E1805" s="7" t="s">
        <x:v>5561</x:v>
      </x:c>
      <x:c r="F1805" s="7" t="s">
        <x:v>5424</x:v>
      </x:c>
      <x:c r="G1805" s="8" t="n">
        <x:v>964381</x:v>
      </x:c>
      <x:c r="H1805" s="8" t="s">
        <x:v>58</x:v>
      </x:c>
      <x:c r="I1805" s="8" t="s">
        <x:v>58</x:v>
      </x:c>
      <x:c r="J1805" s="7" t="s">
        <x:v>1919</x:v>
      </x:c>
      <x:c r="K1805" s="8" t="n">
        <x:v>1</x:v>
      </x:c>
      <x:c r="L1805" s="8" t="n">
        <x:f aca="0">IF(AND(ISNUMBER(G1805),P1805&lt;&gt;"Unresolved unit / layout"),G1805*K1805,"Not applicable")</x:f>
        <x:v>964381</x:v>
      </x:c>
      <x:c r="M1805" s="8" t="str">
        <x:f aca="0">IF(AND(ISNUMBER(H1805),P1805&lt;&gt;"Unresolved unit / layout"),H1805*K1805,"Not applicable")</x:f>
        <x:v>Not applicable</x:v>
      </x:c>
      <x:c r="N1805" s="8" t="str">
        <x:f aca="0">IF(AND(ISNUMBER(I1805),P1805&lt;&gt;"Unresolved unit / layout"),I1805*K1805,"Not applicable")</x:f>
        <x:v>Not applicable</x:v>
      </x:c>
      <x:c r="O1805" s="7" t="s">
        <x:v>5424</x:v>
      </x:c>
      <x:c r="P1805" s="7" t="s">
        <x:v>1921</x:v>
      </x:c>
      <x:c r="Q1805" s="7" t="s">
        <x:v>1930</x:v>
      </x:c>
      <x:c r="R1805" s="7" t="s">
        <x:v>1931</x:v>
      </x:c>
      <x:c r="S1805" s="7" t="s">
        <x:v>53</x:v>
      </x:c>
      <x:c r="T1805" s="7" t="s">
        <x:v>53</x:v>
      </x:c>
      <x:c r="U1805" s="7" t="s">
        <x:v>487</x:v>
      </x:c>
      <x:c r="V1805" s="7" t="s">
        <x:v>5425</x:v>
      </x:c>
      <x:c r="W1805" s="7" t="s">
        <x:v>58</x:v>
      </x:c>
      <x:c r="X1805" s="7" t="s">
        <x:v>5562</x:v>
      </x:c>
      <x:c r="Y1805" s="7" t="s">
        <x:v>1437</x:v>
      </x:c>
      <x:c r="Z1805" s="7" t="s">
        <x:v>5563</x:v>
      </x:c>
      <x:c r="AA1805" s="7" t="s">
        <x:v>5428</x:v>
      </x:c>
      <x:c r="AB1805" s="8" t="n">
        <x:v>5.31</x:v>
      </x:c>
      <x:c r="AC1805" s="8" t="n">
        <x:v>0.27</x:v>
      </x:c>
      <x:c r="AD1805" s="8" t="n">
        <x:v>2.52</x:v>
      </x:c>
      <x:c r="AE1805" s="8" t="n">
        <x:v>10</x:v>
      </x:c>
      <x:c r="AF1805" s="8" t="n">
        <x:v>0.05</x:v>
      </x:c>
      <x:c r="AG1805" s="11" t="b">
        <x:f aca="0">FALSE()</x:f>
        <x:v>0</x:v>
      </x:c>
    </x:row>
    <x:row r="1806" ht="51.75" hidden="0" customHeight="1">
      <x:c r="A1806" s="7" t="s">
        <x:v>5564</x:v>
      </x:c>
      <x:c r="B1806" s="7" t="s">
        <x:v>1020</x:v>
      </x:c>
      <x:c r="C1806" s="7" t="s">
        <x:v>1447</x:v>
      </x:c>
      <x:c r="D1806" s="7" t="s">
        <x:v>5422</x:v>
      </x:c>
      <x:c r="E1806" s="7" t="s">
        <x:v>5565</x:v>
      </x:c>
      <x:c r="F1806" s="7" t="s">
        <x:v>5424</x:v>
      </x:c>
      <x:c r="G1806" s="8" t="n">
        <x:v>583107</x:v>
      </x:c>
      <x:c r="H1806" s="8" t="s">
        <x:v>58</x:v>
      </x:c>
      <x:c r="I1806" s="8" t="s">
        <x:v>58</x:v>
      </x:c>
      <x:c r="J1806" s="7" t="s">
        <x:v>1919</x:v>
      </x:c>
      <x:c r="K1806" s="8" t="n">
        <x:v>1</x:v>
      </x:c>
      <x:c r="L1806" s="8" t="n">
        <x:f aca="0">IF(AND(ISNUMBER(G1806),P1806&lt;&gt;"Unresolved unit / layout"),G1806*K1806,"Not applicable")</x:f>
        <x:v>583107</x:v>
      </x:c>
      <x:c r="M1806" s="8" t="str">
        <x:f aca="0">IF(AND(ISNUMBER(H1806),P1806&lt;&gt;"Unresolved unit / layout"),H1806*K1806,"Not applicable")</x:f>
        <x:v>Not applicable</x:v>
      </x:c>
      <x:c r="N1806" s="8" t="str">
        <x:f aca="0">IF(AND(ISNUMBER(I1806),P1806&lt;&gt;"Unresolved unit / layout"),I1806*K1806,"Not applicable")</x:f>
        <x:v>Not applicable</x:v>
      </x:c>
      <x:c r="O1806" s="7" t="s">
        <x:v>5424</x:v>
      </x:c>
      <x:c r="P1806" s="7" t="s">
        <x:v>1921</x:v>
      </x:c>
      <x:c r="Q1806" s="7" t="s">
        <x:v>1930</x:v>
      </x:c>
      <x:c r="R1806" s="7" t="s">
        <x:v>1931</x:v>
      </x:c>
      <x:c r="S1806" s="7" t="s">
        <x:v>53</x:v>
      </x:c>
      <x:c r="T1806" s="7" t="s">
        <x:v>53</x:v>
      </x:c>
      <x:c r="U1806" s="7" t="s">
        <x:v>487</x:v>
      </x:c>
      <x:c r="V1806" s="7" t="s">
        <x:v>5425</x:v>
      </x:c>
      <x:c r="W1806" s="7" t="s">
        <x:v>58</x:v>
      </x:c>
      <x:c r="X1806" s="7" t="s">
        <x:v>5558</x:v>
      </x:c>
      <x:c r="Y1806" s="7" t="s">
        <x:v>1437</x:v>
      </x:c>
      <x:c r="Z1806" s="7" t="s">
        <x:v>5566</x:v>
      </x:c>
      <x:c r="AA1806" s="7" t="s">
        <x:v>5428</x:v>
      </x:c>
      <x:c r="AB1806" s="8" t="n">
        <x:v>5.64</x:v>
      </x:c>
      <x:c r="AC1806" s="8" t="n">
        <x:v>0.28</x:v>
      </x:c>
      <x:c r="AD1806" s="8" t="n">
        <x:v>2.68</x:v>
      </x:c>
      <x:c r="AE1806" s="8" t="n">
        <x:v>10</x:v>
      </x:c>
      <x:c r="AF1806" s="8" t="n">
        <x:v>0.05</x:v>
      </x:c>
      <x:c r="AG1806" s="11" t="b">
        <x:f aca="0">FALSE()</x:f>
        <x:v>0</x:v>
      </x:c>
    </x:row>
    <x:row r="1807" ht="51.75" hidden="0" customHeight="1">
      <x:c r="A1807" s="7" t="s">
        <x:v>5567</x:v>
      </x:c>
      <x:c r="B1807" s="7" t="s">
        <x:v>1020</x:v>
      </x:c>
      <x:c r="C1807" s="7" t="s">
        <x:v>1447</x:v>
      </x:c>
      <x:c r="D1807" s="7" t="s">
        <x:v>5422</x:v>
      </x:c>
      <x:c r="E1807" s="7" t="s">
        <x:v>5568</x:v>
      </x:c>
      <x:c r="F1807" s="7" t="s">
        <x:v>5424</x:v>
      </x:c>
      <x:c r="G1807" s="8" t="n">
        <x:v>441289</x:v>
      </x:c>
      <x:c r="H1807" s="8" t="s">
        <x:v>58</x:v>
      </x:c>
      <x:c r="I1807" s="8" t="s">
        <x:v>58</x:v>
      </x:c>
      <x:c r="J1807" s="7" t="s">
        <x:v>1919</x:v>
      </x:c>
      <x:c r="K1807" s="8" t="n">
        <x:v>1</x:v>
      </x:c>
      <x:c r="L1807" s="8" t="n">
        <x:f aca="0">IF(AND(ISNUMBER(G1807),P1807&lt;&gt;"Unresolved unit / layout"),G1807*K1807,"Not applicable")</x:f>
        <x:v>441289</x:v>
      </x:c>
      <x:c r="M1807" s="8" t="str">
        <x:f aca="0">IF(AND(ISNUMBER(H1807),P1807&lt;&gt;"Unresolved unit / layout"),H1807*K1807,"Not applicable")</x:f>
        <x:v>Not applicable</x:v>
      </x:c>
      <x:c r="N1807" s="8" t="str">
        <x:f aca="0">IF(AND(ISNUMBER(I1807),P1807&lt;&gt;"Unresolved unit / layout"),I1807*K1807,"Not applicable")</x:f>
        <x:v>Not applicable</x:v>
      </x:c>
      <x:c r="O1807" s="7" t="s">
        <x:v>5424</x:v>
      </x:c>
      <x:c r="P1807" s="7" t="s">
        <x:v>1921</x:v>
      </x:c>
      <x:c r="Q1807" s="7" t="s">
        <x:v>1930</x:v>
      </x:c>
      <x:c r="R1807" s="7" t="s">
        <x:v>1931</x:v>
      </x:c>
      <x:c r="S1807" s="7" t="s">
        <x:v>53</x:v>
      </x:c>
      <x:c r="T1807" s="7" t="s">
        <x:v>53</x:v>
      </x:c>
      <x:c r="U1807" s="7" t="s">
        <x:v>487</x:v>
      </x:c>
      <x:c r="V1807" s="7" t="s">
        <x:v>5425</x:v>
      </x:c>
      <x:c r="W1807" s="7" t="s">
        <x:v>58</x:v>
      </x:c>
      <x:c r="X1807" s="7" t="s">
        <x:v>5569</x:v>
      </x:c>
      <x:c r="Y1807" s="7" t="s">
        <x:v>1437</x:v>
      </x:c>
      <x:c r="Z1807" s="7" t="s">
        <x:v>5570</x:v>
      </x:c>
      <x:c r="AA1807" s="7" t="s">
        <x:v>5428</x:v>
      </x:c>
      <x:c r="AB1807" s="8" t="n">
        <x:v>5.97</x:v>
      </x:c>
      <x:c r="AC1807" s="8" t="n">
        <x:v>0.3</x:v>
      </x:c>
      <x:c r="AD1807" s="8" t="n">
        <x:v>2.84</x:v>
      </x:c>
      <x:c r="AE1807" s="8" t="n">
        <x:v>10</x:v>
      </x:c>
      <x:c r="AF1807" s="8" t="n">
        <x:v>0.05</x:v>
      </x:c>
      <x:c r="AG1807" s="11" t="b">
        <x:f aca="0">FALSE()</x:f>
        <x:v>0</x:v>
      </x:c>
    </x:row>
    <x:row r="1808" ht="51.75" hidden="0" customHeight="1">
      <x:c r="A1808" s="7" t="s">
        <x:v>5571</x:v>
      </x:c>
      <x:c r="B1808" s="7" t="s">
        <x:v>1020</x:v>
      </x:c>
      <x:c r="C1808" s="7" t="s">
        <x:v>1447</x:v>
      </x:c>
      <x:c r="D1808" s="7" t="s">
        <x:v>5422</x:v>
      </x:c>
      <x:c r="E1808" s="7" t="s">
        <x:v>5572</x:v>
      </x:c>
      <x:c r="F1808" s="7" t="s">
        <x:v>5424</x:v>
      </x:c>
      <x:c r="G1808" s="8" t="n">
        <x:v>83566</x:v>
      </x:c>
      <x:c r="H1808" s="8" t="s">
        <x:v>58</x:v>
      </x:c>
      <x:c r="I1808" s="8" t="s">
        <x:v>58</x:v>
      </x:c>
      <x:c r="J1808" s="7" t="s">
        <x:v>1919</x:v>
      </x:c>
      <x:c r="K1808" s="8" t="n">
        <x:v>1</x:v>
      </x:c>
      <x:c r="L1808" s="8" t="n">
        <x:f aca="0">IF(AND(ISNUMBER(G1808),P1808&lt;&gt;"Unresolved unit / layout"),G1808*K1808,"Not applicable")</x:f>
        <x:v>83566</x:v>
      </x:c>
      <x:c r="M1808" s="8" t="str">
        <x:f aca="0">IF(AND(ISNUMBER(H1808),P1808&lt;&gt;"Unresolved unit / layout"),H1808*K1808,"Not applicable")</x:f>
        <x:v>Not applicable</x:v>
      </x:c>
      <x:c r="N1808" s="8" t="str">
        <x:f aca="0">IF(AND(ISNUMBER(I1808),P1808&lt;&gt;"Unresolved unit / layout"),I1808*K1808,"Not applicable")</x:f>
        <x:v>Not applicable</x:v>
      </x:c>
      <x:c r="O1808" s="7" t="s">
        <x:v>5424</x:v>
      </x:c>
      <x:c r="P1808" s="7" t="s">
        <x:v>1921</x:v>
      </x:c>
      <x:c r="Q1808" s="7" t="s">
        <x:v>1930</x:v>
      </x:c>
      <x:c r="R1808" s="7" t="s">
        <x:v>1931</x:v>
      </x:c>
      <x:c r="S1808" s="7" t="s">
        <x:v>53</x:v>
      </x:c>
      <x:c r="T1808" s="7" t="s">
        <x:v>53</x:v>
      </x:c>
      <x:c r="U1808" s="7" t="s">
        <x:v>487</x:v>
      </x:c>
      <x:c r="V1808" s="7" t="s">
        <x:v>5425</x:v>
      </x:c>
      <x:c r="W1808" s="7" t="s">
        <x:v>58</x:v>
      </x:c>
      <x:c r="X1808" s="7" t="s">
        <x:v>5573</x:v>
      </x:c>
      <x:c r="Y1808" s="7" t="s">
        <x:v>1437</x:v>
      </x:c>
      <x:c r="Z1808" s="7" t="s">
        <x:v>5574</x:v>
      </x:c>
      <x:c r="AA1808" s="7" t="s">
        <x:v>5428</x:v>
      </x:c>
      <x:c r="AB1808" s="8" t="n">
        <x:v>8.29</x:v>
      </x:c>
      <x:c r="AC1808" s="8" t="n">
        <x:v>0.42</x:v>
      </x:c>
      <x:c r="AD1808" s="8" t="n">
        <x:v>3.94</x:v>
      </x:c>
      <x:c r="AE1808" s="8" t="n">
        <x:v>10</x:v>
      </x:c>
      <x:c r="AF1808" s="8" t="n">
        <x:v>0.05</x:v>
      </x:c>
      <x:c r="AG1808" s="11" t="b">
        <x:f aca="0">FALSE()</x:f>
        <x:v>0</x:v>
      </x:c>
    </x:row>
    <x:row r="1809" ht="51.75" hidden="0" customHeight="1">
      <x:c r="A1809" s="7" t="s">
        <x:v>5575</x:v>
      </x:c>
      <x:c r="B1809" s="7" t="s">
        <x:v>1020</x:v>
      </x:c>
      <x:c r="C1809" s="7" t="s">
        <x:v>1447</x:v>
      </x:c>
      <x:c r="D1809" s="7" t="s">
        <x:v>5422</x:v>
      </x:c>
      <x:c r="E1809" s="7" t="s">
        <x:v>5576</x:v>
      </x:c>
      <x:c r="F1809" s="7" t="s">
        <x:v>5424</x:v>
      </x:c>
      <x:c r="G1809" s="8" t="n">
        <x:v>35769</x:v>
      </x:c>
      <x:c r="H1809" s="8" t="s">
        <x:v>58</x:v>
      </x:c>
      <x:c r="I1809" s="8" t="s">
        <x:v>58</x:v>
      </x:c>
      <x:c r="J1809" s="7" t="s">
        <x:v>1919</x:v>
      </x:c>
      <x:c r="K1809" s="8" t="n">
        <x:v>1</x:v>
      </x:c>
      <x:c r="L1809" s="8" t="n">
        <x:f aca="0">IF(AND(ISNUMBER(G1809),P1809&lt;&gt;"Unresolved unit / layout"),G1809*K1809,"Not applicable")</x:f>
        <x:v>35769</x:v>
      </x:c>
      <x:c r="M1809" s="8" t="str">
        <x:f aca="0">IF(AND(ISNUMBER(H1809),P1809&lt;&gt;"Unresolved unit / layout"),H1809*K1809,"Not applicable")</x:f>
        <x:v>Not applicable</x:v>
      </x:c>
      <x:c r="N1809" s="8" t="str">
        <x:f aca="0">IF(AND(ISNUMBER(I1809),P1809&lt;&gt;"Unresolved unit / layout"),I1809*K1809,"Not applicable")</x:f>
        <x:v>Not applicable</x:v>
      </x:c>
      <x:c r="O1809" s="7" t="s">
        <x:v>5424</x:v>
      </x:c>
      <x:c r="P1809" s="7" t="s">
        <x:v>1921</x:v>
      </x:c>
      <x:c r="Q1809" s="7" t="s">
        <x:v>1930</x:v>
      </x:c>
      <x:c r="R1809" s="7" t="s">
        <x:v>1931</x:v>
      </x:c>
      <x:c r="S1809" s="7" t="s">
        <x:v>53</x:v>
      </x:c>
      <x:c r="T1809" s="7" t="s">
        <x:v>53</x:v>
      </x:c>
      <x:c r="U1809" s="7" t="s">
        <x:v>487</x:v>
      </x:c>
      <x:c r="V1809" s="7" t="s">
        <x:v>5425</x:v>
      </x:c>
      <x:c r="W1809" s="7" t="s">
        <x:v>58</x:v>
      </x:c>
      <x:c r="X1809" s="7" t="s">
        <x:v>5577</x:v>
      </x:c>
      <x:c r="Y1809" s="7" t="s">
        <x:v>1437</x:v>
      </x:c>
      <x:c r="Z1809" s="7" t="s">
        <x:v>5578</x:v>
      </x:c>
      <x:c r="AA1809" s="7" t="s">
        <x:v>5428</x:v>
      </x:c>
      <x:c r="AB1809" s="8" t="n">
        <x:v>9.95</x:v>
      </x:c>
      <x:c r="AC1809" s="8" t="n">
        <x:v>0.5</x:v>
      </x:c>
      <x:c r="AD1809" s="8" t="n">
        <x:v>4.73</x:v>
      </x:c>
      <x:c r="AE1809" s="8" t="n">
        <x:v>10</x:v>
      </x:c>
      <x:c r="AF1809" s="8" t="n">
        <x:v>0.05</x:v>
      </x:c>
      <x:c r="AG1809" s="11" t="b">
        <x:f aca="0">FALSE()</x:f>
        <x:v>0</x:v>
      </x:c>
    </x:row>
    <x:row r="1810" ht="113.4000015258789" hidden="0">
      <x:c r="A1810" s="7" t="s">
        <x:v>5579</x:v>
      </x:c>
      <x:c r="B1810" s="7" t="s">
        <x:v>738</x:v>
      </x:c>
      <x:c r="C1810" s="7" t="s">
        <x:v>741</x:v>
      </x:c>
      <x:c r="D1810" s="7" t="s">
        <x:v>2846</x:v>
      </x:c>
      <x:c r="E1810" s="7" t="s">
        <x:v>5580</x:v>
      </x:c>
      <x:c r="F1810" s="7" t="s">
        <x:v>3716</x:v>
      </x:c>
      <x:c r="G1810" s="8" t="n">
        <x:v>75.3</x:v>
      </x:c>
      <x:c r="H1810" s="8" t="s">
        <x:v>58</x:v>
      </x:c>
      <x:c r="I1810" s="8" t="s">
        <x:v>58</x:v>
      </x:c>
      <x:c r="J1810" s="7" t="s">
        <x:v>1919</x:v>
      </x:c>
      <x:c r="K1810" s="8" t="n">
        <x:v>1</x:v>
      </x:c>
      <x:c r="L1810" s="8" t="n">
        <x:f aca="0">IF(AND(ISNUMBER(G1810),P1810&lt;&gt;"Unresolved unit / layout"),G1810*K1810,"Insufficient comparable data")</x:f>
        <x:v>75.3</x:v>
      </x:c>
      <x:c r="M1810" s="8" t="str">
        <x:f aca="0">IF(AND(ISNUMBER(H1810),P1810&lt;&gt;"Unresolved unit / layout"),H1810*K1810,"Not applicable")</x:f>
        <x:v>Not applicable</x:v>
      </x:c>
      <x:c r="N1810" s="8" t="str">
        <x:f aca="0">IF(AND(ISNUMBER(I1810),P1810&lt;&gt;"Unresolved unit / layout"),I1810*K1810,"Not applicable")</x:f>
        <x:v>Not applicable</x:v>
      </x:c>
      <x:c r="O1810" s="7" t="s">
        <x:v>3716</x:v>
      </x:c>
      <x:c r="P1810" s="7" t="s">
        <x:v>2732</x:v>
      </x:c>
      <x:c r="Q1810" s="7" t="s">
        <x:v>2064</x:v>
      </x:c>
      <x:c r="R1810" s="7" t="s">
        <x:v>53</x:v>
      </x:c>
      <x:c r="S1810" s="7" t="s">
        <x:v>53</x:v>
      </x:c>
      <x:c r="T1810" s="7" t="s">
        <x:v>53</x:v>
      </x:c>
      <x:c r="U1810" s="7" t="s">
        <x:v>53</x:v>
      </x:c>
      <x:c r="V1810" s="7" t="s">
        <x:v>5581</x:v>
      </x:c>
      <x:c r="W1810" s="7" t="s">
        <x:v>58</x:v>
      </x:c>
      <x:c r="X1810" s="7" t="s">
        <x:v>53</x:v>
      </x:c>
      <x:c r="Y1810" s="7" t="s">
        <x:v>1313</x:v>
      </x:c>
      <x:c r="Z1810" s="7" t="s">
        <x:v>5582</x:v>
      </x:c>
      <x:c r="AA1810" s="7" t="s">
        <x:v>5583</x:v>
      </x:c>
      <x:c r="AB1810" s="8" t="s">
        <x:v>58</x:v>
      </x:c>
      <x:c r="AC1810" s="8" t="s">
        <x:v>58</x:v>
      </x:c>
      <x:c r="AD1810" s="8" t="s">
        <x:v>58</x:v>
      </x:c>
      <x:c r="AE1810" s="8" t="s">
        <x:v>58</x:v>
      </x:c>
      <x:c r="AF1810" s="8" t="s">
        <x:v>58</x:v>
      </x:c>
      <x:c r="AG1810" s="7" t="s">
        <x:v>58</x:v>
      </x:c>
    </x:row>
    <x:row r="1811">
      <x:c r="A1811" t="str">
        <x:v>V001808</x:v>
      </x:c>
      <x:c r="B1811" t="str">
        <x:v>M077</x:v>
      </x:c>
      <x:c r="C1811" t="str">
        <x:v>G077-01</x:v>
      </x:c>
      <x:c r="D1811" t="str">
        <x:v>Density</x:v>
      </x:c>
      <x:c r="E1811" t="str">
        <x:v>1.33 g/cm³</x:v>
      </x:c>
      <x:c r="F1811" t="str">
        <x:v>g/cm³</x:v>
      </x:c>
      <x:c r="G1811" t="n">
        <x:v>1.33</x:v>
      </x:c>
      <x:c r="H1811" t="str">
        <x:v>Not applicable</x:v>
      </x:c>
      <x:c r="I1811" t="str">
        <x:v>Not applicable</x:v>
      </x:c>
      <x:c r="J1811" t="str">
        <x:v>=</x:v>
      </x:c>
      <x:c r="K1811" t="n">
        <x:v>1000</x:v>
      </x:c>
      <x:c r="L1811" t="n">
        <x:v>1330</x:v>
      </x:c>
      <x:c r="M1811" t="str">
        <x:v>Not applicable</x:v>
      </x:c>
      <x:c r="N1811" t="str">
        <x:v>Not applicable</x:v>
      </x:c>
      <x:c r="O1811" t="str">
        <x:v>kg/m³</x:v>
      </x:c>
      <x:c r="P1811" t="str">
        <x:v>Published value</x:v>
      </x:c>
      <x:c r="Q1811" t="str">
        <x:v>Not published (density specimen form not explicitly established)</x:v>
      </x:c>
      <x:c r="R1811" t="str">
        <x:v>Not applicable</x:v>
      </x:c>
      <x:c r="S1811" t="str">
        <x:v>&lt;20% RH during printing/storage</x:v>
      </x:c>
      <x:c r="T1811" t="str">
        <x:v>Not published</x:v>
      </x:c>
      <x:c r="U1811" t="str">
        <x:v>Not published</x:v>
      </x:c>
      <x:c r="V1811" t="str">
        <x:v>ISO 1183</x:v>
      </x:c>
      <x:c r="W1811" t="str">
        <x:v>Not applicable</x:v>
      </x:c>
      <x:c r="X1811" t="str">
        <x:v>Manufacturer TDS; support-interface material</x:v>
      </x:c>
      <x:c r="Y1811" t="str">
        <x:v>R-BAMBU-SUPPORT-PLA-NEW-TDS</x:v>
      </x:c>
      <x:c r="Z1811" t="str">
        <x:v>p. 2: Density</x:v>
      </x:c>
      <x:c r="AA1811" t="str">
        <x:v>Not applicable</x:v>
      </x:c>
      <x:c r="AB1811" t="str">
        <x:v>Not applicable</x:v>
      </x:c>
      <x:c r="AC1811" t="str">
        <x:v>Not applicable</x:v>
      </x:c>
      <x:c r="AD1811" t="str">
        <x:v>Not applicable</x:v>
      </x:c>
      <x:c r="AE1811" t="str">
        <x:v>Not applicable</x:v>
      </x:c>
      <x:c r="AF1811" t="str">
        <x:v>Not applicable</x:v>
      </x:c>
      <x:c r="AG1811" t="str">
        <x:v>Not applicable</x:v>
      </x:c>
    </x:row>
    <x:row r="1812">
      <x:c r="A1812" t="str">
        <x:v>V001809</x:v>
      </x:c>
      <x:c r="B1812" t="str">
        <x:v>M077</x:v>
      </x:c>
      <x:c r="C1812" t="str">
        <x:v>G077-01</x:v>
      </x:c>
      <x:c r="D1812" t="str">
        <x:v>Melt mass-flow rate</x:v>
      </x:c>
      <x:c r="E1812" t="str">
        <x:v>13.6 ± 1.2 g/10 min</x:v>
      </x:c>
      <x:c r="F1812" t="str">
        <x:v>g/10 min</x:v>
      </x:c>
      <x:c r="G1812" t="n">
        <x:v>13.6</x:v>
      </x:c>
      <x:c r="H1812" t="n">
        <x:v>1.2</x:v>
      </x:c>
      <x:c r="I1812" t="str">
        <x:v>Not applicable</x:v>
      </x:c>
      <x:c r="J1812" t="str">
        <x:v>=</x:v>
      </x:c>
      <x:c r="K1812" t="n">
        <x:v>1</x:v>
      </x:c>
      <x:c r="L1812" t="n">
        <x:v>13.6</x:v>
      </x:c>
      <x:c r="M1812" t="n">
        <x:v>1.2</x:v>
      </x:c>
      <x:c r="N1812" t="str">
        <x:v>Not applicable</x:v>
      </x:c>
      <x:c r="O1812" t="str">
        <x:v>g/10 min</x:v>
      </x:c>
      <x:c r="P1812" t="str">
        <x:v>Published value</x:v>
      </x:c>
      <x:c r="Q1812" t="str">
        <x:v>Not published (do not assume printed)</x:v>
      </x:c>
      <x:c r="R1812" t="str">
        <x:v>Not applicable</x:v>
      </x:c>
      <x:c r="S1812" t="str">
        <x:v>&lt;20% RH during printing/storage</x:v>
      </x:c>
      <x:c r="T1812" t="str">
        <x:v>Not published</x:v>
      </x:c>
      <x:c r="U1812" t="str">
        <x:v>Not published</x:v>
      </x:c>
      <x:c r="V1812" t="str">
        <x:v>210 °C, 2.16 kg</x:v>
      </x:c>
      <x:c r="W1812" t="str">
        <x:v>Not applicable</x:v>
      </x:c>
      <x:c r="X1812" t="str">
        <x:v>Manufacturer TDS; support-interface material</x:v>
      </x:c>
      <x:c r="Y1812" t="str">
        <x:v>R-BAMBU-SUPPORT-PLA-NEW-TDS</x:v>
      </x:c>
      <x:c r="Z1812" t="str">
        <x:v>p. 2: Melt Index</x:v>
      </x:c>
      <x:c r="AA1812" t="str">
        <x:v>Not applicable</x:v>
      </x:c>
      <x:c r="AB1812" t="str">
        <x:v>Not applicable</x:v>
      </x:c>
      <x:c r="AC1812" t="str">
        <x:v>Not applicable</x:v>
      </x:c>
      <x:c r="AD1812" t="str">
        <x:v>Not applicable</x:v>
      </x:c>
      <x:c r="AE1812" t="str">
        <x:v>Not applicable</x:v>
      </x:c>
      <x:c r="AF1812" t="str">
        <x:v>Not applicable</x:v>
      </x:c>
      <x:c r="AG1812" t="str">
        <x:v>Not applicable</x:v>
      </x:c>
    </x:row>
    <x:row r="1813">
      <x:c r="A1813" t="str">
        <x:v>V001810</x:v>
      </x:c>
      <x:c r="B1813" t="str">
        <x:v>M077</x:v>
      </x:c>
      <x:c r="C1813" t="str">
        <x:v>G077-01</x:v>
      </x:c>
      <x:c r="D1813" t="str">
        <x:v>Melting temperature</x:v>
      </x:c>
      <x:c r="E1813" t="str">
        <x:v>190 °C</x:v>
      </x:c>
      <x:c r="F1813" t="str">
        <x:v>°C</x:v>
      </x:c>
      <x:c r="G1813" t="n">
        <x:v>190</x:v>
      </x:c>
      <x:c r="H1813" t="str">
        <x:v>Not applicable</x:v>
      </x:c>
      <x:c r="I1813" t="str">
        <x:v>Not applicable</x:v>
      </x:c>
      <x:c r="J1813" t="str">
        <x:v>=</x:v>
      </x:c>
      <x:c r="K1813" t="n">
        <x:v>1</x:v>
      </x:c>
      <x:c r="L1813" t="n">
        <x:v>190</x:v>
      </x:c>
      <x:c r="M1813" t="str">
        <x:v>Not applicable</x:v>
      </x:c>
      <x:c r="N1813" t="str">
        <x:v>Not applicable</x:v>
      </x:c>
      <x:c r="O1813" t="str">
        <x:v>°C</x:v>
      </x:c>
      <x:c r="P1813" t="str">
        <x:v>Published value</x:v>
      </x:c>
      <x:c r="Q1813" t="str">
        <x:v>Not published (do not assume printed)</x:v>
      </x:c>
      <x:c r="R1813" t="str">
        <x:v>Not applicable</x:v>
      </x:c>
      <x:c r="S1813" t="str">
        <x:v>&lt;20% RH during printing/storage</x:v>
      </x:c>
      <x:c r="T1813" t="str">
        <x:v>Not published</x:v>
      </x:c>
      <x:c r="U1813" t="str">
        <x:v>Not published</x:v>
      </x:c>
      <x:c r="V1813" t="str">
        <x:v>DSC, 10 °C/min</x:v>
      </x:c>
      <x:c r="W1813" t="str">
        <x:v>Not applicable</x:v>
      </x:c>
      <x:c r="X1813" t="str">
        <x:v>Manufacturer TDS; support-interface material</x:v>
      </x:c>
      <x:c r="Y1813" t="str">
        <x:v>R-BAMBU-SUPPORT-PLA-NEW-TDS</x:v>
      </x:c>
      <x:c r="Z1813" t="str">
        <x:v>p. 2: Melting Temperature</x:v>
      </x:c>
      <x:c r="AA1813" t="str">
        <x:v>Not applicable</x:v>
      </x:c>
      <x:c r="AB1813" t="str">
        <x:v>Not applicable</x:v>
      </x:c>
      <x:c r="AC1813" t="str">
        <x:v>Not applicable</x:v>
      </x:c>
      <x:c r="AD1813" t="str">
        <x:v>Not applicable</x:v>
      </x:c>
      <x:c r="AE1813" t="str">
        <x:v>Not applicable</x:v>
      </x:c>
      <x:c r="AF1813" t="str">
        <x:v>Not applicable</x:v>
      </x:c>
      <x:c r="AG1813" t="str">
        <x:v>Not applicable</x:v>
      </x:c>
    </x:row>
    <x:row r="1814">
      <x:c r="A1814" t="str">
        <x:v>V001811</x:v>
      </x:c>
      <x:c r="B1814" t="str">
        <x:v>M077</x:v>
      </x:c>
      <x:c r="C1814" t="str">
        <x:v>G077-01</x:v>
      </x:c>
      <x:c r="D1814" t="str">
        <x:v>Glass transition temperature</x:v>
      </x:c>
      <x:c r="E1814" t="str">
        <x:v>N/A</x:v>
      </x:c>
      <x:c r="F1814" t="str">
        <x:v>°C</x:v>
      </x:c>
      <x:c r="G1814" t="str">
        <x:v>Not published</x:v>
      </x:c>
      <x:c r="H1814" t="str">
        <x:v>Not applicable</x:v>
      </x:c>
      <x:c r="I1814" t="str">
        <x:v>Not applicable</x:v>
      </x:c>
      <x:c r="J1814" t="str">
        <x:v>Not applicable</x:v>
      </x:c>
      <x:c r="K1814" t="n">
        <x:v>1</x:v>
      </x:c>
      <x:c r="L1814" t="str">
        <x:v>Not published</x:v>
      </x:c>
      <x:c r="M1814" t="str">
        <x:v>Not applicable</x:v>
      </x:c>
      <x:c r="N1814" t="str">
        <x:v>Not applicable</x:v>
      </x:c>
      <x:c r="O1814" t="str">
        <x:v>°C</x:v>
      </x:c>
      <x:c r="P1814" t="str">
        <x:v>Not published</x:v>
      </x:c>
      <x:c r="Q1814" t="str">
        <x:v>Not published (do not assume printed)</x:v>
      </x:c>
      <x:c r="R1814" t="str">
        <x:v>Not applicable</x:v>
      </x:c>
      <x:c r="S1814" t="str">
        <x:v>&lt;20% RH during printing/storage</x:v>
      </x:c>
      <x:c r="T1814" t="str">
        <x:v>Not published</x:v>
      </x:c>
      <x:c r="U1814" t="str">
        <x:v>Not published</x:v>
      </x:c>
      <x:c r="V1814" t="str">
        <x:v>DSC, 10 °C/min</x:v>
      </x:c>
      <x:c r="W1814" t="str">
        <x:v>Not applicable</x:v>
      </x:c>
      <x:c r="X1814" t="str">
        <x:v>Manufacturer TDS; support-interface material</x:v>
      </x:c>
      <x:c r="Y1814" t="str">
        <x:v>R-BAMBU-SUPPORT-PLA-NEW-TDS</x:v>
      </x:c>
      <x:c r="Z1814" t="str">
        <x:v>p. 2: Glass Transition Temperature</x:v>
      </x:c>
      <x:c r="AA1814" t="str">
        <x:v>Not applicable</x:v>
      </x:c>
      <x:c r="AB1814" t="str">
        <x:v>Not applicable</x:v>
      </x:c>
      <x:c r="AC1814" t="str">
        <x:v>Not applicable</x:v>
      </x:c>
      <x:c r="AD1814" t="str">
        <x:v>Not applicable</x:v>
      </x:c>
      <x:c r="AE1814" t="str">
        <x:v>Not applicable</x:v>
      </x:c>
      <x:c r="AF1814" t="str">
        <x:v>Not applicable</x:v>
      </x:c>
      <x:c r="AG1814" t="str">
        <x:v>Not applicable</x:v>
      </x:c>
    </x:row>
    <x:row r="1815">
      <x:c r="A1815" t="str">
        <x:v>V001812</x:v>
      </x:c>
      <x:c r="B1815" t="str">
        <x:v>M077</x:v>
      </x:c>
      <x:c r="C1815" t="str">
        <x:v>G077-01</x:v>
      </x:c>
      <x:c r="D1815" t="str">
        <x:v>Crystallization temperature</x:v>
      </x:c>
      <x:c r="E1815" t="str">
        <x:v>N/A</x:v>
      </x:c>
      <x:c r="F1815" t="str">
        <x:v>°C</x:v>
      </x:c>
      <x:c r="G1815" t="str">
        <x:v>Not published</x:v>
      </x:c>
      <x:c r="H1815" t="str">
        <x:v>Not applicable</x:v>
      </x:c>
      <x:c r="I1815" t="str">
        <x:v>Not applicable</x:v>
      </x:c>
      <x:c r="J1815" t="str">
        <x:v>Not applicable</x:v>
      </x:c>
      <x:c r="K1815" t="n">
        <x:v>1</x:v>
      </x:c>
      <x:c r="L1815" t="str">
        <x:v>Not published</x:v>
      </x:c>
      <x:c r="M1815" t="str">
        <x:v>Not applicable</x:v>
      </x:c>
      <x:c r="N1815" t="str">
        <x:v>Not applicable</x:v>
      </x:c>
      <x:c r="O1815" t="str">
        <x:v>°C</x:v>
      </x:c>
      <x:c r="P1815" t="str">
        <x:v>Not published</x:v>
      </x:c>
      <x:c r="Q1815" t="str">
        <x:v>Not published (do not assume printed)</x:v>
      </x:c>
      <x:c r="R1815" t="str">
        <x:v>Not applicable</x:v>
      </x:c>
      <x:c r="S1815" t="str">
        <x:v>&lt;20% RH during printing/storage</x:v>
      </x:c>
      <x:c r="T1815" t="str">
        <x:v>Not published</x:v>
      </x:c>
      <x:c r="U1815" t="str">
        <x:v>Not published</x:v>
      </x:c>
      <x:c r="V1815" t="str">
        <x:v>DSC, 10 °C/min</x:v>
      </x:c>
      <x:c r="W1815" t="str">
        <x:v>Not applicable</x:v>
      </x:c>
      <x:c r="X1815" t="str">
        <x:v>Manufacturer TDS; support-interface material</x:v>
      </x:c>
      <x:c r="Y1815" t="str">
        <x:v>R-BAMBU-SUPPORT-PLA-NEW-TDS</x:v>
      </x:c>
      <x:c r="Z1815" t="str">
        <x:v>p. 2: Crystallization Temperature</x:v>
      </x:c>
      <x:c r="AA1815" t="str">
        <x:v>Not applicable</x:v>
      </x:c>
      <x:c r="AB1815" t="str">
        <x:v>Not applicable</x:v>
      </x:c>
      <x:c r="AC1815" t="str">
        <x:v>Not applicable</x:v>
      </x:c>
      <x:c r="AD1815" t="str">
        <x:v>Not applicable</x:v>
      </x:c>
      <x:c r="AE1815" t="str">
        <x:v>Not applicable</x:v>
      </x:c>
      <x:c r="AF1815" t="str">
        <x:v>Not applicable</x:v>
      </x:c>
      <x:c r="AG1815" t="str">
        <x:v>Not applicable</x:v>
      </x:c>
    </x:row>
    <x:row r="1816">
      <x:c r="A1816" t="str">
        <x:v>V001813</x:v>
      </x:c>
      <x:c r="B1816" t="str">
        <x:v>M077</x:v>
      </x:c>
      <x:c r="C1816" t="str">
        <x:v>G077-01</x:v>
      </x:c>
      <x:c r="D1816" t="str">
        <x:v>Vicat softening temperature</x:v>
      </x:c>
      <x:c r="E1816" t="str">
        <x:v>N/A</x:v>
      </x:c>
      <x:c r="F1816" t="str">
        <x:v>°C</x:v>
      </x:c>
      <x:c r="G1816" t="str">
        <x:v>Not published</x:v>
      </x:c>
      <x:c r="H1816" t="str">
        <x:v>Not applicable</x:v>
      </x:c>
      <x:c r="I1816" t="str">
        <x:v>Not applicable</x:v>
      </x:c>
      <x:c r="J1816" t="str">
        <x:v>Not applicable</x:v>
      </x:c>
      <x:c r="K1816" t="n">
        <x:v>1</x:v>
      </x:c>
      <x:c r="L1816" t="str">
        <x:v>Not published</x:v>
      </x:c>
      <x:c r="M1816" t="str">
        <x:v>Not applicable</x:v>
      </x:c>
      <x:c r="N1816" t="str">
        <x:v>Not applicable</x:v>
      </x:c>
      <x:c r="O1816" t="str">
        <x:v>°C</x:v>
      </x:c>
      <x:c r="P1816" t="str">
        <x:v>Not published</x:v>
      </x:c>
      <x:c r="Q1816" t="str">
        <x:v>Not published (do not assume printed)</x:v>
      </x:c>
      <x:c r="R1816" t="str">
        <x:v>Not applicable</x:v>
      </x:c>
      <x:c r="S1816" t="str">
        <x:v>&lt;20% RH during printing/storage</x:v>
      </x:c>
      <x:c r="T1816" t="str">
        <x:v>Not published</x:v>
      </x:c>
      <x:c r="U1816" t="str">
        <x:v>Not published</x:v>
      </x:c>
      <x:c r="V1816" t="str">
        <x:v>ISO 306, GB/T 1633</x:v>
      </x:c>
      <x:c r="W1816" t="str">
        <x:v>Not applicable</x:v>
      </x:c>
      <x:c r="X1816" t="str">
        <x:v>Manufacturer TDS; support-interface material</x:v>
      </x:c>
      <x:c r="Y1816" t="str">
        <x:v>R-BAMBU-SUPPORT-PLA-NEW-TDS</x:v>
      </x:c>
      <x:c r="Z1816" t="str">
        <x:v>p. 2: Vicar Softening Temperature</x:v>
      </x:c>
      <x:c r="AA1816" t="str">
        <x:v>Not applicable</x:v>
      </x:c>
      <x:c r="AB1816" t="str">
        <x:v>Not applicable</x:v>
      </x:c>
      <x:c r="AC1816" t="str">
        <x:v>Not applicable</x:v>
      </x:c>
      <x:c r="AD1816" t="str">
        <x:v>Not applicable</x:v>
      </x:c>
      <x:c r="AE1816" t="str">
        <x:v>Not applicable</x:v>
      </x:c>
      <x:c r="AF1816" t="str">
        <x:v>Not applicable</x:v>
      </x:c>
      <x:c r="AG1816" t="str">
        <x:v>Not applicable</x:v>
      </x:c>
    </x:row>
    <x:row r="1817">
      <x:c r="A1817" t="str">
        <x:v>V001814</x:v>
      </x:c>
      <x:c r="B1817" t="str">
        <x:v>M077</x:v>
      </x:c>
      <x:c r="C1817" t="str">
        <x:v>G077-01</x:v>
      </x:c>
      <x:c r="D1817" t="str">
        <x:v>HDT</x:v>
      </x:c>
      <x:c r="E1817" t="str">
        <x:v>N/A</x:v>
      </x:c>
      <x:c r="F1817" t="str">
        <x:v>°C</x:v>
      </x:c>
      <x:c r="G1817" t="str">
        <x:v>Not published</x:v>
      </x:c>
      <x:c r="H1817" t="str">
        <x:v>Not applicable</x:v>
      </x:c>
      <x:c r="I1817" t="str">
        <x:v>Not applicable</x:v>
      </x:c>
      <x:c r="J1817" t="str">
        <x:v>Not applicable</x:v>
      </x:c>
      <x:c r="K1817" t="n">
        <x:v>1</x:v>
      </x:c>
      <x:c r="L1817" t="str">
        <x:v>Not published</x:v>
      </x:c>
      <x:c r="M1817" t="str">
        <x:v>Not applicable</x:v>
      </x:c>
      <x:c r="N1817" t="str">
        <x:v>Not applicable</x:v>
      </x:c>
      <x:c r="O1817" t="str">
        <x:v>°C</x:v>
      </x:c>
      <x:c r="P1817" t="str">
        <x:v>Not published</x:v>
      </x:c>
      <x:c r="Q1817" t="str">
        <x:v>Not published (do not assume printed)</x:v>
      </x:c>
      <x:c r="R1817" t="str">
        <x:v>Not applicable</x:v>
      </x:c>
      <x:c r="S1817" t="str">
        <x:v>&lt;20% RH during printing/storage</x:v>
      </x:c>
      <x:c r="T1817" t="str">
        <x:v>Not published</x:v>
      </x:c>
      <x:c r="U1817" t="str">
        <x:v>Not published</x:v>
      </x:c>
      <x:c r="V1817" t="str">
        <x:v>ISO 75 1.8 MPa</x:v>
      </x:c>
      <x:c r="W1817" t="str">
        <x:v>Not applicable</x:v>
      </x:c>
      <x:c r="X1817" t="str">
        <x:v>Manufacturer TDS; support-interface material</x:v>
      </x:c>
      <x:c r="Y1817" t="str">
        <x:v>R-BAMBU-SUPPORT-PLA-NEW-TDS</x:v>
      </x:c>
      <x:c r="Z1817" t="str">
        <x:v>p. 2: Heat Deflection Temperature at 1.8 MPa</x:v>
      </x:c>
      <x:c r="AA1817" t="str">
        <x:v>Not applicable</x:v>
      </x:c>
      <x:c r="AB1817" t="str">
        <x:v>Not applicable</x:v>
      </x:c>
      <x:c r="AC1817" t="str">
        <x:v>Not applicable</x:v>
      </x:c>
      <x:c r="AD1817" t="str">
        <x:v>Not applicable</x:v>
      </x:c>
      <x:c r="AE1817" t="str">
        <x:v>Not applicable</x:v>
      </x:c>
      <x:c r="AF1817" t="str">
        <x:v>Not applicable</x:v>
      </x:c>
      <x:c r="AG1817" t="str">
        <x:v>Not applicable</x:v>
      </x:c>
    </x:row>
    <x:row r="1818">
      <x:c r="A1818" t="str">
        <x:v>V001815</x:v>
      </x:c>
      <x:c r="B1818" t="str">
        <x:v>M077</x:v>
      </x:c>
      <x:c r="C1818" t="str">
        <x:v>G077-01</x:v>
      </x:c>
      <x:c r="D1818" t="str">
        <x:v>HDT</x:v>
      </x:c>
      <x:c r="E1818" t="str">
        <x:v>N/A</x:v>
      </x:c>
      <x:c r="F1818" t="str">
        <x:v>°C</x:v>
      </x:c>
      <x:c r="G1818" t="str">
        <x:v>Not published</x:v>
      </x:c>
      <x:c r="H1818" t="str">
        <x:v>Not applicable</x:v>
      </x:c>
      <x:c r="I1818" t="str">
        <x:v>Not applicable</x:v>
      </x:c>
      <x:c r="J1818" t="str">
        <x:v>Not applicable</x:v>
      </x:c>
      <x:c r="K1818" t="n">
        <x:v>1</x:v>
      </x:c>
      <x:c r="L1818" t="str">
        <x:v>Not published</x:v>
      </x:c>
      <x:c r="M1818" t="str">
        <x:v>Not applicable</x:v>
      </x:c>
      <x:c r="N1818" t="str">
        <x:v>Not applicable</x:v>
      </x:c>
      <x:c r="O1818" t="str">
        <x:v>°C</x:v>
      </x:c>
      <x:c r="P1818" t="str">
        <x:v>Not published</x:v>
      </x:c>
      <x:c r="Q1818" t="str">
        <x:v>Not published (do not assume printed)</x:v>
      </x:c>
      <x:c r="R1818" t="str">
        <x:v>Not applicable</x:v>
      </x:c>
      <x:c r="S1818" t="str">
        <x:v>&lt;20% RH during printing/storage</x:v>
      </x:c>
      <x:c r="T1818" t="str">
        <x:v>Not published</x:v>
      </x:c>
      <x:c r="U1818" t="str">
        <x:v>Not published</x:v>
      </x:c>
      <x:c r="V1818" t="str">
        <x:v>ISO 75 0.45 MPa</x:v>
      </x:c>
      <x:c r="W1818" t="str">
        <x:v>Not applicable</x:v>
      </x:c>
      <x:c r="X1818" t="str">
        <x:v>Manufacturer TDS; support-interface material</x:v>
      </x:c>
      <x:c r="Y1818" t="str">
        <x:v>R-BAMBU-SUPPORT-PLA-NEW-TDS</x:v>
      </x:c>
      <x:c r="Z1818" t="str">
        <x:v>p. 2: Heat Deflection Temperature at 0.45 MPa</x:v>
      </x:c>
      <x:c r="AA1818" t="str">
        <x:v>Not applicable</x:v>
      </x:c>
      <x:c r="AB1818" t="str">
        <x:v>Not applicable</x:v>
      </x:c>
      <x:c r="AC1818" t="str">
        <x:v>Not applicable</x:v>
      </x:c>
      <x:c r="AD1818" t="str">
        <x:v>Not applicable</x:v>
      </x:c>
      <x:c r="AE1818" t="str">
        <x:v>Not applicable</x:v>
      </x:c>
      <x:c r="AF1818" t="str">
        <x:v>Not applicable</x:v>
      </x:c>
      <x:c r="AG1818" t="str">
        <x:v>Not applicable</x:v>
      </x:c>
    </x:row>
    <x:row r="1819">
      <x:c r="A1819" t="str">
        <x:v>V001816</x:v>
      </x:c>
      <x:c r="B1819" t="str">
        <x:v>M077</x:v>
      </x:c>
      <x:c r="C1819" t="str">
        <x:v>G077-01</x:v>
      </x:c>
      <x:c r="D1819" t="str">
        <x:v>Water absorption</x:v>
      </x:c>
      <x:c r="E1819" t="str">
        <x:v>0.43%</x:v>
      </x:c>
      <x:c r="F1819" t="str">
        <x:v>%</x:v>
      </x:c>
      <x:c r="G1819" t="n">
        <x:v>0.43</x:v>
      </x:c>
      <x:c r="H1819" t="str">
        <x:v>Not applicable</x:v>
      </x:c>
      <x:c r="I1819" t="str">
        <x:v>Not applicable</x:v>
      </x:c>
      <x:c r="J1819" t="str">
        <x:v>=</x:v>
      </x:c>
      <x:c r="K1819" t="n">
        <x:v>1</x:v>
      </x:c>
      <x:c r="L1819" t="n">
        <x:v>0.43</x:v>
      </x:c>
      <x:c r="M1819" t="str">
        <x:v>Not applicable</x:v>
      </x:c>
      <x:c r="N1819" t="str">
        <x:v>Not applicable</x:v>
      </x:c>
      <x:c r="O1819" t="str">
        <x:v>%</x:v>
      </x:c>
      <x:c r="P1819" t="str">
        <x:v>Published value</x:v>
      </x:c>
      <x:c r="Q1819" t="str">
        <x:v>Not published (do not assume printed)</x:v>
      </x:c>
      <x:c r="R1819" t="str">
        <x:v>Not applicable</x:v>
      </x:c>
      <x:c r="S1819" t="str">
        <x:v>&lt;20% RH during printing/storage</x:v>
      </x:c>
      <x:c r="T1819" t="str">
        <x:v>Not published</x:v>
      </x:c>
      <x:c r="U1819" t="str">
        <x:v>Not published</x:v>
      </x:c>
      <x:c r="V1819" t="str">
        <x:v>25 °C, 55% RH</x:v>
      </x:c>
      <x:c r="W1819" t="str">
        <x:v>Not applicable</x:v>
      </x:c>
      <x:c r="X1819" t="str">
        <x:v>Manufacturer TDS; support-interface material</x:v>
      </x:c>
      <x:c r="Y1819" t="str">
        <x:v>R-BAMBU-SUPPORT-PLA-NEW-TDS</x:v>
      </x:c>
      <x:c r="Z1819" t="str">
        <x:v>p. 2: Saturated Water Absorption Rate</x:v>
      </x:c>
      <x:c r="AA1819" t="str">
        <x:v>Not applicable</x:v>
      </x:c>
      <x:c r="AB1819" t="str">
        <x:v>Not applicable</x:v>
      </x:c>
      <x:c r="AC1819" t="str">
        <x:v>Not applicable</x:v>
      </x:c>
      <x:c r="AD1819" t="str">
        <x:v>Not applicable</x:v>
      </x:c>
      <x:c r="AE1819" t="str">
        <x:v>Not applicable</x:v>
      </x:c>
      <x:c r="AF1819" t="str">
        <x:v>Not applicable</x:v>
      </x:c>
      <x:c r="AG1819" t="str">
        <x:v>Not applicable</x:v>
      </x:c>
    </x:row>
    <x:row r="1820">
      <x:c r="A1820" t="str">
        <x:v>V001817</x:v>
      </x:c>
      <x:c r="B1820" t="str">
        <x:v>M077</x:v>
      </x:c>
      <x:c r="C1820" t="str">
        <x:v>G077-01</x:v>
      </x:c>
      <x:c r="D1820" t="str">
        <x:v>Tensile modulus</x:v>
      </x:c>
      <x:c r="E1820" t="str">
        <x:v>N/A</x:v>
      </x:c>
      <x:c r="F1820" t="str">
        <x:v>GPa</x:v>
      </x:c>
      <x:c r="G1820" t="str">
        <x:v>Not published</x:v>
      </x:c>
      <x:c r="H1820" t="str">
        <x:v>Not applicable</x:v>
      </x:c>
      <x:c r="I1820" t="str">
        <x:v>Not applicable</x:v>
      </x:c>
      <x:c r="J1820" t="str">
        <x:v>Not applicable</x:v>
      </x:c>
      <x:c r="K1820" t="n">
        <x:v>1</x:v>
      </x:c>
      <x:c r="L1820" t="str">
        <x:v>Not published</x:v>
      </x:c>
      <x:c r="M1820" t="str">
        <x:v>Not applicable</x:v>
      </x:c>
      <x:c r="N1820" t="str">
        <x:v>Not applicable</x:v>
      </x:c>
      <x:c r="O1820" t="str">
        <x:v>GPa</x:v>
      </x:c>
      <x:c r="P1820" t="str">
        <x:v>Not published</x:v>
      </x:c>
      <x:c r="Q1820" t="str">
        <x:v>Printed specimen; TDS reports N/A</x:v>
      </x:c>
      <x:c r="R1820" t="str">
        <x:v>XY</x:v>
      </x:c>
      <x:c r="S1820" t="str">
        <x:v>&lt;20% RH during printing/storage</x:v>
      </x:c>
      <x:c r="T1820" t="str">
        <x:v>Not published</x:v>
      </x:c>
      <x:c r="U1820" t="str">
        <x:v>Not published</x:v>
      </x:c>
      <x:c r="V1820" t="str">
        <x:v>ISO 527, GB/T 1040</x:v>
      </x:c>
      <x:c r="W1820" t="str">
        <x:v>Not applicable</x:v>
      </x:c>
      <x:c r="X1820" t="str">
        <x:v>Manufacturer TDS; support-interface material</x:v>
      </x:c>
      <x:c r="Y1820" t="str">
        <x:v>R-BAMBU-SUPPORT-PLA-NEW-TDS</x:v>
      </x:c>
      <x:c r="Z1820" t="str">
        <x:v>p. 2: Young's Modulus (X-Y)</x:v>
      </x:c>
      <x:c r="AA1820" t="str">
        <x:v>Not applicable</x:v>
      </x:c>
      <x:c r="AB1820" t="str">
        <x:v>Not applicable</x:v>
      </x:c>
      <x:c r="AC1820" t="str">
        <x:v>Not applicable</x:v>
      </x:c>
      <x:c r="AD1820" t="str">
        <x:v>Not applicable</x:v>
      </x:c>
      <x:c r="AE1820" t="str">
        <x:v>Not applicable</x:v>
      </x:c>
      <x:c r="AF1820" t="str">
        <x:v>Not applicable</x:v>
      </x:c>
      <x:c r="AG1820" t="str">
        <x:v>Not applicable</x:v>
      </x:c>
    </x:row>
    <x:row r="1821">
      <x:c r="A1821" t="str">
        <x:v>V001818</x:v>
      </x:c>
      <x:c r="B1821" t="str">
        <x:v>M077</x:v>
      </x:c>
      <x:c r="C1821" t="str">
        <x:v>G077-01</x:v>
      </x:c>
      <x:c r="D1821" t="str">
        <x:v>Tensile modulus</x:v>
      </x:c>
      <x:c r="E1821" t="str">
        <x:v>N/A</x:v>
      </x:c>
      <x:c r="F1821" t="str">
        <x:v>GPa</x:v>
      </x:c>
      <x:c r="G1821" t="str">
        <x:v>Not published</x:v>
      </x:c>
      <x:c r="H1821" t="str">
        <x:v>Not applicable</x:v>
      </x:c>
      <x:c r="I1821" t="str">
        <x:v>Not applicable</x:v>
      </x:c>
      <x:c r="J1821" t="str">
        <x:v>Not applicable</x:v>
      </x:c>
      <x:c r="K1821" t="n">
        <x:v>1</x:v>
      </x:c>
      <x:c r="L1821" t="str">
        <x:v>Not published</x:v>
      </x:c>
      <x:c r="M1821" t="str">
        <x:v>Not applicable</x:v>
      </x:c>
      <x:c r="N1821" t="str">
        <x:v>Not applicable</x:v>
      </x:c>
      <x:c r="O1821" t="str">
        <x:v>GPa</x:v>
      </x:c>
      <x:c r="P1821" t="str">
        <x:v>Not published</x:v>
      </x:c>
      <x:c r="Q1821" t="str">
        <x:v>Printed specimen; TDS reports N/A</x:v>
      </x:c>
      <x:c r="R1821" t="str">
        <x:v>Z</x:v>
      </x:c>
      <x:c r="S1821" t="str">
        <x:v>&lt;20% RH during printing/storage</x:v>
      </x:c>
      <x:c r="T1821" t="str">
        <x:v>Not published</x:v>
      </x:c>
      <x:c r="U1821" t="str">
        <x:v>Not published</x:v>
      </x:c>
      <x:c r="V1821" t="str">
        <x:v>ISO 527, GB/T 1040</x:v>
      </x:c>
      <x:c r="W1821" t="str">
        <x:v>Not applicable</x:v>
      </x:c>
      <x:c r="X1821" t="str">
        <x:v>Manufacturer TDS; support-interface material</x:v>
      </x:c>
      <x:c r="Y1821" t="str">
        <x:v>R-BAMBU-SUPPORT-PLA-NEW-TDS</x:v>
      </x:c>
      <x:c r="Z1821" t="str">
        <x:v>p. 2: Young's Modulus (Z)</x:v>
      </x:c>
      <x:c r="AA1821" t="str">
        <x:v>Not applicable</x:v>
      </x:c>
      <x:c r="AB1821" t="str">
        <x:v>Not applicable</x:v>
      </x:c>
      <x:c r="AC1821" t="str">
        <x:v>Not applicable</x:v>
      </x:c>
      <x:c r="AD1821" t="str">
        <x:v>Not applicable</x:v>
      </x:c>
      <x:c r="AE1821" t="str">
        <x:v>Not applicable</x:v>
      </x:c>
      <x:c r="AF1821" t="str">
        <x:v>Not applicable</x:v>
      </x:c>
      <x:c r="AG1821" t="str">
        <x:v>Not applicable</x:v>
      </x:c>
    </x:row>
    <x:row r="1822">
      <x:c r="A1822" t="str">
        <x:v>V001819</x:v>
      </x:c>
      <x:c r="B1822" t="str">
        <x:v>M077</x:v>
      </x:c>
      <x:c r="C1822" t="str">
        <x:v>G077-01</x:v>
      </x:c>
      <x:c r="D1822" t="str">
        <x:v>Tensile strength (endpoint unspecified)</x:v>
      </x:c>
      <x:c r="E1822" t="str">
        <x:v>N/A</x:v>
      </x:c>
      <x:c r="F1822" t="str">
        <x:v>MPa</x:v>
      </x:c>
      <x:c r="G1822" t="str">
        <x:v>Not published</x:v>
      </x:c>
      <x:c r="H1822" t="str">
        <x:v>Not applicable</x:v>
      </x:c>
      <x:c r="I1822" t="str">
        <x:v>Not applicable</x:v>
      </x:c>
      <x:c r="J1822" t="str">
        <x:v>Not applicable</x:v>
      </x:c>
      <x:c r="K1822" t="n">
        <x:v>1</x:v>
      </x:c>
      <x:c r="L1822" t="str">
        <x:v>Not published</x:v>
      </x:c>
      <x:c r="M1822" t="str">
        <x:v>Not applicable</x:v>
      </x:c>
      <x:c r="N1822" t="str">
        <x:v>Not applicable</x:v>
      </x:c>
      <x:c r="O1822" t="str">
        <x:v>MPa</x:v>
      </x:c>
      <x:c r="P1822" t="str">
        <x:v>Not published</x:v>
      </x:c>
      <x:c r="Q1822" t="str">
        <x:v>Printed specimen; TDS reports N/A</x:v>
      </x:c>
      <x:c r="R1822" t="str">
        <x:v>XY</x:v>
      </x:c>
      <x:c r="S1822" t="str">
        <x:v>&lt;20% RH during printing/storage</x:v>
      </x:c>
      <x:c r="T1822" t="str">
        <x:v>Not published</x:v>
      </x:c>
      <x:c r="U1822" t="str">
        <x:v>Not published</x:v>
      </x:c>
      <x:c r="V1822" t="str">
        <x:v>ISO 527, GB/T 1040</x:v>
      </x:c>
      <x:c r="W1822" t="str">
        <x:v>Not applicable</x:v>
      </x:c>
      <x:c r="X1822" t="str">
        <x:v>Manufacturer TDS; support-interface material</x:v>
      </x:c>
      <x:c r="Y1822" t="str">
        <x:v>R-BAMBU-SUPPORT-PLA-NEW-TDS</x:v>
      </x:c>
      <x:c r="Z1822" t="str">
        <x:v>p. 2: Tensile Strength (X-Y)</x:v>
      </x:c>
      <x:c r="AA1822" t="str">
        <x:v>Not applicable</x:v>
      </x:c>
      <x:c r="AB1822" t="str">
        <x:v>Not applicable</x:v>
      </x:c>
      <x:c r="AC1822" t="str">
        <x:v>Not applicable</x:v>
      </x:c>
      <x:c r="AD1822" t="str">
        <x:v>Not applicable</x:v>
      </x:c>
      <x:c r="AE1822" t="str">
        <x:v>Not applicable</x:v>
      </x:c>
      <x:c r="AF1822" t="str">
        <x:v>Not applicable</x:v>
      </x:c>
      <x:c r="AG1822" t="str">
        <x:v>Not applicable</x:v>
      </x:c>
    </x:row>
    <x:row r="1823">
      <x:c r="A1823" t="str">
        <x:v>V001820</x:v>
      </x:c>
      <x:c r="B1823" t="str">
        <x:v>M077</x:v>
      </x:c>
      <x:c r="C1823" t="str">
        <x:v>G077-01</x:v>
      </x:c>
      <x:c r="D1823" t="str">
        <x:v>Tensile strength (endpoint unspecified)</x:v>
      </x:c>
      <x:c r="E1823" t="str">
        <x:v>N/A</x:v>
      </x:c>
      <x:c r="F1823" t="str">
        <x:v>MPa</x:v>
      </x:c>
      <x:c r="G1823" t="str">
        <x:v>Not published</x:v>
      </x:c>
      <x:c r="H1823" t="str">
        <x:v>Not applicable</x:v>
      </x:c>
      <x:c r="I1823" t="str">
        <x:v>Not applicable</x:v>
      </x:c>
      <x:c r="J1823" t="str">
        <x:v>Not applicable</x:v>
      </x:c>
      <x:c r="K1823" t="n">
        <x:v>1</x:v>
      </x:c>
      <x:c r="L1823" t="str">
        <x:v>Not published</x:v>
      </x:c>
      <x:c r="M1823" t="str">
        <x:v>Not applicable</x:v>
      </x:c>
      <x:c r="N1823" t="str">
        <x:v>Not applicable</x:v>
      </x:c>
      <x:c r="O1823" t="str">
        <x:v>MPa</x:v>
      </x:c>
      <x:c r="P1823" t="str">
        <x:v>Not published</x:v>
      </x:c>
      <x:c r="Q1823" t="str">
        <x:v>Printed specimen; TDS reports N/A</x:v>
      </x:c>
      <x:c r="R1823" t="str">
        <x:v>Z</x:v>
      </x:c>
      <x:c r="S1823" t="str">
        <x:v>&lt;20% RH during printing/storage</x:v>
      </x:c>
      <x:c r="T1823" t="str">
        <x:v>Not published</x:v>
      </x:c>
      <x:c r="U1823" t="str">
        <x:v>Not published</x:v>
      </x:c>
      <x:c r="V1823" t="str">
        <x:v>ISO 527, GB/T 1040</x:v>
      </x:c>
      <x:c r="W1823" t="str">
        <x:v>Not applicable</x:v>
      </x:c>
      <x:c r="X1823" t="str">
        <x:v>Manufacturer TDS; support-interface material</x:v>
      </x:c>
      <x:c r="Y1823" t="str">
        <x:v>R-BAMBU-SUPPORT-PLA-NEW-TDS</x:v>
      </x:c>
      <x:c r="Z1823" t="str">
        <x:v>p. 2: Tensile Strength (Z)</x:v>
      </x:c>
      <x:c r="AA1823" t="str">
        <x:v>Not applicable</x:v>
      </x:c>
      <x:c r="AB1823" t="str">
        <x:v>Not applicable</x:v>
      </x:c>
      <x:c r="AC1823" t="str">
        <x:v>Not applicable</x:v>
      </x:c>
      <x:c r="AD1823" t="str">
        <x:v>Not applicable</x:v>
      </x:c>
      <x:c r="AE1823" t="str">
        <x:v>Not applicable</x:v>
      </x:c>
      <x:c r="AF1823" t="str">
        <x:v>Not applicable</x:v>
      </x:c>
      <x:c r="AG1823" t="str">
        <x:v>Not applicable</x:v>
      </x:c>
    </x:row>
    <x:row r="1824">
      <x:c r="A1824" t="str">
        <x:v>V001821</x:v>
      </x:c>
      <x:c r="B1824" t="str">
        <x:v>M077</x:v>
      </x:c>
      <x:c r="C1824" t="str">
        <x:v>G077-01</x:v>
      </x:c>
      <x:c r="D1824" t="str">
        <x:v>Elongation at break</x:v>
      </x:c>
      <x:c r="E1824" t="str">
        <x:v>N/A</x:v>
      </x:c>
      <x:c r="F1824" t="str">
        <x:v>%</x:v>
      </x:c>
      <x:c r="G1824" t="str">
        <x:v>Not published</x:v>
      </x:c>
      <x:c r="H1824" t="str">
        <x:v>Not applicable</x:v>
      </x:c>
      <x:c r="I1824" t="str">
        <x:v>Not applicable</x:v>
      </x:c>
      <x:c r="J1824" t="str">
        <x:v>Not applicable</x:v>
      </x:c>
      <x:c r="K1824" t="n">
        <x:v>1</x:v>
      </x:c>
      <x:c r="L1824" t="str">
        <x:v>Not published</x:v>
      </x:c>
      <x:c r="M1824" t="str">
        <x:v>Not applicable</x:v>
      </x:c>
      <x:c r="N1824" t="str">
        <x:v>Not applicable</x:v>
      </x:c>
      <x:c r="O1824" t="str">
        <x:v>%</x:v>
      </x:c>
      <x:c r="P1824" t="str">
        <x:v>Not published</x:v>
      </x:c>
      <x:c r="Q1824" t="str">
        <x:v>Printed specimen; TDS reports N/A</x:v>
      </x:c>
      <x:c r="R1824" t="str">
        <x:v>XY</x:v>
      </x:c>
      <x:c r="S1824" t="str">
        <x:v>&lt;20% RH during printing/storage</x:v>
      </x:c>
      <x:c r="T1824" t="str">
        <x:v>Not published</x:v>
      </x:c>
      <x:c r="U1824" t="str">
        <x:v>Not published</x:v>
      </x:c>
      <x:c r="V1824" t="str">
        <x:v>ISO 527, GB/T 1040</x:v>
      </x:c>
      <x:c r="W1824" t="str">
        <x:v>Not applicable</x:v>
      </x:c>
      <x:c r="X1824" t="str">
        <x:v>Manufacturer TDS; support-interface material</x:v>
      </x:c>
      <x:c r="Y1824" t="str">
        <x:v>R-BAMBU-SUPPORT-PLA-NEW-TDS</x:v>
      </x:c>
      <x:c r="Z1824" t="str">
        <x:v>p. 2: Breaking Elongation Rate (X-Y)</x:v>
      </x:c>
      <x:c r="AA1824" t="str">
        <x:v>Not applicable</x:v>
      </x:c>
      <x:c r="AB1824" t="str">
        <x:v>Not applicable</x:v>
      </x:c>
      <x:c r="AC1824" t="str">
        <x:v>Not applicable</x:v>
      </x:c>
      <x:c r="AD1824" t="str">
        <x:v>Not applicable</x:v>
      </x:c>
      <x:c r="AE1824" t="str">
        <x:v>Not applicable</x:v>
      </x:c>
      <x:c r="AF1824" t="str">
        <x:v>Not applicable</x:v>
      </x:c>
      <x:c r="AG1824" t="str">
        <x:v>Not applicable</x:v>
      </x:c>
    </x:row>
    <x:row r="1825">
      <x:c r="A1825" t="str">
        <x:v>V001822</x:v>
      </x:c>
      <x:c r="B1825" t="str">
        <x:v>M077</x:v>
      </x:c>
      <x:c r="C1825" t="str">
        <x:v>G077-01</x:v>
      </x:c>
      <x:c r="D1825" t="str">
        <x:v>Elongation at break</x:v>
      </x:c>
      <x:c r="E1825" t="str">
        <x:v>N/A</x:v>
      </x:c>
      <x:c r="F1825" t="str">
        <x:v>%</x:v>
      </x:c>
      <x:c r="G1825" t="str">
        <x:v>Not published</x:v>
      </x:c>
      <x:c r="H1825" t="str">
        <x:v>Not applicable</x:v>
      </x:c>
      <x:c r="I1825" t="str">
        <x:v>Not applicable</x:v>
      </x:c>
      <x:c r="J1825" t="str">
        <x:v>Not applicable</x:v>
      </x:c>
      <x:c r="K1825" t="n">
        <x:v>1</x:v>
      </x:c>
      <x:c r="L1825" t="str">
        <x:v>Not published</x:v>
      </x:c>
      <x:c r="M1825" t="str">
        <x:v>Not applicable</x:v>
      </x:c>
      <x:c r="N1825" t="str">
        <x:v>Not applicable</x:v>
      </x:c>
      <x:c r="O1825" t="str">
        <x:v>%</x:v>
      </x:c>
      <x:c r="P1825" t="str">
        <x:v>Not published</x:v>
      </x:c>
      <x:c r="Q1825" t="str">
        <x:v>Printed specimen; TDS reports N/A</x:v>
      </x:c>
      <x:c r="R1825" t="str">
        <x:v>Z</x:v>
      </x:c>
      <x:c r="S1825" t="str">
        <x:v>&lt;20% RH during printing/storage</x:v>
      </x:c>
      <x:c r="T1825" t="str">
        <x:v>Not published</x:v>
      </x:c>
      <x:c r="U1825" t="str">
        <x:v>Not published</x:v>
      </x:c>
      <x:c r="V1825" t="str">
        <x:v>ISO 527, GB/T 1040</x:v>
      </x:c>
      <x:c r="W1825" t="str">
        <x:v>Not applicable</x:v>
      </x:c>
      <x:c r="X1825" t="str">
        <x:v>Manufacturer TDS; support-interface material</x:v>
      </x:c>
      <x:c r="Y1825" t="str">
        <x:v>R-BAMBU-SUPPORT-PLA-NEW-TDS</x:v>
      </x:c>
      <x:c r="Z1825" t="str">
        <x:v>p. 2: Breaking Elongation Rate (Z)</x:v>
      </x:c>
      <x:c r="AA1825" t="str">
        <x:v>Not applicable</x:v>
      </x:c>
      <x:c r="AB1825" t="str">
        <x:v>Not applicable</x:v>
      </x:c>
      <x:c r="AC1825" t="str">
        <x:v>Not applicable</x:v>
      </x:c>
      <x:c r="AD1825" t="str">
        <x:v>Not applicable</x:v>
      </x:c>
      <x:c r="AE1825" t="str">
        <x:v>Not applicable</x:v>
      </x:c>
      <x:c r="AF1825" t="str">
        <x:v>Not applicable</x:v>
      </x:c>
      <x:c r="AG1825" t="str">
        <x:v>Not applicable</x:v>
      </x:c>
    </x:row>
    <x:row r="1826">
      <x:c r="A1826" t="str">
        <x:v>V001823</x:v>
      </x:c>
      <x:c r="B1826" t="str">
        <x:v>M077</x:v>
      </x:c>
      <x:c r="C1826" t="str">
        <x:v>G077-01</x:v>
      </x:c>
      <x:c r="D1826" t="str">
        <x:v>Flexural modulus</x:v>
      </x:c>
      <x:c r="E1826" t="str">
        <x:v>N/A</x:v>
      </x:c>
      <x:c r="F1826" t="str">
        <x:v>GPa</x:v>
      </x:c>
      <x:c r="G1826" t="str">
        <x:v>Not published</x:v>
      </x:c>
      <x:c r="H1826" t="str">
        <x:v>Not applicable</x:v>
      </x:c>
      <x:c r="I1826" t="str">
        <x:v>Not applicable</x:v>
      </x:c>
      <x:c r="J1826" t="str">
        <x:v>Not applicable</x:v>
      </x:c>
      <x:c r="K1826" t="n">
        <x:v>1</x:v>
      </x:c>
      <x:c r="L1826" t="str">
        <x:v>Not published</x:v>
      </x:c>
      <x:c r="M1826" t="str">
        <x:v>Not applicable</x:v>
      </x:c>
      <x:c r="N1826" t="str">
        <x:v>Not applicable</x:v>
      </x:c>
      <x:c r="O1826" t="str">
        <x:v>GPa</x:v>
      </x:c>
      <x:c r="P1826" t="str">
        <x:v>Not published</x:v>
      </x:c>
      <x:c r="Q1826" t="str">
        <x:v>Printed specimen; TDS reports N/A</x:v>
      </x:c>
      <x:c r="R1826" t="str">
        <x:v>XY</x:v>
      </x:c>
      <x:c r="S1826" t="str">
        <x:v>&lt;20% RH during printing/storage</x:v>
      </x:c>
      <x:c r="T1826" t="str">
        <x:v>Not published</x:v>
      </x:c>
      <x:c r="U1826" t="str">
        <x:v>Not published</x:v>
      </x:c>
      <x:c r="V1826" t="str">
        <x:v>ISO 178, GB/T 9341</x:v>
      </x:c>
      <x:c r="W1826" t="str">
        <x:v>Not applicable</x:v>
      </x:c>
      <x:c r="X1826" t="str">
        <x:v>Manufacturer TDS; support-interface material</x:v>
      </x:c>
      <x:c r="Y1826" t="str">
        <x:v>R-BAMBU-SUPPORT-PLA-NEW-TDS</x:v>
      </x:c>
      <x:c r="Z1826" t="str">
        <x:v>p. 2: Bending Modulus (X-Y)</x:v>
      </x:c>
      <x:c r="AA1826" t="str">
        <x:v>Not applicable</x:v>
      </x:c>
      <x:c r="AB1826" t="str">
        <x:v>Not applicable</x:v>
      </x:c>
      <x:c r="AC1826" t="str">
        <x:v>Not applicable</x:v>
      </x:c>
      <x:c r="AD1826" t="str">
        <x:v>Not applicable</x:v>
      </x:c>
      <x:c r="AE1826" t="str">
        <x:v>Not applicable</x:v>
      </x:c>
      <x:c r="AF1826" t="str">
        <x:v>Not applicable</x:v>
      </x:c>
      <x:c r="AG1826" t="str">
        <x:v>Not applicable</x:v>
      </x:c>
    </x:row>
    <x:row r="1827">
      <x:c r="A1827" t="str">
        <x:v>V001824</x:v>
      </x:c>
      <x:c r="B1827" t="str">
        <x:v>M077</x:v>
      </x:c>
      <x:c r="C1827" t="str">
        <x:v>G077-01</x:v>
      </x:c>
      <x:c r="D1827" t="str">
        <x:v>Flexural modulus</x:v>
      </x:c>
      <x:c r="E1827" t="str">
        <x:v>N/A</x:v>
      </x:c>
      <x:c r="F1827" t="str">
        <x:v>GPa</x:v>
      </x:c>
      <x:c r="G1827" t="str">
        <x:v>Not published</x:v>
      </x:c>
      <x:c r="H1827" t="str">
        <x:v>Not applicable</x:v>
      </x:c>
      <x:c r="I1827" t="str">
        <x:v>Not applicable</x:v>
      </x:c>
      <x:c r="J1827" t="str">
        <x:v>Not applicable</x:v>
      </x:c>
      <x:c r="K1827" t="n">
        <x:v>1</x:v>
      </x:c>
      <x:c r="L1827" t="str">
        <x:v>Not published</x:v>
      </x:c>
      <x:c r="M1827" t="str">
        <x:v>Not applicable</x:v>
      </x:c>
      <x:c r="N1827" t="str">
        <x:v>Not applicable</x:v>
      </x:c>
      <x:c r="O1827" t="str">
        <x:v>GPa</x:v>
      </x:c>
      <x:c r="P1827" t="str">
        <x:v>Not published</x:v>
      </x:c>
      <x:c r="Q1827" t="str">
        <x:v>Printed specimen; TDS reports N/A</x:v>
      </x:c>
      <x:c r="R1827" t="str">
        <x:v>Z</x:v>
      </x:c>
      <x:c r="S1827" t="str">
        <x:v>&lt;20% RH during printing/storage</x:v>
      </x:c>
      <x:c r="T1827" t="str">
        <x:v>Not published</x:v>
      </x:c>
      <x:c r="U1827" t="str">
        <x:v>Not published</x:v>
      </x:c>
      <x:c r="V1827" t="str">
        <x:v>ISO 178, GB/T 9341</x:v>
      </x:c>
      <x:c r="W1827" t="str">
        <x:v>Not applicable</x:v>
      </x:c>
      <x:c r="X1827" t="str">
        <x:v>Manufacturer TDS; support-interface material</x:v>
      </x:c>
      <x:c r="Y1827" t="str">
        <x:v>R-BAMBU-SUPPORT-PLA-NEW-TDS</x:v>
      </x:c>
      <x:c r="Z1827" t="str">
        <x:v>p. 2: Bending Modulus (Z)</x:v>
      </x:c>
      <x:c r="AA1827" t="str">
        <x:v>Not applicable</x:v>
      </x:c>
      <x:c r="AB1827" t="str">
        <x:v>Not applicable</x:v>
      </x:c>
      <x:c r="AC1827" t="str">
        <x:v>Not applicable</x:v>
      </x:c>
      <x:c r="AD1827" t="str">
        <x:v>Not applicable</x:v>
      </x:c>
      <x:c r="AE1827" t="str">
        <x:v>Not applicable</x:v>
      </x:c>
      <x:c r="AF1827" t="str">
        <x:v>Not applicable</x:v>
      </x:c>
      <x:c r="AG1827" t="str">
        <x:v>Not applicable</x:v>
      </x:c>
    </x:row>
    <x:row r="1828">
      <x:c r="A1828" t="str">
        <x:v>V001825</x:v>
      </x:c>
      <x:c r="B1828" t="str">
        <x:v>M077</x:v>
      </x:c>
      <x:c r="C1828" t="str">
        <x:v>G077-01</x:v>
      </x:c>
      <x:c r="D1828" t="str">
        <x:v>Flexural strength</x:v>
      </x:c>
      <x:c r="E1828" t="str">
        <x:v>N/A</x:v>
      </x:c>
      <x:c r="F1828" t="str">
        <x:v>MPa</x:v>
      </x:c>
      <x:c r="G1828" t="str">
        <x:v>Not published</x:v>
      </x:c>
      <x:c r="H1828" t="str">
        <x:v>Not applicable</x:v>
      </x:c>
      <x:c r="I1828" t="str">
        <x:v>Not applicable</x:v>
      </x:c>
      <x:c r="J1828" t="str">
        <x:v>Not applicable</x:v>
      </x:c>
      <x:c r="K1828" t="n">
        <x:v>1</x:v>
      </x:c>
      <x:c r="L1828" t="str">
        <x:v>Not published</x:v>
      </x:c>
      <x:c r="M1828" t="str">
        <x:v>Not applicable</x:v>
      </x:c>
      <x:c r="N1828" t="str">
        <x:v>Not applicable</x:v>
      </x:c>
      <x:c r="O1828" t="str">
        <x:v>MPa</x:v>
      </x:c>
      <x:c r="P1828" t="str">
        <x:v>Not published</x:v>
      </x:c>
      <x:c r="Q1828" t="str">
        <x:v>Printed specimen; TDS reports N/A</x:v>
      </x:c>
      <x:c r="R1828" t="str">
        <x:v>XY</x:v>
      </x:c>
      <x:c r="S1828" t="str">
        <x:v>&lt;20% RH during printing/storage</x:v>
      </x:c>
      <x:c r="T1828" t="str">
        <x:v>Not published</x:v>
      </x:c>
      <x:c r="U1828" t="str">
        <x:v>Not published</x:v>
      </x:c>
      <x:c r="V1828" t="str">
        <x:v>ISO 178, GB/T 9341</x:v>
      </x:c>
      <x:c r="W1828" t="str">
        <x:v>Not applicable</x:v>
      </x:c>
      <x:c r="X1828" t="str">
        <x:v>Manufacturer TDS; support-interface material</x:v>
      </x:c>
      <x:c r="Y1828" t="str">
        <x:v>R-BAMBU-SUPPORT-PLA-NEW-TDS</x:v>
      </x:c>
      <x:c r="Z1828" t="str">
        <x:v>p. 2: Bending Strength (X-Y)</x:v>
      </x:c>
      <x:c r="AA1828" t="str">
        <x:v>Not applicable</x:v>
      </x:c>
      <x:c r="AB1828" t="str">
        <x:v>Not applicable</x:v>
      </x:c>
      <x:c r="AC1828" t="str">
        <x:v>Not applicable</x:v>
      </x:c>
      <x:c r="AD1828" t="str">
        <x:v>Not applicable</x:v>
      </x:c>
      <x:c r="AE1828" t="str">
        <x:v>Not applicable</x:v>
      </x:c>
      <x:c r="AF1828" t="str">
        <x:v>Not applicable</x:v>
      </x:c>
      <x:c r="AG1828" t="str">
        <x:v>Not applicable</x:v>
      </x:c>
    </x:row>
    <x:row r="1829">
      <x:c r="A1829" t="str">
        <x:v>V001826</x:v>
      </x:c>
      <x:c r="B1829" t="str">
        <x:v>M077</x:v>
      </x:c>
      <x:c r="C1829" t="str">
        <x:v>G077-01</x:v>
      </x:c>
      <x:c r="D1829" t="str">
        <x:v>Flexural strength</x:v>
      </x:c>
      <x:c r="E1829" t="str">
        <x:v>N/A</x:v>
      </x:c>
      <x:c r="F1829" t="str">
        <x:v>MPa</x:v>
      </x:c>
      <x:c r="G1829" t="str">
        <x:v>Not published</x:v>
      </x:c>
      <x:c r="H1829" t="str">
        <x:v>Not applicable</x:v>
      </x:c>
      <x:c r="I1829" t="str">
        <x:v>Not applicable</x:v>
      </x:c>
      <x:c r="J1829" t="str">
        <x:v>Not applicable</x:v>
      </x:c>
      <x:c r="K1829" t="n">
        <x:v>1</x:v>
      </x:c>
      <x:c r="L1829" t="str">
        <x:v>Not published</x:v>
      </x:c>
      <x:c r="M1829" t="str">
        <x:v>Not applicable</x:v>
      </x:c>
      <x:c r="N1829" t="str">
        <x:v>Not applicable</x:v>
      </x:c>
      <x:c r="O1829" t="str">
        <x:v>MPa</x:v>
      </x:c>
      <x:c r="P1829" t="str">
        <x:v>Not published</x:v>
      </x:c>
      <x:c r="Q1829" t="str">
        <x:v>Printed specimen; TDS reports N/A</x:v>
      </x:c>
      <x:c r="R1829" t="str">
        <x:v>Z</x:v>
      </x:c>
      <x:c r="S1829" t="str">
        <x:v>&lt;20% RH during printing/storage</x:v>
      </x:c>
      <x:c r="T1829" t="str">
        <x:v>Not published</x:v>
      </x:c>
      <x:c r="U1829" t="str">
        <x:v>Not published</x:v>
      </x:c>
      <x:c r="V1829" t="str">
        <x:v>ISO 178, GB/T 9341</x:v>
      </x:c>
      <x:c r="W1829" t="str">
        <x:v>Not applicable</x:v>
      </x:c>
      <x:c r="X1829" t="str">
        <x:v>Manufacturer TDS; support-interface material</x:v>
      </x:c>
      <x:c r="Y1829" t="str">
        <x:v>R-BAMBU-SUPPORT-PLA-NEW-TDS</x:v>
      </x:c>
      <x:c r="Z1829" t="str">
        <x:v>p. 2: Bending Strength (Z)</x:v>
      </x:c>
      <x:c r="AA1829" t="str">
        <x:v>Not applicable</x:v>
      </x:c>
      <x:c r="AB1829" t="str">
        <x:v>Not applicable</x:v>
      </x:c>
      <x:c r="AC1829" t="str">
        <x:v>Not applicable</x:v>
      </x:c>
      <x:c r="AD1829" t="str">
        <x:v>Not applicable</x:v>
      </x:c>
      <x:c r="AE1829" t="str">
        <x:v>Not applicable</x:v>
      </x:c>
      <x:c r="AF1829" t="str">
        <x:v>Not applicable</x:v>
      </x:c>
      <x:c r="AG1829" t="str">
        <x:v>Not applicable</x:v>
      </x:c>
    </x:row>
    <x:row r="1830">
      <x:c r="A1830" t="str">
        <x:v>V001827</x:v>
      </x:c>
      <x:c r="B1830" t="str">
        <x:v>M077</x:v>
      </x:c>
      <x:c r="C1830" t="str">
        <x:v>G077-01</x:v>
      </x:c>
      <x:c r="D1830" t="str">
        <x:v>Charpy strength</x:v>
      </x:c>
      <x:c r="E1830" t="str">
        <x:v>N/A</x:v>
      </x:c>
      <x:c r="F1830" t="str">
        <x:v>kJ/m²</x:v>
      </x:c>
      <x:c r="G1830" t="str">
        <x:v>Not published</x:v>
      </x:c>
      <x:c r="H1830" t="str">
        <x:v>Not applicable</x:v>
      </x:c>
      <x:c r="I1830" t="str">
        <x:v>Not applicable</x:v>
      </x:c>
      <x:c r="J1830" t="str">
        <x:v>Not applicable</x:v>
      </x:c>
      <x:c r="K1830" t="n">
        <x:v>1</x:v>
      </x:c>
      <x:c r="L1830" t="str">
        <x:v>Not published</x:v>
      </x:c>
      <x:c r="M1830" t="str">
        <x:v>Not applicable</x:v>
      </x:c>
      <x:c r="N1830" t="str">
        <x:v>Not applicable</x:v>
      </x:c>
      <x:c r="O1830" t="str">
        <x:v>kJ/m²</x:v>
      </x:c>
      <x:c r="P1830" t="str">
        <x:v>Not published</x:v>
      </x:c>
      <x:c r="Q1830" t="str">
        <x:v>Printed specimen; TDS reports N/A</x:v>
      </x:c>
      <x:c r="R1830" t="str">
        <x:v>XY</x:v>
      </x:c>
      <x:c r="S1830" t="str">
        <x:v>&lt;20% RH during printing/storage</x:v>
      </x:c>
      <x:c r="T1830" t="str">
        <x:v>Not published</x:v>
      </x:c>
      <x:c r="U1830" t="str">
        <x:v>Not published</x:v>
      </x:c>
      <x:c r="V1830" t="str">
        <x:v>ISO 179, GB/T 1043</x:v>
      </x:c>
      <x:c r="W1830" t="str">
        <x:v>Not published</x:v>
      </x:c>
      <x:c r="X1830" t="str">
        <x:v>Manufacturer TDS; support-interface material</x:v>
      </x:c>
      <x:c r="Y1830" t="str">
        <x:v>R-BAMBU-SUPPORT-PLA-NEW-TDS</x:v>
      </x:c>
      <x:c r="Z1830" t="str">
        <x:v>p. 2: Impact Strength (X-Y)</x:v>
      </x:c>
      <x:c r="AA1830" t="str">
        <x:v>Not applicable</x:v>
      </x:c>
      <x:c r="AB1830" t="str">
        <x:v>Not applicable</x:v>
      </x:c>
      <x:c r="AC1830" t="str">
        <x:v>Not applicable</x:v>
      </x:c>
      <x:c r="AD1830" t="str">
        <x:v>Not applicable</x:v>
      </x:c>
      <x:c r="AE1830" t="str">
        <x:v>Not applicable</x:v>
      </x:c>
      <x:c r="AF1830" t="str">
        <x:v>Not applicable</x:v>
      </x:c>
      <x:c r="AG1830" t="str">
        <x:v>Not applicable</x:v>
      </x:c>
    </x:row>
    <x:row r="1831">
      <x:c r="A1831" t="str">
        <x:v>V001828</x:v>
      </x:c>
      <x:c r="B1831" t="str">
        <x:v>M077</x:v>
      </x:c>
      <x:c r="C1831" t="str">
        <x:v>G077-01</x:v>
      </x:c>
      <x:c r="D1831" t="str">
        <x:v>Charpy strength</x:v>
      </x:c>
      <x:c r="E1831" t="str">
        <x:v>N/A</x:v>
      </x:c>
      <x:c r="F1831" t="str">
        <x:v>kJ/m²</x:v>
      </x:c>
      <x:c r="G1831" t="str">
        <x:v>Not published</x:v>
      </x:c>
      <x:c r="H1831" t="str">
        <x:v>Not applicable</x:v>
      </x:c>
      <x:c r="I1831" t="str">
        <x:v>Not applicable</x:v>
      </x:c>
      <x:c r="J1831" t="str">
        <x:v>Not applicable</x:v>
      </x:c>
      <x:c r="K1831" t="n">
        <x:v>1</x:v>
      </x:c>
      <x:c r="L1831" t="str">
        <x:v>Not published</x:v>
      </x:c>
      <x:c r="M1831" t="str">
        <x:v>Not applicable</x:v>
      </x:c>
      <x:c r="N1831" t="str">
        <x:v>Not applicable</x:v>
      </x:c>
      <x:c r="O1831" t="str">
        <x:v>kJ/m²</x:v>
      </x:c>
      <x:c r="P1831" t="str">
        <x:v>Not published</x:v>
      </x:c>
      <x:c r="Q1831" t="str">
        <x:v>Printed specimen; TDS reports N/A</x:v>
      </x:c>
      <x:c r="R1831" t="str">
        <x:v>Z</x:v>
      </x:c>
      <x:c r="S1831" t="str">
        <x:v>&lt;20% RH during printing/storage</x:v>
      </x:c>
      <x:c r="T1831" t="str">
        <x:v>Not published</x:v>
      </x:c>
      <x:c r="U1831" t="str">
        <x:v>Not published</x:v>
      </x:c>
      <x:c r="V1831" t="str">
        <x:v>ISO 179, GB/T 1043</x:v>
      </x:c>
      <x:c r="W1831" t="str">
        <x:v>Not published</x:v>
      </x:c>
      <x:c r="X1831" t="str">
        <x:v>Manufacturer TDS; support-interface material</x:v>
      </x:c>
      <x:c r="Y1831" t="str">
        <x:v>R-BAMBU-SUPPORT-PLA-NEW-TDS</x:v>
      </x:c>
      <x:c r="Z1831" t="str">
        <x:v>p. 2: Impact Strength (Z)</x:v>
      </x:c>
      <x:c r="AA1831" t="str">
        <x:v>Not applicable</x:v>
      </x:c>
      <x:c r="AB1831" t="str">
        <x:v>Not applicable</x:v>
      </x:c>
      <x:c r="AC1831" t="str">
        <x:v>Not applicable</x:v>
      </x:c>
      <x:c r="AD1831" t="str">
        <x:v>Not applicable</x:v>
      </x:c>
      <x:c r="AE1831" t="str">
        <x:v>Not applicable</x:v>
      </x:c>
      <x:c r="AF1831" t="str">
        <x:v>Not applicable</x:v>
      </x:c>
      <x:c r="AG1831" t="str">
        <x:v>Not applicable</x:v>
      </x:c>
    </x:row>
    <x:row r="1832">
      <x:c r="A1832" t="str">
        <x:v>V001829</x:v>
      </x:c>
      <x:c r="B1832" t="str">
        <x:v>M038</x:v>
      </x:c>
      <x:c r="C1832" t="str">
        <x:v>G038-02</x:v>
      </x:c>
      <x:c r="D1832" t="str">
        <x:v>Density</x:v>
      </x:c>
      <x:c r="E1832" t="str">
        <x:v>1176 kg/m³</x:v>
      </x:c>
      <x:c r="F1832" t="str">
        <x:v>kg/m³</x:v>
      </x:c>
      <x:c r="G1832" t="n">
        <x:v>1176</x:v>
      </x:c>
      <x:c r="H1832" t="str">
        <x:v>Not applicable</x:v>
      </x:c>
      <x:c r="I1832" t="str">
        <x:v>Not applicable</x:v>
      </x:c>
      <x:c r="J1832" t="str">
        <x:v>=</x:v>
      </x:c>
      <x:c r="K1832" t="n">
        <x:v>1</x:v>
      </x:c>
      <x:c r="L1832" t="n">
        <x:v>1176</x:v>
      </x:c>
      <x:c r="M1832" t="str">
        <x:v>Not applicable</x:v>
      </x:c>
      <x:c r="N1832" t="str">
        <x:v>Not applicable</x:v>
      </x:c>
      <x:c r="O1832" t="str">
        <x:v>kg/m³</x:v>
      </x:c>
      <x:c r="P1832" t="str">
        <x:v>Published value</x:v>
      </x:c>
      <x:c r="Q1832" t="str">
        <x:v>Printed part</x:v>
      </x:c>
      <x:c r="R1832" t="str">
        <x:v>Not applicable</x:v>
      </x:c>
      <x:c r="S1832" t="str">
        <x:v>Kept dry; TDS recommends drying before printing</x:v>
      </x:c>
      <x:c r="T1832" t="str">
        <x:v>Not published</x:v>
      </x:c>
      <x:c r="U1832" t="str">
        <x:v>Not published</x:v>
      </x:c>
      <x:c r="V1832" t="str">
        <x:v>ISO 1183-1</x:v>
      </x:c>
      <x:c r="W1832" t="str">
        <x:v>Not applicable</x:v>
      </x:c>
      <x:c r="X1832" t="str">
        <x:v>Printed-part values in manufacturer TDS v1.2</x:v>
      </x:c>
      <x:c r="Y1832" t="str">
        <x:v>R-BASF-PCGF30-TDS</x:v>
      </x:c>
      <x:c r="Z1832" t="str">
        <x:v>p. 2: Printed Part Density</x:v>
      </x:c>
      <x:c r="AA1832" t="str">
        <x:v>Not applicable</x:v>
      </x:c>
      <x:c r="AB1832" t="str">
        <x:v>Not applicable</x:v>
      </x:c>
      <x:c r="AC1832" t="str">
        <x:v>Not applicable</x:v>
      </x:c>
      <x:c r="AD1832" t="str">
        <x:v>Not applicable</x:v>
      </x:c>
      <x:c r="AE1832" t="str">
        <x:v>Not applicable</x:v>
      </x:c>
      <x:c r="AF1832" t="str">
        <x:v>Not applicable</x:v>
      </x:c>
      <x:c r="AG1832" t="str">
        <x:v>Not applicable</x:v>
      </x:c>
    </x:row>
    <x:row r="1833">
      <x:c r="A1833" t="str">
        <x:v>V001830</x:v>
      </x:c>
      <x:c r="B1833" t="str">
        <x:v>M038</x:v>
      </x:c>
      <x:c r="C1833" t="str">
        <x:v>G038-02</x:v>
      </x:c>
      <x:c r="D1833" t="str">
        <x:v>HDT</x:v>
      </x:c>
      <x:c r="E1833" t="str">
        <x:v>124 °C</x:v>
      </x:c>
      <x:c r="F1833" t="str">
        <x:v>°C</x:v>
      </x:c>
      <x:c r="G1833" t="n">
        <x:v>124</x:v>
      </x:c>
      <x:c r="H1833" t="str">
        <x:v>Not applicable</x:v>
      </x:c>
      <x:c r="I1833" t="str">
        <x:v>Not applicable</x:v>
      </x:c>
      <x:c r="J1833" t="str">
        <x:v>=</x:v>
      </x:c>
      <x:c r="K1833" t="n">
        <x:v>1</x:v>
      </x:c>
      <x:c r="L1833" t="n">
        <x:v>124</x:v>
      </x:c>
      <x:c r="M1833" t="str">
        <x:v>Not applicable</x:v>
      </x:c>
      <x:c r="N1833" t="str">
        <x:v>Not applicable</x:v>
      </x:c>
      <x:c r="O1833" t="str">
        <x:v>°C</x:v>
      </x:c>
      <x:c r="P1833" t="str">
        <x:v>Published value</x:v>
      </x:c>
      <x:c r="Q1833" t="str">
        <x:v>Printed part / TDS material-property section</x:v>
      </x:c>
      <x:c r="R1833" t="str">
        <x:v>Not applicable</x:v>
      </x:c>
      <x:c r="S1833" t="str">
        <x:v>Kept dry; TDS recommends drying before printing</x:v>
      </x:c>
      <x:c r="T1833" t="str">
        <x:v>Not published</x:v>
      </x:c>
      <x:c r="U1833" t="str">
        <x:v>Not published</x:v>
      </x:c>
      <x:c r="V1833" t="str">
        <x:v>ISO 75-2, 1.8 MPa</x:v>
      </x:c>
      <x:c r="W1833" t="str">
        <x:v>Not applicable</x:v>
      </x:c>
      <x:c r="X1833" t="str">
        <x:v>Printed-part values in manufacturer TDS v1.2</x:v>
      </x:c>
      <x:c r="Y1833" t="str">
        <x:v>R-BASF-PCGF30-TDS</x:v>
      </x:c>
      <x:c r="Z1833" t="str">
        <x:v>p. 2: HDT at 1.8 MPa</x:v>
      </x:c>
      <x:c r="AA1833" t="str">
        <x:v>Not applicable</x:v>
      </x:c>
      <x:c r="AB1833" t="str">
        <x:v>Not applicable</x:v>
      </x:c>
      <x:c r="AC1833" t="str">
        <x:v>Not applicable</x:v>
      </x:c>
      <x:c r="AD1833" t="str">
        <x:v>Not applicable</x:v>
      </x:c>
      <x:c r="AE1833" t="str">
        <x:v>Not applicable</x:v>
      </x:c>
      <x:c r="AF1833" t="str">
        <x:v>Not applicable</x:v>
      </x:c>
      <x:c r="AG1833" t="str">
        <x:v>Not applicable</x:v>
      </x:c>
    </x:row>
    <x:row r="1834">
      <x:c r="A1834" t="str">
        <x:v>V001831</x:v>
      </x:c>
      <x:c r="B1834" t="str">
        <x:v>M038</x:v>
      </x:c>
      <x:c r="C1834" t="str">
        <x:v>G038-02</x:v>
      </x:c>
      <x:c r="D1834" t="str">
        <x:v>HDT</x:v>
      </x:c>
      <x:c r="E1834" t="str">
        <x:v>134 °C</x:v>
      </x:c>
      <x:c r="F1834" t="str">
        <x:v>°C</x:v>
      </x:c>
      <x:c r="G1834" t="n">
        <x:v>134</x:v>
      </x:c>
      <x:c r="H1834" t="str">
        <x:v>Not applicable</x:v>
      </x:c>
      <x:c r="I1834" t="str">
        <x:v>Not applicable</x:v>
      </x:c>
      <x:c r="J1834" t="str">
        <x:v>=</x:v>
      </x:c>
      <x:c r="K1834" t="n">
        <x:v>1</x:v>
      </x:c>
      <x:c r="L1834" t="n">
        <x:v>134</x:v>
      </x:c>
      <x:c r="M1834" t="str">
        <x:v>Not applicable</x:v>
      </x:c>
      <x:c r="N1834" t="str">
        <x:v>Not applicable</x:v>
      </x:c>
      <x:c r="O1834" t="str">
        <x:v>°C</x:v>
      </x:c>
      <x:c r="P1834" t="str">
        <x:v>Published value</x:v>
      </x:c>
      <x:c r="Q1834" t="str">
        <x:v>Printed part / TDS material-property section</x:v>
      </x:c>
      <x:c r="R1834" t="str">
        <x:v>Not applicable</x:v>
      </x:c>
      <x:c r="S1834" t="str">
        <x:v>Kept dry; TDS recommends drying before printing</x:v>
      </x:c>
      <x:c r="T1834" t="str">
        <x:v>Not published</x:v>
      </x:c>
      <x:c r="U1834" t="str">
        <x:v>Not published</x:v>
      </x:c>
      <x:c r="V1834" t="str">
        <x:v>ISO 75-2, 0.45 MPa</x:v>
      </x:c>
      <x:c r="W1834" t="str">
        <x:v>Not applicable</x:v>
      </x:c>
      <x:c r="X1834" t="str">
        <x:v>Printed-part values in manufacturer TDS v1.2</x:v>
      </x:c>
      <x:c r="Y1834" t="str">
        <x:v>R-BASF-PCGF30-TDS</x:v>
      </x:c>
      <x:c r="Z1834" t="str">
        <x:v>p. 2: HDT at 0.45 MPa</x:v>
      </x:c>
      <x:c r="AA1834" t="str">
        <x:v>Not applicable</x:v>
      </x:c>
      <x:c r="AB1834" t="str">
        <x:v>Not applicable</x:v>
      </x:c>
      <x:c r="AC1834" t="str">
        <x:v>Not applicable</x:v>
      </x:c>
      <x:c r="AD1834" t="str">
        <x:v>Not applicable</x:v>
      </x:c>
      <x:c r="AE1834" t="str">
        <x:v>Not applicable</x:v>
      </x:c>
      <x:c r="AF1834" t="str">
        <x:v>Not applicable</x:v>
      </x:c>
      <x:c r="AG1834" t="str">
        <x:v>Not applicable</x:v>
      </x:c>
    </x:row>
    <x:row r="1835">
      <x:c r="A1835" t="str">
        <x:v>V001832</x:v>
      </x:c>
      <x:c r="B1835" t="str">
        <x:v>M038</x:v>
      </x:c>
      <x:c r="C1835" t="str">
        <x:v>G038-02</x:v>
      </x:c>
      <x:c r="D1835" t="str">
        <x:v>Glass transition temperature</x:v>
      </x:c>
      <x:c r="E1835" t="str">
        <x:v>142 °C</x:v>
      </x:c>
      <x:c r="F1835" t="str">
        <x:v>°C</x:v>
      </x:c>
      <x:c r="G1835" t="n">
        <x:v>142</x:v>
      </x:c>
      <x:c r="H1835" t="str">
        <x:v>Not applicable</x:v>
      </x:c>
      <x:c r="I1835" t="str">
        <x:v>Not applicable</x:v>
      </x:c>
      <x:c r="J1835" t="str">
        <x:v>=</x:v>
      </x:c>
      <x:c r="K1835" t="n">
        <x:v>1</x:v>
      </x:c>
      <x:c r="L1835" t="n">
        <x:v>142</x:v>
      </x:c>
      <x:c r="M1835" t="str">
        <x:v>Not applicable</x:v>
      </x:c>
      <x:c r="N1835" t="str">
        <x:v>Not applicable</x:v>
      </x:c>
      <x:c r="O1835" t="str">
        <x:v>°C</x:v>
      </x:c>
      <x:c r="P1835" t="str">
        <x:v>Published value</x:v>
      </x:c>
      <x:c r="Q1835" t="str">
        <x:v>Printed part / TDS material-property section</x:v>
      </x:c>
      <x:c r="R1835" t="str">
        <x:v>Not applicable</x:v>
      </x:c>
      <x:c r="S1835" t="str">
        <x:v>Kept dry; TDS recommends drying before printing</x:v>
      </x:c>
      <x:c r="T1835" t="str">
        <x:v>Not published</x:v>
      </x:c>
      <x:c r="U1835" t="str">
        <x:v>Not published</x:v>
      </x:c>
      <x:c r="V1835" t="str">
        <x:v>ISO 11357-2</x:v>
      </x:c>
      <x:c r="W1835" t="str">
        <x:v>Not applicable</x:v>
      </x:c>
      <x:c r="X1835" t="str">
        <x:v>Printed-part values in manufacturer TDS v1.2</x:v>
      </x:c>
      <x:c r="Y1835" t="str">
        <x:v>R-BASF-PCGF30-TDS</x:v>
      </x:c>
      <x:c r="Z1835" t="str">
        <x:v>p. 2: Glass Transition Temperature</x:v>
      </x:c>
      <x:c r="AA1835" t="str">
        <x:v>Not applicable</x:v>
      </x:c>
      <x:c r="AB1835" t="str">
        <x:v>Not applicable</x:v>
      </x:c>
      <x:c r="AC1835" t="str">
        <x:v>Not applicable</x:v>
      </x:c>
      <x:c r="AD1835" t="str">
        <x:v>Not applicable</x:v>
      </x:c>
      <x:c r="AE1835" t="str">
        <x:v>Not applicable</x:v>
      </x:c>
      <x:c r="AF1835" t="str">
        <x:v>Not applicable</x:v>
      </x:c>
      <x:c r="AG1835" t="str">
        <x:v>Not applicable</x:v>
      </x:c>
    </x:row>
    <x:row r="1836">
      <x:c r="A1836" t="str">
        <x:v>V001833</x:v>
      </x:c>
      <x:c r="B1836" t="str">
        <x:v>M038</x:v>
      </x:c>
      <x:c r="C1836" t="str">
        <x:v>G038-02</x:v>
      </x:c>
      <x:c r="D1836" t="str">
        <x:v>Melting temperature</x:v>
      </x:c>
      <x:c r="E1836" t="str">
        <x:v>259 °C</x:v>
      </x:c>
      <x:c r="F1836" t="str">
        <x:v>°C</x:v>
      </x:c>
      <x:c r="G1836" t="n">
        <x:v>259</x:v>
      </x:c>
      <x:c r="H1836" t="str">
        <x:v>Not applicable</x:v>
      </x:c>
      <x:c r="I1836" t="str">
        <x:v>Not applicable</x:v>
      </x:c>
      <x:c r="J1836" t="str">
        <x:v>=</x:v>
      </x:c>
      <x:c r="K1836" t="n">
        <x:v>1</x:v>
      </x:c>
      <x:c r="L1836" t="n">
        <x:v>259</x:v>
      </x:c>
      <x:c r="M1836" t="str">
        <x:v>Not applicable</x:v>
      </x:c>
      <x:c r="N1836" t="str">
        <x:v>Not applicable</x:v>
      </x:c>
      <x:c r="O1836" t="str">
        <x:v>°C</x:v>
      </x:c>
      <x:c r="P1836" t="str">
        <x:v>Published value</x:v>
      </x:c>
      <x:c r="Q1836" t="str">
        <x:v>Printed part / TDS material-property section</x:v>
      </x:c>
      <x:c r="R1836" t="str">
        <x:v>Not applicable</x:v>
      </x:c>
      <x:c r="S1836" t="str">
        <x:v>Kept dry; TDS recommends drying before printing</x:v>
      </x:c>
      <x:c r="T1836" t="str">
        <x:v>Not published</x:v>
      </x:c>
      <x:c r="U1836" t="str">
        <x:v>Not published</x:v>
      </x:c>
      <x:c r="V1836" t="str">
        <x:v>ISO 11357-3</x:v>
      </x:c>
      <x:c r="W1836" t="str">
        <x:v>Not applicable</x:v>
      </x:c>
      <x:c r="X1836" t="str">
        <x:v>Printed-part values in manufacturer TDS v1.2</x:v>
      </x:c>
      <x:c r="Y1836" t="str">
        <x:v>R-BASF-PCGF30-TDS</x:v>
      </x:c>
      <x:c r="Z1836" t="str">
        <x:v>p. 2: Melting Temperature</x:v>
      </x:c>
      <x:c r="AA1836" t="str">
        <x:v>Not applicable</x:v>
      </x:c>
      <x:c r="AB1836" t="str">
        <x:v>Not applicable</x:v>
      </x:c>
      <x:c r="AC1836" t="str">
        <x:v>Not applicable</x:v>
      </x:c>
      <x:c r="AD1836" t="str">
        <x:v>Not applicable</x:v>
      </x:c>
      <x:c r="AE1836" t="str">
        <x:v>Not applicable</x:v>
      </x:c>
      <x:c r="AF1836" t="str">
        <x:v>Not applicable</x:v>
      </x:c>
      <x:c r="AG1836" t="str">
        <x:v>Not applicable</x:v>
      </x:c>
    </x:row>
    <x:row r="1837">
      <x:c r="A1837" t="str">
        <x:v>V001834</x:v>
      </x:c>
      <x:c r="B1837" t="str">
        <x:v>M038</x:v>
      </x:c>
      <x:c r="C1837" t="str">
        <x:v>G038-02</x:v>
      </x:c>
      <x:c r="D1837" t="str">
        <x:v>Melt volume-flow rate</x:v>
      </x:c>
      <x:c r="E1837" t="str">
        <x:v>26 cm³/10 min</x:v>
      </x:c>
      <x:c r="F1837" t="str">
        <x:v>cm³/10 min</x:v>
      </x:c>
      <x:c r="G1837" t="n">
        <x:v>26</x:v>
      </x:c>
      <x:c r="H1837" t="str">
        <x:v>Not applicable</x:v>
      </x:c>
      <x:c r="I1837" t="str">
        <x:v>Not applicable</x:v>
      </x:c>
      <x:c r="J1837" t="str">
        <x:v>=</x:v>
      </x:c>
      <x:c r="K1837" t="n">
        <x:v>1</x:v>
      </x:c>
      <x:c r="L1837" t="n">
        <x:v>26</x:v>
      </x:c>
      <x:c r="M1837" t="str">
        <x:v>Not applicable</x:v>
      </x:c>
      <x:c r="N1837" t="str">
        <x:v>Not applicable</x:v>
      </x:c>
      <x:c r="O1837" t="str">
        <x:v>cm³/10 min</x:v>
      </x:c>
      <x:c r="P1837" t="str">
        <x:v>Published value</x:v>
      </x:c>
      <x:c r="Q1837" t="str">
        <x:v>Not published (do not assume printed)</x:v>
      </x:c>
      <x:c r="R1837" t="str">
        <x:v>Not applicable</x:v>
      </x:c>
      <x:c r="S1837" t="str">
        <x:v>Kept dry; TDS recommends drying before printing</x:v>
      </x:c>
      <x:c r="T1837" t="str">
        <x:v>Not published</x:v>
      </x:c>
      <x:c r="U1837" t="str">
        <x:v>Not published</x:v>
      </x:c>
      <x:c r="V1837" t="str">
        <x:v>ISO 1133; 300 °C, 2.16 kg</x:v>
      </x:c>
      <x:c r="W1837" t="str">
        <x:v>Not applicable</x:v>
      </x:c>
      <x:c r="X1837" t="str">
        <x:v>Printed-part values in manufacturer TDS v1.2</x:v>
      </x:c>
      <x:c r="Y1837" t="str">
        <x:v>R-BASF-PCGF30-TDS</x:v>
      </x:c>
      <x:c r="Z1837" t="str">
        <x:v>p. 2: Melt Volume Rate</x:v>
      </x:c>
      <x:c r="AA1837" t="str">
        <x:v>Not applicable</x:v>
      </x:c>
      <x:c r="AB1837" t="str">
        <x:v>Not applicable</x:v>
      </x:c>
      <x:c r="AC1837" t="str">
        <x:v>Not applicable</x:v>
      </x:c>
      <x:c r="AD1837" t="str">
        <x:v>Not applicable</x:v>
      </x:c>
      <x:c r="AE1837" t="str">
        <x:v>Not applicable</x:v>
      </x:c>
      <x:c r="AF1837" t="str">
        <x:v>Not applicable</x:v>
      </x:c>
      <x:c r="AG1837" t="str">
        <x:v>Not applicable</x:v>
      </x:c>
    </x:row>
    <x:row r="1838">
      <x:c r="A1838" t="str">
        <x:v>V001835</x:v>
      </x:c>
      <x:c r="B1838" t="str">
        <x:v>M038</x:v>
      </x:c>
      <x:c r="C1838" t="str">
        <x:v>G038-02</x:v>
      </x:c>
      <x:c r="D1838" t="str">
        <x:v>Tensile strength (endpoint unspecified)</x:v>
      </x:c>
      <x:c r="E1838" t="str">
        <x:v>36.1 MPa</x:v>
      </x:c>
      <x:c r="F1838" t="str">
        <x:v>MPa</x:v>
      </x:c>
      <x:c r="G1838" t="n">
        <x:v>36.1</x:v>
      </x:c>
      <x:c r="H1838" t="str">
        <x:v>Not applicable</x:v>
      </x:c>
      <x:c r="I1838" t="str">
        <x:v>Not applicable</x:v>
      </x:c>
      <x:c r="J1838" t="str">
        <x:v>=</x:v>
      </x:c>
      <x:c r="K1838" t="n">
        <x:v>1</x:v>
      </x:c>
      <x:c r="L1838" t="n">
        <x:v>36.1</x:v>
      </x:c>
      <x:c r="M1838" t="str">
        <x:v>Not applicable</x:v>
      </x:c>
      <x:c r="N1838" t="str">
        <x:v>Not applicable</x:v>
      </x:c>
      <x:c r="O1838" t="str">
        <x:v>MPa</x:v>
      </x:c>
      <x:c r="P1838" t="str">
        <x:v>Published value</x:v>
      </x:c>
      <x:c r="Q1838" t="str">
        <x:v>Printed specimen</x:v>
      </x:c>
      <x:c r="R1838" t="str">
        <x:v>XY</x:v>
      </x:c>
      <x:c r="S1838" t="str">
        <x:v>Kept dry; TDS recommends drying before printing</x:v>
      </x:c>
      <x:c r="T1838" t="str">
        <x:v>Not published</x:v>
      </x:c>
      <x:c r="U1838" t="str">
        <x:v>Not published</x:v>
      </x:c>
      <x:c r="V1838" t="str">
        <x:v>ISO 527</x:v>
      </x:c>
      <x:c r="W1838" t="str">
        <x:v>Not applicable</x:v>
      </x:c>
      <x:c r="X1838" t="str">
        <x:v>Printed-part values in manufacturer TDS v1.2</x:v>
      </x:c>
      <x:c r="Y1838" t="str">
        <x:v>R-BASF-PCGF30-TDS</x:v>
      </x:c>
      <x:c r="Z1838" t="str">
        <x:v>p. 3: Tensile strength (endpoint unspecified) (XY)</x:v>
      </x:c>
      <x:c r="AA1838" t="str">
        <x:v>Not applicable</x:v>
      </x:c>
      <x:c r="AB1838" t="str">
        <x:v>Not applicable</x:v>
      </x:c>
      <x:c r="AC1838" t="str">
        <x:v>Not applicable</x:v>
      </x:c>
      <x:c r="AD1838" t="str">
        <x:v>Not applicable</x:v>
      </x:c>
      <x:c r="AE1838" t="str">
        <x:v>Not applicable</x:v>
      </x:c>
      <x:c r="AF1838" t="str">
        <x:v>Not applicable</x:v>
      </x:c>
      <x:c r="AG1838" t="str">
        <x:v>Not applicable</x:v>
      </x:c>
    </x:row>
    <x:row r="1839">
      <x:c r="A1839" t="str">
        <x:v>V001836</x:v>
      </x:c>
      <x:c r="B1839" t="str">
        <x:v>M038</x:v>
      </x:c>
      <x:c r="C1839" t="str">
        <x:v>G038-02</x:v>
      </x:c>
      <x:c r="D1839" t="str">
        <x:v>Tensile strength (endpoint unspecified)</x:v>
      </x:c>
      <x:c r="E1839" t="str">
        <x:v>11.2 MPa</x:v>
      </x:c>
      <x:c r="F1839" t="str">
        <x:v>MPa</x:v>
      </x:c>
      <x:c r="G1839" t="n">
        <x:v>11.2</x:v>
      </x:c>
      <x:c r="H1839" t="str">
        <x:v>Not applicable</x:v>
      </x:c>
      <x:c r="I1839" t="str">
        <x:v>Not applicable</x:v>
      </x:c>
      <x:c r="J1839" t="str">
        <x:v>=</x:v>
      </x:c>
      <x:c r="K1839" t="n">
        <x:v>1</x:v>
      </x:c>
      <x:c r="L1839" t="n">
        <x:v>11.2</x:v>
      </x:c>
      <x:c r="M1839" t="str">
        <x:v>Not applicable</x:v>
      </x:c>
      <x:c r="N1839" t="str">
        <x:v>Not applicable</x:v>
      </x:c>
      <x:c r="O1839" t="str">
        <x:v>MPa</x:v>
      </x:c>
      <x:c r="P1839" t="str">
        <x:v>Published value</x:v>
      </x:c>
      <x:c r="Q1839" t="str">
        <x:v>Printed specimen</x:v>
      </x:c>
      <x:c r="R1839" t="str">
        <x:v>ZX</x:v>
      </x:c>
      <x:c r="S1839" t="str">
        <x:v>Kept dry; TDS recommends drying before printing</x:v>
      </x:c>
      <x:c r="T1839" t="str">
        <x:v>Not published</x:v>
      </x:c>
      <x:c r="U1839" t="str">
        <x:v>Not published</x:v>
      </x:c>
      <x:c r="V1839" t="str">
        <x:v>ISO 527</x:v>
      </x:c>
      <x:c r="W1839" t="str">
        <x:v>Not applicable</x:v>
      </x:c>
      <x:c r="X1839" t="str">
        <x:v>Printed-part values in manufacturer TDS v1.2</x:v>
      </x:c>
      <x:c r="Y1839" t="str">
        <x:v>R-BASF-PCGF30-TDS</x:v>
      </x:c>
      <x:c r="Z1839" t="str">
        <x:v>p. 3: Tensile strength (endpoint unspecified) (ZX)</x:v>
      </x:c>
      <x:c r="AA1839" t="str">
        <x:v>Not applicable</x:v>
      </x:c>
      <x:c r="AB1839" t="str">
        <x:v>Not applicable</x:v>
      </x:c>
      <x:c r="AC1839" t="str">
        <x:v>Not applicable</x:v>
      </x:c>
      <x:c r="AD1839" t="str">
        <x:v>Not applicable</x:v>
      </x:c>
      <x:c r="AE1839" t="str">
        <x:v>Not applicable</x:v>
      </x:c>
      <x:c r="AF1839" t="str">
        <x:v>Not applicable</x:v>
      </x:c>
      <x:c r="AG1839" t="str">
        <x:v>Not applicable</x:v>
      </x:c>
    </x:row>
    <x:row r="1840">
      <x:c r="A1840" t="str">
        <x:v>V001837</x:v>
      </x:c>
      <x:c r="B1840" t="str">
        <x:v>M038</x:v>
      </x:c>
      <x:c r="C1840" t="str">
        <x:v>G038-02</x:v>
      </x:c>
      <x:c r="D1840" t="str">
        <x:v>Elongation at break</x:v>
      </x:c>
      <x:c r="E1840" t="str">
        <x:v>2.4 %</x:v>
      </x:c>
      <x:c r="F1840" t="str">
        <x:v>%</x:v>
      </x:c>
      <x:c r="G1840" t="n">
        <x:v>2.4</x:v>
      </x:c>
      <x:c r="H1840" t="str">
        <x:v>Not applicable</x:v>
      </x:c>
      <x:c r="I1840" t="str">
        <x:v>Not applicable</x:v>
      </x:c>
      <x:c r="J1840" t="str">
        <x:v>=</x:v>
      </x:c>
      <x:c r="K1840" t="n">
        <x:v>1</x:v>
      </x:c>
      <x:c r="L1840" t="n">
        <x:v>2.4</x:v>
      </x:c>
      <x:c r="M1840" t="str">
        <x:v>Not applicable</x:v>
      </x:c>
      <x:c r="N1840" t="str">
        <x:v>Not applicable</x:v>
      </x:c>
      <x:c r="O1840" t="str">
        <x:v>%</x:v>
      </x:c>
      <x:c r="P1840" t="str">
        <x:v>Published value</x:v>
      </x:c>
      <x:c r="Q1840" t="str">
        <x:v>Printed specimen</x:v>
      </x:c>
      <x:c r="R1840" t="str">
        <x:v>XY</x:v>
      </x:c>
      <x:c r="S1840" t="str">
        <x:v>Kept dry; TDS recommends drying before printing</x:v>
      </x:c>
      <x:c r="T1840" t="str">
        <x:v>Not published</x:v>
      </x:c>
      <x:c r="U1840" t="str">
        <x:v>Not published</x:v>
      </x:c>
      <x:c r="V1840" t="str">
        <x:v>ISO 527</x:v>
      </x:c>
      <x:c r="W1840" t="str">
        <x:v>Not applicable</x:v>
      </x:c>
      <x:c r="X1840" t="str">
        <x:v>Printed-part values in manufacturer TDS v1.2</x:v>
      </x:c>
      <x:c r="Y1840" t="str">
        <x:v>R-BASF-PCGF30-TDS</x:v>
      </x:c>
      <x:c r="Z1840" t="str">
        <x:v>p. 3: Elongation at break (XY)</x:v>
      </x:c>
      <x:c r="AA1840" t="str">
        <x:v>Not applicable</x:v>
      </x:c>
      <x:c r="AB1840" t="str">
        <x:v>Not applicable</x:v>
      </x:c>
      <x:c r="AC1840" t="str">
        <x:v>Not applicable</x:v>
      </x:c>
      <x:c r="AD1840" t="str">
        <x:v>Not applicable</x:v>
      </x:c>
      <x:c r="AE1840" t="str">
        <x:v>Not applicable</x:v>
      </x:c>
      <x:c r="AF1840" t="str">
        <x:v>Not applicable</x:v>
      </x:c>
      <x:c r="AG1840" t="str">
        <x:v>Not applicable</x:v>
      </x:c>
    </x:row>
    <x:row r="1841">
      <x:c r="A1841" t="str">
        <x:v>V001838</x:v>
      </x:c>
      <x:c r="B1841" t="str">
        <x:v>M038</x:v>
      </x:c>
      <x:c r="C1841" t="str">
        <x:v>G038-02</x:v>
      </x:c>
      <x:c r="D1841" t="str">
        <x:v>Elongation at break</x:v>
      </x:c>
      <x:c r="E1841" t="str">
        <x:v>1.1 %</x:v>
      </x:c>
      <x:c r="F1841" t="str">
        <x:v>%</x:v>
      </x:c>
      <x:c r="G1841" t="n">
        <x:v>1.1</x:v>
      </x:c>
      <x:c r="H1841" t="str">
        <x:v>Not applicable</x:v>
      </x:c>
      <x:c r="I1841" t="str">
        <x:v>Not applicable</x:v>
      </x:c>
      <x:c r="J1841" t="str">
        <x:v>=</x:v>
      </x:c>
      <x:c r="K1841" t="n">
        <x:v>1</x:v>
      </x:c>
      <x:c r="L1841" t="n">
        <x:v>1.1</x:v>
      </x:c>
      <x:c r="M1841" t="str">
        <x:v>Not applicable</x:v>
      </x:c>
      <x:c r="N1841" t="str">
        <x:v>Not applicable</x:v>
      </x:c>
      <x:c r="O1841" t="str">
        <x:v>%</x:v>
      </x:c>
      <x:c r="P1841" t="str">
        <x:v>Published value</x:v>
      </x:c>
      <x:c r="Q1841" t="str">
        <x:v>Printed specimen</x:v>
      </x:c>
      <x:c r="R1841" t="str">
        <x:v>ZX</x:v>
      </x:c>
      <x:c r="S1841" t="str">
        <x:v>Kept dry; TDS recommends drying before printing</x:v>
      </x:c>
      <x:c r="T1841" t="str">
        <x:v>Not published</x:v>
      </x:c>
      <x:c r="U1841" t="str">
        <x:v>Not published</x:v>
      </x:c>
      <x:c r="V1841" t="str">
        <x:v>ISO 527</x:v>
      </x:c>
      <x:c r="W1841" t="str">
        <x:v>Not applicable</x:v>
      </x:c>
      <x:c r="X1841" t="str">
        <x:v>Printed-part values in manufacturer TDS v1.2</x:v>
      </x:c>
      <x:c r="Y1841" t="str">
        <x:v>R-BASF-PCGF30-TDS</x:v>
      </x:c>
      <x:c r="Z1841" t="str">
        <x:v>p. 3: Elongation at break (ZX)</x:v>
      </x:c>
      <x:c r="AA1841" t="str">
        <x:v>Not applicable</x:v>
      </x:c>
      <x:c r="AB1841" t="str">
        <x:v>Not applicable</x:v>
      </x:c>
      <x:c r="AC1841" t="str">
        <x:v>Not applicable</x:v>
      </x:c>
      <x:c r="AD1841" t="str">
        <x:v>Not applicable</x:v>
      </x:c>
      <x:c r="AE1841" t="str">
        <x:v>Not applicable</x:v>
      </x:c>
      <x:c r="AF1841" t="str">
        <x:v>Not applicable</x:v>
      </x:c>
      <x:c r="AG1841" t="str">
        <x:v>Not applicable</x:v>
      </x:c>
    </x:row>
    <x:row r="1842">
      <x:c r="A1842" t="str">
        <x:v>V001839</x:v>
      </x:c>
      <x:c r="B1842" t="str">
        <x:v>M038</x:v>
      </x:c>
      <x:c r="C1842" t="str">
        <x:v>G038-02</x:v>
      </x:c>
      <x:c r="D1842" t="str">
        <x:v>Tensile modulus</x:v>
      </x:c>
      <x:c r="E1842" t="str">
        <x:v>2665 MPa</x:v>
      </x:c>
      <x:c r="F1842" t="str">
        <x:v>MPa</x:v>
      </x:c>
      <x:c r="G1842" t="n">
        <x:v>2665</x:v>
      </x:c>
      <x:c r="H1842" t="str">
        <x:v>Not applicable</x:v>
      </x:c>
      <x:c r="I1842" t="str">
        <x:v>Not applicable</x:v>
      </x:c>
      <x:c r="J1842" t="str">
        <x:v>=</x:v>
      </x:c>
      <x:c r="K1842" t="n">
        <x:v>0.001</x:v>
      </x:c>
      <x:c r="L1842" t="n">
        <x:v>2.665</x:v>
      </x:c>
      <x:c r="M1842" t="str">
        <x:v>Not applicable</x:v>
      </x:c>
      <x:c r="N1842" t="str">
        <x:v>Not applicable</x:v>
      </x:c>
      <x:c r="O1842" t="str">
        <x:v>GPa</x:v>
      </x:c>
      <x:c r="P1842" t="str">
        <x:v>Published value</x:v>
      </x:c>
      <x:c r="Q1842" t="str">
        <x:v>Printed specimen</x:v>
      </x:c>
      <x:c r="R1842" t="str">
        <x:v>XY</x:v>
      </x:c>
      <x:c r="S1842" t="str">
        <x:v>Kept dry; TDS recommends drying before printing</x:v>
      </x:c>
      <x:c r="T1842" t="str">
        <x:v>Not published</x:v>
      </x:c>
      <x:c r="U1842" t="str">
        <x:v>Not published</x:v>
      </x:c>
      <x:c r="V1842" t="str">
        <x:v>ISO 527</x:v>
      </x:c>
      <x:c r="W1842" t="str">
        <x:v>Not applicable</x:v>
      </x:c>
      <x:c r="X1842" t="str">
        <x:v>Printed-part values in manufacturer TDS v1.2</x:v>
      </x:c>
      <x:c r="Y1842" t="str">
        <x:v>R-BASF-PCGF30-TDS</x:v>
      </x:c>
      <x:c r="Z1842" t="str">
        <x:v>p. 3: Tensile modulus (XY)</x:v>
      </x:c>
      <x:c r="AA1842" t="str">
        <x:v>Not applicable</x:v>
      </x:c>
      <x:c r="AB1842" t="str">
        <x:v>Not applicable</x:v>
      </x:c>
      <x:c r="AC1842" t="str">
        <x:v>Not applicable</x:v>
      </x:c>
      <x:c r="AD1842" t="str">
        <x:v>Not applicable</x:v>
      </x:c>
      <x:c r="AE1842" t="str">
        <x:v>Not applicable</x:v>
      </x:c>
      <x:c r="AF1842" t="str">
        <x:v>Not applicable</x:v>
      </x:c>
      <x:c r="AG1842" t="str">
        <x:v>Not applicable</x:v>
      </x:c>
    </x:row>
    <x:row r="1843">
      <x:c r="A1843" t="str">
        <x:v>V001840</x:v>
      </x:c>
      <x:c r="B1843" t="str">
        <x:v>M038</x:v>
      </x:c>
      <x:c r="C1843" t="str">
        <x:v>G038-02</x:v>
      </x:c>
      <x:c r="D1843" t="str">
        <x:v>Tensile modulus</x:v>
      </x:c>
      <x:c r="E1843" t="str">
        <x:v>1231 MPa</x:v>
      </x:c>
      <x:c r="F1843" t="str">
        <x:v>MPa</x:v>
      </x:c>
      <x:c r="G1843" t="n">
        <x:v>1231</x:v>
      </x:c>
      <x:c r="H1843" t="str">
        <x:v>Not applicable</x:v>
      </x:c>
      <x:c r="I1843" t="str">
        <x:v>Not applicable</x:v>
      </x:c>
      <x:c r="J1843" t="str">
        <x:v>=</x:v>
      </x:c>
      <x:c r="K1843" t="n">
        <x:v>0.001</x:v>
      </x:c>
      <x:c r="L1843" t="n">
        <x:v>1.231</x:v>
      </x:c>
      <x:c r="M1843" t="str">
        <x:v>Not applicable</x:v>
      </x:c>
      <x:c r="N1843" t="str">
        <x:v>Not applicable</x:v>
      </x:c>
      <x:c r="O1843" t="str">
        <x:v>GPa</x:v>
      </x:c>
      <x:c r="P1843" t="str">
        <x:v>Published value</x:v>
      </x:c>
      <x:c r="Q1843" t="str">
        <x:v>Printed specimen</x:v>
      </x:c>
      <x:c r="R1843" t="str">
        <x:v>ZX</x:v>
      </x:c>
      <x:c r="S1843" t="str">
        <x:v>Kept dry; TDS recommends drying before printing</x:v>
      </x:c>
      <x:c r="T1843" t="str">
        <x:v>Not published</x:v>
      </x:c>
      <x:c r="U1843" t="str">
        <x:v>Not published</x:v>
      </x:c>
      <x:c r="V1843" t="str">
        <x:v>ISO 527</x:v>
      </x:c>
      <x:c r="W1843" t="str">
        <x:v>Not applicable</x:v>
      </x:c>
      <x:c r="X1843" t="str">
        <x:v>Printed-part values in manufacturer TDS v1.2</x:v>
      </x:c>
      <x:c r="Y1843" t="str">
        <x:v>R-BASF-PCGF30-TDS</x:v>
      </x:c>
      <x:c r="Z1843" t="str">
        <x:v>p. 3: Tensile modulus (ZX)</x:v>
      </x:c>
      <x:c r="AA1843" t="str">
        <x:v>Not applicable</x:v>
      </x:c>
      <x:c r="AB1843" t="str">
        <x:v>Not applicable</x:v>
      </x:c>
      <x:c r="AC1843" t="str">
        <x:v>Not applicable</x:v>
      </x:c>
      <x:c r="AD1843" t="str">
        <x:v>Not applicable</x:v>
      </x:c>
      <x:c r="AE1843" t="str">
        <x:v>Not applicable</x:v>
      </x:c>
      <x:c r="AF1843" t="str">
        <x:v>Not applicable</x:v>
      </x:c>
      <x:c r="AG1843" t="str">
        <x:v>Not applicable</x:v>
      </x:c>
    </x:row>
    <x:row r="1844">
      <x:c r="A1844" t="str">
        <x:v>V001841</x:v>
      </x:c>
      <x:c r="B1844" t="str">
        <x:v>M038</x:v>
      </x:c>
      <x:c r="C1844" t="str">
        <x:v>G038-02</x:v>
      </x:c>
      <x:c r="D1844" t="str">
        <x:v>Flexural strength</x:v>
      </x:c>
      <x:c r="E1844" t="str">
        <x:v>63.4 MPa</x:v>
      </x:c>
      <x:c r="F1844" t="str">
        <x:v>MPa</x:v>
      </x:c>
      <x:c r="G1844" t="n">
        <x:v>63.4</x:v>
      </x:c>
      <x:c r="H1844" t="str">
        <x:v>Not applicable</x:v>
      </x:c>
      <x:c r="I1844" t="str">
        <x:v>Not applicable</x:v>
      </x:c>
      <x:c r="J1844" t="str">
        <x:v>=</x:v>
      </x:c>
      <x:c r="K1844" t="n">
        <x:v>1</x:v>
      </x:c>
      <x:c r="L1844" t="n">
        <x:v>63.4</x:v>
      </x:c>
      <x:c r="M1844" t="str">
        <x:v>Not applicable</x:v>
      </x:c>
      <x:c r="N1844" t="str">
        <x:v>Not applicable</x:v>
      </x:c>
      <x:c r="O1844" t="str">
        <x:v>MPa</x:v>
      </x:c>
      <x:c r="P1844" t="str">
        <x:v>Published value</x:v>
      </x:c>
      <x:c r="Q1844" t="str">
        <x:v>Printed specimen</x:v>
      </x:c>
      <x:c r="R1844" t="str">
        <x:v>XY</x:v>
      </x:c>
      <x:c r="S1844" t="str">
        <x:v>Kept dry; TDS recommends drying before printing</x:v>
      </x:c>
      <x:c r="T1844" t="str">
        <x:v>Not published</x:v>
      </x:c>
      <x:c r="U1844" t="str">
        <x:v>Not published</x:v>
      </x:c>
      <x:c r="V1844" t="str">
        <x:v>ISO 178</x:v>
      </x:c>
      <x:c r="W1844" t="str">
        <x:v>Not applicable</x:v>
      </x:c>
      <x:c r="X1844" t="str">
        <x:v>Printed-part values in manufacturer TDS v1.2</x:v>
      </x:c>
      <x:c r="Y1844" t="str">
        <x:v>R-BASF-PCGF30-TDS</x:v>
      </x:c>
      <x:c r="Z1844" t="str">
        <x:v>p. 3: Flexural strength (XY)</x:v>
      </x:c>
      <x:c r="AA1844" t="str">
        <x:v>Not applicable</x:v>
      </x:c>
      <x:c r="AB1844" t="str">
        <x:v>Not applicable</x:v>
      </x:c>
      <x:c r="AC1844" t="str">
        <x:v>Not applicable</x:v>
      </x:c>
      <x:c r="AD1844" t="str">
        <x:v>Not applicable</x:v>
      </x:c>
      <x:c r="AE1844" t="str">
        <x:v>Not applicable</x:v>
      </x:c>
      <x:c r="AF1844" t="str">
        <x:v>Not applicable</x:v>
      </x:c>
      <x:c r="AG1844" t="str">
        <x:v>Not applicable</x:v>
      </x:c>
    </x:row>
    <x:row r="1845">
      <x:c r="A1845" t="str">
        <x:v>V001842</x:v>
      </x:c>
      <x:c r="B1845" t="str">
        <x:v>M038</x:v>
      </x:c>
      <x:c r="C1845" t="str">
        <x:v>G038-02</x:v>
      </x:c>
      <x:c r="D1845" t="str">
        <x:v>Flexural strength</x:v>
      </x:c>
      <x:c r="E1845" t="str">
        <x:v>78.8 MPa</x:v>
      </x:c>
      <x:c r="F1845" t="str">
        <x:v>MPa</x:v>
      </x:c>
      <x:c r="G1845" t="n">
        <x:v>78.8</x:v>
      </x:c>
      <x:c r="H1845" t="str">
        <x:v>Not applicable</x:v>
      </x:c>
      <x:c r="I1845" t="str">
        <x:v>Not applicable</x:v>
      </x:c>
      <x:c r="J1845" t="str">
        <x:v>=</x:v>
      </x:c>
      <x:c r="K1845" t="n">
        <x:v>1</x:v>
      </x:c>
      <x:c r="L1845" t="n">
        <x:v>78.8</x:v>
      </x:c>
      <x:c r="M1845" t="str">
        <x:v>Not applicable</x:v>
      </x:c>
      <x:c r="N1845" t="str">
        <x:v>Not applicable</x:v>
      </x:c>
      <x:c r="O1845" t="str">
        <x:v>MPa</x:v>
      </x:c>
      <x:c r="P1845" t="str">
        <x:v>Published value</x:v>
      </x:c>
      <x:c r="Q1845" t="str">
        <x:v>Printed specimen</x:v>
      </x:c>
      <x:c r="R1845" t="str">
        <x:v>XZ</x:v>
      </x:c>
      <x:c r="S1845" t="str">
        <x:v>Kept dry; TDS recommends drying before printing</x:v>
      </x:c>
      <x:c r="T1845" t="str">
        <x:v>Not published</x:v>
      </x:c>
      <x:c r="U1845" t="str">
        <x:v>Not published</x:v>
      </x:c>
      <x:c r="V1845" t="str">
        <x:v>ISO 178</x:v>
      </x:c>
      <x:c r="W1845" t="str">
        <x:v>Not applicable</x:v>
      </x:c>
      <x:c r="X1845" t="str">
        <x:v>Printed-part values in manufacturer TDS v1.2</x:v>
      </x:c>
      <x:c r="Y1845" t="str">
        <x:v>R-BASF-PCGF30-TDS</x:v>
      </x:c>
      <x:c r="Z1845" t="str">
        <x:v>p. 3: Flexural strength (XZ)</x:v>
      </x:c>
      <x:c r="AA1845" t="str">
        <x:v>Not applicable</x:v>
      </x:c>
      <x:c r="AB1845" t="str">
        <x:v>Not applicable</x:v>
      </x:c>
      <x:c r="AC1845" t="str">
        <x:v>Not applicable</x:v>
      </x:c>
      <x:c r="AD1845" t="str">
        <x:v>Not applicable</x:v>
      </x:c>
      <x:c r="AE1845" t="str">
        <x:v>Not applicable</x:v>
      </x:c>
      <x:c r="AF1845" t="str">
        <x:v>Not applicable</x:v>
      </x:c>
      <x:c r="AG1845" t="str">
        <x:v>Not applicable</x:v>
      </x:c>
    </x:row>
    <x:row r="1846">
      <x:c r="A1846" t="str">
        <x:v>V001843</x:v>
      </x:c>
      <x:c r="B1846" t="str">
        <x:v>M038</x:v>
      </x:c>
      <x:c r="C1846" t="str">
        <x:v>G038-02</x:v>
      </x:c>
      <x:c r="D1846" t="str">
        <x:v>Flexural strength</x:v>
      </x:c>
      <x:c r="E1846" t="str">
        <x:v>19 MPa</x:v>
      </x:c>
      <x:c r="F1846" t="str">
        <x:v>MPa</x:v>
      </x:c>
      <x:c r="G1846" t="n">
        <x:v>19</x:v>
      </x:c>
      <x:c r="H1846" t="str">
        <x:v>Not applicable</x:v>
      </x:c>
      <x:c r="I1846" t="str">
        <x:v>Not applicable</x:v>
      </x:c>
      <x:c r="J1846" t="str">
        <x:v>=</x:v>
      </x:c>
      <x:c r="K1846" t="n">
        <x:v>1</x:v>
      </x:c>
      <x:c r="L1846" t="n">
        <x:v>19</x:v>
      </x:c>
      <x:c r="M1846" t="str">
        <x:v>Not applicable</x:v>
      </x:c>
      <x:c r="N1846" t="str">
        <x:v>Not applicable</x:v>
      </x:c>
      <x:c r="O1846" t="str">
        <x:v>MPa</x:v>
      </x:c>
      <x:c r="P1846" t="str">
        <x:v>Published value</x:v>
      </x:c>
      <x:c r="Q1846" t="str">
        <x:v>Printed specimen</x:v>
      </x:c>
      <x:c r="R1846" t="str">
        <x:v>ZX</x:v>
      </x:c>
      <x:c r="S1846" t="str">
        <x:v>Kept dry; TDS recommends drying before printing</x:v>
      </x:c>
      <x:c r="T1846" t="str">
        <x:v>Not published</x:v>
      </x:c>
      <x:c r="U1846" t="str">
        <x:v>Not published</x:v>
      </x:c>
      <x:c r="V1846" t="str">
        <x:v>ISO 178</x:v>
      </x:c>
      <x:c r="W1846" t="str">
        <x:v>Not applicable</x:v>
      </x:c>
      <x:c r="X1846" t="str">
        <x:v>Printed-part values in manufacturer TDS v1.2</x:v>
      </x:c>
      <x:c r="Y1846" t="str">
        <x:v>R-BASF-PCGF30-TDS</x:v>
      </x:c>
      <x:c r="Z1846" t="str">
        <x:v>p. 3: Flexural strength (ZX)</x:v>
      </x:c>
      <x:c r="AA1846" t="str">
        <x:v>Not applicable</x:v>
      </x:c>
      <x:c r="AB1846" t="str">
        <x:v>Not applicable</x:v>
      </x:c>
      <x:c r="AC1846" t="str">
        <x:v>Not applicable</x:v>
      </x:c>
      <x:c r="AD1846" t="str">
        <x:v>Not applicable</x:v>
      </x:c>
      <x:c r="AE1846" t="str">
        <x:v>Not applicable</x:v>
      </x:c>
      <x:c r="AF1846" t="str">
        <x:v>Not applicable</x:v>
      </x:c>
      <x:c r="AG1846" t="str">
        <x:v>Not applicable</x:v>
      </x:c>
    </x:row>
    <x:row r="1847">
      <x:c r="A1847" t="str">
        <x:v>V001844</x:v>
      </x:c>
      <x:c r="B1847" t="str">
        <x:v>M038</x:v>
      </x:c>
      <x:c r="C1847" t="str">
        <x:v>G038-02</x:v>
      </x:c>
      <x:c r="D1847" t="str">
        <x:v>Flexural modulus</x:v>
      </x:c>
      <x:c r="E1847" t="str">
        <x:v>2690 MPa</x:v>
      </x:c>
      <x:c r="F1847" t="str">
        <x:v>MPa</x:v>
      </x:c>
      <x:c r="G1847" t="n">
        <x:v>2690</x:v>
      </x:c>
      <x:c r="H1847" t="str">
        <x:v>Not applicable</x:v>
      </x:c>
      <x:c r="I1847" t="str">
        <x:v>Not applicable</x:v>
      </x:c>
      <x:c r="J1847" t="str">
        <x:v>=</x:v>
      </x:c>
      <x:c r="K1847" t="n">
        <x:v>0.001</x:v>
      </x:c>
      <x:c r="L1847" t="n">
        <x:v>2.69</x:v>
      </x:c>
      <x:c r="M1847" t="str">
        <x:v>Not applicable</x:v>
      </x:c>
      <x:c r="N1847" t="str">
        <x:v>Not applicable</x:v>
      </x:c>
      <x:c r="O1847" t="str">
        <x:v>GPa</x:v>
      </x:c>
      <x:c r="P1847" t="str">
        <x:v>Published value</x:v>
      </x:c>
      <x:c r="Q1847" t="str">
        <x:v>Printed specimen</x:v>
      </x:c>
      <x:c r="R1847" t="str">
        <x:v>XY</x:v>
      </x:c>
      <x:c r="S1847" t="str">
        <x:v>Kept dry; TDS recommends drying before printing</x:v>
      </x:c>
      <x:c r="T1847" t="str">
        <x:v>Not published</x:v>
      </x:c>
      <x:c r="U1847" t="str">
        <x:v>Not published</x:v>
      </x:c>
      <x:c r="V1847" t="str">
        <x:v>ISO 178</x:v>
      </x:c>
      <x:c r="W1847" t="str">
        <x:v>Not applicable</x:v>
      </x:c>
      <x:c r="X1847" t="str">
        <x:v>Printed-part values in manufacturer TDS v1.2</x:v>
      </x:c>
      <x:c r="Y1847" t="str">
        <x:v>R-BASF-PCGF30-TDS</x:v>
      </x:c>
      <x:c r="Z1847" t="str">
        <x:v>p. 3: Flexural modulus (XY)</x:v>
      </x:c>
      <x:c r="AA1847" t="str">
        <x:v>Not applicable</x:v>
      </x:c>
      <x:c r="AB1847" t="str">
        <x:v>Not applicable</x:v>
      </x:c>
      <x:c r="AC1847" t="str">
        <x:v>Not applicable</x:v>
      </x:c>
      <x:c r="AD1847" t="str">
        <x:v>Not applicable</x:v>
      </x:c>
      <x:c r="AE1847" t="str">
        <x:v>Not applicable</x:v>
      </x:c>
      <x:c r="AF1847" t="str">
        <x:v>Not applicable</x:v>
      </x:c>
      <x:c r="AG1847" t="str">
        <x:v>Not applicable</x:v>
      </x:c>
    </x:row>
    <x:row r="1848">
      <x:c r="A1848" t="str">
        <x:v>V001845</x:v>
      </x:c>
      <x:c r="B1848" t="str">
        <x:v>M038</x:v>
      </x:c>
      <x:c r="C1848" t="str">
        <x:v>G038-02</x:v>
      </x:c>
      <x:c r="D1848" t="str">
        <x:v>Flexural modulus</x:v>
      </x:c>
      <x:c r="E1848" t="str">
        <x:v>3450 MPa</x:v>
      </x:c>
      <x:c r="F1848" t="str">
        <x:v>MPa</x:v>
      </x:c>
      <x:c r="G1848" t="n">
        <x:v>3450</x:v>
      </x:c>
      <x:c r="H1848" t="str">
        <x:v>Not applicable</x:v>
      </x:c>
      <x:c r="I1848" t="str">
        <x:v>Not applicable</x:v>
      </x:c>
      <x:c r="J1848" t="str">
        <x:v>=</x:v>
      </x:c>
      <x:c r="K1848" t="n">
        <x:v>0.001</x:v>
      </x:c>
      <x:c r="L1848" t="n">
        <x:v>3.45</x:v>
      </x:c>
      <x:c r="M1848" t="str">
        <x:v>Not applicable</x:v>
      </x:c>
      <x:c r="N1848" t="str">
        <x:v>Not applicable</x:v>
      </x:c>
      <x:c r="O1848" t="str">
        <x:v>GPa</x:v>
      </x:c>
      <x:c r="P1848" t="str">
        <x:v>Published value</x:v>
      </x:c>
      <x:c r="Q1848" t="str">
        <x:v>Printed specimen</x:v>
      </x:c>
      <x:c r="R1848" t="str">
        <x:v>XZ</x:v>
      </x:c>
      <x:c r="S1848" t="str">
        <x:v>Kept dry; TDS recommends drying before printing</x:v>
      </x:c>
      <x:c r="T1848" t="str">
        <x:v>Not published</x:v>
      </x:c>
      <x:c r="U1848" t="str">
        <x:v>Not published</x:v>
      </x:c>
      <x:c r="V1848" t="str">
        <x:v>ISO 178</x:v>
      </x:c>
      <x:c r="W1848" t="str">
        <x:v>Not applicable</x:v>
      </x:c>
      <x:c r="X1848" t="str">
        <x:v>Printed-part values in manufacturer TDS v1.2</x:v>
      </x:c>
      <x:c r="Y1848" t="str">
        <x:v>R-BASF-PCGF30-TDS</x:v>
      </x:c>
      <x:c r="Z1848" t="str">
        <x:v>p. 3: Flexural modulus (XZ)</x:v>
      </x:c>
      <x:c r="AA1848" t="str">
        <x:v>Not applicable</x:v>
      </x:c>
      <x:c r="AB1848" t="str">
        <x:v>Not applicable</x:v>
      </x:c>
      <x:c r="AC1848" t="str">
        <x:v>Not applicable</x:v>
      </x:c>
      <x:c r="AD1848" t="str">
        <x:v>Not applicable</x:v>
      </x:c>
      <x:c r="AE1848" t="str">
        <x:v>Not applicable</x:v>
      </x:c>
      <x:c r="AF1848" t="str">
        <x:v>Not applicable</x:v>
      </x:c>
      <x:c r="AG1848" t="str">
        <x:v>Not applicable</x:v>
      </x:c>
    </x:row>
    <x:row r="1849">
      <x:c r="A1849" t="str">
        <x:v>V001846</x:v>
      </x:c>
      <x:c r="B1849" t="str">
        <x:v>M038</x:v>
      </x:c>
      <x:c r="C1849" t="str">
        <x:v>G038-02</x:v>
      </x:c>
      <x:c r="D1849" t="str">
        <x:v>Flexural modulus</x:v>
      </x:c>
      <x:c r="E1849" t="str">
        <x:v>934 MPa</x:v>
      </x:c>
      <x:c r="F1849" t="str">
        <x:v>MPa</x:v>
      </x:c>
      <x:c r="G1849" t="n">
        <x:v>934</x:v>
      </x:c>
      <x:c r="H1849" t="str">
        <x:v>Not applicable</x:v>
      </x:c>
      <x:c r="I1849" t="str">
        <x:v>Not applicable</x:v>
      </x:c>
      <x:c r="J1849" t="str">
        <x:v>=</x:v>
      </x:c>
      <x:c r="K1849" t="n">
        <x:v>0.001</x:v>
      </x:c>
      <x:c r="L1849" t="n">
        <x:v>0.934</x:v>
      </x:c>
      <x:c r="M1849" t="str">
        <x:v>Not applicable</x:v>
      </x:c>
      <x:c r="N1849" t="str">
        <x:v>Not applicable</x:v>
      </x:c>
      <x:c r="O1849" t="str">
        <x:v>GPa</x:v>
      </x:c>
      <x:c r="P1849" t="str">
        <x:v>Published value</x:v>
      </x:c>
      <x:c r="Q1849" t="str">
        <x:v>Printed specimen</x:v>
      </x:c>
      <x:c r="R1849" t="str">
        <x:v>ZX</x:v>
      </x:c>
      <x:c r="S1849" t="str">
        <x:v>Kept dry; TDS recommends drying before printing</x:v>
      </x:c>
      <x:c r="T1849" t="str">
        <x:v>Not published</x:v>
      </x:c>
      <x:c r="U1849" t="str">
        <x:v>Not published</x:v>
      </x:c>
      <x:c r="V1849" t="str">
        <x:v>ISO 178</x:v>
      </x:c>
      <x:c r="W1849" t="str">
        <x:v>Not applicable</x:v>
      </x:c>
      <x:c r="X1849" t="str">
        <x:v>Printed-part values in manufacturer TDS v1.2</x:v>
      </x:c>
      <x:c r="Y1849" t="str">
        <x:v>R-BASF-PCGF30-TDS</x:v>
      </x:c>
      <x:c r="Z1849" t="str">
        <x:v>p. 3: Flexural modulus (ZX)</x:v>
      </x:c>
      <x:c r="AA1849" t="str">
        <x:v>Not applicable</x:v>
      </x:c>
      <x:c r="AB1849" t="str">
        <x:v>Not applicable</x:v>
      </x:c>
      <x:c r="AC1849" t="str">
        <x:v>Not applicable</x:v>
      </x:c>
      <x:c r="AD1849" t="str">
        <x:v>Not applicable</x:v>
      </x:c>
      <x:c r="AE1849" t="str">
        <x:v>Not applicable</x:v>
      </x:c>
      <x:c r="AF1849" t="str">
        <x:v>Not applicable</x:v>
      </x:c>
      <x:c r="AG1849" t="str">
        <x:v>Not applicable</x:v>
      </x:c>
    </x:row>
    <x:row r="1850">
      <x:c r="A1850" t="str">
        <x:v>V001847</x:v>
      </x:c>
      <x:c r="B1850" t="str">
        <x:v>M038</x:v>
      </x:c>
      <x:c r="C1850" t="str">
        <x:v>G038-02</x:v>
      </x:c>
      <x:c r="D1850" t="str">
        <x:v>Flexural elongation at break</x:v>
      </x:c>
      <x:c r="E1850" t="str">
        <x:v>3.2 %</x:v>
      </x:c>
      <x:c r="F1850" t="str">
        <x:v>%</x:v>
      </x:c>
      <x:c r="G1850" t="n">
        <x:v>3.2</x:v>
      </x:c>
      <x:c r="H1850" t="str">
        <x:v>Not applicable</x:v>
      </x:c>
      <x:c r="I1850" t="str">
        <x:v>Not applicable</x:v>
      </x:c>
      <x:c r="J1850" t="str">
        <x:v>=</x:v>
      </x:c>
      <x:c r="K1850" t="n">
        <x:v>1</x:v>
      </x:c>
      <x:c r="L1850" t="n">
        <x:v>3.2</x:v>
      </x:c>
      <x:c r="M1850" t="str">
        <x:v>Not applicable</x:v>
      </x:c>
      <x:c r="N1850" t="str">
        <x:v>Not applicable</x:v>
      </x:c>
      <x:c r="O1850" t="str">
        <x:v>%</x:v>
      </x:c>
      <x:c r="P1850" t="str">
        <x:v>Published value</x:v>
      </x:c>
      <x:c r="Q1850" t="str">
        <x:v>Printed specimen</x:v>
      </x:c>
      <x:c r="R1850" t="str">
        <x:v>XY</x:v>
      </x:c>
      <x:c r="S1850" t="str">
        <x:v>Kept dry; TDS recommends drying before printing</x:v>
      </x:c>
      <x:c r="T1850" t="str">
        <x:v>Not published</x:v>
      </x:c>
      <x:c r="U1850" t="str">
        <x:v>Not published</x:v>
      </x:c>
      <x:c r="V1850" t="str">
        <x:v>ISO 178</x:v>
      </x:c>
      <x:c r="W1850" t="str">
        <x:v>Not applicable</x:v>
      </x:c>
      <x:c r="X1850" t="str">
        <x:v>Printed-part values in manufacturer TDS v1.2</x:v>
      </x:c>
      <x:c r="Y1850" t="str">
        <x:v>R-BASF-PCGF30-TDS</x:v>
      </x:c>
      <x:c r="Z1850" t="str">
        <x:v>p. 3: Flexural elongation at break (XY)</x:v>
      </x:c>
      <x:c r="AA1850" t="str">
        <x:v>Not applicable</x:v>
      </x:c>
      <x:c r="AB1850" t="str">
        <x:v>Not applicable</x:v>
      </x:c>
      <x:c r="AC1850" t="str">
        <x:v>Not applicable</x:v>
      </x:c>
      <x:c r="AD1850" t="str">
        <x:v>Not applicable</x:v>
      </x:c>
      <x:c r="AE1850" t="str">
        <x:v>Not applicable</x:v>
      </x:c>
      <x:c r="AF1850" t="str">
        <x:v>Not applicable</x:v>
      </x:c>
      <x:c r="AG1850" t="str">
        <x:v>Not applicable</x:v>
      </x:c>
    </x:row>
    <x:row r="1851">
      <x:c r="A1851" t="str">
        <x:v>V001848</x:v>
      </x:c>
      <x:c r="B1851" t="str">
        <x:v>M038</x:v>
      </x:c>
      <x:c r="C1851" t="str">
        <x:v>G038-02</x:v>
      </x:c>
      <x:c r="D1851" t="str">
        <x:v>Flexural elongation at break</x:v>
      </x:c>
      <x:c r="E1851" t="str">
        <x:v>2.9 %</x:v>
      </x:c>
      <x:c r="F1851" t="str">
        <x:v>%</x:v>
      </x:c>
      <x:c r="G1851" t="n">
        <x:v>2.9</x:v>
      </x:c>
      <x:c r="H1851" t="str">
        <x:v>Not applicable</x:v>
      </x:c>
      <x:c r="I1851" t="str">
        <x:v>Not applicable</x:v>
      </x:c>
      <x:c r="J1851" t="str">
        <x:v>=</x:v>
      </x:c>
      <x:c r="K1851" t="n">
        <x:v>1</x:v>
      </x:c>
      <x:c r="L1851" t="n">
        <x:v>2.9</x:v>
      </x:c>
      <x:c r="M1851" t="str">
        <x:v>Not applicable</x:v>
      </x:c>
      <x:c r="N1851" t="str">
        <x:v>Not applicable</x:v>
      </x:c>
      <x:c r="O1851" t="str">
        <x:v>%</x:v>
      </x:c>
      <x:c r="P1851" t="str">
        <x:v>Published value</x:v>
      </x:c>
      <x:c r="Q1851" t="str">
        <x:v>Printed specimen</x:v>
      </x:c>
      <x:c r="R1851" t="str">
        <x:v>XZ</x:v>
      </x:c>
      <x:c r="S1851" t="str">
        <x:v>Kept dry; TDS recommends drying before printing</x:v>
      </x:c>
      <x:c r="T1851" t="str">
        <x:v>Not published</x:v>
      </x:c>
      <x:c r="U1851" t="str">
        <x:v>Not published</x:v>
      </x:c>
      <x:c r="V1851" t="str">
        <x:v>ISO 178</x:v>
      </x:c>
      <x:c r="W1851" t="str">
        <x:v>Not applicable</x:v>
      </x:c>
      <x:c r="X1851" t="str">
        <x:v>Printed-part values in manufacturer TDS v1.2</x:v>
      </x:c>
      <x:c r="Y1851" t="str">
        <x:v>R-BASF-PCGF30-TDS</x:v>
      </x:c>
      <x:c r="Z1851" t="str">
        <x:v>p. 3: Flexural elongation at break (XZ)</x:v>
      </x:c>
      <x:c r="AA1851" t="str">
        <x:v>Not applicable</x:v>
      </x:c>
      <x:c r="AB1851" t="str">
        <x:v>Not applicable</x:v>
      </x:c>
      <x:c r="AC1851" t="str">
        <x:v>Not applicable</x:v>
      </x:c>
      <x:c r="AD1851" t="str">
        <x:v>Not applicable</x:v>
      </x:c>
      <x:c r="AE1851" t="str">
        <x:v>Not applicable</x:v>
      </x:c>
      <x:c r="AF1851" t="str">
        <x:v>Not applicable</x:v>
      </x:c>
      <x:c r="AG1851" t="str">
        <x:v>Not applicable</x:v>
      </x:c>
    </x:row>
    <x:row r="1852">
      <x:c r="A1852" t="str">
        <x:v>V001849</x:v>
      </x:c>
      <x:c r="B1852" t="str">
        <x:v>M038</x:v>
      </x:c>
      <x:c r="C1852" t="str">
        <x:v>G038-02</x:v>
      </x:c>
      <x:c r="D1852" t="str">
        <x:v>Flexural elongation at break</x:v>
      </x:c>
      <x:c r="E1852" t="str">
        <x:v>2.5 %</x:v>
      </x:c>
      <x:c r="F1852" t="str">
        <x:v>%</x:v>
      </x:c>
      <x:c r="G1852" t="n">
        <x:v>2.5</x:v>
      </x:c>
      <x:c r="H1852" t="str">
        <x:v>Not applicable</x:v>
      </x:c>
      <x:c r="I1852" t="str">
        <x:v>Not applicable</x:v>
      </x:c>
      <x:c r="J1852" t="str">
        <x:v>=</x:v>
      </x:c>
      <x:c r="K1852" t="n">
        <x:v>1</x:v>
      </x:c>
      <x:c r="L1852" t="n">
        <x:v>2.5</x:v>
      </x:c>
      <x:c r="M1852" t="str">
        <x:v>Not applicable</x:v>
      </x:c>
      <x:c r="N1852" t="str">
        <x:v>Not applicable</x:v>
      </x:c>
      <x:c r="O1852" t="str">
        <x:v>%</x:v>
      </x:c>
      <x:c r="P1852" t="str">
        <x:v>Published value</x:v>
      </x:c>
      <x:c r="Q1852" t="str">
        <x:v>Printed specimen</x:v>
      </x:c>
      <x:c r="R1852" t="str">
        <x:v>ZX</x:v>
      </x:c>
      <x:c r="S1852" t="str">
        <x:v>Kept dry; TDS recommends drying before printing</x:v>
      </x:c>
      <x:c r="T1852" t="str">
        <x:v>Not published</x:v>
      </x:c>
      <x:c r="U1852" t="str">
        <x:v>Not published</x:v>
      </x:c>
      <x:c r="V1852" t="str">
        <x:v>ISO 178</x:v>
      </x:c>
      <x:c r="W1852" t="str">
        <x:v>Not applicable</x:v>
      </x:c>
      <x:c r="X1852" t="str">
        <x:v>Printed-part values in manufacturer TDS v1.2</x:v>
      </x:c>
      <x:c r="Y1852" t="str">
        <x:v>R-BASF-PCGF30-TDS</x:v>
      </x:c>
      <x:c r="Z1852" t="str">
        <x:v>p. 3: Flexural elongation at break (ZX)</x:v>
      </x:c>
      <x:c r="AA1852" t="str">
        <x:v>Not applicable</x:v>
      </x:c>
      <x:c r="AB1852" t="str">
        <x:v>Not applicable</x:v>
      </x:c>
      <x:c r="AC1852" t="str">
        <x:v>Not applicable</x:v>
      </x:c>
      <x:c r="AD1852" t="str">
        <x:v>Not applicable</x:v>
      </x:c>
      <x:c r="AE1852" t="str">
        <x:v>Not applicable</x:v>
      </x:c>
      <x:c r="AF1852" t="str">
        <x:v>Not applicable</x:v>
      </x:c>
      <x:c r="AG1852" t="str">
        <x:v>Not applicable</x:v>
      </x:c>
    </x:row>
    <x:row r="1853">
      <x:c r="A1853" t="str">
        <x:v>V001850</x:v>
      </x:c>
      <x:c r="B1853" t="str">
        <x:v>M038</x:v>
      </x:c>
      <x:c r="C1853" t="str">
        <x:v>G038-02</x:v>
      </x:c>
      <x:c r="D1853" t="str">
        <x:v>Charpy strength</x:v>
      </x:c>
      <x:c r="E1853" t="str">
        <x:v>6.1 kJ/m²</x:v>
      </x:c>
      <x:c r="F1853" t="str">
        <x:v>kJ/m²</x:v>
      </x:c>
      <x:c r="G1853" t="n">
        <x:v>6.1</x:v>
      </x:c>
      <x:c r="H1853" t="str">
        <x:v>Not applicable</x:v>
      </x:c>
      <x:c r="I1853" t="str">
        <x:v>Not applicable</x:v>
      </x:c>
      <x:c r="J1853" t="str">
        <x:v>=</x:v>
      </x:c>
      <x:c r="K1853" t="n">
        <x:v>1</x:v>
      </x:c>
      <x:c r="L1853" t="n">
        <x:v>6.1</x:v>
      </x:c>
      <x:c r="M1853" t="str">
        <x:v>Not applicable</x:v>
      </x:c>
      <x:c r="N1853" t="str">
        <x:v>Not applicable</x:v>
      </x:c>
      <x:c r="O1853" t="str">
        <x:v>kJ/m²</x:v>
      </x:c>
      <x:c r="P1853" t="str">
        <x:v>Published value</x:v>
      </x:c>
      <x:c r="Q1853" t="str">
        <x:v>Printed specimen</x:v>
      </x:c>
      <x:c r="R1853" t="str">
        <x:v>XY</x:v>
      </x:c>
      <x:c r="S1853" t="str">
        <x:v>Kept dry; TDS recommends drying before printing</x:v>
      </x:c>
      <x:c r="T1853" t="str">
        <x:v>Not published</x:v>
      </x:c>
      <x:c r="U1853" t="str">
        <x:v>Not published</x:v>
      </x:c>
      <x:c r="V1853" t="str">
        <x:v>ISO 179-2</x:v>
      </x:c>
      <x:c r="W1853" t="str">
        <x:v>Notched</x:v>
      </x:c>
      <x:c r="X1853" t="str">
        <x:v>Printed-part values in manufacturer TDS v1.2</x:v>
      </x:c>
      <x:c r="Y1853" t="str">
        <x:v>R-BASF-PCGF30-TDS</x:v>
      </x:c>
      <x:c r="Z1853" t="str">
        <x:v>p. 3: Charpy strength, notched (XY)</x:v>
      </x:c>
      <x:c r="AA1853" t="str">
        <x:v>Not applicable</x:v>
      </x:c>
      <x:c r="AB1853" t="str">
        <x:v>Not applicable</x:v>
      </x:c>
      <x:c r="AC1853" t="str">
        <x:v>Not applicable</x:v>
      </x:c>
      <x:c r="AD1853" t="str">
        <x:v>Not applicable</x:v>
      </x:c>
      <x:c r="AE1853" t="str">
        <x:v>Not applicable</x:v>
      </x:c>
      <x:c r="AF1853" t="str">
        <x:v>Not applicable</x:v>
      </x:c>
      <x:c r="AG1853" t="str">
        <x:v>Not applicable</x:v>
      </x:c>
    </x:row>
    <x:row r="1854">
      <x:c r="A1854" t="str">
        <x:v>V001851</x:v>
      </x:c>
      <x:c r="B1854" t="str">
        <x:v>M038</x:v>
      </x:c>
      <x:c r="C1854" t="str">
        <x:v>G038-02</x:v>
      </x:c>
      <x:c r="D1854" t="str">
        <x:v>Charpy strength</x:v>
      </x:c>
      <x:c r="E1854" t="str">
        <x:v>6.5 kJ/m²</x:v>
      </x:c>
      <x:c r="F1854" t="str">
        <x:v>kJ/m²</x:v>
      </x:c>
      <x:c r="G1854" t="n">
        <x:v>6.5</x:v>
      </x:c>
      <x:c r="H1854" t="str">
        <x:v>Not applicable</x:v>
      </x:c>
      <x:c r="I1854" t="str">
        <x:v>Not applicable</x:v>
      </x:c>
      <x:c r="J1854" t="str">
        <x:v>=</x:v>
      </x:c>
      <x:c r="K1854" t="n">
        <x:v>1</x:v>
      </x:c>
      <x:c r="L1854" t="n">
        <x:v>6.5</x:v>
      </x:c>
      <x:c r="M1854" t="str">
        <x:v>Not applicable</x:v>
      </x:c>
      <x:c r="N1854" t="str">
        <x:v>Not applicable</x:v>
      </x:c>
      <x:c r="O1854" t="str">
        <x:v>kJ/m²</x:v>
      </x:c>
      <x:c r="P1854" t="str">
        <x:v>Published value</x:v>
      </x:c>
      <x:c r="Q1854" t="str">
        <x:v>Printed specimen</x:v>
      </x:c>
      <x:c r="R1854" t="str">
        <x:v>XZ</x:v>
      </x:c>
      <x:c r="S1854" t="str">
        <x:v>Kept dry; TDS recommends drying before printing</x:v>
      </x:c>
      <x:c r="T1854" t="str">
        <x:v>Not published</x:v>
      </x:c>
      <x:c r="U1854" t="str">
        <x:v>Not published</x:v>
      </x:c>
      <x:c r="V1854" t="str">
        <x:v>ISO 179-2</x:v>
      </x:c>
      <x:c r="W1854" t="str">
        <x:v>Notched</x:v>
      </x:c>
      <x:c r="X1854" t="str">
        <x:v>Printed-part values in manufacturer TDS v1.2</x:v>
      </x:c>
      <x:c r="Y1854" t="str">
        <x:v>R-BASF-PCGF30-TDS</x:v>
      </x:c>
      <x:c r="Z1854" t="str">
        <x:v>p. 3: Charpy strength, notched (XZ)</x:v>
      </x:c>
      <x:c r="AA1854" t="str">
        <x:v>Not applicable</x:v>
      </x:c>
      <x:c r="AB1854" t="str">
        <x:v>Not applicable</x:v>
      </x:c>
      <x:c r="AC1854" t="str">
        <x:v>Not applicable</x:v>
      </x:c>
      <x:c r="AD1854" t="str">
        <x:v>Not applicable</x:v>
      </x:c>
      <x:c r="AE1854" t="str">
        <x:v>Not applicable</x:v>
      </x:c>
      <x:c r="AF1854" t="str">
        <x:v>Not applicable</x:v>
      </x:c>
      <x:c r="AG1854" t="str">
        <x:v>Not applicable</x:v>
      </x:c>
    </x:row>
    <x:row r="1855">
      <x:c r="A1855" t="str">
        <x:v>V001852</x:v>
      </x:c>
      <x:c r="B1855" t="str">
        <x:v>M038</x:v>
      </x:c>
      <x:c r="C1855" t="str">
        <x:v>G038-02</x:v>
      </x:c>
      <x:c r="D1855" t="str">
        <x:v>Charpy strength</x:v>
      </x:c>
      <x:c r="E1855" t="str">
        <x:v>1.8 kJ/m²</x:v>
      </x:c>
      <x:c r="F1855" t="str">
        <x:v>kJ/m²</x:v>
      </x:c>
      <x:c r="G1855" t="n">
        <x:v>1.8</x:v>
      </x:c>
      <x:c r="H1855" t="str">
        <x:v>Not applicable</x:v>
      </x:c>
      <x:c r="I1855" t="str">
        <x:v>Not applicable</x:v>
      </x:c>
      <x:c r="J1855" t="str">
        <x:v>=</x:v>
      </x:c>
      <x:c r="K1855" t="n">
        <x:v>1</x:v>
      </x:c>
      <x:c r="L1855" t="n">
        <x:v>1.8</x:v>
      </x:c>
      <x:c r="M1855" t="str">
        <x:v>Not applicable</x:v>
      </x:c>
      <x:c r="N1855" t="str">
        <x:v>Not applicable</x:v>
      </x:c>
      <x:c r="O1855" t="str">
        <x:v>kJ/m²</x:v>
      </x:c>
      <x:c r="P1855" t="str">
        <x:v>Published value</x:v>
      </x:c>
      <x:c r="Q1855" t="str">
        <x:v>Printed specimen</x:v>
      </x:c>
      <x:c r="R1855" t="str">
        <x:v>ZX</x:v>
      </x:c>
      <x:c r="S1855" t="str">
        <x:v>Kept dry; TDS recommends drying before printing</x:v>
      </x:c>
      <x:c r="T1855" t="str">
        <x:v>Not published</x:v>
      </x:c>
      <x:c r="U1855" t="str">
        <x:v>Not published</x:v>
      </x:c>
      <x:c r="V1855" t="str">
        <x:v>ISO 179-2</x:v>
      </x:c>
      <x:c r="W1855" t="str">
        <x:v>Notched</x:v>
      </x:c>
      <x:c r="X1855" t="str">
        <x:v>Printed-part values in manufacturer TDS v1.2</x:v>
      </x:c>
      <x:c r="Y1855" t="str">
        <x:v>R-BASF-PCGF30-TDS</x:v>
      </x:c>
      <x:c r="Z1855" t="str">
        <x:v>p. 3: Charpy strength, notched (ZX)</x:v>
      </x:c>
      <x:c r="AA1855" t="str">
        <x:v>Not applicable</x:v>
      </x:c>
      <x:c r="AB1855" t="str">
        <x:v>Not applicable</x:v>
      </x:c>
      <x:c r="AC1855" t="str">
        <x:v>Not applicable</x:v>
      </x:c>
      <x:c r="AD1855" t="str">
        <x:v>Not applicable</x:v>
      </x:c>
      <x:c r="AE1855" t="str">
        <x:v>Not applicable</x:v>
      </x:c>
      <x:c r="AF1855" t="str">
        <x:v>Not applicable</x:v>
      </x:c>
      <x:c r="AG1855" t="str">
        <x:v>Not applicable</x:v>
      </x:c>
    </x:row>
    <x:row r="1856">
      <x:c r="A1856" t="str">
        <x:v>V001853</x:v>
      </x:c>
      <x:c r="B1856" t="str">
        <x:v>M038</x:v>
      </x:c>
      <x:c r="C1856" t="str">
        <x:v>G038-02</x:v>
      </x:c>
      <x:c r="D1856" t="str">
        <x:v>Charpy strength</x:v>
      </x:c>
      <x:c r="E1856" t="str">
        <x:v>17.1 kJ/m²</x:v>
      </x:c>
      <x:c r="F1856" t="str">
        <x:v>kJ/m²</x:v>
      </x:c>
      <x:c r="G1856" t="n">
        <x:v>17.1</x:v>
      </x:c>
      <x:c r="H1856" t="str">
        <x:v>Not applicable</x:v>
      </x:c>
      <x:c r="I1856" t="str">
        <x:v>Not applicable</x:v>
      </x:c>
      <x:c r="J1856" t="str">
        <x:v>=</x:v>
      </x:c>
      <x:c r="K1856" t="n">
        <x:v>1</x:v>
      </x:c>
      <x:c r="L1856" t="n">
        <x:v>17.1</x:v>
      </x:c>
      <x:c r="M1856" t="str">
        <x:v>Not applicable</x:v>
      </x:c>
      <x:c r="N1856" t="str">
        <x:v>Not applicable</x:v>
      </x:c>
      <x:c r="O1856" t="str">
        <x:v>kJ/m²</x:v>
      </x:c>
      <x:c r="P1856" t="str">
        <x:v>Published value</x:v>
      </x:c>
      <x:c r="Q1856" t="str">
        <x:v>Printed specimen</x:v>
      </x:c>
      <x:c r="R1856" t="str">
        <x:v>XY</x:v>
      </x:c>
      <x:c r="S1856" t="str">
        <x:v>Kept dry; TDS recommends drying before printing</x:v>
      </x:c>
      <x:c r="T1856" t="str">
        <x:v>Not published</x:v>
      </x:c>
      <x:c r="U1856" t="str">
        <x:v>Not published</x:v>
      </x:c>
      <x:c r="V1856" t="str">
        <x:v>ISO 179-2</x:v>
      </x:c>
      <x:c r="W1856" t="str">
        <x:v>Unnotched</x:v>
      </x:c>
      <x:c r="X1856" t="str">
        <x:v>Printed-part values in manufacturer TDS v1.2</x:v>
      </x:c>
      <x:c r="Y1856" t="str">
        <x:v>R-BASF-PCGF30-TDS</x:v>
      </x:c>
      <x:c r="Z1856" t="str">
        <x:v>p. 3: Charpy strength, unnotched (XY)</x:v>
      </x:c>
      <x:c r="AA1856" t="str">
        <x:v>Not applicable</x:v>
      </x:c>
      <x:c r="AB1856" t="str">
        <x:v>Not applicable</x:v>
      </x:c>
      <x:c r="AC1856" t="str">
        <x:v>Not applicable</x:v>
      </x:c>
      <x:c r="AD1856" t="str">
        <x:v>Not applicable</x:v>
      </x:c>
      <x:c r="AE1856" t="str">
        <x:v>Not applicable</x:v>
      </x:c>
      <x:c r="AF1856" t="str">
        <x:v>Not applicable</x:v>
      </x:c>
      <x:c r="AG1856" t="str">
        <x:v>Not applicable</x:v>
      </x:c>
    </x:row>
    <x:row r="1857">
      <x:c r="A1857" t="str">
        <x:v>V001854</x:v>
      </x:c>
      <x:c r="B1857" t="str">
        <x:v>M038</x:v>
      </x:c>
      <x:c r="C1857" t="str">
        <x:v>G038-02</x:v>
      </x:c>
      <x:c r="D1857" t="str">
        <x:v>Charpy strength</x:v>
      </x:c>
      <x:c r="E1857" t="str">
        <x:v>18.9 kJ/m²</x:v>
      </x:c>
      <x:c r="F1857" t="str">
        <x:v>kJ/m²</x:v>
      </x:c>
      <x:c r="G1857" t="n">
        <x:v>18.9</x:v>
      </x:c>
      <x:c r="H1857" t="str">
        <x:v>Not applicable</x:v>
      </x:c>
      <x:c r="I1857" t="str">
        <x:v>Not applicable</x:v>
      </x:c>
      <x:c r="J1857" t="str">
        <x:v>=</x:v>
      </x:c>
      <x:c r="K1857" t="n">
        <x:v>1</x:v>
      </x:c>
      <x:c r="L1857" t="n">
        <x:v>18.9</x:v>
      </x:c>
      <x:c r="M1857" t="str">
        <x:v>Not applicable</x:v>
      </x:c>
      <x:c r="N1857" t="str">
        <x:v>Not applicable</x:v>
      </x:c>
      <x:c r="O1857" t="str">
        <x:v>kJ/m²</x:v>
      </x:c>
      <x:c r="P1857" t="str">
        <x:v>Published value</x:v>
      </x:c>
      <x:c r="Q1857" t="str">
        <x:v>Printed specimen</x:v>
      </x:c>
      <x:c r="R1857" t="str">
        <x:v>XZ</x:v>
      </x:c>
      <x:c r="S1857" t="str">
        <x:v>Kept dry; TDS recommends drying before printing</x:v>
      </x:c>
      <x:c r="T1857" t="str">
        <x:v>Not published</x:v>
      </x:c>
      <x:c r="U1857" t="str">
        <x:v>Not published</x:v>
      </x:c>
      <x:c r="V1857" t="str">
        <x:v>ISO 179-2</x:v>
      </x:c>
      <x:c r="W1857" t="str">
        <x:v>Unnotched</x:v>
      </x:c>
      <x:c r="X1857" t="str">
        <x:v>Printed-part values in manufacturer TDS v1.2</x:v>
      </x:c>
      <x:c r="Y1857" t="str">
        <x:v>R-BASF-PCGF30-TDS</x:v>
      </x:c>
      <x:c r="Z1857" t="str">
        <x:v>p. 3: Charpy strength, unnotched (XZ)</x:v>
      </x:c>
      <x:c r="AA1857" t="str">
        <x:v>Not applicable</x:v>
      </x:c>
      <x:c r="AB1857" t="str">
        <x:v>Not applicable</x:v>
      </x:c>
      <x:c r="AC1857" t="str">
        <x:v>Not applicable</x:v>
      </x:c>
      <x:c r="AD1857" t="str">
        <x:v>Not applicable</x:v>
      </x:c>
      <x:c r="AE1857" t="str">
        <x:v>Not applicable</x:v>
      </x:c>
      <x:c r="AF1857" t="str">
        <x:v>Not applicable</x:v>
      </x:c>
      <x:c r="AG1857" t="str">
        <x:v>Not applicable</x:v>
      </x:c>
    </x:row>
    <x:row r="1858">
      <x:c r="A1858" t="str">
        <x:v>V001855</x:v>
      </x:c>
      <x:c r="B1858" t="str">
        <x:v>M038</x:v>
      </x:c>
      <x:c r="C1858" t="str">
        <x:v>G038-02</x:v>
      </x:c>
      <x:c r="D1858" t="str">
        <x:v>Charpy strength</x:v>
      </x:c>
      <x:c r="E1858" t="str">
        <x:v>3.7 kJ/m²</x:v>
      </x:c>
      <x:c r="F1858" t="str">
        <x:v>kJ/m²</x:v>
      </x:c>
      <x:c r="G1858" t="n">
        <x:v>3.7</x:v>
      </x:c>
      <x:c r="H1858" t="str">
        <x:v>Not applicable</x:v>
      </x:c>
      <x:c r="I1858" t="str">
        <x:v>Not applicable</x:v>
      </x:c>
      <x:c r="J1858" t="str">
        <x:v>=</x:v>
      </x:c>
      <x:c r="K1858" t="n">
        <x:v>1</x:v>
      </x:c>
      <x:c r="L1858" t="n">
        <x:v>3.7</x:v>
      </x:c>
      <x:c r="M1858" t="str">
        <x:v>Not applicable</x:v>
      </x:c>
      <x:c r="N1858" t="str">
        <x:v>Not applicable</x:v>
      </x:c>
      <x:c r="O1858" t="str">
        <x:v>kJ/m²</x:v>
      </x:c>
      <x:c r="P1858" t="str">
        <x:v>Published value</x:v>
      </x:c>
      <x:c r="Q1858" t="str">
        <x:v>Printed specimen</x:v>
      </x:c>
      <x:c r="R1858" t="str">
        <x:v>ZX</x:v>
      </x:c>
      <x:c r="S1858" t="str">
        <x:v>Kept dry; TDS recommends drying before printing</x:v>
      </x:c>
      <x:c r="T1858" t="str">
        <x:v>Not published</x:v>
      </x:c>
      <x:c r="U1858" t="str">
        <x:v>Not published</x:v>
      </x:c>
      <x:c r="V1858" t="str">
        <x:v>ISO 179-2</x:v>
      </x:c>
      <x:c r="W1858" t="str">
        <x:v>Unnotched</x:v>
      </x:c>
      <x:c r="X1858" t="str">
        <x:v>Printed-part values in manufacturer TDS v1.2</x:v>
      </x:c>
      <x:c r="Y1858" t="str">
        <x:v>R-BASF-PCGF30-TDS</x:v>
      </x:c>
      <x:c r="Z1858" t="str">
        <x:v>p. 3: Charpy strength, unnotched (ZX)</x:v>
      </x:c>
      <x:c r="AA1858" t="str">
        <x:v>Not applicable</x:v>
      </x:c>
      <x:c r="AB1858" t="str">
        <x:v>Not applicable</x:v>
      </x:c>
      <x:c r="AC1858" t="str">
        <x:v>Not applicable</x:v>
      </x:c>
      <x:c r="AD1858" t="str">
        <x:v>Not applicable</x:v>
      </x:c>
      <x:c r="AE1858" t="str">
        <x:v>Not applicable</x:v>
      </x:c>
      <x:c r="AF1858" t="str">
        <x:v>Not applicable</x:v>
      </x:c>
      <x:c r="AG1858" t="str">
        <x:v>Not applicable</x:v>
      </x:c>
    </x:row>
    <x:row r="1859">
      <x:c r="A1859" t="str">
        <x:v>V001856</x:v>
      </x:c>
      <x:c r="B1859" t="str">
        <x:v>M038</x:v>
      </x:c>
      <x:c r="C1859" t="str">
        <x:v>G038-02</x:v>
      </x:c>
      <x:c r="D1859" t="str">
        <x:v>Izod impact strength</x:v>
      </x:c>
      <x:c r="E1859" t="str">
        <x:v>5.6 kJ/m²</x:v>
      </x:c>
      <x:c r="F1859" t="str">
        <x:v>kJ/m²</x:v>
      </x:c>
      <x:c r="G1859" t="n">
        <x:v>5.6</x:v>
      </x:c>
      <x:c r="H1859" t="str">
        <x:v>Not applicable</x:v>
      </x:c>
      <x:c r="I1859" t="str">
        <x:v>Not applicable</x:v>
      </x:c>
      <x:c r="J1859" t="str">
        <x:v>=</x:v>
      </x:c>
      <x:c r="K1859" t="n">
        <x:v>1</x:v>
      </x:c>
      <x:c r="L1859" t="n">
        <x:v>5.6</x:v>
      </x:c>
      <x:c r="M1859" t="str">
        <x:v>Not applicable</x:v>
      </x:c>
      <x:c r="N1859" t="str">
        <x:v>Not applicable</x:v>
      </x:c>
      <x:c r="O1859" t="str">
        <x:v>kJ/m²</x:v>
      </x:c>
      <x:c r="P1859" t="str">
        <x:v>Published value</x:v>
      </x:c>
      <x:c r="Q1859" t="str">
        <x:v>Printed specimen</x:v>
      </x:c>
      <x:c r="R1859" t="str">
        <x:v>XY</x:v>
      </x:c>
      <x:c r="S1859" t="str">
        <x:v>Kept dry; TDS recommends drying before printing</x:v>
      </x:c>
      <x:c r="T1859" t="str">
        <x:v>Not published</x:v>
      </x:c>
      <x:c r="U1859" t="str">
        <x:v>Not published</x:v>
      </x:c>
      <x:c r="V1859" t="str">
        <x:v>ISO 180</x:v>
      </x:c>
      <x:c r="W1859" t="str">
        <x:v>Notched</x:v>
      </x:c>
      <x:c r="X1859" t="str">
        <x:v>Printed-part values in manufacturer TDS v1.2</x:v>
      </x:c>
      <x:c r="Y1859" t="str">
        <x:v>R-BASF-PCGF30-TDS</x:v>
      </x:c>
      <x:c r="Z1859" t="str">
        <x:v>p. 3: Izod impact strength, notched (XY)</x:v>
      </x:c>
      <x:c r="AA1859" t="str">
        <x:v>Not applicable</x:v>
      </x:c>
      <x:c r="AB1859" t="str">
        <x:v>Not applicable</x:v>
      </x:c>
      <x:c r="AC1859" t="str">
        <x:v>Not applicable</x:v>
      </x:c>
      <x:c r="AD1859" t="str">
        <x:v>Not applicable</x:v>
      </x:c>
      <x:c r="AE1859" t="str">
        <x:v>Not applicable</x:v>
      </x:c>
      <x:c r="AF1859" t="str">
        <x:v>Not applicable</x:v>
      </x:c>
      <x:c r="AG1859" t="str">
        <x:v>Not applicable</x:v>
      </x:c>
    </x:row>
    <x:row r="1860">
      <x:c r="A1860" t="str">
        <x:v>V001857</x:v>
      </x:c>
      <x:c r="B1860" t="str">
        <x:v>M038</x:v>
      </x:c>
      <x:c r="C1860" t="str">
        <x:v>G038-02</x:v>
      </x:c>
      <x:c r="D1860" t="str">
        <x:v>Izod impact strength</x:v>
      </x:c>
      <x:c r="E1860" t="str">
        <x:v>5.4 kJ/m²</x:v>
      </x:c>
      <x:c r="F1860" t="str">
        <x:v>kJ/m²</x:v>
      </x:c>
      <x:c r="G1860" t="n">
        <x:v>5.4</x:v>
      </x:c>
      <x:c r="H1860" t="str">
        <x:v>Not applicable</x:v>
      </x:c>
      <x:c r="I1860" t="str">
        <x:v>Not applicable</x:v>
      </x:c>
      <x:c r="J1860" t="str">
        <x:v>=</x:v>
      </x:c>
      <x:c r="K1860" t="n">
        <x:v>1</x:v>
      </x:c>
      <x:c r="L1860" t="n">
        <x:v>5.4</x:v>
      </x:c>
      <x:c r="M1860" t="str">
        <x:v>Not applicable</x:v>
      </x:c>
      <x:c r="N1860" t="str">
        <x:v>Not applicable</x:v>
      </x:c>
      <x:c r="O1860" t="str">
        <x:v>kJ/m²</x:v>
      </x:c>
      <x:c r="P1860" t="str">
        <x:v>Published value</x:v>
      </x:c>
      <x:c r="Q1860" t="str">
        <x:v>Printed specimen</x:v>
      </x:c>
      <x:c r="R1860" t="str">
        <x:v>XZ</x:v>
      </x:c>
      <x:c r="S1860" t="str">
        <x:v>Kept dry; TDS recommends drying before printing</x:v>
      </x:c>
      <x:c r="T1860" t="str">
        <x:v>Not published</x:v>
      </x:c>
      <x:c r="U1860" t="str">
        <x:v>Not published</x:v>
      </x:c>
      <x:c r="V1860" t="str">
        <x:v>ISO 180</x:v>
      </x:c>
      <x:c r="W1860" t="str">
        <x:v>Notched</x:v>
      </x:c>
      <x:c r="X1860" t="str">
        <x:v>Printed-part values in manufacturer TDS v1.2</x:v>
      </x:c>
      <x:c r="Y1860" t="str">
        <x:v>R-BASF-PCGF30-TDS</x:v>
      </x:c>
      <x:c r="Z1860" t="str">
        <x:v>p. 3: Izod impact strength, notched (XZ)</x:v>
      </x:c>
      <x:c r="AA1860" t="str">
        <x:v>Not applicable</x:v>
      </x:c>
      <x:c r="AB1860" t="str">
        <x:v>Not applicable</x:v>
      </x:c>
      <x:c r="AC1860" t="str">
        <x:v>Not applicable</x:v>
      </x:c>
      <x:c r="AD1860" t="str">
        <x:v>Not applicable</x:v>
      </x:c>
      <x:c r="AE1860" t="str">
        <x:v>Not applicable</x:v>
      </x:c>
      <x:c r="AF1860" t="str">
        <x:v>Not applicable</x:v>
      </x:c>
      <x:c r="AG1860" t="str">
        <x:v>Not applicable</x:v>
      </x:c>
    </x:row>
    <x:row r="1861">
      <x:c r="A1861" t="str">
        <x:v>V001858</x:v>
      </x:c>
      <x:c r="B1861" t="str">
        <x:v>M038</x:v>
      </x:c>
      <x:c r="C1861" t="str">
        <x:v>G038-02</x:v>
      </x:c>
      <x:c r="D1861" t="str">
        <x:v>Izod impact strength</x:v>
      </x:c>
      <x:c r="E1861" t="str">
        <x:v>2.1 kJ/m²</x:v>
      </x:c>
      <x:c r="F1861" t="str">
        <x:v>kJ/m²</x:v>
      </x:c>
      <x:c r="G1861" t="n">
        <x:v>2.1</x:v>
      </x:c>
      <x:c r="H1861" t="str">
        <x:v>Not applicable</x:v>
      </x:c>
      <x:c r="I1861" t="str">
        <x:v>Not applicable</x:v>
      </x:c>
      <x:c r="J1861" t="str">
        <x:v>=</x:v>
      </x:c>
      <x:c r="K1861" t="n">
        <x:v>1</x:v>
      </x:c>
      <x:c r="L1861" t="n">
        <x:v>2.1</x:v>
      </x:c>
      <x:c r="M1861" t="str">
        <x:v>Not applicable</x:v>
      </x:c>
      <x:c r="N1861" t="str">
        <x:v>Not applicable</x:v>
      </x:c>
      <x:c r="O1861" t="str">
        <x:v>kJ/m²</x:v>
      </x:c>
      <x:c r="P1861" t="str">
        <x:v>Published value</x:v>
      </x:c>
      <x:c r="Q1861" t="str">
        <x:v>Printed specimen</x:v>
      </x:c>
      <x:c r="R1861" t="str">
        <x:v>ZX</x:v>
      </x:c>
      <x:c r="S1861" t="str">
        <x:v>Kept dry; TDS recommends drying before printing</x:v>
      </x:c>
      <x:c r="T1861" t="str">
        <x:v>Not published</x:v>
      </x:c>
      <x:c r="U1861" t="str">
        <x:v>Not published</x:v>
      </x:c>
      <x:c r="V1861" t="str">
        <x:v>ISO 180</x:v>
      </x:c>
      <x:c r="W1861" t="str">
        <x:v>Notched</x:v>
      </x:c>
      <x:c r="X1861" t="str">
        <x:v>Printed-part values in manufacturer TDS v1.2</x:v>
      </x:c>
      <x:c r="Y1861" t="str">
        <x:v>R-BASF-PCGF30-TDS</x:v>
      </x:c>
      <x:c r="Z1861" t="str">
        <x:v>p. 3: Izod impact strength, notched (ZX)</x:v>
      </x:c>
      <x:c r="AA1861" t="str">
        <x:v>Not applicable</x:v>
      </x:c>
      <x:c r="AB1861" t="str">
        <x:v>Not applicable</x:v>
      </x:c>
      <x:c r="AC1861" t="str">
        <x:v>Not applicable</x:v>
      </x:c>
      <x:c r="AD1861" t="str">
        <x:v>Not applicable</x:v>
      </x:c>
      <x:c r="AE1861" t="str">
        <x:v>Not applicable</x:v>
      </x:c>
      <x:c r="AF1861" t="str">
        <x:v>Not applicable</x:v>
      </x:c>
      <x:c r="AG1861" t="str">
        <x:v>Not applicable</x:v>
      </x:c>
    </x:row>
    <x:row r="1862">
      <x:c r="A1862" t="str">
        <x:v>V001859</x:v>
      </x:c>
      <x:c r="B1862" t="str">
        <x:v>M038</x:v>
      </x:c>
      <x:c r="C1862" t="str">
        <x:v>G038-02</x:v>
      </x:c>
      <x:c r="D1862" t="str">
        <x:v>Izod impact strength</x:v>
      </x:c>
      <x:c r="E1862" t="str">
        <x:v>13.9 kJ/m²</x:v>
      </x:c>
      <x:c r="F1862" t="str">
        <x:v>kJ/m²</x:v>
      </x:c>
      <x:c r="G1862" t="n">
        <x:v>13.9</x:v>
      </x:c>
      <x:c r="H1862" t="str">
        <x:v>Not applicable</x:v>
      </x:c>
      <x:c r="I1862" t="str">
        <x:v>Not applicable</x:v>
      </x:c>
      <x:c r="J1862" t="str">
        <x:v>=</x:v>
      </x:c>
      <x:c r="K1862" t="n">
        <x:v>1</x:v>
      </x:c>
      <x:c r="L1862" t="n">
        <x:v>13.9</x:v>
      </x:c>
      <x:c r="M1862" t="str">
        <x:v>Not applicable</x:v>
      </x:c>
      <x:c r="N1862" t="str">
        <x:v>Not applicable</x:v>
      </x:c>
      <x:c r="O1862" t="str">
        <x:v>kJ/m²</x:v>
      </x:c>
      <x:c r="P1862" t="str">
        <x:v>Published value</x:v>
      </x:c>
      <x:c r="Q1862" t="str">
        <x:v>Printed specimen</x:v>
      </x:c>
      <x:c r="R1862" t="str">
        <x:v>XY</x:v>
      </x:c>
      <x:c r="S1862" t="str">
        <x:v>Kept dry; TDS recommends drying before printing</x:v>
      </x:c>
      <x:c r="T1862" t="str">
        <x:v>Not published</x:v>
      </x:c>
      <x:c r="U1862" t="str">
        <x:v>Not published</x:v>
      </x:c>
      <x:c r="V1862" t="str">
        <x:v>ISO 180</x:v>
      </x:c>
      <x:c r="W1862" t="str">
        <x:v>Unnotched</x:v>
      </x:c>
      <x:c r="X1862" t="str">
        <x:v>Printed-part values in manufacturer TDS v1.2</x:v>
      </x:c>
      <x:c r="Y1862" t="str">
        <x:v>R-BASF-PCGF30-TDS</x:v>
      </x:c>
      <x:c r="Z1862" t="str">
        <x:v>p. 3: Izod impact strength, unnotched (XY)</x:v>
      </x:c>
      <x:c r="AA1862" t="str">
        <x:v>Not applicable</x:v>
      </x:c>
      <x:c r="AB1862" t="str">
        <x:v>Not applicable</x:v>
      </x:c>
      <x:c r="AC1862" t="str">
        <x:v>Not applicable</x:v>
      </x:c>
      <x:c r="AD1862" t="str">
        <x:v>Not applicable</x:v>
      </x:c>
      <x:c r="AE1862" t="str">
        <x:v>Not applicable</x:v>
      </x:c>
      <x:c r="AF1862" t="str">
        <x:v>Not applicable</x:v>
      </x:c>
      <x:c r="AG1862" t="str">
        <x:v>Not applicable</x:v>
      </x:c>
    </x:row>
    <x:row r="1863">
      <x:c r="A1863" t="str">
        <x:v>V001860</x:v>
      </x:c>
      <x:c r="B1863" t="str">
        <x:v>M038</x:v>
      </x:c>
      <x:c r="C1863" t="str">
        <x:v>G038-02</x:v>
      </x:c>
      <x:c r="D1863" t="str">
        <x:v>Izod impact strength</x:v>
      </x:c>
      <x:c r="E1863" t="str">
        <x:v>17.8 kJ/m²</x:v>
      </x:c>
      <x:c r="F1863" t="str">
        <x:v>kJ/m²</x:v>
      </x:c>
      <x:c r="G1863" t="n">
        <x:v>17.8</x:v>
      </x:c>
      <x:c r="H1863" t="str">
        <x:v>Not applicable</x:v>
      </x:c>
      <x:c r="I1863" t="str">
        <x:v>Not applicable</x:v>
      </x:c>
      <x:c r="J1863" t="str">
        <x:v>=</x:v>
      </x:c>
      <x:c r="K1863" t="n">
        <x:v>1</x:v>
      </x:c>
      <x:c r="L1863" t="n">
        <x:v>17.8</x:v>
      </x:c>
      <x:c r="M1863" t="str">
        <x:v>Not applicable</x:v>
      </x:c>
      <x:c r="N1863" t="str">
        <x:v>Not applicable</x:v>
      </x:c>
      <x:c r="O1863" t="str">
        <x:v>kJ/m²</x:v>
      </x:c>
      <x:c r="P1863" t="str">
        <x:v>Published value</x:v>
      </x:c>
      <x:c r="Q1863" t="str">
        <x:v>Printed specimen</x:v>
      </x:c>
      <x:c r="R1863" t="str">
        <x:v>XZ</x:v>
      </x:c>
      <x:c r="S1863" t="str">
        <x:v>Kept dry; TDS recommends drying before printing</x:v>
      </x:c>
      <x:c r="T1863" t="str">
        <x:v>Not published</x:v>
      </x:c>
      <x:c r="U1863" t="str">
        <x:v>Not published</x:v>
      </x:c>
      <x:c r="V1863" t="str">
        <x:v>ISO 180</x:v>
      </x:c>
      <x:c r="W1863" t="str">
        <x:v>Unnotched</x:v>
      </x:c>
      <x:c r="X1863" t="str">
        <x:v>Printed-part values in manufacturer TDS v1.2</x:v>
      </x:c>
      <x:c r="Y1863" t="str">
        <x:v>R-BASF-PCGF30-TDS</x:v>
      </x:c>
      <x:c r="Z1863" t="str">
        <x:v>p. 3: Izod impact strength, unnotched (XZ)</x:v>
      </x:c>
      <x:c r="AA1863" t="str">
        <x:v>Not applicable</x:v>
      </x:c>
      <x:c r="AB1863" t="str">
        <x:v>Not applicable</x:v>
      </x:c>
      <x:c r="AC1863" t="str">
        <x:v>Not applicable</x:v>
      </x:c>
      <x:c r="AD1863" t="str">
        <x:v>Not applicable</x:v>
      </x:c>
      <x:c r="AE1863" t="str">
        <x:v>Not applicable</x:v>
      </x:c>
      <x:c r="AF1863" t="str">
        <x:v>Not applicable</x:v>
      </x:c>
      <x:c r="AG1863" t="str">
        <x:v>Not applicable</x:v>
      </x:c>
    </x:row>
    <x:row r="1864">
      <x:c r="A1864" t="str">
        <x:v>V001861</x:v>
      </x:c>
      <x:c r="B1864" t="str">
        <x:v>M038</x:v>
      </x:c>
      <x:c r="C1864" t="str">
        <x:v>G038-02</x:v>
      </x:c>
      <x:c r="D1864" t="str">
        <x:v>Izod impact strength</x:v>
      </x:c>
      <x:c r="E1864" t="str">
        <x:v>3.4 kJ/m²</x:v>
      </x:c>
      <x:c r="F1864" t="str">
        <x:v>kJ/m²</x:v>
      </x:c>
      <x:c r="G1864" t="n">
        <x:v>3.4</x:v>
      </x:c>
      <x:c r="H1864" t="str">
        <x:v>Not applicable</x:v>
      </x:c>
      <x:c r="I1864" t="str">
        <x:v>Not applicable</x:v>
      </x:c>
      <x:c r="J1864" t="str">
        <x:v>=</x:v>
      </x:c>
      <x:c r="K1864" t="n">
        <x:v>1</x:v>
      </x:c>
      <x:c r="L1864" t="n">
        <x:v>3.4</x:v>
      </x:c>
      <x:c r="M1864" t="str">
        <x:v>Not applicable</x:v>
      </x:c>
      <x:c r="N1864" t="str">
        <x:v>Not applicable</x:v>
      </x:c>
      <x:c r="O1864" t="str">
        <x:v>kJ/m²</x:v>
      </x:c>
      <x:c r="P1864" t="str">
        <x:v>Published value</x:v>
      </x:c>
      <x:c r="Q1864" t="str">
        <x:v>Printed specimen</x:v>
      </x:c>
      <x:c r="R1864" t="str">
        <x:v>ZX</x:v>
      </x:c>
      <x:c r="S1864" t="str">
        <x:v>Kept dry; TDS recommends drying before printing</x:v>
      </x:c>
      <x:c r="T1864" t="str">
        <x:v>Not published</x:v>
      </x:c>
      <x:c r="U1864" t="str">
        <x:v>Not published</x:v>
      </x:c>
      <x:c r="V1864" t="str">
        <x:v>ISO 180</x:v>
      </x:c>
      <x:c r="W1864" t="str">
        <x:v>Unnotched</x:v>
      </x:c>
      <x:c r="X1864" t="str">
        <x:v>Printed-part values in manufacturer TDS v1.2</x:v>
      </x:c>
      <x:c r="Y1864" t="str">
        <x:v>R-BASF-PCGF30-TDS</x:v>
      </x:c>
      <x:c r="Z1864" t="str">
        <x:v>p. 3: Izod impact strength, unnotched (ZX)</x:v>
      </x:c>
      <x:c r="AA1864" t="str">
        <x:v>Not applicable</x:v>
      </x:c>
      <x:c r="AB1864" t="str">
        <x:v>Not applicable</x:v>
      </x:c>
      <x:c r="AC1864" t="str">
        <x:v>Not applicable</x:v>
      </x:c>
      <x:c r="AD1864" t="str">
        <x:v>Not applicable</x:v>
      </x:c>
      <x:c r="AE1864" t="str">
        <x:v>Not applicable</x:v>
      </x:c>
      <x:c r="AF1864" t="str">
        <x:v>Not applicable</x:v>
      </x:c>
      <x:c r="AG1864" t="str">
        <x:v>Not applicable</x:v>
      </x:c>
    </x:row>
    <x:row r="1865">
      <x:c r="A1865" t="str">
        <x:v>V001862</x:v>
      </x:c>
      <x:c r="B1865" t="str">
        <x:v>M073</x:v>
      </x:c>
      <x:c r="C1865" t="str">
        <x:v>G073-02</x:v>
      </x:c>
      <x:c r="D1865" t="str">
        <x:v>Tensile strength (endpoint unspecified)</x:v>
      </x:c>
      <x:c r="E1865" t="str">
        <x:v>63 (5.4) MPa</x:v>
      </x:c>
      <x:c r="F1865" t="str">
        <x:v>MPa</x:v>
      </x:c>
      <x:c r="G1865" t="n">
        <x:v>63</x:v>
      </x:c>
      <x:c r="H1865" t="n">
        <x:v>5.4</x:v>
      </x:c>
      <x:c r="I1865" t="str">
        <x:v>Not applicable</x:v>
      </x:c>
      <x:c r="J1865" t="str">
        <x:v>=</x:v>
      </x:c>
      <x:c r="K1865" t="n">
        <x:v>1</x:v>
      </x:c>
      <x:c r="L1865" t="n">
        <x:v>63</x:v>
      </x:c>
      <x:c r="M1865" t="n">
        <x:v>5.4</x:v>
      </x:c>
      <x:c r="N1865" t="str">
        <x:v>Not applicable</x:v>
      </x:c>
      <x:c r="O1865" t="str">
        <x:v>MPa</x:v>
      </x:c>
      <x:c r="P1865" t="str">
        <x:v>Published value</x:v>
      </x:c>
      <x:c r="Q1865" t="str">
        <x:v>Printed specimen</x:v>
      </x:c>
      <x:c r="R1865" t="str">
        <x:v>XY</x:v>
      </x:c>
      <x:c r="S1865" t="str">
        <x:v>Keep vacuum sealed; dry at 120 °C for 3-8 h if &gt;200 ppm</x:v>
      </x:c>
      <x:c r="T1865" t="str">
        <x:v>Not published</x:v>
      </x:c>
      <x:c r="U1865" t="str">
        <x:v>Not published</x:v>
      </x:c>
      <x:c r="V1865" t="str">
        <x:v>ISO 527-2</x:v>
      </x:c>
      <x:c r="W1865" t="str">
        <x:v>Not applicable</x:v>
      </x:c>
      <x:c r="X1865" t="str">
        <x:v>Manufacturer TDS v1.0; standard deviations in parentheses</x:v>
      </x:c>
      <x:c r="Y1865" t="str">
        <x:v>R-ESSENTIUM-PPSCF-TDS</x:v>
      </x:c>
      <x:c r="Z1865" t="str">
        <x:v>p. 1: Tensile strength (endpoint unspecified) (XY)</x:v>
      </x:c>
      <x:c r="AA1865" t="str">
        <x:v>Not applicable</x:v>
      </x:c>
      <x:c r="AB1865" t="str">
        <x:v>Not applicable</x:v>
      </x:c>
      <x:c r="AC1865" t="str">
        <x:v>Not applicable</x:v>
      </x:c>
      <x:c r="AD1865" t="str">
        <x:v>Not applicable</x:v>
      </x:c>
      <x:c r="AE1865" t="str">
        <x:v>Not applicable</x:v>
      </x:c>
      <x:c r="AF1865" t="str">
        <x:v>Not applicable</x:v>
      </x:c>
      <x:c r="AG1865" t="str">
        <x:v>Not applicable</x:v>
      </x:c>
    </x:row>
    <x:row r="1866">
      <x:c r="A1866" t="str">
        <x:v>V001863</x:v>
      </x:c>
      <x:c r="B1866" t="str">
        <x:v>M073</x:v>
      </x:c>
      <x:c r="C1866" t="str">
        <x:v>G073-02</x:v>
      </x:c>
      <x:c r="D1866" t="str">
        <x:v>Tensile strength (endpoint unspecified)</x:v>
      </x:c>
      <x:c r="E1866" t="str">
        <x:v>44.7 (3.5) MPa</x:v>
      </x:c>
      <x:c r="F1866" t="str">
        <x:v>MPa</x:v>
      </x:c>
      <x:c r="G1866" t="n">
        <x:v>44.7</x:v>
      </x:c>
      <x:c r="H1866" t="n">
        <x:v>3.5</x:v>
      </x:c>
      <x:c r="I1866" t="str">
        <x:v>Not applicable</x:v>
      </x:c>
      <x:c r="J1866" t="str">
        <x:v>=</x:v>
      </x:c>
      <x:c r="K1866" t="n">
        <x:v>1</x:v>
      </x:c>
      <x:c r="L1866" t="n">
        <x:v>44.7</x:v>
      </x:c>
      <x:c r="M1866" t="n">
        <x:v>3.5</x:v>
      </x:c>
      <x:c r="N1866" t="str">
        <x:v>Not applicable</x:v>
      </x:c>
      <x:c r="O1866" t="str">
        <x:v>MPa</x:v>
      </x:c>
      <x:c r="P1866" t="str">
        <x:v>Published value</x:v>
      </x:c>
      <x:c r="Q1866" t="str">
        <x:v>Printed specimen</x:v>
      </x:c>
      <x:c r="R1866" t="str">
        <x:v>45/45</x:v>
      </x:c>
      <x:c r="S1866" t="str">
        <x:v>Keep vacuum sealed; dry at 120 °C for 3-8 h if &gt;200 ppm</x:v>
      </x:c>
      <x:c r="T1866" t="str">
        <x:v>Not published</x:v>
      </x:c>
      <x:c r="U1866" t="str">
        <x:v>Not published</x:v>
      </x:c>
      <x:c r="V1866" t="str">
        <x:v>ISO 527-2</x:v>
      </x:c>
      <x:c r="W1866" t="str">
        <x:v>Not applicable</x:v>
      </x:c>
      <x:c r="X1866" t="str">
        <x:v>Manufacturer TDS v1.0; standard deviations in parentheses</x:v>
      </x:c>
      <x:c r="Y1866" t="str">
        <x:v>R-ESSENTIUM-PPSCF-TDS</x:v>
      </x:c>
      <x:c r="Z1866" t="str">
        <x:v>p. 1: Tensile strength (endpoint unspecified) (45/45)</x:v>
      </x:c>
      <x:c r="AA1866" t="str">
        <x:v>Not applicable</x:v>
      </x:c>
      <x:c r="AB1866" t="str">
        <x:v>Not applicable</x:v>
      </x:c>
      <x:c r="AC1866" t="str">
        <x:v>Not applicable</x:v>
      </x:c>
      <x:c r="AD1866" t="str">
        <x:v>Not applicable</x:v>
      </x:c>
      <x:c r="AE1866" t="str">
        <x:v>Not applicable</x:v>
      </x:c>
      <x:c r="AF1866" t="str">
        <x:v>Not applicable</x:v>
      </x:c>
      <x:c r="AG1866" t="str">
        <x:v>Not applicable</x:v>
      </x:c>
    </x:row>
    <x:row r="1867">
      <x:c r="A1867" t="str">
        <x:v>V001864</x:v>
      </x:c>
      <x:c r="B1867" t="str">
        <x:v>M073</x:v>
      </x:c>
      <x:c r="C1867" t="str">
        <x:v>G073-02</x:v>
      </x:c>
      <x:c r="D1867" t="str">
        <x:v>Tensile strength (endpoint unspecified)</x:v>
      </x:c>
      <x:c r="E1867" t="str">
        <x:v>28.2 (4.4) MPa</x:v>
      </x:c>
      <x:c r="F1867" t="str">
        <x:v>MPa</x:v>
      </x:c>
      <x:c r="G1867" t="n">
        <x:v>28.2</x:v>
      </x:c>
      <x:c r="H1867" t="n">
        <x:v>4.4</x:v>
      </x:c>
      <x:c r="I1867" t="str">
        <x:v>Not applicable</x:v>
      </x:c>
      <x:c r="J1867" t="str">
        <x:v>=</x:v>
      </x:c>
      <x:c r="K1867" t="n">
        <x:v>1</x:v>
      </x:c>
      <x:c r="L1867" t="n">
        <x:v>28.2</x:v>
      </x:c>
      <x:c r="M1867" t="n">
        <x:v>4.4</x:v>
      </x:c>
      <x:c r="N1867" t="str">
        <x:v>Not applicable</x:v>
      </x:c>
      <x:c r="O1867" t="str">
        <x:v>MPa</x:v>
      </x:c>
      <x:c r="P1867" t="str">
        <x:v>Published value</x:v>
      </x:c>
      <x:c r="Q1867" t="str">
        <x:v>Printed specimen</x:v>
      </x:c>
      <x:c r="R1867" t="str">
        <x:v>ZX</x:v>
      </x:c>
      <x:c r="S1867" t="str">
        <x:v>Keep vacuum sealed; dry at 120 °C for 3-8 h if &gt;200 ppm</x:v>
      </x:c>
      <x:c r="T1867" t="str">
        <x:v>Not published</x:v>
      </x:c>
      <x:c r="U1867" t="str">
        <x:v>Not published</x:v>
      </x:c>
      <x:c r="V1867" t="str">
        <x:v>ISO 527-2</x:v>
      </x:c>
      <x:c r="W1867" t="str">
        <x:v>Not applicable</x:v>
      </x:c>
      <x:c r="X1867" t="str">
        <x:v>Manufacturer TDS v1.0; standard deviations in parentheses</x:v>
      </x:c>
      <x:c r="Y1867" t="str">
        <x:v>R-ESSENTIUM-PPSCF-TDS</x:v>
      </x:c>
      <x:c r="Z1867" t="str">
        <x:v>p. 1: Tensile strength (endpoint unspecified) (ZX)</x:v>
      </x:c>
      <x:c r="AA1867" t="str">
        <x:v>Not applicable</x:v>
      </x:c>
      <x:c r="AB1867" t="str">
        <x:v>Not applicable</x:v>
      </x:c>
      <x:c r="AC1867" t="str">
        <x:v>Not applicable</x:v>
      </x:c>
      <x:c r="AD1867" t="str">
        <x:v>Not applicable</x:v>
      </x:c>
      <x:c r="AE1867" t="str">
        <x:v>Not applicable</x:v>
      </x:c>
      <x:c r="AF1867" t="str">
        <x:v>Not applicable</x:v>
      </x:c>
      <x:c r="AG1867" t="str">
        <x:v>Not applicable</x:v>
      </x:c>
    </x:row>
    <x:row r="1868">
      <x:c r="A1868" t="str">
        <x:v>V001865</x:v>
      </x:c>
      <x:c r="B1868" t="str">
        <x:v>M073</x:v>
      </x:c>
      <x:c r="C1868" t="str">
        <x:v>G073-02</x:v>
      </x:c>
      <x:c r="D1868" t="str">
        <x:v>Tensile modulus</x:v>
      </x:c>
      <x:c r="E1868" t="str">
        <x:v>7.46 (0.33) GPa</x:v>
      </x:c>
      <x:c r="F1868" t="str">
        <x:v>GPa</x:v>
      </x:c>
      <x:c r="G1868" t="n">
        <x:v>7.46</x:v>
      </x:c>
      <x:c r="H1868" t="n">
        <x:v>0.33</x:v>
      </x:c>
      <x:c r="I1868" t="str">
        <x:v>Not applicable</x:v>
      </x:c>
      <x:c r="J1868" t="str">
        <x:v>=</x:v>
      </x:c>
      <x:c r="K1868" t="n">
        <x:v>1</x:v>
      </x:c>
      <x:c r="L1868" t="n">
        <x:v>7.46</x:v>
      </x:c>
      <x:c r="M1868" t="n">
        <x:v>0.33</x:v>
      </x:c>
      <x:c r="N1868" t="str">
        <x:v>Not applicable</x:v>
      </x:c>
      <x:c r="O1868" t="str">
        <x:v>GPa</x:v>
      </x:c>
      <x:c r="P1868" t="str">
        <x:v>Published value</x:v>
      </x:c>
      <x:c r="Q1868" t="str">
        <x:v>Printed specimen</x:v>
      </x:c>
      <x:c r="R1868" t="str">
        <x:v>XY</x:v>
      </x:c>
      <x:c r="S1868" t="str">
        <x:v>Keep vacuum sealed; dry at 120 °C for 3-8 h if &gt;200 ppm</x:v>
      </x:c>
      <x:c r="T1868" t="str">
        <x:v>Not published</x:v>
      </x:c>
      <x:c r="U1868" t="str">
        <x:v>Not published</x:v>
      </x:c>
      <x:c r="V1868" t="str">
        <x:v>ISO 527-2</x:v>
      </x:c>
      <x:c r="W1868" t="str">
        <x:v>Not applicable</x:v>
      </x:c>
      <x:c r="X1868" t="str">
        <x:v>Manufacturer TDS v1.0; standard deviations in parentheses</x:v>
      </x:c>
      <x:c r="Y1868" t="str">
        <x:v>R-ESSENTIUM-PPSCF-TDS</x:v>
      </x:c>
      <x:c r="Z1868" t="str">
        <x:v>p. 1: Tensile modulus (XY)</x:v>
      </x:c>
      <x:c r="AA1868" t="str">
        <x:v>Not applicable</x:v>
      </x:c>
      <x:c r="AB1868" t="str">
        <x:v>Not applicable</x:v>
      </x:c>
      <x:c r="AC1868" t="str">
        <x:v>Not applicable</x:v>
      </x:c>
      <x:c r="AD1868" t="str">
        <x:v>Not applicable</x:v>
      </x:c>
      <x:c r="AE1868" t="str">
        <x:v>Not applicable</x:v>
      </x:c>
      <x:c r="AF1868" t="str">
        <x:v>Not applicable</x:v>
      </x:c>
      <x:c r="AG1868" t="str">
        <x:v>Not applicable</x:v>
      </x:c>
    </x:row>
    <x:row r="1869">
      <x:c r="A1869" t="str">
        <x:v>V001866</x:v>
      </x:c>
      <x:c r="B1869" t="str">
        <x:v>M073</x:v>
      </x:c>
      <x:c r="C1869" t="str">
        <x:v>G073-02</x:v>
      </x:c>
      <x:c r="D1869" t="str">
        <x:v>Tensile modulus</x:v>
      </x:c>
      <x:c r="E1869" t="str">
        <x:v>4.55 (0.12) GPa</x:v>
      </x:c>
      <x:c r="F1869" t="str">
        <x:v>GPa</x:v>
      </x:c>
      <x:c r="G1869" t="n">
        <x:v>4.55</x:v>
      </x:c>
      <x:c r="H1869" t="n">
        <x:v>0.12</x:v>
      </x:c>
      <x:c r="I1869" t="str">
        <x:v>Not applicable</x:v>
      </x:c>
      <x:c r="J1869" t="str">
        <x:v>=</x:v>
      </x:c>
      <x:c r="K1869" t="n">
        <x:v>1</x:v>
      </x:c>
      <x:c r="L1869" t="n">
        <x:v>4.55</x:v>
      </x:c>
      <x:c r="M1869" t="n">
        <x:v>0.12</x:v>
      </x:c>
      <x:c r="N1869" t="str">
        <x:v>Not applicable</x:v>
      </x:c>
      <x:c r="O1869" t="str">
        <x:v>GPa</x:v>
      </x:c>
      <x:c r="P1869" t="str">
        <x:v>Published value</x:v>
      </x:c>
      <x:c r="Q1869" t="str">
        <x:v>Printed specimen</x:v>
      </x:c>
      <x:c r="R1869" t="str">
        <x:v>45/45</x:v>
      </x:c>
      <x:c r="S1869" t="str">
        <x:v>Keep vacuum sealed; dry at 120 °C for 3-8 h if &gt;200 ppm</x:v>
      </x:c>
      <x:c r="T1869" t="str">
        <x:v>Not published</x:v>
      </x:c>
      <x:c r="U1869" t="str">
        <x:v>Not published</x:v>
      </x:c>
      <x:c r="V1869" t="str">
        <x:v>ISO 527-2</x:v>
      </x:c>
      <x:c r="W1869" t="str">
        <x:v>Not applicable</x:v>
      </x:c>
      <x:c r="X1869" t="str">
        <x:v>Manufacturer TDS v1.0; standard deviations in parentheses</x:v>
      </x:c>
      <x:c r="Y1869" t="str">
        <x:v>R-ESSENTIUM-PPSCF-TDS</x:v>
      </x:c>
      <x:c r="Z1869" t="str">
        <x:v>p. 1: Tensile modulus (45/45)</x:v>
      </x:c>
      <x:c r="AA1869" t="str">
        <x:v>Not applicable</x:v>
      </x:c>
      <x:c r="AB1869" t="str">
        <x:v>Not applicable</x:v>
      </x:c>
      <x:c r="AC1869" t="str">
        <x:v>Not applicable</x:v>
      </x:c>
      <x:c r="AD1869" t="str">
        <x:v>Not applicable</x:v>
      </x:c>
      <x:c r="AE1869" t="str">
        <x:v>Not applicable</x:v>
      </x:c>
      <x:c r="AF1869" t="str">
        <x:v>Not applicable</x:v>
      </x:c>
      <x:c r="AG1869" t="str">
        <x:v>Not applicable</x:v>
      </x:c>
    </x:row>
    <x:row r="1870">
      <x:c r="A1870" t="str">
        <x:v>V001867</x:v>
      </x:c>
      <x:c r="B1870" t="str">
        <x:v>M073</x:v>
      </x:c>
      <x:c r="C1870" t="str">
        <x:v>G073-02</x:v>
      </x:c>
      <x:c r="D1870" t="str">
        <x:v>Tensile modulus</x:v>
      </x:c>
      <x:c r="E1870" t="str">
        <x:v>2.72 (0.14) GPa</x:v>
      </x:c>
      <x:c r="F1870" t="str">
        <x:v>GPa</x:v>
      </x:c>
      <x:c r="G1870" t="n">
        <x:v>2.72</x:v>
      </x:c>
      <x:c r="H1870" t="n">
        <x:v>0.14</x:v>
      </x:c>
      <x:c r="I1870" t="str">
        <x:v>Not applicable</x:v>
      </x:c>
      <x:c r="J1870" t="str">
        <x:v>=</x:v>
      </x:c>
      <x:c r="K1870" t="n">
        <x:v>1</x:v>
      </x:c>
      <x:c r="L1870" t="n">
        <x:v>2.72</x:v>
      </x:c>
      <x:c r="M1870" t="n">
        <x:v>0.14</x:v>
      </x:c>
      <x:c r="N1870" t="str">
        <x:v>Not applicable</x:v>
      </x:c>
      <x:c r="O1870" t="str">
        <x:v>GPa</x:v>
      </x:c>
      <x:c r="P1870" t="str">
        <x:v>Published value</x:v>
      </x:c>
      <x:c r="Q1870" t="str">
        <x:v>Printed specimen</x:v>
      </x:c>
      <x:c r="R1870" t="str">
        <x:v>ZX</x:v>
      </x:c>
      <x:c r="S1870" t="str">
        <x:v>Keep vacuum sealed; dry at 120 °C for 3-8 h if &gt;200 ppm</x:v>
      </x:c>
      <x:c r="T1870" t="str">
        <x:v>Not published</x:v>
      </x:c>
      <x:c r="U1870" t="str">
        <x:v>Not published</x:v>
      </x:c>
      <x:c r="V1870" t="str">
        <x:v>ISO 527-2</x:v>
      </x:c>
      <x:c r="W1870" t="str">
        <x:v>Not applicable</x:v>
      </x:c>
      <x:c r="X1870" t="str">
        <x:v>Manufacturer TDS v1.0; standard deviations in parentheses</x:v>
      </x:c>
      <x:c r="Y1870" t="str">
        <x:v>R-ESSENTIUM-PPSCF-TDS</x:v>
      </x:c>
      <x:c r="Z1870" t="str">
        <x:v>p. 1: Tensile modulus (ZX)</x:v>
      </x:c>
      <x:c r="AA1870" t="str">
        <x:v>Not applicable</x:v>
      </x:c>
      <x:c r="AB1870" t="str">
        <x:v>Not applicable</x:v>
      </x:c>
      <x:c r="AC1870" t="str">
        <x:v>Not applicable</x:v>
      </x:c>
      <x:c r="AD1870" t="str">
        <x:v>Not applicable</x:v>
      </x:c>
      <x:c r="AE1870" t="str">
        <x:v>Not applicable</x:v>
      </x:c>
      <x:c r="AF1870" t="str">
        <x:v>Not applicable</x:v>
      </x:c>
      <x:c r="AG1870" t="str">
        <x:v>Not applicable</x:v>
      </x:c>
    </x:row>
    <x:row r="1871">
      <x:c r="A1871" t="str">
        <x:v>V001868</x:v>
      </x:c>
      <x:c r="B1871" t="str">
        <x:v>M073</x:v>
      </x:c>
      <x:c r="C1871" t="str">
        <x:v>G073-02</x:v>
      </x:c>
      <x:c r="D1871" t="str">
        <x:v>Elongation at break</x:v>
      </x:c>
      <x:c r="E1871" t="str">
        <x:v>2.2 (0.2) %</x:v>
      </x:c>
      <x:c r="F1871" t="str">
        <x:v>%</x:v>
      </x:c>
      <x:c r="G1871" t="n">
        <x:v>2.2</x:v>
      </x:c>
      <x:c r="H1871" t="n">
        <x:v>0.2</x:v>
      </x:c>
      <x:c r="I1871" t="str">
        <x:v>Not applicable</x:v>
      </x:c>
      <x:c r="J1871" t="str">
        <x:v>=</x:v>
      </x:c>
      <x:c r="K1871" t="n">
        <x:v>1</x:v>
      </x:c>
      <x:c r="L1871" t="n">
        <x:v>2.2</x:v>
      </x:c>
      <x:c r="M1871" t="n">
        <x:v>0.2</x:v>
      </x:c>
      <x:c r="N1871" t="str">
        <x:v>Not applicable</x:v>
      </x:c>
      <x:c r="O1871" t="str">
        <x:v>%</x:v>
      </x:c>
      <x:c r="P1871" t="str">
        <x:v>Published value</x:v>
      </x:c>
      <x:c r="Q1871" t="str">
        <x:v>Printed specimen</x:v>
      </x:c>
      <x:c r="R1871" t="str">
        <x:v>XY</x:v>
      </x:c>
      <x:c r="S1871" t="str">
        <x:v>Keep vacuum sealed; dry at 120 °C for 3-8 h if &gt;200 ppm</x:v>
      </x:c>
      <x:c r="T1871" t="str">
        <x:v>Not published</x:v>
      </x:c>
      <x:c r="U1871" t="str">
        <x:v>Not published</x:v>
      </x:c>
      <x:c r="V1871" t="str">
        <x:v>ISO 527-2</x:v>
      </x:c>
      <x:c r="W1871" t="str">
        <x:v>Not applicable</x:v>
      </x:c>
      <x:c r="X1871" t="str">
        <x:v>Manufacturer TDS v1.0; standard deviations in parentheses</x:v>
      </x:c>
      <x:c r="Y1871" t="str">
        <x:v>R-ESSENTIUM-PPSCF-TDS</x:v>
      </x:c>
      <x:c r="Z1871" t="str">
        <x:v>p. 1: Elongation at break (XY)</x:v>
      </x:c>
      <x:c r="AA1871" t="str">
        <x:v>Not applicable</x:v>
      </x:c>
      <x:c r="AB1871" t="str">
        <x:v>Not applicable</x:v>
      </x:c>
      <x:c r="AC1871" t="str">
        <x:v>Not applicable</x:v>
      </x:c>
      <x:c r="AD1871" t="str">
        <x:v>Not applicable</x:v>
      </x:c>
      <x:c r="AE1871" t="str">
        <x:v>Not applicable</x:v>
      </x:c>
      <x:c r="AF1871" t="str">
        <x:v>Not applicable</x:v>
      </x:c>
      <x:c r="AG1871" t="str">
        <x:v>Not applicable</x:v>
      </x:c>
    </x:row>
    <x:row r="1872">
      <x:c r="A1872" t="str">
        <x:v>V001869</x:v>
      </x:c>
      <x:c r="B1872" t="str">
        <x:v>M073</x:v>
      </x:c>
      <x:c r="C1872" t="str">
        <x:v>G073-02</x:v>
      </x:c>
      <x:c r="D1872" t="str">
        <x:v>Elongation at break</x:v>
      </x:c>
      <x:c r="E1872" t="str">
        <x:v>2.1 (0.2) %</x:v>
      </x:c>
      <x:c r="F1872" t="str">
        <x:v>%</x:v>
      </x:c>
      <x:c r="G1872" t="n">
        <x:v>2.1</x:v>
      </x:c>
      <x:c r="H1872" t="n">
        <x:v>0.2</x:v>
      </x:c>
      <x:c r="I1872" t="str">
        <x:v>Not applicable</x:v>
      </x:c>
      <x:c r="J1872" t="str">
        <x:v>=</x:v>
      </x:c>
      <x:c r="K1872" t="n">
        <x:v>1</x:v>
      </x:c>
      <x:c r="L1872" t="n">
        <x:v>2.1</x:v>
      </x:c>
      <x:c r="M1872" t="n">
        <x:v>0.2</x:v>
      </x:c>
      <x:c r="N1872" t="str">
        <x:v>Not applicable</x:v>
      </x:c>
      <x:c r="O1872" t="str">
        <x:v>%</x:v>
      </x:c>
      <x:c r="P1872" t="str">
        <x:v>Published value</x:v>
      </x:c>
      <x:c r="Q1872" t="str">
        <x:v>Printed specimen</x:v>
      </x:c>
      <x:c r="R1872" t="str">
        <x:v>45/45</x:v>
      </x:c>
      <x:c r="S1872" t="str">
        <x:v>Keep vacuum sealed; dry at 120 °C for 3-8 h if &gt;200 ppm</x:v>
      </x:c>
      <x:c r="T1872" t="str">
        <x:v>Not published</x:v>
      </x:c>
      <x:c r="U1872" t="str">
        <x:v>Not published</x:v>
      </x:c>
      <x:c r="V1872" t="str">
        <x:v>ISO 527-2</x:v>
      </x:c>
      <x:c r="W1872" t="str">
        <x:v>Not applicable</x:v>
      </x:c>
      <x:c r="X1872" t="str">
        <x:v>Manufacturer TDS v1.0; standard deviations in parentheses</x:v>
      </x:c>
      <x:c r="Y1872" t="str">
        <x:v>R-ESSENTIUM-PPSCF-TDS</x:v>
      </x:c>
      <x:c r="Z1872" t="str">
        <x:v>p. 1: Elongation at break (45/45)</x:v>
      </x:c>
      <x:c r="AA1872" t="str">
        <x:v>Not applicable</x:v>
      </x:c>
      <x:c r="AB1872" t="str">
        <x:v>Not applicable</x:v>
      </x:c>
      <x:c r="AC1872" t="str">
        <x:v>Not applicable</x:v>
      </x:c>
      <x:c r="AD1872" t="str">
        <x:v>Not applicable</x:v>
      </x:c>
      <x:c r="AE1872" t="str">
        <x:v>Not applicable</x:v>
      </x:c>
      <x:c r="AF1872" t="str">
        <x:v>Not applicable</x:v>
      </x:c>
      <x:c r="AG1872" t="str">
        <x:v>Not applicable</x:v>
      </x:c>
    </x:row>
    <x:row r="1873">
      <x:c r="A1873" t="str">
        <x:v>V001870</x:v>
      </x:c>
      <x:c r="B1873" t="str">
        <x:v>M073</x:v>
      </x:c>
      <x:c r="C1873" t="str">
        <x:v>G073-02</x:v>
      </x:c>
      <x:c r="D1873" t="str">
        <x:v>Elongation at break</x:v>
      </x:c>
      <x:c r="E1873" t="str">
        <x:v>1.7 (0.3) %</x:v>
      </x:c>
      <x:c r="F1873" t="str">
        <x:v>%</x:v>
      </x:c>
      <x:c r="G1873" t="n">
        <x:v>1.7</x:v>
      </x:c>
      <x:c r="H1873" t="n">
        <x:v>0.3</x:v>
      </x:c>
      <x:c r="I1873" t="str">
        <x:v>Not applicable</x:v>
      </x:c>
      <x:c r="J1873" t="str">
        <x:v>=</x:v>
      </x:c>
      <x:c r="K1873" t="n">
        <x:v>1</x:v>
      </x:c>
      <x:c r="L1873" t="n">
        <x:v>1.7</x:v>
      </x:c>
      <x:c r="M1873" t="n">
        <x:v>0.3</x:v>
      </x:c>
      <x:c r="N1873" t="str">
        <x:v>Not applicable</x:v>
      </x:c>
      <x:c r="O1873" t="str">
        <x:v>%</x:v>
      </x:c>
      <x:c r="P1873" t="str">
        <x:v>Published value</x:v>
      </x:c>
      <x:c r="Q1873" t="str">
        <x:v>Printed specimen</x:v>
      </x:c>
      <x:c r="R1873" t="str">
        <x:v>ZX</x:v>
      </x:c>
      <x:c r="S1873" t="str">
        <x:v>Keep vacuum sealed; dry at 120 °C for 3-8 h if &gt;200 ppm</x:v>
      </x:c>
      <x:c r="T1873" t="str">
        <x:v>Not published</x:v>
      </x:c>
      <x:c r="U1873" t="str">
        <x:v>Not published</x:v>
      </x:c>
      <x:c r="V1873" t="str">
        <x:v>ISO 527-2</x:v>
      </x:c>
      <x:c r="W1873" t="str">
        <x:v>Not applicable</x:v>
      </x:c>
      <x:c r="X1873" t="str">
        <x:v>Manufacturer TDS v1.0; standard deviations in parentheses</x:v>
      </x:c>
      <x:c r="Y1873" t="str">
        <x:v>R-ESSENTIUM-PPSCF-TDS</x:v>
      </x:c>
      <x:c r="Z1873" t="str">
        <x:v>p. 1: Elongation at break (ZX)</x:v>
      </x:c>
      <x:c r="AA1873" t="str">
        <x:v>Not applicable</x:v>
      </x:c>
      <x:c r="AB1873" t="str">
        <x:v>Not applicable</x:v>
      </x:c>
      <x:c r="AC1873" t="str">
        <x:v>Not applicable</x:v>
      </x:c>
      <x:c r="AD1873" t="str">
        <x:v>Not applicable</x:v>
      </x:c>
      <x:c r="AE1873" t="str">
        <x:v>Not applicable</x:v>
      </x:c>
      <x:c r="AF1873" t="str">
        <x:v>Not applicable</x:v>
      </x:c>
      <x:c r="AG1873" t="str">
        <x:v>Not applicable</x:v>
      </x:c>
    </x:row>
    <x:row r="1874">
      <x:c r="A1874" t="str">
        <x:v>V001871</x:v>
      </x:c>
      <x:c r="B1874" t="str">
        <x:v>M073</x:v>
      </x:c>
      <x:c r="C1874" t="str">
        <x:v>G073-02</x:v>
      </x:c>
      <x:c r="D1874" t="str">
        <x:v>Flexural strength</x:v>
      </x:c>
      <x:c r="E1874" t="str">
        <x:v>98.2 (9.5) MPa</x:v>
      </x:c>
      <x:c r="F1874" t="str">
        <x:v>MPa</x:v>
      </x:c>
      <x:c r="G1874" t="n">
        <x:v>98.2</x:v>
      </x:c>
      <x:c r="H1874" t="n">
        <x:v>9.5</x:v>
      </x:c>
      <x:c r="I1874" t="str">
        <x:v>Not applicable</x:v>
      </x:c>
      <x:c r="J1874" t="str">
        <x:v>=</x:v>
      </x:c>
      <x:c r="K1874" t="n">
        <x:v>1</x:v>
      </x:c>
      <x:c r="L1874" t="n">
        <x:v>98.2</x:v>
      </x:c>
      <x:c r="M1874" t="n">
        <x:v>9.5</x:v>
      </x:c>
      <x:c r="N1874" t="str">
        <x:v>Not applicable</x:v>
      </x:c>
      <x:c r="O1874" t="str">
        <x:v>MPa</x:v>
      </x:c>
      <x:c r="P1874" t="str">
        <x:v>Published value</x:v>
      </x:c>
      <x:c r="Q1874" t="str">
        <x:v>Printed specimen</x:v>
      </x:c>
      <x:c r="R1874" t="str">
        <x:v>XY</x:v>
      </x:c>
      <x:c r="S1874" t="str">
        <x:v>Keep vacuum sealed; dry at 120 °C for 3-8 h if &gt;200 ppm</x:v>
      </x:c>
      <x:c r="T1874" t="str">
        <x:v>Not published</x:v>
      </x:c>
      <x:c r="U1874" t="str">
        <x:v>Not published</x:v>
      </x:c>
      <x:c r="V1874" t="str">
        <x:v>ISO 178</x:v>
      </x:c>
      <x:c r="W1874" t="str">
        <x:v>Not applicable</x:v>
      </x:c>
      <x:c r="X1874" t="str">
        <x:v>Manufacturer TDS v1.0; standard deviations in parentheses</x:v>
      </x:c>
      <x:c r="Y1874" t="str">
        <x:v>R-ESSENTIUM-PPSCF-TDS</x:v>
      </x:c>
      <x:c r="Z1874" t="str">
        <x:v>p. 1: Flexural strength (XY)</x:v>
      </x:c>
      <x:c r="AA1874" t="str">
        <x:v>Not applicable</x:v>
      </x:c>
      <x:c r="AB1874" t="str">
        <x:v>Not applicable</x:v>
      </x:c>
      <x:c r="AC1874" t="str">
        <x:v>Not applicable</x:v>
      </x:c>
      <x:c r="AD1874" t="str">
        <x:v>Not applicable</x:v>
      </x:c>
      <x:c r="AE1874" t="str">
        <x:v>Not applicable</x:v>
      </x:c>
      <x:c r="AF1874" t="str">
        <x:v>Not applicable</x:v>
      </x:c>
      <x:c r="AG1874" t="str">
        <x:v>Not applicable</x:v>
      </x:c>
    </x:row>
    <x:row r="1875">
      <x:c r="A1875" t="str">
        <x:v>V001872</x:v>
      </x:c>
      <x:c r="B1875" t="str">
        <x:v>M073</x:v>
      </x:c>
      <x:c r="C1875" t="str">
        <x:v>G073-02</x:v>
      </x:c>
      <x:c r="D1875" t="str">
        <x:v>Flexural strength</x:v>
      </x:c>
      <x:c r="E1875" t="str">
        <x:v>78.3 (3.9) MPa</x:v>
      </x:c>
      <x:c r="F1875" t="str">
        <x:v>MPa</x:v>
      </x:c>
      <x:c r="G1875" t="n">
        <x:v>78.3</x:v>
      </x:c>
      <x:c r="H1875" t="n">
        <x:v>3.9</x:v>
      </x:c>
      <x:c r="I1875" t="str">
        <x:v>Not applicable</x:v>
      </x:c>
      <x:c r="J1875" t="str">
        <x:v>=</x:v>
      </x:c>
      <x:c r="K1875" t="n">
        <x:v>1</x:v>
      </x:c>
      <x:c r="L1875" t="n">
        <x:v>78.3</x:v>
      </x:c>
      <x:c r="M1875" t="n">
        <x:v>3.9</x:v>
      </x:c>
      <x:c r="N1875" t="str">
        <x:v>Not applicable</x:v>
      </x:c>
      <x:c r="O1875" t="str">
        <x:v>MPa</x:v>
      </x:c>
      <x:c r="P1875" t="str">
        <x:v>Published value</x:v>
      </x:c>
      <x:c r="Q1875" t="str">
        <x:v>Printed specimen</x:v>
      </x:c>
      <x:c r="R1875" t="str">
        <x:v>45/45</x:v>
      </x:c>
      <x:c r="S1875" t="str">
        <x:v>Keep vacuum sealed; dry at 120 °C for 3-8 h if &gt;200 ppm</x:v>
      </x:c>
      <x:c r="T1875" t="str">
        <x:v>Not published</x:v>
      </x:c>
      <x:c r="U1875" t="str">
        <x:v>Not published</x:v>
      </x:c>
      <x:c r="V1875" t="str">
        <x:v>ISO 178</x:v>
      </x:c>
      <x:c r="W1875" t="str">
        <x:v>Not applicable</x:v>
      </x:c>
      <x:c r="X1875" t="str">
        <x:v>Manufacturer TDS v1.0; standard deviations in parentheses</x:v>
      </x:c>
      <x:c r="Y1875" t="str">
        <x:v>R-ESSENTIUM-PPSCF-TDS</x:v>
      </x:c>
      <x:c r="Z1875" t="str">
        <x:v>p. 1: Flexural strength (45/45)</x:v>
      </x:c>
      <x:c r="AA1875" t="str">
        <x:v>Not applicable</x:v>
      </x:c>
      <x:c r="AB1875" t="str">
        <x:v>Not applicable</x:v>
      </x:c>
      <x:c r="AC1875" t="str">
        <x:v>Not applicable</x:v>
      </x:c>
      <x:c r="AD1875" t="str">
        <x:v>Not applicable</x:v>
      </x:c>
      <x:c r="AE1875" t="str">
        <x:v>Not applicable</x:v>
      </x:c>
      <x:c r="AF1875" t="str">
        <x:v>Not applicable</x:v>
      </x:c>
      <x:c r="AG1875" t="str">
        <x:v>Not applicable</x:v>
      </x:c>
    </x:row>
    <x:row r="1876">
      <x:c r="A1876" t="str">
        <x:v>V001873</x:v>
      </x:c>
      <x:c r="B1876" t="str">
        <x:v>M073</x:v>
      </x:c>
      <x:c r="C1876" t="str">
        <x:v>G073-02</x:v>
      </x:c>
      <x:c r="D1876" t="str">
        <x:v>Flexural strength</x:v>
      </x:c>
      <x:c r="E1876" t="str">
        <x:v>38.7 (2) MPa</x:v>
      </x:c>
      <x:c r="F1876" t="str">
        <x:v>MPa</x:v>
      </x:c>
      <x:c r="G1876" t="n">
        <x:v>38.7</x:v>
      </x:c>
      <x:c r="H1876" t="n">
        <x:v>2</x:v>
      </x:c>
      <x:c r="I1876" t="str">
        <x:v>Not applicable</x:v>
      </x:c>
      <x:c r="J1876" t="str">
        <x:v>=</x:v>
      </x:c>
      <x:c r="K1876" t="n">
        <x:v>1</x:v>
      </x:c>
      <x:c r="L1876" t="n">
        <x:v>38.7</x:v>
      </x:c>
      <x:c r="M1876" t="n">
        <x:v>2</x:v>
      </x:c>
      <x:c r="N1876" t="str">
        <x:v>Not applicable</x:v>
      </x:c>
      <x:c r="O1876" t="str">
        <x:v>MPa</x:v>
      </x:c>
      <x:c r="P1876" t="str">
        <x:v>Published value</x:v>
      </x:c>
      <x:c r="Q1876" t="str">
        <x:v>Printed specimen</x:v>
      </x:c>
      <x:c r="R1876" t="str">
        <x:v>ZX</x:v>
      </x:c>
      <x:c r="S1876" t="str">
        <x:v>Keep vacuum sealed; dry at 120 °C for 3-8 h if &gt;200 ppm</x:v>
      </x:c>
      <x:c r="T1876" t="str">
        <x:v>Not published</x:v>
      </x:c>
      <x:c r="U1876" t="str">
        <x:v>Not published</x:v>
      </x:c>
      <x:c r="V1876" t="str">
        <x:v>ISO 178</x:v>
      </x:c>
      <x:c r="W1876" t="str">
        <x:v>Not applicable</x:v>
      </x:c>
      <x:c r="X1876" t="str">
        <x:v>Manufacturer TDS v1.0; standard deviations in parentheses</x:v>
      </x:c>
      <x:c r="Y1876" t="str">
        <x:v>R-ESSENTIUM-PPSCF-TDS</x:v>
      </x:c>
      <x:c r="Z1876" t="str">
        <x:v>p. 1: Flexural strength (ZX)</x:v>
      </x:c>
      <x:c r="AA1876" t="str">
        <x:v>Not applicable</x:v>
      </x:c>
      <x:c r="AB1876" t="str">
        <x:v>Not applicable</x:v>
      </x:c>
      <x:c r="AC1876" t="str">
        <x:v>Not applicable</x:v>
      </x:c>
      <x:c r="AD1876" t="str">
        <x:v>Not applicable</x:v>
      </x:c>
      <x:c r="AE1876" t="str">
        <x:v>Not applicable</x:v>
      </x:c>
      <x:c r="AF1876" t="str">
        <x:v>Not applicable</x:v>
      </x:c>
      <x:c r="AG1876" t="str">
        <x:v>Not applicable</x:v>
      </x:c>
    </x:row>
    <x:row r="1877">
      <x:c r="A1877" t="str">
        <x:v>V001874</x:v>
      </x:c>
      <x:c r="B1877" t="str">
        <x:v>M073</x:v>
      </x:c>
      <x:c r="C1877" t="str">
        <x:v>G073-02</x:v>
      </x:c>
      <x:c r="D1877" t="str">
        <x:v>Flexural modulus</x:v>
      </x:c>
      <x:c r="E1877" t="str">
        <x:v>6.18 (0.49) GPa</x:v>
      </x:c>
      <x:c r="F1877" t="str">
        <x:v>GPa</x:v>
      </x:c>
      <x:c r="G1877" t="n">
        <x:v>6.18</x:v>
      </x:c>
      <x:c r="H1877" t="n">
        <x:v>0.49</x:v>
      </x:c>
      <x:c r="I1877" t="str">
        <x:v>Not applicable</x:v>
      </x:c>
      <x:c r="J1877" t="str">
        <x:v>=</x:v>
      </x:c>
      <x:c r="K1877" t="n">
        <x:v>1</x:v>
      </x:c>
      <x:c r="L1877" t="n">
        <x:v>6.18</x:v>
      </x:c>
      <x:c r="M1877" t="n">
        <x:v>0.49</x:v>
      </x:c>
      <x:c r="N1877" t="str">
        <x:v>Not applicable</x:v>
      </x:c>
      <x:c r="O1877" t="str">
        <x:v>GPa</x:v>
      </x:c>
      <x:c r="P1877" t="str">
        <x:v>Published value</x:v>
      </x:c>
      <x:c r="Q1877" t="str">
        <x:v>Printed specimen</x:v>
      </x:c>
      <x:c r="R1877" t="str">
        <x:v>XY</x:v>
      </x:c>
      <x:c r="S1877" t="str">
        <x:v>Keep vacuum sealed; dry at 120 °C for 3-8 h if &gt;200 ppm</x:v>
      </x:c>
      <x:c r="T1877" t="str">
        <x:v>Not published</x:v>
      </x:c>
      <x:c r="U1877" t="str">
        <x:v>Not published</x:v>
      </x:c>
      <x:c r="V1877" t="str">
        <x:v>ISO 178</x:v>
      </x:c>
      <x:c r="W1877" t="str">
        <x:v>Not applicable</x:v>
      </x:c>
      <x:c r="X1877" t="str">
        <x:v>Manufacturer TDS v1.0; standard deviations in parentheses</x:v>
      </x:c>
      <x:c r="Y1877" t="str">
        <x:v>R-ESSENTIUM-PPSCF-TDS</x:v>
      </x:c>
      <x:c r="Z1877" t="str">
        <x:v>p. 1: Flexural modulus (XY)</x:v>
      </x:c>
      <x:c r="AA1877" t="str">
        <x:v>Not applicable</x:v>
      </x:c>
      <x:c r="AB1877" t="str">
        <x:v>Not applicable</x:v>
      </x:c>
      <x:c r="AC1877" t="str">
        <x:v>Not applicable</x:v>
      </x:c>
      <x:c r="AD1877" t="str">
        <x:v>Not applicable</x:v>
      </x:c>
      <x:c r="AE1877" t="str">
        <x:v>Not applicable</x:v>
      </x:c>
      <x:c r="AF1877" t="str">
        <x:v>Not applicable</x:v>
      </x:c>
      <x:c r="AG1877" t="str">
        <x:v>Not applicable</x:v>
      </x:c>
    </x:row>
    <x:row r="1878">
      <x:c r="A1878" t="str">
        <x:v>V001875</x:v>
      </x:c>
      <x:c r="B1878" t="str">
        <x:v>M073</x:v>
      </x:c>
      <x:c r="C1878" t="str">
        <x:v>G073-02</x:v>
      </x:c>
      <x:c r="D1878" t="str">
        <x:v>Flexural modulus</x:v>
      </x:c>
      <x:c r="E1878" t="str">
        <x:v>3.61 (0.32) GPa</x:v>
      </x:c>
      <x:c r="F1878" t="str">
        <x:v>GPa</x:v>
      </x:c>
      <x:c r="G1878" t="n">
        <x:v>3.61</x:v>
      </x:c>
      <x:c r="H1878" t="n">
        <x:v>0.32</x:v>
      </x:c>
      <x:c r="I1878" t="str">
        <x:v>Not applicable</x:v>
      </x:c>
      <x:c r="J1878" t="str">
        <x:v>=</x:v>
      </x:c>
      <x:c r="K1878" t="n">
        <x:v>1</x:v>
      </x:c>
      <x:c r="L1878" t="n">
        <x:v>3.61</x:v>
      </x:c>
      <x:c r="M1878" t="n">
        <x:v>0.32</x:v>
      </x:c>
      <x:c r="N1878" t="str">
        <x:v>Not applicable</x:v>
      </x:c>
      <x:c r="O1878" t="str">
        <x:v>GPa</x:v>
      </x:c>
      <x:c r="P1878" t="str">
        <x:v>Published value</x:v>
      </x:c>
      <x:c r="Q1878" t="str">
        <x:v>Printed specimen</x:v>
      </x:c>
      <x:c r="R1878" t="str">
        <x:v>45/45</x:v>
      </x:c>
      <x:c r="S1878" t="str">
        <x:v>Keep vacuum sealed; dry at 120 °C for 3-8 h if &gt;200 ppm</x:v>
      </x:c>
      <x:c r="T1878" t="str">
        <x:v>Not published</x:v>
      </x:c>
      <x:c r="U1878" t="str">
        <x:v>Not published</x:v>
      </x:c>
      <x:c r="V1878" t="str">
        <x:v>ISO 178</x:v>
      </x:c>
      <x:c r="W1878" t="str">
        <x:v>Not applicable</x:v>
      </x:c>
      <x:c r="X1878" t="str">
        <x:v>Manufacturer TDS v1.0; standard deviations in parentheses</x:v>
      </x:c>
      <x:c r="Y1878" t="str">
        <x:v>R-ESSENTIUM-PPSCF-TDS</x:v>
      </x:c>
      <x:c r="Z1878" t="str">
        <x:v>p. 1: Flexural modulus (45/45)</x:v>
      </x:c>
      <x:c r="AA1878" t="str">
        <x:v>Not applicable</x:v>
      </x:c>
      <x:c r="AB1878" t="str">
        <x:v>Not applicable</x:v>
      </x:c>
      <x:c r="AC1878" t="str">
        <x:v>Not applicable</x:v>
      </x:c>
      <x:c r="AD1878" t="str">
        <x:v>Not applicable</x:v>
      </x:c>
      <x:c r="AE1878" t="str">
        <x:v>Not applicable</x:v>
      </x:c>
      <x:c r="AF1878" t="str">
        <x:v>Not applicable</x:v>
      </x:c>
      <x:c r="AG1878" t="str">
        <x:v>Not applicable</x:v>
      </x:c>
    </x:row>
    <x:row r="1879">
      <x:c r="A1879" t="str">
        <x:v>V001876</x:v>
      </x:c>
      <x:c r="B1879" t="str">
        <x:v>M073</x:v>
      </x:c>
      <x:c r="C1879" t="str">
        <x:v>G073-02</x:v>
      </x:c>
      <x:c r="D1879" t="str">
        <x:v>Flexural modulus</x:v>
      </x:c>
      <x:c r="E1879" t="str">
        <x:v>2.31 (0.11) GPa</x:v>
      </x:c>
      <x:c r="F1879" t="str">
        <x:v>GPa</x:v>
      </x:c>
      <x:c r="G1879" t="n">
        <x:v>2.31</x:v>
      </x:c>
      <x:c r="H1879" t="n">
        <x:v>0.11</x:v>
      </x:c>
      <x:c r="I1879" t="str">
        <x:v>Not applicable</x:v>
      </x:c>
      <x:c r="J1879" t="str">
        <x:v>=</x:v>
      </x:c>
      <x:c r="K1879" t="n">
        <x:v>1</x:v>
      </x:c>
      <x:c r="L1879" t="n">
        <x:v>2.31</x:v>
      </x:c>
      <x:c r="M1879" t="n">
        <x:v>0.11</x:v>
      </x:c>
      <x:c r="N1879" t="str">
        <x:v>Not applicable</x:v>
      </x:c>
      <x:c r="O1879" t="str">
        <x:v>GPa</x:v>
      </x:c>
      <x:c r="P1879" t="str">
        <x:v>Published value</x:v>
      </x:c>
      <x:c r="Q1879" t="str">
        <x:v>Printed specimen</x:v>
      </x:c>
      <x:c r="R1879" t="str">
        <x:v>ZX</x:v>
      </x:c>
      <x:c r="S1879" t="str">
        <x:v>Keep vacuum sealed; dry at 120 °C for 3-8 h if &gt;200 ppm</x:v>
      </x:c>
      <x:c r="T1879" t="str">
        <x:v>Not published</x:v>
      </x:c>
      <x:c r="U1879" t="str">
        <x:v>Not published</x:v>
      </x:c>
      <x:c r="V1879" t="str">
        <x:v>ISO 178</x:v>
      </x:c>
      <x:c r="W1879" t="str">
        <x:v>Not applicable</x:v>
      </x:c>
      <x:c r="X1879" t="str">
        <x:v>Manufacturer TDS v1.0; standard deviations in parentheses</x:v>
      </x:c>
      <x:c r="Y1879" t="str">
        <x:v>R-ESSENTIUM-PPSCF-TDS</x:v>
      </x:c>
      <x:c r="Z1879" t="str">
        <x:v>p. 1: Flexural modulus (ZX)</x:v>
      </x:c>
      <x:c r="AA1879" t="str">
        <x:v>Not applicable</x:v>
      </x:c>
      <x:c r="AB1879" t="str">
        <x:v>Not applicable</x:v>
      </x:c>
      <x:c r="AC1879" t="str">
        <x:v>Not applicable</x:v>
      </x:c>
      <x:c r="AD1879" t="str">
        <x:v>Not applicable</x:v>
      </x:c>
      <x:c r="AE1879" t="str">
        <x:v>Not applicable</x:v>
      </x:c>
      <x:c r="AF1879" t="str">
        <x:v>Not applicable</x:v>
      </x:c>
      <x:c r="AG1879" t="str">
        <x:v>Not applicable</x:v>
      </x:c>
    </x:row>
    <x:row r="1880">
      <x:c r="A1880" t="str">
        <x:v>V001877</x:v>
      </x:c>
      <x:c r="B1880" t="str">
        <x:v>M073</x:v>
      </x:c>
      <x:c r="C1880" t="str">
        <x:v>G073-02</x:v>
      </x:c>
      <x:c r="D1880" t="str">
        <x:v>Izod impact strength</x:v>
      </x:c>
      <x:c r="E1880" t="str">
        <x:v>3 (0.7) kJ/m²</x:v>
      </x:c>
      <x:c r="F1880" t="str">
        <x:v>kJ/m²</x:v>
      </x:c>
      <x:c r="G1880" t="n">
        <x:v>3</x:v>
      </x:c>
      <x:c r="H1880" t="n">
        <x:v>0.7</x:v>
      </x:c>
      <x:c r="I1880" t="str">
        <x:v>Not applicable</x:v>
      </x:c>
      <x:c r="J1880" t="str">
        <x:v>=</x:v>
      </x:c>
      <x:c r="K1880" t="n">
        <x:v>1</x:v>
      </x:c>
      <x:c r="L1880" t="n">
        <x:v>3</x:v>
      </x:c>
      <x:c r="M1880" t="n">
        <x:v>0.7</x:v>
      </x:c>
      <x:c r="N1880" t="str">
        <x:v>Not applicable</x:v>
      </x:c>
      <x:c r="O1880" t="str">
        <x:v>kJ/m²</x:v>
      </x:c>
      <x:c r="P1880" t="str">
        <x:v>Published value</x:v>
      </x:c>
      <x:c r="Q1880" t="str">
        <x:v>Printed specimen</x:v>
      </x:c>
      <x:c r="R1880" t="str">
        <x:v>XY</x:v>
      </x:c>
      <x:c r="S1880" t="str">
        <x:v>Keep vacuum sealed; dry at 120 °C for 3-8 h if &gt;200 ppm</x:v>
      </x:c>
      <x:c r="T1880" t="str">
        <x:v>Not published</x:v>
      </x:c>
      <x:c r="U1880" t="str">
        <x:v>Not published</x:v>
      </x:c>
      <x:c r="V1880" t="str">
        <x:v>ISO 180</x:v>
      </x:c>
      <x:c r="W1880" t="str">
        <x:v>Notched</x:v>
      </x:c>
      <x:c r="X1880" t="str">
        <x:v>Manufacturer TDS v1.0; standard deviations in parentheses</x:v>
      </x:c>
      <x:c r="Y1880" t="str">
        <x:v>R-ESSENTIUM-PPSCF-TDS</x:v>
      </x:c>
      <x:c r="Z1880" t="str">
        <x:v>p. 1: Izod impact strength (XY)</x:v>
      </x:c>
      <x:c r="AA1880" t="str">
        <x:v>Not applicable</x:v>
      </x:c>
      <x:c r="AB1880" t="str">
        <x:v>Not applicable</x:v>
      </x:c>
      <x:c r="AC1880" t="str">
        <x:v>Not applicable</x:v>
      </x:c>
      <x:c r="AD1880" t="str">
        <x:v>Not applicable</x:v>
      </x:c>
      <x:c r="AE1880" t="str">
        <x:v>Not applicable</x:v>
      </x:c>
      <x:c r="AF1880" t="str">
        <x:v>Not applicable</x:v>
      </x:c>
      <x:c r="AG1880" t="str">
        <x:v>Not applicable</x:v>
      </x:c>
    </x:row>
    <x:row r="1881">
      <x:c r="A1881" t="str">
        <x:v>V001878</x:v>
      </x:c>
      <x:c r="B1881" t="str">
        <x:v>M073</x:v>
      </x:c>
      <x:c r="C1881" t="str">
        <x:v>G073-02</x:v>
      </x:c>
      <x:c r="D1881" t="str">
        <x:v>Izod impact strength</x:v>
      </x:c>
      <x:c r="E1881" t="str">
        <x:v>2.6 (0.6) kJ/m²</x:v>
      </x:c>
      <x:c r="F1881" t="str">
        <x:v>kJ/m²</x:v>
      </x:c>
      <x:c r="G1881" t="n">
        <x:v>2.6</x:v>
      </x:c>
      <x:c r="H1881" t="n">
        <x:v>0.6</x:v>
      </x:c>
      <x:c r="I1881" t="str">
        <x:v>Not applicable</x:v>
      </x:c>
      <x:c r="J1881" t="str">
        <x:v>=</x:v>
      </x:c>
      <x:c r="K1881" t="n">
        <x:v>1</x:v>
      </x:c>
      <x:c r="L1881" t="n">
        <x:v>2.6</x:v>
      </x:c>
      <x:c r="M1881" t="n">
        <x:v>0.6</x:v>
      </x:c>
      <x:c r="N1881" t="str">
        <x:v>Not applicable</x:v>
      </x:c>
      <x:c r="O1881" t="str">
        <x:v>kJ/m²</x:v>
      </x:c>
      <x:c r="P1881" t="str">
        <x:v>Published value</x:v>
      </x:c>
      <x:c r="Q1881" t="str">
        <x:v>Printed specimen</x:v>
      </x:c>
      <x:c r="R1881" t="str">
        <x:v>45/45</x:v>
      </x:c>
      <x:c r="S1881" t="str">
        <x:v>Keep vacuum sealed; dry at 120 °C for 3-8 h if &gt;200 ppm</x:v>
      </x:c>
      <x:c r="T1881" t="str">
        <x:v>Not published</x:v>
      </x:c>
      <x:c r="U1881" t="str">
        <x:v>Not published</x:v>
      </x:c>
      <x:c r="V1881" t="str">
        <x:v>ISO 180</x:v>
      </x:c>
      <x:c r="W1881" t="str">
        <x:v>Notched</x:v>
      </x:c>
      <x:c r="X1881" t="str">
        <x:v>Manufacturer TDS v1.0; standard deviations in parentheses</x:v>
      </x:c>
      <x:c r="Y1881" t="str">
        <x:v>R-ESSENTIUM-PPSCF-TDS</x:v>
      </x:c>
      <x:c r="Z1881" t="str">
        <x:v>p. 1: Izod impact strength (45/45)</x:v>
      </x:c>
      <x:c r="AA1881" t="str">
        <x:v>Not applicable</x:v>
      </x:c>
      <x:c r="AB1881" t="str">
        <x:v>Not applicable</x:v>
      </x:c>
      <x:c r="AC1881" t="str">
        <x:v>Not applicable</x:v>
      </x:c>
      <x:c r="AD1881" t="str">
        <x:v>Not applicable</x:v>
      </x:c>
      <x:c r="AE1881" t="str">
        <x:v>Not applicable</x:v>
      </x:c>
      <x:c r="AF1881" t="str">
        <x:v>Not applicable</x:v>
      </x:c>
      <x:c r="AG1881" t="str">
        <x:v>Not applicable</x:v>
      </x:c>
    </x:row>
    <x:row r="1882">
      <x:c r="A1882" t="str">
        <x:v>V001879</x:v>
      </x:c>
      <x:c r="B1882" t="str">
        <x:v>M073</x:v>
      </x:c>
      <x:c r="C1882" t="str">
        <x:v>G073-02</x:v>
      </x:c>
      <x:c r="D1882" t="str">
        <x:v>Izod impact strength</x:v>
      </x:c>
      <x:c r="E1882" t="str">
        <x:v>2.2 (0.8) kJ/m²</x:v>
      </x:c>
      <x:c r="F1882" t="str">
        <x:v>kJ/m²</x:v>
      </x:c>
      <x:c r="G1882" t="n">
        <x:v>2.2</x:v>
      </x:c>
      <x:c r="H1882" t="n">
        <x:v>0.8</x:v>
      </x:c>
      <x:c r="I1882" t="str">
        <x:v>Not applicable</x:v>
      </x:c>
      <x:c r="J1882" t="str">
        <x:v>=</x:v>
      </x:c>
      <x:c r="K1882" t="n">
        <x:v>1</x:v>
      </x:c>
      <x:c r="L1882" t="n">
        <x:v>2.2</x:v>
      </x:c>
      <x:c r="M1882" t="n">
        <x:v>0.8</x:v>
      </x:c>
      <x:c r="N1882" t="str">
        <x:v>Not applicable</x:v>
      </x:c>
      <x:c r="O1882" t="str">
        <x:v>kJ/m²</x:v>
      </x:c>
      <x:c r="P1882" t="str">
        <x:v>Published value</x:v>
      </x:c>
      <x:c r="Q1882" t="str">
        <x:v>Printed specimen</x:v>
      </x:c>
      <x:c r="R1882" t="str">
        <x:v>ZX</x:v>
      </x:c>
      <x:c r="S1882" t="str">
        <x:v>Keep vacuum sealed; dry at 120 °C for 3-8 h if &gt;200 ppm</x:v>
      </x:c>
      <x:c r="T1882" t="str">
        <x:v>Not published</x:v>
      </x:c>
      <x:c r="U1882" t="str">
        <x:v>Not published</x:v>
      </x:c>
      <x:c r="V1882" t="str">
        <x:v>ISO 180</x:v>
      </x:c>
      <x:c r="W1882" t="str">
        <x:v>Notched</x:v>
      </x:c>
      <x:c r="X1882" t="str">
        <x:v>Manufacturer TDS v1.0; standard deviations in parentheses</x:v>
      </x:c>
      <x:c r="Y1882" t="str">
        <x:v>R-ESSENTIUM-PPSCF-TDS</x:v>
      </x:c>
      <x:c r="Z1882" t="str">
        <x:v>p. 1: Izod impact strength (ZX)</x:v>
      </x:c>
      <x:c r="AA1882" t="str">
        <x:v>Not applicable</x:v>
      </x:c>
      <x:c r="AB1882" t="str">
        <x:v>Not applicable</x:v>
      </x:c>
      <x:c r="AC1882" t="str">
        <x:v>Not applicable</x:v>
      </x:c>
      <x:c r="AD1882" t="str">
        <x:v>Not applicable</x:v>
      </x:c>
      <x:c r="AE1882" t="str">
        <x:v>Not applicable</x:v>
      </x:c>
      <x:c r="AF1882" t="str">
        <x:v>Not applicable</x:v>
      </x:c>
      <x:c r="AG1882" t="str">
        <x:v>Not applicable</x:v>
      </x:c>
    </x:row>
    <x:row r="1883">
      <x:c r="A1883" t="str">
        <x:v>V001880</x:v>
      </x:c>
      <x:c r="B1883" t="str">
        <x:v>M073</x:v>
      </x:c>
      <x:c r="C1883" t="str">
        <x:v>G073-02</x:v>
      </x:c>
      <x:c r="D1883" t="str">
        <x:v>Density</x:v>
      </x:c>
      <x:c r="E1883" t="str">
        <x:v>1.5 g/cm³</x:v>
      </x:c>
      <x:c r="F1883" t="str">
        <x:v>g/cm³</x:v>
      </x:c>
      <x:c r="G1883" t="n">
        <x:v>1.5</x:v>
      </x:c>
      <x:c r="H1883" t="str">
        <x:v>Not applicable</x:v>
      </x:c>
      <x:c r="I1883" t="str">
        <x:v>Not applicable</x:v>
      </x:c>
      <x:c r="J1883" t="str">
        <x:v>=</x:v>
      </x:c>
      <x:c r="K1883" t="n">
        <x:v>1000</x:v>
      </x:c>
      <x:c r="L1883" t="n">
        <x:v>1500</x:v>
      </x:c>
      <x:c r="M1883" t="str">
        <x:v>Not applicable</x:v>
      </x:c>
      <x:c r="N1883" t="str">
        <x:v>Not applicable</x:v>
      </x:c>
      <x:c r="O1883" t="str">
        <x:v>kg/m³</x:v>
      </x:c>
      <x:c r="P1883" t="str">
        <x:v>Published value</x:v>
      </x:c>
      <x:c r="Q1883" t="str">
        <x:v>Raw material value</x:v>
      </x:c>
      <x:c r="R1883" t="str">
        <x:v>Not applicable</x:v>
      </x:c>
      <x:c r="S1883" t="str">
        <x:v>Keep vacuum sealed; dry at 120 °C for 3-8 h if &gt;200 ppm</x:v>
      </x:c>
      <x:c r="T1883" t="str">
        <x:v>Not published</x:v>
      </x:c>
      <x:c r="U1883" t="str">
        <x:v>Not published</x:v>
      </x:c>
      <x:c r="V1883" t="str">
        <x:v>ISO 1183</x:v>
      </x:c>
      <x:c r="W1883" t="str">
        <x:v>Not applicable</x:v>
      </x:c>
      <x:c r="X1883" t="str">
        <x:v>Manufacturer TDS v1.0; standard deviations in parentheses</x:v>
      </x:c>
      <x:c r="Y1883" t="str">
        <x:v>R-ESSENTIUM-PPSCF-TDS</x:v>
      </x:c>
      <x:c r="Z1883" t="str">
        <x:v>p. 1: Density</x:v>
      </x:c>
      <x:c r="AA1883" t="str">
        <x:v>Superscript 1: value taken from raw-material TDS</x:v>
      </x:c>
      <x:c r="AB1883" t="str">
        <x:v>Not applicable</x:v>
      </x:c>
      <x:c r="AC1883" t="str">
        <x:v>Not applicable</x:v>
      </x:c>
      <x:c r="AD1883" t="str">
        <x:v>Not applicable</x:v>
      </x:c>
      <x:c r="AE1883" t="str">
        <x:v>Not applicable</x:v>
      </x:c>
      <x:c r="AF1883" t="str">
        <x:v>Not applicable</x:v>
      </x:c>
      <x:c r="AG1883" t="str">
        <x:v>Not applicable</x:v>
      </x:c>
    </x:row>
    <x:row r="1884">
      <x:c r="A1884" t="str">
        <x:v>V001881</x:v>
      </x:c>
      <x:c r="B1884" t="str">
        <x:v>M073</x:v>
      </x:c>
      <x:c r="C1884" t="str">
        <x:v>G073-02</x:v>
      </x:c>
      <x:c r="D1884" t="str">
        <x:v>Melting temperature</x:v>
      </x:c>
      <x:c r="E1884" t="str">
        <x:v>280 °C</x:v>
      </x:c>
      <x:c r="F1884" t="str">
        <x:v>°C</x:v>
      </x:c>
      <x:c r="G1884" t="n">
        <x:v>280</x:v>
      </x:c>
      <x:c r="H1884" t="str">
        <x:v>Not applicable</x:v>
      </x:c>
      <x:c r="I1884" t="str">
        <x:v>Not applicable</x:v>
      </x:c>
      <x:c r="J1884" t="str">
        <x:v>=</x:v>
      </x:c>
      <x:c r="K1884" t="n">
        <x:v>1</x:v>
      </x:c>
      <x:c r="L1884" t="n">
        <x:v>280</x:v>
      </x:c>
      <x:c r="M1884" t="str">
        <x:v>Not applicable</x:v>
      </x:c>
      <x:c r="N1884" t="str">
        <x:v>Not applicable</x:v>
      </x:c>
      <x:c r="O1884" t="str">
        <x:v>°C</x:v>
      </x:c>
      <x:c r="P1884" t="str">
        <x:v>Published value</x:v>
      </x:c>
      <x:c r="Q1884" t="str">
        <x:v>Not published (do not assume printed)</x:v>
      </x:c>
      <x:c r="R1884" t="str">
        <x:v>Not applicable</x:v>
      </x:c>
      <x:c r="S1884" t="str">
        <x:v>Keep vacuum sealed; dry at 120 °C for 3-8 h if &gt;200 ppm</x:v>
      </x:c>
      <x:c r="T1884" t="str">
        <x:v>Not published</x:v>
      </x:c>
      <x:c r="U1884" t="str">
        <x:v>Not published</x:v>
      </x:c>
      <x:c r="V1884" t="str">
        <x:v>ISO 11357</x:v>
      </x:c>
      <x:c r="W1884" t="str">
        <x:v>Not applicable</x:v>
      </x:c>
      <x:c r="X1884" t="str">
        <x:v>Manufacturer TDS v1.0; standard deviations in parentheses</x:v>
      </x:c>
      <x:c r="Y1884" t="str">
        <x:v>R-ESSENTIUM-PPSCF-TDS</x:v>
      </x:c>
      <x:c r="Z1884" t="str">
        <x:v>p. 1: Melting Point</x:v>
      </x:c>
      <x:c r="AA1884" t="str">
        <x:v>Not applicable</x:v>
      </x:c>
      <x:c r="AB1884" t="str">
        <x:v>Not applicable</x:v>
      </x:c>
      <x:c r="AC1884" t="str">
        <x:v>Not applicable</x:v>
      </x:c>
      <x:c r="AD1884" t="str">
        <x:v>Not applicable</x:v>
      </x:c>
      <x:c r="AE1884" t="str">
        <x:v>Not applicable</x:v>
      </x:c>
      <x:c r="AF1884" t="str">
        <x:v>Not applicable</x:v>
      </x:c>
      <x:c r="AG1884" t="str">
        <x:v>Not applicable</x:v>
      </x:c>
    </x:row>
    <x:row r="1885">
      <x:c r="A1885" t="str">
        <x:v>V001882</x:v>
      </x:c>
      <x:c r="B1885" t="str">
        <x:v>M073</x:v>
      </x:c>
      <x:c r="C1885" t="str">
        <x:v>G073-02</x:v>
      </x:c>
      <x:c r="D1885" t="str">
        <x:v>Glass transition temperature</x:v>
      </x:c>
      <x:c r="E1885" t="str">
        <x:v>92 °C</x:v>
      </x:c>
      <x:c r="F1885" t="str">
        <x:v>°C</x:v>
      </x:c>
      <x:c r="G1885" t="n">
        <x:v>92</x:v>
      </x:c>
      <x:c r="H1885" t="str">
        <x:v>Not applicable</x:v>
      </x:c>
      <x:c r="I1885" t="str">
        <x:v>Not applicable</x:v>
      </x:c>
      <x:c r="J1885" t="str">
        <x:v>=</x:v>
      </x:c>
      <x:c r="K1885" t="n">
        <x:v>1</x:v>
      </x:c>
      <x:c r="L1885" t="n">
        <x:v>92</x:v>
      </x:c>
      <x:c r="M1885" t="str">
        <x:v>Not applicable</x:v>
      </x:c>
      <x:c r="N1885" t="str">
        <x:v>Not applicable</x:v>
      </x:c>
      <x:c r="O1885" t="str">
        <x:v>°C</x:v>
      </x:c>
      <x:c r="P1885" t="str">
        <x:v>Published value</x:v>
      </x:c>
      <x:c r="Q1885" t="str">
        <x:v>Not published (do not assume printed)</x:v>
      </x:c>
      <x:c r="R1885" t="str">
        <x:v>Not applicable</x:v>
      </x:c>
      <x:c r="S1885" t="str">
        <x:v>Keep vacuum sealed; dry at 120 °C for 3-8 h if &gt;200 ppm</x:v>
      </x:c>
      <x:c r="T1885" t="str">
        <x:v>Not published</x:v>
      </x:c>
      <x:c r="U1885" t="str">
        <x:v>Not published</x:v>
      </x:c>
      <x:c r="V1885" t="str">
        <x:v>ISO 11357</x:v>
      </x:c>
      <x:c r="W1885" t="str">
        <x:v>Not applicable</x:v>
      </x:c>
      <x:c r="X1885" t="str">
        <x:v>Manufacturer TDS v1.0; standard deviations in parentheses</x:v>
      </x:c>
      <x:c r="Y1885" t="str">
        <x:v>R-ESSENTIUM-PPSCF-TDS</x:v>
      </x:c>
      <x:c r="Z1885" t="str">
        <x:v>p. 1: Glass Transition Temp</x:v>
      </x:c>
      <x:c r="AA1885" t="str">
        <x:v>Not applicable</x:v>
      </x:c>
      <x:c r="AB1885" t="str">
        <x:v>Not applicable</x:v>
      </x:c>
      <x:c r="AC1885" t="str">
        <x:v>Not applicable</x:v>
      </x:c>
      <x:c r="AD1885" t="str">
        <x:v>Not applicable</x:v>
      </x:c>
      <x:c r="AE1885" t="str">
        <x:v>Not applicable</x:v>
      </x:c>
      <x:c r="AF1885" t="str">
        <x:v>Not applicable</x:v>
      </x:c>
      <x:c r="AG1885" t="str">
        <x:v>Not applicable</x:v>
      </x:c>
    </x:row>
    <x:row r="1886">
      <x:c r="A1886" t="str">
        <x:v>V001883</x:v>
      </x:c>
      <x:c r="B1886" t="str">
        <x:v>M073</x:v>
      </x:c>
      <x:c r="C1886" t="str">
        <x:v>G073-02</x:v>
      </x:c>
      <x:c r="D1886" t="str">
        <x:v>HDT</x:v>
      </x:c>
      <x:c r="E1886" t="str">
        <x:v>N/A</x:v>
      </x:c>
      <x:c r="F1886" t="str">
        <x:v>°C</x:v>
      </x:c>
      <x:c r="G1886" t="str">
        <x:v>Not published</x:v>
      </x:c>
      <x:c r="H1886" t="str">
        <x:v>Not applicable</x:v>
      </x:c>
      <x:c r="I1886" t="str">
        <x:v>Not applicable</x:v>
      </x:c>
      <x:c r="J1886" t="str">
        <x:v>Not applicable</x:v>
      </x:c>
      <x:c r="K1886" t="n">
        <x:v>1</x:v>
      </x:c>
      <x:c r="L1886" t="str">
        <x:v>Not published</x:v>
      </x:c>
      <x:c r="M1886" t="str">
        <x:v>Not applicable</x:v>
      </x:c>
      <x:c r="N1886" t="str">
        <x:v>Not applicable</x:v>
      </x:c>
      <x:c r="O1886" t="str">
        <x:v>°C</x:v>
      </x:c>
      <x:c r="P1886" t="str">
        <x:v>Not published</x:v>
      </x:c>
      <x:c r="Q1886" t="str">
        <x:v>Not published (do not assume printed)</x:v>
      </x:c>
      <x:c r="R1886" t="str">
        <x:v>Not applicable</x:v>
      </x:c>
      <x:c r="S1886" t="str">
        <x:v>Keep vacuum sealed; dry at 120 °C for 3-8 h if &gt;200 ppm</x:v>
      </x:c>
      <x:c r="T1886" t="str">
        <x:v>Not published</x:v>
      </x:c>
      <x:c r="U1886" t="str">
        <x:v>Not published</x:v>
      </x:c>
      <x:c r="V1886" t="str">
        <x:v>ISO 75, 0.45 MPa</x:v>
      </x:c>
      <x:c r="W1886" t="str">
        <x:v>Not applicable</x:v>
      </x:c>
      <x:c r="X1886" t="str">
        <x:v>Manufacturer TDS v1.0; standard deviations in parentheses</x:v>
      </x:c>
      <x:c r="Y1886" t="str">
        <x:v>R-ESSENTIUM-PPSCF-TDS</x:v>
      </x:c>
      <x:c r="Z1886" t="str">
        <x:v>p. 1: HDT at 0.45 MPa</x:v>
      </x:c>
      <x:c r="AA1886" t="str">
        <x:v>Not applicable</x:v>
      </x:c>
      <x:c r="AB1886" t="str">
        <x:v>Not applicable</x:v>
      </x:c>
      <x:c r="AC1886" t="str">
        <x:v>Not applicable</x:v>
      </x:c>
      <x:c r="AD1886" t="str">
        <x:v>Not applicable</x:v>
      </x:c>
      <x:c r="AE1886" t="str">
        <x:v>Not applicable</x:v>
      </x:c>
      <x:c r="AF1886" t="str">
        <x:v>Not applicable</x:v>
      </x:c>
      <x:c r="AG1886" t="str">
        <x:v>Not applicable</x:v>
      </x:c>
    </x:row>
    <x:row r="1887">
      <x:c r="A1887" t="str">
        <x:v>V001884</x:v>
      </x:c>
      <x:c r="B1887" t="str">
        <x:v>M073</x:v>
      </x:c>
      <x:c r="C1887" t="str">
        <x:v>G073-02</x:v>
      </x:c>
      <x:c r="D1887" t="str">
        <x:v>HDT</x:v>
      </x:c>
      <x:c r="E1887" t="str">
        <x:v>N/A</x:v>
      </x:c>
      <x:c r="F1887" t="str">
        <x:v>°C</x:v>
      </x:c>
      <x:c r="G1887" t="str">
        <x:v>Not published</x:v>
      </x:c>
      <x:c r="H1887" t="str">
        <x:v>Not applicable</x:v>
      </x:c>
      <x:c r="I1887" t="str">
        <x:v>Not applicable</x:v>
      </x:c>
      <x:c r="J1887" t="str">
        <x:v>Not applicable</x:v>
      </x:c>
      <x:c r="K1887" t="n">
        <x:v>1</x:v>
      </x:c>
      <x:c r="L1887" t="str">
        <x:v>Not published</x:v>
      </x:c>
      <x:c r="M1887" t="str">
        <x:v>Not applicable</x:v>
      </x:c>
      <x:c r="N1887" t="str">
        <x:v>Not applicable</x:v>
      </x:c>
      <x:c r="O1887" t="str">
        <x:v>°C</x:v>
      </x:c>
      <x:c r="P1887" t="str">
        <x:v>Not published</x:v>
      </x:c>
      <x:c r="Q1887" t="str">
        <x:v>Not published (do not assume printed)</x:v>
      </x:c>
      <x:c r="R1887" t="str">
        <x:v>Not applicable</x:v>
      </x:c>
      <x:c r="S1887" t="str">
        <x:v>Keep vacuum sealed; dry at 120 °C for 3-8 h if &gt;200 ppm</x:v>
      </x:c>
      <x:c r="T1887" t="str">
        <x:v>Not published</x:v>
      </x:c>
      <x:c r="U1887" t="str">
        <x:v>Not published</x:v>
      </x:c>
      <x:c r="V1887" t="str">
        <x:v>ISO 75, 1.8 MPa</x:v>
      </x:c>
      <x:c r="W1887" t="str">
        <x:v>Not applicable</x:v>
      </x:c>
      <x:c r="X1887" t="str">
        <x:v>Manufacturer TDS v1.0; standard deviations in parentheses</x:v>
      </x:c>
      <x:c r="Y1887" t="str">
        <x:v>R-ESSENTIUM-PPSCF-TDS</x:v>
      </x:c>
      <x:c r="Z1887" t="str">
        <x:v>p. 1: HDT at 1.8 MPa</x:v>
      </x:c>
      <x:c r="AA1887" t="str">
        <x:v>Not applicable</x:v>
      </x:c>
      <x:c r="AB1887" t="str">
        <x:v>Not applicable</x:v>
      </x:c>
      <x:c r="AC1887" t="str">
        <x:v>Not applicable</x:v>
      </x:c>
      <x:c r="AD1887" t="str">
        <x:v>Not applicable</x:v>
      </x:c>
      <x:c r="AE1887" t="str">
        <x:v>Not applicable</x:v>
      </x:c>
      <x:c r="AF1887" t="str">
        <x:v>Not applicable</x:v>
      </x:c>
      <x:c r="AG1887" t="str">
        <x:v>Not applicable</x:v>
      </x:c>
    </x:row>
    <x:row r="1888">
      <x:c r="A1888" t="str">
        <x:v>V001885</x:v>
      </x:c>
      <x:c r="B1888" t="str">
        <x:v>M073</x:v>
      </x:c>
      <x:c r="C1888" t="str">
        <x:v>G073-02</x:v>
      </x:c>
      <x:c r="D1888" t="str">
        <x:v>Water absorption</x:v>
      </x:c>
      <x:c r="E1888" t="str">
        <x:v>0.06%</x:v>
      </x:c>
      <x:c r="F1888" t="str">
        <x:v>%</x:v>
      </x:c>
      <x:c r="G1888" t="n">
        <x:v>0.06</x:v>
      </x:c>
      <x:c r="H1888" t="str">
        <x:v>Not applicable</x:v>
      </x:c>
      <x:c r="I1888" t="str">
        <x:v>Not applicable</x:v>
      </x:c>
      <x:c r="J1888" t="str">
        <x:v>=</x:v>
      </x:c>
      <x:c r="K1888" t="n">
        <x:v>1</x:v>
      </x:c>
      <x:c r="L1888" t="n">
        <x:v>0.06</x:v>
      </x:c>
      <x:c r="M1888" t="str">
        <x:v>Not applicable</x:v>
      </x:c>
      <x:c r="N1888" t="str">
        <x:v>Not applicable</x:v>
      </x:c>
      <x:c r="O1888" t="str">
        <x:v>%</x:v>
      </x:c>
      <x:c r="P1888" t="str">
        <x:v>Published value</x:v>
      </x:c>
      <x:c r="Q1888" t="str">
        <x:v>Raw material value</x:v>
      </x:c>
      <x:c r="R1888" t="str">
        <x:v>Not applicable</x:v>
      </x:c>
      <x:c r="S1888" t="str">
        <x:v>Keep vacuum sealed; dry at 120 °C for 3-8 h if &gt;200 ppm</x:v>
      </x:c>
      <x:c r="T1888" t="str">
        <x:v>Not published</x:v>
      </x:c>
      <x:c r="U1888" t="str">
        <x:v>Not published</x:v>
      </x:c>
      <x:c r="V1888" t="str">
        <x:v>ISO 62; equilibrium at 23 °C, 50% RH</x:v>
      </x:c>
      <x:c r="W1888" t="str">
        <x:v>Not applicable</x:v>
      </x:c>
      <x:c r="X1888" t="str">
        <x:v>Manufacturer TDS v1.0; standard deviations in parentheses</x:v>
      </x:c>
      <x:c r="Y1888" t="str">
        <x:v>R-ESSENTIUM-PPSCF-TDS</x:v>
      </x:c>
      <x:c r="Z1888" t="str">
        <x:v>p. 1: Equilibrium Water Absorption</x:v>
      </x:c>
      <x:c r="AA1888" t="str">
        <x:v>Superscript 1: value taken from raw-material TDS</x:v>
      </x:c>
      <x:c r="AB1888" t="str">
        <x:v>Not applicable</x:v>
      </x:c>
      <x:c r="AC1888" t="str">
        <x:v>Not applicable</x:v>
      </x:c>
      <x:c r="AD1888" t="str">
        <x:v>Not applicable</x:v>
      </x:c>
      <x:c r="AE1888" t="str">
        <x:v>Not applicable</x:v>
      </x:c>
      <x:c r="AF1888" t="str">
        <x:v>Not applicable</x:v>
      </x:c>
      <x:c r="AG1888" t="str">
        <x:v>Not applicable</x:v>
      </x:c>
    </x:row>
    <x:row r="1889">
      <x:c r="A1889" t="str">
        <x:v>V001886</x:v>
      </x:c>
      <x:c r="B1889" t="str">
        <x:v>M073</x:v>
      </x:c>
      <x:c r="C1889" t="str">
        <x:v>G073-02</x:v>
      </x:c>
      <x:c r="D1889" t="str">
        <x:v>Continuous service temperature</x:v>
      </x:c>
      <x:c r="E1889" t="str">
        <x:v>220 °C at 20,000 h</x:v>
      </x:c>
      <x:c r="F1889" t="str">
        <x:v>°C</x:v>
      </x:c>
      <x:c r="G1889" t="n">
        <x:v>220</x:v>
      </x:c>
      <x:c r="H1889" t="str">
        <x:v>Not applicable</x:v>
      </x:c>
      <x:c r="I1889" t="str">
        <x:v>Not applicable</x:v>
      </x:c>
      <x:c r="J1889" t="str">
        <x:v>=</x:v>
      </x:c>
      <x:c r="K1889" t="n">
        <x:v>1</x:v>
      </x:c>
      <x:c r="L1889" t="n">
        <x:v>220</x:v>
      </x:c>
      <x:c r="M1889" t="str">
        <x:v>Not applicable</x:v>
      </x:c>
      <x:c r="N1889" t="str">
        <x:v>Not applicable</x:v>
      </x:c>
      <x:c r="O1889" t="str">
        <x:v>°C</x:v>
      </x:c>
      <x:c r="P1889" t="str">
        <x:v>Published value</x:v>
      </x:c>
      <x:c r="Q1889" t="str">
        <x:v>Raw material value</x:v>
      </x:c>
      <x:c r="R1889" t="str">
        <x:v>Not applicable</x:v>
      </x:c>
      <x:c r="S1889" t="str">
        <x:v>Keep vacuum sealed; dry at 120 °C for 3-8 h if &gt;200 ppm</x:v>
      </x:c>
      <x:c r="T1889" t="str">
        <x:v>Not published</x:v>
      </x:c>
      <x:c r="U1889" t="str">
        <x:v>Not published</x:v>
      </x:c>
      <x:c r="V1889" t="str">
        <x:v>IEC 60216; 20,000 h</x:v>
      </x:c>
      <x:c r="W1889" t="str">
        <x:v>Not applicable</x:v>
      </x:c>
      <x:c r="X1889" t="str">
        <x:v>Manufacturer TDS v1.0; standard deviations in parentheses</x:v>
      </x:c>
      <x:c r="Y1889" t="str">
        <x:v>R-ESSENTIUM-PPSCF-TDS</x:v>
      </x:c>
      <x:c r="Z1889" t="str">
        <x:v>p. 1: Continuous Service Temp</x:v>
      </x:c>
      <x:c r="AA1889" t="str">
        <x:v>Raw-resin value; not a printed-part allowable</x:v>
      </x:c>
      <x:c r="AB1889" t="str">
        <x:v>Not applicable</x:v>
      </x:c>
      <x:c r="AC1889" t="str">
        <x:v>Not applicable</x:v>
      </x:c>
      <x:c r="AD1889" t="str">
        <x:v>Not applicable</x:v>
      </x:c>
      <x:c r="AE1889" t="str">
        <x:v>Not applicable</x:v>
      </x:c>
      <x:c r="AF1889" t="str">
        <x:v>Not applicable</x:v>
      </x:c>
      <x:c r="AG1889" t="str">
        <x:v>Not applicable</x:v>
      </x:c>
    </x:row>
    <x:row r="1890">
      <x:c r="A1890" t="str">
        <x:v>V001887</x:v>
      </x:c>
      <x:c r="B1890" t="str">
        <x:v>M045</x:v>
      </x:c>
      <x:c r="C1890" t="str">
        <x:v>G045-03</x:v>
      </x:c>
      <x:c r="D1890" t="str">
        <x:v>Density</x:v>
      </x:c>
      <x:c r="E1890" t="str">
        <x:v>1.013 g/cm³</x:v>
      </x:c>
      <x:c r="F1890" t="str">
        <x:v>g/cm³</x:v>
      </x:c>
      <x:c r="G1890" t="n">
        <x:v>1.013</x:v>
      </x:c>
      <x:c r="H1890" t="str">
        <x:v>Not applicable</x:v>
      </x:c>
      <x:c r="I1890" t="str">
        <x:v>Not applicable</x:v>
      </x:c>
      <x:c r="J1890" t="str">
        <x:v>=</x:v>
      </x:c>
      <x:c r="K1890" t="n">
        <x:v>1000</x:v>
      </x:c>
      <x:c r="L1890" t="n">
        <x:v>1013</x:v>
      </x:c>
      <x:c r="M1890" t="str">
        <x:v>Not applicable</x:v>
      </x:c>
      <x:c r="N1890" t="str">
        <x:v>Not applicable</x:v>
      </x:c>
      <x:c r="O1890" t="str">
        <x:v>kg/m³</x:v>
      </x:c>
      <x:c r="P1890" t="str">
        <x:v>Published value</x:v>
      </x:c>
      <x:c r="Q1890" t="str">
        <x:v>Not published (do not assume printed)</x:v>
      </x:c>
      <x:c r="R1890" t="str">
        <x:v>Not applicable</x:v>
      </x:c>
      <x:c r="S1890" t="str">
        <x:v>Not published</x:v>
      </x:c>
      <x:c r="T1890" t="str">
        <x:v>Not published</x:v>
      </x:c>
      <x:c r="U1890" t="str">
        <x:v>Not published</x:v>
      </x:c>
      <x:c r="V1890" t="str">
        <x:v>ISO 1183-1</x:v>
      </x:c>
      <x:c r="W1890" t="str">
        <x:v>Not applicable</x:v>
      </x:c>
      <x:c r="X1890" t="str">
        <x:v>Airtech Europe TDS; properties are indicative and production-condition dependent</x:v>
      </x:c>
      <x:c r="Y1890" t="str">
        <x:v>R-KIMYA-PEBA-S-TDS</x:v>
      </x:c>
      <x:c r="Z1890" t="str">
        <x:v>Technical data: Density</x:v>
      </x:c>
      <x:c r="AA1890" t="str">
        <x:v>Not applicable</x:v>
      </x:c>
      <x:c r="AB1890" t="str">
        <x:v>Not applicable</x:v>
      </x:c>
      <x:c r="AC1890" t="str">
        <x:v>Not applicable</x:v>
      </x:c>
      <x:c r="AD1890" t="str">
        <x:v>Not applicable</x:v>
      </x:c>
      <x:c r="AE1890" t="str">
        <x:v>Not applicable</x:v>
      </x:c>
      <x:c r="AF1890" t="str">
        <x:v>Not applicable</x:v>
      </x:c>
      <x:c r="AG1890" t="str">
        <x:v>Not applicable</x:v>
      </x:c>
    </x:row>
    <x:row r="1891">
      <x:c r="A1891" t="str">
        <x:v>V001888</x:v>
      </x:c>
      <x:c r="B1891" t="str">
        <x:v>M045</x:v>
      </x:c>
      <x:c r="C1891" t="str">
        <x:v>G045-03</x:v>
      </x:c>
      <x:c r="D1891" t="str">
        <x:v>Moisture content</x:v>
      </x:c>
      <x:c r="E1891" t="str">
        <x:v>&lt;1%</x:v>
      </x:c>
      <x:c r="F1891" t="str">
        <x:v>%</x:v>
      </x:c>
      <x:c r="G1891" t="n">
        <x:v>1</x:v>
      </x:c>
      <x:c r="H1891" t="str">
        <x:v>Not applicable</x:v>
      </x:c>
      <x:c r="I1891" t="str">
        <x:v>Not applicable</x:v>
      </x:c>
      <x:c r="J1891" t="str">
        <x:v>&lt;</x:v>
      </x:c>
      <x:c r="K1891" t="n">
        <x:v>1</x:v>
      </x:c>
      <x:c r="L1891" t="n">
        <x:v>1</x:v>
      </x:c>
      <x:c r="M1891" t="str">
        <x:v>Not applicable</x:v>
      </x:c>
      <x:c r="N1891" t="str">
        <x:v>Not applicable</x:v>
      </x:c>
      <x:c r="O1891" t="str">
        <x:v>%</x:v>
      </x:c>
      <x:c r="P1891" t="str">
        <x:v>Published value</x:v>
      </x:c>
      <x:c r="Q1891" t="str">
        <x:v>Not published (do not assume printed)</x:v>
      </x:c>
      <x:c r="R1891" t="str">
        <x:v>Not applicable</x:v>
      </x:c>
      <x:c r="S1891" t="str">
        <x:v>Not published</x:v>
      </x:c>
      <x:c r="T1891" t="str">
        <x:v>Not published</x:v>
      </x:c>
      <x:c r="U1891" t="str">
        <x:v>Not published</x:v>
      </x:c>
      <x:c r="V1891" t="str">
        <x:v>ISO 6711</x:v>
      </x:c>
      <x:c r="W1891" t="str">
        <x:v>Not applicable</x:v>
      </x:c>
      <x:c r="X1891" t="str">
        <x:v>Airtech Europe TDS; properties are indicative and production-condition dependent</x:v>
      </x:c>
      <x:c r="Y1891" t="str">
        <x:v>R-KIMYA-PEBA-S-TDS</x:v>
      </x:c>
      <x:c r="Z1891" t="str">
        <x:v>Technical data: Moisture Rate</x:v>
      </x:c>
      <x:c r="AA1891" t="str">
        <x:v>Not applicable</x:v>
      </x:c>
      <x:c r="AB1891" t="str">
        <x:v>Not applicable</x:v>
      </x:c>
      <x:c r="AC1891" t="str">
        <x:v>Not applicable</x:v>
      </x:c>
      <x:c r="AD1891" t="str">
        <x:v>Not applicable</x:v>
      </x:c>
      <x:c r="AE1891" t="str">
        <x:v>Not applicable</x:v>
      </x:c>
      <x:c r="AF1891" t="str">
        <x:v>Not applicable</x:v>
      </x:c>
      <x:c r="AG1891" t="str">
        <x:v>Not applicable</x:v>
      </x:c>
    </x:row>
    <x:row r="1892">
      <x:c r="A1892" t="str">
        <x:v>V001889</x:v>
      </x:c>
      <x:c r="B1892" t="str">
        <x:v>M045</x:v>
      </x:c>
      <x:c r="C1892" t="str">
        <x:v>G045-03</x:v>
      </x:c>
      <x:c r="D1892" t="str">
        <x:v>Melt mass-flow rate</x:v>
      </x:c>
      <x:c r="E1892" t="str">
        <x:v>13.6 g/10 min</x:v>
      </x:c>
      <x:c r="F1892" t="str">
        <x:v>g/10 min</x:v>
      </x:c>
      <x:c r="G1892" t="n">
        <x:v>13.6</x:v>
      </x:c>
      <x:c r="H1892" t="str">
        <x:v>Not applicable</x:v>
      </x:c>
      <x:c r="I1892" t="str">
        <x:v>Not applicable</x:v>
      </x:c>
      <x:c r="J1892" t="str">
        <x:v>=</x:v>
      </x:c>
      <x:c r="K1892" t="n">
        <x:v>1</x:v>
      </x:c>
      <x:c r="L1892" t="n">
        <x:v>13.6</x:v>
      </x:c>
      <x:c r="M1892" t="str">
        <x:v>Not applicable</x:v>
      </x:c>
      <x:c r="N1892" t="str">
        <x:v>Not applicable</x:v>
      </x:c>
      <x:c r="O1892" t="str">
        <x:v>g/10 min</x:v>
      </x:c>
      <x:c r="P1892" t="str">
        <x:v>Published value</x:v>
      </x:c>
      <x:c r="Q1892" t="str">
        <x:v>Not published (do not assume printed)</x:v>
      </x:c>
      <x:c r="R1892" t="str">
        <x:v>Not applicable</x:v>
      </x:c>
      <x:c r="S1892" t="str">
        <x:v>Not published</x:v>
      </x:c>
      <x:c r="T1892" t="str">
        <x:v>Not published</x:v>
      </x:c>
      <x:c r="U1892" t="str">
        <x:v>Not published</x:v>
      </x:c>
      <x:c r="V1892" t="str">
        <x:v>ISO 1133-1; 190 °C, 2.16 kg</x:v>
      </x:c>
      <x:c r="W1892" t="str">
        <x:v>Not applicable</x:v>
      </x:c>
      <x:c r="X1892" t="str">
        <x:v>Airtech Europe TDS; properties are indicative and production-condition dependent</x:v>
      </x:c>
      <x:c r="Y1892" t="str">
        <x:v>R-KIMYA-PEBA-S-TDS</x:v>
      </x:c>
      <x:c r="Z1892" t="str">
        <x:v>Technical data: Melt Flow Index</x:v>
      </x:c>
      <x:c r="AA1892" t="str">
        <x:v>Not applicable</x:v>
      </x:c>
      <x:c r="AB1892" t="str">
        <x:v>Not applicable</x:v>
      </x:c>
      <x:c r="AC1892" t="str">
        <x:v>Not applicable</x:v>
      </x:c>
      <x:c r="AD1892" t="str">
        <x:v>Not applicable</x:v>
      </x:c>
      <x:c r="AE1892" t="str">
        <x:v>Not applicable</x:v>
      </x:c>
      <x:c r="AF1892" t="str">
        <x:v>Not applicable</x:v>
      </x:c>
      <x:c r="AG1892" t="str">
        <x:v>Not applicable</x:v>
      </x:c>
    </x:row>
    <x:row r="1893">
      <x:c r="A1893" t="str">
        <x:v>V001890</x:v>
      </x:c>
      <x:c r="B1893" t="str">
        <x:v>M045</x:v>
      </x:c>
      <x:c r="C1893" t="str">
        <x:v>G045-03</x:v>
      </x:c>
      <x:c r="D1893" t="str">
        <x:v>Melting temperature</x:v>
      </x:c>
      <x:c r="E1893" t="str">
        <x:v>149 °C</x:v>
      </x:c>
      <x:c r="F1893" t="str">
        <x:v>°C</x:v>
      </x:c>
      <x:c r="G1893" t="n">
        <x:v>149</x:v>
      </x:c>
      <x:c r="H1893" t="str">
        <x:v>Not applicable</x:v>
      </x:c>
      <x:c r="I1893" t="str">
        <x:v>Not applicable</x:v>
      </x:c>
      <x:c r="J1893" t="str">
        <x:v>=</x:v>
      </x:c>
      <x:c r="K1893" t="n">
        <x:v>1</x:v>
      </x:c>
      <x:c r="L1893" t="n">
        <x:v>149</x:v>
      </x:c>
      <x:c r="M1893" t="str">
        <x:v>Not applicable</x:v>
      </x:c>
      <x:c r="N1893" t="str">
        <x:v>Not applicable</x:v>
      </x:c>
      <x:c r="O1893" t="str">
        <x:v>°C</x:v>
      </x:c>
      <x:c r="P1893" t="str">
        <x:v>Published value</x:v>
      </x:c>
      <x:c r="Q1893" t="str">
        <x:v>Not published (do not assume printed)</x:v>
      </x:c>
      <x:c r="R1893" t="str">
        <x:v>Not applicable</x:v>
      </x:c>
      <x:c r="S1893" t="str">
        <x:v>Not published</x:v>
      </x:c>
      <x:c r="T1893" t="str">
        <x:v>Not published</x:v>
      </x:c>
      <x:c r="U1893" t="str">
        <x:v>Not published</x:v>
      </x:c>
      <x:c r="V1893" t="str">
        <x:v>ISO 11357-1 DSC, 10 °C/min</x:v>
      </x:c>
      <x:c r="W1893" t="str">
        <x:v>Not applicable</x:v>
      </x:c>
      <x:c r="X1893" t="str">
        <x:v>Airtech Europe TDS; properties are indicative and production-condition dependent</x:v>
      </x:c>
      <x:c r="Y1893" t="str">
        <x:v>R-KIMYA-PEBA-S-TDS</x:v>
      </x:c>
      <x:c r="Z1893" t="str">
        <x:v>Technical data: Melting Temperature</x:v>
      </x:c>
      <x:c r="AA1893" t="str">
        <x:v>Not applicable</x:v>
      </x:c>
      <x:c r="AB1893" t="str">
        <x:v>Not applicable</x:v>
      </x:c>
      <x:c r="AC1893" t="str">
        <x:v>Not applicable</x:v>
      </x:c>
      <x:c r="AD1893" t="str">
        <x:v>Not applicable</x:v>
      </x:c>
      <x:c r="AE1893" t="str">
        <x:v>Not applicable</x:v>
      </x:c>
      <x:c r="AF1893" t="str">
        <x:v>Not applicable</x:v>
      </x:c>
      <x:c r="AG1893" t="str">
        <x:v>Not applicable</x:v>
      </x:c>
    </x:row>
    <x:row r="1894">
      <x:c r="A1894" t="str">
        <x:v>V001891</x:v>
      </x:c>
      <x:c r="B1894" t="str">
        <x:v>M045</x:v>
      </x:c>
      <x:c r="C1894" t="str">
        <x:v>G045-03</x:v>
      </x:c>
      <x:c r="D1894" t="str">
        <x:v>Tensile modulus</x:v>
      </x:c>
      <x:c r="E1894" t="str">
        <x:v>63 MPa</x:v>
      </x:c>
      <x:c r="F1894" t="str">
        <x:v>MPa</x:v>
      </x:c>
      <x:c r="G1894" t="n">
        <x:v>63</x:v>
      </x:c>
      <x:c r="H1894" t="str">
        <x:v>Not applicable</x:v>
      </x:c>
      <x:c r="I1894" t="str">
        <x:v>Not applicable</x:v>
      </x:c>
      <x:c r="J1894" t="str">
        <x:v>=</x:v>
      </x:c>
      <x:c r="K1894" t="n">
        <x:v>0.001</x:v>
      </x:c>
      <x:c r="L1894" t="n">
        <x:v>0.063</x:v>
      </x:c>
      <x:c r="M1894" t="str">
        <x:v>Not applicable</x:v>
      </x:c>
      <x:c r="N1894" t="str">
        <x:v>Not applicable</x:v>
      </x:c>
      <x:c r="O1894" t="str">
        <x:v>GPa</x:v>
      </x:c>
      <x:c r="P1894" t="str">
        <x:v>Published value</x:v>
      </x:c>
      <x:c r="Q1894" t="str">
        <x:v>Not published (do not assume printed)</x:v>
      </x:c>
      <x:c r="R1894" t="str">
        <x:v>Not published</x:v>
      </x:c>
      <x:c r="S1894" t="str">
        <x:v>Not published</x:v>
      </x:c>
      <x:c r="T1894" t="str">
        <x:v>Not published</x:v>
      </x:c>
      <x:c r="U1894" t="str">
        <x:v>Not published</x:v>
      </x:c>
      <x:c r="V1894" t="str">
        <x:v>ISO 37/2/500</x:v>
      </x:c>
      <x:c r="W1894" t="str">
        <x:v>Not applicable</x:v>
      </x:c>
      <x:c r="X1894" t="str">
        <x:v>Airtech Europe TDS; properties are indicative and production-condition dependent</x:v>
      </x:c>
      <x:c r="Y1894" t="str">
        <x:v>R-KIMYA-PEBA-S-TDS</x:v>
      </x:c>
      <x:c r="Z1894" t="str">
        <x:v>Mechanical data: Tensile modulus</x:v>
      </x:c>
      <x:c r="AA1894" t="str">
        <x:v>Not applicable</x:v>
      </x:c>
      <x:c r="AB1894" t="str">
        <x:v>Not applicable</x:v>
      </x:c>
      <x:c r="AC1894" t="str">
        <x:v>Not applicable</x:v>
      </x:c>
      <x:c r="AD1894" t="str">
        <x:v>Not applicable</x:v>
      </x:c>
      <x:c r="AE1894" t="str">
        <x:v>Not applicable</x:v>
      </x:c>
      <x:c r="AF1894" t="str">
        <x:v>Not applicable</x:v>
      </x:c>
      <x:c r="AG1894" t="str">
        <x:v>Not applicable</x:v>
      </x:c>
    </x:row>
    <x:row r="1895">
      <x:c r="A1895" t="str">
        <x:v>V001892</x:v>
      </x:c>
      <x:c r="B1895" t="str">
        <x:v>M045</x:v>
      </x:c>
      <x:c r="C1895" t="str">
        <x:v>G045-03</x:v>
      </x:c>
      <x:c r="D1895" t="str">
        <x:v>Tensile strength (endpoint unspecified)</x:v>
      </x:c>
      <x:c r="E1895" t="str">
        <x:v>32.8 MPa</x:v>
      </x:c>
      <x:c r="F1895" t="str">
        <x:v>MPa</x:v>
      </x:c>
      <x:c r="G1895" t="n">
        <x:v>32.8</x:v>
      </x:c>
      <x:c r="H1895" t="str">
        <x:v>Not applicable</x:v>
      </x:c>
      <x:c r="I1895" t="str">
        <x:v>Not applicable</x:v>
      </x:c>
      <x:c r="J1895" t="str">
        <x:v>=</x:v>
      </x:c>
      <x:c r="K1895" t="n">
        <x:v>1</x:v>
      </x:c>
      <x:c r="L1895" t="n">
        <x:v>32.8</x:v>
      </x:c>
      <x:c r="M1895" t="str">
        <x:v>Not applicable</x:v>
      </x:c>
      <x:c r="N1895" t="str">
        <x:v>Not applicable</x:v>
      </x:c>
      <x:c r="O1895" t="str">
        <x:v>MPa</x:v>
      </x:c>
      <x:c r="P1895" t="str">
        <x:v>Published value</x:v>
      </x:c>
      <x:c r="Q1895" t="str">
        <x:v>Not published (do not assume printed)</x:v>
      </x:c>
      <x:c r="R1895" t="str">
        <x:v>Not published</x:v>
      </x:c>
      <x:c r="S1895" t="str">
        <x:v>Not published</x:v>
      </x:c>
      <x:c r="T1895" t="str">
        <x:v>Not published</x:v>
      </x:c>
      <x:c r="U1895" t="str">
        <x:v>Not published</x:v>
      </x:c>
      <x:c r="V1895" t="str">
        <x:v>ISO 37/2/500</x:v>
      </x:c>
      <x:c r="W1895" t="str">
        <x:v>Not applicable</x:v>
      </x:c>
      <x:c r="X1895" t="str">
        <x:v>Airtech Europe TDS; properties are indicative and production-condition dependent</x:v>
      </x:c>
      <x:c r="Y1895" t="str">
        <x:v>R-KIMYA-PEBA-S-TDS</x:v>
      </x:c>
      <x:c r="Z1895" t="str">
        <x:v>Mechanical data: Tensile strength (endpoint unspecified)</x:v>
      </x:c>
      <x:c r="AA1895" t="str">
        <x:v>Not applicable</x:v>
      </x:c>
      <x:c r="AB1895" t="str">
        <x:v>Not applicable</x:v>
      </x:c>
      <x:c r="AC1895" t="str">
        <x:v>Not applicable</x:v>
      </x:c>
      <x:c r="AD1895" t="str">
        <x:v>Not applicable</x:v>
      </x:c>
      <x:c r="AE1895" t="str">
        <x:v>Not applicable</x:v>
      </x:c>
      <x:c r="AF1895" t="str">
        <x:v>Not applicable</x:v>
      </x:c>
      <x:c r="AG1895" t="str">
        <x:v>Not applicable</x:v>
      </x:c>
    </x:row>
    <x:row r="1896">
      <x:c r="A1896" t="str">
        <x:v>V001893</x:v>
      </x:c>
      <x:c r="B1896" t="str">
        <x:v>M045</x:v>
      </x:c>
      <x:c r="C1896" t="str">
        <x:v>G045-03</x:v>
      </x:c>
      <x:c r="D1896" t="str">
        <x:v>Tensile strain at strength</x:v>
      </x:c>
      <x:c r="E1896" t="str">
        <x:v>&gt;550%</x:v>
      </x:c>
      <x:c r="F1896" t="str">
        <x:v>%</x:v>
      </x:c>
      <x:c r="G1896" t="n">
        <x:v>550</x:v>
      </x:c>
      <x:c r="H1896" t="str">
        <x:v>Not applicable</x:v>
      </x:c>
      <x:c r="I1896" t="str">
        <x:v>Not applicable</x:v>
      </x:c>
      <x:c r="J1896" t="str">
        <x:v>&gt;</x:v>
      </x:c>
      <x:c r="K1896" t="n">
        <x:v>1</x:v>
      </x:c>
      <x:c r="L1896" t="n">
        <x:v>550</x:v>
      </x:c>
      <x:c r="M1896" t="str">
        <x:v>Not applicable</x:v>
      </x:c>
      <x:c r="N1896" t="str">
        <x:v>Not applicable</x:v>
      </x:c>
      <x:c r="O1896" t="str">
        <x:v>%</x:v>
      </x:c>
      <x:c r="P1896" t="str">
        <x:v>Published value</x:v>
      </x:c>
      <x:c r="Q1896" t="str">
        <x:v>Not published (do not assume printed)</x:v>
      </x:c>
      <x:c r="R1896" t="str">
        <x:v>Not published</x:v>
      </x:c>
      <x:c r="S1896" t="str">
        <x:v>Not published</x:v>
      </x:c>
      <x:c r="T1896" t="str">
        <x:v>Not published</x:v>
      </x:c>
      <x:c r="U1896" t="str">
        <x:v>Not published</x:v>
      </x:c>
      <x:c r="V1896" t="str">
        <x:v>ISO 37/2/500</x:v>
      </x:c>
      <x:c r="W1896" t="str">
        <x:v>Not applicable</x:v>
      </x:c>
      <x:c r="X1896" t="str">
        <x:v>Airtech Europe TDS; properties are indicative and production-condition dependent</x:v>
      </x:c>
      <x:c r="Y1896" t="str">
        <x:v>R-KIMYA-PEBA-S-TDS</x:v>
      </x:c>
      <x:c r="Z1896" t="str">
        <x:v>Mechanical data: Tensile strain at strength</x:v>
      </x:c>
      <x:c r="AA1896" t="str">
        <x:v>Not applicable</x:v>
      </x:c>
      <x:c r="AB1896" t="str">
        <x:v>Not applicable</x:v>
      </x:c>
      <x:c r="AC1896" t="str">
        <x:v>Not applicable</x:v>
      </x:c>
      <x:c r="AD1896" t="str">
        <x:v>Not applicable</x:v>
      </x:c>
      <x:c r="AE1896" t="str">
        <x:v>Not applicable</x:v>
      </x:c>
      <x:c r="AF1896" t="str">
        <x:v>Not applicable</x:v>
      </x:c>
      <x:c r="AG1896" t="str">
        <x:v>Not applicable</x:v>
      </x:c>
    </x:row>
    <x:row r="1897">
      <x:c r="A1897" t="str">
        <x:v>V001894</x:v>
      </x:c>
      <x:c r="B1897" t="str">
        <x:v>M045</x:v>
      </x:c>
      <x:c r="C1897" t="str">
        <x:v>G045-03</x:v>
      </x:c>
      <x:c r="D1897" t="str">
        <x:v>Tensile break strength</x:v>
      </x:c>
      <x:c r="E1897" t="str">
        <x:v>32.3 MPa</x:v>
      </x:c>
      <x:c r="F1897" t="str">
        <x:v>MPa</x:v>
      </x:c>
      <x:c r="G1897" t="n">
        <x:v>32.3</x:v>
      </x:c>
      <x:c r="H1897" t="str">
        <x:v>Not applicable</x:v>
      </x:c>
      <x:c r="I1897" t="str">
        <x:v>Not applicable</x:v>
      </x:c>
      <x:c r="J1897" t="str">
        <x:v>=</x:v>
      </x:c>
      <x:c r="K1897" t="n">
        <x:v>1</x:v>
      </x:c>
      <x:c r="L1897" t="n">
        <x:v>32.3</x:v>
      </x:c>
      <x:c r="M1897" t="str">
        <x:v>Not applicable</x:v>
      </x:c>
      <x:c r="N1897" t="str">
        <x:v>Not applicable</x:v>
      </x:c>
      <x:c r="O1897" t="str">
        <x:v>MPa</x:v>
      </x:c>
      <x:c r="P1897" t="str">
        <x:v>Published value</x:v>
      </x:c>
      <x:c r="Q1897" t="str">
        <x:v>Not published (do not assume printed)</x:v>
      </x:c>
      <x:c r="R1897" t="str">
        <x:v>Not published</x:v>
      </x:c>
      <x:c r="S1897" t="str">
        <x:v>Not published</x:v>
      </x:c>
      <x:c r="T1897" t="str">
        <x:v>Not published</x:v>
      </x:c>
      <x:c r="U1897" t="str">
        <x:v>Not published</x:v>
      </x:c>
      <x:c r="V1897" t="str">
        <x:v>ISO 37/2/500</x:v>
      </x:c>
      <x:c r="W1897" t="str">
        <x:v>Not applicable</x:v>
      </x:c>
      <x:c r="X1897" t="str">
        <x:v>Airtech Europe TDS; properties are indicative and production-condition dependent</x:v>
      </x:c>
      <x:c r="Y1897" t="str">
        <x:v>R-KIMYA-PEBA-S-TDS</x:v>
      </x:c>
      <x:c r="Z1897" t="str">
        <x:v>Mechanical data: Tensile break strength</x:v>
      </x:c>
      <x:c r="AA1897" t="str">
        <x:v>Not applicable</x:v>
      </x:c>
      <x:c r="AB1897" t="str">
        <x:v>Not applicable</x:v>
      </x:c>
      <x:c r="AC1897" t="str">
        <x:v>Not applicable</x:v>
      </x:c>
      <x:c r="AD1897" t="str">
        <x:v>Not applicable</x:v>
      </x:c>
      <x:c r="AE1897" t="str">
        <x:v>Not applicable</x:v>
      </x:c>
      <x:c r="AF1897" t="str">
        <x:v>Not applicable</x:v>
      </x:c>
      <x:c r="AG1897" t="str">
        <x:v>Not applicable</x:v>
      </x:c>
    </x:row>
    <x:row r="1898">
      <x:c r="A1898" t="str">
        <x:v>V001895</x:v>
      </x:c>
      <x:c r="B1898" t="str">
        <x:v>M045</x:v>
      </x:c>
      <x:c r="C1898" t="str">
        <x:v>G045-03</x:v>
      </x:c>
      <x:c r="D1898" t="str">
        <x:v>Elongation at break</x:v>
      </x:c>
      <x:c r="E1898" t="str">
        <x:v>&gt;550%</x:v>
      </x:c>
      <x:c r="F1898" t="str">
        <x:v>%</x:v>
      </x:c>
      <x:c r="G1898" t="n">
        <x:v>550</x:v>
      </x:c>
      <x:c r="H1898" t="str">
        <x:v>Not applicable</x:v>
      </x:c>
      <x:c r="I1898" t="str">
        <x:v>Not applicable</x:v>
      </x:c>
      <x:c r="J1898" t="str">
        <x:v>&gt;</x:v>
      </x:c>
      <x:c r="K1898" t="n">
        <x:v>1</x:v>
      </x:c>
      <x:c r="L1898" t="n">
        <x:v>550</x:v>
      </x:c>
      <x:c r="M1898" t="str">
        <x:v>Not applicable</x:v>
      </x:c>
      <x:c r="N1898" t="str">
        <x:v>Not applicable</x:v>
      </x:c>
      <x:c r="O1898" t="str">
        <x:v>%</x:v>
      </x:c>
      <x:c r="P1898" t="str">
        <x:v>Published value</x:v>
      </x:c>
      <x:c r="Q1898" t="str">
        <x:v>Not published (do not assume printed)</x:v>
      </x:c>
      <x:c r="R1898" t="str">
        <x:v>Not published</x:v>
      </x:c>
      <x:c r="S1898" t="str">
        <x:v>Not published</x:v>
      </x:c>
      <x:c r="T1898" t="str">
        <x:v>Not published</x:v>
      </x:c>
      <x:c r="U1898" t="str">
        <x:v>Not published</x:v>
      </x:c>
      <x:c r="V1898" t="str">
        <x:v>ISO 37/2/500</x:v>
      </x:c>
      <x:c r="W1898" t="str">
        <x:v>Not applicable</x:v>
      </x:c>
      <x:c r="X1898" t="str">
        <x:v>Airtech Europe TDS; properties are indicative and production-condition dependent</x:v>
      </x:c>
      <x:c r="Y1898" t="str">
        <x:v>R-KIMYA-PEBA-S-TDS</x:v>
      </x:c>
      <x:c r="Z1898" t="str">
        <x:v>Mechanical data: Elongation at break</x:v>
      </x:c>
      <x:c r="AA1898" t="str">
        <x:v>Not applicable</x:v>
      </x:c>
      <x:c r="AB1898" t="str">
        <x:v>Not applicable</x:v>
      </x:c>
      <x:c r="AC1898" t="str">
        <x:v>Not applicable</x:v>
      </x:c>
      <x:c r="AD1898" t="str">
        <x:v>Not applicable</x:v>
      </x:c>
      <x:c r="AE1898" t="str">
        <x:v>Not applicable</x:v>
      </x:c>
      <x:c r="AF1898" t="str">
        <x:v>Not applicable</x:v>
      </x:c>
      <x:c r="AG1898" t="str">
        <x:v>Not applicable</x:v>
      </x:c>
    </x:row>
    <x:row r="1899">
      <x:c r="A1899" t="str">
        <x:v>V001896</x:v>
      </x:c>
      <x:c r="B1899" t="str">
        <x:v>M045</x:v>
      </x:c>
      <x:c r="C1899" t="str">
        <x:v>G045-03</x:v>
      </x:c>
      <x:c r="D1899" t="str">
        <x:v>Flexural modulus</x:v>
      </x:c>
      <x:c r="E1899" t="str">
        <x:v>70 MPa</x:v>
      </x:c>
      <x:c r="F1899" t="str">
        <x:v>MPa</x:v>
      </x:c>
      <x:c r="G1899" t="n">
        <x:v>70</x:v>
      </x:c>
      <x:c r="H1899" t="str">
        <x:v>Not applicable</x:v>
      </x:c>
      <x:c r="I1899" t="str">
        <x:v>Not applicable</x:v>
      </x:c>
      <x:c r="J1899" t="str">
        <x:v>=</x:v>
      </x:c>
      <x:c r="K1899" t="n">
        <x:v>0.001</x:v>
      </x:c>
      <x:c r="L1899" t="n">
        <x:v>0.07</x:v>
      </x:c>
      <x:c r="M1899" t="str">
        <x:v>Not applicable</x:v>
      </x:c>
      <x:c r="N1899" t="str">
        <x:v>Not applicable</x:v>
      </x:c>
      <x:c r="O1899" t="str">
        <x:v>GPa</x:v>
      </x:c>
      <x:c r="P1899" t="str">
        <x:v>Published value</x:v>
      </x:c>
      <x:c r="Q1899" t="str">
        <x:v>Not published (do not assume printed)</x:v>
      </x:c>
      <x:c r="R1899" t="str">
        <x:v>Not published</x:v>
      </x:c>
      <x:c r="S1899" t="str">
        <x:v>Not published</x:v>
      </x:c>
      <x:c r="T1899" t="str">
        <x:v>Not published</x:v>
      </x:c>
      <x:c r="U1899" t="str">
        <x:v>Not published</x:v>
      </x:c>
      <x:c r="V1899" t="str">
        <x:v>ISO 178</x:v>
      </x:c>
      <x:c r="W1899" t="str">
        <x:v>Not applicable</x:v>
      </x:c>
      <x:c r="X1899" t="str">
        <x:v>Airtech Europe TDS; properties are indicative and production-condition dependent</x:v>
      </x:c>
      <x:c r="Y1899" t="str">
        <x:v>R-KIMYA-PEBA-S-TDS</x:v>
      </x:c>
      <x:c r="Z1899" t="str">
        <x:v>Mechanical data: Flexural modulus</x:v>
      </x:c>
      <x:c r="AA1899" t="str">
        <x:v>Not applicable</x:v>
      </x:c>
      <x:c r="AB1899" t="str">
        <x:v>Not applicable</x:v>
      </x:c>
      <x:c r="AC1899" t="str">
        <x:v>Not applicable</x:v>
      </x:c>
      <x:c r="AD1899" t="str">
        <x:v>Not applicable</x:v>
      </x:c>
      <x:c r="AE1899" t="str">
        <x:v>Not applicable</x:v>
      </x:c>
      <x:c r="AF1899" t="str">
        <x:v>Not applicable</x:v>
      </x:c>
      <x:c r="AG1899" t="str">
        <x:v>Not applicable</x:v>
      </x:c>
    </x:row>
    <x:row r="1900">
      <x:c r="A1900" t="str">
        <x:v>V001897</x:v>
      </x:c>
      <x:c r="B1900" t="str">
        <x:v>M045</x:v>
      </x:c>
      <x:c r="C1900" t="str">
        <x:v>G045-03</x:v>
      </x:c>
      <x:c r="D1900" t="str">
        <x:v>Flexural stress at conventional deflection</x:v>
      </x:c>
      <x:c r="E1900" t="str">
        <x:v>2.4 MPa</x:v>
      </x:c>
      <x:c r="F1900" t="str">
        <x:v>MPa</x:v>
      </x:c>
      <x:c r="G1900" t="n">
        <x:v>2.4</x:v>
      </x:c>
      <x:c r="H1900" t="str">
        <x:v>Not applicable</x:v>
      </x:c>
      <x:c r="I1900" t="str">
        <x:v>Not applicable</x:v>
      </x:c>
      <x:c r="J1900" t="str">
        <x:v>=</x:v>
      </x:c>
      <x:c r="K1900" t="n">
        <x:v>1</x:v>
      </x:c>
      <x:c r="L1900" t="n">
        <x:v>2.4</x:v>
      </x:c>
      <x:c r="M1900" t="str">
        <x:v>Not applicable</x:v>
      </x:c>
      <x:c r="N1900" t="str">
        <x:v>Not applicable</x:v>
      </x:c>
      <x:c r="O1900" t="str">
        <x:v>MPa</x:v>
      </x:c>
      <x:c r="P1900" t="str">
        <x:v>Published value</x:v>
      </x:c>
      <x:c r="Q1900" t="str">
        <x:v>Not published (do not assume printed)</x:v>
      </x:c>
      <x:c r="R1900" t="str">
        <x:v>Not published</x:v>
      </x:c>
      <x:c r="S1900" t="str">
        <x:v>Not published</x:v>
      </x:c>
      <x:c r="T1900" t="str">
        <x:v>Not published</x:v>
      </x:c>
      <x:c r="U1900" t="str">
        <x:v>Not published</x:v>
      </x:c>
      <x:c r="V1900" t="str">
        <x:v>ISO 178; 3.5% strain</x:v>
      </x:c>
      <x:c r="W1900" t="str">
        <x:v>Not applicable</x:v>
      </x:c>
      <x:c r="X1900" t="str">
        <x:v>Airtech Europe TDS; properties are indicative and production-condition dependent</x:v>
      </x:c>
      <x:c r="Y1900" t="str">
        <x:v>R-KIMYA-PEBA-S-TDS</x:v>
      </x:c>
      <x:c r="Z1900" t="str">
        <x:v>Mechanical data: Flexural stress at conventional deflection</x:v>
      </x:c>
      <x:c r="AA1900" t="str">
        <x:v>Not applicable</x:v>
      </x:c>
      <x:c r="AB1900" t="str">
        <x:v>Not applicable</x:v>
      </x:c>
      <x:c r="AC1900" t="str">
        <x:v>Not applicable</x:v>
      </x:c>
      <x:c r="AD1900" t="str">
        <x:v>Not applicable</x:v>
      </x:c>
      <x:c r="AE1900" t="str">
        <x:v>Not applicable</x:v>
      </x:c>
      <x:c r="AF1900" t="str">
        <x:v>Not applicable</x:v>
      </x:c>
      <x:c r="AG1900" t="str">
        <x:v>Not applicable</x:v>
      </x:c>
    </x:row>
    <x:row r="1901">
      <x:c r="A1901" t="str">
        <x:v>V001898</x:v>
      </x:c>
      <x:c r="B1901" t="str">
        <x:v>M045</x:v>
      </x:c>
      <x:c r="C1901" t="str">
        <x:v>G045-03</x:v>
      </x:c>
      <x:c r="D1901" t="str">
        <x:v>Hardness</x:v>
      </x:c>
      <x:c r="E1901" t="str">
        <x:v>93 Shore A</x:v>
      </x:c>
      <x:c r="F1901" t="str">
        <x:v>Shore A</x:v>
      </x:c>
      <x:c r="G1901" t="n">
        <x:v>93</x:v>
      </x:c>
      <x:c r="H1901" t="str">
        <x:v>Not applicable</x:v>
      </x:c>
      <x:c r="I1901" t="str">
        <x:v>Not applicable</x:v>
      </x:c>
      <x:c r="J1901" t="str">
        <x:v>=</x:v>
      </x:c>
      <x:c r="K1901" t="n">
        <x:v>1</x:v>
      </x:c>
      <x:c r="L1901" t="n">
        <x:v>93</x:v>
      </x:c>
      <x:c r="M1901" t="str">
        <x:v>Not applicable</x:v>
      </x:c>
      <x:c r="N1901" t="str">
        <x:v>Not applicable</x:v>
      </x:c>
      <x:c r="O1901" t="str">
        <x:v>Shore A</x:v>
      </x:c>
      <x:c r="P1901" t="str">
        <x:v>Published value</x:v>
      </x:c>
      <x:c r="Q1901" t="str">
        <x:v>Not published (do not assume printed)</x:v>
      </x:c>
      <x:c r="R1901" t="str">
        <x:v>Not published</x:v>
      </x:c>
      <x:c r="S1901" t="str">
        <x:v>Not published</x:v>
      </x:c>
      <x:c r="T1901" t="str">
        <x:v>Not published</x:v>
      </x:c>
      <x:c r="U1901" t="str">
        <x:v>Not published</x:v>
      </x:c>
      <x:c r="V1901" t="str">
        <x:v>ISO 868</x:v>
      </x:c>
      <x:c r="W1901" t="str">
        <x:v>Not applicable</x:v>
      </x:c>
      <x:c r="X1901" t="str">
        <x:v>Airtech Europe TDS; properties are indicative and production-condition dependent</x:v>
      </x:c>
      <x:c r="Y1901" t="str">
        <x:v>R-KIMYA-PEBA-S-TDS</x:v>
      </x:c>
      <x:c r="Z1901" t="str">
        <x:v>Mechanical data: Hardness</x:v>
      </x:c>
      <x:c r="AA1901" t="str">
        <x:v>Not applicable</x:v>
      </x:c>
      <x:c r="AB1901" t="str">
        <x:v>Not applicable</x:v>
      </x:c>
      <x:c r="AC1901" t="str">
        <x:v>Not applicable</x:v>
      </x:c>
      <x:c r="AD1901" t="str">
        <x:v>Not applicable</x:v>
      </x:c>
      <x:c r="AE1901" t="str">
        <x:v>Not applicable</x:v>
      </x:c>
      <x:c r="AF1901" t="str">
        <x:v>Not applicable</x:v>
      </x:c>
      <x:c r="AG1901" t="str">
        <x:v>Not applicable</x:v>
      </x:c>
    </x:row>
    <x:row r="1902">
      <x:c r="A1902" t="str">
        <x:v>V001899</x:v>
      </x:c>
      <x:c r="B1902" t="str">
        <x:v>M045</x:v>
      </x:c>
      <x:c r="C1902" t="str">
        <x:v>G045-03</x:v>
      </x:c>
      <x:c r="D1902" t="str">
        <x:v>Charpy strength</x:v>
      </x:c>
      <x:c r="E1902" t="str">
        <x:v>No break</x:v>
      </x:c>
      <x:c r="F1902" t="str">
        <x:v>kJ/m²</x:v>
      </x:c>
      <x:c r="G1902" t="str">
        <x:v>Not published</x:v>
      </x:c>
      <x:c r="H1902" t="str">
        <x:v>Not applicable</x:v>
      </x:c>
      <x:c r="I1902" t="str">
        <x:v>Not applicable</x:v>
      </x:c>
      <x:c r="J1902" t="str">
        <x:v>Not applicable</x:v>
      </x:c>
      <x:c r="K1902" t="n">
        <x:v>1</x:v>
      </x:c>
      <x:c r="L1902" t="str">
        <x:v>Not published</x:v>
      </x:c>
      <x:c r="M1902" t="str">
        <x:v>Not applicable</x:v>
      </x:c>
      <x:c r="N1902" t="str">
        <x:v>Not applicable</x:v>
      </x:c>
      <x:c r="O1902" t="str">
        <x:v>kJ/m²</x:v>
      </x:c>
      <x:c r="P1902" t="str">
        <x:v>Published qualitative result</x:v>
      </x:c>
      <x:c r="Q1902" t="str">
        <x:v>Not published (do not assume printed)</x:v>
      </x:c>
      <x:c r="R1902" t="str">
        <x:v>Not published</x:v>
      </x:c>
      <x:c r="S1902" t="str">
        <x:v>Not published</x:v>
      </x:c>
      <x:c r="T1902" t="str">
        <x:v>Not published</x:v>
      </x:c>
      <x:c r="U1902" t="str">
        <x:v>Not published</x:v>
      </x:c>
      <x:c r="V1902" t="str">
        <x:v>ISO 179-1/1eA</x:v>
      </x:c>
      <x:c r="W1902" t="str">
        <x:v>Notched</x:v>
      </x:c>
      <x:c r="X1902" t="str">
        <x:v>Airtech Europe TDS; properties are indicative and production-condition dependent</x:v>
      </x:c>
      <x:c r="Y1902" t="str">
        <x:v>R-KIMYA-PEBA-S-TDS</x:v>
      </x:c>
      <x:c r="Z1902" t="str">
        <x:v>Mechanical data: Charpy Impact Resistance</x:v>
      </x:c>
      <x:c r="AA1902" t="str">
        <x:v>Not applicable</x:v>
      </x:c>
      <x:c r="AB1902" t="str">
        <x:v>Not applicable</x:v>
      </x:c>
      <x:c r="AC1902" t="str">
        <x:v>Not applicable</x:v>
      </x:c>
      <x:c r="AD1902" t="str">
        <x:v>Not applicable</x:v>
      </x:c>
      <x:c r="AE1902" t="str">
        <x:v>Not applicable</x:v>
      </x:c>
      <x:c r="AF1902" t="str">
        <x:v>Not applicable</x:v>
      </x:c>
      <x:c r="AG1902" t="str">
        <x:v>Not applicable</x:v>
      </x:c>
    </x:row>
    <x:row r="1903">
      <x:c r="A1903" t="str">
        <x:v>V001900</x:v>
      </x:c>
      <x:c r="B1903" t="str">
        <x:v>M004</x:v>
      </x:c>
      <x:c r="C1903" t="str">
        <x:v>G004-01</x:v>
      </x:c>
      <x:c r="D1903" t="str">
        <x:v>Density</x:v>
      </x:c>
      <x:c r="E1903" t="str">
        <x:v>1.23 g/cm3 (unit to be confirmed)</x:v>
      </x:c>
      <x:c r="F1903" t="str">
        <x:v>g/cm³</x:v>
      </x:c>
      <x:c r="G1903" t="str">
        <x:v>1.23</x:v>
      </x:c>
      <x:c r="H1903" t="str">
        <x:v>Not applicable</x:v>
      </x:c>
      <x:c r="I1903" t="str">
        <x:v>Not applicable</x:v>
      </x:c>
      <x:c r="J1903" t="str">
        <x:v>=</x:v>
      </x:c>
      <x:c r="K1903" t="str">
        <x:v>1000</x:v>
      </x:c>
      <x:c r="L1903" t="str">
        <x:v>1230</x:v>
      </x:c>
      <x:c r="M1903" t="str">
        <x:v>Not applicable</x:v>
      </x:c>
      <x:c r="N1903" t="str">
        <x:v>Not applicable</x:v>
      </x:c>
      <x:c r="O1903" t="str">
        <x:v>kg/m³</x:v>
      </x:c>
      <x:c r="P1903" t="str">
        <x:v>Published value</x:v>
      </x:c>
      <x:c r="Q1903" t="str">
        <x:v>Not published (density specimen form not explicitly established)</x:v>
      </x:c>
      <x:c r="R1903" t="str">
        <x:v>Not applicable</x:v>
      </x:c>
      <x:c r="S1903" t="str">
        <x:v>Not published</x:v>
      </x:c>
      <x:c r="T1903" t="str">
        <x:v>Not published</x:v>
      </x:c>
      <x:c r="U1903" t="str">
        <x:v>Not published</x:v>
      </x:c>
      <x:c r="V1903" t="str">
        <x:v>Not published</x:v>
      </x:c>
      <x:c r="W1903" t="str">
        <x:v>Not applicable</x:v>
      </x:c>
      <x:c r="X1903" t="str">
        <x:v>Not published</x:v>
      </x:c>
      <x:c r="Y1903" t="str">
        <x:v>R-ESUN-PLA-LITE-PAGE</x:v>
      </x:c>
      <x:c r="Z1903" t="str">
        <x:v>Physical Performance: Density</x:v>
      </x:c>
      <x:c r="AA1903" t="str">
        <x:v>The page labels the unit "g/cm3 (unit to be confirmed)". 1.23 g/cm³ is consistent with PLA and is recorded as g/cm³.</x:v>
      </x:c>
      <x:c r="AB1903" t="str">
        <x:v>Not applicable</x:v>
      </x:c>
      <x:c r="AC1903" t="str">
        <x:v>Not applicable</x:v>
      </x:c>
      <x:c r="AD1903" t="str">
        <x:v>Not applicable</x:v>
      </x:c>
      <x:c r="AE1903" t="str">
        <x:v>Not applicable</x:v>
      </x:c>
      <x:c r="AF1903" t="str">
        <x:v>Not applicable</x:v>
      </x:c>
      <x:c r="AG1903" t="str">
        <x:v>Not applicable</x:v>
      </x:c>
    </x:row>
    <x:row r="1904">
      <x:c r="A1904" t="str">
        <x:v>V001901</x:v>
      </x:c>
      <x:c r="B1904" t="str">
        <x:v>M004</x:v>
      </x:c>
      <x:c r="C1904" t="str">
        <x:v>G004-01</x:v>
      </x:c>
      <x:c r="D1904" t="str">
        <x:v>Melt mass-flow rate</x:v>
      </x:c>
      <x:c r="E1904" t="str">
        <x:v>5.7 g/10 min</x:v>
      </x:c>
      <x:c r="F1904" t="str">
        <x:v>g/10 min</x:v>
      </x:c>
      <x:c r="G1904" t="str">
        <x:v>5.7</x:v>
      </x:c>
      <x:c r="H1904" t="str">
        <x:v>Not applicable</x:v>
      </x:c>
      <x:c r="I1904" t="str">
        <x:v>Not applicable</x:v>
      </x:c>
      <x:c r="J1904" t="str">
        <x:v>=</x:v>
      </x:c>
      <x:c r="K1904" t="str">
        <x:v>1</x:v>
      </x:c>
      <x:c r="L1904" t="str">
        <x:v>5.7</x:v>
      </x:c>
      <x:c r="M1904" t="str">
        <x:v>Not applicable</x:v>
      </x:c>
      <x:c r="N1904" t="str">
        <x:v>Not applicable</x:v>
      </x:c>
      <x:c r="O1904" t="str">
        <x:v>g/10 min</x:v>
      </x:c>
      <x:c r="P1904" t="str">
        <x:v>Published value</x:v>
      </x:c>
      <x:c r="Q1904" t="str">
        <x:v>Not published (do not assume printed)</x:v>
      </x:c>
      <x:c r="R1904" t="str">
        <x:v>Not applicable</x:v>
      </x:c>
      <x:c r="S1904" t="str">
        <x:v>Not published</x:v>
      </x:c>
      <x:c r="T1904" t="str">
        <x:v>Not published</x:v>
      </x:c>
      <x:c r="U1904" t="str">
        <x:v>Not published</x:v>
      </x:c>
      <x:c r="V1904" t="str">
        <x:v>190 °C, 2.16 kg</x:v>
      </x:c>
      <x:c r="W1904" t="str">
        <x:v>Not applicable</x:v>
      </x:c>
      <x:c r="X1904" t="str">
        <x:v>Not published</x:v>
      </x:c>
      <x:c r="Y1904" t="str">
        <x:v>R-ESUN-PLA-LITE-PAGE</x:v>
      </x:c>
      <x:c r="Z1904" t="str">
        <x:v>Physical Performance: Melt Flow Index</x:v>
      </x:c>
      <x:c r="AA1904" t="str">
        <x:v>Not applicable</x:v>
      </x:c>
      <x:c r="AB1904" t="str">
        <x:v>Not applicable</x:v>
      </x:c>
      <x:c r="AC1904" t="str">
        <x:v>Not applicable</x:v>
      </x:c>
      <x:c r="AD1904" t="str">
        <x:v>Not applicable</x:v>
      </x:c>
      <x:c r="AE1904" t="str">
        <x:v>Not applicable</x:v>
      </x:c>
      <x:c r="AF1904" t="str">
        <x:v>Not applicable</x:v>
      </x:c>
      <x:c r="AG1904" t="str">
        <x:v>Not applicable</x:v>
      </x:c>
    </x:row>
    <x:row r="1905">
      <x:c r="A1905" t="str">
        <x:v>V001902</x:v>
      </x:c>
      <x:c r="B1905" t="str">
        <x:v>M004</x:v>
      </x:c>
      <x:c r="C1905" t="str">
        <x:v>G004-01</x:v>
      </x:c>
      <x:c r="D1905" t="str">
        <x:v>HDT</x:v>
      </x:c>
      <x:c r="E1905" t="str">
        <x:v>53 °C</x:v>
      </x:c>
      <x:c r="F1905" t="str">
        <x:v>°C</x:v>
      </x:c>
      <x:c r="G1905" t="str">
        <x:v>53</x:v>
      </x:c>
      <x:c r="H1905" t="str">
        <x:v>Not applicable</x:v>
      </x:c>
      <x:c r="I1905" t="str">
        <x:v>Not applicable</x:v>
      </x:c>
      <x:c r="J1905" t="str">
        <x:v>=</x:v>
      </x:c>
      <x:c r="K1905" t="str">
        <x:v>1</x:v>
      </x:c>
      <x:c r="L1905" t="str">
        <x:v>53</x:v>
      </x:c>
      <x:c r="M1905" t="str">
        <x:v>Not applicable</x:v>
      </x:c>
      <x:c r="N1905" t="str">
        <x:v>Not applicable</x:v>
      </x:c>
      <x:c r="O1905" t="str">
        <x:v>°C</x:v>
      </x:c>
      <x:c r="P1905" t="str">
        <x:v>Published value</x:v>
      </x:c>
      <x:c r="Q1905" t="str">
        <x:v>Not published (do not assume printed)</x:v>
      </x:c>
      <x:c r="R1905" t="str">
        <x:v>Not applicable</x:v>
      </x:c>
      <x:c r="S1905" t="str">
        <x:v>Not published</x:v>
      </x:c>
      <x:c r="T1905" t="str">
        <x:v>Not published</x:v>
      </x:c>
      <x:c r="U1905" t="str">
        <x:v>Not published</x:v>
      </x:c>
      <x:c r="V1905" t="str">
        <x:v>Not published (standard and load not stated)</x:v>
      </x:c>
      <x:c r="W1905" t="str">
        <x:v>Not applicable</x:v>
      </x:c>
      <x:c r="X1905" t="str">
        <x:v>Not published</x:v>
      </x:c>
      <x:c r="Y1905" t="str">
        <x:v>R-ESUN-PLA-LITE-PAGE</x:v>
      </x:c>
      <x:c r="Z1905" t="str">
        <x:v>Physical Performance: Heat Distortion Temperature</x:v>
      </x:c>
      <x:c r="AA1905" t="str">
        <x:v>Not applicable</x:v>
      </x:c>
      <x:c r="AB1905" t="str">
        <x:v>Not applicable</x:v>
      </x:c>
      <x:c r="AC1905" t="str">
        <x:v>Not applicable</x:v>
      </x:c>
      <x:c r="AD1905" t="str">
        <x:v>Not applicable</x:v>
      </x:c>
      <x:c r="AE1905" t="str">
        <x:v>Not applicable</x:v>
      </x:c>
      <x:c r="AF1905" t="str">
        <x:v>Not applicable</x:v>
      </x:c>
      <x:c r="AG1905" t="str">
        <x:v>Not applicable</x:v>
      </x:c>
    </x:row>
    <x:row r="1906">
      <x:c r="A1906" t="str">
        <x:v>V001903</x:v>
      </x:c>
      <x:c r="B1906" t="str">
        <x:v>M004</x:v>
      </x:c>
      <x:c r="C1906" t="str">
        <x:v>G004-01</x:v>
      </x:c>
      <x:c r="D1906" t="str">
        <x:v>Tensile strength (endpoint unspecified)</x:v>
      </x:c>
      <x:c r="E1906" t="str">
        <x:v>53.05 MPa</x:v>
      </x:c>
      <x:c r="F1906" t="str">
        <x:v>MPa</x:v>
      </x:c>
      <x:c r="G1906" t="str">
        <x:v>53.05</x:v>
      </x:c>
      <x:c r="H1906" t="str">
        <x:v>Not applicable</x:v>
      </x:c>
      <x:c r="I1906" t="str">
        <x:v>Not applicable</x:v>
      </x:c>
      <x:c r="J1906" t="str">
        <x:v>=</x:v>
      </x:c>
      <x:c r="K1906" t="str">
        <x:v>1</x:v>
      </x:c>
      <x:c r="L1906" t="str">
        <x:v>53.05</x:v>
      </x:c>
      <x:c r="M1906" t="str">
        <x:v>Not applicable</x:v>
      </x:c>
      <x:c r="N1906" t="str">
        <x:v>Not applicable</x:v>
      </x:c>
      <x:c r="O1906" t="str">
        <x:v>MPa</x:v>
      </x:c>
      <x:c r="P1906" t="str">
        <x:v>Published value</x:v>
      </x:c>
      <x:c r="Q1906" t="str">
        <x:v>Not published (do not assume printed)</x:v>
      </x:c>
      <x:c r="R1906" t="str">
        <x:v>XY</x:v>
      </x:c>
      <x:c r="S1906" t="str">
        <x:v>Not published</x:v>
      </x:c>
      <x:c r="T1906" t="str">
        <x:v>Not published</x:v>
      </x:c>
      <x:c r="U1906" t="str">
        <x:v>Not published</x:v>
      </x:c>
      <x:c r="V1906" t="str">
        <x:v>Not published</x:v>
      </x:c>
      <x:c r="W1906" t="str">
        <x:v>Not applicable</x:v>
      </x:c>
      <x:c r="X1906" t="str">
        <x:v>Not published</x:v>
      </x:c>
      <x:c r="Y1906" t="str">
        <x:v>R-ESUN-PLA-LITE-PAGE</x:v>
      </x:c>
      <x:c r="Z1906" t="str">
        <x:v>Mechanical Properties: Tensile Strength (XY)</x:v>
      </x:c>
      <x:c r="AA1906" t="str">
        <x:v>Not applicable</x:v>
      </x:c>
      <x:c r="AB1906" t="str">
        <x:v>Not applicable</x:v>
      </x:c>
      <x:c r="AC1906" t="str">
        <x:v>Not applicable</x:v>
      </x:c>
      <x:c r="AD1906" t="str">
        <x:v>Not applicable</x:v>
      </x:c>
      <x:c r="AE1906" t="str">
        <x:v>Not applicable</x:v>
      </x:c>
      <x:c r="AF1906" t="str">
        <x:v>Not applicable</x:v>
      </x:c>
      <x:c r="AG1906" t="str">
        <x:v>Not applicable</x:v>
      </x:c>
    </x:row>
    <x:row r="1907">
      <x:c r="A1907" t="str">
        <x:v>V001904</x:v>
      </x:c>
      <x:c r="B1907" t="str">
        <x:v>M004</x:v>
      </x:c>
      <x:c r="C1907" t="str">
        <x:v>G004-01</x:v>
      </x:c>
      <x:c r="D1907" t="str">
        <x:v>Tensile strength (endpoint unspecified)</x:v>
      </x:c>
      <x:c r="E1907" t="str">
        <x:v>26.88 MPa</x:v>
      </x:c>
      <x:c r="F1907" t="str">
        <x:v>MPa</x:v>
      </x:c>
      <x:c r="G1907" t="str">
        <x:v>26.88</x:v>
      </x:c>
      <x:c r="H1907" t="str">
        <x:v>Not applicable</x:v>
      </x:c>
      <x:c r="I1907" t="str">
        <x:v>Not applicable</x:v>
      </x:c>
      <x:c r="J1907" t="str">
        <x:v>=</x:v>
      </x:c>
      <x:c r="K1907" t="str">
        <x:v>1</x:v>
      </x:c>
      <x:c r="L1907" t="str">
        <x:v>26.88</x:v>
      </x:c>
      <x:c r="M1907" t="str">
        <x:v>Not applicable</x:v>
      </x:c>
      <x:c r="N1907" t="str">
        <x:v>Not applicable</x:v>
      </x:c>
      <x:c r="O1907" t="str">
        <x:v>MPa</x:v>
      </x:c>
      <x:c r="P1907" t="str">
        <x:v>Published value</x:v>
      </x:c>
      <x:c r="Q1907" t="str">
        <x:v>Not published (do not assume printed)</x:v>
      </x:c>
      <x:c r="R1907" t="str">
        <x:v>Z</x:v>
      </x:c>
      <x:c r="S1907" t="str">
        <x:v>Not published</x:v>
      </x:c>
      <x:c r="T1907" t="str">
        <x:v>Not published</x:v>
      </x:c>
      <x:c r="U1907" t="str">
        <x:v>Not published</x:v>
      </x:c>
      <x:c r="V1907" t="str">
        <x:v>Not published</x:v>
      </x:c>
      <x:c r="W1907" t="str">
        <x:v>Not applicable</x:v>
      </x:c>
      <x:c r="X1907" t="str">
        <x:v>Not published</x:v>
      </x:c>
      <x:c r="Y1907" t="str">
        <x:v>R-ESUN-PLA-LITE-PAGE</x:v>
      </x:c>
      <x:c r="Z1907" t="str">
        <x:v>Mechanical Properties: Tensile Strength (Z)</x:v>
      </x:c>
      <x:c r="AA1907" t="str">
        <x:v>Not applicable</x:v>
      </x:c>
      <x:c r="AB1907" t="str">
        <x:v>Not applicable</x:v>
      </x:c>
      <x:c r="AC1907" t="str">
        <x:v>Not applicable</x:v>
      </x:c>
      <x:c r="AD1907" t="str">
        <x:v>Not applicable</x:v>
      </x:c>
      <x:c r="AE1907" t="str">
        <x:v>Not applicable</x:v>
      </x:c>
      <x:c r="AF1907" t="str">
        <x:v>Not applicable</x:v>
      </x:c>
      <x:c r="AG1907" t="str">
        <x:v>Not applicable</x:v>
      </x:c>
    </x:row>
    <x:row r="1908">
      <x:c r="A1908" t="str">
        <x:v>V001905</x:v>
      </x:c>
      <x:c r="B1908" t="str">
        <x:v>M004</x:v>
      </x:c>
      <x:c r="C1908" t="str">
        <x:v>G004-01</x:v>
      </x:c>
      <x:c r="D1908" t="str">
        <x:v>Elongation at break</x:v>
      </x:c>
      <x:c r="E1908" t="str">
        <x:v>3.89 %</x:v>
      </x:c>
      <x:c r="F1908" t="str">
        <x:v>%</x:v>
      </x:c>
      <x:c r="G1908" t="str">
        <x:v>3.89</x:v>
      </x:c>
      <x:c r="H1908" t="str">
        <x:v>Not applicable</x:v>
      </x:c>
      <x:c r="I1908" t="str">
        <x:v>Not applicable</x:v>
      </x:c>
      <x:c r="J1908" t="str">
        <x:v>=</x:v>
      </x:c>
      <x:c r="K1908" t="str">
        <x:v>1</x:v>
      </x:c>
      <x:c r="L1908" t="str">
        <x:v>3.89</x:v>
      </x:c>
      <x:c r="M1908" t="str">
        <x:v>Not applicable</x:v>
      </x:c>
      <x:c r="N1908" t="str">
        <x:v>Not applicable</x:v>
      </x:c>
      <x:c r="O1908" t="str">
        <x:v>%</x:v>
      </x:c>
      <x:c r="P1908" t="str">
        <x:v>Published value</x:v>
      </x:c>
      <x:c r="Q1908" t="str">
        <x:v>Not published (do not assume printed)</x:v>
      </x:c>
      <x:c r="R1908" t="str">
        <x:v>XY</x:v>
      </x:c>
      <x:c r="S1908" t="str">
        <x:v>Not published</x:v>
      </x:c>
      <x:c r="T1908" t="str">
        <x:v>Not published</x:v>
      </x:c>
      <x:c r="U1908" t="str">
        <x:v>Not published</x:v>
      </x:c>
      <x:c r="V1908" t="str">
        <x:v>Not published</x:v>
      </x:c>
      <x:c r="W1908" t="str">
        <x:v>Not applicable</x:v>
      </x:c>
      <x:c r="X1908" t="str">
        <x:v>Not published</x:v>
      </x:c>
      <x:c r="Y1908" t="str">
        <x:v>R-ESUN-PLA-LITE-PAGE</x:v>
      </x:c>
      <x:c r="Z1908" t="str">
        <x:v>Mechanical Properties: Elongation at Break (XY)</x:v>
      </x:c>
      <x:c r="AA1908" t="str">
        <x:v>Not applicable</x:v>
      </x:c>
      <x:c r="AB1908" t="str">
        <x:v>Not applicable</x:v>
      </x:c>
      <x:c r="AC1908" t="str">
        <x:v>Not applicable</x:v>
      </x:c>
      <x:c r="AD1908" t="str">
        <x:v>Not applicable</x:v>
      </x:c>
      <x:c r="AE1908" t="str">
        <x:v>Not applicable</x:v>
      </x:c>
      <x:c r="AF1908" t="str">
        <x:v>Not applicable</x:v>
      </x:c>
      <x:c r="AG1908" t="str">
        <x:v>Not applicable</x:v>
      </x:c>
    </x:row>
    <x:row r="1909">
      <x:c r="A1909" t="str">
        <x:v>V001906</x:v>
      </x:c>
      <x:c r="B1909" t="str">
        <x:v>M004</x:v>
      </x:c>
      <x:c r="C1909" t="str">
        <x:v>G004-01</x:v>
      </x:c>
      <x:c r="D1909" t="str">
        <x:v>Elongation at break</x:v>
      </x:c>
      <x:c r="E1909" t="str">
        <x:v>2.39 %</x:v>
      </x:c>
      <x:c r="F1909" t="str">
        <x:v>%</x:v>
      </x:c>
      <x:c r="G1909" t="str">
        <x:v>2.39</x:v>
      </x:c>
      <x:c r="H1909" t="str">
        <x:v>Not applicable</x:v>
      </x:c>
      <x:c r="I1909" t="str">
        <x:v>Not applicable</x:v>
      </x:c>
      <x:c r="J1909" t="str">
        <x:v>=</x:v>
      </x:c>
      <x:c r="K1909" t="str">
        <x:v>1</x:v>
      </x:c>
      <x:c r="L1909" t="str">
        <x:v>2.39</x:v>
      </x:c>
      <x:c r="M1909" t="str">
        <x:v>Not applicable</x:v>
      </x:c>
      <x:c r="N1909" t="str">
        <x:v>Not applicable</x:v>
      </x:c>
      <x:c r="O1909" t="str">
        <x:v>%</x:v>
      </x:c>
      <x:c r="P1909" t="str">
        <x:v>Published value</x:v>
      </x:c>
      <x:c r="Q1909" t="str">
        <x:v>Not published (do not assume printed)</x:v>
      </x:c>
      <x:c r="R1909" t="str">
        <x:v>Z</x:v>
      </x:c>
      <x:c r="S1909" t="str">
        <x:v>Not published</x:v>
      </x:c>
      <x:c r="T1909" t="str">
        <x:v>Not published</x:v>
      </x:c>
      <x:c r="U1909" t="str">
        <x:v>Not published</x:v>
      </x:c>
      <x:c r="V1909" t="str">
        <x:v>Not published</x:v>
      </x:c>
      <x:c r="W1909" t="str">
        <x:v>Not applicable</x:v>
      </x:c>
      <x:c r="X1909" t="str">
        <x:v>Not published</x:v>
      </x:c>
      <x:c r="Y1909" t="str">
        <x:v>R-ESUN-PLA-LITE-PAGE</x:v>
      </x:c>
      <x:c r="Z1909" t="str">
        <x:v>Mechanical Properties: Elongation at Break (Z)</x:v>
      </x:c>
      <x:c r="AA1909" t="str">
        <x:v>Not applicable</x:v>
      </x:c>
      <x:c r="AB1909" t="str">
        <x:v>Not applicable</x:v>
      </x:c>
      <x:c r="AC1909" t="str">
        <x:v>Not applicable</x:v>
      </x:c>
      <x:c r="AD1909" t="str">
        <x:v>Not applicable</x:v>
      </x:c>
      <x:c r="AE1909" t="str">
        <x:v>Not applicable</x:v>
      </x:c>
      <x:c r="AF1909" t="str">
        <x:v>Not applicable</x:v>
      </x:c>
      <x:c r="AG1909" t="str">
        <x:v>Not applicable</x:v>
      </x:c>
    </x:row>
    <x:row r="1910">
      <x:c r="A1910" t="str">
        <x:v>V001907</x:v>
      </x:c>
      <x:c r="B1910" t="str">
        <x:v>M004</x:v>
      </x:c>
      <x:c r="C1910" t="str">
        <x:v>G004-01</x:v>
      </x:c>
      <x:c r="D1910" t="str">
        <x:v>Flexural strength</x:v>
      </x:c>
      <x:c r="E1910" t="str">
        <x:v>90.57 MPa</x:v>
      </x:c>
      <x:c r="F1910" t="str">
        <x:v>MPa</x:v>
      </x:c>
      <x:c r="G1910" t="str">
        <x:v>90.57</x:v>
      </x:c>
      <x:c r="H1910" t="str">
        <x:v>Not applicable</x:v>
      </x:c>
      <x:c r="I1910" t="str">
        <x:v>Not applicable</x:v>
      </x:c>
      <x:c r="J1910" t="str">
        <x:v>=</x:v>
      </x:c>
      <x:c r="K1910" t="str">
        <x:v>1</x:v>
      </x:c>
      <x:c r="L1910" t="str">
        <x:v>90.57</x:v>
      </x:c>
      <x:c r="M1910" t="str">
        <x:v>Not applicable</x:v>
      </x:c>
      <x:c r="N1910" t="str">
        <x:v>Not applicable</x:v>
      </x:c>
      <x:c r="O1910" t="str">
        <x:v>MPa</x:v>
      </x:c>
      <x:c r="P1910" t="str">
        <x:v>Published value</x:v>
      </x:c>
      <x:c r="Q1910" t="str">
        <x:v>Not published (do not assume printed)</x:v>
      </x:c>
      <x:c r="R1910" t="str">
        <x:v>XY</x:v>
      </x:c>
      <x:c r="S1910" t="str">
        <x:v>Not published</x:v>
      </x:c>
      <x:c r="T1910" t="str">
        <x:v>Not published</x:v>
      </x:c>
      <x:c r="U1910" t="str">
        <x:v>Not published</x:v>
      </x:c>
      <x:c r="V1910" t="str">
        <x:v>Not published</x:v>
      </x:c>
      <x:c r="W1910" t="str">
        <x:v>Not applicable</x:v>
      </x:c>
      <x:c r="X1910" t="str">
        <x:v>Not published</x:v>
      </x:c>
      <x:c r="Y1910" t="str">
        <x:v>R-ESUN-PLA-LITE-PAGE</x:v>
      </x:c>
      <x:c r="Z1910" t="str">
        <x:v>Mechanical Properties: Flexural Strength (XY)</x:v>
      </x:c>
      <x:c r="AA1910" t="str">
        <x:v>Not applicable</x:v>
      </x:c>
      <x:c r="AB1910" t="str">
        <x:v>Not applicable</x:v>
      </x:c>
      <x:c r="AC1910" t="str">
        <x:v>Not applicable</x:v>
      </x:c>
      <x:c r="AD1910" t="str">
        <x:v>Not applicable</x:v>
      </x:c>
      <x:c r="AE1910" t="str">
        <x:v>Not applicable</x:v>
      </x:c>
      <x:c r="AF1910" t="str">
        <x:v>Not applicable</x:v>
      </x:c>
      <x:c r="AG1910" t="str">
        <x:v>Not applicable</x:v>
      </x:c>
    </x:row>
    <x:row r="1911">
      <x:c r="A1911" t="str">
        <x:v>V001908</x:v>
      </x:c>
      <x:c r="B1911" t="str">
        <x:v>M004</x:v>
      </x:c>
      <x:c r="C1911" t="str">
        <x:v>G004-01</x:v>
      </x:c>
      <x:c r="D1911" t="str">
        <x:v>Flexural strength</x:v>
      </x:c>
      <x:c r="E1911" t="str">
        <x:v>62.2 MPa</x:v>
      </x:c>
      <x:c r="F1911" t="str">
        <x:v>MPa</x:v>
      </x:c>
      <x:c r="G1911" t="str">
        <x:v>62.2</x:v>
      </x:c>
      <x:c r="H1911" t="str">
        <x:v>Not applicable</x:v>
      </x:c>
      <x:c r="I1911" t="str">
        <x:v>Not applicable</x:v>
      </x:c>
      <x:c r="J1911" t="str">
        <x:v>=</x:v>
      </x:c>
      <x:c r="K1911" t="str">
        <x:v>1</x:v>
      </x:c>
      <x:c r="L1911" t="str">
        <x:v>62.2</x:v>
      </x:c>
      <x:c r="M1911" t="str">
        <x:v>Not applicable</x:v>
      </x:c>
      <x:c r="N1911" t="str">
        <x:v>Not applicable</x:v>
      </x:c>
      <x:c r="O1911" t="str">
        <x:v>MPa</x:v>
      </x:c>
      <x:c r="P1911" t="str">
        <x:v>Published value</x:v>
      </x:c>
      <x:c r="Q1911" t="str">
        <x:v>Not published (do not assume printed)</x:v>
      </x:c>
      <x:c r="R1911" t="str">
        <x:v>Z</x:v>
      </x:c>
      <x:c r="S1911" t="str">
        <x:v>Not published</x:v>
      </x:c>
      <x:c r="T1911" t="str">
        <x:v>Not published</x:v>
      </x:c>
      <x:c r="U1911" t="str">
        <x:v>Not published</x:v>
      </x:c>
      <x:c r="V1911" t="str">
        <x:v>Not published</x:v>
      </x:c>
      <x:c r="W1911" t="str">
        <x:v>Not applicable</x:v>
      </x:c>
      <x:c r="X1911" t="str">
        <x:v>Not published</x:v>
      </x:c>
      <x:c r="Y1911" t="str">
        <x:v>R-ESUN-PLA-LITE-PAGE</x:v>
      </x:c>
      <x:c r="Z1911" t="str">
        <x:v>Mechanical Properties: Flexural Strength (Z)</x:v>
      </x:c>
      <x:c r="AA1911" t="str">
        <x:v>Not applicable</x:v>
      </x:c>
      <x:c r="AB1911" t="str">
        <x:v>Not applicable</x:v>
      </x:c>
      <x:c r="AC1911" t="str">
        <x:v>Not applicable</x:v>
      </x:c>
      <x:c r="AD1911" t="str">
        <x:v>Not applicable</x:v>
      </x:c>
      <x:c r="AE1911" t="str">
        <x:v>Not applicable</x:v>
      </x:c>
      <x:c r="AF1911" t="str">
        <x:v>Not applicable</x:v>
      </x:c>
      <x:c r="AG1911" t="str">
        <x:v>Not applicable</x:v>
      </x:c>
    </x:row>
    <x:row r="1912">
      <x:c r="A1912" t="str">
        <x:v>V001909</x:v>
      </x:c>
      <x:c r="B1912" t="str">
        <x:v>M004</x:v>
      </x:c>
      <x:c r="C1912" t="str">
        <x:v>G004-01</x:v>
      </x:c>
      <x:c r="D1912" t="str">
        <x:v>Flexural modulus</x:v>
      </x:c>
      <x:c r="E1912" t="str">
        <x:v>3114.92 MPa</x:v>
      </x:c>
      <x:c r="F1912" t="str">
        <x:v>MPa</x:v>
      </x:c>
      <x:c r="G1912" t="str">
        <x:v>3114.92</x:v>
      </x:c>
      <x:c r="H1912" t="str">
        <x:v>Not applicable</x:v>
      </x:c>
      <x:c r="I1912" t="str">
        <x:v>Not applicable</x:v>
      </x:c>
      <x:c r="J1912" t="str">
        <x:v>=</x:v>
      </x:c>
      <x:c r="K1912" t="str">
        <x:v>0.001</x:v>
      </x:c>
      <x:c r="L1912" t="str">
        <x:v>3.11492</x:v>
      </x:c>
      <x:c r="M1912" t="str">
        <x:v>Not applicable</x:v>
      </x:c>
      <x:c r="N1912" t="str">
        <x:v>Not applicable</x:v>
      </x:c>
      <x:c r="O1912" t="str">
        <x:v>GPa</x:v>
      </x:c>
      <x:c r="P1912" t="str">
        <x:v>Published value</x:v>
      </x:c>
      <x:c r="Q1912" t="str">
        <x:v>Not published (do not assume printed)</x:v>
      </x:c>
      <x:c r="R1912" t="str">
        <x:v>XY</x:v>
      </x:c>
      <x:c r="S1912" t="str">
        <x:v>Not published</x:v>
      </x:c>
      <x:c r="T1912" t="str">
        <x:v>Not published</x:v>
      </x:c>
      <x:c r="U1912" t="str">
        <x:v>Not published</x:v>
      </x:c>
      <x:c r="V1912" t="str">
        <x:v>Not published</x:v>
      </x:c>
      <x:c r="W1912" t="str">
        <x:v>Not applicable</x:v>
      </x:c>
      <x:c r="X1912" t="str">
        <x:v>Not published</x:v>
      </x:c>
      <x:c r="Y1912" t="str">
        <x:v>R-ESUN-PLA-LITE-PAGE</x:v>
      </x:c>
      <x:c r="Z1912" t="str">
        <x:v>Mechanical Properties: Flexural Modulus (XY)</x:v>
      </x:c>
      <x:c r="AA1912" t="str">
        <x:v>Flexural, not tensile. It never fills the tensile-modulus headline.</x:v>
      </x:c>
      <x:c r="AB1912" t="str">
        <x:v>Not applicable</x:v>
      </x:c>
      <x:c r="AC1912" t="str">
        <x:v>Not applicable</x:v>
      </x:c>
      <x:c r="AD1912" t="str">
        <x:v>Not applicable</x:v>
      </x:c>
      <x:c r="AE1912" t="str">
        <x:v>Not applicable</x:v>
      </x:c>
      <x:c r="AF1912" t="str">
        <x:v>Not applicable</x:v>
      </x:c>
      <x:c r="AG1912" t="str">
        <x:v>Not applicable</x:v>
      </x:c>
    </x:row>
    <x:row r="1913">
      <x:c r="A1913" t="str">
        <x:v>V001910</x:v>
      </x:c>
      <x:c r="B1913" t="str">
        <x:v>M004</x:v>
      </x:c>
      <x:c r="C1913" t="str">
        <x:v>G004-01</x:v>
      </x:c>
      <x:c r="D1913" t="str">
        <x:v>Flexural modulus</x:v>
      </x:c>
      <x:c r="E1913" t="str">
        <x:v>2832.91 MPa</x:v>
      </x:c>
      <x:c r="F1913" t="str">
        <x:v>MPa</x:v>
      </x:c>
      <x:c r="G1913" t="str">
        <x:v>2832.91</x:v>
      </x:c>
      <x:c r="H1913" t="str">
        <x:v>Not applicable</x:v>
      </x:c>
      <x:c r="I1913" t="str">
        <x:v>Not applicable</x:v>
      </x:c>
      <x:c r="J1913" t="str">
        <x:v>=</x:v>
      </x:c>
      <x:c r="K1913" t="str">
        <x:v>0.001</x:v>
      </x:c>
      <x:c r="L1913" t="str">
        <x:v>2.83291</x:v>
      </x:c>
      <x:c r="M1913" t="str">
        <x:v>Not applicable</x:v>
      </x:c>
      <x:c r="N1913" t="str">
        <x:v>Not applicable</x:v>
      </x:c>
      <x:c r="O1913" t="str">
        <x:v>GPa</x:v>
      </x:c>
      <x:c r="P1913" t="str">
        <x:v>Published value</x:v>
      </x:c>
      <x:c r="Q1913" t="str">
        <x:v>Not published (do not assume printed)</x:v>
      </x:c>
      <x:c r="R1913" t="str">
        <x:v>Z</x:v>
      </x:c>
      <x:c r="S1913" t="str">
        <x:v>Not published</x:v>
      </x:c>
      <x:c r="T1913" t="str">
        <x:v>Not published</x:v>
      </x:c>
      <x:c r="U1913" t="str">
        <x:v>Not published</x:v>
      </x:c>
      <x:c r="V1913" t="str">
        <x:v>Not published</x:v>
      </x:c>
      <x:c r="W1913" t="str">
        <x:v>Not applicable</x:v>
      </x:c>
      <x:c r="X1913" t="str">
        <x:v>Not published</x:v>
      </x:c>
      <x:c r="Y1913" t="str">
        <x:v>R-ESUN-PLA-LITE-PAGE</x:v>
      </x:c>
      <x:c r="Z1913" t="str">
        <x:v>Mechanical Properties: Flexural Modulus (Z)</x:v>
      </x:c>
      <x:c r="AA1913" t="str">
        <x:v>Not applicable</x:v>
      </x:c>
      <x:c r="AB1913" t="str">
        <x:v>Not applicable</x:v>
      </x:c>
      <x:c r="AC1913" t="str">
        <x:v>Not applicable</x:v>
      </x:c>
      <x:c r="AD1913" t="str">
        <x:v>Not applicable</x:v>
      </x:c>
      <x:c r="AE1913" t="str">
        <x:v>Not applicable</x:v>
      </x:c>
      <x:c r="AF1913" t="str">
        <x:v>Not applicable</x:v>
      </x:c>
      <x:c r="AG1913" t="str">
        <x:v>Not applicable</x:v>
      </x:c>
    </x:row>
    <x:row r="1914">
      <x:c r="A1914" t="str">
        <x:v>V001911</x:v>
      </x:c>
      <x:c r="B1914" t="str">
        <x:v>M004</x:v>
      </x:c>
      <x:c r="C1914" t="str">
        <x:v>G004-01</x:v>
      </x:c>
      <x:c r="D1914" t="str">
        <x:v>Izod impact strength</x:v>
      </x:c>
      <x:c r="E1914" t="str">
        <x:v>4.53 kJ/m²</x:v>
      </x:c>
      <x:c r="F1914" t="str">
        <x:v>kJ/m²</x:v>
      </x:c>
      <x:c r="G1914" t="str">
        <x:v>4.53</x:v>
      </x:c>
      <x:c r="H1914" t="str">
        <x:v>Not applicable</x:v>
      </x:c>
      <x:c r="I1914" t="str">
        <x:v>Not applicable</x:v>
      </x:c>
      <x:c r="J1914" t="str">
        <x:v>=</x:v>
      </x:c>
      <x:c r="K1914" t="str">
        <x:v>1</x:v>
      </x:c>
      <x:c r="L1914" t="str">
        <x:v>4.53</x:v>
      </x:c>
      <x:c r="M1914" t="str">
        <x:v>Not applicable</x:v>
      </x:c>
      <x:c r="N1914" t="str">
        <x:v>Not applicable</x:v>
      </x:c>
      <x:c r="O1914" t="str">
        <x:v>kJ/m²</x:v>
      </x:c>
      <x:c r="P1914" t="str">
        <x:v>Published value</x:v>
      </x:c>
      <x:c r="Q1914" t="str">
        <x:v>Not published (do not assume printed)</x:v>
      </x:c>
      <x:c r="R1914" t="str">
        <x:v>XY</x:v>
      </x:c>
      <x:c r="S1914" t="str">
        <x:v>Not published</x:v>
      </x:c>
      <x:c r="T1914" t="str">
        <x:v>Not published</x:v>
      </x:c>
      <x:c r="U1914" t="str">
        <x:v>Not published</x:v>
      </x:c>
      <x:c r="V1914" t="str">
        <x:v>Not published</x:v>
      </x:c>
      <x:c r="W1914" t="str">
        <x:v>Not published</x:v>
      </x:c>
      <x:c r="X1914" t="str">
        <x:v>Not published</x:v>
      </x:c>
      <x:c r="Y1914" t="str">
        <x:v>R-ESUN-PLA-LITE-PAGE</x:v>
      </x:c>
      <x:c r="Z1914" t="str">
        <x:v>Mechanical Properties: IZOD Impact Strength (XY)</x:v>
      </x:c>
      <x:c r="AA1914" t="str">
        <x:v>Not applicable</x:v>
      </x:c>
      <x:c r="AB1914" t="str">
        <x:v>Not applicable</x:v>
      </x:c>
      <x:c r="AC1914" t="str">
        <x:v>Not applicable</x:v>
      </x:c>
      <x:c r="AD1914" t="str">
        <x:v>Not applicable</x:v>
      </x:c>
      <x:c r="AE1914" t="str">
        <x:v>Not applicable</x:v>
      </x:c>
      <x:c r="AF1914" t="str">
        <x:v>Not applicable</x:v>
      </x:c>
      <x:c r="AG1914" t="str">
        <x:v>Not applicable</x:v>
      </x:c>
    </x:row>
    <x:row r="1915">
      <x:c r="A1915" t="str">
        <x:v>V001912</x:v>
      </x:c>
      <x:c r="B1915" t="str">
        <x:v>M004</x:v>
      </x:c>
      <x:c r="C1915" t="str">
        <x:v>G004-01</x:v>
      </x:c>
      <x:c r="D1915" t="str">
        <x:v>Izod impact strength</x:v>
      </x:c>
      <x:c r="E1915" t="str">
        <x:v>2.33 kJ/m²</x:v>
      </x:c>
      <x:c r="F1915" t="str">
        <x:v>kJ/m²</x:v>
      </x:c>
      <x:c r="G1915" t="str">
        <x:v>2.33</x:v>
      </x:c>
      <x:c r="H1915" t="str">
        <x:v>Not applicable</x:v>
      </x:c>
      <x:c r="I1915" t="str">
        <x:v>Not applicable</x:v>
      </x:c>
      <x:c r="J1915" t="str">
        <x:v>=</x:v>
      </x:c>
      <x:c r="K1915" t="str">
        <x:v>1</x:v>
      </x:c>
      <x:c r="L1915" t="str">
        <x:v>2.33</x:v>
      </x:c>
      <x:c r="M1915" t="str">
        <x:v>Not applicable</x:v>
      </x:c>
      <x:c r="N1915" t="str">
        <x:v>Not applicable</x:v>
      </x:c>
      <x:c r="O1915" t="str">
        <x:v>kJ/m²</x:v>
      </x:c>
      <x:c r="P1915" t="str">
        <x:v>Published value</x:v>
      </x:c>
      <x:c r="Q1915" t="str">
        <x:v>Not published (do not assume printed)</x:v>
      </x:c>
      <x:c r="R1915" t="str">
        <x:v>Z</x:v>
      </x:c>
      <x:c r="S1915" t="str">
        <x:v>Not published</x:v>
      </x:c>
      <x:c r="T1915" t="str">
        <x:v>Not published</x:v>
      </x:c>
      <x:c r="U1915" t="str">
        <x:v>Not published</x:v>
      </x:c>
      <x:c r="V1915" t="str">
        <x:v>Not published</x:v>
      </x:c>
      <x:c r="W1915" t="str">
        <x:v>Not published</x:v>
      </x:c>
      <x:c r="X1915" t="str">
        <x:v>Not published</x:v>
      </x:c>
      <x:c r="Y1915" t="str">
        <x:v>R-ESUN-PLA-LITE-PAGE</x:v>
      </x:c>
      <x:c r="Z1915" t="str">
        <x:v>Mechanical Properties: IZOD Impact Strength (Z)</x:v>
      </x:c>
      <x:c r="AA1915" t="str">
        <x:v>Not applicable</x:v>
      </x:c>
      <x:c r="AB1915" t="str">
        <x:v>Not applicable</x:v>
      </x:c>
      <x:c r="AC1915" t="str">
        <x:v>Not applicable</x:v>
      </x:c>
      <x:c r="AD1915" t="str">
        <x:v>Not applicable</x:v>
      </x:c>
      <x:c r="AE1915" t="str">
        <x:v>Not applicable</x:v>
      </x:c>
      <x:c r="AF1915" t="str">
        <x:v>Not applicable</x:v>
      </x:c>
      <x:c r="AG1915" t="str">
        <x:v>Not applicable</x:v>
      </x:c>
    </x:row>
    <x:row r="1916">
      <x:c r="A1916" t="str">
        <x:v>V001913</x:v>
      </x:c>
      <x:c r="B1916" t="str">
        <x:v>M008</x:v>
      </x:c>
      <x:c r="C1916" t="str">
        <x:v>G008-01</x:v>
      </x:c>
      <x:c r="D1916" t="str">
        <x:v>Density</x:v>
      </x:c>
      <x:c r="E1916" t="str">
        <x:v>1.24 g/cm³ at 23 °C</x:v>
      </x:c>
      <x:c r="F1916" t="str">
        <x:v>g/cm³</x:v>
      </x:c>
      <x:c r="G1916" t="str">
        <x:v>1.24</x:v>
      </x:c>
      <x:c r="H1916" t="str">
        <x:v>Not applicable</x:v>
      </x:c>
      <x:c r="I1916" t="str">
        <x:v>Not applicable</x:v>
      </x:c>
      <x:c r="J1916" t="str">
        <x:v>=</x:v>
      </x:c>
      <x:c r="K1916" t="str">
        <x:v>1000</x:v>
      </x:c>
      <x:c r="L1916" t="str">
        <x:v>1240</x:v>
      </x:c>
      <x:c r="M1916" t="str">
        <x:v>Not applicable</x:v>
      </x:c>
      <x:c r="N1916" t="str">
        <x:v>Not applicable</x:v>
      </x:c>
      <x:c r="O1916" t="str">
        <x:v>kg/m³</x:v>
      </x:c>
      <x:c r="P1916" t="str">
        <x:v>Published value</x:v>
      </x:c>
      <x:c r="Q1916" t="str">
        <x:v>Not published (density specimen form not explicitly established)</x:v>
      </x:c>
      <x:c r="R1916" t="str">
        <x:v>Not applicable</x:v>
      </x:c>
      <x:c r="S1916" t="str">
        <x:v>Not published</x:v>
      </x:c>
      <x:c r="T1916" t="str">
        <x:v>Not published</x:v>
      </x:c>
      <x:c r="U1916" t="str">
        <x:v>23 °C</x:v>
      </x:c>
      <x:c r="V1916" t="str">
        <x:v>Not published</x:v>
      </x:c>
      <x:c r="W1916" t="str">
        <x:v>Not applicable</x:v>
      </x:c>
      <x:c r="X1916" t="str">
        <x:v>Not published</x:v>
      </x:c>
      <x:c r="Y1916" t="str">
        <x:v>R-POLYMAKER-PANCHROMA-TDS-V2-1</x:v>
      </x:c>
      <x:c r="Z1916" t="str">
        <x:v>Data table, Silk: Density</x:v>
      </x:c>
      <x:c r="AA1916" t="str">
        <x:v>Not applicable</x:v>
      </x:c>
      <x:c r="AB1916" t="str">
        <x:v>Not applicable</x:v>
      </x:c>
      <x:c r="AC1916" t="str">
        <x:v>Not applicable</x:v>
      </x:c>
      <x:c r="AD1916" t="str">
        <x:v>Not applicable</x:v>
      </x:c>
      <x:c r="AE1916" t="str">
        <x:v>Not applicable</x:v>
      </x:c>
      <x:c r="AF1916" t="str">
        <x:v>Not applicable</x:v>
      </x:c>
      <x:c r="AG1916" t="str">
        <x:v>Not applicable</x:v>
      </x:c>
    </x:row>
    <x:row r="1917">
      <x:c r="A1917" t="str">
        <x:v>V001914</x:v>
      </x:c>
      <x:c r="B1917" t="str">
        <x:v>M008</x:v>
      </x:c>
      <x:c r="C1917" t="str">
        <x:v>G008-01</x:v>
      </x:c>
      <x:c r="D1917" t="str">
        <x:v>Vicat softening temperature</x:v>
      </x:c>
      <x:c r="E1917" t="str">
        <x:v>64.7 °C</x:v>
      </x:c>
      <x:c r="F1917" t="str">
        <x:v>°C</x:v>
      </x:c>
      <x:c r="G1917" t="str">
        <x:v>64.7</x:v>
      </x:c>
      <x:c r="H1917" t="str">
        <x:v>Not applicable</x:v>
      </x:c>
      <x:c r="I1917" t="str">
        <x:v>Not applicable</x:v>
      </x:c>
      <x:c r="J1917" t="str">
        <x:v>=</x:v>
      </x:c>
      <x:c r="K1917" t="str">
        <x:v>1</x:v>
      </x:c>
      <x:c r="L1917" t="str">
        <x:v>64.7</x:v>
      </x:c>
      <x:c r="M1917" t="str">
        <x:v>Not applicable</x:v>
      </x:c>
      <x:c r="N1917" t="str">
        <x:v>Not applicable</x:v>
      </x:c>
      <x:c r="O1917" t="str">
        <x:v>°C</x:v>
      </x:c>
      <x:c r="P1917" t="str">
        <x:v>Published value</x:v>
      </x:c>
      <x:c r="Q1917" t="str">
        <x:v>Not published (do not assume printed)</x:v>
      </x:c>
      <x:c r="R1917" t="str">
        <x:v>Not applicable</x:v>
      </x:c>
      <x:c r="S1917" t="str">
        <x:v>Not published</x:v>
      </x:c>
      <x:c r="T1917" t="str">
        <x:v>Not published</x:v>
      </x:c>
      <x:c r="U1917" t="str">
        <x:v>Not published</x:v>
      </x:c>
      <x:c r="V1917" t="str">
        <x:v>ISO 306</x:v>
      </x:c>
      <x:c r="W1917" t="str">
        <x:v>Not applicable</x:v>
      </x:c>
      <x:c r="X1917" t="str">
        <x:v>Not published</x:v>
      </x:c>
      <x:c r="Y1917" t="str">
        <x:v>R-POLYMAKER-PANCHROMA-TDS-V2-1</x:v>
      </x:c>
      <x:c r="Z1917" t="str">
        <x:v>Data table, Silk: Vicat softening temperature</x:v>
      </x:c>
      <x:c r="AA1917" t="str">
        <x:v>Not applicable</x:v>
      </x:c>
      <x:c r="AB1917" t="str">
        <x:v>Not applicable</x:v>
      </x:c>
      <x:c r="AC1917" t="str">
        <x:v>Not applicable</x:v>
      </x:c>
      <x:c r="AD1917" t="str">
        <x:v>Not applicable</x:v>
      </x:c>
      <x:c r="AE1917" t="str">
        <x:v>Not applicable</x:v>
      </x:c>
      <x:c r="AF1917" t="str">
        <x:v>Not applicable</x:v>
      </x:c>
      <x:c r="AG1917" t="str">
        <x:v>Not applicable</x:v>
      </x:c>
    </x:row>
    <x:row r="1918">
      <x:c r="A1918" t="str">
        <x:v>V001915</x:v>
      </x:c>
      <x:c r="B1918" t="str">
        <x:v>M008</x:v>
      </x:c>
      <x:c r="C1918" t="str">
        <x:v>G008-01</x:v>
      </x:c>
      <x:c r="D1918" t="str">
        <x:v>Tensile modulus</x:v>
      </x:c>
      <x:c r="E1918" t="str">
        <x:v>2403 ± 74.5 MPa</x:v>
      </x:c>
      <x:c r="F1918" t="str">
        <x:v>MPa</x:v>
      </x:c>
      <x:c r="G1918" t="str">
        <x:v>2403</x:v>
      </x:c>
      <x:c r="H1918" t="str">
        <x:v>74.5</x:v>
      </x:c>
      <x:c r="I1918" t="str">
        <x:v>Not applicable</x:v>
      </x:c>
      <x:c r="J1918" t="str">
        <x:v>=</x:v>
      </x:c>
      <x:c r="K1918" t="str">
        <x:v>0.001</x:v>
      </x:c>
      <x:c r="L1918" t="str">
        <x:v>2.403</x:v>
      </x:c>
      <x:c r="M1918" t="str">
        <x:v>0.0745</x:v>
      </x:c>
      <x:c r="N1918" t="str">
        <x:v>Not applicable</x:v>
      </x:c>
      <x:c r="O1918" t="str">
        <x:v>GPa</x:v>
      </x:c>
      <x:c r="P1918" t="str">
        <x:v>Published value</x:v>
      </x:c>
      <x:c r="Q1918" t="str">
        <x:v>Printed specimen</x:v>
      </x:c>
      <x:c r="R1918" t="str">
        <x:v>XY</x:v>
      </x:c>
      <x:c r="S1918" t="str">
        <x:v>Not published</x:v>
      </x:c>
      <x:c r="T1918" t="str">
        <x:v>Not published</x:v>
      </x:c>
      <x:c r="U1918" t="str">
        <x:v>Not published</x:v>
      </x:c>
      <x:c r="V1918" t="str">
        <x:v>ISO 527</x:v>
      </x:c>
      <x:c r="W1918" t="str">
        <x:v>Not applicable</x:v>
      </x:c>
      <x:c r="X1918" t="str">
        <x:v>Printed at 230 °C nozzle, 50 °C bed, 100% infill, 2 shells, 3 top and bottom layers, ambient environment, cooling fan on</x:v>
      </x:c>
      <x:c r="Y1918" t="str">
        <x:v>R-POLYMAKER-PANCHROMA-TDS-V2-1</x:v>
      </x:c>
      <x:c r="Z1918" t="str">
        <x:v>Data table, Silk: Young's modulus (X-Y)</x:v>
      </x:c>
      <x:c r="AA1918" t="str">
        <x:v>Not applicable</x:v>
      </x:c>
      <x:c r="AB1918" t="str">
        <x:v>Not applicable</x:v>
      </x:c>
      <x:c r="AC1918" t="str">
        <x:v>Not applicable</x:v>
      </x:c>
      <x:c r="AD1918" t="str">
        <x:v>Not applicable</x:v>
      </x:c>
      <x:c r="AE1918" t="str">
        <x:v>Not applicable</x:v>
      </x:c>
      <x:c r="AF1918" t="str">
        <x:v>Not applicable</x:v>
      </x:c>
      <x:c r="AG1918" t="str">
        <x:v>Not applicable</x:v>
      </x:c>
    </x:row>
    <x:row r="1919">
      <x:c r="A1919" t="str">
        <x:v>V001916</x:v>
      </x:c>
      <x:c r="B1919" t="str">
        <x:v>M008</x:v>
      </x:c>
      <x:c r="C1919" t="str">
        <x:v>G008-01</x:v>
      </x:c>
      <x:c r="D1919" t="str">
        <x:v>Tensile strength (endpoint unspecified)</x:v>
      </x:c>
      <x:c r="E1919" t="str">
        <x:v>41.1 ± 0.8 MPa</x:v>
      </x:c>
      <x:c r="F1919" t="str">
        <x:v>MPa</x:v>
      </x:c>
      <x:c r="G1919" t="str">
        <x:v>41.1</x:v>
      </x:c>
      <x:c r="H1919" t="str">
        <x:v>0.8</x:v>
      </x:c>
      <x:c r="I1919" t="str">
        <x:v>Not applicable</x:v>
      </x:c>
      <x:c r="J1919" t="str">
        <x:v>=</x:v>
      </x:c>
      <x:c r="K1919" t="str">
        <x:v>1</x:v>
      </x:c>
      <x:c r="L1919" t="str">
        <x:v>41.1</x:v>
      </x:c>
      <x:c r="M1919" t="str">
        <x:v>0.8</x:v>
      </x:c>
      <x:c r="N1919" t="str">
        <x:v>Not applicable</x:v>
      </x:c>
      <x:c r="O1919" t="str">
        <x:v>MPa</x:v>
      </x:c>
      <x:c r="P1919" t="str">
        <x:v>Published value</x:v>
      </x:c>
      <x:c r="Q1919" t="str">
        <x:v>Printed specimen</x:v>
      </x:c>
      <x:c r="R1919" t="str">
        <x:v>XY</x:v>
      </x:c>
      <x:c r="S1919" t="str">
        <x:v>Not published</x:v>
      </x:c>
      <x:c r="T1919" t="str">
        <x:v>Not published</x:v>
      </x:c>
      <x:c r="U1919" t="str">
        <x:v>Not published</x:v>
      </x:c>
      <x:c r="V1919" t="str">
        <x:v>ISO 527</x:v>
      </x:c>
      <x:c r="W1919" t="str">
        <x:v>Not applicable</x:v>
      </x:c>
      <x:c r="X1919" t="str">
        <x:v>Printed at 230 °C nozzle, 50 °C bed, 100% infill, 2 shells, 3 top and bottom layers, ambient environment, cooling fan on</x:v>
      </x:c>
      <x:c r="Y1919" t="str">
        <x:v>R-POLYMAKER-PANCHROMA-TDS-V2-1</x:v>
      </x:c>
      <x:c r="Z1919" t="str">
        <x:v>Data table, Silk: Tensile strength (X-Y)</x:v>
      </x:c>
      <x:c r="AA1919" t="str">
        <x:v>Not applicable</x:v>
      </x:c>
      <x:c r="AB1919" t="str">
        <x:v>Not applicable</x:v>
      </x:c>
      <x:c r="AC1919" t="str">
        <x:v>Not applicable</x:v>
      </x:c>
      <x:c r="AD1919" t="str">
        <x:v>Not applicable</x:v>
      </x:c>
      <x:c r="AE1919" t="str">
        <x:v>Not applicable</x:v>
      </x:c>
      <x:c r="AF1919" t="str">
        <x:v>Not applicable</x:v>
      </x:c>
      <x:c r="AG1919" t="str">
        <x:v>Not applicable</x:v>
      </x:c>
    </x:row>
    <x:row r="1920">
      <x:c r="A1920" t="str">
        <x:v>V001917</x:v>
      </x:c>
      <x:c r="B1920" t="str">
        <x:v>M008</x:v>
      </x:c>
      <x:c r="C1920" t="str">
        <x:v>G008-01</x:v>
      </x:c>
      <x:c r="D1920" t="str">
        <x:v>Tensile strength (endpoint unspecified)</x:v>
      </x:c>
      <x:c r="E1920" t="str">
        <x:v>23.8 ± 2.8 MPa</x:v>
      </x:c>
      <x:c r="F1920" t="str">
        <x:v>MPa</x:v>
      </x:c>
      <x:c r="G1920" t="str">
        <x:v>23.8</x:v>
      </x:c>
      <x:c r="H1920" t="str">
        <x:v>2.8</x:v>
      </x:c>
      <x:c r="I1920" t="str">
        <x:v>Not applicable</x:v>
      </x:c>
      <x:c r="J1920" t="str">
        <x:v>=</x:v>
      </x:c>
      <x:c r="K1920" t="str">
        <x:v>1</x:v>
      </x:c>
      <x:c r="L1920" t="str">
        <x:v>23.8</x:v>
      </x:c>
      <x:c r="M1920" t="str">
        <x:v>2.8</x:v>
      </x:c>
      <x:c r="N1920" t="str">
        <x:v>Not applicable</x:v>
      </x:c>
      <x:c r="O1920" t="str">
        <x:v>MPa</x:v>
      </x:c>
      <x:c r="P1920" t="str">
        <x:v>Published value</x:v>
      </x:c>
      <x:c r="Q1920" t="str">
        <x:v>Printed specimen</x:v>
      </x:c>
      <x:c r="R1920" t="str">
        <x:v>Z</x:v>
      </x:c>
      <x:c r="S1920" t="str">
        <x:v>Not published</x:v>
      </x:c>
      <x:c r="T1920" t="str">
        <x:v>Not published</x:v>
      </x:c>
      <x:c r="U1920" t="str">
        <x:v>Not published</x:v>
      </x:c>
      <x:c r="V1920" t="str">
        <x:v>ISO 527</x:v>
      </x:c>
      <x:c r="W1920" t="str">
        <x:v>Not applicable</x:v>
      </x:c>
      <x:c r="X1920" t="str">
        <x:v>Printed at 230 °C nozzle, 50 °C bed, 100% infill, 2 shells, 3 top and bottom layers, ambient environment, cooling fan on</x:v>
      </x:c>
      <x:c r="Y1920" t="str">
        <x:v>R-POLYMAKER-PANCHROMA-TDS-V2-1</x:v>
      </x:c>
      <x:c r="Z1920" t="str">
        <x:v>Data table, Silk: Tensile strength (Z)</x:v>
      </x:c>
      <x:c r="AA1920" t="str">
        <x:v>Not applicable</x:v>
      </x:c>
      <x:c r="AB1920" t="str">
        <x:v>Not applicable</x:v>
      </x:c>
      <x:c r="AC1920" t="str">
        <x:v>Not applicable</x:v>
      </x:c>
      <x:c r="AD1920" t="str">
        <x:v>Not applicable</x:v>
      </x:c>
      <x:c r="AE1920" t="str">
        <x:v>Not applicable</x:v>
      </x:c>
      <x:c r="AF1920" t="str">
        <x:v>Not applicable</x:v>
      </x:c>
      <x:c r="AG1920" t="str">
        <x:v>Not applicable</x:v>
      </x:c>
    </x:row>
    <x:row r="1921">
      <x:c r="A1921" t="str">
        <x:v>V001918</x:v>
      </x:c>
      <x:c r="B1921" t="str">
        <x:v>M008</x:v>
      </x:c>
      <x:c r="C1921" t="str">
        <x:v>G008-01</x:v>
      </x:c>
      <x:c r="D1921" t="str">
        <x:v>Charpy strength</x:v>
      </x:c>
      <x:c r="E1921" t="str">
        <x:v>13.8 ± 1.3 kJ/m²</x:v>
      </x:c>
      <x:c r="F1921" t="str">
        <x:v>kJ/m²</x:v>
      </x:c>
      <x:c r="G1921" t="str">
        <x:v>13.8</x:v>
      </x:c>
      <x:c r="H1921" t="str">
        <x:v>1.3</x:v>
      </x:c>
      <x:c r="I1921" t="str">
        <x:v>Not applicable</x:v>
      </x:c>
      <x:c r="J1921" t="str">
        <x:v>=</x:v>
      </x:c>
      <x:c r="K1921" t="str">
        <x:v>1</x:v>
      </x:c>
      <x:c r="L1921" t="str">
        <x:v>13.8</x:v>
      </x:c>
      <x:c r="M1921" t="str">
        <x:v>1.3</x:v>
      </x:c>
      <x:c r="N1921" t="str">
        <x:v>Not applicable</x:v>
      </x:c>
      <x:c r="O1921" t="str">
        <x:v>kJ/m²</x:v>
      </x:c>
      <x:c r="P1921" t="str">
        <x:v>Published value</x:v>
      </x:c>
      <x:c r="Q1921" t="str">
        <x:v>Printed specimen</x:v>
      </x:c>
      <x:c r="R1921" t="str">
        <x:v>Not published</x:v>
      </x:c>
      <x:c r="S1921" t="str">
        <x:v>Not published</x:v>
      </x:c>
      <x:c r="T1921" t="str">
        <x:v>Not published</x:v>
      </x:c>
      <x:c r="U1921" t="str">
        <x:v>Not published</x:v>
      </x:c>
      <x:c r="V1921" t="str">
        <x:v>ISO 179</x:v>
      </x:c>
      <x:c r="W1921" t="str">
        <x:v>Notched</x:v>
      </x:c>
      <x:c r="X1921" t="str">
        <x:v>Printed at 230 °C nozzle, 50 °C bed, 100% infill, 2 shells, 3 top and bottom layers, ambient environment, cooling fan on</x:v>
      </x:c>
      <x:c r="Y1921" t="str">
        <x:v>R-POLYMAKER-PANCHROMA-TDS-V2-1</x:v>
      </x:c>
      <x:c r="Z1921" t="str">
        <x:v>Data table, Silk: Notched Charpy impact strength</x:v>
      </x:c>
      <x:c r="AA1921" t="str">
        <x:v>Not applicable</x:v>
      </x:c>
      <x:c r="AB1921" t="str">
        <x:v>Not applicable</x:v>
      </x:c>
      <x:c r="AC1921" t="str">
        <x:v>Not applicable</x:v>
      </x:c>
      <x:c r="AD1921" t="str">
        <x:v>Not applicable</x:v>
      </x:c>
      <x:c r="AE1921" t="str">
        <x:v>Not applicable</x:v>
      </x:c>
      <x:c r="AF1921" t="str">
        <x:v>Not applicable</x:v>
      </x:c>
      <x:c r="AG1921" t="str">
        <x:v>Not applicable</x:v>
      </x:c>
    </x:row>
    <x:row r="1922">
      <x:c r="A1922" t="str">
        <x:v>V001919</x:v>
      </x:c>
      <x:c r="B1922" t="str">
        <x:v>M091</x:v>
      </x:c>
      <x:c r="C1922" t="str">
        <x:v>G091-02</x:v>
      </x:c>
      <x:c r="D1922" t="str">
        <x:v>Density</x:v>
      </x:c>
      <x:c r="E1922" t="str">
        <x:v>1.30 g/cm³ at 23 °C</x:v>
      </x:c>
      <x:c r="F1922" t="str">
        <x:v>g/cm³</x:v>
      </x:c>
      <x:c r="G1922" t="str">
        <x:v>1.30</x:v>
      </x:c>
      <x:c r="H1922" t="str">
        <x:v>Not applicable</x:v>
      </x:c>
      <x:c r="I1922" t="str">
        <x:v>Not applicable</x:v>
      </x:c>
      <x:c r="J1922" t="str">
        <x:v>=</x:v>
      </x:c>
      <x:c r="K1922" t="str">
        <x:v>1000</x:v>
      </x:c>
      <x:c r="L1922" t="str">
        <x:v>1300</x:v>
      </x:c>
      <x:c r="M1922" t="str">
        <x:v>Not applicable</x:v>
      </x:c>
      <x:c r="N1922" t="str">
        <x:v>Not applicable</x:v>
      </x:c>
      <x:c r="O1922" t="str">
        <x:v>kg/m³</x:v>
      </x:c>
      <x:c r="P1922" t="str">
        <x:v>Published value</x:v>
      </x:c>
      <x:c r="Q1922" t="str">
        <x:v>Not published (density specimen form not explicitly established)</x:v>
      </x:c>
      <x:c r="R1922" t="str">
        <x:v>Not applicable</x:v>
      </x:c>
      <x:c r="S1922" t="str">
        <x:v>Not published</x:v>
      </x:c>
      <x:c r="T1922" t="str">
        <x:v>Not published</x:v>
      </x:c>
      <x:c r="U1922" t="str">
        <x:v>23 °C</x:v>
      </x:c>
      <x:c r="V1922" t="str">
        <x:v>Not published</x:v>
      </x:c>
      <x:c r="W1922" t="str">
        <x:v>Not applicable</x:v>
      </x:c>
      <x:c r="X1922" t="str">
        <x:v>Not published</x:v>
      </x:c>
      <x:c r="Y1922" t="str">
        <x:v>R-POLYMAKER-PANCHROMA-TDS-V2-1</x:v>
      </x:c>
      <x:c r="Z1922" t="str">
        <x:v>Data table, CoPE: Density</x:v>
      </x:c>
      <x:c r="AA1922" t="str">
        <x:v>Not applicable</x:v>
      </x:c>
      <x:c r="AB1922" t="str">
        <x:v>Not applicable</x:v>
      </x:c>
      <x:c r="AC1922" t="str">
        <x:v>Not applicable</x:v>
      </x:c>
      <x:c r="AD1922" t="str">
        <x:v>Not applicable</x:v>
      </x:c>
      <x:c r="AE1922" t="str">
        <x:v>Not applicable</x:v>
      </x:c>
      <x:c r="AF1922" t="str">
        <x:v>Not applicable</x:v>
      </x:c>
      <x:c r="AG1922" t="str">
        <x:v>Not applicable</x:v>
      </x:c>
    </x:row>
    <x:row r="1923">
      <x:c r="A1923" t="str">
        <x:v>V001920</x:v>
      </x:c>
      <x:c r="B1923" t="str">
        <x:v>M091</x:v>
      </x:c>
      <x:c r="C1923" t="str">
        <x:v>G091-02</x:v>
      </x:c>
      <x:c r="D1923" t="str">
        <x:v>Vicat softening temperature</x:v>
      </x:c>
      <x:c r="E1923" t="str">
        <x:v>66 °C</x:v>
      </x:c>
      <x:c r="F1923" t="str">
        <x:v>°C</x:v>
      </x:c>
      <x:c r="G1923" t="str">
        <x:v>66</x:v>
      </x:c>
      <x:c r="H1923" t="str">
        <x:v>Not applicable</x:v>
      </x:c>
      <x:c r="I1923" t="str">
        <x:v>Not applicable</x:v>
      </x:c>
      <x:c r="J1923" t="str">
        <x:v>=</x:v>
      </x:c>
      <x:c r="K1923" t="str">
        <x:v>1</x:v>
      </x:c>
      <x:c r="L1923" t="str">
        <x:v>66</x:v>
      </x:c>
      <x:c r="M1923" t="str">
        <x:v>Not applicable</x:v>
      </x:c>
      <x:c r="N1923" t="str">
        <x:v>Not applicable</x:v>
      </x:c>
      <x:c r="O1923" t="str">
        <x:v>°C</x:v>
      </x:c>
      <x:c r="P1923" t="str">
        <x:v>Published value</x:v>
      </x:c>
      <x:c r="Q1923" t="str">
        <x:v>Not published (do not assume printed)</x:v>
      </x:c>
      <x:c r="R1923" t="str">
        <x:v>Not applicable</x:v>
      </x:c>
      <x:c r="S1923" t="str">
        <x:v>Not published</x:v>
      </x:c>
      <x:c r="T1923" t="str">
        <x:v>Not published</x:v>
      </x:c>
      <x:c r="U1923" t="str">
        <x:v>Not published</x:v>
      </x:c>
      <x:c r="V1923" t="str">
        <x:v>ISO 306</x:v>
      </x:c>
      <x:c r="W1923" t="str">
        <x:v>Not applicable</x:v>
      </x:c>
      <x:c r="X1923" t="str">
        <x:v>Not published</x:v>
      </x:c>
      <x:c r="Y1923" t="str">
        <x:v>R-POLYMAKER-PANCHROMA-TDS-V2-1</x:v>
      </x:c>
      <x:c r="Z1923" t="str">
        <x:v>Data table, CoPE: Vicat softening temperature</x:v>
      </x:c>
      <x:c r="AA1923" t="str">
        <x:v>Not applicable</x:v>
      </x:c>
      <x:c r="AB1923" t="str">
        <x:v>Not applicable</x:v>
      </x:c>
      <x:c r="AC1923" t="str">
        <x:v>Not applicable</x:v>
      </x:c>
      <x:c r="AD1923" t="str">
        <x:v>Not applicable</x:v>
      </x:c>
      <x:c r="AE1923" t="str">
        <x:v>Not applicable</x:v>
      </x:c>
      <x:c r="AF1923" t="str">
        <x:v>Not applicable</x:v>
      </x:c>
      <x:c r="AG1923" t="str">
        <x:v>Not applicable</x:v>
      </x:c>
    </x:row>
    <x:row r="1924">
      <x:c r="A1924" t="str">
        <x:v>V001921</x:v>
      </x:c>
      <x:c r="B1924" t="str">
        <x:v>M091</x:v>
      </x:c>
      <x:c r="C1924" t="str">
        <x:v>G091-02</x:v>
      </x:c>
      <x:c r="D1924" t="str">
        <x:v>Tensile modulus</x:v>
      </x:c>
      <x:c r="E1924" t="str">
        <x:v>2515 ± 71 MPa</x:v>
      </x:c>
      <x:c r="F1924" t="str">
        <x:v>MPa</x:v>
      </x:c>
      <x:c r="G1924" t="str">
        <x:v>2515</x:v>
      </x:c>
      <x:c r="H1924" t="str">
        <x:v>71</x:v>
      </x:c>
      <x:c r="I1924" t="str">
        <x:v>Not applicable</x:v>
      </x:c>
      <x:c r="J1924" t="str">
        <x:v>=</x:v>
      </x:c>
      <x:c r="K1924" t="str">
        <x:v>0.001</x:v>
      </x:c>
      <x:c r="L1924" t="str">
        <x:v>2.515</x:v>
      </x:c>
      <x:c r="M1924" t="str">
        <x:v>0.071</x:v>
      </x:c>
      <x:c r="N1924" t="str">
        <x:v>Not applicable</x:v>
      </x:c>
      <x:c r="O1924" t="str">
        <x:v>GPa</x:v>
      </x:c>
      <x:c r="P1924" t="str">
        <x:v>Published value</x:v>
      </x:c>
      <x:c r="Q1924" t="str">
        <x:v>Printed specimen</x:v>
      </x:c>
      <x:c r="R1924" t="str">
        <x:v>XY</x:v>
      </x:c>
      <x:c r="S1924" t="str">
        <x:v>Not published</x:v>
      </x:c>
      <x:c r="T1924" t="str">
        <x:v>Not published</x:v>
      </x:c>
      <x:c r="U1924" t="str">
        <x:v>Not published</x:v>
      </x:c>
      <x:c r="V1924" t="str">
        <x:v>ISO 527</x:v>
      </x:c>
      <x:c r="W1924" t="str">
        <x:v>Not applicable</x:v>
      </x:c>
      <x:c r="X1924" t="str">
        <x:v>Printed at 230 °C nozzle, 50 °C bed, 100% infill, 2 shells, 3 top and bottom layers, ambient environment, cooling fan on</x:v>
      </x:c>
      <x:c r="Y1924" t="str">
        <x:v>R-POLYMAKER-PANCHROMA-TDS-V2-1</x:v>
      </x:c>
      <x:c r="Z1924" t="str">
        <x:v>Data table, CoPE: Young's modulus (X-Y)</x:v>
      </x:c>
      <x:c r="AA1924" t="str">
        <x:v>Not applicable</x:v>
      </x:c>
      <x:c r="AB1924" t="str">
        <x:v>Not applicable</x:v>
      </x:c>
      <x:c r="AC1924" t="str">
        <x:v>Not applicable</x:v>
      </x:c>
      <x:c r="AD1924" t="str">
        <x:v>Not applicable</x:v>
      </x:c>
      <x:c r="AE1924" t="str">
        <x:v>Not applicable</x:v>
      </x:c>
      <x:c r="AF1924" t="str">
        <x:v>Not applicable</x:v>
      </x:c>
      <x:c r="AG1924" t="str">
        <x:v>Not applicable</x:v>
      </x:c>
    </x:row>
    <x:row r="1925">
      <x:c r="A1925" t="str">
        <x:v>V001922</x:v>
      </x:c>
      <x:c r="B1925" t="str">
        <x:v>M091</x:v>
      </x:c>
      <x:c r="C1925" t="str">
        <x:v>G091-02</x:v>
      </x:c>
      <x:c r="D1925" t="str">
        <x:v>Tensile strength (endpoint unspecified)</x:v>
      </x:c>
      <x:c r="E1925" t="str">
        <x:v>51.6 ± 0.3 MPa</x:v>
      </x:c>
      <x:c r="F1925" t="str">
        <x:v>MPa</x:v>
      </x:c>
      <x:c r="G1925" t="str">
        <x:v>51.6</x:v>
      </x:c>
      <x:c r="H1925" t="str">
        <x:v>0.3</x:v>
      </x:c>
      <x:c r="I1925" t="str">
        <x:v>Not applicable</x:v>
      </x:c>
      <x:c r="J1925" t="str">
        <x:v>=</x:v>
      </x:c>
      <x:c r="K1925" t="str">
        <x:v>1</x:v>
      </x:c>
      <x:c r="L1925" t="str">
        <x:v>51.6</x:v>
      </x:c>
      <x:c r="M1925" t="str">
        <x:v>0.3</x:v>
      </x:c>
      <x:c r="N1925" t="str">
        <x:v>Not applicable</x:v>
      </x:c>
      <x:c r="O1925" t="str">
        <x:v>MPa</x:v>
      </x:c>
      <x:c r="P1925" t="str">
        <x:v>Published value</x:v>
      </x:c>
      <x:c r="Q1925" t="str">
        <x:v>Printed specimen</x:v>
      </x:c>
      <x:c r="R1925" t="str">
        <x:v>XY</x:v>
      </x:c>
      <x:c r="S1925" t="str">
        <x:v>Not published</x:v>
      </x:c>
      <x:c r="T1925" t="str">
        <x:v>Not published</x:v>
      </x:c>
      <x:c r="U1925" t="str">
        <x:v>Not published</x:v>
      </x:c>
      <x:c r="V1925" t="str">
        <x:v>ISO 527</x:v>
      </x:c>
      <x:c r="W1925" t="str">
        <x:v>Not applicable</x:v>
      </x:c>
      <x:c r="X1925" t="str">
        <x:v>Printed at 230 °C nozzle, 50 °C bed, 100% infill, 2 shells, 3 top and bottom layers, ambient environment, cooling fan on</x:v>
      </x:c>
      <x:c r="Y1925" t="str">
        <x:v>R-POLYMAKER-PANCHROMA-TDS-V2-1</x:v>
      </x:c>
      <x:c r="Z1925" t="str">
        <x:v>Data table, CoPE: Tensile strength (X-Y)</x:v>
      </x:c>
      <x:c r="AA1925" t="str">
        <x:v>Not applicable</x:v>
      </x:c>
      <x:c r="AB1925" t="str">
        <x:v>Not applicable</x:v>
      </x:c>
      <x:c r="AC1925" t="str">
        <x:v>Not applicable</x:v>
      </x:c>
      <x:c r="AD1925" t="str">
        <x:v>Not applicable</x:v>
      </x:c>
      <x:c r="AE1925" t="str">
        <x:v>Not applicable</x:v>
      </x:c>
      <x:c r="AF1925" t="str">
        <x:v>Not applicable</x:v>
      </x:c>
      <x:c r="AG1925" t="str">
        <x:v>Not applicable</x:v>
      </x:c>
    </x:row>
    <x:row r="1926">
      <x:c r="A1926" t="str">
        <x:v>V001923</x:v>
      </x:c>
      <x:c r="B1926" t="str">
        <x:v>M091</x:v>
      </x:c>
      <x:c r="C1926" t="str">
        <x:v>G091-02</x:v>
      </x:c>
      <x:c r="D1926" t="str">
        <x:v>Tensile strength (endpoint unspecified)</x:v>
      </x:c>
      <x:c r="E1926" t="str">
        <x:v>36.1 ± 1.2 MPa</x:v>
      </x:c>
      <x:c r="F1926" t="str">
        <x:v>MPa</x:v>
      </x:c>
      <x:c r="G1926" t="str">
        <x:v>36.1</x:v>
      </x:c>
      <x:c r="H1926" t="str">
        <x:v>1.2</x:v>
      </x:c>
      <x:c r="I1926" t="str">
        <x:v>Not applicable</x:v>
      </x:c>
      <x:c r="J1926" t="str">
        <x:v>=</x:v>
      </x:c>
      <x:c r="K1926" t="str">
        <x:v>1</x:v>
      </x:c>
      <x:c r="L1926" t="str">
        <x:v>36.1</x:v>
      </x:c>
      <x:c r="M1926" t="str">
        <x:v>1.2</x:v>
      </x:c>
      <x:c r="N1926" t="str">
        <x:v>Not applicable</x:v>
      </x:c>
      <x:c r="O1926" t="str">
        <x:v>MPa</x:v>
      </x:c>
      <x:c r="P1926" t="str">
        <x:v>Published value</x:v>
      </x:c>
      <x:c r="Q1926" t="str">
        <x:v>Printed specimen</x:v>
      </x:c>
      <x:c r="R1926" t="str">
        <x:v>Z</x:v>
      </x:c>
      <x:c r="S1926" t="str">
        <x:v>Not published</x:v>
      </x:c>
      <x:c r="T1926" t="str">
        <x:v>Not published</x:v>
      </x:c>
      <x:c r="U1926" t="str">
        <x:v>Not published</x:v>
      </x:c>
      <x:c r="V1926" t="str">
        <x:v>ISO 527</x:v>
      </x:c>
      <x:c r="W1926" t="str">
        <x:v>Not applicable</x:v>
      </x:c>
      <x:c r="X1926" t="str">
        <x:v>Printed at 230 °C nozzle, 50 °C bed, 100% infill, 2 shells, 3 top and bottom layers, ambient environment, cooling fan on</x:v>
      </x:c>
      <x:c r="Y1926" t="str">
        <x:v>R-POLYMAKER-PANCHROMA-TDS-V2-1</x:v>
      </x:c>
      <x:c r="Z1926" t="str">
        <x:v>Data table, CoPE: Tensile strength (Z)</x:v>
      </x:c>
      <x:c r="AA1926" t="str">
        <x:v>Not applicable</x:v>
      </x:c>
      <x:c r="AB1926" t="str">
        <x:v>Not applicable</x:v>
      </x:c>
      <x:c r="AC1926" t="str">
        <x:v>Not applicable</x:v>
      </x:c>
      <x:c r="AD1926" t="str">
        <x:v>Not applicable</x:v>
      </x:c>
      <x:c r="AE1926" t="str">
        <x:v>Not applicable</x:v>
      </x:c>
      <x:c r="AF1926" t="str">
        <x:v>Not applicable</x:v>
      </x:c>
      <x:c r="AG1926" t="str">
        <x:v>Not applicable</x:v>
      </x:c>
    </x:row>
    <x:row r="1927">
      <x:c r="A1927" t="str">
        <x:v>V001924</x:v>
      </x:c>
      <x:c r="B1927" t="str">
        <x:v>M091</x:v>
      </x:c>
      <x:c r="C1927" t="str">
        <x:v>G091-02</x:v>
      </x:c>
      <x:c r="D1927" t="str">
        <x:v>Charpy strength</x:v>
      </x:c>
      <x:c r="E1927" t="str">
        <x:v>2.9 ± 0.1 kJ/m²</x:v>
      </x:c>
      <x:c r="F1927" t="str">
        <x:v>kJ/m²</x:v>
      </x:c>
      <x:c r="G1927" t="str">
        <x:v>2.9</x:v>
      </x:c>
      <x:c r="H1927" t="str">
        <x:v>0.1</x:v>
      </x:c>
      <x:c r="I1927" t="str">
        <x:v>Not applicable</x:v>
      </x:c>
      <x:c r="J1927" t="str">
        <x:v>=</x:v>
      </x:c>
      <x:c r="K1927" t="str">
        <x:v>1</x:v>
      </x:c>
      <x:c r="L1927" t="str">
        <x:v>2.9</x:v>
      </x:c>
      <x:c r="M1927" t="str">
        <x:v>0.1</x:v>
      </x:c>
      <x:c r="N1927" t="str">
        <x:v>Not applicable</x:v>
      </x:c>
      <x:c r="O1927" t="str">
        <x:v>kJ/m²</x:v>
      </x:c>
      <x:c r="P1927" t="str">
        <x:v>Published value</x:v>
      </x:c>
      <x:c r="Q1927" t="str">
        <x:v>Printed specimen</x:v>
      </x:c>
      <x:c r="R1927" t="str">
        <x:v>Not published</x:v>
      </x:c>
      <x:c r="S1927" t="str">
        <x:v>Not published</x:v>
      </x:c>
      <x:c r="T1927" t="str">
        <x:v>Not published</x:v>
      </x:c>
      <x:c r="U1927" t="str">
        <x:v>Not published</x:v>
      </x:c>
      <x:c r="V1927" t="str">
        <x:v>ISO 179</x:v>
      </x:c>
      <x:c r="W1927" t="str">
        <x:v>Notched</x:v>
      </x:c>
      <x:c r="X1927" t="str">
        <x:v>Printed at 230 °C nozzle, 50 °C bed, 100% infill, 2 shells, 3 top and bottom layers, ambient environment, cooling fan on</x:v>
      </x:c>
      <x:c r="Y1927" t="str">
        <x:v>R-POLYMAKER-PANCHROMA-TDS-V2-1</x:v>
      </x:c>
      <x:c r="Z1927" t="str">
        <x:v>Data table, CoPE: Notched Charpy impact strength</x:v>
      </x:c>
      <x:c r="AA1927" t="str">
        <x:v>Not applicable</x:v>
      </x:c>
      <x:c r="AB1927" t="str">
        <x:v>Not applicable</x:v>
      </x:c>
      <x:c r="AC1927" t="str">
        <x:v>Not applicable</x:v>
      </x:c>
      <x:c r="AD1927" t="str">
        <x:v>Not applicable</x:v>
      </x:c>
      <x:c r="AE1927" t="str">
        <x:v>Not applicable</x:v>
      </x:c>
      <x:c r="AF1927" t="str">
        <x:v>Not applicable</x:v>
      </x:c>
      <x:c r="AG1927" t="str">
        <x:v>Not applicable</x:v>
      </x:c>
    </x:row>
    <x:row r="1928">
      <x:c r="A1928" t="str">
        <x:v>V001925</x:v>
      </x:c>
      <x:c r="B1928" t="str">
        <x:v>M068</x:v>
      </x:c>
      <x:c r="C1928" t="str">
        <x:v>G068-02</x:v>
      </x:c>
      <x:c r="D1928" t="str">
        <x:v>Density</x:v>
      </x:c>
      <x:c r="E1928" t="str">
        <x:v>1.43 g/cm3 at 23°C</x:v>
      </x:c>
      <x:c r="F1928" t="str">
        <x:v>g/cm³</x:v>
      </x:c>
      <x:c r="G1928" t="str">
        <x:v>1.43</x:v>
      </x:c>
      <x:c r="H1928" t="str">
        <x:v>Not applicable</x:v>
      </x:c>
      <x:c r="I1928" t="str">
        <x:v>Not applicable</x:v>
      </x:c>
      <x:c r="J1928" t="str">
        <x:v>=</x:v>
      </x:c>
      <x:c r="K1928" t="str">
        <x:v>1000</x:v>
      </x:c>
      <x:c r="L1928" t="str">
        <x:v>1430</x:v>
      </x:c>
      <x:c r="M1928" t="str">
        <x:v>Not applicable</x:v>
      </x:c>
      <x:c r="N1928" t="str">
        <x:v>Not applicable</x:v>
      </x:c>
      <x:c r="O1928" t="str">
        <x:v>kg/m³</x:v>
      </x:c>
      <x:c r="P1928" t="str">
        <x:v>Published value</x:v>
      </x:c>
      <x:c r="Q1928" t="str">
        <x:v>Not published (density specimen form not explicitly established)</x:v>
      </x:c>
      <x:c r="R1928" t="str">
        <x:v>Not applicable</x:v>
      </x:c>
      <x:c r="S1928" t="str">
        <x:v>Not published</x:v>
      </x:c>
      <x:c r="T1928" t="str">
        <x:v>Not published</x:v>
      </x:c>
      <x:c r="U1928" t="str">
        <x:v>23 °C</x:v>
      </x:c>
      <x:c r="V1928" t="str">
        <x:v>ISO 1183, GB/T 1033</x:v>
      </x:c>
      <x:c r="W1928" t="str">
        <x:v>Not applicable</x:v>
      </x:c>
      <x:c r="X1928" t="str">
        <x:v>Not published</x:v>
      </x:c>
      <x:c r="Y1928" t="str">
        <x:v>R-FIBERON-PETGF15-TDS</x:v>
      </x:c>
      <x:c r="Z1928" t="str">
        <x:v>Physical properties: Density</x:v>
      </x:c>
      <x:c r="AA1928" t="str">
        <x:v>Not applicable</x:v>
      </x:c>
      <x:c r="AB1928" t="str">
        <x:v>Not applicable</x:v>
      </x:c>
      <x:c r="AC1928" t="str">
        <x:v>Not applicable</x:v>
      </x:c>
      <x:c r="AD1928" t="str">
        <x:v>Not applicable</x:v>
      </x:c>
      <x:c r="AE1928" t="str">
        <x:v>Not applicable</x:v>
      </x:c>
      <x:c r="AF1928" t="str">
        <x:v>Not applicable</x:v>
      </x:c>
      <x:c r="AG1928" t="str">
        <x:v>Not applicable</x:v>
      </x:c>
    </x:row>
    <x:row r="1929">
      <x:c r="A1929" t="str">
        <x:v>V001926</x:v>
      </x:c>
      <x:c r="B1929" t="str">
        <x:v>M068</x:v>
      </x:c>
      <x:c r="C1929" t="str">
        <x:v>G068-02</x:v>
      </x:c>
      <x:c r="D1929" t="str">
        <x:v>Melt mass-flow rate</x:v>
      </x:c>
      <x:c r="E1929" t="str">
        <x:v>36.9 g/10min</x:v>
      </x:c>
      <x:c r="F1929" t="str">
        <x:v>g/10 min</x:v>
      </x:c>
      <x:c r="G1929" t="str">
        <x:v>36.9</x:v>
      </x:c>
      <x:c r="H1929" t="str">
        <x:v>Not applicable</x:v>
      </x:c>
      <x:c r="I1929" t="str">
        <x:v>Not applicable</x:v>
      </x:c>
      <x:c r="J1929" t="str">
        <x:v>=</x:v>
      </x:c>
      <x:c r="K1929" t="str">
        <x:v>1</x:v>
      </x:c>
      <x:c r="L1929" t="str">
        <x:v>36.9</x:v>
      </x:c>
      <x:c r="M1929" t="str">
        <x:v>Not applicable</x:v>
      </x:c>
      <x:c r="N1929" t="str">
        <x:v>Not applicable</x:v>
      </x:c>
      <x:c r="O1929" t="str">
        <x:v>g/10 min</x:v>
      </x:c>
      <x:c r="P1929" t="str">
        <x:v>Published value</x:v>
      </x:c>
      <x:c r="Q1929" t="str">
        <x:v>Not published (do not assume printed)</x:v>
      </x:c>
      <x:c r="R1929" t="str">
        <x:v>Not applicable</x:v>
      </x:c>
      <x:c r="S1929" t="str">
        <x:v>Not published</x:v>
      </x:c>
      <x:c r="T1929" t="str">
        <x:v>Not published</x:v>
      </x:c>
      <x:c r="U1929" t="str">
        <x:v>Not published</x:v>
      </x:c>
      <x:c r="V1929" t="str">
        <x:v>270 °C, 2.16 kg</x:v>
      </x:c>
      <x:c r="W1929" t="str">
        <x:v>Not applicable</x:v>
      </x:c>
      <x:c r="X1929" t="str">
        <x:v>Not published</x:v>
      </x:c>
      <x:c r="Y1929" t="str">
        <x:v>R-FIBERON-PETGF15-TDS</x:v>
      </x:c>
      <x:c r="Z1929" t="str">
        <x:v>Physical properties: Melt index</x:v>
      </x:c>
      <x:c r="AA1929" t="str">
        <x:v>Not applicable</x:v>
      </x:c>
      <x:c r="AB1929" t="str">
        <x:v>Not applicable</x:v>
      </x:c>
      <x:c r="AC1929" t="str">
        <x:v>Not applicable</x:v>
      </x:c>
      <x:c r="AD1929" t="str">
        <x:v>Not applicable</x:v>
      </x:c>
      <x:c r="AE1929" t="str">
        <x:v>Not applicable</x:v>
      </x:c>
      <x:c r="AF1929" t="str">
        <x:v>Not applicable</x:v>
      </x:c>
      <x:c r="AG1929" t="str">
        <x:v>Not applicable</x:v>
      </x:c>
    </x:row>
    <x:row r="1930">
      <x:c r="A1930" t="str">
        <x:v>V001927</x:v>
      </x:c>
      <x:c r="B1930" t="str">
        <x:v>M068</x:v>
      </x:c>
      <x:c r="C1930" t="str">
        <x:v>G068-02</x:v>
      </x:c>
      <x:c r="D1930" t="str">
        <x:v>Glass transition temperature</x:v>
      </x:c>
      <x:c r="E1930" t="str">
        <x:v>59.5 °C</x:v>
      </x:c>
      <x:c r="F1930" t="str">
        <x:v>°C</x:v>
      </x:c>
      <x:c r="G1930" t="str">
        <x:v>59.5</x:v>
      </x:c>
      <x:c r="H1930" t="str">
        <x:v>Not applicable</x:v>
      </x:c>
      <x:c r="I1930" t="str">
        <x:v>Not applicable</x:v>
      </x:c>
      <x:c r="J1930" t="str">
        <x:v>=</x:v>
      </x:c>
      <x:c r="K1930" t="str">
        <x:v>1</x:v>
      </x:c>
      <x:c r="L1930" t="str">
        <x:v>59.5</x:v>
      </x:c>
      <x:c r="M1930" t="str">
        <x:v>Not applicable</x:v>
      </x:c>
      <x:c r="N1930" t="str">
        <x:v>Not applicable</x:v>
      </x:c>
      <x:c r="O1930" t="str">
        <x:v>°C</x:v>
      </x:c>
      <x:c r="P1930" t="str">
        <x:v>Published value</x:v>
      </x:c>
      <x:c r="Q1930" t="str">
        <x:v>Not published (do not assume printed)</x:v>
      </x:c>
      <x:c r="R1930" t="str">
        <x:v>Not applicable</x:v>
      </x:c>
      <x:c r="S1930" t="str">
        <x:v>Not published</x:v>
      </x:c>
      <x:c r="T1930" t="str">
        <x:v>Not published</x:v>
      </x:c>
      <x:c r="U1930" t="str">
        <x:v>Not published</x:v>
      </x:c>
      <x:c r="V1930" t="str">
        <x:v>DSC, 10 °C/min</x:v>
      </x:c>
      <x:c r="W1930" t="str">
        <x:v>Not applicable</x:v>
      </x:c>
      <x:c r="X1930" t="str">
        <x:v>Not published</x:v>
      </x:c>
      <x:c r="Y1930" t="str">
        <x:v>R-FIBERON-PETGF15-TDS</x:v>
      </x:c>
      <x:c r="Z1930" t="str">
        <x:v>Thermal properties: Glass transition temp.</x:v>
      </x:c>
      <x:c r="AA1930" t="str">
        <x:v>Not applicable</x:v>
      </x:c>
      <x:c r="AB1930" t="str">
        <x:v>Not applicable</x:v>
      </x:c>
      <x:c r="AC1930" t="str">
        <x:v>Not applicable</x:v>
      </x:c>
      <x:c r="AD1930" t="str">
        <x:v>Not applicable</x:v>
      </x:c>
      <x:c r="AE1930" t="str">
        <x:v>Not applicable</x:v>
      </x:c>
      <x:c r="AF1930" t="str">
        <x:v>Not applicable</x:v>
      </x:c>
      <x:c r="AG1930" t="str">
        <x:v>Not applicable</x:v>
      </x:c>
    </x:row>
    <x:row r="1931">
      <x:c r="A1931" t="str">
        <x:v>V001928</x:v>
      </x:c>
      <x:c r="B1931" t="str">
        <x:v>M068</x:v>
      </x:c>
      <x:c r="C1931" t="str">
        <x:v>G068-02</x:v>
      </x:c>
      <x:c r="D1931" t="str">
        <x:v>Melting temperature</x:v>
      </x:c>
      <x:c r="E1931" t="str">
        <x:v>231.6 °C</x:v>
      </x:c>
      <x:c r="F1931" t="str">
        <x:v>°C</x:v>
      </x:c>
      <x:c r="G1931" t="str">
        <x:v>231.6</x:v>
      </x:c>
      <x:c r="H1931" t="str">
        <x:v>Not applicable</x:v>
      </x:c>
      <x:c r="I1931" t="str">
        <x:v>Not applicable</x:v>
      </x:c>
      <x:c r="J1931" t="str">
        <x:v>=</x:v>
      </x:c>
      <x:c r="K1931" t="str">
        <x:v>1</x:v>
      </x:c>
      <x:c r="L1931" t="str">
        <x:v>231.6</x:v>
      </x:c>
      <x:c r="M1931" t="str">
        <x:v>Not applicable</x:v>
      </x:c>
      <x:c r="N1931" t="str">
        <x:v>Not applicable</x:v>
      </x:c>
      <x:c r="O1931" t="str">
        <x:v>°C</x:v>
      </x:c>
      <x:c r="P1931" t="str">
        <x:v>Published value</x:v>
      </x:c>
      <x:c r="Q1931" t="str">
        <x:v>Not published (do not assume printed)</x:v>
      </x:c>
      <x:c r="R1931" t="str">
        <x:v>Not applicable</x:v>
      </x:c>
      <x:c r="S1931" t="str">
        <x:v>Not published</x:v>
      </x:c>
      <x:c r="T1931" t="str">
        <x:v>Not published</x:v>
      </x:c>
      <x:c r="U1931" t="str">
        <x:v>Not published</x:v>
      </x:c>
      <x:c r="V1931" t="str">
        <x:v>DSC, 10 °C/min</x:v>
      </x:c>
      <x:c r="W1931" t="str">
        <x:v>Not applicable</x:v>
      </x:c>
      <x:c r="X1931" t="str">
        <x:v>Not published</x:v>
      </x:c>
      <x:c r="Y1931" t="str">
        <x:v>R-FIBERON-PETGF15-TDS</x:v>
      </x:c>
      <x:c r="Z1931" t="str">
        <x:v>Thermal properties: Melting temperature</x:v>
      </x:c>
      <x:c r="AA1931" t="str">
        <x:v>Not applicable</x:v>
      </x:c>
      <x:c r="AB1931" t="str">
        <x:v>Not applicable</x:v>
      </x:c>
      <x:c r="AC1931" t="str">
        <x:v>Not applicable</x:v>
      </x:c>
      <x:c r="AD1931" t="str">
        <x:v>Not applicable</x:v>
      </x:c>
      <x:c r="AE1931" t="str">
        <x:v>Not applicable</x:v>
      </x:c>
      <x:c r="AF1931" t="str">
        <x:v>Not applicable</x:v>
      </x:c>
      <x:c r="AG1931" t="str">
        <x:v>Not applicable</x:v>
      </x:c>
    </x:row>
    <x:row r="1932">
      <x:c r="A1932" t="str">
        <x:v>V001929</x:v>
      </x:c>
      <x:c r="B1932" t="str">
        <x:v>M068</x:v>
      </x:c>
      <x:c r="C1932" t="str">
        <x:v>G068-02</x:v>
      </x:c>
      <x:c r="D1932" t="str">
        <x:v>Vicat softening temperature</x:v>
      </x:c>
      <x:c r="E1932" t="str">
        <x:v>232.6 °C</x:v>
      </x:c>
      <x:c r="F1932" t="str">
        <x:v>°C</x:v>
      </x:c>
      <x:c r="G1932" t="str">
        <x:v>232.6</x:v>
      </x:c>
      <x:c r="H1932" t="str">
        <x:v>Not applicable</x:v>
      </x:c>
      <x:c r="I1932" t="str">
        <x:v>Not applicable</x:v>
      </x:c>
      <x:c r="J1932" t="str">
        <x:v>=</x:v>
      </x:c>
      <x:c r="K1932" t="str">
        <x:v>1</x:v>
      </x:c>
      <x:c r="L1932" t="str">
        <x:v>232.6</x:v>
      </x:c>
      <x:c r="M1932" t="str">
        <x:v>Not applicable</x:v>
      </x:c>
      <x:c r="N1932" t="str">
        <x:v>Not applicable</x:v>
      </x:c>
      <x:c r="O1932" t="str">
        <x:v>°C</x:v>
      </x:c>
      <x:c r="P1932" t="str">
        <x:v>Published value</x:v>
      </x:c>
      <x:c r="Q1932" t="str">
        <x:v>Not published (do not assume printed)</x:v>
      </x:c>
      <x:c r="R1932" t="str">
        <x:v>Not applicable</x:v>
      </x:c>
      <x:c r="S1932" t="str">
        <x:v>Not published</x:v>
      </x:c>
      <x:c r="T1932" t="str">
        <x:v>Not published</x:v>
      </x:c>
      <x:c r="U1932" t="str">
        <x:v>Not published</x:v>
      </x:c>
      <x:c r="V1932" t="str">
        <x:v>ISO 306, GB/T 1633</x:v>
      </x:c>
      <x:c r="W1932" t="str">
        <x:v>Not applicable</x:v>
      </x:c>
      <x:c r="X1932" t="str">
        <x:v>Not published</x:v>
      </x:c>
      <x:c r="Y1932" t="str">
        <x:v>R-FIBERON-PETGF15-TDS</x:v>
      </x:c>
      <x:c r="Z1932" t="str">
        <x:v>Thermal properties: Vicat softening temp.</x:v>
      </x:c>
      <x:c r="AA1932" t="str">
        <x:v>Recorded as published. The value sits 1 °C above the published melting temperature and was not reinterpreted.</x:v>
      </x:c>
      <x:c r="AB1932" t="str">
        <x:v>Not applicable</x:v>
      </x:c>
      <x:c r="AC1932" t="str">
        <x:v>Not applicable</x:v>
      </x:c>
      <x:c r="AD1932" t="str">
        <x:v>Not applicable</x:v>
      </x:c>
      <x:c r="AE1932" t="str">
        <x:v>Not applicable</x:v>
      </x:c>
      <x:c r="AF1932" t="str">
        <x:v>Not applicable</x:v>
      </x:c>
      <x:c r="AG1932" t="str">
        <x:v>Not applicable</x:v>
      </x:c>
    </x:row>
    <x:row r="1933">
      <x:c r="A1933" t="str">
        <x:v>V001930</x:v>
      </x:c>
      <x:c r="B1933" t="str">
        <x:v>M068</x:v>
      </x:c>
      <x:c r="C1933" t="str">
        <x:v>G068-02</x:v>
      </x:c>
      <x:c r="D1933" t="str">
        <x:v>HDT</x:v>
      </x:c>
      <x:c r="E1933" t="str">
        <x:v>71.8 °C (as printed)</x:v>
      </x:c>
      <x:c r="F1933" t="str">
        <x:v>°C</x:v>
      </x:c>
      <x:c r="G1933" t="str">
        <x:v>71.8</x:v>
      </x:c>
      <x:c r="H1933" t="str">
        <x:v>Not applicable</x:v>
      </x:c>
      <x:c r="I1933" t="str">
        <x:v>Not applicable</x:v>
      </x:c>
      <x:c r="J1933" t="str">
        <x:v>=</x:v>
      </x:c>
      <x:c r="K1933" t="str">
        <x:v>1</x:v>
      </x:c>
      <x:c r="L1933" t="str">
        <x:v>71.8</x:v>
      </x:c>
      <x:c r="M1933" t="str">
        <x:v>Not applicable</x:v>
      </x:c>
      <x:c r="N1933" t="str">
        <x:v>Not applicable</x:v>
      </x:c>
      <x:c r="O1933" t="str">
        <x:v>°C</x:v>
      </x:c>
      <x:c r="P1933" t="str">
        <x:v>Published value</x:v>
      </x:c>
      <x:c r="Q1933" t="str">
        <x:v>Printed specimen</x:v>
      </x:c>
      <x:c r="R1933" t="str">
        <x:v>Not applicable</x:v>
      </x:c>
      <x:c r="S1933" t="str">
        <x:v>Not published</x:v>
      </x:c>
      <x:c r="T1933" t="str">
        <x:v>As printed</x:v>
      </x:c>
      <x:c r="U1933" t="str">
        <x:v>Not published</x:v>
      </x:c>
      <x:c r="V1933" t="str">
        <x:v>ISO 75 1.8 MPa</x:v>
      </x:c>
      <x:c r="W1933" t="str">
        <x:v>Not applicable</x:v>
      </x:c>
      <x:c r="X1933" t="str">
        <x:v>Printed at 300 °C nozzle, 80 °C bed, 100% infill, 2 shells, 3 top and bottom layers, cooling fan off</x:v>
      </x:c>
      <x:c r="Y1933" t="str">
        <x:v>R-FIBERON-PETGF15-TDS</x:v>
      </x:c>
      <x:c r="Z1933" t="str">
        <x:v>Thermal properties: Heat deflection temp. (as printed)</x:v>
      </x:c>
      <x:c r="AA1933" t="str">
        <x:v>Not applicable</x:v>
      </x:c>
      <x:c r="AB1933" t="str">
        <x:v>Not applicable</x:v>
      </x:c>
      <x:c r="AC1933" t="str">
        <x:v>Not applicable</x:v>
      </x:c>
      <x:c r="AD1933" t="str">
        <x:v>Not applicable</x:v>
      </x:c>
      <x:c r="AE1933" t="str">
        <x:v>Not applicable</x:v>
      </x:c>
      <x:c r="AF1933" t="str">
        <x:v>Not applicable</x:v>
      </x:c>
      <x:c r="AG1933" t="str">
        <x:v>Not applicable</x:v>
      </x:c>
    </x:row>
    <x:row r="1934">
      <x:c r="A1934" t="str">
        <x:v>V001931</x:v>
      </x:c>
      <x:c r="B1934" t="str">
        <x:v>M068</x:v>
      </x:c>
      <x:c r="C1934" t="str">
        <x:v>G068-02</x:v>
      </x:c>
      <x:c r="D1934" t="str">
        <x:v>HDT</x:v>
      </x:c>
      <x:c r="E1934" t="str">
        <x:v>81.6 °C (as printed)</x:v>
      </x:c>
      <x:c r="F1934" t="str">
        <x:v>°C</x:v>
      </x:c>
      <x:c r="G1934" t="str">
        <x:v>81.6</x:v>
      </x:c>
      <x:c r="H1934" t="str">
        <x:v>Not applicable</x:v>
      </x:c>
      <x:c r="I1934" t="str">
        <x:v>Not applicable</x:v>
      </x:c>
      <x:c r="J1934" t="str">
        <x:v>=</x:v>
      </x:c>
      <x:c r="K1934" t="str">
        <x:v>1</x:v>
      </x:c>
      <x:c r="L1934" t="str">
        <x:v>81.6</x:v>
      </x:c>
      <x:c r="M1934" t="str">
        <x:v>Not applicable</x:v>
      </x:c>
      <x:c r="N1934" t="str">
        <x:v>Not applicable</x:v>
      </x:c>
      <x:c r="O1934" t="str">
        <x:v>°C</x:v>
      </x:c>
      <x:c r="P1934" t="str">
        <x:v>Published value</x:v>
      </x:c>
      <x:c r="Q1934" t="str">
        <x:v>Printed specimen</x:v>
      </x:c>
      <x:c r="R1934" t="str">
        <x:v>Not applicable</x:v>
      </x:c>
      <x:c r="S1934" t="str">
        <x:v>Not published</x:v>
      </x:c>
      <x:c r="T1934" t="str">
        <x:v>As printed</x:v>
      </x:c>
      <x:c r="U1934" t="str">
        <x:v>Not published</x:v>
      </x:c>
      <x:c r="V1934" t="str">
        <x:v>ISO 75 0.45 MPa</x:v>
      </x:c>
      <x:c r="W1934" t="str">
        <x:v>Not applicable</x:v>
      </x:c>
      <x:c r="X1934" t="str">
        <x:v>Printed at 300 °C nozzle, 80 °C bed, 100% infill, 2 shells, 3 top and bottom layers, cooling fan off</x:v>
      </x:c>
      <x:c r="Y1934" t="str">
        <x:v>R-FIBERON-PETGF15-TDS</x:v>
      </x:c>
      <x:c r="Z1934" t="str">
        <x:v>Thermal properties: Heat deflection temp. (as printed)</x:v>
      </x:c>
      <x:c r="AA1934" t="str">
        <x:v>Not applicable</x:v>
      </x:c>
      <x:c r="AB1934" t="str">
        <x:v>Not applicable</x:v>
      </x:c>
      <x:c r="AC1934" t="str">
        <x:v>Not applicable</x:v>
      </x:c>
      <x:c r="AD1934" t="str">
        <x:v>Not applicable</x:v>
      </x:c>
      <x:c r="AE1934" t="str">
        <x:v>Not applicable</x:v>
      </x:c>
      <x:c r="AF1934" t="str">
        <x:v>Not applicable</x:v>
      </x:c>
      <x:c r="AG1934" t="str">
        <x:v>Not applicable</x:v>
      </x:c>
    </x:row>
    <x:row r="1935">
      <x:c r="A1935" t="str">
        <x:v>V001932</x:v>
      </x:c>
      <x:c r="B1935" t="str">
        <x:v>M068</x:v>
      </x:c>
      <x:c r="C1935" t="str">
        <x:v>G068-02</x:v>
      </x:c>
      <x:c r="D1935" t="str">
        <x:v>HDT</x:v>
      </x:c>
      <x:c r="E1935" t="str">
        <x:v>87.3 °C (annealed)</x:v>
      </x:c>
      <x:c r="F1935" t="str">
        <x:v>°C</x:v>
      </x:c>
      <x:c r="G1935" t="str">
        <x:v>87.3</x:v>
      </x:c>
      <x:c r="H1935" t="str">
        <x:v>Not applicable</x:v>
      </x:c>
      <x:c r="I1935" t="str">
        <x:v>Not applicable</x:v>
      </x:c>
      <x:c r="J1935" t="str">
        <x:v>=</x:v>
      </x:c>
      <x:c r="K1935" t="str">
        <x:v>1</x:v>
      </x:c>
      <x:c r="L1935" t="str">
        <x:v>87.3</x:v>
      </x:c>
      <x:c r="M1935" t="str">
        <x:v>Not applicable</x:v>
      </x:c>
      <x:c r="N1935" t="str">
        <x:v>Not applicable</x:v>
      </x:c>
      <x:c r="O1935" t="str">
        <x:v>°C</x:v>
      </x:c>
      <x:c r="P1935" t="str">
        <x:v>Published value</x:v>
      </x:c>
      <x:c r="Q1935" t="str">
        <x:v>Printed specimen</x:v>
      </x:c>
      <x:c r="R1935" t="str">
        <x:v>Not applicable</x:v>
      </x:c>
      <x:c r="S1935" t="str">
        <x:v>Not published</x:v>
      </x:c>
      <x:c r="T1935" t="str">
        <x:v>Annealed (schedule not stated beside the HDT row)</x:v>
      </x:c>
      <x:c r="U1935" t="str">
        <x:v>Not published</x:v>
      </x:c>
      <x:c r="V1935" t="str">
        <x:v>ISO 75 1.8 MPa</x:v>
      </x:c>
      <x:c r="W1935" t="str">
        <x:v>Not applicable</x:v>
      </x:c>
      <x:c r="X1935" t="str">
        <x:v>Printed at 300 °C nozzle, 80 °C bed, 100% infill, 2 shells, 3 top and bottom layers, cooling fan off</x:v>
      </x:c>
      <x:c r="Y1935" t="str">
        <x:v>R-FIBERON-PETGF15-TDS</x:v>
      </x:c>
      <x:c r="Z1935" t="str">
        <x:v>Thermal properties: Heat deflection temp. (annealed)</x:v>
      </x:c>
      <x:c r="AA1935" t="str">
        <x:v>Not applicable</x:v>
      </x:c>
      <x:c r="AB1935" t="str">
        <x:v>Not applicable</x:v>
      </x:c>
      <x:c r="AC1935" t="str">
        <x:v>Not applicable</x:v>
      </x:c>
      <x:c r="AD1935" t="str">
        <x:v>Not applicable</x:v>
      </x:c>
      <x:c r="AE1935" t="str">
        <x:v>Not applicable</x:v>
      </x:c>
      <x:c r="AF1935" t="str">
        <x:v>Not applicable</x:v>
      </x:c>
      <x:c r="AG1935" t="str">
        <x:v>Not applicable</x:v>
      </x:c>
    </x:row>
    <x:row r="1936">
      <x:c r="A1936" t="str">
        <x:v>V001933</x:v>
      </x:c>
      <x:c r="B1936" t="str">
        <x:v>M068</x:v>
      </x:c>
      <x:c r="C1936" t="str">
        <x:v>G068-02</x:v>
      </x:c>
      <x:c r="D1936" t="str">
        <x:v>HDT</x:v>
      </x:c>
      <x:c r="E1936" t="str">
        <x:v>133.7 °C (annealed)</x:v>
      </x:c>
      <x:c r="F1936" t="str">
        <x:v>°C</x:v>
      </x:c>
      <x:c r="G1936" t="str">
        <x:v>133.7</x:v>
      </x:c>
      <x:c r="H1936" t="str">
        <x:v>Not applicable</x:v>
      </x:c>
      <x:c r="I1936" t="str">
        <x:v>Not applicable</x:v>
      </x:c>
      <x:c r="J1936" t="str">
        <x:v>=</x:v>
      </x:c>
      <x:c r="K1936" t="str">
        <x:v>1</x:v>
      </x:c>
      <x:c r="L1936" t="str">
        <x:v>133.7</x:v>
      </x:c>
      <x:c r="M1936" t="str">
        <x:v>Not applicable</x:v>
      </x:c>
      <x:c r="N1936" t="str">
        <x:v>Not applicable</x:v>
      </x:c>
      <x:c r="O1936" t="str">
        <x:v>°C</x:v>
      </x:c>
      <x:c r="P1936" t="str">
        <x:v>Published value</x:v>
      </x:c>
      <x:c r="Q1936" t="str">
        <x:v>Printed specimen</x:v>
      </x:c>
      <x:c r="R1936" t="str">
        <x:v>Not applicable</x:v>
      </x:c>
      <x:c r="S1936" t="str">
        <x:v>Not published</x:v>
      </x:c>
      <x:c r="T1936" t="str">
        <x:v>Annealed (schedule not stated beside the HDT row)</x:v>
      </x:c>
      <x:c r="U1936" t="str">
        <x:v>Not published</x:v>
      </x:c>
      <x:c r="V1936" t="str">
        <x:v>ISO 75 0.45 MPa</x:v>
      </x:c>
      <x:c r="W1936" t="str">
        <x:v>Not applicable</x:v>
      </x:c>
      <x:c r="X1936" t="str">
        <x:v>Printed at 300 °C nozzle, 80 °C bed, 100% infill, 2 shells, 3 top and bottom layers, cooling fan off</x:v>
      </x:c>
      <x:c r="Y1936" t="str">
        <x:v>R-FIBERON-PETGF15-TDS</x:v>
      </x:c>
      <x:c r="Z1936" t="str">
        <x:v>Thermal properties: Heat deflection temp. (annealed)</x:v>
      </x:c>
      <x:c r="AA1936" t="str">
        <x:v>The product page headlines this annealed figure. The as-printed value at the same load is 81.6 °C (separate row).</x:v>
      </x:c>
      <x:c r="AB1936" t="str">
        <x:v>Not applicable</x:v>
      </x:c>
      <x:c r="AC1936" t="str">
        <x:v>Not applicable</x:v>
      </x:c>
      <x:c r="AD1936" t="str">
        <x:v>Not applicable</x:v>
      </x:c>
      <x:c r="AE1936" t="str">
        <x:v>Not applicable</x:v>
      </x:c>
      <x:c r="AF1936" t="str">
        <x:v>Not applicable</x:v>
      </x:c>
      <x:c r="AG1936" t="str">
        <x:v>Not applicable</x:v>
      </x:c>
    </x:row>
    <x:row r="1937">
      <x:c r="A1937" t="str">
        <x:v>V001934</x:v>
      </x:c>
      <x:c r="B1937" t="str">
        <x:v>M068</x:v>
      </x:c>
      <x:c r="C1937" t="str">
        <x:v>G068-02</x:v>
      </x:c>
      <x:c r="D1937" t="str">
        <x:v>Tensile modulus</x:v>
      </x:c>
      <x:c r="E1937" t="str">
        <x:v>4144.2 ± 133.3 MPa</x:v>
      </x:c>
      <x:c r="F1937" t="str">
        <x:v>MPa</x:v>
      </x:c>
      <x:c r="G1937" t="str">
        <x:v>4144.2</x:v>
      </x:c>
      <x:c r="H1937" t="str">
        <x:v>133.3</x:v>
      </x:c>
      <x:c r="I1937" t="str">
        <x:v>Not applicable</x:v>
      </x:c>
      <x:c r="J1937" t="str">
        <x:v>=</x:v>
      </x:c>
      <x:c r="K1937" t="str">
        <x:v>0.001</x:v>
      </x:c>
      <x:c r="L1937" t="str">
        <x:v>4.1442</x:v>
      </x:c>
      <x:c r="M1937" t="str">
        <x:v>0.1333</x:v>
      </x:c>
      <x:c r="N1937" t="str">
        <x:v>Not applicable</x:v>
      </x:c>
      <x:c r="O1937" t="str">
        <x:v>GPa</x:v>
      </x:c>
      <x:c r="P1937" t="str">
        <x:v>Published value</x:v>
      </x:c>
      <x:c r="Q1937" t="str">
        <x:v>Printed specimen</x:v>
      </x:c>
      <x:c r="R1937" t="str">
        <x:v>XY</x:v>
      </x:c>
      <x:c r="S1937" t="str">
        <x:v>Not published</x:v>
      </x:c>
      <x:c r="T1937" t="str">
        <x:v>All specimens were annealed at 120 °C for 16 h (TDS note under the mechanical table)</x:v>
      </x:c>
      <x:c r="U1937" t="str">
        <x:v>Not published</x:v>
      </x:c>
      <x:c r="V1937" t="str">
        <x:v>ISO 527, GB/T 1040</x:v>
      </x:c>
      <x:c r="W1937" t="str">
        <x:v>Not applicable</x:v>
      </x:c>
      <x:c r="X1937" t="str">
        <x:v>Printed at 300 °C nozzle, 80 °C bed, 100% infill, 2 shells, 3 top and bottom layers, cooling fan off</x:v>
      </x:c>
      <x:c r="Y1937" t="str">
        <x:v>R-FIBERON-PETGF15-TDS</x:v>
      </x:c>
      <x:c r="Z1937" t="str">
        <x:v>Mechanical properties: Young's modulus (X-Y)</x:v>
      </x:c>
      <x:c r="AA1937" t="str">
        <x:v>Not applicable</x:v>
      </x:c>
      <x:c r="AB1937" t="str">
        <x:v>Not applicable</x:v>
      </x:c>
      <x:c r="AC1937" t="str">
        <x:v>Not applicable</x:v>
      </x:c>
      <x:c r="AD1937" t="str">
        <x:v>Not applicable</x:v>
      </x:c>
      <x:c r="AE1937" t="str">
        <x:v>Not applicable</x:v>
      </x:c>
      <x:c r="AF1937" t="str">
        <x:v>Not applicable</x:v>
      </x:c>
      <x:c r="AG1937" t="str">
        <x:v>Not applicable</x:v>
      </x:c>
    </x:row>
    <x:row r="1938">
      <x:c r="A1938" t="str">
        <x:v>V001935</x:v>
      </x:c>
      <x:c r="B1938" t="str">
        <x:v>M068</x:v>
      </x:c>
      <x:c r="C1938" t="str">
        <x:v>G068-02</x:v>
      </x:c>
      <x:c r="D1938" t="str">
        <x:v>Tensile modulus</x:v>
      </x:c>
      <x:c r="E1938" t="str">
        <x:v>3428.9 ± 257.2 MPa</x:v>
      </x:c>
      <x:c r="F1938" t="str">
        <x:v>MPa</x:v>
      </x:c>
      <x:c r="G1938" t="str">
        <x:v>3428.9</x:v>
      </x:c>
      <x:c r="H1938" t="str">
        <x:v>257.2</x:v>
      </x:c>
      <x:c r="I1938" t="str">
        <x:v>Not applicable</x:v>
      </x:c>
      <x:c r="J1938" t="str">
        <x:v>=</x:v>
      </x:c>
      <x:c r="K1938" t="str">
        <x:v>0.001</x:v>
      </x:c>
      <x:c r="L1938" t="str">
        <x:v>3.4289</x:v>
      </x:c>
      <x:c r="M1938" t="str">
        <x:v>0.2572</x:v>
      </x:c>
      <x:c r="N1938" t="str">
        <x:v>Not applicable</x:v>
      </x:c>
      <x:c r="O1938" t="str">
        <x:v>GPa</x:v>
      </x:c>
      <x:c r="P1938" t="str">
        <x:v>Published value</x:v>
      </x:c>
      <x:c r="Q1938" t="str">
        <x:v>Printed specimen</x:v>
      </x:c>
      <x:c r="R1938" t="str">
        <x:v>Z</x:v>
      </x:c>
      <x:c r="S1938" t="str">
        <x:v>Not published</x:v>
      </x:c>
      <x:c r="T1938" t="str">
        <x:v>All specimens were annealed at 120 °C for 16 h (TDS note under the mechanical table)</x:v>
      </x:c>
      <x:c r="U1938" t="str">
        <x:v>Not published</x:v>
      </x:c>
      <x:c r="V1938" t="str">
        <x:v>ISO 527, GB/T 1040</x:v>
      </x:c>
      <x:c r="W1938" t="str">
        <x:v>Not applicable</x:v>
      </x:c>
      <x:c r="X1938" t="str">
        <x:v>Printed at 300 °C nozzle, 80 °C bed, 100% infill, 2 shells, 3 top and bottom layers, cooling fan off</x:v>
      </x:c>
      <x:c r="Y1938" t="str">
        <x:v>R-FIBERON-PETGF15-TDS</x:v>
      </x:c>
      <x:c r="Z1938" t="str">
        <x:v>Mechanical properties: Young's modulus (Z)</x:v>
      </x:c>
      <x:c r="AA1938" t="str">
        <x:v>Not applicable</x:v>
      </x:c>
      <x:c r="AB1938" t="str">
        <x:v>Not applicable</x:v>
      </x:c>
      <x:c r="AC1938" t="str">
        <x:v>Not applicable</x:v>
      </x:c>
      <x:c r="AD1938" t="str">
        <x:v>Not applicable</x:v>
      </x:c>
      <x:c r="AE1938" t="str">
        <x:v>Not applicable</x:v>
      </x:c>
      <x:c r="AF1938" t="str">
        <x:v>Not applicable</x:v>
      </x:c>
      <x:c r="AG1938" t="str">
        <x:v>Not applicable</x:v>
      </x:c>
    </x:row>
    <x:row r="1939">
      <x:c r="A1939" t="str">
        <x:v>V001936</x:v>
      </x:c>
      <x:c r="B1939" t="str">
        <x:v>M068</x:v>
      </x:c>
      <x:c r="C1939" t="str">
        <x:v>G068-02</x:v>
      </x:c>
      <x:c r="D1939" t="str">
        <x:v>Tensile strength (endpoint unspecified)</x:v>
      </x:c>
      <x:c r="E1939" t="str">
        <x:v>59.9 ± 0.8 MPa</x:v>
      </x:c>
      <x:c r="F1939" t="str">
        <x:v>MPa</x:v>
      </x:c>
      <x:c r="G1939" t="str">
        <x:v>59.9</x:v>
      </x:c>
      <x:c r="H1939" t="str">
        <x:v>0.8</x:v>
      </x:c>
      <x:c r="I1939" t="str">
        <x:v>Not applicable</x:v>
      </x:c>
      <x:c r="J1939" t="str">
        <x:v>=</x:v>
      </x:c>
      <x:c r="K1939" t="str">
        <x:v>1</x:v>
      </x:c>
      <x:c r="L1939" t="str">
        <x:v>59.9</x:v>
      </x:c>
      <x:c r="M1939" t="str">
        <x:v>0.8</x:v>
      </x:c>
      <x:c r="N1939" t="str">
        <x:v>Not applicable</x:v>
      </x:c>
      <x:c r="O1939" t="str">
        <x:v>MPa</x:v>
      </x:c>
      <x:c r="P1939" t="str">
        <x:v>Published value</x:v>
      </x:c>
      <x:c r="Q1939" t="str">
        <x:v>Printed specimen</x:v>
      </x:c>
      <x:c r="R1939" t="str">
        <x:v>XY</x:v>
      </x:c>
      <x:c r="S1939" t="str">
        <x:v>Not published</x:v>
      </x:c>
      <x:c r="T1939" t="str">
        <x:v>All specimens were annealed at 120 °C for 16 h (TDS note under the mechanical table)</x:v>
      </x:c>
      <x:c r="U1939" t="str">
        <x:v>Not published</x:v>
      </x:c>
      <x:c r="V1939" t="str">
        <x:v>ISO 527, GB/T 1040</x:v>
      </x:c>
      <x:c r="W1939" t="str">
        <x:v>Not applicable</x:v>
      </x:c>
      <x:c r="X1939" t="str">
        <x:v>Printed at 300 °C nozzle, 80 °C bed, 100% infill, 2 shells, 3 top and bottom layers, cooling fan off</x:v>
      </x:c>
      <x:c r="Y1939" t="str">
        <x:v>R-FIBERON-PETGF15-TDS</x:v>
      </x:c>
      <x:c r="Z1939" t="str">
        <x:v>Mechanical properties: Tensile strength (X-Y)</x:v>
      </x:c>
      <x:c r="AA1939" t="str">
        <x:v>Not applicable</x:v>
      </x:c>
      <x:c r="AB1939" t="str">
        <x:v>Not applicable</x:v>
      </x:c>
      <x:c r="AC1939" t="str">
        <x:v>Not applicable</x:v>
      </x:c>
      <x:c r="AD1939" t="str">
        <x:v>Not applicable</x:v>
      </x:c>
      <x:c r="AE1939" t="str">
        <x:v>Not applicable</x:v>
      </x:c>
      <x:c r="AF1939" t="str">
        <x:v>Not applicable</x:v>
      </x:c>
      <x:c r="AG1939" t="str">
        <x:v>Not applicable</x:v>
      </x:c>
    </x:row>
    <x:row r="1940">
      <x:c r="A1940" t="str">
        <x:v>V001937</x:v>
      </x:c>
      <x:c r="B1940" t="str">
        <x:v>M068</x:v>
      </x:c>
      <x:c r="C1940" t="str">
        <x:v>G068-02</x:v>
      </x:c>
      <x:c r="D1940" t="str">
        <x:v>Tensile strength (endpoint unspecified)</x:v>
      </x:c>
      <x:c r="E1940" t="str">
        <x:v>48.2 ± 0.3 MPa</x:v>
      </x:c>
      <x:c r="F1940" t="str">
        <x:v>MPa</x:v>
      </x:c>
      <x:c r="G1940" t="str">
        <x:v>48.2</x:v>
      </x:c>
      <x:c r="H1940" t="str">
        <x:v>0.3</x:v>
      </x:c>
      <x:c r="I1940" t="str">
        <x:v>Not applicable</x:v>
      </x:c>
      <x:c r="J1940" t="str">
        <x:v>=</x:v>
      </x:c>
      <x:c r="K1940" t="str">
        <x:v>1</x:v>
      </x:c>
      <x:c r="L1940" t="str">
        <x:v>48.2</x:v>
      </x:c>
      <x:c r="M1940" t="str">
        <x:v>0.3</x:v>
      </x:c>
      <x:c r="N1940" t="str">
        <x:v>Not applicable</x:v>
      </x:c>
      <x:c r="O1940" t="str">
        <x:v>MPa</x:v>
      </x:c>
      <x:c r="P1940" t="str">
        <x:v>Published value</x:v>
      </x:c>
      <x:c r="Q1940" t="str">
        <x:v>Printed specimen</x:v>
      </x:c>
      <x:c r="R1940" t="str">
        <x:v>Z</x:v>
      </x:c>
      <x:c r="S1940" t="str">
        <x:v>Not published</x:v>
      </x:c>
      <x:c r="T1940" t="str">
        <x:v>All specimens were annealed at 120 °C for 16 h (TDS note under the mechanical table)</x:v>
      </x:c>
      <x:c r="U1940" t="str">
        <x:v>Not published</x:v>
      </x:c>
      <x:c r="V1940" t="str">
        <x:v>ISO 527, GB/T 1040</x:v>
      </x:c>
      <x:c r="W1940" t="str">
        <x:v>Not applicable</x:v>
      </x:c>
      <x:c r="X1940" t="str">
        <x:v>Printed at 300 °C nozzle, 80 °C bed, 100% infill, 2 shells, 3 top and bottom layers, cooling fan off</x:v>
      </x:c>
      <x:c r="Y1940" t="str">
        <x:v>R-FIBERON-PETGF15-TDS</x:v>
      </x:c>
      <x:c r="Z1940" t="str">
        <x:v>Mechanical properties: Tensile strength (Z)</x:v>
      </x:c>
      <x:c r="AA1940" t="str">
        <x:v>Not applicable</x:v>
      </x:c>
      <x:c r="AB1940" t="str">
        <x:v>Not applicable</x:v>
      </x:c>
      <x:c r="AC1940" t="str">
        <x:v>Not applicable</x:v>
      </x:c>
      <x:c r="AD1940" t="str">
        <x:v>Not applicable</x:v>
      </x:c>
      <x:c r="AE1940" t="str">
        <x:v>Not applicable</x:v>
      </x:c>
      <x:c r="AF1940" t="str">
        <x:v>Not applicable</x:v>
      </x:c>
      <x:c r="AG1940" t="str">
        <x:v>Not applicable</x:v>
      </x:c>
    </x:row>
    <x:row r="1941">
      <x:c r="A1941" t="str">
        <x:v>V001938</x:v>
      </x:c>
      <x:c r="B1941" t="str">
        <x:v>M068</x:v>
      </x:c>
      <x:c r="C1941" t="str">
        <x:v>G068-02</x:v>
      </x:c>
      <x:c r="D1941" t="str">
        <x:v>Elongation at break</x:v>
      </x:c>
      <x:c r="E1941" t="str">
        <x:v>4.0 ± 0.5 %</x:v>
      </x:c>
      <x:c r="F1941" t="str">
        <x:v>%</x:v>
      </x:c>
      <x:c r="G1941" t="str">
        <x:v>4.0</x:v>
      </x:c>
      <x:c r="H1941" t="str">
        <x:v>0.5</x:v>
      </x:c>
      <x:c r="I1941" t="str">
        <x:v>Not applicable</x:v>
      </x:c>
      <x:c r="J1941" t="str">
        <x:v>=</x:v>
      </x:c>
      <x:c r="K1941" t="str">
        <x:v>1</x:v>
      </x:c>
      <x:c r="L1941" t="str">
        <x:v>4</x:v>
      </x:c>
      <x:c r="M1941" t="str">
        <x:v>0.5</x:v>
      </x:c>
      <x:c r="N1941" t="str">
        <x:v>Not applicable</x:v>
      </x:c>
      <x:c r="O1941" t="str">
        <x:v>%</x:v>
      </x:c>
      <x:c r="P1941" t="str">
        <x:v>Published value</x:v>
      </x:c>
      <x:c r="Q1941" t="str">
        <x:v>Printed specimen</x:v>
      </x:c>
      <x:c r="R1941" t="str">
        <x:v>XY</x:v>
      </x:c>
      <x:c r="S1941" t="str">
        <x:v>Not published</x:v>
      </x:c>
      <x:c r="T1941" t="str">
        <x:v>All specimens were annealed at 120 °C for 16 h (TDS note under the mechanical table)</x:v>
      </x:c>
      <x:c r="U1941" t="str">
        <x:v>Not published</x:v>
      </x:c>
      <x:c r="V1941" t="str">
        <x:v>ISO 527, GB/T 1040</x:v>
      </x:c>
      <x:c r="W1941" t="str">
        <x:v>Not applicable</x:v>
      </x:c>
      <x:c r="X1941" t="str">
        <x:v>Printed at 300 °C nozzle, 80 °C bed, 100% infill, 2 shells, 3 top and bottom layers, cooling fan off</x:v>
      </x:c>
      <x:c r="Y1941" t="str">
        <x:v>R-FIBERON-PETGF15-TDS</x:v>
      </x:c>
      <x:c r="Z1941" t="str">
        <x:v>Mechanical properties: Elongation at break (X-Y)</x:v>
      </x:c>
      <x:c r="AA1941" t="str">
        <x:v>Not applicable</x:v>
      </x:c>
      <x:c r="AB1941" t="str">
        <x:v>Not applicable</x:v>
      </x:c>
      <x:c r="AC1941" t="str">
        <x:v>Not applicable</x:v>
      </x:c>
      <x:c r="AD1941" t="str">
        <x:v>Not applicable</x:v>
      </x:c>
      <x:c r="AE1941" t="str">
        <x:v>Not applicable</x:v>
      </x:c>
      <x:c r="AF1941" t="str">
        <x:v>Not applicable</x:v>
      </x:c>
      <x:c r="AG1941" t="str">
        <x:v>Not applicable</x:v>
      </x:c>
    </x:row>
    <x:row r="1942">
      <x:c r="A1942" t="str">
        <x:v>V001939</x:v>
      </x:c>
      <x:c r="B1942" t="str">
        <x:v>M068</x:v>
      </x:c>
      <x:c r="C1942" t="str">
        <x:v>G068-02</x:v>
      </x:c>
      <x:c r="D1942" t="str">
        <x:v>Elongation at break</x:v>
      </x:c>
      <x:c r="E1942" t="str">
        <x:v>2.6 ± 0.1 %</x:v>
      </x:c>
      <x:c r="F1942" t="str">
        <x:v>%</x:v>
      </x:c>
      <x:c r="G1942" t="str">
        <x:v>2.6</x:v>
      </x:c>
      <x:c r="H1942" t="str">
        <x:v>0.1</x:v>
      </x:c>
      <x:c r="I1942" t="str">
        <x:v>Not applicable</x:v>
      </x:c>
      <x:c r="J1942" t="str">
        <x:v>=</x:v>
      </x:c>
      <x:c r="K1942" t="str">
        <x:v>1</x:v>
      </x:c>
      <x:c r="L1942" t="str">
        <x:v>2.6</x:v>
      </x:c>
      <x:c r="M1942" t="str">
        <x:v>0.1</x:v>
      </x:c>
      <x:c r="N1942" t="str">
        <x:v>Not applicable</x:v>
      </x:c>
      <x:c r="O1942" t="str">
        <x:v>%</x:v>
      </x:c>
      <x:c r="P1942" t="str">
        <x:v>Published value</x:v>
      </x:c>
      <x:c r="Q1942" t="str">
        <x:v>Printed specimen</x:v>
      </x:c>
      <x:c r="R1942" t="str">
        <x:v>Z</x:v>
      </x:c>
      <x:c r="S1942" t="str">
        <x:v>Not published</x:v>
      </x:c>
      <x:c r="T1942" t="str">
        <x:v>All specimens were annealed at 120 °C for 16 h (TDS note under the mechanical table)</x:v>
      </x:c>
      <x:c r="U1942" t="str">
        <x:v>Not published</x:v>
      </x:c>
      <x:c r="V1942" t="str">
        <x:v>ISO 527, GB/T 1040</x:v>
      </x:c>
      <x:c r="W1942" t="str">
        <x:v>Not applicable</x:v>
      </x:c>
      <x:c r="X1942" t="str">
        <x:v>Printed at 300 °C nozzle, 80 °C bed, 100% infill, 2 shells, 3 top and bottom layers, cooling fan off</x:v>
      </x:c>
      <x:c r="Y1942" t="str">
        <x:v>R-FIBERON-PETGF15-TDS</x:v>
      </x:c>
      <x:c r="Z1942" t="str">
        <x:v>Mechanical properties: Elongation at break (Z)</x:v>
      </x:c>
      <x:c r="AA1942" t="str">
        <x:v>Not applicable</x:v>
      </x:c>
      <x:c r="AB1942" t="str">
        <x:v>Not applicable</x:v>
      </x:c>
      <x:c r="AC1942" t="str">
        <x:v>Not applicable</x:v>
      </x:c>
      <x:c r="AD1942" t="str">
        <x:v>Not applicable</x:v>
      </x:c>
      <x:c r="AE1942" t="str">
        <x:v>Not applicable</x:v>
      </x:c>
      <x:c r="AF1942" t="str">
        <x:v>Not applicable</x:v>
      </x:c>
      <x:c r="AG1942" t="str">
        <x:v>Not applicable</x:v>
      </x:c>
    </x:row>
    <x:row r="1943">
      <x:c r="A1943" t="str">
        <x:v>V001940</x:v>
      </x:c>
      <x:c r="B1943" t="str">
        <x:v>M068</x:v>
      </x:c>
      <x:c r="C1943" t="str">
        <x:v>G068-02</x:v>
      </x:c>
      <x:c r="D1943" t="str">
        <x:v>Flexural modulus</x:v>
      </x:c>
      <x:c r="E1943" t="str">
        <x:v>3705.4 ± 84.5 MPa</x:v>
      </x:c>
      <x:c r="F1943" t="str">
        <x:v>MPa</x:v>
      </x:c>
      <x:c r="G1943" t="str">
        <x:v>3705.4</x:v>
      </x:c>
      <x:c r="H1943" t="str">
        <x:v>84.5</x:v>
      </x:c>
      <x:c r="I1943" t="str">
        <x:v>Not applicable</x:v>
      </x:c>
      <x:c r="J1943" t="str">
        <x:v>=</x:v>
      </x:c>
      <x:c r="K1943" t="str">
        <x:v>0.001</x:v>
      </x:c>
      <x:c r="L1943" t="str">
        <x:v>3.7054</x:v>
      </x:c>
      <x:c r="M1943" t="str">
        <x:v>0.0845</x:v>
      </x:c>
      <x:c r="N1943" t="str">
        <x:v>Not applicable</x:v>
      </x:c>
      <x:c r="O1943" t="str">
        <x:v>GPa</x:v>
      </x:c>
      <x:c r="P1943" t="str">
        <x:v>Published value</x:v>
      </x:c>
      <x:c r="Q1943" t="str">
        <x:v>Printed specimen</x:v>
      </x:c>
      <x:c r="R1943" t="str">
        <x:v>XY</x:v>
      </x:c>
      <x:c r="S1943" t="str">
        <x:v>Not published</x:v>
      </x:c>
      <x:c r="T1943" t="str">
        <x:v>All specimens were annealed at 120 °C for 16 h (TDS note under the mechanical table)</x:v>
      </x:c>
      <x:c r="U1943" t="str">
        <x:v>Not published</x:v>
      </x:c>
      <x:c r="V1943" t="str">
        <x:v>ISO 178, GB/T 9341</x:v>
      </x:c>
      <x:c r="W1943" t="str">
        <x:v>Not applicable</x:v>
      </x:c>
      <x:c r="X1943" t="str">
        <x:v>Printed at 300 °C nozzle, 80 °C bed, 100% infill, 2 shells, 3 top and bottom layers, cooling fan off</x:v>
      </x:c>
      <x:c r="Y1943" t="str">
        <x:v>R-FIBERON-PETGF15-TDS</x:v>
      </x:c>
      <x:c r="Z1943" t="str">
        <x:v>Mechanical properties: Bending modulus (X-Y)</x:v>
      </x:c>
      <x:c r="AA1943" t="str">
        <x:v>Not applicable</x:v>
      </x:c>
      <x:c r="AB1943" t="str">
        <x:v>Not applicable</x:v>
      </x:c>
      <x:c r="AC1943" t="str">
        <x:v>Not applicable</x:v>
      </x:c>
      <x:c r="AD1943" t="str">
        <x:v>Not applicable</x:v>
      </x:c>
      <x:c r="AE1943" t="str">
        <x:v>Not applicable</x:v>
      </x:c>
      <x:c r="AF1943" t="str">
        <x:v>Not applicable</x:v>
      </x:c>
      <x:c r="AG1943" t="str">
        <x:v>Not applicable</x:v>
      </x:c>
    </x:row>
    <x:row r="1944">
      <x:c r="A1944" t="str">
        <x:v>V001941</x:v>
      </x:c>
      <x:c r="B1944" t="str">
        <x:v>M068</x:v>
      </x:c>
      <x:c r="C1944" t="str">
        <x:v>G068-02</x:v>
      </x:c>
      <x:c r="D1944" t="str">
        <x:v>Flexural modulus</x:v>
      </x:c>
      <x:c r="E1944" t="str">
        <x:v>2998.4 ± 92.3 MPa</x:v>
      </x:c>
      <x:c r="F1944" t="str">
        <x:v>MPa</x:v>
      </x:c>
      <x:c r="G1944" t="str">
        <x:v>2998.4</x:v>
      </x:c>
      <x:c r="H1944" t="str">
        <x:v>92.3</x:v>
      </x:c>
      <x:c r="I1944" t="str">
        <x:v>Not applicable</x:v>
      </x:c>
      <x:c r="J1944" t="str">
        <x:v>=</x:v>
      </x:c>
      <x:c r="K1944" t="str">
        <x:v>0.001</x:v>
      </x:c>
      <x:c r="L1944" t="str">
        <x:v>2.9984</x:v>
      </x:c>
      <x:c r="M1944" t="str">
        <x:v>0.0923</x:v>
      </x:c>
      <x:c r="N1944" t="str">
        <x:v>Not applicable</x:v>
      </x:c>
      <x:c r="O1944" t="str">
        <x:v>GPa</x:v>
      </x:c>
      <x:c r="P1944" t="str">
        <x:v>Published value</x:v>
      </x:c>
      <x:c r="Q1944" t="str">
        <x:v>Printed specimen</x:v>
      </x:c>
      <x:c r="R1944" t="str">
        <x:v>Z</x:v>
      </x:c>
      <x:c r="S1944" t="str">
        <x:v>Not published</x:v>
      </x:c>
      <x:c r="T1944" t="str">
        <x:v>All specimens were annealed at 120 °C for 16 h (TDS note under the mechanical table)</x:v>
      </x:c>
      <x:c r="U1944" t="str">
        <x:v>Not published</x:v>
      </x:c>
      <x:c r="V1944" t="str">
        <x:v>ISO 178, GB/T 9341</x:v>
      </x:c>
      <x:c r="W1944" t="str">
        <x:v>Not applicable</x:v>
      </x:c>
      <x:c r="X1944" t="str">
        <x:v>Printed at 300 °C nozzle, 80 °C bed, 100% infill, 2 shells, 3 top and bottom layers, cooling fan off</x:v>
      </x:c>
      <x:c r="Y1944" t="str">
        <x:v>R-FIBERON-PETGF15-TDS</x:v>
      </x:c>
      <x:c r="Z1944" t="str">
        <x:v>Mechanical properties: Bending modulus (Z)</x:v>
      </x:c>
      <x:c r="AA1944" t="str">
        <x:v>Not applicable</x:v>
      </x:c>
      <x:c r="AB1944" t="str">
        <x:v>Not applicable</x:v>
      </x:c>
      <x:c r="AC1944" t="str">
        <x:v>Not applicable</x:v>
      </x:c>
      <x:c r="AD1944" t="str">
        <x:v>Not applicable</x:v>
      </x:c>
      <x:c r="AE1944" t="str">
        <x:v>Not applicable</x:v>
      </x:c>
      <x:c r="AF1944" t="str">
        <x:v>Not applicable</x:v>
      </x:c>
      <x:c r="AG1944" t="str">
        <x:v>Not applicable</x:v>
      </x:c>
    </x:row>
    <x:row r="1945">
      <x:c r="A1945" t="str">
        <x:v>V001942</x:v>
      </x:c>
      <x:c r="B1945" t="str">
        <x:v>M068</x:v>
      </x:c>
      <x:c r="C1945" t="str">
        <x:v>G068-02</x:v>
      </x:c>
      <x:c r="D1945" t="str">
        <x:v>Flexural strength</x:v>
      </x:c>
      <x:c r="E1945" t="str">
        <x:v>104.2 ± 2.4 MPa</x:v>
      </x:c>
      <x:c r="F1945" t="str">
        <x:v>MPa</x:v>
      </x:c>
      <x:c r="G1945" t="str">
        <x:v>104.2</x:v>
      </x:c>
      <x:c r="H1945" t="str">
        <x:v>2.4</x:v>
      </x:c>
      <x:c r="I1945" t="str">
        <x:v>Not applicable</x:v>
      </x:c>
      <x:c r="J1945" t="str">
        <x:v>=</x:v>
      </x:c>
      <x:c r="K1945" t="str">
        <x:v>1</x:v>
      </x:c>
      <x:c r="L1945" t="str">
        <x:v>104.2</x:v>
      </x:c>
      <x:c r="M1945" t="str">
        <x:v>2.4</x:v>
      </x:c>
      <x:c r="N1945" t="str">
        <x:v>Not applicable</x:v>
      </x:c>
      <x:c r="O1945" t="str">
        <x:v>MPa</x:v>
      </x:c>
      <x:c r="P1945" t="str">
        <x:v>Published value</x:v>
      </x:c>
      <x:c r="Q1945" t="str">
        <x:v>Printed specimen</x:v>
      </x:c>
      <x:c r="R1945" t="str">
        <x:v>XY</x:v>
      </x:c>
      <x:c r="S1945" t="str">
        <x:v>Not published</x:v>
      </x:c>
      <x:c r="T1945" t="str">
        <x:v>All specimens were annealed at 120 °C for 16 h (TDS note under the mechanical table)</x:v>
      </x:c>
      <x:c r="U1945" t="str">
        <x:v>Not published</x:v>
      </x:c>
      <x:c r="V1945" t="str">
        <x:v>ISO 178, GB/T 9341</x:v>
      </x:c>
      <x:c r="W1945" t="str">
        <x:v>Not applicable</x:v>
      </x:c>
      <x:c r="X1945" t="str">
        <x:v>Printed at 300 °C nozzle, 80 °C bed, 100% infill, 2 shells, 3 top and bottom layers, cooling fan off</x:v>
      </x:c>
      <x:c r="Y1945" t="str">
        <x:v>R-FIBERON-PETGF15-TDS</x:v>
      </x:c>
      <x:c r="Z1945" t="str">
        <x:v>Mechanical properties: Bending strength (X-Y)</x:v>
      </x:c>
      <x:c r="AA1945" t="str">
        <x:v>Not applicable</x:v>
      </x:c>
      <x:c r="AB1945" t="str">
        <x:v>Not applicable</x:v>
      </x:c>
      <x:c r="AC1945" t="str">
        <x:v>Not applicable</x:v>
      </x:c>
      <x:c r="AD1945" t="str">
        <x:v>Not applicable</x:v>
      </x:c>
      <x:c r="AE1945" t="str">
        <x:v>Not applicable</x:v>
      </x:c>
      <x:c r="AF1945" t="str">
        <x:v>Not applicable</x:v>
      </x:c>
      <x:c r="AG1945" t="str">
        <x:v>Not applicable</x:v>
      </x:c>
    </x:row>
    <x:row r="1946">
      <x:c r="A1946" t="str">
        <x:v>V001943</x:v>
      </x:c>
      <x:c r="B1946" t="str">
        <x:v>M068</x:v>
      </x:c>
      <x:c r="C1946" t="str">
        <x:v>G068-02</x:v>
      </x:c>
      <x:c r="D1946" t="str">
        <x:v>Flexural strength</x:v>
      </x:c>
      <x:c r="E1946" t="str">
        <x:v>80.3 ± 2.5 MPa</x:v>
      </x:c>
      <x:c r="F1946" t="str">
        <x:v>MPa</x:v>
      </x:c>
      <x:c r="G1946" t="str">
        <x:v>80.3</x:v>
      </x:c>
      <x:c r="H1946" t="str">
        <x:v>2.5</x:v>
      </x:c>
      <x:c r="I1946" t="str">
        <x:v>Not applicable</x:v>
      </x:c>
      <x:c r="J1946" t="str">
        <x:v>=</x:v>
      </x:c>
      <x:c r="K1946" t="str">
        <x:v>1</x:v>
      </x:c>
      <x:c r="L1946" t="str">
        <x:v>80.3</x:v>
      </x:c>
      <x:c r="M1946" t="str">
        <x:v>2.5</x:v>
      </x:c>
      <x:c r="N1946" t="str">
        <x:v>Not applicable</x:v>
      </x:c>
      <x:c r="O1946" t="str">
        <x:v>MPa</x:v>
      </x:c>
      <x:c r="P1946" t="str">
        <x:v>Published value</x:v>
      </x:c>
      <x:c r="Q1946" t="str">
        <x:v>Printed specimen</x:v>
      </x:c>
      <x:c r="R1946" t="str">
        <x:v>Z</x:v>
      </x:c>
      <x:c r="S1946" t="str">
        <x:v>Not published</x:v>
      </x:c>
      <x:c r="T1946" t="str">
        <x:v>All specimens were annealed at 120 °C for 16 h (TDS note under the mechanical table)</x:v>
      </x:c>
      <x:c r="U1946" t="str">
        <x:v>Not published</x:v>
      </x:c>
      <x:c r="V1946" t="str">
        <x:v>ISO 178, GB/T 9341</x:v>
      </x:c>
      <x:c r="W1946" t="str">
        <x:v>Not applicable</x:v>
      </x:c>
      <x:c r="X1946" t="str">
        <x:v>Printed at 300 °C nozzle, 80 °C bed, 100% infill, 2 shells, 3 top and bottom layers, cooling fan off</x:v>
      </x:c>
      <x:c r="Y1946" t="str">
        <x:v>R-FIBERON-PETGF15-TDS</x:v>
      </x:c>
      <x:c r="Z1946" t="str">
        <x:v>Mechanical properties: Bending strength (Z)</x:v>
      </x:c>
      <x:c r="AA1946" t="str">
        <x:v>Not applicable</x:v>
      </x:c>
      <x:c r="AB1946" t="str">
        <x:v>Not applicable</x:v>
      </x:c>
      <x:c r="AC1946" t="str">
        <x:v>Not applicable</x:v>
      </x:c>
      <x:c r="AD1946" t="str">
        <x:v>Not applicable</x:v>
      </x:c>
      <x:c r="AE1946" t="str">
        <x:v>Not applicable</x:v>
      </x:c>
      <x:c r="AF1946" t="str">
        <x:v>Not applicable</x:v>
      </x:c>
      <x:c r="AG1946" t="str">
        <x:v>Not applicable</x:v>
      </x:c>
    </x:row>
    <x:row r="1947">
      <x:c r="A1947" t="str">
        <x:v>V001944</x:v>
      </x:c>
      <x:c r="B1947" t="str">
        <x:v>M068</x:v>
      </x:c>
      <x:c r="C1947" t="str">
        <x:v>G068-02</x:v>
      </x:c>
      <x:c r="D1947" t="str">
        <x:v>Charpy strength</x:v>
      </x:c>
      <x:c r="E1947" t="str">
        <x:v>8.7 ± 0.6 kJ/m2</x:v>
      </x:c>
      <x:c r="F1947" t="str">
        <x:v>kJ/m²</x:v>
      </x:c>
      <x:c r="G1947" t="str">
        <x:v>8.7</x:v>
      </x:c>
      <x:c r="H1947" t="str">
        <x:v>0.6</x:v>
      </x:c>
      <x:c r="I1947" t="str">
        <x:v>Not applicable</x:v>
      </x:c>
      <x:c r="J1947" t="str">
        <x:v>=</x:v>
      </x:c>
      <x:c r="K1947" t="str">
        <x:v>1</x:v>
      </x:c>
      <x:c r="L1947" t="str">
        <x:v>8.7</x:v>
      </x:c>
      <x:c r="M1947" t="str">
        <x:v>0.6</x:v>
      </x:c>
      <x:c r="N1947" t="str">
        <x:v>Not applicable</x:v>
      </x:c>
      <x:c r="O1947" t="str">
        <x:v>kJ/m²</x:v>
      </x:c>
      <x:c r="P1947" t="str">
        <x:v>Published value</x:v>
      </x:c>
      <x:c r="Q1947" t="str">
        <x:v>Printed specimen</x:v>
      </x:c>
      <x:c r="R1947" t="str">
        <x:v>XY</x:v>
      </x:c>
      <x:c r="S1947" t="str">
        <x:v>Not published</x:v>
      </x:c>
      <x:c r="T1947" t="str">
        <x:v>All specimens were annealed at 120 °C for 16 h (TDS note under the mechanical table)</x:v>
      </x:c>
      <x:c r="U1947" t="str">
        <x:v>Not published</x:v>
      </x:c>
      <x:c r="V1947" t="str">
        <x:v>ISO 179, GB/T 1043</x:v>
      </x:c>
      <x:c r="W1947" t="str">
        <x:v>Notched</x:v>
      </x:c>
      <x:c r="X1947" t="str">
        <x:v>Printed at 300 °C nozzle, 80 °C bed, 100% infill, 2 shells, 3 top and bottom layers, cooling fan off</x:v>
      </x:c>
      <x:c r="Y1947" t="str">
        <x:v>R-FIBERON-PETGF15-TDS</x:v>
      </x:c>
      <x:c r="Z1947" t="str">
        <x:v>Mechanical properties: Charpy impact strength (X-Y) notched</x:v>
      </x:c>
      <x:c r="AA1947" t="str">
        <x:v>Not applicable</x:v>
      </x:c>
      <x:c r="AB1947" t="str">
        <x:v>Not applicable</x:v>
      </x:c>
      <x:c r="AC1947" t="str">
        <x:v>Not applicable</x:v>
      </x:c>
      <x:c r="AD1947" t="str">
        <x:v>Not applicable</x:v>
      </x:c>
      <x:c r="AE1947" t="str">
        <x:v>Not applicable</x:v>
      </x:c>
      <x:c r="AF1947" t="str">
        <x:v>Not applicable</x:v>
      </x:c>
      <x:c r="AG1947" t="str">
        <x:v>Not applicable</x:v>
      </x:c>
    </x:row>
    <x:row r="1948">
      <x:c r="A1948" t="str">
        <x:v>V001945</x:v>
      </x:c>
      <x:c r="B1948" t="str">
        <x:v>M068</x:v>
      </x:c>
      <x:c r="C1948" t="str">
        <x:v>G068-02</x:v>
      </x:c>
      <x:c r="D1948" t="str">
        <x:v>Charpy strength</x:v>
      </x:c>
      <x:c r="E1948" t="str">
        <x:v>27.2 ± 2.0 kJ/m2</x:v>
      </x:c>
      <x:c r="F1948" t="str">
        <x:v>kJ/m²</x:v>
      </x:c>
      <x:c r="G1948" t="str">
        <x:v>27.2</x:v>
      </x:c>
      <x:c r="H1948" t="str">
        <x:v>2.0</x:v>
      </x:c>
      <x:c r="I1948" t="str">
        <x:v>Not applicable</x:v>
      </x:c>
      <x:c r="J1948" t="str">
        <x:v>=</x:v>
      </x:c>
      <x:c r="K1948" t="str">
        <x:v>1</x:v>
      </x:c>
      <x:c r="L1948" t="str">
        <x:v>27.2</x:v>
      </x:c>
      <x:c r="M1948" t="str">
        <x:v>2</x:v>
      </x:c>
      <x:c r="N1948" t="str">
        <x:v>Not applicable</x:v>
      </x:c>
      <x:c r="O1948" t="str">
        <x:v>kJ/m²</x:v>
      </x:c>
      <x:c r="P1948" t="str">
        <x:v>Published value</x:v>
      </x:c>
      <x:c r="Q1948" t="str">
        <x:v>Printed specimen</x:v>
      </x:c>
      <x:c r="R1948" t="str">
        <x:v>XY</x:v>
      </x:c>
      <x:c r="S1948" t="str">
        <x:v>Not published</x:v>
      </x:c>
      <x:c r="T1948" t="str">
        <x:v>All specimens were annealed at 120 °C for 16 h (TDS note under the mechanical table)</x:v>
      </x:c>
      <x:c r="U1948" t="str">
        <x:v>Not published</x:v>
      </x:c>
      <x:c r="V1948" t="str">
        <x:v>ISO 179, GB/T 1043</x:v>
      </x:c>
      <x:c r="W1948" t="str">
        <x:v>Unnotched</x:v>
      </x:c>
      <x:c r="X1948" t="str">
        <x:v>Printed at 300 °C nozzle, 80 °C bed, 100% infill, 2 shells, 3 top and bottom layers, cooling fan off</x:v>
      </x:c>
      <x:c r="Y1948" t="str">
        <x:v>R-FIBERON-PETGF15-TDS</x:v>
      </x:c>
      <x:c r="Z1948" t="str">
        <x:v>Mechanical properties: Charpy impact strength (X-Y) un-notched</x:v>
      </x:c>
      <x:c r="AA1948" t="str">
        <x:v>Not applicable</x:v>
      </x:c>
      <x:c r="AB1948" t="str">
        <x:v>Not applicable</x:v>
      </x:c>
      <x:c r="AC1948" t="str">
        <x:v>Not applicable</x:v>
      </x:c>
      <x:c r="AD1948" t="str">
        <x:v>Not applicable</x:v>
      </x:c>
      <x:c r="AE1948" t="str">
        <x:v>Not applicable</x:v>
      </x:c>
      <x:c r="AF1948" t="str">
        <x:v>Not applicable</x:v>
      </x:c>
      <x:c r="AG1948" t="str">
        <x:v>Not applicable</x:v>
      </x:c>
    </x:row>
    <x:row r="1949">
      <x:c r="A1949" t="str">
        <x:v>V001946</x:v>
      </x:c>
      <x:c r="B1949" t="str">
        <x:v>M068</x:v>
      </x:c>
      <x:c r="C1949" t="str">
        <x:v>G068-02</x:v>
      </x:c>
      <x:c r="D1949" t="str">
        <x:v>Charpy strength</x:v>
      </x:c>
      <x:c r="E1949" t="str">
        <x:v>13.9 ± 1.6 kJ/m2</x:v>
      </x:c>
      <x:c r="F1949" t="str">
        <x:v>kJ/m²</x:v>
      </x:c>
      <x:c r="G1949" t="str">
        <x:v>13.9</x:v>
      </x:c>
      <x:c r="H1949" t="str">
        <x:v>1.6</x:v>
      </x:c>
      <x:c r="I1949" t="str">
        <x:v>Not applicable</x:v>
      </x:c>
      <x:c r="J1949" t="str">
        <x:v>=</x:v>
      </x:c>
      <x:c r="K1949" t="str">
        <x:v>1</x:v>
      </x:c>
      <x:c r="L1949" t="str">
        <x:v>13.9</x:v>
      </x:c>
      <x:c r="M1949" t="str">
        <x:v>1.6</x:v>
      </x:c>
      <x:c r="N1949" t="str">
        <x:v>Not applicable</x:v>
      </x:c>
      <x:c r="O1949" t="str">
        <x:v>kJ/m²</x:v>
      </x:c>
      <x:c r="P1949" t="str">
        <x:v>Published value</x:v>
      </x:c>
      <x:c r="Q1949" t="str">
        <x:v>Printed specimen</x:v>
      </x:c>
      <x:c r="R1949" t="str">
        <x:v>Z</x:v>
      </x:c>
      <x:c r="S1949" t="str">
        <x:v>Not published</x:v>
      </x:c>
      <x:c r="T1949" t="str">
        <x:v>All specimens were annealed at 120 °C for 16 h (TDS note under the mechanical table)</x:v>
      </x:c>
      <x:c r="U1949" t="str">
        <x:v>Not published</x:v>
      </x:c>
      <x:c r="V1949" t="str">
        <x:v>ISO 179, GB/T 1043</x:v>
      </x:c>
      <x:c r="W1949" t="str">
        <x:v>Unnotched</x:v>
      </x:c>
      <x:c r="X1949" t="str">
        <x:v>Printed at 300 °C nozzle, 80 °C bed, 100% infill, 2 shells, 3 top and bottom layers, cooling fan off</x:v>
      </x:c>
      <x:c r="Y1949" t="str">
        <x:v>R-FIBERON-PETGF15-TDS</x:v>
      </x:c>
      <x:c r="Z1949" t="str">
        <x:v>Mechanical properties: Charpy impact strength (Z) un-notched</x:v>
      </x:c>
      <x:c r="AA1949" t="str">
        <x:v>Not applicable</x:v>
      </x:c>
      <x:c r="AB1949" t="str">
        <x:v>Not applicable</x:v>
      </x:c>
      <x:c r="AC1949" t="str">
        <x:v>Not applicable</x:v>
      </x:c>
      <x:c r="AD1949" t="str">
        <x:v>Not applicable</x:v>
      </x:c>
      <x:c r="AE1949" t="str">
        <x:v>Not applicable</x:v>
      </x:c>
      <x:c r="AF1949" t="str">
        <x:v>Not applicable</x:v>
      </x:c>
      <x:c r="AG1949" t="str">
        <x:v>Not applicable</x:v>
      </x:c>
    </x:row>
    <x:row r="1950">
      <x:c r="A1950" t="str">
        <x:v>V001947</x:v>
      </x:c>
      <x:c r="B1950" t="str">
        <x:v>M089</x:v>
      </x:c>
      <x:c r="C1950" t="str">
        <x:v>G089-01</x:v>
      </x:c>
      <x:c r="D1950" t="str">
        <x:v>Density</x:v>
      </x:c>
      <x:c r="E1950" t="str">
        <x:v>1,25 g/cm3</x:v>
      </x:c>
      <x:c r="F1950" t="str">
        <x:v>g/cm³</x:v>
      </x:c>
      <x:c r="G1950" t="str">
        <x:v>1.25</x:v>
      </x:c>
      <x:c r="H1950" t="str">
        <x:v>Not applicable</x:v>
      </x:c>
      <x:c r="I1950" t="str">
        <x:v>Not applicable</x:v>
      </x:c>
      <x:c r="J1950" t="str">
        <x:v>=</x:v>
      </x:c>
      <x:c r="K1950" t="str">
        <x:v>1000</x:v>
      </x:c>
      <x:c r="L1950" t="str">
        <x:v>1250</x:v>
      </x:c>
      <x:c r="M1950" t="str">
        <x:v>Not applicable</x:v>
      </x:c>
      <x:c r="N1950" t="str">
        <x:v>Not applicable</x:v>
      </x:c>
      <x:c r="O1950" t="str">
        <x:v>kg/m³</x:v>
      </x:c>
      <x:c r="P1950" t="str">
        <x:v>Published value</x:v>
      </x:c>
      <x:c r="Q1950" t="str">
        <x:v>Not published (density specimen form not explicitly established)</x:v>
      </x:c>
      <x:c r="R1950" t="str">
        <x:v>Not applicable</x:v>
      </x:c>
      <x:c r="S1950" t="str">
        <x:v>Not published</x:v>
      </x:c>
      <x:c r="T1950" t="str">
        <x:v>Not published</x:v>
      </x:c>
      <x:c r="U1950" t="str">
        <x:v>Not published</x:v>
      </x:c>
      <x:c r="V1950" t="str">
        <x:v>ASTM D792</x:v>
      </x:c>
      <x:c r="W1950" t="str">
        <x:v>Not applicable</x:v>
      </x:c>
      <x:c r="X1950" t="str">
        <x:v>Not published</x:v>
      </x:c>
      <x:c r="Y1950" t="str">
        <x:v>R-FILLAMENTUM-CPE-HG100-TDS</x:v>
      </x:c>
      <x:c r="Z1950" t="str">
        <x:v>Physical properties: Material density</x:v>
      </x:c>
      <x:c r="AA1950" t="str">
        <x:v>Not applicable</x:v>
      </x:c>
      <x:c r="AB1950" t="str">
        <x:v>Not applicable</x:v>
      </x:c>
      <x:c r="AC1950" t="str">
        <x:v>Not applicable</x:v>
      </x:c>
      <x:c r="AD1950" t="str">
        <x:v>Not applicable</x:v>
      </x:c>
      <x:c r="AE1950" t="str">
        <x:v>Not applicable</x:v>
      </x:c>
      <x:c r="AF1950" t="str">
        <x:v>Not applicable</x:v>
      </x:c>
      <x:c r="AG1950" t="str">
        <x:v>Not applicable</x:v>
      </x:c>
    </x:row>
    <x:row r="1951">
      <x:c r="A1951" t="str">
        <x:v>V001948</x:v>
      </x:c>
      <x:c r="B1951" t="str">
        <x:v>M089</x:v>
      </x:c>
      <x:c r="C1951" t="str">
        <x:v>G089-01</x:v>
      </x:c>
      <x:c r="D1951" t="str">
        <x:v>Tensile yield strength</x:v>
      </x:c>
      <x:c r="E1951" t="str">
        <x:v>47 MPa</x:v>
      </x:c>
      <x:c r="F1951" t="str">
        <x:v>MPa</x:v>
      </x:c>
      <x:c r="G1951" t="str">
        <x:v>47</x:v>
      </x:c>
      <x:c r="H1951" t="str">
        <x:v>Not applicable</x:v>
      </x:c>
      <x:c r="I1951" t="str">
        <x:v>Not applicable</x:v>
      </x:c>
      <x:c r="J1951" t="str">
        <x:v>=</x:v>
      </x:c>
      <x:c r="K1951" t="str">
        <x:v>1</x:v>
      </x:c>
      <x:c r="L1951" t="str">
        <x:v>47</x:v>
      </x:c>
      <x:c r="M1951" t="str">
        <x:v>Not applicable</x:v>
      </x:c>
      <x:c r="N1951" t="str">
        <x:v>Not applicable</x:v>
      </x:c>
      <x:c r="O1951" t="str">
        <x:v>MPa</x:v>
      </x:c>
      <x:c r="P1951" t="str">
        <x:v>Published value</x:v>
      </x:c>
      <x:c r="Q1951" t="str">
        <x:v>Not published (do not assume printed)</x:v>
      </x:c>
      <x:c r="R1951" t="str">
        <x:v>Not published</x:v>
      </x:c>
      <x:c r="S1951" t="str">
        <x:v>Not published</x:v>
      </x:c>
      <x:c r="T1951" t="str">
        <x:v>Not published</x:v>
      </x:c>
      <x:c r="U1951" t="str">
        <x:v>Not published</x:v>
      </x:c>
      <x:c r="V1951" t="str">
        <x:v>ASTM D638, at yield, 50 mm/min</x:v>
      </x:c>
      <x:c r="W1951" t="str">
        <x:v>Not applicable</x:v>
      </x:c>
      <x:c r="X1951" t="str">
        <x:v>Not published</x:v>
      </x:c>
      <x:c r="Y1951" t="str">
        <x:v>R-FILLAMENTUM-CPE-HG100-TDS</x:v>
      </x:c>
      <x:c r="Z1951" t="str">
        <x:v>Mechanical properties: Tensile strength (at yield)</x:v>
      </x:c>
      <x:c r="AA1951" t="str">
        <x:v>Not applicable</x:v>
      </x:c>
      <x:c r="AB1951" t="str">
        <x:v>Not applicable</x:v>
      </x:c>
      <x:c r="AC1951" t="str">
        <x:v>Not applicable</x:v>
      </x:c>
      <x:c r="AD1951" t="str">
        <x:v>Not applicable</x:v>
      </x:c>
      <x:c r="AE1951" t="str">
        <x:v>Not applicable</x:v>
      </x:c>
      <x:c r="AF1951" t="str">
        <x:v>Not applicable</x:v>
      </x:c>
      <x:c r="AG1951" t="str">
        <x:v>Not applicable</x:v>
      </x:c>
    </x:row>
    <x:row r="1952">
      <x:c r="A1952" t="str">
        <x:v>V001949</x:v>
      </x:c>
      <x:c r="B1952" t="str">
        <x:v>M089</x:v>
      </x:c>
      <x:c r="C1952" t="str">
        <x:v>G089-01</x:v>
      </x:c>
      <x:c r="D1952" t="str">
        <x:v>Tensile break strength</x:v>
      </x:c>
      <x:c r="E1952" t="str">
        <x:v>48 MPa</x:v>
      </x:c>
      <x:c r="F1952" t="str">
        <x:v>MPa</x:v>
      </x:c>
      <x:c r="G1952" t="str">
        <x:v>48</x:v>
      </x:c>
      <x:c r="H1952" t="str">
        <x:v>Not applicable</x:v>
      </x:c>
      <x:c r="I1952" t="str">
        <x:v>Not applicable</x:v>
      </x:c>
      <x:c r="J1952" t="str">
        <x:v>=</x:v>
      </x:c>
      <x:c r="K1952" t="str">
        <x:v>1</x:v>
      </x:c>
      <x:c r="L1952" t="str">
        <x:v>48</x:v>
      </x:c>
      <x:c r="M1952" t="str">
        <x:v>Not applicable</x:v>
      </x:c>
      <x:c r="N1952" t="str">
        <x:v>Not applicable</x:v>
      </x:c>
      <x:c r="O1952" t="str">
        <x:v>MPa</x:v>
      </x:c>
      <x:c r="P1952" t="str">
        <x:v>Published value</x:v>
      </x:c>
      <x:c r="Q1952" t="str">
        <x:v>Not published (do not assume printed)</x:v>
      </x:c>
      <x:c r="R1952" t="str">
        <x:v>Not published</x:v>
      </x:c>
      <x:c r="S1952" t="str">
        <x:v>Not published</x:v>
      </x:c>
      <x:c r="T1952" t="str">
        <x:v>Not published</x:v>
      </x:c>
      <x:c r="U1952" t="str">
        <x:v>Not published</x:v>
      </x:c>
      <x:c r="V1952" t="str">
        <x:v>ASTM D638, at break, 50 mm/min</x:v>
      </x:c>
      <x:c r="W1952" t="str">
        <x:v>Not applicable</x:v>
      </x:c>
      <x:c r="X1952" t="str">
        <x:v>Not published</x:v>
      </x:c>
      <x:c r="Y1952" t="str">
        <x:v>R-FILLAMENTUM-CPE-HG100-TDS</x:v>
      </x:c>
      <x:c r="Z1952" t="str">
        <x:v>Mechanical properties: Tensile strength (at break)</x:v>
      </x:c>
      <x:c r="AA1952" t="str">
        <x:v>Not applicable</x:v>
      </x:c>
      <x:c r="AB1952" t="str">
        <x:v>Not applicable</x:v>
      </x:c>
      <x:c r="AC1952" t="str">
        <x:v>Not applicable</x:v>
      </x:c>
      <x:c r="AD1952" t="str">
        <x:v>Not applicable</x:v>
      </x:c>
      <x:c r="AE1952" t="str">
        <x:v>Not applicable</x:v>
      </x:c>
      <x:c r="AF1952" t="str">
        <x:v>Not applicable</x:v>
      </x:c>
      <x:c r="AG1952" t="str">
        <x:v>Not applicable</x:v>
      </x:c>
    </x:row>
    <x:row r="1953">
      <x:c r="A1953" t="str">
        <x:v>V001950</x:v>
      </x:c>
      <x:c r="B1953" t="str">
        <x:v>M089</x:v>
      </x:c>
      <x:c r="C1953" t="str">
        <x:v>G089-01</x:v>
      </x:c>
      <x:c r="D1953" t="str">
        <x:v>Elongation at break</x:v>
      </x:c>
      <x:c r="E1953" t="str">
        <x:v>150 %</x:v>
      </x:c>
      <x:c r="F1953" t="str">
        <x:v>%</x:v>
      </x:c>
      <x:c r="G1953" t="str">
        <x:v>150</x:v>
      </x:c>
      <x:c r="H1953" t="str">
        <x:v>Not applicable</x:v>
      </x:c>
      <x:c r="I1953" t="str">
        <x:v>Not applicable</x:v>
      </x:c>
      <x:c r="J1953" t="str">
        <x:v>=</x:v>
      </x:c>
      <x:c r="K1953" t="str">
        <x:v>1</x:v>
      </x:c>
      <x:c r="L1953" t="str">
        <x:v>150</x:v>
      </x:c>
      <x:c r="M1953" t="str">
        <x:v>Not applicable</x:v>
      </x:c>
      <x:c r="N1953" t="str">
        <x:v>Not applicable</x:v>
      </x:c>
      <x:c r="O1953" t="str">
        <x:v>%</x:v>
      </x:c>
      <x:c r="P1953" t="str">
        <x:v>Published value</x:v>
      </x:c>
      <x:c r="Q1953" t="str">
        <x:v>Not published (do not assume printed)</x:v>
      </x:c>
      <x:c r="R1953" t="str">
        <x:v>Not published</x:v>
      </x:c>
      <x:c r="S1953" t="str">
        <x:v>Not published</x:v>
      </x:c>
      <x:c r="T1953" t="str">
        <x:v>Not published</x:v>
      </x:c>
      <x:c r="U1953" t="str">
        <x:v>Not published</x:v>
      </x:c>
      <x:c r="V1953" t="str">
        <x:v>ASTM D638, 50 mm/min</x:v>
      </x:c>
      <x:c r="W1953" t="str">
        <x:v>Not applicable</x:v>
      </x:c>
      <x:c r="X1953" t="str">
        <x:v>Not published</x:v>
      </x:c>
      <x:c r="Y1953" t="str">
        <x:v>R-FILLAMENTUM-CPE-HG100-TDS</x:v>
      </x:c>
      <x:c r="Z1953" t="str">
        <x:v>Mechanical properties: Elongation at break</x:v>
      </x:c>
      <x:c r="AA1953" t="str">
        <x:v>Not applicable</x:v>
      </x:c>
      <x:c r="AB1953" t="str">
        <x:v>Not applicable</x:v>
      </x:c>
      <x:c r="AC1953" t="str">
        <x:v>Not applicable</x:v>
      </x:c>
      <x:c r="AD1953" t="str">
        <x:v>Not applicable</x:v>
      </x:c>
      <x:c r="AE1953" t="str">
        <x:v>Not applicable</x:v>
      </x:c>
      <x:c r="AF1953" t="str">
        <x:v>Not applicable</x:v>
      </x:c>
      <x:c r="AG1953" t="str">
        <x:v>Not applicable</x:v>
      </x:c>
    </x:row>
    <x:row r="1954">
      <x:c r="A1954" t="str">
        <x:v>V001951</x:v>
      </x:c>
      <x:c r="B1954" t="str">
        <x:v>M089</x:v>
      </x:c>
      <x:c r="C1954" t="str">
        <x:v>G089-01</x:v>
      </x:c>
      <x:c r="D1954" t="str">
        <x:v>Flexural strength</x:v>
      </x:c>
      <x:c r="E1954" t="str">
        <x:v>71 MPa</x:v>
      </x:c>
      <x:c r="F1954" t="str">
        <x:v>MPa</x:v>
      </x:c>
      <x:c r="G1954" t="str">
        <x:v>71</x:v>
      </x:c>
      <x:c r="H1954" t="str">
        <x:v>Not applicable</x:v>
      </x:c>
      <x:c r="I1954" t="str">
        <x:v>Not applicable</x:v>
      </x:c>
      <x:c r="J1954" t="str">
        <x:v>=</x:v>
      </x:c>
      <x:c r="K1954" t="str">
        <x:v>1</x:v>
      </x:c>
      <x:c r="L1954" t="str">
        <x:v>71</x:v>
      </x:c>
      <x:c r="M1954" t="str">
        <x:v>Not applicable</x:v>
      </x:c>
      <x:c r="N1954" t="str">
        <x:v>Not applicable</x:v>
      </x:c>
      <x:c r="O1954" t="str">
        <x:v>MPa</x:v>
      </x:c>
      <x:c r="P1954" t="str">
        <x:v>Published value</x:v>
      </x:c>
      <x:c r="Q1954" t="str">
        <x:v>Not published (do not assume printed)</x:v>
      </x:c>
      <x:c r="R1954" t="str">
        <x:v>Not published</x:v>
      </x:c>
      <x:c r="S1954" t="str">
        <x:v>Not published</x:v>
      </x:c>
      <x:c r="T1954" t="str">
        <x:v>Not published</x:v>
      </x:c>
      <x:c r="U1954" t="str">
        <x:v>Not published</x:v>
      </x:c>
      <x:c r="V1954" t="str">
        <x:v>ASTM D790, 1.27 mm/min</x:v>
      </x:c>
      <x:c r="W1954" t="str">
        <x:v>Not applicable</x:v>
      </x:c>
      <x:c r="X1954" t="str">
        <x:v>Not published</x:v>
      </x:c>
      <x:c r="Y1954" t="str">
        <x:v>R-FILLAMENTUM-CPE-HG100-TDS</x:v>
      </x:c>
      <x:c r="Z1954" t="str">
        <x:v>Mechanical properties: Flexural strength</x:v>
      </x:c>
      <x:c r="AA1954" t="str">
        <x:v>Not applicable</x:v>
      </x:c>
      <x:c r="AB1954" t="str">
        <x:v>Not applicable</x:v>
      </x:c>
      <x:c r="AC1954" t="str">
        <x:v>Not applicable</x:v>
      </x:c>
      <x:c r="AD1954" t="str">
        <x:v>Not applicable</x:v>
      </x:c>
      <x:c r="AE1954" t="str">
        <x:v>Not applicable</x:v>
      </x:c>
      <x:c r="AF1954" t="str">
        <x:v>Not applicable</x:v>
      </x:c>
      <x:c r="AG1954" t="str">
        <x:v>Not applicable</x:v>
      </x:c>
    </x:row>
    <x:row r="1955">
      <x:c r="A1955" t="str">
        <x:v>V001952</x:v>
      </x:c>
      <x:c r="B1955" t="str">
        <x:v>M089</x:v>
      </x:c>
      <x:c r="C1955" t="str">
        <x:v>G089-01</x:v>
      </x:c>
      <x:c r="D1955" t="str">
        <x:v>Flexural modulus</x:v>
      </x:c>
      <x:c r="E1955" t="str">
        <x:v>1860 MPa</x:v>
      </x:c>
      <x:c r="F1955" t="str">
        <x:v>MPa</x:v>
      </x:c>
      <x:c r="G1955" t="str">
        <x:v>1860</x:v>
      </x:c>
      <x:c r="H1955" t="str">
        <x:v>Not applicable</x:v>
      </x:c>
      <x:c r="I1955" t="str">
        <x:v>Not applicable</x:v>
      </x:c>
      <x:c r="J1955" t="str">
        <x:v>=</x:v>
      </x:c>
      <x:c r="K1955" t="str">
        <x:v>0.001</x:v>
      </x:c>
      <x:c r="L1955" t="str">
        <x:v>1.86</x:v>
      </x:c>
      <x:c r="M1955" t="str">
        <x:v>Not applicable</x:v>
      </x:c>
      <x:c r="N1955" t="str">
        <x:v>Not applicable</x:v>
      </x:c>
      <x:c r="O1955" t="str">
        <x:v>GPa</x:v>
      </x:c>
      <x:c r="P1955" t="str">
        <x:v>Published value</x:v>
      </x:c>
      <x:c r="Q1955" t="str">
        <x:v>Not published (do not assume printed)</x:v>
      </x:c>
      <x:c r="R1955" t="str">
        <x:v>Not published</x:v>
      </x:c>
      <x:c r="S1955" t="str">
        <x:v>Not published</x:v>
      </x:c>
      <x:c r="T1955" t="str">
        <x:v>Not published</x:v>
      </x:c>
      <x:c r="U1955" t="str">
        <x:v>Not published</x:v>
      </x:c>
      <x:c r="V1955" t="str">
        <x:v>ASTM D790, 1.27 mm/min</x:v>
      </x:c>
      <x:c r="W1955" t="str">
        <x:v>Not applicable</x:v>
      </x:c>
      <x:c r="X1955" t="str">
        <x:v>Not published</x:v>
      </x:c>
      <x:c r="Y1955" t="str">
        <x:v>R-FILLAMENTUM-CPE-HG100-TDS</x:v>
      </x:c>
      <x:c r="Z1955" t="str">
        <x:v>Mechanical properties: Flexural modulus</x:v>
      </x:c>
      <x:c r="AA1955" t="str">
        <x:v>Not applicable</x:v>
      </x:c>
      <x:c r="AB1955" t="str">
        <x:v>Not applicable</x:v>
      </x:c>
      <x:c r="AC1955" t="str">
        <x:v>Not applicable</x:v>
      </x:c>
      <x:c r="AD1955" t="str">
        <x:v>Not applicable</x:v>
      </x:c>
      <x:c r="AE1955" t="str">
        <x:v>Not applicable</x:v>
      </x:c>
      <x:c r="AF1955" t="str">
        <x:v>Not applicable</x:v>
      </x:c>
      <x:c r="AG1955" t="str">
        <x:v>Not applicable</x:v>
      </x:c>
    </x:row>
    <x:row r="1956">
      <x:c r="A1956" t="str">
        <x:v>V001953</x:v>
      </x:c>
      <x:c r="B1956" t="str">
        <x:v>M089</x:v>
      </x:c>
      <x:c r="C1956" t="str">
        <x:v>G089-01</x:v>
      </x:c>
      <x:c r="D1956" t="str">
        <x:v>Izod impact strength</x:v>
      </x:c>
      <x:c r="E1956" t="str">
        <x:v>no break</x:v>
      </x:c>
      <x:c r="F1956" t="str">
        <x:v>J/m</x:v>
      </x:c>
      <x:c r="G1956" t="str">
        <x:v>Not published</x:v>
      </x:c>
      <x:c r="H1956" t="str">
        <x:v>Not applicable</x:v>
      </x:c>
      <x:c r="I1956" t="str">
        <x:v>Not applicable</x:v>
      </x:c>
      <x:c r="J1956" t="str">
        <x:v>Not applicable</x:v>
      </x:c>
      <x:c r="K1956" t="str">
        <x:v>1</x:v>
      </x:c>
      <x:c r="L1956" t="str">
        <x:v>Not published</x:v>
      </x:c>
      <x:c r="M1956" t="str">
        <x:v>Not applicable</x:v>
      </x:c>
      <x:c r="N1956" t="str">
        <x:v>Not applicable</x:v>
      </x:c>
      <x:c r="O1956" t="str">
        <x:v>J/m</x:v>
      </x:c>
      <x:c r="P1956" t="str">
        <x:v>Published qualitative result</x:v>
      </x:c>
      <x:c r="Q1956" t="str">
        <x:v>Not published (do not assume printed)</x:v>
      </x:c>
      <x:c r="R1956" t="str">
        <x:v>Not published</x:v>
      </x:c>
      <x:c r="S1956" t="str">
        <x:v>Not published</x:v>
      </x:c>
      <x:c r="T1956" t="str">
        <x:v>Not published</x:v>
      </x:c>
      <x:c r="U1956" t="str">
        <x:v>23 °C</x:v>
      </x:c>
      <x:c r="V1956" t="str">
        <x:v>ASTM D256</x:v>
      </x:c>
      <x:c r="W1956" t="str">
        <x:v>Notched</x:v>
      </x:c>
      <x:c r="X1956" t="str">
        <x:v>Not published</x:v>
      </x:c>
      <x:c r="Y1956" t="str">
        <x:v>R-FILLAMENTUM-CPE-HG100-TDS</x:v>
      </x:c>
      <x:c r="Z1956" t="str">
        <x:v>Mechanical properties: Izod impact strength</x:v>
      </x:c>
      <x:c r="AA1956" t="str">
        <x:v>Not applicable</x:v>
      </x:c>
      <x:c r="AB1956" t="str">
        <x:v>Not applicable</x:v>
      </x:c>
      <x:c r="AC1956" t="str">
        <x:v>Not applicable</x:v>
      </x:c>
      <x:c r="AD1956" t="str">
        <x:v>Not applicable</x:v>
      </x:c>
      <x:c r="AE1956" t="str">
        <x:v>Not applicable</x:v>
      </x:c>
      <x:c r="AF1956" t="str">
        <x:v>Not applicable</x:v>
      </x:c>
      <x:c r="AG1956" t="str">
        <x:v>Not applicable</x:v>
      </x:c>
    </x:row>
    <x:row r="1957">
      <x:c r="A1957" t="str">
        <x:v>V001954</x:v>
      </x:c>
      <x:c r="B1957" t="str">
        <x:v>M089</x:v>
      </x:c>
      <x:c r="C1957" t="str">
        <x:v>G089-01</x:v>
      </x:c>
      <x:c r="D1957" t="str">
        <x:v>HDT</x:v>
      </x:c>
      <x:c r="E1957" t="str">
        <x:v>80 °C</x:v>
      </x:c>
      <x:c r="F1957" t="str">
        <x:v>°C</x:v>
      </x:c>
      <x:c r="G1957" t="str">
        <x:v>80</x:v>
      </x:c>
      <x:c r="H1957" t="str">
        <x:v>Not applicable</x:v>
      </x:c>
      <x:c r="I1957" t="str">
        <x:v>Not applicable</x:v>
      </x:c>
      <x:c r="J1957" t="str">
        <x:v>=</x:v>
      </x:c>
      <x:c r="K1957" t="str">
        <x:v>1</x:v>
      </x:c>
      <x:c r="L1957" t="str">
        <x:v>80</x:v>
      </x:c>
      <x:c r="M1957" t="str">
        <x:v>Not applicable</x:v>
      </x:c>
      <x:c r="N1957" t="str">
        <x:v>Not applicable</x:v>
      </x:c>
      <x:c r="O1957" t="str">
        <x:v>°C</x:v>
      </x:c>
      <x:c r="P1957" t="str">
        <x:v>Published value</x:v>
      </x:c>
      <x:c r="Q1957" t="str">
        <x:v>Not published (do not assume printed)</x:v>
      </x:c>
      <x:c r="R1957" t="str">
        <x:v>Not applicable</x:v>
      </x:c>
      <x:c r="S1957" t="str">
        <x:v>Not published</x:v>
      </x:c>
      <x:c r="T1957" t="str">
        <x:v>Not published</x:v>
      </x:c>
      <x:c r="U1957" t="str">
        <x:v>Not published</x:v>
      </x:c>
      <x:c r="V1957" t="str">
        <x:v>ASTM D648, 0.455 MPa</x:v>
      </x:c>
      <x:c r="W1957" t="str">
        <x:v>Not applicable</x:v>
      </x:c>
      <x:c r="X1957" t="str">
        <x:v>Not published</x:v>
      </x:c>
      <x:c r="Y1957" t="str">
        <x:v>R-FILLAMENTUM-CPE-HG100-TDS</x:v>
      </x:c>
      <x:c r="Z1957" t="str">
        <x:v>Thermal properties: Heat distortion temperature</x:v>
      </x:c>
      <x:c r="AA1957" t="str">
        <x:v>Not applicable</x:v>
      </x:c>
      <x:c r="AB1957" t="str">
        <x:v>Not applicable</x:v>
      </x:c>
      <x:c r="AC1957" t="str">
        <x:v>Not applicable</x:v>
      </x:c>
      <x:c r="AD1957" t="str">
        <x:v>Not applicable</x:v>
      </x:c>
      <x:c r="AE1957" t="str">
        <x:v>Not applicable</x:v>
      </x:c>
      <x:c r="AF1957" t="str">
        <x:v>Not applicable</x:v>
      </x:c>
      <x:c r="AG1957" t="str">
        <x:v>Not applicable</x:v>
      </x:c>
    </x:row>
    <x:row r="1958">
      <x:c r="A1958" t="str">
        <x:v>V001955</x:v>
      </x:c>
      <x:c r="B1958" t="str">
        <x:v>M089</x:v>
      </x:c>
      <x:c r="C1958" t="str">
        <x:v>G089-01</x:v>
      </x:c>
      <x:c r="D1958" t="str">
        <x:v>Glass transition temperature</x:v>
      </x:c>
      <x:c r="E1958" t="str">
        <x:v>90 °C</x:v>
      </x:c>
      <x:c r="F1958" t="str">
        <x:v>°C</x:v>
      </x:c>
      <x:c r="G1958" t="str">
        <x:v>90</x:v>
      </x:c>
      <x:c r="H1958" t="str">
        <x:v>Not applicable</x:v>
      </x:c>
      <x:c r="I1958" t="str">
        <x:v>Not applicable</x:v>
      </x:c>
      <x:c r="J1958" t="str">
        <x:v>=</x:v>
      </x:c>
      <x:c r="K1958" t="str">
        <x:v>1</x:v>
      </x:c>
      <x:c r="L1958" t="str">
        <x:v>90</x:v>
      </x:c>
      <x:c r="M1958" t="str">
        <x:v>Not applicable</x:v>
      </x:c>
      <x:c r="N1958" t="str">
        <x:v>Not applicable</x:v>
      </x:c>
      <x:c r="O1958" t="str">
        <x:v>°C</x:v>
      </x:c>
      <x:c r="P1958" t="str">
        <x:v>Published value</x:v>
      </x:c>
      <x:c r="Q1958" t="str">
        <x:v>Not published (do not assume printed)</x:v>
      </x:c>
      <x:c r="R1958" t="str">
        <x:v>Not applicable</x:v>
      </x:c>
      <x:c r="S1958" t="str">
        <x:v>Not published</x:v>
      </x:c>
      <x:c r="T1958" t="str">
        <x:v>Not published</x:v>
      </x:c>
      <x:c r="U1958" t="str">
        <x:v>Not published</x:v>
      </x:c>
      <x:c r="V1958" t="str">
        <x:v>ASTM D1525</x:v>
      </x:c>
      <x:c r="W1958" t="str">
        <x:v>Not applicable</x:v>
      </x:c>
      <x:c r="X1958" t="str">
        <x:v>Not published</x:v>
      </x:c>
      <x:c r="Y1958" t="str">
        <x:v>R-FILLAMENTUM-CPE-HG100-TDS</x:v>
      </x:c>
      <x:c r="Z1958" t="str">
        <x:v>Thermal properties: Glass transition temperature</x:v>
      </x:c>
      <x:c r="AA1958" t="str">
        <x:v>Recorded under the source label. ASTM D1525 is the Vicat softening method, so this is not a DSC glass transition and must not be read as Vicat either.</x:v>
      </x:c>
      <x:c r="AB1958" t="str">
        <x:v>Not applicable</x:v>
      </x:c>
      <x:c r="AC1958" t="str">
        <x:v>Not applicable</x:v>
      </x:c>
      <x:c r="AD1958" t="str">
        <x:v>Not applicable</x:v>
      </x:c>
      <x:c r="AE1958" t="str">
        <x:v>Not applicable</x:v>
      </x:c>
      <x:c r="AF1958" t="str">
        <x:v>Not applicable</x:v>
      </x:c>
      <x:c r="AG1958" t="str">
        <x:v>Not applicable</x:v>
      </x:c>
    </x:row>
    <x:row r="1959">
      <x:c r="A1959" t="str">
        <x:v>V001956</x:v>
      </x:c>
      <x:c r="B1959" t="str">
        <x:v>M092</x:v>
      </x:c>
      <x:c r="C1959" t="str">
        <x:v>G092-01</x:v>
      </x:c>
      <x:c r="D1959" t="str">
        <x:v>Tensile modulus</x:v>
      </x:c>
      <x:c r="E1959" t="str">
        <x:v>1700 MPa</x:v>
      </x:c>
      <x:c r="F1959" t="str">
        <x:v>MPa</x:v>
      </x:c>
      <x:c r="G1959" t="str">
        <x:v>1700</x:v>
      </x:c>
      <x:c r="H1959" t="str">
        <x:v>Not applicable</x:v>
      </x:c>
      <x:c r="I1959" t="str">
        <x:v>Not applicable</x:v>
      </x:c>
      <x:c r="J1959" t="str">
        <x:v>=</x:v>
      </x:c>
      <x:c r="K1959" t="str">
        <x:v>0.001</x:v>
      </x:c>
      <x:c r="L1959" t="str">
        <x:v>1.7</x:v>
      </x:c>
      <x:c r="M1959" t="str">
        <x:v>Not applicable</x:v>
      </x:c>
      <x:c r="N1959" t="str">
        <x:v>Not applicable</x:v>
      </x:c>
      <x:c r="O1959" t="str">
        <x:v>GPa</x:v>
      </x:c>
      <x:c r="P1959" t="str">
        <x:v>Published value</x:v>
      </x:c>
      <x:c r="Q1959" t="str">
        <x:v>Printed specimen</x:v>
      </x:c>
      <x:c r="R1959" t="str">
        <x:v>XY</x:v>
      </x:c>
      <x:c r="S1959" t="str">
        <x:v>Not published</x:v>
      </x:c>
      <x:c r="T1959" t="str">
        <x:v>Not published</x:v>
      </x:c>
      <x:c r="U1959" t="str">
        <x:v>Not published</x:v>
      </x:c>
      <x:c r="V1959" t="str">
        <x:v>ISO 527-1A</x:v>
      </x:c>
      <x:c r="W1959" t="str">
        <x:v>Not applicable</x:v>
      </x:c>
      <x:c r="X1959" t="str">
        <x:v>Printed in the XY plane, 0.15 mm layer height, 100% infill, 0.4 mm nozzle, 230 °C nozzle, 80 °C bed; average of a batch of printed specimens</x:v>
      </x:c>
      <x:c r="Y1959" t="str">
        <x:v>R-COLORFABB-NGEN-TDS-V2</x:v>
      </x:c>
      <x:c r="Z1959" t="str">
        <x:v>p. 1: Mechanical Properties - 3D Printed: Youngs Modulus</x:v>
      </x:c>
      <x:c r="AA1959" t="str">
        <x:v>Not applicable</x:v>
      </x:c>
      <x:c r="AB1959" t="str">
        <x:v>Not applicable</x:v>
      </x:c>
      <x:c r="AC1959" t="str">
        <x:v>Not applicable</x:v>
      </x:c>
      <x:c r="AD1959" t="str">
        <x:v>Not applicable</x:v>
      </x:c>
      <x:c r="AE1959" t="str">
        <x:v>Not applicable</x:v>
      </x:c>
      <x:c r="AF1959" t="str">
        <x:v>Not applicable</x:v>
      </x:c>
      <x:c r="AG1959" t="str">
        <x:v>Not applicable</x:v>
      </x:c>
    </x:row>
    <x:row r="1960">
      <x:c r="A1960" t="str">
        <x:v>V001957</x:v>
      </x:c>
      <x:c r="B1960" t="str">
        <x:v>M092</x:v>
      </x:c>
      <x:c r="C1960" t="str">
        <x:v>G092-01</x:v>
      </x:c>
      <x:c r="D1960" t="str">
        <x:v>Tensile strength (endpoint unspecified)</x:v>
      </x:c>
      <x:c r="E1960" t="str">
        <x:v>54 MPa</x:v>
      </x:c>
      <x:c r="F1960" t="str">
        <x:v>MPa</x:v>
      </x:c>
      <x:c r="G1960" t="str">
        <x:v>54</x:v>
      </x:c>
      <x:c r="H1960" t="str">
        <x:v>Not applicable</x:v>
      </x:c>
      <x:c r="I1960" t="str">
        <x:v>Not applicable</x:v>
      </x:c>
      <x:c r="J1960" t="str">
        <x:v>=</x:v>
      </x:c>
      <x:c r="K1960" t="str">
        <x:v>1</x:v>
      </x:c>
      <x:c r="L1960" t="str">
        <x:v>54</x:v>
      </x:c>
      <x:c r="M1960" t="str">
        <x:v>Not applicable</x:v>
      </x:c>
      <x:c r="N1960" t="str">
        <x:v>Not applicable</x:v>
      </x:c>
      <x:c r="O1960" t="str">
        <x:v>MPa</x:v>
      </x:c>
      <x:c r="P1960" t="str">
        <x:v>Published value</x:v>
      </x:c>
      <x:c r="Q1960" t="str">
        <x:v>Printed specimen</x:v>
      </x:c>
      <x:c r="R1960" t="str">
        <x:v>XY</x:v>
      </x:c>
      <x:c r="S1960" t="str">
        <x:v>Not published</x:v>
      </x:c>
      <x:c r="T1960" t="str">
        <x:v>Not published</x:v>
      </x:c>
      <x:c r="U1960" t="str">
        <x:v>Not published</x:v>
      </x:c>
      <x:c r="V1960" t="str">
        <x:v>ISO 527-1A</x:v>
      </x:c>
      <x:c r="W1960" t="str">
        <x:v>Not applicable</x:v>
      </x:c>
      <x:c r="X1960" t="str">
        <x:v>Printed in the XY plane, 0.15 mm layer height, 100% infill, 0.4 mm nozzle, 230 °C nozzle, 80 °C bed; average of a batch of printed specimens</x:v>
      </x:c>
      <x:c r="Y1960" t="str">
        <x:v>R-COLORFABB-NGEN-TDS-V2</x:v>
      </x:c>
      <x:c r="Z1960" t="str">
        <x:v>p. 1: Mechanical Properties - 3D Printed: Tensile Strength</x:v>
      </x:c>
      <x:c r="AA1960" t="str">
        <x:v>Not applicable</x:v>
      </x:c>
      <x:c r="AB1960" t="str">
        <x:v>Not applicable</x:v>
      </x:c>
      <x:c r="AC1960" t="str">
        <x:v>Not applicable</x:v>
      </x:c>
      <x:c r="AD1960" t="str">
        <x:v>Not applicable</x:v>
      </x:c>
      <x:c r="AE1960" t="str">
        <x:v>Not applicable</x:v>
      </x:c>
      <x:c r="AF1960" t="str">
        <x:v>Not applicable</x:v>
      </x:c>
      <x:c r="AG1960" t="str">
        <x:v>Not applicable</x:v>
      </x:c>
    </x:row>
    <x:row r="1961">
      <x:c r="A1961" t="str">
        <x:v>V001958</x:v>
      </x:c>
      <x:c r="B1961" t="str">
        <x:v>M092</x:v>
      </x:c>
      <x:c r="C1961" t="str">
        <x:v>G092-01</x:v>
      </x:c>
      <x:c r="D1961" t="str">
        <x:v>Elongation at break</x:v>
      </x:c>
      <x:c r="E1961" t="str">
        <x:v>11 %</x:v>
      </x:c>
      <x:c r="F1961" t="str">
        <x:v>%</x:v>
      </x:c>
      <x:c r="G1961" t="str">
        <x:v>11</x:v>
      </x:c>
      <x:c r="H1961" t="str">
        <x:v>Not applicable</x:v>
      </x:c>
      <x:c r="I1961" t="str">
        <x:v>Not applicable</x:v>
      </x:c>
      <x:c r="J1961" t="str">
        <x:v>=</x:v>
      </x:c>
      <x:c r="K1961" t="str">
        <x:v>1</x:v>
      </x:c>
      <x:c r="L1961" t="str">
        <x:v>11</x:v>
      </x:c>
      <x:c r="M1961" t="str">
        <x:v>Not applicable</x:v>
      </x:c>
      <x:c r="N1961" t="str">
        <x:v>Not applicable</x:v>
      </x:c>
      <x:c r="O1961" t="str">
        <x:v>%</x:v>
      </x:c>
      <x:c r="P1961" t="str">
        <x:v>Published value</x:v>
      </x:c>
      <x:c r="Q1961" t="str">
        <x:v>Printed specimen</x:v>
      </x:c>
      <x:c r="R1961" t="str">
        <x:v>XY</x:v>
      </x:c>
      <x:c r="S1961" t="str">
        <x:v>Not published</x:v>
      </x:c>
      <x:c r="T1961" t="str">
        <x:v>Not published</x:v>
      </x:c>
      <x:c r="U1961" t="str">
        <x:v>Not published</x:v>
      </x:c>
      <x:c r="V1961" t="str">
        <x:v>ISO 527-1A</x:v>
      </x:c>
      <x:c r="W1961" t="str">
        <x:v>Not applicable</x:v>
      </x:c>
      <x:c r="X1961" t="str">
        <x:v>Printed in the XY plane, 0.15 mm layer height, 100% infill, 0.4 mm nozzle, 230 °C nozzle, 80 °C bed; average of a batch of printed specimens</x:v>
      </x:c>
      <x:c r="Y1961" t="str">
        <x:v>R-COLORFABB-NGEN-TDS-V2</x:v>
      </x:c>
      <x:c r="Z1961" t="str">
        <x:v>p. 1: Mechanical Properties - 3D Printed: Elongation at break</x:v>
      </x:c>
      <x:c r="AA1961" t="str">
        <x:v>Not applicable</x:v>
      </x:c>
      <x:c r="AB1961" t="str">
        <x:v>Not applicable</x:v>
      </x:c>
      <x:c r="AC1961" t="str">
        <x:v>Not applicable</x:v>
      </x:c>
      <x:c r="AD1961" t="str">
        <x:v>Not applicable</x:v>
      </x:c>
      <x:c r="AE1961" t="str">
        <x:v>Not applicable</x:v>
      </x:c>
      <x:c r="AF1961" t="str">
        <x:v>Not applicable</x:v>
      </x:c>
      <x:c r="AG1961" t="str">
        <x:v>Not applicable</x:v>
      </x:c>
    </x:row>
    <x:row r="1962">
      <x:c r="A1962" t="str">
        <x:v>V001959</x:v>
      </x:c>
      <x:c r="B1962" t="str">
        <x:v>M092</x:v>
      </x:c>
      <x:c r="C1962" t="str">
        <x:v>G092-01</x:v>
      </x:c>
      <x:c r="D1962" t="str">
        <x:v>Charpy strength</x:v>
      </x:c>
      <x:c r="E1962" t="str">
        <x:v>3.3 kJ/m2</x:v>
      </x:c>
      <x:c r="F1962" t="str">
        <x:v>kJ/m²</x:v>
      </x:c>
      <x:c r="G1962" t="str">
        <x:v>3.3</x:v>
      </x:c>
      <x:c r="H1962" t="str">
        <x:v>Not applicable</x:v>
      </x:c>
      <x:c r="I1962" t="str">
        <x:v>Not applicable</x:v>
      </x:c>
      <x:c r="J1962" t="str">
        <x:v>=</x:v>
      </x:c>
      <x:c r="K1962" t="str">
        <x:v>1</x:v>
      </x:c>
      <x:c r="L1962" t="str">
        <x:v>3.3</x:v>
      </x:c>
      <x:c r="M1962" t="str">
        <x:v>Not applicable</x:v>
      </x:c>
      <x:c r="N1962" t="str">
        <x:v>Not applicable</x:v>
      </x:c>
      <x:c r="O1962" t="str">
        <x:v>kJ/m²</x:v>
      </x:c>
      <x:c r="P1962" t="str">
        <x:v>Published value</x:v>
      </x:c>
      <x:c r="Q1962" t="str">
        <x:v>Printed specimen</x:v>
      </x:c>
      <x:c r="R1962" t="str">
        <x:v>XY</x:v>
      </x:c>
      <x:c r="S1962" t="str">
        <x:v>Not published</x:v>
      </x:c>
      <x:c r="T1962" t="str">
        <x:v>Not published</x:v>
      </x:c>
      <x:c r="U1962" t="str">
        <x:v>Not published</x:v>
      </x:c>
      <x:c r="V1962" t="str">
        <x:v>ISO 179</x:v>
      </x:c>
      <x:c r="W1962" t="str">
        <x:v>Notched</x:v>
      </x:c>
      <x:c r="X1962" t="str">
        <x:v>Printed in the XY plane, 0.15 mm layer height, 100% infill, 0.4 mm nozzle, 230 °C nozzle, 80 °C bed; average of a batch of printed specimens</x:v>
      </x:c>
      <x:c r="Y1962" t="str">
        <x:v>R-COLORFABB-NGEN-TDS-V2</x:v>
      </x:c>
      <x:c r="Z1962" t="str">
        <x:v>p. 1: Mechanical Properties - 3D Printed: Impact Strength</x:v>
      </x:c>
      <x:c r="AA1962" t="str">
        <x:v>Not applicable</x:v>
      </x:c>
      <x:c r="AB1962" t="str">
        <x:v>Not applicable</x:v>
      </x:c>
      <x:c r="AC1962" t="str">
        <x:v>Not applicable</x:v>
      </x:c>
      <x:c r="AD1962" t="str">
        <x:v>Not applicable</x:v>
      </x:c>
      <x:c r="AE1962" t="str">
        <x:v>Not applicable</x:v>
      </x:c>
      <x:c r="AF1962" t="str">
        <x:v>Not applicable</x:v>
      </x:c>
      <x:c r="AG1962" t="str">
        <x:v>Not applicable</x:v>
      </x:c>
    </x:row>
    <x:row r="1963">
      <x:c r="A1963" t="str">
        <x:v>V001960</x:v>
      </x:c>
      <x:c r="B1963" t="str">
        <x:v>M092</x:v>
      </x:c>
      <x:c r="C1963" t="str">
        <x:v>G092-01</x:v>
      </x:c>
      <x:c r="D1963" t="str">
        <x:v>Tensile strength (endpoint unspecified)</x:v>
      </x:c>
      <x:c r="E1963" t="str">
        <x:v>50 MPa</x:v>
      </x:c>
      <x:c r="F1963" t="str">
        <x:v>MPa</x:v>
      </x:c>
      <x:c r="G1963" t="str">
        <x:v>50</x:v>
      </x:c>
      <x:c r="H1963" t="str">
        <x:v>Not applicable</x:v>
      </x:c>
      <x:c r="I1963" t="str">
        <x:v>Not applicable</x:v>
      </x:c>
      <x:c r="J1963" t="str">
        <x:v>=</x:v>
      </x:c>
      <x:c r="K1963" t="str">
        <x:v>1</x:v>
      </x:c>
      <x:c r="L1963" t="str">
        <x:v>50</x:v>
      </x:c>
      <x:c r="M1963" t="str">
        <x:v>Not applicable</x:v>
      </x:c>
      <x:c r="N1963" t="str">
        <x:v>Not applicable</x:v>
      </x:c>
      <x:c r="O1963" t="str">
        <x:v>MPa</x:v>
      </x:c>
      <x:c r="P1963" t="str">
        <x:v>Published value</x:v>
      </x:c>
      <x:c r="Q1963" t="str">
        <x:v>Raw material value</x:v>
      </x:c>
      <x:c r="R1963" t="str">
        <x:v>Not published</x:v>
      </x:c>
      <x:c r="S1963" t="str">
        <x:v>Not published</x:v>
      </x:c>
      <x:c r="T1963" t="str">
        <x:v>Not published</x:v>
      </x:c>
      <x:c r="U1963" t="str">
        <x:v>Not published</x:v>
      </x:c>
      <x:c r="V1963" t="str">
        <x:v>ASTM D638</x:v>
      </x:c>
      <x:c r="W1963" t="str">
        <x:v>Not applicable</x:v>
      </x:c>
      <x:c r="X1963" t="str">
        <x:v>Not published</x:v>
      </x:c>
      <x:c r="Y1963" t="str">
        <x:v>R-COLORFABB-NGEN-TDS-V2</x:v>
      </x:c>
      <x:c r="Z1963" t="str">
        <x:v>p. 1: Mechanical Properties - Injection Molded: Tensile Strength</x:v>
      </x:c>
      <x:c r="AA1963" t="str">
        <x:v>TDS footnote: obtained from the information provided by the supplier of the raw material. Not a printed or product specimen.</x:v>
      </x:c>
      <x:c r="AB1963" t="str">
        <x:v>Not applicable</x:v>
      </x:c>
      <x:c r="AC1963" t="str">
        <x:v>Not applicable</x:v>
      </x:c>
      <x:c r="AD1963" t="str">
        <x:v>Not applicable</x:v>
      </x:c>
      <x:c r="AE1963" t="str">
        <x:v>Not applicable</x:v>
      </x:c>
      <x:c r="AF1963" t="str">
        <x:v>Not applicable</x:v>
      </x:c>
      <x:c r="AG1963" t="str">
        <x:v>Not applicable</x:v>
      </x:c>
    </x:row>
    <x:row r="1964">
      <x:c r="A1964" t="str">
        <x:v>V001961</x:v>
      </x:c>
      <x:c r="B1964" t="str">
        <x:v>M092</x:v>
      </x:c>
      <x:c r="C1964" t="str">
        <x:v>G092-01</x:v>
      </x:c>
      <x:c r="D1964" t="str">
        <x:v>Elongation at break</x:v>
      </x:c>
      <x:c r="E1964" t="str">
        <x:v>190 %</x:v>
      </x:c>
      <x:c r="F1964" t="str">
        <x:v>%</x:v>
      </x:c>
      <x:c r="G1964" t="str">
        <x:v>190</x:v>
      </x:c>
      <x:c r="H1964" t="str">
        <x:v>Not applicable</x:v>
      </x:c>
      <x:c r="I1964" t="str">
        <x:v>Not applicable</x:v>
      </x:c>
      <x:c r="J1964" t="str">
        <x:v>=</x:v>
      </x:c>
      <x:c r="K1964" t="str">
        <x:v>1</x:v>
      </x:c>
      <x:c r="L1964" t="str">
        <x:v>190</x:v>
      </x:c>
      <x:c r="M1964" t="str">
        <x:v>Not applicable</x:v>
      </x:c>
      <x:c r="N1964" t="str">
        <x:v>Not applicable</x:v>
      </x:c>
      <x:c r="O1964" t="str">
        <x:v>%</x:v>
      </x:c>
      <x:c r="P1964" t="str">
        <x:v>Published value</x:v>
      </x:c>
      <x:c r="Q1964" t="str">
        <x:v>Raw material value</x:v>
      </x:c>
      <x:c r="R1964" t="str">
        <x:v>Not published</x:v>
      </x:c>
      <x:c r="S1964" t="str">
        <x:v>Not published</x:v>
      </x:c>
      <x:c r="T1964" t="str">
        <x:v>Not published</x:v>
      </x:c>
      <x:c r="U1964" t="str">
        <x:v>Not published</x:v>
      </x:c>
      <x:c r="V1964" t="str">
        <x:v>ASTM D638</x:v>
      </x:c>
      <x:c r="W1964" t="str">
        <x:v>Not applicable</x:v>
      </x:c>
      <x:c r="X1964" t="str">
        <x:v>Not published</x:v>
      </x:c>
      <x:c r="Y1964" t="str">
        <x:v>R-COLORFABB-NGEN-TDS-V2</x:v>
      </x:c>
      <x:c r="Z1964" t="str">
        <x:v>p. 1: Mechanical Properties - Injection Molded: Elongation at break</x:v>
      </x:c>
      <x:c r="AA1964" t="str">
        <x:v>TDS footnote: obtained from the information provided by the supplier of the raw material. Not a printed or product specimen.</x:v>
      </x:c>
      <x:c r="AB1964" t="str">
        <x:v>Not applicable</x:v>
      </x:c>
      <x:c r="AC1964" t="str">
        <x:v>Not applicable</x:v>
      </x:c>
      <x:c r="AD1964" t="str">
        <x:v>Not applicable</x:v>
      </x:c>
      <x:c r="AE1964" t="str">
        <x:v>Not applicable</x:v>
      </x:c>
      <x:c r="AF1964" t="str">
        <x:v>Not applicable</x:v>
      </x:c>
      <x:c r="AG1964" t="str">
        <x:v>Not applicable</x:v>
      </x:c>
    </x:row>
    <x:row r="1965">
      <x:c r="A1965" t="str">
        <x:v>V001962</x:v>
      </x:c>
      <x:c r="B1965" t="str">
        <x:v>M092</x:v>
      </x:c>
      <x:c r="C1965" t="str">
        <x:v>G092-01</x:v>
      </x:c>
      <x:c r="D1965" t="str">
        <x:v>Flexural modulus</x:v>
      </x:c>
      <x:c r="E1965" t="str">
        <x:v>1800 MPa</x:v>
      </x:c>
      <x:c r="F1965" t="str">
        <x:v>MPa</x:v>
      </x:c>
      <x:c r="G1965" t="str">
        <x:v>1800</x:v>
      </x:c>
      <x:c r="H1965" t="str">
        <x:v>Not applicable</x:v>
      </x:c>
      <x:c r="I1965" t="str">
        <x:v>Not applicable</x:v>
      </x:c>
      <x:c r="J1965" t="str">
        <x:v>=</x:v>
      </x:c>
      <x:c r="K1965" t="str">
        <x:v>0.001</x:v>
      </x:c>
      <x:c r="L1965" t="str">
        <x:v>1.8</x:v>
      </x:c>
      <x:c r="M1965" t="str">
        <x:v>Not applicable</x:v>
      </x:c>
      <x:c r="N1965" t="str">
        <x:v>Not applicable</x:v>
      </x:c>
      <x:c r="O1965" t="str">
        <x:v>GPa</x:v>
      </x:c>
      <x:c r="P1965" t="str">
        <x:v>Published value</x:v>
      </x:c>
      <x:c r="Q1965" t="str">
        <x:v>Raw material value</x:v>
      </x:c>
      <x:c r="R1965" t="str">
        <x:v>Not published</x:v>
      </x:c>
      <x:c r="S1965" t="str">
        <x:v>Not published</x:v>
      </x:c>
      <x:c r="T1965" t="str">
        <x:v>Not published</x:v>
      </x:c>
      <x:c r="U1965" t="str">
        <x:v>Not published</x:v>
      </x:c>
      <x:c r="V1965" t="str">
        <x:v>ASTM D790</x:v>
      </x:c>
      <x:c r="W1965" t="str">
        <x:v>Not applicable</x:v>
      </x:c>
      <x:c r="X1965" t="str">
        <x:v>Not published</x:v>
      </x:c>
      <x:c r="Y1965" t="str">
        <x:v>R-COLORFABB-NGEN-TDS-V2</x:v>
      </x:c>
      <x:c r="Z1965" t="str">
        <x:v>p. 1: Mechanical Properties - Injection Molded: Flexural Modulus</x:v>
      </x:c>
      <x:c r="AA1965" t="str">
        <x:v>TDS footnote: obtained from the information provided by the supplier of the raw material. Not a printed or product specimen.</x:v>
      </x:c>
      <x:c r="AB1965" t="str">
        <x:v>Not applicable</x:v>
      </x:c>
      <x:c r="AC1965" t="str">
        <x:v>Not applicable</x:v>
      </x:c>
      <x:c r="AD1965" t="str">
        <x:v>Not applicable</x:v>
      </x:c>
      <x:c r="AE1965" t="str">
        <x:v>Not applicable</x:v>
      </x:c>
      <x:c r="AF1965" t="str">
        <x:v>Not applicable</x:v>
      </x:c>
      <x:c r="AG1965" t="str">
        <x:v>Not applicable</x:v>
      </x:c>
    </x:row>
    <x:row r="1966">
      <x:c r="A1966" t="str">
        <x:v>V001963</x:v>
      </x:c>
      <x:c r="B1966" t="str">
        <x:v>M092</x:v>
      </x:c>
      <x:c r="C1966" t="str">
        <x:v>G092-01</x:v>
      </x:c>
      <x:c r="D1966" t="str">
        <x:v>Izod impact strength</x:v>
      </x:c>
      <x:c r="E1966" t="str">
        <x:v>70 J/m</x:v>
      </x:c>
      <x:c r="F1966" t="str">
        <x:v>J/m</x:v>
      </x:c>
      <x:c r="G1966" t="str">
        <x:v>70</x:v>
      </x:c>
      <x:c r="H1966" t="str">
        <x:v>Not applicable</x:v>
      </x:c>
      <x:c r="I1966" t="str">
        <x:v>Not applicable</x:v>
      </x:c>
      <x:c r="J1966" t="str">
        <x:v>=</x:v>
      </x:c>
      <x:c r="K1966" t="str">
        <x:v>1</x:v>
      </x:c>
      <x:c r="L1966" t="str">
        <x:v>70</x:v>
      </x:c>
      <x:c r="M1966" t="str">
        <x:v>Not applicable</x:v>
      </x:c>
      <x:c r="N1966" t="str">
        <x:v>Not applicable</x:v>
      </x:c>
      <x:c r="O1966" t="str">
        <x:v>J/m</x:v>
      </x:c>
      <x:c r="P1966" t="str">
        <x:v>Published value</x:v>
      </x:c>
      <x:c r="Q1966" t="str">
        <x:v>Raw material value</x:v>
      </x:c>
      <x:c r="R1966" t="str">
        <x:v>Not published</x:v>
      </x:c>
      <x:c r="S1966" t="str">
        <x:v>Not published</x:v>
      </x:c>
      <x:c r="T1966" t="str">
        <x:v>Not published</x:v>
      </x:c>
      <x:c r="U1966" t="str">
        <x:v>Not published</x:v>
      </x:c>
      <x:c r="V1966" t="str">
        <x:v>ASTM D256</x:v>
      </x:c>
      <x:c r="W1966" t="str">
        <x:v>Notched</x:v>
      </x:c>
      <x:c r="X1966" t="str">
        <x:v>Not published</x:v>
      </x:c>
      <x:c r="Y1966" t="str">
        <x:v>R-COLORFABB-NGEN-TDS-V2</x:v>
      </x:c>
      <x:c r="Z1966" t="str">
        <x:v>p. 1: Mechanical Properties - Injection Molded: Izod Impact Strength</x:v>
      </x:c>
      <x:c r="AA1966" t="str">
        <x:v>TDS footnote: obtained from the information provided by the supplier of the raw material. Not a printed or product specimen.</x:v>
      </x:c>
      <x:c r="AB1966" t="str">
        <x:v>Not applicable</x:v>
      </x:c>
      <x:c r="AC1966" t="str">
        <x:v>Not applicable</x:v>
      </x:c>
      <x:c r="AD1966" t="str">
        <x:v>Not applicable</x:v>
      </x:c>
      <x:c r="AE1966" t="str">
        <x:v>Not applicable</x:v>
      </x:c>
      <x:c r="AF1966" t="str">
        <x:v>Not applicable</x:v>
      </x:c>
      <x:c r="AG1966" t="str">
        <x:v>Not applicable</x:v>
      </x:c>
    </x:row>
    <x:row r="1967">
      <x:c r="A1967" t="str">
        <x:v>V001964</x:v>
      </x:c>
      <x:c r="B1967" t="str">
        <x:v>M092</x:v>
      </x:c>
      <x:c r="C1967" t="str">
        <x:v>G092-01</x:v>
      </x:c>
      <x:c r="D1967" t="str">
        <x:v>Density</x:v>
      </x:c>
      <x:c r="E1967" t="str">
        <x:v>1.2 g/cm3</x:v>
      </x:c>
      <x:c r="F1967" t="str">
        <x:v>g/cm³</x:v>
      </x:c>
      <x:c r="G1967" t="str">
        <x:v>1.2</x:v>
      </x:c>
      <x:c r="H1967" t="str">
        <x:v>Not applicable</x:v>
      </x:c>
      <x:c r="I1967" t="str">
        <x:v>Not applicable</x:v>
      </x:c>
      <x:c r="J1967" t="str">
        <x:v>=</x:v>
      </x:c>
      <x:c r="K1967" t="str">
        <x:v>1000</x:v>
      </x:c>
      <x:c r="L1967" t="str">
        <x:v>1200</x:v>
      </x:c>
      <x:c r="M1967" t="str">
        <x:v>Not applicable</x:v>
      </x:c>
      <x:c r="N1967" t="str">
        <x:v>Not applicable</x:v>
      </x:c>
      <x:c r="O1967" t="str">
        <x:v>kg/m³</x:v>
      </x:c>
      <x:c r="P1967" t="str">
        <x:v>Published value</x:v>
      </x:c>
      <x:c r="Q1967" t="str">
        <x:v>Raw material value</x:v>
      </x:c>
      <x:c r="R1967" t="str">
        <x:v>Not applicable</x:v>
      </x:c>
      <x:c r="S1967" t="str">
        <x:v>Not published</x:v>
      </x:c>
      <x:c r="T1967" t="str">
        <x:v>Not published</x:v>
      </x:c>
      <x:c r="U1967" t="str">
        <x:v>Not published</x:v>
      </x:c>
      <x:c r="V1967" t="str">
        <x:v>ISO 1183</x:v>
      </x:c>
      <x:c r="W1967" t="str">
        <x:v>Not applicable</x:v>
      </x:c>
      <x:c r="X1967" t="str">
        <x:v>Not published</x:v>
      </x:c>
      <x:c r="Y1967" t="str">
        <x:v>R-COLORFABB-NGEN-TDS-V2</x:v>
      </x:c>
      <x:c r="Z1967" t="str">
        <x:v>p. 1: Mechanical Properties - Injection Molded: Density</x:v>
      </x:c>
      <x:c r="AA1967" t="str">
        <x:v>TDS footnote: obtained from the information provided by the supplier of the raw material. Not a printed or product specimen.</x:v>
      </x:c>
      <x:c r="AB1967" t="str">
        <x:v>Not applicable</x:v>
      </x:c>
      <x:c r="AC1967" t="str">
        <x:v>Not applicable</x:v>
      </x:c>
      <x:c r="AD1967" t="str">
        <x:v>Not applicable</x:v>
      </x:c>
      <x:c r="AE1967" t="str">
        <x:v>Not applicable</x:v>
      </x:c>
      <x:c r="AF1967" t="str">
        <x:v>Not applicable</x:v>
      </x:c>
      <x:c r="AG1967" t="str">
        <x:v>Not applicable</x:v>
      </x:c>
    </x:row>
    <x:row r="1968">
      <x:c r="A1968" t="str">
        <x:v>V001965</x:v>
      </x:c>
      <x:c r="B1968" t="str">
        <x:v>M092</x:v>
      </x:c>
      <x:c r="C1968" t="str">
        <x:v>G092-01</x:v>
      </x:c>
      <x:c r="D1968" t="str">
        <x:v>HDT</x:v>
      </x:c>
      <x:c r="E1968" t="str">
        <x:v>71 °C</x:v>
      </x:c>
      <x:c r="F1968" t="str">
        <x:v>°C</x:v>
      </x:c>
      <x:c r="G1968" t="str">
        <x:v>71</x:v>
      </x:c>
      <x:c r="H1968" t="str">
        <x:v>Not applicable</x:v>
      </x:c>
      <x:c r="I1968" t="str">
        <x:v>Not applicable</x:v>
      </x:c>
      <x:c r="J1968" t="str">
        <x:v>=</x:v>
      </x:c>
      <x:c r="K1968" t="str">
        <x:v>1</x:v>
      </x:c>
      <x:c r="L1968" t="str">
        <x:v>71</x:v>
      </x:c>
      <x:c r="M1968" t="str">
        <x:v>Not applicable</x:v>
      </x:c>
      <x:c r="N1968" t="str">
        <x:v>Not applicable</x:v>
      </x:c>
      <x:c r="O1968" t="str">
        <x:v>°C</x:v>
      </x:c>
      <x:c r="P1968" t="str">
        <x:v>Published value</x:v>
      </x:c>
      <x:c r="Q1968" t="str">
        <x:v>Raw material value</x:v>
      </x:c>
      <x:c r="R1968" t="str">
        <x:v>Not applicable</x:v>
      </x:c>
      <x:c r="S1968" t="str">
        <x:v>Not published</x:v>
      </x:c>
      <x:c r="T1968" t="str">
        <x:v>Not published</x:v>
      </x:c>
      <x:c r="U1968" t="str">
        <x:v>Not published</x:v>
      </x:c>
      <x:c r="V1968" t="str">
        <x:v>ASTM D648, 0.455 MPa</x:v>
      </x:c>
      <x:c r="W1968" t="str">
        <x:v>Not applicable</x:v>
      </x:c>
      <x:c r="X1968" t="str">
        <x:v>Not published</x:v>
      </x:c>
      <x:c r="Y1968" t="str">
        <x:v>R-COLORFABB-NGEN-TDS-V2</x:v>
      </x:c>
      <x:c r="Z1968" t="str">
        <x:v>p. 1: Thermal Properties: Heat Deflection Temp. @0.455 MPa</x:v>
      </x:c>
      <x:c r="AA1968" t="str">
        <x:v>TDS footnote: obtained from the information provided by the supplier of the raw material. Not a printed or product specimen.</x:v>
      </x:c>
      <x:c r="AB1968" t="str">
        <x:v>Not applicable</x:v>
      </x:c>
      <x:c r="AC1968" t="str">
        <x:v>Not applicable</x:v>
      </x:c>
      <x:c r="AD1968" t="str">
        <x:v>Not applicable</x:v>
      </x:c>
      <x:c r="AE1968" t="str">
        <x:v>Not applicable</x:v>
      </x:c>
      <x:c r="AF1968" t="str">
        <x:v>Not applicable</x:v>
      </x:c>
      <x:c r="AG1968" t="str">
        <x:v>Not applicable</x:v>
      </x:c>
    </x:row>
    <x:row r="1969">
      <x:c r="A1969" t="str">
        <x:v>V001966</x:v>
      </x:c>
      <x:c r="B1969" t="str">
        <x:v>M092</x:v>
      </x:c>
      <x:c r="C1969" t="str">
        <x:v>G092-01</x:v>
      </x:c>
      <x:c r="D1969" t="str">
        <x:v>HDT</x:v>
      </x:c>
      <x:c r="E1969" t="str">
        <x:v>63 °C</x:v>
      </x:c>
      <x:c r="F1969" t="str">
        <x:v>°C</x:v>
      </x:c>
      <x:c r="G1969" t="str">
        <x:v>63</x:v>
      </x:c>
      <x:c r="H1969" t="str">
        <x:v>Not applicable</x:v>
      </x:c>
      <x:c r="I1969" t="str">
        <x:v>Not applicable</x:v>
      </x:c>
      <x:c r="J1969" t="str">
        <x:v>=</x:v>
      </x:c>
      <x:c r="K1969" t="str">
        <x:v>1</x:v>
      </x:c>
      <x:c r="L1969" t="str">
        <x:v>63</x:v>
      </x:c>
      <x:c r="M1969" t="str">
        <x:v>Not applicable</x:v>
      </x:c>
      <x:c r="N1969" t="str">
        <x:v>Not applicable</x:v>
      </x:c>
      <x:c r="O1969" t="str">
        <x:v>°C</x:v>
      </x:c>
      <x:c r="P1969" t="str">
        <x:v>Published value</x:v>
      </x:c>
      <x:c r="Q1969" t="str">
        <x:v>Raw material value</x:v>
      </x:c>
      <x:c r="R1969" t="str">
        <x:v>Not applicable</x:v>
      </x:c>
      <x:c r="S1969" t="str">
        <x:v>Not published</x:v>
      </x:c>
      <x:c r="T1969" t="str">
        <x:v>Not published</x:v>
      </x:c>
      <x:c r="U1969" t="str">
        <x:v>Not published</x:v>
      </x:c>
      <x:c r="V1969" t="str">
        <x:v>ASTM D648, 1.82 MPa</x:v>
      </x:c>
      <x:c r="W1969" t="str">
        <x:v>Not applicable</x:v>
      </x:c>
      <x:c r="X1969" t="str">
        <x:v>Not published</x:v>
      </x:c>
      <x:c r="Y1969" t="str">
        <x:v>R-COLORFABB-NGEN-TDS-V2</x:v>
      </x:c>
      <x:c r="Z1969" t="str">
        <x:v>p. 1: Thermal Properties: Heat Deflection Temp. @1.82 MPa</x:v>
      </x:c>
      <x:c r="AA1969" t="str">
        <x:v>TDS footnote: obtained from the information provided by the supplier of the raw material. Not a printed or product specimen.</x:v>
      </x:c>
      <x:c r="AB1969" t="str">
        <x:v>Not applicable</x:v>
      </x:c>
      <x:c r="AC1969" t="str">
        <x:v>Not applicable</x:v>
      </x:c>
      <x:c r="AD1969" t="str">
        <x:v>Not applicable</x:v>
      </x:c>
      <x:c r="AE1969" t="str">
        <x:v>Not applicable</x:v>
      </x:c>
      <x:c r="AF1969" t="str">
        <x:v>Not applicable</x:v>
      </x:c>
      <x:c r="AG1969" t="str">
        <x:v>Not applicable</x:v>
      </x:c>
    </x:row>
  </x:sheetData>
  <x:conditionalFormatting sqref="P4:P1809">
    <x:cfRule type="containsText" dxfId="6" priority="2" aboveAverage="0" percent="0" bottom="0" operator="containsText" text="Unresolved unit / layout" rank="0" equalAverage="0">
      <x:formula>NOT(ISERROR(SEARCH("Unresolved unit / layout",P4)))</x:formula>
    </x:cfRule>
  </x:conditionalFormatting>
  <x:pageMargins left="0.7" right="0.7" top="0.75" bottom="0.75" header="0.3" footer="0.3"/>
  <x:tableParts count="1">
    <x:tablePart xmlns:r="http://schemas.openxmlformats.org/officeDocument/2006/relationships" r:id="R7c4f9f1c46254aea"/>
  </x:tableParts>
</x:worksheet>
</file>

<file path=xl/worksheets/sheet5.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3" width="14" style="1" hidden="0" customWidth="1"/>
    <x:col min="4" max="5" width="26" style="1" hidden="0" customWidth="1"/>
    <x:col min="6" max="6" width="85" style="1" hidden="0" customWidth="1"/>
    <x:col min="7" max="7" width="48" style="1" hidden="0" customWidth="1"/>
    <x:col min="8" max="9" width="26" style="1" hidden="0" customWidth="1"/>
    <x:col min="10" max="10" width="48" style="1" hidden="0" customWidth="1"/>
    <x:col min="11" max="11" width="42" style="1" hidden="0" customWidth="1"/>
    <x:col min="12" max="12" width="26" style="1" hidden="0" customWidth="1"/>
  </x:cols>
  <x:sheetData>
    <x:row r="1" ht="24" hidden="0" customHeight="1">
      <x:c r="A1" s="3" t="s">
        <x:v>5584</x:v>
      </x:c>
      <x:c r="B1" s="2"/>
      <x:c r="C1" s="2"/>
      <x:c r="D1" s="2"/>
      <x:c r="E1" s="2"/>
      <x:c r="F1" s="2"/>
      <x:c r="G1" s="2"/>
      <x:c r="H1" s="2"/>
      <x:c r="I1" s="2"/>
      <x:c r="J1" s="2"/>
      <x:c r="K1" s="2"/>
      <x:c r="L1" s="2"/>
    </x:row>
    <x:row r="2" ht="15" hidden="0" customHeight="1">
      <x:c r="A2" s="2"/>
      <x:c r="B2" s="2"/>
      <x:c r="C2" s="2"/>
      <x:c r="D2" s="2"/>
      <x:c r="E2" s="2"/>
      <x:c r="F2" s="2"/>
      <x:c r="G2" s="2"/>
      <x:c r="H2" s="2"/>
      <x:c r="I2" s="2"/>
      <x:c r="J2" s="2"/>
      <x:c r="K2" s="2"/>
      <x:c r="L2" s="2"/>
    </x:row>
    <x:row r="3" ht="43.5" hidden="0" customHeight="1">
      <x:c r="A3" s="4" t="s">
        <x:v>5585</x:v>
      </x:c>
      <x:c r="B3" s="4" t="s">
        <x:v>2</x:v>
      </x:c>
      <x:c r="C3" s="4" t="s">
        <x:v>1125</x:v>
      </x:c>
      <x:c r="D3" s="4" t="s">
        <x:v>5586</x:v>
      </x:c>
      <x:c r="E3" s="4" t="s">
        <x:v>5587</x:v>
      </x:c>
      <x:c r="F3" s="4" t="s">
        <x:v>5588</x:v>
      </x:c>
      <x:c r="G3" s="4" t="s">
        <x:v>5589</x:v>
      </x:c>
      <x:c r="H3" s="5" t="s">
        <x:v>5590</x:v>
      </x:c>
      <x:c r="I3" s="4" t="s">
        <x:v>5591</x:v>
      </x:c>
      <x:c r="J3" s="4" t="s">
        <x:v>5592</x:v>
      </x:c>
      <x:c r="K3" s="4" t="s">
        <x:v>1134</x:v>
      </x:c>
      <x:c r="L3" s="4" t="s">
        <x:v>1485</x:v>
      </x:c>
    </x:row>
    <x:row r="4" ht="51.75" hidden="0" customHeight="1">
      <x:c r="A4" s="7" t="s">
        <x:v>5593</x:v>
      </x:c>
      <x:c r="B4" s="7" t="s">
        <x:v>45</x:v>
      </x:c>
      <x:c r="C4" s="7" t="s">
        <x:v>1145</x:v>
      </x:c>
      <x:c r="D4" s="7" t="s">
        <x:v>5594</x:v>
      </x:c>
      <x:c r="E4" s="7" t="s">
        <x:v>5595</x:v>
      </x:c>
      <x:c r="F4" s="7" t="s">
        <x:v>5596</x:v>
      </x:c>
      <x:c r="G4" s="7" t="s">
        <x:v>5597</x:v>
      </x:c>
      <x:c r="H4" s="8" t="s">
        <x:v>53</x:v>
      </x:c>
      <x:c r="I4" s="7" t="s">
        <x:v>58</x:v>
      </x:c>
      <x:c r="J4" s="7" t="s">
        <x:v>5598</x:v>
      </x:c>
      <x:c r="K4" s="7" t="s">
        <x:v>1148</x:v>
      </x:c>
      <x:c r="L4" s="7" t="s">
        <x:v>5595</x:v>
      </x:c>
    </x:row>
    <x:row r="5" ht="51.75" hidden="0" customHeight="1">
      <x:c r="A5" s="7" t="s">
        <x:v>5599</x:v>
      </x:c>
      <x:c r="B5" s="7" t="s">
        <x:v>45</x:v>
      </x:c>
      <x:c r="C5" s="7" t="s">
        <x:v>1145</x:v>
      </x:c>
      <x:c r="D5" s="7" t="s">
        <x:v>5594</x:v>
      </x:c>
      <x:c r="E5" s="7" t="s">
        <x:v>5600</x:v>
      </x:c>
      <x:c r="F5" s="7" t="s">
        <x:v>5596</x:v>
      </x:c>
      <x:c r="G5" s="7" t="s">
        <x:v>5597</x:v>
      </x:c>
      <x:c r="H5" s="8" t="s">
        <x:v>53</x:v>
      </x:c>
      <x:c r="I5" s="7" t="s">
        <x:v>58</x:v>
      </x:c>
      <x:c r="J5" s="7" t="s">
        <x:v>5598</x:v>
      </x:c>
      <x:c r="K5" s="7" t="s">
        <x:v>1148</x:v>
      </x:c>
      <x:c r="L5" s="7" t="s">
        <x:v>5600</x:v>
      </x:c>
    </x:row>
    <x:row r="6" ht="51.75" hidden="0" customHeight="1">
      <x:c r="A6" s="7" t="s">
        <x:v>5601</x:v>
      </x:c>
      <x:c r="B6" s="7" t="s">
        <x:v>45</x:v>
      </x:c>
      <x:c r="C6" s="7" t="s">
        <x:v>1145</x:v>
      </x:c>
      <x:c r="D6" s="7" t="s">
        <x:v>5594</x:v>
      </x:c>
      <x:c r="E6" s="7" t="s">
        <x:v>5602</x:v>
      </x:c>
      <x:c r="F6" s="7" t="s">
        <x:v>5596</x:v>
      </x:c>
      <x:c r="G6" s="7" t="s">
        <x:v>5597</x:v>
      </x:c>
      <x:c r="H6" s="8" t="s">
        <x:v>53</x:v>
      </x:c>
      <x:c r="I6" s="7" t="s">
        <x:v>58</x:v>
      </x:c>
      <x:c r="J6" s="7" t="s">
        <x:v>5598</x:v>
      </x:c>
      <x:c r="K6" s="7" t="s">
        <x:v>1148</x:v>
      </x:c>
      <x:c r="L6" s="7" t="s">
        <x:v>5602</x:v>
      </x:c>
    </x:row>
    <x:row r="7" ht="51.75" hidden="0" customHeight="1">
      <x:c r="A7" s="7" t="s">
        <x:v>5603</x:v>
      </x:c>
      <x:c r="B7" s="7" t="s">
        <x:v>45</x:v>
      </x:c>
      <x:c r="C7" s="7" t="s">
        <x:v>1145</x:v>
      </x:c>
      <x:c r="D7" s="7" t="s">
        <x:v>5594</x:v>
      </x:c>
      <x:c r="E7" s="7" t="s">
        <x:v>5604</x:v>
      </x:c>
      <x:c r="F7" s="7" t="s">
        <x:v>5596</x:v>
      </x:c>
      <x:c r="G7" s="7" t="s">
        <x:v>5597</x:v>
      </x:c>
      <x:c r="H7" s="8" t="s">
        <x:v>53</x:v>
      </x:c>
      <x:c r="I7" s="7" t="s">
        <x:v>58</x:v>
      </x:c>
      <x:c r="J7" s="7" t="s">
        <x:v>5598</x:v>
      </x:c>
      <x:c r="K7" s="7" t="s">
        <x:v>1148</x:v>
      </x:c>
      <x:c r="L7" s="7" t="s">
        <x:v>5604</x:v>
      </x:c>
    </x:row>
    <x:row r="8" ht="51.75" hidden="0" customHeight="1">
      <x:c r="A8" s="7" t="s">
        <x:v>5605</x:v>
      </x:c>
      <x:c r="B8" s="7" t="s">
        <x:v>45</x:v>
      </x:c>
      <x:c r="C8" s="7" t="s">
        <x:v>1145</x:v>
      </x:c>
      <x:c r="D8" s="7" t="s">
        <x:v>5594</x:v>
      </x:c>
      <x:c r="E8" s="7" t="s">
        <x:v>5606</x:v>
      </x:c>
      <x:c r="F8" s="7" t="s">
        <x:v>5607</x:v>
      </x:c>
      <x:c r="G8" s="7" t="s">
        <x:v>5597</x:v>
      </x:c>
      <x:c r="H8" s="8" t="s">
        <x:v>53</x:v>
      </x:c>
      <x:c r="I8" s="7" t="s">
        <x:v>58</x:v>
      </x:c>
      <x:c r="J8" s="7" t="s">
        <x:v>5598</x:v>
      </x:c>
      <x:c r="K8" s="7" t="s">
        <x:v>1148</x:v>
      </x:c>
      <x:c r="L8" s="7" t="s">
        <x:v>5606</x:v>
      </x:c>
    </x:row>
    <x:row r="9" ht="51.75" hidden="0" customHeight="1">
      <x:c r="A9" s="7" t="s">
        <x:v>5608</x:v>
      </x:c>
      <x:c r="B9" s="7" t="s">
        <x:v>45</x:v>
      </x:c>
      <x:c r="C9" s="7" t="s">
        <x:v>1145</x:v>
      </x:c>
      <x:c r="D9" s="7" t="s">
        <x:v>5594</x:v>
      </x:c>
      <x:c r="E9" s="7" t="s">
        <x:v>5609</x:v>
      </x:c>
      <x:c r="F9" s="7" t="s">
        <x:v>5607</x:v>
      </x:c>
      <x:c r="G9" s="7" t="s">
        <x:v>5597</x:v>
      </x:c>
      <x:c r="H9" s="8" t="s">
        <x:v>53</x:v>
      </x:c>
      <x:c r="I9" s="7" t="s">
        <x:v>58</x:v>
      </x:c>
      <x:c r="J9" s="7" t="s">
        <x:v>5598</x:v>
      </x:c>
      <x:c r="K9" s="7" t="s">
        <x:v>1148</x:v>
      </x:c>
      <x:c r="L9" s="7" t="s">
        <x:v>5609</x:v>
      </x:c>
    </x:row>
    <x:row r="10" ht="51.75" hidden="0" customHeight="1">
      <x:c r="A10" s="7" t="s">
        <x:v>5610</x:v>
      </x:c>
      <x:c r="B10" s="7" t="s">
        <x:v>76</x:v>
      </x:c>
      <x:c r="C10" s="7" t="s">
        <x:v>79</x:v>
      </x:c>
      <x:c r="D10" s="7" t="s">
        <x:v>5611</x:v>
      </x:c>
      <x:c r="E10" s="7" t="s">
        <x:v>5612</x:v>
      </x:c>
      <x:c r="F10" s="7" t="s">
        <x:v>5613</x:v>
      </x:c>
      <x:c r="G10" s="7" t="s">
        <x:v>5614</x:v>
      </x:c>
      <x:c r="H10" s="8" t="s">
        <x:v>53</x:v>
      </x:c>
      <x:c r="I10" s="7" t="s">
        <x:v>58</x:v>
      </x:c>
      <x:c r="J10" s="7" t="s">
        <x:v>5598</x:v>
      </x:c>
      <x:c r="K10" s="7" t="s">
        <x:v>1154</x:v>
      </x:c>
      <x:c r="L10" s="7" t="s">
        <x:v>5612</x:v>
      </x:c>
    </x:row>
    <x:row r="11" ht="51.75" hidden="0" customHeight="1">
      <x:c r="A11" s="7" t="s">
        <x:v>5615</x:v>
      </x:c>
      <x:c r="B11" s="7" t="s">
        <x:v>76</x:v>
      </x:c>
      <x:c r="C11" s="7" t="s">
        <x:v>79</x:v>
      </x:c>
      <x:c r="D11" s="7" t="s">
        <x:v>5594</x:v>
      </x:c>
      <x:c r="E11" s="7" t="s">
        <x:v>5616</x:v>
      </x:c>
      <x:c r="F11" s="7" t="s">
        <x:v>5596</x:v>
      </x:c>
      <x:c r="G11" s="7" t="s">
        <x:v>5614</x:v>
      </x:c>
      <x:c r="H11" s="8" t="s">
        <x:v>53</x:v>
      </x:c>
      <x:c r="I11" s="7" t="s">
        <x:v>58</x:v>
      </x:c>
      <x:c r="J11" s="7" t="s">
        <x:v>5598</x:v>
      </x:c>
      <x:c r="K11" s="7" t="s">
        <x:v>1154</x:v>
      </x:c>
      <x:c r="L11" s="7" t="s">
        <x:v>5616</x:v>
      </x:c>
    </x:row>
    <x:row r="12" ht="51.75" hidden="0" customHeight="1">
      <x:c r="A12" s="7" t="s">
        <x:v>5617</x:v>
      </x:c>
      <x:c r="B12" s="7" t="s">
        <x:v>76</x:v>
      </x:c>
      <x:c r="C12" s="7" t="s">
        <x:v>79</x:v>
      </x:c>
      <x:c r="D12" s="7" t="s">
        <x:v>5594</x:v>
      </x:c>
      <x:c r="E12" s="7" t="s">
        <x:v>5618</x:v>
      </x:c>
      <x:c r="F12" s="7" t="s">
        <x:v>5596</x:v>
      </x:c>
      <x:c r="G12" s="7" t="s">
        <x:v>5614</x:v>
      </x:c>
      <x:c r="H12" s="8" t="s">
        <x:v>53</x:v>
      </x:c>
      <x:c r="I12" s="7" t="s">
        <x:v>58</x:v>
      </x:c>
      <x:c r="J12" s="7" t="s">
        <x:v>5598</x:v>
      </x:c>
      <x:c r="K12" s="7" t="s">
        <x:v>1154</x:v>
      </x:c>
      <x:c r="L12" s="7" t="s">
        <x:v>5618</x:v>
      </x:c>
    </x:row>
    <x:row r="13" ht="51.75" hidden="0" customHeight="1">
      <x:c r="A13" s="7" t="s">
        <x:v>5619</x:v>
      </x:c>
      <x:c r="B13" s="7" t="s">
        <x:v>76</x:v>
      </x:c>
      <x:c r="C13" s="7" t="s">
        <x:v>79</x:v>
      </x:c>
      <x:c r="D13" s="7" t="s">
        <x:v>5594</x:v>
      </x:c>
      <x:c r="E13" s="7" t="s">
        <x:v>5620</x:v>
      </x:c>
      <x:c r="F13" s="7" t="s">
        <x:v>5621</x:v>
      </x:c>
      <x:c r="G13" s="7" t="s">
        <x:v>5614</x:v>
      </x:c>
      <x:c r="H13" s="8" t="s">
        <x:v>53</x:v>
      </x:c>
      <x:c r="I13" s="7" t="s">
        <x:v>58</x:v>
      </x:c>
      <x:c r="J13" s="7" t="s">
        <x:v>5598</x:v>
      </x:c>
      <x:c r="K13" s="7" t="s">
        <x:v>1154</x:v>
      </x:c>
      <x:c r="L13" s="7" t="s">
        <x:v>5620</x:v>
      </x:c>
    </x:row>
    <x:row r="14" ht="51.75" hidden="0" customHeight="1">
      <x:c r="A14" s="7" t="s">
        <x:v>5622</x:v>
      </x:c>
      <x:c r="B14" s="7" t="s">
        <x:v>76</x:v>
      </x:c>
      <x:c r="C14" s="7" t="s">
        <x:v>79</x:v>
      </x:c>
      <x:c r="D14" s="7" t="s">
        <x:v>5594</x:v>
      </x:c>
      <x:c r="E14" s="7" t="s">
        <x:v>5623</x:v>
      </x:c>
      <x:c r="F14" s="7" t="s">
        <x:v>5624</x:v>
      </x:c>
      <x:c r="G14" s="7" t="s">
        <x:v>5614</x:v>
      </x:c>
      <x:c r="H14" s="8" t="s">
        <x:v>53</x:v>
      </x:c>
      <x:c r="I14" s="7" t="s">
        <x:v>58</x:v>
      </x:c>
      <x:c r="J14" s="7" t="s">
        <x:v>5598</x:v>
      </x:c>
      <x:c r="K14" s="7" t="s">
        <x:v>1154</x:v>
      </x:c>
      <x:c r="L14" s="7" t="s">
        <x:v>5623</x:v>
      </x:c>
    </x:row>
    <x:row r="15" ht="51.75" hidden="0" customHeight="1">
      <x:c r="A15" s="7" t="s">
        <x:v>5625</x:v>
      </x:c>
      <x:c r="B15" s="7" t="s">
        <x:v>76</x:v>
      </x:c>
      <x:c r="C15" s="7" t="s">
        <x:v>79</x:v>
      </x:c>
      <x:c r="D15" s="7" t="s">
        <x:v>5626</x:v>
      </x:c>
      <x:c r="E15" s="7" t="s">
        <x:v>5626</x:v>
      </x:c>
      <x:c r="F15" s="7" t="s">
        <x:v>5627</x:v>
      </x:c>
      <x:c r="G15" s="7" t="s">
        <x:v>5614</x:v>
      </x:c>
      <x:c r="H15" s="8" t="s">
        <x:v>53</x:v>
      </x:c>
      <x:c r="I15" s="7" t="s">
        <x:v>58</x:v>
      </x:c>
      <x:c r="J15" s="7" t="s">
        <x:v>5598</x:v>
      </x:c>
      <x:c r="K15" s="7" t="s">
        <x:v>1154</x:v>
      </x:c>
      <x:c r="L15" s="7" t="s">
        <x:v>5626</x:v>
      </x:c>
    </x:row>
    <x:row r="16" ht="37.5" hidden="0" customHeight="1">
      <x:c r="A16" s="7" t="s">
        <x:v>92</x:v>
      </x:c>
      <x:c r="B16" s="7" t="s">
        <x:v>76</x:v>
      </x:c>
      <x:c r="C16" s="7" t="s">
        <x:v>79</x:v>
      </x:c>
      <x:c r="D16" s="7" t="s">
        <x:v>1903</x:v>
      </x:c>
      <x:c r="E16" s="7" t="s">
        <x:v>5628</x:v>
      </x:c>
      <x:c r="F16" s="7" t="s">
        <x:v>2078</x:v>
      </x:c>
      <x:c r="G16" s="7" t="s">
        <x:v>5629</x:v>
      </x:c>
      <x:c r="H16" s="8" t="s">
        <x:v>53</x:v>
      </x:c>
      <x:c r="I16" s="7" t="s">
        <x:v>58</x:v>
      </x:c>
      <x:c r="J16" s="7" t="s">
        <x:v>5598</x:v>
      </x:c>
      <x:c r="K16" s="7" t="s">
        <x:v>1154</x:v>
      </x:c>
      <x:c r="L16" s="7" t="s">
        <x:v>5628</x:v>
      </x:c>
    </x:row>
    <x:row r="17" ht="51.75" hidden="0" customHeight="1">
      <x:c r="A17" s="7" t="s">
        <x:v>5630</x:v>
      </x:c>
      <x:c r="B17" s="7" t="s">
        <x:v>94</x:v>
      </x:c>
      <x:c r="C17" s="7" t="s">
        <x:v>96</x:v>
      </x:c>
      <x:c r="D17" s="7" t="s">
        <x:v>5611</x:v>
      </x:c>
      <x:c r="E17" s="7" t="s">
        <x:v>5612</x:v>
      </x:c>
      <x:c r="F17" s="7" t="s">
        <x:v>5613</x:v>
      </x:c>
      <x:c r="G17" s="7" t="s">
        <x:v>5614</x:v>
      </x:c>
      <x:c r="H17" s="8" t="s">
        <x:v>53</x:v>
      </x:c>
      <x:c r="I17" s="7" t="s">
        <x:v>58</x:v>
      </x:c>
      <x:c r="J17" s="7" t="s">
        <x:v>5598</x:v>
      </x:c>
      <x:c r="K17" s="7" t="s">
        <x:v>1157</x:v>
      </x:c>
      <x:c r="L17" s="7" t="s">
        <x:v>5612</x:v>
      </x:c>
    </x:row>
    <x:row r="18" ht="51.75" hidden="0" customHeight="1">
      <x:c r="A18" s="7" t="s">
        <x:v>5631</x:v>
      </x:c>
      <x:c r="B18" s="7" t="s">
        <x:v>94</x:v>
      </x:c>
      <x:c r="C18" s="7" t="s">
        <x:v>96</x:v>
      </x:c>
      <x:c r="D18" s="7" t="s">
        <x:v>5594</x:v>
      </x:c>
      <x:c r="E18" s="7" t="s">
        <x:v>5616</x:v>
      </x:c>
      <x:c r="F18" s="7" t="s">
        <x:v>5596</x:v>
      </x:c>
      <x:c r="G18" s="7" t="s">
        <x:v>5614</x:v>
      </x:c>
      <x:c r="H18" s="8" t="s">
        <x:v>53</x:v>
      </x:c>
      <x:c r="I18" s="7" t="s">
        <x:v>58</x:v>
      </x:c>
      <x:c r="J18" s="7" t="s">
        <x:v>5598</x:v>
      </x:c>
      <x:c r="K18" s="7" t="s">
        <x:v>1157</x:v>
      </x:c>
      <x:c r="L18" s="7" t="s">
        <x:v>5616</x:v>
      </x:c>
    </x:row>
    <x:row r="19" ht="51.75" hidden="0" customHeight="1">
      <x:c r="A19" s="7" t="s">
        <x:v>5632</x:v>
      </x:c>
      <x:c r="B19" s="7" t="s">
        <x:v>94</x:v>
      </x:c>
      <x:c r="C19" s="7" t="s">
        <x:v>96</x:v>
      </x:c>
      <x:c r="D19" s="7" t="s">
        <x:v>5594</x:v>
      </x:c>
      <x:c r="E19" s="7" t="s">
        <x:v>5618</x:v>
      </x:c>
      <x:c r="F19" s="7" t="s">
        <x:v>5596</x:v>
      </x:c>
      <x:c r="G19" s="7" t="s">
        <x:v>5614</x:v>
      </x:c>
      <x:c r="H19" s="8" t="s">
        <x:v>53</x:v>
      </x:c>
      <x:c r="I19" s="7" t="s">
        <x:v>58</x:v>
      </x:c>
      <x:c r="J19" s="7" t="s">
        <x:v>5598</x:v>
      </x:c>
      <x:c r="K19" s="7" t="s">
        <x:v>1157</x:v>
      </x:c>
      <x:c r="L19" s="7" t="s">
        <x:v>5618</x:v>
      </x:c>
    </x:row>
    <x:row r="20" ht="51.75" hidden="0" customHeight="1">
      <x:c r="A20" s="7" t="s">
        <x:v>5633</x:v>
      </x:c>
      <x:c r="B20" s="7" t="s">
        <x:v>94</x:v>
      </x:c>
      <x:c r="C20" s="7" t="s">
        <x:v>96</x:v>
      </x:c>
      <x:c r="D20" s="7" t="s">
        <x:v>5594</x:v>
      </x:c>
      <x:c r="E20" s="7" t="s">
        <x:v>5620</x:v>
      </x:c>
      <x:c r="F20" s="7" t="s">
        <x:v>5621</x:v>
      </x:c>
      <x:c r="G20" s="7" t="s">
        <x:v>5614</x:v>
      </x:c>
      <x:c r="H20" s="8" t="s">
        <x:v>53</x:v>
      </x:c>
      <x:c r="I20" s="7" t="s">
        <x:v>58</x:v>
      </x:c>
      <x:c r="J20" s="7" t="s">
        <x:v>5598</x:v>
      </x:c>
      <x:c r="K20" s="7" t="s">
        <x:v>1157</x:v>
      </x:c>
      <x:c r="L20" s="7" t="s">
        <x:v>5620</x:v>
      </x:c>
    </x:row>
    <x:row r="21" ht="51.75" hidden="0" customHeight="1">
      <x:c r="A21" s="7" t="s">
        <x:v>5634</x:v>
      </x:c>
      <x:c r="B21" s="7" t="s">
        <x:v>94</x:v>
      </x:c>
      <x:c r="C21" s="7" t="s">
        <x:v>96</x:v>
      </x:c>
      <x:c r="D21" s="7" t="s">
        <x:v>5594</x:v>
      </x:c>
      <x:c r="E21" s="7" t="s">
        <x:v>5623</x:v>
      </x:c>
      <x:c r="F21" s="7" t="s">
        <x:v>5624</x:v>
      </x:c>
      <x:c r="G21" s="7" t="s">
        <x:v>5614</x:v>
      </x:c>
      <x:c r="H21" s="8" t="s">
        <x:v>53</x:v>
      </x:c>
      <x:c r="I21" s="7" t="s">
        <x:v>58</x:v>
      </x:c>
      <x:c r="J21" s="7" t="s">
        <x:v>5598</x:v>
      </x:c>
      <x:c r="K21" s="7" t="s">
        <x:v>1157</x:v>
      </x:c>
      <x:c r="L21" s="7" t="s">
        <x:v>5623</x:v>
      </x:c>
    </x:row>
    <x:row r="22" ht="51.75" hidden="0" customHeight="1">
      <x:c r="A22" s="7" t="s">
        <x:v>5635</x:v>
      </x:c>
      <x:c r="B22" s="7" t="s">
        <x:v>94</x:v>
      </x:c>
      <x:c r="C22" s="7" t="s">
        <x:v>96</x:v>
      </x:c>
      <x:c r="D22" s="7" t="s">
        <x:v>5626</x:v>
      </x:c>
      <x:c r="E22" s="7" t="s">
        <x:v>5626</x:v>
      </x:c>
      <x:c r="F22" s="7" t="s">
        <x:v>5627</x:v>
      </x:c>
      <x:c r="G22" s="7" t="s">
        <x:v>5614</x:v>
      </x:c>
      <x:c r="H22" s="8" t="s">
        <x:v>53</x:v>
      </x:c>
      <x:c r="I22" s="7" t="s">
        <x:v>58</x:v>
      </x:c>
      <x:c r="J22" s="7" t="s">
        <x:v>5598</x:v>
      </x:c>
      <x:c r="K22" s="7" t="s">
        <x:v>1157</x:v>
      </x:c>
      <x:c r="L22" s="7" t="s">
        <x:v>5626</x:v>
      </x:c>
    </x:row>
    <x:row r="23" ht="37.5" hidden="0" customHeight="1">
      <x:c r="A23" s="7" t="s">
        <x:v>102</x:v>
      </x:c>
      <x:c r="B23" s="7" t="s">
        <x:v>94</x:v>
      </x:c>
      <x:c r="C23" s="7" t="s">
        <x:v>96</x:v>
      </x:c>
      <x:c r="D23" s="7" t="s">
        <x:v>1903</x:v>
      </x:c>
      <x:c r="E23" s="7" t="s">
        <x:v>5628</x:v>
      </x:c>
      <x:c r="F23" s="7" t="s">
        <x:v>2078</x:v>
      </x:c>
      <x:c r="G23" s="7" t="s">
        <x:v>5629</x:v>
      </x:c>
      <x:c r="H23" s="8" t="s">
        <x:v>53</x:v>
      </x:c>
      <x:c r="I23" s="7" t="s">
        <x:v>58</x:v>
      </x:c>
      <x:c r="J23" s="7" t="s">
        <x:v>5598</x:v>
      </x:c>
      <x:c r="K23" s="7" t="s">
        <x:v>1157</x:v>
      </x:c>
      <x:c r="L23" s="7" t="s">
        <x:v>5628</x:v>
      </x:c>
    </x:row>
    <x:row r="24" ht="51.75" hidden="0" customHeight="1">
      <x:c r="A24" s="7" t="s">
        <x:v>5636</x:v>
      </x:c>
      <x:c r="B24" s="7" t="s">
        <x:v>111</x:v>
      </x:c>
      <x:c r="C24" s="7" t="s">
        <x:v>113</x:v>
      </x:c>
      <x:c r="D24" s="7" t="s">
        <x:v>5611</x:v>
      </x:c>
      <x:c r="E24" s="7" t="s">
        <x:v>5612</x:v>
      </x:c>
      <x:c r="F24" s="7" t="s">
        <x:v>5613</x:v>
      </x:c>
      <x:c r="G24" s="7" t="s">
        <x:v>5614</x:v>
      </x:c>
      <x:c r="H24" s="8" t="s">
        <x:v>53</x:v>
      </x:c>
      <x:c r="I24" s="7" t="s">
        <x:v>58</x:v>
      </x:c>
      <x:c r="J24" s="7" t="s">
        <x:v>5598</x:v>
      </x:c>
      <x:c r="K24" s="7" t="s">
        <x:v>1158</x:v>
      </x:c>
      <x:c r="L24" s="7" t="s">
        <x:v>5612</x:v>
      </x:c>
    </x:row>
    <x:row r="25" ht="51.75" hidden="0" customHeight="1">
      <x:c r="A25" s="7" t="s">
        <x:v>5637</x:v>
      </x:c>
      <x:c r="B25" s="7" t="s">
        <x:v>111</x:v>
      </x:c>
      <x:c r="C25" s="7" t="s">
        <x:v>113</x:v>
      </x:c>
      <x:c r="D25" s="7" t="s">
        <x:v>5594</x:v>
      </x:c>
      <x:c r="E25" s="7" t="s">
        <x:v>5616</x:v>
      </x:c>
      <x:c r="F25" s="7" t="s">
        <x:v>5596</x:v>
      </x:c>
      <x:c r="G25" s="7" t="s">
        <x:v>5614</x:v>
      </x:c>
      <x:c r="H25" s="8" t="s">
        <x:v>53</x:v>
      </x:c>
      <x:c r="I25" s="7" t="s">
        <x:v>58</x:v>
      </x:c>
      <x:c r="J25" s="7" t="s">
        <x:v>5598</x:v>
      </x:c>
      <x:c r="K25" s="7" t="s">
        <x:v>1158</x:v>
      </x:c>
      <x:c r="L25" s="7" t="s">
        <x:v>5616</x:v>
      </x:c>
    </x:row>
    <x:row r="26" ht="51.75" hidden="0" customHeight="1">
      <x:c r="A26" s="7" t="s">
        <x:v>5638</x:v>
      </x:c>
      <x:c r="B26" s="7" t="s">
        <x:v>111</x:v>
      </x:c>
      <x:c r="C26" s="7" t="s">
        <x:v>113</x:v>
      </x:c>
      <x:c r="D26" s="7" t="s">
        <x:v>5594</x:v>
      </x:c>
      <x:c r="E26" s="7" t="s">
        <x:v>5618</x:v>
      </x:c>
      <x:c r="F26" s="7" t="s">
        <x:v>5596</x:v>
      </x:c>
      <x:c r="G26" s="7" t="s">
        <x:v>5614</x:v>
      </x:c>
      <x:c r="H26" s="8" t="s">
        <x:v>53</x:v>
      </x:c>
      <x:c r="I26" s="7" t="s">
        <x:v>58</x:v>
      </x:c>
      <x:c r="J26" s="7" t="s">
        <x:v>5598</x:v>
      </x:c>
      <x:c r="K26" s="7" t="s">
        <x:v>1158</x:v>
      </x:c>
      <x:c r="L26" s="7" t="s">
        <x:v>5618</x:v>
      </x:c>
    </x:row>
    <x:row r="27" ht="51.75" hidden="0" customHeight="1">
      <x:c r="A27" s="7" t="s">
        <x:v>5639</x:v>
      </x:c>
      <x:c r="B27" s="7" t="s">
        <x:v>111</x:v>
      </x:c>
      <x:c r="C27" s="7" t="s">
        <x:v>113</x:v>
      </x:c>
      <x:c r="D27" s="7" t="s">
        <x:v>5594</x:v>
      </x:c>
      <x:c r="E27" s="7" t="s">
        <x:v>5620</x:v>
      </x:c>
      <x:c r="F27" s="7" t="s">
        <x:v>5621</x:v>
      </x:c>
      <x:c r="G27" s="7" t="s">
        <x:v>5614</x:v>
      </x:c>
      <x:c r="H27" s="8" t="s">
        <x:v>53</x:v>
      </x:c>
      <x:c r="I27" s="7" t="s">
        <x:v>58</x:v>
      </x:c>
      <x:c r="J27" s="7" t="s">
        <x:v>5598</x:v>
      </x:c>
      <x:c r="K27" s="7" t="s">
        <x:v>1158</x:v>
      </x:c>
      <x:c r="L27" s="7" t="s">
        <x:v>5620</x:v>
      </x:c>
    </x:row>
    <x:row r="28" ht="51.75" hidden="0" customHeight="1">
      <x:c r="A28" s="7" t="s">
        <x:v>5640</x:v>
      </x:c>
      <x:c r="B28" s="7" t="s">
        <x:v>111</x:v>
      </x:c>
      <x:c r="C28" s="7" t="s">
        <x:v>113</x:v>
      </x:c>
      <x:c r="D28" s="7" t="s">
        <x:v>5594</x:v>
      </x:c>
      <x:c r="E28" s="7" t="s">
        <x:v>5623</x:v>
      </x:c>
      <x:c r="F28" s="7" t="s">
        <x:v>5624</x:v>
      </x:c>
      <x:c r="G28" s="7" t="s">
        <x:v>5614</x:v>
      </x:c>
      <x:c r="H28" s="8" t="s">
        <x:v>53</x:v>
      </x:c>
      <x:c r="I28" s="7" t="s">
        <x:v>58</x:v>
      </x:c>
      <x:c r="J28" s="7" t="s">
        <x:v>5598</x:v>
      </x:c>
      <x:c r="K28" s="7" t="s">
        <x:v>1158</x:v>
      </x:c>
      <x:c r="L28" s="7" t="s">
        <x:v>5623</x:v>
      </x:c>
    </x:row>
    <x:row r="29" ht="51.75" hidden="0" customHeight="1">
      <x:c r="A29" s="7" t="s">
        <x:v>5641</x:v>
      </x:c>
      <x:c r="B29" s="7" t="s">
        <x:v>111</x:v>
      </x:c>
      <x:c r="C29" s="7" t="s">
        <x:v>113</x:v>
      </x:c>
      <x:c r="D29" s="7" t="s">
        <x:v>5626</x:v>
      </x:c>
      <x:c r="E29" s="7" t="s">
        <x:v>5626</x:v>
      </x:c>
      <x:c r="F29" s="7" t="s">
        <x:v>5642</x:v>
      </x:c>
      <x:c r="G29" s="7" t="s">
        <x:v>5614</x:v>
      </x:c>
      <x:c r="H29" s="8" t="s">
        <x:v>53</x:v>
      </x:c>
      <x:c r="I29" s="7" t="s">
        <x:v>58</x:v>
      </x:c>
      <x:c r="J29" s="7" t="s">
        <x:v>5598</x:v>
      </x:c>
      <x:c r="K29" s="7" t="s">
        <x:v>1158</x:v>
      </x:c>
      <x:c r="L29" s="7" t="s">
        <x:v>5626</x:v>
      </x:c>
    </x:row>
    <x:row r="30" ht="37.5" hidden="0" customHeight="1">
      <x:c r="A30" s="7" t="s">
        <x:v>120</x:v>
      </x:c>
      <x:c r="B30" s="7" t="s">
        <x:v>111</x:v>
      </x:c>
      <x:c r="C30" s="7" t="s">
        <x:v>113</x:v>
      </x:c>
      <x:c r="D30" s="7" t="s">
        <x:v>1903</x:v>
      </x:c>
      <x:c r="E30" s="7" t="s">
        <x:v>5628</x:v>
      </x:c>
      <x:c r="F30" s="7" t="s">
        <x:v>2183</x:v>
      </x:c>
      <x:c r="G30" s="7" t="s">
        <x:v>5629</x:v>
      </x:c>
      <x:c r="H30" s="8" t="s">
        <x:v>53</x:v>
      </x:c>
      <x:c r="I30" s="7" t="s">
        <x:v>58</x:v>
      </x:c>
      <x:c r="J30" s="7" t="s">
        <x:v>5598</x:v>
      </x:c>
      <x:c r="K30" s="7" t="s">
        <x:v>1158</x:v>
      </x:c>
      <x:c r="L30" s="7" t="s">
        <x:v>5628</x:v>
      </x:c>
    </x:row>
    <x:row r="31" ht="51.75" hidden="0" customHeight="1">
      <x:c r="A31" s="7" t="s">
        <x:v>5643</x:v>
      </x:c>
      <x:c r="B31" s="7" t="s">
        <x:v>122</x:v>
      </x:c>
      <x:c r="C31" s="7" t="s">
        <x:v>124</x:v>
      </x:c>
      <x:c r="D31" s="7" t="s">
        <x:v>5626</x:v>
      </x:c>
      <x:c r="E31" s="7" t="s">
        <x:v>5626</x:v>
      </x:c>
      <x:c r="F31" s="7" t="s">
        <x:v>5627</x:v>
      </x:c>
      <x:c r="G31" s="7" t="s">
        <x:v>5614</x:v>
      </x:c>
      <x:c r="H31" s="8" t="s">
        <x:v>53</x:v>
      </x:c>
      <x:c r="I31" s="7" t="s">
        <x:v>58</x:v>
      </x:c>
      <x:c r="J31" s="7" t="s">
        <x:v>5598</x:v>
      </x:c>
      <x:c r="K31" s="7" t="s">
        <x:v>1160</x:v>
      </x:c>
      <x:c r="L31" s="7" t="s">
        <x:v>5626</x:v>
      </x:c>
    </x:row>
    <x:row r="32" ht="51.75" hidden="0" customHeight="1">
      <x:c r="A32" s="7" t="s">
        <x:v>5644</x:v>
      </x:c>
      <x:c r="B32" s="7" t="s">
        <x:v>134</x:v>
      </x:c>
      <x:c r="C32" s="7" t="s">
        <x:v>136</x:v>
      </x:c>
      <x:c r="D32" s="7" t="s">
        <x:v>5626</x:v>
      </x:c>
      <x:c r="E32" s="7" t="s">
        <x:v>5626</x:v>
      </x:c>
      <x:c r="F32" s="7" t="s">
        <x:v>5627</x:v>
      </x:c>
      <x:c r="G32" s="7" t="s">
        <x:v>5614</x:v>
      </x:c>
      <x:c r="H32" s="8" t="s">
        <x:v>53</x:v>
      </x:c>
      <x:c r="I32" s="7" t="s">
        <x:v>58</x:v>
      </x:c>
      <x:c r="J32" s="7" t="s">
        <x:v>5598</x:v>
      </x:c>
      <x:c r="K32" s="7" t="s">
        <x:v>1162</x:v>
      </x:c>
      <x:c r="L32" s="7" t="s">
        <x:v>5626</x:v>
      </x:c>
    </x:row>
    <x:row r="33" ht="51.75" hidden="0" customHeight="1">
      <x:c r="A33" s="7" t="s">
        <x:v>5645</x:v>
      </x:c>
      <x:c r="B33" s="7" t="s">
        <x:v>148</x:v>
      </x:c>
      <x:c r="C33" s="7" t="s">
        <x:v>150</x:v>
      </x:c>
      <x:c r="D33" s="7" t="s">
        <x:v>5626</x:v>
      </x:c>
      <x:c r="E33" s="7" t="s">
        <x:v>5626</x:v>
      </x:c>
      <x:c r="F33" s="7" t="s">
        <x:v>5627</x:v>
      </x:c>
      <x:c r="G33" s="7" t="s">
        <x:v>5614</x:v>
      </x:c>
      <x:c r="H33" s="8" t="s">
        <x:v>53</x:v>
      </x:c>
      <x:c r="I33" s="7" t="s">
        <x:v>58</x:v>
      </x:c>
      <x:c r="J33" s="7" t="s">
        <x:v>5598</x:v>
      </x:c>
      <x:c r="K33" s="7" t="s">
        <x:v>1163</x:v>
      </x:c>
      <x:c r="L33" s="7" t="s">
        <x:v>5626</x:v>
      </x:c>
    </x:row>
    <x:row r="34" ht="37.5" hidden="0" customHeight="1">
      <x:c r="A34" s="7" t="s">
        <x:v>157</x:v>
      </x:c>
      <x:c r="B34" s="7" t="s">
        <x:v>148</x:v>
      </x:c>
      <x:c r="C34" s="7" t="s">
        <x:v>150</x:v>
      </x:c>
      <x:c r="D34" s="7" t="s">
        <x:v>1903</x:v>
      </x:c>
      <x:c r="E34" s="7" t="s">
        <x:v>5628</x:v>
      </x:c>
      <x:c r="F34" s="7" t="s">
        <x:v>2078</x:v>
      </x:c>
      <x:c r="G34" s="7" t="s">
        <x:v>5629</x:v>
      </x:c>
      <x:c r="H34" s="8" t="s">
        <x:v>53</x:v>
      </x:c>
      <x:c r="I34" s="7" t="s">
        <x:v>58</x:v>
      </x:c>
      <x:c r="J34" s="7" t="s">
        <x:v>5598</x:v>
      </x:c>
      <x:c r="K34" s="7" t="s">
        <x:v>1163</x:v>
      </x:c>
      <x:c r="L34" s="7" t="s">
        <x:v>5628</x:v>
      </x:c>
    </x:row>
    <x:row r="35" ht="51.75" hidden="0" customHeight="1">
      <x:c r="A35" s="7" t="s">
        <x:v>5646</x:v>
      </x:c>
      <x:c r="B35" s="7" t="s">
        <x:v>158</x:v>
      </x:c>
      <x:c r="C35" s="7" t="s">
        <x:v>160</x:v>
      </x:c>
      <x:c r="D35" s="7" t="s">
        <x:v>5626</x:v>
      </x:c>
      <x:c r="E35" s="7" t="s">
        <x:v>5626</x:v>
      </x:c>
      <x:c r="F35" s="7" t="s">
        <x:v>5627</x:v>
      </x:c>
      <x:c r="G35" s="7" t="s">
        <x:v>5614</x:v>
      </x:c>
      <x:c r="H35" s="8" t="s">
        <x:v>53</x:v>
      </x:c>
      <x:c r="I35" s="7" t="s">
        <x:v>58</x:v>
      </x:c>
      <x:c r="J35" s="7" t="s">
        <x:v>5598</x:v>
      </x:c>
      <x:c r="K35" s="7" t="s">
        <x:v>1164</x:v>
      </x:c>
      <x:c r="L35" s="7" t="s">
        <x:v>5626</x:v>
      </x:c>
    </x:row>
    <x:row r="36" ht="37.5" hidden="0" customHeight="1">
      <x:c r="A36" s="7" t="s">
        <x:v>170</x:v>
      </x:c>
      <x:c r="B36" s="7" t="s">
        <x:v>158</x:v>
      </x:c>
      <x:c r="C36" s="7" t="s">
        <x:v>160</x:v>
      </x:c>
      <x:c r="D36" s="7" t="s">
        <x:v>1903</x:v>
      </x:c>
      <x:c r="E36" s="7" t="s">
        <x:v>5628</x:v>
      </x:c>
      <x:c r="F36" s="7" t="s">
        <x:v>2078</x:v>
      </x:c>
      <x:c r="G36" s="7" t="s">
        <x:v>5629</x:v>
      </x:c>
      <x:c r="H36" s="8" t="s">
        <x:v>53</x:v>
      </x:c>
      <x:c r="I36" s="7" t="s">
        <x:v>58</x:v>
      </x:c>
      <x:c r="J36" s="7" t="s">
        <x:v>5598</x:v>
      </x:c>
      <x:c r="K36" s="7" t="s">
        <x:v>1164</x:v>
      </x:c>
      <x:c r="L36" s="7" t="s">
        <x:v>5628</x:v>
      </x:c>
    </x:row>
    <x:row r="37" ht="51.75" hidden="0" customHeight="1">
      <x:c r="A37" s="7" t="s">
        <x:v>5647</x:v>
      </x:c>
      <x:c r="B37" s="7" t="s">
        <x:v>171</x:v>
      </x:c>
      <x:c r="C37" s="7" t="s">
        <x:v>173</x:v>
      </x:c>
      <x:c r="D37" s="7" t="s">
        <x:v>5611</x:v>
      </x:c>
      <x:c r="E37" s="7" t="s">
        <x:v>5612</x:v>
      </x:c>
      <x:c r="F37" s="7" t="s">
        <x:v>5613</x:v>
      </x:c>
      <x:c r="G37" s="7" t="s">
        <x:v>5614</x:v>
      </x:c>
      <x:c r="H37" s="8" t="s">
        <x:v>53</x:v>
      </x:c>
      <x:c r="I37" s="7" t="s">
        <x:v>58</x:v>
      </x:c>
      <x:c r="J37" s="7" t="s">
        <x:v>5598</x:v>
      </x:c>
      <x:c r="K37" s="7" t="s">
        <x:v>1165</x:v>
      </x:c>
      <x:c r="L37" s="7" t="s">
        <x:v>5612</x:v>
      </x:c>
    </x:row>
    <x:row r="38" ht="51.75" hidden="0" customHeight="1">
      <x:c r="A38" s="7" t="s">
        <x:v>5648</x:v>
      </x:c>
      <x:c r="B38" s="7" t="s">
        <x:v>171</x:v>
      </x:c>
      <x:c r="C38" s="7" t="s">
        <x:v>173</x:v>
      </x:c>
      <x:c r="D38" s="7" t="s">
        <x:v>5594</x:v>
      </x:c>
      <x:c r="E38" s="7" t="s">
        <x:v>5616</x:v>
      </x:c>
      <x:c r="F38" s="7" t="s">
        <x:v>5596</x:v>
      </x:c>
      <x:c r="G38" s="7" t="s">
        <x:v>5614</x:v>
      </x:c>
      <x:c r="H38" s="8" t="s">
        <x:v>53</x:v>
      </x:c>
      <x:c r="I38" s="7" t="s">
        <x:v>58</x:v>
      </x:c>
      <x:c r="J38" s="7" t="s">
        <x:v>5598</x:v>
      </x:c>
      <x:c r="K38" s="7" t="s">
        <x:v>1165</x:v>
      </x:c>
      <x:c r="L38" s="7" t="s">
        <x:v>5616</x:v>
      </x:c>
    </x:row>
    <x:row r="39" ht="51.75" hidden="0" customHeight="1">
      <x:c r="A39" s="7" t="s">
        <x:v>5649</x:v>
      </x:c>
      <x:c r="B39" s="7" t="s">
        <x:v>171</x:v>
      </x:c>
      <x:c r="C39" s="7" t="s">
        <x:v>173</x:v>
      </x:c>
      <x:c r="D39" s="7" t="s">
        <x:v>5594</x:v>
      </x:c>
      <x:c r="E39" s="7" t="s">
        <x:v>5618</x:v>
      </x:c>
      <x:c r="F39" s="7" t="s">
        <x:v>5596</x:v>
      </x:c>
      <x:c r="G39" s="7" t="s">
        <x:v>5614</x:v>
      </x:c>
      <x:c r="H39" s="8" t="s">
        <x:v>53</x:v>
      </x:c>
      <x:c r="I39" s="7" t="s">
        <x:v>58</x:v>
      </x:c>
      <x:c r="J39" s="7" t="s">
        <x:v>5598</x:v>
      </x:c>
      <x:c r="K39" s="7" t="s">
        <x:v>1165</x:v>
      </x:c>
      <x:c r="L39" s="7" t="s">
        <x:v>5618</x:v>
      </x:c>
    </x:row>
    <x:row r="40" ht="51.75" hidden="0" customHeight="1">
      <x:c r="A40" s="7" t="s">
        <x:v>5650</x:v>
      </x:c>
      <x:c r="B40" s="7" t="s">
        <x:v>171</x:v>
      </x:c>
      <x:c r="C40" s="7" t="s">
        <x:v>173</x:v>
      </x:c>
      <x:c r="D40" s="7" t="s">
        <x:v>5594</x:v>
      </x:c>
      <x:c r="E40" s="7" t="s">
        <x:v>5620</x:v>
      </x:c>
      <x:c r="F40" s="7" t="s">
        <x:v>5621</x:v>
      </x:c>
      <x:c r="G40" s="7" t="s">
        <x:v>5614</x:v>
      </x:c>
      <x:c r="H40" s="8" t="s">
        <x:v>53</x:v>
      </x:c>
      <x:c r="I40" s="7" t="s">
        <x:v>58</x:v>
      </x:c>
      <x:c r="J40" s="7" t="s">
        <x:v>5598</x:v>
      </x:c>
      <x:c r="K40" s="7" t="s">
        <x:v>1165</x:v>
      </x:c>
      <x:c r="L40" s="7" t="s">
        <x:v>5620</x:v>
      </x:c>
    </x:row>
    <x:row r="41" ht="51.75" hidden="0" customHeight="1">
      <x:c r="A41" s="7" t="s">
        <x:v>5651</x:v>
      </x:c>
      <x:c r="B41" s="7" t="s">
        <x:v>171</x:v>
      </x:c>
      <x:c r="C41" s="7" t="s">
        <x:v>173</x:v>
      </x:c>
      <x:c r="D41" s="7" t="s">
        <x:v>5594</x:v>
      </x:c>
      <x:c r="E41" s="7" t="s">
        <x:v>5623</x:v>
      </x:c>
      <x:c r="F41" s="7" t="s">
        <x:v>5624</x:v>
      </x:c>
      <x:c r="G41" s="7" t="s">
        <x:v>5614</x:v>
      </x:c>
      <x:c r="H41" s="8" t="s">
        <x:v>53</x:v>
      </x:c>
      <x:c r="I41" s="7" t="s">
        <x:v>58</x:v>
      </x:c>
      <x:c r="J41" s="7" t="s">
        <x:v>5598</x:v>
      </x:c>
      <x:c r="K41" s="7" t="s">
        <x:v>1165</x:v>
      </x:c>
      <x:c r="L41" s="7" t="s">
        <x:v>5623</x:v>
      </x:c>
    </x:row>
    <x:row r="42" ht="51.75" hidden="0" customHeight="1">
      <x:c r="A42" s="7" t="s">
        <x:v>5652</x:v>
      </x:c>
      <x:c r="B42" s="7" t="s">
        <x:v>171</x:v>
      </x:c>
      <x:c r="C42" s="7" t="s">
        <x:v>173</x:v>
      </x:c>
      <x:c r="D42" s="7" t="s">
        <x:v>5626</x:v>
      </x:c>
      <x:c r="E42" s="7" t="s">
        <x:v>5626</x:v>
      </x:c>
      <x:c r="F42" s="7" t="s">
        <x:v>5627</x:v>
      </x:c>
      <x:c r="G42" s="7" t="s">
        <x:v>5614</x:v>
      </x:c>
      <x:c r="H42" s="8" t="s">
        <x:v>53</x:v>
      </x:c>
      <x:c r="I42" s="7" t="s">
        <x:v>58</x:v>
      </x:c>
      <x:c r="J42" s="7" t="s">
        <x:v>5598</x:v>
      </x:c>
      <x:c r="K42" s="7" t="s">
        <x:v>1165</x:v>
      </x:c>
      <x:c r="L42" s="7" t="s">
        <x:v>5626</x:v>
      </x:c>
    </x:row>
    <x:row r="43" ht="37.5" hidden="0" customHeight="1">
      <x:c r="A43" s="7" t="s">
        <x:v>179</x:v>
      </x:c>
      <x:c r="B43" s="7" t="s">
        <x:v>171</x:v>
      </x:c>
      <x:c r="C43" s="7" t="s">
        <x:v>173</x:v>
      </x:c>
      <x:c r="D43" s="7" t="s">
        <x:v>1903</x:v>
      </x:c>
      <x:c r="E43" s="7" t="s">
        <x:v>5628</x:v>
      </x:c>
      <x:c r="F43" s="7" t="s">
        <x:v>2078</x:v>
      </x:c>
      <x:c r="G43" s="7" t="s">
        <x:v>5629</x:v>
      </x:c>
      <x:c r="H43" s="8" t="s">
        <x:v>53</x:v>
      </x:c>
      <x:c r="I43" s="7" t="s">
        <x:v>58</x:v>
      </x:c>
      <x:c r="J43" s="7" t="s">
        <x:v>5598</x:v>
      </x:c>
      <x:c r="K43" s="7" t="s">
        <x:v>1165</x:v>
      </x:c>
      <x:c r="L43" s="7" t="s">
        <x:v>5628</x:v>
      </x:c>
    </x:row>
    <x:row r="44" ht="51.75" hidden="0" customHeight="1">
      <x:c r="A44" s="7" t="s">
        <x:v>5653</x:v>
      </x:c>
      <x:c r="B44" s="7" t="s">
        <x:v>181</x:v>
      </x:c>
      <x:c r="C44" s="7" t="s">
        <x:v>183</x:v>
      </x:c>
      <x:c r="D44" s="7" t="s">
        <x:v>5611</x:v>
      </x:c>
      <x:c r="E44" s="7" t="s">
        <x:v>5612</x:v>
      </x:c>
      <x:c r="F44" s="7" t="s">
        <x:v>5613</x:v>
      </x:c>
      <x:c r="G44" s="7" t="s">
        <x:v>5614</x:v>
      </x:c>
      <x:c r="H44" s="8" t="s">
        <x:v>53</x:v>
      </x:c>
      <x:c r="I44" s="7" t="s">
        <x:v>58</x:v>
      </x:c>
      <x:c r="J44" s="7" t="s">
        <x:v>5598</x:v>
      </x:c>
      <x:c r="K44" s="7" t="s">
        <x:v>1166</x:v>
      </x:c>
      <x:c r="L44" s="7" t="s">
        <x:v>5612</x:v>
      </x:c>
    </x:row>
    <x:row r="45" ht="51.75" hidden="0" customHeight="1">
      <x:c r="A45" s="7" t="s">
        <x:v>5654</x:v>
      </x:c>
      <x:c r="B45" s="7" t="s">
        <x:v>181</x:v>
      </x:c>
      <x:c r="C45" s="7" t="s">
        <x:v>183</x:v>
      </x:c>
      <x:c r="D45" s="7" t="s">
        <x:v>5594</x:v>
      </x:c>
      <x:c r="E45" s="7" t="s">
        <x:v>5616</x:v>
      </x:c>
      <x:c r="F45" s="7" t="s">
        <x:v>5596</x:v>
      </x:c>
      <x:c r="G45" s="7" t="s">
        <x:v>5614</x:v>
      </x:c>
      <x:c r="H45" s="8" t="s">
        <x:v>53</x:v>
      </x:c>
      <x:c r="I45" s="7" t="s">
        <x:v>58</x:v>
      </x:c>
      <x:c r="J45" s="7" t="s">
        <x:v>5598</x:v>
      </x:c>
      <x:c r="K45" s="7" t="s">
        <x:v>1166</x:v>
      </x:c>
      <x:c r="L45" s="7" t="s">
        <x:v>5616</x:v>
      </x:c>
    </x:row>
    <x:row r="46" ht="51.75" hidden="0" customHeight="1">
      <x:c r="A46" s="7" t="s">
        <x:v>5655</x:v>
      </x:c>
      <x:c r="B46" s="7" t="s">
        <x:v>181</x:v>
      </x:c>
      <x:c r="C46" s="7" t="s">
        <x:v>183</x:v>
      </x:c>
      <x:c r="D46" s="7" t="s">
        <x:v>5594</x:v>
      </x:c>
      <x:c r="E46" s="7" t="s">
        <x:v>5618</x:v>
      </x:c>
      <x:c r="F46" s="7" t="s">
        <x:v>5596</x:v>
      </x:c>
      <x:c r="G46" s="7" t="s">
        <x:v>5614</x:v>
      </x:c>
      <x:c r="H46" s="8" t="s">
        <x:v>53</x:v>
      </x:c>
      <x:c r="I46" s="7" t="s">
        <x:v>58</x:v>
      </x:c>
      <x:c r="J46" s="7" t="s">
        <x:v>5598</x:v>
      </x:c>
      <x:c r="K46" s="7" t="s">
        <x:v>1166</x:v>
      </x:c>
      <x:c r="L46" s="7" t="s">
        <x:v>5618</x:v>
      </x:c>
    </x:row>
    <x:row r="47" ht="51.75" hidden="0" customHeight="1">
      <x:c r="A47" s="7" t="s">
        <x:v>5656</x:v>
      </x:c>
      <x:c r="B47" s="7" t="s">
        <x:v>181</x:v>
      </x:c>
      <x:c r="C47" s="7" t="s">
        <x:v>183</x:v>
      </x:c>
      <x:c r="D47" s="7" t="s">
        <x:v>5594</x:v>
      </x:c>
      <x:c r="E47" s="7" t="s">
        <x:v>5620</x:v>
      </x:c>
      <x:c r="F47" s="7" t="s">
        <x:v>5621</x:v>
      </x:c>
      <x:c r="G47" s="7" t="s">
        <x:v>5614</x:v>
      </x:c>
      <x:c r="H47" s="8" t="s">
        <x:v>53</x:v>
      </x:c>
      <x:c r="I47" s="7" t="s">
        <x:v>58</x:v>
      </x:c>
      <x:c r="J47" s="7" t="s">
        <x:v>5598</x:v>
      </x:c>
      <x:c r="K47" s="7" t="s">
        <x:v>1166</x:v>
      </x:c>
      <x:c r="L47" s="7" t="s">
        <x:v>5620</x:v>
      </x:c>
    </x:row>
    <x:row r="48" ht="51.75" hidden="0" customHeight="1">
      <x:c r="A48" s="7" t="s">
        <x:v>5657</x:v>
      </x:c>
      <x:c r="B48" s="7" t="s">
        <x:v>181</x:v>
      </x:c>
      <x:c r="C48" s="7" t="s">
        <x:v>183</x:v>
      </x:c>
      <x:c r="D48" s="7" t="s">
        <x:v>5594</x:v>
      </x:c>
      <x:c r="E48" s="7" t="s">
        <x:v>5623</x:v>
      </x:c>
      <x:c r="F48" s="7" t="s">
        <x:v>5624</x:v>
      </x:c>
      <x:c r="G48" s="7" t="s">
        <x:v>5614</x:v>
      </x:c>
      <x:c r="H48" s="8" t="s">
        <x:v>53</x:v>
      </x:c>
      <x:c r="I48" s="7" t="s">
        <x:v>58</x:v>
      </x:c>
      <x:c r="J48" s="7" t="s">
        <x:v>5598</x:v>
      </x:c>
      <x:c r="K48" s="7" t="s">
        <x:v>1166</x:v>
      </x:c>
      <x:c r="L48" s="7" t="s">
        <x:v>5623</x:v>
      </x:c>
    </x:row>
    <x:row r="49" ht="51.75" hidden="0" customHeight="1">
      <x:c r="A49" s="7" t="s">
        <x:v>5658</x:v>
      </x:c>
      <x:c r="B49" s="7" t="s">
        <x:v>181</x:v>
      </x:c>
      <x:c r="C49" s="7" t="s">
        <x:v>183</x:v>
      </x:c>
      <x:c r="D49" s="7" t="s">
        <x:v>5626</x:v>
      </x:c>
      <x:c r="E49" s="7" t="s">
        <x:v>5626</x:v>
      </x:c>
      <x:c r="F49" s="7" t="s">
        <x:v>5627</x:v>
      </x:c>
      <x:c r="G49" s="7" t="s">
        <x:v>5614</x:v>
      </x:c>
      <x:c r="H49" s="8" t="s">
        <x:v>53</x:v>
      </x:c>
      <x:c r="I49" s="7" t="s">
        <x:v>58</x:v>
      </x:c>
      <x:c r="J49" s="7" t="s">
        <x:v>5598</x:v>
      </x:c>
      <x:c r="K49" s="7" t="s">
        <x:v>1166</x:v>
      </x:c>
      <x:c r="L49" s="7" t="s">
        <x:v>5626</x:v>
      </x:c>
    </x:row>
    <x:row r="50" ht="37.5" hidden="0" customHeight="1">
      <x:c r="A50" s="7" t="s">
        <x:v>189</x:v>
      </x:c>
      <x:c r="B50" s="7" t="s">
        <x:v>181</x:v>
      </x:c>
      <x:c r="C50" s="7" t="s">
        <x:v>183</x:v>
      </x:c>
      <x:c r="D50" s="7" t="s">
        <x:v>1903</x:v>
      </x:c>
      <x:c r="E50" s="7" t="s">
        <x:v>5628</x:v>
      </x:c>
      <x:c r="F50" s="7" t="s">
        <x:v>2078</x:v>
      </x:c>
      <x:c r="G50" s="7" t="s">
        <x:v>5629</x:v>
      </x:c>
      <x:c r="H50" s="8" t="s">
        <x:v>53</x:v>
      </x:c>
      <x:c r="I50" s="7" t="s">
        <x:v>58</x:v>
      </x:c>
      <x:c r="J50" s="7" t="s">
        <x:v>5598</x:v>
      </x:c>
      <x:c r="K50" s="7" t="s">
        <x:v>1166</x:v>
      </x:c>
      <x:c r="L50" s="7" t="s">
        <x:v>5628</x:v>
      </x:c>
    </x:row>
    <x:row r="51" ht="51.75" hidden="0" customHeight="1">
      <x:c r="A51" s="7" t="s">
        <x:v>5659</x:v>
      </x:c>
      <x:c r="B51" s="7" t="s">
        <x:v>191</x:v>
      </x:c>
      <x:c r="C51" s="7" t="s">
        <x:v>193</x:v>
      </x:c>
      <x:c r="D51" s="7" t="s">
        <x:v>5611</x:v>
      </x:c>
      <x:c r="E51" s="7" t="s">
        <x:v>5612</x:v>
      </x:c>
      <x:c r="F51" s="7" t="s">
        <x:v>5613</x:v>
      </x:c>
      <x:c r="G51" s="7" t="s">
        <x:v>5614</x:v>
      </x:c>
      <x:c r="H51" s="8" t="s">
        <x:v>53</x:v>
      </x:c>
      <x:c r="I51" s="7" t="s">
        <x:v>58</x:v>
      </x:c>
      <x:c r="J51" s="7" t="s">
        <x:v>5598</x:v>
      </x:c>
      <x:c r="K51" s="7" t="s">
        <x:v>1167</x:v>
      </x:c>
      <x:c r="L51" s="7" t="s">
        <x:v>5612</x:v>
      </x:c>
    </x:row>
    <x:row r="52" ht="51.75" hidden="0" customHeight="1">
      <x:c r="A52" s="7" t="s">
        <x:v>5660</x:v>
      </x:c>
      <x:c r="B52" s="7" t="s">
        <x:v>199</x:v>
      </x:c>
      <x:c r="C52" s="7" t="s">
        <x:v>201</x:v>
      </x:c>
      <x:c r="D52" s="7" t="s">
        <x:v>5611</x:v>
      </x:c>
      <x:c r="E52" s="7" t="s">
        <x:v>5612</x:v>
      </x:c>
      <x:c r="F52" s="7" t="s">
        <x:v>5613</x:v>
      </x:c>
      <x:c r="G52" s="7" t="s">
        <x:v>5614</x:v>
      </x:c>
      <x:c r="H52" s="8" t="s">
        <x:v>53</x:v>
      </x:c>
      <x:c r="I52" s="7" t="s">
        <x:v>58</x:v>
      </x:c>
      <x:c r="J52" s="7" t="s">
        <x:v>5598</x:v>
      </x:c>
      <x:c r="K52" s="7" t="s">
        <x:v>1168</x:v>
      </x:c>
      <x:c r="L52" s="7" t="s">
        <x:v>5612</x:v>
      </x:c>
    </x:row>
    <x:row r="53" ht="51.75" hidden="0" customHeight="1">
      <x:c r="A53" s="7" t="s">
        <x:v>5661</x:v>
      </x:c>
      <x:c r="B53" s="7" t="s">
        <x:v>199</x:v>
      </x:c>
      <x:c r="C53" s="7" t="s">
        <x:v>201</x:v>
      </x:c>
      <x:c r="D53" s="7" t="s">
        <x:v>5594</x:v>
      </x:c>
      <x:c r="E53" s="7" t="s">
        <x:v>5616</x:v>
      </x:c>
      <x:c r="F53" s="7" t="s">
        <x:v>5596</x:v>
      </x:c>
      <x:c r="G53" s="7" t="s">
        <x:v>5614</x:v>
      </x:c>
      <x:c r="H53" s="8" t="s">
        <x:v>53</x:v>
      </x:c>
      <x:c r="I53" s="7" t="s">
        <x:v>58</x:v>
      </x:c>
      <x:c r="J53" s="7" t="s">
        <x:v>5598</x:v>
      </x:c>
      <x:c r="K53" s="7" t="s">
        <x:v>1168</x:v>
      </x:c>
      <x:c r="L53" s="7" t="s">
        <x:v>5616</x:v>
      </x:c>
    </x:row>
    <x:row r="54" ht="51.75" hidden="0" customHeight="1">
      <x:c r="A54" s="7" t="s">
        <x:v>5662</x:v>
      </x:c>
      <x:c r="B54" s="7" t="s">
        <x:v>199</x:v>
      </x:c>
      <x:c r="C54" s="7" t="s">
        <x:v>201</x:v>
      </x:c>
      <x:c r="D54" s="7" t="s">
        <x:v>5594</x:v>
      </x:c>
      <x:c r="E54" s="7" t="s">
        <x:v>5618</x:v>
      </x:c>
      <x:c r="F54" s="7" t="s">
        <x:v>5596</x:v>
      </x:c>
      <x:c r="G54" s="7" t="s">
        <x:v>5614</x:v>
      </x:c>
      <x:c r="H54" s="8" t="s">
        <x:v>53</x:v>
      </x:c>
      <x:c r="I54" s="7" t="s">
        <x:v>58</x:v>
      </x:c>
      <x:c r="J54" s="7" t="s">
        <x:v>5598</x:v>
      </x:c>
      <x:c r="K54" s="7" t="s">
        <x:v>1168</x:v>
      </x:c>
      <x:c r="L54" s="7" t="s">
        <x:v>5618</x:v>
      </x:c>
    </x:row>
    <x:row r="55" ht="51.75" hidden="0" customHeight="1">
      <x:c r="A55" s="7" t="s">
        <x:v>5663</x:v>
      </x:c>
      <x:c r="B55" s="7" t="s">
        <x:v>199</x:v>
      </x:c>
      <x:c r="C55" s="7" t="s">
        <x:v>201</x:v>
      </x:c>
      <x:c r="D55" s="7" t="s">
        <x:v>5594</x:v>
      </x:c>
      <x:c r="E55" s="7" t="s">
        <x:v>5620</x:v>
      </x:c>
      <x:c r="F55" s="7" t="s">
        <x:v>5621</x:v>
      </x:c>
      <x:c r="G55" s="7" t="s">
        <x:v>5614</x:v>
      </x:c>
      <x:c r="H55" s="8" t="s">
        <x:v>53</x:v>
      </x:c>
      <x:c r="I55" s="7" t="s">
        <x:v>58</x:v>
      </x:c>
      <x:c r="J55" s="7" t="s">
        <x:v>5598</x:v>
      </x:c>
      <x:c r="K55" s="7" t="s">
        <x:v>1168</x:v>
      </x:c>
      <x:c r="L55" s="7" t="s">
        <x:v>5620</x:v>
      </x:c>
    </x:row>
    <x:row r="56" ht="51.75" hidden="0" customHeight="1">
      <x:c r="A56" s="7" t="s">
        <x:v>5664</x:v>
      </x:c>
      <x:c r="B56" s="7" t="s">
        <x:v>199</x:v>
      </x:c>
      <x:c r="C56" s="7" t="s">
        <x:v>201</x:v>
      </x:c>
      <x:c r="D56" s="7" t="s">
        <x:v>5594</x:v>
      </x:c>
      <x:c r="E56" s="7" t="s">
        <x:v>5623</x:v>
      </x:c>
      <x:c r="F56" s="7" t="s">
        <x:v>5624</x:v>
      </x:c>
      <x:c r="G56" s="7" t="s">
        <x:v>5614</x:v>
      </x:c>
      <x:c r="H56" s="8" t="s">
        <x:v>53</x:v>
      </x:c>
      <x:c r="I56" s="7" t="s">
        <x:v>58</x:v>
      </x:c>
      <x:c r="J56" s="7" t="s">
        <x:v>5598</x:v>
      </x:c>
      <x:c r="K56" s="7" t="s">
        <x:v>1168</x:v>
      </x:c>
      <x:c r="L56" s="7" t="s">
        <x:v>5623</x:v>
      </x:c>
    </x:row>
    <x:row r="57" ht="51.75" hidden="0" customHeight="1">
      <x:c r="A57" s="7" t="s">
        <x:v>5665</x:v>
      </x:c>
      <x:c r="B57" s="7" t="s">
        <x:v>199</x:v>
      </x:c>
      <x:c r="C57" s="7" t="s">
        <x:v>201</x:v>
      </x:c>
      <x:c r="D57" s="7" t="s">
        <x:v>5626</x:v>
      </x:c>
      <x:c r="E57" s="7" t="s">
        <x:v>5626</x:v>
      </x:c>
      <x:c r="F57" s="7" t="s">
        <x:v>5627</x:v>
      </x:c>
      <x:c r="G57" s="7" t="s">
        <x:v>5614</x:v>
      </x:c>
      <x:c r="H57" s="8" t="s">
        <x:v>53</x:v>
      </x:c>
      <x:c r="I57" s="7" t="s">
        <x:v>58</x:v>
      </x:c>
      <x:c r="J57" s="7" t="s">
        <x:v>5598</x:v>
      </x:c>
      <x:c r="K57" s="7" t="s">
        <x:v>1168</x:v>
      </x:c>
      <x:c r="L57" s="7" t="s">
        <x:v>5626</x:v>
      </x:c>
    </x:row>
    <x:row r="58" ht="37.5" hidden="0" customHeight="1">
      <x:c r="A58" s="7" t="s">
        <x:v>208</x:v>
      </x:c>
      <x:c r="B58" s="7" t="s">
        <x:v>199</x:v>
      </x:c>
      <x:c r="C58" s="7" t="s">
        <x:v>201</x:v>
      </x:c>
      <x:c r="D58" s="7" t="s">
        <x:v>1903</x:v>
      </x:c>
      <x:c r="E58" s="7" t="s">
        <x:v>5628</x:v>
      </x:c>
      <x:c r="F58" s="7" t="s">
        <x:v>2078</x:v>
      </x:c>
      <x:c r="G58" s="7" t="s">
        <x:v>5629</x:v>
      </x:c>
      <x:c r="H58" s="8" t="s">
        <x:v>53</x:v>
      </x:c>
      <x:c r="I58" s="7" t="s">
        <x:v>58</x:v>
      </x:c>
      <x:c r="J58" s="7" t="s">
        <x:v>5598</x:v>
      </x:c>
      <x:c r="K58" s="7" t="s">
        <x:v>1168</x:v>
      </x:c>
      <x:c r="L58" s="7" t="s">
        <x:v>5628</x:v>
      </x:c>
    </x:row>
    <x:row r="59" ht="51.75" hidden="0" customHeight="1">
      <x:c r="A59" s="7" t="s">
        <x:v>5666</x:v>
      </x:c>
      <x:c r="B59" s="7" t="s">
        <x:v>210</x:v>
      </x:c>
      <x:c r="C59" s="7" t="s">
        <x:v>212</x:v>
      </x:c>
      <x:c r="D59" s="7" t="s">
        <x:v>5626</x:v>
      </x:c>
      <x:c r="E59" s="7" t="s">
        <x:v>5626</x:v>
      </x:c>
      <x:c r="F59" s="7" t="s">
        <x:v>5627</x:v>
      </x:c>
      <x:c r="G59" s="7" t="s">
        <x:v>5614</x:v>
      </x:c>
      <x:c r="H59" s="8" t="s">
        <x:v>53</x:v>
      </x:c>
      <x:c r="I59" s="7" t="s">
        <x:v>58</x:v>
      </x:c>
      <x:c r="J59" s="7" t="s">
        <x:v>5598</x:v>
      </x:c>
      <x:c r="K59" s="7" t="s">
        <x:v>1169</x:v>
      </x:c>
      <x:c r="L59" s="7" t="s">
        <x:v>5626</x:v>
      </x:c>
    </x:row>
    <x:row r="60" ht="37.5" hidden="0" customHeight="1">
      <x:c r="A60" s="7" t="s">
        <x:v>218</x:v>
      </x:c>
      <x:c r="B60" s="7" t="s">
        <x:v>210</x:v>
      </x:c>
      <x:c r="C60" s="7" t="s">
        <x:v>212</x:v>
      </x:c>
      <x:c r="D60" s="7" t="s">
        <x:v>1903</x:v>
      </x:c>
      <x:c r="E60" s="7" t="s">
        <x:v>5628</x:v>
      </x:c>
      <x:c r="F60" s="7" t="s">
        <x:v>2078</x:v>
      </x:c>
      <x:c r="G60" s="7" t="s">
        <x:v>5629</x:v>
      </x:c>
      <x:c r="H60" s="8" t="s">
        <x:v>53</x:v>
      </x:c>
      <x:c r="I60" s="7" t="s">
        <x:v>58</x:v>
      </x:c>
      <x:c r="J60" s="7" t="s">
        <x:v>5598</x:v>
      </x:c>
      <x:c r="K60" s="7" t="s">
        <x:v>1169</x:v>
      </x:c>
      <x:c r="L60" s="7" t="s">
        <x:v>5628</x:v>
      </x:c>
    </x:row>
    <x:row r="61" ht="51.75" hidden="0" customHeight="1">
      <x:c r="A61" s="7" t="s">
        <x:v>5667</x:v>
      </x:c>
      <x:c r="B61" s="7" t="s">
        <x:v>219</x:v>
      </x:c>
      <x:c r="C61" s="7" t="s">
        <x:v>221</x:v>
      </x:c>
      <x:c r="D61" s="7" t="s">
        <x:v>5611</x:v>
      </x:c>
      <x:c r="E61" s="7" t="s">
        <x:v>5612</x:v>
      </x:c>
      <x:c r="F61" s="7" t="s">
        <x:v>5613</x:v>
      </x:c>
      <x:c r="G61" s="7" t="s">
        <x:v>5614</x:v>
      </x:c>
      <x:c r="H61" s="8" t="s">
        <x:v>53</x:v>
      </x:c>
      <x:c r="I61" s="7" t="s">
        <x:v>58</x:v>
      </x:c>
      <x:c r="J61" s="7" t="s">
        <x:v>5598</x:v>
      </x:c>
      <x:c r="K61" s="7" t="s">
        <x:v>1170</x:v>
      </x:c>
      <x:c r="L61" s="7" t="s">
        <x:v>5612</x:v>
      </x:c>
    </x:row>
    <x:row r="62" ht="51.75" hidden="0" customHeight="1">
      <x:c r="A62" s="7" t="s">
        <x:v>5668</x:v>
      </x:c>
      <x:c r="B62" s="7" t="s">
        <x:v>219</x:v>
      </x:c>
      <x:c r="C62" s="7" t="s">
        <x:v>221</x:v>
      </x:c>
      <x:c r="D62" s="7" t="s">
        <x:v>5594</x:v>
      </x:c>
      <x:c r="E62" s="7" t="s">
        <x:v>5616</x:v>
      </x:c>
      <x:c r="F62" s="7" t="s">
        <x:v>5596</x:v>
      </x:c>
      <x:c r="G62" s="7" t="s">
        <x:v>5614</x:v>
      </x:c>
      <x:c r="H62" s="8" t="s">
        <x:v>53</x:v>
      </x:c>
      <x:c r="I62" s="7" t="s">
        <x:v>58</x:v>
      </x:c>
      <x:c r="J62" s="7" t="s">
        <x:v>5598</x:v>
      </x:c>
      <x:c r="K62" s="7" t="s">
        <x:v>1170</x:v>
      </x:c>
      <x:c r="L62" s="7" t="s">
        <x:v>5616</x:v>
      </x:c>
    </x:row>
    <x:row r="63" ht="51.75" hidden="0" customHeight="1">
      <x:c r="A63" s="7" t="s">
        <x:v>5669</x:v>
      </x:c>
      <x:c r="B63" s="7" t="s">
        <x:v>219</x:v>
      </x:c>
      <x:c r="C63" s="7" t="s">
        <x:v>221</x:v>
      </x:c>
      <x:c r="D63" s="7" t="s">
        <x:v>5594</x:v>
      </x:c>
      <x:c r="E63" s="7" t="s">
        <x:v>5618</x:v>
      </x:c>
      <x:c r="F63" s="7" t="s">
        <x:v>5596</x:v>
      </x:c>
      <x:c r="G63" s="7" t="s">
        <x:v>5614</x:v>
      </x:c>
      <x:c r="H63" s="8" t="s">
        <x:v>53</x:v>
      </x:c>
      <x:c r="I63" s="7" t="s">
        <x:v>58</x:v>
      </x:c>
      <x:c r="J63" s="7" t="s">
        <x:v>5598</x:v>
      </x:c>
      <x:c r="K63" s="7" t="s">
        <x:v>1170</x:v>
      </x:c>
      <x:c r="L63" s="7" t="s">
        <x:v>5618</x:v>
      </x:c>
    </x:row>
    <x:row r="64" ht="51.75" hidden="0" customHeight="1">
      <x:c r="A64" s="7" t="s">
        <x:v>5670</x:v>
      </x:c>
      <x:c r="B64" s="7" t="s">
        <x:v>219</x:v>
      </x:c>
      <x:c r="C64" s="7" t="s">
        <x:v>221</x:v>
      </x:c>
      <x:c r="D64" s="7" t="s">
        <x:v>5594</x:v>
      </x:c>
      <x:c r="E64" s="7" t="s">
        <x:v>5620</x:v>
      </x:c>
      <x:c r="F64" s="7" t="s">
        <x:v>5621</x:v>
      </x:c>
      <x:c r="G64" s="7" t="s">
        <x:v>5614</x:v>
      </x:c>
      <x:c r="H64" s="8" t="s">
        <x:v>53</x:v>
      </x:c>
      <x:c r="I64" s="7" t="s">
        <x:v>58</x:v>
      </x:c>
      <x:c r="J64" s="7" t="s">
        <x:v>5598</x:v>
      </x:c>
      <x:c r="K64" s="7" t="s">
        <x:v>1170</x:v>
      </x:c>
      <x:c r="L64" s="7" t="s">
        <x:v>5620</x:v>
      </x:c>
    </x:row>
    <x:row r="65" ht="51.75" hidden="0" customHeight="1">
      <x:c r="A65" s="7" t="s">
        <x:v>5671</x:v>
      </x:c>
      <x:c r="B65" s="7" t="s">
        <x:v>219</x:v>
      </x:c>
      <x:c r="C65" s="7" t="s">
        <x:v>221</x:v>
      </x:c>
      <x:c r="D65" s="7" t="s">
        <x:v>5594</x:v>
      </x:c>
      <x:c r="E65" s="7" t="s">
        <x:v>5623</x:v>
      </x:c>
      <x:c r="F65" s="7" t="s">
        <x:v>5624</x:v>
      </x:c>
      <x:c r="G65" s="7" t="s">
        <x:v>5614</x:v>
      </x:c>
      <x:c r="H65" s="8" t="s">
        <x:v>53</x:v>
      </x:c>
      <x:c r="I65" s="7" t="s">
        <x:v>58</x:v>
      </x:c>
      <x:c r="J65" s="7" t="s">
        <x:v>5598</x:v>
      </x:c>
      <x:c r="K65" s="7" t="s">
        <x:v>1170</x:v>
      </x:c>
      <x:c r="L65" s="7" t="s">
        <x:v>5623</x:v>
      </x:c>
    </x:row>
    <x:row r="66" ht="51.75" hidden="0" customHeight="1">
      <x:c r="A66" s="7" t="s">
        <x:v>5672</x:v>
      </x:c>
      <x:c r="B66" s="7" t="s">
        <x:v>219</x:v>
      </x:c>
      <x:c r="C66" s="7" t="s">
        <x:v>221</x:v>
      </x:c>
      <x:c r="D66" s="7" t="s">
        <x:v>5626</x:v>
      </x:c>
      <x:c r="E66" s="7" t="s">
        <x:v>5626</x:v>
      </x:c>
      <x:c r="F66" s="7" t="s">
        <x:v>5627</x:v>
      </x:c>
      <x:c r="G66" s="7" t="s">
        <x:v>5614</x:v>
      </x:c>
      <x:c r="H66" s="8" t="s">
        <x:v>53</x:v>
      </x:c>
      <x:c r="I66" s="7" t="s">
        <x:v>58</x:v>
      </x:c>
      <x:c r="J66" s="7" t="s">
        <x:v>5598</x:v>
      </x:c>
      <x:c r="K66" s="7" t="s">
        <x:v>1170</x:v>
      </x:c>
      <x:c r="L66" s="7" t="s">
        <x:v>5626</x:v>
      </x:c>
    </x:row>
    <x:row r="67" ht="37.5" hidden="0" customHeight="1">
      <x:c r="A67" s="7" t="s">
        <x:v>227</x:v>
      </x:c>
      <x:c r="B67" s="7" t="s">
        <x:v>219</x:v>
      </x:c>
      <x:c r="C67" s="7" t="s">
        <x:v>221</x:v>
      </x:c>
      <x:c r="D67" s="7" t="s">
        <x:v>1903</x:v>
      </x:c>
      <x:c r="E67" s="7" t="s">
        <x:v>5628</x:v>
      </x:c>
      <x:c r="F67" s="7" t="s">
        <x:v>2078</x:v>
      </x:c>
      <x:c r="G67" s="7" t="s">
        <x:v>5629</x:v>
      </x:c>
      <x:c r="H67" s="8" t="s">
        <x:v>53</x:v>
      </x:c>
      <x:c r="I67" s="7" t="s">
        <x:v>58</x:v>
      </x:c>
      <x:c r="J67" s="7" t="s">
        <x:v>5598</x:v>
      </x:c>
      <x:c r="K67" s="7" t="s">
        <x:v>1170</x:v>
      </x:c>
      <x:c r="L67" s="7" t="s">
        <x:v>5628</x:v>
      </x:c>
    </x:row>
    <x:row r="68" ht="51.75" hidden="0" customHeight="1">
      <x:c r="A68" s="7" t="s">
        <x:v>5673</x:v>
      </x:c>
      <x:c r="B68" s="7" t="s">
        <x:v>229</x:v>
      </x:c>
      <x:c r="C68" s="7" t="s">
        <x:v>231</x:v>
      </x:c>
      <x:c r="D68" s="7" t="s">
        <x:v>5626</x:v>
      </x:c>
      <x:c r="E68" s="7" t="s">
        <x:v>5626</x:v>
      </x:c>
      <x:c r="F68" s="7" t="s">
        <x:v>5627</x:v>
      </x:c>
      <x:c r="G68" s="7" t="s">
        <x:v>5614</x:v>
      </x:c>
      <x:c r="H68" s="8" t="s">
        <x:v>53</x:v>
      </x:c>
      <x:c r="I68" s="7" t="s">
        <x:v>58</x:v>
      </x:c>
      <x:c r="J68" s="7" t="s">
        <x:v>5598</x:v>
      </x:c>
      <x:c r="K68" s="7" t="s">
        <x:v>1171</x:v>
      </x:c>
      <x:c r="L68" s="7" t="s">
        <x:v>5626</x:v>
      </x:c>
    </x:row>
    <x:row r="69" ht="37.5" hidden="0" customHeight="1">
      <x:c r="A69" s="7" t="s">
        <x:v>240</x:v>
      </x:c>
      <x:c r="B69" s="7" t="s">
        <x:v>229</x:v>
      </x:c>
      <x:c r="C69" s="7" t="s">
        <x:v>231</x:v>
      </x:c>
      <x:c r="D69" s="7" t="s">
        <x:v>1903</x:v>
      </x:c>
      <x:c r="E69" s="7" t="s">
        <x:v>5628</x:v>
      </x:c>
      <x:c r="F69" s="7" t="s">
        <x:v>2584</x:v>
      </x:c>
      <x:c r="G69" s="7" t="s">
        <x:v>5629</x:v>
      </x:c>
      <x:c r="H69" s="8" t="s">
        <x:v>53</x:v>
      </x:c>
      <x:c r="I69" s="7" t="s">
        <x:v>58</x:v>
      </x:c>
      <x:c r="J69" s="7" t="s">
        <x:v>5598</x:v>
      </x:c>
      <x:c r="K69" s="7" t="s">
        <x:v>1171</x:v>
      </x:c>
      <x:c r="L69" s="7" t="s">
        <x:v>5628</x:v>
      </x:c>
    </x:row>
    <x:row r="70" ht="51.75" hidden="0" customHeight="1">
      <x:c r="A70" s="7" t="s">
        <x:v>5674</x:v>
      </x:c>
      <x:c r="B70" s="7" t="s">
        <x:v>241</x:v>
      </x:c>
      <x:c r="C70" s="7" t="s">
        <x:v>243</x:v>
      </x:c>
      <x:c r="D70" s="7" t="s">
        <x:v>5611</x:v>
      </x:c>
      <x:c r="E70" s="7" t="s">
        <x:v>5612</x:v>
      </x:c>
      <x:c r="F70" s="7" t="s">
        <x:v>5613</x:v>
      </x:c>
      <x:c r="G70" s="7" t="s">
        <x:v>5614</x:v>
      </x:c>
      <x:c r="H70" s="8" t="s">
        <x:v>53</x:v>
      </x:c>
      <x:c r="I70" s="7" t="s">
        <x:v>58</x:v>
      </x:c>
      <x:c r="J70" s="7" t="s">
        <x:v>5598</x:v>
      </x:c>
      <x:c r="K70" s="7" t="s">
        <x:v>1172</x:v>
      </x:c>
      <x:c r="L70" s="7" t="s">
        <x:v>5612</x:v>
      </x:c>
    </x:row>
    <x:row r="71" ht="51.75" hidden="0" customHeight="1">
      <x:c r="A71" s="7" t="s">
        <x:v>5675</x:v>
      </x:c>
      <x:c r="B71" s="7" t="s">
        <x:v>241</x:v>
      </x:c>
      <x:c r="C71" s="7" t="s">
        <x:v>243</x:v>
      </x:c>
      <x:c r="D71" s="7" t="s">
        <x:v>5594</x:v>
      </x:c>
      <x:c r="E71" s="7" t="s">
        <x:v>5616</x:v>
      </x:c>
      <x:c r="F71" s="7" t="s">
        <x:v>5596</x:v>
      </x:c>
      <x:c r="G71" s="7" t="s">
        <x:v>5614</x:v>
      </x:c>
      <x:c r="H71" s="8" t="s">
        <x:v>53</x:v>
      </x:c>
      <x:c r="I71" s="7" t="s">
        <x:v>58</x:v>
      </x:c>
      <x:c r="J71" s="7" t="s">
        <x:v>5598</x:v>
      </x:c>
      <x:c r="K71" s="7" t="s">
        <x:v>1172</x:v>
      </x:c>
      <x:c r="L71" s="7" t="s">
        <x:v>5616</x:v>
      </x:c>
    </x:row>
    <x:row r="72" ht="51.75" hidden="0" customHeight="1">
      <x:c r="A72" s="7" t="s">
        <x:v>5676</x:v>
      </x:c>
      <x:c r="B72" s="7" t="s">
        <x:v>241</x:v>
      </x:c>
      <x:c r="C72" s="7" t="s">
        <x:v>243</x:v>
      </x:c>
      <x:c r="D72" s="7" t="s">
        <x:v>5594</x:v>
      </x:c>
      <x:c r="E72" s="7" t="s">
        <x:v>5618</x:v>
      </x:c>
      <x:c r="F72" s="7" t="s">
        <x:v>5596</x:v>
      </x:c>
      <x:c r="G72" s="7" t="s">
        <x:v>5614</x:v>
      </x:c>
      <x:c r="H72" s="8" t="s">
        <x:v>53</x:v>
      </x:c>
      <x:c r="I72" s="7" t="s">
        <x:v>58</x:v>
      </x:c>
      <x:c r="J72" s="7" t="s">
        <x:v>5598</x:v>
      </x:c>
      <x:c r="K72" s="7" t="s">
        <x:v>1172</x:v>
      </x:c>
      <x:c r="L72" s="7" t="s">
        <x:v>5618</x:v>
      </x:c>
    </x:row>
    <x:row r="73" ht="51.75" hidden="0" customHeight="1">
      <x:c r="A73" s="7" t="s">
        <x:v>5677</x:v>
      </x:c>
      <x:c r="B73" s="7" t="s">
        <x:v>241</x:v>
      </x:c>
      <x:c r="C73" s="7" t="s">
        <x:v>243</x:v>
      </x:c>
      <x:c r="D73" s="7" t="s">
        <x:v>5594</x:v>
      </x:c>
      <x:c r="E73" s="7" t="s">
        <x:v>5620</x:v>
      </x:c>
      <x:c r="F73" s="7" t="s">
        <x:v>5621</x:v>
      </x:c>
      <x:c r="G73" s="7" t="s">
        <x:v>5614</x:v>
      </x:c>
      <x:c r="H73" s="8" t="s">
        <x:v>53</x:v>
      </x:c>
      <x:c r="I73" s="7" t="s">
        <x:v>58</x:v>
      </x:c>
      <x:c r="J73" s="7" t="s">
        <x:v>5598</x:v>
      </x:c>
      <x:c r="K73" s="7" t="s">
        <x:v>1172</x:v>
      </x:c>
      <x:c r="L73" s="7" t="s">
        <x:v>5620</x:v>
      </x:c>
    </x:row>
    <x:row r="74" ht="51.75" hidden="0" customHeight="1">
      <x:c r="A74" s="7" t="s">
        <x:v>5678</x:v>
      </x:c>
      <x:c r="B74" s="7" t="s">
        <x:v>241</x:v>
      </x:c>
      <x:c r="C74" s="7" t="s">
        <x:v>243</x:v>
      </x:c>
      <x:c r="D74" s="7" t="s">
        <x:v>5594</x:v>
      </x:c>
      <x:c r="E74" s="7" t="s">
        <x:v>5623</x:v>
      </x:c>
      <x:c r="F74" s="7" t="s">
        <x:v>5624</x:v>
      </x:c>
      <x:c r="G74" s="7" t="s">
        <x:v>5614</x:v>
      </x:c>
      <x:c r="H74" s="8" t="s">
        <x:v>53</x:v>
      </x:c>
      <x:c r="I74" s="7" t="s">
        <x:v>58</x:v>
      </x:c>
      <x:c r="J74" s="7" t="s">
        <x:v>5598</x:v>
      </x:c>
      <x:c r="K74" s="7" t="s">
        <x:v>1172</x:v>
      </x:c>
      <x:c r="L74" s="7" t="s">
        <x:v>5623</x:v>
      </x:c>
    </x:row>
    <x:row r="75" ht="51.75" hidden="0" customHeight="1">
      <x:c r="A75" s="7" t="s">
        <x:v>5679</x:v>
      </x:c>
      <x:c r="B75" s="7" t="s">
        <x:v>241</x:v>
      </x:c>
      <x:c r="C75" s="7" t="s">
        <x:v>243</x:v>
      </x:c>
      <x:c r="D75" s="7" t="s">
        <x:v>5626</x:v>
      </x:c>
      <x:c r="E75" s="7" t="s">
        <x:v>5626</x:v>
      </x:c>
      <x:c r="F75" s="7" t="s">
        <x:v>5627</x:v>
      </x:c>
      <x:c r="G75" s="7" t="s">
        <x:v>5614</x:v>
      </x:c>
      <x:c r="H75" s="8" t="s">
        <x:v>53</x:v>
      </x:c>
      <x:c r="I75" s="7" t="s">
        <x:v>58</x:v>
      </x:c>
      <x:c r="J75" s="7" t="s">
        <x:v>5598</x:v>
      </x:c>
      <x:c r="K75" s="7" t="s">
        <x:v>1172</x:v>
      </x:c>
      <x:c r="L75" s="7" t="s">
        <x:v>5626</x:v>
      </x:c>
    </x:row>
    <x:row r="76" ht="37.5" hidden="0" customHeight="1">
      <x:c r="A76" s="7" t="s">
        <x:v>250</x:v>
      </x:c>
      <x:c r="B76" s="7" t="s">
        <x:v>241</x:v>
      </x:c>
      <x:c r="C76" s="7" t="s">
        <x:v>243</x:v>
      </x:c>
      <x:c r="D76" s="7" t="s">
        <x:v>1903</x:v>
      </x:c>
      <x:c r="E76" s="7" t="s">
        <x:v>5628</x:v>
      </x:c>
      <x:c r="F76" s="7" t="s">
        <x:v>2078</x:v>
      </x:c>
      <x:c r="G76" s="7" t="s">
        <x:v>5629</x:v>
      </x:c>
      <x:c r="H76" s="8" t="s">
        <x:v>53</x:v>
      </x:c>
      <x:c r="I76" s="7" t="s">
        <x:v>58</x:v>
      </x:c>
      <x:c r="J76" s="7" t="s">
        <x:v>5598</x:v>
      </x:c>
      <x:c r="K76" s="7" t="s">
        <x:v>1172</x:v>
      </x:c>
      <x:c r="L76" s="7" t="s">
        <x:v>5628</x:v>
      </x:c>
    </x:row>
    <x:row r="77" ht="51.75" hidden="0" customHeight="1">
      <x:c r="A77" s="7" t="s">
        <x:v>5680</x:v>
      </x:c>
      <x:c r="B77" s="7" t="s">
        <x:v>252</x:v>
      </x:c>
      <x:c r="C77" s="7" t="s">
        <x:v>254</x:v>
      </x:c>
      <x:c r="D77" s="7" t="s">
        <x:v>5594</x:v>
      </x:c>
      <x:c r="E77" s="7" t="s">
        <x:v>5595</x:v>
      </x:c>
      <x:c r="F77" s="7" t="s">
        <x:v>5681</x:v>
      </x:c>
      <x:c r="G77" s="7" t="s">
        <x:v>5597</x:v>
      </x:c>
      <x:c r="H77" s="8" t="s">
        <x:v>53</x:v>
      </x:c>
      <x:c r="I77" s="7" t="s">
        <x:v>58</x:v>
      </x:c>
      <x:c r="J77" s="7" t="s">
        <x:v>5598</x:v>
      </x:c>
      <x:c r="K77" s="7" t="s">
        <x:v>1175</x:v>
      </x:c>
      <x:c r="L77" s="7" t="s">
        <x:v>5595</x:v>
      </x:c>
    </x:row>
    <x:row r="78" ht="51.75" hidden="0" customHeight="1">
      <x:c r="A78" s="7" t="s">
        <x:v>5682</x:v>
      </x:c>
      <x:c r="B78" s="7" t="s">
        <x:v>252</x:v>
      </x:c>
      <x:c r="C78" s="7" t="s">
        <x:v>254</x:v>
      </x:c>
      <x:c r="D78" s="7" t="s">
        <x:v>5594</x:v>
      </x:c>
      <x:c r="E78" s="7" t="s">
        <x:v>5600</x:v>
      </x:c>
      <x:c r="F78" s="7" t="s">
        <x:v>5683</x:v>
      </x:c>
      <x:c r="G78" s="7" t="s">
        <x:v>5597</x:v>
      </x:c>
      <x:c r="H78" s="8" t="s">
        <x:v>53</x:v>
      </x:c>
      <x:c r="I78" s="7" t="s">
        <x:v>58</x:v>
      </x:c>
      <x:c r="J78" s="7" t="s">
        <x:v>5598</x:v>
      </x:c>
      <x:c r="K78" s="7" t="s">
        <x:v>1175</x:v>
      </x:c>
      <x:c r="L78" s="7" t="s">
        <x:v>5600</x:v>
      </x:c>
    </x:row>
    <x:row r="79" ht="51.75" hidden="0" customHeight="1">
      <x:c r="A79" s="7" t="s">
        <x:v>5684</x:v>
      </x:c>
      <x:c r="B79" s="7" t="s">
        <x:v>252</x:v>
      </x:c>
      <x:c r="C79" s="7" t="s">
        <x:v>254</x:v>
      </x:c>
      <x:c r="D79" s="7" t="s">
        <x:v>5594</x:v>
      </x:c>
      <x:c r="E79" s="7" t="s">
        <x:v>5602</x:v>
      </x:c>
      <x:c r="F79" s="7" t="s">
        <x:v>5685</x:v>
      </x:c>
      <x:c r="G79" s="7" t="s">
        <x:v>5597</x:v>
      </x:c>
      <x:c r="H79" s="8" t="s">
        <x:v>53</x:v>
      </x:c>
      <x:c r="I79" s="7" t="s">
        <x:v>58</x:v>
      </x:c>
      <x:c r="J79" s="7" t="s">
        <x:v>5598</x:v>
      </x:c>
      <x:c r="K79" s="7" t="s">
        <x:v>1175</x:v>
      </x:c>
      <x:c r="L79" s="7" t="s">
        <x:v>5602</x:v>
      </x:c>
    </x:row>
    <x:row r="80" ht="51.75" hidden="0" customHeight="1">
      <x:c r="A80" s="7" t="s">
        <x:v>5686</x:v>
      </x:c>
      <x:c r="B80" s="7" t="s">
        <x:v>252</x:v>
      </x:c>
      <x:c r="C80" s="7" t="s">
        <x:v>254</x:v>
      </x:c>
      <x:c r="D80" s="7" t="s">
        <x:v>5594</x:v>
      </x:c>
      <x:c r="E80" s="7" t="s">
        <x:v>5604</x:v>
      </x:c>
      <x:c r="F80" s="7" t="s">
        <x:v>5683</x:v>
      </x:c>
      <x:c r="G80" s="7" t="s">
        <x:v>5597</x:v>
      </x:c>
      <x:c r="H80" s="8" t="s">
        <x:v>53</x:v>
      </x:c>
      <x:c r="I80" s="7" t="s">
        <x:v>58</x:v>
      </x:c>
      <x:c r="J80" s="7" t="s">
        <x:v>5598</x:v>
      </x:c>
      <x:c r="K80" s="7" t="s">
        <x:v>1175</x:v>
      </x:c>
      <x:c r="L80" s="7" t="s">
        <x:v>5604</x:v>
      </x:c>
    </x:row>
    <x:row r="81" ht="51.75" hidden="0" customHeight="1">
      <x:c r="A81" s="7" t="s">
        <x:v>5687</x:v>
      </x:c>
      <x:c r="B81" s="7" t="s">
        <x:v>252</x:v>
      </x:c>
      <x:c r="C81" s="7" t="s">
        <x:v>254</x:v>
      </x:c>
      <x:c r="D81" s="7" t="s">
        <x:v>5594</x:v>
      </x:c>
      <x:c r="E81" s="7" t="s">
        <x:v>5609</x:v>
      </x:c>
      <x:c r="F81" s="7" t="s">
        <x:v>5681</x:v>
      </x:c>
      <x:c r="G81" s="7" t="s">
        <x:v>5597</x:v>
      </x:c>
      <x:c r="H81" s="8" t="s">
        <x:v>53</x:v>
      </x:c>
      <x:c r="I81" s="7" t="s">
        <x:v>58</x:v>
      </x:c>
      <x:c r="J81" s="7" t="s">
        <x:v>5598</x:v>
      </x:c>
      <x:c r="K81" s="7" t="s">
        <x:v>1175</x:v>
      </x:c>
      <x:c r="L81" s="7" t="s">
        <x:v>5609</x:v>
      </x:c>
    </x:row>
    <x:row r="82" ht="51.75" hidden="0" customHeight="1">
      <x:c r="A82" s="7" t="s">
        <x:v>5688</x:v>
      </x:c>
      <x:c r="B82" s="7" t="s">
        <x:v>266</x:v>
      </x:c>
      <x:c r="C82" s="7" t="s">
        <x:v>1182</x:v>
      </x:c>
      <x:c r="D82" s="7" t="s">
        <x:v>5594</x:v>
      </x:c>
      <x:c r="E82" s="7" t="s">
        <x:v>5595</x:v>
      </x:c>
      <x:c r="F82" s="7" t="s">
        <x:v>5596</x:v>
      </x:c>
      <x:c r="G82" s="7" t="s">
        <x:v>5597</x:v>
      </x:c>
      <x:c r="H82" s="8" t="s">
        <x:v>53</x:v>
      </x:c>
      <x:c r="I82" s="7" t="s">
        <x:v>58</x:v>
      </x:c>
      <x:c r="J82" s="7" t="s">
        <x:v>5598</x:v>
      </x:c>
      <x:c r="K82" s="7" t="s">
        <x:v>1184</x:v>
      </x:c>
      <x:c r="L82" s="7" t="s">
        <x:v>5595</x:v>
      </x:c>
    </x:row>
    <x:row r="83" ht="51.75" hidden="0" customHeight="1">
      <x:c r="A83" s="7" t="s">
        <x:v>5689</x:v>
      </x:c>
      <x:c r="B83" s="7" t="s">
        <x:v>266</x:v>
      </x:c>
      <x:c r="C83" s="7" t="s">
        <x:v>1182</x:v>
      </x:c>
      <x:c r="D83" s="7" t="s">
        <x:v>5594</x:v>
      </x:c>
      <x:c r="E83" s="7" t="s">
        <x:v>5600</x:v>
      </x:c>
      <x:c r="F83" s="7" t="s">
        <x:v>5596</x:v>
      </x:c>
      <x:c r="G83" s="7" t="s">
        <x:v>5597</x:v>
      </x:c>
      <x:c r="H83" s="8" t="s">
        <x:v>53</x:v>
      </x:c>
      <x:c r="I83" s="7" t="s">
        <x:v>58</x:v>
      </x:c>
      <x:c r="J83" s="7" t="s">
        <x:v>5598</x:v>
      </x:c>
      <x:c r="K83" s="7" t="s">
        <x:v>1184</x:v>
      </x:c>
      <x:c r="L83" s="7" t="s">
        <x:v>5600</x:v>
      </x:c>
    </x:row>
    <x:row r="84" ht="51.75" hidden="0" customHeight="1">
      <x:c r="A84" s="7" t="s">
        <x:v>5690</x:v>
      </x:c>
      <x:c r="B84" s="7" t="s">
        <x:v>266</x:v>
      </x:c>
      <x:c r="C84" s="7" t="s">
        <x:v>1182</x:v>
      </x:c>
      <x:c r="D84" s="7" t="s">
        <x:v>5594</x:v>
      </x:c>
      <x:c r="E84" s="7" t="s">
        <x:v>5602</x:v>
      </x:c>
      <x:c r="F84" s="7" t="s">
        <x:v>5596</x:v>
      </x:c>
      <x:c r="G84" s="7" t="s">
        <x:v>5597</x:v>
      </x:c>
      <x:c r="H84" s="8" t="s">
        <x:v>53</x:v>
      </x:c>
      <x:c r="I84" s="7" t="s">
        <x:v>58</x:v>
      </x:c>
      <x:c r="J84" s="7" t="s">
        <x:v>5598</x:v>
      </x:c>
      <x:c r="K84" s="7" t="s">
        <x:v>1184</x:v>
      </x:c>
      <x:c r="L84" s="7" t="s">
        <x:v>5602</x:v>
      </x:c>
    </x:row>
    <x:row r="85" ht="51.75" hidden="0" customHeight="1">
      <x:c r="A85" s="7" t="s">
        <x:v>5691</x:v>
      </x:c>
      <x:c r="B85" s="7" t="s">
        <x:v>266</x:v>
      </x:c>
      <x:c r="C85" s="7" t="s">
        <x:v>1182</x:v>
      </x:c>
      <x:c r="D85" s="7" t="s">
        <x:v>5594</x:v>
      </x:c>
      <x:c r="E85" s="7" t="s">
        <x:v>5604</x:v>
      </x:c>
      <x:c r="F85" s="7" t="s">
        <x:v>5596</x:v>
      </x:c>
      <x:c r="G85" s="7" t="s">
        <x:v>5597</x:v>
      </x:c>
      <x:c r="H85" s="8" t="s">
        <x:v>53</x:v>
      </x:c>
      <x:c r="I85" s="7" t="s">
        <x:v>58</x:v>
      </x:c>
      <x:c r="J85" s="7" t="s">
        <x:v>5598</x:v>
      </x:c>
      <x:c r="K85" s="7" t="s">
        <x:v>1184</x:v>
      </x:c>
      <x:c r="L85" s="7" t="s">
        <x:v>5604</x:v>
      </x:c>
    </x:row>
    <x:row r="86" ht="51.75" hidden="0" customHeight="1">
      <x:c r="A86" s="7" t="s">
        <x:v>5692</x:v>
      </x:c>
      <x:c r="B86" s="7" t="s">
        <x:v>266</x:v>
      </x:c>
      <x:c r="C86" s="7" t="s">
        <x:v>1182</x:v>
      </x:c>
      <x:c r="D86" s="7" t="s">
        <x:v>5594</x:v>
      </x:c>
      <x:c r="E86" s="7" t="s">
        <x:v>5606</x:v>
      </x:c>
      <x:c r="F86" s="7" t="s">
        <x:v>5693</x:v>
      </x:c>
      <x:c r="G86" s="7" t="s">
        <x:v>5597</x:v>
      </x:c>
      <x:c r="H86" s="8" t="s">
        <x:v>53</x:v>
      </x:c>
      <x:c r="I86" s="7" t="s">
        <x:v>58</x:v>
      </x:c>
      <x:c r="J86" s="7" t="s">
        <x:v>5598</x:v>
      </x:c>
      <x:c r="K86" s="7" t="s">
        <x:v>1184</x:v>
      </x:c>
      <x:c r="L86" s="7" t="s">
        <x:v>5606</x:v>
      </x:c>
    </x:row>
    <x:row r="87" ht="51.75" hidden="0" customHeight="1">
      <x:c r="A87" s="7" t="s">
        <x:v>5694</x:v>
      </x:c>
      <x:c r="B87" s="7" t="s">
        <x:v>266</x:v>
      </x:c>
      <x:c r="C87" s="7" t="s">
        <x:v>1182</x:v>
      </x:c>
      <x:c r="D87" s="7" t="s">
        <x:v>5594</x:v>
      </x:c>
      <x:c r="E87" s="7" t="s">
        <x:v>5609</x:v>
      </x:c>
      <x:c r="F87" s="7" t="s">
        <x:v>5607</x:v>
      </x:c>
      <x:c r="G87" s="7" t="s">
        <x:v>5597</x:v>
      </x:c>
      <x:c r="H87" s="8" t="s">
        <x:v>53</x:v>
      </x:c>
      <x:c r="I87" s="7" t="s">
        <x:v>58</x:v>
      </x:c>
      <x:c r="J87" s="7" t="s">
        <x:v>5598</x:v>
      </x:c>
      <x:c r="K87" s="7" t="s">
        <x:v>1184</x:v>
      </x:c>
      <x:c r="L87" s="7" t="s">
        <x:v>5609</x:v>
      </x:c>
    </x:row>
    <x:row r="88" ht="51.75" hidden="0" customHeight="1">
      <x:c r="A88" s="7" t="s">
        <x:v>5695</x:v>
      </x:c>
      <x:c r="B88" s="7" t="s">
        <x:v>277</x:v>
      </x:c>
      <x:c r="C88" s="7" t="s">
        <x:v>279</x:v>
      </x:c>
      <x:c r="D88" s="7" t="s">
        <x:v>5611</x:v>
      </x:c>
      <x:c r="E88" s="7" t="s">
        <x:v>5612</x:v>
      </x:c>
      <x:c r="F88" s="7" t="s">
        <x:v>5613</x:v>
      </x:c>
      <x:c r="G88" s="7" t="s">
        <x:v>5614</x:v>
      </x:c>
      <x:c r="H88" s="8" t="s">
        <x:v>53</x:v>
      </x:c>
      <x:c r="I88" s="7" t="s">
        <x:v>58</x:v>
      </x:c>
      <x:c r="J88" s="7" t="s">
        <x:v>5598</x:v>
      </x:c>
      <x:c r="K88" s="7" t="s">
        <x:v>1187</x:v>
      </x:c>
      <x:c r="L88" s="7" t="s">
        <x:v>5612</x:v>
      </x:c>
    </x:row>
    <x:row r="89" ht="51.75" hidden="0" customHeight="1">
      <x:c r="A89" s="7" t="s">
        <x:v>5696</x:v>
      </x:c>
      <x:c r="B89" s="7" t="s">
        <x:v>277</x:v>
      </x:c>
      <x:c r="C89" s="7" t="s">
        <x:v>279</x:v>
      </x:c>
      <x:c r="D89" s="7" t="s">
        <x:v>5594</x:v>
      </x:c>
      <x:c r="E89" s="7" t="s">
        <x:v>5616</x:v>
      </x:c>
      <x:c r="F89" s="7" t="s">
        <x:v>5596</x:v>
      </x:c>
      <x:c r="G89" s="7" t="s">
        <x:v>5614</x:v>
      </x:c>
      <x:c r="H89" s="8" t="s">
        <x:v>53</x:v>
      </x:c>
      <x:c r="I89" s="7" t="s">
        <x:v>58</x:v>
      </x:c>
      <x:c r="J89" s="7" t="s">
        <x:v>5598</x:v>
      </x:c>
      <x:c r="K89" s="7" t="s">
        <x:v>1187</x:v>
      </x:c>
      <x:c r="L89" s="7" t="s">
        <x:v>5616</x:v>
      </x:c>
    </x:row>
    <x:row r="90" ht="51.75" hidden="0" customHeight="1">
      <x:c r="A90" s="7" t="s">
        <x:v>5697</x:v>
      </x:c>
      <x:c r="B90" s="7" t="s">
        <x:v>277</x:v>
      </x:c>
      <x:c r="C90" s="7" t="s">
        <x:v>279</x:v>
      </x:c>
      <x:c r="D90" s="7" t="s">
        <x:v>5594</x:v>
      </x:c>
      <x:c r="E90" s="7" t="s">
        <x:v>5618</x:v>
      </x:c>
      <x:c r="F90" s="7" t="s">
        <x:v>5596</x:v>
      </x:c>
      <x:c r="G90" s="7" t="s">
        <x:v>5614</x:v>
      </x:c>
      <x:c r="H90" s="8" t="s">
        <x:v>53</x:v>
      </x:c>
      <x:c r="I90" s="7" t="s">
        <x:v>58</x:v>
      </x:c>
      <x:c r="J90" s="7" t="s">
        <x:v>5598</x:v>
      </x:c>
      <x:c r="K90" s="7" t="s">
        <x:v>1187</x:v>
      </x:c>
      <x:c r="L90" s="7" t="s">
        <x:v>5618</x:v>
      </x:c>
    </x:row>
    <x:row r="91" ht="51.75" hidden="0" customHeight="1">
      <x:c r="A91" s="7" t="s">
        <x:v>5698</x:v>
      </x:c>
      <x:c r="B91" s="7" t="s">
        <x:v>277</x:v>
      </x:c>
      <x:c r="C91" s="7" t="s">
        <x:v>279</x:v>
      </x:c>
      <x:c r="D91" s="7" t="s">
        <x:v>5594</x:v>
      </x:c>
      <x:c r="E91" s="7" t="s">
        <x:v>5620</x:v>
      </x:c>
      <x:c r="F91" s="7" t="s">
        <x:v>5621</x:v>
      </x:c>
      <x:c r="G91" s="7" t="s">
        <x:v>5614</x:v>
      </x:c>
      <x:c r="H91" s="8" t="s">
        <x:v>53</x:v>
      </x:c>
      <x:c r="I91" s="7" t="s">
        <x:v>58</x:v>
      </x:c>
      <x:c r="J91" s="7" t="s">
        <x:v>5598</x:v>
      </x:c>
      <x:c r="K91" s="7" t="s">
        <x:v>1187</x:v>
      </x:c>
      <x:c r="L91" s="7" t="s">
        <x:v>5620</x:v>
      </x:c>
    </x:row>
    <x:row r="92" ht="51.75" hidden="0" customHeight="1">
      <x:c r="A92" s="7" t="s">
        <x:v>5699</x:v>
      </x:c>
      <x:c r="B92" s="7" t="s">
        <x:v>277</x:v>
      </x:c>
      <x:c r="C92" s="7" t="s">
        <x:v>279</x:v>
      </x:c>
      <x:c r="D92" s="7" t="s">
        <x:v>5594</x:v>
      </x:c>
      <x:c r="E92" s="7" t="s">
        <x:v>5623</x:v>
      </x:c>
      <x:c r="F92" s="7" t="s">
        <x:v>5624</x:v>
      </x:c>
      <x:c r="G92" s="7" t="s">
        <x:v>5614</x:v>
      </x:c>
      <x:c r="H92" s="8" t="s">
        <x:v>53</x:v>
      </x:c>
      <x:c r="I92" s="7" t="s">
        <x:v>58</x:v>
      </x:c>
      <x:c r="J92" s="7" t="s">
        <x:v>5598</x:v>
      </x:c>
      <x:c r="K92" s="7" t="s">
        <x:v>1187</x:v>
      </x:c>
      <x:c r="L92" s="7" t="s">
        <x:v>5623</x:v>
      </x:c>
    </x:row>
    <x:row r="93" ht="51.75" hidden="0" customHeight="1">
      <x:c r="A93" s="7" t="s">
        <x:v>5700</x:v>
      </x:c>
      <x:c r="B93" s="7" t="s">
        <x:v>277</x:v>
      </x:c>
      <x:c r="C93" s="7" t="s">
        <x:v>279</x:v>
      </x:c>
      <x:c r="D93" s="7" t="s">
        <x:v>5626</x:v>
      </x:c>
      <x:c r="E93" s="7" t="s">
        <x:v>5626</x:v>
      </x:c>
      <x:c r="F93" s="7" t="s">
        <x:v>5627</x:v>
      </x:c>
      <x:c r="G93" s="7" t="s">
        <x:v>5614</x:v>
      </x:c>
      <x:c r="H93" s="8" t="s">
        <x:v>53</x:v>
      </x:c>
      <x:c r="I93" s="7" t="s">
        <x:v>58</x:v>
      </x:c>
      <x:c r="J93" s="7" t="s">
        <x:v>5598</x:v>
      </x:c>
      <x:c r="K93" s="7" t="s">
        <x:v>1187</x:v>
      </x:c>
      <x:c r="L93" s="7" t="s">
        <x:v>5626</x:v>
      </x:c>
    </x:row>
    <x:row r="94" ht="51.75" hidden="0" customHeight="1">
      <x:c r="A94" s="7" t="s">
        <x:v>5701</x:v>
      </x:c>
      <x:c r="B94" s="7" t="s">
        <x:v>291</x:v>
      </x:c>
      <x:c r="C94" s="7" t="s">
        <x:v>293</x:v>
      </x:c>
      <x:c r="D94" s="7" t="s">
        <x:v>5626</x:v>
      </x:c>
      <x:c r="E94" s="7" t="s">
        <x:v>5626</x:v>
      </x:c>
      <x:c r="F94" s="7" t="s">
        <x:v>5627</x:v>
      </x:c>
      <x:c r="G94" s="7" t="s">
        <x:v>5614</x:v>
      </x:c>
      <x:c r="H94" s="8" t="s">
        <x:v>53</x:v>
      </x:c>
      <x:c r="I94" s="7" t="s">
        <x:v>58</x:v>
      </x:c>
      <x:c r="J94" s="7" t="s">
        <x:v>5598</x:v>
      </x:c>
      <x:c r="K94" s="7" t="s">
        <x:v>1188</x:v>
      </x:c>
      <x:c r="L94" s="7" t="s">
        <x:v>5626</x:v>
      </x:c>
    </x:row>
    <x:row r="95" ht="37.5" hidden="0" customHeight="1">
      <x:c r="A95" s="7" t="s">
        <x:v>299</x:v>
      </x:c>
      <x:c r="B95" s="7" t="s">
        <x:v>291</x:v>
      </x:c>
      <x:c r="C95" s="7" t="s">
        <x:v>293</x:v>
      </x:c>
      <x:c r="D95" s="7" t="s">
        <x:v>1903</x:v>
      </x:c>
      <x:c r="E95" s="7" t="s">
        <x:v>5628</x:v>
      </x:c>
      <x:c r="F95" s="7" t="s">
        <x:v>2894</x:v>
      </x:c>
      <x:c r="G95" s="7" t="s">
        <x:v>5629</x:v>
      </x:c>
      <x:c r="H95" s="8" t="s">
        <x:v>53</x:v>
      </x:c>
      <x:c r="I95" s="7" t="s">
        <x:v>58</x:v>
      </x:c>
      <x:c r="J95" s="7" t="s">
        <x:v>5598</x:v>
      </x:c>
      <x:c r="K95" s="7" t="s">
        <x:v>1188</x:v>
      </x:c>
      <x:c r="L95" s="7" t="s">
        <x:v>5628</x:v>
      </x:c>
    </x:row>
    <x:row r="96" ht="51.75" hidden="0" customHeight="1">
      <x:c r="A96" s="7" t="s">
        <x:v>5702</x:v>
      </x:c>
      <x:c r="B96" s="7" t="s">
        <x:v>300</x:v>
      </x:c>
      <x:c r="C96" s="7" t="s">
        <x:v>302</x:v>
      </x:c>
      <x:c r="D96" s="7" t="s">
        <x:v>5611</x:v>
      </x:c>
      <x:c r="E96" s="7" t="s">
        <x:v>5612</x:v>
      </x:c>
      <x:c r="F96" s="7" t="s">
        <x:v>5613</x:v>
      </x:c>
      <x:c r="G96" s="7" t="s">
        <x:v>5614</x:v>
      </x:c>
      <x:c r="H96" s="8" t="s">
        <x:v>53</x:v>
      </x:c>
      <x:c r="I96" s="7" t="s">
        <x:v>58</x:v>
      </x:c>
      <x:c r="J96" s="7" t="s">
        <x:v>5598</x:v>
      </x:c>
      <x:c r="K96" s="7" t="s">
        <x:v>1189</x:v>
      </x:c>
      <x:c r="L96" s="7" t="s">
        <x:v>5612</x:v>
      </x:c>
    </x:row>
    <x:row r="97" ht="51.75" hidden="0" customHeight="1">
      <x:c r="A97" s="7" t="s">
        <x:v>5703</x:v>
      </x:c>
      <x:c r="B97" s="7" t="s">
        <x:v>300</x:v>
      </x:c>
      <x:c r="C97" s="7" t="s">
        <x:v>302</x:v>
      </x:c>
      <x:c r="D97" s="7" t="s">
        <x:v>5594</x:v>
      </x:c>
      <x:c r="E97" s="7" t="s">
        <x:v>5616</x:v>
      </x:c>
      <x:c r="F97" s="7" t="s">
        <x:v>5596</x:v>
      </x:c>
      <x:c r="G97" s="7" t="s">
        <x:v>5614</x:v>
      </x:c>
      <x:c r="H97" s="8" t="s">
        <x:v>53</x:v>
      </x:c>
      <x:c r="I97" s="7" t="s">
        <x:v>58</x:v>
      </x:c>
      <x:c r="J97" s="7" t="s">
        <x:v>5598</x:v>
      </x:c>
      <x:c r="K97" s="7" t="s">
        <x:v>1189</x:v>
      </x:c>
      <x:c r="L97" s="7" t="s">
        <x:v>5616</x:v>
      </x:c>
    </x:row>
    <x:row r="98" ht="51.75" hidden="0" customHeight="1">
      <x:c r="A98" s="7" t="s">
        <x:v>5704</x:v>
      </x:c>
      <x:c r="B98" s="7" t="s">
        <x:v>300</x:v>
      </x:c>
      <x:c r="C98" s="7" t="s">
        <x:v>302</x:v>
      </x:c>
      <x:c r="D98" s="7" t="s">
        <x:v>5594</x:v>
      </x:c>
      <x:c r="E98" s="7" t="s">
        <x:v>5618</x:v>
      </x:c>
      <x:c r="F98" s="7" t="s">
        <x:v>5596</x:v>
      </x:c>
      <x:c r="G98" s="7" t="s">
        <x:v>5614</x:v>
      </x:c>
      <x:c r="H98" s="8" t="s">
        <x:v>53</x:v>
      </x:c>
      <x:c r="I98" s="7" t="s">
        <x:v>58</x:v>
      </x:c>
      <x:c r="J98" s="7" t="s">
        <x:v>5598</x:v>
      </x:c>
      <x:c r="K98" s="7" t="s">
        <x:v>1189</x:v>
      </x:c>
      <x:c r="L98" s="7" t="s">
        <x:v>5618</x:v>
      </x:c>
    </x:row>
    <x:row r="99" ht="51.75" hidden="0" customHeight="1">
      <x:c r="A99" s="7" t="s">
        <x:v>5705</x:v>
      </x:c>
      <x:c r="B99" s="7" t="s">
        <x:v>300</x:v>
      </x:c>
      <x:c r="C99" s="7" t="s">
        <x:v>302</x:v>
      </x:c>
      <x:c r="D99" s="7" t="s">
        <x:v>5594</x:v>
      </x:c>
      <x:c r="E99" s="7" t="s">
        <x:v>5620</x:v>
      </x:c>
      <x:c r="F99" s="7" t="s">
        <x:v>5621</x:v>
      </x:c>
      <x:c r="G99" s="7" t="s">
        <x:v>5614</x:v>
      </x:c>
      <x:c r="H99" s="8" t="s">
        <x:v>53</x:v>
      </x:c>
      <x:c r="I99" s="7" t="s">
        <x:v>58</x:v>
      </x:c>
      <x:c r="J99" s="7" t="s">
        <x:v>5598</x:v>
      </x:c>
      <x:c r="K99" s="7" t="s">
        <x:v>1189</x:v>
      </x:c>
      <x:c r="L99" s="7" t="s">
        <x:v>5620</x:v>
      </x:c>
    </x:row>
    <x:row r="100" ht="51.75" hidden="0" customHeight="1">
      <x:c r="A100" s="7" t="s">
        <x:v>5706</x:v>
      </x:c>
      <x:c r="B100" s="7" t="s">
        <x:v>300</x:v>
      </x:c>
      <x:c r="C100" s="7" t="s">
        <x:v>302</x:v>
      </x:c>
      <x:c r="D100" s="7" t="s">
        <x:v>5594</x:v>
      </x:c>
      <x:c r="E100" s="7" t="s">
        <x:v>5623</x:v>
      </x:c>
      <x:c r="F100" s="7" t="s">
        <x:v>5624</x:v>
      </x:c>
      <x:c r="G100" s="7" t="s">
        <x:v>5614</x:v>
      </x:c>
      <x:c r="H100" s="8" t="s">
        <x:v>53</x:v>
      </x:c>
      <x:c r="I100" s="7" t="s">
        <x:v>58</x:v>
      </x:c>
      <x:c r="J100" s="7" t="s">
        <x:v>5598</x:v>
      </x:c>
      <x:c r="K100" s="7" t="s">
        <x:v>1189</x:v>
      </x:c>
      <x:c r="L100" s="7" t="s">
        <x:v>5623</x:v>
      </x:c>
    </x:row>
    <x:row r="101" ht="51.75" hidden="0" customHeight="1">
      <x:c r="A101" s="7" t="s">
        <x:v>5707</x:v>
      </x:c>
      <x:c r="B101" s="7" t="s">
        <x:v>300</x:v>
      </x:c>
      <x:c r="C101" s="7" t="s">
        <x:v>302</x:v>
      </x:c>
      <x:c r="D101" s="7" t="s">
        <x:v>5626</x:v>
      </x:c>
      <x:c r="E101" s="7" t="s">
        <x:v>5626</x:v>
      </x:c>
      <x:c r="F101" s="7" t="s">
        <x:v>5627</x:v>
      </x:c>
      <x:c r="G101" s="7" t="s">
        <x:v>5614</x:v>
      </x:c>
      <x:c r="H101" s="8" t="s">
        <x:v>53</x:v>
      </x:c>
      <x:c r="I101" s="7" t="s">
        <x:v>58</x:v>
      </x:c>
      <x:c r="J101" s="7" t="s">
        <x:v>5598</x:v>
      </x:c>
      <x:c r="K101" s="7" t="s">
        <x:v>1189</x:v>
      </x:c>
      <x:c r="L101" s="7" t="s">
        <x:v>5626</x:v>
      </x:c>
    </x:row>
    <x:row r="102" ht="37.5" hidden="0" customHeight="1">
      <x:c r="A102" s="7" t="s">
        <x:v>311</x:v>
      </x:c>
      <x:c r="B102" s="7" t="s">
        <x:v>300</x:v>
      </x:c>
      <x:c r="C102" s="7" t="s">
        <x:v>302</x:v>
      </x:c>
      <x:c r="D102" s="7" t="s">
        <x:v>1903</x:v>
      </x:c>
      <x:c r="E102" s="7" t="s">
        <x:v>5628</x:v>
      </x:c>
      <x:c r="F102" s="7" t="s">
        <x:v>2928</x:v>
      </x:c>
      <x:c r="G102" s="7" t="s">
        <x:v>5629</x:v>
      </x:c>
      <x:c r="H102" s="8" t="s">
        <x:v>53</x:v>
      </x:c>
      <x:c r="I102" s="7" t="s">
        <x:v>58</x:v>
      </x:c>
      <x:c r="J102" s="7" t="s">
        <x:v>5598</x:v>
      </x:c>
      <x:c r="K102" s="7" t="s">
        <x:v>1189</x:v>
      </x:c>
      <x:c r="L102" s="7" t="s">
        <x:v>5628</x:v>
      </x:c>
    </x:row>
    <x:row r="103" ht="51.75" hidden="0" customHeight="1">
      <x:c r="A103" s="7" t="s">
        <x:v>5708</x:v>
      </x:c>
      <x:c r="B103" s="7" t="s">
        <x:v>313</x:v>
      </x:c>
      <x:c r="C103" s="7" t="s">
        <x:v>315</x:v>
      </x:c>
      <x:c r="D103" s="7" t="s">
        <x:v>5611</x:v>
      </x:c>
      <x:c r="E103" s="7" t="s">
        <x:v>5612</x:v>
      </x:c>
      <x:c r="F103" s="7" t="s">
        <x:v>5613</x:v>
      </x:c>
      <x:c r="G103" s="7" t="s">
        <x:v>5614</x:v>
      </x:c>
      <x:c r="H103" s="8" t="s">
        <x:v>53</x:v>
      </x:c>
      <x:c r="I103" s="7" t="s">
        <x:v>58</x:v>
      </x:c>
      <x:c r="J103" s="7" t="s">
        <x:v>5598</x:v>
      </x:c>
      <x:c r="K103" s="7" t="s">
        <x:v>1190</x:v>
      </x:c>
      <x:c r="L103" s="7" t="s">
        <x:v>5612</x:v>
      </x:c>
    </x:row>
    <x:row r="104" ht="51.75" hidden="0" customHeight="1">
      <x:c r="A104" s="7" t="s">
        <x:v>5709</x:v>
      </x:c>
      <x:c r="B104" s="7" t="s">
        <x:v>313</x:v>
      </x:c>
      <x:c r="C104" s="7" t="s">
        <x:v>315</x:v>
      </x:c>
      <x:c r="D104" s="7" t="s">
        <x:v>5594</x:v>
      </x:c>
      <x:c r="E104" s="7" t="s">
        <x:v>5616</x:v>
      </x:c>
      <x:c r="F104" s="7" t="s">
        <x:v>5596</x:v>
      </x:c>
      <x:c r="G104" s="7" t="s">
        <x:v>5614</x:v>
      </x:c>
      <x:c r="H104" s="8" t="s">
        <x:v>53</x:v>
      </x:c>
      <x:c r="I104" s="7" t="s">
        <x:v>58</x:v>
      </x:c>
      <x:c r="J104" s="7" t="s">
        <x:v>5598</x:v>
      </x:c>
      <x:c r="K104" s="7" t="s">
        <x:v>1190</x:v>
      </x:c>
      <x:c r="L104" s="7" t="s">
        <x:v>5616</x:v>
      </x:c>
    </x:row>
    <x:row r="105" ht="51.75" hidden="0" customHeight="1">
      <x:c r="A105" s="7" t="s">
        <x:v>5710</x:v>
      </x:c>
      <x:c r="B105" s="7" t="s">
        <x:v>313</x:v>
      </x:c>
      <x:c r="C105" s="7" t="s">
        <x:v>315</x:v>
      </x:c>
      <x:c r="D105" s="7" t="s">
        <x:v>5594</x:v>
      </x:c>
      <x:c r="E105" s="7" t="s">
        <x:v>5618</x:v>
      </x:c>
      <x:c r="F105" s="7" t="s">
        <x:v>5596</x:v>
      </x:c>
      <x:c r="G105" s="7" t="s">
        <x:v>5614</x:v>
      </x:c>
      <x:c r="H105" s="8" t="s">
        <x:v>53</x:v>
      </x:c>
      <x:c r="I105" s="7" t="s">
        <x:v>58</x:v>
      </x:c>
      <x:c r="J105" s="7" t="s">
        <x:v>5598</x:v>
      </x:c>
      <x:c r="K105" s="7" t="s">
        <x:v>1190</x:v>
      </x:c>
      <x:c r="L105" s="7" t="s">
        <x:v>5618</x:v>
      </x:c>
    </x:row>
    <x:row r="106" ht="51.75" hidden="0" customHeight="1">
      <x:c r="A106" s="7" t="s">
        <x:v>5711</x:v>
      </x:c>
      <x:c r="B106" s="7" t="s">
        <x:v>313</x:v>
      </x:c>
      <x:c r="C106" s="7" t="s">
        <x:v>315</x:v>
      </x:c>
      <x:c r="D106" s="7" t="s">
        <x:v>5594</x:v>
      </x:c>
      <x:c r="E106" s="7" t="s">
        <x:v>5620</x:v>
      </x:c>
      <x:c r="F106" s="7" t="s">
        <x:v>5621</x:v>
      </x:c>
      <x:c r="G106" s="7" t="s">
        <x:v>5614</x:v>
      </x:c>
      <x:c r="H106" s="8" t="s">
        <x:v>53</x:v>
      </x:c>
      <x:c r="I106" s="7" t="s">
        <x:v>58</x:v>
      </x:c>
      <x:c r="J106" s="7" t="s">
        <x:v>5598</x:v>
      </x:c>
      <x:c r="K106" s="7" t="s">
        <x:v>1190</x:v>
      </x:c>
      <x:c r="L106" s="7" t="s">
        <x:v>5620</x:v>
      </x:c>
    </x:row>
    <x:row r="107" ht="51.75" hidden="0" customHeight="1">
      <x:c r="A107" s="7" t="s">
        <x:v>5712</x:v>
      </x:c>
      <x:c r="B107" s="7" t="s">
        <x:v>313</x:v>
      </x:c>
      <x:c r="C107" s="7" t="s">
        <x:v>315</x:v>
      </x:c>
      <x:c r="D107" s="7" t="s">
        <x:v>5594</x:v>
      </x:c>
      <x:c r="E107" s="7" t="s">
        <x:v>5623</x:v>
      </x:c>
      <x:c r="F107" s="7" t="s">
        <x:v>5624</x:v>
      </x:c>
      <x:c r="G107" s="7" t="s">
        <x:v>5614</x:v>
      </x:c>
      <x:c r="H107" s="8" t="s">
        <x:v>53</x:v>
      </x:c>
      <x:c r="I107" s="7" t="s">
        <x:v>58</x:v>
      </x:c>
      <x:c r="J107" s="7" t="s">
        <x:v>5598</x:v>
      </x:c>
      <x:c r="K107" s="7" t="s">
        <x:v>1190</x:v>
      </x:c>
      <x:c r="L107" s="7" t="s">
        <x:v>5623</x:v>
      </x:c>
    </x:row>
    <x:row r="108" ht="51.75" hidden="0" customHeight="1">
      <x:c r="A108" s="7" t="s">
        <x:v>5713</x:v>
      </x:c>
      <x:c r="B108" s="7" t="s">
        <x:v>313</x:v>
      </x:c>
      <x:c r="C108" s="7" t="s">
        <x:v>315</x:v>
      </x:c>
      <x:c r="D108" s="7" t="s">
        <x:v>5626</x:v>
      </x:c>
      <x:c r="E108" s="7" t="s">
        <x:v>5626</x:v>
      </x:c>
      <x:c r="F108" s="7" t="s">
        <x:v>5627</x:v>
      </x:c>
      <x:c r="G108" s="7" t="s">
        <x:v>5614</x:v>
      </x:c>
      <x:c r="H108" s="8" t="s">
        <x:v>53</x:v>
      </x:c>
      <x:c r="I108" s="7" t="s">
        <x:v>58</x:v>
      </x:c>
      <x:c r="J108" s="7" t="s">
        <x:v>5598</x:v>
      </x:c>
      <x:c r="K108" s="7" t="s">
        <x:v>1190</x:v>
      </x:c>
      <x:c r="L108" s="7" t="s">
        <x:v>5626</x:v>
      </x:c>
    </x:row>
    <x:row r="109" ht="37.5" hidden="0" customHeight="1">
      <x:c r="A109" s="7" t="s">
        <x:v>322</x:v>
      </x:c>
      <x:c r="B109" s="7" t="s">
        <x:v>313</x:v>
      </x:c>
      <x:c r="C109" s="7" t="s">
        <x:v>315</x:v>
      </x:c>
      <x:c r="D109" s="7" t="s">
        <x:v>1903</x:v>
      </x:c>
      <x:c r="E109" s="7" t="s">
        <x:v>5628</x:v>
      </x:c>
      <x:c r="F109" s="7" t="s">
        <x:v>2928</x:v>
      </x:c>
      <x:c r="G109" s="7" t="s">
        <x:v>5629</x:v>
      </x:c>
      <x:c r="H109" s="8" t="s">
        <x:v>53</x:v>
      </x:c>
      <x:c r="I109" s="7" t="s">
        <x:v>58</x:v>
      </x:c>
      <x:c r="J109" s="7" t="s">
        <x:v>5598</x:v>
      </x:c>
      <x:c r="K109" s="7" t="s">
        <x:v>1190</x:v>
      </x:c>
      <x:c r="L109" s="7" t="s">
        <x:v>5628</x:v>
      </x:c>
    </x:row>
    <x:row r="110" ht="51.75" hidden="0" customHeight="1">
      <x:c r="A110" s="7" t="s">
        <x:v>5714</x:v>
      </x:c>
      <x:c r="B110" s="7" t="s">
        <x:v>330</x:v>
      </x:c>
      <x:c r="C110" s="7" t="s">
        <x:v>1197</x:v>
      </x:c>
      <x:c r="D110" s="7" t="s">
        <x:v>5594</x:v>
      </x:c>
      <x:c r="E110" s="7" t="s">
        <x:v>5595</x:v>
      </x:c>
      <x:c r="F110" s="7" t="s">
        <x:v>5681</x:v>
      </x:c>
      <x:c r="G110" s="7" t="s">
        <x:v>5597</x:v>
      </x:c>
      <x:c r="H110" s="8" t="s">
        <x:v>53</x:v>
      </x:c>
      <x:c r="I110" s="7" t="s">
        <x:v>58</x:v>
      </x:c>
      <x:c r="J110" s="7" t="s">
        <x:v>5598</x:v>
      </x:c>
      <x:c r="K110" s="7" t="s">
        <x:v>1199</x:v>
      </x:c>
      <x:c r="L110" s="7" t="s">
        <x:v>5595</x:v>
      </x:c>
    </x:row>
    <x:row r="111" ht="51.75" hidden="0" customHeight="1">
      <x:c r="A111" s="7" t="s">
        <x:v>5715</x:v>
      </x:c>
      <x:c r="B111" s="7" t="s">
        <x:v>330</x:v>
      </x:c>
      <x:c r="C111" s="7" t="s">
        <x:v>1197</x:v>
      </x:c>
      <x:c r="D111" s="7" t="s">
        <x:v>5594</x:v>
      </x:c>
      <x:c r="E111" s="7" t="s">
        <x:v>5600</x:v>
      </x:c>
      <x:c r="F111" s="7" t="s">
        <x:v>5716</x:v>
      </x:c>
      <x:c r="G111" s="7" t="s">
        <x:v>5597</x:v>
      </x:c>
      <x:c r="H111" s="8" t="s">
        <x:v>53</x:v>
      </x:c>
      <x:c r="I111" s="7" t="s">
        <x:v>58</x:v>
      </x:c>
      <x:c r="J111" s="7" t="s">
        <x:v>5598</x:v>
      </x:c>
      <x:c r="K111" s="7" t="s">
        <x:v>1199</x:v>
      </x:c>
      <x:c r="L111" s="7" t="s">
        <x:v>5600</x:v>
      </x:c>
    </x:row>
    <x:row r="112" ht="51.75" hidden="0" customHeight="1">
      <x:c r="A112" s="7" t="s">
        <x:v>5717</x:v>
      </x:c>
      <x:c r="B112" s="7" t="s">
        <x:v>330</x:v>
      </x:c>
      <x:c r="C112" s="7" t="s">
        <x:v>1197</x:v>
      </x:c>
      <x:c r="D112" s="7" t="s">
        <x:v>5594</x:v>
      </x:c>
      <x:c r="E112" s="7" t="s">
        <x:v>5602</x:v>
      </x:c>
      <x:c r="F112" s="7" t="s">
        <x:v>5683</x:v>
      </x:c>
      <x:c r="G112" s="7" t="s">
        <x:v>5597</x:v>
      </x:c>
      <x:c r="H112" s="8" t="s">
        <x:v>53</x:v>
      </x:c>
      <x:c r="I112" s="7" t="s">
        <x:v>58</x:v>
      </x:c>
      <x:c r="J112" s="7" t="s">
        <x:v>5598</x:v>
      </x:c>
      <x:c r="K112" s="7" t="s">
        <x:v>1199</x:v>
      </x:c>
      <x:c r="L112" s="7" t="s">
        <x:v>5602</x:v>
      </x:c>
    </x:row>
    <x:row r="113" ht="51.75" hidden="0" customHeight="1">
      <x:c r="A113" s="7" t="s">
        <x:v>5718</x:v>
      </x:c>
      <x:c r="B113" s="7" t="s">
        <x:v>330</x:v>
      </x:c>
      <x:c r="C113" s="7" t="s">
        <x:v>1197</x:v>
      </x:c>
      <x:c r="D113" s="7" t="s">
        <x:v>5594</x:v>
      </x:c>
      <x:c r="E113" s="7" t="s">
        <x:v>5604</x:v>
      </x:c>
      <x:c r="F113" s="7" t="s">
        <x:v>5683</x:v>
      </x:c>
      <x:c r="G113" s="7" t="s">
        <x:v>5597</x:v>
      </x:c>
      <x:c r="H113" s="8" t="s">
        <x:v>53</x:v>
      </x:c>
      <x:c r="I113" s="7" t="s">
        <x:v>58</x:v>
      </x:c>
      <x:c r="J113" s="7" t="s">
        <x:v>5598</x:v>
      </x:c>
      <x:c r="K113" s="7" t="s">
        <x:v>1199</x:v>
      </x:c>
      <x:c r="L113" s="7" t="s">
        <x:v>5604</x:v>
      </x:c>
    </x:row>
    <x:row r="114" ht="51.75" hidden="0" customHeight="1">
      <x:c r="A114" s="7" t="s">
        <x:v>5719</x:v>
      </x:c>
      <x:c r="B114" s="7" t="s">
        <x:v>330</x:v>
      </x:c>
      <x:c r="C114" s="7" t="s">
        <x:v>1197</x:v>
      </x:c>
      <x:c r="D114" s="7" t="s">
        <x:v>5594</x:v>
      </x:c>
      <x:c r="E114" s="7" t="s">
        <x:v>5609</x:v>
      </x:c>
      <x:c r="F114" s="7" t="s">
        <x:v>5681</x:v>
      </x:c>
      <x:c r="G114" s="7" t="s">
        <x:v>5597</x:v>
      </x:c>
      <x:c r="H114" s="8" t="s">
        <x:v>53</x:v>
      </x:c>
      <x:c r="I114" s="7" t="s">
        <x:v>58</x:v>
      </x:c>
      <x:c r="J114" s="7" t="s">
        <x:v>5598</x:v>
      </x:c>
      <x:c r="K114" s="7" t="s">
        <x:v>1199</x:v>
      </x:c>
      <x:c r="L114" s="7" t="s">
        <x:v>5609</x:v>
      </x:c>
    </x:row>
    <x:row r="115" ht="51.75" hidden="0" customHeight="1">
      <x:c r="A115" s="7" t="s">
        <x:v>5720</x:v>
      </x:c>
      <x:c r="B115" s="7" t="s">
        <x:v>342</x:v>
      </x:c>
      <x:c r="C115" s="7" t="s">
        <x:v>344</x:v>
      </x:c>
      <x:c r="D115" s="7" t="s">
        <x:v>5611</x:v>
      </x:c>
      <x:c r="E115" s="7" t="s">
        <x:v>5612</x:v>
      </x:c>
      <x:c r="F115" s="7" t="s">
        <x:v>5613</x:v>
      </x:c>
      <x:c r="G115" s="7" t="s">
        <x:v>5614</x:v>
      </x:c>
      <x:c r="H115" s="8" t="s">
        <x:v>53</x:v>
      </x:c>
      <x:c r="I115" s="7" t="s">
        <x:v>58</x:v>
      </x:c>
      <x:c r="J115" s="7" t="s">
        <x:v>5598</x:v>
      </x:c>
      <x:c r="K115" s="7" t="s">
        <x:v>1204</x:v>
      </x:c>
      <x:c r="L115" s="7" t="s">
        <x:v>5612</x:v>
      </x:c>
    </x:row>
    <x:row r="116" ht="51.75" hidden="0" customHeight="1">
      <x:c r="A116" s="7" t="s">
        <x:v>5721</x:v>
      </x:c>
      <x:c r="B116" s="7" t="s">
        <x:v>342</x:v>
      </x:c>
      <x:c r="C116" s="7" t="s">
        <x:v>344</x:v>
      </x:c>
      <x:c r="D116" s="7" t="s">
        <x:v>5594</x:v>
      </x:c>
      <x:c r="E116" s="7" t="s">
        <x:v>5616</x:v>
      </x:c>
      <x:c r="F116" s="7" t="s">
        <x:v>5722</x:v>
      </x:c>
      <x:c r="G116" s="7" t="s">
        <x:v>5614</x:v>
      </x:c>
      <x:c r="H116" s="8" t="s">
        <x:v>53</x:v>
      </x:c>
      <x:c r="I116" s="7" t="s">
        <x:v>58</x:v>
      </x:c>
      <x:c r="J116" s="7" t="s">
        <x:v>5598</x:v>
      </x:c>
      <x:c r="K116" s="7" t="s">
        <x:v>1204</x:v>
      </x:c>
      <x:c r="L116" s="7" t="s">
        <x:v>5616</x:v>
      </x:c>
    </x:row>
    <x:row r="117" ht="51.75" hidden="0" customHeight="1">
      <x:c r="A117" s="7" t="s">
        <x:v>5723</x:v>
      </x:c>
      <x:c r="B117" s="7" t="s">
        <x:v>342</x:v>
      </x:c>
      <x:c r="C117" s="7" t="s">
        <x:v>344</x:v>
      </x:c>
      <x:c r="D117" s="7" t="s">
        <x:v>5594</x:v>
      </x:c>
      <x:c r="E117" s="7" t="s">
        <x:v>5618</x:v>
      </x:c>
      <x:c r="F117" s="7" t="s">
        <x:v>5722</x:v>
      </x:c>
      <x:c r="G117" s="7" t="s">
        <x:v>5614</x:v>
      </x:c>
      <x:c r="H117" s="8" t="s">
        <x:v>53</x:v>
      </x:c>
      <x:c r="I117" s="7" t="s">
        <x:v>58</x:v>
      </x:c>
      <x:c r="J117" s="7" t="s">
        <x:v>5598</x:v>
      </x:c>
      <x:c r="K117" s="7" t="s">
        <x:v>1204</x:v>
      </x:c>
      <x:c r="L117" s="7" t="s">
        <x:v>5618</x:v>
      </x:c>
    </x:row>
    <x:row r="118" ht="51.75" hidden="0" customHeight="1">
      <x:c r="A118" s="7" t="s">
        <x:v>5724</x:v>
      </x:c>
      <x:c r="B118" s="7" t="s">
        <x:v>342</x:v>
      </x:c>
      <x:c r="C118" s="7" t="s">
        <x:v>344</x:v>
      </x:c>
      <x:c r="D118" s="7" t="s">
        <x:v>5594</x:v>
      </x:c>
      <x:c r="E118" s="7" t="s">
        <x:v>5620</x:v>
      </x:c>
      <x:c r="F118" s="7" t="s">
        <x:v>5621</x:v>
      </x:c>
      <x:c r="G118" s="7" t="s">
        <x:v>5614</x:v>
      </x:c>
      <x:c r="H118" s="8" t="s">
        <x:v>53</x:v>
      </x:c>
      <x:c r="I118" s="7" t="s">
        <x:v>58</x:v>
      </x:c>
      <x:c r="J118" s="7" t="s">
        <x:v>5598</x:v>
      </x:c>
      <x:c r="K118" s="7" t="s">
        <x:v>1204</x:v>
      </x:c>
      <x:c r="L118" s="7" t="s">
        <x:v>5620</x:v>
      </x:c>
    </x:row>
    <x:row r="119" ht="51.75" hidden="0" customHeight="1">
      <x:c r="A119" s="7" t="s">
        <x:v>5725</x:v>
      </x:c>
      <x:c r="B119" s="7" t="s">
        <x:v>342</x:v>
      </x:c>
      <x:c r="C119" s="7" t="s">
        <x:v>344</x:v>
      </x:c>
      <x:c r="D119" s="7" t="s">
        <x:v>5594</x:v>
      </x:c>
      <x:c r="E119" s="7" t="s">
        <x:v>5623</x:v>
      </x:c>
      <x:c r="F119" s="7" t="s">
        <x:v>5726</x:v>
      </x:c>
      <x:c r="G119" s="7" t="s">
        <x:v>5614</x:v>
      </x:c>
      <x:c r="H119" s="8" t="s">
        <x:v>53</x:v>
      </x:c>
      <x:c r="I119" s="7" t="s">
        <x:v>58</x:v>
      </x:c>
      <x:c r="J119" s="7" t="s">
        <x:v>5598</x:v>
      </x:c>
      <x:c r="K119" s="7" t="s">
        <x:v>1204</x:v>
      </x:c>
      <x:c r="L119" s="7" t="s">
        <x:v>5623</x:v>
      </x:c>
    </x:row>
    <x:row r="120" ht="51.75" hidden="0" customHeight="1">
      <x:c r="A120" s="7" t="s">
        <x:v>5727</x:v>
      </x:c>
      <x:c r="B120" s="7" t="s">
        <x:v>342</x:v>
      </x:c>
      <x:c r="C120" s="7" t="s">
        <x:v>344</x:v>
      </x:c>
      <x:c r="D120" s="7" t="s">
        <x:v>5626</x:v>
      </x:c>
      <x:c r="E120" s="7" t="s">
        <x:v>5626</x:v>
      </x:c>
      <x:c r="F120" s="7" t="s">
        <x:v>5627</x:v>
      </x:c>
      <x:c r="G120" s="7" t="s">
        <x:v>5614</x:v>
      </x:c>
      <x:c r="H120" s="8" t="s">
        <x:v>53</x:v>
      </x:c>
      <x:c r="I120" s="7" t="s">
        <x:v>58</x:v>
      </x:c>
      <x:c r="J120" s="7" t="s">
        <x:v>5598</x:v>
      </x:c>
      <x:c r="K120" s="7" t="s">
        <x:v>1204</x:v>
      </x:c>
      <x:c r="L120" s="7" t="s">
        <x:v>5626</x:v>
      </x:c>
    </x:row>
    <x:row r="121" ht="37.5" hidden="0" customHeight="1">
      <x:c r="A121" s="7" t="s">
        <x:v>5728</x:v>
      </x:c>
      <x:c r="B121" s="7" t="s">
        <x:v>342</x:v>
      </x:c>
      <x:c r="C121" s="7" t="s">
        <x:v>344</x:v>
      </x:c>
      <x:c r="D121" s="7" t="s">
        <x:v>1903</x:v>
      </x:c>
      <x:c r="E121" s="7" t="s">
        <x:v>5628</x:v>
      </x:c>
      <x:c r="F121" s="7" t="s">
        <x:v>3095</x:v>
      </x:c>
      <x:c r="G121" s="7" t="s">
        <x:v>5629</x:v>
      </x:c>
      <x:c r="H121" s="8" t="s">
        <x:v>53</x:v>
      </x:c>
      <x:c r="I121" s="7" t="s">
        <x:v>58</x:v>
      </x:c>
      <x:c r="J121" s="7" t="s">
        <x:v>5598</x:v>
      </x:c>
      <x:c r="K121" s="7" t="s">
        <x:v>1204</x:v>
      </x:c>
      <x:c r="L121" s="7" t="s">
        <x:v>5628</x:v>
      </x:c>
    </x:row>
    <x:row r="122" ht="51.75" hidden="0" customHeight="1">
      <x:c r="A122" s="7" t="s">
        <x:v>5729</x:v>
      </x:c>
      <x:c r="B122" s="7" t="s">
        <x:v>356</x:v>
      </x:c>
      <x:c r="C122" s="7" t="s">
        <x:v>358</x:v>
      </x:c>
      <x:c r="D122" s="7" t="s">
        <x:v>5626</x:v>
      </x:c>
      <x:c r="E122" s="7" t="s">
        <x:v>5626</x:v>
      </x:c>
      <x:c r="F122" s="7" t="s">
        <x:v>5627</x:v>
      </x:c>
      <x:c r="G122" s="7" t="s">
        <x:v>5614</x:v>
      </x:c>
      <x:c r="H122" s="8" t="s">
        <x:v>53</x:v>
      </x:c>
      <x:c r="I122" s="7" t="s">
        <x:v>58</x:v>
      </x:c>
      <x:c r="J122" s="7" t="s">
        <x:v>5598</x:v>
      </x:c>
      <x:c r="K122" s="7" t="s">
        <x:v>1205</x:v>
      </x:c>
      <x:c r="L122" s="7" t="s">
        <x:v>5626</x:v>
      </x:c>
    </x:row>
    <x:row r="123" ht="37.5" hidden="0" customHeight="1">
      <x:c r="A123" s="7" t="s">
        <x:v>367</x:v>
      </x:c>
      <x:c r="B123" s="7" t="s">
        <x:v>356</x:v>
      </x:c>
      <x:c r="C123" s="7" t="s">
        <x:v>358</x:v>
      </x:c>
      <x:c r="D123" s="7" t="s">
        <x:v>1903</x:v>
      </x:c>
      <x:c r="E123" s="7" t="s">
        <x:v>5628</x:v>
      </x:c>
      <x:c r="F123" s="7" t="s">
        <x:v>3095</x:v>
      </x:c>
      <x:c r="G123" s="7" t="s">
        <x:v>5629</x:v>
      </x:c>
      <x:c r="H123" s="8" t="s">
        <x:v>53</x:v>
      </x:c>
      <x:c r="I123" s="7" t="s">
        <x:v>58</x:v>
      </x:c>
      <x:c r="J123" s="7" t="s">
        <x:v>5598</x:v>
      </x:c>
      <x:c r="K123" s="7" t="s">
        <x:v>1205</x:v>
      </x:c>
      <x:c r="L123" s="7" t="s">
        <x:v>5628</x:v>
      </x:c>
    </x:row>
    <x:row r="124" ht="51.75" hidden="0" customHeight="1">
      <x:c r="A124" s="7" t="s">
        <x:v>5730</x:v>
      </x:c>
      <x:c r="B124" s="7" t="s">
        <x:v>390</x:v>
      </x:c>
      <x:c r="C124" s="7" t="s">
        <x:v>392</x:v>
      </x:c>
      <x:c r="D124" s="7" t="s">
        <x:v>5611</x:v>
      </x:c>
      <x:c r="E124" s="7" t="s">
        <x:v>5612</x:v>
      </x:c>
      <x:c r="F124" s="7" t="s">
        <x:v>5613</x:v>
      </x:c>
      <x:c r="G124" s="7" t="s">
        <x:v>5614</x:v>
      </x:c>
      <x:c r="H124" s="8" t="s">
        <x:v>53</x:v>
      </x:c>
      <x:c r="I124" s="7" t="s">
        <x:v>58</x:v>
      </x:c>
      <x:c r="J124" s="7" t="s">
        <x:v>5598</x:v>
      </x:c>
      <x:c r="K124" s="7" t="s">
        <x:v>1219</x:v>
      </x:c>
      <x:c r="L124" s="7" t="s">
        <x:v>5612</x:v>
      </x:c>
    </x:row>
    <x:row r="125" ht="51.75" hidden="0" customHeight="1">
      <x:c r="A125" s="7" t="s">
        <x:v>5731</x:v>
      </x:c>
      <x:c r="B125" s="7" t="s">
        <x:v>390</x:v>
      </x:c>
      <x:c r="C125" s="7" t="s">
        <x:v>392</x:v>
      </x:c>
      <x:c r="D125" s="7" t="s">
        <x:v>5594</x:v>
      </x:c>
      <x:c r="E125" s="7" t="s">
        <x:v>5616</x:v>
      </x:c>
      <x:c r="F125" s="7" t="s">
        <x:v>5722</x:v>
      </x:c>
      <x:c r="G125" s="7" t="s">
        <x:v>5614</x:v>
      </x:c>
      <x:c r="H125" s="8" t="s">
        <x:v>53</x:v>
      </x:c>
      <x:c r="I125" s="7" t="s">
        <x:v>58</x:v>
      </x:c>
      <x:c r="J125" s="7" t="s">
        <x:v>5598</x:v>
      </x:c>
      <x:c r="K125" s="7" t="s">
        <x:v>1219</x:v>
      </x:c>
      <x:c r="L125" s="7" t="s">
        <x:v>5616</x:v>
      </x:c>
    </x:row>
    <x:row r="126" ht="51.75" hidden="0" customHeight="1">
      <x:c r="A126" s="7" t="s">
        <x:v>5732</x:v>
      </x:c>
      <x:c r="B126" s="7" t="s">
        <x:v>390</x:v>
      </x:c>
      <x:c r="C126" s="7" t="s">
        <x:v>392</x:v>
      </x:c>
      <x:c r="D126" s="7" t="s">
        <x:v>5594</x:v>
      </x:c>
      <x:c r="E126" s="7" t="s">
        <x:v>5618</x:v>
      </x:c>
      <x:c r="F126" s="7" t="s">
        <x:v>5722</x:v>
      </x:c>
      <x:c r="G126" s="7" t="s">
        <x:v>5614</x:v>
      </x:c>
      <x:c r="H126" s="8" t="s">
        <x:v>53</x:v>
      </x:c>
      <x:c r="I126" s="7" t="s">
        <x:v>58</x:v>
      </x:c>
      <x:c r="J126" s="7" t="s">
        <x:v>5598</x:v>
      </x:c>
      <x:c r="K126" s="7" t="s">
        <x:v>1219</x:v>
      </x:c>
      <x:c r="L126" s="7" t="s">
        <x:v>5618</x:v>
      </x:c>
    </x:row>
    <x:row r="127" ht="51.75" hidden="0" customHeight="1">
      <x:c r="A127" s="7" t="s">
        <x:v>5733</x:v>
      </x:c>
      <x:c r="B127" s="7" t="s">
        <x:v>390</x:v>
      </x:c>
      <x:c r="C127" s="7" t="s">
        <x:v>392</x:v>
      </x:c>
      <x:c r="D127" s="7" t="s">
        <x:v>5594</x:v>
      </x:c>
      <x:c r="E127" s="7" t="s">
        <x:v>5620</x:v>
      </x:c>
      <x:c r="F127" s="7" t="s">
        <x:v>5621</x:v>
      </x:c>
      <x:c r="G127" s="7" t="s">
        <x:v>5614</x:v>
      </x:c>
      <x:c r="H127" s="8" t="s">
        <x:v>53</x:v>
      </x:c>
      <x:c r="I127" s="7" t="s">
        <x:v>58</x:v>
      </x:c>
      <x:c r="J127" s="7" t="s">
        <x:v>5598</x:v>
      </x:c>
      <x:c r="K127" s="7" t="s">
        <x:v>1219</x:v>
      </x:c>
      <x:c r="L127" s="7" t="s">
        <x:v>5620</x:v>
      </x:c>
    </x:row>
    <x:row r="128" ht="51.75" hidden="0" customHeight="1">
      <x:c r="A128" s="7" t="s">
        <x:v>5734</x:v>
      </x:c>
      <x:c r="B128" s="7" t="s">
        <x:v>390</x:v>
      </x:c>
      <x:c r="C128" s="7" t="s">
        <x:v>392</x:v>
      </x:c>
      <x:c r="D128" s="7" t="s">
        <x:v>5594</x:v>
      </x:c>
      <x:c r="E128" s="7" t="s">
        <x:v>5623</x:v>
      </x:c>
      <x:c r="F128" s="7" t="s">
        <x:v>5726</x:v>
      </x:c>
      <x:c r="G128" s="7" t="s">
        <x:v>5614</x:v>
      </x:c>
      <x:c r="H128" s="8" t="s">
        <x:v>53</x:v>
      </x:c>
      <x:c r="I128" s="7" t="s">
        <x:v>58</x:v>
      </x:c>
      <x:c r="J128" s="7" t="s">
        <x:v>5598</x:v>
      </x:c>
      <x:c r="K128" s="7" t="s">
        <x:v>1219</x:v>
      </x:c>
      <x:c r="L128" s="7" t="s">
        <x:v>5623</x:v>
      </x:c>
    </x:row>
    <x:row r="129" ht="51.75" hidden="0" customHeight="1">
      <x:c r="A129" s="7" t="s">
        <x:v>5735</x:v>
      </x:c>
      <x:c r="B129" s="7" t="s">
        <x:v>390</x:v>
      </x:c>
      <x:c r="C129" s="7" t="s">
        <x:v>392</x:v>
      </x:c>
      <x:c r="D129" s="7" t="s">
        <x:v>5626</x:v>
      </x:c>
      <x:c r="E129" s="7" t="s">
        <x:v>5626</x:v>
      </x:c>
      <x:c r="F129" s="7" t="s">
        <x:v>5627</x:v>
      </x:c>
      <x:c r="G129" s="7" t="s">
        <x:v>5614</x:v>
      </x:c>
      <x:c r="H129" s="8" t="s">
        <x:v>53</x:v>
      </x:c>
      <x:c r="I129" s="7" t="s">
        <x:v>58</x:v>
      </x:c>
      <x:c r="J129" s="7" t="s">
        <x:v>5598</x:v>
      </x:c>
      <x:c r="K129" s="7" t="s">
        <x:v>1219</x:v>
      </x:c>
      <x:c r="L129" s="7" t="s">
        <x:v>5626</x:v>
      </x:c>
    </x:row>
    <x:row r="130" ht="37.5" hidden="0" customHeight="1">
      <x:c r="A130" s="7" t="s">
        <x:v>5736</x:v>
      </x:c>
      <x:c r="B130" s="7" t="s">
        <x:v>390</x:v>
      </x:c>
      <x:c r="C130" s="7" t="s">
        <x:v>392</x:v>
      </x:c>
      <x:c r="D130" s="7" t="s">
        <x:v>1903</x:v>
      </x:c>
      <x:c r="E130" s="7" t="s">
        <x:v>5628</x:v>
      </x:c>
      <x:c r="F130" s="7" t="s">
        <x:v>3095</x:v>
      </x:c>
      <x:c r="G130" s="7" t="s">
        <x:v>5629</x:v>
      </x:c>
      <x:c r="H130" s="8" t="s">
        <x:v>53</x:v>
      </x:c>
      <x:c r="I130" s="7" t="s">
        <x:v>58</x:v>
      </x:c>
      <x:c r="J130" s="7" t="s">
        <x:v>5598</x:v>
      </x:c>
      <x:c r="K130" s="7" t="s">
        <x:v>1219</x:v>
      </x:c>
      <x:c r="L130" s="7" t="s">
        <x:v>5628</x:v>
      </x:c>
    </x:row>
    <x:row r="131" ht="51.75" hidden="0" customHeight="1">
      <x:c r="A131" s="7" t="s">
        <x:v>5737</x:v>
      </x:c>
      <x:c r="B131" s="7" t="s">
        <x:v>404</x:v>
      </x:c>
      <x:c r="C131" s="7" t="s">
        <x:v>406</x:v>
      </x:c>
      <x:c r="D131" s="7" t="s">
        <x:v>5611</x:v>
      </x:c>
      <x:c r="E131" s="7" t="s">
        <x:v>5612</x:v>
      </x:c>
      <x:c r="F131" s="7" t="s">
        <x:v>5613</x:v>
      </x:c>
      <x:c r="G131" s="7" t="s">
        <x:v>5614</x:v>
      </x:c>
      <x:c r="H131" s="8" t="s">
        <x:v>53</x:v>
      </x:c>
      <x:c r="I131" s="7" t="s">
        <x:v>58</x:v>
      </x:c>
      <x:c r="J131" s="7" t="s">
        <x:v>5598</x:v>
      </x:c>
      <x:c r="K131" s="7" t="s">
        <x:v>1221</x:v>
      </x:c>
      <x:c r="L131" s="7" t="s">
        <x:v>5612</x:v>
      </x:c>
    </x:row>
    <x:row r="132" ht="51.75" hidden="0" customHeight="1">
      <x:c r="A132" s="7" t="s">
        <x:v>5738</x:v>
      </x:c>
      <x:c r="B132" s="7" t="s">
        <x:v>404</x:v>
      </x:c>
      <x:c r="C132" s="7" t="s">
        <x:v>406</x:v>
      </x:c>
      <x:c r="D132" s="7" t="s">
        <x:v>5594</x:v>
      </x:c>
      <x:c r="E132" s="7" t="s">
        <x:v>5616</x:v>
      </x:c>
      <x:c r="F132" s="7" t="s">
        <x:v>5722</x:v>
      </x:c>
      <x:c r="G132" s="7" t="s">
        <x:v>5614</x:v>
      </x:c>
      <x:c r="H132" s="8" t="s">
        <x:v>53</x:v>
      </x:c>
      <x:c r="I132" s="7" t="s">
        <x:v>58</x:v>
      </x:c>
      <x:c r="J132" s="7" t="s">
        <x:v>5598</x:v>
      </x:c>
      <x:c r="K132" s="7" t="s">
        <x:v>1221</x:v>
      </x:c>
      <x:c r="L132" s="7" t="s">
        <x:v>5616</x:v>
      </x:c>
    </x:row>
    <x:row r="133" ht="51.75" hidden="0" customHeight="1">
      <x:c r="A133" s="7" t="s">
        <x:v>5739</x:v>
      </x:c>
      <x:c r="B133" s="7" t="s">
        <x:v>404</x:v>
      </x:c>
      <x:c r="C133" s="7" t="s">
        <x:v>406</x:v>
      </x:c>
      <x:c r="D133" s="7" t="s">
        <x:v>5594</x:v>
      </x:c>
      <x:c r="E133" s="7" t="s">
        <x:v>5618</x:v>
      </x:c>
      <x:c r="F133" s="7" t="s">
        <x:v>5722</x:v>
      </x:c>
      <x:c r="G133" s="7" t="s">
        <x:v>5614</x:v>
      </x:c>
      <x:c r="H133" s="8" t="s">
        <x:v>53</x:v>
      </x:c>
      <x:c r="I133" s="7" t="s">
        <x:v>58</x:v>
      </x:c>
      <x:c r="J133" s="7" t="s">
        <x:v>5598</x:v>
      </x:c>
      <x:c r="K133" s="7" t="s">
        <x:v>1221</x:v>
      </x:c>
      <x:c r="L133" s="7" t="s">
        <x:v>5618</x:v>
      </x:c>
    </x:row>
    <x:row r="134" ht="51.75" hidden="0" customHeight="1">
      <x:c r="A134" s="7" t="s">
        <x:v>5740</x:v>
      </x:c>
      <x:c r="B134" s="7" t="s">
        <x:v>404</x:v>
      </x:c>
      <x:c r="C134" s="7" t="s">
        <x:v>406</x:v>
      </x:c>
      <x:c r="D134" s="7" t="s">
        <x:v>5594</x:v>
      </x:c>
      <x:c r="E134" s="7" t="s">
        <x:v>5620</x:v>
      </x:c>
      <x:c r="F134" s="7" t="s">
        <x:v>5621</x:v>
      </x:c>
      <x:c r="G134" s="7" t="s">
        <x:v>5614</x:v>
      </x:c>
      <x:c r="H134" s="8" t="s">
        <x:v>53</x:v>
      </x:c>
      <x:c r="I134" s="7" t="s">
        <x:v>58</x:v>
      </x:c>
      <x:c r="J134" s="7" t="s">
        <x:v>5598</x:v>
      </x:c>
      <x:c r="K134" s="7" t="s">
        <x:v>1221</x:v>
      </x:c>
      <x:c r="L134" s="7" t="s">
        <x:v>5620</x:v>
      </x:c>
    </x:row>
    <x:row r="135" ht="51.75" hidden="0" customHeight="1">
      <x:c r="A135" s="7" t="s">
        <x:v>5741</x:v>
      </x:c>
      <x:c r="B135" s="7" t="s">
        <x:v>404</x:v>
      </x:c>
      <x:c r="C135" s="7" t="s">
        <x:v>406</x:v>
      </x:c>
      <x:c r="D135" s="7" t="s">
        <x:v>5594</x:v>
      </x:c>
      <x:c r="E135" s="7" t="s">
        <x:v>5623</x:v>
      </x:c>
      <x:c r="F135" s="7" t="s">
        <x:v>5624</x:v>
      </x:c>
      <x:c r="G135" s="7" t="s">
        <x:v>5614</x:v>
      </x:c>
      <x:c r="H135" s="8" t="s">
        <x:v>53</x:v>
      </x:c>
      <x:c r="I135" s="7" t="s">
        <x:v>58</x:v>
      </x:c>
      <x:c r="J135" s="7" t="s">
        <x:v>5598</x:v>
      </x:c>
      <x:c r="K135" s="7" t="s">
        <x:v>1221</x:v>
      </x:c>
      <x:c r="L135" s="7" t="s">
        <x:v>5623</x:v>
      </x:c>
    </x:row>
    <x:row r="136" ht="51.75" hidden="0" customHeight="1">
      <x:c r="A136" s="7" t="s">
        <x:v>5742</x:v>
      </x:c>
      <x:c r="B136" s="7" t="s">
        <x:v>404</x:v>
      </x:c>
      <x:c r="C136" s="7" t="s">
        <x:v>406</x:v>
      </x:c>
      <x:c r="D136" s="7" t="s">
        <x:v>5626</x:v>
      </x:c>
      <x:c r="E136" s="7" t="s">
        <x:v>5626</x:v>
      </x:c>
      <x:c r="F136" s="7" t="s">
        <x:v>5627</x:v>
      </x:c>
      <x:c r="G136" s="7" t="s">
        <x:v>5614</x:v>
      </x:c>
      <x:c r="H136" s="8" t="s">
        <x:v>53</x:v>
      </x:c>
      <x:c r="I136" s="7" t="s">
        <x:v>58</x:v>
      </x:c>
      <x:c r="J136" s="7" t="s">
        <x:v>5598</x:v>
      </x:c>
      <x:c r="K136" s="7" t="s">
        <x:v>1221</x:v>
      </x:c>
      <x:c r="L136" s="7" t="s">
        <x:v>5626</x:v>
      </x:c>
    </x:row>
    <x:row r="137" ht="37.5" hidden="0" customHeight="1">
      <x:c r="A137" s="7" t="s">
        <x:v>415</x:v>
      </x:c>
      <x:c r="B137" s="7" t="s">
        <x:v>404</x:v>
      </x:c>
      <x:c r="C137" s="7" t="s">
        <x:v>406</x:v>
      </x:c>
      <x:c r="D137" s="7" t="s">
        <x:v>1903</x:v>
      </x:c>
      <x:c r="E137" s="7" t="s">
        <x:v>5628</x:v>
      </x:c>
      <x:c r="F137" s="7" t="s">
        <x:v>3095</x:v>
      </x:c>
      <x:c r="G137" s="7" t="s">
        <x:v>5629</x:v>
      </x:c>
      <x:c r="H137" s="8" t="s">
        <x:v>53</x:v>
      </x:c>
      <x:c r="I137" s="7" t="s">
        <x:v>58</x:v>
      </x:c>
      <x:c r="J137" s="7" t="s">
        <x:v>5598</x:v>
      </x:c>
      <x:c r="K137" s="7" t="s">
        <x:v>1221</x:v>
      </x:c>
      <x:c r="L137" s="7" t="s">
        <x:v>5628</x:v>
      </x:c>
    </x:row>
    <x:row r="138" ht="51.75" hidden="0" customHeight="1">
      <x:c r="A138" s="7" t="s">
        <x:v>5743</x:v>
      </x:c>
      <x:c r="B138" s="7" t="s">
        <x:v>417</x:v>
      </x:c>
      <x:c r="C138" s="7" t="s">
        <x:v>419</x:v>
      </x:c>
      <x:c r="D138" s="7" t="s">
        <x:v>5611</x:v>
      </x:c>
      <x:c r="E138" s="7" t="s">
        <x:v>5612</x:v>
      </x:c>
      <x:c r="F138" s="7" t="s">
        <x:v>5613</x:v>
      </x:c>
      <x:c r="G138" s="7" t="s">
        <x:v>5614</x:v>
      </x:c>
      <x:c r="H138" s="8" t="s">
        <x:v>53</x:v>
      </x:c>
      <x:c r="I138" s="7" t="s">
        <x:v>58</x:v>
      </x:c>
      <x:c r="J138" s="7" t="s">
        <x:v>5598</x:v>
      </x:c>
      <x:c r="K138" s="7" t="s">
        <x:v>1222</x:v>
      </x:c>
      <x:c r="L138" s="7" t="s">
        <x:v>5612</x:v>
      </x:c>
    </x:row>
    <x:row r="139" ht="51.75" hidden="0" customHeight="1">
      <x:c r="A139" s="7" t="s">
        <x:v>5744</x:v>
      </x:c>
      <x:c r="B139" s="7" t="s">
        <x:v>417</x:v>
      </x:c>
      <x:c r="C139" s="7" t="s">
        <x:v>419</x:v>
      </x:c>
      <x:c r="D139" s="7" t="s">
        <x:v>5594</x:v>
      </x:c>
      <x:c r="E139" s="7" t="s">
        <x:v>5616</x:v>
      </x:c>
      <x:c r="F139" s="7" t="s">
        <x:v>5722</x:v>
      </x:c>
      <x:c r="G139" s="7" t="s">
        <x:v>5614</x:v>
      </x:c>
      <x:c r="H139" s="8" t="s">
        <x:v>53</x:v>
      </x:c>
      <x:c r="I139" s="7" t="s">
        <x:v>58</x:v>
      </x:c>
      <x:c r="J139" s="7" t="s">
        <x:v>5598</x:v>
      </x:c>
      <x:c r="K139" s="7" t="s">
        <x:v>1222</x:v>
      </x:c>
      <x:c r="L139" s="7" t="s">
        <x:v>5616</x:v>
      </x:c>
    </x:row>
    <x:row r="140" ht="51.75" hidden="0" customHeight="1">
      <x:c r="A140" s="7" t="s">
        <x:v>5745</x:v>
      </x:c>
      <x:c r="B140" s="7" t="s">
        <x:v>417</x:v>
      </x:c>
      <x:c r="C140" s="7" t="s">
        <x:v>419</x:v>
      </x:c>
      <x:c r="D140" s="7" t="s">
        <x:v>5594</x:v>
      </x:c>
      <x:c r="E140" s="7" t="s">
        <x:v>5618</x:v>
      </x:c>
      <x:c r="F140" s="7" t="s">
        <x:v>5722</x:v>
      </x:c>
      <x:c r="G140" s="7" t="s">
        <x:v>5614</x:v>
      </x:c>
      <x:c r="H140" s="8" t="s">
        <x:v>53</x:v>
      </x:c>
      <x:c r="I140" s="7" t="s">
        <x:v>58</x:v>
      </x:c>
      <x:c r="J140" s="7" t="s">
        <x:v>5598</x:v>
      </x:c>
      <x:c r="K140" s="7" t="s">
        <x:v>1222</x:v>
      </x:c>
      <x:c r="L140" s="7" t="s">
        <x:v>5618</x:v>
      </x:c>
    </x:row>
    <x:row r="141" ht="51.75" hidden="0" customHeight="1">
      <x:c r="A141" s="7" t="s">
        <x:v>5746</x:v>
      </x:c>
      <x:c r="B141" s="7" t="s">
        <x:v>417</x:v>
      </x:c>
      <x:c r="C141" s="7" t="s">
        <x:v>419</x:v>
      </x:c>
      <x:c r="D141" s="7" t="s">
        <x:v>5594</x:v>
      </x:c>
      <x:c r="E141" s="7" t="s">
        <x:v>5620</x:v>
      </x:c>
      <x:c r="F141" s="7" t="s">
        <x:v>5621</x:v>
      </x:c>
      <x:c r="G141" s="7" t="s">
        <x:v>5614</x:v>
      </x:c>
      <x:c r="H141" s="8" t="s">
        <x:v>53</x:v>
      </x:c>
      <x:c r="I141" s="7" t="s">
        <x:v>58</x:v>
      </x:c>
      <x:c r="J141" s="7" t="s">
        <x:v>5598</x:v>
      </x:c>
      <x:c r="K141" s="7" t="s">
        <x:v>1222</x:v>
      </x:c>
      <x:c r="L141" s="7" t="s">
        <x:v>5620</x:v>
      </x:c>
    </x:row>
    <x:row r="142" ht="51.75" hidden="0" customHeight="1">
      <x:c r="A142" s="7" t="s">
        <x:v>5747</x:v>
      </x:c>
      <x:c r="B142" s="7" t="s">
        <x:v>417</x:v>
      </x:c>
      <x:c r="C142" s="7" t="s">
        <x:v>419</x:v>
      </x:c>
      <x:c r="D142" s="7" t="s">
        <x:v>5594</x:v>
      </x:c>
      <x:c r="E142" s="7" t="s">
        <x:v>5623</x:v>
      </x:c>
      <x:c r="F142" s="7" t="s">
        <x:v>5624</x:v>
      </x:c>
      <x:c r="G142" s="7" t="s">
        <x:v>5614</x:v>
      </x:c>
      <x:c r="H142" s="8" t="s">
        <x:v>53</x:v>
      </x:c>
      <x:c r="I142" s="7" t="s">
        <x:v>58</x:v>
      </x:c>
      <x:c r="J142" s="7" t="s">
        <x:v>5598</x:v>
      </x:c>
      <x:c r="K142" s="7" t="s">
        <x:v>1222</x:v>
      </x:c>
      <x:c r="L142" s="7" t="s">
        <x:v>5623</x:v>
      </x:c>
    </x:row>
    <x:row r="143" ht="51.75" hidden="0" customHeight="1">
      <x:c r="A143" s="7" t="s">
        <x:v>5748</x:v>
      </x:c>
      <x:c r="B143" s="7" t="s">
        <x:v>417</x:v>
      </x:c>
      <x:c r="C143" s="7" t="s">
        <x:v>419</x:v>
      </x:c>
      <x:c r="D143" s="7" t="s">
        <x:v>5626</x:v>
      </x:c>
      <x:c r="E143" s="7" t="s">
        <x:v>5626</x:v>
      </x:c>
      <x:c r="F143" s="7" t="s">
        <x:v>5627</x:v>
      </x:c>
      <x:c r="G143" s="7" t="s">
        <x:v>5614</x:v>
      </x:c>
      <x:c r="H143" s="8" t="s">
        <x:v>53</x:v>
      </x:c>
      <x:c r="I143" s="7" t="s">
        <x:v>58</x:v>
      </x:c>
      <x:c r="J143" s="7" t="s">
        <x:v>5598</x:v>
      </x:c>
      <x:c r="K143" s="7" t="s">
        <x:v>1222</x:v>
      </x:c>
      <x:c r="L143" s="7" t="s">
        <x:v>5626</x:v>
      </x:c>
    </x:row>
    <x:row r="144" ht="37.5" hidden="0" customHeight="1">
      <x:c r="A144" s="7" t="s">
        <x:v>426</x:v>
      </x:c>
      <x:c r="B144" s="7" t="s">
        <x:v>417</x:v>
      </x:c>
      <x:c r="C144" s="7" t="s">
        <x:v>419</x:v>
      </x:c>
      <x:c r="D144" s="7" t="s">
        <x:v>1903</x:v>
      </x:c>
      <x:c r="E144" s="7" t="s">
        <x:v>5628</x:v>
      </x:c>
      <x:c r="F144" s="7" t="s">
        <x:v>3095</x:v>
      </x:c>
      <x:c r="G144" s="7" t="s">
        <x:v>5629</x:v>
      </x:c>
      <x:c r="H144" s="8" t="s">
        <x:v>53</x:v>
      </x:c>
      <x:c r="I144" s="7" t="s">
        <x:v>58</x:v>
      </x:c>
      <x:c r="J144" s="7" t="s">
        <x:v>5598</x:v>
      </x:c>
      <x:c r="K144" s="7" t="s">
        <x:v>1222</x:v>
      </x:c>
      <x:c r="L144" s="7" t="s">
        <x:v>5628</x:v>
      </x:c>
    </x:row>
    <x:row r="145" ht="51.75" hidden="0" customHeight="1">
      <x:c r="A145" s="7" t="s">
        <x:v>5749</x:v>
      </x:c>
      <x:c r="B145" s="7" t="s">
        <x:v>437</x:v>
      </x:c>
      <x:c r="C145" s="7" t="s">
        <x:v>440</x:v>
      </x:c>
      <x:c r="D145" s="7" t="s">
        <x:v>5611</x:v>
      </x:c>
      <x:c r="E145" s="7" t="s">
        <x:v>5612</x:v>
      </x:c>
      <x:c r="F145" s="7" t="s">
        <x:v>5613</x:v>
      </x:c>
      <x:c r="G145" s="7" t="s">
        <x:v>5614</x:v>
      </x:c>
      <x:c r="H145" s="8" t="s">
        <x:v>53</x:v>
      </x:c>
      <x:c r="I145" s="7" t="s">
        <x:v>58</x:v>
      </x:c>
      <x:c r="J145" s="7" t="s">
        <x:v>5598</x:v>
      </x:c>
      <x:c r="K145" s="7" t="s">
        <x:v>1228</x:v>
      </x:c>
      <x:c r="L145" s="7" t="s">
        <x:v>5612</x:v>
      </x:c>
    </x:row>
    <x:row r="146" ht="51.75" hidden="0" customHeight="1">
      <x:c r="A146" s="7" t="s">
        <x:v>5750</x:v>
      </x:c>
      <x:c r="B146" s="7" t="s">
        <x:v>437</x:v>
      </x:c>
      <x:c r="C146" s="7" t="s">
        <x:v>440</x:v>
      </x:c>
      <x:c r="D146" s="7" t="s">
        <x:v>5594</x:v>
      </x:c>
      <x:c r="E146" s="7" t="s">
        <x:v>5616</x:v>
      </x:c>
      <x:c r="F146" s="7" t="s">
        <x:v>5596</x:v>
      </x:c>
      <x:c r="G146" s="7" t="s">
        <x:v>5614</x:v>
      </x:c>
      <x:c r="H146" s="8" t="s">
        <x:v>53</x:v>
      </x:c>
      <x:c r="I146" s="7" t="s">
        <x:v>58</x:v>
      </x:c>
      <x:c r="J146" s="7" t="s">
        <x:v>5598</x:v>
      </x:c>
      <x:c r="K146" s="7" t="s">
        <x:v>1228</x:v>
      </x:c>
      <x:c r="L146" s="7" t="s">
        <x:v>5616</x:v>
      </x:c>
    </x:row>
    <x:row r="147" ht="51.75" hidden="0" customHeight="1">
      <x:c r="A147" s="7" t="s">
        <x:v>5751</x:v>
      </x:c>
      <x:c r="B147" s="7" t="s">
        <x:v>437</x:v>
      </x:c>
      <x:c r="C147" s="7" t="s">
        <x:v>440</x:v>
      </x:c>
      <x:c r="D147" s="7" t="s">
        <x:v>5594</x:v>
      </x:c>
      <x:c r="E147" s="7" t="s">
        <x:v>5618</x:v>
      </x:c>
      <x:c r="F147" s="7" t="s">
        <x:v>5596</x:v>
      </x:c>
      <x:c r="G147" s="7" t="s">
        <x:v>5614</x:v>
      </x:c>
      <x:c r="H147" s="8" t="s">
        <x:v>53</x:v>
      </x:c>
      <x:c r="I147" s="7" t="s">
        <x:v>58</x:v>
      </x:c>
      <x:c r="J147" s="7" t="s">
        <x:v>5598</x:v>
      </x:c>
      <x:c r="K147" s="7" t="s">
        <x:v>1228</x:v>
      </x:c>
      <x:c r="L147" s="7" t="s">
        <x:v>5618</x:v>
      </x:c>
    </x:row>
    <x:row r="148" ht="51.75" hidden="0" customHeight="1">
      <x:c r="A148" s="7" t="s">
        <x:v>5752</x:v>
      </x:c>
      <x:c r="B148" s="7" t="s">
        <x:v>437</x:v>
      </x:c>
      <x:c r="C148" s="7" t="s">
        <x:v>440</x:v>
      </x:c>
      <x:c r="D148" s="7" t="s">
        <x:v>5594</x:v>
      </x:c>
      <x:c r="E148" s="7" t="s">
        <x:v>5620</x:v>
      </x:c>
      <x:c r="F148" s="7" t="s">
        <x:v>5621</x:v>
      </x:c>
      <x:c r="G148" s="7" t="s">
        <x:v>5614</x:v>
      </x:c>
      <x:c r="H148" s="8" t="s">
        <x:v>53</x:v>
      </x:c>
      <x:c r="I148" s="7" t="s">
        <x:v>58</x:v>
      </x:c>
      <x:c r="J148" s="7" t="s">
        <x:v>5598</x:v>
      </x:c>
      <x:c r="K148" s="7" t="s">
        <x:v>1228</x:v>
      </x:c>
      <x:c r="L148" s="7" t="s">
        <x:v>5620</x:v>
      </x:c>
    </x:row>
    <x:row r="149" ht="51.75" hidden="0" customHeight="1">
      <x:c r="A149" s="7" t="s">
        <x:v>5753</x:v>
      </x:c>
      <x:c r="B149" s="7" t="s">
        <x:v>437</x:v>
      </x:c>
      <x:c r="C149" s="7" t="s">
        <x:v>440</x:v>
      </x:c>
      <x:c r="D149" s="7" t="s">
        <x:v>5594</x:v>
      </x:c>
      <x:c r="E149" s="7" t="s">
        <x:v>5623</x:v>
      </x:c>
      <x:c r="F149" s="7" t="s">
        <x:v>5624</x:v>
      </x:c>
      <x:c r="G149" s="7" t="s">
        <x:v>5614</x:v>
      </x:c>
      <x:c r="H149" s="8" t="s">
        <x:v>53</x:v>
      </x:c>
      <x:c r="I149" s="7" t="s">
        <x:v>58</x:v>
      </x:c>
      <x:c r="J149" s="7" t="s">
        <x:v>5598</x:v>
      </x:c>
      <x:c r="K149" s="7" t="s">
        <x:v>1228</x:v>
      </x:c>
      <x:c r="L149" s="7" t="s">
        <x:v>5623</x:v>
      </x:c>
    </x:row>
    <x:row r="150" ht="51.75" hidden="0" customHeight="1">
      <x:c r="A150" s="7" t="s">
        <x:v>5754</x:v>
      </x:c>
      <x:c r="B150" s="7" t="s">
        <x:v>437</x:v>
      </x:c>
      <x:c r="C150" s="7" t="s">
        <x:v>440</x:v>
      </x:c>
      <x:c r="D150" s="7" t="s">
        <x:v>5626</x:v>
      </x:c>
      <x:c r="E150" s="7" t="s">
        <x:v>5626</x:v>
      </x:c>
      <x:c r="F150" s="7" t="s">
        <x:v>5642</x:v>
      </x:c>
      <x:c r="G150" s="7" t="s">
        <x:v>5614</x:v>
      </x:c>
      <x:c r="H150" s="8" t="s">
        <x:v>53</x:v>
      </x:c>
      <x:c r="I150" s="7" t="s">
        <x:v>58</x:v>
      </x:c>
      <x:c r="J150" s="7" t="s">
        <x:v>5598</x:v>
      </x:c>
      <x:c r="K150" s="7" t="s">
        <x:v>1228</x:v>
      </x:c>
      <x:c r="L150" s="7" t="s">
        <x:v>5626</x:v>
      </x:c>
    </x:row>
    <x:row r="151" ht="37.5" hidden="0" customHeight="1">
      <x:c r="A151" s="7" t="s">
        <x:v>5755</x:v>
      </x:c>
      <x:c r="B151" s="7" t="s">
        <x:v>437</x:v>
      </x:c>
      <x:c r="C151" s="7" t="s">
        <x:v>440</x:v>
      </x:c>
      <x:c r="D151" s="7" t="s">
        <x:v>1903</x:v>
      </x:c>
      <x:c r="E151" s="7" t="s">
        <x:v>5628</x:v>
      </x:c>
      <x:c r="F151" s="7" t="s">
        <x:v>3363</x:v>
      </x:c>
      <x:c r="G151" s="7" t="s">
        <x:v>5629</x:v>
      </x:c>
      <x:c r="H151" s="8" t="s">
        <x:v>53</x:v>
      </x:c>
      <x:c r="I151" s="7" t="s">
        <x:v>58</x:v>
      </x:c>
      <x:c r="J151" s="7" t="s">
        <x:v>5598</x:v>
      </x:c>
      <x:c r="K151" s="7" t="s">
        <x:v>1228</x:v>
      </x:c>
      <x:c r="L151" s="7" t="s">
        <x:v>5628</x:v>
      </x:c>
    </x:row>
    <x:row r="152" ht="51.75" hidden="0" customHeight="1">
      <x:c r="A152" s="7" t="s">
        <x:v>5756</x:v>
      </x:c>
      <x:c r="B152" s="7" t="s">
        <x:v>481</x:v>
      </x:c>
      <x:c r="C152" s="7" t="s">
        <x:v>484</x:v>
      </x:c>
      <x:c r="D152" s="7" t="s">
        <x:v>5594</x:v>
      </x:c>
      <x:c r="E152" s="7" t="s">
        <x:v>5595</x:v>
      </x:c>
      <x:c r="F152" s="7" t="s">
        <x:v>5596</x:v>
      </x:c>
      <x:c r="G152" s="7" t="s">
        <x:v>5597</x:v>
      </x:c>
      <x:c r="H152" s="8" t="s">
        <x:v>53</x:v>
      </x:c>
      <x:c r="I152" s="7" t="s">
        <x:v>58</x:v>
      </x:c>
      <x:c r="J152" s="7" t="s">
        <x:v>5598</x:v>
      </x:c>
      <x:c r="K152" s="7" t="s">
        <x:v>1243</x:v>
      </x:c>
      <x:c r="L152" s="7" t="s">
        <x:v>5595</x:v>
      </x:c>
    </x:row>
    <x:row r="153" ht="51.75" hidden="0" customHeight="1">
      <x:c r="A153" s="7" t="s">
        <x:v>5757</x:v>
      </x:c>
      <x:c r="B153" s="7" t="s">
        <x:v>481</x:v>
      </x:c>
      <x:c r="C153" s="7" t="s">
        <x:v>484</x:v>
      </x:c>
      <x:c r="D153" s="7" t="s">
        <x:v>5594</x:v>
      </x:c>
      <x:c r="E153" s="7" t="s">
        <x:v>5600</x:v>
      </x:c>
      <x:c r="F153" s="7" t="s">
        <x:v>5596</x:v>
      </x:c>
      <x:c r="G153" s="7" t="s">
        <x:v>5597</x:v>
      </x:c>
      <x:c r="H153" s="8" t="s">
        <x:v>53</x:v>
      </x:c>
      <x:c r="I153" s="7" t="s">
        <x:v>58</x:v>
      </x:c>
      <x:c r="J153" s="7" t="s">
        <x:v>5598</x:v>
      </x:c>
      <x:c r="K153" s="7" t="s">
        <x:v>1243</x:v>
      </x:c>
      <x:c r="L153" s="7" t="s">
        <x:v>5600</x:v>
      </x:c>
    </x:row>
    <x:row r="154" ht="51.75" hidden="0" customHeight="1">
      <x:c r="A154" s="7" t="s">
        <x:v>5758</x:v>
      </x:c>
      <x:c r="B154" s="7" t="s">
        <x:v>481</x:v>
      </x:c>
      <x:c r="C154" s="7" t="s">
        <x:v>484</x:v>
      </x:c>
      <x:c r="D154" s="7" t="s">
        <x:v>5594</x:v>
      </x:c>
      <x:c r="E154" s="7" t="s">
        <x:v>5602</x:v>
      </x:c>
      <x:c r="F154" s="7" t="s">
        <x:v>5596</x:v>
      </x:c>
      <x:c r="G154" s="7" t="s">
        <x:v>5597</x:v>
      </x:c>
      <x:c r="H154" s="8" t="s">
        <x:v>53</x:v>
      </x:c>
      <x:c r="I154" s="7" t="s">
        <x:v>58</x:v>
      </x:c>
      <x:c r="J154" s="7" t="s">
        <x:v>5598</x:v>
      </x:c>
      <x:c r="K154" s="7" t="s">
        <x:v>1243</x:v>
      </x:c>
      <x:c r="L154" s="7" t="s">
        <x:v>5602</x:v>
      </x:c>
    </x:row>
    <x:row r="155" ht="51.75" hidden="0" customHeight="1">
      <x:c r="A155" s="7" t="s">
        <x:v>5759</x:v>
      </x:c>
      <x:c r="B155" s="7" t="s">
        <x:v>481</x:v>
      </x:c>
      <x:c r="C155" s="7" t="s">
        <x:v>484</x:v>
      </x:c>
      <x:c r="D155" s="7" t="s">
        <x:v>5594</x:v>
      </x:c>
      <x:c r="E155" s="7" t="s">
        <x:v>5604</x:v>
      </x:c>
      <x:c r="F155" s="7" t="s">
        <x:v>5596</x:v>
      </x:c>
      <x:c r="G155" s="7" t="s">
        <x:v>5597</x:v>
      </x:c>
      <x:c r="H155" s="8" t="s">
        <x:v>53</x:v>
      </x:c>
      <x:c r="I155" s="7" t="s">
        <x:v>58</x:v>
      </x:c>
      <x:c r="J155" s="7" t="s">
        <x:v>5598</x:v>
      </x:c>
      <x:c r="K155" s="7" t="s">
        <x:v>1243</x:v>
      </x:c>
      <x:c r="L155" s="7" t="s">
        <x:v>5604</x:v>
      </x:c>
    </x:row>
    <x:row r="156" ht="51.75" hidden="0" customHeight="1">
      <x:c r="A156" s="7" t="s">
        <x:v>5760</x:v>
      </x:c>
      <x:c r="B156" s="7" t="s">
        <x:v>481</x:v>
      </x:c>
      <x:c r="C156" s="7" t="s">
        <x:v>484</x:v>
      </x:c>
      <x:c r="D156" s="7" t="s">
        <x:v>5594</x:v>
      </x:c>
      <x:c r="E156" s="7" t="s">
        <x:v>5606</x:v>
      </x:c>
      <x:c r="F156" s="7" t="s">
        <x:v>5607</x:v>
      </x:c>
      <x:c r="G156" s="7" t="s">
        <x:v>5597</x:v>
      </x:c>
      <x:c r="H156" s="8" t="s">
        <x:v>53</x:v>
      </x:c>
      <x:c r="I156" s="7" t="s">
        <x:v>58</x:v>
      </x:c>
      <x:c r="J156" s="7" t="s">
        <x:v>5598</x:v>
      </x:c>
      <x:c r="K156" s="7" t="s">
        <x:v>1243</x:v>
      </x:c>
      <x:c r="L156" s="7" t="s">
        <x:v>5606</x:v>
      </x:c>
    </x:row>
    <x:row r="157" ht="51.75" hidden="0" customHeight="1">
      <x:c r="A157" s="7" t="s">
        <x:v>5761</x:v>
      </x:c>
      <x:c r="B157" s="7" t="s">
        <x:v>481</x:v>
      </x:c>
      <x:c r="C157" s="7" t="s">
        <x:v>484</x:v>
      </x:c>
      <x:c r="D157" s="7" t="s">
        <x:v>5594</x:v>
      </x:c>
      <x:c r="E157" s="7" t="s">
        <x:v>5609</x:v>
      </x:c>
      <x:c r="F157" s="7" t="s">
        <x:v>5607</x:v>
      </x:c>
      <x:c r="G157" s="7" t="s">
        <x:v>5597</x:v>
      </x:c>
      <x:c r="H157" s="8" t="s">
        <x:v>53</x:v>
      </x:c>
      <x:c r="I157" s="7" t="s">
        <x:v>58</x:v>
      </x:c>
      <x:c r="J157" s="7" t="s">
        <x:v>5598</x:v>
      </x:c>
      <x:c r="K157" s="7" t="s">
        <x:v>1243</x:v>
      </x:c>
      <x:c r="L157" s="7" t="s">
        <x:v>5609</x:v>
      </x:c>
    </x:row>
    <x:row r="158" ht="51.75" hidden="0" customHeight="1">
      <x:c r="A158" s="7" t="s">
        <x:v>5762</x:v>
      </x:c>
      <x:c r="B158" s="7" t="s">
        <x:v>495</x:v>
      </x:c>
      <x:c r="C158" s="7" t="s">
        <x:v>497</x:v>
      </x:c>
      <x:c r="D158" s="7" t="s">
        <x:v>5626</x:v>
      </x:c>
      <x:c r="E158" s="7" t="s">
        <x:v>5626</x:v>
      </x:c>
      <x:c r="F158" s="7" t="s">
        <x:v>5627</x:v>
      </x:c>
      <x:c r="G158" s="7" t="s">
        <x:v>5614</x:v>
      </x:c>
      <x:c r="H158" s="8" t="s">
        <x:v>53</x:v>
      </x:c>
      <x:c r="I158" s="7" t="s">
        <x:v>58</x:v>
      </x:c>
      <x:c r="J158" s="7" t="s">
        <x:v>5598</x:v>
      </x:c>
      <x:c r="K158" s="7" t="s">
        <x:v>1246</x:v>
      </x:c>
      <x:c r="L158" s="7" t="s">
        <x:v>5626</x:v>
      </x:c>
    </x:row>
    <x:row r="159" ht="51.75" hidden="0" customHeight="1">
      <x:c r="A159" s="7" t="s">
        <x:v>5763</x:v>
      </x:c>
      <x:c r="B159" s="7" t="s">
        <x:v>507</x:v>
      </x:c>
      <x:c r="C159" s="7" t="s">
        <x:v>509</x:v>
      </x:c>
      <x:c r="D159" s="7" t="s">
        <x:v>5611</x:v>
      </x:c>
      <x:c r="E159" s="7" t="s">
        <x:v>5612</x:v>
      </x:c>
      <x:c r="F159" s="7" t="s">
        <x:v>5613</x:v>
      </x:c>
      <x:c r="G159" s="7" t="s">
        <x:v>5614</x:v>
      </x:c>
      <x:c r="H159" s="8" t="s">
        <x:v>53</x:v>
      </x:c>
      <x:c r="I159" s="7" t="s">
        <x:v>58</x:v>
      </x:c>
      <x:c r="J159" s="7" t="s">
        <x:v>5598</x:v>
      </x:c>
      <x:c r="K159" s="7" t="s">
        <x:v>1248</x:v>
      </x:c>
      <x:c r="L159" s="7" t="s">
        <x:v>5612</x:v>
      </x:c>
    </x:row>
    <x:row r="160" ht="51.75" hidden="0" customHeight="1">
      <x:c r="A160" s="7" t="s">
        <x:v>5764</x:v>
      </x:c>
      <x:c r="B160" s="7" t="s">
        <x:v>507</x:v>
      </x:c>
      <x:c r="C160" s="7" t="s">
        <x:v>509</x:v>
      </x:c>
      <x:c r="D160" s="7" t="s">
        <x:v>5594</x:v>
      </x:c>
      <x:c r="E160" s="7" t="s">
        <x:v>5616</x:v>
      </x:c>
      <x:c r="F160" s="7" t="s">
        <x:v>5596</x:v>
      </x:c>
      <x:c r="G160" s="7" t="s">
        <x:v>5614</x:v>
      </x:c>
      <x:c r="H160" s="8" t="s">
        <x:v>53</x:v>
      </x:c>
      <x:c r="I160" s="7" t="s">
        <x:v>58</x:v>
      </x:c>
      <x:c r="J160" s="7" t="s">
        <x:v>5598</x:v>
      </x:c>
      <x:c r="K160" s="7" t="s">
        <x:v>1248</x:v>
      </x:c>
      <x:c r="L160" s="7" t="s">
        <x:v>5616</x:v>
      </x:c>
    </x:row>
    <x:row r="161" ht="51.75" hidden="0" customHeight="1">
      <x:c r="A161" s="7" t="s">
        <x:v>5765</x:v>
      </x:c>
      <x:c r="B161" s="7" t="s">
        <x:v>507</x:v>
      </x:c>
      <x:c r="C161" s="7" t="s">
        <x:v>509</x:v>
      </x:c>
      <x:c r="D161" s="7" t="s">
        <x:v>5594</x:v>
      </x:c>
      <x:c r="E161" s="7" t="s">
        <x:v>5618</x:v>
      </x:c>
      <x:c r="F161" s="7" t="s">
        <x:v>5596</x:v>
      </x:c>
      <x:c r="G161" s="7" t="s">
        <x:v>5614</x:v>
      </x:c>
      <x:c r="H161" s="8" t="s">
        <x:v>53</x:v>
      </x:c>
      <x:c r="I161" s="7" t="s">
        <x:v>58</x:v>
      </x:c>
      <x:c r="J161" s="7" t="s">
        <x:v>5598</x:v>
      </x:c>
      <x:c r="K161" s="7" t="s">
        <x:v>1248</x:v>
      </x:c>
      <x:c r="L161" s="7" t="s">
        <x:v>5618</x:v>
      </x:c>
    </x:row>
    <x:row r="162" ht="51.75" hidden="0" customHeight="1">
      <x:c r="A162" s="7" t="s">
        <x:v>5766</x:v>
      </x:c>
      <x:c r="B162" s="7" t="s">
        <x:v>507</x:v>
      </x:c>
      <x:c r="C162" s="7" t="s">
        <x:v>509</x:v>
      </x:c>
      <x:c r="D162" s="7" t="s">
        <x:v>5594</x:v>
      </x:c>
      <x:c r="E162" s="7" t="s">
        <x:v>5620</x:v>
      </x:c>
      <x:c r="F162" s="7" t="s">
        <x:v>5621</x:v>
      </x:c>
      <x:c r="G162" s="7" t="s">
        <x:v>5614</x:v>
      </x:c>
      <x:c r="H162" s="8" t="s">
        <x:v>53</x:v>
      </x:c>
      <x:c r="I162" s="7" t="s">
        <x:v>58</x:v>
      </x:c>
      <x:c r="J162" s="7" t="s">
        <x:v>5598</x:v>
      </x:c>
      <x:c r="K162" s="7" t="s">
        <x:v>1248</x:v>
      </x:c>
      <x:c r="L162" s="7" t="s">
        <x:v>5620</x:v>
      </x:c>
    </x:row>
    <x:row r="163" ht="51.75" hidden="0" customHeight="1">
      <x:c r="A163" s="7" t="s">
        <x:v>5767</x:v>
      </x:c>
      <x:c r="B163" s="7" t="s">
        <x:v>507</x:v>
      </x:c>
      <x:c r="C163" s="7" t="s">
        <x:v>509</x:v>
      </x:c>
      <x:c r="D163" s="7" t="s">
        <x:v>5594</x:v>
      </x:c>
      <x:c r="E163" s="7" t="s">
        <x:v>5623</x:v>
      </x:c>
      <x:c r="F163" s="7" t="s">
        <x:v>5624</x:v>
      </x:c>
      <x:c r="G163" s="7" t="s">
        <x:v>5614</x:v>
      </x:c>
      <x:c r="H163" s="8" t="s">
        <x:v>53</x:v>
      </x:c>
      <x:c r="I163" s="7" t="s">
        <x:v>58</x:v>
      </x:c>
      <x:c r="J163" s="7" t="s">
        <x:v>5598</x:v>
      </x:c>
      <x:c r="K163" s="7" t="s">
        <x:v>1248</x:v>
      </x:c>
      <x:c r="L163" s="7" t="s">
        <x:v>5623</x:v>
      </x:c>
    </x:row>
    <x:row r="164" ht="51.75" hidden="0" customHeight="1">
      <x:c r="A164" s="7" t="s">
        <x:v>5768</x:v>
      </x:c>
      <x:c r="B164" s="7" t="s">
        <x:v>507</x:v>
      </x:c>
      <x:c r="C164" s="7" t="s">
        <x:v>509</x:v>
      </x:c>
      <x:c r="D164" s="7" t="s">
        <x:v>5626</x:v>
      </x:c>
      <x:c r="E164" s="7" t="s">
        <x:v>5626</x:v>
      </x:c>
      <x:c r="F164" s="7" t="s">
        <x:v>5627</x:v>
      </x:c>
      <x:c r="G164" s="7" t="s">
        <x:v>5614</x:v>
      </x:c>
      <x:c r="H164" s="8" t="s">
        <x:v>53</x:v>
      </x:c>
      <x:c r="I164" s="7" t="s">
        <x:v>58</x:v>
      </x:c>
      <x:c r="J164" s="7" t="s">
        <x:v>5598</x:v>
      </x:c>
      <x:c r="K164" s="7" t="s">
        <x:v>1248</x:v>
      </x:c>
      <x:c r="L164" s="7" t="s">
        <x:v>5626</x:v>
      </x:c>
    </x:row>
    <x:row r="165" ht="37.5" hidden="0" customHeight="1">
      <x:c r="A165" s="7" t="s">
        <x:v>517</x:v>
      </x:c>
      <x:c r="B165" s="7" t="s">
        <x:v>507</x:v>
      </x:c>
      <x:c r="C165" s="7" t="s">
        <x:v>509</x:v>
      </x:c>
      <x:c r="D165" s="7" t="s">
        <x:v>1903</x:v>
      </x:c>
      <x:c r="E165" s="7" t="s">
        <x:v>5628</x:v>
      </x:c>
      <x:c r="F165" s="7" t="s">
        <x:v>3601</x:v>
      </x:c>
      <x:c r="G165" s="7" t="s">
        <x:v>5629</x:v>
      </x:c>
      <x:c r="H165" s="8" t="s">
        <x:v>53</x:v>
      </x:c>
      <x:c r="I165" s="7" t="s">
        <x:v>58</x:v>
      </x:c>
      <x:c r="J165" s="7" t="s">
        <x:v>5598</x:v>
      </x:c>
      <x:c r="K165" s="7" t="s">
        <x:v>1248</x:v>
      </x:c>
      <x:c r="L165" s="7" t="s">
        <x:v>5628</x:v>
      </x:c>
    </x:row>
    <x:row r="166" ht="51.75" hidden="0" customHeight="1">
      <x:c r="A166" s="7" t="s">
        <x:v>5769</x:v>
      </x:c>
      <x:c r="B166" s="7" t="s">
        <x:v>519</x:v>
      </x:c>
      <x:c r="C166" s="7" t="s">
        <x:v>521</x:v>
      </x:c>
      <x:c r="D166" s="7" t="s">
        <x:v>5626</x:v>
      </x:c>
      <x:c r="E166" s="7" t="s">
        <x:v>5626</x:v>
      </x:c>
      <x:c r="F166" s="7" t="s">
        <x:v>5627</x:v>
      </x:c>
      <x:c r="G166" s="7" t="s">
        <x:v>5614</x:v>
      </x:c>
      <x:c r="H166" s="8" t="s">
        <x:v>53</x:v>
      </x:c>
      <x:c r="I166" s="7" t="s">
        <x:v>58</x:v>
      </x:c>
      <x:c r="J166" s="7" t="s">
        <x:v>5598</x:v>
      </x:c>
      <x:c r="K166" s="7" t="s">
        <x:v>1249</x:v>
      </x:c>
      <x:c r="L166" s="7" t="s">
        <x:v>5626</x:v>
      </x:c>
    </x:row>
    <x:row r="167" ht="51.75" hidden="0" customHeight="1">
      <x:c r="A167" s="7" t="s">
        <x:v>5770</x:v>
      </x:c>
      <x:c r="B167" s="7" t="s">
        <x:v>527</x:v>
      </x:c>
      <x:c r="C167" s="7" t="s">
        <x:v>529</x:v>
      </x:c>
      <x:c r="D167" s="7" t="s">
        <x:v>5626</x:v>
      </x:c>
      <x:c r="E167" s="7" t="s">
        <x:v>5626</x:v>
      </x:c>
      <x:c r="F167" s="7" t="s">
        <x:v>5627</x:v>
      </x:c>
      <x:c r="G167" s="7" t="s">
        <x:v>5614</x:v>
      </x:c>
      <x:c r="H167" s="8" t="s">
        <x:v>53</x:v>
      </x:c>
      <x:c r="I167" s="7" t="s">
        <x:v>58</x:v>
      </x:c>
      <x:c r="J167" s="7" t="s">
        <x:v>5598</x:v>
      </x:c>
      <x:c r="K167" s="7" t="s">
        <x:v>1250</x:v>
      </x:c>
      <x:c r="L167" s="7" t="s">
        <x:v>5626</x:v>
      </x:c>
    </x:row>
    <x:row r="168" ht="51.75" hidden="0" customHeight="1">
      <x:c r="A168" s="7" t="s">
        <x:v>5771</x:v>
      </x:c>
      <x:c r="B168" s="7" t="s">
        <x:v>533</x:v>
      </x:c>
      <x:c r="C168" s="7" t="s">
        <x:v>1254</x:v>
      </x:c>
      <x:c r="D168" s="7" t="s">
        <x:v>5594</x:v>
      </x:c>
      <x:c r="E168" s="7" t="s">
        <x:v>5595</x:v>
      </x:c>
      <x:c r="F168" s="7" t="s">
        <x:v>5596</x:v>
      </x:c>
      <x:c r="G168" s="7" t="s">
        <x:v>5597</x:v>
      </x:c>
      <x:c r="H168" s="8" t="s">
        <x:v>53</x:v>
      </x:c>
      <x:c r="I168" s="7" t="s">
        <x:v>58</x:v>
      </x:c>
      <x:c r="J168" s="7" t="s">
        <x:v>5598</x:v>
      </x:c>
      <x:c r="K168" s="7" t="s">
        <x:v>1256</x:v>
      </x:c>
      <x:c r="L168" s="7" t="s">
        <x:v>5595</x:v>
      </x:c>
    </x:row>
    <x:row r="169" ht="51.75" hidden="0" customHeight="1">
      <x:c r="A169" s="7" t="s">
        <x:v>5772</x:v>
      </x:c>
      <x:c r="B169" s="7" t="s">
        <x:v>533</x:v>
      </x:c>
      <x:c r="C169" s="7" t="s">
        <x:v>1254</x:v>
      </x:c>
      <x:c r="D169" s="7" t="s">
        <x:v>5594</x:v>
      </x:c>
      <x:c r="E169" s="7" t="s">
        <x:v>5600</x:v>
      </x:c>
      <x:c r="F169" s="7" t="s">
        <x:v>5596</x:v>
      </x:c>
      <x:c r="G169" s="7" t="s">
        <x:v>5597</x:v>
      </x:c>
      <x:c r="H169" s="8" t="s">
        <x:v>53</x:v>
      </x:c>
      <x:c r="I169" s="7" t="s">
        <x:v>58</x:v>
      </x:c>
      <x:c r="J169" s="7" t="s">
        <x:v>5598</x:v>
      </x:c>
      <x:c r="K169" s="7" t="s">
        <x:v>1256</x:v>
      </x:c>
      <x:c r="L169" s="7" t="s">
        <x:v>5600</x:v>
      </x:c>
    </x:row>
    <x:row r="170" ht="51.75" hidden="0" customHeight="1">
      <x:c r="A170" s="7" t="s">
        <x:v>5773</x:v>
      </x:c>
      <x:c r="B170" s="7" t="s">
        <x:v>533</x:v>
      </x:c>
      <x:c r="C170" s="7" t="s">
        <x:v>1254</x:v>
      </x:c>
      <x:c r="D170" s="7" t="s">
        <x:v>5594</x:v>
      </x:c>
      <x:c r="E170" s="7" t="s">
        <x:v>5602</x:v>
      </x:c>
      <x:c r="F170" s="7" t="s">
        <x:v>5596</x:v>
      </x:c>
      <x:c r="G170" s="7" t="s">
        <x:v>5597</x:v>
      </x:c>
      <x:c r="H170" s="8" t="s">
        <x:v>53</x:v>
      </x:c>
      <x:c r="I170" s="7" t="s">
        <x:v>58</x:v>
      </x:c>
      <x:c r="J170" s="7" t="s">
        <x:v>5598</x:v>
      </x:c>
      <x:c r="K170" s="7" t="s">
        <x:v>1256</x:v>
      </x:c>
      <x:c r="L170" s="7" t="s">
        <x:v>5602</x:v>
      </x:c>
    </x:row>
    <x:row r="171" ht="51.75" hidden="0" customHeight="1">
      <x:c r="A171" s="7" t="s">
        <x:v>5774</x:v>
      </x:c>
      <x:c r="B171" s="7" t="s">
        <x:v>533</x:v>
      </x:c>
      <x:c r="C171" s="7" t="s">
        <x:v>1254</x:v>
      </x:c>
      <x:c r="D171" s="7" t="s">
        <x:v>5594</x:v>
      </x:c>
      <x:c r="E171" s="7" t="s">
        <x:v>5604</x:v>
      </x:c>
      <x:c r="F171" s="7" t="s">
        <x:v>5596</x:v>
      </x:c>
      <x:c r="G171" s="7" t="s">
        <x:v>5597</x:v>
      </x:c>
      <x:c r="H171" s="8" t="s">
        <x:v>53</x:v>
      </x:c>
      <x:c r="I171" s="7" t="s">
        <x:v>58</x:v>
      </x:c>
      <x:c r="J171" s="7" t="s">
        <x:v>5598</x:v>
      </x:c>
      <x:c r="K171" s="7" t="s">
        <x:v>1256</x:v>
      </x:c>
      <x:c r="L171" s="7" t="s">
        <x:v>5604</x:v>
      </x:c>
    </x:row>
    <x:row r="172" ht="51.75" hidden="0" customHeight="1">
      <x:c r="A172" s="7" t="s">
        <x:v>5775</x:v>
      </x:c>
      <x:c r="B172" s="7" t="s">
        <x:v>533</x:v>
      </x:c>
      <x:c r="C172" s="7" t="s">
        <x:v>1254</x:v>
      </x:c>
      <x:c r="D172" s="7" t="s">
        <x:v>5594</x:v>
      </x:c>
      <x:c r="E172" s="7" t="s">
        <x:v>5606</x:v>
      </x:c>
      <x:c r="F172" s="7" t="s">
        <x:v>5607</x:v>
      </x:c>
      <x:c r="G172" s="7" t="s">
        <x:v>5597</x:v>
      </x:c>
      <x:c r="H172" s="8" t="s">
        <x:v>53</x:v>
      </x:c>
      <x:c r="I172" s="7" t="s">
        <x:v>58</x:v>
      </x:c>
      <x:c r="J172" s="7" t="s">
        <x:v>5598</x:v>
      </x:c>
      <x:c r="K172" s="7" t="s">
        <x:v>1256</x:v>
      </x:c>
      <x:c r="L172" s="7" t="s">
        <x:v>5606</x:v>
      </x:c>
    </x:row>
    <x:row r="173" ht="51.75" hidden="0" customHeight="1">
      <x:c r="A173" s="7" t="s">
        <x:v>5776</x:v>
      </x:c>
      <x:c r="B173" s="7" t="s">
        <x:v>533</x:v>
      </x:c>
      <x:c r="C173" s="7" t="s">
        <x:v>1254</x:v>
      </x:c>
      <x:c r="D173" s="7" t="s">
        <x:v>5594</x:v>
      </x:c>
      <x:c r="E173" s="7" t="s">
        <x:v>5609</x:v>
      </x:c>
      <x:c r="F173" s="7" t="s">
        <x:v>5607</x:v>
      </x:c>
      <x:c r="G173" s="7" t="s">
        <x:v>5597</x:v>
      </x:c>
      <x:c r="H173" s="8" t="s">
        <x:v>53</x:v>
      </x:c>
      <x:c r="I173" s="7" t="s">
        <x:v>58</x:v>
      </x:c>
      <x:c r="J173" s="7" t="s">
        <x:v>5598</x:v>
      </x:c>
      <x:c r="K173" s="7" t="s">
        <x:v>1256</x:v>
      </x:c>
      <x:c r="L173" s="7" t="s">
        <x:v>5609</x:v>
      </x:c>
    </x:row>
    <x:row r="174" ht="51.75" hidden="0" customHeight="1">
      <x:c r="A174" s="7" t="s">
        <x:v>5777</x:v>
      </x:c>
      <x:c r="B174" s="7" t="s">
        <x:v>559</x:v>
      </x:c>
      <x:c r="C174" s="7" t="s">
        <x:v>562</x:v>
      </x:c>
      <x:c r="D174" s="7" t="s">
        <x:v>5594</x:v>
      </x:c>
      <x:c r="E174" s="7" t="s">
        <x:v>5595</x:v>
      </x:c>
      <x:c r="F174" s="7" t="s">
        <x:v>5596</x:v>
      </x:c>
      <x:c r="G174" s="7" t="s">
        <x:v>5597</x:v>
      </x:c>
      <x:c r="H174" s="8" t="s">
        <x:v>53</x:v>
      </x:c>
      <x:c r="I174" s="7" t="s">
        <x:v>58</x:v>
      </x:c>
      <x:c r="J174" s="7" t="s">
        <x:v>5598</x:v>
      </x:c>
      <x:c r="K174" s="7" t="s">
        <x:v>1264</x:v>
      </x:c>
      <x:c r="L174" s="7" t="s">
        <x:v>5595</x:v>
      </x:c>
    </x:row>
    <x:row r="175" ht="51.75" hidden="0" customHeight="1">
      <x:c r="A175" s="7" t="s">
        <x:v>5778</x:v>
      </x:c>
      <x:c r="B175" s="7" t="s">
        <x:v>559</x:v>
      </x:c>
      <x:c r="C175" s="7" t="s">
        <x:v>562</x:v>
      </x:c>
      <x:c r="D175" s="7" t="s">
        <x:v>5594</x:v>
      </x:c>
      <x:c r="E175" s="7" t="s">
        <x:v>5600</x:v>
      </x:c>
      <x:c r="F175" s="7" t="s">
        <x:v>5596</x:v>
      </x:c>
      <x:c r="G175" s="7" t="s">
        <x:v>5597</x:v>
      </x:c>
      <x:c r="H175" s="8" t="s">
        <x:v>53</x:v>
      </x:c>
      <x:c r="I175" s="7" t="s">
        <x:v>58</x:v>
      </x:c>
      <x:c r="J175" s="7" t="s">
        <x:v>5598</x:v>
      </x:c>
      <x:c r="K175" s="7" t="s">
        <x:v>1264</x:v>
      </x:c>
      <x:c r="L175" s="7" t="s">
        <x:v>5600</x:v>
      </x:c>
    </x:row>
    <x:row r="176" ht="51.75" hidden="0" customHeight="1">
      <x:c r="A176" s="7" t="s">
        <x:v>5779</x:v>
      </x:c>
      <x:c r="B176" s="7" t="s">
        <x:v>559</x:v>
      </x:c>
      <x:c r="C176" s="7" t="s">
        <x:v>562</x:v>
      </x:c>
      <x:c r="D176" s="7" t="s">
        <x:v>5594</x:v>
      </x:c>
      <x:c r="E176" s="7" t="s">
        <x:v>5602</x:v>
      </x:c>
      <x:c r="F176" s="7" t="s">
        <x:v>5780</x:v>
      </x:c>
      <x:c r="G176" s="7" t="s">
        <x:v>5597</x:v>
      </x:c>
      <x:c r="H176" s="8" t="s">
        <x:v>53</x:v>
      </x:c>
      <x:c r="I176" s="7" t="s">
        <x:v>58</x:v>
      </x:c>
      <x:c r="J176" s="7" t="s">
        <x:v>5598</x:v>
      </x:c>
      <x:c r="K176" s="7" t="s">
        <x:v>1264</x:v>
      </x:c>
      <x:c r="L176" s="7" t="s">
        <x:v>5602</x:v>
      </x:c>
    </x:row>
    <x:row r="177" ht="51.75" hidden="0" customHeight="1">
      <x:c r="A177" s="7" t="s">
        <x:v>5781</x:v>
      </x:c>
      <x:c r="B177" s="7" t="s">
        <x:v>559</x:v>
      </x:c>
      <x:c r="C177" s="7" t="s">
        <x:v>562</x:v>
      </x:c>
      <x:c r="D177" s="7" t="s">
        <x:v>5594</x:v>
      </x:c>
      <x:c r="E177" s="7" t="s">
        <x:v>5604</x:v>
      </x:c>
      <x:c r="F177" s="7" t="s">
        <x:v>5596</x:v>
      </x:c>
      <x:c r="G177" s="7" t="s">
        <x:v>5597</x:v>
      </x:c>
      <x:c r="H177" s="8" t="s">
        <x:v>53</x:v>
      </x:c>
      <x:c r="I177" s="7" t="s">
        <x:v>58</x:v>
      </x:c>
      <x:c r="J177" s="7" t="s">
        <x:v>5598</x:v>
      </x:c>
      <x:c r="K177" s="7" t="s">
        <x:v>1264</x:v>
      </x:c>
      <x:c r="L177" s="7" t="s">
        <x:v>5604</x:v>
      </x:c>
    </x:row>
    <x:row r="178" ht="51.75" hidden="0" customHeight="1">
      <x:c r="A178" s="7" t="s">
        <x:v>5782</x:v>
      </x:c>
      <x:c r="B178" s="7" t="s">
        <x:v>559</x:v>
      </x:c>
      <x:c r="C178" s="7" t="s">
        <x:v>562</x:v>
      </x:c>
      <x:c r="D178" s="7" t="s">
        <x:v>5594</x:v>
      </x:c>
      <x:c r="E178" s="7" t="s">
        <x:v>5606</x:v>
      </x:c>
      <x:c r="F178" s="7" t="s">
        <x:v>5596</x:v>
      </x:c>
      <x:c r="G178" s="7" t="s">
        <x:v>5597</x:v>
      </x:c>
      <x:c r="H178" s="8" t="s">
        <x:v>53</x:v>
      </x:c>
      <x:c r="I178" s="7" t="s">
        <x:v>58</x:v>
      </x:c>
      <x:c r="J178" s="7" t="s">
        <x:v>5598</x:v>
      </x:c>
      <x:c r="K178" s="7" t="s">
        <x:v>1264</x:v>
      </x:c>
      <x:c r="L178" s="7" t="s">
        <x:v>5606</x:v>
      </x:c>
    </x:row>
    <x:row r="179" ht="51.75" hidden="0" customHeight="1">
      <x:c r="A179" s="7" t="s">
        <x:v>5783</x:v>
      </x:c>
      <x:c r="B179" s="7" t="s">
        <x:v>559</x:v>
      </x:c>
      <x:c r="C179" s="7" t="s">
        <x:v>562</x:v>
      </x:c>
      <x:c r="D179" s="7" t="s">
        <x:v>5594</x:v>
      </x:c>
      <x:c r="E179" s="7" t="s">
        <x:v>5609</x:v>
      </x:c>
      <x:c r="F179" s="7" t="s">
        <x:v>5722</x:v>
      </x:c>
      <x:c r="G179" s="7" t="s">
        <x:v>5597</x:v>
      </x:c>
      <x:c r="H179" s="8" t="s">
        <x:v>53</x:v>
      </x:c>
      <x:c r="I179" s="7" t="s">
        <x:v>58</x:v>
      </x:c>
      <x:c r="J179" s="7" t="s">
        <x:v>5598</x:v>
      </x:c>
      <x:c r="K179" s="7" t="s">
        <x:v>1264</x:v>
      </x:c>
      <x:c r="L179" s="7" t="s">
        <x:v>5609</x:v>
      </x:c>
    </x:row>
    <x:row r="180" ht="37.5" hidden="0" customHeight="1">
      <x:c r="A180" s="7" t="s">
        <x:v>5784</x:v>
      </x:c>
      <x:c r="B180" s="7" t="s">
        <x:v>559</x:v>
      </x:c>
      <x:c r="C180" s="7" t="s">
        <x:v>562</x:v>
      </x:c>
      <x:c r="D180" s="7" t="s">
        <x:v>1903</x:v>
      </x:c>
      <x:c r="E180" s="7" t="s">
        <x:v>5628</x:v>
      </x:c>
      <x:c r="F180" s="7" t="s">
        <x:v>3741</x:v>
      </x:c>
      <x:c r="G180" s="7" t="s">
        <x:v>5629</x:v>
      </x:c>
      <x:c r="H180" s="8" t="s">
        <x:v>53</x:v>
      </x:c>
      <x:c r="I180" s="7" t="s">
        <x:v>58</x:v>
      </x:c>
      <x:c r="J180" s="7" t="s">
        <x:v>5598</x:v>
      </x:c>
      <x:c r="K180" s="7" t="s">
        <x:v>1264</x:v>
      </x:c>
      <x:c r="L180" s="7" t="s">
        <x:v>5628</x:v>
      </x:c>
    </x:row>
    <x:row r="181" ht="51.75" hidden="0" customHeight="1">
      <x:c r="A181" s="7" t="s">
        <x:v>5785</x:v>
      </x:c>
      <x:c r="B181" s="7" t="s">
        <x:v>576</x:v>
      </x:c>
      <x:c r="C181" s="7" t="s">
        <x:v>578</x:v>
      </x:c>
      <x:c r="D181" s="7" t="s">
        <x:v>5611</x:v>
      </x:c>
      <x:c r="E181" s="7" t="s">
        <x:v>5612</x:v>
      </x:c>
      <x:c r="F181" s="7" t="s">
        <x:v>5613</x:v>
      </x:c>
      <x:c r="G181" s="7" t="s">
        <x:v>5614</x:v>
      </x:c>
      <x:c r="H181" s="8" t="s">
        <x:v>53</x:v>
      </x:c>
      <x:c r="I181" s="7" t="s">
        <x:v>58</x:v>
      </x:c>
      <x:c r="J181" s="7" t="s">
        <x:v>5598</x:v>
      </x:c>
      <x:c r="K181" s="7" t="s">
        <x:v>1272</x:v>
      </x:c>
      <x:c r="L181" s="7" t="s">
        <x:v>5612</x:v>
      </x:c>
    </x:row>
    <x:row r="182" ht="51.75" hidden="0" customHeight="1">
      <x:c r="A182" s="7" t="s">
        <x:v>5786</x:v>
      </x:c>
      <x:c r="B182" s="7" t="s">
        <x:v>576</x:v>
      </x:c>
      <x:c r="C182" s="7" t="s">
        <x:v>578</x:v>
      </x:c>
      <x:c r="D182" s="7" t="s">
        <x:v>5594</x:v>
      </x:c>
      <x:c r="E182" s="7" t="s">
        <x:v>5616</x:v>
      </x:c>
      <x:c r="F182" s="7" t="s">
        <x:v>5596</x:v>
      </x:c>
      <x:c r="G182" s="7" t="s">
        <x:v>5614</x:v>
      </x:c>
      <x:c r="H182" s="8" t="s">
        <x:v>53</x:v>
      </x:c>
      <x:c r="I182" s="7" t="s">
        <x:v>58</x:v>
      </x:c>
      <x:c r="J182" s="7" t="s">
        <x:v>5598</x:v>
      </x:c>
      <x:c r="K182" s="7" t="s">
        <x:v>1272</x:v>
      </x:c>
      <x:c r="L182" s="7" t="s">
        <x:v>5616</x:v>
      </x:c>
    </x:row>
    <x:row r="183" ht="51.75" hidden="0" customHeight="1">
      <x:c r="A183" s="7" t="s">
        <x:v>5787</x:v>
      </x:c>
      <x:c r="B183" s="7" t="s">
        <x:v>576</x:v>
      </x:c>
      <x:c r="C183" s="7" t="s">
        <x:v>578</x:v>
      </x:c>
      <x:c r="D183" s="7" t="s">
        <x:v>5594</x:v>
      </x:c>
      <x:c r="E183" s="7" t="s">
        <x:v>5618</x:v>
      </x:c>
      <x:c r="F183" s="7" t="s">
        <x:v>5596</x:v>
      </x:c>
      <x:c r="G183" s="7" t="s">
        <x:v>5614</x:v>
      </x:c>
      <x:c r="H183" s="8" t="s">
        <x:v>53</x:v>
      </x:c>
      <x:c r="I183" s="7" t="s">
        <x:v>58</x:v>
      </x:c>
      <x:c r="J183" s="7" t="s">
        <x:v>5598</x:v>
      </x:c>
      <x:c r="K183" s="7" t="s">
        <x:v>1272</x:v>
      </x:c>
      <x:c r="L183" s="7" t="s">
        <x:v>5618</x:v>
      </x:c>
    </x:row>
    <x:row r="184" ht="51.75" hidden="0" customHeight="1">
      <x:c r="A184" s="7" t="s">
        <x:v>5788</x:v>
      </x:c>
      <x:c r="B184" s="7" t="s">
        <x:v>576</x:v>
      </x:c>
      <x:c r="C184" s="7" t="s">
        <x:v>578</x:v>
      </x:c>
      <x:c r="D184" s="7" t="s">
        <x:v>5594</x:v>
      </x:c>
      <x:c r="E184" s="7" t="s">
        <x:v>5620</x:v>
      </x:c>
      <x:c r="F184" s="7" t="s">
        <x:v>5621</x:v>
      </x:c>
      <x:c r="G184" s="7" t="s">
        <x:v>5614</x:v>
      </x:c>
      <x:c r="H184" s="8" t="s">
        <x:v>53</x:v>
      </x:c>
      <x:c r="I184" s="7" t="s">
        <x:v>58</x:v>
      </x:c>
      <x:c r="J184" s="7" t="s">
        <x:v>5598</x:v>
      </x:c>
      <x:c r="K184" s="7" t="s">
        <x:v>1272</x:v>
      </x:c>
      <x:c r="L184" s="7" t="s">
        <x:v>5620</x:v>
      </x:c>
    </x:row>
    <x:row r="185" ht="51.75" hidden="0" customHeight="1">
      <x:c r="A185" s="7" t="s">
        <x:v>5789</x:v>
      </x:c>
      <x:c r="B185" s="7" t="s">
        <x:v>576</x:v>
      </x:c>
      <x:c r="C185" s="7" t="s">
        <x:v>578</x:v>
      </x:c>
      <x:c r="D185" s="7" t="s">
        <x:v>5594</x:v>
      </x:c>
      <x:c r="E185" s="7" t="s">
        <x:v>5623</x:v>
      </x:c>
      <x:c r="F185" s="7" t="s">
        <x:v>5624</x:v>
      </x:c>
      <x:c r="G185" s="7" t="s">
        <x:v>5614</x:v>
      </x:c>
      <x:c r="H185" s="8" t="s">
        <x:v>53</x:v>
      </x:c>
      <x:c r="I185" s="7" t="s">
        <x:v>58</x:v>
      </x:c>
      <x:c r="J185" s="7" t="s">
        <x:v>5598</x:v>
      </x:c>
      <x:c r="K185" s="7" t="s">
        <x:v>1272</x:v>
      </x:c>
      <x:c r="L185" s="7" t="s">
        <x:v>5623</x:v>
      </x:c>
    </x:row>
    <x:row r="186" ht="51.75" hidden="0" customHeight="1">
      <x:c r="A186" s="7" t="s">
        <x:v>5790</x:v>
      </x:c>
      <x:c r="B186" s="7" t="s">
        <x:v>576</x:v>
      </x:c>
      <x:c r="C186" s="7" t="s">
        <x:v>578</x:v>
      </x:c>
      <x:c r="D186" s="7" t="s">
        <x:v>5626</x:v>
      </x:c>
      <x:c r="E186" s="7" t="s">
        <x:v>5626</x:v>
      </x:c>
      <x:c r="F186" s="7" t="s">
        <x:v>5627</x:v>
      </x:c>
      <x:c r="G186" s="7" t="s">
        <x:v>5614</x:v>
      </x:c>
      <x:c r="H186" s="8" t="s">
        <x:v>53</x:v>
      </x:c>
      <x:c r="I186" s="7" t="s">
        <x:v>58</x:v>
      </x:c>
      <x:c r="J186" s="7" t="s">
        <x:v>5598</x:v>
      </x:c>
      <x:c r="K186" s="7" t="s">
        <x:v>1272</x:v>
      </x:c>
      <x:c r="L186" s="7" t="s">
        <x:v>5626</x:v>
      </x:c>
    </x:row>
    <x:row r="187" ht="37.5" hidden="0" customHeight="1">
      <x:c r="A187" s="7" t="s">
        <x:v>587</x:v>
      </x:c>
      <x:c r="B187" s="7" t="s">
        <x:v>576</x:v>
      </x:c>
      <x:c r="C187" s="7" t="s">
        <x:v>578</x:v>
      </x:c>
      <x:c r="D187" s="7" t="s">
        <x:v>1903</x:v>
      </x:c>
      <x:c r="E187" s="7" t="s">
        <x:v>5628</x:v>
      </x:c>
      <x:c r="F187" s="7" t="s">
        <x:v>3095</x:v>
      </x:c>
      <x:c r="G187" s="7" t="s">
        <x:v>5629</x:v>
      </x:c>
      <x:c r="H187" s="8" t="s">
        <x:v>53</x:v>
      </x:c>
      <x:c r="I187" s="7" t="s">
        <x:v>58</x:v>
      </x:c>
      <x:c r="J187" s="7" t="s">
        <x:v>5598</x:v>
      </x:c>
      <x:c r="K187" s="7" t="s">
        <x:v>1272</x:v>
      </x:c>
      <x:c r="L187" s="7" t="s">
        <x:v>5628</x:v>
      </x:c>
    </x:row>
    <x:row r="188" ht="51.75" hidden="0" customHeight="1">
      <x:c r="A188" s="7" t="s">
        <x:v>5791</x:v>
      </x:c>
      <x:c r="B188" s="7" t="s">
        <x:v>598</x:v>
      </x:c>
      <x:c r="C188" s="7" t="s">
        <x:v>600</x:v>
      </x:c>
      <x:c r="D188" s="7" t="s">
        <x:v>5611</x:v>
      </x:c>
      <x:c r="E188" s="7" t="s">
        <x:v>5612</x:v>
      </x:c>
      <x:c r="F188" s="7" t="s">
        <x:v>5613</x:v>
      </x:c>
      <x:c r="G188" s="7" t="s">
        <x:v>5614</x:v>
      </x:c>
      <x:c r="H188" s="8" t="s">
        <x:v>53</x:v>
      </x:c>
      <x:c r="I188" s="7" t="s">
        <x:v>58</x:v>
      </x:c>
      <x:c r="J188" s="7" t="s">
        <x:v>5598</x:v>
      </x:c>
      <x:c r="K188" s="7" t="s">
        <x:v>1274</x:v>
      </x:c>
      <x:c r="L188" s="7" t="s">
        <x:v>5612</x:v>
      </x:c>
    </x:row>
    <x:row r="189" ht="51.75" hidden="0" customHeight="1">
      <x:c r="A189" s="7" t="s">
        <x:v>5792</x:v>
      </x:c>
      <x:c r="B189" s="7" t="s">
        <x:v>598</x:v>
      </x:c>
      <x:c r="C189" s="7" t="s">
        <x:v>600</x:v>
      </x:c>
      <x:c r="D189" s="7" t="s">
        <x:v>5594</x:v>
      </x:c>
      <x:c r="E189" s="7" t="s">
        <x:v>5616</x:v>
      </x:c>
      <x:c r="F189" s="7" t="s">
        <x:v>5596</x:v>
      </x:c>
      <x:c r="G189" s="7" t="s">
        <x:v>5614</x:v>
      </x:c>
      <x:c r="H189" s="8" t="s">
        <x:v>53</x:v>
      </x:c>
      <x:c r="I189" s="7" t="s">
        <x:v>58</x:v>
      </x:c>
      <x:c r="J189" s="7" t="s">
        <x:v>5598</x:v>
      </x:c>
      <x:c r="K189" s="7" t="s">
        <x:v>1274</x:v>
      </x:c>
      <x:c r="L189" s="7" t="s">
        <x:v>5616</x:v>
      </x:c>
    </x:row>
    <x:row r="190" ht="51.75" hidden="0" customHeight="1">
      <x:c r="A190" s="7" t="s">
        <x:v>5793</x:v>
      </x:c>
      <x:c r="B190" s="7" t="s">
        <x:v>598</x:v>
      </x:c>
      <x:c r="C190" s="7" t="s">
        <x:v>600</x:v>
      </x:c>
      <x:c r="D190" s="7" t="s">
        <x:v>5594</x:v>
      </x:c>
      <x:c r="E190" s="7" t="s">
        <x:v>5618</x:v>
      </x:c>
      <x:c r="F190" s="7" t="s">
        <x:v>5596</x:v>
      </x:c>
      <x:c r="G190" s="7" t="s">
        <x:v>5614</x:v>
      </x:c>
      <x:c r="H190" s="8" t="s">
        <x:v>53</x:v>
      </x:c>
      <x:c r="I190" s="7" t="s">
        <x:v>58</x:v>
      </x:c>
      <x:c r="J190" s="7" t="s">
        <x:v>5598</x:v>
      </x:c>
      <x:c r="K190" s="7" t="s">
        <x:v>1274</x:v>
      </x:c>
      <x:c r="L190" s="7" t="s">
        <x:v>5618</x:v>
      </x:c>
    </x:row>
    <x:row r="191" ht="51.75" hidden="0" customHeight="1">
      <x:c r="A191" s="7" t="s">
        <x:v>5794</x:v>
      </x:c>
      <x:c r="B191" s="7" t="s">
        <x:v>598</x:v>
      </x:c>
      <x:c r="C191" s="7" t="s">
        <x:v>600</x:v>
      </x:c>
      <x:c r="D191" s="7" t="s">
        <x:v>5594</x:v>
      </x:c>
      <x:c r="E191" s="7" t="s">
        <x:v>5620</x:v>
      </x:c>
      <x:c r="F191" s="7" t="s">
        <x:v>5621</x:v>
      </x:c>
      <x:c r="G191" s="7" t="s">
        <x:v>5614</x:v>
      </x:c>
      <x:c r="H191" s="8" t="s">
        <x:v>53</x:v>
      </x:c>
      <x:c r="I191" s="7" t="s">
        <x:v>58</x:v>
      </x:c>
      <x:c r="J191" s="7" t="s">
        <x:v>5598</x:v>
      </x:c>
      <x:c r="K191" s="7" t="s">
        <x:v>1274</x:v>
      </x:c>
      <x:c r="L191" s="7" t="s">
        <x:v>5620</x:v>
      </x:c>
    </x:row>
    <x:row r="192" ht="51.75" hidden="0" customHeight="1">
      <x:c r="A192" s="7" t="s">
        <x:v>5795</x:v>
      </x:c>
      <x:c r="B192" s="7" t="s">
        <x:v>598</x:v>
      </x:c>
      <x:c r="C192" s="7" t="s">
        <x:v>600</x:v>
      </x:c>
      <x:c r="D192" s="7" t="s">
        <x:v>5594</x:v>
      </x:c>
      <x:c r="E192" s="7" t="s">
        <x:v>5623</x:v>
      </x:c>
      <x:c r="F192" s="7" t="s">
        <x:v>5624</x:v>
      </x:c>
      <x:c r="G192" s="7" t="s">
        <x:v>5614</x:v>
      </x:c>
      <x:c r="H192" s="8" t="s">
        <x:v>53</x:v>
      </x:c>
      <x:c r="I192" s="7" t="s">
        <x:v>58</x:v>
      </x:c>
      <x:c r="J192" s="7" t="s">
        <x:v>5598</x:v>
      </x:c>
      <x:c r="K192" s="7" t="s">
        <x:v>1274</x:v>
      </x:c>
      <x:c r="L192" s="7" t="s">
        <x:v>5623</x:v>
      </x:c>
    </x:row>
    <x:row r="193" ht="51.75" hidden="0" customHeight="1">
      <x:c r="A193" s="7" t="s">
        <x:v>5796</x:v>
      </x:c>
      <x:c r="B193" s="7" t="s">
        <x:v>598</x:v>
      </x:c>
      <x:c r="C193" s="7" t="s">
        <x:v>600</x:v>
      </x:c>
      <x:c r="D193" s="7" t="s">
        <x:v>5626</x:v>
      </x:c>
      <x:c r="E193" s="7" t="s">
        <x:v>5626</x:v>
      </x:c>
      <x:c r="F193" s="7" t="s">
        <x:v>5627</x:v>
      </x:c>
      <x:c r="G193" s="7" t="s">
        <x:v>5614</x:v>
      </x:c>
      <x:c r="H193" s="8" t="s">
        <x:v>53</x:v>
      </x:c>
      <x:c r="I193" s="7" t="s">
        <x:v>58</x:v>
      </x:c>
      <x:c r="J193" s="7" t="s">
        <x:v>5598</x:v>
      </x:c>
      <x:c r="K193" s="7" t="s">
        <x:v>1274</x:v>
      </x:c>
      <x:c r="L193" s="7" t="s">
        <x:v>5626</x:v>
      </x:c>
    </x:row>
    <x:row r="194" ht="37.5" hidden="0" customHeight="1">
      <x:c r="A194" s="7" t="s">
        <x:v>606</x:v>
      </x:c>
      <x:c r="B194" s="7" t="s">
        <x:v>598</x:v>
      </x:c>
      <x:c r="C194" s="7" t="s">
        <x:v>600</x:v>
      </x:c>
      <x:c r="D194" s="7" t="s">
        <x:v>1903</x:v>
      </x:c>
      <x:c r="E194" s="7" t="s">
        <x:v>5628</x:v>
      </x:c>
      <x:c r="F194" s="7" t="s">
        <x:v>3095</x:v>
      </x:c>
      <x:c r="G194" s="7" t="s">
        <x:v>5629</x:v>
      </x:c>
      <x:c r="H194" s="8" t="s">
        <x:v>53</x:v>
      </x:c>
      <x:c r="I194" s="7" t="s">
        <x:v>58</x:v>
      </x:c>
      <x:c r="J194" s="7" t="s">
        <x:v>5598</x:v>
      </x:c>
      <x:c r="K194" s="7" t="s">
        <x:v>1274</x:v>
      </x:c>
      <x:c r="L194" s="7" t="s">
        <x:v>5628</x:v>
      </x:c>
    </x:row>
    <x:row r="195" ht="51.75" hidden="0" customHeight="1">
      <x:c r="A195" s="7" t="s">
        <x:v>5797</x:v>
      </x:c>
      <x:c r="B195" s="7" t="s">
        <x:v>608</x:v>
      </x:c>
      <x:c r="C195" s="7" t="s">
        <x:v>610</x:v>
      </x:c>
      <x:c r="D195" s="7" t="s">
        <x:v>5626</x:v>
      </x:c>
      <x:c r="E195" s="7" t="s">
        <x:v>5626</x:v>
      </x:c>
      <x:c r="F195" s="7" t="s">
        <x:v>5627</x:v>
      </x:c>
      <x:c r="G195" s="7" t="s">
        <x:v>5614</x:v>
      </x:c>
      <x:c r="H195" s="8" t="s">
        <x:v>53</x:v>
      </x:c>
      <x:c r="I195" s="7" t="s">
        <x:v>58</x:v>
      </x:c>
      <x:c r="J195" s="7" t="s">
        <x:v>5598</x:v>
      </x:c>
      <x:c r="K195" s="7" t="s">
        <x:v>1276</x:v>
      </x:c>
      <x:c r="L195" s="7" t="s">
        <x:v>5626</x:v>
      </x:c>
    </x:row>
    <x:row r="196" ht="51.75" hidden="0" customHeight="1">
      <x:c r="A196" s="7" t="s">
        <x:v>5798</x:v>
      </x:c>
      <x:c r="B196" s="7" t="s">
        <x:v>627</x:v>
      </x:c>
      <x:c r="C196" s="7" t="s">
        <x:v>1284</x:v>
      </x:c>
      <x:c r="D196" s="7" t="s">
        <x:v>5594</x:v>
      </x:c>
      <x:c r="E196" s="7" t="s">
        <x:v>5595</x:v>
      </x:c>
      <x:c r="F196" s="7" t="s">
        <x:v>5596</x:v>
      </x:c>
      <x:c r="G196" s="7" t="s">
        <x:v>5597</x:v>
      </x:c>
      <x:c r="H196" s="8" t="s">
        <x:v>53</x:v>
      </x:c>
      <x:c r="I196" s="7" t="s">
        <x:v>58</x:v>
      </x:c>
      <x:c r="J196" s="7" t="s">
        <x:v>5598</x:v>
      </x:c>
      <x:c r="K196" s="7" t="s">
        <x:v>1286</x:v>
      </x:c>
      <x:c r="L196" s="7" t="s">
        <x:v>5595</x:v>
      </x:c>
    </x:row>
    <x:row r="197" ht="51.75" hidden="0" customHeight="1">
      <x:c r="A197" s="7" t="s">
        <x:v>5799</x:v>
      </x:c>
      <x:c r="B197" s="7" t="s">
        <x:v>627</x:v>
      </x:c>
      <x:c r="C197" s="7" t="s">
        <x:v>1284</x:v>
      </x:c>
      <x:c r="D197" s="7" t="s">
        <x:v>5594</x:v>
      </x:c>
      <x:c r="E197" s="7" t="s">
        <x:v>5600</x:v>
      </x:c>
      <x:c r="F197" s="7" t="s">
        <x:v>5596</x:v>
      </x:c>
      <x:c r="G197" s="7" t="s">
        <x:v>5597</x:v>
      </x:c>
      <x:c r="H197" s="8" t="s">
        <x:v>53</x:v>
      </x:c>
      <x:c r="I197" s="7" t="s">
        <x:v>58</x:v>
      </x:c>
      <x:c r="J197" s="7" t="s">
        <x:v>5598</x:v>
      </x:c>
      <x:c r="K197" s="7" t="s">
        <x:v>1286</x:v>
      </x:c>
      <x:c r="L197" s="7" t="s">
        <x:v>5600</x:v>
      </x:c>
    </x:row>
    <x:row r="198" ht="51.75" hidden="0" customHeight="1">
      <x:c r="A198" s="7" t="s">
        <x:v>5800</x:v>
      </x:c>
      <x:c r="B198" s="7" t="s">
        <x:v>627</x:v>
      </x:c>
      <x:c r="C198" s="7" t="s">
        <x:v>1284</x:v>
      </x:c>
      <x:c r="D198" s="7" t="s">
        <x:v>5594</x:v>
      </x:c>
      <x:c r="E198" s="7" t="s">
        <x:v>5602</x:v>
      </x:c>
      <x:c r="F198" s="7" t="s">
        <x:v>5780</x:v>
      </x:c>
      <x:c r="G198" s="7" t="s">
        <x:v>5597</x:v>
      </x:c>
      <x:c r="H198" s="8" t="s">
        <x:v>53</x:v>
      </x:c>
      <x:c r="I198" s="7" t="s">
        <x:v>58</x:v>
      </x:c>
      <x:c r="J198" s="7" t="s">
        <x:v>5598</x:v>
      </x:c>
      <x:c r="K198" s="7" t="s">
        <x:v>1286</x:v>
      </x:c>
      <x:c r="L198" s="7" t="s">
        <x:v>5602</x:v>
      </x:c>
    </x:row>
    <x:row r="199" ht="51.75" hidden="0" customHeight="1">
      <x:c r="A199" s="7" t="s">
        <x:v>5801</x:v>
      </x:c>
      <x:c r="B199" s="7" t="s">
        <x:v>627</x:v>
      </x:c>
      <x:c r="C199" s="7" t="s">
        <x:v>1284</x:v>
      </x:c>
      <x:c r="D199" s="7" t="s">
        <x:v>5594</x:v>
      </x:c>
      <x:c r="E199" s="7" t="s">
        <x:v>5604</x:v>
      </x:c>
      <x:c r="F199" s="7" t="s">
        <x:v>5596</x:v>
      </x:c>
      <x:c r="G199" s="7" t="s">
        <x:v>5597</x:v>
      </x:c>
      <x:c r="H199" s="8" t="s">
        <x:v>53</x:v>
      </x:c>
      <x:c r="I199" s="7" t="s">
        <x:v>58</x:v>
      </x:c>
      <x:c r="J199" s="7" t="s">
        <x:v>5598</x:v>
      </x:c>
      <x:c r="K199" s="7" t="s">
        <x:v>1286</x:v>
      </x:c>
      <x:c r="L199" s="7" t="s">
        <x:v>5604</x:v>
      </x:c>
    </x:row>
    <x:row r="200" ht="51.75" hidden="0" customHeight="1">
      <x:c r="A200" s="7" t="s">
        <x:v>5802</x:v>
      </x:c>
      <x:c r="B200" s="7" t="s">
        <x:v>627</x:v>
      </x:c>
      <x:c r="C200" s="7" t="s">
        <x:v>1284</x:v>
      </x:c>
      <x:c r="D200" s="7" t="s">
        <x:v>5594</x:v>
      </x:c>
      <x:c r="E200" s="7" t="s">
        <x:v>5606</x:v>
      </x:c>
      <x:c r="F200" s="7" t="s">
        <x:v>5596</x:v>
      </x:c>
      <x:c r="G200" s="7" t="s">
        <x:v>5597</x:v>
      </x:c>
      <x:c r="H200" s="8" t="s">
        <x:v>53</x:v>
      </x:c>
      <x:c r="I200" s="7" t="s">
        <x:v>58</x:v>
      </x:c>
      <x:c r="J200" s="7" t="s">
        <x:v>5598</x:v>
      </x:c>
      <x:c r="K200" s="7" t="s">
        <x:v>1286</x:v>
      </x:c>
      <x:c r="L200" s="7" t="s">
        <x:v>5606</x:v>
      </x:c>
    </x:row>
    <x:row r="201" ht="51.75" hidden="0" customHeight="1">
      <x:c r="A201" s="7" t="s">
        <x:v>5803</x:v>
      </x:c>
      <x:c r="B201" s="7" t="s">
        <x:v>627</x:v>
      </x:c>
      <x:c r="C201" s="7" t="s">
        <x:v>1284</x:v>
      </x:c>
      <x:c r="D201" s="7" t="s">
        <x:v>5594</x:v>
      </x:c>
      <x:c r="E201" s="7" t="s">
        <x:v>5609</x:v>
      </x:c>
      <x:c r="F201" s="7" t="s">
        <x:v>5722</x:v>
      </x:c>
      <x:c r="G201" s="7" t="s">
        <x:v>5597</x:v>
      </x:c>
      <x:c r="H201" s="8" t="s">
        <x:v>53</x:v>
      </x:c>
      <x:c r="I201" s="7" t="s">
        <x:v>58</x:v>
      </x:c>
      <x:c r="J201" s="7" t="s">
        <x:v>5598</x:v>
      </x:c>
      <x:c r="K201" s="7" t="s">
        <x:v>1286</x:v>
      </x:c>
      <x:c r="L201" s="7" t="s">
        <x:v>5609</x:v>
      </x:c>
    </x:row>
    <x:row r="202" ht="37.5" hidden="0" customHeight="1">
      <x:c r="A202" s="7" t="s">
        <x:v>637</x:v>
      </x:c>
      <x:c r="B202" s="7" t="s">
        <x:v>627</x:v>
      </x:c>
      <x:c r="C202" s="7" t="s">
        <x:v>1284</x:v>
      </x:c>
      <x:c r="D202" s="7" t="s">
        <x:v>1903</x:v>
      </x:c>
      <x:c r="E202" s="7" t="s">
        <x:v>5628</x:v>
      </x:c>
      <x:c r="F202" s="7" t="s">
        <x:v>3963</x:v>
      </x:c>
      <x:c r="G202" s="7" t="s">
        <x:v>5629</x:v>
      </x:c>
      <x:c r="H202" s="8" t="s">
        <x:v>53</x:v>
      </x:c>
      <x:c r="I202" s="7" t="s">
        <x:v>58</x:v>
      </x:c>
      <x:c r="J202" s="7" t="s">
        <x:v>5598</x:v>
      </x:c>
      <x:c r="K202" s="7" t="s">
        <x:v>1286</x:v>
      </x:c>
      <x:c r="L202" s="7" t="s">
        <x:v>5628</x:v>
      </x:c>
    </x:row>
    <x:row r="203" ht="51.75" hidden="0" customHeight="1">
      <x:c r="A203" s="7" t="s">
        <x:v>5804</x:v>
      </x:c>
      <x:c r="B203" s="7" t="s">
        <x:v>656</x:v>
      </x:c>
      <x:c r="C203" s="7" t="s">
        <x:v>658</x:v>
      </x:c>
      <x:c r="D203" s="7" t="s">
        <x:v>5594</x:v>
      </x:c>
      <x:c r="E203" s="7" t="s">
        <x:v>5595</x:v>
      </x:c>
      <x:c r="F203" s="7" t="s">
        <x:v>5596</x:v>
      </x:c>
      <x:c r="G203" s="7" t="s">
        <x:v>5597</x:v>
      </x:c>
      <x:c r="H203" s="8" t="s">
        <x:v>53</x:v>
      </x:c>
      <x:c r="I203" s="7" t="s">
        <x:v>58</x:v>
      </x:c>
      <x:c r="J203" s="7" t="s">
        <x:v>5598</x:v>
      </x:c>
      <x:c r="K203" s="7" t="s">
        <x:v>1264</x:v>
      </x:c>
      <x:c r="L203" s="7" t="s">
        <x:v>5595</x:v>
      </x:c>
    </x:row>
    <x:row r="204" ht="51.75" hidden="0" customHeight="1">
      <x:c r="A204" s="7" t="s">
        <x:v>5805</x:v>
      </x:c>
      <x:c r="B204" s="7" t="s">
        <x:v>656</x:v>
      </x:c>
      <x:c r="C204" s="7" t="s">
        <x:v>658</x:v>
      </x:c>
      <x:c r="D204" s="7" t="s">
        <x:v>5594</x:v>
      </x:c>
      <x:c r="E204" s="7" t="s">
        <x:v>5600</x:v>
      </x:c>
      <x:c r="F204" s="7" t="s">
        <x:v>5596</x:v>
      </x:c>
      <x:c r="G204" s="7" t="s">
        <x:v>5597</x:v>
      </x:c>
      <x:c r="H204" s="8" t="s">
        <x:v>53</x:v>
      </x:c>
      <x:c r="I204" s="7" t="s">
        <x:v>58</x:v>
      </x:c>
      <x:c r="J204" s="7" t="s">
        <x:v>5598</x:v>
      </x:c>
      <x:c r="K204" s="7" t="s">
        <x:v>1264</x:v>
      </x:c>
      <x:c r="L204" s="7" t="s">
        <x:v>5600</x:v>
      </x:c>
    </x:row>
    <x:row r="205" ht="51.75" hidden="0" customHeight="1">
      <x:c r="A205" s="7" t="s">
        <x:v>5806</x:v>
      </x:c>
      <x:c r="B205" s="7" t="s">
        <x:v>656</x:v>
      </x:c>
      <x:c r="C205" s="7" t="s">
        <x:v>658</x:v>
      </x:c>
      <x:c r="D205" s="7" t="s">
        <x:v>5594</x:v>
      </x:c>
      <x:c r="E205" s="7" t="s">
        <x:v>5602</x:v>
      </x:c>
      <x:c r="F205" s="7" t="s">
        <x:v>5780</x:v>
      </x:c>
      <x:c r="G205" s="7" t="s">
        <x:v>5597</x:v>
      </x:c>
      <x:c r="H205" s="8" t="s">
        <x:v>53</x:v>
      </x:c>
      <x:c r="I205" s="7" t="s">
        <x:v>58</x:v>
      </x:c>
      <x:c r="J205" s="7" t="s">
        <x:v>5598</x:v>
      </x:c>
      <x:c r="K205" s="7" t="s">
        <x:v>1264</x:v>
      </x:c>
      <x:c r="L205" s="7" t="s">
        <x:v>5602</x:v>
      </x:c>
    </x:row>
    <x:row r="206" ht="51.75" hidden="0" customHeight="1">
      <x:c r="A206" s="7" t="s">
        <x:v>5807</x:v>
      </x:c>
      <x:c r="B206" s="7" t="s">
        <x:v>656</x:v>
      </x:c>
      <x:c r="C206" s="7" t="s">
        <x:v>658</x:v>
      </x:c>
      <x:c r="D206" s="7" t="s">
        <x:v>5594</x:v>
      </x:c>
      <x:c r="E206" s="7" t="s">
        <x:v>5604</x:v>
      </x:c>
      <x:c r="F206" s="7" t="s">
        <x:v>5596</x:v>
      </x:c>
      <x:c r="G206" s="7" t="s">
        <x:v>5597</x:v>
      </x:c>
      <x:c r="H206" s="8" t="s">
        <x:v>53</x:v>
      </x:c>
      <x:c r="I206" s="7" t="s">
        <x:v>58</x:v>
      </x:c>
      <x:c r="J206" s="7" t="s">
        <x:v>5598</x:v>
      </x:c>
      <x:c r="K206" s="7" t="s">
        <x:v>1264</x:v>
      </x:c>
      <x:c r="L206" s="7" t="s">
        <x:v>5604</x:v>
      </x:c>
    </x:row>
    <x:row r="207" ht="51.75" hidden="0" customHeight="1">
      <x:c r="A207" s="7" t="s">
        <x:v>5808</x:v>
      </x:c>
      <x:c r="B207" s="7" t="s">
        <x:v>656</x:v>
      </x:c>
      <x:c r="C207" s="7" t="s">
        <x:v>658</x:v>
      </x:c>
      <x:c r="D207" s="7" t="s">
        <x:v>5594</x:v>
      </x:c>
      <x:c r="E207" s="7" t="s">
        <x:v>5606</x:v>
      </x:c>
      <x:c r="F207" s="7" t="s">
        <x:v>5596</x:v>
      </x:c>
      <x:c r="G207" s="7" t="s">
        <x:v>5597</x:v>
      </x:c>
      <x:c r="H207" s="8" t="s">
        <x:v>53</x:v>
      </x:c>
      <x:c r="I207" s="7" t="s">
        <x:v>58</x:v>
      </x:c>
      <x:c r="J207" s="7" t="s">
        <x:v>5598</x:v>
      </x:c>
      <x:c r="K207" s="7" t="s">
        <x:v>1264</x:v>
      </x:c>
      <x:c r="L207" s="7" t="s">
        <x:v>5606</x:v>
      </x:c>
    </x:row>
    <x:row r="208" ht="51.75" hidden="0" customHeight="1">
      <x:c r="A208" s="7" t="s">
        <x:v>5809</x:v>
      </x:c>
      <x:c r="B208" s="7" t="s">
        <x:v>656</x:v>
      </x:c>
      <x:c r="C208" s="7" t="s">
        <x:v>658</x:v>
      </x:c>
      <x:c r="D208" s="7" t="s">
        <x:v>5594</x:v>
      </x:c>
      <x:c r="E208" s="7" t="s">
        <x:v>5609</x:v>
      </x:c>
      <x:c r="F208" s="7" t="s">
        <x:v>5722</x:v>
      </x:c>
      <x:c r="G208" s="7" t="s">
        <x:v>5597</x:v>
      </x:c>
      <x:c r="H208" s="8" t="s">
        <x:v>53</x:v>
      </x:c>
      <x:c r="I208" s="7" t="s">
        <x:v>58</x:v>
      </x:c>
      <x:c r="J208" s="7" t="s">
        <x:v>5598</x:v>
      </x:c>
      <x:c r="K208" s="7" t="s">
        <x:v>1264</x:v>
      </x:c>
      <x:c r="L208" s="7" t="s">
        <x:v>5609</x:v>
      </x:c>
    </x:row>
    <x:row r="209" ht="37.5" hidden="0" customHeight="1">
      <x:c r="A209" s="7" t="s">
        <x:v>665</x:v>
      </x:c>
      <x:c r="B209" s="7" t="s">
        <x:v>656</x:v>
      </x:c>
      <x:c r="C209" s="7" t="s">
        <x:v>658</x:v>
      </x:c>
      <x:c r="D209" s="7" t="s">
        <x:v>1903</x:v>
      </x:c>
      <x:c r="E209" s="7" t="s">
        <x:v>5628</x:v>
      </x:c>
      <x:c r="F209" s="7" t="s">
        <x:v>3741</x:v>
      </x:c>
      <x:c r="G209" s="7" t="s">
        <x:v>5629</x:v>
      </x:c>
      <x:c r="H209" s="8" t="s">
        <x:v>53</x:v>
      </x:c>
      <x:c r="I209" s="7" t="s">
        <x:v>58</x:v>
      </x:c>
      <x:c r="J209" s="7" t="s">
        <x:v>5598</x:v>
      </x:c>
      <x:c r="K209" s="7" t="s">
        <x:v>1264</x:v>
      </x:c>
      <x:c r="L209" s="7" t="s">
        <x:v>5628</x:v>
      </x:c>
    </x:row>
    <x:row r="210" ht="37.5" hidden="0" customHeight="1">
      <x:c r="A210" s="7" t="s">
        <x:v>682</x:v>
      </x:c>
      <x:c r="B210" s="7" t="s">
        <x:v>671</x:v>
      </x:c>
      <x:c r="C210" s="7" t="s">
        <x:v>673</x:v>
      </x:c>
      <x:c r="D210" s="7" t="s">
        <x:v>1903</x:v>
      </x:c>
      <x:c r="E210" s="7" t="s">
        <x:v>5628</x:v>
      </x:c>
      <x:c r="F210" s="7" t="s">
        <x:v>5810</x:v>
      </x:c>
      <x:c r="G210" s="7" t="s">
        <x:v>5629</x:v>
      </x:c>
      <x:c r="H210" s="8" t="s">
        <x:v>53</x:v>
      </x:c>
      <x:c r="I210" s="7" t="s">
        <x:v>58</x:v>
      </x:c>
      <x:c r="J210" s="7" t="s">
        <x:v>5598</x:v>
      </x:c>
      <x:c r="K210" s="7" t="s">
        <x:v>1295</x:v>
      </x:c>
      <x:c r="L210" s="7" t="s">
        <x:v>5628</x:v>
      </x:c>
    </x:row>
    <x:row r="211" ht="51.75" hidden="0" customHeight="1">
      <x:c r="A211" s="7" t="s">
        <x:v>5811</x:v>
      </x:c>
      <x:c r="B211" s="7" t="s">
        <x:v>687</x:v>
      </x:c>
      <x:c r="C211" s="7" t="s">
        <x:v>689</x:v>
      </x:c>
      <x:c r="D211" s="7" t="s">
        <x:v>5594</x:v>
      </x:c>
      <x:c r="E211" s="7" t="s">
        <x:v>5595</x:v>
      </x:c>
      <x:c r="F211" s="7" t="s">
        <x:v>5596</x:v>
      </x:c>
      <x:c r="G211" s="7" t="s">
        <x:v>5597</x:v>
      </x:c>
      <x:c r="H211" s="8" t="s">
        <x:v>53</x:v>
      </x:c>
      <x:c r="I211" s="7" t="s">
        <x:v>58</x:v>
      </x:c>
      <x:c r="J211" s="7" t="s">
        <x:v>5598</x:v>
      </x:c>
      <x:c r="K211" s="7" t="s">
        <x:v>1264</x:v>
      </x:c>
      <x:c r="L211" s="7" t="s">
        <x:v>5595</x:v>
      </x:c>
    </x:row>
    <x:row r="212" ht="51.75" hidden="0" customHeight="1">
      <x:c r="A212" s="7" t="s">
        <x:v>5812</x:v>
      </x:c>
      <x:c r="B212" s="7" t="s">
        <x:v>687</x:v>
      </x:c>
      <x:c r="C212" s="7" t="s">
        <x:v>689</x:v>
      </x:c>
      <x:c r="D212" s="7" t="s">
        <x:v>5594</x:v>
      </x:c>
      <x:c r="E212" s="7" t="s">
        <x:v>5600</x:v>
      </x:c>
      <x:c r="F212" s="7" t="s">
        <x:v>5596</x:v>
      </x:c>
      <x:c r="G212" s="7" t="s">
        <x:v>5597</x:v>
      </x:c>
      <x:c r="H212" s="8" t="s">
        <x:v>53</x:v>
      </x:c>
      <x:c r="I212" s="7" t="s">
        <x:v>58</x:v>
      </x:c>
      <x:c r="J212" s="7" t="s">
        <x:v>5598</x:v>
      </x:c>
      <x:c r="K212" s="7" t="s">
        <x:v>1264</x:v>
      </x:c>
      <x:c r="L212" s="7" t="s">
        <x:v>5600</x:v>
      </x:c>
    </x:row>
    <x:row r="213" ht="51.75" hidden="0" customHeight="1">
      <x:c r="A213" s="7" t="s">
        <x:v>5813</x:v>
      </x:c>
      <x:c r="B213" s="7" t="s">
        <x:v>687</x:v>
      </x:c>
      <x:c r="C213" s="7" t="s">
        <x:v>689</x:v>
      </x:c>
      <x:c r="D213" s="7" t="s">
        <x:v>5594</x:v>
      </x:c>
      <x:c r="E213" s="7" t="s">
        <x:v>5602</x:v>
      </x:c>
      <x:c r="F213" s="7" t="s">
        <x:v>5780</x:v>
      </x:c>
      <x:c r="G213" s="7" t="s">
        <x:v>5597</x:v>
      </x:c>
      <x:c r="H213" s="8" t="s">
        <x:v>53</x:v>
      </x:c>
      <x:c r="I213" s="7" t="s">
        <x:v>58</x:v>
      </x:c>
      <x:c r="J213" s="7" t="s">
        <x:v>5598</x:v>
      </x:c>
      <x:c r="K213" s="7" t="s">
        <x:v>1264</x:v>
      </x:c>
      <x:c r="L213" s="7" t="s">
        <x:v>5602</x:v>
      </x:c>
    </x:row>
    <x:row r="214" ht="51.75" hidden="0" customHeight="1">
      <x:c r="A214" s="7" t="s">
        <x:v>5814</x:v>
      </x:c>
      <x:c r="B214" s="7" t="s">
        <x:v>687</x:v>
      </x:c>
      <x:c r="C214" s="7" t="s">
        <x:v>689</x:v>
      </x:c>
      <x:c r="D214" s="7" t="s">
        <x:v>5594</x:v>
      </x:c>
      <x:c r="E214" s="7" t="s">
        <x:v>5604</x:v>
      </x:c>
      <x:c r="F214" s="7" t="s">
        <x:v>5596</x:v>
      </x:c>
      <x:c r="G214" s="7" t="s">
        <x:v>5597</x:v>
      </x:c>
      <x:c r="H214" s="8" t="s">
        <x:v>53</x:v>
      </x:c>
      <x:c r="I214" s="7" t="s">
        <x:v>58</x:v>
      </x:c>
      <x:c r="J214" s="7" t="s">
        <x:v>5598</x:v>
      </x:c>
      <x:c r="K214" s="7" t="s">
        <x:v>1264</x:v>
      </x:c>
      <x:c r="L214" s="7" t="s">
        <x:v>5604</x:v>
      </x:c>
    </x:row>
    <x:row r="215" ht="51.75" hidden="0" customHeight="1">
      <x:c r="A215" s="7" t="s">
        <x:v>5815</x:v>
      </x:c>
      <x:c r="B215" s="7" t="s">
        <x:v>687</x:v>
      </x:c>
      <x:c r="C215" s="7" t="s">
        <x:v>689</x:v>
      </x:c>
      <x:c r="D215" s="7" t="s">
        <x:v>5594</x:v>
      </x:c>
      <x:c r="E215" s="7" t="s">
        <x:v>5606</x:v>
      </x:c>
      <x:c r="F215" s="7" t="s">
        <x:v>5596</x:v>
      </x:c>
      <x:c r="G215" s="7" t="s">
        <x:v>5597</x:v>
      </x:c>
      <x:c r="H215" s="8" t="s">
        <x:v>53</x:v>
      </x:c>
      <x:c r="I215" s="7" t="s">
        <x:v>58</x:v>
      </x:c>
      <x:c r="J215" s="7" t="s">
        <x:v>5598</x:v>
      </x:c>
      <x:c r="K215" s="7" t="s">
        <x:v>1264</x:v>
      </x:c>
      <x:c r="L215" s="7" t="s">
        <x:v>5606</x:v>
      </x:c>
    </x:row>
    <x:row r="216" ht="51.75" hidden="0" customHeight="1">
      <x:c r="A216" s="7" t="s">
        <x:v>5816</x:v>
      </x:c>
      <x:c r="B216" s="7" t="s">
        <x:v>687</x:v>
      </x:c>
      <x:c r="C216" s="7" t="s">
        <x:v>689</x:v>
      </x:c>
      <x:c r="D216" s="7" t="s">
        <x:v>5594</x:v>
      </x:c>
      <x:c r="E216" s="7" t="s">
        <x:v>5609</x:v>
      </x:c>
      <x:c r="F216" s="7" t="s">
        <x:v>5722</x:v>
      </x:c>
      <x:c r="G216" s="7" t="s">
        <x:v>5597</x:v>
      </x:c>
      <x:c r="H216" s="8" t="s">
        <x:v>53</x:v>
      </x:c>
      <x:c r="I216" s="7" t="s">
        <x:v>58</x:v>
      </x:c>
      <x:c r="J216" s="7" t="s">
        <x:v>5598</x:v>
      </x:c>
      <x:c r="K216" s="7" t="s">
        <x:v>1264</x:v>
      </x:c>
      <x:c r="L216" s="7" t="s">
        <x:v>5609</x:v>
      </x:c>
    </x:row>
    <x:row r="217" ht="37.5" hidden="0" customHeight="1">
      <x:c r="A217" s="7" t="s">
        <x:v>695</x:v>
      </x:c>
      <x:c r="B217" s="7" t="s">
        <x:v>687</x:v>
      </x:c>
      <x:c r="C217" s="7" t="s">
        <x:v>689</x:v>
      </x:c>
      <x:c r="D217" s="7" t="s">
        <x:v>1903</x:v>
      </x:c>
      <x:c r="E217" s="7" t="s">
        <x:v>5628</x:v>
      </x:c>
      <x:c r="F217" s="7" t="s">
        <x:v>3741</x:v>
      </x:c>
      <x:c r="G217" s="7" t="s">
        <x:v>5629</x:v>
      </x:c>
      <x:c r="H217" s="8" t="s">
        <x:v>53</x:v>
      </x:c>
      <x:c r="I217" s="7" t="s">
        <x:v>58</x:v>
      </x:c>
      <x:c r="J217" s="7" t="s">
        <x:v>5598</x:v>
      </x:c>
      <x:c r="K217" s="7" t="s">
        <x:v>1264</x:v>
      </x:c>
      <x:c r="L217" s="7" t="s">
        <x:v>5628</x:v>
      </x:c>
    </x:row>
    <x:row r="218" ht="37.5" hidden="0" customHeight="1">
      <x:c r="A218" s="7" t="s">
        <x:v>706</x:v>
      </x:c>
      <x:c r="B218" s="7" t="s">
        <x:v>697</x:v>
      </x:c>
      <x:c r="C218" s="7" t="s">
        <x:v>1297</x:v>
      </x:c>
      <x:c r="D218" s="7" t="s">
        <x:v>1903</x:v>
      </x:c>
      <x:c r="E218" s="7" t="s">
        <x:v>5628</x:v>
      </x:c>
      <x:c r="F218" s="7" t="s">
        <x:v>5810</x:v>
      </x:c>
      <x:c r="G218" s="7" t="s">
        <x:v>5629</x:v>
      </x:c>
      <x:c r="H218" s="8" t="s">
        <x:v>53</x:v>
      </x:c>
      <x:c r="I218" s="7" t="s">
        <x:v>58</x:v>
      </x:c>
      <x:c r="J218" s="7" t="s">
        <x:v>5598</x:v>
      </x:c>
      <x:c r="K218" s="7" t="s">
        <x:v>1295</x:v>
      </x:c>
      <x:c r="L218" s="7" t="s">
        <x:v>5628</x:v>
      </x:c>
    </x:row>
    <x:row r="219" ht="51.75" hidden="0" customHeight="1">
      <x:c r="A219" s="7" t="s">
        <x:v>5817</x:v>
      </x:c>
      <x:c r="B219" s="7" t="s">
        <x:v>708</x:v>
      </x:c>
      <x:c r="C219" s="7" t="s">
        <x:v>1303</x:v>
      </x:c>
      <x:c r="D219" s="7" t="s">
        <x:v>5594</x:v>
      </x:c>
      <x:c r="E219" s="7" t="s">
        <x:v>5595</x:v>
      </x:c>
      <x:c r="F219" s="7" t="s">
        <x:v>5596</x:v>
      </x:c>
      <x:c r="G219" s="7" t="s">
        <x:v>5597</x:v>
      </x:c>
      <x:c r="H219" s="8" t="s">
        <x:v>53</x:v>
      </x:c>
      <x:c r="I219" s="7" t="s">
        <x:v>58</x:v>
      </x:c>
      <x:c r="J219" s="7" t="s">
        <x:v>5598</x:v>
      </x:c>
      <x:c r="K219" s="7" t="s">
        <x:v>1305</x:v>
      </x:c>
      <x:c r="L219" s="7" t="s">
        <x:v>5595</x:v>
      </x:c>
    </x:row>
    <x:row r="220" ht="51.75" hidden="0" customHeight="1">
      <x:c r="A220" s="7" t="s">
        <x:v>5818</x:v>
      </x:c>
      <x:c r="B220" s="7" t="s">
        <x:v>708</x:v>
      </x:c>
      <x:c r="C220" s="7" t="s">
        <x:v>1303</x:v>
      </x:c>
      <x:c r="D220" s="7" t="s">
        <x:v>5594</x:v>
      </x:c>
      <x:c r="E220" s="7" t="s">
        <x:v>5600</x:v>
      </x:c>
      <x:c r="F220" s="7" t="s">
        <x:v>5596</x:v>
      </x:c>
      <x:c r="G220" s="7" t="s">
        <x:v>5597</x:v>
      </x:c>
      <x:c r="H220" s="8" t="s">
        <x:v>53</x:v>
      </x:c>
      <x:c r="I220" s="7" t="s">
        <x:v>58</x:v>
      </x:c>
      <x:c r="J220" s="7" t="s">
        <x:v>5598</x:v>
      </x:c>
      <x:c r="K220" s="7" t="s">
        <x:v>1305</x:v>
      </x:c>
      <x:c r="L220" s="7" t="s">
        <x:v>5600</x:v>
      </x:c>
    </x:row>
    <x:row r="221" ht="51.75" hidden="0" customHeight="1">
      <x:c r="A221" s="7" t="s">
        <x:v>5819</x:v>
      </x:c>
      <x:c r="B221" s="7" t="s">
        <x:v>708</x:v>
      </x:c>
      <x:c r="C221" s="7" t="s">
        <x:v>1303</x:v>
      </x:c>
      <x:c r="D221" s="7" t="s">
        <x:v>5594</x:v>
      </x:c>
      <x:c r="E221" s="7" t="s">
        <x:v>5602</x:v>
      </x:c>
      <x:c r="F221" s="7" t="s">
        <x:v>5780</x:v>
      </x:c>
      <x:c r="G221" s="7" t="s">
        <x:v>5597</x:v>
      </x:c>
      <x:c r="H221" s="8" t="s">
        <x:v>53</x:v>
      </x:c>
      <x:c r="I221" s="7" t="s">
        <x:v>58</x:v>
      </x:c>
      <x:c r="J221" s="7" t="s">
        <x:v>5598</x:v>
      </x:c>
      <x:c r="K221" s="7" t="s">
        <x:v>1305</x:v>
      </x:c>
      <x:c r="L221" s="7" t="s">
        <x:v>5602</x:v>
      </x:c>
    </x:row>
    <x:row r="222" ht="51.75" hidden="0" customHeight="1">
      <x:c r="A222" s="7" t="s">
        <x:v>5820</x:v>
      </x:c>
      <x:c r="B222" s="7" t="s">
        <x:v>708</x:v>
      </x:c>
      <x:c r="C222" s="7" t="s">
        <x:v>1303</x:v>
      </x:c>
      <x:c r="D222" s="7" t="s">
        <x:v>5594</x:v>
      </x:c>
      <x:c r="E222" s="7" t="s">
        <x:v>5604</x:v>
      </x:c>
      <x:c r="F222" s="7" t="s">
        <x:v>5596</x:v>
      </x:c>
      <x:c r="G222" s="7" t="s">
        <x:v>5597</x:v>
      </x:c>
      <x:c r="H222" s="8" t="s">
        <x:v>53</x:v>
      </x:c>
      <x:c r="I222" s="7" t="s">
        <x:v>58</x:v>
      </x:c>
      <x:c r="J222" s="7" t="s">
        <x:v>5598</x:v>
      </x:c>
      <x:c r="K222" s="7" t="s">
        <x:v>1305</x:v>
      </x:c>
      <x:c r="L222" s="7" t="s">
        <x:v>5604</x:v>
      </x:c>
    </x:row>
    <x:row r="223" ht="51.75" hidden="0" customHeight="1">
      <x:c r="A223" s="7" t="s">
        <x:v>5821</x:v>
      </x:c>
      <x:c r="B223" s="7" t="s">
        <x:v>708</x:v>
      </x:c>
      <x:c r="C223" s="7" t="s">
        <x:v>1303</x:v>
      </x:c>
      <x:c r="D223" s="7" t="s">
        <x:v>5594</x:v>
      </x:c>
      <x:c r="E223" s="7" t="s">
        <x:v>5606</x:v>
      </x:c>
      <x:c r="F223" s="7" t="s">
        <x:v>5596</x:v>
      </x:c>
      <x:c r="G223" s="7" t="s">
        <x:v>5597</x:v>
      </x:c>
      <x:c r="H223" s="8" t="s">
        <x:v>53</x:v>
      </x:c>
      <x:c r="I223" s="7" t="s">
        <x:v>58</x:v>
      </x:c>
      <x:c r="J223" s="7" t="s">
        <x:v>5598</x:v>
      </x:c>
      <x:c r="K223" s="7" t="s">
        <x:v>1305</x:v>
      </x:c>
      <x:c r="L223" s="7" t="s">
        <x:v>5606</x:v>
      </x:c>
    </x:row>
    <x:row r="224" ht="51.75" hidden="0" customHeight="1">
      <x:c r="A224" s="7" t="s">
        <x:v>5822</x:v>
      </x:c>
      <x:c r="B224" s="7" t="s">
        <x:v>708</x:v>
      </x:c>
      <x:c r="C224" s="7" t="s">
        <x:v>1303</x:v>
      </x:c>
      <x:c r="D224" s="7" t="s">
        <x:v>5594</x:v>
      </x:c>
      <x:c r="E224" s="7" t="s">
        <x:v>5609</x:v>
      </x:c>
      <x:c r="F224" s="7" t="s">
        <x:v>5722</x:v>
      </x:c>
      <x:c r="G224" s="7" t="s">
        <x:v>5597</x:v>
      </x:c>
      <x:c r="H224" s="8" t="s">
        <x:v>53</x:v>
      </x:c>
      <x:c r="I224" s="7" t="s">
        <x:v>58</x:v>
      </x:c>
      <x:c r="J224" s="7" t="s">
        <x:v>5598</x:v>
      </x:c>
      <x:c r="K224" s="7" t="s">
        <x:v>1305</x:v>
      </x:c>
      <x:c r="L224" s="7" t="s">
        <x:v>5609</x:v>
      </x:c>
    </x:row>
    <x:row r="225" ht="37.5" hidden="0" customHeight="1">
      <x:c r="A225" s="7" t="s">
        <x:v>717</x:v>
      </x:c>
      <x:c r="B225" s="7" t="s">
        <x:v>708</x:v>
      </x:c>
      <x:c r="C225" s="7" t="s">
        <x:v>1303</x:v>
      </x:c>
      <x:c r="D225" s="7" t="s">
        <x:v>1903</x:v>
      </x:c>
      <x:c r="E225" s="7" t="s">
        <x:v>5628</x:v>
      </x:c>
      <x:c r="F225" s="7" t="s">
        <x:v>4254</x:v>
      </x:c>
      <x:c r="G225" s="7" t="s">
        <x:v>5629</x:v>
      </x:c>
      <x:c r="H225" s="8" t="s">
        <x:v>53</x:v>
      </x:c>
      <x:c r="I225" s="7" t="s">
        <x:v>58</x:v>
      </x:c>
      <x:c r="J225" s="7" t="s">
        <x:v>5598</x:v>
      </x:c>
      <x:c r="K225" s="7" t="s">
        <x:v>1305</x:v>
      </x:c>
      <x:c r="L225" s="7" t="s">
        <x:v>5628</x:v>
      </x:c>
    </x:row>
    <x:row r="226" ht="37.5" hidden="0" customHeight="1">
      <x:c r="A226" s="7" t="s">
        <x:v>727</x:v>
      </x:c>
      <x:c r="B226" s="7" t="s">
        <x:v>719</x:v>
      </x:c>
      <x:c r="C226" s="7" t="s">
        <x:v>1308</x:v>
      </x:c>
      <x:c r="D226" s="7" t="s">
        <x:v>1903</x:v>
      </x:c>
      <x:c r="E226" s="7" t="s">
        <x:v>5628</x:v>
      </x:c>
      <x:c r="F226" s="7" t="s">
        <x:v>5810</x:v>
      </x:c>
      <x:c r="G226" s="7" t="s">
        <x:v>5629</x:v>
      </x:c>
      <x:c r="H226" s="8" t="s">
        <x:v>53</x:v>
      </x:c>
      <x:c r="I226" s="7" t="s">
        <x:v>58</x:v>
      </x:c>
      <x:c r="J226" s="7" t="s">
        <x:v>5598</x:v>
      </x:c>
      <x:c r="K226" s="7" t="s">
        <x:v>1310</x:v>
      </x:c>
      <x:c r="L226" s="7" t="s">
        <x:v>5628</x:v>
      </x:c>
    </x:row>
    <x:row r="227" ht="37.5" hidden="0" customHeight="1">
      <x:c r="A227" s="7" t="s">
        <x:v>737</x:v>
      </x:c>
      <x:c r="B227" s="7" t="s">
        <x:v>728</x:v>
      </x:c>
      <x:c r="C227" s="7" t="s">
        <x:v>730</x:v>
      </x:c>
      <x:c r="D227" s="7" t="s">
        <x:v>1903</x:v>
      </x:c>
      <x:c r="E227" s="7" t="s">
        <x:v>5628</x:v>
      </x:c>
      <x:c r="F227" s="7" t="s">
        <x:v>5810</x:v>
      </x:c>
      <x:c r="G227" s="7" t="s">
        <x:v>5629</x:v>
      </x:c>
      <x:c r="H227" s="8" t="s">
        <x:v>53</x:v>
      </x:c>
      <x:c r="I227" s="7" t="s">
        <x:v>58</x:v>
      </x:c>
      <x:c r="J227" s="7" t="s">
        <x:v>5598</x:v>
      </x:c>
      <x:c r="K227" s="7" t="s">
        <x:v>1310</x:v>
      </x:c>
      <x:c r="L227" s="7" t="s">
        <x:v>5628</x:v>
      </x:c>
    </x:row>
    <x:row r="228" ht="51.75" hidden="0" customHeight="1">
      <x:c r="A228" s="7" t="s">
        <x:v>5823</x:v>
      </x:c>
      <x:c r="B228" s="7" t="s">
        <x:v>749</x:v>
      </x:c>
      <x:c r="C228" s="7" t="s">
        <x:v>751</x:v>
      </x:c>
      <x:c r="D228" s="7" t="s">
        <x:v>5626</x:v>
      </x:c>
      <x:c r="E228" s="7" t="s">
        <x:v>5626</x:v>
      </x:c>
      <x:c r="F228" s="7" t="s">
        <x:v>5627</x:v>
      </x:c>
      <x:c r="G228" s="7" t="s">
        <x:v>5614</x:v>
      </x:c>
      <x:c r="H228" s="8" t="s">
        <x:v>53</x:v>
      </x:c>
      <x:c r="I228" s="7" t="s">
        <x:v>58</x:v>
      </x:c>
      <x:c r="J228" s="7" t="s">
        <x:v>5598</x:v>
      </x:c>
      <x:c r="K228" s="7" t="s">
        <x:v>1314</x:v>
      </x:c>
      <x:c r="L228" s="7" t="s">
        <x:v>5626</x:v>
      </x:c>
    </x:row>
    <x:row r="229" ht="51.75" hidden="0" customHeight="1">
      <x:c r="A229" s="7" t="s">
        <x:v>5824</x:v>
      </x:c>
      <x:c r="B229" s="7" t="s">
        <x:v>780</x:v>
      </x:c>
      <x:c r="C229" s="7" t="s">
        <x:v>782</x:v>
      </x:c>
      <x:c r="D229" s="7" t="s">
        <x:v>5611</x:v>
      </x:c>
      <x:c r="E229" s="7" t="s">
        <x:v>5612</x:v>
      </x:c>
      <x:c r="F229" s="7" t="s">
        <x:v>5613</x:v>
      </x:c>
      <x:c r="G229" s="7" t="s">
        <x:v>5614</x:v>
      </x:c>
      <x:c r="H229" s="8" t="s">
        <x:v>53</x:v>
      </x:c>
      <x:c r="I229" s="7" t="s">
        <x:v>58</x:v>
      </x:c>
      <x:c r="J229" s="7" t="s">
        <x:v>5598</x:v>
      </x:c>
      <x:c r="K229" s="7" t="s">
        <x:v>1322</x:v>
      </x:c>
      <x:c r="L229" s="7" t="s">
        <x:v>5612</x:v>
      </x:c>
    </x:row>
    <x:row r="230" ht="51.75" hidden="0" customHeight="1">
      <x:c r="A230" s="7" t="s">
        <x:v>5825</x:v>
      </x:c>
      <x:c r="B230" s="7" t="s">
        <x:v>780</x:v>
      </x:c>
      <x:c r="C230" s="7" t="s">
        <x:v>782</x:v>
      </x:c>
      <x:c r="D230" s="7" t="s">
        <x:v>5594</x:v>
      </x:c>
      <x:c r="E230" s="7" t="s">
        <x:v>5616</x:v>
      </x:c>
      <x:c r="F230" s="7" t="s">
        <x:v>5826</x:v>
      </x:c>
      <x:c r="G230" s="7" t="s">
        <x:v>5614</x:v>
      </x:c>
      <x:c r="H230" s="8" t="s">
        <x:v>53</x:v>
      </x:c>
      <x:c r="I230" s="7" t="s">
        <x:v>58</x:v>
      </x:c>
      <x:c r="J230" s="7" t="s">
        <x:v>5598</x:v>
      </x:c>
      <x:c r="K230" s="7" t="s">
        <x:v>1322</x:v>
      </x:c>
      <x:c r="L230" s="7" t="s">
        <x:v>5616</x:v>
      </x:c>
    </x:row>
    <x:row r="231" ht="51.75" hidden="0" customHeight="1">
      <x:c r="A231" s="7" t="s">
        <x:v>5827</x:v>
      </x:c>
      <x:c r="B231" s="7" t="s">
        <x:v>780</x:v>
      </x:c>
      <x:c r="C231" s="7" t="s">
        <x:v>782</x:v>
      </x:c>
      <x:c r="D231" s="7" t="s">
        <x:v>5594</x:v>
      </x:c>
      <x:c r="E231" s="7" t="s">
        <x:v>5618</x:v>
      </x:c>
      <x:c r="F231" s="7" t="s">
        <x:v>5828</x:v>
      </x:c>
      <x:c r="G231" s="7" t="s">
        <x:v>5614</x:v>
      </x:c>
      <x:c r="H231" s="8" t="s">
        <x:v>53</x:v>
      </x:c>
      <x:c r="I231" s="7" t="s">
        <x:v>58</x:v>
      </x:c>
      <x:c r="J231" s="7" t="s">
        <x:v>5598</x:v>
      </x:c>
      <x:c r="K231" s="7" t="s">
        <x:v>1322</x:v>
      </x:c>
      <x:c r="L231" s="7" t="s">
        <x:v>5618</x:v>
      </x:c>
    </x:row>
    <x:row r="232" ht="51.75" hidden="0" customHeight="1">
      <x:c r="A232" s="7" t="s">
        <x:v>5829</x:v>
      </x:c>
      <x:c r="B232" s="7" t="s">
        <x:v>780</x:v>
      </x:c>
      <x:c r="C232" s="7" t="s">
        <x:v>782</x:v>
      </x:c>
      <x:c r="D232" s="7" t="s">
        <x:v>5594</x:v>
      </x:c>
      <x:c r="E232" s="7" t="s">
        <x:v>5620</x:v>
      </x:c>
      <x:c r="F232" s="7" t="s">
        <x:v>5830</x:v>
      </x:c>
      <x:c r="G232" s="7" t="s">
        <x:v>5614</x:v>
      </x:c>
      <x:c r="H232" s="8" t="s">
        <x:v>53</x:v>
      </x:c>
      <x:c r="I232" s="7" t="s">
        <x:v>58</x:v>
      </x:c>
      <x:c r="J232" s="7" t="s">
        <x:v>5598</x:v>
      </x:c>
      <x:c r="K232" s="7" t="s">
        <x:v>1322</x:v>
      </x:c>
      <x:c r="L232" s="7" t="s">
        <x:v>5620</x:v>
      </x:c>
    </x:row>
    <x:row r="233" ht="51.75" hidden="0" customHeight="1">
      <x:c r="A233" s="7" t="s">
        <x:v>5831</x:v>
      </x:c>
      <x:c r="B233" s="7" t="s">
        <x:v>780</x:v>
      </x:c>
      <x:c r="C233" s="7" t="s">
        <x:v>782</x:v>
      </x:c>
      <x:c r="D233" s="7" t="s">
        <x:v>5594</x:v>
      </x:c>
      <x:c r="E233" s="7" t="s">
        <x:v>5623</x:v>
      </x:c>
      <x:c r="F233" s="7" t="s">
        <x:v>5832</x:v>
      </x:c>
      <x:c r="G233" s="7" t="s">
        <x:v>5614</x:v>
      </x:c>
      <x:c r="H233" s="8" t="s">
        <x:v>53</x:v>
      </x:c>
      <x:c r="I233" s="7" t="s">
        <x:v>58</x:v>
      </x:c>
      <x:c r="J233" s="7" t="s">
        <x:v>5598</x:v>
      </x:c>
      <x:c r="K233" s="7" t="s">
        <x:v>1322</x:v>
      </x:c>
      <x:c r="L233" s="7" t="s">
        <x:v>5623</x:v>
      </x:c>
    </x:row>
    <x:row r="234" ht="51.75" hidden="0" customHeight="1">
      <x:c r="A234" s="7" t="s">
        <x:v>5833</x:v>
      </x:c>
      <x:c r="B234" s="7" t="s">
        <x:v>780</x:v>
      </x:c>
      <x:c r="C234" s="7" t="s">
        <x:v>782</x:v>
      </x:c>
      <x:c r="D234" s="7" t="s">
        <x:v>5626</x:v>
      </x:c>
      <x:c r="E234" s="7" t="s">
        <x:v>5626</x:v>
      </x:c>
      <x:c r="F234" s="7" t="s">
        <x:v>5627</x:v>
      </x:c>
      <x:c r="G234" s="7" t="s">
        <x:v>5614</x:v>
      </x:c>
      <x:c r="H234" s="8" t="s">
        <x:v>53</x:v>
      </x:c>
      <x:c r="I234" s="7" t="s">
        <x:v>58</x:v>
      </x:c>
      <x:c r="J234" s="7" t="s">
        <x:v>5598</x:v>
      </x:c>
      <x:c r="K234" s="7" t="s">
        <x:v>1322</x:v>
      </x:c>
      <x:c r="L234" s="7" t="s">
        <x:v>5626</x:v>
      </x:c>
    </x:row>
    <x:row r="235" ht="37.5" hidden="0" customHeight="1">
      <x:c r="A235" s="7" t="s">
        <x:v>790</x:v>
      </x:c>
      <x:c r="B235" s="7" t="s">
        <x:v>780</x:v>
      </x:c>
      <x:c r="C235" s="7" t="s">
        <x:v>782</x:v>
      </x:c>
      <x:c r="D235" s="7" t="s">
        <x:v>1903</x:v>
      </x:c>
      <x:c r="E235" s="7" t="s">
        <x:v>5628</x:v>
      </x:c>
      <x:c r="F235" s="7" t="s">
        <x:v>4498</x:v>
      </x:c>
      <x:c r="G235" s="7" t="s">
        <x:v>5629</x:v>
      </x:c>
      <x:c r="H235" s="8" t="s">
        <x:v>53</x:v>
      </x:c>
      <x:c r="I235" s="7" t="s">
        <x:v>58</x:v>
      </x:c>
      <x:c r="J235" s="7" t="s">
        <x:v>5598</x:v>
      </x:c>
      <x:c r="K235" s="7" t="s">
        <x:v>1322</x:v>
      </x:c>
      <x:c r="L235" s="7" t="s">
        <x:v>5628</x:v>
      </x:c>
    </x:row>
    <x:row r="236" ht="37.5" hidden="0" customHeight="1">
      <x:c r="A236" s="7" t="s">
        <x:v>823</x:v>
      </x:c>
      <x:c r="B236" s="7" t="s">
        <x:v>813</x:v>
      </x:c>
      <x:c r="C236" s="7" t="s">
        <x:v>815</x:v>
      </x:c>
      <x:c r="D236" s="7" t="s">
        <x:v>1903</x:v>
      </x:c>
      <x:c r="E236" s="7" t="s">
        <x:v>5628</x:v>
      </x:c>
      <x:c r="F236" s="7" t="s">
        <x:v>4498</x:v>
      </x:c>
      <x:c r="G236" s="7" t="s">
        <x:v>5629</x:v>
      </x:c>
      <x:c r="H236" s="8" t="s">
        <x:v>53</x:v>
      </x:c>
      <x:c r="I236" s="7" t="s">
        <x:v>58</x:v>
      </x:c>
      <x:c r="J236" s="7" t="s">
        <x:v>5598</x:v>
      </x:c>
      <x:c r="K236" s="7" t="s">
        <x:v>1331</x:v>
      </x:c>
      <x:c r="L236" s="7" t="s">
        <x:v>5628</x:v>
      </x:c>
    </x:row>
    <x:row r="237" ht="51.75" hidden="0" customHeight="1">
      <x:c r="A237" s="7" t="s">
        <x:v>5834</x:v>
      </x:c>
      <x:c r="B237" s="7" t="s">
        <x:v>834</x:v>
      </x:c>
      <x:c r="C237" s="7" t="s">
        <x:v>837</x:v>
      </x:c>
      <x:c r="D237" s="7" t="s">
        <x:v>5626</x:v>
      </x:c>
      <x:c r="E237" s="7" t="s">
        <x:v>5626</x:v>
      </x:c>
      <x:c r="F237" s="7" t="s">
        <x:v>5627</x:v>
      </x:c>
      <x:c r="G237" s="7" t="s">
        <x:v>5614</x:v>
      </x:c>
      <x:c r="H237" s="8" t="s">
        <x:v>53</x:v>
      </x:c>
      <x:c r="I237" s="7" t="s">
        <x:v>58</x:v>
      </x:c>
      <x:c r="J237" s="7" t="s">
        <x:v>5598</x:v>
      </x:c>
      <x:c r="K237" s="7" t="s">
        <x:v>1337</x:v>
      </x:c>
      <x:c r="L237" s="7" t="s">
        <x:v>5626</x:v>
      </x:c>
    </x:row>
    <x:row r="238" ht="51.75" hidden="0" customHeight="1">
      <x:c r="A238" s="7" t="s">
        <x:v>5835</x:v>
      </x:c>
      <x:c r="B238" s="7" t="s">
        <x:v>861</x:v>
      </x:c>
      <x:c r="C238" s="7" t="s">
        <x:v>863</x:v>
      </x:c>
      <x:c r="D238" s="7" t="s">
        <x:v>5626</x:v>
      </x:c>
      <x:c r="E238" s="7" t="s">
        <x:v>5626</x:v>
      </x:c>
      <x:c r="F238" s="7" t="s">
        <x:v>5627</x:v>
      </x:c>
      <x:c r="G238" s="7" t="s">
        <x:v>5614</x:v>
      </x:c>
      <x:c r="H238" s="8" t="s">
        <x:v>53</x:v>
      </x:c>
      <x:c r="I238" s="7" t="s">
        <x:v>58</x:v>
      </x:c>
      <x:c r="J238" s="7" t="s">
        <x:v>5598</x:v>
      </x:c>
      <x:c r="K238" s="7" t="s">
        <x:v>1341</x:v>
      </x:c>
      <x:c r="L238" s="7" t="s">
        <x:v>5626</x:v>
      </x:c>
    </x:row>
    <x:row r="239" ht="51.75" hidden="0" customHeight="1">
      <x:c r="A239" s="7" t="s">
        <x:v>5836</x:v>
      </x:c>
      <x:c r="B239" s="7" t="s">
        <x:v>870</x:v>
      </x:c>
      <x:c r="C239" s="7" t="s">
        <x:v>872</x:v>
      </x:c>
      <x:c r="D239" s="7" t="s">
        <x:v>5611</x:v>
      </x:c>
      <x:c r="E239" s="7" t="s">
        <x:v>5612</x:v>
      </x:c>
      <x:c r="F239" s="7" t="s">
        <x:v>5613</x:v>
      </x:c>
      <x:c r="G239" s="7" t="s">
        <x:v>5614</x:v>
      </x:c>
      <x:c r="H239" s="8" t="s">
        <x:v>53</x:v>
      </x:c>
      <x:c r="I239" s="7" t="s">
        <x:v>58</x:v>
      </x:c>
      <x:c r="J239" s="7" t="s">
        <x:v>5598</x:v>
      </x:c>
      <x:c r="K239" s="7" t="s">
        <x:v>1342</x:v>
      </x:c>
      <x:c r="L239" s="7" t="s">
        <x:v>5612</x:v>
      </x:c>
    </x:row>
    <x:row r="240" ht="51.75" hidden="0" customHeight="1">
      <x:c r="A240" s="7" t="s">
        <x:v>5837</x:v>
      </x:c>
      <x:c r="B240" s="7" t="s">
        <x:v>870</x:v>
      </x:c>
      <x:c r="C240" s="7" t="s">
        <x:v>872</x:v>
      </x:c>
      <x:c r="D240" s="7" t="s">
        <x:v>5594</x:v>
      </x:c>
      <x:c r="E240" s="7" t="s">
        <x:v>5616</x:v>
      </x:c>
      <x:c r="F240" s="7" t="s">
        <x:v>5596</x:v>
      </x:c>
      <x:c r="G240" s="7" t="s">
        <x:v>5614</x:v>
      </x:c>
      <x:c r="H240" s="8" t="s">
        <x:v>53</x:v>
      </x:c>
      <x:c r="I240" s="7" t="s">
        <x:v>58</x:v>
      </x:c>
      <x:c r="J240" s="7" t="s">
        <x:v>5598</x:v>
      </x:c>
      <x:c r="K240" s="7" t="s">
        <x:v>1342</x:v>
      </x:c>
      <x:c r="L240" s="7" t="s">
        <x:v>5616</x:v>
      </x:c>
    </x:row>
    <x:row r="241" ht="51.75" hidden="0" customHeight="1">
      <x:c r="A241" s="7" t="s">
        <x:v>5838</x:v>
      </x:c>
      <x:c r="B241" s="7" t="s">
        <x:v>870</x:v>
      </x:c>
      <x:c r="C241" s="7" t="s">
        <x:v>872</x:v>
      </x:c>
      <x:c r="D241" s="7" t="s">
        <x:v>5594</x:v>
      </x:c>
      <x:c r="E241" s="7" t="s">
        <x:v>5618</x:v>
      </x:c>
      <x:c r="F241" s="7" t="s">
        <x:v>5596</x:v>
      </x:c>
      <x:c r="G241" s="7" t="s">
        <x:v>5614</x:v>
      </x:c>
      <x:c r="H241" s="8" t="s">
        <x:v>53</x:v>
      </x:c>
      <x:c r="I241" s="7" t="s">
        <x:v>58</x:v>
      </x:c>
      <x:c r="J241" s="7" t="s">
        <x:v>5598</x:v>
      </x:c>
      <x:c r="K241" s="7" t="s">
        <x:v>1342</x:v>
      </x:c>
      <x:c r="L241" s="7" t="s">
        <x:v>5618</x:v>
      </x:c>
    </x:row>
    <x:row r="242" ht="51.75" hidden="0" customHeight="1">
      <x:c r="A242" s="7" t="s">
        <x:v>5839</x:v>
      </x:c>
      <x:c r="B242" s="7" t="s">
        <x:v>870</x:v>
      </x:c>
      <x:c r="C242" s="7" t="s">
        <x:v>872</x:v>
      </x:c>
      <x:c r="D242" s="7" t="s">
        <x:v>5594</x:v>
      </x:c>
      <x:c r="E242" s="7" t="s">
        <x:v>5620</x:v>
      </x:c>
      <x:c r="F242" s="7" t="s">
        <x:v>5621</x:v>
      </x:c>
      <x:c r="G242" s="7" t="s">
        <x:v>5614</x:v>
      </x:c>
      <x:c r="H242" s="8" t="s">
        <x:v>53</x:v>
      </x:c>
      <x:c r="I242" s="7" t="s">
        <x:v>58</x:v>
      </x:c>
      <x:c r="J242" s="7" t="s">
        <x:v>5598</x:v>
      </x:c>
      <x:c r="K242" s="7" t="s">
        <x:v>1342</x:v>
      </x:c>
      <x:c r="L242" s="7" t="s">
        <x:v>5620</x:v>
      </x:c>
    </x:row>
    <x:row r="243" ht="51.75" hidden="0" customHeight="1">
      <x:c r="A243" s="7" t="s">
        <x:v>5840</x:v>
      </x:c>
      <x:c r="B243" s="7" t="s">
        <x:v>870</x:v>
      </x:c>
      <x:c r="C243" s="7" t="s">
        <x:v>872</x:v>
      </x:c>
      <x:c r="D243" s="7" t="s">
        <x:v>5594</x:v>
      </x:c>
      <x:c r="E243" s="7" t="s">
        <x:v>5623</x:v>
      </x:c>
      <x:c r="F243" s="7" t="s">
        <x:v>5624</x:v>
      </x:c>
      <x:c r="G243" s="7" t="s">
        <x:v>5614</x:v>
      </x:c>
      <x:c r="H243" s="8" t="s">
        <x:v>53</x:v>
      </x:c>
      <x:c r="I243" s="7" t="s">
        <x:v>58</x:v>
      </x:c>
      <x:c r="J243" s="7" t="s">
        <x:v>5598</x:v>
      </x:c>
      <x:c r="K243" s="7" t="s">
        <x:v>1342</x:v>
      </x:c>
      <x:c r="L243" s="7" t="s">
        <x:v>5623</x:v>
      </x:c>
    </x:row>
    <x:row r="244" ht="51.75" hidden="0" customHeight="1">
      <x:c r="A244" s="7" t="s">
        <x:v>5841</x:v>
      </x:c>
      <x:c r="B244" s="7" t="s">
        <x:v>870</x:v>
      </x:c>
      <x:c r="C244" s="7" t="s">
        <x:v>872</x:v>
      </x:c>
      <x:c r="D244" s="7" t="s">
        <x:v>5626</x:v>
      </x:c>
      <x:c r="E244" s="7" t="s">
        <x:v>5626</x:v>
      </x:c>
      <x:c r="F244" s="7" t="s">
        <x:v>5627</x:v>
      </x:c>
      <x:c r="G244" s="7" t="s">
        <x:v>5614</x:v>
      </x:c>
      <x:c r="H244" s="8" t="s">
        <x:v>53</x:v>
      </x:c>
      <x:c r="I244" s="7" t="s">
        <x:v>58</x:v>
      </x:c>
      <x:c r="J244" s="7" t="s">
        <x:v>5598</x:v>
      </x:c>
      <x:c r="K244" s="7" t="s">
        <x:v>1342</x:v>
      </x:c>
      <x:c r="L244" s="7" t="s">
        <x:v>5626</x:v>
      </x:c>
    </x:row>
    <x:row r="245" ht="51.75" hidden="0" customHeight="1">
      <x:c r="A245" s="7" t="s">
        <x:v>5842</x:v>
      </x:c>
      <x:c r="B245" s="7" t="s">
        <x:v>1020</x:v>
      </x:c>
      <x:c r="C245" s="7" t="s">
        <x:v>1391</x:v>
      </x:c>
      <x:c r="D245" s="7" t="s">
        <x:v>5594</x:v>
      </x:c>
      <x:c r="E245" s="7" t="s">
        <x:v>5595</x:v>
      </x:c>
      <x:c r="F245" s="7" t="s">
        <x:v>5596</x:v>
      </x:c>
      <x:c r="G245" s="7" t="s">
        <x:v>5597</x:v>
      </x:c>
      <x:c r="H245" s="8" t="s">
        <x:v>53</x:v>
      </x:c>
      <x:c r="I245" s="7" t="s">
        <x:v>58</x:v>
      </x:c>
      <x:c r="J245" s="7" t="s">
        <x:v>5598</x:v>
      </x:c>
      <x:c r="K245" s="7" t="s">
        <x:v>1393</x:v>
      </x:c>
      <x:c r="L245" s="7" t="s">
        <x:v>5595</x:v>
      </x:c>
    </x:row>
    <x:row r="246" ht="51.75" hidden="0" customHeight="1">
      <x:c r="A246" s="7" t="s">
        <x:v>5843</x:v>
      </x:c>
      <x:c r="B246" s="7" t="s">
        <x:v>1020</x:v>
      </x:c>
      <x:c r="C246" s="7" t="s">
        <x:v>1391</x:v>
      </x:c>
      <x:c r="D246" s="7" t="s">
        <x:v>5594</x:v>
      </x:c>
      <x:c r="E246" s="7" t="s">
        <x:v>5600</x:v>
      </x:c>
      <x:c r="F246" s="7" t="s">
        <x:v>5596</x:v>
      </x:c>
      <x:c r="G246" s="7" t="s">
        <x:v>5597</x:v>
      </x:c>
      <x:c r="H246" s="8" t="s">
        <x:v>53</x:v>
      </x:c>
      <x:c r="I246" s="7" t="s">
        <x:v>58</x:v>
      </x:c>
      <x:c r="J246" s="7" t="s">
        <x:v>5598</x:v>
      </x:c>
      <x:c r="K246" s="7" t="s">
        <x:v>1393</x:v>
      </x:c>
      <x:c r="L246" s="7" t="s">
        <x:v>5600</x:v>
      </x:c>
    </x:row>
    <x:row r="247" ht="51.75" hidden="0" customHeight="1">
      <x:c r="A247" s="7" t="s">
        <x:v>5844</x:v>
      </x:c>
      <x:c r="B247" s="7" t="s">
        <x:v>1020</x:v>
      </x:c>
      <x:c r="C247" s="7" t="s">
        <x:v>1391</x:v>
      </x:c>
      <x:c r="D247" s="7" t="s">
        <x:v>5594</x:v>
      </x:c>
      <x:c r="E247" s="7" t="s">
        <x:v>5602</x:v>
      </x:c>
      <x:c r="F247" s="7" t="s">
        <x:v>5780</x:v>
      </x:c>
      <x:c r="G247" s="7" t="s">
        <x:v>5597</x:v>
      </x:c>
      <x:c r="H247" s="8" t="s">
        <x:v>53</x:v>
      </x:c>
      <x:c r="I247" s="7" t="s">
        <x:v>58</x:v>
      </x:c>
      <x:c r="J247" s="7" t="s">
        <x:v>5598</x:v>
      </x:c>
      <x:c r="K247" s="7" t="s">
        <x:v>1393</x:v>
      </x:c>
      <x:c r="L247" s="7" t="s">
        <x:v>5602</x:v>
      </x:c>
    </x:row>
    <x:row r="248" ht="51.75" hidden="0" customHeight="1">
      <x:c r="A248" s="7" t="s">
        <x:v>5845</x:v>
      </x:c>
      <x:c r="B248" s="7" t="s">
        <x:v>1020</x:v>
      </x:c>
      <x:c r="C248" s="7" t="s">
        <x:v>1391</x:v>
      </x:c>
      <x:c r="D248" s="7" t="s">
        <x:v>5594</x:v>
      </x:c>
      <x:c r="E248" s="7" t="s">
        <x:v>5604</x:v>
      </x:c>
      <x:c r="F248" s="7" t="s">
        <x:v>5596</x:v>
      </x:c>
      <x:c r="G248" s="7" t="s">
        <x:v>5597</x:v>
      </x:c>
      <x:c r="H248" s="8" t="s">
        <x:v>53</x:v>
      </x:c>
      <x:c r="I248" s="7" t="s">
        <x:v>58</x:v>
      </x:c>
      <x:c r="J248" s="7" t="s">
        <x:v>5598</x:v>
      </x:c>
      <x:c r="K248" s="7" t="s">
        <x:v>1393</x:v>
      </x:c>
      <x:c r="L248" s="7" t="s">
        <x:v>5604</x:v>
      </x:c>
    </x:row>
    <x:row r="249" ht="51.75" hidden="0" customHeight="1">
      <x:c r="A249" s="7" t="s">
        <x:v>5846</x:v>
      </x:c>
      <x:c r="B249" s="7" t="s">
        <x:v>1020</x:v>
      </x:c>
      <x:c r="C249" s="7" t="s">
        <x:v>1391</x:v>
      </x:c>
      <x:c r="D249" s="7" t="s">
        <x:v>5594</x:v>
      </x:c>
      <x:c r="E249" s="7" t="s">
        <x:v>5606</x:v>
      </x:c>
      <x:c r="F249" s="7" t="s">
        <x:v>5596</x:v>
      </x:c>
      <x:c r="G249" s="7" t="s">
        <x:v>5597</x:v>
      </x:c>
      <x:c r="H249" s="8" t="s">
        <x:v>53</x:v>
      </x:c>
      <x:c r="I249" s="7" t="s">
        <x:v>58</x:v>
      </x:c>
      <x:c r="J249" s="7" t="s">
        <x:v>5598</x:v>
      </x:c>
      <x:c r="K249" s="7" t="s">
        <x:v>1393</x:v>
      </x:c>
      <x:c r="L249" s="7" t="s">
        <x:v>5606</x:v>
      </x:c>
    </x:row>
    <x:row r="250" ht="51.75" hidden="0" customHeight="1">
      <x:c r="A250" s="7" t="s">
        <x:v>5847</x:v>
      </x:c>
      <x:c r="B250" s="7" t="s">
        <x:v>1020</x:v>
      </x:c>
      <x:c r="C250" s="7" t="s">
        <x:v>1391</x:v>
      </x:c>
      <x:c r="D250" s="7" t="s">
        <x:v>5594</x:v>
      </x:c>
      <x:c r="E250" s="7" t="s">
        <x:v>5609</x:v>
      </x:c>
      <x:c r="F250" s="7" t="s">
        <x:v>5607</x:v>
      </x:c>
      <x:c r="G250" s="7" t="s">
        <x:v>5597</x:v>
      </x:c>
      <x:c r="H250" s="8" t="s">
        <x:v>53</x:v>
      </x:c>
      <x:c r="I250" s="7" t="s">
        <x:v>58</x:v>
      </x:c>
      <x:c r="J250" s="7" t="s">
        <x:v>5598</x:v>
      </x:c>
      <x:c r="K250" s="7" t="s">
        <x:v>1393</x:v>
      </x:c>
      <x:c r="L250" s="7" t="s">
        <x:v>5609</x:v>
      </x:c>
    </x:row>
    <x:row r="251" ht="51.75" hidden="0" customHeight="1">
      <x:c r="A251" s="7" t="s">
        <x:v>5848</x:v>
      </x:c>
      <x:c r="B251" s="7" t="s">
        <x:v>1031</x:v>
      </x:c>
      <x:c r="C251" s="7" t="s">
        <x:v>1033</x:v>
      </x:c>
      <x:c r="D251" s="7" t="s">
        <x:v>5594</x:v>
      </x:c>
      <x:c r="E251" s="7" t="s">
        <x:v>5595</x:v>
      </x:c>
      <x:c r="F251" s="7" t="s">
        <x:v>5849</x:v>
      </x:c>
      <x:c r="G251" s="7" t="s">
        <x:v>5597</x:v>
      </x:c>
      <x:c r="H251" s="8" t="s">
        <x:v>53</x:v>
      </x:c>
      <x:c r="I251" s="7" t="s">
        <x:v>58</x:v>
      </x:c>
      <x:c r="J251" s="7" t="s">
        <x:v>5598</x:v>
      </x:c>
      <x:c r="K251" s="7" t="s">
        <x:v>1398</x:v>
      </x:c>
      <x:c r="L251" s="7" t="s">
        <x:v>5595</x:v>
      </x:c>
    </x:row>
    <x:row r="252" ht="51.75" hidden="0" customHeight="1">
      <x:c r="A252" s="7" t="s">
        <x:v>5850</x:v>
      </x:c>
      <x:c r="B252" s="7" t="s">
        <x:v>1031</x:v>
      </x:c>
      <x:c r="C252" s="7" t="s">
        <x:v>1033</x:v>
      </x:c>
      <x:c r="D252" s="7" t="s">
        <x:v>5594</x:v>
      </x:c>
      <x:c r="E252" s="7" t="s">
        <x:v>5600</x:v>
      </x:c>
      <x:c r="F252" s="7" t="s">
        <x:v>5849</x:v>
      </x:c>
      <x:c r="G252" s="7" t="s">
        <x:v>5597</x:v>
      </x:c>
      <x:c r="H252" s="8" t="s">
        <x:v>53</x:v>
      </x:c>
      <x:c r="I252" s="7" t="s">
        <x:v>58</x:v>
      </x:c>
      <x:c r="J252" s="7" t="s">
        <x:v>5598</x:v>
      </x:c>
      <x:c r="K252" s="7" t="s">
        <x:v>1398</x:v>
      </x:c>
      <x:c r="L252" s="7" t="s">
        <x:v>5600</x:v>
      </x:c>
    </x:row>
    <x:row r="253" ht="51.75" hidden="0" customHeight="1">
      <x:c r="A253" s="7" t="s">
        <x:v>5851</x:v>
      </x:c>
      <x:c r="B253" s="7" t="s">
        <x:v>1031</x:v>
      </x:c>
      <x:c r="C253" s="7" t="s">
        <x:v>1033</x:v>
      </x:c>
      <x:c r="D253" s="7" t="s">
        <x:v>5594</x:v>
      </x:c>
      <x:c r="E253" s="7" t="s">
        <x:v>5602</x:v>
      </x:c>
      <x:c r="F253" s="7" t="s">
        <x:v>5780</x:v>
      </x:c>
      <x:c r="G253" s="7" t="s">
        <x:v>5597</x:v>
      </x:c>
      <x:c r="H253" s="8" t="s">
        <x:v>53</x:v>
      </x:c>
      <x:c r="I253" s="7" t="s">
        <x:v>58</x:v>
      </x:c>
      <x:c r="J253" s="7" t="s">
        <x:v>5598</x:v>
      </x:c>
      <x:c r="K253" s="7" t="s">
        <x:v>1398</x:v>
      </x:c>
      <x:c r="L253" s="7" t="s">
        <x:v>5602</x:v>
      </x:c>
    </x:row>
    <x:row r="254" ht="51.75" hidden="0" customHeight="1">
      <x:c r="A254" s="7" t="s">
        <x:v>5852</x:v>
      </x:c>
      <x:c r="B254" s="7" t="s">
        <x:v>1031</x:v>
      </x:c>
      <x:c r="C254" s="7" t="s">
        <x:v>1033</x:v>
      </x:c>
      <x:c r="D254" s="7" t="s">
        <x:v>5594</x:v>
      </x:c>
      <x:c r="E254" s="7" t="s">
        <x:v>5604</x:v>
      </x:c>
      <x:c r="F254" s="7" t="s">
        <x:v>5596</x:v>
      </x:c>
      <x:c r="G254" s="7" t="s">
        <x:v>5597</x:v>
      </x:c>
      <x:c r="H254" s="8" t="s">
        <x:v>53</x:v>
      </x:c>
      <x:c r="I254" s="7" t="s">
        <x:v>58</x:v>
      </x:c>
      <x:c r="J254" s="7" t="s">
        <x:v>5598</x:v>
      </x:c>
      <x:c r="K254" s="7" t="s">
        <x:v>1398</x:v>
      </x:c>
      <x:c r="L254" s="7" t="s">
        <x:v>5604</x:v>
      </x:c>
    </x:row>
    <x:row r="255" ht="51.75" hidden="0" customHeight="1">
      <x:c r="A255" s="7" t="s">
        <x:v>5853</x:v>
      </x:c>
      <x:c r="B255" s="7" t="s">
        <x:v>1031</x:v>
      </x:c>
      <x:c r="C255" s="7" t="s">
        <x:v>1033</x:v>
      </x:c>
      <x:c r="D255" s="7" t="s">
        <x:v>5594</x:v>
      </x:c>
      <x:c r="E255" s="7" t="s">
        <x:v>5606</x:v>
      </x:c>
      <x:c r="F255" s="7" t="s">
        <x:v>5596</x:v>
      </x:c>
      <x:c r="G255" s="7" t="s">
        <x:v>5597</x:v>
      </x:c>
      <x:c r="H255" s="8" t="s">
        <x:v>53</x:v>
      </x:c>
      <x:c r="I255" s="7" t="s">
        <x:v>58</x:v>
      </x:c>
      <x:c r="J255" s="7" t="s">
        <x:v>5598</x:v>
      </x:c>
      <x:c r="K255" s="7" t="s">
        <x:v>1398</x:v>
      </x:c>
      <x:c r="L255" s="7" t="s">
        <x:v>5606</x:v>
      </x:c>
    </x:row>
    <x:row r="256" ht="51.75" hidden="0" customHeight="1">
      <x:c r="A256" s="7" t="s">
        <x:v>5854</x:v>
      </x:c>
      <x:c r="B256" s="7" t="s">
        <x:v>1031</x:v>
      </x:c>
      <x:c r="C256" s="7" t="s">
        <x:v>1033</x:v>
      </x:c>
      <x:c r="D256" s="7" t="s">
        <x:v>5594</x:v>
      </x:c>
      <x:c r="E256" s="7" t="s">
        <x:v>5609</x:v>
      </x:c>
      <x:c r="F256" s="7" t="s">
        <x:v>5607</x:v>
      </x:c>
      <x:c r="G256" s="7" t="s">
        <x:v>5597</x:v>
      </x:c>
      <x:c r="H256" s="8" t="s">
        <x:v>53</x:v>
      </x:c>
      <x:c r="I256" s="7" t="s">
        <x:v>58</x:v>
      </x:c>
      <x:c r="J256" s="7" t="s">
        <x:v>5598</x:v>
      </x:c>
      <x:c r="K256" s="7" t="s">
        <x:v>1398</x:v>
      </x:c>
      <x:c r="L256" s="7" t="s">
        <x:v>5609</x:v>
      </x:c>
    </x:row>
    <x:row r="257" ht="37.5" hidden="0" customHeight="1">
      <x:c r="A257" s="7" t="s">
        <x:v>767</x:v>
      </x:c>
      <x:c r="B257" s="7" t="s">
        <x:v>759</x:v>
      </x:c>
      <x:c r="C257" s="7" t="s">
        <x:v>761</x:v>
      </x:c>
      <x:c r="D257" s="7" t="s">
        <x:v>5855</x:v>
      </x:c>
      <x:c r="E257" s="7" t="s">
        <x:v>5856</x:v>
      </x:c>
      <x:c r="F257" s="7" t="s">
        <x:v>765</x:v>
      </x:c>
      <x:c r="G257" s="7" t="s">
        <x:v>5857</x:v>
      </x:c>
      <x:c r="H257" s="8" t="s">
        <x:v>53</x:v>
      </x:c>
      <x:c r="I257" s="7" t="s">
        <x:v>58</x:v>
      </x:c>
      <x:c r="J257" s="7" t="s">
        <x:v>5598</x:v>
      </x:c>
      <x:c r="K257" s="7" t="s">
        <x:v>1317</x:v>
      </x:c>
      <x:c r="L257" s="7" t="s">
        <x:v>5856</x:v>
      </x:c>
    </x:row>
    <x:row r="258" ht="37.5" hidden="0" customHeight="1">
      <x:c r="A258" s="7" t="s">
        <x:v>988</x:v>
      </x:c>
      <x:c r="B258" s="7" t="s">
        <x:v>978</x:v>
      </x:c>
      <x:c r="C258" s="7" t="s">
        <x:v>980</x:v>
      </x:c>
      <x:c r="D258" s="7" t="s">
        <x:v>5855</x:v>
      </x:c>
      <x:c r="E258" s="7" t="s">
        <x:v>5855</x:v>
      </x:c>
      <x:c r="F258" s="7" t="s">
        <x:v>985</x:v>
      </x:c>
      <x:c r="G258" s="7" t="s">
        <x:v>53</x:v>
      </x:c>
      <x:c r="H258" s="8" t="s">
        <x:v>53</x:v>
      </x:c>
      <x:c r="I258" s="7" t="s">
        <x:v>58</x:v>
      </x:c>
      <x:c r="J258" s="7" t="s">
        <x:v>5598</x:v>
      </x:c>
      <x:c r="K258" s="7" t="s">
        <x:v>1378</x:v>
      </x:c>
      <x:c r="L258" s="7" t="s">
        <x:v>5855</x:v>
      </x:c>
    </x:row>
    <x:row r="259" ht="30" hidden="0" customHeight="1">
      <x:c r="A259" s="7" t="s">
        <x:v>5858</x:v>
      </x:c>
      <x:c r="B259" s="7" t="s">
        <x:v>978</x:v>
      </x:c>
      <x:c r="C259" s="7" t="s">
        <x:v>980</x:v>
      </x:c>
      <x:c r="D259" s="7" t="s">
        <x:v>5859</x:v>
      </x:c>
      <x:c r="E259" s="7" t="s">
        <x:v>5860</x:v>
      </x:c>
      <x:c r="F259" s="7" t="s">
        <x:v>5861</x:v>
      </x:c>
      <x:c r="G259" s="7" t="s">
        <x:v>53</x:v>
      </x:c>
      <x:c r="H259" s="8" t="s">
        <x:v>53</x:v>
      </x:c>
      <x:c r="I259" s="7" t="s">
        <x:v>58</x:v>
      </x:c>
      <x:c r="J259" s="7" t="s">
        <x:v>5598</x:v>
      </x:c>
      <x:c r="K259" s="7" t="s">
        <x:v>1378</x:v>
      </x:c>
      <x:c r="L259" s="7" t="s">
        <x:v>5860</x:v>
      </x:c>
    </x:row>
    <x:row r="260" ht="51.75" hidden="0" customHeight="1">
      <x:c r="A260" s="7" t="s">
        <x:v>989</x:v>
      </x:c>
      <x:c r="B260" s="7" t="s">
        <x:v>978</x:v>
      </x:c>
      <x:c r="C260" s="7" t="s">
        <x:v>980</x:v>
      </x:c>
      <x:c r="D260" s="7" t="s">
        <x:v>5594</x:v>
      </x:c>
      <x:c r="E260" s="7" t="s">
        <x:v>5594</x:v>
      </x:c>
      <x:c r="F260" s="7" t="s">
        <x:v>5862</x:v>
      </x:c>
      <x:c r="G260" s="7" t="s">
        <x:v>53</x:v>
      </x:c>
      <x:c r="H260" s="8" t="s">
        <x:v>53</x:v>
      </x:c>
      <x:c r="I260" s="7" t="s">
        <x:v>58</x:v>
      </x:c>
      <x:c r="J260" s="7" t="s">
        <x:v>5598</x:v>
      </x:c>
      <x:c r="K260" s="7" t="s">
        <x:v>1378</x:v>
      </x:c>
      <x:c r="L260" s="7" t="s">
        <x:v>5594</x:v>
      </x:c>
    </x:row>
    <x:row r="261" ht="37.5" hidden="0" customHeight="1">
      <x:c r="A261" s="7" t="s">
        <x:v>5863</x:v>
      </x:c>
      <x:c r="B261" s="7" t="s">
        <x:v>936</x:v>
      </x:c>
      <x:c r="C261" s="7" t="s">
        <x:v>938</x:v>
      </x:c>
      <x:c r="D261" s="7" t="s">
        <x:v>5594</x:v>
      </x:c>
      <x:c r="E261" s="7" t="s">
        <x:v>5864</x:v>
      </x:c>
      <x:c r="F261" s="7" t="s">
        <x:v>5865</x:v>
      </x:c>
      <x:c r="G261" s="7" t="s">
        <x:v>5866</x:v>
      </x:c>
      <x:c r="H261" s="8" t="s">
        <x:v>53</x:v>
      </x:c>
      <x:c r="I261" s="7" t="s">
        <x:v>58</x:v>
      </x:c>
      <x:c r="J261" s="7" t="s">
        <x:v>5598</x:v>
      </x:c>
      <x:c r="K261" s="7" t="s">
        <x:v>1364</x:v>
      </x:c>
      <x:c r="L261" s="7" t="s">
        <x:v>5864</x:v>
      </x:c>
    </x:row>
    <x:row r="262" ht="37.5" hidden="0" customHeight="1">
      <x:c r="A262" s="7" t="s">
        <x:v>5867</x:v>
      </x:c>
      <x:c r="B262" s="7" t="s">
        <x:v>936</x:v>
      </x:c>
      <x:c r="C262" s="7" t="s">
        <x:v>938</x:v>
      </x:c>
      <x:c r="D262" s="7" t="s">
        <x:v>5594</x:v>
      </x:c>
      <x:c r="E262" s="7" t="s">
        <x:v>5868</x:v>
      </x:c>
      <x:c r="F262" s="7" t="s">
        <x:v>5865</x:v>
      </x:c>
      <x:c r="G262" s="7" t="s">
        <x:v>5866</x:v>
      </x:c>
      <x:c r="H262" s="8" t="s">
        <x:v>53</x:v>
      </x:c>
      <x:c r="I262" s="7" t="s">
        <x:v>58</x:v>
      </x:c>
      <x:c r="J262" s="7" t="s">
        <x:v>5598</x:v>
      </x:c>
      <x:c r="K262" s="7" t="s">
        <x:v>1364</x:v>
      </x:c>
      <x:c r="L262" s="7" t="s">
        <x:v>5868</x:v>
      </x:c>
    </x:row>
    <x:row r="263" ht="37.5" hidden="0" customHeight="1">
      <x:c r="A263" s="7" t="s">
        <x:v>5869</x:v>
      </x:c>
      <x:c r="B263" s="7" t="s">
        <x:v>936</x:v>
      </x:c>
      <x:c r="C263" s="7" t="s">
        <x:v>938</x:v>
      </x:c>
      <x:c r="D263" s="7" t="s">
        <x:v>5594</x:v>
      </x:c>
      <x:c r="E263" s="7" t="s">
        <x:v>5870</x:v>
      </x:c>
      <x:c r="F263" s="7" t="s">
        <x:v>5865</x:v>
      </x:c>
      <x:c r="G263" s="7" t="s">
        <x:v>5866</x:v>
      </x:c>
      <x:c r="H263" s="8" t="s">
        <x:v>53</x:v>
      </x:c>
      <x:c r="I263" s="7" t="s">
        <x:v>58</x:v>
      </x:c>
      <x:c r="J263" s="7" t="s">
        <x:v>5598</x:v>
      </x:c>
      <x:c r="K263" s="7" t="s">
        <x:v>1364</x:v>
      </x:c>
      <x:c r="L263" s="7" t="s">
        <x:v>5870</x:v>
      </x:c>
    </x:row>
    <x:row r="264" ht="37.5" hidden="0" customHeight="1">
      <x:c r="A264" s="7" t="s">
        <x:v>5871</x:v>
      </x:c>
      <x:c r="B264" s="7" t="s">
        <x:v>936</x:v>
      </x:c>
      <x:c r="C264" s="7" t="s">
        <x:v>938</x:v>
      </x:c>
      <x:c r="D264" s="7" t="s">
        <x:v>5594</x:v>
      </x:c>
      <x:c r="E264" s="7" t="s">
        <x:v>5872</x:v>
      </x:c>
      <x:c r="F264" s="7" t="s">
        <x:v>5865</x:v>
      </x:c>
      <x:c r="G264" s="7" t="s">
        <x:v>5866</x:v>
      </x:c>
      <x:c r="H264" s="8" t="s">
        <x:v>53</x:v>
      </x:c>
      <x:c r="I264" s="7" t="s">
        <x:v>58</x:v>
      </x:c>
      <x:c r="J264" s="7" t="s">
        <x:v>5598</x:v>
      </x:c>
      <x:c r="K264" s="7" t="s">
        <x:v>1364</x:v>
      </x:c>
      <x:c r="L264" s="7" t="s">
        <x:v>5872</x:v>
      </x:c>
    </x:row>
    <x:row r="265" ht="37.5" hidden="0" customHeight="1">
      <x:c r="A265" s="7" t="s">
        <x:v>5873</x:v>
      </x:c>
      <x:c r="B265" s="7" t="s">
        <x:v>936</x:v>
      </x:c>
      <x:c r="C265" s="7" t="s">
        <x:v>938</x:v>
      </x:c>
      <x:c r="D265" s="7" t="s">
        <x:v>5594</x:v>
      </x:c>
      <x:c r="E265" s="7" t="s">
        <x:v>5874</x:v>
      </x:c>
      <x:c r="F265" s="7" t="s">
        <x:v>5875</x:v>
      </x:c>
      <x:c r="G265" s="7" t="s">
        <x:v>5866</x:v>
      </x:c>
      <x:c r="H265" s="8" t="s">
        <x:v>53</x:v>
      </x:c>
      <x:c r="I265" s="7" t="s">
        <x:v>58</x:v>
      </x:c>
      <x:c r="J265" s="7" t="s">
        <x:v>5598</x:v>
      </x:c>
      <x:c r="K265" s="7" t="s">
        <x:v>1364</x:v>
      </x:c>
      <x:c r="L265" s="7" t="s">
        <x:v>5874</x:v>
      </x:c>
    </x:row>
    <x:row r="266" ht="37.5" hidden="0" customHeight="1">
      <x:c r="A266" s="7" t="s">
        <x:v>5876</x:v>
      </x:c>
      <x:c r="B266" s="7" t="s">
        <x:v>936</x:v>
      </x:c>
      <x:c r="C266" s="7" t="s">
        <x:v>938</x:v>
      </x:c>
      <x:c r="D266" s="7" t="s">
        <x:v>5594</x:v>
      </x:c>
      <x:c r="E266" s="7" t="s">
        <x:v>5877</x:v>
      </x:c>
      <x:c r="F266" s="7" t="s">
        <x:v>5865</x:v>
      </x:c>
      <x:c r="G266" s="7" t="s">
        <x:v>5866</x:v>
      </x:c>
      <x:c r="H266" s="8" t="s">
        <x:v>53</x:v>
      </x:c>
      <x:c r="I266" s="7" t="s">
        <x:v>58</x:v>
      </x:c>
      <x:c r="J266" s="7" t="s">
        <x:v>5598</x:v>
      </x:c>
      <x:c r="K266" s="7" t="s">
        <x:v>1364</x:v>
      </x:c>
      <x:c r="L266" s="7" t="s">
        <x:v>5877</x:v>
      </x:c>
    </x:row>
    <x:row r="267" ht="37.5" hidden="0" customHeight="1">
      <x:c r="A267" s="7" t="s">
        <x:v>5878</x:v>
      </x:c>
      <x:c r="B267" s="7" t="s">
        <x:v>936</x:v>
      </x:c>
      <x:c r="C267" s="7" t="s">
        <x:v>938</x:v>
      </x:c>
      <x:c r="D267" s="7" t="s">
        <x:v>5594</x:v>
      </x:c>
      <x:c r="E267" s="7" t="s">
        <x:v>5879</x:v>
      </x:c>
      <x:c r="F267" s="7" t="s">
        <x:v>5875</x:v>
      </x:c>
      <x:c r="G267" s="7" t="s">
        <x:v>5866</x:v>
      </x:c>
      <x:c r="H267" s="8" t="s">
        <x:v>53</x:v>
      </x:c>
      <x:c r="I267" s="7" t="s">
        <x:v>58</x:v>
      </x:c>
      <x:c r="J267" s="7" t="s">
        <x:v>5598</x:v>
      </x:c>
      <x:c r="K267" s="7" t="s">
        <x:v>1364</x:v>
      </x:c>
      <x:c r="L267" s="7" t="s">
        <x:v>5879</x:v>
      </x:c>
    </x:row>
    <x:row r="268" ht="37.5" hidden="0" customHeight="1">
      <x:c r="A268" s="7" t="s">
        <x:v>5880</x:v>
      </x:c>
      <x:c r="B268" s="7" t="s">
        <x:v>936</x:v>
      </x:c>
      <x:c r="C268" s="7" t="s">
        <x:v>938</x:v>
      </x:c>
      <x:c r="D268" s="7" t="s">
        <x:v>5594</x:v>
      </x:c>
      <x:c r="E268" s="7" t="s">
        <x:v>5881</x:v>
      </x:c>
      <x:c r="F268" s="7" t="s">
        <x:v>5875</x:v>
      </x:c>
      <x:c r="G268" s="7" t="s">
        <x:v>5866</x:v>
      </x:c>
      <x:c r="H268" s="8" t="s">
        <x:v>53</x:v>
      </x:c>
      <x:c r="I268" s="7" t="s">
        <x:v>58</x:v>
      </x:c>
      <x:c r="J268" s="7" t="s">
        <x:v>5598</x:v>
      </x:c>
      <x:c r="K268" s="7" t="s">
        <x:v>1364</x:v>
      </x:c>
      <x:c r="L268" s="7" t="s">
        <x:v>5881</x:v>
      </x:c>
    </x:row>
    <x:row r="269" ht="37.5" hidden="0" customHeight="1">
      <x:c r="A269" s="7" t="s">
        <x:v>5882</x:v>
      </x:c>
      <x:c r="B269" s="7" t="s">
        <x:v>936</x:v>
      </x:c>
      <x:c r="C269" s="7" t="s">
        <x:v>938</x:v>
      </x:c>
      <x:c r="D269" s="7" t="s">
        <x:v>5594</x:v>
      </x:c>
      <x:c r="E269" s="7" t="s">
        <x:v>5883</x:v>
      </x:c>
      <x:c r="F269" s="7" t="s">
        <x:v>5865</x:v>
      </x:c>
      <x:c r="G269" s="7" t="s">
        <x:v>5866</x:v>
      </x:c>
      <x:c r="H269" s="8" t="s">
        <x:v>53</x:v>
      </x:c>
      <x:c r="I269" s="7" t="s">
        <x:v>58</x:v>
      </x:c>
      <x:c r="J269" s="7" t="s">
        <x:v>5598</x:v>
      </x:c>
      <x:c r="K269" s="7" t="s">
        <x:v>1364</x:v>
      </x:c>
      <x:c r="L269" s="7" t="s">
        <x:v>5883</x:v>
      </x:c>
    </x:row>
    <x:row r="270" ht="37.5" hidden="0" customHeight="1">
      <x:c r="A270" s="7" t="s">
        <x:v>5884</x:v>
      </x:c>
      <x:c r="B270" s="7" t="s">
        <x:v>936</x:v>
      </x:c>
      <x:c r="C270" s="7" t="s">
        <x:v>938</x:v>
      </x:c>
      <x:c r="D270" s="7" t="s">
        <x:v>5594</x:v>
      </x:c>
      <x:c r="E270" s="7" t="s">
        <x:v>5885</x:v>
      </x:c>
      <x:c r="F270" s="7" t="s">
        <x:v>5865</x:v>
      </x:c>
      <x:c r="G270" s="7" t="s">
        <x:v>5866</x:v>
      </x:c>
      <x:c r="H270" s="8" t="s">
        <x:v>53</x:v>
      </x:c>
      <x:c r="I270" s="7" t="s">
        <x:v>58</x:v>
      </x:c>
      <x:c r="J270" s="7" t="s">
        <x:v>5598</x:v>
      </x:c>
      <x:c r="K270" s="7" t="s">
        <x:v>1364</x:v>
      </x:c>
      <x:c r="L270" s="7" t="s">
        <x:v>5885</x:v>
      </x:c>
    </x:row>
    <x:row r="271" ht="37.5" hidden="0" customHeight="1">
      <x:c r="A271" s="7" t="s">
        <x:v>5886</x:v>
      </x:c>
      <x:c r="B271" s="7" t="s">
        <x:v>936</x:v>
      </x:c>
      <x:c r="C271" s="7" t="s">
        <x:v>938</x:v>
      </x:c>
      <x:c r="D271" s="7" t="s">
        <x:v>5594</x:v>
      </x:c>
      <x:c r="E271" s="7" t="s">
        <x:v>5887</x:v>
      </x:c>
      <x:c r="F271" s="7" t="s">
        <x:v>5865</x:v>
      </x:c>
      <x:c r="G271" s="7" t="s">
        <x:v>5866</x:v>
      </x:c>
      <x:c r="H271" s="8" t="s">
        <x:v>53</x:v>
      </x:c>
      <x:c r="I271" s="7" t="s">
        <x:v>58</x:v>
      </x:c>
      <x:c r="J271" s="7" t="s">
        <x:v>5598</x:v>
      </x:c>
      <x:c r="K271" s="7" t="s">
        <x:v>1364</x:v>
      </x:c>
      <x:c r="L271" s="7" t="s">
        <x:v>5887</x:v>
      </x:c>
    </x:row>
    <x:row r="272" ht="37.5" hidden="0" customHeight="1">
      <x:c r="A272" s="7" t="s">
        <x:v>5888</x:v>
      </x:c>
      <x:c r="B272" s="7" t="s">
        <x:v>936</x:v>
      </x:c>
      <x:c r="C272" s="7" t="s">
        <x:v>938</x:v>
      </x:c>
      <x:c r="D272" s="7" t="s">
        <x:v>5594</x:v>
      </x:c>
      <x:c r="E272" s="7" t="s">
        <x:v>5889</x:v>
      </x:c>
      <x:c r="F272" s="7" t="s">
        <x:v>5865</x:v>
      </x:c>
      <x:c r="G272" s="7" t="s">
        <x:v>5866</x:v>
      </x:c>
      <x:c r="H272" s="8" t="s">
        <x:v>53</x:v>
      </x:c>
      <x:c r="I272" s="7" t="s">
        <x:v>58</x:v>
      </x:c>
      <x:c r="J272" s="7" t="s">
        <x:v>5598</x:v>
      </x:c>
      <x:c r="K272" s="7" t="s">
        <x:v>1364</x:v>
      </x:c>
      <x:c r="L272" s="7" t="s">
        <x:v>5889</x:v>
      </x:c>
    </x:row>
    <x:row r="273" ht="37.5" hidden="0" customHeight="1">
      <x:c r="A273" s="7" t="s">
        <x:v>5890</x:v>
      </x:c>
      <x:c r="B273" s="7" t="s">
        <x:v>936</x:v>
      </x:c>
      <x:c r="C273" s="7" t="s">
        <x:v>938</x:v>
      </x:c>
      <x:c r="D273" s="7" t="s">
        <x:v>5594</x:v>
      </x:c>
      <x:c r="E273" s="7" t="s">
        <x:v>5891</x:v>
      </x:c>
      <x:c r="F273" s="7" t="s">
        <x:v>5865</x:v>
      </x:c>
      <x:c r="G273" s="7" t="s">
        <x:v>5866</x:v>
      </x:c>
      <x:c r="H273" s="8" t="s">
        <x:v>53</x:v>
      </x:c>
      <x:c r="I273" s="7" t="s">
        <x:v>58</x:v>
      </x:c>
      <x:c r="J273" s="7" t="s">
        <x:v>5598</x:v>
      </x:c>
      <x:c r="K273" s="7" t="s">
        <x:v>1364</x:v>
      </x:c>
      <x:c r="L273" s="7" t="s">
        <x:v>5891</x:v>
      </x:c>
    </x:row>
    <x:row r="274" ht="37.5" hidden="0" customHeight="1">
      <x:c r="A274" s="7" t="s">
        <x:v>5892</x:v>
      </x:c>
      <x:c r="B274" s="7" t="s">
        <x:v>45</x:v>
      </x:c>
      <x:c r="C274" s="7" t="s">
        <x:v>58</x:v>
      </x:c>
      <x:c r="D274" s="7" t="s">
        <x:v>5855</x:v>
      </x:c>
      <x:c r="E274" s="7" t="s">
        <x:v>22</x:v>
      </x:c>
      <x:c r="F274" s="7" t="s">
        <x:v>60</x:v>
      </x:c>
      <x:c r="G274" s="7" t="s">
        <x:v>5893</x:v>
      </x:c>
      <x:c r="H274" s="8" t="s">
        <x:v>53</x:v>
      </x:c>
      <x:c r="I274" s="7" t="s">
        <x:v>58</x:v>
      </x:c>
      <x:c r="J274" s="7" t="s">
        <x:v>5598</x:v>
      </x:c>
      <x:c r="K274" s="7" t="s">
        <x:v>5894</x:v>
      </x:c>
      <x:c r="L274" s="7" t="s">
        <x:v>22</x:v>
      </x:c>
    </x:row>
    <x:row r="275" ht="37.5" hidden="0" customHeight="1">
      <x:c r="A275" s="7" t="s">
        <x:v>5895</x:v>
      </x:c>
      <x:c r="B275" s="7" t="s">
        <x:v>45</x:v>
      </x:c>
      <x:c r="C275" s="7" t="s">
        <x:v>58</x:v>
      </x:c>
      <x:c r="D275" s="7" t="s">
        <x:v>23</x:v>
      </x:c>
      <x:c r="E275" s="7" t="s">
        <x:v>5896</x:v>
      </x:c>
      <x:c r="F275" s="7" t="s">
        <x:v>5897</x:v>
      </x:c>
      <x:c r="G275" s="7" t="s">
        <x:v>5893</x:v>
      </x:c>
      <x:c r="H275" s="8" t="s">
        <x:v>53</x:v>
      </x:c>
      <x:c r="I275" s="7" t="s">
        <x:v>58</x:v>
      </x:c>
      <x:c r="J275" s="7" t="s">
        <x:v>5598</x:v>
      </x:c>
      <x:c r="K275" s="7" t="s">
        <x:v>5894</x:v>
      </x:c>
      <x:c r="L275" s="7" t="s">
        <x:v>5896</x:v>
      </x:c>
    </x:row>
    <x:row r="276" ht="37.5" hidden="0" customHeight="1">
      <x:c r="A276" s="7" t="s">
        <x:v>5898</x:v>
      </x:c>
      <x:c r="B276" s="7" t="s">
        <x:v>45</x:v>
      </x:c>
      <x:c r="C276" s="7" t="s">
        <x:v>58</x:v>
      </x:c>
      <x:c r="D276" s="7" t="s">
        <x:v>5899</x:v>
      </x:c>
      <x:c r="E276" s="7" t="s">
        <x:v>1474</x:v>
      </x:c>
      <x:c r="F276" s="7" t="s">
        <x:v>5900</x:v>
      </x:c>
      <x:c r="G276" s="7" t="s">
        <x:v>5893</x:v>
      </x:c>
      <x:c r="H276" s="8" t="s">
        <x:v>53</x:v>
      </x:c>
      <x:c r="I276" s="7" t="s">
        <x:v>58</x:v>
      </x:c>
      <x:c r="J276" s="7" t="s">
        <x:v>5598</x:v>
      </x:c>
      <x:c r="K276" s="7" t="s">
        <x:v>5894</x:v>
      </x:c>
      <x:c r="L276" s="7" t="s">
        <x:v>1474</x:v>
      </x:c>
    </x:row>
    <x:row r="277" ht="37.5" hidden="0" customHeight="1">
      <x:c r="A277" s="7" t="s">
        <x:v>5901</x:v>
      </x:c>
      <x:c r="B277" s="7" t="s">
        <x:v>45</x:v>
      </x:c>
      <x:c r="C277" s="7" t="s">
        <x:v>58</x:v>
      </x:c>
      <x:c r="D277" s="7" t="s">
        <x:v>1903</x:v>
      </x:c>
      <x:c r="E277" s="7" t="s">
        <x:v>5902</x:v>
      </x:c>
      <x:c r="F277" s="7" t="s">
        <x:v>5903</x:v>
      </x:c>
      <x:c r="G277" s="7" t="s">
        <x:v>5893</x:v>
      </x:c>
      <x:c r="H277" s="8" t="s">
        <x:v>53</x:v>
      </x:c>
      <x:c r="I277" s="7" t="s">
        <x:v>58</x:v>
      </x:c>
      <x:c r="J277" s="7" t="s">
        <x:v>5598</x:v>
      </x:c>
      <x:c r="K277" s="7" t="s">
        <x:v>5894</x:v>
      </x:c>
      <x:c r="L277" s="7" t="s">
        <x:v>5902</x:v>
      </x:c>
    </x:row>
    <x:row r="278" ht="37.5" hidden="0" customHeight="1">
      <x:c r="A278" s="7" t="s">
        <x:v>5904</x:v>
      </x:c>
      <x:c r="B278" s="7" t="s">
        <x:v>45</x:v>
      </x:c>
      <x:c r="C278" s="7" t="s">
        <x:v>58</x:v>
      </x:c>
      <x:c r="D278" s="7" t="s">
        <x:v>5905</x:v>
      </x:c>
      <x:c r="E278" s="7" t="s">
        <x:v>5906</x:v>
      </x:c>
      <x:c r="F278" s="7" t="s">
        <x:v>5907</x:v>
      </x:c>
      <x:c r="G278" s="7" t="s">
        <x:v>5893</x:v>
      </x:c>
      <x:c r="H278" s="8" t="s">
        <x:v>53</x:v>
      </x:c>
      <x:c r="I278" s="7" t="s">
        <x:v>58</x:v>
      </x:c>
      <x:c r="J278" s="7" t="s">
        <x:v>5598</x:v>
      </x:c>
      <x:c r="K278" s="7" t="s">
        <x:v>5894</x:v>
      </x:c>
      <x:c r="L278" s="7" t="s">
        <x:v>5906</x:v>
      </x:c>
    </x:row>
    <x:row r="279" ht="37.5" hidden="0" customHeight="1">
      <x:c r="A279" s="7" t="s">
        <x:v>5908</x:v>
      </x:c>
      <x:c r="B279" s="7" t="s">
        <x:v>45</x:v>
      </x:c>
      <x:c r="C279" s="7" t="s">
        <x:v>58</x:v>
      </x:c>
      <x:c r="D279" s="7" t="s">
        <x:v>5909</x:v>
      </x:c>
      <x:c r="E279" s="7" t="s">
        <x:v>5910</x:v>
      </x:c>
      <x:c r="F279" s="7" t="s">
        <x:v>5911</x:v>
      </x:c>
      <x:c r="G279" s="7" t="s">
        <x:v>5893</x:v>
      </x:c>
      <x:c r="H279" s="8" t="s">
        <x:v>53</x:v>
      </x:c>
      <x:c r="I279" s="7" t="s">
        <x:v>58</x:v>
      </x:c>
      <x:c r="J279" s="7" t="s">
        <x:v>5598</x:v>
      </x:c>
      <x:c r="K279" s="7" t="s">
        <x:v>5894</x:v>
      </x:c>
      <x:c r="L279" s="7" t="s">
        <x:v>5910</x:v>
      </x:c>
    </x:row>
    <x:row r="280" ht="37.5" hidden="0" customHeight="1">
      <x:c r="A280" s="7" t="s">
        <x:v>5912</x:v>
      </x:c>
      <x:c r="B280" s="7" t="s">
        <x:v>45</x:v>
      </x:c>
      <x:c r="C280" s="7" t="s">
        <x:v>58</x:v>
      </x:c>
      <x:c r="D280" s="7" t="s">
        <x:v>5859</x:v>
      </x:c>
      <x:c r="E280" s="7" t="s">
        <x:v>5860</x:v>
      </x:c>
      <x:c r="F280" s="7" t="s">
        <x:v>5913</x:v>
      </x:c>
      <x:c r="G280" s="7" t="s">
        <x:v>5893</x:v>
      </x:c>
      <x:c r="H280" s="8" t="s">
        <x:v>53</x:v>
      </x:c>
      <x:c r="I280" s="7" t="s">
        <x:v>58</x:v>
      </x:c>
      <x:c r="J280" s="7" t="s">
        <x:v>5598</x:v>
      </x:c>
      <x:c r="K280" s="7" t="s">
        <x:v>5894</x:v>
      </x:c>
      <x:c r="L280" s="7" t="s">
        <x:v>5860</x:v>
      </x:c>
    </x:row>
    <x:row r="281" ht="37.5" hidden="0" customHeight="1">
      <x:c r="A281" s="7" t="s">
        <x:v>5914</x:v>
      </x:c>
      <x:c r="B281" s="7" t="s">
        <x:v>266</x:v>
      </x:c>
      <x:c r="C281" s="7" t="s">
        <x:v>58</x:v>
      </x:c>
      <x:c r="D281" s="7" t="s">
        <x:v>5855</x:v>
      </x:c>
      <x:c r="E281" s="7" t="s">
        <x:v>22</x:v>
      </x:c>
      <x:c r="F281" s="7" t="s">
        <x:v>272</x:v>
      </x:c>
      <x:c r="G281" s="7" t="s">
        <x:v>5893</x:v>
      </x:c>
      <x:c r="H281" s="8" t="s">
        <x:v>53</x:v>
      </x:c>
      <x:c r="I281" s="7" t="s">
        <x:v>58</x:v>
      </x:c>
      <x:c r="J281" s="7" t="s">
        <x:v>5598</x:v>
      </x:c>
      <x:c r="K281" s="7" t="s">
        <x:v>5915</x:v>
      </x:c>
      <x:c r="L281" s="7" t="s">
        <x:v>22</x:v>
      </x:c>
    </x:row>
    <x:row r="282" ht="37.5" hidden="0" customHeight="1">
      <x:c r="A282" s="7" t="s">
        <x:v>5916</x:v>
      </x:c>
      <x:c r="B282" s="7" t="s">
        <x:v>266</x:v>
      </x:c>
      <x:c r="C282" s="7" t="s">
        <x:v>58</x:v>
      </x:c>
      <x:c r="D282" s="7" t="s">
        <x:v>5899</x:v>
      </x:c>
      <x:c r="E282" s="7" t="s">
        <x:v>5917</x:v>
      </x:c>
      <x:c r="F282" s="7" t="s">
        <x:v>5918</x:v>
      </x:c>
      <x:c r="G282" s="7" t="s">
        <x:v>5893</x:v>
      </x:c>
      <x:c r="H282" s="8" t="s">
        <x:v>53</x:v>
      </x:c>
      <x:c r="I282" s="7" t="s">
        <x:v>58</x:v>
      </x:c>
      <x:c r="J282" s="7" t="s">
        <x:v>5598</x:v>
      </x:c>
      <x:c r="K282" s="7" t="s">
        <x:v>5915</x:v>
      </x:c>
      <x:c r="L282" s="7" t="s">
        <x:v>5917</x:v>
      </x:c>
    </x:row>
    <x:row r="283" ht="37.5" hidden="0" customHeight="1">
      <x:c r="A283" s="7" t="s">
        <x:v>5919</x:v>
      </x:c>
      <x:c r="B283" s="7" t="s">
        <x:v>266</x:v>
      </x:c>
      <x:c r="C283" s="7" t="s">
        <x:v>58</x:v>
      </x:c>
      <x:c r="D283" s="7" t="s">
        <x:v>1903</x:v>
      </x:c>
      <x:c r="E283" s="7" t="s">
        <x:v>5920</x:v>
      </x:c>
      <x:c r="F283" s="7" t="s">
        <x:v>5921</x:v>
      </x:c>
      <x:c r="G283" s="7" t="s">
        <x:v>5893</x:v>
      </x:c>
      <x:c r="H283" s="8" t="s">
        <x:v>53</x:v>
      </x:c>
      <x:c r="I283" s="7" t="s">
        <x:v>58</x:v>
      </x:c>
      <x:c r="J283" s="7" t="s">
        <x:v>5598</x:v>
      </x:c>
      <x:c r="K283" s="7" t="s">
        <x:v>5915</x:v>
      </x:c>
      <x:c r="L283" s="7" t="s">
        <x:v>5920</x:v>
      </x:c>
    </x:row>
    <x:row r="284" ht="37.5" hidden="0" customHeight="1">
      <x:c r="A284" s="7" t="s">
        <x:v>5922</x:v>
      </x:c>
      <x:c r="B284" s="7" t="s">
        <x:v>266</x:v>
      </x:c>
      <x:c r="C284" s="7" t="s">
        <x:v>58</x:v>
      </x:c>
      <x:c r="D284" s="7" t="s">
        <x:v>5899</x:v>
      </x:c>
      <x:c r="E284" s="7" t="s">
        <x:v>5923</x:v>
      </x:c>
      <x:c r="F284" s="7" t="s">
        <x:v>5924</x:v>
      </x:c>
      <x:c r="G284" s="7" t="s">
        <x:v>5893</x:v>
      </x:c>
      <x:c r="H284" s="8" t="s">
        <x:v>53</x:v>
      </x:c>
      <x:c r="I284" s="7" t="s">
        <x:v>58</x:v>
      </x:c>
      <x:c r="J284" s="7" t="s">
        <x:v>5598</x:v>
      </x:c>
      <x:c r="K284" s="7" t="s">
        <x:v>5915</x:v>
      </x:c>
      <x:c r="L284" s="7" t="s">
        <x:v>5923</x:v>
      </x:c>
    </x:row>
    <x:row r="285" ht="37.5" hidden="0" customHeight="1">
      <x:c r="A285" s="7" t="s">
        <x:v>5925</x:v>
      </x:c>
      <x:c r="B285" s="7" t="s">
        <x:v>342</x:v>
      </x:c>
      <x:c r="C285" s="7" t="s">
        <x:v>58</x:v>
      </x:c>
      <x:c r="D285" s="7" t="s">
        <x:v>5855</x:v>
      </x:c>
      <x:c r="E285" s="7" t="s">
        <x:v>22</x:v>
      </x:c>
      <x:c r="F285" s="7" t="s">
        <x:v>352</x:v>
      </x:c>
      <x:c r="G285" s="7" t="s">
        <x:v>5893</x:v>
      </x:c>
      <x:c r="H285" s="8" t="s">
        <x:v>53</x:v>
      </x:c>
      <x:c r="I285" s="7" t="s">
        <x:v>58</x:v>
      </x:c>
      <x:c r="J285" s="7" t="s">
        <x:v>5598</x:v>
      </x:c>
      <x:c r="K285" s="7" t="s">
        <x:v>5926</x:v>
      </x:c>
      <x:c r="L285" s="7" t="s">
        <x:v>22</x:v>
      </x:c>
    </x:row>
    <x:row r="286" ht="37.5" hidden="0" customHeight="1">
      <x:c r="A286" s="7" t="s">
        <x:v>5927</x:v>
      </x:c>
      <x:c r="B286" s="7" t="s">
        <x:v>342</x:v>
      </x:c>
      <x:c r="C286" s="7" t="s">
        <x:v>58</x:v>
      </x:c>
      <x:c r="D286" s="7" t="s">
        <x:v>5905</x:v>
      </x:c>
      <x:c r="E286" s="7" t="s">
        <x:v>5928</x:v>
      </x:c>
      <x:c r="F286" s="7" t="s">
        <x:v>5929</x:v>
      </x:c>
      <x:c r="G286" s="7" t="s">
        <x:v>5893</x:v>
      </x:c>
      <x:c r="H286" s="8" t="s">
        <x:v>53</x:v>
      </x:c>
      <x:c r="I286" s="7" t="s">
        <x:v>58</x:v>
      </x:c>
      <x:c r="J286" s="7" t="s">
        <x:v>5598</x:v>
      </x:c>
      <x:c r="K286" s="7" t="s">
        <x:v>5926</x:v>
      </x:c>
      <x:c r="L286" s="7" t="s">
        <x:v>5928</x:v>
      </x:c>
    </x:row>
    <x:row r="287" ht="37.5" hidden="0" customHeight="1">
      <x:c r="A287" s="7" t="s">
        <x:v>5930</x:v>
      </x:c>
      <x:c r="B287" s="7" t="s">
        <x:v>342</x:v>
      </x:c>
      <x:c r="C287" s="7" t="s">
        <x:v>58</x:v>
      </x:c>
      <x:c r="D287" s="7" t="s">
        <x:v>5899</x:v>
      </x:c>
      <x:c r="E287" s="7" t="s">
        <x:v>5931</x:v>
      </x:c>
      <x:c r="F287" s="7" t="s">
        <x:v>5932</x:v>
      </x:c>
      <x:c r="G287" s="7" t="s">
        <x:v>5893</x:v>
      </x:c>
      <x:c r="H287" s="8" t="s">
        <x:v>53</x:v>
      </x:c>
      <x:c r="I287" s="7" t="s">
        <x:v>58</x:v>
      </x:c>
      <x:c r="J287" s="7" t="s">
        <x:v>5598</x:v>
      </x:c>
      <x:c r="K287" s="7" t="s">
        <x:v>5926</x:v>
      </x:c>
      <x:c r="L287" s="7" t="s">
        <x:v>5931</x:v>
      </x:c>
    </x:row>
    <x:row r="288" ht="37.5" hidden="0" customHeight="1">
      <x:c r="A288" s="7" t="s">
        <x:v>5933</x:v>
      </x:c>
      <x:c r="B288" s="7" t="s">
        <x:v>342</x:v>
      </x:c>
      <x:c r="C288" s="7" t="s">
        <x:v>58</x:v>
      </x:c>
      <x:c r="D288" s="7" t="s">
        <x:v>1903</x:v>
      </x:c>
      <x:c r="E288" s="7" t="s">
        <x:v>5934</x:v>
      </x:c>
      <x:c r="F288" s="7" t="s">
        <x:v>5935</x:v>
      </x:c>
      <x:c r="G288" s="7" t="s">
        <x:v>5893</x:v>
      </x:c>
      <x:c r="H288" s="8" t="s">
        <x:v>53</x:v>
      </x:c>
      <x:c r="I288" s="7" t="s">
        <x:v>58</x:v>
      </x:c>
      <x:c r="J288" s="7" t="s">
        <x:v>5598</x:v>
      </x:c>
      <x:c r="K288" s="7" t="s">
        <x:v>5926</x:v>
      </x:c>
      <x:c r="L288" s="7" t="s">
        <x:v>5934</x:v>
      </x:c>
    </x:row>
    <x:row r="289" ht="37.5" hidden="0" customHeight="1">
      <x:c r="A289" s="7" t="s">
        <x:v>5936</x:v>
      </x:c>
      <x:c r="B289" s="7" t="s">
        <x:v>390</x:v>
      </x:c>
      <x:c r="C289" s="7" t="s">
        <x:v>58</x:v>
      </x:c>
      <x:c r="D289" s="7" t="s">
        <x:v>5855</x:v>
      </x:c>
      <x:c r="E289" s="7" t="s">
        <x:v>22</x:v>
      </x:c>
      <x:c r="F289" s="7" t="s">
        <x:v>398</x:v>
      </x:c>
      <x:c r="G289" s="7" t="s">
        <x:v>5893</x:v>
      </x:c>
      <x:c r="H289" s="8" t="s">
        <x:v>53</x:v>
      </x:c>
      <x:c r="I289" s="7" t="s">
        <x:v>58</x:v>
      </x:c>
      <x:c r="J289" s="7" t="s">
        <x:v>5598</x:v>
      </x:c>
      <x:c r="K289" s="7" t="s">
        <x:v>5937</x:v>
      </x:c>
      <x:c r="L289" s="7" t="s">
        <x:v>22</x:v>
      </x:c>
    </x:row>
    <x:row r="290" ht="37.5" hidden="0" customHeight="1">
      <x:c r="A290" s="7" t="s">
        <x:v>5938</x:v>
      </x:c>
      <x:c r="B290" s="7" t="s">
        <x:v>390</x:v>
      </x:c>
      <x:c r="C290" s="7" t="s">
        <x:v>58</x:v>
      </x:c>
      <x:c r="D290" s="7" t="s">
        <x:v>5905</x:v>
      </x:c>
      <x:c r="E290" s="7" t="s">
        <x:v>5939</x:v>
      </x:c>
      <x:c r="F290" s="7" t="s">
        <x:v>5940</x:v>
      </x:c>
      <x:c r="G290" s="7" t="s">
        <x:v>5893</x:v>
      </x:c>
      <x:c r="H290" s="8" t="s">
        <x:v>53</x:v>
      </x:c>
      <x:c r="I290" s="7" t="s">
        <x:v>58</x:v>
      </x:c>
      <x:c r="J290" s="7" t="s">
        <x:v>5598</x:v>
      </x:c>
      <x:c r="K290" s="7" t="s">
        <x:v>5937</x:v>
      </x:c>
      <x:c r="L290" s="7" t="s">
        <x:v>5939</x:v>
      </x:c>
    </x:row>
    <x:row r="291" ht="37.5" hidden="0" customHeight="1">
      <x:c r="A291" s="7" t="s">
        <x:v>5941</x:v>
      </x:c>
      <x:c r="B291" s="7" t="s">
        <x:v>390</x:v>
      </x:c>
      <x:c r="C291" s="7" t="s">
        <x:v>58</x:v>
      </x:c>
      <x:c r="D291" s="7" t="s">
        <x:v>5899</x:v>
      </x:c>
      <x:c r="E291" s="7" t="s">
        <x:v>5942</x:v>
      </x:c>
      <x:c r="F291" s="7" t="s">
        <x:v>5943</x:v>
      </x:c>
      <x:c r="G291" s="7" t="s">
        <x:v>5893</x:v>
      </x:c>
      <x:c r="H291" s="8" t="s">
        <x:v>53</x:v>
      </x:c>
      <x:c r="I291" s="7" t="s">
        <x:v>58</x:v>
      </x:c>
      <x:c r="J291" s="7" t="s">
        <x:v>5598</x:v>
      </x:c>
      <x:c r="K291" s="7" t="s">
        <x:v>5937</x:v>
      </x:c>
      <x:c r="L291" s="7" t="s">
        <x:v>5942</x:v>
      </x:c>
    </x:row>
    <x:row r="292" ht="37.5" hidden="0" customHeight="1">
      <x:c r="A292" s="7" t="s">
        <x:v>5944</x:v>
      </x:c>
      <x:c r="B292" s="7" t="s">
        <x:v>390</x:v>
      </x:c>
      <x:c r="C292" s="7" t="s">
        <x:v>58</x:v>
      </x:c>
      <x:c r="D292" s="7" t="s">
        <x:v>1903</x:v>
      </x:c>
      <x:c r="E292" s="7" t="s">
        <x:v>5945</x:v>
      </x:c>
      <x:c r="F292" s="7" t="s">
        <x:v>5946</x:v>
      </x:c>
      <x:c r="G292" s="7" t="s">
        <x:v>5893</x:v>
      </x:c>
      <x:c r="H292" s="8" t="s">
        <x:v>53</x:v>
      </x:c>
      <x:c r="I292" s="7" t="s">
        <x:v>58</x:v>
      </x:c>
      <x:c r="J292" s="7" t="s">
        <x:v>5598</x:v>
      </x:c>
      <x:c r="K292" s="7" t="s">
        <x:v>5937</x:v>
      </x:c>
      <x:c r="L292" s="7" t="s">
        <x:v>5945</x:v>
      </x:c>
    </x:row>
    <x:row r="293" ht="37.5" hidden="0" customHeight="1">
      <x:c r="A293" s="7" t="s">
        <x:v>5947</x:v>
      </x:c>
      <x:c r="B293" s="7" t="s">
        <x:v>437</x:v>
      </x:c>
      <x:c r="C293" s="7" t="s">
        <x:v>58</x:v>
      </x:c>
      <x:c r="D293" s="7" t="s">
        <x:v>5855</x:v>
      </x:c>
      <x:c r="E293" s="7" t="s">
        <x:v>22</x:v>
      </x:c>
      <x:c r="F293" s="7" t="s">
        <x:v>448</x:v>
      </x:c>
      <x:c r="G293" s="7" t="s">
        <x:v>5893</x:v>
      </x:c>
      <x:c r="H293" s="8" t="s">
        <x:v>53</x:v>
      </x:c>
      <x:c r="I293" s="7" t="s">
        <x:v>58</x:v>
      </x:c>
      <x:c r="J293" s="7" t="s">
        <x:v>5598</x:v>
      </x:c>
      <x:c r="K293" s="7" t="s">
        <x:v>5948</x:v>
      </x:c>
      <x:c r="L293" s="7" t="s">
        <x:v>22</x:v>
      </x:c>
    </x:row>
    <x:row r="294" ht="37.5" hidden="0" customHeight="1">
      <x:c r="A294" s="7" t="s">
        <x:v>5949</x:v>
      </x:c>
      <x:c r="B294" s="7" t="s">
        <x:v>437</x:v>
      </x:c>
      <x:c r="C294" s="7" t="s">
        <x:v>58</x:v>
      </x:c>
      <x:c r="D294" s="7" t="s">
        <x:v>5905</x:v>
      </x:c>
      <x:c r="E294" s="7" t="s">
        <x:v>5950</x:v>
      </x:c>
      <x:c r="F294" s="7" t="s">
        <x:v>5951</x:v>
      </x:c>
      <x:c r="G294" s="7" t="s">
        <x:v>5893</x:v>
      </x:c>
      <x:c r="H294" s="8" t="s">
        <x:v>53</x:v>
      </x:c>
      <x:c r="I294" s="7" t="s">
        <x:v>58</x:v>
      </x:c>
      <x:c r="J294" s="7" t="s">
        <x:v>5598</x:v>
      </x:c>
      <x:c r="K294" s="7" t="s">
        <x:v>5948</x:v>
      </x:c>
      <x:c r="L294" s="7" t="s">
        <x:v>5950</x:v>
      </x:c>
    </x:row>
    <x:row r="295" ht="37.5" hidden="0" customHeight="1">
      <x:c r="A295" s="7" t="s">
        <x:v>5952</x:v>
      </x:c>
      <x:c r="B295" s="7" t="s">
        <x:v>437</x:v>
      </x:c>
      <x:c r="C295" s="7" t="s">
        <x:v>58</x:v>
      </x:c>
      <x:c r="D295" s="7" t="s">
        <x:v>5899</x:v>
      </x:c>
      <x:c r="E295" s="7" t="s">
        <x:v>5953</x:v>
      </x:c>
      <x:c r="F295" s="7" t="s">
        <x:v>5954</x:v>
      </x:c>
      <x:c r="G295" s="7" t="s">
        <x:v>5893</x:v>
      </x:c>
      <x:c r="H295" s="8" t="s">
        <x:v>53</x:v>
      </x:c>
      <x:c r="I295" s="7" t="s">
        <x:v>58</x:v>
      </x:c>
      <x:c r="J295" s="7" t="s">
        <x:v>5598</x:v>
      </x:c>
      <x:c r="K295" s="7" t="s">
        <x:v>5948</x:v>
      </x:c>
      <x:c r="L295" s="7" t="s">
        <x:v>5953</x:v>
      </x:c>
    </x:row>
    <x:row r="296" ht="37.5" hidden="0" customHeight="1">
      <x:c r="A296" s="7" t="s">
        <x:v>5955</x:v>
      </x:c>
      <x:c r="B296" s="7" t="s">
        <x:v>437</x:v>
      </x:c>
      <x:c r="C296" s="7" t="s">
        <x:v>58</x:v>
      </x:c>
      <x:c r="D296" s="7" t="s">
        <x:v>23</x:v>
      </x:c>
      <x:c r="E296" s="7" t="s">
        <x:v>5956</x:v>
      </x:c>
      <x:c r="F296" s="7" t="s">
        <x:v>5957</x:v>
      </x:c>
      <x:c r="G296" s="7" t="s">
        <x:v>5893</x:v>
      </x:c>
      <x:c r="H296" s="8" t="s">
        <x:v>53</x:v>
      </x:c>
      <x:c r="I296" s="7" t="s">
        <x:v>58</x:v>
      </x:c>
      <x:c r="J296" s="7" t="s">
        <x:v>5598</x:v>
      </x:c>
      <x:c r="K296" s="7" t="s">
        <x:v>5948</x:v>
      </x:c>
      <x:c r="L296" s="7" t="s">
        <x:v>5956</x:v>
      </x:c>
    </x:row>
    <x:row r="297" ht="37.5" hidden="0" customHeight="1">
      <x:c r="A297" s="7" t="s">
        <x:v>5958</x:v>
      </x:c>
      <x:c r="B297" s="7" t="s">
        <x:v>481</x:v>
      </x:c>
      <x:c r="C297" s="7" t="s">
        <x:v>58</x:v>
      </x:c>
      <x:c r="D297" s="7" t="s">
        <x:v>5855</x:v>
      </x:c>
      <x:c r="E297" s="7" t="s">
        <x:v>22</x:v>
      </x:c>
      <x:c r="F297" s="7" t="s">
        <x:v>490</x:v>
      </x:c>
      <x:c r="G297" s="7" t="s">
        <x:v>5893</x:v>
      </x:c>
      <x:c r="H297" s="8" t="s">
        <x:v>53</x:v>
      </x:c>
      <x:c r="I297" s="7" t="s">
        <x:v>58</x:v>
      </x:c>
      <x:c r="J297" s="7" t="s">
        <x:v>5598</x:v>
      </x:c>
      <x:c r="K297" s="7" t="s">
        <x:v>5959</x:v>
      </x:c>
      <x:c r="L297" s="7" t="s">
        <x:v>22</x:v>
      </x:c>
    </x:row>
    <x:row r="298" ht="37.5" hidden="0" customHeight="1">
      <x:c r="A298" s="7" t="s">
        <x:v>5960</x:v>
      </x:c>
      <x:c r="B298" s="7" t="s">
        <x:v>481</x:v>
      </x:c>
      <x:c r="C298" s="7" t="s">
        <x:v>58</x:v>
      </x:c>
      <x:c r="D298" s="7" t="s">
        <x:v>5899</x:v>
      </x:c>
      <x:c r="E298" s="7" t="s">
        <x:v>5961</x:v>
      </x:c>
      <x:c r="F298" s="7" t="s">
        <x:v>5962</x:v>
      </x:c>
      <x:c r="G298" s="7" t="s">
        <x:v>5893</x:v>
      </x:c>
      <x:c r="H298" s="8" t="s">
        <x:v>53</x:v>
      </x:c>
      <x:c r="I298" s="7" t="s">
        <x:v>58</x:v>
      </x:c>
      <x:c r="J298" s="7" t="s">
        <x:v>5598</x:v>
      </x:c>
      <x:c r="K298" s="7" t="s">
        <x:v>5959</x:v>
      </x:c>
      <x:c r="L298" s="7" t="s">
        <x:v>5961</x:v>
      </x:c>
    </x:row>
    <x:row r="299" ht="37.5" hidden="0" customHeight="1">
      <x:c r="A299" s="7" t="s">
        <x:v>5963</x:v>
      </x:c>
      <x:c r="B299" s="7" t="s">
        <x:v>481</x:v>
      </x:c>
      <x:c r="C299" s="7" t="s">
        <x:v>58</x:v>
      </x:c>
      <x:c r="D299" s="7" t="s">
        <x:v>1903</x:v>
      </x:c>
      <x:c r="E299" s="7" t="s">
        <x:v>5964</x:v>
      </x:c>
      <x:c r="F299" s="7" t="s">
        <x:v>5965</x:v>
      </x:c>
      <x:c r="G299" s="7" t="s">
        <x:v>5893</x:v>
      </x:c>
      <x:c r="H299" s="8" t="s">
        <x:v>53</x:v>
      </x:c>
      <x:c r="I299" s="7" t="s">
        <x:v>58</x:v>
      </x:c>
      <x:c r="J299" s="7" t="s">
        <x:v>5598</x:v>
      </x:c>
      <x:c r="K299" s="7" t="s">
        <x:v>5959</x:v>
      </x:c>
      <x:c r="L299" s="7" t="s">
        <x:v>5964</x:v>
      </x:c>
    </x:row>
    <x:row r="300" ht="37.5" hidden="0" customHeight="1">
      <x:c r="A300" s="7" t="s">
        <x:v>5966</x:v>
      </x:c>
      <x:c r="B300" s="7" t="s">
        <x:v>481</x:v>
      </x:c>
      <x:c r="C300" s="7" t="s">
        <x:v>58</x:v>
      </x:c>
      <x:c r="D300" s="7" t="s">
        <x:v>5905</x:v>
      </x:c>
      <x:c r="E300" s="7" t="s">
        <x:v>5950</x:v>
      </x:c>
      <x:c r="F300" s="7" t="s">
        <x:v>5967</x:v>
      </x:c>
      <x:c r="G300" s="7" t="s">
        <x:v>5893</x:v>
      </x:c>
      <x:c r="H300" s="8" t="s">
        <x:v>53</x:v>
      </x:c>
      <x:c r="I300" s="7" t="s">
        <x:v>58</x:v>
      </x:c>
      <x:c r="J300" s="7" t="s">
        <x:v>5598</x:v>
      </x:c>
      <x:c r="K300" s="7" t="s">
        <x:v>5959</x:v>
      </x:c>
      <x:c r="L300" s="7" t="s">
        <x:v>5950</x:v>
      </x:c>
    </x:row>
    <x:row r="301" ht="37.5" hidden="0" customHeight="1">
      <x:c r="A301" s="7" t="s">
        <x:v>5968</x:v>
      </x:c>
      <x:c r="B301" s="7" t="s">
        <x:v>559</x:v>
      </x:c>
      <x:c r="C301" s="7" t="s">
        <x:v>58</x:v>
      </x:c>
      <x:c r="D301" s="7" t="s">
        <x:v>5855</x:v>
      </x:c>
      <x:c r="E301" s="7" t="s">
        <x:v>22</x:v>
      </x:c>
      <x:c r="F301" s="7" t="s">
        <x:v>571</x:v>
      </x:c>
      <x:c r="G301" s="7" t="s">
        <x:v>5893</x:v>
      </x:c>
      <x:c r="H301" s="8" t="s">
        <x:v>53</x:v>
      </x:c>
      <x:c r="I301" s="7" t="s">
        <x:v>58</x:v>
      </x:c>
      <x:c r="J301" s="7" t="s">
        <x:v>5598</x:v>
      </x:c>
      <x:c r="K301" s="7" t="s">
        <x:v>5969</x:v>
      </x:c>
      <x:c r="L301" s="7" t="s">
        <x:v>22</x:v>
      </x:c>
    </x:row>
    <x:row r="302" ht="37.5" hidden="0" customHeight="1">
      <x:c r="A302" s="7" t="s">
        <x:v>5970</x:v>
      </x:c>
      <x:c r="B302" s="7" t="s">
        <x:v>559</x:v>
      </x:c>
      <x:c r="C302" s="7" t="s">
        <x:v>58</x:v>
      </x:c>
      <x:c r="D302" s="7" t="s">
        <x:v>5905</x:v>
      </x:c>
      <x:c r="E302" s="7" t="s">
        <x:v>5971</x:v>
      </x:c>
      <x:c r="F302" s="7" t="s">
        <x:v>5972</x:v>
      </x:c>
      <x:c r="G302" s="7" t="s">
        <x:v>5893</x:v>
      </x:c>
      <x:c r="H302" s="8" t="s">
        <x:v>53</x:v>
      </x:c>
      <x:c r="I302" s="7" t="s">
        <x:v>58</x:v>
      </x:c>
      <x:c r="J302" s="7" t="s">
        <x:v>5598</x:v>
      </x:c>
      <x:c r="K302" s="7" t="s">
        <x:v>5969</x:v>
      </x:c>
      <x:c r="L302" s="7" t="s">
        <x:v>5971</x:v>
      </x:c>
    </x:row>
    <x:row r="303" ht="37.5" hidden="0" customHeight="1">
      <x:c r="A303" s="7" t="s">
        <x:v>5973</x:v>
      </x:c>
      <x:c r="B303" s="7" t="s">
        <x:v>559</x:v>
      </x:c>
      <x:c r="C303" s="7" t="s">
        <x:v>58</x:v>
      </x:c>
      <x:c r="D303" s="7" t="s">
        <x:v>5899</x:v>
      </x:c>
      <x:c r="E303" s="7" t="s">
        <x:v>5974</x:v>
      </x:c>
      <x:c r="F303" s="7" t="s">
        <x:v>5975</x:v>
      </x:c>
      <x:c r="G303" s="7" t="s">
        <x:v>5893</x:v>
      </x:c>
      <x:c r="H303" s="8" t="s">
        <x:v>53</x:v>
      </x:c>
      <x:c r="I303" s="7" t="s">
        <x:v>58</x:v>
      </x:c>
      <x:c r="J303" s="7" t="s">
        <x:v>5598</x:v>
      </x:c>
      <x:c r="K303" s="7" t="s">
        <x:v>5969</x:v>
      </x:c>
      <x:c r="L303" s="7" t="s">
        <x:v>5974</x:v>
      </x:c>
    </x:row>
    <x:row r="304" ht="37.5" hidden="0" customHeight="1">
      <x:c r="A304" s="7" t="s">
        <x:v>976</x:v>
      </x:c>
      <x:c r="B304" s="7" t="s">
        <x:v>969</x:v>
      </x:c>
      <x:c r="C304" s="7" t="s">
        <x:v>58</x:v>
      </x:c>
      <x:c r="D304" s="7" t="s">
        <x:v>5855</x:v>
      </x:c>
      <x:c r="E304" s="7" t="s">
        <x:v>22</x:v>
      </x:c>
      <x:c r="F304" s="7" t="s">
        <x:v>973</x:v>
      </x:c>
      <x:c r="G304" s="7" t="s">
        <x:v>5893</x:v>
      </x:c>
      <x:c r="H304" s="8" t="s">
        <x:v>53</x:v>
      </x:c>
      <x:c r="I304" s="7" t="s">
        <x:v>58</x:v>
      </x:c>
      <x:c r="J304" s="7" t="s">
        <x:v>5598</x:v>
      </x:c>
      <x:c r="K304" s="7" t="s">
        <x:v>5976</x:v>
      </x:c>
      <x:c r="L304" s="7" t="s">
        <x:v>22</x:v>
      </x:c>
    </x:row>
    <x:row r="305" ht="37.5" hidden="0" customHeight="1">
      <x:c r="A305" s="7" t="s">
        <x:v>5977</x:v>
      </x:c>
      <x:c r="B305" s="7" t="s">
        <x:v>969</x:v>
      </x:c>
      <x:c r="C305" s="7" t="s">
        <x:v>58</x:v>
      </x:c>
      <x:c r="D305" s="7" t="s">
        <x:v>5899</x:v>
      </x:c>
      <x:c r="E305" s="7" t="s">
        <x:v>5978</x:v>
      </x:c>
      <x:c r="F305" s="7" t="s">
        <x:v>5979</x:v>
      </x:c>
      <x:c r="G305" s="7" t="s">
        <x:v>5893</x:v>
      </x:c>
      <x:c r="H305" s="8" t="s">
        <x:v>53</x:v>
      </x:c>
      <x:c r="I305" s="7" t="s">
        <x:v>58</x:v>
      </x:c>
      <x:c r="J305" s="7" t="s">
        <x:v>5598</x:v>
      </x:c>
      <x:c r="K305" s="7" t="s">
        <x:v>5976</x:v>
      </x:c>
      <x:c r="L305" s="7" t="s">
        <x:v>5978</x:v>
      </x:c>
    </x:row>
    <x:row r="306" ht="37.5" hidden="0" customHeight="1">
      <x:c r="A306" s="7" t="s">
        <x:v>977</x:v>
      </x:c>
      <x:c r="B306" s="7" t="s">
        <x:v>969</x:v>
      </x:c>
      <x:c r="C306" s="7" t="s">
        <x:v>58</x:v>
      </x:c>
      <x:c r="D306" s="7" t="s">
        <x:v>5905</x:v>
      </x:c>
      <x:c r="E306" s="7" t="s">
        <x:v>5950</x:v>
      </x:c>
      <x:c r="F306" s="7" t="s">
        <x:v>5980</x:v>
      </x:c>
      <x:c r="G306" s="7" t="s">
        <x:v>5893</x:v>
      </x:c>
      <x:c r="H306" s="8" t="s">
        <x:v>53</x:v>
      </x:c>
      <x:c r="I306" s="7" t="s">
        <x:v>58</x:v>
      </x:c>
      <x:c r="J306" s="7" t="s">
        <x:v>5598</x:v>
      </x:c>
      <x:c r="K306" s="7" t="s">
        <x:v>5976</x:v>
      </x:c>
      <x:c r="L306" s="7" t="s">
        <x:v>5950</x:v>
      </x:c>
    </x:row>
    <x:row r="307" ht="37.5" hidden="0" customHeight="1">
      <x:c r="A307" s="7" t="s">
        <x:v>5981</x:v>
      </x:c>
      <x:c r="B307" s="7" t="s">
        <x:v>898</x:v>
      </x:c>
      <x:c r="C307" s="7" t="s">
        <x:v>58</x:v>
      </x:c>
      <x:c r="D307" s="7" t="s">
        <x:v>5855</x:v>
      </x:c>
      <x:c r="E307" s="7" t="s">
        <x:v>22</x:v>
      </x:c>
      <x:c r="F307" s="7" t="s">
        <x:v>905</x:v>
      </x:c>
      <x:c r="G307" s="7" t="s">
        <x:v>5893</x:v>
      </x:c>
      <x:c r="H307" s="8" t="s">
        <x:v>53</x:v>
      </x:c>
      <x:c r="I307" s="7" t="s">
        <x:v>58</x:v>
      </x:c>
      <x:c r="J307" s="7" t="s">
        <x:v>5598</x:v>
      </x:c>
      <x:c r="K307" s="7" t="s">
        <x:v>5982</x:v>
      </x:c>
      <x:c r="L307" s="7" t="s">
        <x:v>22</x:v>
      </x:c>
    </x:row>
    <x:row r="308" ht="37.5" hidden="0" customHeight="1">
      <x:c r="A308" s="7" t="s">
        <x:v>5983</x:v>
      </x:c>
      <x:c r="B308" s="7" t="s">
        <x:v>898</x:v>
      </x:c>
      <x:c r="C308" s="7" t="s">
        <x:v>58</x:v>
      </x:c>
      <x:c r="D308" s="7" t="s">
        <x:v>5899</x:v>
      </x:c>
      <x:c r="E308" s="7" t="s">
        <x:v>5984</x:v>
      </x:c>
      <x:c r="F308" s="7" t="s">
        <x:v>5985</x:v>
      </x:c>
      <x:c r="G308" s="7" t="s">
        <x:v>5893</x:v>
      </x:c>
      <x:c r="H308" s="8" t="s">
        <x:v>53</x:v>
      </x:c>
      <x:c r="I308" s="7" t="s">
        <x:v>58</x:v>
      </x:c>
      <x:c r="J308" s="7" t="s">
        <x:v>5598</x:v>
      </x:c>
      <x:c r="K308" s="7" t="s">
        <x:v>5982</x:v>
      </x:c>
      <x:c r="L308" s="7" t="s">
        <x:v>5984</x:v>
      </x:c>
    </x:row>
    <x:row r="309" ht="37.5" hidden="0" customHeight="1">
      <x:c r="A309" s="7" t="s">
        <x:v>5986</x:v>
      </x:c>
      <x:c r="B309" s="7" t="s">
        <x:v>898</x:v>
      </x:c>
      <x:c r="C309" s="7" t="s">
        <x:v>58</x:v>
      </x:c>
      <x:c r="D309" s="7" t="s">
        <x:v>23</x:v>
      </x:c>
      <x:c r="E309" s="7" t="s">
        <x:v>5987</x:v>
      </x:c>
      <x:c r="F309" s="7" t="s">
        <x:v>5988</x:v>
      </x:c>
      <x:c r="G309" s="7" t="s">
        <x:v>5893</x:v>
      </x:c>
      <x:c r="H309" s="8" t="s">
        <x:v>53</x:v>
      </x:c>
      <x:c r="I309" s="7" t="s">
        <x:v>58</x:v>
      </x:c>
      <x:c r="J309" s="7" t="s">
        <x:v>5598</x:v>
      </x:c>
      <x:c r="K309" s="7" t="s">
        <x:v>5982</x:v>
      </x:c>
      <x:c r="L309" s="7" t="s">
        <x:v>5987</x:v>
      </x:c>
    </x:row>
    <x:row r="310" ht="37.5" hidden="0" customHeight="1">
      <x:c r="A310" s="7" t="s">
        <x:v>5989</x:v>
      </x:c>
      <x:c r="B310" s="7" t="s">
        <x:v>884</x:v>
      </x:c>
      <x:c r="C310" s="7" t="s">
        <x:v>58</x:v>
      </x:c>
      <x:c r="D310" s="7" t="s">
        <x:v>5611</x:v>
      </x:c>
      <x:c r="E310" s="7" t="s">
        <x:v>5990</x:v>
      </x:c>
      <x:c r="F310" s="7" t="s">
        <x:v>5991</x:v>
      </x:c>
      <x:c r="G310" s="7" t="s">
        <x:v>5893</x:v>
      </x:c>
      <x:c r="H310" s="8" t="s">
        <x:v>53</x:v>
      </x:c>
      <x:c r="I310" s="7" t="s">
        <x:v>58</x:v>
      </x:c>
      <x:c r="J310" s="7" t="s">
        <x:v>5598</x:v>
      </x:c>
      <x:c r="K310" s="7" t="s">
        <x:v>5992</x:v>
      </x:c>
      <x:c r="L310" s="7" t="s">
        <x:v>5990</x:v>
      </x:c>
    </x:row>
    <x:row r="311" ht="37.5" hidden="0" customHeight="1">
      <x:c r="A311" s="7" t="s">
        <x:v>5993</x:v>
      </x:c>
      <x:c r="B311" s="7" t="s">
        <x:v>884</x:v>
      </x:c>
      <x:c r="C311" s="7" t="s">
        <x:v>58</x:v>
      </x:c>
      <x:c r="D311" s="7" t="s">
        <x:v>5855</x:v>
      </x:c>
      <x:c r="E311" s="7" t="s">
        <x:v>22</x:v>
      </x:c>
      <x:c r="F311" s="7" t="s">
        <x:v>893</x:v>
      </x:c>
      <x:c r="G311" s="7" t="s">
        <x:v>5893</x:v>
      </x:c>
      <x:c r="H311" s="8" t="s">
        <x:v>53</x:v>
      </x:c>
      <x:c r="I311" s="7" t="s">
        <x:v>58</x:v>
      </x:c>
      <x:c r="J311" s="7" t="s">
        <x:v>5598</x:v>
      </x:c>
      <x:c r="K311" s="7" t="s">
        <x:v>5992</x:v>
      </x:c>
      <x:c r="L311" s="7" t="s">
        <x:v>22</x:v>
      </x:c>
    </x:row>
    <x:row r="312" ht="37.5" hidden="0" customHeight="1">
      <x:c r="A312" s="7" t="s">
        <x:v>5994</x:v>
      </x:c>
      <x:c r="B312" s="7" t="s">
        <x:v>884</x:v>
      </x:c>
      <x:c r="C312" s="7" t="s">
        <x:v>58</x:v>
      </x:c>
      <x:c r="D312" s="7" t="s">
        <x:v>23</x:v>
      </x:c>
      <x:c r="E312" s="7" t="s">
        <x:v>5995</x:v>
      </x:c>
      <x:c r="F312" s="7" t="s">
        <x:v>5996</x:v>
      </x:c>
      <x:c r="G312" s="7" t="s">
        <x:v>5893</x:v>
      </x:c>
      <x:c r="H312" s="8" t="s">
        <x:v>53</x:v>
      </x:c>
      <x:c r="I312" s="7" t="s">
        <x:v>58</x:v>
      </x:c>
      <x:c r="J312" s="7" t="s">
        <x:v>5598</x:v>
      </x:c>
      <x:c r="K312" s="7" t="s">
        <x:v>5992</x:v>
      </x:c>
      <x:c r="L312" s="7" t="s">
        <x:v>5995</x:v>
      </x:c>
    </x:row>
    <x:row r="313" ht="37.5" hidden="0" customHeight="1">
      <x:c r="A313" s="7" t="s">
        <x:v>5997</x:v>
      </x:c>
      <x:c r="B313" s="7" t="s">
        <x:v>834</x:v>
      </x:c>
      <x:c r="C313" s="7" t="s">
        <x:v>58</x:v>
      </x:c>
      <x:c r="D313" s="7" t="s">
        <x:v>5611</x:v>
      </x:c>
      <x:c r="E313" s="7" t="s">
        <x:v>5998</x:v>
      </x:c>
      <x:c r="F313" s="7" t="s">
        <x:v>5999</x:v>
      </x:c>
      <x:c r="G313" s="7" t="s">
        <x:v>5893</x:v>
      </x:c>
      <x:c r="H313" s="8" t="s">
        <x:v>53</x:v>
      </x:c>
      <x:c r="I313" s="7" t="s">
        <x:v>58</x:v>
      </x:c>
      <x:c r="J313" s="7" t="s">
        <x:v>5598</x:v>
      </x:c>
      <x:c r="K313" s="7" t="s">
        <x:v>6000</x:v>
      </x:c>
      <x:c r="L313" s="7" t="s">
        <x:v>5998</x:v>
      </x:c>
    </x:row>
    <x:row r="314" ht="37.5" hidden="0" customHeight="1">
      <x:c r="A314" s="7" t="s">
        <x:v>846</x:v>
      </x:c>
      <x:c r="B314" s="7" t="s">
        <x:v>834</x:v>
      </x:c>
      <x:c r="C314" s="7" t="s">
        <x:v>58</x:v>
      </x:c>
      <x:c r="D314" s="7" t="s">
        <x:v>5905</x:v>
      </x:c>
      <x:c r="E314" s="7" t="s">
        <x:v>5950</x:v>
      </x:c>
      <x:c r="F314" s="7" t="s">
        <x:v>6001</x:v>
      </x:c>
      <x:c r="G314" s="7" t="s">
        <x:v>5893</x:v>
      </x:c>
      <x:c r="H314" s="8" t="s">
        <x:v>53</x:v>
      </x:c>
      <x:c r="I314" s="7" t="s">
        <x:v>58</x:v>
      </x:c>
      <x:c r="J314" s="7" t="s">
        <x:v>5598</x:v>
      </x:c>
      <x:c r="K314" s="7" t="s">
        <x:v>6000</x:v>
      </x:c>
      <x:c r="L314" s="7" t="s">
        <x:v>5950</x:v>
      </x:c>
    </x:row>
    <x:row r="315" ht="37.5" hidden="0" customHeight="1">
      <x:c r="A315" s="7" t="s">
        <x:v>845</x:v>
      </x:c>
      <x:c r="B315" s="7" t="s">
        <x:v>834</x:v>
      </x:c>
      <x:c r="C315" s="7" t="s">
        <x:v>58</x:v>
      </x:c>
      <x:c r="D315" s="7" t="s">
        <x:v>23</x:v>
      </x:c>
      <x:c r="E315" s="7" t="s">
        <x:v>6002</x:v>
      </x:c>
      <x:c r="F315" s="7" t="s">
        <x:v>6003</x:v>
      </x:c>
      <x:c r="G315" s="7" t="s">
        <x:v>5893</x:v>
      </x:c>
      <x:c r="H315" s="8" t="s">
        <x:v>53</x:v>
      </x:c>
      <x:c r="I315" s="7" t="s">
        <x:v>58</x:v>
      </x:c>
      <x:c r="J315" s="7" t="s">
        <x:v>5598</x:v>
      </x:c>
      <x:c r="K315" s="7" t="s">
        <x:v>6000</x:v>
      </x:c>
      <x:c r="L315" s="7" t="s">
        <x:v>6002</x:v>
      </x:c>
    </x:row>
    <x:row r="316" ht="37.5" hidden="0" customHeight="1">
      <x:c r="A316" s="7" t="s">
        <x:v>6004</x:v>
      </x:c>
      <x:c r="B316" s="7" t="s">
        <x:v>1007</x:v>
      </x:c>
      <x:c r="C316" s="7" t="s">
        <x:v>58</x:v>
      </x:c>
      <x:c r="D316" s="7" t="s">
        <x:v>5855</x:v>
      </x:c>
      <x:c r="E316" s="7" t="s">
        <x:v>22</x:v>
      </x:c>
      <x:c r="F316" s="7" t="s">
        <x:v>1016</x:v>
      </x:c>
      <x:c r="G316" s="7" t="s">
        <x:v>5893</x:v>
      </x:c>
      <x:c r="H316" s="8" t="s">
        <x:v>53</x:v>
      </x:c>
      <x:c r="I316" s="7" t="s">
        <x:v>58</x:v>
      </x:c>
      <x:c r="J316" s="7" t="s">
        <x:v>5598</x:v>
      </x:c>
      <x:c r="K316" s="7" t="s">
        <x:v>6005</x:v>
      </x:c>
      <x:c r="L316" s="7" t="s">
        <x:v>22</x:v>
      </x:c>
    </x:row>
    <x:row r="317" ht="37.5" hidden="0" customHeight="1">
      <x:c r="A317" s="7" t="s">
        <x:v>6006</x:v>
      </x:c>
      <x:c r="B317" s="7" t="s">
        <x:v>1007</x:v>
      </x:c>
      <x:c r="C317" s="7" t="s">
        <x:v>58</x:v>
      </x:c>
      <x:c r="D317" s="7" t="s">
        <x:v>1903</x:v>
      </x:c>
      <x:c r="E317" s="7" t="s">
        <x:v>6007</x:v>
      </x:c>
      <x:c r="F317" s="7" t="s">
        <x:v>6008</x:v>
      </x:c>
      <x:c r="G317" s="7" t="s">
        <x:v>5893</x:v>
      </x:c>
      <x:c r="H317" s="8" t="s">
        <x:v>53</x:v>
      </x:c>
      <x:c r="I317" s="7" t="s">
        <x:v>58</x:v>
      </x:c>
      <x:c r="J317" s="7" t="s">
        <x:v>5598</x:v>
      </x:c>
      <x:c r="K317" s="7" t="s">
        <x:v>6005</x:v>
      </x:c>
      <x:c r="L317" s="7" t="s">
        <x:v>6007</x:v>
      </x:c>
    </x:row>
    <x:row r="318" ht="37.5" hidden="0" customHeight="1">
      <x:c r="A318" s="7" t="s">
        <x:v>1019</x:v>
      </x:c>
      <x:c r="B318" s="7" t="s">
        <x:v>1007</x:v>
      </x:c>
      <x:c r="C318" s="7" t="s">
        <x:v>58</x:v>
      </x:c>
      <x:c r="D318" s="7" t="s">
        <x:v>5905</x:v>
      </x:c>
      <x:c r="E318" s="7" t="s">
        <x:v>5950</x:v>
      </x:c>
      <x:c r="F318" s="7" t="s">
        <x:v>6009</x:v>
      </x:c>
      <x:c r="G318" s="7" t="s">
        <x:v>5893</x:v>
      </x:c>
      <x:c r="H318" s="8" t="s">
        <x:v>53</x:v>
      </x:c>
      <x:c r="I318" s="7" t="s">
        <x:v>58</x:v>
      </x:c>
      <x:c r="J318" s="7" t="s">
        <x:v>5598</x:v>
      </x:c>
      <x:c r="K318" s="7" t="s">
        <x:v>6005</x:v>
      </x:c>
      <x:c r="L318" s="7" t="s">
        <x:v>5950</x:v>
      </x:c>
    </x:row>
    <x:row r="319" ht="37.5" hidden="0" customHeight="1">
      <x:c r="A319" s="7" t="s">
        <x:v>1005</x:v>
      </x:c>
      <x:c r="B319" s="7" t="s">
        <x:v>997</x:v>
      </x:c>
      <x:c r="C319" s="7" t="s">
        <x:v>58</x:v>
      </x:c>
      <x:c r="D319" s="7" t="s">
        <x:v>5855</x:v>
      </x:c>
      <x:c r="E319" s="7" t="s">
        <x:v>22</x:v>
      </x:c>
      <x:c r="F319" s="7" t="s">
        <x:v>1001</x:v>
      </x:c>
      <x:c r="G319" s="7" t="s">
        <x:v>5893</x:v>
      </x:c>
      <x:c r="H319" s="8" t="s">
        <x:v>53</x:v>
      </x:c>
      <x:c r="I319" s="7" t="s">
        <x:v>58</x:v>
      </x:c>
      <x:c r="J319" s="7" t="s">
        <x:v>5598</x:v>
      </x:c>
      <x:c r="K319" s="7" t="s">
        <x:v>6010</x:v>
      </x:c>
      <x:c r="L319" s="7" t="s">
        <x:v>22</x:v>
      </x:c>
    </x:row>
    <x:row r="320" ht="37.5" hidden="0" customHeight="1">
      <x:c r="A320" s="7" t="s">
        <x:v>6011</x:v>
      </x:c>
      <x:c r="B320" s="7" t="s">
        <x:v>997</x:v>
      </x:c>
      <x:c r="C320" s="7" t="s">
        <x:v>58</x:v>
      </x:c>
      <x:c r="D320" s="7" t="s">
        <x:v>5899</x:v>
      </x:c>
      <x:c r="E320" s="7" t="s">
        <x:v>6012</x:v>
      </x:c>
      <x:c r="F320" s="7" t="s">
        <x:v>6013</x:v>
      </x:c>
      <x:c r="G320" s="7" t="s">
        <x:v>5893</x:v>
      </x:c>
      <x:c r="H320" s="8" t="s">
        <x:v>53</x:v>
      </x:c>
      <x:c r="I320" s="7" t="s">
        <x:v>58</x:v>
      </x:c>
      <x:c r="J320" s="7" t="s">
        <x:v>5598</x:v>
      </x:c>
      <x:c r="K320" s="7" t="s">
        <x:v>6010</x:v>
      </x:c>
      <x:c r="L320" s="7" t="s">
        <x:v>6012</x:v>
      </x:c>
    </x:row>
    <x:row r="321" ht="51.75" hidden="0" customHeight="1">
      <x:c r="A321" s="7" t="s">
        <x:v>72</x:v>
      </x:c>
      <x:c r="B321" s="7" t="s">
        <x:v>45</x:v>
      </x:c>
      <x:c r="C321" s="7" t="s">
        <x:v>58</x:v>
      </x:c>
      <x:c r="D321" s="7" t="s">
        <x:v>6014</x:v>
      </x:c>
      <x:c r="E321" s="7" t="s">
        <x:v>6015</x:v>
      </x:c>
      <x:c r="F321" s="7" t="s">
        <x:v>6016</x:v>
      </x:c>
      <x:c r="G321" s="7" t="s">
        <x:v>6017</x:v>
      </x:c>
      <x:c r="H321" s="8" t="s">
        <x:v>53</x:v>
      </x:c>
      <x:c r="I321" s="7" t="s">
        <x:v>58</x:v>
      </x:c>
      <x:c r="J321" s="7" t="s">
        <x:v>6018</x:v>
      </x:c>
      <x:c r="K321" s="7" t="s">
        <x:v>6019</x:v>
      </x:c>
      <x:c r="L321" s="7" t="s">
        <x:v>6015</x:v>
      </x:c>
    </x:row>
    <x:row r="322" ht="37.5" hidden="0" customHeight="1">
      <x:c r="A322" s="7" t="s">
        <x:v>265</x:v>
      </x:c>
      <x:c r="B322" s="7" t="s">
        <x:v>252</x:v>
      </x:c>
      <x:c r="C322" s="7" t="s">
        <x:v>58</x:v>
      </x:c>
      <x:c r="D322" s="7" t="s">
        <x:v>6020</x:v>
      </x:c>
      <x:c r="E322" s="7" t="s">
        <x:v>6021</x:v>
      </x:c>
      <x:c r="F322" s="7" t="s">
        <x:v>6022</x:v>
      </x:c>
      <x:c r="G322" s="7" t="s">
        <x:v>6023</x:v>
      </x:c>
      <x:c r="H322" s="8" t="s">
        <x:v>53</x:v>
      </x:c>
      <x:c r="I322" s="7" t="s">
        <x:v>58</x:v>
      </x:c>
      <x:c r="J322" s="7" t="s">
        <x:v>6018</x:v>
      </x:c>
      <x:c r="K322" s="7" t="s">
        <x:v>6024</x:v>
      </x:c>
      <x:c r="L322" s="7" t="s">
        <x:v>6021</x:v>
      </x:c>
    </x:row>
    <x:row r="323" ht="51.75" hidden="0" customHeight="1">
      <x:c r="A323" s="7" t="s">
        <x:v>74</x:v>
      </x:c>
      <x:c r="B323" s="7" t="s">
        <x:v>45</x:v>
      </x:c>
      <x:c r="C323" s="7" t="s">
        <x:v>58</x:v>
      </x:c>
      <x:c r="D323" s="7" t="s">
        <x:v>6025</x:v>
      </x:c>
      <x:c r="E323" s="7" t="s">
        <x:v>6026</x:v>
      </x:c>
      <x:c r="F323" s="7" t="s">
        <x:v>6027</x:v>
      </x:c>
      <x:c r="G323" s="7" t="s">
        <x:v>6028</x:v>
      </x:c>
      <x:c r="H323" s="8" t="s">
        <x:v>53</x:v>
      </x:c>
      <x:c r="I323" s="7" t="s">
        <x:v>58</x:v>
      </x:c>
      <x:c r="J323" s="7" t="s">
        <x:v>5598</x:v>
      </x:c>
      <x:c r="K323" s="7" t="s">
        <x:v>6029</x:v>
      </x:c>
      <x:c r="L323" s="7" t="s">
        <x:v>6026</x:v>
      </x:c>
    </x:row>
    <x:row r="324" ht="30" hidden="0" customHeight="1">
      <x:c r="A324" s="7" t="s">
        <x:v>955</x:v>
      </x:c>
      <x:c r="B324" s="7" t="s">
        <x:v>944</x:v>
      </x:c>
      <x:c r="C324" s="7" t="s">
        <x:v>947</x:v>
      </x:c>
      <x:c r="D324" s="7" t="s">
        <x:v>5855</x:v>
      </x:c>
      <x:c r="E324" s="7" t="s">
        <x:v>5855</x:v>
      </x:c>
      <x:c r="F324" s="7" t="s">
        <x:v>951</x:v>
      </x:c>
      <x:c r="G324" s="7" t="s">
        <x:v>53</x:v>
      </x:c>
      <x:c r="H324" s="8" t="s">
        <x:v>53</x:v>
      </x:c>
      <x:c r="I324" s="7" t="s">
        <x:v>58</x:v>
      </x:c>
      <x:c r="J324" s="7" t="s">
        <x:v>5598</x:v>
      </x:c>
      <x:c r="K324" s="7" t="s">
        <x:v>1367</x:v>
      </x:c>
      <x:c r="L324" s="7" t="s">
        <x:v>5855</x:v>
      </x:c>
    </x:row>
    <x:row r="325" ht="30" hidden="0" customHeight="1">
      <x:c r="A325" s="7" t="s">
        <x:v>6030</x:v>
      </x:c>
      <x:c r="B325" s="7" t="s">
        <x:v>944</x:v>
      </x:c>
      <x:c r="C325" s="7" t="s">
        <x:v>947</x:v>
      </x:c>
      <x:c r="D325" s="7" t="s">
        <x:v>5905</x:v>
      </x:c>
      <x:c r="E325" s="7" t="s">
        <x:v>5905</x:v>
      </x:c>
      <x:c r="F325" s="7" t="s">
        <x:v>6031</x:v>
      </x:c>
      <x:c r="G325" s="7" t="s">
        <x:v>53</x:v>
      </x:c>
      <x:c r="H325" s="8" t="s">
        <x:v>53</x:v>
      </x:c>
      <x:c r="I325" s="7" t="s">
        <x:v>58</x:v>
      </x:c>
      <x:c r="J325" s="7" t="s">
        <x:v>5598</x:v>
      </x:c>
      <x:c r="K325" s="7" t="s">
        <x:v>1367</x:v>
      </x:c>
      <x:c r="L325" s="7" t="s">
        <x:v>5905</x:v>
      </x:c>
    </x:row>
    <x:row r="326" ht="51.75" hidden="0" customHeight="1">
      <x:c r="A326" s="7" t="s">
        <x:v>6032</x:v>
      </x:c>
      <x:c r="B326" s="7" t="s">
        <x:v>944</x:v>
      </x:c>
      <x:c r="C326" s="7" t="s">
        <x:v>947</x:v>
      </x:c>
      <x:c r="D326" s="7" t="s">
        <x:v>5594</x:v>
      </x:c>
      <x:c r="E326" s="7" t="s">
        <x:v>5594</x:v>
      </x:c>
      <x:c r="F326" s="7" t="s">
        <x:v>6033</x:v>
      </x:c>
      <x:c r="G326" s="7" t="s">
        <x:v>53</x:v>
      </x:c>
      <x:c r="H326" s="8" t="s">
        <x:v>53</x:v>
      </x:c>
      <x:c r="I326" s="7" t="s">
        <x:v>58</x:v>
      </x:c>
      <x:c r="J326" s="7" t="s">
        <x:v>5598</x:v>
      </x:c>
      <x:c r="K326" s="7" t="s">
        <x:v>1367</x:v>
      </x:c>
      <x:c r="L326" s="7" t="s">
        <x:v>5594</x:v>
      </x:c>
    </x:row>
    <x:row r="327" ht="30" hidden="0" customHeight="1">
      <x:c r="A327" s="7" t="s">
        <x:v>6034</x:v>
      </x:c>
      <x:c r="B327" s="7" t="s">
        <x:v>616</x:v>
      </x:c>
      <x:c r="C327" s="7" t="s">
        <x:v>618</x:v>
      </x:c>
      <x:c r="D327" s="7" t="s">
        <x:v>5905</x:v>
      </x:c>
      <x:c r="E327" s="7" t="s">
        <x:v>5905</x:v>
      </x:c>
      <x:c r="F327" s="7" t="s">
        <x:v>6035</x:v>
      </x:c>
      <x:c r="G327" s="7" t="s">
        <x:v>53</x:v>
      </x:c>
      <x:c r="H327" s="8" t="s">
        <x:v>53</x:v>
      </x:c>
      <x:c r="I327" s="7" t="s">
        <x:v>58</x:v>
      </x:c>
      <x:c r="J327" s="7" t="s">
        <x:v>5598</x:v>
      </x:c>
      <x:c r="K327" s="7" t="s">
        <x:v>1279</x:v>
      </x:c>
      <x:c r="L327" s="7" t="s">
        <x:v>5905</x:v>
      </x:c>
    </x:row>
    <x:row r="328" ht="30" hidden="0" customHeight="1">
      <x:c r="A328" s="7" t="s">
        <x:v>6036</x:v>
      </x:c>
      <x:c r="B328" s="7" t="s">
        <x:v>616</x:v>
      </x:c>
      <x:c r="C328" s="7" t="s">
        <x:v>618</x:v>
      </x:c>
      <x:c r="D328" s="7" t="s">
        <x:v>5594</x:v>
      </x:c>
      <x:c r="E328" s="7" t="s">
        <x:v>5594</x:v>
      </x:c>
      <x:c r="F328" s="7" t="s">
        <x:v>6037</x:v>
      </x:c>
      <x:c r="G328" s="7" t="s">
        <x:v>53</x:v>
      </x:c>
      <x:c r="H328" s="8" t="s">
        <x:v>53</x:v>
      </x:c>
      <x:c r="I328" s="7" t="s">
        <x:v>58</x:v>
      </x:c>
      <x:c r="J328" s="7" t="s">
        <x:v>5598</x:v>
      </x:c>
      <x:c r="K328" s="7" t="s">
        <x:v>1279</x:v>
      </x:c>
      <x:c r="L328" s="7" t="s">
        <x:v>5594</x:v>
      </x:c>
    </x:row>
    <x:row r="329" ht="30" hidden="0" customHeight="1">
      <x:c r="A329" s="7" t="s">
        <x:v>624</x:v>
      </x:c>
      <x:c r="B329" s="7" t="s">
        <x:v>616</x:v>
      </x:c>
      <x:c r="C329" s="7" t="s">
        <x:v>618</x:v>
      </x:c>
      <x:c r="D329" s="7" t="s">
        <x:v>5855</x:v>
      </x:c>
      <x:c r="E329" s="7" t="s">
        <x:v>5855</x:v>
      </x:c>
      <x:c r="F329" s="7" t="s">
        <x:v>622</x:v>
      </x:c>
      <x:c r="G329" s="7" t="s">
        <x:v>53</x:v>
      </x:c>
      <x:c r="H329" s="8" t="s">
        <x:v>53</x:v>
      </x:c>
      <x:c r="I329" s="7" t="s">
        <x:v>58</x:v>
      </x:c>
      <x:c r="J329" s="7" t="s">
        <x:v>5598</x:v>
      </x:c>
      <x:c r="K329" s="7" t="s">
        <x:v>1279</x:v>
      </x:c>
      <x:c r="L329" s="7" t="s">
        <x:v>5855</x:v>
      </x:c>
    </x:row>
    <x:row r="330" ht="30" hidden="0" customHeight="1">
      <x:c r="A330" s="7" t="s">
        <x:v>6038</x:v>
      </x:c>
      <x:c r="B330" s="7" t="s">
        <x:v>768</x:v>
      </x:c>
      <x:c r="C330" s="7" t="s">
        <x:v>771</x:v>
      </x:c>
      <x:c r="D330" s="7" t="s">
        <x:v>5855</x:v>
      </x:c>
      <x:c r="E330" s="7" t="s">
        <x:v>5855</x:v>
      </x:c>
      <x:c r="F330" s="7" t="s">
        <x:v>777</x:v>
      </x:c>
      <x:c r="G330" s="7" t="s">
        <x:v>53</x:v>
      </x:c>
      <x:c r="H330" s="8" t="s">
        <x:v>53</x:v>
      </x:c>
      <x:c r="I330" s="7" t="s">
        <x:v>58</x:v>
      </x:c>
      <x:c r="J330" s="7" t="s">
        <x:v>5598</x:v>
      </x:c>
      <x:c r="K330" s="7" t="s">
        <x:v>1321</x:v>
      </x:c>
      <x:c r="L330" s="7" t="s">
        <x:v>5855</x:v>
      </x:c>
    </x:row>
    <x:row r="331" ht="37.5" hidden="0" customHeight="1">
      <x:c r="A331" s="7" t="s">
        <x:v>6039</x:v>
      </x:c>
      <x:c r="B331" s="7" t="s">
        <x:v>768</x:v>
      </x:c>
      <x:c r="C331" s="7" t="s">
        <x:v>771</x:v>
      </x:c>
      <x:c r="D331" s="7" t="s">
        <x:v>1903</x:v>
      </x:c>
      <x:c r="E331" s="7" t="s">
        <x:v>1903</x:v>
      </x:c>
      <x:c r="F331" s="7" t="s">
        <x:v>6040</x:v>
      </x:c>
      <x:c r="G331" s="7" t="s">
        <x:v>53</x:v>
      </x:c>
      <x:c r="H331" s="8" t="s">
        <x:v>53</x:v>
      </x:c>
      <x:c r="I331" s="7" t="s">
        <x:v>58</x:v>
      </x:c>
      <x:c r="J331" s="7" t="s">
        <x:v>5598</x:v>
      </x:c>
      <x:c r="K331" s="7" t="s">
        <x:v>1321</x:v>
      </x:c>
      <x:c r="L331" s="7" t="s">
        <x:v>1903</x:v>
      </x:c>
    </x:row>
    <x:row r="332" ht="30" hidden="0" customHeight="1">
      <x:c r="A332" s="7" t="s">
        <x:v>800</x:v>
      </x:c>
      <x:c r="B332" s="7" t="s">
        <x:v>792</x:v>
      </x:c>
      <x:c r="C332" s="7" t="s">
        <x:v>794</x:v>
      </x:c>
      <x:c r="D332" s="7" t="s">
        <x:v>5855</x:v>
      </x:c>
      <x:c r="E332" s="7" t="s">
        <x:v>5855</x:v>
      </x:c>
      <x:c r="F332" s="7" t="s">
        <x:v>798</x:v>
      </x:c>
      <x:c r="G332" s="7" t="s">
        <x:v>53</x:v>
      </x:c>
      <x:c r="H332" s="8" t="s">
        <x:v>53</x:v>
      </x:c>
      <x:c r="I332" s="7" t="s">
        <x:v>58</x:v>
      </x:c>
      <x:c r="J332" s="7" t="s">
        <x:v>5598</x:v>
      </x:c>
      <x:c r="K332" s="7" t="s">
        <x:v>1324</x:v>
      </x:c>
      <x:c r="L332" s="7" t="s">
        <x:v>5855</x:v>
      </x:c>
    </x:row>
    <x:row r="333" ht="37.5" hidden="0" customHeight="1">
      <x:c r="A333" s="7" t="s">
        <x:v>801</x:v>
      </x:c>
      <x:c r="B333" s="7" t="s">
        <x:v>792</x:v>
      </x:c>
      <x:c r="C333" s="7" t="s">
        <x:v>794</x:v>
      </x:c>
      <x:c r="D333" s="7" t="s">
        <x:v>6014</x:v>
      </x:c>
      <x:c r="E333" s="7" t="s">
        <x:v>6014</x:v>
      </x:c>
      <x:c r="F333" s="7" t="s">
        <x:v>6041</x:v>
      </x:c>
      <x:c r="G333" s="7" t="s">
        <x:v>53</x:v>
      </x:c>
      <x:c r="H333" s="8" t="s">
        <x:v>53</x:v>
      </x:c>
      <x:c r="I333" s="7" t="s">
        <x:v>58</x:v>
      </x:c>
      <x:c r="J333" s="7" t="s">
        <x:v>5598</x:v>
      </x:c>
      <x:c r="K333" s="7" t="s">
        <x:v>1324</x:v>
      </x:c>
      <x:c r="L333" s="7" t="s">
        <x:v>6014</x:v>
      </x:c>
    </x:row>
    <x:row r="334" ht="30" hidden="0" customHeight="1">
      <x:c r="A334" s="7" t="s">
        <x:v>480</x:v>
      </x:c>
      <x:c r="B334" s="7" t="s">
        <x:v>473</x:v>
      </x:c>
      <x:c r="C334" s="7" t="s">
        <x:v>475</x:v>
      </x:c>
      <x:c r="D334" s="7" t="s">
        <x:v>5905</x:v>
      </x:c>
      <x:c r="E334" s="7" t="s">
        <x:v>5905</x:v>
      </x:c>
      <x:c r="F334" s="7" t="s">
        <x:v>6042</x:v>
      </x:c>
      <x:c r="G334" s="7" t="s">
        <x:v>53</x:v>
      </x:c>
      <x:c r="H334" s="8" t="s">
        <x:v>53</x:v>
      </x:c>
      <x:c r="I334" s="7" t="s">
        <x:v>58</x:v>
      </x:c>
      <x:c r="J334" s="7" t="s">
        <x:v>5598</x:v>
      </x:c>
      <x:c r="K334" s="7" t="s">
        <x:v>1241</x:v>
      </x:c>
      <x:c r="L334" s="7" t="s">
        <x:v>5905</x:v>
      </x:c>
    </x:row>
    <x:row r="335" ht="37.5" hidden="0" customHeight="1">
      <x:c r="A335" s="7" t="s">
        <x:v>6043</x:v>
      </x:c>
      <x:c r="B335" s="7" t="s">
        <x:v>473</x:v>
      </x:c>
      <x:c r="C335" s="7" t="s">
        <x:v>475</x:v>
      </x:c>
      <x:c r="D335" s="7" t="s">
        <x:v>5899</x:v>
      </x:c>
      <x:c r="E335" s="7" t="s">
        <x:v>5899</x:v>
      </x:c>
      <x:c r="F335" s="7" t="s">
        <x:v>6044</x:v>
      </x:c>
      <x:c r="G335" s="7" t="s">
        <x:v>53</x:v>
      </x:c>
      <x:c r="H335" s="8" t="s">
        <x:v>53</x:v>
      </x:c>
      <x:c r="I335" s="7" t="s">
        <x:v>58</x:v>
      </x:c>
      <x:c r="J335" s="7" t="s">
        <x:v>5598</x:v>
      </x:c>
      <x:c r="K335" s="7" t="s">
        <x:v>1241</x:v>
      </x:c>
      <x:c r="L335" s="7" t="s">
        <x:v>5899</x:v>
      </x:c>
    </x:row>
    <x:row r="336" ht="30" hidden="0" customHeight="1">
      <x:c r="A336" s="7" t="s">
        <x:v>748</x:v>
      </x:c>
      <x:c r="B336" s="7" t="s">
        <x:v>738</x:v>
      </x:c>
      <x:c r="C336" s="7" t="s">
        <x:v>741</x:v>
      </x:c>
      <x:c r="D336" s="7" t="s">
        <x:v>5855</x:v>
      </x:c>
      <x:c r="E336" s="7" t="s">
        <x:v>5855</x:v>
      </x:c>
      <x:c r="F336" s="7" t="s">
        <x:v>746</x:v>
      </x:c>
      <x:c r="G336" s="7" t="s">
        <x:v>53</x:v>
      </x:c>
      <x:c r="H336" s="8" t="s">
        <x:v>53</x:v>
      </x:c>
      <x:c r="I336" s="7" t="s">
        <x:v>58</x:v>
      </x:c>
      <x:c r="J336" s="7" t="s">
        <x:v>5598</x:v>
      </x:c>
      <x:c r="K336" s="7" t="s">
        <x:v>1313</x:v>
      </x:c>
      <x:c r="L336" s="7" t="s">
        <x:v>5855</x:v>
      </x:c>
    </x:row>
    <x:row r="337" ht="30" hidden="0" customHeight="1">
      <x:c r="A337" s="7" t="s">
        <x:v>6045</x:v>
      </x:c>
      <x:c r="B337" s="7" t="s">
        <x:v>738</x:v>
      </x:c>
      <x:c r="C337" s="7" t="s">
        <x:v>741</x:v>
      </x:c>
      <x:c r="D337" s="7" t="s">
        <x:v>5899</x:v>
      </x:c>
      <x:c r="E337" s="7" t="s">
        <x:v>5899</x:v>
      </x:c>
      <x:c r="F337" s="7" t="s">
        <x:v>6046</x:v>
      </x:c>
      <x:c r="G337" s="7" t="s">
        <x:v>53</x:v>
      </x:c>
      <x:c r="H337" s="8" t="s">
        <x:v>53</x:v>
      </x:c>
      <x:c r="I337" s="7" t="s">
        <x:v>58</x:v>
      </x:c>
      <x:c r="J337" s="7" t="s">
        <x:v>5598</x:v>
      </x:c>
      <x:c r="K337" s="7" t="s">
        <x:v>1313</x:v>
      </x:c>
      <x:c r="L337" s="7" t="s">
        <x:v>5899</x:v>
      </x:c>
    </x:row>
    <x:row r="338" ht="37.5" hidden="0" customHeight="1">
      <x:c r="A338" s="7" t="s">
        <x:v>1066</x:v>
      </x:c>
      <x:c r="B338" s="7" t="s">
        <x:v>1051</x:v>
      </x:c>
      <x:c r="C338" s="7" t="s">
        <x:v>1055</x:v>
      </x:c>
      <x:c r="D338" s="7" t="s">
        <x:v>5855</x:v>
      </x:c>
      <x:c r="E338" s="7" t="s">
        <x:v>6047</x:v>
      </x:c>
      <x:c r="F338" s="7" t="s">
        <x:v>1062</x:v>
      </x:c>
      <x:c r="G338" s="7" t="s">
        <x:v>6048</x:v>
      </x:c>
      <x:c r="H338" s="8" t="s">
        <x:v>53</x:v>
      </x:c>
      <x:c r="I338" s="7" t="s">
        <x:v>58</x:v>
      </x:c>
      <x:c r="J338" s="7" t="s">
        <x:v>5598</x:v>
      </x:c>
      <x:c r="K338" s="7" t="s">
        <x:v>1878</x:v>
      </x:c>
      <x:c r="L338" s="7" t="s">
        <x:v>6047</x:v>
      </x:c>
    </x:row>
    <x:row r="339" ht="37.5" hidden="0" customHeight="1">
      <x:c r="A339" s="7" t="s">
        <x:v>1067</x:v>
      </x:c>
      <x:c r="B339" s="7" t="s">
        <x:v>1051</x:v>
      </x:c>
      <x:c r="C339" s="7" t="s">
        <x:v>1055</x:v>
      </x:c>
      <x:c r="D339" s="7" t="s">
        <x:v>5905</x:v>
      </x:c>
      <x:c r="E339" s="7" t="s">
        <x:v>6049</x:v>
      </x:c>
      <x:c r="F339" s="7" t="s">
        <x:v>6050</x:v>
      </x:c>
      <x:c r="G339" s="7" t="s">
        <x:v>6051</x:v>
      </x:c>
      <x:c r="H339" s="8" t="s">
        <x:v>53</x:v>
      </x:c>
      <x:c r="I339" s="7" t="s">
        <x:v>58</x:v>
      </x:c>
      <x:c r="J339" s="7" t="s">
        <x:v>5598</x:v>
      </x:c>
      <x:c r="K339" s="7" t="s">
        <x:v>1878</x:v>
      </x:c>
      <x:c r="L339" s="7" t="s">
        <x:v>6049</x:v>
      </x:c>
    </x:row>
    <x:row r="340" ht="37.5" hidden="0" customHeight="1">
      <x:c r="A340" s="7" t="s">
        <x:v>1079</x:v>
      </x:c>
      <x:c r="B340" s="7" t="s">
        <x:v>1068</x:v>
      </x:c>
      <x:c r="C340" s="7" t="s">
        <x:v>1070</x:v>
      </x:c>
      <x:c r="D340" s="7" t="s">
        <x:v>5855</x:v>
      </x:c>
      <x:c r="E340" s="7" t="s">
        <x:v>6047</x:v>
      </x:c>
      <x:c r="F340" s="7" t="s">
        <x:v>1062</x:v>
      </x:c>
      <x:c r="G340" s="7" t="s">
        <x:v>6048</x:v>
      </x:c>
      <x:c r="H340" s="8" t="s">
        <x:v>53</x:v>
      </x:c>
      <x:c r="I340" s="7" t="s">
        <x:v>58</x:v>
      </x:c>
      <x:c r="J340" s="7" t="s">
        <x:v>5598</x:v>
      </x:c>
      <x:c r="K340" s="7" t="s">
        <x:v>1879</x:v>
      </x:c>
      <x:c r="L340" s="7" t="s">
        <x:v>6047</x:v>
      </x:c>
    </x:row>
    <x:row r="341" ht="37.5" hidden="0" customHeight="1">
      <x:c r="A341" s="7" t="s">
        <x:v>1091</x:v>
      </x:c>
      <x:c r="B341" s="7" t="s">
        <x:v>1080</x:v>
      </x:c>
      <x:c r="C341" s="7" t="s">
        <x:v>1082</x:v>
      </x:c>
      <x:c r="D341" s="7" t="s">
        <x:v>5855</x:v>
      </x:c>
      <x:c r="E341" s="7" t="s">
        <x:v>6047</x:v>
      </x:c>
      <x:c r="F341" s="7" t="s">
        <x:v>1062</x:v>
      </x:c>
      <x:c r="G341" s="7" t="s">
        <x:v>6048</x:v>
      </x:c>
      <x:c r="H341" s="8" t="s">
        <x:v>53</x:v>
      </x:c>
      <x:c r="I341" s="7" t="s">
        <x:v>58</x:v>
      </x:c>
      <x:c r="J341" s="7" t="s">
        <x:v>5598</x:v>
      </x:c>
      <x:c r="K341" s="7" t="s">
        <x:v>1881</x:v>
      </x:c>
      <x:c r="L341" s="7" t="s">
        <x:v>6047</x:v>
      </x:c>
    </x:row>
    <x:row r="342" ht="37.5" hidden="0" customHeight="1">
      <x:c r="A342" s="7" t="s">
        <x:v>1092</x:v>
      </x:c>
      <x:c r="B342" s="7" t="s">
        <x:v>1080</x:v>
      </x:c>
      <x:c r="C342" s="7" t="s">
        <x:v>1082</x:v>
      </x:c>
      <x:c r="D342" s="7" t="s">
        <x:v>5905</x:v>
      </x:c>
      <x:c r="E342" s="7" t="s">
        <x:v>6049</x:v>
      </x:c>
      <x:c r="F342" s="7" t="s">
        <x:v>6050</x:v>
      </x:c>
      <x:c r="G342" s="7" t="s">
        <x:v>6051</x:v>
      </x:c>
      <x:c r="H342" s="8" t="s">
        <x:v>53</x:v>
      </x:c>
      <x:c r="I342" s="7" t="s">
        <x:v>58</x:v>
      </x:c>
      <x:c r="J342" s="7" t="s">
        <x:v>5598</x:v>
      </x:c>
      <x:c r="K342" s="7" t="s">
        <x:v>1881</x:v>
      </x:c>
      <x:c r="L342" s="7" t="s">
        <x:v>6049</x:v>
      </x:c>
    </x:row>
    <x:row r="343" ht="37.5" hidden="0" customHeight="1">
      <x:c r="A343" s="7" t="s">
        <x:v>1102</x:v>
      </x:c>
      <x:c r="B343" s="7" t="s">
        <x:v>1093</x:v>
      </x:c>
      <x:c r="C343" s="7" t="s">
        <x:v>1095</x:v>
      </x:c>
      <x:c r="D343" s="7" t="s">
        <x:v>5855</x:v>
      </x:c>
      <x:c r="E343" s="7" t="s">
        <x:v>6047</x:v>
      </x:c>
      <x:c r="F343" s="7" t="s">
        <x:v>1062</x:v>
      </x:c>
      <x:c r="G343" s="7" t="s">
        <x:v>6048</x:v>
      </x:c>
      <x:c r="H343" s="8" t="s">
        <x:v>53</x:v>
      </x:c>
      <x:c r="I343" s="7" t="s">
        <x:v>58</x:v>
      </x:c>
      <x:c r="J343" s="7" t="s">
        <x:v>5598</x:v>
      </x:c>
      <x:c r="K343" s="7" t="s">
        <x:v>1882</x:v>
      </x:c>
      <x:c r="L343" s="7" t="s">
        <x:v>6047</x:v>
      </x:c>
    </x:row>
    <x:row r="344" ht="37.5" hidden="0" customHeight="1">
      <x:c r="A344" s="7" t="s">
        <x:v>1103</x:v>
      </x:c>
      <x:c r="B344" s="7" t="s">
        <x:v>1093</x:v>
      </x:c>
      <x:c r="C344" s="7" t="s">
        <x:v>1095</x:v>
      </x:c>
      <x:c r="D344" s="7" t="s">
        <x:v>5905</x:v>
      </x:c>
      <x:c r="E344" s="7" t="s">
        <x:v>6049</x:v>
      </x:c>
      <x:c r="F344" s="7" t="s">
        <x:v>6050</x:v>
      </x:c>
      <x:c r="G344" s="7" t="s">
        <x:v>6051</x:v>
      </x:c>
      <x:c r="H344" s="8" t="s">
        <x:v>53</x:v>
      </x:c>
      <x:c r="I344" s="7" t="s">
        <x:v>58</x:v>
      </x:c>
      <x:c r="J344" s="7" t="s">
        <x:v>5598</x:v>
      </x:c>
      <x:c r="K344" s="7" t="s">
        <x:v>1882</x:v>
      </x:c>
      <x:c r="L344" s="7" t="s">
        <x:v>6049</x:v>
      </x:c>
    </x:row>
    <x:row r="345" ht="37.5" hidden="0" customHeight="1">
      <x:c r="A345" s="7" t="s">
        <x:v>1112</x:v>
      </x:c>
      <x:c r="B345" s="7" t="s">
        <x:v>1104</x:v>
      </x:c>
      <x:c r="C345" s="7" t="s">
        <x:v>1106</x:v>
      </x:c>
      <x:c r="D345" s="7" t="s">
        <x:v>5855</x:v>
      </x:c>
      <x:c r="E345" s="7" t="s">
        <x:v>6047</x:v>
      </x:c>
      <x:c r="F345" s="7" t="s">
        <x:v>1062</x:v>
      </x:c>
      <x:c r="G345" s="7" t="s">
        <x:v>6048</x:v>
      </x:c>
      <x:c r="H345" s="8" t="s">
        <x:v>53</x:v>
      </x:c>
      <x:c r="I345" s="7" t="s">
        <x:v>58</x:v>
      </x:c>
      <x:c r="J345" s="7" t="s">
        <x:v>5598</x:v>
      </x:c>
      <x:c r="K345" s="7" t="s">
        <x:v>1883</x:v>
      </x:c>
      <x:c r="L345" s="7" t="s">
        <x:v>6047</x:v>
      </x:c>
    </x:row>
    <x:row r="346" ht="37.5" hidden="0" customHeight="1">
      <x:c r="A346" s="7" t="s">
        <x:v>1122</x:v>
      </x:c>
      <x:c r="B346" s="7" t="s">
        <x:v>1113</x:v>
      </x:c>
      <x:c r="C346" s="7" t="s">
        <x:v>1115</x:v>
      </x:c>
      <x:c r="D346" s="7" t="s">
        <x:v>5855</x:v>
      </x:c>
      <x:c r="E346" s="7" t="s">
        <x:v>6047</x:v>
      </x:c>
      <x:c r="F346" s="7" t="s">
        <x:v>1062</x:v>
      </x:c>
      <x:c r="G346" s="7" t="s">
        <x:v>6048</x:v>
      </x:c>
      <x:c r="H346" s="8" t="s">
        <x:v>53</x:v>
      </x:c>
      <x:c r="I346" s="7" t="s">
        <x:v>58</x:v>
      </x:c>
      <x:c r="J346" s="7" t="s">
        <x:v>5598</x:v>
      </x:c>
      <x:c r="K346" s="7" t="s">
        <x:v>1884</x:v>
      </x:c>
      <x:c r="L346" s="7" t="s">
        <x:v>6047</x:v>
      </x:c>
    </x:row>
    <x:row r="347" ht="37.5" hidden="0" customHeight="1">
      <x:c r="A347" s="7" t="s">
        <x:v>1123</x:v>
      </x:c>
      <x:c r="B347" s="7" t="s">
        <x:v>1113</x:v>
      </x:c>
      <x:c r="C347" s="7" t="s">
        <x:v>1115</x:v>
      </x:c>
      <x:c r="D347" s="7" t="s">
        <x:v>5905</x:v>
      </x:c>
      <x:c r="E347" s="7" t="s">
        <x:v>6049</x:v>
      </x:c>
      <x:c r="F347" s="7" t="s">
        <x:v>6050</x:v>
      </x:c>
      <x:c r="G347" s="7" t="s">
        <x:v>6051</x:v>
      </x:c>
      <x:c r="H347" s="8" t="s">
        <x:v>53</x:v>
      </x:c>
      <x:c r="I347" s="7" t="s">
        <x:v>58</x:v>
      </x:c>
      <x:c r="J347" s="7" t="s">
        <x:v>5598</x:v>
      </x:c>
      <x:c r="K347" s="7" t="s">
        <x:v>1884</x:v>
      </x:c>
      <x:c r="L347" s="7" t="s">
        <x:v>6049</x:v>
      </x:c>
    </x:row>
    <x:row r="348" ht="51.75" hidden="0" customHeight="1">
      <x:c r="A348" s="7" t="s">
        <x:v>402</x:v>
      </x:c>
      <x:c r="B348" s="7" t="s">
        <x:v>390</x:v>
      </x:c>
      <x:c r="C348" s="7" t="s">
        <x:v>1430</x:v>
      </x:c>
      <x:c r="D348" s="7" t="s">
        <x:v>6020</x:v>
      </x:c>
      <x:c r="E348" s="7" t="s">
        <x:v>6052</x:v>
      </x:c>
      <x:c r="F348" s="7" t="s">
        <x:v>6053</x:v>
      </x:c>
      <x:c r="G348" s="7" t="s">
        <x:v>6054</x:v>
      </x:c>
      <x:c r="H348" s="8" t="s">
        <x:v>53</x:v>
      </x:c>
      <x:c r="I348" s="7" t="s">
        <x:v>58</x:v>
      </x:c>
      <x:c r="J348" s="7" t="s">
        <x:v>6055</x:v>
      </x:c>
      <x:c r="K348" s="7" t="s">
        <x:v>1437</x:v>
      </x:c>
      <x:c r="L348" s="7" t="s">
        <x:v>6052</x:v>
      </x:c>
    </x:row>
    <x:row r="349" ht="51.75" hidden="0" customHeight="1">
      <x:c r="A349" s="7" t="s">
        <x:v>451</x:v>
      </x:c>
      <x:c r="B349" s="7" t="s">
        <x:v>437</x:v>
      </x:c>
      <x:c r="C349" s="7" t="s">
        <x:v>1440</x:v>
      </x:c>
      <x:c r="D349" s="7" t="s">
        <x:v>6020</x:v>
      </x:c>
      <x:c r="E349" s="7" t="s">
        <x:v>6052</x:v>
      </x:c>
      <x:c r="F349" s="7" t="s">
        <x:v>6053</x:v>
      </x:c>
      <x:c r="G349" s="7" t="s">
        <x:v>6054</x:v>
      </x:c>
      <x:c r="H349" s="8" t="s">
        <x:v>53</x:v>
      </x:c>
      <x:c r="I349" s="7" t="s">
        <x:v>58</x:v>
      </x:c>
      <x:c r="J349" s="7" t="s">
        <x:v>6055</x:v>
      </x:c>
      <x:c r="K349" s="7" t="s">
        <x:v>1437</x:v>
      </x:c>
      <x:c r="L349" s="7" t="s">
        <x:v>6052</x:v>
      </x:c>
    </x:row>
    <x:row r="350" ht="51.75" hidden="0" customHeight="1">
      <x:c r="A350" s="7" t="s">
        <x:v>626</x:v>
      </x:c>
      <x:c r="B350" s="7" t="s">
        <x:v>616</x:v>
      </x:c>
      <x:c r="C350" s="7" t="s">
        <x:v>1443</x:v>
      </x:c>
      <x:c r="D350" s="7" t="s">
        <x:v>6020</x:v>
      </x:c>
      <x:c r="E350" s="7" t="s">
        <x:v>6052</x:v>
      </x:c>
      <x:c r="F350" s="7" t="s">
        <x:v>6053</x:v>
      </x:c>
      <x:c r="G350" s="7" t="s">
        <x:v>6054</x:v>
      </x:c>
      <x:c r="H350" s="8" t="s">
        <x:v>53</x:v>
      </x:c>
      <x:c r="I350" s="7" t="s">
        <x:v>58</x:v>
      </x:c>
      <x:c r="J350" s="7" t="s">
        <x:v>6055</x:v>
      </x:c>
      <x:c r="K350" s="7" t="s">
        <x:v>1437</x:v>
      </x:c>
      <x:c r="L350" s="7" t="s">
        <x:v>6052</x:v>
      </x:c>
    </x:row>
    <x:row r="351" ht="51.75" hidden="0" customHeight="1">
      <x:c r="A351" s="7" t="s">
        <x:v>1030</x:v>
      </x:c>
      <x:c r="B351" s="7" t="s">
        <x:v>1020</x:v>
      </x:c>
      <x:c r="C351" s="7" t="s">
        <x:v>1447</x:v>
      </x:c>
      <x:c r="D351" s="7" t="s">
        <x:v>6020</x:v>
      </x:c>
      <x:c r="E351" s="7" t="s">
        <x:v>6052</x:v>
      </x:c>
      <x:c r="F351" s="7" t="s">
        <x:v>6053</x:v>
      </x:c>
      <x:c r="G351" s="7" t="s">
        <x:v>6054</x:v>
      </x:c>
      <x:c r="H351" s="8" t="s">
        <x:v>53</x:v>
      </x:c>
      <x:c r="I351" s="7" t="s">
        <x:v>58</x:v>
      </x:c>
      <x:c r="J351" s="7" t="s">
        <x:v>6055</x:v>
      </x:c>
      <x:c r="K351" s="7" t="s">
        <x:v>1437</x:v>
      </x:c>
      <x:c r="L351" s="7" t="s">
        <x:v>6052</x:v>
      </x:c>
    </x:row>
    <x:row r="352" ht="51.75" hidden="0" customHeight="1">
      <x:c r="A352" s="7" t="s">
        <x:v>6056</x:v>
      </x:c>
      <x:c r="B352" s="7" t="s">
        <x:v>342</x:v>
      </x:c>
      <x:c r="C352" s="7" t="s">
        <x:v>58</x:v>
      </x:c>
      <x:c r="D352" s="7" t="s">
        <x:v>5594</x:v>
      </x:c>
      <x:c r="E352" s="7" t="s">
        <x:v>6057</x:v>
      </x:c>
      <x:c r="F352" s="7" t="s">
        <x:v>6058</x:v>
      </x:c>
      <x:c r="G352" s="7" t="s">
        <x:v>6059</x:v>
      </x:c>
      <x:c r="H352" s="8" t="s">
        <x:v>53</x:v>
      </x:c>
      <x:c r="I352" s="7" t="s">
        <x:v>58</x:v>
      </x:c>
      <x:c r="J352" s="7" t="s">
        <x:v>6055</x:v>
      </x:c>
      <x:c r="K352" s="7" t="s">
        <x:v>6060</x:v>
      </x:c>
      <x:c r="L352" s="7" t="s">
        <x:v>6057</x:v>
      </x:c>
    </x:row>
    <x:row r="353" ht="51.75" hidden="0" customHeight="1">
      <x:c r="A353" s="7" t="s">
        <x:v>6061</x:v>
      </x:c>
      <x:c r="B353" s="7" t="s">
        <x:v>390</x:v>
      </x:c>
      <x:c r="C353" s="7" t="s">
        <x:v>58</x:v>
      </x:c>
      <x:c r="D353" s="7" t="s">
        <x:v>5594</x:v>
      </x:c>
      <x:c r="E353" s="7" t="s">
        <x:v>6057</x:v>
      </x:c>
      <x:c r="F353" s="7" t="s">
        <x:v>6058</x:v>
      </x:c>
      <x:c r="G353" s="7" t="s">
        <x:v>6059</x:v>
      </x:c>
      <x:c r="H353" s="8" t="s">
        <x:v>53</x:v>
      </x:c>
      <x:c r="I353" s="7" t="s">
        <x:v>58</x:v>
      </x:c>
      <x:c r="J353" s="7" t="s">
        <x:v>6055</x:v>
      </x:c>
      <x:c r="K353" s="7" t="s">
        <x:v>6060</x:v>
      </x:c>
      <x:c r="L353" s="7" t="s">
        <x:v>6057</x:v>
      </x:c>
    </x:row>
    <x:row r="354" ht="51.75" hidden="0" customHeight="1">
      <x:c r="A354" s="7" t="s">
        <x:v>897</x:v>
      </x:c>
      <x:c r="B354" s="7" t="s">
        <x:v>884</x:v>
      </x:c>
      <x:c r="C354" s="7" t="s">
        <x:v>58</x:v>
      </x:c>
      <x:c r="D354" s="7" t="s">
        <x:v>5594</x:v>
      </x:c>
      <x:c r="E354" s="7" t="s">
        <x:v>6057</x:v>
      </x:c>
      <x:c r="F354" s="7" t="s">
        <x:v>6058</x:v>
      </x:c>
      <x:c r="G354" s="7" t="s">
        <x:v>6059</x:v>
      </x:c>
      <x:c r="H354" s="8" t="s">
        <x:v>53</x:v>
      </x:c>
      <x:c r="I354" s="7" t="s">
        <x:v>58</x:v>
      </x:c>
      <x:c r="J354" s="7" t="s">
        <x:v>6055</x:v>
      </x:c>
      <x:c r="K354" s="7" t="s">
        <x:v>6060</x:v>
      </x:c>
      <x:c r="L354" s="7" t="s">
        <x:v>6057</x:v>
      </x:c>
    </x:row>
    <x:row r="355" ht="51.75" hidden="0" customHeight="1">
      <x:c r="A355" s="7" t="s">
        <x:v>6062</x:v>
      </x:c>
      <x:c r="B355" s="7" t="s">
        <x:v>45</x:v>
      </x:c>
      <x:c r="C355" s="7" t="s">
        <x:v>58</x:v>
      </x:c>
      <x:c r="D355" s="7" t="s">
        <x:v>5594</x:v>
      </x:c>
      <x:c r="E355" s="7" t="s">
        <x:v>6057</x:v>
      </x:c>
      <x:c r="F355" s="7" t="s">
        <x:v>6058</x:v>
      </x:c>
      <x:c r="G355" s="7" t="s">
        <x:v>6059</x:v>
      </x:c>
      <x:c r="H355" s="8" t="s">
        <x:v>53</x:v>
      </x:c>
      <x:c r="I355" s="7" t="s">
        <x:v>58</x:v>
      </x:c>
      <x:c r="J355" s="7" t="s">
        <x:v>6055</x:v>
      </x:c>
      <x:c r="K355" s="7" t="s">
        <x:v>6060</x:v>
      </x:c>
      <x:c r="L355" s="7" t="s">
        <x:v>6057</x:v>
      </x:c>
    </x:row>
    <x:row r="356" ht="37.5" hidden="0" customHeight="1">
      <x:c r="A356" s="7" t="s">
        <x:v>6063</x:v>
      </x:c>
      <x:c r="B356" s="7" t="s">
        <x:v>45</x:v>
      </x:c>
      <x:c r="C356" s="7" t="s">
        <x:v>58</x:v>
      </x:c>
      <x:c r="D356" s="7" t="s">
        <x:v>5899</x:v>
      </x:c>
      <x:c r="E356" s="7" t="s">
        <x:v>44</x:v>
      </x:c>
      <x:c r="F356" s="7" t="s">
        <x:v>6064</x:v>
      </x:c>
      <x:c r="G356" s="7" t="s">
        <x:v>6065</x:v>
      </x:c>
      <x:c r="H356" s="8" t="n">
        <x:v>1</x:v>
      </x:c>
      <x:c r="I356" s="7" t="s">
        <x:v>75</x:v>
      </x:c>
      <x:c r="J356" s="7" t="s">
        <x:v>5598</x:v>
      </x:c>
      <x:c r="K356" s="7" t="s">
        <x:v>5894</x:v>
      </x:c>
      <x:c r="L356" s="7" t="s">
        <x:v>44</x:v>
      </x:c>
    </x:row>
    <x:row r="357" ht="37.5" hidden="0" customHeight="1">
      <x:c r="A357" s="7" t="s">
        <x:v>6066</x:v>
      </x:c>
      <x:c r="B357" s="7" t="s">
        <x:v>266</x:v>
      </x:c>
      <x:c r="C357" s="7" t="s">
        <x:v>58</x:v>
      </x:c>
      <x:c r="D357" s="7" t="s">
        <x:v>5899</x:v>
      </x:c>
      <x:c r="E357" s="7" t="s">
        <x:v>44</x:v>
      </x:c>
      <x:c r="F357" s="7" t="s">
        <x:v>6067</x:v>
      </x:c>
      <x:c r="G357" s="7" t="s">
        <x:v>6065</x:v>
      </x:c>
      <x:c r="H357" s="8" t="n">
        <x:v>2</x:v>
      </x:c>
      <x:c r="I357" s="7" t="s">
        <x:v>75</x:v>
      </x:c>
      <x:c r="J357" s="7" t="s">
        <x:v>5598</x:v>
      </x:c>
      <x:c r="K357" s="7" t="s">
        <x:v>5915</x:v>
      </x:c>
      <x:c r="L357" s="7" t="s">
        <x:v>44</x:v>
      </x:c>
    </x:row>
    <x:row r="358" ht="37.5" hidden="0" customHeight="1">
      <x:c r="A358" s="7" t="s">
        <x:v>6068</x:v>
      </x:c>
      <x:c r="B358" s="7" t="s">
        <x:v>342</x:v>
      </x:c>
      <x:c r="C358" s="7" t="s">
        <x:v>58</x:v>
      </x:c>
      <x:c r="D358" s="7" t="s">
        <x:v>5899</x:v>
      </x:c>
      <x:c r="E358" s="7" t="s">
        <x:v>44</x:v>
      </x:c>
      <x:c r="F358" s="7" t="s">
        <x:v>6069</x:v>
      </x:c>
      <x:c r="G358" s="7" t="s">
        <x:v>6065</x:v>
      </x:c>
      <x:c r="H358" s="8" t="n">
        <x:v>4</x:v>
      </x:c>
      <x:c r="I358" s="7" t="s">
        <x:v>75</x:v>
      </x:c>
      <x:c r="J358" s="7" t="s">
        <x:v>5598</x:v>
      </x:c>
      <x:c r="K358" s="7" t="s">
        <x:v>5926</x:v>
      </x:c>
      <x:c r="L358" s="7" t="s">
        <x:v>44</x:v>
      </x:c>
    </x:row>
    <x:row r="359" ht="37.5" hidden="0" customHeight="1">
      <x:c r="A359" s="7" t="s">
        <x:v>6070</x:v>
      </x:c>
      <x:c r="B359" s="7" t="s">
        <x:v>390</x:v>
      </x:c>
      <x:c r="C359" s="7" t="s">
        <x:v>58</x:v>
      </x:c>
      <x:c r="D359" s="7" t="s">
        <x:v>5899</x:v>
      </x:c>
      <x:c r="E359" s="7" t="s">
        <x:v>44</x:v>
      </x:c>
      <x:c r="F359" s="7" t="s">
        <x:v>6069</x:v>
      </x:c>
      <x:c r="G359" s="7" t="s">
        <x:v>6065</x:v>
      </x:c>
      <x:c r="H359" s="8" t="n">
        <x:v>4</x:v>
      </x:c>
      <x:c r="I359" s="7" t="s">
        <x:v>75</x:v>
      </x:c>
      <x:c r="J359" s="7" t="s">
        <x:v>5598</x:v>
      </x:c>
      <x:c r="K359" s="7" t="s">
        <x:v>5937</x:v>
      </x:c>
      <x:c r="L359" s="7" t="s">
        <x:v>44</x:v>
      </x:c>
    </x:row>
    <x:row r="360" ht="37.5" hidden="0" customHeight="1">
      <x:c r="A360" s="7" t="s">
        <x:v>6071</x:v>
      </x:c>
      <x:c r="B360" s="7" t="s">
        <x:v>437</x:v>
      </x:c>
      <x:c r="C360" s="7" t="s">
        <x:v>58</x:v>
      </x:c>
      <x:c r="D360" s="7" t="s">
        <x:v>5899</x:v>
      </x:c>
      <x:c r="E360" s="7" t="s">
        <x:v>44</x:v>
      </x:c>
      <x:c r="F360" s="7" t="s">
        <x:v>6069</x:v>
      </x:c>
      <x:c r="G360" s="7" t="s">
        <x:v>6065</x:v>
      </x:c>
      <x:c r="H360" s="8" t="n">
        <x:v>4</x:v>
      </x:c>
      <x:c r="I360" s="7" t="s">
        <x:v>75</x:v>
      </x:c>
      <x:c r="J360" s="7" t="s">
        <x:v>5598</x:v>
      </x:c>
      <x:c r="K360" s="7" t="s">
        <x:v>5948</x:v>
      </x:c>
      <x:c r="L360" s="7" t="s">
        <x:v>44</x:v>
      </x:c>
    </x:row>
    <x:row r="361" ht="37.5" hidden="0" customHeight="1">
      <x:c r="A361" s="7" t="s">
        <x:v>6072</x:v>
      </x:c>
      <x:c r="B361" s="7" t="s">
        <x:v>481</x:v>
      </x:c>
      <x:c r="C361" s="7" t="s">
        <x:v>58</x:v>
      </x:c>
      <x:c r="D361" s="7" t="s">
        <x:v>5899</x:v>
      </x:c>
      <x:c r="E361" s="7" t="s">
        <x:v>44</x:v>
      </x:c>
      <x:c r="F361" s="7" t="s">
        <x:v>6069</x:v>
      </x:c>
      <x:c r="G361" s="7" t="s">
        <x:v>6065</x:v>
      </x:c>
      <x:c r="H361" s="8" t="n">
        <x:v>4</x:v>
      </x:c>
      <x:c r="I361" s="7" t="s">
        <x:v>75</x:v>
      </x:c>
      <x:c r="J361" s="7" t="s">
        <x:v>5598</x:v>
      </x:c>
      <x:c r="K361" s="7" t="s">
        <x:v>5959</x:v>
      </x:c>
      <x:c r="L361" s="7" t="s">
        <x:v>44</x:v>
      </x:c>
    </x:row>
    <x:row r="362" ht="37.5" hidden="0" customHeight="1">
      <x:c r="A362" s="7" t="s">
        <x:v>6073</x:v>
      </x:c>
      <x:c r="B362" s="7" t="s">
        <x:v>559</x:v>
      </x:c>
      <x:c r="C362" s="7" t="s">
        <x:v>58</x:v>
      </x:c>
      <x:c r="D362" s="7" t="s">
        <x:v>5899</x:v>
      </x:c>
      <x:c r="E362" s="7" t="s">
        <x:v>44</x:v>
      </x:c>
      <x:c r="F362" s="7" t="s">
        <x:v>6069</x:v>
      </x:c>
      <x:c r="G362" s="7" t="s">
        <x:v>6065</x:v>
      </x:c>
      <x:c r="H362" s="8" t="n">
        <x:v>4</x:v>
      </x:c>
      <x:c r="I362" s="7" t="s">
        <x:v>75</x:v>
      </x:c>
      <x:c r="J362" s="7" t="s">
        <x:v>5598</x:v>
      </x:c>
      <x:c r="K362" s="7" t="s">
        <x:v>5969</x:v>
      </x:c>
      <x:c r="L362" s="7" t="s">
        <x:v>44</x:v>
      </x:c>
    </x:row>
    <x:row r="363" ht="37.5" hidden="0" customHeight="1">
      <x:c r="A363" s="7" t="s">
        <x:v>6074</x:v>
      </x:c>
      <x:c r="B363" s="7" t="s">
        <x:v>898</x:v>
      </x:c>
      <x:c r="C363" s="7" t="s">
        <x:v>58</x:v>
      </x:c>
      <x:c r="D363" s="7" t="s">
        <x:v>5899</x:v>
      </x:c>
      <x:c r="E363" s="7" t="s">
        <x:v>44</x:v>
      </x:c>
      <x:c r="F363" s="7" t="s">
        <x:v>6075</x:v>
      </x:c>
      <x:c r="G363" s="7" t="s">
        <x:v>6065</x:v>
      </x:c>
      <x:c r="H363" s="8" t="n">
        <x:v>5</x:v>
      </x:c>
      <x:c r="I363" s="7" t="s">
        <x:v>75</x:v>
      </x:c>
      <x:c r="J363" s="7" t="s">
        <x:v>5598</x:v>
      </x:c>
      <x:c r="K363" s="7" t="s">
        <x:v>5982</x:v>
      </x:c>
      <x:c r="L363" s="7" t="s">
        <x:v>44</x:v>
      </x:c>
    </x:row>
    <x:row r="364" ht="37.5" hidden="0" customHeight="1">
      <x:c r="A364" s="7" t="s">
        <x:v>6076</x:v>
      </x:c>
      <x:c r="B364" s="7" t="s">
        <x:v>834</x:v>
      </x:c>
      <x:c r="C364" s="7" t="s">
        <x:v>58</x:v>
      </x:c>
      <x:c r="D364" s="7" t="s">
        <x:v>5899</x:v>
      </x:c>
      <x:c r="E364" s="7" t="s">
        <x:v>44</x:v>
      </x:c>
      <x:c r="F364" s="7" t="s">
        <x:v>6069</x:v>
      </x:c>
      <x:c r="G364" s="7" t="s">
        <x:v>6065</x:v>
      </x:c>
      <x:c r="H364" s="8" t="n">
        <x:v>4</x:v>
      </x:c>
      <x:c r="I364" s="7" t="s">
        <x:v>75</x:v>
      </x:c>
      <x:c r="J364" s="7" t="s">
        <x:v>5598</x:v>
      </x:c>
      <x:c r="K364" s="7" t="s">
        <x:v>6000</x:v>
      </x:c>
      <x:c r="L364" s="7" t="s">
        <x:v>44</x:v>
      </x:c>
    </x:row>
    <x:row r="365" ht="37.5" hidden="0" customHeight="1">
      <x:c r="A365" s="7" t="s">
        <x:v>6077</x:v>
      </x:c>
      <x:c r="B365" s="7" t="s">
        <x:v>847</x:v>
      </x:c>
      <x:c r="C365" s="7" t="s">
        <x:v>58</x:v>
      </x:c>
      <x:c r="D365" s="7" t="s">
        <x:v>5899</x:v>
      </x:c>
      <x:c r="E365" s="7" t="s">
        <x:v>44</x:v>
      </x:c>
      <x:c r="F365" s="7" t="s">
        <x:v>6069</x:v>
      </x:c>
      <x:c r="G365" s="7" t="s">
        <x:v>6065</x:v>
      </x:c>
      <x:c r="H365" s="8" t="n">
        <x:v>4</x:v>
      </x:c>
      <x:c r="I365" s="7" t="s">
        <x:v>75</x:v>
      </x:c>
      <x:c r="J365" s="7" t="s">
        <x:v>5598</x:v>
      </x:c>
      <x:c r="K365" s="7" t="s">
        <x:v>6000</x:v>
      </x:c>
      <x:c r="L365" s="7" t="s">
        <x:v>44</x:v>
      </x:c>
    </x:row>
    <x:row r="366">
      <x:c r="A366" t="str">
        <x:v>Q00363</x:v>
      </x:c>
      <x:c r="B366" t="str">
        <x:v>M077</x:v>
      </x:c>
      <x:c r="C366" t="str">
        <x:v>G077-01</x:v>
      </x:c>
      <x:c r="D366" t="str">
        <x:v>Application</x:v>
      </x:c>
      <x:c r="E366" t="str">
        <x:v>Intended role</x:v>
      </x:c>
      <x:c r="F366" t="str">
        <x:v>Support interface for Bambu Lab PLA filaments; not a stand-alone model material</x:v>
      </x:c>
      <x:c r="G366" t="str">
        <x:v>Manufacturer TDS statement; no concentration/time/temperature design limit</x:v>
      </x:c>
      <x:c r="H366" t="str">
        <x:v>Not published</x:v>
      </x:c>
      <x:c r="I366" t="str">
        <x:v>Not applicable</x:v>
      </x:c>
      <x:c r="J366" t="str">
        <x:v>Manufacturer statement</x:v>
      </x:c>
      <x:c r="K366" t="str">
        <x:v>R-BAMBU-SUPPORT-PLA-NEW-TDS</x:v>
      </x:c>
      <x:c r="L366" t="str">
        <x:v>pp. 1-3: Intended role</x:v>
      </x:c>
    </x:row>
    <x:row r="367">
      <x:c r="A367" t="str">
        <x:v>Q00364</x:v>
      </x:c>
      <x:c r="B367" t="str">
        <x:v>M077</x:v>
      </x:c>
      <x:c r="C367" t="str">
        <x:v>G077-01</x:v>
      </x:c>
      <x:c r="D367" t="str">
        <x:v>Chemical exposure</x:v>
      </x:c>
      <x:c r="E367" t="str">
        <x:v>Chemical stability</x:v>
      </x:c>
      <x:c r="F367" t="str">
        <x:v>Stable under normal storage and handling conditions</x:v>
      </x:c>
      <x:c r="G367" t="str">
        <x:v>Manufacturer TDS statement; no concentration/time/temperature design limit</x:v>
      </x:c>
      <x:c r="H367" t="str">
        <x:v>Not published</x:v>
      </x:c>
      <x:c r="I367" t="str">
        <x:v>Not applicable</x:v>
      </x:c>
      <x:c r="J367" t="str">
        <x:v>Manufacturer statement</x:v>
      </x:c>
      <x:c r="K367" t="str">
        <x:v>R-BAMBU-SUPPORT-PLA-NEW-TDS</x:v>
      </x:c>
      <x:c r="L367" t="str">
        <x:v>pp. 1-3: Chemical stability</x:v>
      </x:c>
    </x:row>
    <x:row r="368">
      <x:c r="A368" t="str">
        <x:v>Q00365</x:v>
      </x:c>
      <x:c r="B368" t="str">
        <x:v>M077</x:v>
      </x:c>
      <x:c r="C368" t="str">
        <x:v>G077-01</x:v>
      </x:c>
      <x:c r="D368" t="str">
        <x:v>Chemical exposure</x:v>
      </x:c>
      <x:c r="E368" t="str">
        <x:v>Water solubility</x:v>
      </x:c>
      <x:c r="F368" t="str">
        <x:v>Insoluble in water</x:v>
      </x:c>
      <x:c r="G368" t="str">
        <x:v>Manufacturer TDS statement; no concentration/time/temperature design limit</x:v>
      </x:c>
      <x:c r="H368" t="str">
        <x:v>Not published</x:v>
      </x:c>
      <x:c r="I368" t="str">
        <x:v>Not applicable</x:v>
      </x:c>
      <x:c r="J368" t="str">
        <x:v>Manufacturer statement</x:v>
      </x:c>
      <x:c r="K368" t="str">
        <x:v>R-BAMBU-SUPPORT-PLA-NEW-TDS</x:v>
      </x:c>
      <x:c r="L368" t="str">
        <x:v>pp. 1-3: Water solubility</x:v>
      </x:c>
    </x:row>
    <x:row r="369">
      <x:c r="A369" t="str">
        <x:v>Q00366</x:v>
      </x:c>
      <x:c r="B369" t="str">
        <x:v>M077</x:v>
      </x:c>
      <x:c r="C369" t="str">
        <x:v>G077-01</x:v>
      </x:c>
      <x:c r="D369" t="str">
        <x:v>Chemical exposure</x:v>
      </x:c>
      <x:c r="E369" t="str">
        <x:v>Acid resistance</x:v>
      </x:c>
      <x:c r="F369" t="str">
        <x:v>Not resistant</x:v>
      </x:c>
      <x:c r="G369" t="str">
        <x:v>Manufacturer TDS statement; no concentration/time/temperature design limit</x:v>
      </x:c>
      <x:c r="H369" t="str">
        <x:v>Not published</x:v>
      </x:c>
      <x:c r="I369" t="str">
        <x:v>Not applicable</x:v>
      </x:c>
      <x:c r="J369" t="str">
        <x:v>Manufacturer statement</x:v>
      </x:c>
      <x:c r="K369" t="str">
        <x:v>R-BAMBU-SUPPORT-PLA-NEW-TDS</x:v>
      </x:c>
      <x:c r="L369" t="str">
        <x:v>pp. 1-3: Acid resistance</x:v>
      </x:c>
    </x:row>
    <x:row r="370">
      <x:c r="A370" t="str">
        <x:v>Q00367</x:v>
      </x:c>
      <x:c r="B370" t="str">
        <x:v>M077</x:v>
      </x:c>
      <x:c r="C370" t="str">
        <x:v>G077-01</x:v>
      </x:c>
      <x:c r="D370" t="str">
        <x:v>Chemical exposure</x:v>
      </x:c>
      <x:c r="E370" t="str">
        <x:v>Alkali resistance</x:v>
      </x:c>
      <x:c r="F370" t="str">
        <x:v>Not resistant</x:v>
      </x:c>
      <x:c r="G370" t="str">
        <x:v>Manufacturer TDS statement; no concentration/time/temperature design limit</x:v>
      </x:c>
      <x:c r="H370" t="str">
        <x:v>Not published</x:v>
      </x:c>
      <x:c r="I370" t="str">
        <x:v>Not applicable</x:v>
      </x:c>
      <x:c r="J370" t="str">
        <x:v>Manufacturer statement</x:v>
      </x:c>
      <x:c r="K370" t="str">
        <x:v>R-BAMBU-SUPPORT-PLA-NEW-TDS</x:v>
      </x:c>
      <x:c r="L370" t="str">
        <x:v>pp. 1-3: Alkali resistance</x:v>
      </x:c>
    </x:row>
    <x:row r="371">
      <x:c r="A371" t="str">
        <x:v>Q00368</x:v>
      </x:c>
      <x:c r="B371" t="str">
        <x:v>M077</x:v>
      </x:c>
      <x:c r="C371" t="str">
        <x:v>G077-01</x:v>
      </x:c>
      <x:c r="D371" t="str">
        <x:v>Chemical exposure</x:v>
      </x:c>
      <x:c r="E371" t="str">
        <x:v>Organic-solvent resistance</x:v>
      </x:c>
      <x:c r="F371" t="str">
        <x:v>Not resistant to some organic solvents</x:v>
      </x:c>
      <x:c r="G371" t="str">
        <x:v>Manufacturer TDS statement; no concentration/time/temperature design limit</x:v>
      </x:c>
      <x:c r="H371" t="str">
        <x:v>Not published</x:v>
      </x:c>
      <x:c r="I371" t="str">
        <x:v>Not applicable</x:v>
      </x:c>
      <x:c r="J371" t="str">
        <x:v>Manufacturer statement</x:v>
      </x:c>
      <x:c r="K371" t="str">
        <x:v>R-BAMBU-SUPPORT-PLA-NEW-TDS</x:v>
      </x:c>
      <x:c r="L371" t="str">
        <x:v>pp. 1-3: Organic-solvent resistance</x:v>
      </x:c>
    </x:row>
    <x:row r="372">
      <x:c r="A372" t="str">
        <x:v>Q00369</x:v>
      </x:c>
      <x:c r="B372" t="str">
        <x:v>M077</x:v>
      </x:c>
      <x:c r="C372" t="str">
        <x:v>G077-01</x:v>
      </x:c>
      <x:c r="D372" t="str">
        <x:v>Chemical exposure</x:v>
      </x:c>
      <x:c r="E372" t="str">
        <x:v>Oil and grease resistance</x:v>
      </x:c>
      <x:c r="F372" t="str">
        <x:v>Resistant to most kinds of oil and grease</x:v>
      </x:c>
      <x:c r="G372" t="str">
        <x:v>Manufacturer TDS statement; no concentration/time/temperature design limit</x:v>
      </x:c>
      <x:c r="H372" t="str">
        <x:v>Not published</x:v>
      </x:c>
      <x:c r="I372" t="str">
        <x:v>Not applicable</x:v>
      </x:c>
      <x:c r="J372" t="str">
        <x:v>Manufacturer statement</x:v>
      </x:c>
      <x:c r="K372" t="str">
        <x:v>R-BAMBU-SUPPORT-PLA-NEW-TDS</x:v>
      </x:c>
      <x:c r="L372" t="str">
        <x:v>pp. 1-3: Oil and grease resistance</x:v>
      </x:c>
    </x:row>
    <x:row r="373">
      <x:c r="A373" t="str">
        <x:v>Q00370</x:v>
      </x:c>
      <x:c r="B373" t="str">
        <x:v>M077</x:v>
      </x:c>
      <x:c r="C373" t="str">
        <x:v>G077-01</x:v>
      </x:c>
      <x:c r="D373" t="str">
        <x:v>Chemical exposure</x:v>
      </x:c>
      <x:c r="E373" t="str">
        <x:v>Flammability</x:v>
      </x:c>
      <x:c r="F373" t="str">
        <x:v>Flammable</x:v>
      </x:c>
      <x:c r="G373" t="str">
        <x:v>Manufacturer TDS statement; no concentration/time/temperature design limit</x:v>
      </x:c>
      <x:c r="H373" t="str">
        <x:v>Not published</x:v>
      </x:c>
      <x:c r="I373" t="str">
        <x:v>Not applicable</x:v>
      </x:c>
      <x:c r="J373" t="str">
        <x:v>Manufacturer statement</x:v>
      </x:c>
      <x:c r="K373" t="str">
        <x:v>R-BAMBU-SUPPORT-PLA-NEW-TDS</x:v>
      </x:c>
      <x:c r="L373" t="str">
        <x:v>pp. 1-3: Flammability</x:v>
      </x:c>
    </x:row>
    <x:row r="374">
      <x:c r="A374" t="str">
        <x:v>Q00371</x:v>
      </x:c>
      <x:c r="B374" t="str">
        <x:v>M038</x:v>
      </x:c>
      <x:c r="C374" t="str">
        <x:v>G038-02</x:v>
      </x:c>
      <x:c r="D374" t="str">
        <x:v>Application</x:v>
      </x:c>
      <x:c r="E374" t="str">
        <x:v>Published applications</x:v>
      </x:c>
      <x:c r="F374" t="str">
        <x:v>Automotive/transportation, functional prototyping and electronics</x:v>
      </x:c>
      <x:c r="G374" t="str">
        <x:v>Manufacturer TDS/product statement; validate for the final part</x:v>
      </x:c>
      <x:c r="H374" t="str">
        <x:v>Not published</x:v>
      </x:c>
      <x:c r="I374" t="str">
        <x:v>Not applicable</x:v>
      </x:c>
      <x:c r="J374" t="str">
        <x:v>Manufacturer statement</x:v>
      </x:c>
      <x:c r="K374" t="str">
        <x:v>R-BASF-PCGF30-TDS</x:v>
      </x:c>
      <x:c r="L374" t="str">
        <x:v>pp. 1-3: Published applications</x:v>
      </x:c>
    </x:row>
    <x:row r="375">
      <x:c r="A375" t="str">
        <x:v>Q00372</x:v>
      </x:c>
      <x:c r="B375" t="str">
        <x:v>M038</x:v>
      </x:c>
      <x:c r="C375" t="str">
        <x:v>G038-02</x:v>
      </x:c>
      <x:c r="D375" t="str">
        <x:v>Environmental</x:v>
      </x:c>
      <x:c r="E375" t="str">
        <x:v>UV resistance</x:v>
      </x:c>
      <x:c r="F375" t="str">
        <x:v>UV-light resilience is a manufacturer claim</x:v>
      </x:c>
      <x:c r="G375" t="str">
        <x:v>Manufacturer TDS/product statement; validate for the final part</x:v>
      </x:c>
      <x:c r="H375" t="str">
        <x:v>Not published</x:v>
      </x:c>
      <x:c r="I375" t="str">
        <x:v>Not applicable</x:v>
      </x:c>
      <x:c r="J375" t="str">
        <x:v>Manufacturer statement</x:v>
      </x:c>
      <x:c r="K375" t="str">
        <x:v>R-BASF-PCGF30-TDS</x:v>
      </x:c>
      <x:c r="L375" t="str">
        <x:v>pp. 1-3: UV resistance</x:v>
      </x:c>
    </x:row>
    <x:row r="376">
      <x:c r="A376" t="str">
        <x:v>Q00373</x:v>
      </x:c>
      <x:c r="B376" t="str">
        <x:v>M038</x:v>
      </x:c>
      <x:c r="C376" t="str">
        <x:v>G038-02</x:v>
      </x:c>
      <x:c r="D376" t="str">
        <x:v>Safety</x:v>
      </x:c>
      <x:c r="E376" t="str">
        <x:v>Processing ventilation</x:v>
      </x:c>
      <x:c r="F376" t="str">
        <x:v>Use a well-ventilated room or professional extraction</x:v>
      </x:c>
      <x:c r="G376" t="str">
        <x:v>Manufacturer TDS/product statement; validate for the final part</x:v>
      </x:c>
      <x:c r="H376" t="str">
        <x:v>Not published</x:v>
      </x:c>
      <x:c r="I376" t="str">
        <x:v>Not applicable</x:v>
      </x:c>
      <x:c r="J376" t="str">
        <x:v>Manufacturer statement</x:v>
      </x:c>
      <x:c r="K376" t="str">
        <x:v>R-BASF-PCGF30-TDS</x:v>
      </x:c>
      <x:c r="L376" t="str">
        <x:v>pp. 1-3: Processing ventilation</x:v>
      </x:c>
    </x:row>
    <x:row r="377">
      <x:c r="A377" t="str">
        <x:v>Q00374</x:v>
      </x:c>
      <x:c r="B377" t="str">
        <x:v>M038</x:v>
      </x:c>
      <x:c r="C377" t="str">
        <x:v>G038-02</x:v>
      </x:c>
      <x:c r="D377" t="str">
        <x:v>Durability</x:v>
      </x:c>
      <x:c r="E377" t="str">
        <x:v>Abrasive wear</x:v>
      </x:c>
      <x:c r="F377" t="str">
        <x:v>Glass reinforcement may shorten brass nozzle and drive-wheel life</x:v>
      </x:c>
      <x:c r="G377" t="str">
        <x:v>Manufacturer TDS/product statement; validate for the final part</x:v>
      </x:c>
      <x:c r="H377" t="str">
        <x:v>Not published</x:v>
      </x:c>
      <x:c r="I377" t="str">
        <x:v>Not applicable</x:v>
      </x:c>
      <x:c r="J377" t="str">
        <x:v>Manufacturer statement</x:v>
      </x:c>
      <x:c r="K377" t="str">
        <x:v>R-BASF-PCGF30-TDS</x:v>
      </x:c>
      <x:c r="L377" t="str">
        <x:v>pp. 1-3: Abrasive wear</x:v>
      </x:c>
    </x:row>
    <x:row r="378">
      <x:c r="A378" t="str">
        <x:v>Q00375</x:v>
      </x:c>
      <x:c r="B378" t="str">
        <x:v>M045</x:v>
      </x:c>
      <x:c r="C378" t="str">
        <x:v>G045-03</x:v>
      </x:c>
      <x:c r="D378" t="str">
        <x:v>Application</x:v>
      </x:c>
      <x:c r="E378" t="str">
        <x:v>Published applications</x:v>
      </x:c>
      <x:c r="F378" t="str">
        <x:v>Sports equipment and impact-absorbing parts</x:v>
      </x:c>
      <x:c r="G378" t="str">
        <x:v>Manufacturer/portfolio statement; not an H2C validation</x:v>
      </x:c>
      <x:c r="H378" t="str">
        <x:v>Not published</x:v>
      </x:c>
      <x:c r="I378" t="str">
        <x:v>Not applicable</x:v>
      </x:c>
      <x:c r="J378" t="str">
        <x:v>Manufacturer statement</x:v>
      </x:c>
      <x:c r="K378" t="str">
        <x:v>R-KIMYA-PEBA-S-TDS</x:v>
      </x:c>
      <x:c r="L378" t="str">
        <x:v>Published applications</x:v>
      </x:c>
    </x:row>
    <x:row r="379">
      <x:c r="A379" t="str">
        <x:v>Q00376</x:v>
      </x:c>
      <x:c r="B379" t="str">
        <x:v>M045</x:v>
      </x:c>
      <x:c r="C379" t="str">
        <x:v>G045-03</x:v>
      </x:c>
      <x:c r="D379" t="str">
        <x:v>Mechanical</x:v>
      </x:c>
      <x:c r="E379" t="str">
        <x:v>Elasticity</x:v>
      </x:c>
      <x:c r="F379" t="str">
        <x:v>High elongation and energy-return claims; use measured rows for values</x:v>
      </x:c>
      <x:c r="G379" t="str">
        <x:v>Manufacturer/portfolio statement; not an H2C validation</x:v>
      </x:c>
      <x:c r="H379" t="str">
        <x:v>Not published</x:v>
      </x:c>
      <x:c r="I379" t="str">
        <x:v>Not applicable</x:v>
      </x:c>
      <x:c r="J379" t="str">
        <x:v>Manufacturer statement</x:v>
      </x:c>
      <x:c r="K379" t="str">
        <x:v>R-KIMYA-PEBA-S-TDS</x:v>
      </x:c>
      <x:c r="L379" t="str">
        <x:v>Elasticity</x:v>
      </x:c>
    </x:row>
    <x:row r="380">
      <x:c r="A380" t="str">
        <x:v>Q00377</x:v>
      </x:c>
      <x:c r="B380" t="str">
        <x:v>M045</x:v>
      </x:c>
      <x:c r="C380" t="str">
        <x:v>G045-03</x:v>
      </x:c>
      <x:c r="D380" t="str">
        <x:v>Print quality</x:v>
      </x:c>
      <x:c r="E380" t="str">
        <x:v>Layer adhesion</x:v>
      </x:c>
      <x:c r="F380" t="str">
        <x:v>Good layer adhesion is a manufacturer portfolio claim</x:v>
      </x:c>
      <x:c r="G380" t="str">
        <x:v>Manufacturer/portfolio statement; not an H2C validation</x:v>
      </x:c>
      <x:c r="H380" t="str">
        <x:v>Not published</x:v>
      </x:c>
      <x:c r="I380" t="str">
        <x:v>Not applicable</x:v>
      </x:c>
      <x:c r="J380" t="str">
        <x:v>Manufacturer statement</x:v>
      </x:c>
      <x:c r="K380" t="str">
        <x:v>R-KIMYA-PEBA-S-TDS</x:v>
      </x:c>
      <x:c r="L380" t="str">
        <x:v>Layer adhesion</x:v>
      </x:c>
    </x:row>
    <x:row r="381">
      <x:c r="A381" t="str">
        <x:v>Q00378</x:v>
      </x:c>
      <x:c r="B381" t="str">
        <x:v>M073</x:v>
      </x:c>
      <x:c r="C381" t="str">
        <x:v>G073-02</x:v>
      </x:c>
      <x:c r="D381" t="str">
        <x:v>Application</x:v>
      </x:c>
      <x:c r="E381" t="str">
        <x:v>Published applications</x:v>
      </x:c>
      <x:c r="F381" t="str">
        <x:v>Tooling, chemical/solvent-resistant uses, and high-temperature applications</x:v>
      </x:c>
      <x:c r="G381" t="str">
        <x:v>Manufacturer TDS statement; validate actual exposure and printed part</x:v>
      </x:c>
      <x:c r="H381" t="str">
        <x:v>Not published</x:v>
      </x:c>
      <x:c r="I381" t="str">
        <x:v>Not applicable</x:v>
      </x:c>
      <x:c r="J381" t="str">
        <x:v>Manufacturer statement</x:v>
      </x:c>
      <x:c r="K381" t="str">
        <x:v>R-ESSENTIUM-PPSCF-TDS</x:v>
      </x:c>
      <x:c r="L381" t="str">
        <x:v>pp. 1-2: Published applications</x:v>
      </x:c>
    </x:row>
    <x:row r="382">
      <x:c r="A382" t="str">
        <x:v>Q00379</x:v>
      </x:c>
      <x:c r="B382" t="str">
        <x:v>M073</x:v>
      </x:c>
      <x:c r="C382" t="str">
        <x:v>G073-02</x:v>
      </x:c>
      <x:c r="D382" t="str">
        <x:v>Chemical exposure</x:v>
      </x:c>
      <x:c r="E382" t="str">
        <x:v>Chemical and solvent resistance</x:v>
      </x:c>
      <x:c r="F382" t="str">
        <x:v>Excellent resistance is a qualitative manufacturer claim; no exposure matrix supplied</x:v>
      </x:c>
      <x:c r="G382" t="str">
        <x:v>Manufacturer TDS statement; validate actual exposure and printed part</x:v>
      </x:c>
      <x:c r="H382" t="str">
        <x:v>Not published</x:v>
      </x:c>
      <x:c r="I382" t="str">
        <x:v>Not applicable</x:v>
      </x:c>
      <x:c r="J382" t="str">
        <x:v>Manufacturer statement</x:v>
      </x:c>
      <x:c r="K382" t="str">
        <x:v>R-ESSENTIUM-PPSCF-TDS</x:v>
      </x:c>
      <x:c r="L382" t="str">
        <x:v>pp. 1-2: Chemical and solvent resistance</x:v>
      </x:c>
    </x:row>
    <x:row r="383">
      <x:c r="A383" t="str">
        <x:v>Q00380</x:v>
      </x:c>
      <x:c r="B383" t="str">
        <x:v>M073</x:v>
      </x:c>
      <x:c r="C383" t="str">
        <x:v>G073-02</x:v>
      </x:c>
      <x:c r="D383" t="str">
        <x:v>Environmental</x:v>
      </x:c>
      <x:c r="E383" t="str">
        <x:v>Moisture handling</x:v>
      </x:c>
      <x:c r="F383" t="str">
        <x:v>Slightly hygroscopic; keep vacuum sealed and dry if &gt;200 ppm</x:v>
      </x:c>
      <x:c r="G383" t="str">
        <x:v>Manufacturer TDS statement; validate actual exposure and printed part</x:v>
      </x:c>
      <x:c r="H383" t="str">
        <x:v>Not published</x:v>
      </x:c>
      <x:c r="I383" t="str">
        <x:v>Not applicable</x:v>
      </x:c>
      <x:c r="J383" t="str">
        <x:v>Manufacturer statement</x:v>
      </x:c>
      <x:c r="K383" t="str">
        <x:v>R-ESSENTIUM-PPSCF-TDS</x:v>
      </x:c>
      <x:c r="L383" t="str">
        <x:v>pp. 1-2: Moisture handling</x:v>
      </x:c>
    </x:row>
    <x:row r="384">
      <x:c r="A384" t="str">
        <x:v>Q00381</x:v>
      </x:c>
      <x:c r="B384" t="str">
        <x:v>M006</x:v>
      </x:c>
      <x:c r="C384" t="str">
        <x:v>G006-01</x:v>
      </x:c>
      <x:c r="D384" t="str">
        <x:v>Support / solubility</x:v>
      </x:c>
      <x:c r="E384" t="str">
        <x:v>Solubility</x:v>
      </x:c>
      <x:c r="F384" t="str">
        <x:v>Insoluble in water</x:v>
      </x:c>
      <x:c r="G384" t="str">
        <x:v>p. 2; concentration, duration and temperature not specified unless stated. Not a chemical design limit.</x:v>
      </x:c>
      <x:c r="H384" t="str">
        <x:v>Not published</x:v>
      </x:c>
      <x:c r="I384" t="str">
        <x:v>Not applicable</x:v>
      </x:c>
      <x:c r="J384" t="str">
        <x:v>Manufacturer statement</x:v>
      </x:c>
      <x:c r="K384" t="str">
        <x:v>B-pla-tough-upgrade-TDS</x:v>
      </x:c>
      <x:c r="L384" t="str">
        <x:v>Solubility</x:v>
      </x:c>
    </x:row>
    <x:row r="385">
      <x:c r="A385" t="str">
        <x:v>Q00382</x:v>
      </x:c>
      <x:c r="B385" t="str">
        <x:v>M006</x:v>
      </x:c>
      <x:c r="C385" t="str">
        <x:v>G006-01</x:v>
      </x:c>
      <x:c r="D385" t="str">
        <x:v>Chemical exposure</x:v>
      </x:c>
      <x:c r="E385" t="str">
        <x:v>Resistance to Acid</x:v>
      </x:c>
      <x:c r="F385" t="str">
        <x:v>Not resistant</x:v>
      </x:c>
      <x:c r="G385" t="str">
        <x:v>p. 2; concentration, duration and temperature not specified unless stated. Not a chemical design limit.</x:v>
      </x:c>
      <x:c r="H385" t="str">
        <x:v>Not published</x:v>
      </x:c>
      <x:c r="I385" t="str">
        <x:v>Not applicable</x:v>
      </x:c>
      <x:c r="J385" t="str">
        <x:v>Manufacturer statement</x:v>
      </x:c>
      <x:c r="K385" t="str">
        <x:v>B-pla-tough-upgrade-TDS</x:v>
      </x:c>
      <x:c r="L385" t="str">
        <x:v>Resistance to Acid</x:v>
      </x:c>
    </x:row>
    <x:row r="386">
      <x:c r="A386" t="str">
        <x:v>Q00383</x:v>
      </x:c>
      <x:c r="B386" t="str">
        <x:v>M006</x:v>
      </x:c>
      <x:c r="C386" t="str">
        <x:v>G006-01</x:v>
      </x:c>
      <x:c r="D386" t="str">
        <x:v>Chemical exposure</x:v>
      </x:c>
      <x:c r="E386" t="str">
        <x:v>Resistance to Alkali</x:v>
      </x:c>
      <x:c r="F386" t="str">
        <x:v>Not resistant</x:v>
      </x:c>
      <x:c r="G386" t="str">
        <x:v>p. 2; concentration, duration and temperature not specified unless stated. Not a chemical design limit.</x:v>
      </x:c>
      <x:c r="H386" t="str">
        <x:v>Not published</x:v>
      </x:c>
      <x:c r="I386" t="str">
        <x:v>Not applicable</x:v>
      </x:c>
      <x:c r="J386" t="str">
        <x:v>Manufacturer statement</x:v>
      </x:c>
      <x:c r="K386" t="str">
        <x:v>B-pla-tough-upgrade-TDS</x:v>
      </x:c>
      <x:c r="L386" t="str">
        <x:v>Resistance to Alkali</x:v>
      </x:c>
    </x:row>
    <x:row r="387">
      <x:c r="A387" t="str">
        <x:v>Q00384</x:v>
      </x:c>
      <x:c r="B387" t="str">
        <x:v>M006</x:v>
      </x:c>
      <x:c r="C387" t="str">
        <x:v>G006-01</x:v>
      </x:c>
      <x:c r="D387" t="str">
        <x:v>Chemical exposure</x:v>
      </x:c>
      <x:c r="E387" t="str">
        <x:v>Resistance to Organic Solvent</x:v>
      </x:c>
      <x:c r="F387" t="str">
        <x:v>Not resistant to some organic solvents</x:v>
      </x:c>
      <x:c r="G387" t="str">
        <x:v>p. 2; concentration, duration and temperature not specified unless stated. Not a chemical design limit.</x:v>
      </x:c>
      <x:c r="H387" t="str">
        <x:v>Not published</x:v>
      </x:c>
      <x:c r="I387" t="str">
        <x:v>Not applicable</x:v>
      </x:c>
      <x:c r="J387" t="str">
        <x:v>Manufacturer statement</x:v>
      </x:c>
      <x:c r="K387" t="str">
        <x:v>B-pla-tough-upgrade-TDS</x:v>
      </x:c>
      <x:c r="L387" t="str">
        <x:v>Resistance to Organic Solvent</x:v>
      </x:c>
    </x:row>
    <x:row r="388">
      <x:c r="A388" t="str">
        <x:v>Q00385</x:v>
      </x:c>
      <x:c r="B388" t="str">
        <x:v>M006</x:v>
      </x:c>
      <x:c r="C388" t="str">
        <x:v>G006-01</x:v>
      </x:c>
      <x:c r="D388" t="str">
        <x:v>Chemical exposure</x:v>
      </x:c>
      <x:c r="E388" t="str">
        <x:v>Resistance to Oil and Grease</x:v>
      </x:c>
      <x:c r="F388" t="str">
        <x:v>Resistant to most kinds of oil and grease</x:v>
      </x:c>
      <x:c r="G388" t="str">
        <x:v>p. 2; concentration, duration and temperature not specified unless stated. Not a chemical design limit.</x:v>
      </x:c>
      <x:c r="H388" t="str">
        <x:v>Not published</x:v>
      </x:c>
      <x:c r="I388" t="str">
        <x:v>Not applicable</x:v>
      </x:c>
      <x:c r="J388" t="str">
        <x:v>Manufacturer statement</x:v>
      </x:c>
      <x:c r="K388" t="str">
        <x:v>B-pla-tough-upgrade-TDS</x:v>
      </x:c>
      <x:c r="L388" t="str">
        <x:v>Resistance to Oil and Grease</x:v>
      </x:c>
    </x:row>
    <x:row r="389">
      <x:c r="A389" t="str">
        <x:v>Q00386</x:v>
      </x:c>
      <x:c r="B389" t="str">
        <x:v>M007</x:v>
      </x:c>
      <x:c r="C389" t="str">
        <x:v>G007-01</x:v>
      </x:c>
      <x:c r="D389" t="str">
        <x:v>Support / solubility</x:v>
      </x:c>
      <x:c r="E389" t="str">
        <x:v>Solubility</x:v>
      </x:c>
      <x:c r="F389" t="str">
        <x:v>Insoluble in water</x:v>
      </x:c>
      <x:c r="G389" t="str">
        <x:v>p. 3; concentration, duration and temperature not specified unless stated. Not a chemical design limit.</x:v>
      </x:c>
      <x:c r="H389" t="str">
        <x:v>Not published</x:v>
      </x:c>
      <x:c r="I389" t="str">
        <x:v>Not applicable</x:v>
      </x:c>
      <x:c r="J389" t="str">
        <x:v>Manufacturer statement</x:v>
      </x:c>
      <x:c r="K389" t="str">
        <x:v>B-pla-translucent-TDS</x:v>
      </x:c>
      <x:c r="L389" t="str">
        <x:v>Solubility</x:v>
      </x:c>
    </x:row>
    <x:row r="390">
      <x:c r="A390" t="str">
        <x:v>Q00387</x:v>
      </x:c>
      <x:c r="B390" t="str">
        <x:v>M007</x:v>
      </x:c>
      <x:c r="C390" t="str">
        <x:v>G007-01</x:v>
      </x:c>
      <x:c r="D390" t="str">
        <x:v>Chemical exposure</x:v>
      </x:c>
      <x:c r="E390" t="str">
        <x:v>Resistance to Acid</x:v>
      </x:c>
      <x:c r="F390" t="str">
        <x:v>Not resistant</x:v>
      </x:c>
      <x:c r="G390" t="str">
        <x:v>p. 3; concentration, duration and temperature not specified unless stated. Not a chemical design limit.</x:v>
      </x:c>
      <x:c r="H390" t="str">
        <x:v>Not published</x:v>
      </x:c>
      <x:c r="I390" t="str">
        <x:v>Not applicable</x:v>
      </x:c>
      <x:c r="J390" t="str">
        <x:v>Manufacturer statement</x:v>
      </x:c>
      <x:c r="K390" t="str">
        <x:v>B-pla-translucent-TDS</x:v>
      </x:c>
      <x:c r="L390" t="str">
        <x:v>Resistance to Acid</x:v>
      </x:c>
    </x:row>
    <x:row r="391">
      <x:c r="A391" t="str">
        <x:v>Q00388</x:v>
      </x:c>
      <x:c r="B391" t="str">
        <x:v>M007</x:v>
      </x:c>
      <x:c r="C391" t="str">
        <x:v>G007-01</x:v>
      </x:c>
      <x:c r="D391" t="str">
        <x:v>Chemical exposure</x:v>
      </x:c>
      <x:c r="E391" t="str">
        <x:v>Resistance to Alkali</x:v>
      </x:c>
      <x:c r="F391" t="str">
        <x:v>Not resistant</x:v>
      </x:c>
      <x:c r="G391" t="str">
        <x:v>p. 3; concentration, duration and temperature not specified unless stated. Not a chemical design limit.</x:v>
      </x:c>
      <x:c r="H391" t="str">
        <x:v>Not published</x:v>
      </x:c>
      <x:c r="I391" t="str">
        <x:v>Not applicable</x:v>
      </x:c>
      <x:c r="J391" t="str">
        <x:v>Manufacturer statement</x:v>
      </x:c>
      <x:c r="K391" t="str">
        <x:v>B-pla-translucent-TDS</x:v>
      </x:c>
      <x:c r="L391" t="str">
        <x:v>Resistance to Alkali</x:v>
      </x:c>
    </x:row>
    <x:row r="392">
      <x:c r="A392" t="str">
        <x:v>Q00389</x:v>
      </x:c>
      <x:c r="B392" t="str">
        <x:v>M007</x:v>
      </x:c>
      <x:c r="C392" t="str">
        <x:v>G007-01</x:v>
      </x:c>
      <x:c r="D392" t="str">
        <x:v>Chemical exposure</x:v>
      </x:c>
      <x:c r="E392" t="str">
        <x:v>Resistance to Organic Solvent</x:v>
      </x:c>
      <x:c r="F392" t="str">
        <x:v>Not resistant to some organic solvents</x:v>
      </x:c>
      <x:c r="G392" t="str">
        <x:v>p. 3; concentration, duration and temperature not specified unless stated. Not a chemical design limit.</x:v>
      </x:c>
      <x:c r="H392" t="str">
        <x:v>Not published</x:v>
      </x:c>
      <x:c r="I392" t="str">
        <x:v>Not applicable</x:v>
      </x:c>
      <x:c r="J392" t="str">
        <x:v>Manufacturer statement</x:v>
      </x:c>
      <x:c r="K392" t="str">
        <x:v>B-pla-translucent-TDS</x:v>
      </x:c>
      <x:c r="L392" t="str">
        <x:v>Resistance to Organic Solvent</x:v>
      </x:c>
    </x:row>
    <x:row r="393">
      <x:c r="A393" t="str">
        <x:v>Q00390</x:v>
      </x:c>
      <x:c r="B393" t="str">
        <x:v>M007</x:v>
      </x:c>
      <x:c r="C393" t="str">
        <x:v>G007-01</x:v>
      </x:c>
      <x:c r="D393" t="str">
        <x:v>Chemical exposure</x:v>
      </x:c>
      <x:c r="E393" t="str">
        <x:v>Resistance to Oil and Grease</x:v>
      </x:c>
      <x:c r="F393" t="str">
        <x:v>Resistant to most kinds of oil and grease</x:v>
      </x:c>
      <x:c r="G393" t="str">
        <x:v>p. 3; concentration, duration and temperature not specified unless stated. Not a chemical design limit.</x:v>
      </x:c>
      <x:c r="H393" t="str">
        <x:v>Not published</x:v>
      </x:c>
      <x:c r="I393" t="str">
        <x:v>Not applicable</x:v>
      </x:c>
      <x:c r="J393" t="str">
        <x:v>Manufacturer statement</x:v>
      </x:c>
      <x:c r="K393" t="str">
        <x:v>B-pla-translucent-TDS</x:v>
      </x:c>
      <x:c r="L393" t="str">
        <x:v>Resistance to Oil and Grease</x:v>
      </x:c>
    </x:row>
    <x:row r="394">
      <x:c r="A394" t="str">
        <x:v>Q00391</x:v>
      </x:c>
      <x:c r="B394" t="str">
        <x:v>M009</x:v>
      </x:c>
      <x:c r="C394" t="str">
        <x:v>G009-01</x:v>
      </x:c>
      <x:c r="D394" t="str">
        <x:v>Support / solubility</x:v>
      </x:c>
      <x:c r="E394" t="str">
        <x:v>Solubility</x:v>
      </x:c>
      <x:c r="F394" t="str">
        <x:v>Insoluble in water</x:v>
      </x:c>
      <x:c r="G394" t="str">
        <x:v>p. 3; concentration, duration and temperature not specified unless stated. Not a chemical design limit.</x:v>
      </x:c>
      <x:c r="H394" t="str">
        <x:v>Not published</x:v>
      </x:c>
      <x:c r="I394" t="str">
        <x:v>Not applicable</x:v>
      </x:c>
      <x:c r="J394" t="str">
        <x:v>Manufacturer statement</x:v>
      </x:c>
      <x:c r="K394" t="str">
        <x:v>B-pla-silk-upgrade-TDS</x:v>
      </x:c>
      <x:c r="L394" t="str">
        <x:v>Solubility</x:v>
      </x:c>
    </x:row>
    <x:row r="395">
      <x:c r="A395" t="str">
        <x:v>Q00392</x:v>
      </x:c>
      <x:c r="B395" t="str">
        <x:v>M009</x:v>
      </x:c>
      <x:c r="C395" t="str">
        <x:v>G009-01</x:v>
      </x:c>
      <x:c r="D395" t="str">
        <x:v>Chemical exposure</x:v>
      </x:c>
      <x:c r="E395" t="str">
        <x:v>Resistance to Acid</x:v>
      </x:c>
      <x:c r="F395" t="str">
        <x:v>Not resistant</x:v>
      </x:c>
      <x:c r="G395" t="str">
        <x:v>p. 3; concentration, duration and temperature not specified unless stated. Not a chemical design limit.</x:v>
      </x:c>
      <x:c r="H395" t="str">
        <x:v>Not published</x:v>
      </x:c>
      <x:c r="I395" t="str">
        <x:v>Not applicable</x:v>
      </x:c>
      <x:c r="J395" t="str">
        <x:v>Manufacturer statement</x:v>
      </x:c>
      <x:c r="K395" t="str">
        <x:v>B-pla-silk-upgrade-TDS</x:v>
      </x:c>
      <x:c r="L395" t="str">
        <x:v>Resistance to Acid</x:v>
      </x:c>
    </x:row>
    <x:row r="396">
      <x:c r="A396" t="str">
        <x:v>Q00393</x:v>
      </x:c>
      <x:c r="B396" t="str">
        <x:v>M009</x:v>
      </x:c>
      <x:c r="C396" t="str">
        <x:v>G009-01</x:v>
      </x:c>
      <x:c r="D396" t="str">
        <x:v>Chemical exposure</x:v>
      </x:c>
      <x:c r="E396" t="str">
        <x:v>Resistance to Alkali</x:v>
      </x:c>
      <x:c r="F396" t="str">
        <x:v>Not resistant</x:v>
      </x:c>
      <x:c r="G396" t="str">
        <x:v>p. 3; concentration, duration and temperature not specified unless stated. Not a chemical design limit.</x:v>
      </x:c>
      <x:c r="H396" t="str">
        <x:v>Not published</x:v>
      </x:c>
      <x:c r="I396" t="str">
        <x:v>Not applicable</x:v>
      </x:c>
      <x:c r="J396" t="str">
        <x:v>Manufacturer statement</x:v>
      </x:c>
      <x:c r="K396" t="str">
        <x:v>B-pla-silk-upgrade-TDS</x:v>
      </x:c>
      <x:c r="L396" t="str">
        <x:v>Resistance to Alkali</x:v>
      </x:c>
    </x:row>
    <x:row r="397">
      <x:c r="A397" t="str">
        <x:v>Q00394</x:v>
      </x:c>
      <x:c r="B397" t="str">
        <x:v>M009</x:v>
      </x:c>
      <x:c r="C397" t="str">
        <x:v>G009-01</x:v>
      </x:c>
      <x:c r="D397" t="str">
        <x:v>Chemical exposure</x:v>
      </x:c>
      <x:c r="E397" t="str">
        <x:v>Resistance to Organic Solvent</x:v>
      </x:c>
      <x:c r="F397" t="str">
        <x:v>Not resistant to some organic solvents</x:v>
      </x:c>
      <x:c r="G397" t="str">
        <x:v>p. 3; concentration, duration and temperature not specified unless stated. Not a chemical design limit.</x:v>
      </x:c>
      <x:c r="H397" t="str">
        <x:v>Not published</x:v>
      </x:c>
      <x:c r="I397" t="str">
        <x:v>Not applicable</x:v>
      </x:c>
      <x:c r="J397" t="str">
        <x:v>Manufacturer statement</x:v>
      </x:c>
      <x:c r="K397" t="str">
        <x:v>B-pla-silk-upgrade-TDS</x:v>
      </x:c>
      <x:c r="L397" t="str">
        <x:v>Resistance to Organic Solvent</x:v>
      </x:c>
    </x:row>
    <x:row r="398">
      <x:c r="A398" t="str">
        <x:v>Q00395</x:v>
      </x:c>
      <x:c r="B398" t="str">
        <x:v>M009</x:v>
      </x:c>
      <x:c r="C398" t="str">
        <x:v>G009-01</x:v>
      </x:c>
      <x:c r="D398" t="str">
        <x:v>Chemical exposure</x:v>
      </x:c>
      <x:c r="E398" t="str">
        <x:v>Resistance to Oil and Grease</x:v>
      </x:c>
      <x:c r="F398" t="str">
        <x:v>Resistant to most kinds of oil and grease</x:v>
      </x:c>
      <x:c r="G398" t="str">
        <x:v>p. 3; concentration, duration and temperature not specified unless stated. Not a chemical design limit.</x:v>
      </x:c>
      <x:c r="H398" t="str">
        <x:v>Not published</x:v>
      </x:c>
      <x:c r="I398" t="str">
        <x:v>Not applicable</x:v>
      </x:c>
      <x:c r="J398" t="str">
        <x:v>Manufacturer statement</x:v>
      </x:c>
      <x:c r="K398" t="str">
        <x:v>B-pla-silk-upgrade-TDS</x:v>
      </x:c>
      <x:c r="L398" t="str">
        <x:v>Resistance to Oil and Grease</x:v>
      </x:c>
    </x:row>
    <x:row r="399">
      <x:c r="A399" t="str">
        <x:v>Q00396</x:v>
      </x:c>
      <x:c r="B399" t="str">
        <x:v>M010</x:v>
      </x:c>
      <x:c r="C399" t="str">
        <x:v>G010-01</x:v>
      </x:c>
      <x:c r="D399" t="str">
        <x:v>Support / solubility</x:v>
      </x:c>
      <x:c r="E399" t="str">
        <x:v>Solubility</x:v>
      </x:c>
      <x:c r="F399" t="str">
        <x:v>Insoluble in water</x:v>
      </x:c>
      <x:c r="G399" t="str">
        <x:v>p. 3; concentration, duration and temperature not specified unless stated. Not a chemical design limit.</x:v>
      </x:c>
      <x:c r="H399" t="str">
        <x:v>Not published</x:v>
      </x:c>
      <x:c r="I399" t="str">
        <x:v>Not applicable</x:v>
      </x:c>
      <x:c r="J399" t="str">
        <x:v>Manufacturer statement</x:v>
      </x:c>
      <x:c r="K399" t="str">
        <x:v>B-pla-silk-dual-color-TDS</x:v>
      </x:c>
      <x:c r="L399" t="str">
        <x:v>Solubility</x:v>
      </x:c>
    </x:row>
    <x:row r="400">
      <x:c r="A400" t="str">
        <x:v>Q00397</x:v>
      </x:c>
      <x:c r="B400" t="str">
        <x:v>M010</x:v>
      </x:c>
      <x:c r="C400" t="str">
        <x:v>G010-01</x:v>
      </x:c>
      <x:c r="D400" t="str">
        <x:v>Chemical exposure</x:v>
      </x:c>
      <x:c r="E400" t="str">
        <x:v>Resistance to Acid</x:v>
      </x:c>
      <x:c r="F400" t="str">
        <x:v>Not resistant</x:v>
      </x:c>
      <x:c r="G400" t="str">
        <x:v>p. 3; concentration, duration and temperature not specified unless stated. Not a chemical design limit.</x:v>
      </x:c>
      <x:c r="H400" t="str">
        <x:v>Not published</x:v>
      </x:c>
      <x:c r="I400" t="str">
        <x:v>Not applicable</x:v>
      </x:c>
      <x:c r="J400" t="str">
        <x:v>Manufacturer statement</x:v>
      </x:c>
      <x:c r="K400" t="str">
        <x:v>B-pla-silk-dual-color-TDS</x:v>
      </x:c>
      <x:c r="L400" t="str">
        <x:v>Resistance to Acid</x:v>
      </x:c>
    </x:row>
    <x:row r="401">
      <x:c r="A401" t="str">
        <x:v>Q00398</x:v>
      </x:c>
      <x:c r="B401" t="str">
        <x:v>M010</x:v>
      </x:c>
      <x:c r="C401" t="str">
        <x:v>G010-01</x:v>
      </x:c>
      <x:c r="D401" t="str">
        <x:v>Chemical exposure</x:v>
      </x:c>
      <x:c r="E401" t="str">
        <x:v>Resistance to Alkali</x:v>
      </x:c>
      <x:c r="F401" t="str">
        <x:v>Not resistant</x:v>
      </x:c>
      <x:c r="G401" t="str">
        <x:v>p. 3; concentration, duration and temperature not specified unless stated. Not a chemical design limit.</x:v>
      </x:c>
      <x:c r="H401" t="str">
        <x:v>Not published</x:v>
      </x:c>
      <x:c r="I401" t="str">
        <x:v>Not applicable</x:v>
      </x:c>
      <x:c r="J401" t="str">
        <x:v>Manufacturer statement</x:v>
      </x:c>
      <x:c r="K401" t="str">
        <x:v>B-pla-silk-dual-color-TDS</x:v>
      </x:c>
      <x:c r="L401" t="str">
        <x:v>Resistance to Alkali</x:v>
      </x:c>
    </x:row>
    <x:row r="402">
      <x:c r="A402" t="str">
        <x:v>Q00399</x:v>
      </x:c>
      <x:c r="B402" t="str">
        <x:v>M010</x:v>
      </x:c>
      <x:c r="C402" t="str">
        <x:v>G010-01</x:v>
      </x:c>
      <x:c r="D402" t="str">
        <x:v>Chemical exposure</x:v>
      </x:c>
      <x:c r="E402" t="str">
        <x:v>Resistance to Organic Solvent</x:v>
      </x:c>
      <x:c r="F402" t="str">
        <x:v>Not resistant to some organic solvents</x:v>
      </x:c>
      <x:c r="G402" t="str">
        <x:v>p. 3; concentration, duration and temperature not specified unless stated. Not a chemical design limit.</x:v>
      </x:c>
      <x:c r="H402" t="str">
        <x:v>Not published</x:v>
      </x:c>
      <x:c r="I402" t="str">
        <x:v>Not applicable</x:v>
      </x:c>
      <x:c r="J402" t="str">
        <x:v>Manufacturer statement</x:v>
      </x:c>
      <x:c r="K402" t="str">
        <x:v>B-pla-silk-dual-color-TDS</x:v>
      </x:c>
      <x:c r="L402" t="str">
        <x:v>Resistance to Organic Solvent</x:v>
      </x:c>
    </x:row>
    <x:row r="403">
      <x:c r="A403" t="str">
        <x:v>Q00400</x:v>
      </x:c>
      <x:c r="B403" t="str">
        <x:v>M010</x:v>
      </x:c>
      <x:c r="C403" t="str">
        <x:v>G010-01</x:v>
      </x:c>
      <x:c r="D403" t="str">
        <x:v>Chemical exposure</x:v>
      </x:c>
      <x:c r="E403" t="str">
        <x:v>Resistance to Oil and Grease</x:v>
      </x:c>
      <x:c r="F403" t="str">
        <x:v>Resistant to most kinds of oil and grease</x:v>
      </x:c>
      <x:c r="G403" t="str">
        <x:v>p. 3; concentration, duration and temperature not specified unless stated. Not a chemical design limit.</x:v>
      </x:c>
      <x:c r="H403" t="str">
        <x:v>Not published</x:v>
      </x:c>
      <x:c r="I403" t="str">
        <x:v>Not applicable</x:v>
      </x:c>
      <x:c r="J403" t="str">
        <x:v>Manufacturer statement</x:v>
      </x:c>
      <x:c r="K403" t="str">
        <x:v>B-pla-silk-dual-color-TDS</x:v>
      </x:c>
      <x:c r="L403" t="str">
        <x:v>Resistance to Oil and Grease</x:v>
      </x:c>
    </x:row>
    <x:row r="404">
      <x:c r="A404" t="str">
        <x:v>Q00401</x:v>
      </x:c>
      <x:c r="B404" t="str">
        <x:v>M013</x:v>
      </x:c>
      <x:c r="C404" t="str">
        <x:v>G013-01</x:v>
      </x:c>
      <x:c r="D404" t="str">
        <x:v>Chemical exposure</x:v>
      </x:c>
      <x:c r="E404" t="str">
        <x:v>Resistance to Acid</x:v>
      </x:c>
      <x:c r="F404" t="str">
        <x:v>Not resistant</x:v>
      </x:c>
      <x:c r="G404" t="str">
        <x:v>p. 3; concentration, duration and temperature not specified unless stated. Not a chemical design limit.</x:v>
      </x:c>
      <x:c r="H404" t="str">
        <x:v>Not published</x:v>
      </x:c>
      <x:c r="I404" t="str">
        <x:v>Not applicable</x:v>
      </x:c>
      <x:c r="J404" t="str">
        <x:v>Manufacturer statement</x:v>
      </x:c>
      <x:c r="K404" t="str">
        <x:v>B-pla-sparkle-TDS</x:v>
      </x:c>
      <x:c r="L404" t="str">
        <x:v>Resistance to Acid</x:v>
      </x:c>
    </x:row>
    <x:row r="405">
      <x:c r="A405" t="str">
        <x:v>Q00402</x:v>
      </x:c>
      <x:c r="B405" t="str">
        <x:v>M013</x:v>
      </x:c>
      <x:c r="C405" t="str">
        <x:v>G013-01</x:v>
      </x:c>
      <x:c r="D405" t="str">
        <x:v>Chemical exposure</x:v>
      </x:c>
      <x:c r="E405" t="str">
        <x:v>Resistance to Alkali</x:v>
      </x:c>
      <x:c r="F405" t="str">
        <x:v>Not resistant</x:v>
      </x:c>
      <x:c r="G405" t="str">
        <x:v>p. 3; concentration, duration and temperature not specified unless stated. Not a chemical design limit.</x:v>
      </x:c>
      <x:c r="H405" t="str">
        <x:v>Not published</x:v>
      </x:c>
      <x:c r="I405" t="str">
        <x:v>Not applicable</x:v>
      </x:c>
      <x:c r="J405" t="str">
        <x:v>Manufacturer statement</x:v>
      </x:c>
      <x:c r="K405" t="str">
        <x:v>B-pla-sparkle-TDS</x:v>
      </x:c>
      <x:c r="L405" t="str">
        <x:v>Resistance to Alkali</x:v>
      </x:c>
    </x:row>
    <x:row r="406">
      <x:c r="A406" t="str">
        <x:v>Q00403</x:v>
      </x:c>
      <x:c r="B406" t="str">
        <x:v>M013</x:v>
      </x:c>
      <x:c r="C406" t="str">
        <x:v>G013-01</x:v>
      </x:c>
      <x:c r="D406" t="str">
        <x:v>Chemical exposure</x:v>
      </x:c>
      <x:c r="E406" t="str">
        <x:v>Resistance to Organic Solvent</x:v>
      </x:c>
      <x:c r="F406" t="str">
        <x:v>Not resistant to some organic solvents</x:v>
      </x:c>
      <x:c r="G406" t="str">
        <x:v>p. 3; concentration, duration and temperature not specified unless stated. Not a chemical design limit.</x:v>
      </x:c>
      <x:c r="H406" t="str">
        <x:v>Not published</x:v>
      </x:c>
      <x:c r="I406" t="str">
        <x:v>Not applicable</x:v>
      </x:c>
      <x:c r="J406" t="str">
        <x:v>Manufacturer statement</x:v>
      </x:c>
      <x:c r="K406" t="str">
        <x:v>B-pla-sparkle-TDS</x:v>
      </x:c>
      <x:c r="L406" t="str">
        <x:v>Resistance to Organic Solvent</x:v>
      </x:c>
    </x:row>
    <x:row r="407">
      <x:c r="A407" t="str">
        <x:v>Q00404</x:v>
      </x:c>
      <x:c r="B407" t="str">
        <x:v>M013</x:v>
      </x:c>
      <x:c r="C407" t="str">
        <x:v>G013-01</x:v>
      </x:c>
      <x:c r="D407" t="str">
        <x:v>Chemical exposure</x:v>
      </x:c>
      <x:c r="E407" t="str">
        <x:v>Resistance to Oil and Grease</x:v>
      </x:c>
      <x:c r="F407" t="str">
        <x:v>Resistant to most kinds of oil and grease</x:v>
      </x:c>
      <x:c r="G407" t="str">
        <x:v>p. 3; concentration, duration and temperature not specified unless stated. Not a chemical design limit.</x:v>
      </x:c>
      <x:c r="H407" t="str">
        <x:v>Not published</x:v>
      </x:c>
      <x:c r="I407" t="str">
        <x:v>Not applicable</x:v>
      </x:c>
      <x:c r="J407" t="str">
        <x:v>Manufacturer statement</x:v>
      </x:c>
      <x:c r="K407" t="str">
        <x:v>B-pla-sparkle-TDS</x:v>
      </x:c>
      <x:c r="L407" t="str">
        <x:v>Resistance to Oil and Grease</x:v>
      </x:c>
    </x:row>
    <x:row r="408">
      <x:c r="A408" t="str">
        <x:v>Q00405</x:v>
      </x:c>
      <x:c r="B408" t="str">
        <x:v>M013</x:v>
      </x:c>
      <x:c r="C408" t="str">
        <x:v>G013-01</x:v>
      </x:c>
      <x:c r="D408" t="str">
        <x:v>Flammability</x:v>
      </x:c>
      <x:c r="E408" t="str">
        <x:v>Flammability</x:v>
      </x:c>
      <x:c r="F408" t="str">
        <x:v>Flammable and self-extinguishing in the air</x:v>
      </x:c>
      <x:c r="G408" t="str">
        <x:v>p. 3; concentration, duration and temperature not specified unless stated. Not a chemical design limit.</x:v>
      </x:c>
      <x:c r="H408" t="str">
        <x:v>Not published</x:v>
      </x:c>
      <x:c r="I408" t="str">
        <x:v>Not applicable</x:v>
      </x:c>
      <x:c r="J408" t="str">
        <x:v>Manufacturer statement</x:v>
      </x:c>
      <x:c r="K408" t="str">
        <x:v>B-pla-sparkle-TDS</x:v>
      </x:c>
      <x:c r="L408" t="str">
        <x:v>Flammability</x:v>
      </x:c>
    </x:row>
    <x:row r="409">
      <x:c r="A409" t="str">
        <x:v>Q00406</x:v>
      </x:c>
      <x:c r="B409" t="str">
        <x:v>M015</x:v>
      </x:c>
      <x:c r="C409" t="str">
        <x:v>G015-01</x:v>
      </x:c>
      <x:c r="D409" t="str">
        <x:v>Support / solubility</x:v>
      </x:c>
      <x:c r="E409" t="str">
        <x:v>Solubility</x:v>
      </x:c>
      <x:c r="F409" t="str">
        <x:v>Insoluble in water</x:v>
      </x:c>
      <x:c r="G409" t="str">
        <x:v>p. 3; concentration, duration and temperature not specified unless stated. Not a chemical design limit.</x:v>
      </x:c>
      <x:c r="H409" t="str">
        <x:v>Not published</x:v>
      </x:c>
      <x:c r="I409" t="str">
        <x:v>Not applicable</x:v>
      </x:c>
      <x:c r="J409" t="str">
        <x:v>Manufacturer statement</x:v>
      </x:c>
      <x:c r="K409" t="str">
        <x:v>B-pla-galaxy-TDS</x:v>
      </x:c>
      <x:c r="L409" t="str">
        <x:v>Solubility</x:v>
      </x:c>
    </x:row>
    <x:row r="410">
      <x:c r="A410" t="str">
        <x:v>Q00407</x:v>
      </x:c>
      <x:c r="B410" t="str">
        <x:v>M015</x:v>
      </x:c>
      <x:c r="C410" t="str">
        <x:v>G015-01</x:v>
      </x:c>
      <x:c r="D410" t="str">
        <x:v>Chemical exposure</x:v>
      </x:c>
      <x:c r="E410" t="str">
        <x:v>Resistance to Acid</x:v>
      </x:c>
      <x:c r="F410" t="str">
        <x:v>Not resistant</x:v>
      </x:c>
      <x:c r="G410" t="str">
        <x:v>p. 3; concentration, duration and temperature not specified unless stated. Not a chemical design limit.</x:v>
      </x:c>
      <x:c r="H410" t="str">
        <x:v>Not published</x:v>
      </x:c>
      <x:c r="I410" t="str">
        <x:v>Not applicable</x:v>
      </x:c>
      <x:c r="J410" t="str">
        <x:v>Manufacturer statement</x:v>
      </x:c>
      <x:c r="K410" t="str">
        <x:v>B-pla-galaxy-TDS</x:v>
      </x:c>
      <x:c r="L410" t="str">
        <x:v>Resistance to Acid</x:v>
      </x:c>
    </x:row>
    <x:row r="411">
      <x:c r="A411" t="str">
        <x:v>Q00408</x:v>
      </x:c>
      <x:c r="B411" t="str">
        <x:v>M015</x:v>
      </x:c>
      <x:c r="C411" t="str">
        <x:v>G015-01</x:v>
      </x:c>
      <x:c r="D411" t="str">
        <x:v>Chemical exposure</x:v>
      </x:c>
      <x:c r="E411" t="str">
        <x:v>Resistance to Alkali</x:v>
      </x:c>
      <x:c r="F411" t="str">
        <x:v>Not resistant</x:v>
      </x:c>
      <x:c r="G411" t="str">
        <x:v>p. 3; concentration, duration and temperature not specified unless stated. Not a chemical design limit.</x:v>
      </x:c>
      <x:c r="H411" t="str">
        <x:v>Not published</x:v>
      </x:c>
      <x:c r="I411" t="str">
        <x:v>Not applicable</x:v>
      </x:c>
      <x:c r="J411" t="str">
        <x:v>Manufacturer statement</x:v>
      </x:c>
      <x:c r="K411" t="str">
        <x:v>B-pla-galaxy-TDS</x:v>
      </x:c>
      <x:c r="L411" t="str">
        <x:v>Resistance to Alkali</x:v>
      </x:c>
    </x:row>
    <x:row r="412">
      <x:c r="A412" t="str">
        <x:v>Q00409</x:v>
      </x:c>
      <x:c r="B412" t="str">
        <x:v>M015</x:v>
      </x:c>
      <x:c r="C412" t="str">
        <x:v>G015-01</x:v>
      </x:c>
      <x:c r="D412" t="str">
        <x:v>Chemical exposure</x:v>
      </x:c>
      <x:c r="E412" t="str">
        <x:v>Resistance to Organic Solvent</x:v>
      </x:c>
      <x:c r="F412" t="str">
        <x:v>Not resistant to some organic solvents</x:v>
      </x:c>
      <x:c r="G412" t="str">
        <x:v>p. 3; concentration, duration and temperature not specified unless stated. Not a chemical design limit.</x:v>
      </x:c>
      <x:c r="H412" t="str">
        <x:v>Not published</x:v>
      </x:c>
      <x:c r="I412" t="str">
        <x:v>Not applicable</x:v>
      </x:c>
      <x:c r="J412" t="str">
        <x:v>Manufacturer statement</x:v>
      </x:c>
      <x:c r="K412" t="str">
        <x:v>B-pla-galaxy-TDS</x:v>
      </x:c>
      <x:c r="L412" t="str">
        <x:v>Resistance to Organic Solvent</x:v>
      </x:c>
    </x:row>
    <x:row r="413">
      <x:c r="A413" t="str">
        <x:v>Q00410</x:v>
      </x:c>
      <x:c r="B413" t="str">
        <x:v>M015</x:v>
      </x:c>
      <x:c r="C413" t="str">
        <x:v>G015-01</x:v>
      </x:c>
      <x:c r="D413" t="str">
        <x:v>Chemical exposure</x:v>
      </x:c>
      <x:c r="E413" t="str">
        <x:v>Resistance to Oil and Grease</x:v>
      </x:c>
      <x:c r="F413" t="str">
        <x:v>Resistant to most kinds of oil and grease</x:v>
      </x:c>
      <x:c r="G413" t="str">
        <x:v>p. 3; concentration, duration and temperature not specified unless stated. Not a chemical design limit.</x:v>
      </x:c>
      <x:c r="H413" t="str">
        <x:v>Not published</x:v>
      </x:c>
      <x:c r="I413" t="str">
        <x:v>Not applicable</x:v>
      </x:c>
      <x:c r="J413" t="str">
        <x:v>Manufacturer statement</x:v>
      </x:c>
      <x:c r="K413" t="str">
        <x:v>B-pla-galaxy-TDS</x:v>
      </x:c>
      <x:c r="L413" t="str">
        <x:v>Resistance to Oil and Grease</x:v>
      </x:c>
    </x:row>
    <x:row r="414">
      <x:c r="A414" t="str">
        <x:v>Q00411</x:v>
      </x:c>
      <x:c r="B414" t="str">
        <x:v>M017</x:v>
      </x:c>
      <x:c r="C414" t="str">
        <x:v>G017-01</x:v>
      </x:c>
      <x:c r="D414" t="str">
        <x:v>Support / solubility</x:v>
      </x:c>
      <x:c r="E414" t="str">
        <x:v>Solubility</x:v>
      </x:c>
      <x:c r="F414" t="str">
        <x:v>Insoluble in water</x:v>
      </x:c>
      <x:c r="G414" t="str">
        <x:v>p. 3; concentration, duration and temperature not specified unless stated. Not a chemical design limit.</x:v>
      </x:c>
      <x:c r="H414" t="str">
        <x:v>Not published</x:v>
      </x:c>
      <x:c r="I414" t="str">
        <x:v>Not applicable</x:v>
      </x:c>
      <x:c r="J414" t="str">
        <x:v>Manufacturer statement</x:v>
      </x:c>
      <x:c r="K414" t="str">
        <x:v>B-pla-aero-TDS</x:v>
      </x:c>
      <x:c r="L414" t="str">
        <x:v>Solubility</x:v>
      </x:c>
    </x:row>
    <x:row r="415">
      <x:c r="A415" t="str">
        <x:v>Q00412</x:v>
      </x:c>
      <x:c r="B415" t="str">
        <x:v>M017</x:v>
      </x:c>
      <x:c r="C415" t="str">
        <x:v>G017-01</x:v>
      </x:c>
      <x:c r="D415" t="str">
        <x:v>Chemical exposure</x:v>
      </x:c>
      <x:c r="E415" t="str">
        <x:v>Resistance to Acid</x:v>
      </x:c>
      <x:c r="F415" t="str">
        <x:v>Not resistant</x:v>
      </x:c>
      <x:c r="G415" t="str">
        <x:v>p. 3; concentration, duration and temperature not specified unless stated. Not a chemical design limit.</x:v>
      </x:c>
      <x:c r="H415" t="str">
        <x:v>Not published</x:v>
      </x:c>
      <x:c r="I415" t="str">
        <x:v>Not applicable</x:v>
      </x:c>
      <x:c r="J415" t="str">
        <x:v>Manufacturer statement</x:v>
      </x:c>
      <x:c r="K415" t="str">
        <x:v>B-pla-aero-TDS</x:v>
      </x:c>
      <x:c r="L415" t="str">
        <x:v>Resistance to Acid</x:v>
      </x:c>
    </x:row>
    <x:row r="416">
      <x:c r="A416" t="str">
        <x:v>Q00413</x:v>
      </x:c>
      <x:c r="B416" t="str">
        <x:v>M017</x:v>
      </x:c>
      <x:c r="C416" t="str">
        <x:v>G017-01</x:v>
      </x:c>
      <x:c r="D416" t="str">
        <x:v>Chemical exposure</x:v>
      </x:c>
      <x:c r="E416" t="str">
        <x:v>Resistance to Alkali</x:v>
      </x:c>
      <x:c r="F416" t="str">
        <x:v>Not resistant</x:v>
      </x:c>
      <x:c r="G416" t="str">
        <x:v>p. 3; concentration, duration and temperature not specified unless stated. Not a chemical design limit.</x:v>
      </x:c>
      <x:c r="H416" t="str">
        <x:v>Not published</x:v>
      </x:c>
      <x:c r="I416" t="str">
        <x:v>Not applicable</x:v>
      </x:c>
      <x:c r="J416" t="str">
        <x:v>Manufacturer statement</x:v>
      </x:c>
      <x:c r="K416" t="str">
        <x:v>B-pla-aero-TDS</x:v>
      </x:c>
      <x:c r="L416" t="str">
        <x:v>Resistance to Alkali</x:v>
      </x:c>
    </x:row>
    <x:row r="417">
      <x:c r="A417" t="str">
        <x:v>Q00414</x:v>
      </x:c>
      <x:c r="B417" t="str">
        <x:v>M017</x:v>
      </x:c>
      <x:c r="C417" t="str">
        <x:v>G017-01</x:v>
      </x:c>
      <x:c r="D417" t="str">
        <x:v>Chemical exposure</x:v>
      </x:c>
      <x:c r="E417" t="str">
        <x:v>Resistance to Organic Solvent</x:v>
      </x:c>
      <x:c r="F417" t="str">
        <x:v>Not resistant to some organic solvents</x:v>
      </x:c>
      <x:c r="G417" t="str">
        <x:v>p. 3; concentration, duration and temperature not specified unless stated. Not a chemical design limit.</x:v>
      </x:c>
      <x:c r="H417" t="str">
        <x:v>Not published</x:v>
      </x:c>
      <x:c r="I417" t="str">
        <x:v>Not applicable</x:v>
      </x:c>
      <x:c r="J417" t="str">
        <x:v>Manufacturer statement</x:v>
      </x:c>
      <x:c r="K417" t="str">
        <x:v>B-pla-aero-TDS</x:v>
      </x:c>
      <x:c r="L417" t="str">
        <x:v>Resistance to Organic Solvent</x:v>
      </x:c>
    </x:row>
    <x:row r="418">
      <x:c r="A418" t="str">
        <x:v>Q00415</x:v>
      </x:c>
      <x:c r="B418" t="str">
        <x:v>M017</x:v>
      </x:c>
      <x:c r="C418" t="str">
        <x:v>G017-01</x:v>
      </x:c>
      <x:c r="D418" t="str">
        <x:v>Chemical exposure</x:v>
      </x:c>
      <x:c r="E418" t="str">
        <x:v>Resistance to Oil and Grease</x:v>
      </x:c>
      <x:c r="F418" t="str">
        <x:v>Resistant to most kinds of oil and grease</x:v>
      </x:c>
      <x:c r="G418" t="str">
        <x:v>p. 3; concentration, duration and temperature not specified unless stated. Not a chemical design limit.</x:v>
      </x:c>
      <x:c r="H418" t="str">
        <x:v>Not published</x:v>
      </x:c>
      <x:c r="I418" t="str">
        <x:v>Not applicable</x:v>
      </x:c>
      <x:c r="J418" t="str">
        <x:v>Manufacturer statement</x:v>
      </x:c>
      <x:c r="K418" t="str">
        <x:v>B-pla-aero-TDS</x:v>
      </x:c>
      <x:c r="L418" t="str">
        <x:v>Resistance to Oil and Grease</x:v>
      </x:c>
    </x:row>
    <x:row r="419">
      <x:c r="A419" t="str">
        <x:v>Q00416</x:v>
      </x:c>
      <x:c r="B419" t="str">
        <x:v>M022</x:v>
      </x:c>
      <x:c r="C419" t="str">
        <x:v>G022-01</x:v>
      </x:c>
      <x:c r="D419" t="str">
        <x:v>Support / solubility</x:v>
      </x:c>
      <x:c r="E419" t="str">
        <x:v>Solubility</x:v>
      </x:c>
      <x:c r="F419" t="str">
        <x:v>Insoluble in water</x:v>
      </x:c>
      <x:c r="G419" t="str">
        <x:v>p. 3; concentration, duration and temperature not specified unless stated. Not a chemical design limit.</x:v>
      </x:c>
      <x:c r="H419" t="str">
        <x:v>Not published</x:v>
      </x:c>
      <x:c r="I419" t="str">
        <x:v>Not applicable</x:v>
      </x:c>
      <x:c r="J419" t="str">
        <x:v>Manufacturer statement</x:v>
      </x:c>
      <x:c r="K419" t="str">
        <x:v>B-petg-hf-TDS</x:v>
      </x:c>
      <x:c r="L419" t="str">
        <x:v>Solubility</x:v>
      </x:c>
    </x:row>
    <x:row r="420">
      <x:c r="A420" t="str">
        <x:v>Q00417</x:v>
      </x:c>
      <x:c r="B420" t="str">
        <x:v>M022</x:v>
      </x:c>
      <x:c r="C420" t="str">
        <x:v>G022-01</x:v>
      </x:c>
      <x:c r="D420" t="str">
        <x:v>Chemical exposure</x:v>
      </x:c>
      <x:c r="E420" t="str">
        <x:v>Resistance to Acid</x:v>
      </x:c>
      <x:c r="F420" t="str">
        <x:v>Not resistant</x:v>
      </x:c>
      <x:c r="G420" t="str">
        <x:v>p. 3; concentration, duration and temperature not specified unless stated. Not a chemical design limit.</x:v>
      </x:c>
      <x:c r="H420" t="str">
        <x:v>Not published</x:v>
      </x:c>
      <x:c r="I420" t="str">
        <x:v>Not applicable</x:v>
      </x:c>
      <x:c r="J420" t="str">
        <x:v>Manufacturer statement</x:v>
      </x:c>
      <x:c r="K420" t="str">
        <x:v>B-petg-hf-TDS</x:v>
      </x:c>
      <x:c r="L420" t="str">
        <x:v>Resistance to Acid</x:v>
      </x:c>
    </x:row>
    <x:row r="421">
      <x:c r="A421" t="str">
        <x:v>Q00418</x:v>
      </x:c>
      <x:c r="B421" t="str">
        <x:v>M022</x:v>
      </x:c>
      <x:c r="C421" t="str">
        <x:v>G022-01</x:v>
      </x:c>
      <x:c r="D421" t="str">
        <x:v>Chemical exposure</x:v>
      </x:c>
      <x:c r="E421" t="str">
        <x:v>Resistance to Alkali</x:v>
      </x:c>
      <x:c r="F421" t="str">
        <x:v>Not resistant</x:v>
      </x:c>
      <x:c r="G421" t="str">
        <x:v>p. 3; concentration, duration and temperature not specified unless stated. Not a chemical design limit.</x:v>
      </x:c>
      <x:c r="H421" t="str">
        <x:v>Not published</x:v>
      </x:c>
      <x:c r="I421" t="str">
        <x:v>Not applicable</x:v>
      </x:c>
      <x:c r="J421" t="str">
        <x:v>Manufacturer statement</x:v>
      </x:c>
      <x:c r="K421" t="str">
        <x:v>B-petg-hf-TDS</x:v>
      </x:c>
      <x:c r="L421" t="str">
        <x:v>Resistance to Alkali</x:v>
      </x:c>
    </x:row>
    <x:row r="422">
      <x:c r="A422" t="str">
        <x:v>Q00419</x:v>
      </x:c>
      <x:c r="B422" t="str">
        <x:v>M022</x:v>
      </x:c>
      <x:c r="C422" t="str">
        <x:v>G022-01</x:v>
      </x:c>
      <x:c r="D422" t="str">
        <x:v>Chemical exposure</x:v>
      </x:c>
      <x:c r="E422" t="str">
        <x:v>Resistance to Organic Solvent</x:v>
      </x:c>
      <x:c r="F422" t="str">
        <x:v>Not resistant to some organic solvents</x:v>
      </x:c>
      <x:c r="G422" t="str">
        <x:v>p. 3; concentration, duration and temperature not specified unless stated. Not a chemical design limit.</x:v>
      </x:c>
      <x:c r="H422" t="str">
        <x:v>Not published</x:v>
      </x:c>
      <x:c r="I422" t="str">
        <x:v>Not applicable</x:v>
      </x:c>
      <x:c r="J422" t="str">
        <x:v>Manufacturer statement</x:v>
      </x:c>
      <x:c r="K422" t="str">
        <x:v>B-petg-hf-TDS</x:v>
      </x:c>
      <x:c r="L422" t="str">
        <x:v>Resistance to Organic Solvent</x:v>
      </x:c>
    </x:row>
    <x:row r="423">
      <x:c r="A423" t="str">
        <x:v>Q00420</x:v>
      </x:c>
      <x:c r="B423" t="str">
        <x:v>M022</x:v>
      </x:c>
      <x:c r="C423" t="str">
        <x:v>G022-01</x:v>
      </x:c>
      <x:c r="D423" t="str">
        <x:v>Chemical exposure</x:v>
      </x:c>
      <x:c r="E423" t="str">
        <x:v>Resistance to Oil and Grease</x:v>
      </x:c>
      <x:c r="F423" t="str">
        <x:v>Resistant to most kinds of oil and grease</x:v>
      </x:c>
      <x:c r="G423" t="str">
        <x:v>p. 3; concentration, duration and temperature not specified unless stated. Not a chemical design limit.</x:v>
      </x:c>
      <x:c r="H423" t="str">
        <x:v>Not published</x:v>
      </x:c>
      <x:c r="I423" t="str">
        <x:v>Not applicable</x:v>
      </x:c>
      <x:c r="J423" t="str">
        <x:v>Manufacturer statement</x:v>
      </x:c>
      <x:c r="K423" t="str">
        <x:v>B-petg-hf-TDS</x:v>
      </x:c>
      <x:c r="L423" t="str">
        <x:v>Resistance to Oil and Grease</x:v>
      </x:c>
    </x:row>
    <x:row r="424">
      <x:c r="A424" t="str">
        <x:v>Q00421</x:v>
      </x:c>
      <x:c r="B424" t="str">
        <x:v>M028</x:v>
      </x:c>
      <x:c r="C424" t="str">
        <x:v>G028-01</x:v>
      </x:c>
      <x:c r="D424" t="str">
        <x:v>Support / solubility</x:v>
      </x:c>
      <x:c r="E424" t="str">
        <x:v>Solubility</x:v>
      </x:c>
      <x:c r="F424" t="str">
        <x:v>Insoluble in water</x:v>
      </x:c>
      <x:c r="G424" t="str">
        <x:v>p. 3; concentration, duration and temperature not specified unless stated. Not a chemical design limit.</x:v>
      </x:c>
      <x:c r="H424" t="str">
        <x:v>Not published</x:v>
      </x:c>
      <x:c r="I424" t="str">
        <x:v>Not applicable</x:v>
      </x:c>
      <x:c r="J424" t="str">
        <x:v>Manufacturer statement</x:v>
      </x:c>
      <x:c r="K424" t="str">
        <x:v>B-abs-gf-TDS</x:v>
      </x:c>
      <x:c r="L424" t="str">
        <x:v>Solubility</x:v>
      </x:c>
    </x:row>
    <x:row r="425">
      <x:c r="A425" t="str">
        <x:v>Q00422</x:v>
      </x:c>
      <x:c r="B425" t="str">
        <x:v>M028</x:v>
      </x:c>
      <x:c r="C425" t="str">
        <x:v>G028-01</x:v>
      </x:c>
      <x:c r="D425" t="str">
        <x:v>Chemical exposure</x:v>
      </x:c>
      <x:c r="E425" t="str">
        <x:v>Resistance to Acid</x:v>
      </x:c>
      <x:c r="F425" t="str">
        <x:v>Resistant</x:v>
      </x:c>
      <x:c r="G425" t="str">
        <x:v>p. 3; concentration, duration and temperature not specified unless stated. Not a chemical design limit.</x:v>
      </x:c>
      <x:c r="H425" t="str">
        <x:v>Not published</x:v>
      </x:c>
      <x:c r="I425" t="str">
        <x:v>Not applicable</x:v>
      </x:c>
      <x:c r="J425" t="str">
        <x:v>Manufacturer statement</x:v>
      </x:c>
      <x:c r="K425" t="str">
        <x:v>B-abs-gf-TDS</x:v>
      </x:c>
      <x:c r="L425" t="str">
        <x:v>Resistance to Acid</x:v>
      </x:c>
    </x:row>
    <x:row r="426">
      <x:c r="A426" t="str">
        <x:v>Q00423</x:v>
      </x:c>
      <x:c r="B426" t="str">
        <x:v>M028</x:v>
      </x:c>
      <x:c r="C426" t="str">
        <x:v>G028-01</x:v>
      </x:c>
      <x:c r="D426" t="str">
        <x:v>Chemical exposure</x:v>
      </x:c>
      <x:c r="E426" t="str">
        <x:v>Resistance to Alkali</x:v>
      </x:c>
      <x:c r="F426" t="str">
        <x:v>Resistant</x:v>
      </x:c>
      <x:c r="G426" t="str">
        <x:v>p. 3; concentration, duration and temperature not specified unless stated. Not a chemical design limit.</x:v>
      </x:c>
      <x:c r="H426" t="str">
        <x:v>Not published</x:v>
      </x:c>
      <x:c r="I426" t="str">
        <x:v>Not applicable</x:v>
      </x:c>
      <x:c r="J426" t="str">
        <x:v>Manufacturer statement</x:v>
      </x:c>
      <x:c r="K426" t="str">
        <x:v>B-abs-gf-TDS</x:v>
      </x:c>
      <x:c r="L426" t="str">
        <x:v>Resistance to Alkali</x:v>
      </x:c>
    </x:row>
    <x:row r="427">
      <x:c r="A427" t="str">
        <x:v>Q00424</x:v>
      </x:c>
      <x:c r="B427" t="str">
        <x:v>M028</x:v>
      </x:c>
      <x:c r="C427" t="str">
        <x:v>G028-01</x:v>
      </x:c>
      <x:c r="D427" t="str">
        <x:v>Chemical exposure</x:v>
      </x:c>
      <x:c r="E427" t="str">
        <x:v>Resistance to Organic Solvent</x:v>
      </x:c>
      <x:c r="F427" t="str">
        <x:v>Not resistant to some organic solvents</x:v>
      </x:c>
      <x:c r="G427" t="str">
        <x:v>p. 3; concentration, duration and temperature not specified unless stated. Not a chemical design limit.</x:v>
      </x:c>
      <x:c r="H427" t="str">
        <x:v>Not published</x:v>
      </x:c>
      <x:c r="I427" t="str">
        <x:v>Not applicable</x:v>
      </x:c>
      <x:c r="J427" t="str">
        <x:v>Manufacturer statement</x:v>
      </x:c>
      <x:c r="K427" t="str">
        <x:v>B-abs-gf-TDS</x:v>
      </x:c>
      <x:c r="L427" t="str">
        <x:v>Resistance to Organic Solvent</x:v>
      </x:c>
    </x:row>
    <x:row r="428">
      <x:c r="A428" t="str">
        <x:v>Q00425</x:v>
      </x:c>
      <x:c r="B428" t="str">
        <x:v>M028</x:v>
      </x:c>
      <x:c r="C428" t="str">
        <x:v>G028-01</x:v>
      </x:c>
      <x:c r="D428" t="str">
        <x:v>Chemical exposure</x:v>
      </x:c>
      <x:c r="E428" t="str">
        <x:v>Resistance to Oil and Grease</x:v>
      </x:c>
      <x:c r="F428" t="str">
        <x:v>Not resistant to some kinds of oil and grease</x:v>
      </x:c>
      <x:c r="G428" t="str">
        <x:v>p. 3; concentration, duration and temperature not specified unless stated. Not a chemical design limit.</x:v>
      </x:c>
      <x:c r="H428" t="str">
        <x:v>Not published</x:v>
      </x:c>
      <x:c r="I428" t="str">
        <x:v>Not applicable</x:v>
      </x:c>
      <x:c r="J428" t="str">
        <x:v>Manufacturer statement</x:v>
      </x:c>
      <x:c r="K428" t="str">
        <x:v>B-abs-gf-TDS</x:v>
      </x:c>
      <x:c r="L428" t="str">
        <x:v>Resistance to Oil and Grease</x:v>
      </x:c>
    </x:row>
    <x:row r="429">
      <x:c r="A429" t="str">
        <x:v>Q00426</x:v>
      </x:c>
      <x:c r="B429" t="str">
        <x:v>M036</x:v>
      </x:c>
      <x:c r="C429" t="str">
        <x:v>G036-01</x:v>
      </x:c>
      <x:c r="D429" t="str">
        <x:v>Support / solubility</x:v>
      </x:c>
      <x:c r="E429" t="str">
        <x:v>Solubility</x:v>
      </x:c>
      <x:c r="F429" t="str">
        <x:v>Insoluble in water</x:v>
      </x:c>
      <x:c r="G429" t="str">
        <x:v>p. 3; concentration, duration and temperature not specified unless stated. Not a chemical design limit.</x:v>
      </x:c>
      <x:c r="H429" t="str">
        <x:v>Not published</x:v>
      </x:c>
      <x:c r="I429" t="str">
        <x:v>Not applicable</x:v>
      </x:c>
      <x:c r="J429" t="str">
        <x:v>Manufacturer statement</x:v>
      </x:c>
      <x:c r="K429" t="str">
        <x:v>B-pc-fr-TDS</x:v>
      </x:c>
      <x:c r="L429" t="str">
        <x:v>Solubility</x:v>
      </x:c>
    </x:row>
    <x:row r="430">
      <x:c r="A430" t="str">
        <x:v>Q00427</x:v>
      </x:c>
      <x:c r="B430" t="str">
        <x:v>M036</x:v>
      </x:c>
      <x:c r="C430" t="str">
        <x:v>G036-01</x:v>
      </x:c>
      <x:c r="D430" t="str">
        <x:v>Chemical exposure</x:v>
      </x:c>
      <x:c r="E430" t="str">
        <x:v>Resistance to Acid</x:v>
      </x:c>
      <x:c r="F430" t="str">
        <x:v>Not resistant</x:v>
      </x:c>
      <x:c r="G430" t="str">
        <x:v>p. 3; concentration, duration and temperature not specified unless stated. Not a chemical design limit.</x:v>
      </x:c>
      <x:c r="H430" t="str">
        <x:v>Not published</x:v>
      </x:c>
      <x:c r="I430" t="str">
        <x:v>Not applicable</x:v>
      </x:c>
      <x:c r="J430" t="str">
        <x:v>Manufacturer statement</x:v>
      </x:c>
      <x:c r="K430" t="str">
        <x:v>B-pc-fr-TDS</x:v>
      </x:c>
      <x:c r="L430" t="str">
        <x:v>Resistance to Acid</x:v>
      </x:c>
    </x:row>
    <x:row r="431">
      <x:c r="A431" t="str">
        <x:v>Q00428</x:v>
      </x:c>
      <x:c r="B431" t="str">
        <x:v>M036</x:v>
      </x:c>
      <x:c r="C431" t="str">
        <x:v>G036-01</x:v>
      </x:c>
      <x:c r="D431" t="str">
        <x:v>Chemical exposure</x:v>
      </x:c>
      <x:c r="E431" t="str">
        <x:v>Resistance to Alkali</x:v>
      </x:c>
      <x:c r="F431" t="str">
        <x:v>Not resistant</x:v>
      </x:c>
      <x:c r="G431" t="str">
        <x:v>p. 3; concentration, duration and temperature not specified unless stated. Not a chemical design limit.</x:v>
      </x:c>
      <x:c r="H431" t="str">
        <x:v>Not published</x:v>
      </x:c>
      <x:c r="I431" t="str">
        <x:v>Not applicable</x:v>
      </x:c>
      <x:c r="J431" t="str">
        <x:v>Manufacturer statement</x:v>
      </x:c>
      <x:c r="K431" t="str">
        <x:v>B-pc-fr-TDS</x:v>
      </x:c>
      <x:c r="L431" t="str">
        <x:v>Resistance to Alkali</x:v>
      </x:c>
    </x:row>
    <x:row r="432">
      <x:c r="A432" t="str">
        <x:v>Q00429</x:v>
      </x:c>
      <x:c r="B432" t="str">
        <x:v>M036</x:v>
      </x:c>
      <x:c r="C432" t="str">
        <x:v>G036-01</x:v>
      </x:c>
      <x:c r="D432" t="str">
        <x:v>Chemical exposure</x:v>
      </x:c>
      <x:c r="E432" t="str">
        <x:v>Resistance to Organic Solvent</x:v>
      </x:c>
      <x:c r="F432" t="str">
        <x:v>Not resistant to some organic solvents</x:v>
      </x:c>
      <x:c r="G432" t="str">
        <x:v>p. 3; concentration, duration and temperature not specified unless stated. Not a chemical design limit.</x:v>
      </x:c>
      <x:c r="H432" t="str">
        <x:v>Not published</x:v>
      </x:c>
      <x:c r="I432" t="str">
        <x:v>Not applicable</x:v>
      </x:c>
      <x:c r="J432" t="str">
        <x:v>Manufacturer statement</x:v>
      </x:c>
      <x:c r="K432" t="str">
        <x:v>B-pc-fr-TDS</x:v>
      </x:c>
      <x:c r="L432" t="str">
        <x:v>Resistance to Organic Solvent</x:v>
      </x:c>
    </x:row>
    <x:row r="433">
      <x:c r="A433" t="str">
        <x:v>Q00430</x:v>
      </x:c>
      <x:c r="B433" t="str">
        <x:v>M036</x:v>
      </x:c>
      <x:c r="C433" t="str">
        <x:v>G036-01</x:v>
      </x:c>
      <x:c r="D433" t="str">
        <x:v>Chemical exposure</x:v>
      </x:c>
      <x:c r="E433" t="str">
        <x:v>Resistance to Oil and Grease</x:v>
      </x:c>
      <x:c r="F433" t="str">
        <x:v>Resistant to most kinds of oil and grease</x:v>
      </x:c>
      <x:c r="G433" t="str">
        <x:v>p. 3; concentration, duration and temperature not specified unless stated. Not a chemical design limit.</x:v>
      </x:c>
      <x:c r="H433" t="str">
        <x:v>Not published</x:v>
      </x:c>
      <x:c r="I433" t="str">
        <x:v>Not applicable</x:v>
      </x:c>
      <x:c r="J433" t="str">
        <x:v>Manufacturer statement</x:v>
      </x:c>
      <x:c r="K433" t="str">
        <x:v>B-pc-fr-TDS</x:v>
      </x:c>
      <x:c r="L433" t="str">
        <x:v>Resistance to Oil and Grease</x:v>
      </x:c>
    </x:row>
    <x:row r="434">
      <x:c r="A434" t="str">
        <x:v>Q00431</x:v>
      </x:c>
      <x:c r="B434" t="str">
        <x:v>M036</x:v>
      </x:c>
      <x:c r="C434" t="str">
        <x:v>G036-01</x:v>
      </x:c>
      <x:c r="D434" t="str">
        <x:v>Flammability</x:v>
      </x:c>
      <x:c r="E434" t="str">
        <x:v>Flammability</x:v>
      </x:c>
      <x:c r="F434" t="str">
        <x:v>Flame retardant</x:v>
      </x:c>
      <x:c r="G434" t="str">
        <x:v>p. 3; concentration, duration and temperature not specified unless stated. Not a chemical design limit.</x:v>
      </x:c>
      <x:c r="H434" t="str">
        <x:v>Not published</x:v>
      </x:c>
      <x:c r="I434" t="str">
        <x:v>Not applicable</x:v>
      </x:c>
      <x:c r="J434" t="str">
        <x:v>Manufacturer statement</x:v>
      </x:c>
      <x:c r="K434" t="str">
        <x:v>B-pc-fr-TDS</x:v>
      </x:c>
      <x:c r="L434" t="str">
        <x:v>Flammability</x:v>
      </x:c>
    </x:row>
    <x:row r="435">
      <x:c r="A435" t="str">
        <x:v>Q00432</x:v>
      </x:c>
      <x:c r="B435" t="str">
        <x:v>M040</x:v>
      </x:c>
      <x:c r="C435" t="str">
        <x:v>G040-01</x:v>
      </x:c>
      <x:c r="D435" t="str">
        <x:v>Support / solubility</x:v>
      </x:c>
      <x:c r="E435" t="str">
        <x:v>Solubility</x:v>
      </x:c>
      <x:c r="F435" t="str">
        <x:v>Insoluble in water</x:v>
      </x:c>
      <x:c r="G435" t="str">
        <x:v>p. 3; concentration, duration and temperature not specified unless stated. Not a chemical design limit.</x:v>
      </x:c>
      <x:c r="H435" t="str">
        <x:v>Not published</x:v>
      </x:c>
      <x:c r="I435" t="str">
        <x:v>Not applicable</x:v>
      </x:c>
      <x:c r="J435" t="str">
        <x:v>Manufacturer statement</x:v>
      </x:c>
      <x:c r="K435" t="str">
        <x:v>B-tpu-for-ams-TDS</x:v>
      </x:c>
      <x:c r="L435" t="str">
        <x:v>Solubility</x:v>
      </x:c>
    </x:row>
    <x:row r="436">
      <x:c r="A436" t="str">
        <x:v>Q00433</x:v>
      </x:c>
      <x:c r="B436" t="str">
        <x:v>M040</x:v>
      </x:c>
      <x:c r="C436" t="str">
        <x:v>G040-01</x:v>
      </x:c>
      <x:c r="D436" t="str">
        <x:v>Chemical exposure</x:v>
      </x:c>
      <x:c r="E436" t="str">
        <x:v>Resistance to Acid</x:v>
      </x:c>
      <x:c r="F436" t="str">
        <x:v>Not resistant</x:v>
      </x:c>
      <x:c r="G436" t="str">
        <x:v>p. 3; concentration, duration and temperature not specified unless stated. Not a chemical design limit.</x:v>
      </x:c>
      <x:c r="H436" t="str">
        <x:v>Not published</x:v>
      </x:c>
      <x:c r="I436" t="str">
        <x:v>Not applicable</x:v>
      </x:c>
      <x:c r="J436" t="str">
        <x:v>Manufacturer statement</x:v>
      </x:c>
      <x:c r="K436" t="str">
        <x:v>B-tpu-for-ams-TDS</x:v>
      </x:c>
      <x:c r="L436" t="str">
        <x:v>Resistance to Acid</x:v>
      </x:c>
    </x:row>
    <x:row r="437">
      <x:c r="A437" t="str">
        <x:v>Q00434</x:v>
      </x:c>
      <x:c r="B437" t="str">
        <x:v>M040</x:v>
      </x:c>
      <x:c r="C437" t="str">
        <x:v>G040-01</x:v>
      </x:c>
      <x:c r="D437" t="str">
        <x:v>Chemical exposure</x:v>
      </x:c>
      <x:c r="E437" t="str">
        <x:v>Resistance to Alkali</x:v>
      </x:c>
      <x:c r="F437" t="str">
        <x:v>Not resistant</x:v>
      </x:c>
      <x:c r="G437" t="str">
        <x:v>p. 3; concentration, duration and temperature not specified unless stated. Not a chemical design limit.</x:v>
      </x:c>
      <x:c r="H437" t="str">
        <x:v>Not published</x:v>
      </x:c>
      <x:c r="I437" t="str">
        <x:v>Not applicable</x:v>
      </x:c>
      <x:c r="J437" t="str">
        <x:v>Manufacturer statement</x:v>
      </x:c>
      <x:c r="K437" t="str">
        <x:v>B-tpu-for-ams-TDS</x:v>
      </x:c>
      <x:c r="L437" t="str">
        <x:v>Resistance to Alkali</x:v>
      </x:c>
    </x:row>
    <x:row r="438">
      <x:c r="A438" t="str">
        <x:v>Q00435</x:v>
      </x:c>
      <x:c r="B438" t="str">
        <x:v>M040</x:v>
      </x:c>
      <x:c r="C438" t="str">
        <x:v>G040-01</x:v>
      </x:c>
      <x:c r="D438" t="str">
        <x:v>Chemical exposure</x:v>
      </x:c>
      <x:c r="E438" t="str">
        <x:v>Resistance to Organic Solvent</x:v>
      </x:c>
      <x:c r="F438" t="str">
        <x:v>Not resistant to some organic solvents</x:v>
      </x:c>
      <x:c r="G438" t="str">
        <x:v>p. 3; concentration, duration and temperature not specified unless stated. Not a chemical design limit.</x:v>
      </x:c>
      <x:c r="H438" t="str">
        <x:v>Not published</x:v>
      </x:c>
      <x:c r="I438" t="str">
        <x:v>Not applicable</x:v>
      </x:c>
      <x:c r="J438" t="str">
        <x:v>Manufacturer statement</x:v>
      </x:c>
      <x:c r="K438" t="str">
        <x:v>B-tpu-for-ams-TDS</x:v>
      </x:c>
      <x:c r="L438" t="str">
        <x:v>Resistance to Organic Solvent</x:v>
      </x:c>
    </x:row>
    <x:row r="439">
      <x:c r="A439" t="str">
        <x:v>Q00436</x:v>
      </x:c>
      <x:c r="B439" t="str">
        <x:v>M040</x:v>
      </x:c>
      <x:c r="C439" t="str">
        <x:v>G040-01</x:v>
      </x:c>
      <x:c r="D439" t="str">
        <x:v>Chemical exposure</x:v>
      </x:c>
      <x:c r="E439" t="str">
        <x:v>Resistance to Oil and Grease</x:v>
      </x:c>
      <x:c r="F439" t="str">
        <x:v>Resistant to most kinds of oil and grease</x:v>
      </x:c>
      <x:c r="G439" t="str">
        <x:v>p. 3; concentration, duration and temperature not specified unless stated. Not a chemical design limit.</x:v>
      </x:c>
      <x:c r="H439" t="str">
        <x:v>Not published</x:v>
      </x:c>
      <x:c r="I439" t="str">
        <x:v>Not applicable</x:v>
      </x:c>
      <x:c r="J439" t="str">
        <x:v>Manufacturer statement</x:v>
      </x:c>
      <x:c r="K439" t="str">
        <x:v>B-tpu-for-ams-TDS</x:v>
      </x:c>
      <x:c r="L439" t="str">
        <x:v>Resistance to Oil and Grease</x:v>
      </x:c>
    </x:row>
    <x:row r="440">
      <x:c r="A440" t="str">
        <x:v>Q00437</x:v>
      </x:c>
      <x:c r="B440" t="str">
        <x:v>M042</x:v>
      </x:c>
      <x:c r="C440" t="str">
        <x:v>G042-01</x:v>
      </x:c>
      <x:c r="D440" t="str">
        <x:v>Support / solubility</x:v>
      </x:c>
      <x:c r="E440" t="str">
        <x:v>Solubility</x:v>
      </x:c>
      <x:c r="F440" t="str">
        <x:v>Insoluble in water</x:v>
      </x:c>
      <x:c r="G440" t="str">
        <x:v>p. 3; concentration, duration and temperature not specified unless stated. Not a chemical design limit.</x:v>
      </x:c>
      <x:c r="H440" t="str">
        <x:v>Not published</x:v>
      </x:c>
      <x:c r="I440" t="str">
        <x:v>Not applicable</x:v>
      </x:c>
      <x:c r="J440" t="str">
        <x:v>Manufacturer statement</x:v>
      </x:c>
      <x:c r="K440" t="str">
        <x:v>B-TPU-SOFT-TDS-4</x:v>
      </x:c>
      <x:c r="L440" t="str">
        <x:v>Solubility</x:v>
      </x:c>
    </x:row>
    <x:row r="441">
      <x:c r="A441" t="str">
        <x:v>Q00438</x:v>
      </x:c>
      <x:c r="B441" t="str">
        <x:v>M042</x:v>
      </x:c>
      <x:c r="C441" t="str">
        <x:v>G042-01</x:v>
      </x:c>
      <x:c r="D441" t="str">
        <x:v>Chemical exposure</x:v>
      </x:c>
      <x:c r="E441" t="str">
        <x:v>Resistance to Acid</x:v>
      </x:c>
      <x:c r="F441" t="str">
        <x:v>Not resistant</x:v>
      </x:c>
      <x:c r="G441" t="str">
        <x:v>p. 3; concentration, duration and temperature not specified unless stated. Not a chemical design limit.</x:v>
      </x:c>
      <x:c r="H441" t="str">
        <x:v>Not published</x:v>
      </x:c>
      <x:c r="I441" t="str">
        <x:v>Not applicable</x:v>
      </x:c>
      <x:c r="J441" t="str">
        <x:v>Manufacturer statement</x:v>
      </x:c>
      <x:c r="K441" t="str">
        <x:v>B-TPU-SOFT-TDS-4</x:v>
      </x:c>
      <x:c r="L441" t="str">
        <x:v>Resistance to Acid</x:v>
      </x:c>
    </x:row>
    <x:row r="442">
      <x:c r="A442" t="str">
        <x:v>Q00439</x:v>
      </x:c>
      <x:c r="B442" t="str">
        <x:v>M042</x:v>
      </x:c>
      <x:c r="C442" t="str">
        <x:v>G042-01</x:v>
      </x:c>
      <x:c r="D442" t="str">
        <x:v>Chemical exposure</x:v>
      </x:c>
      <x:c r="E442" t="str">
        <x:v>Resistance to Alkali</x:v>
      </x:c>
      <x:c r="F442" t="str">
        <x:v>Not resistant</x:v>
      </x:c>
      <x:c r="G442" t="str">
        <x:v>p. 3; concentration, duration and temperature not specified unless stated. Not a chemical design limit.</x:v>
      </x:c>
      <x:c r="H442" t="str">
        <x:v>Not published</x:v>
      </x:c>
      <x:c r="I442" t="str">
        <x:v>Not applicable</x:v>
      </x:c>
      <x:c r="J442" t="str">
        <x:v>Manufacturer statement</x:v>
      </x:c>
      <x:c r="K442" t="str">
        <x:v>B-TPU-SOFT-TDS-4</x:v>
      </x:c>
      <x:c r="L442" t="str">
        <x:v>Resistance to Alkali</x:v>
      </x:c>
    </x:row>
    <x:row r="443">
      <x:c r="A443" t="str">
        <x:v>Q00440</x:v>
      </x:c>
      <x:c r="B443" t="str">
        <x:v>M042</x:v>
      </x:c>
      <x:c r="C443" t="str">
        <x:v>G042-01</x:v>
      </x:c>
      <x:c r="D443" t="str">
        <x:v>Chemical exposure</x:v>
      </x:c>
      <x:c r="E443" t="str">
        <x:v>Resistance to Organic Solvent</x:v>
      </x:c>
      <x:c r="F443" t="str">
        <x:v>Not resistant to some organic solvents</x:v>
      </x:c>
      <x:c r="G443" t="str">
        <x:v>p. 3; concentration, duration and temperature not specified unless stated. Not a chemical design limit.</x:v>
      </x:c>
      <x:c r="H443" t="str">
        <x:v>Not published</x:v>
      </x:c>
      <x:c r="I443" t="str">
        <x:v>Not applicable</x:v>
      </x:c>
      <x:c r="J443" t="str">
        <x:v>Manufacturer statement</x:v>
      </x:c>
      <x:c r="K443" t="str">
        <x:v>B-TPU-SOFT-TDS-4</x:v>
      </x:c>
      <x:c r="L443" t="str">
        <x:v>Resistance to Organic Solvent</x:v>
      </x:c>
    </x:row>
    <x:row r="444">
      <x:c r="A444" t="str">
        <x:v>Q00441</x:v>
      </x:c>
      <x:c r="B444" t="str">
        <x:v>M042</x:v>
      </x:c>
      <x:c r="C444" t="str">
        <x:v>G042-01</x:v>
      </x:c>
      <x:c r="D444" t="str">
        <x:v>Chemical exposure</x:v>
      </x:c>
      <x:c r="E444" t="str">
        <x:v>Resistance to Oil and Grease</x:v>
      </x:c>
      <x:c r="F444" t="str">
        <x:v>Resistant to most kinds of oil and grease</x:v>
      </x:c>
      <x:c r="G444" t="str">
        <x:v>p. 3; concentration, duration and temperature not specified unless stated. Not a chemical design limit.</x:v>
      </x:c>
      <x:c r="H444" t="str">
        <x:v>Not published</x:v>
      </x:c>
      <x:c r="I444" t="str">
        <x:v>Not applicable</x:v>
      </x:c>
      <x:c r="J444" t="str">
        <x:v>Manufacturer statement</x:v>
      </x:c>
      <x:c r="K444" t="str">
        <x:v>B-TPU-SOFT-TDS-4</x:v>
      </x:c>
      <x:c r="L444" t="str">
        <x:v>Resistance to Oil and Grease</x:v>
      </x:c>
    </x:row>
    <x:row r="445">
      <x:c r="A445" t="str">
        <x:v>Q00442</x:v>
      </x:c>
      <x:c r="B445" t="str">
        <x:v>M043</x:v>
      </x:c>
      <x:c r="C445" t="str">
        <x:v>G043-01</x:v>
      </x:c>
      <x:c r="D445" t="str">
        <x:v>Support / solubility</x:v>
      </x:c>
      <x:c r="E445" t="str">
        <x:v>Solubility</x:v>
      </x:c>
      <x:c r="F445" t="str">
        <x:v>Insoluble in water</x:v>
      </x:c>
      <x:c r="G445" t="str">
        <x:v>p. 3; concentration, duration and temperature not specified unless stated. Not a chemical design limit.</x:v>
      </x:c>
      <x:c r="H445" t="str">
        <x:v>Not published</x:v>
      </x:c>
      <x:c r="I445" t="str">
        <x:v>Not applicable</x:v>
      </x:c>
      <x:c r="J445" t="str">
        <x:v>Manufacturer statement</x:v>
      </x:c>
      <x:c r="K445" t="str">
        <x:v>B-TPU-SOFT-TDS-5</x:v>
      </x:c>
      <x:c r="L445" t="str">
        <x:v>Solubility</x:v>
      </x:c>
    </x:row>
    <x:row r="446">
      <x:c r="A446" t="str">
        <x:v>Q00443</x:v>
      </x:c>
      <x:c r="B446" t="str">
        <x:v>M043</x:v>
      </x:c>
      <x:c r="C446" t="str">
        <x:v>G043-01</x:v>
      </x:c>
      <x:c r="D446" t="str">
        <x:v>Chemical exposure</x:v>
      </x:c>
      <x:c r="E446" t="str">
        <x:v>Resistance to Acid</x:v>
      </x:c>
      <x:c r="F446" t="str">
        <x:v>Not resistant</x:v>
      </x:c>
      <x:c r="G446" t="str">
        <x:v>p. 3; concentration, duration and temperature not specified unless stated. Not a chemical design limit.</x:v>
      </x:c>
      <x:c r="H446" t="str">
        <x:v>Not published</x:v>
      </x:c>
      <x:c r="I446" t="str">
        <x:v>Not applicable</x:v>
      </x:c>
      <x:c r="J446" t="str">
        <x:v>Manufacturer statement</x:v>
      </x:c>
      <x:c r="K446" t="str">
        <x:v>B-TPU-SOFT-TDS-5</x:v>
      </x:c>
      <x:c r="L446" t="str">
        <x:v>Resistance to Acid</x:v>
      </x:c>
    </x:row>
    <x:row r="447">
      <x:c r="A447" t="str">
        <x:v>Q00444</x:v>
      </x:c>
      <x:c r="B447" t="str">
        <x:v>M043</x:v>
      </x:c>
      <x:c r="C447" t="str">
        <x:v>G043-01</x:v>
      </x:c>
      <x:c r="D447" t="str">
        <x:v>Chemical exposure</x:v>
      </x:c>
      <x:c r="E447" t="str">
        <x:v>Resistance to Alkali</x:v>
      </x:c>
      <x:c r="F447" t="str">
        <x:v>Not resistant</x:v>
      </x:c>
      <x:c r="G447" t="str">
        <x:v>p. 3; concentration, duration and temperature not specified unless stated. Not a chemical design limit.</x:v>
      </x:c>
      <x:c r="H447" t="str">
        <x:v>Not published</x:v>
      </x:c>
      <x:c r="I447" t="str">
        <x:v>Not applicable</x:v>
      </x:c>
      <x:c r="J447" t="str">
        <x:v>Manufacturer statement</x:v>
      </x:c>
      <x:c r="K447" t="str">
        <x:v>B-TPU-SOFT-TDS-5</x:v>
      </x:c>
      <x:c r="L447" t="str">
        <x:v>Resistance to Alkali</x:v>
      </x:c>
    </x:row>
    <x:row r="448">
      <x:c r="A448" t="str">
        <x:v>Q00445</x:v>
      </x:c>
      <x:c r="B448" t="str">
        <x:v>M043</x:v>
      </x:c>
      <x:c r="C448" t="str">
        <x:v>G043-01</x:v>
      </x:c>
      <x:c r="D448" t="str">
        <x:v>Chemical exposure</x:v>
      </x:c>
      <x:c r="E448" t="str">
        <x:v>Resistance to Organic Solvent</x:v>
      </x:c>
      <x:c r="F448" t="str">
        <x:v>Not resistant to some organic solvents</x:v>
      </x:c>
      <x:c r="G448" t="str">
        <x:v>p. 3; concentration, duration and temperature not specified unless stated. Not a chemical design limit.</x:v>
      </x:c>
      <x:c r="H448" t="str">
        <x:v>Not published</x:v>
      </x:c>
      <x:c r="I448" t="str">
        <x:v>Not applicable</x:v>
      </x:c>
      <x:c r="J448" t="str">
        <x:v>Manufacturer statement</x:v>
      </x:c>
      <x:c r="K448" t="str">
        <x:v>B-TPU-SOFT-TDS-5</x:v>
      </x:c>
      <x:c r="L448" t="str">
        <x:v>Resistance to Organic Solvent</x:v>
      </x:c>
    </x:row>
    <x:row r="449">
      <x:c r="A449" t="str">
        <x:v>Q00446</x:v>
      </x:c>
      <x:c r="B449" t="str">
        <x:v>M043</x:v>
      </x:c>
      <x:c r="C449" t="str">
        <x:v>G043-01</x:v>
      </x:c>
      <x:c r="D449" t="str">
        <x:v>Chemical exposure</x:v>
      </x:c>
      <x:c r="E449" t="str">
        <x:v>Resistance to Oil and Grease</x:v>
      </x:c>
      <x:c r="F449" t="str">
        <x:v>Resistant to most kinds of oil and grease</x:v>
      </x:c>
      <x:c r="G449" t="str">
        <x:v>p. 3; concentration, duration and temperature not specified unless stated. Not a chemical design limit.</x:v>
      </x:c>
      <x:c r="H449" t="str">
        <x:v>Not published</x:v>
      </x:c>
      <x:c r="I449" t="str">
        <x:v>Not applicable</x:v>
      </x:c>
      <x:c r="J449" t="str">
        <x:v>Manufacturer statement</x:v>
      </x:c>
      <x:c r="K449" t="str">
        <x:v>B-TPU-SOFT-TDS-5</x:v>
      </x:c>
      <x:c r="L449" t="str">
        <x:v>Resistance to Oil and Grease</x:v>
      </x:c>
    </x:row>
    <x:row r="450">
      <x:c r="A450" t="str">
        <x:v>Q00447</x:v>
      </x:c>
      <x:c r="B450" t="str">
        <x:v>M051</x:v>
      </x:c>
      <x:c r="C450" t="str">
        <x:v>G051-01</x:v>
      </x:c>
      <x:c r="D450" t="str">
        <x:v>Support / solubility</x:v>
      </x:c>
      <x:c r="E450" t="str">
        <x:v>Solubility</x:v>
      </x:c>
      <x:c r="F450" t="str">
        <x:v>Insoluble in water</x:v>
      </x:c>
      <x:c r="G450" t="str">
        <x:v>p. 3; concentration, duration and temperature not specified unless stated. Not a chemical design limit.</x:v>
      </x:c>
      <x:c r="H450" t="str">
        <x:v>Not published</x:v>
      </x:c>
      <x:c r="I450" t="str">
        <x:v>Not applicable</x:v>
      </x:c>
      <x:c r="J450" t="str">
        <x:v>Manufacturer statement</x:v>
      </x:c>
      <x:c r="K450" t="str">
        <x:v>B-pa6-gf-TDS</x:v>
      </x:c>
      <x:c r="L450" t="str">
        <x:v>Solubility</x:v>
      </x:c>
    </x:row>
    <x:row r="451">
      <x:c r="A451" t="str">
        <x:v>Q00448</x:v>
      </x:c>
      <x:c r="B451" t="str">
        <x:v>M051</x:v>
      </x:c>
      <x:c r="C451" t="str">
        <x:v>G051-01</x:v>
      </x:c>
      <x:c r="D451" t="str">
        <x:v>Chemical exposure</x:v>
      </x:c>
      <x:c r="E451" t="str">
        <x:v>Resistance to Acid</x:v>
      </x:c>
      <x:c r="F451" t="str">
        <x:v>Not resistant</x:v>
      </x:c>
      <x:c r="G451" t="str">
        <x:v>p. 3; concentration, duration and temperature not specified unless stated. Not a chemical design limit.</x:v>
      </x:c>
      <x:c r="H451" t="str">
        <x:v>Not published</x:v>
      </x:c>
      <x:c r="I451" t="str">
        <x:v>Not applicable</x:v>
      </x:c>
      <x:c r="J451" t="str">
        <x:v>Manufacturer statement</x:v>
      </x:c>
      <x:c r="K451" t="str">
        <x:v>B-pa6-gf-TDS</x:v>
      </x:c>
      <x:c r="L451" t="str">
        <x:v>Resistance to Acid</x:v>
      </x:c>
    </x:row>
    <x:row r="452">
      <x:c r="A452" t="str">
        <x:v>Q00449</x:v>
      </x:c>
      <x:c r="B452" t="str">
        <x:v>M051</x:v>
      </x:c>
      <x:c r="C452" t="str">
        <x:v>G051-01</x:v>
      </x:c>
      <x:c r="D452" t="str">
        <x:v>Chemical exposure</x:v>
      </x:c>
      <x:c r="E452" t="str">
        <x:v>Resistance to Alkali</x:v>
      </x:c>
      <x:c r="F452" t="str">
        <x:v>Not resistant</x:v>
      </x:c>
      <x:c r="G452" t="str">
        <x:v>p. 3; concentration, duration and temperature not specified unless stated. Not a chemical design limit.</x:v>
      </x:c>
      <x:c r="H452" t="str">
        <x:v>Not published</x:v>
      </x:c>
      <x:c r="I452" t="str">
        <x:v>Not applicable</x:v>
      </x:c>
      <x:c r="J452" t="str">
        <x:v>Manufacturer statement</x:v>
      </x:c>
      <x:c r="K452" t="str">
        <x:v>B-pa6-gf-TDS</x:v>
      </x:c>
      <x:c r="L452" t="str">
        <x:v>Resistance to Alkali</x:v>
      </x:c>
    </x:row>
    <x:row r="453">
      <x:c r="A453" t="str">
        <x:v>Q00450</x:v>
      </x:c>
      <x:c r="B453" t="str">
        <x:v>M051</x:v>
      </x:c>
      <x:c r="C453" t="str">
        <x:v>G051-01</x:v>
      </x:c>
      <x:c r="D453" t="str">
        <x:v>Chemical exposure</x:v>
      </x:c>
      <x:c r="E453" t="str">
        <x:v>Resistance to Organic Solvent</x:v>
      </x:c>
      <x:c r="F453" t="str">
        <x:v>Not resistant to some organic solvents</x:v>
      </x:c>
      <x:c r="G453" t="str">
        <x:v>p. 3; concentration, duration and temperature not specified unless stated. Not a chemical design limit.</x:v>
      </x:c>
      <x:c r="H453" t="str">
        <x:v>Not published</x:v>
      </x:c>
      <x:c r="I453" t="str">
        <x:v>Not applicable</x:v>
      </x:c>
      <x:c r="J453" t="str">
        <x:v>Manufacturer statement</x:v>
      </x:c>
      <x:c r="K453" t="str">
        <x:v>B-pa6-gf-TDS</x:v>
      </x:c>
      <x:c r="L453" t="str">
        <x:v>Resistance to Organic Solvent</x:v>
      </x:c>
    </x:row>
    <x:row r="454">
      <x:c r="A454" t="str">
        <x:v>Q00451</x:v>
      </x:c>
      <x:c r="B454" t="str">
        <x:v>M051</x:v>
      </x:c>
      <x:c r="C454" t="str">
        <x:v>G051-01</x:v>
      </x:c>
      <x:c r="D454" t="str">
        <x:v>Chemical exposure</x:v>
      </x:c>
      <x:c r="E454" t="str">
        <x:v>Resistance to Oil and Grease</x:v>
      </x:c>
      <x:c r="F454" t="str">
        <x:v>Resistant to most kinds of oil and grease</x:v>
      </x:c>
      <x:c r="G454" t="str">
        <x:v>p. 3; concentration, duration and temperature not specified unless stated. Not a chemical design limit.</x:v>
      </x:c>
      <x:c r="H454" t="str">
        <x:v>Not published</x:v>
      </x:c>
      <x:c r="I454" t="str">
        <x:v>Not applicable</x:v>
      </x:c>
      <x:c r="J454" t="str">
        <x:v>Manufacturer statement</x:v>
      </x:c>
      <x:c r="K454" t="str">
        <x:v>B-pa6-gf-TDS</x:v>
      </x:c>
      <x:c r="L454" t="str">
        <x:v>Resistance to Oil and Grease</x:v>
      </x:c>
    </x:row>
    <x:row r="455">
      <x:c r="A455" t="str">
        <x:v>Q00452</x:v>
      </x:c>
      <x:c r="B455" t="str">
        <x:v>M067</x:v>
      </x:c>
      <x:c r="C455" t="str">
        <x:v>G067-01</x:v>
      </x:c>
      <x:c r="D455" t="str">
        <x:v>Support / solubility</x:v>
      </x:c>
      <x:c r="E455" t="str">
        <x:v>Solubility</x:v>
      </x:c>
      <x:c r="F455" t="str">
        <x:v>Insoluble in water</x:v>
      </x:c>
      <x:c r="G455" t="str">
        <x:v>p. 3; concentration, duration and temperature not specified unless stated. Not a chemical design limit.</x:v>
      </x:c>
      <x:c r="H455" t="str">
        <x:v>Not published</x:v>
      </x:c>
      <x:c r="I455" t="str">
        <x:v>Not applicable</x:v>
      </x:c>
      <x:c r="J455" t="str">
        <x:v>Manufacturer statement</x:v>
      </x:c>
      <x:c r="K455" t="str">
        <x:v>B-pet-cf-TDS</x:v>
      </x:c>
      <x:c r="L455" t="str">
        <x:v>Solubility</x:v>
      </x:c>
    </x:row>
    <x:row r="456">
      <x:c r="A456" t="str">
        <x:v>Q00453</x:v>
      </x:c>
      <x:c r="B456" t="str">
        <x:v>M067</x:v>
      </x:c>
      <x:c r="C456" t="str">
        <x:v>G067-01</x:v>
      </x:c>
      <x:c r="D456" t="str">
        <x:v>Chemical exposure</x:v>
      </x:c>
      <x:c r="E456" t="str">
        <x:v>Resistance to Acid</x:v>
      </x:c>
      <x:c r="F456" t="str">
        <x:v>Not resistant</x:v>
      </x:c>
      <x:c r="G456" t="str">
        <x:v>p. 3; concentration, duration and temperature not specified unless stated. Not a chemical design limit.</x:v>
      </x:c>
      <x:c r="H456" t="str">
        <x:v>Not published</x:v>
      </x:c>
      <x:c r="I456" t="str">
        <x:v>Not applicable</x:v>
      </x:c>
      <x:c r="J456" t="str">
        <x:v>Manufacturer statement</x:v>
      </x:c>
      <x:c r="K456" t="str">
        <x:v>B-pet-cf-TDS</x:v>
      </x:c>
      <x:c r="L456" t="str">
        <x:v>Resistance to Acid</x:v>
      </x:c>
    </x:row>
    <x:row r="457">
      <x:c r="A457" t="str">
        <x:v>Q00454</x:v>
      </x:c>
      <x:c r="B457" t="str">
        <x:v>M067</x:v>
      </x:c>
      <x:c r="C457" t="str">
        <x:v>G067-01</x:v>
      </x:c>
      <x:c r="D457" t="str">
        <x:v>Chemical exposure</x:v>
      </x:c>
      <x:c r="E457" t="str">
        <x:v>Resistance to Alkali</x:v>
      </x:c>
      <x:c r="F457" t="str">
        <x:v>Not resistant</x:v>
      </x:c>
      <x:c r="G457" t="str">
        <x:v>p. 3; concentration, duration and temperature not specified unless stated. Not a chemical design limit.</x:v>
      </x:c>
      <x:c r="H457" t="str">
        <x:v>Not published</x:v>
      </x:c>
      <x:c r="I457" t="str">
        <x:v>Not applicable</x:v>
      </x:c>
      <x:c r="J457" t="str">
        <x:v>Manufacturer statement</x:v>
      </x:c>
      <x:c r="K457" t="str">
        <x:v>B-pet-cf-TDS</x:v>
      </x:c>
      <x:c r="L457" t="str">
        <x:v>Resistance to Alkali</x:v>
      </x:c>
    </x:row>
    <x:row r="458">
      <x:c r="A458" t="str">
        <x:v>Q00455</x:v>
      </x:c>
      <x:c r="B458" t="str">
        <x:v>M067</x:v>
      </x:c>
      <x:c r="C458" t="str">
        <x:v>G067-01</x:v>
      </x:c>
      <x:c r="D458" t="str">
        <x:v>Chemical exposure</x:v>
      </x:c>
      <x:c r="E458" t="str">
        <x:v>Resistance to Organic Solvent</x:v>
      </x:c>
      <x:c r="F458" t="str">
        <x:v>Not resistant to some organic solvents</x:v>
      </x:c>
      <x:c r="G458" t="str">
        <x:v>p. 3; concentration, duration and temperature not specified unless stated. Not a chemical design limit.</x:v>
      </x:c>
      <x:c r="H458" t="str">
        <x:v>Not published</x:v>
      </x:c>
      <x:c r="I458" t="str">
        <x:v>Not applicable</x:v>
      </x:c>
      <x:c r="J458" t="str">
        <x:v>Manufacturer statement</x:v>
      </x:c>
      <x:c r="K458" t="str">
        <x:v>B-pet-cf-TDS</x:v>
      </x:c>
      <x:c r="L458" t="str">
        <x:v>Resistance to Organic Solvent</x:v>
      </x:c>
    </x:row>
    <x:row r="459">
      <x:c r="A459" t="str">
        <x:v>Q00456</x:v>
      </x:c>
      <x:c r="B459" t="str">
        <x:v>M067</x:v>
      </x:c>
      <x:c r="C459" t="str">
        <x:v>G067-01</x:v>
      </x:c>
      <x:c r="D459" t="str">
        <x:v>Chemical exposure</x:v>
      </x:c>
      <x:c r="E459" t="str">
        <x:v>Resistance to Oil and Grease</x:v>
      </x:c>
      <x:c r="F459" t="str">
        <x:v>Resistant to most kinds of oil and grease</x:v>
      </x:c>
      <x:c r="G459" t="str">
        <x:v>p. 3; concentration, duration and temperature not specified unless stated. Not a chemical design limit.</x:v>
      </x:c>
      <x:c r="H459" t="str">
        <x:v>Not published</x:v>
      </x:c>
      <x:c r="I459" t="str">
        <x:v>Not applicable</x:v>
      </x:c>
      <x:c r="J459" t="str">
        <x:v>Manufacturer statement</x:v>
      </x:c>
      <x:c r="K459" t="str">
        <x:v>B-pet-cf-TDS</x:v>
      </x:c>
      <x:c r="L459" t="str">
        <x:v>Resistance to Oil and Grease</x:v>
      </x:c>
    </x:row>
    <x:row r="460">
      <x:c r="A460" t="str">
        <x:v>Q00457</x:v>
      </x:c>
      <x:c r="B460" t="str">
        <x:v>M073</x:v>
      </x:c>
      <x:c r="C460" t="str">
        <x:v>G073-01</x:v>
      </x:c>
      <x:c r="D460" t="str">
        <x:v>Support / solubility</x:v>
      </x:c>
      <x:c r="E460" t="str">
        <x:v>Solubility</x:v>
      </x:c>
      <x:c r="F460" t="str">
        <x:v>Insoluble in water</x:v>
      </x:c>
      <x:c r="G460" t="str">
        <x:v>p. 3; concentration, duration and temperature not specified unless stated. Not a chemical design limit.</x:v>
      </x:c>
      <x:c r="H460" t="str">
        <x:v>Not published</x:v>
      </x:c>
      <x:c r="I460" t="str">
        <x:v>Not applicable</x:v>
      </x:c>
      <x:c r="J460" t="str">
        <x:v>Manufacturer statement</x:v>
      </x:c>
      <x:c r="K460" t="str">
        <x:v>B-pps-cf-TDS</x:v>
      </x:c>
      <x:c r="L460" t="str">
        <x:v>Solubility</x:v>
      </x:c>
    </x:row>
    <x:row r="461">
      <x:c r="A461" t="str">
        <x:v>Q00458</x:v>
      </x:c>
      <x:c r="B461" t="str">
        <x:v>M073</x:v>
      </x:c>
      <x:c r="C461" t="str">
        <x:v>G073-01</x:v>
      </x:c>
      <x:c r="D461" t="str">
        <x:v>Chemical exposure</x:v>
      </x:c>
      <x:c r="E461" t="str">
        <x:v>Resistance to Acid</x:v>
      </x:c>
      <x:c r="F461" t="str">
        <x:v>Resistant</x:v>
      </x:c>
      <x:c r="G461" t="str">
        <x:v>p. 3; concentration, duration and temperature not specified unless stated. Not a chemical design limit.</x:v>
      </x:c>
      <x:c r="H461" t="str">
        <x:v>Not published</x:v>
      </x:c>
      <x:c r="I461" t="str">
        <x:v>Not applicable</x:v>
      </x:c>
      <x:c r="J461" t="str">
        <x:v>Manufacturer statement</x:v>
      </x:c>
      <x:c r="K461" t="str">
        <x:v>B-pps-cf-TDS</x:v>
      </x:c>
      <x:c r="L461" t="str">
        <x:v>Resistance to Acid</x:v>
      </x:c>
    </x:row>
    <x:row r="462">
      <x:c r="A462" t="str">
        <x:v>Q00459</x:v>
      </x:c>
      <x:c r="B462" t="str">
        <x:v>M073</x:v>
      </x:c>
      <x:c r="C462" t="str">
        <x:v>G073-01</x:v>
      </x:c>
      <x:c r="D462" t="str">
        <x:v>Chemical exposure</x:v>
      </x:c>
      <x:c r="E462" t="str">
        <x:v>Resistance to Alkali</x:v>
      </x:c>
      <x:c r="F462" t="str">
        <x:v>Resistant</x:v>
      </x:c>
      <x:c r="G462" t="str">
        <x:v>p. 3; concentration, duration and temperature not specified unless stated. Not a chemical design limit.</x:v>
      </x:c>
      <x:c r="H462" t="str">
        <x:v>Not published</x:v>
      </x:c>
      <x:c r="I462" t="str">
        <x:v>Not applicable</x:v>
      </x:c>
      <x:c r="J462" t="str">
        <x:v>Manufacturer statement</x:v>
      </x:c>
      <x:c r="K462" t="str">
        <x:v>B-pps-cf-TDS</x:v>
      </x:c>
      <x:c r="L462" t="str">
        <x:v>Resistance to Alkali</x:v>
      </x:c>
    </x:row>
    <x:row r="463">
      <x:c r="A463" t="str">
        <x:v>Q00460</x:v>
      </x:c>
      <x:c r="B463" t="str">
        <x:v>M073</x:v>
      </x:c>
      <x:c r="C463" t="str">
        <x:v>G073-01</x:v>
      </x:c>
      <x:c r="D463" t="str">
        <x:v>Chemical exposure</x:v>
      </x:c>
      <x:c r="E463" t="str">
        <x:v>Resistance to Organic Solvent</x:v>
      </x:c>
      <x:c r="F463" t="str">
        <x:v>Resistant</x:v>
      </x:c>
      <x:c r="G463" t="str">
        <x:v>p. 3; concentration, duration and temperature not specified unless stated. Not a chemical design limit.</x:v>
      </x:c>
      <x:c r="H463" t="str">
        <x:v>Not published</x:v>
      </x:c>
      <x:c r="I463" t="str">
        <x:v>Not applicable</x:v>
      </x:c>
      <x:c r="J463" t="str">
        <x:v>Manufacturer statement</x:v>
      </x:c>
      <x:c r="K463" t="str">
        <x:v>B-pps-cf-TDS</x:v>
      </x:c>
      <x:c r="L463" t="str">
        <x:v>Resistance to Organic Solvent</x:v>
      </x:c>
    </x:row>
    <x:row r="464">
      <x:c r="A464" t="str">
        <x:v>Q00461</x:v>
      </x:c>
      <x:c r="B464" t="str">
        <x:v>M073</x:v>
      </x:c>
      <x:c r="C464" t="str">
        <x:v>G073-01</x:v>
      </x:c>
      <x:c r="D464" t="str">
        <x:v>Chemical exposure</x:v>
      </x:c>
      <x:c r="E464" t="str">
        <x:v>Resistance to Oil and Grease</x:v>
      </x:c>
      <x:c r="F464" t="str">
        <x:v>Resistant</x:v>
      </x:c>
      <x:c r="G464" t="str">
        <x:v>p. 3; concentration, duration and temperature not specified unless stated. Not a chemical design limit.</x:v>
      </x:c>
      <x:c r="H464" t="str">
        <x:v>Not published</x:v>
      </x:c>
      <x:c r="I464" t="str">
        <x:v>Not applicable</x:v>
      </x:c>
      <x:c r="J464" t="str">
        <x:v>Manufacturer statement</x:v>
      </x:c>
      <x:c r="K464" t="str">
        <x:v>B-pps-cf-TDS</x:v>
      </x:c>
      <x:c r="L464" t="str">
        <x:v>Resistance to Oil and Grease</x:v>
      </x:c>
    </x:row>
    <x:row r="465">
      <x:c r="A465" t="str">
        <x:v>Q00462</x:v>
      </x:c>
      <x:c r="B465" t="str">
        <x:v>M073</x:v>
      </x:c>
      <x:c r="C465" t="str">
        <x:v>G073-01</x:v>
      </x:c>
      <x:c r="D465" t="str">
        <x:v>Flammability</x:v>
      </x:c>
      <x:c r="E465" t="str">
        <x:v>Flammability</x:v>
      </x:c>
      <x:c r="F465" t="str">
        <x:v>Self-extinguishing when away from fire; flame-retardant</x:v>
      </x:c>
      <x:c r="G465" t="str">
        <x:v>p. 3; concentration, duration and temperature not specified unless stated. Not a chemical design limit.</x:v>
      </x:c>
      <x:c r="H465" t="str">
        <x:v>Not published</x:v>
      </x:c>
      <x:c r="I465" t="str">
        <x:v>Not applicable</x:v>
      </x:c>
      <x:c r="J465" t="str">
        <x:v>Manufacturer statement</x:v>
      </x:c>
      <x:c r="K465" t="str">
        <x:v>B-pps-cf-TDS</x:v>
      </x:c>
      <x:c r="L465" t="str">
        <x:v>Flammability</x:v>
      </x:c>
    </x:row>
    <x:row r="466">
      <x:c r="A466" t="str">
        <x:v>Q00463</x:v>
      </x:c>
      <x:c r="B466" t="str">
        <x:v>M075</x:v>
      </x:c>
      <x:c r="C466" t="str">
        <x:v>G075-01</x:v>
      </x:c>
      <x:c r="D466" t="str">
        <x:v>Support / solubility</x:v>
      </x:c>
      <x:c r="E466" t="str">
        <x:v>Solubility</x:v>
      </x:c>
      <x:c r="F466" t="str">
        <x:v>Soluble in water</x:v>
      </x:c>
      <x:c r="G466" t="str">
        <x:v>p. 3; concentration, duration and temperature not specified unless stated. Not a chemical design limit.</x:v>
      </x:c>
      <x:c r="H466" t="str">
        <x:v>Not published</x:v>
      </x:c>
      <x:c r="I466" t="str">
        <x:v>Not applicable</x:v>
      </x:c>
      <x:c r="J466" t="str">
        <x:v>Manufacturer statement</x:v>
      </x:c>
      <x:c r="K466" t="str">
        <x:v>B-pva-TDS</x:v>
      </x:c>
      <x:c r="L466" t="str">
        <x:v>Solubility</x:v>
      </x:c>
    </x:row>
    <x:row r="467">
      <x:c r="A467" t="str">
        <x:v>Q00464</x:v>
      </x:c>
      <x:c r="B467" t="str">
        <x:v>M075</x:v>
      </x:c>
      <x:c r="C467" t="str">
        <x:v>G075-01</x:v>
      </x:c>
      <x:c r="D467" t="str">
        <x:v>Chemical exposure</x:v>
      </x:c>
      <x:c r="E467" t="str">
        <x:v>Resistance to Acid</x:v>
      </x:c>
      <x:c r="F467" t="str">
        <x:v>Not resistant</x:v>
      </x:c>
      <x:c r="G467" t="str">
        <x:v>p. 3; concentration, duration and temperature not specified unless stated. Not a chemical design limit.</x:v>
      </x:c>
      <x:c r="H467" t="str">
        <x:v>Not published</x:v>
      </x:c>
      <x:c r="I467" t="str">
        <x:v>Not applicable</x:v>
      </x:c>
      <x:c r="J467" t="str">
        <x:v>Manufacturer statement</x:v>
      </x:c>
      <x:c r="K467" t="str">
        <x:v>B-pva-TDS</x:v>
      </x:c>
      <x:c r="L467" t="str">
        <x:v>Resistance to Acid</x:v>
      </x:c>
    </x:row>
    <x:row r="468">
      <x:c r="A468" t="str">
        <x:v>Q00465</x:v>
      </x:c>
      <x:c r="B468" t="str">
        <x:v>M075</x:v>
      </x:c>
      <x:c r="C468" t="str">
        <x:v>G075-01</x:v>
      </x:c>
      <x:c r="D468" t="str">
        <x:v>Chemical exposure</x:v>
      </x:c>
      <x:c r="E468" t="str">
        <x:v>Resistance to Alkali</x:v>
      </x:c>
      <x:c r="F468" t="str">
        <x:v>Not resistant</x:v>
      </x:c>
      <x:c r="G468" t="str">
        <x:v>p. 3; concentration, duration and temperature not specified unless stated. Not a chemical design limit.</x:v>
      </x:c>
      <x:c r="H468" t="str">
        <x:v>Not published</x:v>
      </x:c>
      <x:c r="I468" t="str">
        <x:v>Not applicable</x:v>
      </x:c>
      <x:c r="J468" t="str">
        <x:v>Manufacturer statement</x:v>
      </x:c>
      <x:c r="K468" t="str">
        <x:v>B-pva-TDS</x:v>
      </x:c>
      <x:c r="L468" t="str">
        <x:v>Resistance to Alkali</x:v>
      </x:c>
    </x:row>
    <x:row r="469">
      <x:c r="A469" t="str">
        <x:v>Q00466</x:v>
      </x:c>
      <x:c r="B469" t="str">
        <x:v>M075</x:v>
      </x:c>
      <x:c r="C469" t="str">
        <x:v>G075-01</x:v>
      </x:c>
      <x:c r="D469" t="str">
        <x:v>Chemical exposure</x:v>
      </x:c>
      <x:c r="E469" t="str">
        <x:v>Resistance to Organic Solvent</x:v>
      </x:c>
      <x:c r="F469" t="str">
        <x:v>Not resistant to some organic solvents</x:v>
      </x:c>
      <x:c r="G469" t="str">
        <x:v>p. 3; concentration, duration and temperature not specified unless stated. Not a chemical design limit.</x:v>
      </x:c>
      <x:c r="H469" t="str">
        <x:v>Not published</x:v>
      </x:c>
      <x:c r="I469" t="str">
        <x:v>Not applicable</x:v>
      </x:c>
      <x:c r="J469" t="str">
        <x:v>Manufacturer statement</x:v>
      </x:c>
      <x:c r="K469" t="str">
        <x:v>B-pva-TDS</x:v>
      </x:c>
      <x:c r="L469" t="str">
        <x:v>Resistance to Organic Solvent</x:v>
      </x:c>
    </x:row>
    <x:row r="470">
      <x:c r="A470" t="str">
        <x:v>Q00467</x:v>
      </x:c>
      <x:c r="B470" t="str">
        <x:v>M075</x:v>
      </x:c>
      <x:c r="C470" t="str">
        <x:v>G075-01</x:v>
      </x:c>
      <x:c r="D470" t="str">
        <x:v>Chemical exposure</x:v>
      </x:c>
      <x:c r="E470" t="str">
        <x:v>Resistance to Oil and Grease</x:v>
      </x:c>
      <x:c r="F470" t="str">
        <x:v>Resistant to most kinds of oil and grease</x:v>
      </x:c>
      <x:c r="G470" t="str">
        <x:v>p. 3; concentration, duration and temperature not specified unless stated. Not a chemical design limit.</x:v>
      </x:c>
      <x:c r="H470" t="str">
        <x:v>Not published</x:v>
      </x:c>
      <x:c r="I470" t="str">
        <x:v>Not applicable</x:v>
      </x:c>
      <x:c r="J470" t="str">
        <x:v>Manufacturer statement</x:v>
      </x:c>
      <x:c r="K470" t="str">
        <x:v>B-pva-TDS</x:v>
      </x:c>
      <x:c r="L470" t="str">
        <x:v>Resistance to Oil and Grease</x:v>
      </x:c>
    </x:row>
    <x:row r="471">
      <x:c r="A471" t="str">
        <x:v>Q00468</x:v>
      </x:c>
      <x:c r="B471" t="str">
        <x:v>M078</x:v>
      </x:c>
      <x:c r="C471" t="str">
        <x:v>G078-01</x:v>
      </x:c>
      <x:c r="D471" t="str">
        <x:v>Support / solubility</x:v>
      </x:c>
      <x:c r="E471" t="str">
        <x:v>Solubility</x:v>
      </x:c>
      <x:c r="F471" t="str">
        <x:v>Insoluble in water</x:v>
      </x:c>
      <x:c r="G471" t="str">
        <x:v>p. 3; concentration, duration and temperature not specified unless stated. Not a chemical design limit.</x:v>
      </x:c>
      <x:c r="H471" t="str">
        <x:v>Not published</x:v>
      </x:c>
      <x:c r="I471" t="str">
        <x:v>Not applicable</x:v>
      </x:c>
      <x:c r="J471" t="str">
        <x:v>Manufacturer statement</x:v>
      </x:c>
      <x:c r="K471" t="str">
        <x:v>B-support-for-pla-petg-TDS</x:v>
      </x:c>
      <x:c r="L471" t="str">
        <x:v>Solubility</x:v>
      </x:c>
    </x:row>
    <x:row r="472">
      <x:c r="A472" t="str">
        <x:v>Q00469</x:v>
      </x:c>
      <x:c r="B472" t="str">
        <x:v>M078</x:v>
      </x:c>
      <x:c r="C472" t="str">
        <x:v>G078-01</x:v>
      </x:c>
      <x:c r="D472" t="str">
        <x:v>Chemical exposure</x:v>
      </x:c>
      <x:c r="E472" t="str">
        <x:v>Resistance to Acid</x:v>
      </x:c>
      <x:c r="F472" t="str">
        <x:v>Not resistant</x:v>
      </x:c>
      <x:c r="G472" t="str">
        <x:v>p. 3; concentration, duration and temperature not specified unless stated. Not a chemical design limit.</x:v>
      </x:c>
      <x:c r="H472" t="str">
        <x:v>Not published</x:v>
      </x:c>
      <x:c r="I472" t="str">
        <x:v>Not applicable</x:v>
      </x:c>
      <x:c r="J472" t="str">
        <x:v>Manufacturer statement</x:v>
      </x:c>
      <x:c r="K472" t="str">
        <x:v>B-support-for-pla-petg-TDS</x:v>
      </x:c>
      <x:c r="L472" t="str">
        <x:v>Resistance to Acid</x:v>
      </x:c>
    </x:row>
    <x:row r="473">
      <x:c r="A473" t="str">
        <x:v>Q00470</x:v>
      </x:c>
      <x:c r="B473" t="str">
        <x:v>M078</x:v>
      </x:c>
      <x:c r="C473" t="str">
        <x:v>G078-01</x:v>
      </x:c>
      <x:c r="D473" t="str">
        <x:v>Chemical exposure</x:v>
      </x:c>
      <x:c r="E473" t="str">
        <x:v>Resistance to Alkali</x:v>
      </x:c>
      <x:c r="F473" t="str">
        <x:v>Not resistant</x:v>
      </x:c>
      <x:c r="G473" t="str">
        <x:v>p. 3; concentration, duration and temperature not specified unless stated. Not a chemical design limit.</x:v>
      </x:c>
      <x:c r="H473" t="str">
        <x:v>Not published</x:v>
      </x:c>
      <x:c r="I473" t="str">
        <x:v>Not applicable</x:v>
      </x:c>
      <x:c r="J473" t="str">
        <x:v>Manufacturer statement</x:v>
      </x:c>
      <x:c r="K473" t="str">
        <x:v>B-support-for-pla-petg-TDS</x:v>
      </x:c>
      <x:c r="L473" t="str">
        <x:v>Resistance to Alkali</x:v>
      </x:c>
    </x:row>
    <x:row r="474">
      <x:c r="A474" t="str">
        <x:v>Q00471</x:v>
      </x:c>
      <x:c r="B474" t="str">
        <x:v>M078</x:v>
      </x:c>
      <x:c r="C474" t="str">
        <x:v>G078-01</x:v>
      </x:c>
      <x:c r="D474" t="str">
        <x:v>Chemical exposure</x:v>
      </x:c>
      <x:c r="E474" t="str">
        <x:v>Resistance to Organic Solvent</x:v>
      </x:c>
      <x:c r="F474" t="str">
        <x:v>Not resistant to some organic solvents</x:v>
      </x:c>
      <x:c r="G474" t="str">
        <x:v>p. 3; concentration, duration and temperature not specified unless stated. Not a chemical design limit.</x:v>
      </x:c>
      <x:c r="H474" t="str">
        <x:v>Not published</x:v>
      </x:c>
      <x:c r="I474" t="str">
        <x:v>Not applicable</x:v>
      </x:c>
      <x:c r="J474" t="str">
        <x:v>Manufacturer statement</x:v>
      </x:c>
      <x:c r="K474" t="str">
        <x:v>B-support-for-pla-petg-TDS</x:v>
      </x:c>
      <x:c r="L474" t="str">
        <x:v>Resistance to Organic Solvent</x:v>
      </x:c>
    </x:row>
    <x:row r="475">
      <x:c r="A475" t="str">
        <x:v>Q00472</x:v>
      </x:c>
      <x:c r="B475" t="str">
        <x:v>M078</x:v>
      </x:c>
      <x:c r="C475" t="str">
        <x:v>G078-01</x:v>
      </x:c>
      <x:c r="D475" t="str">
        <x:v>Chemical exposure</x:v>
      </x:c>
      <x:c r="E475" t="str">
        <x:v>Resistance to Oil and Grease</x:v>
      </x:c>
      <x:c r="F475" t="str">
        <x:v>Resistant to most kinds of oil and grease</x:v>
      </x:c>
      <x:c r="G475" t="str">
        <x:v>p. 3; concentration, duration and temperature not specified unless stated. Not a chemical design limit.</x:v>
      </x:c>
      <x:c r="H475" t="str">
        <x:v>Not published</x:v>
      </x:c>
      <x:c r="I475" t="str">
        <x:v>Not applicable</x:v>
      </x:c>
      <x:c r="J475" t="str">
        <x:v>Manufacturer statement</x:v>
      </x:c>
      <x:c r="K475" t="str">
        <x:v>B-support-for-pla-petg-TDS</x:v>
      </x:c>
      <x:c r="L475" t="str">
        <x:v>Resistance to Oil and Grease</x:v>
      </x:c>
    </x:row>
    <x:row r="476">
      <x:c r="A476" t="str">
        <x:v>Q00473</x:v>
      </x:c>
      <x:c r="B476" t="str">
        <x:v>M080</x:v>
      </x:c>
      <x:c r="C476" t="str">
        <x:v>G080-01</x:v>
      </x:c>
      <x:c r="D476" t="str">
        <x:v>Support / solubility</x:v>
      </x:c>
      <x:c r="E476" t="str">
        <x:v>Solubility</x:v>
      </x:c>
      <x:c r="F476" t="str">
        <x:v>Insoluble in water</x:v>
      </x:c>
      <x:c r="G476" t="str">
        <x:v>p. 2; concentration, duration and temperature not specified unless stated. Not a chemical design limit.</x:v>
      </x:c>
      <x:c r="H476" t="str">
        <x:v>Not published</x:v>
      </x:c>
      <x:c r="I476" t="str">
        <x:v>Not applicable</x:v>
      </x:c>
      <x:c r="J476" t="str">
        <x:v>Manufacturer statement</x:v>
      </x:c>
      <x:c r="K476" t="str">
        <x:v>B-support-for-pa-pet-TDS</x:v>
      </x:c>
      <x:c r="L476" t="str">
        <x:v>Solubility</x:v>
      </x:c>
    </x:row>
    <x:row r="477">
      <x:c r="A477" t="str">
        <x:v>Q00474</x:v>
      </x:c>
      <x:c r="B477" t="str">
        <x:v>M080</x:v>
      </x:c>
      <x:c r="C477" t="str">
        <x:v>G080-01</x:v>
      </x:c>
      <x:c r="D477" t="str">
        <x:v>Chemical exposure</x:v>
      </x:c>
      <x:c r="E477" t="str">
        <x:v>Resistance to Acid</x:v>
      </x:c>
      <x:c r="F477" t="str">
        <x:v>Not resistant</x:v>
      </x:c>
      <x:c r="G477" t="str">
        <x:v>p. 2; concentration, duration and temperature not specified unless stated. Not a chemical design limit.</x:v>
      </x:c>
      <x:c r="H477" t="str">
        <x:v>Not published</x:v>
      </x:c>
      <x:c r="I477" t="str">
        <x:v>Not applicable</x:v>
      </x:c>
      <x:c r="J477" t="str">
        <x:v>Manufacturer statement</x:v>
      </x:c>
      <x:c r="K477" t="str">
        <x:v>B-support-for-pa-pet-TDS</x:v>
      </x:c>
      <x:c r="L477" t="str">
        <x:v>Resistance to Acid</x:v>
      </x:c>
    </x:row>
    <x:row r="478">
      <x:c r="A478" t="str">
        <x:v>Q00475</x:v>
      </x:c>
      <x:c r="B478" t="str">
        <x:v>M080</x:v>
      </x:c>
      <x:c r="C478" t="str">
        <x:v>G080-01</x:v>
      </x:c>
      <x:c r="D478" t="str">
        <x:v>Chemical exposure</x:v>
      </x:c>
      <x:c r="E478" t="str">
        <x:v>Resistance to Alkali</x:v>
      </x:c>
      <x:c r="F478" t="str">
        <x:v>Not resistant</x:v>
      </x:c>
      <x:c r="G478" t="str">
        <x:v>p. 2; concentration, duration and temperature not specified unless stated. Not a chemical design limit.</x:v>
      </x:c>
      <x:c r="H478" t="str">
        <x:v>Not published</x:v>
      </x:c>
      <x:c r="I478" t="str">
        <x:v>Not applicable</x:v>
      </x:c>
      <x:c r="J478" t="str">
        <x:v>Manufacturer statement</x:v>
      </x:c>
      <x:c r="K478" t="str">
        <x:v>B-support-for-pa-pet-TDS</x:v>
      </x:c>
      <x:c r="L478" t="str">
        <x:v>Resistance to Alkali</x:v>
      </x:c>
    </x:row>
    <x:row r="479">
      <x:c r="A479" t="str">
        <x:v>Q00476</x:v>
      </x:c>
      <x:c r="B479" t="str">
        <x:v>M080</x:v>
      </x:c>
      <x:c r="C479" t="str">
        <x:v>G080-01</x:v>
      </x:c>
      <x:c r="D479" t="str">
        <x:v>Chemical exposure</x:v>
      </x:c>
      <x:c r="E479" t="str">
        <x:v>Resistance to Organic Solvent</x:v>
      </x:c>
      <x:c r="F479" t="str">
        <x:v>Not resistant to some organic solvents</x:v>
      </x:c>
      <x:c r="G479" t="str">
        <x:v>p. 2; concentration, duration and temperature not specified unless stated. Not a chemical design limit.</x:v>
      </x:c>
      <x:c r="H479" t="str">
        <x:v>Not published</x:v>
      </x:c>
      <x:c r="I479" t="str">
        <x:v>Not applicable</x:v>
      </x:c>
      <x:c r="J479" t="str">
        <x:v>Manufacturer statement</x:v>
      </x:c>
      <x:c r="K479" t="str">
        <x:v>B-support-for-pa-pet-TDS</x:v>
      </x:c>
      <x:c r="L479" t="str">
        <x:v>Resistance to Organic Solvent</x:v>
      </x:c>
    </x:row>
    <x:row r="480">
      <x:c r="A480" t="str">
        <x:v>Q00477</x:v>
      </x:c>
      <x:c r="B480" t="str">
        <x:v>M080</x:v>
      </x:c>
      <x:c r="C480" t="str">
        <x:v>G080-01</x:v>
      </x:c>
      <x:c r="D480" t="str">
        <x:v>Chemical exposure</x:v>
      </x:c>
      <x:c r="E480" t="str">
        <x:v>Resistance to Oil and Grease</x:v>
      </x:c>
      <x:c r="F480" t="str">
        <x:v>Resistant to most kinds of oil and grease</x:v>
      </x:c>
      <x:c r="G480" t="str">
        <x:v>p. 2; concentration, duration and temperature not specified unless stated. Not a chemical design limit.</x:v>
      </x:c>
      <x:c r="H480" t="str">
        <x:v>Not published</x:v>
      </x:c>
      <x:c r="I480" t="str">
        <x:v>Not applicable</x:v>
      </x:c>
      <x:c r="J480" t="str">
        <x:v>Manufacturer statement</x:v>
      </x:c>
      <x:c r="K480" t="str">
        <x:v>B-support-for-pa-pet-TDS</x:v>
      </x:c>
      <x:c r="L480" t="str">
        <x:v>Resistance to Oil and Grease</x:v>
      </x:c>
    </x:row>
    <x:row r="481">
      <x:c r="A481" t="str">
        <x:v>Q00478</x:v>
      </x:c>
      <x:c r="B481" t="str">
        <x:v>M080</x:v>
      </x:c>
      <x:c r="C481" t="str">
        <x:v>G080-01</x:v>
      </x:c>
      <x:c r="D481" t="str">
        <x:v>Flammability</x:v>
      </x:c>
      <x:c r="E481" t="str">
        <x:v>Flammability</x:v>
      </x:c>
      <x:c r="F481" t="str">
        <x:v>Flammable and self-extinguishing in the air</x:v>
      </x:c>
      <x:c r="G481" t="str">
        <x:v>p. 2; concentration, duration and temperature not specified unless stated. Not a chemical design limit.</x:v>
      </x:c>
      <x:c r="H481" t="str">
        <x:v>Not published</x:v>
      </x:c>
      <x:c r="I481" t="str">
        <x:v>Not applicable</x:v>
      </x:c>
      <x:c r="J481" t="str">
        <x:v>Manufacturer statement</x:v>
      </x:c>
      <x:c r="K481" t="str">
        <x:v>B-support-for-pa-pet-TDS</x:v>
      </x:c>
      <x:c r="L481" t="str">
        <x:v>Flammability</x:v>
      </x:c>
    </x:row>
  </x:sheetData>
  <x:pageMargins left="0.7" right="0.7" top="0.75" bottom="0.75" header="0.3" footer="0.3"/>
  <x:tableParts count="1">
    <x:tablePart xmlns:r="http://schemas.openxmlformats.org/officeDocument/2006/relationships" r:id="Rfd4eb8355ea641b1"/>
  </x:tableParts>
</x:worksheet>
</file>

<file path=xl/worksheets/sheet6.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3" width="14" style="1" hidden="0" customWidth="1"/>
    <x:col min="4" max="17" width="26" style="1" hidden="0" customWidth="1"/>
    <x:col min="18" max="18" width="48" style="1" hidden="0" customWidth="1"/>
    <x:col min="19" max="19" width="78" style="1" hidden="0" customWidth="1"/>
    <x:col min="20" max="20" width="42" style="1" hidden="0" customWidth="1"/>
    <x:col min="21" max="21" width="26" style="1" hidden="0" customWidth="1"/>
    <x:col min="22" max="22" width="48" style="1" hidden="0" customWidth="1"/>
  </x:cols>
  <x:sheetData>
    <x:row r="1" ht="24" hidden="0" customHeight="1">
      <x:c r="A1" s="3" t="s">
        <x:v>6078</x:v>
      </x:c>
      <x:c r="B1" s="2"/>
      <x:c r="C1" s="2"/>
      <x:c r="D1" s="2"/>
      <x:c r="E1" s="2"/>
      <x:c r="F1" s="2"/>
      <x:c r="G1" s="2"/>
      <x:c r="H1" s="2"/>
      <x:c r="I1" s="2"/>
      <x:c r="J1" s="2"/>
      <x:c r="K1" s="2"/>
      <x:c r="L1" s="2"/>
      <x:c r="M1" s="2"/>
      <x:c r="N1" s="2"/>
      <x:c r="O1" s="2"/>
      <x:c r="P1" s="2"/>
      <x:c r="Q1" s="2"/>
      <x:c r="R1" s="2"/>
      <x:c r="S1" s="2"/>
      <x:c r="T1" s="2"/>
      <x:c r="U1" s="2"/>
      <x:c r="V1" s="2"/>
    </x:row>
    <x:row r="2" ht="15" hidden="0" customHeight="1">
      <x:c r="A2" s="2"/>
      <x:c r="B2" s="2"/>
      <x:c r="C2" s="2"/>
      <x:c r="D2" s="2"/>
      <x:c r="E2" s="2"/>
      <x:c r="F2" s="2"/>
      <x:c r="G2" s="2"/>
      <x:c r="H2" s="2"/>
      <x:c r="I2" s="2"/>
      <x:c r="J2" s="2"/>
      <x:c r="K2" s="2"/>
      <x:c r="L2" s="2"/>
      <x:c r="M2" s="2"/>
      <x:c r="N2" s="2"/>
      <x:c r="O2" s="2"/>
      <x:c r="P2" s="2"/>
      <x:c r="Q2" s="2"/>
      <x:c r="R2" s="2"/>
      <x:c r="S2" s="2"/>
      <x:c r="T2" s="2"/>
      <x:c r="U2" s="2"/>
      <x:c r="V2" s="2"/>
    </x:row>
    <x:row r="3" ht="43.5" hidden="0" customHeight="1">
      <x:c r="A3" s="4" t="s">
        <x:v>6079</x:v>
      </x:c>
      <x:c r="B3" s="4" t="s">
        <x:v>2</x:v>
      </x:c>
      <x:c r="C3" s="4" t="s">
        <x:v>1125</x:v>
      </x:c>
      <x:c r="D3" s="4" t="s">
        <x:v>6080</x:v>
      </x:c>
      <x:c r="E3" s="4" t="s">
        <x:v>6081</x:v>
      </x:c>
      <x:c r="F3" s="4" t="s">
        <x:v>6082</x:v>
      </x:c>
      <x:c r="G3" s="5" t="s">
        <x:v>6083</x:v>
      </x:c>
      <x:c r="H3" s="6" t="s">
        <x:v>6084</x:v>
      </x:c>
      <x:c r="I3" s="6" t="s">
        <x:v>6085</x:v>
      </x:c>
      <x:c r="J3" s="6" t="s">
        <x:v>6086</x:v>
      </x:c>
      <x:c r="K3" s="4" t="s">
        <x:v>6087</x:v>
      </x:c>
      <x:c r="L3" s="4" t="s">
        <x:v>6088</x:v>
      </x:c>
      <x:c r="M3" s="4" t="s">
        <x:v>6089</x:v>
      </x:c>
      <x:c r="N3" s="6" t="s">
        <x:v>6090</x:v>
      </x:c>
      <x:c r="O3" s="4" t="s">
        <x:v>6091</x:v>
      </x:c>
      <x:c r="P3" s="4" t="s">
        <x:v>6092</x:v>
      </x:c>
      <x:c r="Q3" s="4" t="s">
        <x:v>6093</x:v>
      </x:c>
      <x:c r="R3" s="4" t="s">
        <x:v>6094</x:v>
      </x:c>
      <x:c r="S3" s="4" t="s">
        <x:v>6095</x:v>
      </x:c>
      <x:c r="T3" s="4" t="s">
        <x:v>1134</x:v>
      </x:c>
      <x:c r="U3" s="12" t="s">
        <x:v>6096</x:v>
      </x:c>
      <x:c r="V3" s="4" t="s">
        <x:v>1908</x:v>
      </x:c>
    </x:row>
    <x:row r="4" ht="37.5" hidden="0" customHeight="1">
      <x:c r="A4" s="7" t="s">
        <x:v>6097</x:v>
      </x:c>
      <x:c r="B4" s="7" t="s">
        <x:v>76</x:v>
      </x:c>
      <x:c r="C4" s="7" t="s">
        <x:v>79</x:v>
      </x:c>
      <x:c r="D4" s="7" t="s">
        <x:v>6098</x:v>
      </x:c>
      <x:c r="E4" s="7" t="s">
        <x:v>6099</x:v>
      </x:c>
      <x:c r="F4" s="7" t="s">
        <x:v>6100</x:v>
      </x:c>
      <x:c r="G4" s="8" t="n">
        <x:v>1</x:v>
      </x:c>
      <x:c r="H4" s="9" t="n">
        <x:v>25.99</x:v>
      </x:c>
      <x:c r="I4" s="9" t="s">
        <x:v>58</x:v>
      </x:c>
      <x:c r="J4" s="9" t="n">
        <x:f aca="0">IF(L4,H4/G4,"Not applicable")</x:f>
        <x:v>25.99</x:v>
      </x:c>
      <x:c r="K4" s="7" t="s">
        <x:v>6101</x:v>
      </x:c>
      <x:c r="L4" s="11" t="b">
        <x:f aca="0">TRUE()</x:f>
        <x:v>1</x:v>
      </x:c>
      <x:c r="M4" s="11" t="b">
        <x:f aca="0">TRUE()</x:f>
        <x:v>1</x:v>
      </x:c>
      <x:c r="N4" s="9" t="n">
        <x:v>25.99</x:v>
      </x:c>
      <x:c r="O4" s="7" t="s">
        <x:v>6102</x:v>
      </x:c>
      <x:c r="P4" s="7" t="s">
        <x:v>6103</x:v>
      </x:c>
      <x:c r="Q4" s="7" t="s">
        <x:v>6104</x:v>
      </x:c>
      <x:c r="R4" s="7" t="s">
        <x:v>6105</x:v>
      </x:c>
      <x:c r="S4" s="7" t="s">
        <x:v>6106</x:v>
      </x:c>
      <x:c r="T4" s="7" t="s">
        <x:v>6107</x:v>
      </x:c>
      <x:c r="U4" s="13" t="n">
        <x:v>46275.5</x:v>
      </x:c>
      <x:c r="V4" s="7" t="s">
        <x:v>6108</x:v>
      </x:c>
    </x:row>
    <x:row r="5" ht="51.75" hidden="0" customHeight="1">
      <x:c r="A5" s="7" t="s">
        <x:v>6109</x:v>
      </x:c>
      <x:c r="B5" s="7" t="s">
        <x:v>76</x:v>
      </x:c>
      <x:c r="C5" s="7" t="s">
        <x:v>79</x:v>
      </x:c>
      <x:c r="D5" s="7" t="s">
        <x:v>6098</x:v>
      </x:c>
      <x:c r="E5" s="7" t="s">
        <x:v>6110</x:v>
      </x:c>
      <x:c r="F5" s="7" t="s">
        <x:v>6111</x:v>
      </x:c>
      <x:c r="G5" s="8" t="n">
        <x:v>1</x:v>
      </x:c>
      <x:c r="H5" s="9" t="s">
        <x:v>53</x:v>
      </x:c>
      <x:c r="I5" s="9" t="s">
        <x:v>58</x:v>
      </x:c>
      <x:c r="J5" s="9" t="str">
        <x:f aca="0">IF(L5,H5/G5,"Not applicable")</x:f>
        <x:v>Not applicable</x:v>
      </x:c>
      <x:c r="K5" s="7" t="s">
        <x:v>6101</x:v>
      </x:c>
      <x:c r="L5" s="11" t="b">
        <x:f aca="0">FALSE()</x:f>
        <x:v>0</x:v>
      </x:c>
      <x:c r="M5" s="11" t="b">
        <x:f aca="0">FALSE()</x:f>
        <x:v>0</x:v>
      </x:c>
      <x:c r="N5" s="9" t="n">
        <x:v>29.99</x:v>
      </x:c>
      <x:c r="O5" s="7" t="s">
        <x:v>6102</x:v>
      </x:c>
      <x:c r="P5" s="7" t="s">
        <x:v>6103</x:v>
      </x:c>
      <x:c r="Q5" s="7" t="s">
        <x:v>6104</x:v>
      </x:c>
      <x:c r="R5" s="7" t="s">
        <x:v>6112</x:v>
      </x:c>
      <x:c r="S5" s="7" t="s">
        <x:v>6113</x:v>
      </x:c>
      <x:c r="T5" s="7" t="s">
        <x:v>6107</x:v>
      </x:c>
      <x:c r="U5" s="13" t="n">
        <x:v>46275.5</x:v>
      </x:c>
      <x:c r="V5" s="7" t="s">
        <x:v>6114</x:v>
      </x:c>
    </x:row>
    <x:row r="6" ht="37.5" hidden="0" customHeight="1">
      <x:c r="A6" s="7" t="s">
        <x:v>6115</x:v>
      </x:c>
      <x:c r="B6" s="7" t="s">
        <x:v>94</x:v>
      </x:c>
      <x:c r="C6" s="7" t="s">
        <x:v>96</x:v>
      </x:c>
      <x:c r="D6" s="7" t="s">
        <x:v>6098</x:v>
      </x:c>
      <x:c r="E6" s="7" t="s">
        <x:v>6116</x:v>
      </x:c>
      <x:c r="F6" s="7" t="s">
        <x:v>6100</x:v>
      </x:c>
      <x:c r="G6" s="8" t="n">
        <x:v>1</x:v>
      </x:c>
      <x:c r="H6" s="9" t="n">
        <x:v>25.99</x:v>
      </x:c>
      <x:c r="I6" s="9" t="s">
        <x:v>58</x:v>
      </x:c>
      <x:c r="J6" s="9" t="n">
        <x:f aca="0">IF(L6,H6/G6,"Not applicable")</x:f>
        <x:v>25.99</x:v>
      </x:c>
      <x:c r="K6" s="7" t="s">
        <x:v>6101</x:v>
      </x:c>
      <x:c r="L6" s="11" t="b">
        <x:f aca="0">TRUE()</x:f>
        <x:v>1</x:v>
      </x:c>
      <x:c r="M6" s="11" t="b">
        <x:f aca="0">TRUE()</x:f>
        <x:v>1</x:v>
      </x:c>
      <x:c r="N6" s="9" t="n">
        <x:v>25.99</x:v>
      </x:c>
      <x:c r="O6" s="7" t="s">
        <x:v>6102</x:v>
      </x:c>
      <x:c r="P6" s="7" t="s">
        <x:v>6103</x:v>
      </x:c>
      <x:c r="Q6" s="7" t="s">
        <x:v>6104</x:v>
      </x:c>
      <x:c r="R6" s="7" t="s">
        <x:v>6105</x:v>
      </x:c>
      <x:c r="S6" s="7" t="s">
        <x:v>6117</x:v>
      </x:c>
      <x:c r="T6" s="7" t="s">
        <x:v>6118</x:v>
      </x:c>
      <x:c r="U6" s="13" t="n">
        <x:v>46275.5</x:v>
      </x:c>
      <x:c r="V6" s="7" t="s">
        <x:v>6108</x:v>
      </x:c>
    </x:row>
    <x:row r="7" ht="51.75" hidden="0" customHeight="1">
      <x:c r="A7" s="7" t="s">
        <x:v>6119</x:v>
      </x:c>
      <x:c r="B7" s="7" t="s">
        <x:v>94</x:v>
      </x:c>
      <x:c r="C7" s="7" t="s">
        <x:v>96</x:v>
      </x:c>
      <x:c r="D7" s="7" t="s">
        <x:v>6098</x:v>
      </x:c>
      <x:c r="E7" s="7" t="s">
        <x:v>6120</x:v>
      </x:c>
      <x:c r="F7" s="7" t="s">
        <x:v>6111</x:v>
      </x:c>
      <x:c r="G7" s="8" t="n">
        <x:v>1</x:v>
      </x:c>
      <x:c r="H7" s="9" t="s">
        <x:v>53</x:v>
      </x:c>
      <x:c r="I7" s="9" t="s">
        <x:v>58</x:v>
      </x:c>
      <x:c r="J7" s="9" t="str">
        <x:f aca="0">IF(L7,H7/G7,"Not applicable")</x:f>
        <x:v>Not applicable</x:v>
      </x:c>
      <x:c r="K7" s="7" t="s">
        <x:v>6101</x:v>
      </x:c>
      <x:c r="L7" s="11" t="b">
        <x:f aca="0">FALSE()</x:f>
        <x:v>0</x:v>
      </x:c>
      <x:c r="M7" s="11" t="b">
        <x:f aca="0">FALSE()</x:f>
        <x:v>0</x:v>
      </x:c>
      <x:c r="N7" s="9" t="n">
        <x:v>29.99</x:v>
      </x:c>
      <x:c r="O7" s="7" t="s">
        <x:v>6102</x:v>
      </x:c>
      <x:c r="P7" s="7" t="s">
        <x:v>6103</x:v>
      </x:c>
      <x:c r="Q7" s="7" t="s">
        <x:v>6104</x:v>
      </x:c>
      <x:c r="R7" s="7" t="s">
        <x:v>6112</x:v>
      </x:c>
      <x:c r="S7" s="7" t="s">
        <x:v>6121</x:v>
      </x:c>
      <x:c r="T7" s="7" t="s">
        <x:v>6118</x:v>
      </x:c>
      <x:c r="U7" s="13" t="n">
        <x:v>46275.5</x:v>
      </x:c>
      <x:c r="V7" s="7" t="s">
        <x:v>6114</x:v>
      </x:c>
    </x:row>
    <x:row r="8" ht="37.5" hidden="0" customHeight="1">
      <x:c r="A8" s="7" t="s">
        <x:v>6122</x:v>
      </x:c>
      <x:c r="B8" s="7" t="s">
        <x:v>94</x:v>
      </x:c>
      <x:c r="C8" s="7" t="s">
        <x:v>96</x:v>
      </x:c>
      <x:c r="D8" s="7" t="s">
        <x:v>6098</x:v>
      </x:c>
      <x:c r="E8" s="7" t="s">
        <x:v>6123</x:v>
      </x:c>
      <x:c r="F8" s="7" t="s">
        <x:v>6100</x:v>
      </x:c>
      <x:c r="G8" s="8" t="n">
        <x:v>1</x:v>
      </x:c>
      <x:c r="H8" s="9" t="n">
        <x:v>25.99</x:v>
      </x:c>
      <x:c r="I8" s="9" t="s">
        <x:v>58</x:v>
      </x:c>
      <x:c r="J8" s="9" t="str">
        <x:f aca="0">IF(L8,H8/G8,"Not applicable")</x:f>
        <x:v>Not applicable</x:v>
      </x:c>
      <x:c r="K8" s="7" t="s">
        <x:v>6124</x:v>
      </x:c>
      <x:c r="L8" s="11" t="b">
        <x:f aca="0">FALSE()</x:f>
        <x:v>0</x:v>
      </x:c>
      <x:c r="M8" s="11" t="b">
        <x:f aca="0">FALSE()</x:f>
        <x:v>0</x:v>
      </x:c>
      <x:c r="N8" s="9" t="n">
        <x:v>25.99</x:v>
      </x:c>
      <x:c r="O8" s="7" t="s">
        <x:v>6102</x:v>
      </x:c>
      <x:c r="P8" s="7" t="s">
        <x:v>6103</x:v>
      </x:c>
      <x:c r="Q8" s="7" t="s">
        <x:v>6104</x:v>
      </x:c>
      <x:c r="R8" s="7" t="s">
        <x:v>6105</x:v>
      </x:c>
      <x:c r="S8" s="7" t="s">
        <x:v>6125</x:v>
      </x:c>
      <x:c r="T8" s="7" t="s">
        <x:v>6118</x:v>
      </x:c>
      <x:c r="U8" s="13" t="n">
        <x:v>46275.5</x:v>
      </x:c>
      <x:c r="V8" s="7" t="s">
        <x:v>6114</x:v>
      </x:c>
    </x:row>
    <x:row r="9" ht="51.75" hidden="0" customHeight="1">
      <x:c r="A9" s="7" t="s">
        <x:v>6126</x:v>
      </x:c>
      <x:c r="B9" s="7" t="s">
        <x:v>111</x:v>
      </x:c>
      <x:c r="C9" s="7" t="s">
        <x:v>113</x:v>
      </x:c>
      <x:c r="D9" s="7" t="s">
        <x:v>6098</x:v>
      </x:c>
      <x:c r="E9" s="7" t="s">
        <x:v>6127</x:v>
      </x:c>
      <x:c r="F9" s="7" t="s">
        <x:v>6111</x:v>
      </x:c>
      <x:c r="G9" s="8" t="n">
        <x:v>1</x:v>
      </x:c>
      <x:c r="H9" s="9" t="n">
        <x:v>31.99</x:v>
      </x:c>
      <x:c r="I9" s="9" t="s">
        <x:v>58</x:v>
      </x:c>
      <x:c r="J9" s="9" t="str">
        <x:f aca="0">IF(L9,H9/G9,"Not applicable")</x:f>
        <x:v>Not applicable</x:v>
      </x:c>
      <x:c r="K9" s="7" t="s">
        <x:v>6124</x:v>
      </x:c>
      <x:c r="L9" s="11" t="b">
        <x:f aca="0">FALSE()</x:f>
        <x:v>0</x:v>
      </x:c>
      <x:c r="M9" s="11" t="b">
        <x:f aca="0">FALSE()</x:f>
        <x:v>0</x:v>
      </x:c>
      <x:c r="N9" s="9" t="n">
        <x:v>31.99</x:v>
      </x:c>
      <x:c r="O9" s="7" t="s">
        <x:v>6102</x:v>
      </x:c>
      <x:c r="P9" s="7" t="s">
        <x:v>6103</x:v>
      </x:c>
      <x:c r="Q9" s="7" t="s">
        <x:v>6104</x:v>
      </x:c>
      <x:c r="R9" s="7" t="s">
        <x:v>6128</x:v>
      </x:c>
      <x:c r="S9" s="7" t="s">
        <x:v>6129</x:v>
      </x:c>
      <x:c r="T9" s="7" t="s">
        <x:v>6130</x:v>
      </x:c>
      <x:c r="U9" s="13" t="n">
        <x:v>46275.5</x:v>
      </x:c>
      <x:c r="V9" s="7" t="s">
        <x:v>6114</x:v>
      </x:c>
    </x:row>
    <x:row r="10" ht="51.75" hidden="0" customHeight="1">
      <x:c r="A10" s="7" t="s">
        <x:v>6131</x:v>
      </x:c>
      <x:c r="B10" s="7" t="s">
        <x:v>122</x:v>
      </x:c>
      <x:c r="C10" s="7" t="s">
        <x:v>124</x:v>
      </x:c>
      <x:c r="D10" s="7" t="s">
        <x:v>6098</x:v>
      </x:c>
      <x:c r="E10" s="7" t="s">
        <x:v>6132</x:v>
      </x:c>
      <x:c r="F10" s="7" t="s">
        <x:v>6111</x:v>
      </x:c>
      <x:c r="G10" s="8" t="n">
        <x:v>1</x:v>
      </x:c>
      <x:c r="H10" s="9" t="s">
        <x:v>53</x:v>
      </x:c>
      <x:c r="I10" s="9" t="s">
        <x:v>58</x:v>
      </x:c>
      <x:c r="J10" s="9" t="str">
        <x:f aca="0">IF(L10,H10/G10,"Not applicable")</x:f>
        <x:v>Not applicable</x:v>
      </x:c>
      <x:c r="K10" s="7" t="s">
        <x:v>6101</x:v>
      </x:c>
      <x:c r="L10" s="11" t="b">
        <x:f aca="0">FALSE()</x:f>
        <x:v>0</x:v>
      </x:c>
      <x:c r="M10" s="11" t="b">
        <x:f aca="0">FALSE()</x:f>
        <x:v>0</x:v>
      </x:c>
      <x:c r="N10" s="9" t="n">
        <x:v>30.99</x:v>
      </x:c>
      <x:c r="O10" s="7" t="s">
        <x:v>6102</x:v>
      </x:c>
      <x:c r="P10" s="7" t="s">
        <x:v>6103</x:v>
      </x:c>
      <x:c r="Q10" s="7" t="s">
        <x:v>6104</x:v>
      </x:c>
      <x:c r="R10" s="7" t="s">
        <x:v>6112</x:v>
      </x:c>
      <x:c r="S10" s="7" t="s">
        <x:v>6133</x:v>
      </x:c>
      <x:c r="T10" s="7" t="s">
        <x:v>6134</x:v>
      </x:c>
      <x:c r="U10" s="13" t="n">
        <x:v>46275.5</x:v>
      </x:c>
      <x:c r="V10" s="7" t="s">
        <x:v>6114</x:v>
      </x:c>
    </x:row>
    <x:row r="11" ht="37.5" hidden="0" customHeight="1">
      <x:c r="A11" s="7" t="s">
        <x:v>131</x:v>
      </x:c>
      <x:c r="B11" s="7" t="s">
        <x:v>122</x:v>
      </x:c>
      <x:c r="C11" s="7" t="s">
        <x:v>124</x:v>
      </x:c>
      <x:c r="D11" s="7" t="s">
        <x:v>6098</x:v>
      </x:c>
      <x:c r="E11" s="7" t="s">
        <x:v>6135</x:v>
      </x:c>
      <x:c r="F11" s="7" t="s">
        <x:v>6100</x:v>
      </x:c>
      <x:c r="G11" s="8" t="n">
        <x:v>1</x:v>
      </x:c>
      <x:c r="H11" s="9" t="n">
        <x:v>26.99</x:v>
      </x:c>
      <x:c r="I11" s="9" t="s">
        <x:v>58</x:v>
      </x:c>
      <x:c r="J11" s="9" t="n">
        <x:f aca="0">IF(L11,H11/G11,"Not applicable")</x:f>
        <x:v>26.99</x:v>
      </x:c>
      <x:c r="K11" s="7" t="s">
        <x:v>6101</x:v>
      </x:c>
      <x:c r="L11" s="11" t="b">
        <x:f aca="0">TRUE()</x:f>
        <x:v>1</x:v>
      </x:c>
      <x:c r="M11" s="11" t="b">
        <x:f aca="0">TRUE()</x:f>
        <x:v>1</x:v>
      </x:c>
      <x:c r="N11" s="9" t="n">
        <x:v>26.99</x:v>
      </x:c>
      <x:c r="O11" s="7" t="s">
        <x:v>6102</x:v>
      </x:c>
      <x:c r="P11" s="7" t="s">
        <x:v>6103</x:v>
      </x:c>
      <x:c r="Q11" s="7" t="s">
        <x:v>6104</x:v>
      </x:c>
      <x:c r="R11" s="7" t="s">
        <x:v>6128</x:v>
      </x:c>
      <x:c r="S11" s="7" t="s">
        <x:v>6136</x:v>
      </x:c>
      <x:c r="T11" s="7" t="s">
        <x:v>6134</x:v>
      </x:c>
      <x:c r="U11" s="13" t="n">
        <x:v>46275.5</x:v>
      </x:c>
      <x:c r="V11" s="7" t="s">
        <x:v>6108</x:v>
      </x:c>
    </x:row>
    <x:row r="12" ht="51.75" hidden="0" customHeight="1">
      <x:c r="A12" s="7" t="s">
        <x:v>142</x:v>
      </x:c>
      <x:c r="B12" s="7" t="s">
        <x:v>134</x:v>
      </x:c>
      <x:c r="C12" s="7" t="s">
        <x:v>136</x:v>
      </x:c>
      <x:c r="D12" s="7" t="s">
        <x:v>6098</x:v>
      </x:c>
      <x:c r="E12" s="7" t="s">
        <x:v>6137</x:v>
      </x:c>
      <x:c r="F12" s="7" t="s">
        <x:v>6111</x:v>
      </x:c>
      <x:c r="G12" s="8" t="n">
        <x:v>1</x:v>
      </x:c>
      <x:c r="H12" s="9" t="n">
        <x:v>29.99</x:v>
      </x:c>
      <x:c r="I12" s="9" t="s">
        <x:v>58</x:v>
      </x:c>
      <x:c r="J12" s="9" t="n">
        <x:f aca="0">IF(L12,H12/G12,"Not applicable")</x:f>
        <x:v>29.99</x:v>
      </x:c>
      <x:c r="K12" s="7" t="s">
        <x:v>6101</x:v>
      </x:c>
      <x:c r="L12" s="11" t="b">
        <x:f aca="0">TRUE()</x:f>
        <x:v>1</x:v>
      </x:c>
      <x:c r="M12" s="11" t="b">
        <x:f aca="0">TRUE()</x:f>
        <x:v>1</x:v>
      </x:c>
      <x:c r="N12" s="9" t="n">
        <x:v>29.99</x:v>
      </x:c>
      <x:c r="O12" s="7" t="s">
        <x:v>6102</x:v>
      </x:c>
      <x:c r="P12" s="7" t="s">
        <x:v>6103</x:v>
      </x:c>
      <x:c r="Q12" s="7" t="s">
        <x:v>6104</x:v>
      </x:c>
      <x:c r="R12" s="7" t="s">
        <x:v>6105</x:v>
      </x:c>
      <x:c r="S12" s="7" t="s">
        <x:v>6138</x:v>
      </x:c>
      <x:c r="T12" s="7" t="s">
        <x:v>6139</x:v>
      </x:c>
      <x:c r="U12" s="13" t="n">
        <x:v>46275.5</x:v>
      </x:c>
      <x:c r="V12" s="7" t="s">
        <x:v>6108</x:v>
      </x:c>
    </x:row>
    <x:row r="13" ht="51.75" hidden="0" customHeight="1">
      <x:c r="A13" s="7" t="s">
        <x:v>6140</x:v>
      </x:c>
      <x:c r="B13" s="7" t="s">
        <x:v>148</x:v>
      </x:c>
      <x:c r="C13" s="7" t="s">
        <x:v>150</x:v>
      </x:c>
      <x:c r="D13" s="7" t="s">
        <x:v>6098</x:v>
      </x:c>
      <x:c r="E13" s="7" t="s">
        <x:v>6141</x:v>
      </x:c>
      <x:c r="F13" s="7" t="s">
        <x:v>6111</x:v>
      </x:c>
      <x:c r="G13" s="8" t="n">
        <x:v>1</x:v>
      </x:c>
      <x:c r="H13" s="9" t="n">
        <x:v>29.99</x:v>
      </x:c>
      <x:c r="I13" s="9" t="s">
        <x:v>58</x:v>
      </x:c>
      <x:c r="J13" s="9" t="n">
        <x:f aca="0">IF(L13,H13/G13,"Not applicable")</x:f>
        <x:v>29.99</x:v>
      </x:c>
      <x:c r="K13" s="7" t="s">
        <x:v>6101</x:v>
      </x:c>
      <x:c r="L13" s="11" t="b">
        <x:f aca="0">TRUE()</x:f>
        <x:v>1</x:v>
      </x:c>
      <x:c r="M13" s="11" t="b">
        <x:f aca="0">TRUE()</x:f>
        <x:v>1</x:v>
      </x:c>
      <x:c r="N13" s="9" t="n">
        <x:v>29.99</x:v>
      </x:c>
      <x:c r="O13" s="7" t="s">
        <x:v>6102</x:v>
      </x:c>
      <x:c r="P13" s="7" t="s">
        <x:v>6103</x:v>
      </x:c>
      <x:c r="Q13" s="7" t="s">
        <x:v>6104</x:v>
      </x:c>
      <x:c r="R13" s="7" t="s">
        <x:v>6105</x:v>
      </x:c>
      <x:c r="S13" s="7" t="s">
        <x:v>6142</x:v>
      </x:c>
      <x:c r="T13" s="7" t="s">
        <x:v>6143</x:v>
      </x:c>
      <x:c r="U13" s="13" t="n">
        <x:v>46275.5</x:v>
      </x:c>
      <x:c r="V13" s="7" t="s">
        <x:v>6108</x:v>
      </x:c>
    </x:row>
    <x:row r="14" ht="37.5" hidden="0" customHeight="1">
      <x:c r="A14" s="7" t="s">
        <x:v>6144</x:v>
      </x:c>
      <x:c r="B14" s="7" t="s">
        <x:v>148</x:v>
      </x:c>
      <x:c r="C14" s="7" t="s">
        <x:v>150</x:v>
      </x:c>
      <x:c r="D14" s="7" t="s">
        <x:v>6098</x:v>
      </x:c>
      <x:c r="E14" s="7" t="s">
        <x:v>6145</x:v>
      </x:c>
      <x:c r="F14" s="7" t="s">
        <x:v>6100</x:v>
      </x:c>
      <x:c r="G14" s="8" t="n">
        <x:v>1</x:v>
      </x:c>
      <x:c r="H14" s="9" t="s">
        <x:v>53</x:v>
      </x:c>
      <x:c r="I14" s="9" t="s">
        <x:v>58</x:v>
      </x:c>
      <x:c r="J14" s="9" t="str">
        <x:f aca="0">IF(L14,H14/G14,"Not applicable")</x:f>
        <x:v>Not applicable</x:v>
      </x:c>
      <x:c r="K14" s="7" t="s">
        <x:v>6101</x:v>
      </x:c>
      <x:c r="L14" s="11" t="b">
        <x:f aca="0">FALSE()</x:f>
        <x:v>0</x:v>
      </x:c>
      <x:c r="M14" s="11" t="b">
        <x:f aca="0">FALSE()</x:f>
        <x:v>0</x:v>
      </x:c>
      <x:c r="N14" s="9" t="n">
        <x:v>25.99</x:v>
      </x:c>
      <x:c r="O14" s="7" t="s">
        <x:v>6102</x:v>
      </x:c>
      <x:c r="P14" s="7" t="s">
        <x:v>6103</x:v>
      </x:c>
      <x:c r="Q14" s="7" t="s">
        <x:v>6104</x:v>
      </x:c>
      <x:c r="R14" s="7" t="s">
        <x:v>6112</x:v>
      </x:c>
      <x:c r="S14" s="7" t="s">
        <x:v>6146</x:v>
      </x:c>
      <x:c r="T14" s="7" t="s">
        <x:v>6143</x:v>
      </x:c>
      <x:c r="U14" s="13" t="n">
        <x:v>46275.5</x:v>
      </x:c>
      <x:c r="V14" s="7" t="s">
        <x:v>6114</x:v>
      </x:c>
    </x:row>
    <x:row r="15" ht="51.75" hidden="0" customHeight="1">
      <x:c r="A15" s="7" t="s">
        <x:v>6147</x:v>
      </x:c>
      <x:c r="B15" s="7" t="s">
        <x:v>158</x:v>
      </x:c>
      <x:c r="C15" s="7" t="s">
        <x:v>160</x:v>
      </x:c>
      <x:c r="D15" s="7" t="s">
        <x:v>6098</x:v>
      </x:c>
      <x:c r="E15" s="7" t="s">
        <x:v>6148</x:v>
      </x:c>
      <x:c r="F15" s="7" t="s">
        <x:v>6111</x:v>
      </x:c>
      <x:c r="G15" s="8" t="n">
        <x:v>1</x:v>
      </x:c>
      <x:c r="H15" s="9" t="n">
        <x:v>31.99</x:v>
      </x:c>
      <x:c r="I15" s="9" t="s">
        <x:v>58</x:v>
      </x:c>
      <x:c r="J15" s="9" t="n">
        <x:f aca="0">IF(L15,H15/G15,"Not applicable")</x:f>
        <x:v>31.99</x:v>
      </x:c>
      <x:c r="K15" s="7" t="s">
        <x:v>6101</x:v>
      </x:c>
      <x:c r="L15" s="11" t="b">
        <x:f aca="0">TRUE()</x:f>
        <x:v>1</x:v>
      </x:c>
      <x:c r="M15" s="11" t="b">
        <x:f aca="0">TRUE()</x:f>
        <x:v>1</x:v>
      </x:c>
      <x:c r="N15" s="9" t="n">
        <x:v>31.99</x:v>
      </x:c>
      <x:c r="O15" s="7" t="s">
        <x:v>6102</x:v>
      </x:c>
      <x:c r="P15" s="7" t="s">
        <x:v>6103</x:v>
      </x:c>
      <x:c r="Q15" s="7" t="s">
        <x:v>6104</x:v>
      </x:c>
      <x:c r="R15" s="7" t="s">
        <x:v>6128</x:v>
      </x:c>
      <x:c r="S15" s="7" t="s">
        <x:v>6149</x:v>
      </x:c>
      <x:c r="T15" s="7" t="s">
        <x:v>6150</x:v>
      </x:c>
      <x:c r="U15" s="13" t="n">
        <x:v>46275.5</x:v>
      </x:c>
      <x:c r="V15" s="7" t="s">
        <x:v>6108</x:v>
      </x:c>
    </x:row>
    <x:row r="16" ht="51.75" hidden="0" customHeight="1">
      <x:c r="A16" s="7" t="s">
        <x:v>177</x:v>
      </x:c>
      <x:c r="B16" s="7" t="s">
        <x:v>171</x:v>
      </x:c>
      <x:c r="C16" s="7" t="s">
        <x:v>173</x:v>
      </x:c>
      <x:c r="D16" s="7" t="s">
        <x:v>6098</x:v>
      </x:c>
      <x:c r="E16" s="7" t="s">
        <x:v>6151</x:v>
      </x:c>
      <x:c r="F16" s="7" t="s">
        <x:v>6111</x:v>
      </x:c>
      <x:c r="G16" s="8" t="n">
        <x:v>1</x:v>
      </x:c>
      <x:c r="H16" s="9" t="n">
        <x:v>31.99</x:v>
      </x:c>
      <x:c r="I16" s="9" t="s">
        <x:v>58</x:v>
      </x:c>
      <x:c r="J16" s="9" t="n">
        <x:f aca="0">IF(L16,H16/G16,"Not applicable")</x:f>
        <x:v>31.99</x:v>
      </x:c>
      <x:c r="K16" s="7" t="s">
        <x:v>6101</x:v>
      </x:c>
      <x:c r="L16" s="11" t="b">
        <x:f aca="0">TRUE()</x:f>
        <x:v>1</x:v>
      </x:c>
      <x:c r="M16" s="11" t="b">
        <x:f aca="0">TRUE()</x:f>
        <x:v>1</x:v>
      </x:c>
      <x:c r="N16" s="9" t="n">
        <x:v>31.99</x:v>
      </x:c>
      <x:c r="O16" s="7" t="s">
        <x:v>6102</x:v>
      </x:c>
      <x:c r="P16" s="7" t="s">
        <x:v>6103</x:v>
      </x:c>
      <x:c r="Q16" s="7" t="s">
        <x:v>6104</x:v>
      </x:c>
      <x:c r="R16" s="7" t="s">
        <x:v>6128</x:v>
      </x:c>
      <x:c r="S16" s="7" t="s">
        <x:v>6152</x:v>
      </x:c>
      <x:c r="T16" s="7" t="s">
        <x:v>6153</x:v>
      </x:c>
      <x:c r="U16" s="13" t="n">
        <x:v>46275.5</x:v>
      </x:c>
      <x:c r="V16" s="7" t="s">
        <x:v>6108</x:v>
      </x:c>
    </x:row>
    <x:row r="17" ht="51.75" hidden="0" customHeight="1">
      <x:c r="A17" s="7" t="s">
        <x:v>6154</x:v>
      </x:c>
      <x:c r="B17" s="7" t="s">
        <x:v>171</x:v>
      </x:c>
      <x:c r="C17" s="7" t="s">
        <x:v>173</x:v>
      </x:c>
      <x:c r="D17" s="7" t="s">
        <x:v>6098</x:v>
      </x:c>
      <x:c r="E17" s="7" t="s">
        <x:v>6155</x:v>
      </x:c>
      <x:c r="F17" s="7" t="s">
        <x:v>6111</x:v>
      </x:c>
      <x:c r="G17" s="8" t="n">
        <x:v>1</x:v>
      </x:c>
      <x:c r="H17" s="9" t="n">
        <x:v>31.99</x:v>
      </x:c>
      <x:c r="I17" s="9" t="s">
        <x:v>58</x:v>
      </x:c>
      <x:c r="J17" s="9" t="str">
        <x:f aca="0">IF(L17,H17/G17,"Not applicable")</x:f>
        <x:v>Not applicable</x:v>
      </x:c>
      <x:c r="K17" s="7" t="s">
        <x:v>6124</x:v>
      </x:c>
      <x:c r="L17" s="11" t="b">
        <x:f aca="0">FALSE()</x:f>
        <x:v>0</x:v>
      </x:c>
      <x:c r="M17" s="11" t="b">
        <x:f aca="0">FALSE()</x:f>
        <x:v>0</x:v>
      </x:c>
      <x:c r="N17" s="9" t="n">
        <x:v>31.99</x:v>
      </x:c>
      <x:c r="O17" s="7" t="s">
        <x:v>6102</x:v>
      </x:c>
      <x:c r="P17" s="7" t="s">
        <x:v>6103</x:v>
      </x:c>
      <x:c r="Q17" s="7" t="s">
        <x:v>6104</x:v>
      </x:c>
      <x:c r="R17" s="7" t="s">
        <x:v>6128</x:v>
      </x:c>
      <x:c r="S17" s="7" t="s">
        <x:v>6156</x:v>
      </x:c>
      <x:c r="T17" s="7" t="s">
        <x:v>6153</x:v>
      </x:c>
      <x:c r="U17" s="13" t="n">
        <x:v>46275.5</x:v>
      </x:c>
      <x:c r="V17" s="7" t="s">
        <x:v>6114</x:v>
      </x:c>
    </x:row>
    <x:row r="18" ht="51.75" hidden="0" customHeight="1">
      <x:c r="A18" s="7" t="s">
        <x:v>187</x:v>
      </x:c>
      <x:c r="B18" s="7" t="s">
        <x:v>181</x:v>
      </x:c>
      <x:c r="C18" s="7" t="s">
        <x:v>183</x:v>
      </x:c>
      <x:c r="D18" s="7" t="s">
        <x:v>6098</x:v>
      </x:c>
      <x:c r="E18" s="7" t="s">
        <x:v>6157</x:v>
      </x:c>
      <x:c r="F18" s="7" t="s">
        <x:v>6111</x:v>
      </x:c>
      <x:c r="G18" s="8" t="n">
        <x:v>1</x:v>
      </x:c>
      <x:c r="H18" s="9" t="n">
        <x:v>31.99</x:v>
      </x:c>
      <x:c r="I18" s="9" t="s">
        <x:v>58</x:v>
      </x:c>
      <x:c r="J18" s="9" t="n">
        <x:f aca="0">IF(L18,H18/G18,"Not applicable")</x:f>
        <x:v>31.99</x:v>
      </x:c>
      <x:c r="K18" s="7" t="s">
        <x:v>6101</x:v>
      </x:c>
      <x:c r="L18" s="11" t="b">
        <x:f aca="0">TRUE()</x:f>
        <x:v>1</x:v>
      </x:c>
      <x:c r="M18" s="11" t="b">
        <x:f aca="0">TRUE()</x:f>
        <x:v>1</x:v>
      </x:c>
      <x:c r="N18" s="9" t="n">
        <x:v>31.99</x:v>
      </x:c>
      <x:c r="O18" s="7" t="s">
        <x:v>6102</x:v>
      </x:c>
      <x:c r="P18" s="7" t="s">
        <x:v>6103</x:v>
      </x:c>
      <x:c r="Q18" s="7" t="s">
        <x:v>6104</x:v>
      </x:c>
      <x:c r="R18" s="7" t="s">
        <x:v>6128</x:v>
      </x:c>
      <x:c r="S18" s="7" t="s">
        <x:v>6158</x:v>
      </x:c>
      <x:c r="T18" s="7" t="s">
        <x:v>6159</x:v>
      </x:c>
      <x:c r="U18" s="13" t="n">
        <x:v>46275.5</x:v>
      </x:c>
      <x:c r="V18" s="7" t="s">
        <x:v>6108</x:v>
      </x:c>
    </x:row>
    <x:row r="19" ht="51.75" hidden="0" customHeight="1">
      <x:c r="A19" s="7" t="s">
        <x:v>197</x:v>
      </x:c>
      <x:c r="B19" s="7" t="s">
        <x:v>191</x:v>
      </x:c>
      <x:c r="C19" s="7" t="s">
        <x:v>193</x:v>
      </x:c>
      <x:c r="D19" s="7" t="s">
        <x:v>6098</x:v>
      </x:c>
      <x:c r="E19" s="7" t="s">
        <x:v>6160</x:v>
      </x:c>
      <x:c r="F19" s="7" t="s">
        <x:v>6111</x:v>
      </x:c>
      <x:c r="G19" s="8" t="n">
        <x:v>1</x:v>
      </x:c>
      <x:c r="H19" s="9" t="n">
        <x:v>31.99</x:v>
      </x:c>
      <x:c r="I19" s="9" t="s">
        <x:v>58</x:v>
      </x:c>
      <x:c r="J19" s="9" t="n">
        <x:f aca="0">IF(L19,H19/G19,"Not applicable")</x:f>
        <x:v>31.99</x:v>
      </x:c>
      <x:c r="K19" s="7" t="s">
        <x:v>6101</x:v>
      </x:c>
      <x:c r="L19" s="11" t="b">
        <x:f aca="0">TRUE()</x:f>
        <x:v>1</x:v>
      </x:c>
      <x:c r="M19" s="11" t="b">
        <x:f aca="0">TRUE()</x:f>
        <x:v>1</x:v>
      </x:c>
      <x:c r="N19" s="9" t="n">
        <x:v>31.99</x:v>
      </x:c>
      <x:c r="O19" s="7" t="s">
        <x:v>6102</x:v>
      </x:c>
      <x:c r="P19" s="7" t="s">
        <x:v>6103</x:v>
      </x:c>
      <x:c r="Q19" s="7" t="s">
        <x:v>6104</x:v>
      </x:c>
      <x:c r="R19" s="7" t="s">
        <x:v>6128</x:v>
      </x:c>
      <x:c r="S19" s="7" t="s">
        <x:v>6161</x:v>
      </x:c>
      <x:c r="T19" s="7" t="s">
        <x:v>6162</x:v>
      </x:c>
      <x:c r="U19" s="13" t="n">
        <x:v>46275.5</x:v>
      </x:c>
      <x:c r="V19" s="7" t="s">
        <x:v>6108</x:v>
      </x:c>
    </x:row>
    <x:row r="20" ht="51.75" hidden="0" customHeight="1">
      <x:c r="A20" s="7" t="s">
        <x:v>6163</x:v>
      </x:c>
      <x:c r="B20" s="7" t="s">
        <x:v>191</x:v>
      </x:c>
      <x:c r="C20" s="7" t="s">
        <x:v>193</x:v>
      </x:c>
      <x:c r="D20" s="7" t="s">
        <x:v>6098</x:v>
      </x:c>
      <x:c r="E20" s="7" t="s">
        <x:v>6164</x:v>
      </x:c>
      <x:c r="F20" s="7" t="s">
        <x:v>6111</x:v>
      </x:c>
      <x:c r="G20" s="8" t="n">
        <x:v>1</x:v>
      </x:c>
      <x:c r="H20" s="9" t="n">
        <x:v>31.99</x:v>
      </x:c>
      <x:c r="I20" s="9" t="s">
        <x:v>58</x:v>
      </x:c>
      <x:c r="J20" s="9" t="str">
        <x:f aca="0">IF(L20,H20/G20,"Not applicable")</x:f>
        <x:v>Not applicable</x:v>
      </x:c>
      <x:c r="K20" s="7" t="s">
        <x:v>6124</x:v>
      </x:c>
      <x:c r="L20" s="11" t="b">
        <x:f aca="0">FALSE()</x:f>
        <x:v>0</x:v>
      </x:c>
      <x:c r="M20" s="11" t="b">
        <x:f aca="0">FALSE()</x:f>
        <x:v>0</x:v>
      </x:c>
      <x:c r="N20" s="9" t="n">
        <x:v>31.99</x:v>
      </x:c>
      <x:c r="O20" s="7" t="s">
        <x:v>6102</x:v>
      </x:c>
      <x:c r="P20" s="7" t="s">
        <x:v>6103</x:v>
      </x:c>
      <x:c r="Q20" s="7" t="s">
        <x:v>6104</x:v>
      </x:c>
      <x:c r="R20" s="7" t="s">
        <x:v>6128</x:v>
      </x:c>
      <x:c r="S20" s="7" t="s">
        <x:v>6165</x:v>
      </x:c>
      <x:c r="T20" s="7" t="s">
        <x:v>6162</x:v>
      </x:c>
      <x:c r="U20" s="13" t="n">
        <x:v>46275.5</x:v>
      </x:c>
      <x:c r="V20" s="7" t="s">
        <x:v>6114</x:v>
      </x:c>
    </x:row>
    <x:row r="21" ht="51.75" hidden="0" customHeight="1">
      <x:c r="A21" s="7" t="s">
        <x:v>206</x:v>
      </x:c>
      <x:c r="B21" s="7" t="s">
        <x:v>199</x:v>
      </x:c>
      <x:c r="C21" s="7" t="s">
        <x:v>201</x:v>
      </x:c>
      <x:c r="D21" s="7" t="s">
        <x:v>6098</x:v>
      </x:c>
      <x:c r="E21" s="7" t="s">
        <x:v>6166</x:v>
      </x:c>
      <x:c r="F21" s="7" t="s">
        <x:v>6111</x:v>
      </x:c>
      <x:c r="G21" s="8" t="n">
        <x:v>1</x:v>
      </x:c>
      <x:c r="H21" s="9" t="n">
        <x:v>31.99</x:v>
      </x:c>
      <x:c r="I21" s="9" t="s">
        <x:v>58</x:v>
      </x:c>
      <x:c r="J21" s="9" t="n">
        <x:f aca="0">IF(L21,H21/G21,"Not applicable")</x:f>
        <x:v>31.99</x:v>
      </x:c>
      <x:c r="K21" s="7" t="s">
        <x:v>6101</x:v>
      </x:c>
      <x:c r="L21" s="11" t="b">
        <x:f aca="0">TRUE()</x:f>
        <x:v>1</x:v>
      </x:c>
      <x:c r="M21" s="11" t="b">
        <x:f aca="0">TRUE()</x:f>
        <x:v>1</x:v>
      </x:c>
      <x:c r="N21" s="9" t="n">
        <x:v>31.99</x:v>
      </x:c>
      <x:c r="O21" s="7" t="s">
        <x:v>6102</x:v>
      </x:c>
      <x:c r="P21" s="7" t="s">
        <x:v>6103</x:v>
      </x:c>
      <x:c r="Q21" s="7" t="s">
        <x:v>6104</x:v>
      </x:c>
      <x:c r="R21" s="7" t="s">
        <x:v>6128</x:v>
      </x:c>
      <x:c r="S21" s="7" t="s">
        <x:v>6167</x:v>
      </x:c>
      <x:c r="T21" s="7" t="s">
        <x:v>6168</x:v>
      </x:c>
      <x:c r="U21" s="13" t="n">
        <x:v>46275.5</x:v>
      </x:c>
      <x:c r="V21" s="7" t="s">
        <x:v>6108</x:v>
      </x:c>
    </x:row>
    <x:row r="22" ht="51.75" hidden="0" customHeight="1">
      <x:c r="A22" s="7" t="s">
        <x:v>6169</x:v>
      </x:c>
      <x:c r="B22" s="7" t="s">
        <x:v>210</x:v>
      </x:c>
      <x:c r="C22" s="7" t="s">
        <x:v>212</x:v>
      </x:c>
      <x:c r="D22" s="7" t="s">
        <x:v>6098</x:v>
      </x:c>
      <x:c r="E22" s="7" t="s">
        <x:v>6170</x:v>
      </x:c>
      <x:c r="F22" s="7" t="s">
        <x:v>6111</x:v>
      </x:c>
      <x:c r="G22" s="8" t="n">
        <x:v>1</x:v>
      </x:c>
      <x:c r="H22" s="9" t="n">
        <x:v>31.99</x:v>
      </x:c>
      <x:c r="I22" s="9" t="s">
        <x:v>58</x:v>
      </x:c>
      <x:c r="J22" s="9" t="n">
        <x:f aca="0">IF(L22,H22/G22,"Not applicable")</x:f>
        <x:v>31.99</x:v>
      </x:c>
      <x:c r="K22" s="7" t="s">
        <x:v>6101</x:v>
      </x:c>
      <x:c r="L22" s="11" t="b">
        <x:f aca="0">TRUE()</x:f>
        <x:v>1</x:v>
      </x:c>
      <x:c r="M22" s="11" t="b">
        <x:f aca="0">TRUE()</x:f>
        <x:v>1</x:v>
      </x:c>
      <x:c r="N22" s="9" t="n">
        <x:v>31.99</x:v>
      </x:c>
      <x:c r="O22" s="7" t="s">
        <x:v>6102</x:v>
      </x:c>
      <x:c r="P22" s="7" t="s">
        <x:v>6103</x:v>
      </x:c>
      <x:c r="Q22" s="7" t="s">
        <x:v>6104</x:v>
      </x:c>
      <x:c r="R22" s="7" t="s">
        <x:v>6128</x:v>
      </x:c>
      <x:c r="S22" s="7" t="s">
        <x:v>6171</x:v>
      </x:c>
      <x:c r="T22" s="7" t="s">
        <x:v>6172</x:v>
      </x:c>
      <x:c r="U22" s="13" t="n">
        <x:v>46275.5</x:v>
      </x:c>
      <x:c r="V22" s="7" t="s">
        <x:v>6108</x:v>
      </x:c>
    </x:row>
    <x:row r="23" ht="51.75" hidden="0" customHeight="1">
      <x:c r="A23" s="7" t="s">
        <x:v>225</x:v>
      </x:c>
      <x:c r="B23" s="7" t="s">
        <x:v>219</x:v>
      </x:c>
      <x:c r="C23" s="7" t="s">
        <x:v>221</x:v>
      </x:c>
      <x:c r="D23" s="7" t="s">
        <x:v>6098</x:v>
      </x:c>
      <x:c r="E23" s="7" t="s">
        <x:v>6173</x:v>
      </x:c>
      <x:c r="F23" s="7" t="s">
        <x:v>6111</x:v>
      </x:c>
      <x:c r="G23" s="8" t="n">
        <x:v>1</x:v>
      </x:c>
      <x:c r="H23" s="9" t="n">
        <x:v>31.99</x:v>
      </x:c>
      <x:c r="I23" s="9" t="s">
        <x:v>58</x:v>
      </x:c>
      <x:c r="J23" s="9" t="n">
        <x:f aca="0">IF(L23,H23/G23,"Not applicable")</x:f>
        <x:v>31.99</x:v>
      </x:c>
      <x:c r="K23" s="7" t="s">
        <x:v>6101</x:v>
      </x:c>
      <x:c r="L23" s="11" t="b">
        <x:f aca="0">TRUE()</x:f>
        <x:v>1</x:v>
      </x:c>
      <x:c r="M23" s="11" t="b">
        <x:f aca="0">TRUE()</x:f>
        <x:v>1</x:v>
      </x:c>
      <x:c r="N23" s="9" t="n">
        <x:v>31.99</x:v>
      </x:c>
      <x:c r="O23" s="7" t="s">
        <x:v>6102</x:v>
      </x:c>
      <x:c r="P23" s="7" t="s">
        <x:v>6103</x:v>
      </x:c>
      <x:c r="Q23" s="7" t="s">
        <x:v>6104</x:v>
      </x:c>
      <x:c r="R23" s="7" t="s">
        <x:v>6128</x:v>
      </x:c>
      <x:c r="S23" s="7" t="s">
        <x:v>6174</x:v>
      </x:c>
      <x:c r="T23" s="7" t="s">
        <x:v>6175</x:v>
      </x:c>
      <x:c r="U23" s="13" t="n">
        <x:v>46275.5</x:v>
      </x:c>
      <x:c r="V23" s="7" t="s">
        <x:v>6108</x:v>
      </x:c>
    </x:row>
    <x:row r="24" ht="51.75" hidden="0" customHeight="1">
      <x:c r="A24" s="7" t="s">
        <x:v>237</x:v>
      </x:c>
      <x:c r="B24" s="7" t="s">
        <x:v>229</x:v>
      </x:c>
      <x:c r="C24" s="7" t="s">
        <x:v>231</x:v>
      </x:c>
      <x:c r="D24" s="7" t="s">
        <x:v>6098</x:v>
      </x:c>
      <x:c r="E24" s="7" t="s">
        <x:v>6176</x:v>
      </x:c>
      <x:c r="F24" s="7" t="s">
        <x:v>6111</x:v>
      </x:c>
      <x:c r="G24" s="8" t="n">
        <x:v>1</x:v>
      </x:c>
      <x:c r="H24" s="9" t="n">
        <x:v>57.99</x:v>
      </x:c>
      <x:c r="I24" s="9" t="s">
        <x:v>58</x:v>
      </x:c>
      <x:c r="J24" s="9" t="n">
        <x:f aca="0">IF(L24,H24/G24,"Not applicable")</x:f>
        <x:v>57.99</x:v>
      </x:c>
      <x:c r="K24" s="7" t="s">
        <x:v>6101</x:v>
      </x:c>
      <x:c r="L24" s="11" t="b">
        <x:f aca="0">TRUE()</x:f>
        <x:v>1</x:v>
      </x:c>
      <x:c r="M24" s="11" t="b">
        <x:f aca="0">TRUE()</x:f>
        <x:v>1</x:v>
      </x:c>
      <x:c r="N24" s="9" t="n">
        <x:v>57.99</x:v>
      </x:c>
      <x:c r="O24" s="7" t="s">
        <x:v>6102</x:v>
      </x:c>
      <x:c r="P24" s="7" t="s">
        <x:v>6103</x:v>
      </x:c>
      <x:c r="Q24" s="7" t="s">
        <x:v>6104</x:v>
      </x:c>
      <x:c r="R24" s="7" t="s">
        <x:v>6128</x:v>
      </x:c>
      <x:c r="S24" s="7" t="s">
        <x:v>6177</x:v>
      </x:c>
      <x:c r="T24" s="7" t="s">
        <x:v>6178</x:v>
      </x:c>
      <x:c r="U24" s="13" t="n">
        <x:v>46275.5</x:v>
      </x:c>
      <x:c r="V24" s="7" t="s">
        <x:v>6108</x:v>
      </x:c>
    </x:row>
    <x:row r="25" ht="51.75" hidden="0" customHeight="1">
      <x:c r="A25" s="7" t="s">
        <x:v>6179</x:v>
      </x:c>
      <x:c r="B25" s="7" t="s">
        <x:v>229</x:v>
      </x:c>
      <x:c r="C25" s="7" t="s">
        <x:v>231</x:v>
      </x:c>
      <x:c r="D25" s="7" t="s">
        <x:v>6098</x:v>
      </x:c>
      <x:c r="E25" s="7" t="s">
        <x:v>6180</x:v>
      </x:c>
      <x:c r="F25" s="7" t="s">
        <x:v>6111</x:v>
      </x:c>
      <x:c r="G25" s="8" t="n">
        <x:v>1</x:v>
      </x:c>
      <x:c r="H25" s="9" t="n">
        <x:v>57.99</x:v>
      </x:c>
      <x:c r="I25" s="9" t="s">
        <x:v>58</x:v>
      </x:c>
      <x:c r="J25" s="9" t="str">
        <x:f aca="0">IF(L25,H25/G25,"Not applicable")</x:f>
        <x:v>Not applicable</x:v>
      </x:c>
      <x:c r="K25" s="7" t="s">
        <x:v>6124</x:v>
      </x:c>
      <x:c r="L25" s="11" t="b">
        <x:f aca="0">FALSE()</x:f>
        <x:v>0</x:v>
      </x:c>
      <x:c r="M25" s="11" t="b">
        <x:f aca="0">FALSE()</x:f>
        <x:v>0</x:v>
      </x:c>
      <x:c r="N25" s="9" t="n">
        <x:v>57.99</x:v>
      </x:c>
      <x:c r="O25" s="7" t="s">
        <x:v>6102</x:v>
      </x:c>
      <x:c r="P25" s="7" t="s">
        <x:v>6103</x:v>
      </x:c>
      <x:c r="Q25" s="7" t="s">
        <x:v>6104</x:v>
      </x:c>
      <x:c r="R25" s="7" t="s">
        <x:v>6128</x:v>
      </x:c>
      <x:c r="S25" s="7" t="s">
        <x:v>6181</x:v>
      </x:c>
      <x:c r="T25" s="7" t="s">
        <x:v>6178</x:v>
      </x:c>
      <x:c r="U25" s="13" t="n">
        <x:v>46275.5</x:v>
      </x:c>
      <x:c r="V25" s="7" t="s">
        <x:v>6114</x:v>
      </x:c>
    </x:row>
    <x:row r="26" ht="51.75" hidden="0" customHeight="1">
      <x:c r="A26" s="7" t="s">
        <x:v>6182</x:v>
      </x:c>
      <x:c r="B26" s="7" t="s">
        <x:v>241</x:v>
      </x:c>
      <x:c r="C26" s="7" t="s">
        <x:v>243</x:v>
      </x:c>
      <x:c r="D26" s="7" t="s">
        <x:v>6098</x:v>
      </x:c>
      <x:c r="E26" s="7" t="s">
        <x:v>6183</x:v>
      </x:c>
      <x:c r="F26" s="7" t="s">
        <x:v>6111</x:v>
      </x:c>
      <x:c r="G26" s="8" t="n">
        <x:v>1</x:v>
      </x:c>
      <x:c r="H26" s="9" t="s">
        <x:v>53</x:v>
      </x:c>
      <x:c r="I26" s="9" t="s">
        <x:v>58</x:v>
      </x:c>
      <x:c r="J26" s="9" t="str">
        <x:f aca="0">IF(L26,H26/G26,"Not applicable")</x:f>
        <x:v>Not applicable</x:v>
      </x:c>
      <x:c r="K26" s="7" t="s">
        <x:v>6124</x:v>
      </x:c>
      <x:c r="L26" s="11" t="b">
        <x:f aca="0">FALSE()</x:f>
        <x:v>0</x:v>
      </x:c>
      <x:c r="M26" s="11" t="b">
        <x:f aca="0">FALSE()</x:f>
        <x:v>0</x:v>
      </x:c>
      <x:c r="N26" s="9" t="n">
        <x:v>44.99</x:v>
      </x:c>
      <x:c r="O26" s="7" t="s">
        <x:v>6102</x:v>
      </x:c>
      <x:c r="P26" s="7" t="s">
        <x:v>6103</x:v>
      </x:c>
      <x:c r="Q26" s="7" t="s">
        <x:v>6104</x:v>
      </x:c>
      <x:c r="R26" s="7" t="s">
        <x:v>6112</x:v>
      </x:c>
      <x:c r="S26" s="7" t="s">
        <x:v>6184</x:v>
      </x:c>
      <x:c r="T26" s="7" t="s">
        <x:v>6185</x:v>
      </x:c>
      <x:c r="U26" s="13" t="n">
        <x:v>46275.5</x:v>
      </x:c>
      <x:c r="V26" s="7" t="s">
        <x:v>6114</x:v>
      </x:c>
    </x:row>
    <x:row r="27" ht="51.75" hidden="0" customHeight="1">
      <x:c r="A27" s="7" t="s">
        <x:v>6186</x:v>
      </x:c>
      <x:c r="B27" s="7" t="s">
        <x:v>241</x:v>
      </x:c>
      <x:c r="C27" s="7" t="s">
        <x:v>243</x:v>
      </x:c>
      <x:c r="D27" s="7" t="s">
        <x:v>6098</x:v>
      </x:c>
      <x:c r="E27" s="7" t="s">
        <x:v>6187</x:v>
      </x:c>
      <x:c r="F27" s="7" t="s">
        <x:v>6111</x:v>
      </x:c>
      <x:c r="G27" s="8" t="n">
        <x:v>1</x:v>
      </x:c>
      <x:c r="H27" s="9" t="s">
        <x:v>53</x:v>
      </x:c>
      <x:c r="I27" s="9" t="s">
        <x:v>58</x:v>
      </x:c>
      <x:c r="J27" s="9" t="str">
        <x:f aca="0">IF(L27,H27/G27,"Not applicable")</x:f>
        <x:v>Not applicable</x:v>
      </x:c>
      <x:c r="K27" s="7" t="s">
        <x:v>6101</x:v>
      </x:c>
      <x:c r="L27" s="11" t="b">
        <x:f aca="0">FALSE()</x:f>
        <x:v>0</x:v>
      </x:c>
      <x:c r="M27" s="11" t="b">
        <x:f aca="0">FALSE()</x:f>
        <x:v>0</x:v>
      </x:c>
      <x:c r="N27" s="9" t="n">
        <x:v>44.99</x:v>
      </x:c>
      <x:c r="O27" s="7" t="s">
        <x:v>6102</x:v>
      </x:c>
      <x:c r="P27" s="7" t="s">
        <x:v>6103</x:v>
      </x:c>
      <x:c r="Q27" s="7" t="s">
        <x:v>6104</x:v>
      </x:c>
      <x:c r="R27" s="7" t="s">
        <x:v>6112</x:v>
      </x:c>
      <x:c r="S27" s="7" t="s">
        <x:v>6188</x:v>
      </x:c>
      <x:c r="T27" s="7" t="s">
        <x:v>6185</x:v>
      </x:c>
      <x:c r="U27" s="13" t="n">
        <x:v>46275.5</x:v>
      </x:c>
      <x:c r="V27" s="7" t="s">
        <x:v>6114</x:v>
      </x:c>
    </x:row>
    <x:row r="28" ht="37.5" hidden="0" customHeight="1">
      <x:c r="A28" s="7" t="s">
        <x:v>247</x:v>
      </x:c>
      <x:c r="B28" s="7" t="s">
        <x:v>241</x:v>
      </x:c>
      <x:c r="C28" s="7" t="s">
        <x:v>243</x:v>
      </x:c>
      <x:c r="D28" s="7" t="s">
        <x:v>6098</x:v>
      </x:c>
      <x:c r="E28" s="7" t="s">
        <x:v>6189</x:v>
      </x:c>
      <x:c r="F28" s="7" t="s">
        <x:v>6100</x:v>
      </x:c>
      <x:c r="G28" s="8" t="n">
        <x:v>1</x:v>
      </x:c>
      <x:c r="H28" s="9" t="n">
        <x:v>40.99</x:v>
      </x:c>
      <x:c r="I28" s="9" t="s">
        <x:v>58</x:v>
      </x:c>
      <x:c r="J28" s="9" t="n">
        <x:f aca="0">IF(L28,H28/G28,"Not applicable")</x:f>
        <x:v>40.99</x:v>
      </x:c>
      <x:c r="K28" s="7" t="s">
        <x:v>6101</x:v>
      </x:c>
      <x:c r="L28" s="11" t="b">
        <x:f aca="0">TRUE()</x:f>
        <x:v>1</x:v>
      </x:c>
      <x:c r="M28" s="11" t="b">
        <x:f aca="0">TRUE()</x:f>
        <x:v>1</x:v>
      </x:c>
      <x:c r="N28" s="9" t="n">
        <x:v>40.99</x:v>
      </x:c>
      <x:c r="O28" s="7" t="s">
        <x:v>6102</x:v>
      </x:c>
      <x:c r="P28" s="7" t="s">
        <x:v>6103</x:v>
      </x:c>
      <x:c r="Q28" s="7" t="s">
        <x:v>6104</x:v>
      </x:c>
      <x:c r="R28" s="7" t="s">
        <x:v>6128</x:v>
      </x:c>
      <x:c r="S28" s="7" t="s">
        <x:v>6190</x:v>
      </x:c>
      <x:c r="T28" s="7" t="s">
        <x:v>6185</x:v>
      </x:c>
      <x:c r="U28" s="13" t="n">
        <x:v>46275.5</x:v>
      </x:c>
      <x:c r="V28" s="7" t="s">
        <x:v>6108</x:v>
      </x:c>
    </x:row>
    <x:row r="29" ht="37.5" hidden="0" customHeight="1">
      <x:c r="A29" s="7" t="s">
        <x:v>6191</x:v>
      </x:c>
      <x:c r="B29" s="7" t="s">
        <x:v>241</x:v>
      </x:c>
      <x:c r="C29" s="7" t="s">
        <x:v>243</x:v>
      </x:c>
      <x:c r="D29" s="7" t="s">
        <x:v>6098</x:v>
      </x:c>
      <x:c r="E29" s="7" t="s">
        <x:v>6192</x:v>
      </x:c>
      <x:c r="F29" s="7" t="s">
        <x:v>6100</x:v>
      </x:c>
      <x:c r="G29" s="8" t="n">
        <x:v>1</x:v>
      </x:c>
      <x:c r="H29" s="9" t="n">
        <x:v>40.99</x:v>
      </x:c>
      <x:c r="I29" s="9" t="s">
        <x:v>58</x:v>
      </x:c>
      <x:c r="J29" s="9" t="str">
        <x:f aca="0">IF(L29,H29/G29,"Not applicable")</x:f>
        <x:v>Not applicable</x:v>
      </x:c>
      <x:c r="K29" s="7" t="s">
        <x:v>6124</x:v>
      </x:c>
      <x:c r="L29" s="11" t="b">
        <x:f aca="0">FALSE()</x:f>
        <x:v>0</x:v>
      </x:c>
      <x:c r="M29" s="11" t="b">
        <x:f aca="0">FALSE()</x:f>
        <x:v>0</x:v>
      </x:c>
      <x:c r="N29" s="9" t="n">
        <x:v>40.99</x:v>
      </x:c>
      <x:c r="O29" s="7" t="s">
        <x:v>6102</x:v>
      </x:c>
      <x:c r="P29" s="7" t="s">
        <x:v>6103</x:v>
      </x:c>
      <x:c r="Q29" s="7" t="s">
        <x:v>6104</x:v>
      </x:c>
      <x:c r="R29" s="7" t="s">
        <x:v>6128</x:v>
      </x:c>
      <x:c r="S29" s="7" t="s">
        <x:v>6193</x:v>
      </x:c>
      <x:c r="T29" s="7" t="s">
        <x:v>6185</x:v>
      </x:c>
      <x:c r="U29" s="13" t="n">
        <x:v>46275.5</x:v>
      </x:c>
      <x:c r="V29" s="7" t="s">
        <x:v>6114</x:v>
      </x:c>
    </x:row>
    <x:row r="30" ht="37.5" hidden="0" customHeight="1">
      <x:c r="A30" s="7" t="s">
        <x:v>285</x:v>
      </x:c>
      <x:c r="B30" s="7" t="s">
        <x:v>277</x:v>
      </x:c>
      <x:c r="C30" s="7" t="s">
        <x:v>279</x:v>
      </x:c>
      <x:c r="D30" s="7" t="s">
        <x:v>6098</x:v>
      </x:c>
      <x:c r="E30" s="7" t="s">
        <x:v>6194</x:v>
      </x:c>
      <x:c r="F30" s="7" t="s">
        <x:v>6100</x:v>
      </x:c>
      <x:c r="G30" s="8" t="n">
        <x:v>1</x:v>
      </x:c>
      <x:c r="H30" s="9" t="n">
        <x:v>24.99</x:v>
      </x:c>
      <x:c r="I30" s="9" t="s">
        <x:v>58</x:v>
      </x:c>
      <x:c r="J30" s="9" t="n">
        <x:f aca="0">IF(L30,H30/G30,"Not applicable")</x:f>
        <x:v>24.99</x:v>
      </x:c>
      <x:c r="K30" s="7" t="s">
        <x:v>6101</x:v>
      </x:c>
      <x:c r="L30" s="11" t="b">
        <x:f aca="0">TRUE()</x:f>
        <x:v>1</x:v>
      </x:c>
      <x:c r="M30" s="11" t="b">
        <x:f aca="0">TRUE()</x:f>
        <x:v>1</x:v>
      </x:c>
      <x:c r="N30" s="9" t="n">
        <x:v>24.99</x:v>
      </x:c>
      <x:c r="O30" s="7" t="s">
        <x:v>6102</x:v>
      </x:c>
      <x:c r="P30" s="7" t="s">
        <x:v>6103</x:v>
      </x:c>
      <x:c r="Q30" s="7" t="s">
        <x:v>6104</x:v>
      </x:c>
      <x:c r="R30" s="7" t="s">
        <x:v>6105</x:v>
      </x:c>
      <x:c r="S30" s="7" t="s">
        <x:v>6195</x:v>
      </x:c>
      <x:c r="T30" s="7" t="s">
        <x:v>6196</x:v>
      </x:c>
      <x:c r="U30" s="13" t="n">
        <x:v>46275.5</x:v>
      </x:c>
      <x:c r="V30" s="7" t="s">
        <x:v>6108</x:v>
      </x:c>
    </x:row>
    <x:row r="31" ht="51.75" hidden="0" customHeight="1">
      <x:c r="A31" s="7" t="s">
        <x:v>6197</x:v>
      </x:c>
      <x:c r="B31" s="7" t="s">
        <x:v>277</x:v>
      </x:c>
      <x:c r="C31" s="7" t="s">
        <x:v>279</x:v>
      </x:c>
      <x:c r="D31" s="7" t="s">
        <x:v>6098</x:v>
      </x:c>
      <x:c r="E31" s="7" t="s">
        <x:v>6198</x:v>
      </x:c>
      <x:c r="F31" s="7" t="s">
        <x:v>6111</x:v>
      </x:c>
      <x:c r="G31" s="8" t="n">
        <x:v>1</x:v>
      </x:c>
      <x:c r="H31" s="9" t="s">
        <x:v>53</x:v>
      </x:c>
      <x:c r="I31" s="9" t="s">
        <x:v>58</x:v>
      </x:c>
      <x:c r="J31" s="9" t="str">
        <x:f aca="0">IF(L31,H31/G31,"Not applicable")</x:f>
        <x:v>Not applicable</x:v>
      </x:c>
      <x:c r="K31" s="7" t="s">
        <x:v>6101</x:v>
      </x:c>
      <x:c r="L31" s="11" t="b">
        <x:f aca="0">FALSE()</x:f>
        <x:v>0</x:v>
      </x:c>
      <x:c r="M31" s="11" t="b">
        <x:f aca="0">FALSE()</x:f>
        <x:v>0</x:v>
      </x:c>
      <x:c r="N31" s="9" t="n">
        <x:v>28.99</x:v>
      </x:c>
      <x:c r="O31" s="7" t="s">
        <x:v>6102</x:v>
      </x:c>
      <x:c r="P31" s="7" t="s">
        <x:v>6103</x:v>
      </x:c>
      <x:c r="Q31" s="7" t="s">
        <x:v>6104</x:v>
      </x:c>
      <x:c r="R31" s="7" t="s">
        <x:v>6112</x:v>
      </x:c>
      <x:c r="S31" s="7" t="s">
        <x:v>6199</x:v>
      </x:c>
      <x:c r="T31" s="7" t="s">
        <x:v>6196</x:v>
      </x:c>
      <x:c r="U31" s="13" t="n">
        <x:v>46275.5</x:v>
      </x:c>
      <x:c r="V31" s="7" t="s">
        <x:v>6114</x:v>
      </x:c>
    </x:row>
    <x:row r="32" ht="37.5" hidden="0" customHeight="1">
      <x:c r="A32" s="7" t="s">
        <x:v>6200</x:v>
      </x:c>
      <x:c r="B32" s="7" t="s">
        <x:v>291</x:v>
      </x:c>
      <x:c r="C32" s="7" t="s">
        <x:v>293</x:v>
      </x:c>
      <x:c r="D32" s="7" t="s">
        <x:v>6098</x:v>
      </x:c>
      <x:c r="E32" s="7" t="s">
        <x:v>6201</x:v>
      </x:c>
      <x:c r="F32" s="7" t="s">
        <x:v>6111</x:v>
      </x:c>
      <x:c r="G32" s="8" t="n">
        <x:v>1</x:v>
      </x:c>
      <x:c r="H32" s="9" t="s">
        <x:v>53</x:v>
      </x:c>
      <x:c r="I32" s="9" t="s">
        <x:v>58</x:v>
      </x:c>
      <x:c r="J32" s="9" t="str">
        <x:f aca="0">IF(L32,H32/G32,"Not applicable")</x:f>
        <x:v>Not applicable</x:v>
      </x:c>
      <x:c r="K32" s="7" t="s">
        <x:v>6124</x:v>
      </x:c>
      <x:c r="L32" s="11" t="b">
        <x:f aca="0">FALSE()</x:f>
        <x:v>0</x:v>
      </x:c>
      <x:c r="M32" s="11" t="b">
        <x:f aca="0">FALSE()</x:f>
        <x:v>0</x:v>
      </x:c>
      <x:c r="N32" s="9" t="n">
        <x:v>29.99</x:v>
      </x:c>
      <x:c r="O32" s="7" t="s">
        <x:v>6102</x:v>
      </x:c>
      <x:c r="P32" s="7" t="s">
        <x:v>6103</x:v>
      </x:c>
      <x:c r="Q32" s="7" t="s">
        <x:v>6104</x:v>
      </x:c>
      <x:c r="R32" s="7" t="s">
        <x:v>6112</x:v>
      </x:c>
      <x:c r="S32" s="7" t="s">
        <x:v>6202</x:v>
      </x:c>
      <x:c r="T32" s="7" t="s">
        <x:v>6203</x:v>
      </x:c>
      <x:c r="U32" s="13" t="n">
        <x:v>46275.5</x:v>
      </x:c>
      <x:c r="V32" s="7" t="s">
        <x:v>6114</x:v>
      </x:c>
    </x:row>
    <x:row r="33" ht="37.5" hidden="0" customHeight="1">
      <x:c r="A33" s="7" t="s">
        <x:v>6204</x:v>
      </x:c>
      <x:c r="B33" s="7" t="s">
        <x:v>291</x:v>
      </x:c>
      <x:c r="C33" s="7" t="s">
        <x:v>293</x:v>
      </x:c>
      <x:c r="D33" s="7" t="s">
        <x:v>6098</x:v>
      </x:c>
      <x:c r="E33" s="7" t="s">
        <x:v>6205</x:v>
      </x:c>
      <x:c r="F33" s="7" t="s">
        <x:v>6100</x:v>
      </x:c>
      <x:c r="G33" s="8" t="n">
        <x:v>1</x:v>
      </x:c>
      <x:c r="H33" s="9" t="n">
        <x:v>25.99</x:v>
      </x:c>
      <x:c r="I33" s="9" t="s">
        <x:v>58</x:v>
      </x:c>
      <x:c r="J33" s="9" t="str">
        <x:f aca="0">IF(L33,H33/G33,"Not applicable")</x:f>
        <x:v>Not applicable</x:v>
      </x:c>
      <x:c r="K33" s="7" t="s">
        <x:v>6124</x:v>
      </x:c>
      <x:c r="L33" s="11" t="b">
        <x:f aca="0">FALSE()</x:f>
        <x:v>0</x:v>
      </x:c>
      <x:c r="M33" s="11" t="b">
        <x:f aca="0">FALSE()</x:f>
        <x:v>0</x:v>
      </x:c>
      <x:c r="N33" s="9" t="n">
        <x:v>25.99</x:v>
      </x:c>
      <x:c r="O33" s="7" t="s">
        <x:v>6102</x:v>
      </x:c>
      <x:c r="P33" s="7" t="s">
        <x:v>6103</x:v>
      </x:c>
      <x:c r="Q33" s="7" t="s">
        <x:v>6104</x:v>
      </x:c>
      <x:c r="R33" s="7" t="s">
        <x:v>6105</x:v>
      </x:c>
      <x:c r="S33" s="7" t="s">
        <x:v>6206</x:v>
      </x:c>
      <x:c r="T33" s="7" t="s">
        <x:v>6203</x:v>
      </x:c>
      <x:c r="U33" s="13" t="n">
        <x:v>46275.5</x:v>
      </x:c>
      <x:c r="V33" s="7" t="s">
        <x:v>6114</x:v>
      </x:c>
    </x:row>
    <x:row r="34" ht="51.75" hidden="0" customHeight="1">
      <x:c r="A34" s="7" t="s">
        <x:v>6207</x:v>
      </x:c>
      <x:c r="B34" s="7" t="s">
        <x:v>291</x:v>
      </x:c>
      <x:c r="C34" s="7" t="s">
        <x:v>293</x:v>
      </x:c>
      <x:c r="D34" s="7" t="s">
        <x:v>6098</x:v>
      </x:c>
      <x:c r="E34" s="7" t="s">
        <x:v>6208</x:v>
      </x:c>
      <x:c r="F34" s="7" t="s">
        <x:v>6111</x:v>
      </x:c>
      <x:c r="G34" s="8" t="n">
        <x:v>1</x:v>
      </x:c>
      <x:c r="H34" s="9" t="s">
        <x:v>53</x:v>
      </x:c>
      <x:c r="I34" s="9" t="s">
        <x:v>58</x:v>
      </x:c>
      <x:c r="J34" s="9" t="str">
        <x:f aca="0">IF(L34,H34/G34,"Not applicable")</x:f>
        <x:v>Not applicable</x:v>
      </x:c>
      <x:c r="K34" s="7" t="s">
        <x:v>6101</x:v>
      </x:c>
      <x:c r="L34" s="11" t="b">
        <x:f aca="0">FALSE()</x:f>
        <x:v>0</x:v>
      </x:c>
      <x:c r="M34" s="11" t="b">
        <x:f aca="0">FALSE()</x:f>
        <x:v>0</x:v>
      </x:c>
      <x:c r="N34" s="9" t="n">
        <x:v>29.99</x:v>
      </x:c>
      <x:c r="O34" s="7" t="s">
        <x:v>6102</x:v>
      </x:c>
      <x:c r="P34" s="7" t="s">
        <x:v>6103</x:v>
      </x:c>
      <x:c r="Q34" s="7" t="s">
        <x:v>6104</x:v>
      </x:c>
      <x:c r="R34" s="7" t="s">
        <x:v>6112</x:v>
      </x:c>
      <x:c r="S34" s="7" t="s">
        <x:v>6209</x:v>
      </x:c>
      <x:c r="T34" s="7" t="s">
        <x:v>6203</x:v>
      </x:c>
      <x:c r="U34" s="13" t="n">
        <x:v>46275.5</x:v>
      </x:c>
      <x:c r="V34" s="7" t="s">
        <x:v>6114</x:v>
      </x:c>
    </x:row>
    <x:row r="35" ht="51.75" hidden="0" customHeight="1">
      <x:c r="A35" s="7" t="s">
        <x:v>6210</x:v>
      </x:c>
      <x:c r="B35" s="7" t="s">
        <x:v>300</x:v>
      </x:c>
      <x:c r="C35" s="7" t="s">
        <x:v>302</x:v>
      </x:c>
      <x:c r="D35" s="7" t="s">
        <x:v>6098</x:v>
      </x:c>
      <x:c r="E35" s="7" t="s">
        <x:v>6211</x:v>
      </x:c>
      <x:c r="F35" s="7" t="s">
        <x:v>6111</x:v>
      </x:c>
      <x:c r="G35" s="8" t="n">
        <x:v>1</x:v>
      </x:c>
      <x:c r="H35" s="9" t="s">
        <x:v>53</x:v>
      </x:c>
      <x:c r="I35" s="9" t="s">
        <x:v>58</x:v>
      </x:c>
      <x:c r="J35" s="9" t="str">
        <x:f aca="0">IF(L35,H35/G35,"Not applicable")</x:f>
        <x:v>Not applicable</x:v>
      </x:c>
      <x:c r="K35" s="7" t="s">
        <x:v>6101</x:v>
      </x:c>
      <x:c r="L35" s="11" t="b">
        <x:f aca="0">FALSE()</x:f>
        <x:v>0</x:v>
      </x:c>
      <x:c r="M35" s="11" t="b">
        <x:f aca="0">FALSE()</x:f>
        <x:v>0</x:v>
      </x:c>
      <x:c r="N35" s="9" t="n">
        <x:v>29.99</x:v>
      </x:c>
      <x:c r="O35" s="7" t="s">
        <x:v>6102</x:v>
      </x:c>
      <x:c r="P35" s="7" t="s">
        <x:v>6103</x:v>
      </x:c>
      <x:c r="Q35" s="7" t="s">
        <x:v>6104</x:v>
      </x:c>
      <x:c r="R35" s="7" t="s">
        <x:v>6112</x:v>
      </x:c>
      <x:c r="S35" s="7" t="s">
        <x:v>6212</x:v>
      </x:c>
      <x:c r="T35" s="7" t="s">
        <x:v>6213</x:v>
      </x:c>
      <x:c r="U35" s="13" t="n">
        <x:v>46275.5</x:v>
      </x:c>
      <x:c r="V35" s="7" t="s">
        <x:v>6114</x:v>
      </x:c>
    </x:row>
    <x:row r="36" ht="37.5" hidden="0" customHeight="1">
      <x:c r="A36" s="7" t="s">
        <x:v>309</x:v>
      </x:c>
      <x:c r="B36" s="7" t="s">
        <x:v>300</x:v>
      </x:c>
      <x:c r="C36" s="7" t="s">
        <x:v>302</x:v>
      </x:c>
      <x:c r="D36" s="7" t="s">
        <x:v>6098</x:v>
      </x:c>
      <x:c r="E36" s="7" t="s">
        <x:v>6214</x:v>
      </x:c>
      <x:c r="F36" s="7" t="s">
        <x:v>6100</x:v>
      </x:c>
      <x:c r="G36" s="8" t="n">
        <x:v>1</x:v>
      </x:c>
      <x:c r="H36" s="9" t="n">
        <x:v>25.99</x:v>
      </x:c>
      <x:c r="I36" s="9" t="s">
        <x:v>58</x:v>
      </x:c>
      <x:c r="J36" s="9" t="n">
        <x:f aca="0">IF(L36,H36/G36,"Not applicable")</x:f>
        <x:v>25.99</x:v>
      </x:c>
      <x:c r="K36" s="7" t="s">
        <x:v>6101</x:v>
      </x:c>
      <x:c r="L36" s="11" t="b">
        <x:f aca="0">TRUE()</x:f>
        <x:v>1</x:v>
      </x:c>
      <x:c r="M36" s="11" t="b">
        <x:f aca="0">TRUE()</x:f>
        <x:v>1</x:v>
      </x:c>
      <x:c r="N36" s="9" t="n">
        <x:v>25.99</x:v>
      </x:c>
      <x:c r="O36" s="7" t="s">
        <x:v>6102</x:v>
      </x:c>
      <x:c r="P36" s="7" t="s">
        <x:v>6103</x:v>
      </x:c>
      <x:c r="Q36" s="7" t="s">
        <x:v>6104</x:v>
      </x:c>
      <x:c r="R36" s="7" t="s">
        <x:v>6105</x:v>
      </x:c>
      <x:c r="S36" s="7" t="s">
        <x:v>6215</x:v>
      </x:c>
      <x:c r="T36" s="7" t="s">
        <x:v>6213</x:v>
      </x:c>
      <x:c r="U36" s="13" t="n">
        <x:v>46275.5</x:v>
      </x:c>
      <x:c r="V36" s="7" t="s">
        <x:v>6108</x:v>
      </x:c>
    </x:row>
    <x:row r="37" ht="51.75" hidden="0" customHeight="1">
      <x:c r="A37" s="7" t="s">
        <x:v>6216</x:v>
      </x:c>
      <x:c r="B37" s="7" t="s">
        <x:v>313</x:v>
      </x:c>
      <x:c r="C37" s="7" t="s">
        <x:v>315</x:v>
      </x:c>
      <x:c r="D37" s="7" t="s">
        <x:v>6098</x:v>
      </x:c>
      <x:c r="E37" s="7" t="s">
        <x:v>6217</x:v>
      </x:c>
      <x:c r="F37" s="7" t="s">
        <x:v>6111</x:v>
      </x:c>
      <x:c r="G37" s="8" t="n">
        <x:v>1</x:v>
      </x:c>
      <x:c r="H37" s="9" t="s">
        <x:v>53</x:v>
      </x:c>
      <x:c r="I37" s="9" t="s">
        <x:v>58</x:v>
      </x:c>
      <x:c r="J37" s="9" t="str">
        <x:f aca="0">IF(L37,H37/G37,"Not applicable")</x:f>
        <x:v>Not applicable</x:v>
      </x:c>
      <x:c r="K37" s="7" t="s">
        <x:v>6101</x:v>
      </x:c>
      <x:c r="L37" s="11" t="b">
        <x:f aca="0">FALSE()</x:f>
        <x:v>0</x:v>
      </x:c>
      <x:c r="M37" s="11" t="b">
        <x:f aca="0">FALSE()</x:f>
        <x:v>0</x:v>
      </x:c>
      <x:c r="N37" s="9" t="n">
        <x:v>44.99</x:v>
      </x:c>
      <x:c r="O37" s="7" t="s">
        <x:v>6102</x:v>
      </x:c>
      <x:c r="P37" s="7" t="s">
        <x:v>6103</x:v>
      </x:c>
      <x:c r="Q37" s="7" t="s">
        <x:v>6104</x:v>
      </x:c>
      <x:c r="R37" s="7" t="s">
        <x:v>6112</x:v>
      </x:c>
      <x:c r="S37" s="7" t="s">
        <x:v>6218</x:v>
      </x:c>
      <x:c r="T37" s="7" t="s">
        <x:v>6219</x:v>
      </x:c>
      <x:c r="U37" s="13" t="n">
        <x:v>46275.5</x:v>
      </x:c>
      <x:c r="V37" s="7" t="s">
        <x:v>6114</x:v>
      </x:c>
    </x:row>
    <x:row r="38" ht="51.75" hidden="0" customHeight="1">
      <x:c r="A38" s="7" t="s">
        <x:v>6220</x:v>
      </x:c>
      <x:c r="B38" s="7" t="s">
        <x:v>313</x:v>
      </x:c>
      <x:c r="C38" s="7" t="s">
        <x:v>315</x:v>
      </x:c>
      <x:c r="D38" s="7" t="s">
        <x:v>6098</x:v>
      </x:c>
      <x:c r="E38" s="7" t="s">
        <x:v>6221</x:v>
      </x:c>
      <x:c r="F38" s="7" t="s">
        <x:v>6111</x:v>
      </x:c>
      <x:c r="G38" s="8" t="n">
        <x:v>1</x:v>
      </x:c>
      <x:c r="H38" s="9" t="s">
        <x:v>53</x:v>
      </x:c>
      <x:c r="I38" s="9" t="s">
        <x:v>58</x:v>
      </x:c>
      <x:c r="J38" s="9" t="str">
        <x:f aca="0">IF(L38,H38/G38,"Not applicable")</x:f>
        <x:v>Not applicable</x:v>
      </x:c>
      <x:c r="K38" s="7" t="s">
        <x:v>6124</x:v>
      </x:c>
      <x:c r="L38" s="11" t="b">
        <x:f aca="0">FALSE()</x:f>
        <x:v>0</x:v>
      </x:c>
      <x:c r="M38" s="11" t="b">
        <x:f aca="0">FALSE()</x:f>
        <x:v>0</x:v>
      </x:c>
      <x:c r="N38" s="9" t="n">
        <x:v>44.99</x:v>
      </x:c>
      <x:c r="O38" s="7" t="s">
        <x:v>6102</x:v>
      </x:c>
      <x:c r="P38" s="7" t="s">
        <x:v>6103</x:v>
      </x:c>
      <x:c r="Q38" s="7" t="s">
        <x:v>6104</x:v>
      </x:c>
      <x:c r="R38" s="7" t="s">
        <x:v>6112</x:v>
      </x:c>
      <x:c r="S38" s="7" t="s">
        <x:v>6222</x:v>
      </x:c>
      <x:c r="T38" s="7" t="s">
        <x:v>6219</x:v>
      </x:c>
      <x:c r="U38" s="13" t="n">
        <x:v>46275.5</x:v>
      </x:c>
      <x:c r="V38" s="7" t="s">
        <x:v>6114</x:v>
      </x:c>
    </x:row>
    <x:row r="39" ht="37.5" hidden="0" customHeight="1">
      <x:c r="A39" s="7" t="s">
        <x:v>320</x:v>
      </x:c>
      <x:c r="B39" s="7" t="s">
        <x:v>313</x:v>
      </x:c>
      <x:c r="C39" s="7" t="s">
        <x:v>315</x:v>
      </x:c>
      <x:c r="D39" s="7" t="s">
        <x:v>6098</x:v>
      </x:c>
      <x:c r="E39" s="7" t="s">
        <x:v>6223</x:v>
      </x:c>
      <x:c r="F39" s="7" t="s">
        <x:v>6100</x:v>
      </x:c>
      <x:c r="G39" s="8" t="n">
        <x:v>1</x:v>
      </x:c>
      <x:c r="H39" s="9" t="n">
        <x:v>40.99</x:v>
      </x:c>
      <x:c r="I39" s="9" t="s">
        <x:v>58</x:v>
      </x:c>
      <x:c r="J39" s="9" t="n">
        <x:f aca="0">IF(L39,H39/G39,"Not applicable")</x:f>
        <x:v>40.99</x:v>
      </x:c>
      <x:c r="K39" s="7" t="s">
        <x:v>6101</x:v>
      </x:c>
      <x:c r="L39" s="11" t="b">
        <x:f aca="0">TRUE()</x:f>
        <x:v>1</x:v>
      </x:c>
      <x:c r="M39" s="11" t="b">
        <x:f aca="0">TRUE()</x:f>
        <x:v>1</x:v>
      </x:c>
      <x:c r="N39" s="9" t="n">
        <x:v>40.99</x:v>
      </x:c>
      <x:c r="O39" s="7" t="s">
        <x:v>6102</x:v>
      </x:c>
      <x:c r="P39" s="7" t="s">
        <x:v>6103</x:v>
      </x:c>
      <x:c r="Q39" s="7" t="s">
        <x:v>6104</x:v>
      </x:c>
      <x:c r="R39" s="7" t="s">
        <x:v>6128</x:v>
      </x:c>
      <x:c r="S39" s="7" t="s">
        <x:v>6224</x:v>
      </x:c>
      <x:c r="T39" s="7" t="s">
        <x:v>6219</x:v>
      </x:c>
      <x:c r="U39" s="13" t="n">
        <x:v>46275.5</x:v>
      </x:c>
      <x:c r="V39" s="7" t="s">
        <x:v>6108</x:v>
      </x:c>
    </x:row>
    <x:row r="40" ht="37.5" hidden="0" customHeight="1">
      <x:c r="A40" s="7" t="s">
        <x:v>6225</x:v>
      </x:c>
      <x:c r="B40" s="7" t="s">
        <x:v>342</x:v>
      </x:c>
      <x:c r="C40" s="7" t="s">
        <x:v>344</x:v>
      </x:c>
      <x:c r="D40" s="7" t="s">
        <x:v>6098</x:v>
      </x:c>
      <x:c r="E40" s="7" t="s">
        <x:v>6226</x:v>
      </x:c>
      <x:c r="F40" s="7" t="s">
        <x:v>6100</x:v>
      </x:c>
      <x:c r="G40" s="8" t="n">
        <x:v>1</x:v>
      </x:c>
      <x:c r="H40" s="9" t="n">
        <x:v>25.99</x:v>
      </x:c>
      <x:c r="I40" s="9" t="s">
        <x:v>58</x:v>
      </x:c>
      <x:c r="J40" s="9" t="n">
        <x:f aca="0">IF(L40,H40/G40,"Not applicable")</x:f>
        <x:v>25.99</x:v>
      </x:c>
      <x:c r="K40" s="7" t="s">
        <x:v>6101</x:v>
      </x:c>
      <x:c r="L40" s="11" t="b">
        <x:f aca="0">TRUE()</x:f>
        <x:v>1</x:v>
      </x:c>
      <x:c r="M40" s="11" t="b">
        <x:f aca="0">TRUE()</x:f>
        <x:v>1</x:v>
      </x:c>
      <x:c r="N40" s="9" t="n">
        <x:v>25.99</x:v>
      </x:c>
      <x:c r="O40" s="7" t="s">
        <x:v>6102</x:v>
      </x:c>
      <x:c r="P40" s="7" t="s">
        <x:v>6103</x:v>
      </x:c>
      <x:c r="Q40" s="7" t="s">
        <x:v>6104</x:v>
      </x:c>
      <x:c r="R40" s="7" t="s">
        <x:v>6105</x:v>
      </x:c>
      <x:c r="S40" s="7" t="s">
        <x:v>6227</x:v>
      </x:c>
      <x:c r="T40" s="7" t="s">
        <x:v>6228</x:v>
      </x:c>
      <x:c r="U40" s="13" t="n">
        <x:v>46275.5</x:v>
      </x:c>
      <x:c r="V40" s="7" t="s">
        <x:v>6108</x:v>
      </x:c>
    </x:row>
    <x:row r="41" ht="37.5" hidden="0" customHeight="1">
      <x:c r="A41" s="7" t="s">
        <x:v>6229</x:v>
      </x:c>
      <x:c r="B41" s="7" t="s">
        <x:v>342</x:v>
      </x:c>
      <x:c r="C41" s="7" t="s">
        <x:v>344</x:v>
      </x:c>
      <x:c r="D41" s="7" t="s">
        <x:v>6098</x:v>
      </x:c>
      <x:c r="E41" s="7" t="s">
        <x:v>6230</x:v>
      </x:c>
      <x:c r="F41" s="7" t="s">
        <x:v>6111</x:v>
      </x:c>
      <x:c r="G41" s="8" t="n">
        <x:v>1</x:v>
      </x:c>
      <x:c r="H41" s="9" t="s">
        <x:v>53</x:v>
      </x:c>
      <x:c r="I41" s="9" t="s">
        <x:v>58</x:v>
      </x:c>
      <x:c r="J41" s="9" t="str">
        <x:f aca="0">IF(L41,H41/G41,"Not applicable")</x:f>
        <x:v>Not applicable</x:v>
      </x:c>
      <x:c r="K41" s="7" t="s">
        <x:v>6101</x:v>
      </x:c>
      <x:c r="L41" s="11" t="b">
        <x:f aca="0">FALSE()</x:f>
        <x:v>0</x:v>
      </x:c>
      <x:c r="M41" s="11" t="b">
        <x:f aca="0">FALSE()</x:f>
        <x:v>0</x:v>
      </x:c>
      <x:c r="N41" s="9" t="n">
        <x:v>29.99</x:v>
      </x:c>
      <x:c r="O41" s="7" t="s">
        <x:v>6102</x:v>
      </x:c>
      <x:c r="P41" s="7" t="s">
        <x:v>6103</x:v>
      </x:c>
      <x:c r="Q41" s="7" t="s">
        <x:v>6104</x:v>
      </x:c>
      <x:c r="R41" s="7" t="s">
        <x:v>6112</x:v>
      </x:c>
      <x:c r="S41" s="7" t="s">
        <x:v>6231</x:v>
      </x:c>
      <x:c r="T41" s="7" t="s">
        <x:v>6228</x:v>
      </x:c>
      <x:c r="U41" s="13" t="n">
        <x:v>46275.5</x:v>
      </x:c>
      <x:c r="V41" s="7" t="s">
        <x:v>6114</x:v>
      </x:c>
    </x:row>
    <x:row r="42" ht="37.5" hidden="0" customHeight="1">
      <x:c r="A42" s="7" t="s">
        <x:v>6232</x:v>
      </x:c>
      <x:c r="B42" s="7" t="s">
        <x:v>342</x:v>
      </x:c>
      <x:c r="C42" s="7" t="s">
        <x:v>344</x:v>
      </x:c>
      <x:c r="D42" s="7" t="s">
        <x:v>6098</x:v>
      </x:c>
      <x:c r="E42" s="7" t="s">
        <x:v>6233</x:v>
      </x:c>
      <x:c r="F42" s="7" t="s">
        <x:v>6111</x:v>
      </x:c>
      <x:c r="G42" s="8" t="n">
        <x:v>1</x:v>
      </x:c>
      <x:c r="H42" s="9" t="s">
        <x:v>53</x:v>
      </x:c>
      <x:c r="I42" s="9" t="s">
        <x:v>58</x:v>
      </x:c>
      <x:c r="J42" s="9" t="str">
        <x:f aca="0">IF(L42,H42/G42,"Not applicable")</x:f>
        <x:v>Not applicable</x:v>
      </x:c>
      <x:c r="K42" s="7" t="s">
        <x:v>6124</x:v>
      </x:c>
      <x:c r="L42" s="11" t="b">
        <x:f aca="0">FALSE()</x:f>
        <x:v>0</x:v>
      </x:c>
      <x:c r="M42" s="11" t="b">
        <x:f aca="0">FALSE()</x:f>
        <x:v>0</x:v>
      </x:c>
      <x:c r="N42" s="9" t="n">
        <x:v>29.99</x:v>
      </x:c>
      <x:c r="O42" s="7" t="s">
        <x:v>6102</x:v>
      </x:c>
      <x:c r="P42" s="7" t="s">
        <x:v>6103</x:v>
      </x:c>
      <x:c r="Q42" s="7" t="s">
        <x:v>6104</x:v>
      </x:c>
      <x:c r="R42" s="7" t="s">
        <x:v>6112</x:v>
      </x:c>
      <x:c r="S42" s="7" t="s">
        <x:v>6234</x:v>
      </x:c>
      <x:c r="T42" s="7" t="s">
        <x:v>6228</x:v>
      </x:c>
      <x:c r="U42" s="13" t="n">
        <x:v>46275.5</x:v>
      </x:c>
      <x:c r="V42" s="7" t="s">
        <x:v>6114</x:v>
      </x:c>
    </x:row>
    <x:row r="43" ht="51.75" hidden="0" customHeight="1">
      <x:c r="A43" s="7" t="s">
        <x:v>364</x:v>
      </x:c>
      <x:c r="B43" s="7" t="s">
        <x:v>356</x:v>
      </x:c>
      <x:c r="C43" s="7" t="s">
        <x:v>358</x:v>
      </x:c>
      <x:c r="D43" s="7" t="s">
        <x:v>6098</x:v>
      </x:c>
      <x:c r="E43" s="7" t="s">
        <x:v>6235</x:v>
      </x:c>
      <x:c r="F43" s="7" t="s">
        <x:v>6111</x:v>
      </x:c>
      <x:c r="G43" s="8" t="n">
        <x:v>1</x:v>
      </x:c>
      <x:c r="H43" s="9" t="n">
        <x:v>38.99</x:v>
      </x:c>
      <x:c r="I43" s="9" t="s">
        <x:v>58</x:v>
      </x:c>
      <x:c r="J43" s="9" t="n">
        <x:f aca="0">IF(L43,H43/G43,"Not applicable")</x:f>
        <x:v>38.99</x:v>
      </x:c>
      <x:c r="K43" s="7" t="s">
        <x:v>6101</x:v>
      </x:c>
      <x:c r="L43" s="11" t="b">
        <x:f aca="0">TRUE()</x:f>
        <x:v>1</x:v>
      </x:c>
      <x:c r="M43" s="11" t="b">
        <x:f aca="0">TRUE()</x:f>
        <x:v>1</x:v>
      </x:c>
      <x:c r="N43" s="9" t="n">
        <x:v>38.99</x:v>
      </x:c>
      <x:c r="O43" s="7" t="s">
        <x:v>6102</x:v>
      </x:c>
      <x:c r="P43" s="7" t="s">
        <x:v>6103</x:v>
      </x:c>
      <x:c r="Q43" s="7" t="s">
        <x:v>6104</x:v>
      </x:c>
      <x:c r="R43" s="7" t="s">
        <x:v>6128</x:v>
      </x:c>
      <x:c r="S43" s="7" t="s">
        <x:v>6236</x:v>
      </x:c>
      <x:c r="T43" s="7" t="s">
        <x:v>6237</x:v>
      </x:c>
      <x:c r="U43" s="13" t="n">
        <x:v>46275.5</x:v>
      </x:c>
      <x:c r="V43" s="7" t="s">
        <x:v>6108</x:v>
      </x:c>
    </x:row>
    <x:row r="44" ht="37.5" hidden="0" customHeight="1">
      <x:c r="A44" s="7" t="s">
        <x:v>6238</x:v>
      </x:c>
      <x:c r="B44" s="7" t="s">
        <x:v>390</x:v>
      </x:c>
      <x:c r="C44" s="7" t="s">
        <x:v>392</x:v>
      </x:c>
      <x:c r="D44" s="7" t="s">
        <x:v>6098</x:v>
      </x:c>
      <x:c r="E44" s="7" t="s">
        <x:v>6239</x:v>
      </x:c>
      <x:c r="F44" s="7" t="s">
        <x:v>6111</x:v>
      </x:c>
      <x:c r="G44" s="8" t="n">
        <x:v>1</x:v>
      </x:c>
      <x:c r="H44" s="9" t="n">
        <x:v>38.99</x:v>
      </x:c>
      <x:c r="I44" s="9" t="s">
        <x:v>58</x:v>
      </x:c>
      <x:c r="J44" s="9" t="n">
        <x:f aca="0">IF(L44,H44/G44,"Not applicable")</x:f>
        <x:v>38.99</x:v>
      </x:c>
      <x:c r="K44" s="7" t="s">
        <x:v>6101</x:v>
      </x:c>
      <x:c r="L44" s="11" t="b">
        <x:f aca="0">TRUE()</x:f>
        <x:v>1</x:v>
      </x:c>
      <x:c r="M44" s="11" t="b">
        <x:f aca="0">TRUE()</x:f>
        <x:v>1</x:v>
      </x:c>
      <x:c r="N44" s="9" t="n">
        <x:v>38.99</x:v>
      </x:c>
      <x:c r="O44" s="7" t="s">
        <x:v>6102</x:v>
      </x:c>
      <x:c r="P44" s="7" t="s">
        <x:v>6103</x:v>
      </x:c>
      <x:c r="Q44" s="7" t="s">
        <x:v>6104</x:v>
      </x:c>
      <x:c r="R44" s="7" t="s">
        <x:v>6128</x:v>
      </x:c>
      <x:c r="S44" s="7" t="s">
        <x:v>6240</x:v>
      </x:c>
      <x:c r="T44" s="7" t="s">
        <x:v>6241</x:v>
      </x:c>
      <x:c r="U44" s="13" t="n">
        <x:v>46275.5</x:v>
      </x:c>
      <x:c r="V44" s="7" t="s">
        <x:v>6108</x:v>
      </x:c>
    </x:row>
    <x:row r="45" ht="37.5" hidden="0" customHeight="1">
      <x:c r="A45" s="7" t="s">
        <x:v>6242</x:v>
      </x:c>
      <x:c r="B45" s="7" t="s">
        <x:v>390</x:v>
      </x:c>
      <x:c r="C45" s="7" t="s">
        <x:v>392</x:v>
      </x:c>
      <x:c r="D45" s="7" t="s">
        <x:v>6098</x:v>
      </x:c>
      <x:c r="E45" s="7" t="s">
        <x:v>6243</x:v>
      </x:c>
      <x:c r="F45" s="7" t="s">
        <x:v>6111</x:v>
      </x:c>
      <x:c r="G45" s="8" t="n">
        <x:v>1</x:v>
      </x:c>
      <x:c r="H45" s="9" t="n">
        <x:v>38.99</x:v>
      </x:c>
      <x:c r="I45" s="9" t="s">
        <x:v>58</x:v>
      </x:c>
      <x:c r="J45" s="9" t="str">
        <x:f aca="0">IF(L45,H45/G45,"Not applicable")</x:f>
        <x:v>Not applicable</x:v>
      </x:c>
      <x:c r="K45" s="7" t="s">
        <x:v>6124</x:v>
      </x:c>
      <x:c r="L45" s="11" t="b">
        <x:f aca="0">FALSE()</x:f>
        <x:v>0</x:v>
      </x:c>
      <x:c r="M45" s="11" t="b">
        <x:f aca="0">FALSE()</x:f>
        <x:v>0</x:v>
      </x:c>
      <x:c r="N45" s="9" t="n">
        <x:v>38.99</x:v>
      </x:c>
      <x:c r="O45" s="7" t="s">
        <x:v>6102</x:v>
      </x:c>
      <x:c r="P45" s="7" t="s">
        <x:v>6103</x:v>
      </x:c>
      <x:c r="Q45" s="7" t="s">
        <x:v>6104</x:v>
      </x:c>
      <x:c r="R45" s="7" t="s">
        <x:v>6128</x:v>
      </x:c>
      <x:c r="S45" s="7" t="s">
        <x:v>6244</x:v>
      </x:c>
      <x:c r="T45" s="7" t="s">
        <x:v>6241</x:v>
      </x:c>
      <x:c r="U45" s="13" t="n">
        <x:v>46275.5</x:v>
      </x:c>
      <x:c r="V45" s="7" t="s">
        <x:v>6114</x:v>
      </x:c>
    </x:row>
    <x:row r="46" ht="51.75" hidden="0" customHeight="1">
      <x:c r="A46" s="7" t="s">
        <x:v>412</x:v>
      </x:c>
      <x:c r="B46" s="7" t="s">
        <x:v>404</x:v>
      </x:c>
      <x:c r="C46" s="7" t="s">
        <x:v>406</x:v>
      </x:c>
      <x:c r="D46" s="7" t="s">
        <x:v>6098</x:v>
      </x:c>
      <x:c r="E46" s="7" t="s">
        <x:v>6245</x:v>
      </x:c>
      <x:c r="F46" s="7" t="s">
        <x:v>6111</x:v>
      </x:c>
      <x:c r="G46" s="8" t="n">
        <x:v>1</x:v>
      </x:c>
      <x:c r="H46" s="9" t="n">
        <x:v>63.99</x:v>
      </x:c>
      <x:c r="I46" s="9" t="s">
        <x:v>58</x:v>
      </x:c>
      <x:c r="J46" s="9" t="n">
        <x:f aca="0">IF(L46,H46/G46,"Not applicable")</x:f>
        <x:v>63.99</x:v>
      </x:c>
      <x:c r="K46" s="7" t="s">
        <x:v>6101</x:v>
      </x:c>
      <x:c r="L46" s="11" t="b">
        <x:f aca="0">TRUE()</x:f>
        <x:v>1</x:v>
      </x:c>
      <x:c r="M46" s="11" t="b">
        <x:f aca="0">TRUE()</x:f>
        <x:v>1</x:v>
      </x:c>
      <x:c r="N46" s="9" t="n">
        <x:v>63.99</x:v>
      </x:c>
      <x:c r="O46" s="7" t="s">
        <x:v>6102</x:v>
      </x:c>
      <x:c r="P46" s="7" t="s">
        <x:v>6103</x:v>
      </x:c>
      <x:c r="Q46" s="7" t="s">
        <x:v>6104</x:v>
      </x:c>
      <x:c r="R46" s="7" t="s">
        <x:v>6128</x:v>
      </x:c>
      <x:c r="S46" s="7" t="s">
        <x:v>6246</x:v>
      </x:c>
      <x:c r="T46" s="7" t="s">
        <x:v>6247</x:v>
      </x:c>
      <x:c r="U46" s="13" t="n">
        <x:v>46275.5</x:v>
      </x:c>
      <x:c r="V46" s="7" t="s">
        <x:v>6108</x:v>
      </x:c>
    </x:row>
    <x:row r="47" ht="51.75" hidden="0" customHeight="1">
      <x:c r="A47" s="7" t="s">
        <x:v>6248</x:v>
      </x:c>
      <x:c r="B47" s="7" t="s">
        <x:v>417</x:v>
      </x:c>
      <x:c r="C47" s="7" t="s">
        <x:v>419</x:v>
      </x:c>
      <x:c r="D47" s="7" t="s">
        <x:v>6098</x:v>
      </x:c>
      <x:c r="E47" s="7" t="s">
        <x:v>6249</x:v>
      </x:c>
      <x:c r="F47" s="7" t="s">
        <x:v>6111</x:v>
      </x:c>
      <x:c r="G47" s="8" t="n">
        <x:v>1</x:v>
      </x:c>
      <x:c r="H47" s="9" t="n">
        <x:v>47.99</x:v>
      </x:c>
      <x:c r="I47" s="9" t="s">
        <x:v>58</x:v>
      </x:c>
      <x:c r="J47" s="9" t="str">
        <x:f aca="0">IF(L47,H47/G47,"Not applicable")</x:f>
        <x:v>Not applicable</x:v>
      </x:c>
      <x:c r="K47" s="7" t="s">
        <x:v>6124</x:v>
      </x:c>
      <x:c r="L47" s="11" t="b">
        <x:f aca="0">FALSE()</x:f>
        <x:v>0</x:v>
      </x:c>
      <x:c r="M47" s="11" t="b">
        <x:f aca="0">FALSE()</x:f>
        <x:v>0</x:v>
      </x:c>
      <x:c r="N47" s="9" t="n">
        <x:v>47.99</x:v>
      </x:c>
      <x:c r="O47" s="7" t="s">
        <x:v>6102</x:v>
      </x:c>
      <x:c r="P47" s="7" t="s">
        <x:v>6103</x:v>
      </x:c>
      <x:c r="Q47" s="7" t="s">
        <x:v>6104</x:v>
      </x:c>
      <x:c r="R47" s="7" t="s">
        <x:v>6128</x:v>
      </x:c>
      <x:c r="S47" s="7" t="s">
        <x:v>6250</x:v>
      </x:c>
      <x:c r="T47" s="7" t="s">
        <x:v>6251</x:v>
      </x:c>
      <x:c r="U47" s="13" t="n">
        <x:v>46275.5</x:v>
      </x:c>
      <x:c r="V47" s="7" t="s">
        <x:v>6114</x:v>
      </x:c>
    </x:row>
    <x:row r="48" ht="37.5" hidden="0" customHeight="1">
      <x:c r="A48" s="7" t="s">
        <x:v>447</x:v>
      </x:c>
      <x:c r="B48" s="7" t="s">
        <x:v>437</x:v>
      </x:c>
      <x:c r="C48" s="7" t="s">
        <x:v>440</x:v>
      </x:c>
      <x:c r="D48" s="7" t="s">
        <x:v>6098</x:v>
      </x:c>
      <x:c r="E48" s="7" t="s">
        <x:v>6252</x:v>
      </x:c>
      <x:c r="F48" s="7" t="s">
        <x:v>6111</x:v>
      </x:c>
      <x:c r="G48" s="8" t="n">
        <x:v>1</x:v>
      </x:c>
      <x:c r="H48" s="9" t="n">
        <x:v>50.99</x:v>
      </x:c>
      <x:c r="I48" s="9" t="s">
        <x:v>58</x:v>
      </x:c>
      <x:c r="J48" s="9" t="n">
        <x:f aca="0">IF(L48,H48/G48,"Not applicable")</x:f>
        <x:v>50.99</x:v>
      </x:c>
      <x:c r="K48" s="7" t="s">
        <x:v>6101</x:v>
      </x:c>
      <x:c r="L48" s="11" t="b">
        <x:f aca="0">TRUE()</x:f>
        <x:v>1</x:v>
      </x:c>
      <x:c r="M48" s="11" t="b">
        <x:f aca="0">TRUE()</x:f>
        <x:v>1</x:v>
      </x:c>
      <x:c r="N48" s="9" t="n">
        <x:v>50.99</x:v>
      </x:c>
      <x:c r="O48" s="7" t="s">
        <x:v>6102</x:v>
      </x:c>
      <x:c r="P48" s="7" t="s">
        <x:v>6103</x:v>
      </x:c>
      <x:c r="Q48" s="7" t="s">
        <x:v>6104</x:v>
      </x:c>
      <x:c r="R48" s="7" t="s">
        <x:v>6128</x:v>
      </x:c>
      <x:c r="S48" s="7" t="s">
        <x:v>6253</x:v>
      </x:c>
      <x:c r="T48" s="7" t="s">
        <x:v>6254</x:v>
      </x:c>
      <x:c r="U48" s="13" t="n">
        <x:v>46275.5</x:v>
      </x:c>
      <x:c r="V48" s="7" t="s">
        <x:v>6108</x:v>
      </x:c>
    </x:row>
    <x:row r="49" ht="51.75" hidden="0" customHeight="1">
      <x:c r="A49" s="7" t="s">
        <x:v>6255</x:v>
      </x:c>
      <x:c r="B49" s="7" t="s">
        <x:v>437</x:v>
      </x:c>
      <x:c r="C49" s="7" t="s">
        <x:v>440</x:v>
      </x:c>
      <x:c r="D49" s="7" t="s">
        <x:v>6098</x:v>
      </x:c>
      <x:c r="E49" s="7" t="s">
        <x:v>6256</x:v>
      </x:c>
      <x:c r="F49" s="7" t="s">
        <x:v>6111</x:v>
      </x:c>
      <x:c r="G49" s="8" t="n">
        <x:v>1</x:v>
      </x:c>
      <x:c r="H49" s="9" t="n">
        <x:v>50.99</x:v>
      </x:c>
      <x:c r="I49" s="9" t="s">
        <x:v>58</x:v>
      </x:c>
      <x:c r="J49" s="9" t="str">
        <x:f aca="0">IF(L49,H49/G49,"Not applicable")</x:f>
        <x:v>Not applicable</x:v>
      </x:c>
      <x:c r="K49" s="7" t="s">
        <x:v>6124</x:v>
      </x:c>
      <x:c r="L49" s="11" t="b">
        <x:f aca="0">FALSE()</x:f>
        <x:v>0</x:v>
      </x:c>
      <x:c r="M49" s="11" t="b">
        <x:f aca="0">FALSE()</x:f>
        <x:v>0</x:v>
      </x:c>
      <x:c r="N49" s="9" t="n">
        <x:v>50.99</x:v>
      </x:c>
      <x:c r="O49" s="7" t="s">
        <x:v>6102</x:v>
      </x:c>
      <x:c r="P49" s="7" t="s">
        <x:v>6103</x:v>
      </x:c>
      <x:c r="Q49" s="7" t="s">
        <x:v>6104</x:v>
      </x:c>
      <x:c r="R49" s="7" t="s">
        <x:v>6128</x:v>
      </x:c>
      <x:c r="S49" s="7" t="s">
        <x:v>6257</x:v>
      </x:c>
      <x:c r="T49" s="7" t="s">
        <x:v>6254</x:v>
      </x:c>
      <x:c r="U49" s="13" t="n">
        <x:v>46275.5</x:v>
      </x:c>
      <x:c r="V49" s="7" t="s">
        <x:v>6114</x:v>
      </x:c>
    </x:row>
    <x:row r="50" ht="37.5" hidden="0" customHeight="1">
      <x:c r="A50" s="7" t="s">
        <x:v>459</x:v>
      </x:c>
      <x:c r="B50" s="7" t="s">
        <x:v>452</x:v>
      </x:c>
      <x:c r="C50" s="7" t="s">
        <x:v>454</x:v>
      </x:c>
      <x:c r="D50" s="7" t="s">
        <x:v>6098</x:v>
      </x:c>
      <x:c r="E50" s="7" t="s">
        <x:v>6258</x:v>
      </x:c>
      <x:c r="F50" s="7" t="s">
        <x:v>6111</x:v>
      </x:c>
      <x:c r="G50" s="8" t="n">
        <x:v>1</x:v>
      </x:c>
      <x:c r="H50" s="9" t="n">
        <x:v>69.99</x:v>
      </x:c>
      <x:c r="I50" s="9" t="s">
        <x:v>58</x:v>
      </x:c>
      <x:c r="J50" s="9" t="n">
        <x:f aca="0">IF(L50,H50/G50,"Not applicable")</x:f>
        <x:v>69.99</x:v>
      </x:c>
      <x:c r="K50" s="7" t="s">
        <x:v>6101</x:v>
      </x:c>
      <x:c r="L50" s="11" t="b">
        <x:f aca="0">TRUE()</x:f>
        <x:v>1</x:v>
      </x:c>
      <x:c r="M50" s="11" t="b">
        <x:f aca="0">TRUE()</x:f>
        <x:v>1</x:v>
      </x:c>
      <x:c r="N50" s="9" t="n">
        <x:v>69.99</x:v>
      </x:c>
      <x:c r="O50" s="7" t="s">
        <x:v>6102</x:v>
      </x:c>
      <x:c r="P50" s="7" t="s">
        <x:v>6103</x:v>
      </x:c>
      <x:c r="Q50" s="7" t="s">
        <x:v>6104</x:v>
      </x:c>
      <x:c r="R50" s="7" t="s">
        <x:v>6128</x:v>
      </x:c>
      <x:c r="S50" s="7" t="s">
        <x:v>6259</x:v>
      </x:c>
      <x:c r="T50" s="7" t="s">
        <x:v>6260</x:v>
      </x:c>
      <x:c r="U50" s="13" t="n">
        <x:v>46275.5</x:v>
      </x:c>
      <x:c r="V50" s="7" t="s">
        <x:v>6108</x:v>
      </x:c>
    </x:row>
    <x:row r="51" ht="51.75" hidden="0" customHeight="1">
      <x:c r="A51" s="7" t="s">
        <x:v>6261</x:v>
      </x:c>
      <x:c r="B51" s="7" t="s">
        <x:v>495</x:v>
      </x:c>
      <x:c r="C51" s="7" t="s">
        <x:v>497</x:v>
      </x:c>
      <x:c r="D51" s="7" t="s">
        <x:v>6098</x:v>
      </x:c>
      <x:c r="E51" s="7" t="s">
        <x:v>6262</x:v>
      </x:c>
      <x:c r="F51" s="7" t="s">
        <x:v>6111</x:v>
      </x:c>
      <x:c r="G51" s="8" t="n">
        <x:v>1</x:v>
      </x:c>
      <x:c r="H51" s="9" t="s">
        <x:v>53</x:v>
      </x:c>
      <x:c r="I51" s="9" t="s">
        <x:v>58</x:v>
      </x:c>
      <x:c r="J51" s="9" t="str">
        <x:f aca="0">IF(L51,H51/G51,"Not applicable")</x:f>
        <x:v>Not applicable</x:v>
      </x:c>
      <x:c r="K51" s="7" t="s">
        <x:v>6101</x:v>
      </x:c>
      <x:c r="L51" s="11" t="b">
        <x:f aca="0">FALSE()</x:f>
        <x:v>0</x:v>
      </x:c>
      <x:c r="M51" s="11" t="b">
        <x:f aca="0">FALSE()</x:f>
        <x:v>0</x:v>
      </x:c>
      <x:c r="N51" s="9" t="n">
        <x:v>49.99</x:v>
      </x:c>
      <x:c r="O51" s="7" t="s">
        <x:v>6102</x:v>
      </x:c>
      <x:c r="P51" s="7" t="s">
        <x:v>6103</x:v>
      </x:c>
      <x:c r="Q51" s="7" t="s">
        <x:v>6104</x:v>
      </x:c>
      <x:c r="R51" s="7" t="s">
        <x:v>6112</x:v>
      </x:c>
      <x:c r="S51" s="7" t="s">
        <x:v>6263</x:v>
      </x:c>
      <x:c r="T51" s="7" t="s">
        <x:v>6264</x:v>
      </x:c>
      <x:c r="U51" s="13" t="n">
        <x:v>46275.5</x:v>
      </x:c>
      <x:c r="V51" s="7" t="s">
        <x:v>6114</x:v>
      </x:c>
    </x:row>
    <x:row r="52" ht="37.5" hidden="0" customHeight="1">
      <x:c r="A52" s="7" t="s">
        <x:v>6265</x:v>
      </x:c>
      <x:c r="B52" s="7" t="s">
        <x:v>495</x:v>
      </x:c>
      <x:c r="C52" s="7" t="s">
        <x:v>497</x:v>
      </x:c>
      <x:c r="D52" s="7" t="s">
        <x:v>6098</x:v>
      </x:c>
      <x:c r="E52" s="7" t="s">
        <x:v>6266</x:v>
      </x:c>
      <x:c r="F52" s="7" t="s">
        <x:v>6100</x:v>
      </x:c>
      <x:c r="G52" s="8" t="n">
        <x:v>1</x:v>
      </x:c>
      <x:c r="H52" s="9" t="n">
        <x:v>44.99</x:v>
      </x:c>
      <x:c r="I52" s="9" t="s">
        <x:v>58</x:v>
      </x:c>
      <x:c r="J52" s="9" t="n">
        <x:f aca="0">IF(L52,H52/G52,"Not applicable")</x:f>
        <x:v>44.99</x:v>
      </x:c>
      <x:c r="K52" s="7" t="s">
        <x:v>6101</x:v>
      </x:c>
      <x:c r="L52" s="11" t="b">
        <x:f aca="0">TRUE()</x:f>
        <x:v>1</x:v>
      </x:c>
      <x:c r="M52" s="11" t="b">
        <x:f aca="0">TRUE()</x:f>
        <x:v>1</x:v>
      </x:c>
      <x:c r="N52" s="9" t="n">
        <x:v>44.99</x:v>
      </x:c>
      <x:c r="O52" s="7" t="s">
        <x:v>6102</x:v>
      </x:c>
      <x:c r="P52" s="7" t="s">
        <x:v>6103</x:v>
      </x:c>
      <x:c r="Q52" s="7" t="s">
        <x:v>6104</x:v>
      </x:c>
      <x:c r="R52" s="7" t="s">
        <x:v>6128</x:v>
      </x:c>
      <x:c r="S52" s="7" t="s">
        <x:v>6267</x:v>
      </x:c>
      <x:c r="T52" s="7" t="s">
        <x:v>6264</x:v>
      </x:c>
      <x:c r="U52" s="13" t="n">
        <x:v>46275.5</x:v>
      </x:c>
      <x:c r="V52" s="7" t="s">
        <x:v>6108</x:v>
      </x:c>
    </x:row>
    <x:row r="53" ht="51.75" hidden="0" customHeight="1">
      <x:c r="A53" s="7" t="s">
        <x:v>6268</x:v>
      </x:c>
      <x:c r="B53" s="7" t="s">
        <x:v>507</x:v>
      </x:c>
      <x:c r="C53" s="7" t="s">
        <x:v>509</x:v>
      </x:c>
      <x:c r="D53" s="7" t="s">
        <x:v>6098</x:v>
      </x:c>
      <x:c r="E53" s="7" t="s">
        <x:v>6269</x:v>
      </x:c>
      <x:c r="F53" s="7" t="s">
        <x:v>6111</x:v>
      </x:c>
      <x:c r="G53" s="8" t="n">
        <x:v>1</x:v>
      </x:c>
      <x:c r="H53" s="9" t="n">
        <x:v>53.99</x:v>
      </x:c>
      <x:c r="I53" s="9" t="s">
        <x:v>58</x:v>
      </x:c>
      <x:c r="J53" s="9" t="n">
        <x:f aca="0">IF(L53,H53/G53,"Not applicable")</x:f>
        <x:v>53.99</x:v>
      </x:c>
      <x:c r="K53" s="7" t="s">
        <x:v>6101</x:v>
      </x:c>
      <x:c r="L53" s="11" t="b">
        <x:f aca="0">TRUE()</x:f>
        <x:v>1</x:v>
      </x:c>
      <x:c r="M53" s="11" t="b">
        <x:f aca="0">TRUE()</x:f>
        <x:v>1</x:v>
      </x:c>
      <x:c r="N53" s="9" t="n">
        <x:v>53.99</x:v>
      </x:c>
      <x:c r="O53" s="7" t="s">
        <x:v>6102</x:v>
      </x:c>
      <x:c r="P53" s="7" t="s">
        <x:v>6103</x:v>
      </x:c>
      <x:c r="Q53" s="7" t="s">
        <x:v>6104</x:v>
      </x:c>
      <x:c r="R53" s="7" t="s">
        <x:v>6128</x:v>
      </x:c>
      <x:c r="S53" s="7" t="s">
        <x:v>6270</x:v>
      </x:c>
      <x:c r="T53" s="7" t="s">
        <x:v>6271</x:v>
      </x:c>
      <x:c r="U53" s="13" t="n">
        <x:v>46275.5</x:v>
      </x:c>
      <x:c r="V53" s="7" t="s">
        <x:v>6108</x:v>
      </x:c>
    </x:row>
    <x:row r="54" ht="51.75" hidden="0" customHeight="1">
      <x:c r="A54" s="7" t="s">
        <x:v>6272</x:v>
      </x:c>
      <x:c r="B54" s="7" t="s">
        <x:v>519</x:v>
      </x:c>
      <x:c r="C54" s="7" t="s">
        <x:v>521</x:v>
      </x:c>
      <x:c r="D54" s="7" t="s">
        <x:v>6098</x:v>
      </x:c>
      <x:c r="E54" s="7" t="s">
        <x:v>6273</x:v>
      </x:c>
      <x:c r="F54" s="7" t="s">
        <x:v>6111</x:v>
      </x:c>
      <x:c r="G54" s="8" t="n">
        <x:v>1</x:v>
      </x:c>
      <x:c r="H54" s="9" t="s">
        <x:v>53</x:v>
      </x:c>
      <x:c r="I54" s="9" t="s">
        <x:v>58</x:v>
      </x:c>
      <x:c r="J54" s="9" t="str">
        <x:f aca="0">IF(L54,H54/G54,"Not applicable")</x:f>
        <x:v>Not applicable</x:v>
      </x:c>
      <x:c r="K54" s="7" t="s">
        <x:v>6101</x:v>
      </x:c>
      <x:c r="L54" s="11" t="b">
        <x:f aca="0">FALSE()</x:f>
        <x:v>0</x:v>
      </x:c>
      <x:c r="M54" s="11" t="b">
        <x:f aca="0">FALSE()</x:f>
        <x:v>0</x:v>
      </x:c>
      <x:c r="N54" s="9" t="n">
        <x:v>76.99</x:v>
      </x:c>
      <x:c r="O54" s="7" t="s">
        <x:v>6102</x:v>
      </x:c>
      <x:c r="P54" s="7" t="s">
        <x:v>6103</x:v>
      </x:c>
      <x:c r="Q54" s="7" t="s">
        <x:v>6104</x:v>
      </x:c>
      <x:c r="R54" s="7" t="s">
        <x:v>6112</x:v>
      </x:c>
      <x:c r="S54" s="7" t="s">
        <x:v>6274</x:v>
      </x:c>
      <x:c r="T54" s="7" t="s">
        <x:v>6275</x:v>
      </x:c>
      <x:c r="U54" s="13" t="n">
        <x:v>46275.5</x:v>
      </x:c>
      <x:c r="V54" s="7" t="s">
        <x:v>6114</x:v>
      </x:c>
    </x:row>
    <x:row r="55" ht="37.5" hidden="0" customHeight="1">
      <x:c r="A55" s="7" t="s">
        <x:v>525</x:v>
      </x:c>
      <x:c r="B55" s="7" t="s">
        <x:v>519</x:v>
      </x:c>
      <x:c r="C55" s="7" t="s">
        <x:v>521</x:v>
      </x:c>
      <x:c r="D55" s="7" t="s">
        <x:v>6098</x:v>
      </x:c>
      <x:c r="E55" s="7" t="s">
        <x:v>6276</x:v>
      </x:c>
      <x:c r="F55" s="7" t="s">
        <x:v>6111</x:v>
      </x:c>
      <x:c r="G55" s="8" t="n">
        <x:v>1</x:v>
      </x:c>
      <x:c r="H55" s="9" t="n">
        <x:v>53.99</x:v>
      </x:c>
      <x:c r="I55" s="9" t="s">
        <x:v>58</x:v>
      </x:c>
      <x:c r="J55" s="9" t="n">
        <x:f aca="0">IF(L55,H55/G55,"Not applicable")</x:f>
        <x:v>53.99</x:v>
      </x:c>
      <x:c r="K55" s="7" t="s">
        <x:v>6101</x:v>
      </x:c>
      <x:c r="L55" s="11" t="b">
        <x:f aca="0">TRUE()</x:f>
        <x:v>1</x:v>
      </x:c>
      <x:c r="M55" s="11" t="b">
        <x:f aca="0">TRUE()</x:f>
        <x:v>1</x:v>
      </x:c>
      <x:c r="N55" s="9" t="n">
        <x:v>53.99</x:v>
      </x:c>
      <x:c r="O55" s="7" t="s">
        <x:v>6102</x:v>
      </x:c>
      <x:c r="P55" s="7" t="s">
        <x:v>6103</x:v>
      </x:c>
      <x:c r="Q55" s="7" t="s">
        <x:v>6104</x:v>
      </x:c>
      <x:c r="R55" s="7" t="s">
        <x:v>6128</x:v>
      </x:c>
      <x:c r="S55" s="7" t="s">
        <x:v>6277</x:v>
      </x:c>
      <x:c r="T55" s="7" t="s">
        <x:v>6275</x:v>
      </x:c>
      <x:c r="U55" s="13" t="n">
        <x:v>46275.5</x:v>
      </x:c>
      <x:c r="V55" s="7" t="s">
        <x:v>6108</x:v>
      </x:c>
    </x:row>
    <x:row r="56" ht="51.75" hidden="0" customHeight="1">
      <x:c r="A56" s="7" t="s">
        <x:v>6278</x:v>
      </x:c>
      <x:c r="B56" s="7" t="s">
        <x:v>527</x:v>
      </x:c>
      <x:c r="C56" s="7" t="s">
        <x:v>529</x:v>
      </x:c>
      <x:c r="D56" s="7" t="s">
        <x:v>6098</x:v>
      </x:c>
      <x:c r="E56" s="7" t="s">
        <x:v>6279</x:v>
      </x:c>
      <x:c r="F56" s="7" t="s">
        <x:v>6111</x:v>
      </x:c>
      <x:c r="G56" s="8" t="n">
        <x:v>1</x:v>
      </x:c>
      <x:c r="H56" s="9" t="s">
        <x:v>53</x:v>
      </x:c>
      <x:c r="I56" s="9" t="s">
        <x:v>58</x:v>
      </x:c>
      <x:c r="J56" s="9" t="str">
        <x:f aca="0">IF(L56,H56/G56,"Not applicable")</x:f>
        <x:v>Not applicable</x:v>
      </x:c>
      <x:c r="K56" s="7" t="s">
        <x:v>6101</x:v>
      </x:c>
      <x:c r="L56" s="11" t="b">
        <x:f aca="0">FALSE()</x:f>
        <x:v>0</x:v>
      </x:c>
      <x:c r="M56" s="11" t="b">
        <x:f aca="0">FALSE()</x:f>
        <x:v>0</x:v>
      </x:c>
      <x:c r="N56" s="9" t="n">
        <x:v>57.99</x:v>
      </x:c>
      <x:c r="O56" s="7" t="s">
        <x:v>6102</x:v>
      </x:c>
      <x:c r="P56" s="7" t="s">
        <x:v>6103</x:v>
      </x:c>
      <x:c r="Q56" s="7" t="s">
        <x:v>6104</x:v>
      </x:c>
      <x:c r="R56" s="7" t="s">
        <x:v>6112</x:v>
      </x:c>
      <x:c r="S56" s="7" t="s">
        <x:v>6280</x:v>
      </x:c>
      <x:c r="T56" s="7" t="s">
        <x:v>6275</x:v>
      </x:c>
      <x:c r="U56" s="13" t="n">
        <x:v>46275.5</x:v>
      </x:c>
      <x:c r="V56" s="7" t="s">
        <x:v>6114</x:v>
      </x:c>
    </x:row>
    <x:row r="57" ht="51.75" hidden="0" customHeight="1">
      <x:c r="A57" s="7" t="s">
        <x:v>6281</x:v>
      </x:c>
      <x:c r="B57" s="7" t="s">
        <x:v>576</x:v>
      </x:c>
      <x:c r="C57" s="7" t="s">
        <x:v>578</x:v>
      </x:c>
      <x:c r="D57" s="7" t="s">
        <x:v>6098</x:v>
      </x:c>
      <x:c r="E57" s="7" t="s">
        <x:v>6282</x:v>
      </x:c>
      <x:c r="F57" s="7" t="s">
        <x:v>6111</x:v>
      </x:c>
      <x:c r="G57" s="8" t="n">
        <x:v>0.5</x:v>
      </x:c>
      <x:c r="H57" s="9" t="n">
        <x:v>63.99</x:v>
      </x:c>
      <x:c r="I57" s="9" t="s">
        <x:v>58</x:v>
      </x:c>
      <x:c r="J57" s="9" t="n">
        <x:f aca="0">IF(L57,H57/G57,"Not applicable")</x:f>
        <x:v>127.98</x:v>
      </x:c>
      <x:c r="K57" s="7" t="s">
        <x:v>6101</x:v>
      </x:c>
      <x:c r="L57" s="11" t="b">
        <x:f aca="0">TRUE()</x:f>
        <x:v>1</x:v>
      </x:c>
      <x:c r="M57" s="11" t="b">
        <x:f aca="0">TRUE()</x:f>
        <x:v>1</x:v>
      </x:c>
      <x:c r="N57" s="9" t="n">
        <x:v>63.99</x:v>
      </x:c>
      <x:c r="O57" s="7" t="s">
        <x:v>6102</x:v>
      </x:c>
      <x:c r="P57" s="7" t="s">
        <x:v>6103</x:v>
      </x:c>
      <x:c r="Q57" s="7" t="s">
        <x:v>6104</x:v>
      </x:c>
      <x:c r="R57" s="7" t="s">
        <x:v>6128</x:v>
      </x:c>
      <x:c r="S57" s="7" t="s">
        <x:v>6283</x:v>
      </x:c>
      <x:c r="T57" s="7" t="s">
        <x:v>6284</x:v>
      </x:c>
      <x:c r="U57" s="13" t="n">
        <x:v>46275.5</x:v>
      </x:c>
      <x:c r="V57" s="7" t="s">
        <x:v>6108</x:v>
      </x:c>
    </x:row>
    <x:row r="58" ht="51.75" hidden="0" customHeight="1">
      <x:c r="A58" s="7" t="s">
        <x:v>6285</x:v>
      </x:c>
      <x:c r="B58" s="7" t="s">
        <x:v>576</x:v>
      </x:c>
      <x:c r="C58" s="7" t="s">
        <x:v>578</x:v>
      </x:c>
      <x:c r="D58" s="7" t="s">
        <x:v>6098</x:v>
      </x:c>
      <x:c r="E58" s="7" t="s">
        <x:v>6286</x:v>
      </x:c>
      <x:c r="F58" s="7" t="s">
        <x:v>6111</x:v>
      </x:c>
      <x:c r="G58" s="8" t="n">
        <x:v>1</x:v>
      </x:c>
      <x:c r="H58" s="9" t="s">
        <x:v>53</x:v>
      </x:c>
      <x:c r="I58" s="9" t="s">
        <x:v>58</x:v>
      </x:c>
      <x:c r="J58" s="9" t="str">
        <x:f aca="0">IF(L58,H58/G58,"Not applicable")</x:f>
        <x:v>Not applicable</x:v>
      </x:c>
      <x:c r="K58" s="7" t="s">
        <x:v>6101</x:v>
      </x:c>
      <x:c r="L58" s="11" t="b">
        <x:f aca="0">FALSE()</x:f>
        <x:v>0</x:v>
      </x:c>
      <x:c r="M58" s="11" t="b">
        <x:f aca="0">FALSE()</x:f>
        <x:v>0</x:v>
      </x:c>
      <x:c r="N58" s="9" t="n">
        <x:v>120.99</x:v>
      </x:c>
      <x:c r="O58" s="7" t="s">
        <x:v>6102</x:v>
      </x:c>
      <x:c r="P58" s="7" t="s">
        <x:v>6103</x:v>
      </x:c>
      <x:c r="Q58" s="7" t="s">
        <x:v>6104</x:v>
      </x:c>
      <x:c r="R58" s="7" t="s">
        <x:v>6112</x:v>
      </x:c>
      <x:c r="S58" s="7" t="s">
        <x:v>6287</x:v>
      </x:c>
      <x:c r="T58" s="7" t="s">
        <x:v>6284</x:v>
      </x:c>
      <x:c r="U58" s="13" t="n">
        <x:v>46275.5</x:v>
      </x:c>
      <x:c r="V58" s="7" t="s">
        <x:v>6114</x:v>
      </x:c>
    </x:row>
    <x:row r="59" ht="51.75" hidden="0" customHeight="1">
      <x:c r="A59" s="7" t="s">
        <x:v>6288</x:v>
      </x:c>
      <x:c r="B59" s="7" t="s">
        <x:v>598</x:v>
      </x:c>
      <x:c r="C59" s="7" t="s">
        <x:v>600</x:v>
      </x:c>
      <x:c r="D59" s="7" t="s">
        <x:v>6098</x:v>
      </x:c>
      <x:c r="E59" s="7" t="s">
        <x:v>6289</x:v>
      </x:c>
      <x:c r="F59" s="7" t="s">
        <x:v>6111</x:v>
      </x:c>
      <x:c r="G59" s="8" t="n">
        <x:v>0.5</x:v>
      </x:c>
      <x:c r="H59" s="9" t="n">
        <x:v>54.99</x:v>
      </x:c>
      <x:c r="I59" s="9" t="s">
        <x:v>58</x:v>
      </x:c>
      <x:c r="J59" s="9" t="n">
        <x:f aca="0">IF(L59,H59/G59,"Not applicable")</x:f>
        <x:v>109.98</x:v>
      </x:c>
      <x:c r="K59" s="7" t="s">
        <x:v>6101</x:v>
      </x:c>
      <x:c r="L59" s="11" t="b">
        <x:f aca="0">TRUE()</x:f>
        <x:v>1</x:v>
      </x:c>
      <x:c r="M59" s="11" t="b">
        <x:f aca="0">TRUE()</x:f>
        <x:v>1</x:v>
      </x:c>
      <x:c r="N59" s="9" t="n">
        <x:v>54.99</x:v>
      </x:c>
      <x:c r="O59" s="7" t="s">
        <x:v>6102</x:v>
      </x:c>
      <x:c r="P59" s="7" t="s">
        <x:v>6103</x:v>
      </x:c>
      <x:c r="Q59" s="7" t="s">
        <x:v>6104</x:v>
      </x:c>
      <x:c r="R59" s="7" t="s">
        <x:v>6128</x:v>
      </x:c>
      <x:c r="S59" s="7" t="s">
        <x:v>6290</x:v>
      </x:c>
      <x:c r="T59" s="7" t="s">
        <x:v>6291</x:v>
      </x:c>
      <x:c r="U59" s="13" t="n">
        <x:v>46275.5</x:v>
      </x:c>
      <x:c r="V59" s="7" t="s">
        <x:v>6108</x:v>
      </x:c>
    </x:row>
    <x:row r="60" ht="37.5" hidden="0" customHeight="1">
      <x:c r="A60" s="7" t="s">
        <x:v>6292</x:v>
      </x:c>
      <x:c r="B60" s="7" t="s">
        <x:v>598</x:v>
      </x:c>
      <x:c r="C60" s="7" t="s">
        <x:v>600</x:v>
      </x:c>
      <x:c r="D60" s="7" t="s">
        <x:v>6098</x:v>
      </x:c>
      <x:c r="E60" s="7" t="s">
        <x:v>6293</x:v>
      </x:c>
      <x:c r="F60" s="7" t="s">
        <x:v>6111</x:v>
      </x:c>
      <x:c r="G60" s="8" t="n">
        <x:v>1</x:v>
      </x:c>
      <x:c r="H60" s="9" t="s">
        <x:v>53</x:v>
      </x:c>
      <x:c r="I60" s="9" t="s">
        <x:v>58</x:v>
      </x:c>
      <x:c r="J60" s="9" t="str">
        <x:f aca="0">IF(L60,H60/G60,"Not applicable")</x:f>
        <x:v>Not applicable</x:v>
      </x:c>
      <x:c r="K60" s="7" t="s">
        <x:v>6101</x:v>
      </x:c>
      <x:c r="L60" s="11" t="b">
        <x:f aca="0">FALSE()</x:f>
        <x:v>0</x:v>
      </x:c>
      <x:c r="M60" s="11" t="b">
        <x:f aca="0">FALSE()</x:f>
        <x:v>0</x:v>
      </x:c>
      <x:c r="N60" s="9" t="n">
        <x:v>101.99</x:v>
      </x:c>
      <x:c r="O60" s="7" t="s">
        <x:v>6102</x:v>
      </x:c>
      <x:c r="P60" s="7" t="s">
        <x:v>6103</x:v>
      </x:c>
      <x:c r="Q60" s="7" t="s">
        <x:v>6104</x:v>
      </x:c>
      <x:c r="R60" s="7" t="s">
        <x:v>6112</x:v>
      </x:c>
      <x:c r="S60" s="7" t="s">
        <x:v>6294</x:v>
      </x:c>
      <x:c r="T60" s="7" t="s">
        <x:v>6291</x:v>
      </x:c>
      <x:c r="U60" s="13" t="n">
        <x:v>46275.5</x:v>
      </x:c>
      <x:c r="V60" s="7" t="s">
        <x:v>6114</x:v>
      </x:c>
    </x:row>
    <x:row r="61" ht="37.5" hidden="0" customHeight="1">
      <x:c r="A61" s="7" t="s">
        <x:v>614</x:v>
      </x:c>
      <x:c r="B61" s="7" t="s">
        <x:v>608</x:v>
      </x:c>
      <x:c r="C61" s="7" t="s">
        <x:v>610</x:v>
      </x:c>
      <x:c r="D61" s="7" t="s">
        <x:v>6098</x:v>
      </x:c>
      <x:c r="E61" s="7" t="s">
        <x:v>6295</x:v>
      </x:c>
      <x:c r="F61" s="7" t="s">
        <x:v>6111</x:v>
      </x:c>
      <x:c r="G61" s="8" t="n">
        <x:v>1</x:v>
      </x:c>
      <x:c r="H61" s="9" t="n">
        <x:v>76.99</x:v>
      </x:c>
      <x:c r="I61" s="9" t="s">
        <x:v>58</x:v>
      </x:c>
      <x:c r="J61" s="9" t="n">
        <x:f aca="0">IF(L61,H61/G61,"Not applicable")</x:f>
        <x:v>76.99</x:v>
      </x:c>
      <x:c r="K61" s="7" t="s">
        <x:v>6101</x:v>
      </x:c>
      <x:c r="L61" s="11" t="b">
        <x:f aca="0">TRUE()</x:f>
        <x:v>1</x:v>
      </x:c>
      <x:c r="M61" s="11" t="b">
        <x:f aca="0">TRUE()</x:f>
        <x:v>1</x:v>
      </x:c>
      <x:c r="N61" s="9" t="n">
        <x:v>76.99</x:v>
      </x:c>
      <x:c r="O61" s="7" t="s">
        <x:v>6102</x:v>
      </x:c>
      <x:c r="P61" s="7" t="s">
        <x:v>6103</x:v>
      </x:c>
      <x:c r="Q61" s="7" t="s">
        <x:v>6104</x:v>
      </x:c>
      <x:c r="R61" s="7" t="s">
        <x:v>6128</x:v>
      </x:c>
      <x:c r="S61" s="7" t="s">
        <x:v>6296</x:v>
      </x:c>
      <x:c r="T61" s="7" t="s">
        <x:v>6297</x:v>
      </x:c>
      <x:c r="U61" s="13" t="n">
        <x:v>46275.5</x:v>
      </x:c>
      <x:c r="V61" s="7" t="s">
        <x:v>6108</x:v>
      </x:c>
    </x:row>
    <x:row r="62" ht="51.75" hidden="0" customHeight="1">
      <x:c r="A62" s="7" t="s">
        <x:v>6298</x:v>
      </x:c>
      <x:c r="B62" s="7" t="s">
        <x:v>749</x:v>
      </x:c>
      <x:c r="C62" s="7" t="s">
        <x:v>751</x:v>
      </x:c>
      <x:c r="D62" s="7" t="s">
        <x:v>6098</x:v>
      </x:c>
      <x:c r="E62" s="7" t="s">
        <x:v>6299</x:v>
      </x:c>
      <x:c r="F62" s="7" t="s">
        <x:v>6111</x:v>
      </x:c>
      <x:c r="G62" s="8" t="n">
        <x:v>1</x:v>
      </x:c>
      <x:c r="H62" s="9" t="s">
        <x:v>53</x:v>
      </x:c>
      <x:c r="I62" s="9" t="s">
        <x:v>58</x:v>
      </x:c>
      <x:c r="J62" s="9" t="str">
        <x:f aca="0">IF(L62,H62/G62,"Not applicable")</x:f>
        <x:v>Not applicable</x:v>
      </x:c>
      <x:c r="K62" s="7" t="s">
        <x:v>6101</x:v>
      </x:c>
      <x:c r="L62" s="11" t="b">
        <x:f aca="0">FALSE()</x:f>
        <x:v>0</x:v>
      </x:c>
      <x:c r="M62" s="11" t="b">
        <x:f aca="0">FALSE()</x:f>
        <x:v>0</x:v>
      </x:c>
      <x:c r="N62" s="9" t="n">
        <x:v>108.99</x:v>
      </x:c>
      <x:c r="O62" s="7" t="s">
        <x:v>6102</x:v>
      </x:c>
      <x:c r="P62" s="7" t="s">
        <x:v>6103</x:v>
      </x:c>
      <x:c r="Q62" s="7" t="s">
        <x:v>6104</x:v>
      </x:c>
      <x:c r="R62" s="7" t="s">
        <x:v>6112</x:v>
      </x:c>
      <x:c r="S62" s="7" t="s">
        <x:v>6300</x:v>
      </x:c>
      <x:c r="T62" s="7" t="s">
        <x:v>6301</x:v>
      </x:c>
      <x:c r="U62" s="13" t="n">
        <x:v>46275.5</x:v>
      </x:c>
      <x:c r="V62" s="7" t="s">
        <x:v>6114</x:v>
      </x:c>
    </x:row>
    <x:row r="63" ht="51.75" hidden="0" customHeight="1">
      <x:c r="A63" s="7" t="s">
        <x:v>757</x:v>
      </x:c>
      <x:c r="B63" s="7" t="s">
        <x:v>749</x:v>
      </x:c>
      <x:c r="C63" s="7" t="s">
        <x:v>751</x:v>
      </x:c>
      <x:c r="D63" s="7" t="s">
        <x:v>6098</x:v>
      </x:c>
      <x:c r="E63" s="7" t="s">
        <x:v>6302</x:v>
      </x:c>
      <x:c r="F63" s="7" t="s">
        <x:v>6111</x:v>
      </x:c>
      <x:c r="G63" s="8" t="n">
        <x:v>0.5</x:v>
      </x:c>
      <x:c r="H63" s="9" t="n">
        <x:v>57.99</x:v>
      </x:c>
      <x:c r="I63" s="9" t="s">
        <x:v>58</x:v>
      </x:c>
      <x:c r="J63" s="9" t="n">
        <x:f aca="0">IF(L63,H63/G63,"Not applicable")</x:f>
        <x:v>115.98</x:v>
      </x:c>
      <x:c r="K63" s="7" t="s">
        <x:v>6101</x:v>
      </x:c>
      <x:c r="L63" s="11" t="b">
        <x:f aca="0">TRUE()</x:f>
        <x:v>1</x:v>
      </x:c>
      <x:c r="M63" s="11" t="b">
        <x:f aca="0">TRUE()</x:f>
        <x:v>1</x:v>
      </x:c>
      <x:c r="N63" s="9" t="n">
        <x:v>57.99</x:v>
      </x:c>
      <x:c r="O63" s="7" t="s">
        <x:v>6102</x:v>
      </x:c>
      <x:c r="P63" s="7" t="s">
        <x:v>6103</x:v>
      </x:c>
      <x:c r="Q63" s="7" t="s">
        <x:v>6104</x:v>
      </x:c>
      <x:c r="R63" s="7" t="s">
        <x:v>6128</x:v>
      </x:c>
      <x:c r="S63" s="7" t="s">
        <x:v>6303</x:v>
      </x:c>
      <x:c r="T63" s="7" t="s">
        <x:v>6301</x:v>
      </x:c>
      <x:c r="U63" s="13" t="n">
        <x:v>46275.5</x:v>
      </x:c>
      <x:c r="V63" s="7" t="s">
        <x:v>6108</x:v>
      </x:c>
    </x:row>
    <x:row r="64" ht="51.75" hidden="0" customHeight="1">
      <x:c r="A64" s="7" t="s">
        <x:v>6304</x:v>
      </x:c>
      <x:c r="B64" s="7" t="s">
        <x:v>780</x:v>
      </x:c>
      <x:c r="C64" s="7" t="s">
        <x:v>782</x:v>
      </x:c>
      <x:c r="D64" s="7" t="s">
        <x:v>6098</x:v>
      </x:c>
      <x:c r="E64" s="7" t="s">
        <x:v>6305</x:v>
      </x:c>
      <x:c r="F64" s="7" t="s">
        <x:v>6111</x:v>
      </x:c>
      <x:c r="G64" s="8" t="n">
        <x:v>0.75</x:v>
      </x:c>
      <x:c r="H64" s="9" t="n">
        <x:v>190.99</x:v>
      </x:c>
      <x:c r="I64" s="9" t="s">
        <x:v>58</x:v>
      </x:c>
      <x:c r="J64" s="9" t="n">
        <x:f aca="0">IF(L64,H64/G64,"Not applicable")</x:f>
        <x:v>254.65333333333334</x:v>
      </x:c>
      <x:c r="K64" s="7" t="s">
        <x:v>6101</x:v>
      </x:c>
      <x:c r="L64" s="11" t="b">
        <x:f aca="0">TRUE()</x:f>
        <x:v>1</x:v>
      </x:c>
      <x:c r="M64" s="11" t="b">
        <x:f aca="0">TRUE()</x:f>
        <x:v>1</x:v>
      </x:c>
      <x:c r="N64" s="9" t="n">
        <x:v>190.99</x:v>
      </x:c>
      <x:c r="O64" s="7" t="s">
        <x:v>6102</x:v>
      </x:c>
      <x:c r="P64" s="7" t="s">
        <x:v>6103</x:v>
      </x:c>
      <x:c r="Q64" s="7" t="s">
        <x:v>6104</x:v>
      </x:c>
      <x:c r="R64" s="7" t="s">
        <x:v>6128</x:v>
      </x:c>
      <x:c r="S64" s="7" t="s">
        <x:v>6306</x:v>
      </x:c>
      <x:c r="T64" s="7" t="s">
        <x:v>6307</x:v>
      </x:c>
      <x:c r="U64" s="13" t="n">
        <x:v>46275.5</x:v>
      </x:c>
      <x:c r="V64" s="7" t="s">
        <x:v>6108</x:v>
      </x:c>
    </x:row>
    <x:row r="65" ht="51.75" hidden="0" customHeight="1">
      <x:c r="A65" s="7" t="s">
        <x:v>6308</x:v>
      </x:c>
      <x:c r="B65" s="7" t="s">
        <x:v>813</x:v>
      </x:c>
      <x:c r="C65" s="7" t="s">
        <x:v>815</x:v>
      </x:c>
      <x:c r="D65" s="7" t="s">
        <x:v>6098</x:v>
      </x:c>
      <x:c r="E65" s="7" t="s">
        <x:v>6309</x:v>
      </x:c>
      <x:c r="F65" s="7" t="s">
        <x:v>6111</x:v>
      </x:c>
      <x:c r="G65" s="8" t="n">
        <x:v>0.75</x:v>
      </x:c>
      <x:c r="H65" s="9" t="n">
        <x:v>165.99</x:v>
      </x:c>
      <x:c r="I65" s="9" t="s">
        <x:v>58</x:v>
      </x:c>
      <x:c r="J65" s="9" t="n">
        <x:f aca="0">IF(L65,H65/G65,"Not applicable")</x:f>
        <x:v>221.32000000000002</x:v>
      </x:c>
      <x:c r="K65" s="7" t="s">
        <x:v>6101</x:v>
      </x:c>
      <x:c r="L65" s="11" t="b">
        <x:f aca="0">TRUE()</x:f>
        <x:v>1</x:v>
      </x:c>
      <x:c r="M65" s="11" t="b">
        <x:f aca="0">TRUE()</x:f>
        <x:v>1</x:v>
      </x:c>
      <x:c r="N65" s="9" t="n">
        <x:v>165.99</x:v>
      </x:c>
      <x:c r="O65" s="7" t="s">
        <x:v>6102</x:v>
      </x:c>
      <x:c r="P65" s="7" t="s">
        <x:v>6103</x:v>
      </x:c>
      <x:c r="Q65" s="7" t="s">
        <x:v>6104</x:v>
      </x:c>
      <x:c r="R65" s="7" t="s">
        <x:v>6128</x:v>
      </x:c>
      <x:c r="S65" s="7" t="s">
        <x:v>6310</x:v>
      </x:c>
      <x:c r="T65" s="7" t="s">
        <x:v>6311</x:v>
      </x:c>
      <x:c r="U65" s="13" t="n">
        <x:v>46275.5</x:v>
      </x:c>
      <x:c r="V65" s="7" t="s">
        <x:v>6108</x:v>
      </x:c>
    </x:row>
    <x:row r="66" ht="37.5" hidden="0" customHeight="1">
      <x:c r="A66" s="7" t="s">
        <x:v>841</x:v>
      </x:c>
      <x:c r="B66" s="7" t="s">
        <x:v>834</x:v>
      </x:c>
      <x:c r="C66" s="7" t="s">
        <x:v>837</x:v>
      </x:c>
      <x:c r="D66" s="7" t="s">
        <x:v>6098</x:v>
      </x:c>
      <x:c r="E66" s="7" t="s">
        <x:v>6312</x:v>
      </x:c>
      <x:c r="F66" s="7" t="s">
        <x:v>6111</x:v>
      </x:c>
      <x:c r="G66" s="8" t="n">
        <x:v>0.5</x:v>
      </x:c>
      <x:c r="H66" s="9" t="n">
        <x:v>50.99</x:v>
      </x:c>
      <x:c r="I66" s="9" t="s">
        <x:v>58</x:v>
      </x:c>
      <x:c r="J66" s="9" t="n">
        <x:f aca="0">IF(L66,H66/G66,"Not applicable")</x:f>
        <x:v>101.98</x:v>
      </x:c>
      <x:c r="K66" s="7" t="s">
        <x:v>6101</x:v>
      </x:c>
      <x:c r="L66" s="11" t="b">
        <x:f aca="0">TRUE()</x:f>
        <x:v>1</x:v>
      </x:c>
      <x:c r="M66" s="11" t="b">
        <x:f aca="0">TRUE()</x:f>
        <x:v>1</x:v>
      </x:c>
      <x:c r="N66" s="9" t="n">
        <x:v>50.99</x:v>
      </x:c>
      <x:c r="O66" s="7" t="s">
        <x:v>6102</x:v>
      </x:c>
      <x:c r="P66" s="7" t="s">
        <x:v>6103</x:v>
      </x:c>
      <x:c r="Q66" s="7" t="s">
        <x:v>6104</x:v>
      </x:c>
      <x:c r="R66" s="7" t="s">
        <x:v>6128</x:v>
      </x:c>
      <x:c r="S66" s="7" t="s">
        <x:v>6313</x:v>
      </x:c>
      <x:c r="T66" s="7" t="s">
        <x:v>6314</x:v>
      </x:c>
      <x:c r="U66" s="13" t="n">
        <x:v>46275.5</x:v>
      </x:c>
      <x:c r="V66" s="7" t="s">
        <x:v>6108</x:v>
      </x:c>
    </x:row>
    <x:row r="67" ht="51.75" hidden="0" customHeight="1">
      <x:c r="A67" s="7" t="s">
        <x:v>6315</x:v>
      </x:c>
      <x:c r="B67" s="7" t="s">
        <x:v>861</x:v>
      </x:c>
      <x:c r="C67" s="7" t="s">
        <x:v>863</x:v>
      </x:c>
      <x:c r="D67" s="7" t="s">
        <x:v>6098</x:v>
      </x:c>
      <x:c r="E67" s="7" t="s">
        <x:v>6316</x:v>
      </x:c>
      <x:c r="F67" s="7" t="s">
        <x:v>6111</x:v>
      </x:c>
      <x:c r="G67" s="8" t="n">
        <x:v>0.5</x:v>
      </x:c>
      <x:c r="H67" s="9" t="n">
        <x:v>44.99</x:v>
      </x:c>
      <x:c r="I67" s="9" t="s">
        <x:v>58</x:v>
      </x:c>
      <x:c r="J67" s="9" t="n">
        <x:f aca="0">IF(L67,H67/G67,"Not applicable")</x:f>
        <x:v>89.98</x:v>
      </x:c>
      <x:c r="K67" s="7" t="s">
        <x:v>6101</x:v>
      </x:c>
      <x:c r="L67" s="11" t="b">
        <x:f aca="0">TRUE()</x:f>
        <x:v>1</x:v>
      </x:c>
      <x:c r="M67" s="11" t="b">
        <x:f aca="0">TRUE()</x:f>
        <x:v>1</x:v>
      </x:c>
      <x:c r="N67" s="9" t="n">
        <x:v>44.99</x:v>
      </x:c>
      <x:c r="O67" s="7" t="s">
        <x:v>6102</x:v>
      </x:c>
      <x:c r="P67" s="7" t="s">
        <x:v>6103</x:v>
      </x:c>
      <x:c r="Q67" s="7" t="s">
        <x:v>6104</x:v>
      </x:c>
      <x:c r="R67" s="7" t="s">
        <x:v>6128</x:v>
      </x:c>
      <x:c r="S67" s="7" t="s">
        <x:v>6317</x:v>
      </x:c>
      <x:c r="T67" s="7" t="s">
        <x:v>6318</x:v>
      </x:c>
      <x:c r="U67" s="13" t="n">
        <x:v>46275.5</x:v>
      </x:c>
      <x:c r="V67" s="7" t="s">
        <x:v>6108</x:v>
      </x:c>
    </x:row>
    <x:row r="68" ht="51.75" hidden="0" customHeight="1">
      <x:c r="A68" s="7" t="s">
        <x:v>875</x:v>
      </x:c>
      <x:c r="B68" s="7" t="s">
        <x:v>870</x:v>
      </x:c>
      <x:c r="C68" s="7" t="s">
        <x:v>872</x:v>
      </x:c>
      <x:c r="D68" s="7" t="s">
        <x:v>6098</x:v>
      </x:c>
      <x:c r="E68" s="7" t="s">
        <x:v>6319</x:v>
      </x:c>
      <x:c r="F68" s="7" t="s">
        <x:v>6111</x:v>
      </x:c>
      <x:c r="G68" s="8" t="n">
        <x:v>0.5</x:v>
      </x:c>
      <x:c r="H68" s="9" t="n">
        <x:v>19.99</x:v>
      </x:c>
      <x:c r="I68" s="9" t="s">
        <x:v>58</x:v>
      </x:c>
      <x:c r="J68" s="9" t="n">
        <x:f aca="0">IF(L68,H68/G68,"Not applicable")</x:f>
        <x:v>39.98</x:v>
      </x:c>
      <x:c r="K68" s="7" t="s">
        <x:v>6101</x:v>
      </x:c>
      <x:c r="L68" s="11" t="b">
        <x:f aca="0">TRUE()</x:f>
        <x:v>1</x:v>
      </x:c>
      <x:c r="M68" s="11" t="b">
        <x:f aca="0">TRUE()</x:f>
        <x:v>1</x:v>
      </x:c>
      <x:c r="N68" s="9" t="n">
        <x:v>19.99</x:v>
      </x:c>
      <x:c r="O68" s="7" t="s">
        <x:v>6102</x:v>
      </x:c>
      <x:c r="P68" s="7" t="s">
        <x:v>6103</x:v>
      </x:c>
      <x:c r="Q68" s="7" t="s">
        <x:v>6104</x:v>
      </x:c>
      <x:c r="R68" s="7" t="s">
        <x:v>6128</x:v>
      </x:c>
      <x:c r="S68" s="7" t="s">
        <x:v>6320</x:v>
      </x:c>
      <x:c r="T68" s="7" t="s">
        <x:v>6321</x:v>
      </x:c>
      <x:c r="U68" s="13" t="n">
        <x:v>46275.5</x:v>
      </x:c>
      <x:c r="V68" s="7" t="s">
        <x:v>6108</x:v>
      </x:c>
    </x:row>
    <x:row r="69" ht="51.75" hidden="0" customHeight="1">
      <x:c r="A69" s="7" t="s">
        <x:v>6322</x:v>
      </x:c>
      <x:c r="B69" s="7" t="s">
        <x:v>878</x:v>
      </x:c>
      <x:c r="C69" s="7" t="s">
        <x:v>880</x:v>
      </x:c>
      <x:c r="D69" s="7" t="s">
        <x:v>6098</x:v>
      </x:c>
      <x:c r="E69" s="7" t="s">
        <x:v>6323</x:v>
      </x:c>
      <x:c r="F69" s="7" t="s">
        <x:v>6111</x:v>
      </x:c>
      <x:c r="G69" s="8" t="n">
        <x:v>0.5</x:v>
      </x:c>
      <x:c r="H69" s="9" t="n">
        <x:v>50.99</x:v>
      </x:c>
      <x:c r="I69" s="9" t="s">
        <x:v>58</x:v>
      </x:c>
      <x:c r="J69" s="9" t="str">
        <x:f aca="0">IF(L69,H69/G69,"Not applicable")</x:f>
        <x:v>Not applicable</x:v>
      </x:c>
      <x:c r="K69" s="7" t="s">
        <x:v>6124</x:v>
      </x:c>
      <x:c r="L69" s="11" t="b">
        <x:f aca="0">FALSE()</x:f>
        <x:v>0</x:v>
      </x:c>
      <x:c r="M69" s="11" t="b">
        <x:f aca="0">FALSE()</x:f>
        <x:v>0</x:v>
      </x:c>
      <x:c r="N69" s="9" t="n">
        <x:v>50.99</x:v>
      </x:c>
      <x:c r="O69" s="7" t="s">
        <x:v>6102</x:v>
      </x:c>
      <x:c r="P69" s="7" t="s">
        <x:v>6103</x:v>
      </x:c>
      <x:c r="Q69" s="7" t="s">
        <x:v>6104</x:v>
      </x:c>
      <x:c r="R69" s="7" t="s">
        <x:v>6128</x:v>
      </x:c>
      <x:c r="S69" s="7" t="s">
        <x:v>6324</x:v>
      </x:c>
      <x:c r="T69" s="7" t="s">
        <x:v>6325</x:v>
      </x:c>
      <x:c r="U69" s="13" t="n">
        <x:v>46275.5</x:v>
      </x:c>
      <x:c r="V69" s="7" t="s">
        <x:v>6114</x:v>
      </x:c>
    </x:row>
    <x:row r="70" ht="51.75" hidden="0" customHeight="1">
      <x:c r="A70" s="7" t="s">
        <x:v>6326</x:v>
      </x:c>
      <x:c r="B70" s="7" t="s">
        <x:v>76</x:v>
      </x:c>
      <x:c r="C70" s="7" t="s">
        <x:v>79</x:v>
      </x:c>
      <x:c r="D70" s="7" t="s">
        <x:v>6327</x:v>
      </x:c>
      <x:c r="E70" s="7" t="s">
        <x:v>6328</x:v>
      </x:c>
      <x:c r="F70" s="7" t="s">
        <x:v>6100</x:v>
      </x:c>
      <x:c r="G70" s="8" t="n">
        <x:v>1</x:v>
      </x:c>
      <x:c r="H70" s="9" t="n">
        <x:v>25.99</x:v>
      </x:c>
      <x:c r="I70" s="9" t="s">
        <x:v>58</x:v>
      </x:c>
      <x:c r="J70" s="9" t="n">
        <x:f aca="0">IF(L70,H70/G70,"Not applicable")</x:f>
        <x:v>25.99</x:v>
      </x:c>
      <x:c r="K70" s="7" t="s">
        <x:v>6101</x:v>
      </x:c>
      <x:c r="L70" s="11" t="b">
        <x:f aca="0">TRUE()</x:f>
        <x:v>1</x:v>
      </x:c>
      <x:c r="M70" s="11" t="b">
        <x:f aca="0">FALSE()</x:f>
        <x:v>0</x:v>
      </x:c>
      <x:c r="N70" s="9" t="n">
        <x:v>25.99</x:v>
      </x:c>
      <x:c r="O70" s="7" t="s">
        <x:v>6102</x:v>
      </x:c>
      <x:c r="P70" s="7" t="s">
        <x:v>6103</x:v>
      </x:c>
      <x:c r="Q70" s="7" t="s">
        <x:v>6104</x:v>
      </x:c>
      <x:c r="R70" s="7" t="s">
        <x:v>6329</x:v>
      </x:c>
      <x:c r="S70" s="7" t="s">
        <x:v>6330</x:v>
      </x:c>
      <x:c r="T70" s="7" t="s">
        <x:v>6331</x:v>
      </x:c>
      <x:c r="U70" s="13" t="n">
        <x:v>46275.5</x:v>
      </x:c>
      <x:c r="V70" s="7" t="s">
        <x:v>6108</x:v>
      </x:c>
    </x:row>
    <x:row r="71" ht="51.75" hidden="0" customHeight="1">
      <x:c r="A71" s="7" t="s">
        <x:v>966</x:v>
      </x:c>
      <x:c r="B71" s="7" t="s">
        <x:v>957</x:v>
      </x:c>
      <x:c r="C71" s="7" t="s">
        <x:v>1371</x:v>
      </x:c>
      <x:c r="D71" s="7" t="s">
        <x:v>6327</x:v>
      </x:c>
      <x:c r="E71" s="7" t="s">
        <x:v>6332</x:v>
      </x:c>
      <x:c r="F71" s="7" t="s">
        <x:v>6111</x:v>
      </x:c>
      <x:c r="G71" s="8" t="n">
        <x:v>1</x:v>
      </x:c>
      <x:c r="H71" s="9" t="n">
        <x:v>47.99</x:v>
      </x:c>
      <x:c r="I71" s="9" t="n">
        <x:v>34.99</x:v>
      </x:c>
      <x:c r="J71" s="9" t="n">
        <x:f aca="0">IF(L71,H71/G71,"Not applicable")</x:f>
        <x:v>47.99</x:v>
      </x:c>
      <x:c r="K71" s="7" t="s">
        <x:v>6101</x:v>
      </x:c>
      <x:c r="L71" s="11" t="b">
        <x:f aca="0">TRUE()</x:f>
        <x:v>1</x:v>
      </x:c>
      <x:c r="M71" s="11" t="b">
        <x:f aca="0">TRUE()</x:f>
        <x:v>1</x:v>
      </x:c>
      <x:c r="N71" s="9" t="n">
        <x:v>34.99</x:v>
      </x:c>
      <x:c r="O71" s="7" t="s">
        <x:v>6102</x:v>
      </x:c>
      <x:c r="P71" s="7" t="s">
        <x:v>6103</x:v>
      </x:c>
      <x:c r="Q71" s="7" t="s">
        <x:v>6104</x:v>
      </x:c>
      <x:c r="R71" s="7" t="s">
        <x:v>6333</x:v>
      </x:c>
      <x:c r="S71" s="7" t="s">
        <x:v>6334</x:v>
      </x:c>
      <x:c r="T71" s="7" t="s">
        <x:v>6331</x:v>
      </x:c>
      <x:c r="U71" s="13" t="n">
        <x:v>46275.5</x:v>
      </x:c>
      <x:c r="V71" s="7" t="s">
        <x:v>6108</x:v>
      </x:c>
    </x:row>
    <x:row r="72" ht="66" hidden="0" customHeight="1">
      <x:c r="A72" s="7" t="s">
        <x:v>6335</x:v>
      </x:c>
      <x:c r="B72" s="7" t="s">
        <x:v>342</x:v>
      </x:c>
      <x:c r="C72" s="7" t="s">
        <x:v>344</x:v>
      </x:c>
      <x:c r="D72" s="7" t="s">
        <x:v>6327</x:v>
      </x:c>
      <x:c r="E72" s="7" t="s">
        <x:v>6336</x:v>
      </x:c>
      <x:c r="F72" s="7" t="s">
        <x:v>6111</x:v>
      </x:c>
      <x:c r="G72" s="8" t="n">
        <x:v>1</x:v>
      </x:c>
      <x:c r="H72" s="9" t="n">
        <x:v>33.99</x:v>
      </x:c>
      <x:c r="I72" s="9" t="s">
        <x:v>58</x:v>
      </x:c>
      <x:c r="J72" s="9" t="str">
        <x:f aca="0"/>
        <x:v>Not applicable</x:v>
      </x:c>
      <x:c r="K72" s="7" t="s">
        <x:v>6101</x:v>
      </x:c>
      <x:c r="L72" s="14" t="b">
        <x:f aca="0"/>
        <x:v>0</x:v>
      </x:c>
      <x:c r="M72" s="14" t="b">
        <x:f aca="0"/>
        <x:v>0</x:v>
      </x:c>
      <x:c r="N72" s="9" t="n">
        <x:v>33.99</x:v>
      </x:c>
      <x:c r="O72" s="7" t="s">
        <x:v>6102</x:v>
      </x:c>
      <x:c r="P72" s="7" t="s">
        <x:v>6103</x:v>
      </x:c>
      <x:c r="Q72" s="7" t="s">
        <x:v>6104</x:v>
      </x:c>
      <x:c r="R72" s="7" t="str">
        <x:v>Quarantined: listing is Bambu PLA Pure, not ABS; exact-grade mapping unresolved</x:v>
      </x:c>
      <x:c r="S72" s="7" t="s">
        <x:v>6337</x:v>
      </x:c>
      <x:c r="T72" s="7" t="s">
        <x:v>6331</x:v>
      </x:c>
      <x:c r="U72" s="13" t="n">
        <x:v>46275.5</x:v>
      </x:c>
      <x:c r="V72" s="7" t="str">
        <x:v>Wrong-material mapping confirmed 2026-09-13. Excluded from ABS pricing and all headline calculations; retained only as an audit trail pending a verified PLA Pure grade identity.</x:v>
      </x:c>
    </x:row>
    <x:row r="73" ht="66" hidden="0" customHeight="1">
      <x:c r="A73" s="7" t="s">
        <x:v>6338</x:v>
      </x:c>
      <x:c r="B73" s="7" t="s">
        <x:v>495</x:v>
      </x:c>
      <x:c r="C73" s="7" t="s">
        <x:v>497</x:v>
      </x:c>
      <x:c r="D73" s="7" t="s">
        <x:v>6327</x:v>
      </x:c>
      <x:c r="E73" s="7" t="s">
        <x:v>6339</x:v>
      </x:c>
      <x:c r="F73" s="7" t="s">
        <x:v>6111</x:v>
      </x:c>
      <x:c r="G73" s="8" t="n">
        <x:v>1</x:v>
      </x:c>
      <x:c r="H73" s="9" t="n">
        <x:v>49.99</x:v>
      </x:c>
      <x:c r="I73" s="9" t="s">
        <x:v>58</x:v>
      </x:c>
      <x:c r="J73" s="9" t="n">
        <x:f aca="0">IF(L73,H73/G73,"Not applicable")</x:f>
        <x:v>49.99</x:v>
      </x:c>
      <x:c r="K73" s="7" t="s">
        <x:v>6101</x:v>
      </x:c>
      <x:c r="L73" s="11" t="b">
        <x:f aca="0">TRUE()</x:f>
        <x:v>1</x:v>
      </x:c>
      <x:c r="M73" s="11" t="b">
        <x:f aca="0">TRUE()</x:f>
        <x:v>1</x:v>
      </x:c>
      <x:c r="N73" s="9" t="n">
        <x:v>49.99</x:v>
      </x:c>
      <x:c r="O73" s="7" t="s">
        <x:v>6102</x:v>
      </x:c>
      <x:c r="P73" s="7" t="s">
        <x:v>6103</x:v>
      </x:c>
      <x:c r="Q73" s="7" t="s">
        <x:v>6104</x:v>
      </x:c>
      <x:c r="R73" s="7" t="s">
        <x:v>6329</x:v>
      </x:c>
      <x:c r="S73" s="7" t="s">
        <x:v>6340</x:v>
      </x:c>
      <x:c r="T73" s="7" t="s">
        <x:v>6341</x:v>
      </x:c>
      <x:c r="U73" s="13" t="n">
        <x:v>46275.5</x:v>
      </x:c>
      <x:c r="V73" s="7" t="s">
        <x:v>6108</x:v>
      </x:c>
    </x:row>
    <x:row r="74" ht="51.75" hidden="0" customHeight="1">
      <x:c r="A74" s="7" t="s">
        <x:v>6342</x:v>
      </x:c>
      <x:c r="B74" s="7" t="s">
        <x:v>780</x:v>
      </x:c>
      <x:c r="C74" s="7" t="s">
        <x:v>782</x:v>
      </x:c>
      <x:c r="D74" s="7" t="s">
        <x:v>6327</x:v>
      </x:c>
      <x:c r="E74" s="7" t="s">
        <x:v>6343</x:v>
      </x:c>
      <x:c r="F74" s="7" t="s">
        <x:v>6111</x:v>
      </x:c>
      <x:c r="G74" s="8" t="n">
        <x:v>0.75</x:v>
      </x:c>
      <x:c r="H74" s="9" t="n">
        <x:v>190.99</x:v>
      </x:c>
      <x:c r="I74" s="9" t="s">
        <x:v>58</x:v>
      </x:c>
      <x:c r="J74" s="9" t="n">
        <x:f aca="0">IF(L74,H74/G74,"Not applicable")</x:f>
        <x:v>254.65333333333334</x:v>
      </x:c>
      <x:c r="K74" s="7" t="s">
        <x:v>6101</x:v>
      </x:c>
      <x:c r="L74" s="11" t="b">
        <x:f aca="0">TRUE()</x:f>
        <x:v>1</x:v>
      </x:c>
      <x:c r="M74" s="11" t="b">
        <x:f aca="0">TRUE()</x:f>
        <x:v>1</x:v>
      </x:c>
      <x:c r="N74" s="9" t="n">
        <x:v>190.99</x:v>
      </x:c>
      <x:c r="O74" s="7" t="s">
        <x:v>6102</x:v>
      </x:c>
      <x:c r="P74" s="7" t="s">
        <x:v>6103</x:v>
      </x:c>
      <x:c r="Q74" s="7" t="s">
        <x:v>6104</x:v>
      </x:c>
      <x:c r="R74" s="7" t="s">
        <x:v>6329</x:v>
      </x:c>
      <x:c r="S74" s="7" t="s">
        <x:v>6344</x:v>
      </x:c>
      <x:c r="T74" s="7" t="s">
        <x:v>6341</x:v>
      </x:c>
      <x:c r="U74" s="13" t="n">
        <x:v>46275.5</x:v>
      </x:c>
      <x:c r="V74" s="7" t="s">
        <x:v>6108</x:v>
      </x:c>
    </x:row>
    <x:row r="75" ht="51.75" hidden="0" customHeight="1">
      <x:c r="A75" s="7" t="s">
        <x:v>6345</x:v>
      </x:c>
      <x:c r="B75" s="7" t="s">
        <x:v>291</x:v>
      </x:c>
      <x:c r="C75" s="7" t="s">
        <x:v>293</x:v>
      </x:c>
      <x:c r="D75" s="7" t="s">
        <x:v>6327</x:v>
      </x:c>
      <x:c r="E75" s="7" t="s">
        <x:v>6346</x:v>
      </x:c>
      <x:c r="F75" s="7" t="s">
        <x:v>6111</x:v>
      </x:c>
      <x:c r="G75" s="8" t="n">
        <x:v>1</x:v>
      </x:c>
      <x:c r="H75" s="9" t="n">
        <x:v>29.99</x:v>
      </x:c>
      <x:c r="I75" s="9" t="s">
        <x:v>58</x:v>
      </x:c>
      <x:c r="J75" s="9" t="str">
        <x:f aca="0">IF(L75,H75/G75,"Not applicable")</x:f>
        <x:v>Not applicable</x:v>
      </x:c>
      <x:c r="K75" s="7" t="s">
        <x:v>6124</x:v>
      </x:c>
      <x:c r="L75" s="11" t="b">
        <x:f aca="0">FALSE()</x:f>
        <x:v>0</x:v>
      </x:c>
      <x:c r="M75" s="11" t="b">
        <x:f aca="0">FALSE()</x:f>
        <x:v>0</x:v>
      </x:c>
      <x:c r="N75" s="9" t="n">
        <x:v>29.99</x:v>
      </x:c>
      <x:c r="O75" s="7" t="s">
        <x:v>6102</x:v>
      </x:c>
      <x:c r="P75" s="7" t="s">
        <x:v>6103</x:v>
      </x:c>
      <x:c r="Q75" s="7" t="s">
        <x:v>6104</x:v>
      </x:c>
      <x:c r="R75" s="7" t="s">
        <x:v>6329</x:v>
      </x:c>
      <x:c r="S75" s="7" t="s">
        <x:v>6347</x:v>
      </x:c>
      <x:c r="T75" s="7" t="s">
        <x:v>6341</x:v>
      </x:c>
      <x:c r="U75" s="13" t="n">
        <x:v>46275.5</x:v>
      </x:c>
      <x:c r="V75" s="7" t="s">
        <x:v>6114</x:v>
      </x:c>
    </x:row>
    <x:row r="76" ht="51.75" hidden="0" customHeight="1">
      <x:c r="A76" s="7" t="s">
        <x:v>6348</x:v>
      </x:c>
      <x:c r="B76" s="7" t="s">
        <x:v>452</x:v>
      </x:c>
      <x:c r="C76" s="7" t="s">
        <x:v>454</x:v>
      </x:c>
      <x:c r="D76" s="7" t="s">
        <x:v>6327</x:v>
      </x:c>
      <x:c r="E76" s="7" t="s">
        <x:v>6349</x:v>
      </x:c>
      <x:c r="F76" s="7" t="s">
        <x:v>6111</x:v>
      </x:c>
      <x:c r="G76" s="8" t="n">
        <x:v>1</x:v>
      </x:c>
      <x:c r="H76" s="9" t="n">
        <x:v>69.99</x:v>
      </x:c>
      <x:c r="I76" s="9" t="s">
        <x:v>58</x:v>
      </x:c>
      <x:c r="J76" s="9" t="str">
        <x:f aca="0">IF(L76,H76/G76,"Not applicable")</x:f>
        <x:v>Not applicable</x:v>
      </x:c>
      <x:c r="K76" s="7" t="s">
        <x:v>6124</x:v>
      </x:c>
      <x:c r="L76" s="11" t="b">
        <x:f aca="0">FALSE()</x:f>
        <x:v>0</x:v>
      </x:c>
      <x:c r="M76" s="11" t="b">
        <x:f aca="0">FALSE()</x:f>
        <x:v>0</x:v>
      </x:c>
      <x:c r="N76" s="9" t="n">
        <x:v>69.99</x:v>
      </x:c>
      <x:c r="O76" s="7" t="s">
        <x:v>6102</x:v>
      </x:c>
      <x:c r="P76" s="7" t="s">
        <x:v>6103</x:v>
      </x:c>
      <x:c r="Q76" s="7" t="s">
        <x:v>6104</x:v>
      </x:c>
      <x:c r="R76" s="7" t="s">
        <x:v>6329</x:v>
      </x:c>
      <x:c r="S76" s="7" t="s">
        <x:v>6350</x:v>
      </x:c>
      <x:c r="T76" s="7" t="s">
        <x:v>6351</x:v>
      </x:c>
      <x:c r="U76" s="13" t="n">
        <x:v>46275.5</x:v>
      </x:c>
      <x:c r="V76" s="7" t="s">
        <x:v>6114</x:v>
      </x:c>
    </x:row>
    <x:row r="77" ht="51.75" hidden="0" customHeight="1">
      <x:c r="A77" s="7" t="s">
        <x:v>6352</x:v>
      </x:c>
      <x:c r="B77" s="7" t="s">
        <x:v>148</x:v>
      </x:c>
      <x:c r="C77" s="7" t="s">
        <x:v>150</x:v>
      </x:c>
      <x:c r="D77" s="7" t="s">
        <x:v>6327</x:v>
      </x:c>
      <x:c r="E77" s="7" t="s">
        <x:v>6353</x:v>
      </x:c>
      <x:c r="F77" s="7" t="s">
        <x:v>6111</x:v>
      </x:c>
      <x:c r="G77" s="8" t="n">
        <x:v>1</x:v>
      </x:c>
      <x:c r="H77" s="9" t="n">
        <x:v>31.99</x:v>
      </x:c>
      <x:c r="I77" s="9" t="s">
        <x:v>58</x:v>
      </x:c>
      <x:c r="J77" s="9" t="n">
        <x:f aca="0">IF(L77,H77/G77,"Not applicable")</x:f>
        <x:v>31.99</x:v>
      </x:c>
      <x:c r="K77" s="7" t="s">
        <x:v>6101</x:v>
      </x:c>
      <x:c r="L77" s="11" t="b">
        <x:f aca="0">TRUE()</x:f>
        <x:v>1</x:v>
      </x:c>
      <x:c r="M77" s="11" t="b">
        <x:f aca="0">TRUE()</x:f>
        <x:v>1</x:v>
      </x:c>
      <x:c r="N77" s="9" t="n">
        <x:v>31.99</x:v>
      </x:c>
      <x:c r="O77" s="7" t="s">
        <x:v>6102</x:v>
      </x:c>
      <x:c r="P77" s="7" t="s">
        <x:v>6103</x:v>
      </x:c>
      <x:c r="Q77" s="7" t="s">
        <x:v>6104</x:v>
      </x:c>
      <x:c r="R77" s="7" t="s">
        <x:v>6329</x:v>
      </x:c>
      <x:c r="S77" s="7" t="s">
        <x:v>6354</x:v>
      </x:c>
      <x:c r="T77" s="7" t="s">
        <x:v>6351</x:v>
      </x:c>
      <x:c r="U77" s="13" t="n">
        <x:v>46275.5</x:v>
      </x:c>
      <x:c r="V77" s="7" t="s">
        <x:v>6108</x:v>
      </x:c>
    </x:row>
    <x:row r="78" ht="79.5" hidden="0" customHeight="1">
      <x:c r="A78" s="7" t="s">
        <x:v>6355</x:v>
      </x:c>
      <x:c r="B78" s="7" t="s">
        <x:v>158</x:v>
      </x:c>
      <x:c r="C78" s="7" t="s">
        <x:v>160</x:v>
      </x:c>
      <x:c r="D78" s="7" t="s">
        <x:v>6327</x:v>
      </x:c>
      <x:c r="E78" s="7" t="s">
        <x:v>6356</x:v>
      </x:c>
      <x:c r="F78" s="7" t="s">
        <x:v>6111</x:v>
      </x:c>
      <x:c r="G78" s="8" t="n">
        <x:v>1</x:v>
      </x:c>
      <x:c r="H78" s="9" t="n">
        <x:v>31.99</x:v>
      </x:c>
      <x:c r="I78" s="9" t="s">
        <x:v>58</x:v>
      </x:c>
      <x:c r="J78" s="9" t="n">
        <x:f aca="0">IF(L78,H78/G78,"Not applicable")</x:f>
        <x:v>31.99</x:v>
      </x:c>
      <x:c r="K78" s="7" t="s">
        <x:v>6101</x:v>
      </x:c>
      <x:c r="L78" s="11" t="b">
        <x:f aca="0">TRUE()</x:f>
        <x:v>1</x:v>
      </x:c>
      <x:c r="M78" s="11" t="b">
        <x:f aca="0">TRUE()</x:f>
        <x:v>1</x:v>
      </x:c>
      <x:c r="N78" s="9" t="n">
        <x:v>31.99</x:v>
      </x:c>
      <x:c r="O78" s="7" t="s">
        <x:v>6102</x:v>
      </x:c>
      <x:c r="P78" s="7" t="s">
        <x:v>6103</x:v>
      </x:c>
      <x:c r="Q78" s="7" t="s">
        <x:v>6104</x:v>
      </x:c>
      <x:c r="R78" s="7" t="s">
        <x:v>6329</x:v>
      </x:c>
      <x:c r="S78" s="7" t="s">
        <x:v>6357</x:v>
      </x:c>
      <x:c r="T78" s="7" t="s">
        <x:v>6351</x:v>
      </x:c>
      <x:c r="U78" s="13" t="n">
        <x:v>46275.5</x:v>
      </x:c>
      <x:c r="V78" s="7" t="s">
        <x:v>6108</x:v>
      </x:c>
    </x:row>
    <x:row r="79" ht="66" hidden="0" customHeight="1">
      <x:c r="A79" s="7" t="s">
        <x:v>6358</x:v>
      </x:c>
      <x:c r="B79" s="7" t="s">
        <x:v>861</x:v>
      </x:c>
      <x:c r="C79" s="7" t="s">
        <x:v>863</x:v>
      </x:c>
      <x:c r="D79" s="7" t="s">
        <x:v>6327</x:v>
      </x:c>
      <x:c r="E79" s="7" t="s">
        <x:v>6359</x:v>
      </x:c>
      <x:c r="F79" s="7" t="s">
        <x:v>6111</x:v>
      </x:c>
      <x:c r="G79" s="8" t="n">
        <x:v>0.5</x:v>
      </x:c>
      <x:c r="H79" s="9" t="n">
        <x:v>44.99</x:v>
      </x:c>
      <x:c r="I79" s="9" t="s">
        <x:v>58</x:v>
      </x:c>
      <x:c r="J79" s="9" t="n">
        <x:f aca="0">IF(L79,H79/G79,"Not applicable")</x:f>
        <x:v>89.98</x:v>
      </x:c>
      <x:c r="K79" s="7" t="s">
        <x:v>6101</x:v>
      </x:c>
      <x:c r="L79" s="11" t="b">
        <x:f aca="0">TRUE()</x:f>
        <x:v>1</x:v>
      </x:c>
      <x:c r="M79" s="11" t="b">
        <x:f aca="0">TRUE()</x:f>
        <x:v>1</x:v>
      </x:c>
      <x:c r="N79" s="9" t="n">
        <x:v>44.99</x:v>
      </x:c>
      <x:c r="O79" s="7" t="s">
        <x:v>6102</x:v>
      </x:c>
      <x:c r="P79" s="7" t="s">
        <x:v>6103</x:v>
      </x:c>
      <x:c r="Q79" s="7" t="s">
        <x:v>6104</x:v>
      </x:c>
      <x:c r="R79" s="7" t="s">
        <x:v>6329</x:v>
      </x:c>
      <x:c r="S79" s="7" t="s">
        <x:v>6360</x:v>
      </x:c>
      <x:c r="T79" s="7" t="s">
        <x:v>6351</x:v>
      </x:c>
      <x:c r="U79" s="13" t="n">
        <x:v>46275.5</x:v>
      </x:c>
      <x:c r="V79" s="7" t="s">
        <x:v>6108</x:v>
      </x:c>
    </x:row>
    <x:row r="80" ht="51.75" hidden="0" customHeight="1">
      <x:c r="A80" s="7" t="s">
        <x:v>6361</x:v>
      </x:c>
      <x:c r="B80" s="7" t="s">
        <x:v>76</x:v>
      </x:c>
      <x:c r="C80" s="7" t="s">
        <x:v>79</x:v>
      </x:c>
      <x:c r="D80" s="7" t="s">
        <x:v>6327</x:v>
      </x:c>
      <x:c r="E80" s="7" t="s">
        <x:v>6362</x:v>
      </x:c>
      <x:c r="F80" s="7" t="s">
        <x:v>6111</x:v>
      </x:c>
      <x:c r="G80" s="8" t="n">
        <x:v>1</x:v>
      </x:c>
      <x:c r="H80" s="9" t="n">
        <x:v>29.99</x:v>
      </x:c>
      <x:c r="I80" s="9" t="s">
        <x:v>58</x:v>
      </x:c>
      <x:c r="J80" s="9" t="n">
        <x:f aca="0">IF(L80,H80/G80,"Not applicable")</x:f>
        <x:v>29.99</x:v>
      </x:c>
      <x:c r="K80" s="7" t="s">
        <x:v>6101</x:v>
      </x:c>
      <x:c r="L80" s="11" t="b">
        <x:f aca="0">TRUE()</x:f>
        <x:v>1</x:v>
      </x:c>
      <x:c r="M80" s="11" t="b">
        <x:f aca="0">TRUE()</x:f>
        <x:v>1</x:v>
      </x:c>
      <x:c r="N80" s="9" t="n">
        <x:v>29.99</x:v>
      </x:c>
      <x:c r="O80" s="7" t="s">
        <x:v>6102</x:v>
      </x:c>
      <x:c r="P80" s="7" t="s">
        <x:v>6103</x:v>
      </x:c>
      <x:c r="Q80" s="7" t="s">
        <x:v>6104</x:v>
      </x:c>
      <x:c r="R80" s="7" t="s">
        <x:v>6329</x:v>
      </x:c>
      <x:c r="S80" s="7" t="s">
        <x:v>6363</x:v>
      </x:c>
      <x:c r="T80" s="7" t="s">
        <x:v>6351</x:v>
      </x:c>
      <x:c r="U80" s="13" t="n">
        <x:v>46275.5</x:v>
      </x:c>
      <x:c r="V80" s="7" t="s">
        <x:v>6108</x:v>
      </x:c>
    </x:row>
    <x:row r="81" ht="51.75" hidden="0" customHeight="1">
      <x:c r="A81" s="7" t="s">
        <x:v>6364</x:v>
      </x:c>
      <x:c r="B81" s="7" t="s">
        <x:v>94</x:v>
      </x:c>
      <x:c r="C81" s="7" t="s">
        <x:v>96</x:v>
      </x:c>
      <x:c r="D81" s="7" t="s">
        <x:v>6327</x:v>
      </x:c>
      <x:c r="E81" s="7" t="s">
        <x:v>6365</x:v>
      </x:c>
      <x:c r="F81" s="7" t="s">
        <x:v>6100</x:v>
      </x:c>
      <x:c r="G81" s="8" t="n">
        <x:v>1</x:v>
      </x:c>
      <x:c r="H81" s="9" t="n">
        <x:v>25.99</x:v>
      </x:c>
      <x:c r="I81" s="9" t="s">
        <x:v>58</x:v>
      </x:c>
      <x:c r="J81" s="9" t="n">
        <x:f aca="0">IF(L81,H81/G81,"Not applicable")</x:f>
        <x:v>25.99</x:v>
      </x:c>
      <x:c r="K81" s="7" t="s">
        <x:v>6101</x:v>
      </x:c>
      <x:c r="L81" s="11" t="b">
        <x:f aca="0">TRUE()</x:f>
        <x:v>1</x:v>
      </x:c>
      <x:c r="M81" s="11" t="b">
        <x:f aca="0">FALSE()</x:f>
        <x:v>0</x:v>
      </x:c>
      <x:c r="N81" s="9" t="n">
        <x:v>25.99</x:v>
      </x:c>
      <x:c r="O81" s="7" t="s">
        <x:v>6102</x:v>
      </x:c>
      <x:c r="P81" s="7" t="s">
        <x:v>6103</x:v>
      </x:c>
      <x:c r="Q81" s="7" t="s">
        <x:v>6104</x:v>
      </x:c>
      <x:c r="R81" s="7" t="s">
        <x:v>6329</x:v>
      </x:c>
      <x:c r="S81" s="7" t="s">
        <x:v>6366</x:v>
      </x:c>
      <x:c r="T81" s="7" t="s">
        <x:v>6351</x:v>
      </x:c>
      <x:c r="U81" s="13" t="n">
        <x:v>46275.5</x:v>
      </x:c>
      <x:c r="V81" s="7" t="s">
        <x:v>6108</x:v>
      </x:c>
    </x:row>
    <x:row r="82" ht="66" hidden="0" customHeight="1">
      <x:c r="A82" s="7" t="s">
        <x:v>6367</x:v>
      </x:c>
      <x:c r="B82" s="7" t="s">
        <x:v>94</x:v>
      </x:c>
      <x:c r="C82" s="7" t="s">
        <x:v>96</x:v>
      </x:c>
      <x:c r="D82" s="7" t="s">
        <x:v>6327</x:v>
      </x:c>
      <x:c r="E82" s="7" t="s">
        <x:v>6368</x:v>
      </x:c>
      <x:c r="F82" s="7" t="s">
        <x:v>6111</x:v>
      </x:c>
      <x:c r="G82" s="8" t="n">
        <x:v>1</x:v>
      </x:c>
      <x:c r="H82" s="9" t="n">
        <x:v>29.99</x:v>
      </x:c>
      <x:c r="I82" s="9" t="s">
        <x:v>58</x:v>
      </x:c>
      <x:c r="J82" s="9" t="n">
        <x:f aca="0">IF(L82,H82/G82,"Not applicable")</x:f>
        <x:v>29.99</x:v>
      </x:c>
      <x:c r="K82" s="7" t="s">
        <x:v>6101</x:v>
      </x:c>
      <x:c r="L82" s="11" t="b">
        <x:f aca="0">TRUE()</x:f>
        <x:v>1</x:v>
      </x:c>
      <x:c r="M82" s="11" t="b">
        <x:f aca="0">TRUE()</x:f>
        <x:v>1</x:v>
      </x:c>
      <x:c r="N82" s="9" t="n">
        <x:v>29.99</x:v>
      </x:c>
      <x:c r="O82" s="7" t="s">
        <x:v>6102</x:v>
      </x:c>
      <x:c r="P82" s="7" t="s">
        <x:v>6103</x:v>
      </x:c>
      <x:c r="Q82" s="7" t="s">
        <x:v>6104</x:v>
      </x:c>
      <x:c r="R82" s="7" t="s">
        <x:v>6329</x:v>
      </x:c>
      <x:c r="S82" s="7" t="s">
        <x:v>6369</x:v>
      </x:c>
      <x:c r="T82" s="7" t="s">
        <x:v>6351</x:v>
      </x:c>
      <x:c r="U82" s="13" t="n">
        <x:v>46275.5</x:v>
      </x:c>
      <x:c r="V82" s="7" t="s">
        <x:v>6108</x:v>
      </x:c>
    </x:row>
    <x:row r="83" ht="51.75" hidden="0" customHeight="1">
      <x:c r="A83" s="7" t="s">
        <x:v>6370</x:v>
      </x:c>
      <x:c r="B83" s="7" t="s">
        <x:v>94</x:v>
      </x:c>
      <x:c r="C83" s="7" t="s">
        <x:v>96</x:v>
      </x:c>
      <x:c r="D83" s="7" t="s">
        <x:v>6327</x:v>
      </x:c>
      <x:c r="E83" s="7" t="s">
        <x:v>6371</x:v>
      </x:c>
      <x:c r="F83" s="7" t="s">
        <x:v>6100</x:v>
      </x:c>
      <x:c r="G83" s="8" t="n">
        <x:v>1</x:v>
      </x:c>
      <x:c r="H83" s="9" t="n">
        <x:v>25.99</x:v>
      </x:c>
      <x:c r="I83" s="9" t="s">
        <x:v>58</x:v>
      </x:c>
      <x:c r="J83" s="9" t="str">
        <x:f aca="0">IF(L83,H83/G83,"Not applicable")</x:f>
        <x:v>Not applicable</x:v>
      </x:c>
      <x:c r="K83" s="7" t="s">
        <x:v>6124</x:v>
      </x:c>
      <x:c r="L83" s="11" t="b">
        <x:f aca="0">FALSE()</x:f>
        <x:v>0</x:v>
      </x:c>
      <x:c r="M83" s="11" t="b">
        <x:f aca="0">FALSE()</x:f>
        <x:v>0</x:v>
      </x:c>
      <x:c r="N83" s="9" t="n">
        <x:v>25.99</x:v>
      </x:c>
      <x:c r="O83" s="7" t="s">
        <x:v>6102</x:v>
      </x:c>
      <x:c r="P83" s="7" t="s">
        <x:v>6103</x:v>
      </x:c>
      <x:c r="Q83" s="7" t="s">
        <x:v>6104</x:v>
      </x:c>
      <x:c r="R83" s="7" t="s">
        <x:v>6329</x:v>
      </x:c>
      <x:c r="S83" s="7" t="s">
        <x:v>6372</x:v>
      </x:c>
      <x:c r="T83" s="7" t="s">
        <x:v>6351</x:v>
      </x:c>
      <x:c r="U83" s="13" t="n">
        <x:v>46275.5</x:v>
      </x:c>
      <x:c r="V83" s="7" t="s">
        <x:v>6114</x:v>
      </x:c>
    </x:row>
    <x:row r="84" ht="51.75" hidden="0" customHeight="1">
      <x:c r="A84" s="7" t="s">
        <x:v>6373</x:v>
      </x:c>
      <x:c r="B84" s="7" t="s">
        <x:v>76</x:v>
      </x:c>
      <x:c r="C84" s="7" t="s">
        <x:v>79</x:v>
      </x:c>
      <x:c r="D84" s="7" t="s">
        <x:v>6327</x:v>
      </x:c>
      <x:c r="E84" s="7" t="s">
        <x:v>6374</x:v>
      </x:c>
      <x:c r="F84" s="7" t="s">
        <x:v>6100</x:v>
      </x:c>
      <x:c r="G84" s="8" t="n">
        <x:v>1</x:v>
      </x:c>
      <x:c r="H84" s="9" t="n">
        <x:v>51.99</x:v>
      </x:c>
      <x:c r="I84" s="9" t="n">
        <x:v>46.99</x:v>
      </x:c>
      <x:c r="J84" s="9" t="str">
        <x:f aca="0">IF(L84,H84/G84,"Not applicable")</x:f>
        <x:v>Not applicable</x:v>
      </x:c>
      <x:c r="K84" s="7" t="s">
        <x:v>6124</x:v>
      </x:c>
      <x:c r="L84" s="11" t="b">
        <x:f aca="0">FALSE()</x:f>
        <x:v>0</x:v>
      </x:c>
      <x:c r="M84" s="11" t="b">
        <x:f aca="0">FALSE()</x:f>
        <x:v>0</x:v>
      </x:c>
      <x:c r="N84" s="9" t="n">
        <x:v>46.99</x:v>
      </x:c>
      <x:c r="O84" s="7" t="s">
        <x:v>6102</x:v>
      </x:c>
      <x:c r="P84" s="7" t="s">
        <x:v>6103</x:v>
      </x:c>
      <x:c r="Q84" s="7" t="s">
        <x:v>6104</x:v>
      </x:c>
      <x:c r="R84" s="7" t="s">
        <x:v>6333</x:v>
      </x:c>
      <x:c r="S84" s="7" t="s">
        <x:v>6375</x:v>
      </x:c>
      <x:c r="T84" s="7" t="s">
        <x:v>6351</x:v>
      </x:c>
      <x:c r="U84" s="13" t="n">
        <x:v>46275.5</x:v>
      </x:c>
      <x:c r="V84" s="7" t="s">
        <x:v>6114</x:v>
      </x:c>
    </x:row>
    <x:row r="85" ht="51.75" hidden="0" customHeight="1">
      <x:c r="A85" s="7" t="s">
        <x:v>6376</x:v>
      </x:c>
      <x:c r="B85" s="7" t="s">
        <x:v>576</x:v>
      </x:c>
      <x:c r="C85" s="7" t="s">
        <x:v>578</x:v>
      </x:c>
      <x:c r="D85" s="7" t="s">
        <x:v>6327</x:v>
      </x:c>
      <x:c r="E85" s="7" t="s">
        <x:v>6377</x:v>
      </x:c>
      <x:c r="F85" s="7" t="s">
        <x:v>6111</x:v>
      </x:c>
      <x:c r="G85" s="8" t="n">
        <x:v>0.5</x:v>
      </x:c>
      <x:c r="H85" s="9" t="n">
        <x:v>63.99</x:v>
      </x:c>
      <x:c r="I85" s="9" t="s">
        <x:v>58</x:v>
      </x:c>
      <x:c r="J85" s="9" t="n">
        <x:f aca="0">IF(L85,H85/G85,"Not applicable")</x:f>
        <x:v>127.98</x:v>
      </x:c>
      <x:c r="K85" s="7" t="s">
        <x:v>6101</x:v>
      </x:c>
      <x:c r="L85" s="11" t="b">
        <x:f aca="0">TRUE()</x:f>
        <x:v>1</x:v>
      </x:c>
      <x:c r="M85" s="11" t="b">
        <x:f aca="0">FALSE()</x:f>
        <x:v>0</x:v>
      </x:c>
      <x:c r="N85" s="9" t="n">
        <x:v>63.99</x:v>
      </x:c>
      <x:c r="O85" s="7" t="s">
        <x:v>6102</x:v>
      </x:c>
      <x:c r="P85" s="7" t="s">
        <x:v>6103</x:v>
      </x:c>
      <x:c r="Q85" s="7" t="s">
        <x:v>6104</x:v>
      </x:c>
      <x:c r="R85" s="7" t="s">
        <x:v>6329</x:v>
      </x:c>
      <x:c r="S85" s="7" t="s">
        <x:v>6378</x:v>
      </x:c>
      <x:c r="T85" s="7" t="s">
        <x:v>6351</x:v>
      </x:c>
      <x:c r="U85" s="13" t="n">
        <x:v>46275.5</x:v>
      </x:c>
      <x:c r="V85" s="7" t="s">
        <x:v>6108</x:v>
      </x:c>
    </x:row>
    <x:row r="86" ht="37.5" hidden="0" customHeight="1">
      <x:c r="A86" s="7" t="s">
        <x:v>6379</x:v>
      </x:c>
      <x:c r="B86" s="7" t="s">
        <x:v>576</x:v>
      </x:c>
      <x:c r="C86" s="7" t="s">
        <x:v>578</x:v>
      </x:c>
      <x:c r="D86" s="7" t="s">
        <x:v>6327</x:v>
      </x:c>
      <x:c r="E86" s="7" t="s">
        <x:v>6380</x:v>
      </x:c>
      <x:c r="F86" s="7" t="s">
        <x:v>6111</x:v>
      </x:c>
      <x:c r="G86" s="8" t="n">
        <x:v>1</x:v>
      </x:c>
      <x:c r="H86" s="9" t="n">
        <x:v>120.99</x:v>
      </x:c>
      <x:c r="I86" s="9" t="s">
        <x:v>58</x:v>
      </x:c>
      <x:c r="J86" s="9" t="n">
        <x:f aca="0">IF(L86,H86/G86,"Not applicable")</x:f>
        <x:v>120.99</x:v>
      </x:c>
      <x:c r="K86" s="7" t="s">
        <x:v>6101</x:v>
      </x:c>
      <x:c r="L86" s="11" t="b">
        <x:f aca="0">TRUE()</x:f>
        <x:v>1</x:v>
      </x:c>
      <x:c r="M86" s="11" t="b">
        <x:f aca="0">TRUE()</x:f>
        <x:v>1</x:v>
      </x:c>
      <x:c r="N86" s="9" t="n">
        <x:v>120.99</x:v>
      </x:c>
      <x:c r="O86" s="7" t="s">
        <x:v>6102</x:v>
      </x:c>
      <x:c r="P86" s="7" t="s">
        <x:v>6103</x:v>
      </x:c>
      <x:c r="Q86" s="7" t="s">
        <x:v>6104</x:v>
      </x:c>
      <x:c r="R86" s="7" t="s">
        <x:v>6329</x:v>
      </x:c>
      <x:c r="S86" s="7" t="s">
        <x:v>6381</x:v>
      </x:c>
      <x:c r="T86" s="7" t="s">
        <x:v>6351</x:v>
      </x:c>
      <x:c r="U86" s="13" t="n">
        <x:v>46275.5</x:v>
      </x:c>
      <x:c r="V86" s="7" t="s">
        <x:v>6108</x:v>
      </x:c>
    </x:row>
    <x:row r="87" ht="51.75" hidden="0" customHeight="1">
      <x:c r="A87" s="7" t="s">
        <x:v>6382</x:v>
      </x:c>
      <x:c r="B87" s="7" t="s">
        <x:v>598</x:v>
      </x:c>
      <x:c r="C87" s="7" t="s">
        <x:v>600</x:v>
      </x:c>
      <x:c r="D87" s="7" t="s">
        <x:v>6327</x:v>
      </x:c>
      <x:c r="E87" s="7" t="s">
        <x:v>6383</x:v>
      </x:c>
      <x:c r="F87" s="7" t="s">
        <x:v>6111</x:v>
      </x:c>
      <x:c r="G87" s="8" t="n">
        <x:v>0.5</x:v>
      </x:c>
      <x:c r="H87" s="9" t="n">
        <x:v>54.99</x:v>
      </x:c>
      <x:c r="I87" s="9" t="s">
        <x:v>58</x:v>
      </x:c>
      <x:c r="J87" s="9" t="n">
        <x:f aca="0">IF(L87,H87/G87,"Not applicable")</x:f>
        <x:v>109.98</x:v>
      </x:c>
      <x:c r="K87" s="7" t="s">
        <x:v>6101</x:v>
      </x:c>
      <x:c r="L87" s="11" t="b">
        <x:f aca="0">TRUE()</x:f>
        <x:v>1</x:v>
      </x:c>
      <x:c r="M87" s="11" t="b">
        <x:f aca="0">TRUE()</x:f>
        <x:v>1</x:v>
      </x:c>
      <x:c r="N87" s="9" t="n">
        <x:v>54.99</x:v>
      </x:c>
      <x:c r="O87" s="7" t="s">
        <x:v>6102</x:v>
      </x:c>
      <x:c r="P87" s="7" t="s">
        <x:v>6103</x:v>
      </x:c>
      <x:c r="Q87" s="7" t="s">
        <x:v>6104</x:v>
      </x:c>
      <x:c r="R87" s="7" t="s">
        <x:v>6329</x:v>
      </x:c>
      <x:c r="S87" s="7" t="s">
        <x:v>6384</x:v>
      </x:c>
      <x:c r="T87" s="7" t="s">
        <x:v>6351</x:v>
      </x:c>
      <x:c r="U87" s="13" t="n">
        <x:v>46275.5</x:v>
      </x:c>
      <x:c r="V87" s="7" t="s">
        <x:v>6108</x:v>
      </x:c>
    </x:row>
    <x:row r="88" ht="37.5" hidden="0" customHeight="1">
      <x:c r="A88" s="7" t="s">
        <x:v>6385</x:v>
      </x:c>
      <x:c r="B88" s="7" t="s">
        <x:v>598</x:v>
      </x:c>
      <x:c r="C88" s="7" t="s">
        <x:v>600</x:v>
      </x:c>
      <x:c r="D88" s="7" t="s">
        <x:v>6327</x:v>
      </x:c>
      <x:c r="E88" s="7" t="s">
        <x:v>6386</x:v>
      </x:c>
      <x:c r="F88" s="7" t="s">
        <x:v>6111</x:v>
      </x:c>
      <x:c r="G88" s="8" t="n">
        <x:v>1</x:v>
      </x:c>
      <x:c r="H88" s="9" t="n">
        <x:v>101.99</x:v>
      </x:c>
      <x:c r="I88" s="9" t="s">
        <x:v>58</x:v>
      </x:c>
      <x:c r="J88" s="9" t="str">
        <x:f aca="0">IF(L88,H88/G88,"Not applicable")</x:f>
        <x:v>Not applicable</x:v>
      </x:c>
      <x:c r="K88" s="7" t="s">
        <x:v>6124</x:v>
      </x:c>
      <x:c r="L88" s="11" t="b">
        <x:f aca="0">FALSE()</x:f>
        <x:v>0</x:v>
      </x:c>
      <x:c r="M88" s="11" t="b">
        <x:f aca="0">FALSE()</x:f>
        <x:v>0</x:v>
      </x:c>
      <x:c r="N88" s="9" t="n">
        <x:v>101.99</x:v>
      </x:c>
      <x:c r="O88" s="7" t="s">
        <x:v>6102</x:v>
      </x:c>
      <x:c r="P88" s="7" t="s">
        <x:v>6103</x:v>
      </x:c>
      <x:c r="Q88" s="7" t="s">
        <x:v>6104</x:v>
      </x:c>
      <x:c r="R88" s="7" t="s">
        <x:v>6329</x:v>
      </x:c>
      <x:c r="S88" s="7" t="s">
        <x:v>6387</x:v>
      </x:c>
      <x:c r="T88" s="7" t="s">
        <x:v>6351</x:v>
      </x:c>
      <x:c r="U88" s="13" t="n">
        <x:v>46275.5</x:v>
      </x:c>
      <x:c r="V88" s="7" t="s">
        <x:v>6114</x:v>
      </x:c>
    </x:row>
    <x:row r="89" ht="51.75" hidden="0" customHeight="1">
      <x:c r="A89" s="7" t="s">
        <x:v>6388</x:v>
      </x:c>
      <x:c r="B89" s="7" t="s">
        <x:v>313</x:v>
      </x:c>
      <x:c r="C89" s="7" t="s">
        <x:v>315</x:v>
      </x:c>
      <x:c r="D89" s="7" t="s">
        <x:v>6327</x:v>
      </x:c>
      <x:c r="E89" s="7" t="s">
        <x:v>6389</x:v>
      </x:c>
      <x:c r="F89" s="7" t="s">
        <x:v>6111</x:v>
      </x:c>
      <x:c r="G89" s="8" t="n">
        <x:v>1</x:v>
      </x:c>
      <x:c r="H89" s="9" t="n">
        <x:v>44.99</x:v>
      </x:c>
      <x:c r="I89" s="9" t="s">
        <x:v>58</x:v>
      </x:c>
      <x:c r="J89" s="9" t="str">
        <x:f aca="0">IF(L89,H89/G89,"Not applicable")</x:f>
        <x:v>Not applicable</x:v>
      </x:c>
      <x:c r="K89" s="7" t="s">
        <x:v>6124</x:v>
      </x:c>
      <x:c r="L89" s="11" t="b">
        <x:f aca="0">FALSE()</x:f>
        <x:v>0</x:v>
      </x:c>
      <x:c r="M89" s="11" t="b">
        <x:f aca="0">FALSE()</x:f>
        <x:v>0</x:v>
      </x:c>
      <x:c r="N89" s="9" t="n">
        <x:v>44.99</x:v>
      </x:c>
      <x:c r="O89" s="7" t="s">
        <x:v>6102</x:v>
      </x:c>
      <x:c r="P89" s="7" t="s">
        <x:v>6103</x:v>
      </x:c>
      <x:c r="Q89" s="7" t="s">
        <x:v>6104</x:v>
      </x:c>
      <x:c r="R89" s="7" t="s">
        <x:v>6329</x:v>
      </x:c>
      <x:c r="S89" s="7" t="s">
        <x:v>6390</x:v>
      </x:c>
      <x:c r="T89" s="7" t="s">
        <x:v>6351</x:v>
      </x:c>
      <x:c r="U89" s="13" t="n">
        <x:v>46275.5</x:v>
      </x:c>
      <x:c r="V89" s="7" t="s">
        <x:v>6114</x:v>
      </x:c>
    </x:row>
    <x:row r="90" ht="51.75" hidden="0" customHeight="1">
      <x:c r="A90" s="7" t="s">
        <x:v>6391</x:v>
      </x:c>
      <x:c r="B90" s="7" t="s">
        <x:v>210</x:v>
      </x:c>
      <x:c r="C90" s="7" t="s">
        <x:v>212</x:v>
      </x:c>
      <x:c r="D90" s="7" t="s">
        <x:v>6327</x:v>
      </x:c>
      <x:c r="E90" s="7" t="s">
        <x:v>6392</x:v>
      </x:c>
      <x:c r="F90" s="7" t="s">
        <x:v>6111</x:v>
      </x:c>
      <x:c r="G90" s="8" t="n">
        <x:v>1</x:v>
      </x:c>
      <x:c r="H90" s="9" t="n">
        <x:v>31.99</x:v>
      </x:c>
      <x:c r="I90" s="9" t="s">
        <x:v>58</x:v>
      </x:c>
      <x:c r="J90" s="9" t="n">
        <x:f aca="0">IF(L90,H90/G90,"Not applicable")</x:f>
        <x:v>31.99</x:v>
      </x:c>
      <x:c r="K90" s="7" t="s">
        <x:v>6101</x:v>
      </x:c>
      <x:c r="L90" s="11" t="b">
        <x:f aca="0">TRUE()</x:f>
        <x:v>1</x:v>
      </x:c>
      <x:c r="M90" s="11" t="b">
        <x:f aca="0">TRUE()</x:f>
        <x:v>1</x:v>
      </x:c>
      <x:c r="N90" s="9" t="n">
        <x:v>31.99</x:v>
      </x:c>
      <x:c r="O90" s="7" t="s">
        <x:v>6102</x:v>
      </x:c>
      <x:c r="P90" s="7" t="s">
        <x:v>6103</x:v>
      </x:c>
      <x:c r="Q90" s="7" t="s">
        <x:v>6104</x:v>
      </x:c>
      <x:c r="R90" s="7" t="s">
        <x:v>6329</x:v>
      </x:c>
      <x:c r="S90" s="7" t="s">
        <x:v>6393</x:v>
      </x:c>
      <x:c r="T90" s="7" t="s">
        <x:v>6351</x:v>
      </x:c>
      <x:c r="U90" s="13" t="n">
        <x:v>46275.5</x:v>
      </x:c>
      <x:c r="V90" s="7" t="s">
        <x:v>6108</x:v>
      </x:c>
    </x:row>
    <x:row r="91" ht="51.75" hidden="0" customHeight="1">
      <x:c r="A91" s="7" t="s">
        <x:v>6394</x:v>
      </x:c>
      <x:c r="B91" s="7" t="s">
        <x:v>507</x:v>
      </x:c>
      <x:c r="C91" s="7" t="s">
        <x:v>509</x:v>
      </x:c>
      <x:c r="D91" s="7" t="s">
        <x:v>6327</x:v>
      </x:c>
      <x:c r="E91" s="7" t="s">
        <x:v>6395</x:v>
      </x:c>
      <x:c r="F91" s="7" t="s">
        <x:v>6111</x:v>
      </x:c>
      <x:c r="G91" s="8" t="n">
        <x:v>1</x:v>
      </x:c>
      <x:c r="H91" s="9" t="n">
        <x:v>53.99</x:v>
      </x:c>
      <x:c r="I91" s="9" t="s">
        <x:v>58</x:v>
      </x:c>
      <x:c r="J91" s="9" t="n">
        <x:f aca="0">IF(L91,H91/G91,"Not applicable")</x:f>
        <x:v>53.99</x:v>
      </x:c>
      <x:c r="K91" s="7" t="s">
        <x:v>6101</x:v>
      </x:c>
      <x:c r="L91" s="11" t="b">
        <x:f aca="0">TRUE()</x:f>
        <x:v>1</x:v>
      </x:c>
      <x:c r="M91" s="11" t="b">
        <x:f aca="0">TRUE()</x:f>
        <x:v>1</x:v>
      </x:c>
      <x:c r="N91" s="9" t="n">
        <x:v>53.99</x:v>
      </x:c>
      <x:c r="O91" s="7" t="s">
        <x:v>6102</x:v>
      </x:c>
      <x:c r="P91" s="7" t="s">
        <x:v>6103</x:v>
      </x:c>
      <x:c r="Q91" s="7" t="s">
        <x:v>6104</x:v>
      </x:c>
      <x:c r="R91" s="7" t="s">
        <x:v>6329</x:v>
      </x:c>
      <x:c r="S91" s="7" t="s">
        <x:v>6396</x:v>
      </x:c>
      <x:c r="T91" s="7" t="s">
        <x:v>6351</x:v>
      </x:c>
      <x:c r="U91" s="13" t="n">
        <x:v>46275.5</x:v>
      </x:c>
      <x:c r="V91" s="7" t="s">
        <x:v>6108</x:v>
      </x:c>
    </x:row>
    <x:row r="92" ht="51.75" hidden="0" customHeight="1">
      <x:c r="A92" s="7" t="s">
        <x:v>6397</x:v>
      </x:c>
      <x:c r="B92" s="7" t="s">
        <x:v>507</x:v>
      </x:c>
      <x:c r="C92" s="7" t="s">
        <x:v>509</x:v>
      </x:c>
      <x:c r="D92" s="7" t="s">
        <x:v>6327</x:v>
      </x:c>
      <x:c r="E92" s="7" t="s">
        <x:v>6398</x:v>
      </x:c>
      <x:c r="F92" s="7" t="s">
        <x:v>6111</x:v>
      </x:c>
      <x:c r="G92" s="8" t="n">
        <x:v>1</x:v>
      </x:c>
      <x:c r="H92" s="9" t="n">
        <x:v>53.99</x:v>
      </x:c>
      <x:c r="I92" s="9" t="s">
        <x:v>58</x:v>
      </x:c>
      <x:c r="J92" s="9" t="str">
        <x:f aca="0">IF(L92,H92/G92,"Not applicable")</x:f>
        <x:v>Not applicable</x:v>
      </x:c>
      <x:c r="K92" s="7" t="s">
        <x:v>6124</x:v>
      </x:c>
      <x:c r="L92" s="11" t="b">
        <x:f aca="0">FALSE()</x:f>
        <x:v>0</x:v>
      </x:c>
      <x:c r="M92" s="11" t="b">
        <x:f aca="0">FALSE()</x:f>
        <x:v>0</x:v>
      </x:c>
      <x:c r="N92" s="9" t="n">
        <x:v>53.99</x:v>
      </x:c>
      <x:c r="O92" s="7" t="s">
        <x:v>6102</x:v>
      </x:c>
      <x:c r="P92" s="7" t="s">
        <x:v>6103</x:v>
      </x:c>
      <x:c r="Q92" s="7" t="s">
        <x:v>6104</x:v>
      </x:c>
      <x:c r="R92" s="7" t="s">
        <x:v>6329</x:v>
      </x:c>
      <x:c r="S92" s="7" t="s">
        <x:v>6399</x:v>
      </x:c>
      <x:c r="T92" s="7" t="s">
        <x:v>6351</x:v>
      </x:c>
      <x:c r="U92" s="13" t="n">
        <x:v>46275.5</x:v>
      </x:c>
      <x:c r="V92" s="7" t="s">
        <x:v>6114</x:v>
      </x:c>
    </x:row>
    <x:row r="93" ht="51.75" hidden="0" customHeight="1">
      <x:c r="A93" s="7" t="s">
        <x:v>6400</x:v>
      </x:c>
      <x:c r="B93" s="7" t="s">
        <x:v>390</x:v>
      </x:c>
      <x:c r="C93" s="7" t="s">
        <x:v>392</x:v>
      </x:c>
      <x:c r="D93" s="7" t="s">
        <x:v>6327</x:v>
      </x:c>
      <x:c r="E93" s="7" t="s">
        <x:v>6401</x:v>
      </x:c>
      <x:c r="F93" s="7" t="s">
        <x:v>6111</x:v>
      </x:c>
      <x:c r="G93" s="8" t="n">
        <x:v>1</x:v>
      </x:c>
      <x:c r="H93" s="9" t="n">
        <x:v>38.99</x:v>
      </x:c>
      <x:c r="I93" s="9" t="s">
        <x:v>58</x:v>
      </x:c>
      <x:c r="J93" s="9" t="n">
        <x:f aca="0">IF(L93,H93/G93,"Not applicable")</x:f>
        <x:v>38.99</x:v>
      </x:c>
      <x:c r="K93" s="7" t="s">
        <x:v>6101</x:v>
      </x:c>
      <x:c r="L93" s="11" t="b">
        <x:f aca="0">TRUE()</x:f>
        <x:v>1</x:v>
      </x:c>
      <x:c r="M93" s="11" t="b">
        <x:f aca="0">TRUE()</x:f>
        <x:v>1</x:v>
      </x:c>
      <x:c r="N93" s="9" t="n">
        <x:v>38.99</x:v>
      </x:c>
      <x:c r="O93" s="7" t="s">
        <x:v>6102</x:v>
      </x:c>
      <x:c r="P93" s="7" t="s">
        <x:v>6103</x:v>
      </x:c>
      <x:c r="Q93" s="7" t="s">
        <x:v>6104</x:v>
      </x:c>
      <x:c r="R93" s="7" t="s">
        <x:v>6329</x:v>
      </x:c>
      <x:c r="S93" s="7" t="s">
        <x:v>6402</x:v>
      </x:c>
      <x:c r="T93" s="7" t="s">
        <x:v>6351</x:v>
      </x:c>
      <x:c r="U93" s="13" t="n">
        <x:v>46275.5</x:v>
      </x:c>
      <x:c r="V93" s="7" t="s">
        <x:v>6108</x:v>
      </x:c>
    </x:row>
    <x:row r="94" ht="51.75" hidden="0" customHeight="1">
      <x:c r="A94" s="7" t="s">
        <x:v>6403</x:v>
      </x:c>
      <x:c r="B94" s="7" t="s">
        <x:v>342</x:v>
      </x:c>
      <x:c r="C94" s="7" t="s">
        <x:v>344</x:v>
      </x:c>
      <x:c r="D94" s="7" t="s">
        <x:v>6327</x:v>
      </x:c>
      <x:c r="E94" s="7" t="s">
        <x:v>6404</x:v>
      </x:c>
      <x:c r="F94" s="7" t="s">
        <x:v>6111</x:v>
      </x:c>
      <x:c r="G94" s="8" t="n">
        <x:v>1</x:v>
      </x:c>
      <x:c r="H94" s="9" t="n">
        <x:v>29.99</x:v>
      </x:c>
      <x:c r="I94" s="9" t="s">
        <x:v>58</x:v>
      </x:c>
      <x:c r="J94" s="9" t="n">
        <x:f aca="0">IF(L94,H94/G94,"Not applicable")</x:f>
        <x:v>29.99</x:v>
      </x:c>
      <x:c r="K94" s="7" t="s">
        <x:v>6101</x:v>
      </x:c>
      <x:c r="L94" s="11" t="b">
        <x:f aca="0">TRUE()</x:f>
        <x:v>1</x:v>
      </x:c>
      <x:c r="M94" s="11" t="b">
        <x:f aca="0">FALSE()</x:f>
        <x:v>0</x:v>
      </x:c>
      <x:c r="N94" s="9" t="n">
        <x:v>29.99</x:v>
      </x:c>
      <x:c r="O94" s="7" t="s">
        <x:v>6102</x:v>
      </x:c>
      <x:c r="P94" s="7" t="s">
        <x:v>6103</x:v>
      </x:c>
      <x:c r="Q94" s="7" t="s">
        <x:v>6104</x:v>
      </x:c>
      <x:c r="R94" s="7" t="s">
        <x:v>6329</x:v>
      </x:c>
      <x:c r="S94" s="7" t="s">
        <x:v>6405</x:v>
      </x:c>
      <x:c r="T94" s="7" t="s">
        <x:v>6351</x:v>
      </x:c>
      <x:c r="U94" s="13" t="n">
        <x:v>46275.5</x:v>
      </x:c>
      <x:c r="V94" s="7" t="s">
        <x:v>6108</x:v>
      </x:c>
    </x:row>
    <x:row r="95" ht="51.75" hidden="0" customHeight="1">
      <x:c r="A95" s="7" t="s">
        <x:v>6406</x:v>
      </x:c>
      <x:c r="B95" s="7" t="s">
        <x:v>342</x:v>
      </x:c>
      <x:c r="C95" s="7" t="s">
        <x:v>344</x:v>
      </x:c>
      <x:c r="D95" s="7" t="s">
        <x:v>6327</x:v>
      </x:c>
      <x:c r="E95" s="7" t="s">
        <x:v>6407</x:v>
      </x:c>
      <x:c r="F95" s="7" t="s">
        <x:v>6100</x:v>
      </x:c>
      <x:c r="G95" s="8" t="n">
        <x:v>1</x:v>
      </x:c>
      <x:c r="H95" s="9" t="n">
        <x:v>25.99</x:v>
      </x:c>
      <x:c r="I95" s="9" t="s">
        <x:v>58</x:v>
      </x:c>
      <x:c r="J95" s="9" t="n">
        <x:f aca="0">IF(L95,H95/G95,"Not applicable")</x:f>
        <x:v>25.99</x:v>
      </x:c>
      <x:c r="K95" s="7" t="s">
        <x:v>6101</x:v>
      </x:c>
      <x:c r="L95" s="11" t="b">
        <x:f aca="0">TRUE()</x:f>
        <x:v>1</x:v>
      </x:c>
      <x:c r="M95" s="11" t="b">
        <x:f aca="0">FALSE()</x:f>
        <x:v>0</x:v>
      </x:c>
      <x:c r="N95" s="9" t="n">
        <x:v>25.99</x:v>
      </x:c>
      <x:c r="O95" s="7" t="s">
        <x:v>6102</x:v>
      </x:c>
      <x:c r="P95" s="7" t="s">
        <x:v>6103</x:v>
      </x:c>
      <x:c r="Q95" s="7" t="s">
        <x:v>6104</x:v>
      </x:c>
      <x:c r="R95" s="7" t="s">
        <x:v>6329</x:v>
      </x:c>
      <x:c r="S95" s="7" t="s">
        <x:v>6408</x:v>
      </x:c>
      <x:c r="T95" s="7" t="s">
        <x:v>6351</x:v>
      </x:c>
      <x:c r="U95" s="13" t="n">
        <x:v>46275.5</x:v>
      </x:c>
      <x:c r="V95" s="7" t="s">
        <x:v>6108</x:v>
      </x:c>
    </x:row>
    <x:row r="96" ht="51.75" hidden="0" customHeight="1">
      <x:c r="A96" s="7" t="s">
        <x:v>6409</x:v>
      </x:c>
      <x:c r="B96" s="7" t="s">
        <x:v>813</x:v>
      </x:c>
      <x:c r="C96" s="7" t="s">
        <x:v>815</x:v>
      </x:c>
      <x:c r="D96" s="7" t="s">
        <x:v>6327</x:v>
      </x:c>
      <x:c r="E96" s="7" t="s">
        <x:v>6410</x:v>
      </x:c>
      <x:c r="F96" s="7" t="s">
        <x:v>6111</x:v>
      </x:c>
      <x:c r="G96" s="8" t="n">
        <x:v>0.75</x:v>
      </x:c>
      <x:c r="H96" s="9" t="n">
        <x:v>165.99</x:v>
      </x:c>
      <x:c r="I96" s="9" t="s">
        <x:v>58</x:v>
      </x:c>
      <x:c r="J96" s="9" t="n">
        <x:f aca="0">IF(L96,H96/G96,"Not applicable")</x:f>
        <x:v>221.32000000000002</x:v>
      </x:c>
      <x:c r="K96" s="7" t="s">
        <x:v>6101</x:v>
      </x:c>
      <x:c r="L96" s="11" t="b">
        <x:f aca="0">TRUE()</x:f>
        <x:v>1</x:v>
      </x:c>
      <x:c r="M96" s="11" t="b">
        <x:f aca="0">TRUE()</x:f>
        <x:v>1</x:v>
      </x:c>
      <x:c r="N96" s="9" t="n">
        <x:v>165.99</x:v>
      </x:c>
      <x:c r="O96" s="7" t="s">
        <x:v>6102</x:v>
      </x:c>
      <x:c r="P96" s="7" t="s">
        <x:v>6103</x:v>
      </x:c>
      <x:c r="Q96" s="7" t="s">
        <x:v>6104</x:v>
      </x:c>
      <x:c r="R96" s="7" t="s">
        <x:v>6329</x:v>
      </x:c>
      <x:c r="S96" s="7" t="s">
        <x:v>6411</x:v>
      </x:c>
      <x:c r="T96" s="7" t="s">
        <x:v>6351</x:v>
      </x:c>
      <x:c r="U96" s="13" t="n">
        <x:v>46275.5</x:v>
      </x:c>
      <x:c r="V96" s="7" t="s">
        <x:v>6108</x:v>
      </x:c>
    </x:row>
    <x:row r="97" ht="51.75" hidden="0" customHeight="1">
      <x:c r="A97" s="7" t="s">
        <x:v>6412</x:v>
      </x:c>
      <x:c r="B97" s="7" t="s">
        <x:v>957</x:v>
      </x:c>
      <x:c r="C97" s="7" t="s">
        <x:v>1371</x:v>
      </x:c>
      <x:c r="D97" s="7" t="s">
        <x:v>6327</x:v>
      </x:c>
      <x:c r="E97" s="7" t="s">
        <x:v>6413</x:v>
      </x:c>
      <x:c r="F97" s="7" t="s">
        <x:v>6111</x:v>
      </x:c>
      <x:c r="G97" s="8" t="n">
        <x:v>1</x:v>
      </x:c>
      <x:c r="H97" s="9" t="n">
        <x:v>47.99</x:v>
      </x:c>
      <x:c r="I97" s="9" t="n">
        <x:v>34.99</x:v>
      </x:c>
      <x:c r="J97" s="9" t="str">
        <x:f aca="0">IF(L97,H97/G97,"Not applicable")</x:f>
        <x:v>Not applicable</x:v>
      </x:c>
      <x:c r="K97" s="7" t="s">
        <x:v>6124</x:v>
      </x:c>
      <x:c r="L97" s="11" t="b">
        <x:f aca="0">FALSE()</x:f>
        <x:v>0</x:v>
      </x:c>
      <x:c r="M97" s="11" t="b">
        <x:f aca="0">FALSE()</x:f>
        <x:v>0</x:v>
      </x:c>
      <x:c r="N97" s="9" t="n">
        <x:v>34.99</x:v>
      </x:c>
      <x:c r="O97" s="7" t="s">
        <x:v>6102</x:v>
      </x:c>
      <x:c r="P97" s="7" t="s">
        <x:v>6103</x:v>
      </x:c>
      <x:c r="Q97" s="7" t="s">
        <x:v>6104</x:v>
      </x:c>
      <x:c r="R97" s="7" t="s">
        <x:v>6333</x:v>
      </x:c>
      <x:c r="S97" s="7" t="s">
        <x:v>6414</x:v>
      </x:c>
      <x:c r="T97" s="7" t="s">
        <x:v>6415</x:v>
      </x:c>
      <x:c r="U97" s="13" t="n">
        <x:v>46275.5</x:v>
      </x:c>
      <x:c r="V97" s="7" t="s">
        <x:v>6114</x:v>
      </x:c>
    </x:row>
    <x:row r="98" ht="66" hidden="0" customHeight="1">
      <x:c r="A98" s="7" t="s">
        <x:v>714</x:v>
      </x:c>
      <x:c r="B98" s="7" t="s">
        <x:v>708</x:v>
      </x:c>
      <x:c r="C98" s="7" t="s">
        <x:v>710</x:v>
      </x:c>
      <x:c r="D98" s="7" t="s">
        <x:v>6327</x:v>
      </x:c>
      <x:c r="E98" s="7" t="s">
        <x:v>6416</x:v>
      </x:c>
      <x:c r="F98" s="7" t="s">
        <x:v>6111</x:v>
      </x:c>
      <x:c r="G98" s="8" t="n">
        <x:v>0.75</x:v>
      </x:c>
      <x:c r="H98" s="9" t="n">
        <x:v>121.99</x:v>
      </x:c>
      <x:c r="I98" s="9" t="n">
        <x:v>105.99</x:v>
      </x:c>
      <x:c r="J98" s="9" t="n">
        <x:f aca="0">IF(L98,H98/G98,"Not applicable")</x:f>
        <x:v>162.65333333333334</x:v>
      </x:c>
      <x:c r="K98" s="7" t="s">
        <x:v>6101</x:v>
      </x:c>
      <x:c r="L98" s="11" t="b">
        <x:f aca="0">TRUE()</x:f>
        <x:v>1</x:v>
      </x:c>
      <x:c r="M98" s="11" t="b">
        <x:f aca="0">TRUE()</x:f>
        <x:v>1</x:v>
      </x:c>
      <x:c r="N98" s="9" t="n">
        <x:v>105.99</x:v>
      </x:c>
      <x:c r="O98" s="7" t="s">
        <x:v>6102</x:v>
      </x:c>
      <x:c r="P98" s="7" t="s">
        <x:v>6103</x:v>
      </x:c>
      <x:c r="Q98" s="7" t="s">
        <x:v>6104</x:v>
      </x:c>
      <x:c r="R98" s="7" t="s">
        <x:v>6333</x:v>
      </x:c>
      <x:c r="S98" s="7" t="s">
        <x:v>6417</x:v>
      </x:c>
      <x:c r="T98" s="7" t="s">
        <x:v>6415</x:v>
      </x:c>
      <x:c r="U98" s="13" t="n">
        <x:v>46275.5</x:v>
      </x:c>
      <x:c r="V98" s="7" t="s">
        <x:v>6108</x:v>
      </x:c>
    </x:row>
    <x:row r="99" ht="66" hidden="0" customHeight="1">
      <x:c r="A99" s="7" t="s">
        <x:v>6418</x:v>
      </x:c>
      <x:c r="B99" s="7" t="s">
        <x:v>978</x:v>
      </x:c>
      <x:c r="C99" s="7" t="s">
        <x:v>1379</x:v>
      </x:c>
      <x:c r="D99" s="7" t="s">
        <x:v>6327</x:v>
      </x:c>
      <x:c r="E99" s="7" t="s">
        <x:v>6419</x:v>
      </x:c>
      <x:c r="F99" s="7" t="s">
        <x:v>6111</x:v>
      </x:c>
      <x:c r="G99" s="8" t="n">
        <x:v>0.5</x:v>
      </x:c>
      <x:c r="H99" s="9" t="n">
        <x:v>60.99</x:v>
      </x:c>
      <x:c r="I99" s="9" t="n">
        <x:v>51.84</x:v>
      </x:c>
      <x:c r="J99" s="9" t="str">
        <x:f aca="0">IF(L99,H99/G99,"Not applicable")</x:f>
        <x:v>Not applicable</x:v>
      </x:c>
      <x:c r="K99" s="7" t="s">
        <x:v>6124</x:v>
      </x:c>
      <x:c r="L99" s="11" t="b">
        <x:f aca="0">FALSE()</x:f>
        <x:v>0</x:v>
      </x:c>
      <x:c r="M99" s="11" t="b">
        <x:f aca="0">FALSE()</x:f>
        <x:v>0</x:v>
      </x:c>
      <x:c r="N99" s="9" t="n">
        <x:v>51.84</x:v>
      </x:c>
      <x:c r="O99" s="7" t="s">
        <x:v>6102</x:v>
      </x:c>
      <x:c r="P99" s="7" t="s">
        <x:v>6103</x:v>
      </x:c>
      <x:c r="Q99" s="7" t="s">
        <x:v>6104</x:v>
      </x:c>
      <x:c r="R99" s="7" t="s">
        <x:v>6333</x:v>
      </x:c>
      <x:c r="S99" s="7" t="s">
        <x:v>6420</x:v>
      </x:c>
      <x:c r="T99" s="7" t="s">
        <x:v>6415</x:v>
      </x:c>
      <x:c r="U99" s="13" t="n">
        <x:v>46275.5</x:v>
      </x:c>
      <x:c r="V99" s="7" t="s">
        <x:v>6114</x:v>
      </x:c>
    </x:row>
    <x:row r="100" ht="51.75" hidden="0" customHeight="1">
      <x:c r="A100" s="7" t="s">
        <x:v>6421</x:v>
      </x:c>
      <x:c r="B100" s="7" t="s">
        <x:v>884</x:v>
      </x:c>
      <x:c r="C100" s="7" t="s">
        <x:v>1348</x:v>
      </x:c>
      <x:c r="D100" s="7" t="s">
        <x:v>6327</x:v>
      </x:c>
      <x:c r="E100" s="7" t="s">
        <x:v>6422</x:v>
      </x:c>
      <x:c r="F100" s="7" t="s">
        <x:v>6111</x:v>
      </x:c>
      <x:c r="G100" s="8" t="n">
        <x:v>1</x:v>
      </x:c>
      <x:c r="H100" s="9" t="n">
        <x:v>42.99</x:v>
      </x:c>
      <x:c r="I100" s="9" t="n">
        <x:v>24.99</x:v>
      </x:c>
      <x:c r="J100" s="9" t="str">
        <x:f aca="0">IF(L100,H100/G100,"Not applicable")</x:f>
        <x:v>Not applicable</x:v>
      </x:c>
      <x:c r="K100" s="7" t="s">
        <x:v>6124</x:v>
      </x:c>
      <x:c r="L100" s="11" t="b">
        <x:f aca="0">FALSE()</x:f>
        <x:v>0</x:v>
      </x:c>
      <x:c r="M100" s="11" t="b">
        <x:f aca="0">FALSE()</x:f>
        <x:v>0</x:v>
      </x:c>
      <x:c r="N100" s="9" t="n">
        <x:v>24.99</x:v>
      </x:c>
      <x:c r="O100" s="7" t="s">
        <x:v>6102</x:v>
      </x:c>
      <x:c r="P100" s="7" t="s">
        <x:v>6103</x:v>
      </x:c>
      <x:c r="Q100" s="7" t="s">
        <x:v>6104</x:v>
      </x:c>
      <x:c r="R100" s="7" t="s">
        <x:v>6333</x:v>
      </x:c>
      <x:c r="S100" s="7" t="s">
        <x:v>6423</x:v>
      </x:c>
      <x:c r="T100" s="7" t="s">
        <x:v>6415</x:v>
      </x:c>
      <x:c r="U100" s="13" t="n">
        <x:v>46275.5</x:v>
      </x:c>
      <x:c r="V100" s="7" t="s">
        <x:v>6114</x:v>
      </x:c>
    </x:row>
    <x:row r="101" ht="51.75" hidden="0" customHeight="1">
      <x:c r="A101" s="7" t="s">
        <x:v>570</x:v>
      </x:c>
      <x:c r="B101" s="7" t="s">
        <x:v>559</x:v>
      </x:c>
      <x:c r="C101" s="7" t="s">
        <x:v>1269</x:v>
      </x:c>
      <x:c r="D101" s="7" t="s">
        <x:v>6327</x:v>
      </x:c>
      <x:c r="E101" s="7" t="s">
        <x:v>6424</x:v>
      </x:c>
      <x:c r="F101" s="7" t="s">
        <x:v>6111</x:v>
      </x:c>
      <x:c r="G101" s="8" t="n">
        <x:v>0.75</x:v>
      </x:c>
      <x:c r="H101" s="9" t="n">
        <x:v>121.99</x:v>
      </x:c>
      <x:c r="I101" s="9" t="n">
        <x:v>103.69</x:v>
      </x:c>
      <x:c r="J101" s="9" t="n">
        <x:f aca="0">IF(L101,H101/G101,"Not applicable")</x:f>
        <x:v>162.65333333333334</x:v>
      </x:c>
      <x:c r="K101" s="7" t="s">
        <x:v>6101</x:v>
      </x:c>
      <x:c r="L101" s="11" t="b">
        <x:f aca="0">TRUE()</x:f>
        <x:v>1</x:v>
      </x:c>
      <x:c r="M101" s="11" t="b">
        <x:f aca="0">TRUE()</x:f>
        <x:v>1</x:v>
      </x:c>
      <x:c r="N101" s="9" t="n">
        <x:v>103.69</x:v>
      </x:c>
      <x:c r="O101" s="7" t="s">
        <x:v>6102</x:v>
      </x:c>
      <x:c r="P101" s="7" t="s">
        <x:v>6103</x:v>
      </x:c>
      <x:c r="Q101" s="7" t="s">
        <x:v>6104</x:v>
      </x:c>
      <x:c r="R101" s="7" t="s">
        <x:v>6333</x:v>
      </x:c>
      <x:c r="S101" s="7" t="s">
        <x:v>6425</x:v>
      </x:c>
      <x:c r="T101" s="7" t="s">
        <x:v>6415</x:v>
      </x:c>
      <x:c r="U101" s="13" t="n">
        <x:v>46275.5</x:v>
      </x:c>
      <x:c r="V101" s="7" t="s">
        <x:v>6108</x:v>
      </x:c>
    </x:row>
    <x:row r="102" ht="51.75" hidden="0" customHeight="1">
      <x:c r="A102" s="7" t="s">
        <x:v>596</x:v>
      </x:c>
      <x:c r="B102" s="7" t="s">
        <x:v>589</x:v>
      </x:c>
      <x:c r="C102" s="7" t="s">
        <x:v>591</x:v>
      </x:c>
      <x:c r="D102" s="7" t="s">
        <x:v>6327</x:v>
      </x:c>
      <x:c r="E102" s="7" t="s">
        <x:v>6424</x:v>
      </x:c>
      <x:c r="F102" s="7" t="s">
        <x:v>6111</x:v>
      </x:c>
      <x:c r="G102" s="8" t="n">
        <x:v>0.75</x:v>
      </x:c>
      <x:c r="H102" s="9" t="n">
        <x:v>121.99</x:v>
      </x:c>
      <x:c r="I102" s="9" t="n">
        <x:v>103.69</x:v>
      </x:c>
      <x:c r="J102" s="9" t="n">
        <x:f aca="0">IF(L102,H102/G102,"Not applicable")</x:f>
        <x:v>162.65333333333334</x:v>
      </x:c>
      <x:c r="K102" s="7" t="s">
        <x:v>6101</x:v>
      </x:c>
      <x:c r="L102" s="11" t="b">
        <x:f aca="0">TRUE()</x:f>
        <x:v>1</x:v>
      </x:c>
      <x:c r="M102" s="11" t="b">
        <x:f aca="0">TRUE()</x:f>
        <x:v>1</x:v>
      </x:c>
      <x:c r="N102" s="9" t="n">
        <x:v>103.69</x:v>
      </x:c>
      <x:c r="O102" s="7" t="s">
        <x:v>6102</x:v>
      </x:c>
      <x:c r="P102" s="7" t="s">
        <x:v>6103</x:v>
      </x:c>
      <x:c r="Q102" s="7" t="s">
        <x:v>6104</x:v>
      </x:c>
      <x:c r="R102" s="7" t="s">
        <x:v>6333</x:v>
      </x:c>
      <x:c r="S102" s="7" t="s">
        <x:v>6425</x:v>
      </x:c>
      <x:c r="T102" s="7" t="s">
        <x:v>6415</x:v>
      </x:c>
      <x:c r="U102" s="13" t="n">
        <x:v>46275.5</x:v>
      </x:c>
      <x:c r="V102" s="7" t="s">
        <x:v>6108</x:v>
      </x:c>
    </x:row>
    <x:row r="103" ht="51.75" hidden="0" customHeight="1">
      <x:c r="A103" s="7" t="s">
        <x:v>892</x:v>
      </x:c>
      <x:c r="B103" s="7" t="s">
        <x:v>884</x:v>
      </x:c>
      <x:c r="C103" s="7" t="s">
        <x:v>1348</x:v>
      </x:c>
      <x:c r="D103" s="7" t="s">
        <x:v>6327</x:v>
      </x:c>
      <x:c r="E103" s="7" t="s">
        <x:v>6426</x:v>
      </x:c>
      <x:c r="F103" s="7" t="s">
        <x:v>6111</x:v>
      </x:c>
      <x:c r="G103" s="8" t="n">
        <x:v>1</x:v>
      </x:c>
      <x:c r="H103" s="9" t="n">
        <x:v>42.99</x:v>
      </x:c>
      <x:c r="I103" s="9" t="n">
        <x:v>24.99</x:v>
      </x:c>
      <x:c r="J103" s="9" t="n">
        <x:f aca="0">IF(L103,H103/G103,"Not applicable")</x:f>
        <x:v>42.99</x:v>
      </x:c>
      <x:c r="K103" s="7" t="s">
        <x:v>6101</x:v>
      </x:c>
      <x:c r="L103" s="11" t="b">
        <x:f aca="0">TRUE()</x:f>
        <x:v>1</x:v>
      </x:c>
      <x:c r="M103" s="11" t="b">
        <x:f aca="0">TRUE()</x:f>
        <x:v>1</x:v>
      </x:c>
      <x:c r="N103" s="9" t="n">
        <x:v>24.99</x:v>
      </x:c>
      <x:c r="O103" s="7" t="s">
        <x:v>6102</x:v>
      </x:c>
      <x:c r="P103" s="7" t="s">
        <x:v>6103</x:v>
      </x:c>
      <x:c r="Q103" s="7" t="s">
        <x:v>6104</x:v>
      </x:c>
      <x:c r="R103" s="7" t="s">
        <x:v>6333</x:v>
      </x:c>
      <x:c r="S103" s="7" t="s">
        <x:v>6427</x:v>
      </x:c>
      <x:c r="T103" s="7" t="s">
        <x:v>6415</x:v>
      </x:c>
      <x:c r="U103" s="13" t="n">
        <x:v>46275.5</x:v>
      </x:c>
      <x:c r="V103" s="7" t="s">
        <x:v>6108</x:v>
      </x:c>
    </x:row>
    <x:row r="104" ht="66" hidden="0" customHeight="1">
      <x:c r="A104" s="7" t="s">
        <x:v>6428</x:v>
      </x:c>
      <x:c r="B104" s="7" t="s">
        <x:v>708</x:v>
      </x:c>
      <x:c r="C104" s="7" t="s">
        <x:v>710</x:v>
      </x:c>
      <x:c r="D104" s="7" t="s">
        <x:v>6327</x:v>
      </x:c>
      <x:c r="E104" s="7" t="s">
        <x:v>6429</x:v>
      </x:c>
      <x:c r="F104" s="7" t="s">
        <x:v>6111</x:v>
      </x:c>
      <x:c r="G104" s="8" t="n">
        <x:v>0.5</x:v>
      </x:c>
      <x:c r="H104" s="9" t="n">
        <x:v>104.99</x:v>
      </x:c>
      <x:c r="I104" s="9" t="n">
        <x:v>90.99</x:v>
      </x:c>
      <x:c r="J104" s="9" t="n">
        <x:f aca="0">IF(L104,H104/G104,"Not applicable")</x:f>
        <x:v>209.98</x:v>
      </x:c>
      <x:c r="K104" s="7" t="s">
        <x:v>6101</x:v>
      </x:c>
      <x:c r="L104" s="11" t="b">
        <x:f aca="0">TRUE()</x:f>
        <x:v>1</x:v>
      </x:c>
      <x:c r="M104" s="11" t="b">
        <x:f aca="0">FALSE()</x:f>
        <x:v>0</x:v>
      </x:c>
      <x:c r="N104" s="9" t="n">
        <x:v>90.99</x:v>
      </x:c>
      <x:c r="O104" s="7" t="s">
        <x:v>6102</x:v>
      </x:c>
      <x:c r="P104" s="7" t="s">
        <x:v>6103</x:v>
      </x:c>
      <x:c r="Q104" s="7" t="s">
        <x:v>6104</x:v>
      </x:c>
      <x:c r="R104" s="7" t="s">
        <x:v>6333</x:v>
      </x:c>
      <x:c r="S104" s="7" t="s">
        <x:v>6430</x:v>
      </x:c>
      <x:c r="T104" s="7" t="s">
        <x:v>6415</x:v>
      </x:c>
      <x:c r="U104" s="13" t="n">
        <x:v>46275.5</x:v>
      </x:c>
      <x:c r="V104" s="7" t="s">
        <x:v>6108</x:v>
      </x:c>
    </x:row>
    <x:row r="105" ht="51.75" hidden="0" customHeight="1">
      <x:c r="A105" s="7" t="s">
        <x:v>6431</x:v>
      </x:c>
      <x:c r="B105" s="7" t="s">
        <x:v>802</x:v>
      </x:c>
      <x:c r="C105" s="7" t="s">
        <x:v>1328</x:v>
      </x:c>
      <x:c r="D105" s="7" t="s">
        <x:v>6327</x:v>
      </x:c>
      <x:c r="E105" s="7" t="s">
        <x:v>6432</x:v>
      </x:c>
      <x:c r="F105" s="7" t="s">
        <x:v>6111</x:v>
      </x:c>
      <x:c r="G105" s="8" t="n">
        <x:v>0.75</x:v>
      </x:c>
      <x:c r="H105" s="9" t="n">
        <x:v>146.99</x:v>
      </x:c>
      <x:c r="I105" s="9" t="n">
        <x:v>124.94</x:v>
      </x:c>
      <x:c r="J105" s="9" t="str">
        <x:f aca="0">IF(L105,H105/G105,"Not applicable")</x:f>
        <x:v>Not applicable</x:v>
      </x:c>
      <x:c r="K105" s="7" t="s">
        <x:v>6124</x:v>
      </x:c>
      <x:c r="L105" s="11" t="b">
        <x:f aca="0">FALSE()</x:f>
        <x:v>0</x:v>
      </x:c>
      <x:c r="M105" s="11" t="b">
        <x:f aca="0">FALSE()</x:f>
        <x:v>0</x:v>
      </x:c>
      <x:c r="N105" s="9" t="n">
        <x:v>124.94</x:v>
      </x:c>
      <x:c r="O105" s="7" t="s">
        <x:v>6102</x:v>
      </x:c>
      <x:c r="P105" s="7" t="s">
        <x:v>6103</x:v>
      </x:c>
      <x:c r="Q105" s="7" t="s">
        <x:v>6104</x:v>
      </x:c>
      <x:c r="R105" s="7" t="s">
        <x:v>6333</x:v>
      </x:c>
      <x:c r="S105" s="7" t="s">
        <x:v>6433</x:v>
      </x:c>
      <x:c r="T105" s="7" t="s">
        <x:v>6415</x:v>
      </x:c>
      <x:c r="U105" s="13" t="n">
        <x:v>46275.5</x:v>
      </x:c>
      <x:c r="V105" s="7" t="s">
        <x:v>6114</x:v>
      </x:c>
    </x:row>
    <x:row r="106" ht="66" hidden="0" customHeight="1">
      <x:c r="A106" s="7" t="s">
        <x:v>6434</x:v>
      </x:c>
      <x:c r="B106" s="7" t="s">
        <x:v>1080</x:v>
      </x:c>
      <x:c r="C106" s="7" t="s">
        <x:v>1082</x:v>
      </x:c>
      <x:c r="D106" s="7" t="s">
        <x:v>6327</x:v>
      </x:c>
      <x:c r="E106" s="7" t="s">
        <x:v>6435</x:v>
      </x:c>
      <x:c r="F106" s="7" t="s">
        <x:v>6111</x:v>
      </x:c>
      <x:c r="G106" s="8" t="n">
        <x:v>0.5</x:v>
      </x:c>
      <x:c r="H106" s="9" t="n">
        <x:v>176.99</x:v>
      </x:c>
      <x:c r="I106" s="9" t="n">
        <x:v>153.99</x:v>
      </x:c>
      <x:c r="J106" s="9" t="str">
        <x:f aca="0">IF(L106,H106/G106,"Not applicable")</x:f>
        <x:v>Not applicable</x:v>
      </x:c>
      <x:c r="K106" s="7" t="s">
        <x:v>6124</x:v>
      </x:c>
      <x:c r="L106" s="11" t="b">
        <x:f aca="0">FALSE()</x:f>
        <x:v>0</x:v>
      </x:c>
      <x:c r="M106" s="11" t="b">
        <x:f aca="0">FALSE()</x:f>
        <x:v>0</x:v>
      </x:c>
      <x:c r="N106" s="9" t="n">
        <x:v>153.99</x:v>
      </x:c>
      <x:c r="O106" s="7" t="s">
        <x:v>6102</x:v>
      </x:c>
      <x:c r="P106" s="7" t="s">
        <x:v>6103</x:v>
      </x:c>
      <x:c r="Q106" s="7" t="s">
        <x:v>6104</x:v>
      </x:c>
      <x:c r="R106" s="7" t="s">
        <x:v>6333</x:v>
      </x:c>
      <x:c r="S106" s="7" t="s">
        <x:v>6436</x:v>
      </x:c>
      <x:c r="T106" s="7" t="s">
        <x:v>6415</x:v>
      </x:c>
      <x:c r="U106" s="13" t="n">
        <x:v>46275.5</x:v>
      </x:c>
      <x:c r="V106" s="7" t="s">
        <x:v>6114</x:v>
      </x:c>
    </x:row>
    <x:row r="107" ht="37.5" hidden="0" customHeight="1">
      <x:c r="A107" s="7" t="s">
        <x:v>6437</x:v>
      </x:c>
      <x:c r="B107" s="7" t="s">
        <x:v>390</x:v>
      </x:c>
      <x:c r="C107" s="7" t="s">
        <x:v>392</x:v>
      </x:c>
      <x:c r="D107" s="7" t="s">
        <x:v>6438</x:v>
      </x:c>
      <x:c r="E107" s="7" t="s">
        <x:v>6439</x:v>
      </x:c>
      <x:c r="F107" s="7" t="s">
        <x:v>6111</x:v>
      </x:c>
      <x:c r="G107" s="8" t="n">
        <x:v>1</x:v>
      </x:c>
      <x:c r="H107" s="9" t="n">
        <x:v>38.99</x:v>
      </x:c>
      <x:c r="I107" s="9" t="s">
        <x:v>58</x:v>
      </x:c>
      <x:c r="J107" s="9" t="n">
        <x:f aca="0">IF(L107,H107/G107,"Not applicable")</x:f>
        <x:v>38.99</x:v>
      </x:c>
      <x:c r="K107" s="7" t="s">
        <x:v>6101</x:v>
      </x:c>
      <x:c r="L107" s="11" t="b">
        <x:f aca="0">TRUE()</x:f>
        <x:v>1</x:v>
      </x:c>
      <x:c r="M107" s="11" t="b">
        <x:f aca="0">TRUE()</x:f>
        <x:v>1</x:v>
      </x:c>
      <x:c r="N107" s="9" t="n">
        <x:v>38.99</x:v>
      </x:c>
      <x:c r="O107" s="7" t="s">
        <x:v>6102</x:v>
      </x:c>
      <x:c r="P107" s="7" t="s">
        <x:v>6103</x:v>
      </x:c>
      <x:c r="Q107" s="7" t="s">
        <x:v>6104</x:v>
      </x:c>
      <x:c r="R107" s="7" t="s">
        <x:v>6329</x:v>
      </x:c>
      <x:c r="S107" s="7" t="s">
        <x:v>6440</x:v>
      </x:c>
      <x:c r="T107" s="7" t="s">
        <x:v>6441</x:v>
      </x:c>
      <x:c r="U107" s="13" t="n">
        <x:v>46275.5</x:v>
      </x:c>
      <x:c r="V107" s="7" t="s">
        <x:v>6108</x:v>
      </x:c>
    </x:row>
  </x:sheetData>
  <x:pageMargins left="0.7" right="0.7" top="0.75" bottom="0.75" header="0.3" footer="0.3"/>
  <x:tableParts count="1">
    <x:tablePart xmlns:r="http://schemas.openxmlformats.org/officeDocument/2006/relationships" r:id="R1dc2446173a64754"/>
  </x:tableParts>
</x:worksheet>
</file>

<file path=xl/worksheets/sheet7.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1" width="42" style="1" hidden="0" customWidth="1"/>
    <x:col min="2" max="2" width="26" style="1" hidden="0" customWidth="1"/>
    <x:col min="3" max="3" width="38" style="1" hidden="0" customWidth="1"/>
    <x:col min="4" max="7" width="26" style="1" hidden="0" customWidth="1"/>
    <x:col min="8" max="8" width="78" style="1" hidden="0" customWidth="1"/>
    <x:col min="9" max="9" width="26" style="1" hidden="0" customWidth="1"/>
    <x:col min="10" max="10" width="42" style="1" hidden="0" customWidth="1"/>
    <x:col min="11" max="12" width="26" style="1" hidden="0" customWidth="1"/>
  </x:cols>
  <x:sheetData>
    <x:row r="1" ht="24" hidden="0" customHeight="1">
      <x:c r="A1" s="3" t="s">
        <x:v>6442</x:v>
      </x:c>
      <x:c r="B1" s="2"/>
      <x:c r="C1" s="2"/>
      <x:c r="D1" s="2"/>
      <x:c r="E1" s="2"/>
      <x:c r="F1" s="2"/>
      <x:c r="G1" s="2"/>
      <x:c r="H1" s="2"/>
      <x:c r="I1" s="2"/>
      <x:c r="J1" s="2"/>
      <x:c r="K1" s="2"/>
      <x:c r="L1" s="2"/>
    </x:row>
    <x:row r="2" ht="15" hidden="0" customHeight="1">
      <x:c r="A2" s="2"/>
      <x:c r="B2" s="2"/>
      <x:c r="C2" s="2"/>
      <x:c r="D2" s="2"/>
      <x:c r="E2" s="2"/>
      <x:c r="F2" s="2"/>
      <x:c r="G2" s="2"/>
      <x:c r="H2" s="2"/>
      <x:c r="I2" s="2"/>
      <x:c r="J2" s="2"/>
      <x:c r="K2" s="2"/>
      <x:c r="L2" s="2"/>
    </x:row>
    <x:row r="3" ht="43.5" hidden="0" customHeight="1">
      <x:c r="A3" s="4" t="s">
        <x:v>1134</x:v>
      </x:c>
      <x:c r="B3" s="4" t="s">
        <x:v>6443</x:v>
      </x:c>
      <x:c r="C3" s="4" t="s">
        <x:v>6444</x:v>
      </x:c>
      <x:c r="D3" s="4" t="s">
        <x:v>6445</x:v>
      </x:c>
      <x:c r="E3" s="12" t="s">
        <x:v>6446</x:v>
      </x:c>
      <x:c r="F3" s="12" t="s">
        <x:v>6096</x:v>
      </x:c>
      <x:c r="G3" s="4" t="s">
        <x:v>6447</x:v>
      </x:c>
      <x:c r="H3" s="4" t="s">
        <x:v>6095</x:v>
      </x:c>
      <x:c r="I3" s="4" t="s">
        <x:v>1485</x:v>
      </x:c>
      <x:c r="J3" s="4" t="s">
        <x:v>6448</x:v>
      </x:c>
      <x:c r="K3" s="4" t="s">
        <x:v>6449</x:v>
      </x:c>
      <x:c r="L3" s="4" t="s">
        <x:v>6450</x:v>
      </x:c>
    </x:row>
    <x:row r="4" ht="51.75" hidden="0" customHeight="1">
      <x:c r="A4" s="7" t="s">
        <x:v>6451</x:v>
      </x:c>
      <x:c r="B4" s="7" t="s">
        <x:v>1153</x:v>
      </x:c>
      <x:c r="C4" s="7" t="s">
        <x:v>6452</x:v>
      </x:c>
      <x:c r="D4" s="7" t="s">
        <x:v>6453</x:v>
      </x:c>
      <x:c r="E4" s="13" t="s">
        <x:v>6454</x:v>
      </x:c>
      <x:c r="F4" s="13" t="n">
        <x:v>46275.5</x:v>
      </x:c>
      <x:c r="G4" s="7" t="s">
        <x:v>6455</x:v>
      </x:c>
      <x:c r="H4" s="7" t="s">
        <x:v>6456</x:v>
      </x:c>
      <x:c r="I4" s="7" t="s">
        <x:v>6457</x:v>
      </x:c>
      <x:c r="J4" s="7" t="s">
        <x:v>6458</x:v>
      </x:c>
      <x:c r="K4" s="7" t="s">
        <x:v>6459</x:v>
      </x:c>
      <x:c r="L4" s="7" t="s">
        <x:v>6460</x:v>
      </x:c>
    </x:row>
    <x:row r="5" ht="51.75" hidden="0" customHeight="1">
      <x:c r="A5" s="7" t="s">
        <x:v>1491</x:v>
      </x:c>
      <x:c r="B5" s="7" t="s">
        <x:v>1153</x:v>
      </x:c>
      <x:c r="C5" s="7" t="s">
        <x:v>6461</x:v>
      </x:c>
      <x:c r="D5" s="7" t="s">
        <x:v>53</x:v>
      </x:c>
      <x:c r="E5" s="13" t="s">
        <x:v>53</x:v>
      </x:c>
      <x:c r="F5" s="13" t="n">
        <x:v>46275.5</x:v>
      </x:c>
      <x:c r="G5" s="7" t="s">
        <x:v>6455</x:v>
      </x:c>
      <x:c r="H5" s="7" t="s">
        <x:v>6462</x:v>
      </x:c>
      <x:c r="I5" s="7" t="s">
        <x:v>6463</x:v>
      </x:c>
      <x:c r="J5" s="7" t="s">
        <x:v>6458</x:v>
      </x:c>
      <x:c r="K5" s="7" t="s">
        <x:v>6459</x:v>
      </x:c>
      <x:c r="L5" s="7" t="s">
        <x:v>6464</x:v>
      </x:c>
    </x:row>
    <x:row r="6" ht="51.75" hidden="0" customHeight="1">
      <x:c r="A6" s="7" t="s">
        <x:v>6465</x:v>
      </x:c>
      <x:c r="B6" s="7" t="s">
        <x:v>1153</x:v>
      </x:c>
      <x:c r="C6" s="7" t="s">
        <x:v>6466</x:v>
      </x:c>
      <x:c r="D6" s="7" t="s">
        <x:v>53</x:v>
      </x:c>
      <x:c r="E6" s="13" t="s">
        <x:v>53</x:v>
      </x:c>
      <x:c r="F6" s="13" t="n">
        <x:v>46275.5</x:v>
      </x:c>
      <x:c r="G6" s="7" t="s">
        <x:v>6467</x:v>
      </x:c>
      <x:c r="H6" s="7" t="s">
        <x:v>6468</x:v>
      </x:c>
      <x:c r="I6" s="7" t="s">
        <x:v>6469</x:v>
      </x:c>
      <x:c r="J6" s="7" t="s">
        <x:v>6458</x:v>
      </x:c>
      <x:c r="K6" s="7" t="s">
        <x:v>6459</x:v>
      </x:c>
      <x:c r="L6" s="7" t="s">
        <x:v>6470</x:v>
      </x:c>
    </x:row>
    <x:row r="7" ht="51.75" hidden="0" customHeight="1">
      <x:c r="A7" s="7" t="s">
        <x:v>6471</x:v>
      </x:c>
      <x:c r="B7" s="7" t="s">
        <x:v>1385</x:v>
      </x:c>
      <x:c r="C7" s="7" t="s">
        <x:v>6472</x:v>
      </x:c>
      <x:c r="D7" s="7" t="s">
        <x:v>53</x:v>
      </x:c>
      <x:c r="E7" s="13" t="s">
        <x:v>53</x:v>
      </x:c>
      <x:c r="F7" s="13" t="n">
        <x:v>46275.5</x:v>
      </x:c>
      <x:c r="G7" s="7" t="s">
        <x:v>6473</x:v>
      </x:c>
      <x:c r="H7" s="7" t="s">
        <x:v>6474</x:v>
      </x:c>
      <x:c r="I7" s="7" t="s">
        <x:v>6463</x:v>
      </x:c>
      <x:c r="J7" s="7" t="s">
        <x:v>6458</x:v>
      </x:c>
      <x:c r="K7" s="7" t="s">
        <x:v>6459</x:v>
      </x:c>
      <x:c r="L7" s="7" t="s">
        <x:v>6475</x:v>
      </x:c>
    </x:row>
    <x:row r="8" ht="51.75" hidden="0" customHeight="1">
      <x:c r="A8" s="7" t="s">
        <x:v>66</x:v>
      </x:c>
      <x:c r="B8" s="7" t="s">
        <x:v>6476</x:v>
      </x:c>
      <x:c r="C8" s="7" t="s">
        <x:v>6477</x:v>
      </x:c>
      <x:c r="D8" s="7" t="s">
        <x:v>53</x:v>
      </x:c>
      <x:c r="E8" s="13" t="s">
        <x:v>53</x:v>
      </x:c>
      <x:c r="F8" s="13" t="n">
        <x:v>46275.5</x:v>
      </x:c>
      <x:c r="G8" s="7" t="s">
        <x:v>6478</x:v>
      </x:c>
      <x:c r="H8" s="7" t="s">
        <x:v>6479</x:v>
      </x:c>
      <x:c r="I8" s="7" t="s">
        <x:v>6480</x:v>
      </x:c>
      <x:c r="J8" s="7" t="s">
        <x:v>6458</x:v>
      </x:c>
      <x:c r="K8" s="7" t="s">
        <x:v>6481</x:v>
      </x:c>
      <x:c r="L8" s="7" t="s">
        <x:v>6482</x:v>
      </x:c>
    </x:row>
    <x:row r="9" ht="51.75" hidden="0" customHeight="1">
      <x:c r="A9" s="7" t="s">
        <x:v>6019</x:v>
      </x:c>
      <x:c r="B9" s="7" t="s">
        <x:v>6476</x:v>
      </x:c>
      <x:c r="C9" s="7" t="s">
        <x:v>6483</x:v>
      </x:c>
      <x:c r="D9" s="7" t="s">
        <x:v>53</x:v>
      </x:c>
      <x:c r="E9" s="13" t="s">
        <x:v>53</x:v>
      </x:c>
      <x:c r="F9" s="13" t="n">
        <x:v>46275.5</x:v>
      </x:c>
      <x:c r="G9" s="7" t="s">
        <x:v>6484</x:v>
      </x:c>
      <x:c r="H9" s="7" t="s">
        <x:v>6485</x:v>
      </x:c>
      <x:c r="I9" s="7" t="s">
        <x:v>6486</x:v>
      </x:c>
      <x:c r="J9" s="7" t="s">
        <x:v>6458</x:v>
      </x:c>
      <x:c r="K9" s="7" t="s">
        <x:v>6481</x:v>
      </x:c>
      <x:c r="L9" s="7" t="s">
        <x:v>6487</x:v>
      </x:c>
    </x:row>
    <x:row r="10" ht="51.75" hidden="0" customHeight="1">
      <x:c r="A10" s="7" t="s">
        <x:v>6024</x:v>
      </x:c>
      <x:c r="B10" s="7" t="s">
        <x:v>6476</x:v>
      </x:c>
      <x:c r="C10" s="7" t="s">
        <x:v>6488</x:v>
      </x:c>
      <x:c r="D10" s="7" t="s">
        <x:v>53</x:v>
      </x:c>
      <x:c r="E10" s="13" t="s">
        <x:v>53</x:v>
      </x:c>
      <x:c r="F10" s="13" t="n">
        <x:v>46275.5</x:v>
      </x:c>
      <x:c r="G10" s="7" t="s">
        <x:v>6484</x:v>
      </x:c>
      <x:c r="H10" s="7" t="s">
        <x:v>6489</x:v>
      </x:c>
      <x:c r="I10" s="7" t="s">
        <x:v>6490</x:v>
      </x:c>
      <x:c r="J10" s="7" t="s">
        <x:v>6458</x:v>
      </x:c>
      <x:c r="K10" s="7" t="s">
        <x:v>6481</x:v>
      </x:c>
      <x:c r="L10" s="7" t="s">
        <x:v>6491</x:v>
      </x:c>
    </x:row>
    <x:row r="11" ht="51.75" hidden="0" customHeight="1">
      <x:c r="A11" s="7" t="s">
        <x:v>6492</x:v>
      </x:c>
      <x:c r="B11" s="7" t="s">
        <x:v>6476</x:v>
      </x:c>
      <x:c r="C11" s="7" t="s">
        <x:v>6493</x:v>
      </x:c>
      <x:c r="D11" s="7" t="s">
        <x:v>53</x:v>
      </x:c>
      <x:c r="E11" s="13" t="s">
        <x:v>53</x:v>
      </x:c>
      <x:c r="F11" s="13" t="n">
        <x:v>46275.5</x:v>
      </x:c>
      <x:c r="G11" s="7" t="s">
        <x:v>6484</x:v>
      </x:c>
      <x:c r="H11" s="7" t="s">
        <x:v>6494</x:v>
      </x:c>
      <x:c r="I11" s="7" t="s">
        <x:v>6495</x:v>
      </x:c>
      <x:c r="J11" s="7" t="s">
        <x:v>6458</x:v>
      </x:c>
      <x:c r="K11" s="7" t="s">
        <x:v>6481</x:v>
      </x:c>
      <x:c r="L11" s="7" t="s">
        <x:v>6496</x:v>
      </x:c>
    </x:row>
    <x:row r="12" ht="51.75" hidden="0" customHeight="1">
      <x:c r="A12" s="7" t="s">
        <x:v>1139</x:v>
      </x:c>
      <x:c r="B12" s="7" t="s">
        <x:v>1137</x:v>
      </x:c>
      <x:c r="C12" s="7" t="s">
        <x:v>1138</x:v>
      </x:c>
      <x:c r="D12" s="7" t="s">
        <x:v>6497</x:v>
      </x:c>
      <x:c r="E12" s="13" t="s">
        <x:v>53</x:v>
      </x:c>
      <x:c r="F12" s="13" t="n">
        <x:v>46275.5</x:v>
      </x:c>
      <x:c r="G12" s="7" t="s">
        <x:v>6498</x:v>
      </x:c>
      <x:c r="H12" s="7" t="s">
        <x:v>6499</x:v>
      </x:c>
      <x:c r="I12" s="7" t="s">
        <x:v>6463</x:v>
      </x:c>
      <x:c r="J12" s="7" t="s">
        <x:v>48</x:v>
      </x:c>
      <x:c r="K12" s="7" t="s">
        <x:v>6459</x:v>
      </x:c>
      <x:c r="L12" s="7" t="s">
        <x:v>6500</x:v>
      </x:c>
    </x:row>
    <x:row r="13" ht="51.75" hidden="0" customHeight="1">
      <x:c r="A13" s="7" t="s">
        <x:v>1148</x:v>
      </x:c>
      <x:c r="B13" s="7" t="s">
        <x:v>1146</x:v>
      </x:c>
      <x:c r="C13" s="7" t="s">
        <x:v>1147</x:v>
      </x:c>
      <x:c r="D13" s="7" t="s">
        <x:v>53</x:v>
      </x:c>
      <x:c r="E13" s="13" t="s">
        <x:v>53</x:v>
      </x:c>
      <x:c r="F13" s="13" t="n">
        <x:v>46275.5</x:v>
      </x:c>
      <x:c r="G13" s="7" t="s">
        <x:v>6498</x:v>
      </x:c>
      <x:c r="H13" s="7" t="s">
        <x:v>6501</x:v>
      </x:c>
      <x:c r="I13" s="7" t="s">
        <x:v>6463</x:v>
      </x:c>
      <x:c r="J13" s="7" t="s">
        <x:v>1145</x:v>
      </x:c>
      <x:c r="K13" s="7" t="s">
        <x:v>6459</x:v>
      </x:c>
      <x:c r="L13" s="7" t="s">
        <x:v>6502</x:v>
      </x:c>
    </x:row>
    <x:row r="14" ht="51.75" hidden="0" customHeight="1">
      <x:c r="A14" s="7" t="s">
        <x:v>1152</x:v>
      </x:c>
      <x:c r="B14" s="7" t="s">
        <x:v>1151</x:v>
      </x:c>
      <x:c r="C14" s="7" t="s">
        <x:v>46</x:v>
      </x:c>
      <x:c r="D14" s="7" t="s">
        <x:v>53</x:v>
      </x:c>
      <x:c r="E14" s="13" t="s">
        <x:v>53</x:v>
      </x:c>
      <x:c r="F14" s="13" t="n">
        <x:v>46275.5</x:v>
      </x:c>
      <x:c r="G14" s="7" t="s">
        <x:v>6498</x:v>
      </x:c>
      <x:c r="H14" s="7" t="s">
        <x:v>6503</x:v>
      </x:c>
      <x:c r="I14" s="7" t="s">
        <x:v>6463</x:v>
      </x:c>
      <x:c r="J14" s="7" t="s">
        <x:v>1150</x:v>
      </x:c>
      <x:c r="K14" s="7" t="s">
        <x:v>6459</x:v>
      </x:c>
      <x:c r="L14" s="7" t="s">
        <x:v>6504</x:v>
      </x:c>
    </x:row>
    <x:row r="15" ht="51.75" hidden="0" customHeight="1">
      <x:c r="A15" s="7" t="s">
        <x:v>1154</x:v>
      </x:c>
      <x:c r="B15" s="7" t="s">
        <x:v>1153</x:v>
      </x:c>
      <x:c r="C15" s="7" t="s">
        <x:v>6505</x:v>
      </x:c>
      <x:c r="D15" s="7" t="s">
        <x:v>6506</x:v>
      </x:c>
      <x:c r="E15" s="13" t="s">
        <x:v>53</x:v>
      </x:c>
      <x:c r="F15" s="13" t="n">
        <x:v>46275.5</x:v>
      </x:c>
      <x:c r="G15" s="7" t="s">
        <x:v>6498</x:v>
      </x:c>
      <x:c r="H15" s="7" t="s">
        <x:v>6507</x:v>
      </x:c>
      <x:c r="I15" s="7" t="s">
        <x:v>6463</x:v>
      </x:c>
      <x:c r="J15" s="7" t="s">
        <x:v>79</x:v>
      </x:c>
      <x:c r="K15" s="7" t="s">
        <x:v>6459</x:v>
      </x:c>
      <x:c r="L15" s="7" t="s">
        <x:v>6508</x:v>
      </x:c>
    </x:row>
    <x:row r="16" ht="51.75" hidden="0" customHeight="1">
      <x:c r="A16" s="7" t="s">
        <x:v>1157</x:v>
      </x:c>
      <x:c r="B16" s="7" t="s">
        <x:v>1153</x:v>
      </x:c>
      <x:c r="C16" s="7" t="s">
        <x:v>6509</x:v>
      </x:c>
      <x:c r="D16" s="7" t="s">
        <x:v>6506</x:v>
      </x:c>
      <x:c r="E16" s="13" t="s">
        <x:v>53</x:v>
      </x:c>
      <x:c r="F16" s="13" t="n">
        <x:v>46275.5</x:v>
      </x:c>
      <x:c r="G16" s="7" t="s">
        <x:v>6498</x:v>
      </x:c>
      <x:c r="H16" s="7" t="s">
        <x:v>6510</x:v>
      </x:c>
      <x:c r="I16" s="7" t="s">
        <x:v>6463</x:v>
      </x:c>
      <x:c r="J16" s="7" t="s">
        <x:v>96</x:v>
      </x:c>
      <x:c r="K16" s="7" t="s">
        <x:v>6459</x:v>
      </x:c>
      <x:c r="L16" s="7" t="s">
        <x:v>6511</x:v>
      </x:c>
    </x:row>
    <x:row r="17" ht="51.75" hidden="0" customHeight="1">
      <x:c r="A17" s="7" t="s">
        <x:v>1158</x:v>
      </x:c>
      <x:c r="B17" s="7" t="s">
        <x:v>1153</x:v>
      </x:c>
      <x:c r="C17" s="7" t="s">
        <x:v>6512</x:v>
      </x:c>
      <x:c r="D17" s="7" t="s">
        <x:v>6513</x:v>
      </x:c>
      <x:c r="E17" s="13" t="s">
        <x:v>53</x:v>
      </x:c>
      <x:c r="F17" s="13" t="n">
        <x:v>46275.5</x:v>
      </x:c>
      <x:c r="G17" s="7" t="s">
        <x:v>6498</x:v>
      </x:c>
      <x:c r="H17" s="7" t="s">
        <x:v>6514</x:v>
      </x:c>
      <x:c r="I17" s="7" t="s">
        <x:v>6463</x:v>
      </x:c>
      <x:c r="J17" s="7" t="s">
        <x:v>113</x:v>
      </x:c>
      <x:c r="K17" s="7" t="s">
        <x:v>6459</x:v>
      </x:c>
      <x:c r="L17" s="7" t="s">
        <x:v>6515</x:v>
      </x:c>
    </x:row>
    <x:row r="18" ht="51.75" hidden="0" customHeight="1">
      <x:c r="A18" s="7" t="s">
        <x:v>1160</x:v>
      </x:c>
      <x:c r="B18" s="7" t="s">
        <x:v>1153</x:v>
      </x:c>
      <x:c r="C18" s="7" t="s">
        <x:v>6516</x:v>
      </x:c>
      <x:c r="D18" s="7" t="s">
        <x:v>6506</x:v>
      </x:c>
      <x:c r="E18" s="13" t="s">
        <x:v>53</x:v>
      </x:c>
      <x:c r="F18" s="13" t="n">
        <x:v>46275.5</x:v>
      </x:c>
      <x:c r="G18" s="7" t="s">
        <x:v>6498</x:v>
      </x:c>
      <x:c r="H18" s="7" t="s">
        <x:v>6517</x:v>
      </x:c>
      <x:c r="I18" s="7" t="s">
        <x:v>6463</x:v>
      </x:c>
      <x:c r="J18" s="7" t="s">
        <x:v>124</x:v>
      </x:c>
      <x:c r="K18" s="7" t="s">
        <x:v>6459</x:v>
      </x:c>
      <x:c r="L18" s="7" t="s">
        <x:v>6518</x:v>
      </x:c>
    </x:row>
    <x:row r="19" ht="51.75" hidden="0" customHeight="1">
      <x:c r="A19" s="7" t="s">
        <x:v>1162</x:v>
      </x:c>
      <x:c r="B19" s="7" t="s">
        <x:v>1153</x:v>
      </x:c>
      <x:c r="C19" s="7" t="s">
        <x:v>6519</x:v>
      </x:c>
      <x:c r="D19" s="7" t="s">
        <x:v>6506</x:v>
      </x:c>
      <x:c r="E19" s="13" t="s">
        <x:v>53</x:v>
      </x:c>
      <x:c r="F19" s="13" t="n">
        <x:v>46275.5</x:v>
      </x:c>
      <x:c r="G19" s="7" t="s">
        <x:v>6498</x:v>
      </x:c>
      <x:c r="H19" s="7" t="s">
        <x:v>6520</x:v>
      </x:c>
      <x:c r="I19" s="7" t="s">
        <x:v>6463</x:v>
      </x:c>
      <x:c r="J19" s="7" t="s">
        <x:v>136</x:v>
      </x:c>
      <x:c r="K19" s="7" t="s">
        <x:v>6459</x:v>
      </x:c>
      <x:c r="L19" s="7" t="s">
        <x:v>6521</x:v>
      </x:c>
    </x:row>
    <x:row r="20" ht="51.75" hidden="0" customHeight="1">
      <x:c r="A20" s="7" t="s">
        <x:v>1163</x:v>
      </x:c>
      <x:c r="B20" s="7" t="s">
        <x:v>1153</x:v>
      </x:c>
      <x:c r="C20" s="7" t="s">
        <x:v>6522</x:v>
      </x:c>
      <x:c r="D20" s="7" t="s">
        <x:v>6523</x:v>
      </x:c>
      <x:c r="E20" s="13" t="s">
        <x:v>53</x:v>
      </x:c>
      <x:c r="F20" s="13" t="n">
        <x:v>46275.5</x:v>
      </x:c>
      <x:c r="G20" s="7" t="s">
        <x:v>6498</x:v>
      </x:c>
      <x:c r="H20" s="7" t="s">
        <x:v>6524</x:v>
      </x:c>
      <x:c r="I20" s="7" t="s">
        <x:v>6463</x:v>
      </x:c>
      <x:c r="J20" s="7" t="s">
        <x:v>150</x:v>
      </x:c>
      <x:c r="K20" s="7" t="s">
        <x:v>6459</x:v>
      </x:c>
      <x:c r="L20" s="7" t="s">
        <x:v>6525</x:v>
      </x:c>
    </x:row>
    <x:row r="21" ht="51.75" hidden="0" customHeight="1">
      <x:c r="A21" s="7" t="s">
        <x:v>1164</x:v>
      </x:c>
      <x:c r="B21" s="7" t="s">
        <x:v>1153</x:v>
      </x:c>
      <x:c r="C21" s="7" t="s">
        <x:v>6526</x:v>
      </x:c>
      <x:c r="D21" s="7" t="s">
        <x:v>6506</x:v>
      </x:c>
      <x:c r="E21" s="13" t="s">
        <x:v>53</x:v>
      </x:c>
      <x:c r="F21" s="13" t="n">
        <x:v>46275.5</x:v>
      </x:c>
      <x:c r="G21" s="7" t="s">
        <x:v>6498</x:v>
      </x:c>
      <x:c r="H21" s="7" t="s">
        <x:v>6527</x:v>
      </x:c>
      <x:c r="I21" s="7" t="s">
        <x:v>6463</x:v>
      </x:c>
      <x:c r="J21" s="7" t="s">
        <x:v>160</x:v>
      </x:c>
      <x:c r="K21" s="7" t="s">
        <x:v>6459</x:v>
      </x:c>
      <x:c r="L21" s="7" t="s">
        <x:v>6528</x:v>
      </x:c>
    </x:row>
    <x:row r="22" ht="51.75" hidden="0" customHeight="1">
      <x:c r="A22" s="7" t="s">
        <x:v>1165</x:v>
      </x:c>
      <x:c r="B22" s="7" t="s">
        <x:v>1153</x:v>
      </x:c>
      <x:c r="C22" s="7" t="s">
        <x:v>6529</x:v>
      </x:c>
      <x:c r="D22" s="7" t="s">
        <x:v>6506</x:v>
      </x:c>
      <x:c r="E22" s="13" t="s">
        <x:v>53</x:v>
      </x:c>
      <x:c r="F22" s="13" t="n">
        <x:v>46275.5</x:v>
      </x:c>
      <x:c r="G22" s="7" t="s">
        <x:v>6498</x:v>
      </x:c>
      <x:c r="H22" s="7" t="s">
        <x:v>6530</x:v>
      </x:c>
      <x:c r="I22" s="7" t="s">
        <x:v>6463</x:v>
      </x:c>
      <x:c r="J22" s="7" t="s">
        <x:v>173</x:v>
      </x:c>
      <x:c r="K22" s="7" t="s">
        <x:v>6459</x:v>
      </x:c>
      <x:c r="L22" s="7" t="s">
        <x:v>6531</x:v>
      </x:c>
    </x:row>
    <x:row r="23" ht="51.75" hidden="0" customHeight="1">
      <x:c r="A23" s="7" t="s">
        <x:v>1166</x:v>
      </x:c>
      <x:c r="B23" s="7" t="s">
        <x:v>1153</x:v>
      </x:c>
      <x:c r="C23" s="7" t="s">
        <x:v>6532</x:v>
      </x:c>
      <x:c r="D23" s="7" t="s">
        <x:v>6506</x:v>
      </x:c>
      <x:c r="E23" s="13" t="s">
        <x:v>53</x:v>
      </x:c>
      <x:c r="F23" s="13" t="n">
        <x:v>46275.5</x:v>
      </x:c>
      <x:c r="G23" s="7" t="s">
        <x:v>6498</x:v>
      </x:c>
      <x:c r="H23" s="7" t="s">
        <x:v>6533</x:v>
      </x:c>
      <x:c r="I23" s="7" t="s">
        <x:v>6463</x:v>
      </x:c>
      <x:c r="J23" s="7" t="s">
        <x:v>183</x:v>
      </x:c>
      <x:c r="K23" s="7" t="s">
        <x:v>6459</x:v>
      </x:c>
      <x:c r="L23" s="7" t="s">
        <x:v>6534</x:v>
      </x:c>
    </x:row>
    <x:row r="24" ht="51.75" hidden="0" customHeight="1">
      <x:c r="A24" s="7" t="s">
        <x:v>1167</x:v>
      </x:c>
      <x:c r="B24" s="7" t="s">
        <x:v>1153</x:v>
      </x:c>
      <x:c r="C24" s="7" t="s">
        <x:v>6535</x:v>
      </x:c>
      <x:c r="D24" s="7" t="s">
        <x:v>6523</x:v>
      </x:c>
      <x:c r="E24" s="13" t="s">
        <x:v>53</x:v>
      </x:c>
      <x:c r="F24" s="13" t="n">
        <x:v>46275.5</x:v>
      </x:c>
      <x:c r="G24" s="7" t="s">
        <x:v>6498</x:v>
      </x:c>
      <x:c r="H24" s="7" t="s">
        <x:v>6536</x:v>
      </x:c>
      <x:c r="I24" s="7" t="s">
        <x:v>6463</x:v>
      </x:c>
      <x:c r="J24" s="7" t="s">
        <x:v>193</x:v>
      </x:c>
      <x:c r="K24" s="7" t="s">
        <x:v>6459</x:v>
      </x:c>
      <x:c r="L24" s="7" t="s">
        <x:v>6537</x:v>
      </x:c>
    </x:row>
    <x:row r="25" ht="51.75" hidden="0" customHeight="1">
      <x:c r="A25" s="7" t="s">
        <x:v>1168</x:v>
      </x:c>
      <x:c r="B25" s="7" t="s">
        <x:v>1153</x:v>
      </x:c>
      <x:c r="C25" s="7" t="s">
        <x:v>6538</x:v>
      </x:c>
      <x:c r="D25" s="7" t="s">
        <x:v>6523</x:v>
      </x:c>
      <x:c r="E25" s="13" t="s">
        <x:v>53</x:v>
      </x:c>
      <x:c r="F25" s="13" t="n">
        <x:v>46275.5</x:v>
      </x:c>
      <x:c r="G25" s="7" t="s">
        <x:v>6498</x:v>
      </x:c>
      <x:c r="H25" s="7" t="s">
        <x:v>6539</x:v>
      </x:c>
      <x:c r="I25" s="7" t="s">
        <x:v>6463</x:v>
      </x:c>
      <x:c r="J25" s="7" t="s">
        <x:v>201</x:v>
      </x:c>
      <x:c r="K25" s="7" t="s">
        <x:v>6459</x:v>
      </x:c>
      <x:c r="L25" s="7" t="s">
        <x:v>6540</x:v>
      </x:c>
    </x:row>
    <x:row r="26" ht="51.75" hidden="0" customHeight="1">
      <x:c r="A26" s="7" t="s">
        <x:v>1169</x:v>
      </x:c>
      <x:c r="B26" s="7" t="s">
        <x:v>1153</x:v>
      </x:c>
      <x:c r="C26" s="7" t="s">
        <x:v>6541</x:v>
      </x:c>
      <x:c r="D26" s="7" t="s">
        <x:v>6523</x:v>
      </x:c>
      <x:c r="E26" s="13" t="s">
        <x:v>53</x:v>
      </x:c>
      <x:c r="F26" s="13" t="n">
        <x:v>46275.5</x:v>
      </x:c>
      <x:c r="G26" s="7" t="s">
        <x:v>6498</x:v>
      </x:c>
      <x:c r="H26" s="7" t="s">
        <x:v>6542</x:v>
      </x:c>
      <x:c r="I26" s="7" t="s">
        <x:v>6463</x:v>
      </x:c>
      <x:c r="J26" s="7" t="s">
        <x:v>212</x:v>
      </x:c>
      <x:c r="K26" s="7" t="s">
        <x:v>6459</x:v>
      </x:c>
      <x:c r="L26" s="7" t="s">
        <x:v>6543</x:v>
      </x:c>
    </x:row>
    <x:row r="27" ht="51.75" hidden="0" customHeight="1">
      <x:c r="A27" s="7" t="s">
        <x:v>1170</x:v>
      </x:c>
      <x:c r="B27" s="7" t="s">
        <x:v>1153</x:v>
      </x:c>
      <x:c r="C27" s="7" t="s">
        <x:v>6544</x:v>
      </x:c>
      <x:c r="D27" s="7" t="s">
        <x:v>6523</x:v>
      </x:c>
      <x:c r="E27" s="13" t="s">
        <x:v>53</x:v>
      </x:c>
      <x:c r="F27" s="13" t="n">
        <x:v>46275.5</x:v>
      </x:c>
      <x:c r="G27" s="7" t="s">
        <x:v>6498</x:v>
      </x:c>
      <x:c r="H27" s="7" t="s">
        <x:v>6545</x:v>
      </x:c>
      <x:c r="I27" s="7" t="s">
        <x:v>6463</x:v>
      </x:c>
      <x:c r="J27" s="7" t="s">
        <x:v>221</x:v>
      </x:c>
      <x:c r="K27" s="7" t="s">
        <x:v>6459</x:v>
      </x:c>
      <x:c r="L27" s="7" t="s">
        <x:v>6546</x:v>
      </x:c>
    </x:row>
    <x:row r="28" ht="51.75" hidden="0" customHeight="1">
      <x:c r="A28" s="7" t="s">
        <x:v>1171</x:v>
      </x:c>
      <x:c r="B28" s="7" t="s">
        <x:v>1153</x:v>
      </x:c>
      <x:c r="C28" s="7" t="s">
        <x:v>6547</x:v>
      </x:c>
      <x:c r="D28" s="7" t="s">
        <x:v>6548</x:v>
      </x:c>
      <x:c r="E28" s="13" t="s">
        <x:v>53</x:v>
      </x:c>
      <x:c r="F28" s="13" t="n">
        <x:v>46275.5</x:v>
      </x:c>
      <x:c r="G28" s="7" t="s">
        <x:v>6498</x:v>
      </x:c>
      <x:c r="H28" s="7" t="s">
        <x:v>6549</x:v>
      </x:c>
      <x:c r="I28" s="7" t="s">
        <x:v>6463</x:v>
      </x:c>
      <x:c r="J28" s="7" t="s">
        <x:v>231</x:v>
      </x:c>
      <x:c r="K28" s="7" t="s">
        <x:v>6459</x:v>
      </x:c>
      <x:c r="L28" s="7" t="s">
        <x:v>6550</x:v>
      </x:c>
    </x:row>
    <x:row r="29" ht="51.75" hidden="0" customHeight="1">
      <x:c r="A29" s="7" t="s">
        <x:v>1172</x:v>
      </x:c>
      <x:c r="B29" s="7" t="s">
        <x:v>1153</x:v>
      </x:c>
      <x:c r="C29" s="7" t="s">
        <x:v>6551</x:v>
      </x:c>
      <x:c r="D29" s="7" t="s">
        <x:v>6513</x:v>
      </x:c>
      <x:c r="E29" s="13" t="s">
        <x:v>53</x:v>
      </x:c>
      <x:c r="F29" s="13" t="n">
        <x:v>46275.5</x:v>
      </x:c>
      <x:c r="G29" s="7" t="s">
        <x:v>6498</x:v>
      </x:c>
      <x:c r="H29" s="7" t="s">
        <x:v>6552</x:v>
      </x:c>
      <x:c r="I29" s="7" t="s">
        <x:v>6463</x:v>
      </x:c>
      <x:c r="J29" s="7" t="s">
        <x:v>243</x:v>
      </x:c>
      <x:c r="K29" s="7" t="s">
        <x:v>6459</x:v>
      </x:c>
      <x:c r="L29" s="7" t="s">
        <x:v>6553</x:v>
      </x:c>
    </x:row>
    <x:row r="30" ht="51.75" hidden="0" customHeight="1">
      <x:c r="A30" s="7" t="s">
        <x:v>1175</x:v>
      </x:c>
      <x:c r="B30" s="7" t="s">
        <x:v>1146</x:v>
      </x:c>
      <x:c r="C30" s="7" t="s">
        <x:v>6554</x:v>
      </x:c>
      <x:c r="D30" s="7" t="s">
        <x:v>53</x:v>
      </x:c>
      <x:c r="E30" s="13" t="s">
        <x:v>53</x:v>
      </x:c>
      <x:c r="F30" s="13" t="n">
        <x:v>46275.5</x:v>
      </x:c>
      <x:c r="G30" s="7" t="s">
        <x:v>6498</x:v>
      </x:c>
      <x:c r="H30" s="7" t="s">
        <x:v>6555</x:v>
      </x:c>
      <x:c r="I30" s="7" t="s">
        <x:v>6463</x:v>
      </x:c>
      <x:c r="J30" s="7" t="s">
        <x:v>254</x:v>
      </x:c>
      <x:c r="K30" s="7" t="s">
        <x:v>6459</x:v>
      </x:c>
      <x:c r="L30" s="7" t="s">
        <x:v>6556</x:v>
      </x:c>
    </x:row>
    <x:row r="31" ht="51.75" hidden="0" customHeight="1">
      <x:c r="A31" s="7" t="s">
        <x:v>1178</x:v>
      </x:c>
      <x:c r="B31" s="7" t="s">
        <x:v>1151</x:v>
      </x:c>
      <x:c r="C31" s="7" t="s">
        <x:v>1177</x:v>
      </x:c>
      <x:c r="D31" s="7" t="s">
        <x:v>53</x:v>
      </x:c>
      <x:c r="E31" s="13" t="s">
        <x:v>53</x:v>
      </x:c>
      <x:c r="F31" s="13" t="n">
        <x:v>46275.5</x:v>
      </x:c>
      <x:c r="G31" s="7" t="s">
        <x:v>6498</x:v>
      </x:c>
      <x:c r="H31" s="7" t="s">
        <x:v>6557</x:v>
      </x:c>
      <x:c r="I31" s="7" t="s">
        <x:v>6463</x:v>
      </x:c>
      <x:c r="J31" s="7" t="s">
        <x:v>1176</x:v>
      </x:c>
      <x:c r="K31" s="7" t="s">
        <x:v>6459</x:v>
      </x:c>
      <x:c r="L31" s="7" t="s">
        <x:v>6558</x:v>
      </x:c>
    </x:row>
    <x:row r="32" ht="51.75" hidden="0" customHeight="1">
      <x:c r="A32" s="7" t="s">
        <x:v>1181</x:v>
      </x:c>
      <x:c r="B32" s="7" t="s">
        <x:v>1137</x:v>
      </x:c>
      <x:c r="C32" s="7" t="s">
        <x:v>1180</x:v>
      </x:c>
      <x:c r="D32" s="7" t="s">
        <x:v>6497</x:v>
      </x:c>
      <x:c r="E32" s="13" t="s">
        <x:v>53</x:v>
      </x:c>
      <x:c r="F32" s="13" t="n">
        <x:v>46275.5</x:v>
      </x:c>
      <x:c r="G32" s="7" t="s">
        <x:v>6498</x:v>
      </x:c>
      <x:c r="H32" s="7" t="s">
        <x:v>6559</x:v>
      </x:c>
      <x:c r="I32" s="7" t="s">
        <x:v>6463</x:v>
      </x:c>
      <x:c r="J32" s="7" t="s">
        <x:v>268</x:v>
      </x:c>
      <x:c r="K32" s="7" t="s">
        <x:v>6459</x:v>
      </x:c>
      <x:c r="L32" s="7" t="s">
        <x:v>6560</x:v>
      </x:c>
    </x:row>
    <x:row r="33" ht="51.75" hidden="0" customHeight="1">
      <x:c r="A33" s="7" t="s">
        <x:v>1184</x:v>
      </x:c>
      <x:c r="B33" s="7" t="s">
        <x:v>1146</x:v>
      </x:c>
      <x:c r="C33" s="7" t="s">
        <x:v>1183</x:v>
      </x:c>
      <x:c r="D33" s="7" t="s">
        <x:v>53</x:v>
      </x:c>
      <x:c r="E33" s="13" t="s">
        <x:v>53</x:v>
      </x:c>
      <x:c r="F33" s="13" t="n">
        <x:v>46275.5</x:v>
      </x:c>
      <x:c r="G33" s="7" t="s">
        <x:v>6498</x:v>
      </x:c>
      <x:c r="H33" s="7" t="s">
        <x:v>6561</x:v>
      </x:c>
      <x:c r="I33" s="7" t="s">
        <x:v>6463</x:v>
      </x:c>
      <x:c r="J33" s="7" t="s">
        <x:v>1182</x:v>
      </x:c>
      <x:c r="K33" s="7" t="s">
        <x:v>6459</x:v>
      </x:c>
      <x:c r="L33" s="7" t="s">
        <x:v>6562</x:v>
      </x:c>
    </x:row>
    <x:row r="34" ht="51.75" hidden="0" customHeight="1">
      <x:c r="A34" s="7" t="s">
        <x:v>1186</x:v>
      </x:c>
      <x:c r="B34" s="7" t="s">
        <x:v>1151</x:v>
      </x:c>
      <x:c r="C34" s="7" t="s">
        <x:v>267</x:v>
      </x:c>
      <x:c r="D34" s="7" t="s">
        <x:v>53</x:v>
      </x:c>
      <x:c r="E34" s="13" t="s">
        <x:v>53</x:v>
      </x:c>
      <x:c r="F34" s="13" t="n">
        <x:v>46275.5</x:v>
      </x:c>
      <x:c r="G34" s="7" t="s">
        <x:v>6498</x:v>
      </x:c>
      <x:c r="H34" s="7" t="s">
        <x:v>6563</x:v>
      </x:c>
      <x:c r="I34" s="7" t="s">
        <x:v>6463</x:v>
      </x:c>
      <x:c r="J34" s="7" t="s">
        <x:v>1185</x:v>
      </x:c>
      <x:c r="K34" s="7" t="s">
        <x:v>6564</x:v>
      </x:c>
      <x:c r="L34" s="7" t="s">
        <x:v>6565</x:v>
      </x:c>
    </x:row>
    <x:row r="35" ht="51.75" hidden="0" customHeight="1">
      <x:c r="A35" s="7" t="s">
        <x:v>1187</x:v>
      </x:c>
      <x:c r="B35" s="7" t="s">
        <x:v>1153</x:v>
      </x:c>
      <x:c r="C35" s="7" t="s">
        <x:v>6566</x:v>
      </x:c>
      <x:c r="D35" s="7" t="s">
        <x:v>6506</x:v>
      </x:c>
      <x:c r="E35" s="13" t="s">
        <x:v>53</x:v>
      </x:c>
      <x:c r="F35" s="13" t="n">
        <x:v>46275.5</x:v>
      </x:c>
      <x:c r="G35" s="7" t="s">
        <x:v>6498</x:v>
      </x:c>
      <x:c r="H35" s="7" t="s">
        <x:v>6567</x:v>
      </x:c>
      <x:c r="I35" s="7" t="s">
        <x:v>6463</x:v>
      </x:c>
      <x:c r="J35" s="7" t="s">
        <x:v>279</x:v>
      </x:c>
      <x:c r="K35" s="7" t="s">
        <x:v>6459</x:v>
      </x:c>
      <x:c r="L35" s="7" t="s">
        <x:v>6568</x:v>
      </x:c>
    </x:row>
    <x:row r="36" ht="51.75" hidden="0" customHeight="1">
      <x:c r="A36" s="7" t="s">
        <x:v>1188</x:v>
      </x:c>
      <x:c r="B36" s="7" t="s">
        <x:v>1153</x:v>
      </x:c>
      <x:c r="C36" s="7" t="s">
        <x:v>6569</x:v>
      </x:c>
      <x:c r="D36" s="7" t="s">
        <x:v>6523</x:v>
      </x:c>
      <x:c r="E36" s="13" t="s">
        <x:v>53</x:v>
      </x:c>
      <x:c r="F36" s="13" t="n">
        <x:v>46275.5</x:v>
      </x:c>
      <x:c r="G36" s="7" t="s">
        <x:v>6498</x:v>
      </x:c>
      <x:c r="H36" s="7" t="s">
        <x:v>6570</x:v>
      </x:c>
      <x:c r="I36" s="7" t="s">
        <x:v>6463</x:v>
      </x:c>
      <x:c r="J36" s="7" t="s">
        <x:v>293</x:v>
      </x:c>
      <x:c r="K36" s="7" t="s">
        <x:v>6459</x:v>
      </x:c>
      <x:c r="L36" s="7" t="s">
        <x:v>6571</x:v>
      </x:c>
    </x:row>
    <x:row r="37" ht="51.75" hidden="0" customHeight="1">
      <x:c r="A37" s="7" t="s">
        <x:v>1189</x:v>
      </x:c>
      <x:c r="B37" s="7" t="s">
        <x:v>1153</x:v>
      </x:c>
      <x:c r="C37" s="7" t="s">
        <x:v>6572</x:v>
      </x:c>
      <x:c r="D37" s="7" t="s">
        <x:v>6523</x:v>
      </x:c>
      <x:c r="E37" s="13" t="s">
        <x:v>53</x:v>
      </x:c>
      <x:c r="F37" s="13" t="n">
        <x:v>46275.5</x:v>
      </x:c>
      <x:c r="G37" s="7" t="s">
        <x:v>6498</x:v>
      </x:c>
      <x:c r="H37" s="7" t="s">
        <x:v>6573</x:v>
      </x:c>
      <x:c r="I37" s="7" t="s">
        <x:v>6463</x:v>
      </x:c>
      <x:c r="J37" s="7" t="s">
        <x:v>302</x:v>
      </x:c>
      <x:c r="K37" s="7" t="s">
        <x:v>6459</x:v>
      </x:c>
      <x:c r="L37" s="7" t="s">
        <x:v>6574</x:v>
      </x:c>
    </x:row>
    <x:row r="38" ht="51.75" hidden="0" customHeight="1">
      <x:c r="A38" s="7" t="s">
        <x:v>1190</x:v>
      </x:c>
      <x:c r="B38" s="7" t="s">
        <x:v>1153</x:v>
      </x:c>
      <x:c r="C38" s="7" t="s">
        <x:v>6575</x:v>
      </x:c>
      <x:c r="D38" s="7" t="s">
        <x:v>6506</x:v>
      </x:c>
      <x:c r="E38" s="13" t="s">
        <x:v>53</x:v>
      </x:c>
      <x:c r="F38" s="13" t="n">
        <x:v>46275.5</x:v>
      </x:c>
      <x:c r="G38" s="7" t="s">
        <x:v>6498</x:v>
      </x:c>
      <x:c r="H38" s="7" t="s">
        <x:v>6576</x:v>
      </x:c>
      <x:c r="I38" s="7" t="s">
        <x:v>6463</x:v>
      </x:c>
      <x:c r="J38" s="7" t="s">
        <x:v>315</x:v>
      </x:c>
      <x:c r="K38" s="7" t="s">
        <x:v>6459</x:v>
      </x:c>
      <x:c r="L38" s="7" t="s">
        <x:v>6577</x:v>
      </x:c>
    </x:row>
    <x:row r="39" ht="51.75" hidden="0" customHeight="1">
      <x:c r="A39" s="7" t="s">
        <x:v>1193</x:v>
      </x:c>
      <x:c r="B39" s="7" t="s">
        <x:v>1151</x:v>
      </x:c>
      <x:c r="C39" s="7" t="s">
        <x:v>1192</x:v>
      </x:c>
      <x:c r="D39" s="7" t="s">
        <x:v>53</x:v>
      </x:c>
      <x:c r="E39" s="13" t="s">
        <x:v>53</x:v>
      </x:c>
      <x:c r="F39" s="13" t="n">
        <x:v>46275.5</x:v>
      </x:c>
      <x:c r="G39" s="7" t="s">
        <x:v>6498</x:v>
      </x:c>
      <x:c r="H39" s="7" t="s">
        <x:v>6578</x:v>
      </x:c>
      <x:c r="I39" s="7" t="s">
        <x:v>6463</x:v>
      </x:c>
      <x:c r="J39" s="7" t="s">
        <x:v>326</x:v>
      </x:c>
      <x:c r="K39" s="7" t="s">
        <x:v>6459</x:v>
      </x:c>
      <x:c r="L39" s="7" t="s">
        <x:v>6579</x:v>
      </x:c>
    </x:row>
    <x:row r="40" ht="51.75" hidden="0" customHeight="1">
      <x:c r="A40" s="7" t="s">
        <x:v>1195</x:v>
      </x:c>
      <x:c r="B40" s="7" t="s">
        <x:v>1137</x:v>
      </x:c>
      <x:c r="C40" s="7" t="s">
        <x:v>1194</x:v>
      </x:c>
      <x:c r="D40" s="7" t="s">
        <x:v>6497</x:v>
      </x:c>
      <x:c r="E40" s="13" t="s">
        <x:v>53</x:v>
      </x:c>
      <x:c r="F40" s="13" t="n">
        <x:v>46275.5</x:v>
      </x:c>
      <x:c r="G40" s="7" t="s">
        <x:v>6498</x:v>
      </x:c>
      <x:c r="H40" s="7" t="s">
        <x:v>6580</x:v>
      </x:c>
      <x:c r="I40" s="7" t="s">
        <x:v>6463</x:v>
      </x:c>
      <x:c r="J40" s="7" t="s">
        <x:v>332</x:v>
      </x:c>
      <x:c r="K40" s="7" t="s">
        <x:v>6459</x:v>
      </x:c>
      <x:c r="L40" s="7" t="s">
        <x:v>6581</x:v>
      </x:c>
    </x:row>
    <x:row r="41" ht="51.75" hidden="0" customHeight="1">
      <x:c r="A41" s="7" t="s">
        <x:v>1199</x:v>
      </x:c>
      <x:c r="B41" s="7" t="s">
        <x:v>1146</x:v>
      </x:c>
      <x:c r="C41" s="7" t="s">
        <x:v>6582</x:v>
      </x:c>
      <x:c r="D41" s="7" t="s">
        <x:v>6583</x:v>
      </x:c>
      <x:c r="E41" s="13" t="s">
        <x:v>53</x:v>
      </x:c>
      <x:c r="F41" s="13" t="n">
        <x:v>46275.5</x:v>
      </x:c>
      <x:c r="G41" s="7" t="s">
        <x:v>6498</x:v>
      </x:c>
      <x:c r="H41" s="7" t="s">
        <x:v>6584</x:v>
      </x:c>
      <x:c r="I41" s="7" t="s">
        <x:v>6463</x:v>
      </x:c>
      <x:c r="J41" s="7" t="s">
        <x:v>1197</x:v>
      </x:c>
      <x:c r="K41" s="7" t="s">
        <x:v>6459</x:v>
      </x:c>
      <x:c r="L41" s="7" t="s">
        <x:v>6585</x:v>
      </x:c>
    </x:row>
    <x:row r="42" ht="51.75" hidden="0" customHeight="1">
      <x:c r="A42" s="7" t="s">
        <x:v>1203</x:v>
      </x:c>
      <x:c r="B42" s="7" t="s">
        <x:v>1201</x:v>
      </x:c>
      <x:c r="C42" s="7" t="s">
        <x:v>1202</x:v>
      </x:c>
      <x:c r="D42" s="7" t="s">
        <x:v>53</x:v>
      </x:c>
      <x:c r="E42" s="13" t="s">
        <x:v>53</x:v>
      </x:c>
      <x:c r="F42" s="13" t="n">
        <x:v>46275.5</x:v>
      </x:c>
      <x:c r="G42" s="7" t="s">
        <x:v>6498</x:v>
      </x:c>
      <x:c r="H42" s="7" t="s">
        <x:v>6586</x:v>
      </x:c>
      <x:c r="I42" s="7" t="s">
        <x:v>6463</x:v>
      </x:c>
      <x:c r="J42" s="7" t="s">
        <x:v>1200</x:v>
      </x:c>
      <x:c r="K42" s="7" t="s">
        <x:v>6459</x:v>
      </x:c>
      <x:c r="L42" s="7" t="s">
        <x:v>6587</x:v>
      </x:c>
    </x:row>
    <x:row r="43" ht="51.75" hidden="0" customHeight="1">
      <x:c r="A43" s="7" t="s">
        <x:v>1204</x:v>
      </x:c>
      <x:c r="B43" s="7" t="s">
        <x:v>1153</x:v>
      </x:c>
      <x:c r="C43" s="7" t="s">
        <x:v>6588</x:v>
      </x:c>
      <x:c r="D43" s="7" t="s">
        <x:v>6506</x:v>
      </x:c>
      <x:c r="E43" s="13" t="s">
        <x:v>53</x:v>
      </x:c>
      <x:c r="F43" s="13" t="n">
        <x:v>46275.5</x:v>
      </x:c>
      <x:c r="G43" s="7" t="s">
        <x:v>6498</x:v>
      </x:c>
      <x:c r="H43" s="7" t="s">
        <x:v>6589</x:v>
      </x:c>
      <x:c r="I43" s="7" t="s">
        <x:v>6463</x:v>
      </x:c>
      <x:c r="J43" s="7" t="s">
        <x:v>344</x:v>
      </x:c>
      <x:c r="K43" s="7" t="s">
        <x:v>6459</x:v>
      </x:c>
      <x:c r="L43" s="7" t="s">
        <x:v>6590</x:v>
      </x:c>
    </x:row>
    <x:row r="44" ht="51.75" hidden="0" customHeight="1">
      <x:c r="A44" s="7" t="s">
        <x:v>1205</x:v>
      </x:c>
      <x:c r="B44" s="7" t="s">
        <x:v>1153</x:v>
      </x:c>
      <x:c r="C44" s="7" t="s">
        <x:v>6591</x:v>
      </x:c>
      <x:c r="D44" s="7" t="s">
        <x:v>6523</x:v>
      </x:c>
      <x:c r="E44" s="13" t="s">
        <x:v>53</x:v>
      </x:c>
      <x:c r="F44" s="13" t="n">
        <x:v>46275.5</x:v>
      </x:c>
      <x:c r="G44" s="7" t="s">
        <x:v>6498</x:v>
      </x:c>
      <x:c r="H44" s="7" t="s">
        <x:v>6592</x:v>
      </x:c>
      <x:c r="I44" s="7" t="s">
        <x:v>6463</x:v>
      </x:c>
      <x:c r="J44" s="7" t="s">
        <x:v>358</x:v>
      </x:c>
      <x:c r="K44" s="7" t="s">
        <x:v>6459</x:v>
      </x:c>
      <x:c r="L44" s="7" t="s">
        <x:v>6593</x:v>
      </x:c>
    </x:row>
    <x:row r="45" ht="51.75" hidden="0" customHeight="1">
      <x:c r="A45" s="7" t="s">
        <x:v>1208</x:v>
      </x:c>
      <x:c r="B45" s="7" t="s">
        <x:v>1137</x:v>
      </x:c>
      <x:c r="C45" s="7" t="s">
        <x:v>1207</x:v>
      </x:c>
      <x:c r="D45" s="7" t="s">
        <x:v>6497</x:v>
      </x:c>
      <x:c r="E45" s="13" t="s">
        <x:v>53</x:v>
      </x:c>
      <x:c r="F45" s="13" t="n">
        <x:v>46275.5</x:v>
      </x:c>
      <x:c r="G45" s="7" t="s">
        <x:v>6498</x:v>
      </x:c>
      <x:c r="H45" s="7" t="s">
        <x:v>6594</x:v>
      </x:c>
      <x:c r="I45" s="7" t="s">
        <x:v>6463</x:v>
      </x:c>
      <x:c r="J45" s="7" t="s">
        <x:v>371</x:v>
      </x:c>
      <x:c r="K45" s="7" t="s">
        <x:v>6459</x:v>
      </x:c>
      <x:c r="L45" s="7" t="s">
        <x:v>6595</x:v>
      </x:c>
    </x:row>
    <x:row r="46" ht="51.75" hidden="0" customHeight="1">
      <x:c r="A46" s="7" t="s">
        <x:v>1212</x:v>
      </x:c>
      <x:c r="B46" s="7" t="s">
        <x:v>1151</x:v>
      </x:c>
      <x:c r="C46" s="7" t="s">
        <x:v>1211</x:v>
      </x:c>
      <x:c r="D46" s="7" t="s">
        <x:v>53</x:v>
      </x:c>
      <x:c r="E46" s="13" t="s">
        <x:v>53</x:v>
      </x:c>
      <x:c r="F46" s="13" t="n">
        <x:v>46275.5</x:v>
      </x:c>
      <x:c r="G46" s="7" t="s">
        <x:v>6498</x:v>
      </x:c>
      <x:c r="H46" s="7" t="s">
        <x:v>6596</x:v>
      </x:c>
      <x:c r="I46" s="7" t="s">
        <x:v>6463</x:v>
      </x:c>
      <x:c r="J46" s="7" t="s">
        <x:v>1210</x:v>
      </x:c>
      <x:c r="K46" s="7" t="s">
        <x:v>6564</x:v>
      </x:c>
      <x:c r="L46" s="7" t="s">
        <x:v>6597</x:v>
      </x:c>
    </x:row>
    <x:row r="47" ht="51.75" hidden="0" customHeight="1">
      <x:c r="A47" s="7" t="s">
        <x:v>1214</x:v>
      </x:c>
      <x:c r="B47" s="7" t="s">
        <x:v>1137</x:v>
      </x:c>
      <x:c r="C47" s="7" t="s">
        <x:v>1213</x:v>
      </x:c>
      <x:c r="D47" s="7" t="s">
        <x:v>6497</x:v>
      </x:c>
      <x:c r="E47" s="13" t="s">
        <x:v>53</x:v>
      </x:c>
      <x:c r="F47" s="13" t="n">
        <x:v>46275.5</x:v>
      </x:c>
      <x:c r="G47" s="7" t="s">
        <x:v>6498</x:v>
      </x:c>
      <x:c r="H47" s="7" t="s">
        <x:v>6598</x:v>
      </x:c>
      <x:c r="I47" s="7" t="s">
        <x:v>6463</x:v>
      </x:c>
      <x:c r="J47" s="7" t="s">
        <x:v>382</x:v>
      </x:c>
      <x:c r="K47" s="7" t="s">
        <x:v>6459</x:v>
      </x:c>
      <x:c r="L47" s="7" t="s">
        <x:v>6599</x:v>
      </x:c>
    </x:row>
    <x:row r="48" ht="51.75" hidden="0" customHeight="1">
      <x:c r="A48" s="7" t="s">
        <x:v>1218</x:v>
      </x:c>
      <x:c r="B48" s="7" t="s">
        <x:v>1151</x:v>
      </x:c>
      <x:c r="C48" s="7" t="s">
        <x:v>1217</x:v>
      </x:c>
      <x:c r="D48" s="7" t="s">
        <x:v>53</x:v>
      </x:c>
      <x:c r="E48" s="13" t="s">
        <x:v>53</x:v>
      </x:c>
      <x:c r="F48" s="13" t="n">
        <x:v>46275.5</x:v>
      </x:c>
      <x:c r="G48" s="7" t="s">
        <x:v>6498</x:v>
      </x:c>
      <x:c r="H48" s="7" t="s">
        <x:v>6600</x:v>
      </x:c>
      <x:c r="I48" s="7" t="s">
        <x:v>6463</x:v>
      </x:c>
      <x:c r="J48" s="7" t="s">
        <x:v>1216</x:v>
      </x:c>
      <x:c r="K48" s="7" t="s">
        <x:v>6459</x:v>
      </x:c>
      <x:c r="L48" s="7" t="s">
        <x:v>6601</x:v>
      </x:c>
    </x:row>
    <x:row r="49" ht="51.75" hidden="0" customHeight="1">
      <x:c r="A49" s="7" t="s">
        <x:v>1219</x:v>
      </x:c>
      <x:c r="B49" s="7" t="s">
        <x:v>1153</x:v>
      </x:c>
      <x:c r="C49" s="7" t="s">
        <x:v>6602</x:v>
      </x:c>
      <x:c r="D49" s="7" t="s">
        <x:v>6506</x:v>
      </x:c>
      <x:c r="E49" s="13" t="s">
        <x:v>53</x:v>
      </x:c>
      <x:c r="F49" s="13" t="n">
        <x:v>46275.5</x:v>
      </x:c>
      <x:c r="G49" s="7" t="s">
        <x:v>6498</x:v>
      </x:c>
      <x:c r="H49" s="7" t="s">
        <x:v>6603</x:v>
      </x:c>
      <x:c r="I49" s="7" t="s">
        <x:v>6463</x:v>
      </x:c>
      <x:c r="J49" s="7" t="s">
        <x:v>392</x:v>
      </x:c>
      <x:c r="K49" s="7" t="s">
        <x:v>6459</x:v>
      </x:c>
      <x:c r="L49" s="7" t="s">
        <x:v>6604</x:v>
      </x:c>
    </x:row>
    <x:row r="50" ht="51.75" hidden="0" customHeight="1">
      <x:c r="A50" s="7" t="s">
        <x:v>1221</x:v>
      </x:c>
      <x:c r="B50" s="7" t="s">
        <x:v>1153</x:v>
      </x:c>
      <x:c r="C50" s="7" t="s">
        <x:v>6605</x:v>
      </x:c>
      <x:c r="D50" s="7" t="s">
        <x:v>6523</x:v>
      </x:c>
      <x:c r="E50" s="13" t="s">
        <x:v>53</x:v>
      </x:c>
      <x:c r="F50" s="13" t="n">
        <x:v>46275.5</x:v>
      </x:c>
      <x:c r="G50" s="7" t="s">
        <x:v>6498</x:v>
      </x:c>
      <x:c r="H50" s="7" t="s">
        <x:v>6606</x:v>
      </x:c>
      <x:c r="I50" s="7" t="s">
        <x:v>6463</x:v>
      </x:c>
      <x:c r="J50" s="7" t="s">
        <x:v>406</x:v>
      </x:c>
      <x:c r="K50" s="7" t="s">
        <x:v>6459</x:v>
      </x:c>
      <x:c r="L50" s="7" t="s">
        <x:v>6607</x:v>
      </x:c>
    </x:row>
    <x:row r="51" ht="51.75" hidden="0" customHeight="1">
      <x:c r="A51" s="7" t="s">
        <x:v>1222</x:v>
      </x:c>
      <x:c r="B51" s="7" t="s">
        <x:v>1153</x:v>
      </x:c>
      <x:c r="C51" s="7" t="s">
        <x:v>6608</x:v>
      </x:c>
      <x:c r="D51" s="7" t="s">
        <x:v>6523</x:v>
      </x:c>
      <x:c r="E51" s="13" t="s">
        <x:v>53</x:v>
      </x:c>
      <x:c r="F51" s="13" t="n">
        <x:v>46275.5</x:v>
      </x:c>
      <x:c r="G51" s="7" t="s">
        <x:v>6498</x:v>
      </x:c>
      <x:c r="H51" s="7" t="s">
        <x:v>6609</x:v>
      </x:c>
      <x:c r="I51" s="7" t="s">
        <x:v>6463</x:v>
      </x:c>
      <x:c r="J51" s="7" t="s">
        <x:v>419</x:v>
      </x:c>
      <x:c r="K51" s="7" t="s">
        <x:v>6459</x:v>
      </x:c>
      <x:c r="L51" s="7" t="s">
        <x:v>6610</x:v>
      </x:c>
    </x:row>
    <x:row r="52" ht="51.75" hidden="0" customHeight="1">
      <x:c r="A52" s="7" t="s">
        <x:v>1224</x:v>
      </x:c>
      <x:c r="B52" s="7" t="s">
        <x:v>1201</x:v>
      </x:c>
      <x:c r="C52" s="7" t="s">
        <x:v>1223</x:v>
      </x:c>
      <x:c r="D52" s="7" t="s">
        <x:v>53</x:v>
      </x:c>
      <x:c r="E52" s="13" t="s">
        <x:v>53</x:v>
      </x:c>
      <x:c r="F52" s="13" t="n">
        <x:v>46275.5</x:v>
      </x:c>
      <x:c r="G52" s="7" t="s">
        <x:v>6498</x:v>
      </x:c>
      <x:c r="H52" s="7" t="s">
        <x:v>6611</x:v>
      </x:c>
      <x:c r="I52" s="7" t="s">
        <x:v>6463</x:v>
      </x:c>
      <x:c r="J52" s="7" t="s">
        <x:v>430</x:v>
      </x:c>
      <x:c r="K52" s="7" t="s">
        <x:v>6459</x:v>
      </x:c>
      <x:c r="L52" s="7" t="s">
        <x:v>6612</x:v>
      </x:c>
    </x:row>
    <x:row r="53" ht="51.75" hidden="0" customHeight="1">
      <x:c r="A53" s="7" t="s">
        <x:v>1227</x:v>
      </x:c>
      <x:c r="B53" s="7" t="s">
        <x:v>1151</x:v>
      </x:c>
      <x:c r="C53" s="7" t="s">
        <x:v>1226</x:v>
      </x:c>
      <x:c r="D53" s="7" t="s">
        <x:v>53</x:v>
      </x:c>
      <x:c r="E53" s="13" t="s">
        <x:v>53</x:v>
      </x:c>
      <x:c r="F53" s="13" t="n">
        <x:v>46275.5</x:v>
      </x:c>
      <x:c r="G53" s="7" t="s">
        <x:v>6498</x:v>
      </x:c>
      <x:c r="H53" s="7" t="s">
        <x:v>6613</x:v>
      </x:c>
      <x:c r="I53" s="7" t="s">
        <x:v>6463</x:v>
      </x:c>
      <x:c r="J53" s="7" t="s">
        <x:v>1225</x:v>
      </x:c>
      <x:c r="K53" s="7" t="s">
        <x:v>6459</x:v>
      </x:c>
      <x:c r="L53" s="7" t="s">
        <x:v>6614</x:v>
      </x:c>
    </x:row>
    <x:row r="54" ht="51.75" hidden="0" customHeight="1">
      <x:c r="A54" s="7" t="s">
        <x:v>1228</x:v>
      </x:c>
      <x:c r="B54" s="7" t="s">
        <x:v>1153</x:v>
      </x:c>
      <x:c r="C54" s="7" t="s">
        <x:v>6615</x:v>
      </x:c>
      <x:c r="D54" s="7" t="s">
        <x:v>6513</x:v>
      </x:c>
      <x:c r="E54" s="13" t="s">
        <x:v>53</x:v>
      </x:c>
      <x:c r="F54" s="13" t="n">
        <x:v>46275.5</x:v>
      </x:c>
      <x:c r="G54" s="7" t="s">
        <x:v>6498</x:v>
      </x:c>
      <x:c r="H54" s="7" t="s">
        <x:v>6616</x:v>
      </x:c>
      <x:c r="I54" s="7" t="s">
        <x:v>6463</x:v>
      </x:c>
      <x:c r="J54" s="7" t="s">
        <x:v>440</x:v>
      </x:c>
      <x:c r="K54" s="7" t="s">
        <x:v>6459</x:v>
      </x:c>
      <x:c r="L54" s="7" t="s">
        <x:v>6617</x:v>
      </x:c>
    </x:row>
    <x:row r="55" ht="51.75" hidden="0" customHeight="1">
      <x:c r="A55" s="7" t="s">
        <x:v>1229</x:v>
      </x:c>
      <x:c r="B55" s="7" t="s">
        <x:v>1153</x:v>
      </x:c>
      <x:c r="C55" s="7" t="s">
        <x:v>6618</x:v>
      </x:c>
      <x:c r="D55" s="7" t="s">
        <x:v>6523</x:v>
      </x:c>
      <x:c r="E55" s="13" t="s">
        <x:v>53</x:v>
      </x:c>
      <x:c r="F55" s="13" t="n">
        <x:v>46275.5</x:v>
      </x:c>
      <x:c r="G55" s="7" t="s">
        <x:v>6498</x:v>
      </x:c>
      <x:c r="H55" s="7" t="s">
        <x:v>6619</x:v>
      </x:c>
      <x:c r="I55" s="7" t="s">
        <x:v>6463</x:v>
      </x:c>
      <x:c r="J55" s="7" t="s">
        <x:v>454</x:v>
      </x:c>
      <x:c r="K55" s="7" t="s">
        <x:v>6459</x:v>
      </x:c>
      <x:c r="L55" s="7" t="s">
        <x:v>6620</x:v>
      </x:c>
    </x:row>
    <x:row r="56" ht="51.75" hidden="0" customHeight="1">
      <x:c r="A56" s="7" t="s">
        <x:v>1231</x:v>
      </x:c>
      <x:c r="B56" s="7" t="s">
        <x:v>1137</x:v>
      </x:c>
      <x:c r="C56" s="7" t="s">
        <x:v>1230</x:v>
      </x:c>
      <x:c r="D56" s="7" t="s">
        <x:v>6497</x:v>
      </x:c>
      <x:c r="E56" s="13" t="s">
        <x:v>53</x:v>
      </x:c>
      <x:c r="F56" s="13" t="n">
        <x:v>46275.5</x:v>
      </x:c>
      <x:c r="G56" s="7" t="s">
        <x:v>6498</x:v>
      </x:c>
      <x:c r="H56" s="7" t="s">
        <x:v>6621</x:v>
      </x:c>
      <x:c r="I56" s="7" t="s">
        <x:v>6463</x:v>
      </x:c>
      <x:c r="J56" s="7" t="s">
        <x:v>465</x:v>
      </x:c>
      <x:c r="K56" s="7" t="s">
        <x:v>6459</x:v>
      </x:c>
      <x:c r="L56" s="7" t="s">
        <x:v>6622</x:v>
      </x:c>
    </x:row>
    <x:row r="57" ht="51.75" hidden="0" customHeight="1">
      <x:c r="A57" s="7" t="s">
        <x:v>1235</x:v>
      </x:c>
      <x:c r="B57" s="7" t="s">
        <x:v>1201</x:v>
      </x:c>
      <x:c r="C57" s="7" t="s">
        <x:v>1234</x:v>
      </x:c>
      <x:c r="D57" s="7" t="s">
        <x:v>53</x:v>
      </x:c>
      <x:c r="E57" s="13" t="s">
        <x:v>53</x:v>
      </x:c>
      <x:c r="F57" s="13" t="n">
        <x:v>46275.5</x:v>
      </x:c>
      <x:c r="G57" s="7" t="s">
        <x:v>6498</x:v>
      </x:c>
      <x:c r="H57" s="7" t="s">
        <x:v>6623</x:v>
      </x:c>
      <x:c r="I57" s="7" t="s">
        <x:v>6463</x:v>
      </x:c>
      <x:c r="J57" s="7" t="s">
        <x:v>1233</x:v>
      </x:c>
      <x:c r="K57" s="7" t="s">
        <x:v>6459</x:v>
      </x:c>
      <x:c r="L57" s="7" t="s">
        <x:v>6624</x:v>
      </x:c>
    </x:row>
    <x:row r="58" ht="51.75" hidden="0" customHeight="1">
      <x:c r="A58" s="7" t="s">
        <x:v>1238</x:v>
      </x:c>
      <x:c r="B58" s="7" t="s">
        <x:v>1151</x:v>
      </x:c>
      <x:c r="C58" s="10" t="s">
        <x:v>6625</x:v>
      </x:c>
      <x:c r="D58" s="7" t="s">
        <x:v>53</x:v>
      </x:c>
      <x:c r="E58" s="13" t="s">
        <x:v>53</x:v>
      </x:c>
      <x:c r="F58" s="13" t="n">
        <x:v>46275.5</x:v>
      </x:c>
      <x:c r="G58" s="7" t="s">
        <x:v>6498</x:v>
      </x:c>
      <x:c r="H58" s="7" t="s">
        <x:v>6626</x:v>
      </x:c>
      <x:c r="I58" s="7" t="s">
        <x:v>6463</x:v>
      </x:c>
      <x:c r="J58" s="7" t="s">
        <x:v>1236</x:v>
      </x:c>
      <x:c r="K58" s="7" t="s">
        <x:v>6459</x:v>
      </x:c>
      <x:c r="L58" s="7" t="s">
        <x:v>6627</x:v>
      </x:c>
    </x:row>
    <x:row r="59" ht="51.75" hidden="0" customHeight="1">
      <x:c r="A59" s="7" t="s">
        <x:v>1241</x:v>
      </x:c>
      <x:c r="B59" s="7" t="s">
        <x:v>1239</x:v>
      </x:c>
      <x:c r="C59" s="7" t="s">
        <x:v>6628</x:v>
      </x:c>
      <x:c r="D59" s="7" t="s">
        <x:v>6629</x:v>
      </x:c>
      <x:c r="E59" s="13" t="s">
        <x:v>53</x:v>
      </x:c>
      <x:c r="F59" s="13" t="n">
        <x:v>46275.5</x:v>
      </x:c>
      <x:c r="G59" s="7" t="s">
        <x:v>6498</x:v>
      </x:c>
      <x:c r="H59" s="7" t="s">
        <x:v>6630</x:v>
      </x:c>
      <x:c r="I59" s="7" t="s">
        <x:v>6463</x:v>
      </x:c>
      <x:c r="J59" s="7" t="s">
        <x:v>475</x:v>
      </x:c>
      <x:c r="K59" s="7" t="s">
        <x:v>6459</x:v>
      </x:c>
      <x:c r="L59" s="7" t="s">
        <x:v>6631</x:v>
      </x:c>
    </x:row>
    <x:row r="60" ht="51.75" hidden="0" customHeight="1">
      <x:c r="A60" s="7" t="s">
        <x:v>1243</x:v>
      </x:c>
      <x:c r="B60" s="7" t="s">
        <x:v>1146</x:v>
      </x:c>
      <x:c r="C60" s="7" t="s">
        <x:v>1242</x:v>
      </x:c>
      <x:c r="D60" s="7" t="s">
        <x:v>53</x:v>
      </x:c>
      <x:c r="E60" s="13" t="s">
        <x:v>53</x:v>
      </x:c>
      <x:c r="F60" s="13" t="n">
        <x:v>46275.5</x:v>
      </x:c>
      <x:c r="G60" s="7" t="s">
        <x:v>6498</x:v>
      </x:c>
      <x:c r="H60" s="7" t="s">
        <x:v>6632</x:v>
      </x:c>
      <x:c r="I60" s="7" t="s">
        <x:v>6463</x:v>
      </x:c>
      <x:c r="J60" s="7" t="s">
        <x:v>484</x:v>
      </x:c>
      <x:c r="K60" s="7" t="s">
        <x:v>6459</x:v>
      </x:c>
      <x:c r="L60" s="7" t="s">
        <x:v>6633</x:v>
      </x:c>
    </x:row>
    <x:row r="61" ht="51.75" hidden="0" customHeight="1">
      <x:c r="A61" s="7" t="s">
        <x:v>1245</x:v>
      </x:c>
      <x:c r="B61" s="7" t="s">
        <x:v>1151</x:v>
      </x:c>
      <x:c r="C61" s="7" t="s">
        <x:v>482</x:v>
      </x:c>
      <x:c r="D61" s="7" t="s">
        <x:v>53</x:v>
      </x:c>
      <x:c r="E61" s="13" t="s">
        <x:v>53</x:v>
      </x:c>
      <x:c r="F61" s="13" t="n">
        <x:v>46275.5</x:v>
      </x:c>
      <x:c r="G61" s="7" t="s">
        <x:v>6498</x:v>
      </x:c>
      <x:c r="H61" s="7" t="s">
        <x:v>6634</x:v>
      </x:c>
      <x:c r="I61" s="7" t="s">
        <x:v>6463</x:v>
      </x:c>
      <x:c r="J61" s="7" t="s">
        <x:v>1244</x:v>
      </x:c>
      <x:c r="K61" s="7" t="s">
        <x:v>6564</x:v>
      </x:c>
      <x:c r="L61" s="7" t="s">
        <x:v>6635</x:v>
      </x:c>
    </x:row>
    <x:row r="62" ht="51.75" hidden="0" customHeight="1">
      <x:c r="A62" s="7" t="s">
        <x:v>1246</x:v>
      </x:c>
      <x:c r="B62" s="7" t="s">
        <x:v>1153</x:v>
      </x:c>
      <x:c r="C62" s="7" t="s">
        <x:v>6636</x:v>
      </x:c>
      <x:c r="D62" s="7" t="s">
        <x:v>6523</x:v>
      </x:c>
      <x:c r="E62" s="13" t="s">
        <x:v>53</x:v>
      </x:c>
      <x:c r="F62" s="13" t="n">
        <x:v>46275.5</x:v>
      </x:c>
      <x:c r="G62" s="7" t="s">
        <x:v>6498</x:v>
      </x:c>
      <x:c r="H62" s="7" t="s">
        <x:v>6637</x:v>
      </x:c>
      <x:c r="I62" s="7" t="s">
        <x:v>6463</x:v>
      </x:c>
      <x:c r="J62" s="7" t="s">
        <x:v>497</x:v>
      </x:c>
      <x:c r="K62" s="7" t="s">
        <x:v>6459</x:v>
      </x:c>
      <x:c r="L62" s="7" t="s">
        <x:v>6638</x:v>
      </x:c>
    </x:row>
    <x:row r="63" ht="51.75" hidden="0" customHeight="1">
      <x:c r="A63" s="7" t="s">
        <x:v>1248</x:v>
      </x:c>
      <x:c r="B63" s="7" t="s">
        <x:v>1153</x:v>
      </x:c>
      <x:c r="C63" s="7" t="s">
        <x:v>6639</x:v>
      </x:c>
      <x:c r="D63" s="7" t="s">
        <x:v>6523</x:v>
      </x:c>
      <x:c r="E63" s="13" t="s">
        <x:v>53</x:v>
      </x:c>
      <x:c r="F63" s="13" t="n">
        <x:v>46275.5</x:v>
      </x:c>
      <x:c r="G63" s="7" t="s">
        <x:v>6498</x:v>
      </x:c>
      <x:c r="H63" s="7" t="s">
        <x:v>6640</x:v>
      </x:c>
      <x:c r="I63" s="7" t="s">
        <x:v>6463</x:v>
      </x:c>
      <x:c r="J63" s="7" t="s">
        <x:v>509</x:v>
      </x:c>
      <x:c r="K63" s="7" t="s">
        <x:v>6459</x:v>
      </x:c>
      <x:c r="L63" s="7" t="s">
        <x:v>6641</x:v>
      </x:c>
    </x:row>
    <x:row r="64" ht="51.75" hidden="0" customHeight="1">
      <x:c r="A64" s="7" t="s">
        <x:v>1249</x:v>
      </x:c>
      <x:c r="B64" s="7" t="s">
        <x:v>1153</x:v>
      </x:c>
      <x:c r="C64" s="7" t="s">
        <x:v>6642</x:v>
      </x:c>
      <x:c r="D64" s="7" t="s">
        <x:v>6523</x:v>
      </x:c>
      <x:c r="E64" s="13" t="s">
        <x:v>53</x:v>
      </x:c>
      <x:c r="F64" s="13" t="n">
        <x:v>46275.5</x:v>
      </x:c>
      <x:c r="G64" s="7" t="s">
        <x:v>6498</x:v>
      </x:c>
      <x:c r="H64" s="7" t="s">
        <x:v>6643</x:v>
      </x:c>
      <x:c r="I64" s="7" t="s">
        <x:v>6463</x:v>
      </x:c>
      <x:c r="J64" s="7" t="s">
        <x:v>521</x:v>
      </x:c>
      <x:c r="K64" s="7" t="s">
        <x:v>6459</x:v>
      </x:c>
      <x:c r="L64" s="7" t="s">
        <x:v>6644</x:v>
      </x:c>
    </x:row>
    <x:row r="65" ht="51.75" hidden="0" customHeight="1">
      <x:c r="A65" s="7" t="s">
        <x:v>1250</x:v>
      </x:c>
      <x:c r="B65" s="7" t="s">
        <x:v>1153</x:v>
      </x:c>
      <x:c r="C65" s="7" t="s">
        <x:v>6642</x:v>
      </x:c>
      <x:c r="D65" s="7" t="s">
        <x:v>6523</x:v>
      </x:c>
      <x:c r="E65" s="13" t="s">
        <x:v>53</x:v>
      </x:c>
      <x:c r="F65" s="13" t="n">
        <x:v>46275.5</x:v>
      </x:c>
      <x:c r="G65" s="7" t="s">
        <x:v>6498</x:v>
      </x:c>
      <x:c r="H65" s="7" t="s">
        <x:v>6645</x:v>
      </x:c>
      <x:c r="I65" s="7" t="s">
        <x:v>6463</x:v>
      </x:c>
      <x:c r="J65" s="7" t="s">
        <x:v>529</x:v>
      </x:c>
      <x:c r="K65" s="7" t="s">
        <x:v>6459</x:v>
      </x:c>
      <x:c r="L65" s="7" t="s">
        <x:v>6646</x:v>
      </x:c>
    </x:row>
    <x:row r="66" ht="51.75" hidden="0" customHeight="1">
      <x:c r="A66" s="7" t="s">
        <x:v>1253</x:v>
      </x:c>
      <x:c r="B66" s="7" t="s">
        <x:v>1251</x:v>
      </x:c>
      <x:c r="C66" s="7" t="s">
        <x:v>1252</x:v>
      </x:c>
      <x:c r="D66" s="7" t="s">
        <x:v>6647</x:v>
      </x:c>
      <x:c r="E66" s="13" t="s">
        <x:v>53</x:v>
      </x:c>
      <x:c r="F66" s="13" t="n">
        <x:v>46275.5</x:v>
      </x:c>
      <x:c r="G66" s="7" t="s">
        <x:v>6498</x:v>
      </x:c>
      <x:c r="H66" s="7" t="s">
        <x:v>6648</x:v>
      </x:c>
      <x:c r="I66" s="7" t="s">
        <x:v>6463</x:v>
      </x:c>
      <x:c r="J66" s="7" t="s">
        <x:v>6649</x:v>
      </x:c>
      <x:c r="K66" s="7" t="s">
        <x:v>6459</x:v>
      </x:c>
      <x:c r="L66" s="7" t="s">
        <x:v>6650</x:v>
      </x:c>
    </x:row>
    <x:row r="67" ht="51.75" hidden="0" customHeight="1">
      <x:c r="A67" s="7" t="s">
        <x:v>1256</x:v>
      </x:c>
      <x:c r="B67" s="7" t="s">
        <x:v>1146</x:v>
      </x:c>
      <x:c r="C67" s="7" t="s">
        <x:v>1255</x:v>
      </x:c>
      <x:c r="D67" s="7" t="s">
        <x:v>53</x:v>
      </x:c>
      <x:c r="E67" s="13" t="s">
        <x:v>53</x:v>
      </x:c>
      <x:c r="F67" s="13" t="n">
        <x:v>46275.5</x:v>
      </x:c>
      <x:c r="G67" s="7" t="s">
        <x:v>6498</x:v>
      </x:c>
      <x:c r="H67" s="7" t="s">
        <x:v>6651</x:v>
      </x:c>
      <x:c r="I67" s="7" t="s">
        <x:v>6463</x:v>
      </x:c>
      <x:c r="J67" s="7" t="s">
        <x:v>1254</x:v>
      </x:c>
      <x:c r="K67" s="7" t="s">
        <x:v>6459</x:v>
      </x:c>
      <x:c r="L67" s="7" t="s">
        <x:v>6652</x:v>
      </x:c>
    </x:row>
    <x:row r="68" ht="51.75" hidden="0" customHeight="1">
      <x:c r="A68" s="7" t="s">
        <x:v>1259</x:v>
      </x:c>
      <x:c r="B68" s="7" t="s">
        <x:v>1257</x:v>
      </x:c>
      <x:c r="C68" s="7" t="s">
        <x:v>1258</x:v>
      </x:c>
      <x:c r="D68" s="7" t="s">
        <x:v>6653</x:v>
      </x:c>
      <x:c r="E68" s="13" t="s">
        <x:v>53</x:v>
      </x:c>
      <x:c r="F68" s="13" t="n">
        <x:v>46275.5</x:v>
      </x:c>
      <x:c r="G68" s="7" t="s">
        <x:v>6498</x:v>
      </x:c>
      <x:c r="H68" s="7" t="s">
        <x:v>6654</x:v>
      </x:c>
      <x:c r="I68" s="7" t="s">
        <x:v>6463</x:v>
      </x:c>
      <x:c r="J68" s="7" t="s">
        <x:v>545</x:v>
      </x:c>
      <x:c r="K68" s="7" t="s">
        <x:v>6459</x:v>
      </x:c>
      <x:c r="L68" s="7" t="s">
        <x:v>6655</x:v>
      </x:c>
    </x:row>
    <x:row r="69" ht="51.75" hidden="0" customHeight="1">
      <x:c r="A69" s="7" t="s">
        <x:v>1262</x:v>
      </x:c>
      <x:c r="B69" s="7" t="s">
        <x:v>1201</x:v>
      </x:c>
      <x:c r="C69" s="7" t="s">
        <x:v>1261</x:v>
      </x:c>
      <x:c r="D69" s="7" t="s">
        <x:v>53</x:v>
      </x:c>
      <x:c r="E69" s="13" t="s">
        <x:v>53</x:v>
      </x:c>
      <x:c r="F69" s="13" t="n">
        <x:v>46275.5</x:v>
      </x:c>
      <x:c r="G69" s="7" t="s">
        <x:v>6498</x:v>
      </x:c>
      <x:c r="H69" s="7" t="s">
        <x:v>6656</x:v>
      </x:c>
      <x:c r="I69" s="7" t="s">
        <x:v>6463</x:v>
      </x:c>
      <x:c r="J69" s="7" t="s">
        <x:v>1260</x:v>
      </x:c>
      <x:c r="K69" s="7" t="s">
        <x:v>6459</x:v>
      </x:c>
      <x:c r="L69" s="7" t="s">
        <x:v>6657</x:v>
      </x:c>
    </x:row>
    <x:row r="70" ht="51.75" hidden="0" customHeight="1">
      <x:c r="A70" s="7" t="s">
        <x:v>1264</x:v>
      </x:c>
      <x:c r="B70" s="7" t="s">
        <x:v>1146</x:v>
      </x:c>
      <x:c r="C70" s="7" t="s">
        <x:v>1263</x:v>
      </x:c>
      <x:c r="D70" s="7" t="s">
        <x:v>53</x:v>
      </x:c>
      <x:c r="E70" s="13" t="s">
        <x:v>53</x:v>
      </x:c>
      <x:c r="F70" s="13" t="n">
        <x:v>46275.5</x:v>
      </x:c>
      <x:c r="G70" s="7" t="s">
        <x:v>6498</x:v>
      </x:c>
      <x:c r="H70" s="7" t="s">
        <x:v>6658</x:v>
      </x:c>
      <x:c r="I70" s="7" t="s">
        <x:v>6463</x:v>
      </x:c>
      <x:c r="J70" s="7" t="s">
        <x:v>6659</x:v>
      </x:c>
      <x:c r="K70" s="7" t="s">
        <x:v>6459</x:v>
      </x:c>
      <x:c r="L70" s="7" t="s">
        <x:v>6660</x:v>
      </x:c>
    </x:row>
    <x:row r="71" ht="51.75" hidden="0" customHeight="1">
      <x:c r="A71" s="7" t="s">
        <x:v>1267</x:v>
      </x:c>
      <x:c r="B71" s="7" t="s">
        <x:v>1137</x:v>
      </x:c>
      <x:c r="C71" s="7" t="s">
        <x:v>6661</x:v>
      </x:c>
      <x:c r="D71" s="7" t="s">
        <x:v>6662</x:v>
      </x:c>
      <x:c r="E71" s="13" t="s">
        <x:v>53</x:v>
      </x:c>
      <x:c r="F71" s="13" t="n">
        <x:v>46275.5</x:v>
      </x:c>
      <x:c r="G71" s="7" t="s">
        <x:v>6498</x:v>
      </x:c>
      <x:c r="H71" s="7" t="s">
        <x:v>6663</x:v>
      </x:c>
      <x:c r="I71" s="7" t="s">
        <x:v>6463</x:v>
      </x:c>
      <x:c r="J71" s="7" t="s">
        <x:v>6664</x:v>
      </x:c>
      <x:c r="K71" s="7" t="s">
        <x:v>6459</x:v>
      </x:c>
      <x:c r="L71" s="7" t="s">
        <x:v>6665</x:v>
      </x:c>
    </x:row>
    <x:row r="72" ht="51.75" hidden="0" customHeight="1">
      <x:c r="A72" s="7" t="s">
        <x:v>1271</x:v>
      </x:c>
      <x:c r="B72" s="7" t="s">
        <x:v>1201</x:v>
      </x:c>
      <x:c r="C72" s="7" t="s">
        <x:v>1270</x:v>
      </x:c>
      <x:c r="D72" s="7" t="s">
        <x:v>53</x:v>
      </x:c>
      <x:c r="E72" s="13" t="s">
        <x:v>53</x:v>
      </x:c>
      <x:c r="F72" s="13" t="n">
        <x:v>46275.5</x:v>
      </x:c>
      <x:c r="G72" s="7" t="s">
        <x:v>6498</x:v>
      </x:c>
      <x:c r="H72" s="7" t="s">
        <x:v>6666</x:v>
      </x:c>
      <x:c r="I72" s="7" t="s">
        <x:v>6463</x:v>
      </x:c>
      <x:c r="J72" s="7" t="s">
        <x:v>6667</x:v>
      </x:c>
      <x:c r="K72" s="7" t="s">
        <x:v>6459</x:v>
      </x:c>
      <x:c r="L72" s="7" t="s">
        <x:v>6668</x:v>
      </x:c>
    </x:row>
    <x:row r="73" ht="51.75" hidden="0" customHeight="1">
      <x:c r="A73" s="7" t="s">
        <x:v>1272</x:v>
      </x:c>
      <x:c r="B73" s="7" t="s">
        <x:v>1153</x:v>
      </x:c>
      <x:c r="C73" s="7" t="s">
        <x:v>6669</x:v>
      </x:c>
      <x:c r="D73" s="7" t="s">
        <x:v>6506</x:v>
      </x:c>
      <x:c r="E73" s="13" t="s">
        <x:v>53</x:v>
      </x:c>
      <x:c r="F73" s="13" t="n">
        <x:v>46275.5</x:v>
      </x:c>
      <x:c r="G73" s="7" t="s">
        <x:v>6498</x:v>
      </x:c>
      <x:c r="H73" s="7" t="s">
        <x:v>6670</x:v>
      </x:c>
      <x:c r="I73" s="7" t="s">
        <x:v>6463</x:v>
      </x:c>
      <x:c r="J73" s="7" t="s">
        <x:v>578</x:v>
      </x:c>
      <x:c r="K73" s="7" t="s">
        <x:v>6459</x:v>
      </x:c>
      <x:c r="L73" s="7" t="s">
        <x:v>6671</x:v>
      </x:c>
    </x:row>
    <x:row r="74" ht="51.75" hidden="0" customHeight="1">
      <x:c r="A74" s="7" t="s">
        <x:v>1274</x:v>
      </x:c>
      <x:c r="B74" s="7" t="s">
        <x:v>1153</x:v>
      </x:c>
      <x:c r="C74" s="7" t="s">
        <x:v>6672</x:v>
      </x:c>
      <x:c r="D74" s="7" t="s">
        <x:v>6506</x:v>
      </x:c>
      <x:c r="E74" s="13" t="s">
        <x:v>53</x:v>
      </x:c>
      <x:c r="F74" s="13" t="n">
        <x:v>46275.5</x:v>
      </x:c>
      <x:c r="G74" s="7" t="s">
        <x:v>6498</x:v>
      </x:c>
      <x:c r="H74" s="7" t="s">
        <x:v>6673</x:v>
      </x:c>
      <x:c r="I74" s="7" t="s">
        <x:v>6463</x:v>
      </x:c>
      <x:c r="J74" s="7" t="s">
        <x:v>600</x:v>
      </x:c>
      <x:c r="K74" s="7" t="s">
        <x:v>6459</x:v>
      </x:c>
      <x:c r="L74" s="7" t="s">
        <x:v>6674</x:v>
      </x:c>
    </x:row>
    <x:row r="75" ht="51.75" hidden="0" customHeight="1">
      <x:c r="A75" s="7" t="s">
        <x:v>1276</x:v>
      </x:c>
      <x:c r="B75" s="7" t="s">
        <x:v>1153</x:v>
      </x:c>
      <x:c r="C75" s="7" t="s">
        <x:v>6675</x:v>
      </x:c>
      <x:c r="D75" s="7" t="s">
        <x:v>6523</x:v>
      </x:c>
      <x:c r="E75" s="13" t="s">
        <x:v>53</x:v>
      </x:c>
      <x:c r="F75" s="13" t="n">
        <x:v>46275.5</x:v>
      </x:c>
      <x:c r="G75" s="7" t="s">
        <x:v>6498</x:v>
      </x:c>
      <x:c r="H75" s="7" t="s">
        <x:v>6676</x:v>
      </x:c>
      <x:c r="I75" s="7" t="s">
        <x:v>6463</x:v>
      </x:c>
      <x:c r="J75" s="7" t="s">
        <x:v>610</x:v>
      </x:c>
      <x:c r="K75" s="7" t="s">
        <x:v>6459</x:v>
      </x:c>
      <x:c r="L75" s="7" t="s">
        <x:v>6677</x:v>
      </x:c>
    </x:row>
    <x:row r="76" ht="66" hidden="0" customHeight="1">
      <x:c r="A76" s="7" t="s">
        <x:v>1279</x:v>
      </x:c>
      <x:c r="B76" s="7" t="s">
        <x:v>1137</x:v>
      </x:c>
      <x:c r="C76" s="7" t="s">
        <x:v>6678</x:v>
      </x:c>
      <x:c r="D76" s="7" t="s">
        <x:v>53</x:v>
      </x:c>
      <x:c r="E76" s="13" t="s">
        <x:v>53</x:v>
      </x:c>
      <x:c r="F76" s="13" t="n">
        <x:v>46275.5</x:v>
      </x:c>
      <x:c r="G76" s="7" t="s">
        <x:v>6473</x:v>
      </x:c>
      <x:c r="H76" s="7" t="s">
        <x:v>6679</x:v>
      </x:c>
      <x:c r="I76" s="7" t="s">
        <x:v>6463</x:v>
      </x:c>
      <x:c r="J76" s="7" t="s">
        <x:v>618</x:v>
      </x:c>
      <x:c r="K76" s="7" t="s">
        <x:v>6459</x:v>
      </x:c>
      <x:c r="L76" s="7" t="s">
        <x:v>6680</x:v>
      </x:c>
    </x:row>
    <x:row r="77" ht="51.75" hidden="0" customHeight="1">
      <x:c r="A77" s="7" t="s">
        <x:v>1282</x:v>
      </x:c>
      <x:c r="B77" s="7" t="s">
        <x:v>1137</x:v>
      </x:c>
      <x:c r="C77" s="7" t="s">
        <x:v>6681</x:v>
      </x:c>
      <x:c r="D77" s="7" t="s">
        <x:v>53</x:v>
      </x:c>
      <x:c r="E77" s="13" t="s">
        <x:v>53</x:v>
      </x:c>
      <x:c r="F77" s="13" t="n">
        <x:v>46275.5</x:v>
      </x:c>
      <x:c r="G77" s="7" t="s">
        <x:v>6498</x:v>
      </x:c>
      <x:c r="H77" s="7" t="s">
        <x:v>6682</x:v>
      </x:c>
      <x:c r="I77" s="7" t="s">
        <x:v>6463</x:v>
      </x:c>
      <x:c r="J77" s="7" t="s">
        <x:v>6683</x:v>
      </x:c>
      <x:c r="K77" s="7" t="s">
        <x:v>6459</x:v>
      </x:c>
      <x:c r="L77" s="7" t="s">
        <x:v>6684</x:v>
      </x:c>
    </x:row>
    <x:row r="78" ht="51.75" hidden="0" customHeight="1">
      <x:c r="A78" s="7" t="s">
        <x:v>1286</x:v>
      </x:c>
      <x:c r="B78" s="7" t="s">
        <x:v>1146</x:v>
      </x:c>
      <x:c r="C78" s="7" t="s">
        <x:v>1285</x:v>
      </x:c>
      <x:c r="D78" s="7" t="s">
        <x:v>53</x:v>
      </x:c>
      <x:c r="E78" s="13" t="s">
        <x:v>53</x:v>
      </x:c>
      <x:c r="F78" s="13" t="n">
        <x:v>46275.5</x:v>
      </x:c>
      <x:c r="G78" s="7" t="s">
        <x:v>6498</x:v>
      </x:c>
      <x:c r="H78" s="7" t="s">
        <x:v>6685</x:v>
      </x:c>
      <x:c r="I78" s="7" t="s">
        <x:v>6463</x:v>
      </x:c>
      <x:c r="J78" s="7" t="s">
        <x:v>1284</x:v>
      </x:c>
      <x:c r="K78" s="7" t="s">
        <x:v>6459</x:v>
      </x:c>
      <x:c r="L78" s="7" t="s">
        <x:v>6686</x:v>
      </x:c>
    </x:row>
    <x:row r="79" ht="51.75" hidden="0" customHeight="1">
      <x:c r="A79" s="7" t="s">
        <x:v>1289</x:v>
      </x:c>
      <x:c r="B79" s="7" t="s">
        <x:v>1201</x:v>
      </x:c>
      <x:c r="C79" s="7" t="s">
        <x:v>1288</x:v>
      </x:c>
      <x:c r="D79" s="7" t="s">
        <x:v>53</x:v>
      </x:c>
      <x:c r="E79" s="13" t="s">
        <x:v>53</x:v>
      </x:c>
      <x:c r="F79" s="13" t="n">
        <x:v>46275.5</x:v>
      </x:c>
      <x:c r="G79" s="7" t="s">
        <x:v>6498</x:v>
      </x:c>
      <x:c r="H79" s="7" t="s">
        <x:v>6687</x:v>
      </x:c>
      <x:c r="I79" s="7" t="s">
        <x:v>6463</x:v>
      </x:c>
      <x:c r="J79" s="7" t="s">
        <x:v>1287</x:v>
      </x:c>
      <x:c r="K79" s="7" t="s">
        <x:v>6459</x:v>
      </x:c>
      <x:c r="L79" s="7" t="s">
        <x:v>6688</x:v>
      </x:c>
    </x:row>
    <x:row r="80" ht="51.75" hidden="0" customHeight="1">
      <x:c r="A80" s="7" t="s">
        <x:v>1291</x:v>
      </x:c>
      <x:c r="B80" s="7" t="s">
        <x:v>1137</x:v>
      </x:c>
      <x:c r="C80" s="7" t="s">
        <x:v>6689</x:v>
      </x:c>
      <x:c r="D80" s="7" t="s">
        <x:v>53</x:v>
      </x:c>
      <x:c r="E80" s="13" t="s">
        <x:v>53</x:v>
      </x:c>
      <x:c r="F80" s="13" t="n">
        <x:v>46275.5</x:v>
      </x:c>
      <x:c r="G80" s="7" t="s">
        <x:v>6498</x:v>
      </x:c>
      <x:c r="H80" s="7" t="s">
        <x:v>6690</x:v>
      </x:c>
      <x:c r="I80" s="7" t="s">
        <x:v>6463</x:v>
      </x:c>
      <x:c r="J80" s="7" t="s">
        <x:v>641</x:v>
      </x:c>
      <x:c r="K80" s="7" t="s">
        <x:v>6459</x:v>
      </x:c>
      <x:c r="L80" s="7" t="s">
        <x:v>6691</x:v>
      </x:c>
    </x:row>
    <x:row r="81" ht="51.75" hidden="0" customHeight="1">
      <x:c r="A81" s="7" t="s">
        <x:v>1295</x:v>
      </x:c>
      <x:c r="B81" s="7" t="s">
        <x:v>1146</x:v>
      </x:c>
      <x:c r="C81" s="7" t="s">
        <x:v>6692</x:v>
      </x:c>
      <x:c r="D81" s="7" t="s">
        <x:v>53</x:v>
      </x:c>
      <x:c r="E81" s="13" t="s">
        <x:v>53</x:v>
      </x:c>
      <x:c r="F81" s="13" t="n">
        <x:v>46275.5</x:v>
      </x:c>
      <x:c r="G81" s="7" t="s">
        <x:v>6498</x:v>
      </x:c>
      <x:c r="H81" s="7" t="s">
        <x:v>6693</x:v>
      </x:c>
      <x:c r="I81" s="7" t="s">
        <x:v>6463</x:v>
      </x:c>
      <x:c r="J81" s="7" t="s">
        <x:v>6694</x:v>
      </x:c>
      <x:c r="K81" s="7" t="s">
        <x:v>6459</x:v>
      </x:c>
      <x:c r="L81" s="7" t="s">
        <x:v>6695</x:v>
      </x:c>
    </x:row>
    <x:row r="82" ht="51.75" hidden="0" customHeight="1">
      <x:c r="A82" s="7" t="s">
        <x:v>1300</x:v>
      </x:c>
      <x:c r="B82" s="7" t="s">
        <x:v>1151</x:v>
      </x:c>
      <x:c r="C82" s="10" t="s">
        <x:v>6625</x:v>
      </x:c>
      <x:c r="D82" s="7" t="s">
        <x:v>53</x:v>
      </x:c>
      <x:c r="E82" s="13" t="s">
        <x:v>53</x:v>
      </x:c>
      <x:c r="F82" s="13" t="n">
        <x:v>46275.5</x:v>
      </x:c>
      <x:c r="G82" s="7" t="s">
        <x:v>6498</x:v>
      </x:c>
      <x:c r="H82" s="7" t="s">
        <x:v>6696</x:v>
      </x:c>
      <x:c r="I82" s="7" t="s">
        <x:v>6463</x:v>
      </x:c>
      <x:c r="J82" s="7" t="s">
        <x:v>1298</x:v>
      </x:c>
      <x:c r="K82" s="7" t="s">
        <x:v>6459</x:v>
      </x:c>
      <x:c r="L82" s="7" t="s">
        <x:v>6697</x:v>
      </x:c>
    </x:row>
    <x:row r="83" ht="51.75" hidden="0" customHeight="1">
      <x:c r="A83" s="7" t="s">
        <x:v>1302</x:v>
      </x:c>
      <x:c r="B83" s="7" t="s">
        <x:v>1137</x:v>
      </x:c>
      <x:c r="C83" s="7" t="s">
        <x:v>1301</x:v>
      </x:c>
      <x:c r="D83" s="7" t="s">
        <x:v>6662</x:v>
      </x:c>
      <x:c r="E83" s="13" t="s">
        <x:v>53</x:v>
      </x:c>
      <x:c r="F83" s="13" t="n">
        <x:v>46275.5</x:v>
      </x:c>
      <x:c r="G83" s="7" t="s">
        <x:v>6498</x:v>
      </x:c>
      <x:c r="H83" s="7" t="s">
        <x:v>6698</x:v>
      </x:c>
      <x:c r="I83" s="7" t="s">
        <x:v>6463</x:v>
      </x:c>
      <x:c r="J83" s="7" t="s">
        <x:v>710</x:v>
      </x:c>
      <x:c r="K83" s="7" t="s">
        <x:v>6459</x:v>
      </x:c>
      <x:c r="L83" s="7" t="s">
        <x:v>6699</x:v>
      </x:c>
    </x:row>
    <x:row r="84" ht="51.75" hidden="0" customHeight="1">
      <x:c r="A84" s="7" t="s">
        <x:v>1305</x:v>
      </x:c>
      <x:c r="B84" s="7" t="s">
        <x:v>1146</x:v>
      </x:c>
      <x:c r="C84" s="7" t="s">
        <x:v>1304</x:v>
      </x:c>
      <x:c r="D84" s="7" t="s">
        <x:v>53</x:v>
      </x:c>
      <x:c r="E84" s="13" t="s">
        <x:v>53</x:v>
      </x:c>
      <x:c r="F84" s="13" t="n">
        <x:v>46275.5</x:v>
      </x:c>
      <x:c r="G84" s="7" t="s">
        <x:v>6498</x:v>
      </x:c>
      <x:c r="H84" s="7" t="s">
        <x:v>6700</x:v>
      </x:c>
      <x:c r="I84" s="7" t="s">
        <x:v>6463</x:v>
      </x:c>
      <x:c r="J84" s="7" t="s">
        <x:v>1303</x:v>
      </x:c>
      <x:c r="K84" s="7" t="s">
        <x:v>6459</x:v>
      </x:c>
      <x:c r="L84" s="7" t="s">
        <x:v>6701</x:v>
      </x:c>
    </x:row>
    <x:row r="85" ht="51.75" hidden="0" customHeight="1">
      <x:c r="A85" s="7" t="s">
        <x:v>1307</x:v>
      </x:c>
      <x:c r="B85" s="7" t="s">
        <x:v>1137</x:v>
      </x:c>
      <x:c r="C85" s="7" t="s">
        <x:v>6702</x:v>
      </x:c>
      <x:c r="D85" s="7" t="s">
        <x:v>53</x:v>
      </x:c>
      <x:c r="E85" s="13" t="s">
        <x:v>53</x:v>
      </x:c>
      <x:c r="F85" s="13" t="n">
        <x:v>46275.5</x:v>
      </x:c>
      <x:c r="G85" s="7" t="s">
        <x:v>6498</x:v>
      </x:c>
      <x:c r="H85" s="7" t="s">
        <x:v>6703</x:v>
      </x:c>
      <x:c r="I85" s="7" t="s">
        <x:v>6463</x:v>
      </x:c>
      <x:c r="J85" s="7" t="s">
        <x:v>721</x:v>
      </x:c>
      <x:c r="K85" s="7" t="s">
        <x:v>6459</x:v>
      </x:c>
      <x:c r="L85" s="7" t="s">
        <x:v>6704</x:v>
      </x:c>
    </x:row>
    <x:row r="86" ht="51.75" hidden="0" customHeight="1">
      <x:c r="A86" s="7" t="s">
        <x:v>1310</x:v>
      </x:c>
      <x:c r="B86" s="7" t="s">
        <x:v>1146</x:v>
      </x:c>
      <x:c r="C86" s="7" t="s">
        <x:v>6705</x:v>
      </x:c>
      <x:c r="D86" s="7" t="s">
        <x:v>53</x:v>
      </x:c>
      <x:c r="E86" s="13" t="s">
        <x:v>53</x:v>
      </x:c>
      <x:c r="F86" s="13" t="n">
        <x:v>46275.5</x:v>
      </x:c>
      <x:c r="G86" s="7" t="s">
        <x:v>6498</x:v>
      </x:c>
      <x:c r="H86" s="7" t="s">
        <x:v>6706</x:v>
      </x:c>
      <x:c r="I86" s="7" t="s">
        <x:v>6463</x:v>
      </x:c>
      <x:c r="J86" s="7" t="s">
        <x:v>6707</x:v>
      </x:c>
      <x:c r="K86" s="7" t="s">
        <x:v>6459</x:v>
      </x:c>
      <x:c r="L86" s="7" t="s">
        <x:v>6708</x:v>
      </x:c>
    </x:row>
    <x:row r="87" ht="51.75" hidden="0" customHeight="1">
      <x:c r="A87" s="7" t="s">
        <x:v>1313</x:v>
      </x:c>
      <x:c r="B87" s="7" t="s">
        <x:v>1311</x:v>
      </x:c>
      <x:c r="C87" s="7" t="s">
        <x:v>6709</x:v>
      </x:c>
      <x:c r="D87" s="7" t="s">
        <x:v>53</x:v>
      </x:c>
      <x:c r="E87" s="13" t="n">
        <x:v>45527.5</x:v>
      </x:c>
      <x:c r="F87" s="13" t="n">
        <x:v>46275.5</x:v>
      </x:c>
      <x:c r="G87" s="7" t="s">
        <x:v>6498</x:v>
      </x:c>
      <x:c r="H87" s="7" t="s">
        <x:v>6710</x:v>
      </x:c>
      <x:c r="I87" s="7" t="s">
        <x:v>6463</x:v>
      </x:c>
      <x:c r="J87" s="7" t="s">
        <x:v>741</x:v>
      </x:c>
      <x:c r="K87" s="7" t="s">
        <x:v>6564</x:v>
      </x:c>
      <x:c r="L87" s="7" t="s">
        <x:v>6711</x:v>
      </x:c>
    </x:row>
    <x:row r="88" ht="51.75" hidden="0" customHeight="1">
      <x:c r="A88" s="7" t="s">
        <x:v>1314</x:v>
      </x:c>
      <x:c r="B88" s="7" t="s">
        <x:v>1153</x:v>
      </x:c>
      <x:c r="C88" s="7" t="s">
        <x:v>6712</x:v>
      </x:c>
      <x:c r="D88" s="7" t="s">
        <x:v>6506</x:v>
      </x:c>
      <x:c r="E88" s="13" t="s">
        <x:v>53</x:v>
      </x:c>
      <x:c r="F88" s="13" t="n">
        <x:v>46275.5</x:v>
      </x:c>
      <x:c r="G88" s="7" t="s">
        <x:v>6498</x:v>
      </x:c>
      <x:c r="H88" s="7" t="s">
        <x:v>6713</x:v>
      </x:c>
      <x:c r="I88" s="7" t="s">
        <x:v>6463</x:v>
      </x:c>
      <x:c r="J88" s="7" t="s">
        <x:v>751</x:v>
      </x:c>
      <x:c r="K88" s="7" t="s">
        <x:v>6459</x:v>
      </x:c>
      <x:c r="L88" s="7" t="s">
        <x:v>6714</x:v>
      </x:c>
    </x:row>
    <x:row r="89" ht="66" hidden="0" customHeight="1">
      <x:c r="A89" s="7" t="s">
        <x:v>1317</x:v>
      </x:c>
      <x:c r="B89" s="7" t="s">
        <x:v>1316</x:v>
      </x:c>
      <x:c r="C89" s="7" t="s">
        <x:v>6715</x:v>
      </x:c>
      <x:c r="D89" s="7" t="s">
        <x:v>53</x:v>
      </x:c>
      <x:c r="E89" s="13" t="s">
        <x:v>53</x:v>
      </x:c>
      <x:c r="F89" s="13" t="n">
        <x:v>46275.5</x:v>
      </x:c>
      <x:c r="G89" s="7" t="s">
        <x:v>6473</x:v>
      </x:c>
      <x:c r="H89" s="7" t="s">
        <x:v>6716</x:v>
      </x:c>
      <x:c r="I89" s="7" t="s">
        <x:v>6463</x:v>
      </x:c>
      <x:c r="J89" s="7" t="s">
        <x:v>761</x:v>
      </x:c>
      <x:c r="K89" s="7" t="s">
        <x:v>6459</x:v>
      </x:c>
      <x:c r="L89" s="7" t="s">
        <x:v>6717</x:v>
      </x:c>
    </x:row>
    <x:row r="90" ht="51.75" hidden="0" customHeight="1">
      <x:c r="A90" s="7" t="s">
        <x:v>1321</x:v>
      </x:c>
      <x:c r="B90" s="7" t="s">
        <x:v>1319</x:v>
      </x:c>
      <x:c r="C90" s="7" t="s">
        <x:v>1320</x:v>
      </x:c>
      <x:c r="D90" s="7" t="s">
        <x:v>6718</x:v>
      </x:c>
      <x:c r="E90" s="13" t="s">
        <x:v>53</x:v>
      </x:c>
      <x:c r="F90" s="13" t="n">
        <x:v>46275.5</x:v>
      </x:c>
      <x:c r="G90" s="7" t="s">
        <x:v>6498</x:v>
      </x:c>
      <x:c r="H90" s="7" t="s">
        <x:v>6719</x:v>
      </x:c>
      <x:c r="I90" s="7" t="s">
        <x:v>6463</x:v>
      </x:c>
      <x:c r="J90" s="7" t="s">
        <x:v>771</x:v>
      </x:c>
      <x:c r="K90" s="7" t="s">
        <x:v>6459</x:v>
      </x:c>
      <x:c r="L90" s="7" t="s">
        <x:v>6720</x:v>
      </x:c>
    </x:row>
    <x:row r="91" ht="51.75" hidden="0" customHeight="1">
      <x:c r="A91" s="7" t="s">
        <x:v>1322</x:v>
      </x:c>
      <x:c r="B91" s="7" t="s">
        <x:v>1153</x:v>
      </x:c>
      <x:c r="C91" s="7" t="s">
        <x:v>6721</x:v>
      </x:c>
      <x:c r="D91" s="7" t="s">
        <x:v>6523</x:v>
      </x:c>
      <x:c r="E91" s="13" t="s">
        <x:v>53</x:v>
      </x:c>
      <x:c r="F91" s="13" t="n">
        <x:v>46275.5</x:v>
      </x:c>
      <x:c r="G91" s="7" t="s">
        <x:v>6498</x:v>
      </x:c>
      <x:c r="H91" s="7" t="s">
        <x:v>6722</x:v>
      </x:c>
      <x:c r="I91" s="7" t="s">
        <x:v>6463</x:v>
      </x:c>
      <x:c r="J91" s="7" t="s">
        <x:v>782</x:v>
      </x:c>
      <x:c r="K91" s="7" t="s">
        <x:v>6459</x:v>
      </x:c>
      <x:c r="L91" s="7" t="s">
        <x:v>6723</x:v>
      </x:c>
    </x:row>
    <x:row r="92" ht="51.75" hidden="0" customHeight="1">
      <x:c r="A92" s="7" t="s">
        <x:v>1324</x:v>
      </x:c>
      <x:c r="B92" s="7" t="s">
        <x:v>1319</x:v>
      </x:c>
      <x:c r="C92" s="7" t="s">
        <x:v>793</x:v>
      </x:c>
      <x:c r="D92" s="7" t="s">
        <x:v>6718</x:v>
      </x:c>
      <x:c r="E92" s="13" t="s">
        <x:v>53</x:v>
      </x:c>
      <x:c r="F92" s="13" t="n">
        <x:v>46275.5</x:v>
      </x:c>
      <x:c r="G92" s="7" t="s">
        <x:v>6498</x:v>
      </x:c>
      <x:c r="H92" s="7" t="s">
        <x:v>6724</x:v>
      </x:c>
      <x:c r="I92" s="7" t="s">
        <x:v>6463</x:v>
      </x:c>
      <x:c r="J92" s="7" t="s">
        <x:v>794</x:v>
      </x:c>
      <x:c r="K92" s="7" t="s">
        <x:v>6459</x:v>
      </x:c>
      <x:c r="L92" s="7" t="s">
        <x:v>6725</x:v>
      </x:c>
    </x:row>
    <x:row r="93" ht="51.75" hidden="0" customHeight="1">
      <x:c r="A93" s="7" t="s">
        <x:v>1326</x:v>
      </x:c>
      <x:c r="B93" s="7" t="s">
        <x:v>1137</x:v>
      </x:c>
      <x:c r="C93" s="7" t="s">
        <x:v>1325</x:v>
      </x:c>
      <x:c r="D93" s="7" t="s">
        <x:v>6497</x:v>
      </x:c>
      <x:c r="E93" s="13" t="s">
        <x:v>53</x:v>
      </x:c>
      <x:c r="F93" s="13" t="n">
        <x:v>46275.5</x:v>
      </x:c>
      <x:c r="G93" s="7" t="s">
        <x:v>6498</x:v>
      </x:c>
      <x:c r="H93" s="7" t="s">
        <x:v>6726</x:v>
      </x:c>
      <x:c r="I93" s="7" t="s">
        <x:v>6463</x:v>
      </x:c>
      <x:c r="J93" s="7" t="s">
        <x:v>804</x:v>
      </x:c>
      <x:c r="K93" s="7" t="s">
        <x:v>6459</x:v>
      </x:c>
      <x:c r="L93" s="7" t="s">
        <x:v>6727</x:v>
      </x:c>
    </x:row>
    <x:row r="94" ht="51.75" hidden="0" customHeight="1">
      <x:c r="A94" s="7" t="s">
        <x:v>1330</x:v>
      </x:c>
      <x:c r="B94" s="7" t="s">
        <x:v>1201</x:v>
      </x:c>
      <x:c r="C94" s="7" t="s">
        <x:v>1329</x:v>
      </x:c>
      <x:c r="D94" s="7" t="s">
        <x:v>53</x:v>
      </x:c>
      <x:c r="E94" s="13" t="s">
        <x:v>53</x:v>
      </x:c>
      <x:c r="F94" s="13" t="n">
        <x:v>46275.5</x:v>
      </x:c>
      <x:c r="G94" s="7" t="s">
        <x:v>6498</x:v>
      </x:c>
      <x:c r="H94" s="7" t="s">
        <x:v>6728</x:v>
      </x:c>
      <x:c r="I94" s="7" t="s">
        <x:v>6463</x:v>
      </x:c>
      <x:c r="J94" s="7" t="s">
        <x:v>1328</x:v>
      </x:c>
      <x:c r="K94" s="7" t="s">
        <x:v>6459</x:v>
      </x:c>
      <x:c r="L94" s="7" t="s">
        <x:v>6729</x:v>
      </x:c>
    </x:row>
    <x:row r="95" ht="51.75" hidden="0" customHeight="1">
      <x:c r="A95" s="7" t="s">
        <x:v>1331</x:v>
      </x:c>
      <x:c r="B95" s="7" t="s">
        <x:v>1153</x:v>
      </x:c>
      <x:c r="C95" s="7" t="s">
        <x:v>6730</x:v>
      </x:c>
      <x:c r="D95" s="7" t="s">
        <x:v>6523</x:v>
      </x:c>
      <x:c r="E95" s="13" t="s">
        <x:v>53</x:v>
      </x:c>
      <x:c r="F95" s="13" t="n">
        <x:v>46275.5</x:v>
      </x:c>
      <x:c r="G95" s="7" t="s">
        <x:v>6498</x:v>
      </x:c>
      <x:c r="H95" s="7" t="s">
        <x:v>6731</x:v>
      </x:c>
      <x:c r="I95" s="7" t="s">
        <x:v>6463</x:v>
      </x:c>
      <x:c r="J95" s="7" t="s">
        <x:v>815</x:v>
      </x:c>
      <x:c r="K95" s="7" t="s">
        <x:v>6459</x:v>
      </x:c>
      <x:c r="L95" s="7" t="s">
        <x:v>6732</x:v>
      </x:c>
    </x:row>
    <x:row r="96" ht="51.75" hidden="0" customHeight="1">
      <x:c r="A96" s="7" t="s">
        <x:v>1333</x:v>
      </x:c>
      <x:c r="B96" s="7" t="s">
        <x:v>1319</x:v>
      </x:c>
      <x:c r="C96" s="7" t="s">
        <x:v>825</x:v>
      </x:c>
      <x:c r="D96" s="7" t="s">
        <x:v>6733</x:v>
      </x:c>
      <x:c r="E96" s="13" t="s">
        <x:v>53</x:v>
      </x:c>
      <x:c r="F96" s="13" t="n">
        <x:v>46275.5</x:v>
      </x:c>
      <x:c r="G96" s="7" t="s">
        <x:v>6498</x:v>
      </x:c>
      <x:c r="H96" s="7" t="s">
        <x:v>6734</x:v>
      </x:c>
      <x:c r="I96" s="7" t="s">
        <x:v>6463</x:v>
      </x:c>
      <x:c r="J96" s="7" t="s">
        <x:v>826</x:v>
      </x:c>
      <x:c r="K96" s="7" t="s">
        <x:v>6459</x:v>
      </x:c>
      <x:c r="L96" s="7" t="s">
        <x:v>6735</x:v>
      </x:c>
    </x:row>
    <x:row r="97" ht="51.75" hidden="0" customHeight="1">
      <x:c r="A97" s="7" t="s">
        <x:v>1336</x:v>
      </x:c>
      <x:c r="B97" s="7" t="s">
        <x:v>1146</x:v>
      </x:c>
      <x:c r="C97" s="7" t="s">
        <x:v>6736</x:v>
      </x:c>
      <x:c r="D97" s="7" t="s">
        <x:v>53</x:v>
      </x:c>
      <x:c r="E97" s="13" t="s">
        <x:v>53</x:v>
      </x:c>
      <x:c r="F97" s="13" t="n">
        <x:v>46275.5</x:v>
      </x:c>
      <x:c r="G97" s="7" t="s">
        <x:v>6498</x:v>
      </x:c>
      <x:c r="H97" s="7" t="s">
        <x:v>6737</x:v>
      </x:c>
      <x:c r="I97" s="7" t="s">
        <x:v>6463</x:v>
      </x:c>
      <x:c r="J97" s="7" t="s">
        <x:v>1334</x:v>
      </x:c>
      <x:c r="K97" s="7" t="s">
        <x:v>6459</x:v>
      </x:c>
      <x:c r="L97" s="7" t="s">
        <x:v>6738</x:v>
      </x:c>
    </x:row>
    <x:row r="98" ht="51.75" hidden="0" customHeight="1">
      <x:c r="A98" s="7" t="s">
        <x:v>1337</x:v>
      </x:c>
      <x:c r="B98" s="7" t="s">
        <x:v>1153</x:v>
      </x:c>
      <x:c r="C98" s="7" t="s">
        <x:v>6739</x:v>
      </x:c>
      <x:c r="D98" s="7" t="s">
        <x:v>6523</x:v>
      </x:c>
      <x:c r="E98" s="13" t="s">
        <x:v>53</x:v>
      </x:c>
      <x:c r="F98" s="13" t="n">
        <x:v>46275.5</x:v>
      </x:c>
      <x:c r="G98" s="7" t="s">
        <x:v>6498</x:v>
      </x:c>
      <x:c r="H98" s="7" t="s">
        <x:v>6740</x:v>
      </x:c>
      <x:c r="I98" s="7" t="s">
        <x:v>6463</x:v>
      </x:c>
      <x:c r="J98" s="7" t="s">
        <x:v>837</x:v>
      </x:c>
      <x:c r="K98" s="7" t="s">
        <x:v>6459</x:v>
      </x:c>
      <x:c r="L98" s="7" t="s">
        <x:v>6741</x:v>
      </x:c>
    </x:row>
    <x:row r="99" ht="51.75" hidden="0" customHeight="1">
      <x:c r="A99" s="7" t="s">
        <x:v>1340</x:v>
      </x:c>
      <x:c r="B99" s="7" t="s">
        <x:v>1339</x:v>
      </x:c>
      <x:c r="C99" s="7" t="s">
        <x:v>6742</x:v>
      </x:c>
      <x:c r="D99" s="7" t="s">
        <x:v>53</x:v>
      </x:c>
      <x:c r="E99" s="13" t="s">
        <x:v>53</x:v>
      </x:c>
      <x:c r="F99" s="13" t="n">
        <x:v>46275.5</x:v>
      </x:c>
      <x:c r="G99" s="7" t="s">
        <x:v>6498</x:v>
      </x:c>
      <x:c r="H99" s="7" t="s">
        <x:v>6743</x:v>
      </x:c>
      <x:c r="I99" s="7" t="s">
        <x:v>6463</x:v>
      </x:c>
      <x:c r="J99" s="7" t="s">
        <x:v>849</x:v>
      </x:c>
      <x:c r="K99" s="7" t="s">
        <x:v>6459</x:v>
      </x:c>
      <x:c r="L99" s="7" t="s">
        <x:v>6744</x:v>
      </x:c>
    </x:row>
    <x:row r="100" ht="51.75" hidden="0" customHeight="1">
      <x:c r="A100" s="7" t="s">
        <x:v>1341</x:v>
      </x:c>
      <x:c r="B100" s="7" t="s">
        <x:v>1153</x:v>
      </x:c>
      <x:c r="C100" s="7" t="s">
        <x:v>6745</x:v>
      </x:c>
      <x:c r="D100" s="7" t="s">
        <x:v>6523</x:v>
      </x:c>
      <x:c r="E100" s="13" t="s">
        <x:v>53</x:v>
      </x:c>
      <x:c r="F100" s="13" t="n">
        <x:v>46275.5</x:v>
      </x:c>
      <x:c r="G100" s="7" t="s">
        <x:v>6498</x:v>
      </x:c>
      <x:c r="H100" s="7" t="s">
        <x:v>6746</x:v>
      </x:c>
      <x:c r="I100" s="7" t="s">
        <x:v>6463</x:v>
      </x:c>
      <x:c r="J100" s="7" t="s">
        <x:v>863</x:v>
      </x:c>
      <x:c r="K100" s="7" t="s">
        <x:v>6459</x:v>
      </x:c>
      <x:c r="L100" s="7" t="s">
        <x:v>6747</x:v>
      </x:c>
    </x:row>
    <x:row r="101" ht="51.75" hidden="0" customHeight="1">
      <x:c r="A101" s="7" t="s">
        <x:v>1342</x:v>
      </x:c>
      <x:c r="B101" s="7" t="s">
        <x:v>1153</x:v>
      </x:c>
      <x:c r="C101" s="7" t="s">
        <x:v>6748</x:v>
      </x:c>
      <x:c r="D101" s="7" t="s">
        <x:v>6523</x:v>
      </x:c>
      <x:c r="E101" s="13" t="s">
        <x:v>53</x:v>
      </x:c>
      <x:c r="F101" s="13" t="n">
        <x:v>46275.5</x:v>
      </x:c>
      <x:c r="G101" s="7" t="s">
        <x:v>6498</x:v>
      </x:c>
      <x:c r="H101" s="7" t="s">
        <x:v>6749</x:v>
      </x:c>
      <x:c r="I101" s="7" t="s">
        <x:v>6463</x:v>
      </x:c>
      <x:c r="J101" s="7" t="s">
        <x:v>872</x:v>
      </x:c>
      <x:c r="K101" s="7" t="s">
        <x:v>6459</x:v>
      </x:c>
      <x:c r="L101" s="7" t="s">
        <x:v>6750</x:v>
      </x:c>
    </x:row>
    <x:row r="102" ht="51.75" hidden="0" customHeight="1">
      <x:c r="A102" s="7" t="s">
        <x:v>1343</x:v>
      </x:c>
      <x:c r="B102" s="7" t="s">
        <x:v>1153</x:v>
      </x:c>
      <x:c r="C102" s="7" t="s">
        <x:v>6751</x:v>
      </x:c>
      <x:c r="D102" s="7" t="s">
        <x:v>6523</x:v>
      </x:c>
      <x:c r="E102" s="13" t="s">
        <x:v>53</x:v>
      </x:c>
      <x:c r="F102" s="13" t="n">
        <x:v>46275.5</x:v>
      </x:c>
      <x:c r="G102" s="7" t="s">
        <x:v>6498</x:v>
      </x:c>
      <x:c r="H102" s="7" t="s">
        <x:v>6752</x:v>
      </x:c>
      <x:c r="I102" s="7" t="s">
        <x:v>6463</x:v>
      </x:c>
      <x:c r="J102" s="7" t="s">
        <x:v>880</x:v>
      </x:c>
      <x:c r="K102" s="7" t="s">
        <x:v>6459</x:v>
      </x:c>
      <x:c r="L102" s="7" t="s">
        <x:v>6753</x:v>
      </x:c>
    </x:row>
    <x:row r="103" ht="51.75" hidden="0" customHeight="1">
      <x:c r="A103" s="7" t="s">
        <x:v>1346</x:v>
      </x:c>
      <x:c r="B103" s="7" t="s">
        <x:v>1137</x:v>
      </x:c>
      <x:c r="C103" s="7" t="s">
        <x:v>1345</x:v>
      </x:c>
      <x:c r="D103" s="7" t="s">
        <x:v>6497</x:v>
      </x:c>
      <x:c r="E103" s="13" t="s">
        <x:v>53</x:v>
      </x:c>
      <x:c r="F103" s="13" t="n">
        <x:v>46275.5</x:v>
      </x:c>
      <x:c r="G103" s="7" t="s">
        <x:v>6498</x:v>
      </x:c>
      <x:c r="H103" s="7" t="s">
        <x:v>6754</x:v>
      </x:c>
      <x:c r="I103" s="7" t="s">
        <x:v>6463</x:v>
      </x:c>
      <x:c r="J103" s="7" t="s">
        <x:v>887</x:v>
      </x:c>
      <x:c r="K103" s="7" t="s">
        <x:v>6459</x:v>
      </x:c>
      <x:c r="L103" s="7" t="s">
        <x:v>6755</x:v>
      </x:c>
    </x:row>
    <x:row r="104" ht="51.75" hidden="0" customHeight="1">
      <x:c r="A104" s="7" t="s">
        <x:v>1350</x:v>
      </x:c>
      <x:c r="B104" s="7" t="s">
        <x:v>1201</x:v>
      </x:c>
      <x:c r="C104" s="7" t="s">
        <x:v>1349</x:v>
      </x:c>
      <x:c r="D104" s="7" t="s">
        <x:v>53</x:v>
      </x:c>
      <x:c r="E104" s="13" t="s">
        <x:v>53</x:v>
      </x:c>
      <x:c r="F104" s="13" t="n">
        <x:v>46275.5</x:v>
      </x:c>
      <x:c r="G104" s="7" t="s">
        <x:v>6498</x:v>
      </x:c>
      <x:c r="H104" s="7" t="s">
        <x:v>6756</x:v>
      </x:c>
      <x:c r="I104" s="7" t="s">
        <x:v>6463</x:v>
      </x:c>
      <x:c r="J104" s="7" t="s">
        <x:v>1348</x:v>
      </x:c>
      <x:c r="K104" s="7" t="s">
        <x:v>6459</x:v>
      </x:c>
      <x:c r="L104" s="7" t="s">
        <x:v>6757</x:v>
      </x:c>
    </x:row>
    <x:row r="105" ht="51.75" hidden="0" customHeight="1">
      <x:c r="A105" s="7" t="s">
        <x:v>1352</x:v>
      </x:c>
      <x:c r="B105" s="7" t="s">
        <x:v>1137</x:v>
      </x:c>
      <x:c r="C105" s="7" t="s">
        <x:v>6758</x:v>
      </x:c>
      <x:c r="D105" s="7" t="s">
        <x:v>6662</x:v>
      </x:c>
      <x:c r="E105" s="13" t="s">
        <x:v>53</x:v>
      </x:c>
      <x:c r="F105" s="13" t="n">
        <x:v>46275.5</x:v>
      </x:c>
      <x:c r="G105" s="7" t="s">
        <x:v>6498</x:v>
      </x:c>
      <x:c r="H105" s="7" t="s">
        <x:v>6759</x:v>
      </x:c>
      <x:c r="I105" s="7" t="s">
        <x:v>6463</x:v>
      </x:c>
      <x:c r="J105" s="7" t="s">
        <x:v>901</x:v>
      </x:c>
      <x:c r="K105" s="7" t="s">
        <x:v>6459</x:v>
      </x:c>
      <x:c r="L105" s="7" t="s">
        <x:v>6760</x:v>
      </x:c>
    </x:row>
    <x:row r="106" ht="51.75" hidden="0" customHeight="1">
      <x:c r="A106" s="7" t="s">
        <x:v>1354</x:v>
      </x:c>
      <x:c r="B106" s="7" t="s">
        <x:v>1151</x:v>
      </x:c>
      <x:c r="C106" s="10" t="s">
        <x:v>6625</x:v>
      </x:c>
      <x:c r="D106" s="7" t="s">
        <x:v>53</x:v>
      </x:c>
      <x:c r="E106" s="13" t="s">
        <x:v>53</x:v>
      </x:c>
      <x:c r="F106" s="13" t="n">
        <x:v>46275.5</x:v>
      </x:c>
      <x:c r="G106" s="7" t="s">
        <x:v>6498</x:v>
      </x:c>
      <x:c r="H106" s="7" t="s">
        <x:v>6761</x:v>
      </x:c>
      <x:c r="I106" s="7" t="s">
        <x:v>6463</x:v>
      </x:c>
      <x:c r="J106" s="7" t="s">
        <x:v>1353</x:v>
      </x:c>
      <x:c r="K106" s="7" t="s">
        <x:v>6459</x:v>
      </x:c>
      <x:c r="L106" s="7" t="s">
        <x:v>6762</x:v>
      </x:c>
    </x:row>
    <x:row r="107" ht="51.75" hidden="0" customHeight="1">
      <x:c r="A107" s="7" t="s">
        <x:v>1356</x:v>
      </x:c>
      <x:c r="B107" s="7" t="s">
        <x:v>1137</x:v>
      </x:c>
      <x:c r="C107" s="7" t="s">
        <x:v>6763</x:v>
      </x:c>
      <x:c r="D107" s="7" t="s">
        <x:v>6662</x:v>
      </x:c>
      <x:c r="E107" s="13" t="s">
        <x:v>53</x:v>
      </x:c>
      <x:c r="F107" s="13" t="n">
        <x:v>46275.5</x:v>
      </x:c>
      <x:c r="G107" s="7" t="s">
        <x:v>6498</x:v>
      </x:c>
      <x:c r="H107" s="7" t="s">
        <x:v>6764</x:v>
      </x:c>
      <x:c r="I107" s="7" t="s">
        <x:v>6463</x:v>
      </x:c>
      <x:c r="J107" s="7" t="s">
        <x:v>912</x:v>
      </x:c>
      <x:c r="K107" s="7" t="s">
        <x:v>6459</x:v>
      </x:c>
      <x:c r="L107" s="7" t="s">
        <x:v>6765</x:v>
      </x:c>
    </x:row>
    <x:row r="108" ht="51.75" hidden="0" customHeight="1">
      <x:c r="A108" s="7" t="s">
        <x:v>1359</x:v>
      </x:c>
      <x:c r="B108" s="7" t="s">
        <x:v>1137</x:v>
      </x:c>
      <x:c r="C108" s="7" t="s">
        <x:v>6766</x:v>
      </x:c>
      <x:c r="D108" s="7" t="s">
        <x:v>6662</x:v>
      </x:c>
      <x:c r="E108" s="13" t="s">
        <x:v>53</x:v>
      </x:c>
      <x:c r="F108" s="13" t="n">
        <x:v>46275.5</x:v>
      </x:c>
      <x:c r="G108" s="7" t="s">
        <x:v>6498</x:v>
      </x:c>
      <x:c r="H108" s="7" t="s">
        <x:v>6767</x:v>
      </x:c>
      <x:c r="I108" s="7" t="s">
        <x:v>6463</x:v>
      </x:c>
      <x:c r="J108" s="7" t="s">
        <x:v>923</x:v>
      </x:c>
      <x:c r="K108" s="7" t="s">
        <x:v>6459</x:v>
      </x:c>
      <x:c r="L108" s="7" t="s">
        <x:v>6768</x:v>
      </x:c>
    </x:row>
    <x:row r="109" ht="51.75" hidden="0" customHeight="1">
      <x:c r="A109" s="7" t="s">
        <x:v>1361</x:v>
      </x:c>
      <x:c r="B109" s="7" t="s">
        <x:v>1201</x:v>
      </x:c>
      <x:c r="C109" s="7" t="s">
        <x:v>1360</x:v>
      </x:c>
      <x:c r="D109" s="7" t="s">
        <x:v>53</x:v>
      </x:c>
      <x:c r="E109" s="13" t="s">
        <x:v>53</x:v>
      </x:c>
      <x:c r="F109" s="13" t="n">
        <x:v>46275.5</x:v>
      </x:c>
      <x:c r="G109" s="7" t="s">
        <x:v>6498</x:v>
      </x:c>
      <x:c r="H109" s="7" t="s">
        <x:v>6769</x:v>
      </x:c>
      <x:c r="I109" s="7" t="s">
        <x:v>6463</x:v>
      </x:c>
      <x:c r="J109" s="7" t="s">
        <x:v>930</x:v>
      </x:c>
      <x:c r="K109" s="7" t="s">
        <x:v>6459</x:v>
      </x:c>
      <x:c r="L109" s="7" t="s">
        <x:v>6770</x:v>
      </x:c>
    </x:row>
    <x:row r="110" ht="51.75" hidden="0" customHeight="1">
      <x:c r="A110" s="7" t="s">
        <x:v>1364</x:v>
      </x:c>
      <x:c r="B110" s="7" t="s">
        <x:v>6771</x:v>
      </x:c>
      <x:c r="C110" s="7" t="s">
        <x:v>1363</x:v>
      </x:c>
      <x:c r="D110" s="7" t="s">
        <x:v>53</x:v>
      </x:c>
      <x:c r="E110" s="13" t="s">
        <x:v>53</x:v>
      </x:c>
      <x:c r="F110" s="13" t="n">
        <x:v>46275.5</x:v>
      </x:c>
      <x:c r="G110" s="7" t="s">
        <x:v>6498</x:v>
      </x:c>
      <x:c r="H110" s="7" t="s">
        <x:v>6772</x:v>
      </x:c>
      <x:c r="I110" s="7" t="s">
        <x:v>6463</x:v>
      </x:c>
      <x:c r="J110" s="7" t="s">
        <x:v>938</x:v>
      </x:c>
      <x:c r="K110" s="7" t="s">
        <x:v>6459</x:v>
      </x:c>
      <x:c r="L110" s="7" t="s">
        <x:v>6773</x:v>
      </x:c>
    </x:row>
    <x:row r="111" ht="51.75" hidden="0" customHeight="1">
      <x:c r="A111" s="7" t="s">
        <x:v>1367</x:v>
      </x:c>
      <x:c r="B111" s="7" t="s">
        <x:v>1365</x:v>
      </x:c>
      <x:c r="C111" s="7" t="s">
        <x:v>6774</x:v>
      </x:c>
      <x:c r="D111" s="7" t="s">
        <x:v>53</x:v>
      </x:c>
      <x:c r="E111" s="13" t="s">
        <x:v>53</x:v>
      </x:c>
      <x:c r="F111" s="13" t="n">
        <x:v>46275.5</x:v>
      </x:c>
      <x:c r="G111" s="7" t="s">
        <x:v>6473</x:v>
      </x:c>
      <x:c r="H111" s="7" t="s">
        <x:v>6775</x:v>
      </x:c>
      <x:c r="I111" s="7" t="s">
        <x:v>6463</x:v>
      </x:c>
      <x:c r="J111" s="7" t="s">
        <x:v>947</x:v>
      </x:c>
      <x:c r="K111" s="7" t="s">
        <x:v>6459</x:v>
      </x:c>
      <x:c r="L111" s="7" t="s">
        <x:v>6776</x:v>
      </x:c>
    </x:row>
    <x:row r="112" ht="51.75" hidden="0" customHeight="1">
      <x:c r="A112" s="7" t="s">
        <x:v>1369</x:v>
      </x:c>
      <x:c r="B112" s="7" t="s">
        <x:v>1137</x:v>
      </x:c>
      <x:c r="C112" s="7" t="s">
        <x:v>6777</x:v>
      </x:c>
      <x:c r="D112" s="7" t="s">
        <x:v>6662</x:v>
      </x:c>
      <x:c r="E112" s="13" t="s">
        <x:v>53</x:v>
      </x:c>
      <x:c r="F112" s="13" t="n">
        <x:v>46275.5</x:v>
      </x:c>
      <x:c r="G112" s="7" t="s">
        <x:v>6498</x:v>
      </x:c>
      <x:c r="H112" s="7" t="s">
        <x:v>6778</x:v>
      </x:c>
      <x:c r="I112" s="7" t="s">
        <x:v>6463</x:v>
      </x:c>
      <x:c r="J112" s="7" t="s">
        <x:v>960</x:v>
      </x:c>
      <x:c r="K112" s="7" t="s">
        <x:v>6459</x:v>
      </x:c>
      <x:c r="L112" s="7" t="s">
        <x:v>6779</x:v>
      </x:c>
    </x:row>
    <x:row r="113" ht="51.75" hidden="0" customHeight="1">
      <x:c r="A113" s="7" t="s">
        <x:v>1373</x:v>
      </x:c>
      <x:c r="B113" s="7" t="s">
        <x:v>1201</x:v>
      </x:c>
      <x:c r="C113" s="7" t="s">
        <x:v>1372</x:v>
      </x:c>
      <x:c r="D113" s="7" t="s">
        <x:v>53</x:v>
      </x:c>
      <x:c r="E113" s="13" t="s">
        <x:v>53</x:v>
      </x:c>
      <x:c r="F113" s="13" t="n">
        <x:v>46275.5</x:v>
      </x:c>
      <x:c r="G113" s="7" t="s">
        <x:v>6498</x:v>
      </x:c>
      <x:c r="H113" s="7" t="s">
        <x:v>6780</x:v>
      </x:c>
      <x:c r="I113" s="7" t="s">
        <x:v>6463</x:v>
      </x:c>
      <x:c r="J113" s="7" t="s">
        <x:v>1371</x:v>
      </x:c>
      <x:c r="K113" s="7" t="s">
        <x:v>6459</x:v>
      </x:c>
      <x:c r="L113" s="7" t="s">
        <x:v>6781</x:v>
      </x:c>
    </x:row>
    <x:row r="114" ht="51.75" hidden="0" customHeight="1">
      <x:c r="A114" s="7" t="s">
        <x:v>1376</x:v>
      </x:c>
      <x:c r="B114" s="7" t="s">
        <x:v>1374</x:v>
      </x:c>
      <x:c r="C114" s="7" t="s">
        <x:v>6782</x:v>
      </x:c>
      <x:c r="D114" s="7" t="s">
        <x:v>53</x:v>
      </x:c>
      <x:c r="E114" s="13" t="s">
        <x:v>53</x:v>
      </x:c>
      <x:c r="F114" s="13" t="n">
        <x:v>46275.5</x:v>
      </x:c>
      <x:c r="G114" s="7" t="s">
        <x:v>6473</x:v>
      </x:c>
      <x:c r="H114" s="7" t="s">
        <x:v>6783</x:v>
      </x:c>
      <x:c r="I114" s="7" t="s">
        <x:v>6463</x:v>
      </x:c>
      <x:c r="J114" s="7" t="s">
        <x:v>6784</x:v>
      </x:c>
      <x:c r="K114" s="7" t="s">
        <x:v>6459</x:v>
      </x:c>
      <x:c r="L114" s="7" t="s">
        <x:v>6785</x:v>
      </x:c>
    </x:row>
    <x:row r="115" ht="51.75" hidden="0" customHeight="1">
      <x:c r="A115" s="7" t="s">
        <x:v>1378</x:v>
      </x:c>
      <x:c r="B115" s="7" t="s">
        <x:v>1374</x:v>
      </x:c>
      <x:c r="C115" s="7" t="s">
        <x:v>1377</x:v>
      </x:c>
      <x:c r="D115" s="7" t="s">
        <x:v>53</x:v>
      </x:c>
      <x:c r="E115" s="13" t="s">
        <x:v>53</x:v>
      </x:c>
      <x:c r="F115" s="13" t="n">
        <x:v>46275.5</x:v>
      </x:c>
      <x:c r="G115" s="7" t="s">
        <x:v>6498</x:v>
      </x:c>
      <x:c r="H115" s="7" t="s">
        <x:v>6786</x:v>
      </x:c>
      <x:c r="I115" s="7" t="s">
        <x:v>6463</x:v>
      </x:c>
      <x:c r="J115" s="7" t="s">
        <x:v>980</x:v>
      </x:c>
      <x:c r="K115" s="7" t="s">
        <x:v>6459</x:v>
      </x:c>
      <x:c r="L115" s="7" t="s">
        <x:v>6787</x:v>
      </x:c>
    </x:row>
    <x:row r="116" ht="51.75" hidden="0" customHeight="1">
      <x:c r="A116" s="7" t="s">
        <x:v>1381</x:v>
      </x:c>
      <x:c r="B116" s="7" t="s">
        <x:v>1201</x:v>
      </x:c>
      <x:c r="C116" s="7" t="s">
        <x:v>1380</x:v>
      </x:c>
      <x:c r="D116" s="7" t="s">
        <x:v>53</x:v>
      </x:c>
      <x:c r="E116" s="13" t="s">
        <x:v>53</x:v>
      </x:c>
      <x:c r="F116" s="13" t="n">
        <x:v>46275.5</x:v>
      </x:c>
      <x:c r="G116" s="7" t="s">
        <x:v>6498</x:v>
      </x:c>
      <x:c r="H116" s="7" t="s">
        <x:v>6788</x:v>
      </x:c>
      <x:c r="I116" s="7" t="s">
        <x:v>6463</x:v>
      </x:c>
      <x:c r="J116" s="7" t="s">
        <x:v>1379</x:v>
      </x:c>
      <x:c r="K116" s="7" t="s">
        <x:v>6459</x:v>
      </x:c>
      <x:c r="L116" s="7" t="s">
        <x:v>6789</x:v>
      </x:c>
    </x:row>
    <x:row r="117" ht="51.75" hidden="0" customHeight="1">
      <x:c r="A117" s="7" t="s">
        <x:v>1384</x:v>
      </x:c>
      <x:c r="B117" s="7" t="s">
        <x:v>1382</x:v>
      </x:c>
      <x:c r="C117" s="7" t="s">
        <x:v>6790</x:v>
      </x:c>
      <x:c r="D117" s="7" t="s">
        <x:v>53</x:v>
      </x:c>
      <x:c r="E117" s="13" t="s">
        <x:v>53</x:v>
      </x:c>
      <x:c r="F117" s="13" t="n">
        <x:v>46275.5</x:v>
      </x:c>
      <x:c r="G117" s="7" t="s">
        <x:v>6473</x:v>
      </x:c>
      <x:c r="H117" s="7" t="s">
        <x:v>6791</x:v>
      </x:c>
      <x:c r="I117" s="7" t="s">
        <x:v>6463</x:v>
      </x:c>
      <x:c r="J117" s="7" t="s">
        <x:v>999</x:v>
      </x:c>
      <x:c r="K117" s="7" t="s">
        <x:v>6459</x:v>
      </x:c>
      <x:c r="L117" s="7" t="s">
        <x:v>6792</x:v>
      </x:c>
    </x:row>
    <x:row r="118" ht="51.75" hidden="0" customHeight="1">
      <x:c r="A118" s="7" t="s">
        <x:v>1387</x:v>
      </x:c>
      <x:c r="B118" s="7" t="s">
        <x:v>1385</x:v>
      </x:c>
      <x:c r="C118" s="7" t="s">
        <x:v>1386</x:v>
      </x:c>
      <x:c r="D118" s="7" t="s">
        <x:v>4865</x:v>
      </x:c>
      <x:c r="E118" s="13" t="n">
        <x:v>44608.5</x:v>
      </x:c>
      <x:c r="F118" s="13" t="n">
        <x:v>46275.5</x:v>
      </x:c>
      <x:c r="G118" s="7" t="s">
        <x:v>6498</x:v>
      </x:c>
      <x:c r="H118" s="7" t="s">
        <x:v>6793</x:v>
      </x:c>
      <x:c r="I118" s="7" t="s">
        <x:v>6463</x:v>
      </x:c>
      <x:c r="J118" s="7" t="s">
        <x:v>1010</x:v>
      </x:c>
      <x:c r="K118" s="7" t="s">
        <x:v>6459</x:v>
      </x:c>
      <x:c r="L118" s="7" t="s">
        <x:v>6794</x:v>
      </x:c>
    </x:row>
    <x:row r="119" ht="51.75" hidden="0" customHeight="1">
      <x:c r="A119" s="7" t="s">
        <x:v>1389</x:v>
      </x:c>
      <x:c r="B119" s="7" t="s">
        <x:v>1137</x:v>
      </x:c>
      <x:c r="C119" s="7" t="s">
        <x:v>1388</x:v>
      </x:c>
      <x:c r="D119" s="7" t="s">
        <x:v>6497</x:v>
      </x:c>
      <x:c r="E119" s="13" t="s">
        <x:v>53</x:v>
      </x:c>
      <x:c r="F119" s="13" t="n">
        <x:v>46275.5</x:v>
      </x:c>
      <x:c r="G119" s="7" t="s">
        <x:v>6498</x:v>
      </x:c>
      <x:c r="H119" s="7" t="s">
        <x:v>6795</x:v>
      </x:c>
      <x:c r="I119" s="7" t="s">
        <x:v>6463</x:v>
      </x:c>
      <x:c r="J119" s="7" t="s">
        <x:v>1023</x:v>
      </x:c>
      <x:c r="K119" s="7" t="s">
        <x:v>6459</x:v>
      </x:c>
      <x:c r="L119" s="7" t="s">
        <x:v>6796</x:v>
      </x:c>
    </x:row>
    <x:row r="120" ht="51.75" hidden="0" customHeight="1">
      <x:c r="A120" s="7" t="s">
        <x:v>1393</x:v>
      </x:c>
      <x:c r="B120" s="7" t="s">
        <x:v>1146</x:v>
      </x:c>
      <x:c r="C120" s="7" t="s">
        <x:v>1392</x:v>
      </x:c>
      <x:c r="D120" s="7" t="s">
        <x:v>53</x:v>
      </x:c>
      <x:c r="E120" s="13" t="s">
        <x:v>53</x:v>
      </x:c>
      <x:c r="F120" s="13" t="n">
        <x:v>46275.5</x:v>
      </x:c>
      <x:c r="G120" s="7" t="s">
        <x:v>6498</x:v>
      </x:c>
      <x:c r="H120" s="7" t="s">
        <x:v>6797</x:v>
      </x:c>
      <x:c r="I120" s="7" t="s">
        <x:v>6463</x:v>
      </x:c>
      <x:c r="J120" s="7" t="s">
        <x:v>1391</x:v>
      </x:c>
      <x:c r="K120" s="7" t="s">
        <x:v>6459</x:v>
      </x:c>
      <x:c r="L120" s="7" t="s">
        <x:v>6798</x:v>
      </x:c>
    </x:row>
    <x:row r="121" ht="51.75" hidden="0" customHeight="1">
      <x:c r="A121" s="7" t="s">
        <x:v>1396</x:v>
      </x:c>
      <x:c r="B121" s="7" t="s">
        <x:v>1201</x:v>
      </x:c>
      <x:c r="C121" s="7" t="s">
        <x:v>1395</x:v>
      </x:c>
      <x:c r="D121" s="7" t="s">
        <x:v>53</x:v>
      </x:c>
      <x:c r="E121" s="13" t="s">
        <x:v>53</x:v>
      </x:c>
      <x:c r="F121" s="13" t="n">
        <x:v>46275.5</x:v>
      </x:c>
      <x:c r="G121" s="7" t="s">
        <x:v>6498</x:v>
      </x:c>
      <x:c r="H121" s="7" t="s">
        <x:v>6799</x:v>
      </x:c>
      <x:c r="I121" s="7" t="s">
        <x:v>6463</x:v>
      </x:c>
      <x:c r="J121" s="7" t="s">
        <x:v>1394</x:v>
      </x:c>
      <x:c r="K121" s="7" t="s">
        <x:v>6459</x:v>
      </x:c>
      <x:c r="L121" s="7" t="s">
        <x:v>6800</x:v>
      </x:c>
    </x:row>
    <x:row r="122" ht="51.75" hidden="0" customHeight="1">
      <x:c r="A122" s="7" t="s">
        <x:v>1398</x:v>
      </x:c>
      <x:c r="B122" s="7" t="s">
        <x:v>1146</x:v>
      </x:c>
      <x:c r="C122" s="7" t="s">
        <x:v>1397</x:v>
      </x:c>
      <x:c r="D122" s="7" t="s">
        <x:v>53</x:v>
      </x:c>
      <x:c r="E122" s="13" t="s">
        <x:v>53</x:v>
      </x:c>
      <x:c r="F122" s="13" t="n">
        <x:v>46275.5</x:v>
      </x:c>
      <x:c r="G122" s="7" t="s">
        <x:v>6498</x:v>
      </x:c>
      <x:c r="H122" s="7" t="s">
        <x:v>6801</x:v>
      </x:c>
      <x:c r="I122" s="7" t="s">
        <x:v>6463</x:v>
      </x:c>
      <x:c r="J122" s="7" t="s">
        <x:v>1033</x:v>
      </x:c>
      <x:c r="K122" s="7" t="s">
        <x:v>6459</x:v>
      </x:c>
      <x:c r="L122" s="7" t="s">
        <x:v>6802</x:v>
      </x:c>
    </x:row>
    <x:row r="123" ht="51.75" hidden="0" customHeight="1">
      <x:c r="A123" s="7" t="s">
        <x:v>1400</x:v>
      </x:c>
      <x:c r="B123" s="7" t="s">
        <x:v>1137</x:v>
      </x:c>
      <x:c r="C123" s="7" t="s">
        <x:v>1399</x:v>
      </x:c>
      <x:c r="D123" s="7" t="s">
        <x:v>6497</x:v>
      </x:c>
      <x:c r="E123" s="13" t="s">
        <x:v>53</x:v>
      </x:c>
      <x:c r="F123" s="13" t="n">
        <x:v>46275.5</x:v>
      </x:c>
      <x:c r="G123" s="7" t="s">
        <x:v>6498</x:v>
      </x:c>
      <x:c r="H123" s="7" t="s">
        <x:v>6803</x:v>
      </x:c>
      <x:c r="I123" s="7" t="s">
        <x:v>6463</x:v>
      </x:c>
      <x:c r="J123" s="7" t="s">
        <x:v>1045</x:v>
      </x:c>
      <x:c r="K123" s="7" t="s">
        <x:v>6459</x:v>
      </x:c>
      <x:c r="L123" s="7" t="s">
        <x:v>6804</x:v>
      </x:c>
    </x:row>
    <x:row r="124" ht="51.75" hidden="0" customHeight="1">
      <x:c r="A124" s="7" t="s">
        <x:v>1403</x:v>
      </x:c>
      <x:c r="B124" s="7" t="s">
        <x:v>1137</x:v>
      </x:c>
      <x:c r="C124" s="7" t="s">
        <x:v>1402</x:v>
      </x:c>
      <x:c r="D124" s="7" t="s">
        <x:v>6497</x:v>
      </x:c>
      <x:c r="E124" s="13" t="s">
        <x:v>53</x:v>
      </x:c>
      <x:c r="F124" s="13" t="n">
        <x:v>46275.5</x:v>
      </x:c>
      <x:c r="G124" s="7" t="s">
        <x:v>6498</x:v>
      </x:c>
      <x:c r="H124" s="7" t="s">
        <x:v>6805</x:v>
      </x:c>
      <x:c r="I124" s="7" t="s">
        <x:v>6463</x:v>
      </x:c>
      <x:c r="J124" s="7" t="s">
        <x:v>1055</x:v>
      </x:c>
      <x:c r="K124" s="7" t="s">
        <x:v>6459</x:v>
      </x:c>
      <x:c r="L124" s="7" t="s">
        <x:v>6806</x:v>
      </x:c>
    </x:row>
    <x:row r="125" ht="51.75" hidden="0" customHeight="1">
      <x:c r="A125" s="7" t="s">
        <x:v>1406</x:v>
      </x:c>
      <x:c r="B125" s="7" t="s">
        <x:v>1151</x:v>
      </x:c>
      <x:c r="C125" s="7" t="s">
        <x:v>1052</x:v>
      </x:c>
      <x:c r="D125" s="7" t="s">
        <x:v>53</x:v>
      </x:c>
      <x:c r="E125" s="13" t="s">
        <x:v>53</x:v>
      </x:c>
      <x:c r="F125" s="13" t="n">
        <x:v>46275.5</x:v>
      </x:c>
      <x:c r="G125" s="7" t="s">
        <x:v>6498</x:v>
      </x:c>
      <x:c r="H125" s="7" t="s">
        <x:v>6807</x:v>
      </x:c>
      <x:c r="I125" s="7" t="s">
        <x:v>6463</x:v>
      </x:c>
      <x:c r="J125" s="7" t="s">
        <x:v>1405</x:v>
      </x:c>
      <x:c r="K125" s="7" t="s">
        <x:v>6459</x:v>
      </x:c>
      <x:c r="L125" s="7" t="s">
        <x:v>6808</x:v>
      </x:c>
    </x:row>
    <x:row r="126" ht="51.75" hidden="0" customHeight="1">
      <x:c r="A126" s="7" t="s">
        <x:v>1408</x:v>
      </x:c>
      <x:c r="B126" s="7" t="s">
        <x:v>1137</x:v>
      </x:c>
      <x:c r="C126" s="7" t="s">
        <x:v>6809</x:v>
      </x:c>
      <x:c r="D126" s="7" t="s">
        <x:v>6810</x:v>
      </x:c>
      <x:c r="E126" s="13" t="s">
        <x:v>53</x:v>
      </x:c>
      <x:c r="F126" s="13" t="n">
        <x:v>46275.5</x:v>
      </x:c>
      <x:c r="G126" s="7" t="s">
        <x:v>6498</x:v>
      </x:c>
      <x:c r="H126" s="7" t="s">
        <x:v>6811</x:v>
      </x:c>
      <x:c r="I126" s="7" t="s">
        <x:v>6463</x:v>
      </x:c>
      <x:c r="J126" s="7" t="s">
        <x:v>1070</x:v>
      </x:c>
      <x:c r="K126" s="7" t="s">
        <x:v>6459</x:v>
      </x:c>
      <x:c r="L126" s="7" t="s">
        <x:v>6812</x:v>
      </x:c>
    </x:row>
    <x:row r="127" ht="51.75" hidden="0" customHeight="1">
      <x:c r="A127" s="7" t="s">
        <x:v>1412</x:v>
      </x:c>
      <x:c r="B127" s="7" t="s">
        <x:v>1137</x:v>
      </x:c>
      <x:c r="C127" s="7" t="s">
        <x:v>6813</x:v>
      </x:c>
      <x:c r="D127" s="7" t="s">
        <x:v>6814</x:v>
      </x:c>
      <x:c r="E127" s="13" t="s">
        <x:v>53</x:v>
      </x:c>
      <x:c r="F127" s="13" t="n">
        <x:v>46275.5</x:v>
      </x:c>
      <x:c r="G127" s="7" t="s">
        <x:v>6498</x:v>
      </x:c>
      <x:c r="H127" s="7" t="s">
        <x:v>6815</x:v>
      </x:c>
      <x:c r="I127" s="7" t="s">
        <x:v>6463</x:v>
      </x:c>
      <x:c r="J127" s="7" t="s">
        <x:v>1410</x:v>
      </x:c>
      <x:c r="K127" s="7" t="s">
        <x:v>6459</x:v>
      </x:c>
      <x:c r="L127" s="7" t="s">
        <x:v>6816</x:v>
      </x:c>
    </x:row>
    <x:row r="128" ht="51.75" hidden="0" customHeight="1">
      <x:c r="A128" s="7" t="s">
        <x:v>1414</x:v>
      </x:c>
      <x:c r="B128" s="7" t="s">
        <x:v>1137</x:v>
      </x:c>
      <x:c r="C128" s="7" t="s">
        <x:v>1413</x:v>
      </x:c>
      <x:c r="D128" s="7" t="s">
        <x:v>6817</x:v>
      </x:c>
      <x:c r="E128" s="13" t="s">
        <x:v>53</x:v>
      </x:c>
      <x:c r="F128" s="13" t="n">
        <x:v>46275.5</x:v>
      </x:c>
      <x:c r="G128" s="7" t="s">
        <x:v>6498</x:v>
      </x:c>
      <x:c r="H128" s="7" t="s">
        <x:v>6818</x:v>
      </x:c>
      <x:c r="I128" s="7" t="s">
        <x:v>6463</x:v>
      </x:c>
      <x:c r="J128" s="7" t="s">
        <x:v>1082</x:v>
      </x:c>
      <x:c r="K128" s="7" t="s">
        <x:v>6459</x:v>
      </x:c>
      <x:c r="L128" s="7" t="s">
        <x:v>6819</x:v>
      </x:c>
    </x:row>
    <x:row r="129" ht="51.75" hidden="0" customHeight="1">
      <x:c r="A129" s="7" t="s">
        <x:v>1418</x:v>
      </x:c>
      <x:c r="B129" s="7" t="s">
        <x:v>1151</x:v>
      </x:c>
      <x:c r="C129" s="7" t="s">
        <x:v>1417</x:v>
      </x:c>
      <x:c r="D129" s="7" t="s">
        <x:v>53</x:v>
      </x:c>
      <x:c r="E129" s="13" t="s">
        <x:v>53</x:v>
      </x:c>
      <x:c r="F129" s="13" t="n">
        <x:v>46275.5</x:v>
      </x:c>
      <x:c r="G129" s="7" t="s">
        <x:v>6498</x:v>
      </x:c>
      <x:c r="H129" s="7" t="s">
        <x:v>6820</x:v>
      </x:c>
      <x:c r="I129" s="7" t="s">
        <x:v>6463</x:v>
      </x:c>
      <x:c r="J129" s="7" t="s">
        <x:v>1416</x:v>
      </x:c>
      <x:c r="K129" s="7" t="s">
        <x:v>6459</x:v>
      </x:c>
      <x:c r="L129" s="7" t="s">
        <x:v>6821</x:v>
      </x:c>
    </x:row>
    <x:row r="130" ht="51.75" hidden="0" customHeight="1">
      <x:c r="A130" s="7" t="s">
        <x:v>1420</x:v>
      </x:c>
      <x:c r="B130" s="7" t="s">
        <x:v>1137</x:v>
      </x:c>
      <x:c r="C130" s="7" t="s">
        <x:v>1419</x:v>
      </x:c>
      <x:c r="D130" s="7" t="s">
        <x:v>6497</x:v>
      </x:c>
      <x:c r="E130" s="13" t="s">
        <x:v>53</x:v>
      </x:c>
      <x:c r="F130" s="13" t="n">
        <x:v>46275.5</x:v>
      </x:c>
      <x:c r="G130" s="7" t="s">
        <x:v>6498</x:v>
      </x:c>
      <x:c r="H130" s="7" t="s">
        <x:v>6822</x:v>
      </x:c>
      <x:c r="I130" s="7" t="s">
        <x:v>6463</x:v>
      </x:c>
      <x:c r="J130" s="7" t="s">
        <x:v>1095</x:v>
      </x:c>
      <x:c r="K130" s="7" t="s">
        <x:v>6459</x:v>
      </x:c>
      <x:c r="L130" s="7" t="s">
        <x:v>6823</x:v>
      </x:c>
    </x:row>
    <x:row r="131" ht="51.75" hidden="0" customHeight="1">
      <x:c r="A131" s="7" t="s">
        <x:v>1423</x:v>
      </x:c>
      <x:c r="B131" s="7" t="s">
        <x:v>1137</x:v>
      </x:c>
      <x:c r="C131" s="7" t="s">
        <x:v>1422</x:v>
      </x:c>
      <x:c r="D131" s="7" t="s">
        <x:v>6662</x:v>
      </x:c>
      <x:c r="E131" s="13" t="s">
        <x:v>53</x:v>
      </x:c>
      <x:c r="F131" s="13" t="n">
        <x:v>46275.5</x:v>
      </x:c>
      <x:c r="G131" s="7" t="s">
        <x:v>6498</x:v>
      </x:c>
      <x:c r="H131" s="7" t="s">
        <x:v>6824</x:v>
      </x:c>
      <x:c r="I131" s="7" t="s">
        <x:v>6463</x:v>
      </x:c>
      <x:c r="J131" s="7" t="s">
        <x:v>1106</x:v>
      </x:c>
      <x:c r="K131" s="7" t="s">
        <x:v>6459</x:v>
      </x:c>
      <x:c r="L131" s="7" t="s">
        <x:v>6825</x:v>
      </x:c>
    </x:row>
    <x:row r="132" ht="51.75" hidden="0" customHeight="1">
      <x:c r="A132" s="7" t="s">
        <x:v>1426</x:v>
      </x:c>
      <x:c r="B132" s="7" t="s">
        <x:v>1137</x:v>
      </x:c>
      <x:c r="C132" s="7" t="s">
        <x:v>1425</x:v>
      </x:c>
      <x:c r="D132" s="7" t="s">
        <x:v>6497</x:v>
      </x:c>
      <x:c r="E132" s="13" t="s">
        <x:v>53</x:v>
      </x:c>
      <x:c r="F132" s="13" t="n">
        <x:v>46275.5</x:v>
      </x:c>
      <x:c r="G132" s="7" t="s">
        <x:v>6498</x:v>
      </x:c>
      <x:c r="H132" s="7" t="s">
        <x:v>6826</x:v>
      </x:c>
      <x:c r="I132" s="7" t="s">
        <x:v>6463</x:v>
      </x:c>
      <x:c r="J132" s="7" t="s">
        <x:v>1115</x:v>
      </x:c>
      <x:c r="K132" s="7" t="s">
        <x:v>6459</x:v>
      </x:c>
      <x:c r="L132" s="7" t="s">
        <x:v>6827</x:v>
      </x:c>
    </x:row>
    <x:row r="133" ht="51.75" hidden="0" customHeight="1">
      <x:c r="A133" s="7" t="s">
        <x:v>1429</x:v>
      </x:c>
      <x:c r="B133" s="7" t="s">
        <x:v>1151</x:v>
      </x:c>
      <x:c r="C133" s="7" t="s">
        <x:v>1114</x:v>
      </x:c>
      <x:c r="D133" s="7" t="s">
        <x:v>53</x:v>
      </x:c>
      <x:c r="E133" s="13" t="s">
        <x:v>53</x:v>
      </x:c>
      <x:c r="F133" s="13" t="n">
        <x:v>46275.5</x:v>
      </x:c>
      <x:c r="G133" s="7" t="s">
        <x:v>6498</x:v>
      </x:c>
      <x:c r="H133" s="7" t="s">
        <x:v>6828</x:v>
      </x:c>
      <x:c r="I133" s="7" t="s">
        <x:v>6463</x:v>
      </x:c>
      <x:c r="J133" s="7" t="s">
        <x:v>1428</x:v>
      </x:c>
      <x:c r="K133" s="7" t="s">
        <x:v>6459</x:v>
      </x:c>
      <x:c r="L133" s="7" t="s">
        <x:v>6829</x:v>
      </x:c>
    </x:row>
    <x:row r="134" ht="66" hidden="0" customHeight="1">
      <x:c r="A134" s="7" t="s">
        <x:v>1847</x:v>
      </x:c>
      <x:c r="B134" s="7" t="s">
        <x:v>1137</x:v>
      </x:c>
      <x:c r="C134" s="7" t="s">
        <x:v>6830</x:v>
      </x:c>
      <x:c r="D134" s="7" t="s">
        <x:v>53</x:v>
      </x:c>
      <x:c r="E134" s="13" t="s">
        <x:v>53</x:v>
      </x:c>
      <x:c r="F134" s="13" t="n">
        <x:v>46275.5</x:v>
      </x:c>
      <x:c r="G134" s="7" t="s">
        <x:v>6473</x:v>
      </x:c>
      <x:c r="H134" s="7" t="s">
        <x:v>6831</x:v>
      </x:c>
      <x:c r="I134" s="7" t="s">
        <x:v>6463</x:v>
      </x:c>
      <x:c r="J134" s="7" t="s">
        <x:v>48</x:v>
      </x:c>
      <x:c r="K134" s="7" t="s">
        <x:v>6459</x:v>
      </x:c>
      <x:c r="L134" s="7" t="s">
        <x:v>6832</x:v>
      </x:c>
    </x:row>
    <x:row r="135" ht="66" hidden="0" customHeight="1">
      <x:c r="A135" s="7" t="s">
        <x:v>1850</x:v>
      </x:c>
      <x:c r="B135" s="7" t="s">
        <x:v>1137</x:v>
      </x:c>
      <x:c r="C135" s="7" t="s">
        <x:v>6833</x:v>
      </x:c>
      <x:c r="D135" s="7" t="s">
        <x:v>53</x:v>
      </x:c>
      <x:c r="E135" s="13" t="s">
        <x:v>53</x:v>
      </x:c>
      <x:c r="F135" s="13" t="n">
        <x:v>46275.5</x:v>
      </x:c>
      <x:c r="G135" s="7" t="s">
        <x:v>6473</x:v>
      </x:c>
      <x:c r="H135" s="7" t="s">
        <x:v>6834</x:v>
      </x:c>
      <x:c r="I135" s="7" t="s">
        <x:v>6463</x:v>
      </x:c>
      <x:c r="J135" s="7" t="s">
        <x:v>332</x:v>
      </x:c>
      <x:c r="K135" s="7" t="s">
        <x:v>6459</x:v>
      </x:c>
      <x:c r="L135" s="7" t="s">
        <x:v>6835</x:v>
      </x:c>
    </x:row>
    <x:row r="136" ht="66" hidden="0" customHeight="1">
      <x:c r="A136" s="7" t="s">
        <x:v>1854</x:v>
      </x:c>
      <x:c r="B136" s="7" t="s">
        <x:v>1137</x:v>
      </x:c>
      <x:c r="C136" s="7" t="s">
        <x:v>6836</x:v>
      </x:c>
      <x:c r="D136" s="7" t="s">
        <x:v>53</x:v>
      </x:c>
      <x:c r="E136" s="13" t="s">
        <x:v>53</x:v>
      </x:c>
      <x:c r="F136" s="13" t="n">
        <x:v>46275.5</x:v>
      </x:c>
      <x:c r="G136" s="7" t="s">
        <x:v>6473</x:v>
      </x:c>
      <x:c r="H136" s="7" t="s">
        <x:v>6837</x:v>
      </x:c>
      <x:c r="I136" s="7" t="s">
        <x:v>6463</x:v>
      </x:c>
      <x:c r="J136" s="7" t="s">
        <x:v>371</x:v>
      </x:c>
      <x:c r="K136" s="7" t="s">
        <x:v>6459</x:v>
      </x:c>
      <x:c r="L136" s="7" t="s">
        <x:v>6838</x:v>
      </x:c>
    </x:row>
    <x:row r="137" ht="66" hidden="0" customHeight="1">
      <x:c r="A137" s="7" t="s">
        <x:v>1856</x:v>
      </x:c>
      <x:c r="B137" s="7" t="s">
        <x:v>1137</x:v>
      </x:c>
      <x:c r="C137" s="7" t="s">
        <x:v>6839</x:v>
      </x:c>
      <x:c r="D137" s="7" t="s">
        <x:v>53</x:v>
      </x:c>
      <x:c r="E137" s="13" t="s">
        <x:v>53</x:v>
      </x:c>
      <x:c r="F137" s="13" t="n">
        <x:v>46275.5</x:v>
      </x:c>
      <x:c r="G137" s="7" t="s">
        <x:v>6473</x:v>
      </x:c>
      <x:c r="H137" s="7" t="s">
        <x:v>6840</x:v>
      </x:c>
      <x:c r="I137" s="7" t="s">
        <x:v>6463</x:v>
      </x:c>
      <x:c r="J137" s="7" t="s">
        <x:v>382</x:v>
      </x:c>
      <x:c r="K137" s="7" t="s">
        <x:v>6459</x:v>
      </x:c>
      <x:c r="L137" s="7" t="s">
        <x:v>6841</x:v>
      </x:c>
    </x:row>
    <x:row r="138" ht="66" hidden="0" customHeight="1">
      <x:c r="A138" s="7" t="s">
        <x:v>1858</x:v>
      </x:c>
      <x:c r="B138" s="7" t="s">
        <x:v>1137</x:v>
      </x:c>
      <x:c r="C138" s="7" t="s">
        <x:v>6842</x:v>
      </x:c>
      <x:c r="D138" s="7" t="s">
        <x:v>53</x:v>
      </x:c>
      <x:c r="E138" s="13" t="s">
        <x:v>53</x:v>
      </x:c>
      <x:c r="F138" s="13" t="n">
        <x:v>46275.5</x:v>
      </x:c>
      <x:c r="G138" s="7" t="s">
        <x:v>6473</x:v>
      </x:c>
      <x:c r="H138" s="7" t="s">
        <x:v>6843</x:v>
      </x:c>
      <x:c r="I138" s="7" t="s">
        <x:v>6463</x:v>
      </x:c>
      <x:c r="J138" s="7" t="s">
        <x:v>465</x:v>
      </x:c>
      <x:c r="K138" s="7" t="s">
        <x:v>6459</x:v>
      </x:c>
      <x:c r="L138" s="7" t="s">
        <x:v>6844</x:v>
      </x:c>
    </x:row>
    <x:row r="139" ht="66" hidden="0" customHeight="1">
      <x:c r="A139" s="7" t="s">
        <x:v>1863</x:v>
      </x:c>
      <x:c r="B139" s="7" t="s">
        <x:v>1137</x:v>
      </x:c>
      <x:c r="C139" s="7" t="s">
        <x:v>6845</x:v>
      </x:c>
      <x:c r="D139" s="7" t="s">
        <x:v>53</x:v>
      </x:c>
      <x:c r="E139" s="13" t="s">
        <x:v>53</x:v>
      </x:c>
      <x:c r="F139" s="13" t="n">
        <x:v>46275.5</x:v>
      </x:c>
      <x:c r="G139" s="7" t="s">
        <x:v>6473</x:v>
      </x:c>
      <x:c r="H139" s="7" t="s">
        <x:v>6846</x:v>
      </x:c>
      <x:c r="I139" s="7" t="s">
        <x:v>6463</x:v>
      </x:c>
      <x:c r="J139" s="7" t="s">
        <x:v>6664</x:v>
      </x:c>
      <x:c r="K139" s="7" t="s">
        <x:v>6459</x:v>
      </x:c>
      <x:c r="L139" s="7" t="s">
        <x:v>6847</x:v>
      </x:c>
    </x:row>
    <x:row r="140" ht="66" hidden="0" customHeight="1">
      <x:c r="A140" s="7" t="s">
        <x:v>1865</x:v>
      </x:c>
      <x:c r="B140" s="7" t="s">
        <x:v>1137</x:v>
      </x:c>
      <x:c r="C140" s="7" t="s">
        <x:v>6848</x:v>
      </x:c>
      <x:c r="D140" s="7" t="s">
        <x:v>53</x:v>
      </x:c>
      <x:c r="E140" s="13" t="s">
        <x:v>53</x:v>
      </x:c>
      <x:c r="F140" s="13" t="n">
        <x:v>46275.5</x:v>
      </x:c>
      <x:c r="G140" s="7" t="s">
        <x:v>6473</x:v>
      </x:c>
      <x:c r="H140" s="7" t="s">
        <x:v>6849</x:v>
      </x:c>
      <x:c r="I140" s="7" t="s">
        <x:v>6463</x:v>
      </x:c>
      <x:c r="J140" s="7" t="s">
        <x:v>6683</x:v>
      </x:c>
      <x:c r="K140" s="7" t="s">
        <x:v>6459</x:v>
      </x:c>
      <x:c r="L140" s="7" t="s">
        <x:v>6850</x:v>
      </x:c>
    </x:row>
    <x:row r="141" ht="66" hidden="0" customHeight="1">
      <x:c r="A141" s="7" t="s">
        <x:v>1866</x:v>
      </x:c>
      <x:c r="B141" s="7" t="s">
        <x:v>1137</x:v>
      </x:c>
      <x:c r="C141" s="7" t="s">
        <x:v>6851</x:v>
      </x:c>
      <x:c r="D141" s="7" t="s">
        <x:v>53</x:v>
      </x:c>
      <x:c r="E141" s="13" t="s">
        <x:v>53</x:v>
      </x:c>
      <x:c r="F141" s="13" t="n">
        <x:v>46275.5</x:v>
      </x:c>
      <x:c r="G141" s="7" t="s">
        <x:v>6473</x:v>
      </x:c>
      <x:c r="H141" s="7" t="s">
        <x:v>6852</x:v>
      </x:c>
      <x:c r="I141" s="7" t="s">
        <x:v>6463</x:v>
      </x:c>
      <x:c r="J141" s="7" t="s">
        <x:v>641</x:v>
      </x:c>
      <x:c r="K141" s="7" t="s">
        <x:v>6459</x:v>
      </x:c>
      <x:c r="L141" s="7" t="s">
        <x:v>6853</x:v>
      </x:c>
    </x:row>
    <x:row r="142" ht="66" hidden="0" customHeight="1">
      <x:c r="A142" s="7" t="s">
        <x:v>1870</x:v>
      </x:c>
      <x:c r="B142" s="7" t="s">
        <x:v>1137</x:v>
      </x:c>
      <x:c r="C142" s="7" t="s">
        <x:v>6854</x:v>
      </x:c>
      <x:c r="D142" s="7" t="s">
        <x:v>53</x:v>
      </x:c>
      <x:c r="E142" s="13" t="s">
        <x:v>53</x:v>
      </x:c>
      <x:c r="F142" s="13" t="n">
        <x:v>46275.5</x:v>
      </x:c>
      <x:c r="G142" s="7" t="s">
        <x:v>6473</x:v>
      </x:c>
      <x:c r="H142" s="7" t="s">
        <x:v>6855</x:v>
      </x:c>
      <x:c r="I142" s="7" t="s">
        <x:v>6463</x:v>
      </x:c>
      <x:c r="J142" s="7" t="s">
        <x:v>804</x:v>
      </x:c>
      <x:c r="K142" s="7" t="s">
        <x:v>6459</x:v>
      </x:c>
      <x:c r="L142" s="7" t="s">
        <x:v>6856</x:v>
      </x:c>
    </x:row>
    <x:row r="143" ht="66" hidden="0" customHeight="1">
      <x:c r="A143" s="7" t="s">
        <x:v>1872</x:v>
      </x:c>
      <x:c r="B143" s="7" t="s">
        <x:v>1137</x:v>
      </x:c>
      <x:c r="C143" s="7" t="s">
        <x:v>6857</x:v>
      </x:c>
      <x:c r="D143" s="7" t="s">
        <x:v>53</x:v>
      </x:c>
      <x:c r="E143" s="13" t="s">
        <x:v>53</x:v>
      </x:c>
      <x:c r="F143" s="13" t="n">
        <x:v>46275.5</x:v>
      </x:c>
      <x:c r="G143" s="7" t="s">
        <x:v>6473</x:v>
      </x:c>
      <x:c r="H143" s="7" t="s">
        <x:v>6858</x:v>
      </x:c>
      <x:c r="I143" s="7" t="s">
        <x:v>6463</x:v>
      </x:c>
      <x:c r="J143" s="7" t="s">
        <x:v>887</x:v>
      </x:c>
      <x:c r="K143" s="7" t="s">
        <x:v>6459</x:v>
      </x:c>
      <x:c r="L143" s="7" t="s">
        <x:v>6859</x:v>
      </x:c>
    </x:row>
    <x:row r="144" ht="66" hidden="0" customHeight="1">
      <x:c r="A144" s="7" t="s">
        <x:v>1873</x:v>
      </x:c>
      <x:c r="B144" s="7" t="s">
        <x:v>1137</x:v>
      </x:c>
      <x:c r="C144" s="7" t="s">
        <x:v>6860</x:v>
      </x:c>
      <x:c r="D144" s="7" t="s">
        <x:v>53</x:v>
      </x:c>
      <x:c r="E144" s="13" t="s">
        <x:v>53</x:v>
      </x:c>
      <x:c r="F144" s="13" t="n">
        <x:v>46275.5</x:v>
      </x:c>
      <x:c r="G144" s="7" t="s">
        <x:v>6473</x:v>
      </x:c>
      <x:c r="H144" s="7" t="s">
        <x:v>6861</x:v>
      </x:c>
      <x:c r="I144" s="7" t="s">
        <x:v>6463</x:v>
      </x:c>
      <x:c r="J144" s="7" t="s">
        <x:v>912</x:v>
      </x:c>
      <x:c r="K144" s="7" t="s">
        <x:v>6459</x:v>
      </x:c>
      <x:c r="L144" s="7" t="s">
        <x:v>6862</x:v>
      </x:c>
    </x:row>
    <x:row r="145" ht="66" hidden="0" customHeight="1">
      <x:c r="A145" s="7" t="s">
        <x:v>1874</x:v>
      </x:c>
      <x:c r="B145" s="7" t="s">
        <x:v>1137</x:v>
      </x:c>
      <x:c r="C145" s="7" t="s">
        <x:v>6863</x:v>
      </x:c>
      <x:c r="D145" s="7" t="s">
        <x:v>53</x:v>
      </x:c>
      <x:c r="E145" s="13" t="s">
        <x:v>53</x:v>
      </x:c>
      <x:c r="F145" s="13" t="n">
        <x:v>46275.5</x:v>
      </x:c>
      <x:c r="G145" s="7" t="s">
        <x:v>6473</x:v>
      </x:c>
      <x:c r="H145" s="7" t="s">
        <x:v>6864</x:v>
      </x:c>
      <x:c r="I145" s="7" t="s">
        <x:v>6463</x:v>
      </x:c>
      <x:c r="J145" s="7" t="s">
        <x:v>960</x:v>
      </x:c>
      <x:c r="K145" s="7" t="s">
        <x:v>6459</x:v>
      </x:c>
      <x:c r="L145" s="7" t="s">
        <x:v>6865</x:v>
      </x:c>
    </x:row>
    <x:row r="146" ht="66" hidden="0" customHeight="1">
      <x:c r="A146" s="7" t="s">
        <x:v>1876</x:v>
      </x:c>
      <x:c r="B146" s="7" t="s">
        <x:v>1137</x:v>
      </x:c>
      <x:c r="C146" s="7" t="s">
        <x:v>6866</x:v>
      </x:c>
      <x:c r="D146" s="7" t="s">
        <x:v>53</x:v>
      </x:c>
      <x:c r="E146" s="13" t="s">
        <x:v>53</x:v>
      </x:c>
      <x:c r="F146" s="13" t="n">
        <x:v>46275.5</x:v>
      </x:c>
      <x:c r="G146" s="7" t="s">
        <x:v>6473</x:v>
      </x:c>
      <x:c r="H146" s="7" t="s">
        <x:v>6867</x:v>
      </x:c>
      <x:c r="I146" s="7" t="s">
        <x:v>6463</x:v>
      </x:c>
      <x:c r="J146" s="7" t="s">
        <x:v>1023</x:v>
      </x:c>
      <x:c r="K146" s="7" t="s">
        <x:v>6459</x:v>
      </x:c>
      <x:c r="L146" s="7" t="s">
        <x:v>6868</x:v>
      </x:c>
    </x:row>
    <x:row r="147" ht="66" hidden="0" customHeight="1">
      <x:c r="A147" s="7" t="s">
        <x:v>1877</x:v>
      </x:c>
      <x:c r="B147" s="7" t="s">
        <x:v>1137</x:v>
      </x:c>
      <x:c r="C147" s="7" t="s">
        <x:v>6869</x:v>
      </x:c>
      <x:c r="D147" s="7" t="s">
        <x:v>53</x:v>
      </x:c>
      <x:c r="E147" s="13" t="s">
        <x:v>53</x:v>
      </x:c>
      <x:c r="F147" s="13" t="n">
        <x:v>46275.5</x:v>
      </x:c>
      <x:c r="G147" s="7" t="s">
        <x:v>6473</x:v>
      </x:c>
      <x:c r="H147" s="7" t="s">
        <x:v>6870</x:v>
      </x:c>
      <x:c r="I147" s="7" t="s">
        <x:v>6463</x:v>
      </x:c>
      <x:c r="J147" s="7" t="s">
        <x:v>1045</x:v>
      </x:c>
      <x:c r="K147" s="7" t="s">
        <x:v>6459</x:v>
      </x:c>
      <x:c r="L147" s="7" t="s">
        <x:v>6871</x:v>
      </x:c>
    </x:row>
    <x:row r="148" ht="66" hidden="0" customHeight="1">
      <x:c r="A148" s="7" t="s">
        <x:v>1878</x:v>
      </x:c>
      <x:c r="B148" s="7" t="s">
        <x:v>1137</x:v>
      </x:c>
      <x:c r="C148" s="7" t="s">
        <x:v>6872</x:v>
      </x:c>
      <x:c r="D148" s="7" t="s">
        <x:v>53</x:v>
      </x:c>
      <x:c r="E148" s="13" t="s">
        <x:v>53</x:v>
      </x:c>
      <x:c r="F148" s="13" t="n">
        <x:v>46275.5</x:v>
      </x:c>
      <x:c r="G148" s="7" t="s">
        <x:v>6473</x:v>
      </x:c>
      <x:c r="H148" s="7" t="s">
        <x:v>6873</x:v>
      </x:c>
      <x:c r="I148" s="7" t="s">
        <x:v>6463</x:v>
      </x:c>
      <x:c r="J148" s="7" t="s">
        <x:v>1055</x:v>
      </x:c>
      <x:c r="K148" s="7" t="s">
        <x:v>6459</x:v>
      </x:c>
      <x:c r="L148" s="7" t="s">
        <x:v>6874</x:v>
      </x:c>
    </x:row>
    <x:row r="149" ht="66" hidden="0" customHeight="1">
      <x:c r="A149" s="7" t="s">
        <x:v>1879</x:v>
      </x:c>
      <x:c r="B149" s="7" t="s">
        <x:v>1137</x:v>
      </x:c>
      <x:c r="C149" s="7" t="s">
        <x:v>6875</x:v>
      </x:c>
      <x:c r="D149" s="7" t="s">
        <x:v>53</x:v>
      </x:c>
      <x:c r="E149" s="13" t="s">
        <x:v>53</x:v>
      </x:c>
      <x:c r="F149" s="13" t="n">
        <x:v>46275.5</x:v>
      </x:c>
      <x:c r="G149" s="7" t="s">
        <x:v>6473</x:v>
      </x:c>
      <x:c r="H149" s="7" t="s">
        <x:v>6876</x:v>
      </x:c>
      <x:c r="I149" s="7" t="s">
        <x:v>6463</x:v>
      </x:c>
      <x:c r="J149" s="7" t="s">
        <x:v>1070</x:v>
      </x:c>
      <x:c r="K149" s="7" t="s">
        <x:v>6459</x:v>
      </x:c>
      <x:c r="L149" s="7" t="s">
        <x:v>6877</x:v>
      </x:c>
    </x:row>
    <x:row r="150" ht="66" hidden="0" customHeight="1">
      <x:c r="A150" s="7" t="s">
        <x:v>1881</x:v>
      </x:c>
      <x:c r="B150" s="7" t="s">
        <x:v>1137</x:v>
      </x:c>
      <x:c r="C150" s="7" t="s">
        <x:v>6878</x:v>
      </x:c>
      <x:c r="D150" s="7" t="s">
        <x:v>53</x:v>
      </x:c>
      <x:c r="E150" s="13" t="s">
        <x:v>53</x:v>
      </x:c>
      <x:c r="F150" s="13" t="n">
        <x:v>46275.5</x:v>
      </x:c>
      <x:c r="G150" s="7" t="s">
        <x:v>6473</x:v>
      </x:c>
      <x:c r="H150" s="7" t="s">
        <x:v>6879</x:v>
      </x:c>
      <x:c r="I150" s="7" t="s">
        <x:v>6463</x:v>
      </x:c>
      <x:c r="J150" s="7" t="s">
        <x:v>1082</x:v>
      </x:c>
      <x:c r="K150" s="7" t="s">
        <x:v>6459</x:v>
      </x:c>
      <x:c r="L150" s="7" t="s">
        <x:v>6880</x:v>
      </x:c>
    </x:row>
    <x:row r="151" ht="66" hidden="0" customHeight="1">
      <x:c r="A151" s="7" t="s">
        <x:v>1882</x:v>
      </x:c>
      <x:c r="B151" s="7" t="s">
        <x:v>1137</x:v>
      </x:c>
      <x:c r="C151" s="7" t="s">
        <x:v>6881</x:v>
      </x:c>
      <x:c r="D151" s="7" t="s">
        <x:v>53</x:v>
      </x:c>
      <x:c r="E151" s="13" t="s">
        <x:v>53</x:v>
      </x:c>
      <x:c r="F151" s="13" t="n">
        <x:v>46275.5</x:v>
      </x:c>
      <x:c r="G151" s="7" t="s">
        <x:v>6473</x:v>
      </x:c>
      <x:c r="H151" s="7" t="s">
        <x:v>6882</x:v>
      </x:c>
      <x:c r="I151" s="7" t="s">
        <x:v>6463</x:v>
      </x:c>
      <x:c r="J151" s="7" t="s">
        <x:v>1095</x:v>
      </x:c>
      <x:c r="K151" s="7" t="s">
        <x:v>6459</x:v>
      </x:c>
      <x:c r="L151" s="7" t="s">
        <x:v>6883</x:v>
      </x:c>
    </x:row>
    <x:row r="152" ht="66" hidden="0" customHeight="1">
      <x:c r="A152" s="7" t="s">
        <x:v>1883</x:v>
      </x:c>
      <x:c r="B152" s="7" t="s">
        <x:v>1137</x:v>
      </x:c>
      <x:c r="C152" s="7" t="s">
        <x:v>6884</x:v>
      </x:c>
      <x:c r="D152" s="7" t="s">
        <x:v>53</x:v>
      </x:c>
      <x:c r="E152" s="13" t="s">
        <x:v>53</x:v>
      </x:c>
      <x:c r="F152" s="13" t="n">
        <x:v>46275.5</x:v>
      </x:c>
      <x:c r="G152" s="7" t="s">
        <x:v>6473</x:v>
      </x:c>
      <x:c r="H152" s="7" t="s">
        <x:v>6885</x:v>
      </x:c>
      <x:c r="I152" s="7" t="s">
        <x:v>6463</x:v>
      </x:c>
      <x:c r="J152" s="7" t="s">
        <x:v>1106</x:v>
      </x:c>
      <x:c r="K152" s="7" t="s">
        <x:v>6459</x:v>
      </x:c>
      <x:c r="L152" s="7" t="s">
        <x:v>6886</x:v>
      </x:c>
    </x:row>
    <x:row r="153" ht="66" hidden="0" customHeight="1">
      <x:c r="A153" s="7" t="s">
        <x:v>1884</x:v>
      </x:c>
      <x:c r="B153" s="7" t="s">
        <x:v>1137</x:v>
      </x:c>
      <x:c r="C153" s="7" t="s">
        <x:v>6887</x:v>
      </x:c>
      <x:c r="D153" s="7" t="s">
        <x:v>53</x:v>
      </x:c>
      <x:c r="E153" s="13" t="s">
        <x:v>53</x:v>
      </x:c>
      <x:c r="F153" s="13" t="n">
        <x:v>46275.5</x:v>
      </x:c>
      <x:c r="G153" s="7" t="s">
        <x:v>6473</x:v>
      </x:c>
      <x:c r="H153" s="7" t="s">
        <x:v>6888</x:v>
      </x:c>
      <x:c r="I153" s="7" t="s">
        <x:v>6463</x:v>
      </x:c>
      <x:c r="J153" s="7" t="s">
        <x:v>1115</x:v>
      </x:c>
      <x:c r="K153" s="7" t="s">
        <x:v>6459</x:v>
      </x:c>
      <x:c r="L153" s="7" t="s">
        <x:v>6889</x:v>
      </x:c>
    </x:row>
    <x:row r="154" ht="51.75" hidden="0" customHeight="1">
      <x:c r="A154" s="7" t="s">
        <x:v>5894</x:v>
      </x:c>
      <x:c r="B154" s="7" t="s">
        <x:v>1385</x:v>
      </x:c>
      <x:c r="C154" s="7" t="s">
        <x:v>6890</x:v>
      </x:c>
      <x:c r="D154" s="7" t="s">
        <x:v>53</x:v>
      </x:c>
      <x:c r="E154" s="13" t="s">
        <x:v>53</x:v>
      </x:c>
      <x:c r="F154" s="13" t="n">
        <x:v>46275.5</x:v>
      </x:c>
      <x:c r="G154" s="7" t="s">
        <x:v>6473</x:v>
      </x:c>
      <x:c r="H154" s="7" t="s">
        <x:v>6891</x:v>
      </x:c>
      <x:c r="I154" s="7" t="s">
        <x:v>6463</x:v>
      </x:c>
      <x:c r="J154" s="7" t="s">
        <x:v>6458</x:v>
      </x:c>
      <x:c r="K154" s="7" t="s">
        <x:v>6459</x:v>
      </x:c>
      <x:c r="L154" s="7" t="s">
        <x:v>6892</x:v>
      </x:c>
    </x:row>
    <x:row r="155" ht="51.75" hidden="0" customHeight="1">
      <x:c r="A155" s="7" t="s">
        <x:v>5915</x:v>
      </x:c>
      <x:c r="B155" s="7" t="s">
        <x:v>1385</x:v>
      </x:c>
      <x:c r="C155" s="7" t="s">
        <x:v>6893</x:v>
      </x:c>
      <x:c r="D155" s="7" t="s">
        <x:v>53</x:v>
      </x:c>
      <x:c r="E155" s="13" t="s">
        <x:v>53</x:v>
      </x:c>
      <x:c r="F155" s="13" t="n">
        <x:v>46275.5</x:v>
      </x:c>
      <x:c r="G155" s="7" t="s">
        <x:v>6473</x:v>
      </x:c>
      <x:c r="H155" s="7" t="s">
        <x:v>6894</x:v>
      </x:c>
      <x:c r="I155" s="7" t="s">
        <x:v>6463</x:v>
      </x:c>
      <x:c r="J155" s="7" t="s">
        <x:v>6458</x:v>
      </x:c>
      <x:c r="K155" s="7" t="s">
        <x:v>6459</x:v>
      </x:c>
      <x:c r="L155" s="7" t="s">
        <x:v>6895</x:v>
      </x:c>
    </x:row>
    <x:row r="156" ht="51.75" hidden="0" customHeight="1">
      <x:c r="A156" s="7" t="s">
        <x:v>5926</x:v>
      </x:c>
      <x:c r="B156" s="7" t="s">
        <x:v>1385</x:v>
      </x:c>
      <x:c r="C156" s="7" t="s">
        <x:v>6896</x:v>
      </x:c>
      <x:c r="D156" s="7" t="s">
        <x:v>53</x:v>
      </x:c>
      <x:c r="E156" s="13" t="s">
        <x:v>53</x:v>
      </x:c>
      <x:c r="F156" s="13" t="n">
        <x:v>46275.5</x:v>
      </x:c>
      <x:c r="G156" s="7" t="s">
        <x:v>6473</x:v>
      </x:c>
      <x:c r="H156" s="7" t="s">
        <x:v>6897</x:v>
      </x:c>
      <x:c r="I156" s="7" t="s">
        <x:v>6463</x:v>
      </x:c>
      <x:c r="J156" s="7" t="s">
        <x:v>6458</x:v>
      </x:c>
      <x:c r="K156" s="7" t="s">
        <x:v>6459</x:v>
      </x:c>
      <x:c r="L156" s="7" t="s">
        <x:v>6898</x:v>
      </x:c>
    </x:row>
    <x:row r="157" ht="51.75" hidden="0" customHeight="1">
      <x:c r="A157" s="7" t="s">
        <x:v>5937</x:v>
      </x:c>
      <x:c r="B157" s="7" t="s">
        <x:v>1385</x:v>
      </x:c>
      <x:c r="C157" s="7" t="s">
        <x:v>6899</x:v>
      </x:c>
      <x:c r="D157" s="7" t="s">
        <x:v>53</x:v>
      </x:c>
      <x:c r="E157" s="13" t="s">
        <x:v>53</x:v>
      </x:c>
      <x:c r="F157" s="13" t="n">
        <x:v>46275.5</x:v>
      </x:c>
      <x:c r="G157" s="7" t="s">
        <x:v>6473</x:v>
      </x:c>
      <x:c r="H157" s="7" t="s">
        <x:v>6900</x:v>
      </x:c>
      <x:c r="I157" s="7" t="s">
        <x:v>6463</x:v>
      </x:c>
      <x:c r="J157" s="7" t="s">
        <x:v>6458</x:v>
      </x:c>
      <x:c r="K157" s="7" t="s">
        <x:v>6459</x:v>
      </x:c>
      <x:c r="L157" s="7" t="s">
        <x:v>6901</x:v>
      </x:c>
    </x:row>
    <x:row r="158" ht="51.75" hidden="0" customHeight="1">
      <x:c r="A158" s="7" t="s">
        <x:v>5948</x:v>
      </x:c>
      <x:c r="B158" s="7" t="s">
        <x:v>1385</x:v>
      </x:c>
      <x:c r="C158" s="7" t="s">
        <x:v>6902</x:v>
      </x:c>
      <x:c r="D158" s="7" t="s">
        <x:v>53</x:v>
      </x:c>
      <x:c r="E158" s="13" t="s">
        <x:v>53</x:v>
      </x:c>
      <x:c r="F158" s="13" t="n">
        <x:v>46275.5</x:v>
      </x:c>
      <x:c r="G158" s="7" t="s">
        <x:v>6473</x:v>
      </x:c>
      <x:c r="H158" s="7" t="s">
        <x:v>6903</x:v>
      </x:c>
      <x:c r="I158" s="7" t="s">
        <x:v>6463</x:v>
      </x:c>
      <x:c r="J158" s="7" t="s">
        <x:v>6458</x:v>
      </x:c>
      <x:c r="K158" s="7" t="s">
        <x:v>6459</x:v>
      </x:c>
      <x:c r="L158" s="7" t="s">
        <x:v>6904</x:v>
      </x:c>
    </x:row>
    <x:row r="159" ht="51.75" hidden="0" customHeight="1">
      <x:c r="A159" s="7" t="s">
        <x:v>5959</x:v>
      </x:c>
      <x:c r="B159" s="7" t="s">
        <x:v>1385</x:v>
      </x:c>
      <x:c r="C159" s="7" t="s">
        <x:v>6905</x:v>
      </x:c>
      <x:c r="D159" s="7" t="s">
        <x:v>53</x:v>
      </x:c>
      <x:c r="E159" s="13" t="s">
        <x:v>53</x:v>
      </x:c>
      <x:c r="F159" s="13" t="n">
        <x:v>46275.5</x:v>
      </x:c>
      <x:c r="G159" s="7" t="s">
        <x:v>6473</x:v>
      </x:c>
      <x:c r="H159" s="7" t="s">
        <x:v>6906</x:v>
      </x:c>
      <x:c r="I159" s="7" t="s">
        <x:v>6463</x:v>
      </x:c>
      <x:c r="J159" s="7" t="s">
        <x:v>6458</x:v>
      </x:c>
      <x:c r="K159" s="7" t="s">
        <x:v>6459</x:v>
      </x:c>
      <x:c r="L159" s="7" t="s">
        <x:v>6907</x:v>
      </x:c>
    </x:row>
    <x:row r="160" ht="51.75" hidden="0" customHeight="1">
      <x:c r="A160" s="7" t="s">
        <x:v>5969</x:v>
      </x:c>
      <x:c r="B160" s="7" t="s">
        <x:v>1385</x:v>
      </x:c>
      <x:c r="C160" s="7" t="s">
        <x:v>6908</x:v>
      </x:c>
      <x:c r="D160" s="7" t="s">
        <x:v>53</x:v>
      </x:c>
      <x:c r="E160" s="13" t="s">
        <x:v>53</x:v>
      </x:c>
      <x:c r="F160" s="13" t="n">
        <x:v>46275.5</x:v>
      </x:c>
      <x:c r="G160" s="7" t="s">
        <x:v>6473</x:v>
      </x:c>
      <x:c r="H160" s="7" t="s">
        <x:v>6909</x:v>
      </x:c>
      <x:c r="I160" s="7" t="s">
        <x:v>6463</x:v>
      </x:c>
      <x:c r="J160" s="7" t="s">
        <x:v>6458</x:v>
      </x:c>
      <x:c r="K160" s="7" t="s">
        <x:v>6459</x:v>
      </x:c>
      <x:c r="L160" s="7" t="s">
        <x:v>6910</x:v>
      </x:c>
    </x:row>
    <x:row r="161" ht="51.75" hidden="0" customHeight="1">
      <x:c r="A161" s="7" t="s">
        <x:v>5976</x:v>
      </x:c>
      <x:c r="B161" s="7" t="s">
        <x:v>1385</x:v>
      </x:c>
      <x:c r="C161" s="7" t="s">
        <x:v>6911</x:v>
      </x:c>
      <x:c r="D161" s="7" t="s">
        <x:v>53</x:v>
      </x:c>
      <x:c r="E161" s="13" t="s">
        <x:v>53</x:v>
      </x:c>
      <x:c r="F161" s="13" t="n">
        <x:v>46275.5</x:v>
      </x:c>
      <x:c r="G161" s="7" t="s">
        <x:v>6473</x:v>
      </x:c>
      <x:c r="H161" s="7" t="s">
        <x:v>6912</x:v>
      </x:c>
      <x:c r="I161" s="7" t="s">
        <x:v>6463</x:v>
      </x:c>
      <x:c r="J161" s="7" t="s">
        <x:v>6458</x:v>
      </x:c>
      <x:c r="K161" s="7" t="s">
        <x:v>6459</x:v>
      </x:c>
      <x:c r="L161" s="7" t="s">
        <x:v>6913</x:v>
      </x:c>
    </x:row>
    <x:row r="162" ht="51.75" hidden="0" customHeight="1">
      <x:c r="A162" s="7" t="s">
        <x:v>5982</x:v>
      </x:c>
      <x:c r="B162" s="7" t="s">
        <x:v>1385</x:v>
      </x:c>
      <x:c r="C162" s="7" t="s">
        <x:v>6914</x:v>
      </x:c>
      <x:c r="D162" s="7" t="s">
        <x:v>53</x:v>
      </x:c>
      <x:c r="E162" s="13" t="s">
        <x:v>53</x:v>
      </x:c>
      <x:c r="F162" s="13" t="n">
        <x:v>46275.5</x:v>
      </x:c>
      <x:c r="G162" s="7" t="s">
        <x:v>6473</x:v>
      </x:c>
      <x:c r="H162" s="7" t="s">
        <x:v>6915</x:v>
      </x:c>
      <x:c r="I162" s="7" t="s">
        <x:v>6463</x:v>
      </x:c>
      <x:c r="J162" s="7" t="s">
        <x:v>6458</x:v>
      </x:c>
      <x:c r="K162" s="7" t="s">
        <x:v>6459</x:v>
      </x:c>
      <x:c r="L162" s="7" t="s">
        <x:v>6916</x:v>
      </x:c>
    </x:row>
    <x:row r="163" ht="51.75" hidden="0" customHeight="1">
      <x:c r="A163" s="7" t="s">
        <x:v>5992</x:v>
      </x:c>
      <x:c r="B163" s="7" t="s">
        <x:v>1385</x:v>
      </x:c>
      <x:c r="C163" s="7" t="s">
        <x:v>6917</x:v>
      </x:c>
      <x:c r="D163" s="7" t="s">
        <x:v>53</x:v>
      </x:c>
      <x:c r="E163" s="13" t="s">
        <x:v>53</x:v>
      </x:c>
      <x:c r="F163" s="13" t="n">
        <x:v>46275.5</x:v>
      </x:c>
      <x:c r="G163" s="7" t="s">
        <x:v>6473</x:v>
      </x:c>
      <x:c r="H163" s="7" t="s">
        <x:v>6918</x:v>
      </x:c>
      <x:c r="I163" s="7" t="s">
        <x:v>6463</x:v>
      </x:c>
      <x:c r="J163" s="7" t="s">
        <x:v>6458</x:v>
      </x:c>
      <x:c r="K163" s="7" t="s">
        <x:v>6459</x:v>
      </x:c>
      <x:c r="L163" s="7" t="s">
        <x:v>6919</x:v>
      </x:c>
    </x:row>
    <x:row r="164" ht="51.75" hidden="0" customHeight="1">
      <x:c r="A164" s="7" t="s">
        <x:v>6000</x:v>
      </x:c>
      <x:c r="B164" s="7" t="s">
        <x:v>1385</x:v>
      </x:c>
      <x:c r="C164" s="7" t="s">
        <x:v>6920</x:v>
      </x:c>
      <x:c r="D164" s="7" t="s">
        <x:v>53</x:v>
      </x:c>
      <x:c r="E164" s="13" t="s">
        <x:v>53</x:v>
      </x:c>
      <x:c r="F164" s="13" t="n">
        <x:v>46275.5</x:v>
      </x:c>
      <x:c r="G164" s="7" t="s">
        <x:v>6473</x:v>
      </x:c>
      <x:c r="H164" s="7" t="s">
        <x:v>6921</x:v>
      </x:c>
      <x:c r="I164" s="7" t="s">
        <x:v>6463</x:v>
      </x:c>
      <x:c r="J164" s="7" t="s">
        <x:v>6458</x:v>
      </x:c>
      <x:c r="K164" s="7" t="s">
        <x:v>6459</x:v>
      </x:c>
      <x:c r="L164" s="7" t="s">
        <x:v>6922</x:v>
      </x:c>
    </x:row>
    <x:row r="165" ht="51.75" hidden="0" customHeight="1">
      <x:c r="A165" s="7" t="s">
        <x:v>6005</x:v>
      </x:c>
      <x:c r="B165" s="7" t="s">
        <x:v>1385</x:v>
      </x:c>
      <x:c r="C165" s="7" t="s">
        <x:v>6923</x:v>
      </x:c>
      <x:c r="D165" s="7" t="s">
        <x:v>53</x:v>
      </x:c>
      <x:c r="E165" s="13" t="s">
        <x:v>53</x:v>
      </x:c>
      <x:c r="F165" s="13" t="n">
        <x:v>46275.5</x:v>
      </x:c>
      <x:c r="G165" s="7" t="s">
        <x:v>6473</x:v>
      </x:c>
      <x:c r="H165" s="7" t="s">
        <x:v>6924</x:v>
      </x:c>
      <x:c r="I165" s="7" t="s">
        <x:v>6463</x:v>
      </x:c>
      <x:c r="J165" s="7" t="s">
        <x:v>6458</x:v>
      </x:c>
      <x:c r="K165" s="7" t="s">
        <x:v>6459</x:v>
      </x:c>
      <x:c r="L165" s="7" t="s">
        <x:v>6925</x:v>
      </x:c>
    </x:row>
    <x:row r="166" ht="51.75" hidden="0" customHeight="1">
      <x:c r="A166" s="7" t="s">
        <x:v>6010</x:v>
      </x:c>
      <x:c r="B166" s="7" t="s">
        <x:v>1385</x:v>
      </x:c>
      <x:c r="C166" s="7" t="s">
        <x:v>6926</x:v>
      </x:c>
      <x:c r="D166" s="7" t="s">
        <x:v>53</x:v>
      </x:c>
      <x:c r="E166" s="13" t="s">
        <x:v>53</x:v>
      </x:c>
      <x:c r="F166" s="13" t="n">
        <x:v>46275.5</x:v>
      </x:c>
      <x:c r="G166" s="7" t="s">
        <x:v>6473</x:v>
      </x:c>
      <x:c r="H166" s="7" t="s">
        <x:v>6927</x:v>
      </x:c>
      <x:c r="I166" s="7" t="s">
        <x:v>6463</x:v>
      </x:c>
      <x:c r="J166" s="7" t="s">
        <x:v>6458</x:v>
      </x:c>
      <x:c r="K166" s="7" t="s">
        <x:v>6459</x:v>
      </x:c>
      <x:c r="L166" s="7" t="s">
        <x:v>6928</x:v>
      </x:c>
    </x:row>
    <x:row r="167" ht="51.75" hidden="0" customHeight="1">
      <x:c r="A167" s="7" t="s">
        <x:v>6029</x:v>
      </x:c>
      <x:c r="B167" s="7" t="s">
        <x:v>6929</x:v>
      </x:c>
      <x:c r="C167" s="7" t="s">
        <x:v>6930</x:v>
      </x:c>
      <x:c r="D167" s="7" t="s">
        <x:v>58</x:v>
      </x:c>
      <x:c r="E167" s="13" t="n">
        <x:v>43564.5</x:v>
      </x:c>
      <x:c r="F167" s="13" t="n">
        <x:v>46275.5</x:v>
      </x:c>
      <x:c r="G167" s="7" t="s">
        <x:v>6931</x:v>
      </x:c>
      <x:c r="H167" s="7" t="s">
        <x:v>6932</x:v>
      </x:c>
      <x:c r="I167" s="7" t="s">
        <x:v>6933</x:v>
      </x:c>
      <x:c r="J167" s="7" t="s">
        <x:v>6458</x:v>
      </x:c>
      <x:c r="K167" s="7" t="s">
        <x:v>6934</x:v>
      </x:c>
      <x:c r="L167" s="7" t="s">
        <x:v>58</x:v>
      </x:c>
    </x:row>
    <x:row r="168" ht="66" hidden="0" customHeight="1">
      <x:c r="A168" s="7" t="s">
        <x:v>1437</x:v>
      </x:c>
      <x:c r="B168" s="7" t="s">
        <x:v>6935</x:v>
      </x:c>
      <x:c r="C168" s="7" t="s">
        <x:v>6936</x:v>
      </x:c>
      <x:c r="D168" s="7" t="s">
        <x:v>53</x:v>
      </x:c>
      <x:c r="E168" s="13" t="s">
        <x:v>6454</x:v>
      </x:c>
      <x:c r="F168" s="13" t="n">
        <x:v>46275.5</x:v>
      </x:c>
      <x:c r="G168" s="7" t="s">
        <x:v>6937</x:v>
      </x:c>
      <x:c r="H168" s="7" t="s">
        <x:v>6938</x:v>
      </x:c>
      <x:c r="I168" s="7" t="s">
        <x:v>6463</x:v>
      </x:c>
      <x:c r="J168" s="7" t="s">
        <x:v>6939</x:v>
      </x:c>
      <x:c r="K168" s="7" t="s">
        <x:v>6459</x:v>
      </x:c>
      <x:c r="L168" s="7" t="s">
        <x:v>6940</x:v>
      </x:c>
    </x:row>
    <x:row r="169" ht="66" hidden="0" customHeight="1">
      <x:c r="A169" s="7" t="s">
        <x:v>6060</x:v>
      </x:c>
      <x:c r="B169" s="7" t="s">
        <x:v>6941</x:v>
      </x:c>
      <x:c r="C169" s="7" t="s">
        <x:v>6942</x:v>
      </x:c>
      <x:c r="D169" s="7" t="s">
        <x:v>53</x:v>
      </x:c>
      <x:c r="E169" s="13" t="s">
        <x:v>53</x:v>
      </x:c>
      <x:c r="F169" s="13" t="n">
        <x:v>46275.5</x:v>
      </x:c>
      <x:c r="G169" s="7" t="s">
        <x:v>6937</x:v>
      </x:c>
      <x:c r="H169" s="7" t="s">
        <x:v>6943</x:v>
      </x:c>
      <x:c r="I169" s="7" t="s">
        <x:v>6463</x:v>
      </x:c>
      <x:c r="J169" s="7" t="s">
        <x:v>6458</x:v>
      </x:c>
      <x:c r="K169" s="7" t="s">
        <x:v>6459</x:v>
      </x:c>
      <x:c r="L169" s="7" t="s">
        <x:v>6944</x:v>
      </x:c>
    </x:row>
    <x:row r="170" ht="51.75" hidden="0" customHeight="1">
      <x:c r="A170" s="7" t="s">
        <x:v>6107</x:v>
      </x:c>
      <x:c r="B170" s="7" t="s">
        <x:v>1153</x:v>
      </x:c>
      <x:c r="C170" s="7" t="s">
        <x:v>6945</x:v>
      </x:c>
      <x:c r="D170" s="7" t="s">
        <x:v>53</x:v>
      </x:c>
      <x:c r="E170" s="13" t="s">
        <x:v>53</x:v>
      </x:c>
      <x:c r="F170" s="13" t="n">
        <x:v>46275.5</x:v>
      </x:c>
      <x:c r="G170" s="7" t="s">
        <x:v>6473</x:v>
      </x:c>
      <x:c r="H170" s="7" t="s">
        <x:v>6946</x:v>
      </x:c>
      <x:c r="I170" s="7" t="s">
        <x:v>6463</x:v>
      </x:c>
      <x:c r="J170" s="7" t="s">
        <x:v>6458</x:v>
      </x:c>
      <x:c r="K170" s="7" t="s">
        <x:v>6459</x:v>
      </x:c>
      <x:c r="L170" s="7" t="s">
        <x:v>6947</x:v>
      </x:c>
    </x:row>
    <x:row r="171" ht="51.75" hidden="0" customHeight="1">
      <x:c r="A171" s="7" t="s">
        <x:v>6118</x:v>
      </x:c>
      <x:c r="B171" s="7" t="s">
        <x:v>1153</x:v>
      </x:c>
      <x:c r="C171" s="7" t="s">
        <x:v>6948</x:v>
      </x:c>
      <x:c r="D171" s="7" t="s">
        <x:v>53</x:v>
      </x:c>
      <x:c r="E171" s="13" t="s">
        <x:v>53</x:v>
      </x:c>
      <x:c r="F171" s="13" t="n">
        <x:v>46275.5</x:v>
      </x:c>
      <x:c r="G171" s="7" t="s">
        <x:v>6473</x:v>
      </x:c>
      <x:c r="H171" s="7" t="s">
        <x:v>6949</x:v>
      </x:c>
      <x:c r="I171" s="7" t="s">
        <x:v>6463</x:v>
      </x:c>
      <x:c r="J171" s="7" t="s">
        <x:v>6458</x:v>
      </x:c>
      <x:c r="K171" s="7" t="s">
        <x:v>6459</x:v>
      </x:c>
      <x:c r="L171" s="7" t="s">
        <x:v>6950</x:v>
      </x:c>
    </x:row>
    <x:row r="172" ht="51.75" hidden="0" customHeight="1">
      <x:c r="A172" s="7" t="s">
        <x:v>6130</x:v>
      </x:c>
      <x:c r="B172" s="7" t="s">
        <x:v>1153</x:v>
      </x:c>
      <x:c r="C172" s="7" t="s">
        <x:v>6951</x:v>
      </x:c>
      <x:c r="D172" s="7" t="s">
        <x:v>53</x:v>
      </x:c>
      <x:c r="E172" s="13" t="s">
        <x:v>53</x:v>
      </x:c>
      <x:c r="F172" s="13" t="n">
        <x:v>46275.5</x:v>
      </x:c>
      <x:c r="G172" s="7" t="s">
        <x:v>6473</x:v>
      </x:c>
      <x:c r="H172" s="7" t="s">
        <x:v>6952</x:v>
      </x:c>
      <x:c r="I172" s="7" t="s">
        <x:v>6463</x:v>
      </x:c>
      <x:c r="J172" s="7" t="s">
        <x:v>6458</x:v>
      </x:c>
      <x:c r="K172" s="7" t="s">
        <x:v>6459</x:v>
      </x:c>
      <x:c r="L172" s="7" t="s">
        <x:v>6953</x:v>
      </x:c>
    </x:row>
    <x:row r="173" ht="51.75" hidden="0" customHeight="1">
      <x:c r="A173" s="7" t="s">
        <x:v>6134</x:v>
      </x:c>
      <x:c r="B173" s="7" t="s">
        <x:v>1153</x:v>
      </x:c>
      <x:c r="C173" s="7" t="s">
        <x:v>6954</x:v>
      </x:c>
      <x:c r="D173" s="7" t="s">
        <x:v>53</x:v>
      </x:c>
      <x:c r="E173" s="13" t="s">
        <x:v>53</x:v>
      </x:c>
      <x:c r="F173" s="13" t="n">
        <x:v>46275.5</x:v>
      </x:c>
      <x:c r="G173" s="7" t="s">
        <x:v>6473</x:v>
      </x:c>
      <x:c r="H173" s="7" t="s">
        <x:v>6955</x:v>
      </x:c>
      <x:c r="I173" s="7" t="s">
        <x:v>6463</x:v>
      </x:c>
      <x:c r="J173" s="7" t="s">
        <x:v>6458</x:v>
      </x:c>
      <x:c r="K173" s="7" t="s">
        <x:v>6459</x:v>
      </x:c>
      <x:c r="L173" s="7" t="s">
        <x:v>6956</x:v>
      </x:c>
    </x:row>
    <x:row r="174" ht="51.75" hidden="0" customHeight="1">
      <x:c r="A174" s="7" t="s">
        <x:v>6139</x:v>
      </x:c>
      <x:c r="B174" s="7" t="s">
        <x:v>1153</x:v>
      </x:c>
      <x:c r="C174" s="7" t="s">
        <x:v>6957</x:v>
      </x:c>
      <x:c r="D174" s="7" t="s">
        <x:v>53</x:v>
      </x:c>
      <x:c r="E174" s="13" t="s">
        <x:v>53</x:v>
      </x:c>
      <x:c r="F174" s="13" t="n">
        <x:v>46275.5</x:v>
      </x:c>
      <x:c r="G174" s="7" t="s">
        <x:v>6473</x:v>
      </x:c>
      <x:c r="H174" s="7" t="s">
        <x:v>6958</x:v>
      </x:c>
      <x:c r="I174" s="7" t="s">
        <x:v>6463</x:v>
      </x:c>
      <x:c r="J174" s="7" t="s">
        <x:v>6458</x:v>
      </x:c>
      <x:c r="K174" s="7" t="s">
        <x:v>6459</x:v>
      </x:c>
      <x:c r="L174" s="7" t="s">
        <x:v>6959</x:v>
      </x:c>
    </x:row>
    <x:row r="175" ht="51.75" hidden="0" customHeight="1">
      <x:c r="A175" s="7" t="s">
        <x:v>6143</x:v>
      </x:c>
      <x:c r="B175" s="7" t="s">
        <x:v>1153</x:v>
      </x:c>
      <x:c r="C175" s="7" t="s">
        <x:v>6960</x:v>
      </x:c>
      <x:c r="D175" s="7" t="s">
        <x:v>53</x:v>
      </x:c>
      <x:c r="E175" s="13" t="s">
        <x:v>53</x:v>
      </x:c>
      <x:c r="F175" s="13" t="n">
        <x:v>46275.5</x:v>
      </x:c>
      <x:c r="G175" s="7" t="s">
        <x:v>6473</x:v>
      </x:c>
      <x:c r="H175" s="7" t="s">
        <x:v>6961</x:v>
      </x:c>
      <x:c r="I175" s="7" t="s">
        <x:v>6463</x:v>
      </x:c>
      <x:c r="J175" s="7" t="s">
        <x:v>6458</x:v>
      </x:c>
      <x:c r="K175" s="7" t="s">
        <x:v>6459</x:v>
      </x:c>
      <x:c r="L175" s="7" t="s">
        <x:v>6962</x:v>
      </x:c>
    </x:row>
    <x:row r="176" ht="51.75" hidden="0" customHeight="1">
      <x:c r="A176" s="7" t="s">
        <x:v>6150</x:v>
      </x:c>
      <x:c r="B176" s="7" t="s">
        <x:v>1153</x:v>
      </x:c>
      <x:c r="C176" s="7" t="s">
        <x:v>6963</x:v>
      </x:c>
      <x:c r="D176" s="7" t="s">
        <x:v>53</x:v>
      </x:c>
      <x:c r="E176" s="13" t="s">
        <x:v>53</x:v>
      </x:c>
      <x:c r="F176" s="13" t="n">
        <x:v>46275.5</x:v>
      </x:c>
      <x:c r="G176" s="7" t="s">
        <x:v>6473</x:v>
      </x:c>
      <x:c r="H176" s="7" t="s">
        <x:v>6964</x:v>
      </x:c>
      <x:c r="I176" s="7" t="s">
        <x:v>6463</x:v>
      </x:c>
      <x:c r="J176" s="7" t="s">
        <x:v>6458</x:v>
      </x:c>
      <x:c r="K176" s="7" t="s">
        <x:v>6459</x:v>
      </x:c>
      <x:c r="L176" s="7" t="s">
        <x:v>6965</x:v>
      </x:c>
    </x:row>
    <x:row r="177" ht="51.75" hidden="0" customHeight="1">
      <x:c r="A177" s="7" t="s">
        <x:v>6153</x:v>
      </x:c>
      <x:c r="B177" s="7" t="s">
        <x:v>1153</x:v>
      </x:c>
      <x:c r="C177" s="7" t="s">
        <x:v>6966</x:v>
      </x:c>
      <x:c r="D177" s="7" t="s">
        <x:v>53</x:v>
      </x:c>
      <x:c r="E177" s="13" t="s">
        <x:v>53</x:v>
      </x:c>
      <x:c r="F177" s="13" t="n">
        <x:v>46275.5</x:v>
      </x:c>
      <x:c r="G177" s="7" t="s">
        <x:v>6473</x:v>
      </x:c>
      <x:c r="H177" s="7" t="s">
        <x:v>6967</x:v>
      </x:c>
      <x:c r="I177" s="7" t="s">
        <x:v>6463</x:v>
      </x:c>
      <x:c r="J177" s="7" t="s">
        <x:v>6458</x:v>
      </x:c>
      <x:c r="K177" s="7" t="s">
        <x:v>6459</x:v>
      </x:c>
      <x:c r="L177" s="7" t="s">
        <x:v>6968</x:v>
      </x:c>
    </x:row>
    <x:row r="178" ht="51.75" hidden="0" customHeight="1">
      <x:c r="A178" s="7" t="s">
        <x:v>6159</x:v>
      </x:c>
      <x:c r="B178" s="7" t="s">
        <x:v>1153</x:v>
      </x:c>
      <x:c r="C178" s="7" t="s">
        <x:v>6969</x:v>
      </x:c>
      <x:c r="D178" s="7" t="s">
        <x:v>53</x:v>
      </x:c>
      <x:c r="E178" s="13" t="s">
        <x:v>53</x:v>
      </x:c>
      <x:c r="F178" s="13" t="n">
        <x:v>46275.5</x:v>
      </x:c>
      <x:c r="G178" s="7" t="s">
        <x:v>6473</x:v>
      </x:c>
      <x:c r="H178" s="7" t="s">
        <x:v>6970</x:v>
      </x:c>
      <x:c r="I178" s="7" t="s">
        <x:v>6463</x:v>
      </x:c>
      <x:c r="J178" s="7" t="s">
        <x:v>6458</x:v>
      </x:c>
      <x:c r="K178" s="7" t="s">
        <x:v>6459</x:v>
      </x:c>
      <x:c r="L178" s="7" t="s">
        <x:v>6971</x:v>
      </x:c>
    </x:row>
    <x:row r="179" ht="51.75" hidden="0" customHeight="1">
      <x:c r="A179" s="7" t="s">
        <x:v>6162</x:v>
      </x:c>
      <x:c r="B179" s="7" t="s">
        <x:v>1153</x:v>
      </x:c>
      <x:c r="C179" s="7" t="s">
        <x:v>6972</x:v>
      </x:c>
      <x:c r="D179" s="7" t="s">
        <x:v>53</x:v>
      </x:c>
      <x:c r="E179" s="13" t="s">
        <x:v>53</x:v>
      </x:c>
      <x:c r="F179" s="13" t="n">
        <x:v>46275.5</x:v>
      </x:c>
      <x:c r="G179" s="7" t="s">
        <x:v>6473</x:v>
      </x:c>
      <x:c r="H179" s="7" t="s">
        <x:v>6973</x:v>
      </x:c>
      <x:c r="I179" s="7" t="s">
        <x:v>6463</x:v>
      </x:c>
      <x:c r="J179" s="7" t="s">
        <x:v>6458</x:v>
      </x:c>
      <x:c r="K179" s="7" t="s">
        <x:v>6459</x:v>
      </x:c>
      <x:c r="L179" s="7" t="s">
        <x:v>6974</x:v>
      </x:c>
    </x:row>
    <x:row r="180" ht="51.75" hidden="0" customHeight="1">
      <x:c r="A180" s="7" t="s">
        <x:v>6168</x:v>
      </x:c>
      <x:c r="B180" s="7" t="s">
        <x:v>1153</x:v>
      </x:c>
      <x:c r="C180" s="7" t="s">
        <x:v>6975</x:v>
      </x:c>
      <x:c r="D180" s="7" t="s">
        <x:v>53</x:v>
      </x:c>
      <x:c r="E180" s="13" t="s">
        <x:v>53</x:v>
      </x:c>
      <x:c r="F180" s="13" t="n">
        <x:v>46275.5</x:v>
      </x:c>
      <x:c r="G180" s="7" t="s">
        <x:v>6473</x:v>
      </x:c>
      <x:c r="H180" s="7" t="s">
        <x:v>6976</x:v>
      </x:c>
      <x:c r="I180" s="7" t="s">
        <x:v>6463</x:v>
      </x:c>
      <x:c r="J180" s="7" t="s">
        <x:v>6458</x:v>
      </x:c>
      <x:c r="K180" s="7" t="s">
        <x:v>6459</x:v>
      </x:c>
      <x:c r="L180" s="7" t="s">
        <x:v>6977</x:v>
      </x:c>
    </x:row>
    <x:row r="181" ht="51.75" hidden="0" customHeight="1">
      <x:c r="A181" s="7" t="s">
        <x:v>6172</x:v>
      </x:c>
      <x:c r="B181" s="7" t="s">
        <x:v>1153</x:v>
      </x:c>
      <x:c r="C181" s="7" t="s">
        <x:v>6978</x:v>
      </x:c>
      <x:c r="D181" s="7" t="s">
        <x:v>53</x:v>
      </x:c>
      <x:c r="E181" s="13" t="s">
        <x:v>53</x:v>
      </x:c>
      <x:c r="F181" s="13" t="n">
        <x:v>46275.5</x:v>
      </x:c>
      <x:c r="G181" s="7" t="s">
        <x:v>6473</x:v>
      </x:c>
      <x:c r="H181" s="7" t="s">
        <x:v>6979</x:v>
      </x:c>
      <x:c r="I181" s="7" t="s">
        <x:v>6463</x:v>
      </x:c>
      <x:c r="J181" s="7" t="s">
        <x:v>6458</x:v>
      </x:c>
      <x:c r="K181" s="7" t="s">
        <x:v>6459</x:v>
      </x:c>
      <x:c r="L181" s="7" t="s">
        <x:v>6980</x:v>
      </x:c>
    </x:row>
    <x:row r="182" ht="51.75" hidden="0" customHeight="1">
      <x:c r="A182" s="7" t="s">
        <x:v>6175</x:v>
      </x:c>
      <x:c r="B182" s="7" t="s">
        <x:v>1153</x:v>
      </x:c>
      <x:c r="C182" s="7" t="s">
        <x:v>6981</x:v>
      </x:c>
      <x:c r="D182" s="7" t="s">
        <x:v>53</x:v>
      </x:c>
      <x:c r="E182" s="13" t="s">
        <x:v>53</x:v>
      </x:c>
      <x:c r="F182" s="13" t="n">
        <x:v>46275.5</x:v>
      </x:c>
      <x:c r="G182" s="7" t="s">
        <x:v>6473</x:v>
      </x:c>
      <x:c r="H182" s="7" t="s">
        <x:v>6982</x:v>
      </x:c>
      <x:c r="I182" s="7" t="s">
        <x:v>6463</x:v>
      </x:c>
      <x:c r="J182" s="7" t="s">
        <x:v>6458</x:v>
      </x:c>
      <x:c r="K182" s="7" t="s">
        <x:v>6459</x:v>
      </x:c>
      <x:c r="L182" s="7" t="s">
        <x:v>6983</x:v>
      </x:c>
    </x:row>
    <x:row r="183" ht="51.75" hidden="0" customHeight="1">
      <x:c r="A183" s="7" t="s">
        <x:v>6178</x:v>
      </x:c>
      <x:c r="B183" s="7" t="s">
        <x:v>1153</x:v>
      </x:c>
      <x:c r="C183" s="7" t="s">
        <x:v>6984</x:v>
      </x:c>
      <x:c r="D183" s="7" t="s">
        <x:v>53</x:v>
      </x:c>
      <x:c r="E183" s="13" t="s">
        <x:v>53</x:v>
      </x:c>
      <x:c r="F183" s="13" t="n">
        <x:v>46275.5</x:v>
      </x:c>
      <x:c r="G183" s="7" t="s">
        <x:v>6473</x:v>
      </x:c>
      <x:c r="H183" s="7" t="s">
        <x:v>6985</x:v>
      </x:c>
      <x:c r="I183" s="7" t="s">
        <x:v>6463</x:v>
      </x:c>
      <x:c r="J183" s="7" t="s">
        <x:v>6458</x:v>
      </x:c>
      <x:c r="K183" s="7" t="s">
        <x:v>6459</x:v>
      </x:c>
      <x:c r="L183" s="7" t="s">
        <x:v>6986</x:v>
      </x:c>
    </x:row>
    <x:row r="184" ht="51.75" hidden="0" customHeight="1">
      <x:c r="A184" s="7" t="s">
        <x:v>6185</x:v>
      </x:c>
      <x:c r="B184" s="7" t="s">
        <x:v>1153</x:v>
      </x:c>
      <x:c r="C184" s="7" t="s">
        <x:v>6987</x:v>
      </x:c>
      <x:c r="D184" s="7" t="s">
        <x:v>53</x:v>
      </x:c>
      <x:c r="E184" s="13" t="s">
        <x:v>53</x:v>
      </x:c>
      <x:c r="F184" s="13" t="n">
        <x:v>46275.5</x:v>
      </x:c>
      <x:c r="G184" s="7" t="s">
        <x:v>6473</x:v>
      </x:c>
      <x:c r="H184" s="7" t="s">
        <x:v>6988</x:v>
      </x:c>
      <x:c r="I184" s="7" t="s">
        <x:v>6463</x:v>
      </x:c>
      <x:c r="J184" s="7" t="s">
        <x:v>6458</x:v>
      </x:c>
      <x:c r="K184" s="7" t="s">
        <x:v>6459</x:v>
      </x:c>
      <x:c r="L184" s="7" t="s">
        <x:v>6989</x:v>
      </x:c>
    </x:row>
    <x:row r="185" ht="51.75" hidden="0" customHeight="1">
      <x:c r="A185" s="7" t="s">
        <x:v>6196</x:v>
      </x:c>
      <x:c r="B185" s="7" t="s">
        <x:v>1153</x:v>
      </x:c>
      <x:c r="C185" s="7" t="s">
        <x:v>6990</x:v>
      </x:c>
      <x:c r="D185" s="7" t="s">
        <x:v>53</x:v>
      </x:c>
      <x:c r="E185" s="13" t="s">
        <x:v>53</x:v>
      </x:c>
      <x:c r="F185" s="13" t="n">
        <x:v>46275.5</x:v>
      </x:c>
      <x:c r="G185" s="7" t="s">
        <x:v>6473</x:v>
      </x:c>
      <x:c r="H185" s="7" t="s">
        <x:v>6991</x:v>
      </x:c>
      <x:c r="I185" s="7" t="s">
        <x:v>6463</x:v>
      </x:c>
      <x:c r="J185" s="7" t="s">
        <x:v>6458</x:v>
      </x:c>
      <x:c r="K185" s="7" t="s">
        <x:v>6459</x:v>
      </x:c>
      <x:c r="L185" s="7" t="s">
        <x:v>6992</x:v>
      </x:c>
    </x:row>
    <x:row r="186" ht="51.75" hidden="0" customHeight="1">
      <x:c r="A186" s="7" t="s">
        <x:v>6203</x:v>
      </x:c>
      <x:c r="B186" s="7" t="s">
        <x:v>1153</x:v>
      </x:c>
      <x:c r="C186" s="7" t="s">
        <x:v>6993</x:v>
      </x:c>
      <x:c r="D186" s="7" t="s">
        <x:v>53</x:v>
      </x:c>
      <x:c r="E186" s="13" t="s">
        <x:v>53</x:v>
      </x:c>
      <x:c r="F186" s="13" t="n">
        <x:v>46275.5</x:v>
      </x:c>
      <x:c r="G186" s="7" t="s">
        <x:v>6473</x:v>
      </x:c>
      <x:c r="H186" s="7" t="s">
        <x:v>6994</x:v>
      </x:c>
      <x:c r="I186" s="7" t="s">
        <x:v>6463</x:v>
      </x:c>
      <x:c r="J186" s="7" t="s">
        <x:v>6458</x:v>
      </x:c>
      <x:c r="K186" s="7" t="s">
        <x:v>6459</x:v>
      </x:c>
      <x:c r="L186" s="7" t="s">
        <x:v>6995</x:v>
      </x:c>
    </x:row>
    <x:row r="187" ht="51.75" hidden="0" customHeight="1">
      <x:c r="A187" s="7" t="s">
        <x:v>6213</x:v>
      </x:c>
      <x:c r="B187" s="7" t="s">
        <x:v>1153</x:v>
      </x:c>
      <x:c r="C187" s="7" t="s">
        <x:v>6996</x:v>
      </x:c>
      <x:c r="D187" s="7" t="s">
        <x:v>53</x:v>
      </x:c>
      <x:c r="E187" s="13" t="s">
        <x:v>53</x:v>
      </x:c>
      <x:c r="F187" s="13" t="n">
        <x:v>46275.5</x:v>
      </x:c>
      <x:c r="G187" s="7" t="s">
        <x:v>6473</x:v>
      </x:c>
      <x:c r="H187" s="7" t="s">
        <x:v>6997</x:v>
      </x:c>
      <x:c r="I187" s="7" t="s">
        <x:v>6463</x:v>
      </x:c>
      <x:c r="J187" s="7" t="s">
        <x:v>6458</x:v>
      </x:c>
      <x:c r="K187" s="7" t="s">
        <x:v>6459</x:v>
      </x:c>
      <x:c r="L187" s="7" t="s">
        <x:v>6998</x:v>
      </x:c>
    </x:row>
    <x:row r="188" ht="51.75" hidden="0" customHeight="1">
      <x:c r="A188" s="7" t="s">
        <x:v>6219</x:v>
      </x:c>
      <x:c r="B188" s="7" t="s">
        <x:v>1153</x:v>
      </x:c>
      <x:c r="C188" s="7" t="s">
        <x:v>6999</x:v>
      </x:c>
      <x:c r="D188" s="7" t="s">
        <x:v>53</x:v>
      </x:c>
      <x:c r="E188" s="13" t="s">
        <x:v>53</x:v>
      </x:c>
      <x:c r="F188" s="13" t="n">
        <x:v>46275.5</x:v>
      </x:c>
      <x:c r="G188" s="7" t="s">
        <x:v>6473</x:v>
      </x:c>
      <x:c r="H188" s="7" t="s">
        <x:v>7000</x:v>
      </x:c>
      <x:c r="I188" s="7" t="s">
        <x:v>6463</x:v>
      </x:c>
      <x:c r="J188" s="7" t="s">
        <x:v>6458</x:v>
      </x:c>
      <x:c r="K188" s="7" t="s">
        <x:v>6459</x:v>
      </x:c>
      <x:c r="L188" s="7" t="s">
        <x:v>7001</x:v>
      </x:c>
    </x:row>
    <x:row r="189" ht="51.75" hidden="0" customHeight="1">
      <x:c r="A189" s="7" t="s">
        <x:v>6228</x:v>
      </x:c>
      <x:c r="B189" s="7" t="s">
        <x:v>1153</x:v>
      </x:c>
      <x:c r="C189" s="7" t="s">
        <x:v>7002</x:v>
      </x:c>
      <x:c r="D189" s="7" t="s">
        <x:v>53</x:v>
      </x:c>
      <x:c r="E189" s="13" t="s">
        <x:v>53</x:v>
      </x:c>
      <x:c r="F189" s="13" t="n">
        <x:v>46275.5</x:v>
      </x:c>
      <x:c r="G189" s="7" t="s">
        <x:v>6473</x:v>
      </x:c>
      <x:c r="H189" s="7" t="s">
        <x:v>7003</x:v>
      </x:c>
      <x:c r="I189" s="7" t="s">
        <x:v>6463</x:v>
      </x:c>
      <x:c r="J189" s="7" t="s">
        <x:v>6458</x:v>
      </x:c>
      <x:c r="K189" s="7" t="s">
        <x:v>6459</x:v>
      </x:c>
      <x:c r="L189" s="7" t="s">
        <x:v>7004</x:v>
      </x:c>
    </x:row>
    <x:row r="190" ht="51.75" hidden="0" customHeight="1">
      <x:c r="A190" s="7" t="s">
        <x:v>6237</x:v>
      </x:c>
      <x:c r="B190" s="7" t="s">
        <x:v>1153</x:v>
      </x:c>
      <x:c r="C190" s="7" t="s">
        <x:v>7005</x:v>
      </x:c>
      <x:c r="D190" s="7" t="s">
        <x:v>53</x:v>
      </x:c>
      <x:c r="E190" s="13" t="s">
        <x:v>53</x:v>
      </x:c>
      <x:c r="F190" s="13" t="n">
        <x:v>46275.5</x:v>
      </x:c>
      <x:c r="G190" s="7" t="s">
        <x:v>6473</x:v>
      </x:c>
      <x:c r="H190" s="7" t="s">
        <x:v>7006</x:v>
      </x:c>
      <x:c r="I190" s="7" t="s">
        <x:v>6463</x:v>
      </x:c>
      <x:c r="J190" s="7" t="s">
        <x:v>6458</x:v>
      </x:c>
      <x:c r="K190" s="7" t="s">
        <x:v>6459</x:v>
      </x:c>
      <x:c r="L190" s="7" t="s">
        <x:v>7007</x:v>
      </x:c>
    </x:row>
    <x:row r="191" ht="51.75" hidden="0" customHeight="1">
      <x:c r="A191" s="7" t="s">
        <x:v>6241</x:v>
      </x:c>
      <x:c r="B191" s="7" t="s">
        <x:v>1153</x:v>
      </x:c>
      <x:c r="C191" s="7" t="s">
        <x:v>7008</x:v>
      </x:c>
      <x:c r="D191" s="7" t="s">
        <x:v>53</x:v>
      </x:c>
      <x:c r="E191" s="13" t="s">
        <x:v>53</x:v>
      </x:c>
      <x:c r="F191" s="13" t="n">
        <x:v>46275.5</x:v>
      </x:c>
      <x:c r="G191" s="7" t="s">
        <x:v>6473</x:v>
      </x:c>
      <x:c r="H191" s="7" t="s">
        <x:v>7009</x:v>
      </x:c>
      <x:c r="I191" s="7" t="s">
        <x:v>6463</x:v>
      </x:c>
      <x:c r="J191" s="7" t="s">
        <x:v>6458</x:v>
      </x:c>
      <x:c r="K191" s="7" t="s">
        <x:v>6459</x:v>
      </x:c>
      <x:c r="L191" s="7" t="s">
        <x:v>7010</x:v>
      </x:c>
    </x:row>
    <x:row r="192" ht="51.75" hidden="0" customHeight="1">
      <x:c r="A192" s="7" t="s">
        <x:v>6247</x:v>
      </x:c>
      <x:c r="B192" s="7" t="s">
        <x:v>1153</x:v>
      </x:c>
      <x:c r="C192" s="7" t="s">
        <x:v>7011</x:v>
      </x:c>
      <x:c r="D192" s="7" t="s">
        <x:v>53</x:v>
      </x:c>
      <x:c r="E192" s="13" t="s">
        <x:v>53</x:v>
      </x:c>
      <x:c r="F192" s="13" t="n">
        <x:v>46275.5</x:v>
      </x:c>
      <x:c r="G192" s="7" t="s">
        <x:v>6473</x:v>
      </x:c>
      <x:c r="H192" s="7" t="s">
        <x:v>7012</x:v>
      </x:c>
      <x:c r="I192" s="7" t="s">
        <x:v>6463</x:v>
      </x:c>
      <x:c r="J192" s="7" t="s">
        <x:v>6458</x:v>
      </x:c>
      <x:c r="K192" s="7" t="s">
        <x:v>6459</x:v>
      </x:c>
      <x:c r="L192" s="7" t="s">
        <x:v>7013</x:v>
      </x:c>
    </x:row>
    <x:row r="193" ht="51.75" hidden="0" customHeight="1">
      <x:c r="A193" s="7" t="s">
        <x:v>6251</x:v>
      </x:c>
      <x:c r="B193" s="7" t="s">
        <x:v>1153</x:v>
      </x:c>
      <x:c r="C193" s="7" t="s">
        <x:v>7014</x:v>
      </x:c>
      <x:c r="D193" s="7" t="s">
        <x:v>53</x:v>
      </x:c>
      <x:c r="E193" s="13" t="s">
        <x:v>53</x:v>
      </x:c>
      <x:c r="F193" s="13" t="n">
        <x:v>46275.5</x:v>
      </x:c>
      <x:c r="G193" s="7" t="s">
        <x:v>6473</x:v>
      </x:c>
      <x:c r="H193" s="7" t="s">
        <x:v>7015</x:v>
      </x:c>
      <x:c r="I193" s="7" t="s">
        <x:v>6463</x:v>
      </x:c>
      <x:c r="J193" s="7" t="s">
        <x:v>6458</x:v>
      </x:c>
      <x:c r="K193" s="7" t="s">
        <x:v>6459</x:v>
      </x:c>
      <x:c r="L193" s="7" t="s">
        <x:v>7016</x:v>
      </x:c>
    </x:row>
    <x:row r="194" ht="51.75" hidden="0" customHeight="1">
      <x:c r="A194" s="7" t="s">
        <x:v>6254</x:v>
      </x:c>
      <x:c r="B194" s="7" t="s">
        <x:v>1153</x:v>
      </x:c>
      <x:c r="C194" s="7" t="s">
        <x:v>7017</x:v>
      </x:c>
      <x:c r="D194" s="7" t="s">
        <x:v>53</x:v>
      </x:c>
      <x:c r="E194" s="13" t="s">
        <x:v>53</x:v>
      </x:c>
      <x:c r="F194" s="13" t="n">
        <x:v>46275.5</x:v>
      </x:c>
      <x:c r="G194" s="7" t="s">
        <x:v>6473</x:v>
      </x:c>
      <x:c r="H194" s="7" t="s">
        <x:v>7018</x:v>
      </x:c>
      <x:c r="I194" s="7" t="s">
        <x:v>6463</x:v>
      </x:c>
      <x:c r="J194" s="7" t="s">
        <x:v>6458</x:v>
      </x:c>
      <x:c r="K194" s="7" t="s">
        <x:v>6459</x:v>
      </x:c>
      <x:c r="L194" s="7" t="s">
        <x:v>7019</x:v>
      </x:c>
    </x:row>
    <x:row r="195" ht="51.75" hidden="0" customHeight="1">
      <x:c r="A195" s="7" t="s">
        <x:v>6260</x:v>
      </x:c>
      <x:c r="B195" s="7" t="s">
        <x:v>1153</x:v>
      </x:c>
      <x:c r="C195" s="7" t="s">
        <x:v>7020</x:v>
      </x:c>
      <x:c r="D195" s="7" t="s">
        <x:v>53</x:v>
      </x:c>
      <x:c r="E195" s="13" t="s">
        <x:v>53</x:v>
      </x:c>
      <x:c r="F195" s="13" t="n">
        <x:v>46275.5</x:v>
      </x:c>
      <x:c r="G195" s="7" t="s">
        <x:v>6473</x:v>
      </x:c>
      <x:c r="H195" s="7" t="s">
        <x:v>7021</x:v>
      </x:c>
      <x:c r="I195" s="7" t="s">
        <x:v>6463</x:v>
      </x:c>
      <x:c r="J195" s="7" t="s">
        <x:v>6458</x:v>
      </x:c>
      <x:c r="K195" s="7" t="s">
        <x:v>6459</x:v>
      </x:c>
      <x:c r="L195" s="7" t="s">
        <x:v>7022</x:v>
      </x:c>
    </x:row>
    <x:row r="196" ht="51.75" hidden="0" customHeight="1">
      <x:c r="A196" s="7" t="s">
        <x:v>6264</x:v>
      </x:c>
      <x:c r="B196" s="7" t="s">
        <x:v>1153</x:v>
      </x:c>
      <x:c r="C196" s="7" t="s">
        <x:v>7023</x:v>
      </x:c>
      <x:c r="D196" s="7" t="s">
        <x:v>53</x:v>
      </x:c>
      <x:c r="E196" s="13" t="s">
        <x:v>53</x:v>
      </x:c>
      <x:c r="F196" s="13" t="n">
        <x:v>46275.5</x:v>
      </x:c>
      <x:c r="G196" s="7" t="s">
        <x:v>6473</x:v>
      </x:c>
      <x:c r="H196" s="7" t="s">
        <x:v>7024</x:v>
      </x:c>
      <x:c r="I196" s="7" t="s">
        <x:v>6463</x:v>
      </x:c>
      <x:c r="J196" s="7" t="s">
        <x:v>6458</x:v>
      </x:c>
      <x:c r="K196" s="7" t="s">
        <x:v>6459</x:v>
      </x:c>
      <x:c r="L196" s="7" t="s">
        <x:v>7025</x:v>
      </x:c>
    </x:row>
    <x:row r="197" ht="51.75" hidden="0" customHeight="1">
      <x:c r="A197" s="7" t="s">
        <x:v>6271</x:v>
      </x:c>
      <x:c r="B197" s="7" t="s">
        <x:v>1153</x:v>
      </x:c>
      <x:c r="C197" s="7" t="s">
        <x:v>7026</x:v>
      </x:c>
      <x:c r="D197" s="7" t="s">
        <x:v>53</x:v>
      </x:c>
      <x:c r="E197" s="13" t="s">
        <x:v>53</x:v>
      </x:c>
      <x:c r="F197" s="13" t="n">
        <x:v>46275.5</x:v>
      </x:c>
      <x:c r="G197" s="7" t="s">
        <x:v>6473</x:v>
      </x:c>
      <x:c r="H197" s="7" t="s">
        <x:v>7027</x:v>
      </x:c>
      <x:c r="I197" s="7" t="s">
        <x:v>6463</x:v>
      </x:c>
      <x:c r="J197" s="7" t="s">
        <x:v>6458</x:v>
      </x:c>
      <x:c r="K197" s="7" t="s">
        <x:v>6459</x:v>
      </x:c>
      <x:c r="L197" s="7" t="s">
        <x:v>7028</x:v>
      </x:c>
    </x:row>
    <x:row r="198" ht="51.75" hidden="0" customHeight="1">
      <x:c r="A198" s="7" t="s">
        <x:v>6275</x:v>
      </x:c>
      <x:c r="B198" s="7" t="s">
        <x:v>1153</x:v>
      </x:c>
      <x:c r="C198" s="7" t="s">
        <x:v>7029</x:v>
      </x:c>
      <x:c r="D198" s="7" t="s">
        <x:v>53</x:v>
      </x:c>
      <x:c r="E198" s="13" t="s">
        <x:v>53</x:v>
      </x:c>
      <x:c r="F198" s="13" t="n">
        <x:v>46275.5</x:v>
      </x:c>
      <x:c r="G198" s="7" t="s">
        <x:v>6473</x:v>
      </x:c>
      <x:c r="H198" s="7" t="s">
        <x:v>7030</x:v>
      </x:c>
      <x:c r="I198" s="7" t="s">
        <x:v>6463</x:v>
      </x:c>
      <x:c r="J198" s="7" t="s">
        <x:v>6458</x:v>
      </x:c>
      <x:c r="K198" s="7" t="s">
        <x:v>6459</x:v>
      </x:c>
      <x:c r="L198" s="7" t="s">
        <x:v>7031</x:v>
      </x:c>
    </x:row>
    <x:row r="199" ht="51.75" hidden="0" customHeight="1">
      <x:c r="A199" s="7" t="s">
        <x:v>6284</x:v>
      </x:c>
      <x:c r="B199" s="7" t="s">
        <x:v>1153</x:v>
      </x:c>
      <x:c r="C199" s="7" t="s">
        <x:v>7032</x:v>
      </x:c>
      <x:c r="D199" s="7" t="s">
        <x:v>53</x:v>
      </x:c>
      <x:c r="E199" s="13" t="s">
        <x:v>53</x:v>
      </x:c>
      <x:c r="F199" s="13" t="n">
        <x:v>46275.5</x:v>
      </x:c>
      <x:c r="G199" s="7" t="s">
        <x:v>6473</x:v>
      </x:c>
      <x:c r="H199" s="7" t="s">
        <x:v>7033</x:v>
      </x:c>
      <x:c r="I199" s="7" t="s">
        <x:v>6463</x:v>
      </x:c>
      <x:c r="J199" s="7" t="s">
        <x:v>6458</x:v>
      </x:c>
      <x:c r="K199" s="7" t="s">
        <x:v>6459</x:v>
      </x:c>
      <x:c r="L199" s="7" t="s">
        <x:v>7034</x:v>
      </x:c>
    </x:row>
    <x:row r="200" ht="51.75" hidden="0" customHeight="1">
      <x:c r="A200" s="7" t="s">
        <x:v>6291</x:v>
      </x:c>
      <x:c r="B200" s="7" t="s">
        <x:v>1153</x:v>
      </x:c>
      <x:c r="C200" s="7" t="s">
        <x:v>7035</x:v>
      </x:c>
      <x:c r="D200" s="7" t="s">
        <x:v>53</x:v>
      </x:c>
      <x:c r="E200" s="13" t="s">
        <x:v>53</x:v>
      </x:c>
      <x:c r="F200" s="13" t="n">
        <x:v>46275.5</x:v>
      </x:c>
      <x:c r="G200" s="7" t="s">
        <x:v>6473</x:v>
      </x:c>
      <x:c r="H200" s="7" t="s">
        <x:v>7036</x:v>
      </x:c>
      <x:c r="I200" s="7" t="s">
        <x:v>6463</x:v>
      </x:c>
      <x:c r="J200" s="7" t="s">
        <x:v>6458</x:v>
      </x:c>
      <x:c r="K200" s="7" t="s">
        <x:v>6459</x:v>
      </x:c>
      <x:c r="L200" s="7" t="s">
        <x:v>7037</x:v>
      </x:c>
    </x:row>
    <x:row r="201" ht="51.75" hidden="0" customHeight="1">
      <x:c r="A201" s="7" t="s">
        <x:v>6297</x:v>
      </x:c>
      <x:c r="B201" s="7" t="s">
        <x:v>1153</x:v>
      </x:c>
      <x:c r="C201" s="7" t="s">
        <x:v>7038</x:v>
      </x:c>
      <x:c r="D201" s="7" t="s">
        <x:v>53</x:v>
      </x:c>
      <x:c r="E201" s="13" t="s">
        <x:v>53</x:v>
      </x:c>
      <x:c r="F201" s="13" t="n">
        <x:v>46275.5</x:v>
      </x:c>
      <x:c r="G201" s="7" t="s">
        <x:v>6473</x:v>
      </x:c>
      <x:c r="H201" s="7" t="s">
        <x:v>7039</x:v>
      </x:c>
      <x:c r="I201" s="7" t="s">
        <x:v>6463</x:v>
      </x:c>
      <x:c r="J201" s="7" t="s">
        <x:v>6458</x:v>
      </x:c>
      <x:c r="K201" s="7" t="s">
        <x:v>6459</x:v>
      </x:c>
      <x:c r="L201" s="7" t="s">
        <x:v>7040</x:v>
      </x:c>
    </x:row>
    <x:row r="202" ht="51.75" hidden="0" customHeight="1">
      <x:c r="A202" s="7" t="s">
        <x:v>6301</x:v>
      </x:c>
      <x:c r="B202" s="7" t="s">
        <x:v>1153</x:v>
      </x:c>
      <x:c r="C202" s="7" t="s">
        <x:v>7041</x:v>
      </x:c>
      <x:c r="D202" s="7" t="s">
        <x:v>53</x:v>
      </x:c>
      <x:c r="E202" s="13" t="s">
        <x:v>53</x:v>
      </x:c>
      <x:c r="F202" s="13" t="n">
        <x:v>46275.5</x:v>
      </x:c>
      <x:c r="G202" s="7" t="s">
        <x:v>6473</x:v>
      </x:c>
      <x:c r="H202" s="7" t="s">
        <x:v>7042</x:v>
      </x:c>
      <x:c r="I202" s="7" t="s">
        <x:v>6463</x:v>
      </x:c>
      <x:c r="J202" s="7" t="s">
        <x:v>6458</x:v>
      </x:c>
      <x:c r="K202" s="7" t="s">
        <x:v>6459</x:v>
      </x:c>
      <x:c r="L202" s="7" t="s">
        <x:v>7043</x:v>
      </x:c>
    </x:row>
    <x:row r="203" ht="51.75" hidden="0" customHeight="1">
      <x:c r="A203" s="7" t="s">
        <x:v>6307</x:v>
      </x:c>
      <x:c r="B203" s="7" t="s">
        <x:v>1153</x:v>
      </x:c>
      <x:c r="C203" s="7" t="s">
        <x:v>7044</x:v>
      </x:c>
      <x:c r="D203" s="7" t="s">
        <x:v>53</x:v>
      </x:c>
      <x:c r="E203" s="13" t="s">
        <x:v>53</x:v>
      </x:c>
      <x:c r="F203" s="13" t="n">
        <x:v>46275.5</x:v>
      </x:c>
      <x:c r="G203" s="7" t="s">
        <x:v>6473</x:v>
      </x:c>
      <x:c r="H203" s="7" t="s">
        <x:v>7045</x:v>
      </x:c>
      <x:c r="I203" s="7" t="s">
        <x:v>6463</x:v>
      </x:c>
      <x:c r="J203" s="7" t="s">
        <x:v>6458</x:v>
      </x:c>
      <x:c r="K203" s="7" t="s">
        <x:v>6459</x:v>
      </x:c>
      <x:c r="L203" s="7" t="s">
        <x:v>7046</x:v>
      </x:c>
    </x:row>
    <x:row r="204" ht="51.75" hidden="0" customHeight="1">
      <x:c r="A204" s="7" t="s">
        <x:v>6311</x:v>
      </x:c>
      <x:c r="B204" s="7" t="s">
        <x:v>1153</x:v>
      </x:c>
      <x:c r="C204" s="7" t="s">
        <x:v>7047</x:v>
      </x:c>
      <x:c r="D204" s="7" t="s">
        <x:v>53</x:v>
      </x:c>
      <x:c r="E204" s="13" t="s">
        <x:v>53</x:v>
      </x:c>
      <x:c r="F204" s="13" t="n">
        <x:v>46275.5</x:v>
      </x:c>
      <x:c r="G204" s="7" t="s">
        <x:v>6473</x:v>
      </x:c>
      <x:c r="H204" s="7" t="s">
        <x:v>7048</x:v>
      </x:c>
      <x:c r="I204" s="7" t="s">
        <x:v>6463</x:v>
      </x:c>
      <x:c r="J204" s="7" t="s">
        <x:v>6458</x:v>
      </x:c>
      <x:c r="K204" s="7" t="s">
        <x:v>6459</x:v>
      </x:c>
      <x:c r="L204" s="7" t="s">
        <x:v>7049</x:v>
      </x:c>
    </x:row>
    <x:row r="205" ht="51.75" hidden="0" customHeight="1">
      <x:c r="A205" s="7" t="s">
        <x:v>6314</x:v>
      </x:c>
      <x:c r="B205" s="7" t="s">
        <x:v>1153</x:v>
      </x:c>
      <x:c r="C205" s="7" t="s">
        <x:v>7050</x:v>
      </x:c>
      <x:c r="D205" s="7" t="s">
        <x:v>53</x:v>
      </x:c>
      <x:c r="E205" s="13" t="s">
        <x:v>53</x:v>
      </x:c>
      <x:c r="F205" s="13" t="n">
        <x:v>46275.5</x:v>
      </x:c>
      <x:c r="G205" s="7" t="s">
        <x:v>6473</x:v>
      </x:c>
      <x:c r="H205" s="7" t="s">
        <x:v>7051</x:v>
      </x:c>
      <x:c r="I205" s="7" t="s">
        <x:v>6463</x:v>
      </x:c>
      <x:c r="J205" s="7" t="s">
        <x:v>6458</x:v>
      </x:c>
      <x:c r="K205" s="7" t="s">
        <x:v>6459</x:v>
      </x:c>
      <x:c r="L205" s="7" t="s">
        <x:v>7052</x:v>
      </x:c>
    </x:row>
    <x:row r="206" ht="51.75" hidden="0" customHeight="1">
      <x:c r="A206" s="7" t="s">
        <x:v>6318</x:v>
      </x:c>
      <x:c r="B206" s="7" t="s">
        <x:v>1153</x:v>
      </x:c>
      <x:c r="C206" s="7" t="s">
        <x:v>7053</x:v>
      </x:c>
      <x:c r="D206" s="7" t="s">
        <x:v>53</x:v>
      </x:c>
      <x:c r="E206" s="13" t="s">
        <x:v>53</x:v>
      </x:c>
      <x:c r="F206" s="13" t="n">
        <x:v>46275.5</x:v>
      </x:c>
      <x:c r="G206" s="7" t="s">
        <x:v>6473</x:v>
      </x:c>
      <x:c r="H206" s="7" t="s">
        <x:v>7054</x:v>
      </x:c>
      <x:c r="I206" s="7" t="s">
        <x:v>6463</x:v>
      </x:c>
      <x:c r="J206" s="7" t="s">
        <x:v>6458</x:v>
      </x:c>
      <x:c r="K206" s="7" t="s">
        <x:v>6459</x:v>
      </x:c>
      <x:c r="L206" s="7" t="s">
        <x:v>7055</x:v>
      </x:c>
    </x:row>
    <x:row r="207" ht="51.75" hidden="0" customHeight="1">
      <x:c r="A207" s="7" t="s">
        <x:v>6321</x:v>
      </x:c>
      <x:c r="B207" s="7" t="s">
        <x:v>1153</x:v>
      </x:c>
      <x:c r="C207" s="7" t="s">
        <x:v>7056</x:v>
      </x:c>
      <x:c r="D207" s="7" t="s">
        <x:v>53</x:v>
      </x:c>
      <x:c r="E207" s="13" t="s">
        <x:v>53</x:v>
      </x:c>
      <x:c r="F207" s="13" t="n">
        <x:v>46275.5</x:v>
      </x:c>
      <x:c r="G207" s="7" t="s">
        <x:v>6473</x:v>
      </x:c>
      <x:c r="H207" s="7" t="s">
        <x:v>7057</x:v>
      </x:c>
      <x:c r="I207" s="7" t="s">
        <x:v>6463</x:v>
      </x:c>
      <x:c r="J207" s="7" t="s">
        <x:v>6458</x:v>
      </x:c>
      <x:c r="K207" s="7" t="s">
        <x:v>6459</x:v>
      </x:c>
      <x:c r="L207" s="7" t="s">
        <x:v>7058</x:v>
      </x:c>
    </x:row>
    <x:row r="208" ht="51.75" hidden="0" customHeight="1">
      <x:c r="A208" s="7" t="s">
        <x:v>6325</x:v>
      </x:c>
      <x:c r="B208" s="7" t="s">
        <x:v>1153</x:v>
      </x:c>
      <x:c r="C208" s="7" t="s">
        <x:v>7059</x:v>
      </x:c>
      <x:c r="D208" s="7" t="s">
        <x:v>53</x:v>
      </x:c>
      <x:c r="E208" s="13" t="s">
        <x:v>53</x:v>
      </x:c>
      <x:c r="F208" s="13" t="n">
        <x:v>46275.5</x:v>
      </x:c>
      <x:c r="G208" s="7" t="s">
        <x:v>6473</x:v>
      </x:c>
      <x:c r="H208" s="7" t="s">
        <x:v>7060</x:v>
      </x:c>
      <x:c r="I208" s="7" t="s">
        <x:v>6463</x:v>
      </x:c>
      <x:c r="J208" s="7" t="s">
        <x:v>6458</x:v>
      </x:c>
      <x:c r="K208" s="7" t="s">
        <x:v>6459</x:v>
      </x:c>
      <x:c r="L208" s="7" t="s">
        <x:v>7061</x:v>
      </x:c>
    </x:row>
    <x:row r="209" ht="51.75" hidden="0" customHeight="1">
      <x:c r="A209" s="7" t="s">
        <x:v>6331</x:v>
      </x:c>
      <x:c r="B209" s="7" t="s">
        <x:v>6331</x:v>
      </x:c>
      <x:c r="C209" s="7" t="s">
        <x:v>7062</x:v>
      </x:c>
      <x:c r="D209" s="7" t="s">
        <x:v>53</x:v>
      </x:c>
      <x:c r="E209" s="13" t="s">
        <x:v>53</x:v>
      </x:c>
      <x:c r="F209" s="13" t="n">
        <x:v>46275.5</x:v>
      </x:c>
      <x:c r="G209" s="7" t="s">
        <x:v>7063</x:v>
      </x:c>
      <x:c r="H209" s="7" t="s">
        <x:v>7064</x:v>
      </x:c>
      <x:c r="I209" s="7" t="s">
        <x:v>6463</x:v>
      </x:c>
      <x:c r="J209" s="7" t="s">
        <x:v>6458</x:v>
      </x:c>
      <x:c r="K209" s="7" t="s">
        <x:v>6459</x:v>
      </x:c>
      <x:c r="L209" s="7" t="s">
        <x:v>7065</x:v>
      </x:c>
    </x:row>
    <x:row r="210" ht="51.75" hidden="0" customHeight="1">
      <x:c r="A210" s="7" t="s">
        <x:v>6341</x:v>
      </x:c>
      <x:c r="B210" s="7" t="s">
        <x:v>6341</x:v>
      </x:c>
      <x:c r="C210" s="7" t="s">
        <x:v>7066</x:v>
      </x:c>
      <x:c r="D210" s="7" t="s">
        <x:v>53</x:v>
      </x:c>
      <x:c r="E210" s="13" t="s">
        <x:v>53</x:v>
      </x:c>
      <x:c r="F210" s="13" t="n">
        <x:v>46275.5</x:v>
      </x:c>
      <x:c r="G210" s="7" t="s">
        <x:v>7063</x:v>
      </x:c>
      <x:c r="H210" s="7" t="s">
        <x:v>7067</x:v>
      </x:c>
      <x:c r="I210" s="7" t="s">
        <x:v>6463</x:v>
      </x:c>
      <x:c r="J210" s="7" t="s">
        <x:v>6458</x:v>
      </x:c>
      <x:c r="K210" s="7" t="s">
        <x:v>6459</x:v>
      </x:c>
      <x:c r="L210" s="7" t="s">
        <x:v>7068</x:v>
      </x:c>
    </x:row>
    <x:row r="211" ht="51.75" hidden="0" customHeight="1">
      <x:c r="A211" s="7" t="s">
        <x:v>6351</x:v>
      </x:c>
      <x:c r="B211" s="7" t="s">
        <x:v>6351</x:v>
      </x:c>
      <x:c r="C211" s="7" t="s">
        <x:v>7069</x:v>
      </x:c>
      <x:c r="D211" s="7" t="s">
        <x:v>53</x:v>
      </x:c>
      <x:c r="E211" s="13" t="s">
        <x:v>53</x:v>
      </x:c>
      <x:c r="F211" s="13" t="n">
        <x:v>46275.5</x:v>
      </x:c>
      <x:c r="G211" s="7" t="s">
        <x:v>7063</x:v>
      </x:c>
      <x:c r="H211" s="7" t="s">
        <x:v>7070</x:v>
      </x:c>
      <x:c r="I211" s="7" t="s">
        <x:v>6463</x:v>
      </x:c>
      <x:c r="J211" s="7" t="s">
        <x:v>6458</x:v>
      </x:c>
      <x:c r="K211" s="7" t="s">
        <x:v>6459</x:v>
      </x:c>
      <x:c r="L211" s="7" t="s">
        <x:v>7071</x:v>
      </x:c>
    </x:row>
    <x:row r="212" ht="51.75" hidden="0" customHeight="1">
      <x:c r="A212" s="7" t="s">
        <x:v>6415</x:v>
      </x:c>
      <x:c r="B212" s="7" t="s">
        <x:v>6415</x:v>
      </x:c>
      <x:c r="C212" s="7" t="s">
        <x:v>7072</x:v>
      </x:c>
      <x:c r="D212" s="7" t="s">
        <x:v>53</x:v>
      </x:c>
      <x:c r="E212" s="13" t="s">
        <x:v>53</x:v>
      </x:c>
      <x:c r="F212" s="13" t="n">
        <x:v>46275.5</x:v>
      </x:c>
      <x:c r="G212" s="7" t="s">
        <x:v>7063</x:v>
      </x:c>
      <x:c r="H212" s="7" t="s">
        <x:v>7073</x:v>
      </x:c>
      <x:c r="I212" s="7" t="s">
        <x:v>6463</x:v>
      </x:c>
      <x:c r="J212" s="7" t="s">
        <x:v>6458</x:v>
      </x:c>
      <x:c r="K212" s="7" t="s">
        <x:v>6459</x:v>
      </x:c>
      <x:c r="L212" s="7" t="s">
        <x:v>7074</x:v>
      </x:c>
    </x:row>
    <x:row r="213" ht="51.75" hidden="0" customHeight="1">
      <x:c r="A213" s="7" t="s">
        <x:v>6441</x:v>
      </x:c>
      <x:c r="B213" s="7" t="s">
        <x:v>6441</x:v>
      </x:c>
      <x:c r="C213" s="7" t="s">
        <x:v>7075</x:v>
      </x:c>
      <x:c r="D213" s="7" t="s">
        <x:v>53</x:v>
      </x:c>
      <x:c r="E213" s="13" t="s">
        <x:v>53</x:v>
      </x:c>
      <x:c r="F213" s="13" t="n">
        <x:v>46275.5</x:v>
      </x:c>
      <x:c r="G213" s="7" t="s">
        <x:v>7063</x:v>
      </x:c>
      <x:c r="H213" s="7" t="s">
        <x:v>7076</x:v>
      </x:c>
      <x:c r="I213" s="7" t="s">
        <x:v>6463</x:v>
      </x:c>
      <x:c r="J213" s="7" t="s">
        <x:v>6458</x:v>
      </x:c>
      <x:c r="K213" s="7" t="s">
        <x:v>6459</x:v>
      </x:c>
      <x:c r="L213" s="7" t="s">
        <x:v>7077</x:v>
      </x:c>
    </x:row>
    <x:row r="214" ht="34.5" hidden="0" customHeight="1">
      <x:c r="A214" s="7" t="s">
        <x:v>7078</x:v>
      </x:c>
      <x:c r="B214" s="7" t="s">
        <x:v>1146</x:v>
      </x:c>
      <x:c r="C214" s="7" t="s">
        <x:v>7079</x:v>
      </x:c>
      <x:c r="D214" s="7" t="s">
        <x:v>53</x:v>
      </x:c>
      <x:c r="E214" s="13" t="s">
        <x:v>53</x:v>
      </x:c>
      <x:c r="F214" s="13" t="s">
        <x:v>7080</x:v>
      </x:c>
      <x:c r="G214" s="7" t="s">
        <x:v>7081</x:v>
      </x:c>
      <x:c r="H214" s="7" t="s">
        <x:v>7082</x:v>
      </x:c>
      <x:c r="I214" s="7" t="s">
        <x:v>7083</x:v>
      </x:c>
      <x:c r="J214" s="7" t="s">
        <x:v>7084</x:v>
      </x:c>
      <x:c r="K214" s="7" t="s">
        <x:v>6459</x:v>
      </x:c>
      <x:c r="L214" s="7" t="s">
        <x:v>7085</x:v>
      </x:c>
    </x:row>
    <x:row r="215" ht="23.25" hidden="0" customHeight="1">
      <x:c r="A215" s="7" t="s">
        <x:v>7086</x:v>
      </x:c>
      <x:c r="B215" s="7" t="s">
        <x:v>1431</x:v>
      </x:c>
      <x:c r="C215" s="7" t="s">
        <x:v>7087</x:v>
      </x:c>
      <x:c r="D215" s="7" t="s">
        <x:v>53</x:v>
      </x:c>
      <x:c r="E215" s="13" t="s">
        <x:v>53</x:v>
      </x:c>
      <x:c r="F215" s="13" t="s">
        <x:v>7080</x:v>
      </x:c>
      <x:c r="G215" s="7" t="s">
        <x:v>7088</x:v>
      </x:c>
      <x:c r="H215" s="7" t="s">
        <x:v>7089</x:v>
      </x:c>
      <x:c r="I215" s="7" t="s">
        <x:v>7090</x:v>
      </x:c>
      <x:c r="J215" s="7" t="s">
        <x:v>7091</x:v>
      </x:c>
      <x:c r="K215" s="7" t="s">
        <x:v>6459</x:v>
      </x:c>
      <x:c r="L215" s="7" t="s">
        <x:v>7085</x:v>
      </x:c>
    </x:row>
    <x:row r="216" ht="34.5" hidden="0" customHeight="1">
      <x:c r="A216" s="7" t="s">
        <x:v>7092</x:v>
      </x:c>
      <x:c r="B216" s="7" t="s">
        <x:v>1153</x:v>
      </x:c>
      <x:c r="C216" s="7" t="s">
        <x:v>7093</x:v>
      </x:c>
      <x:c r="D216" s="7" t="s">
        <x:v>53</x:v>
      </x:c>
      <x:c r="E216" s="13" t="s">
        <x:v>53</x:v>
      </x:c>
      <x:c r="F216" s="13" t="s">
        <x:v>7080</x:v>
      </x:c>
      <x:c r="G216" s="7" t="s">
        <x:v>6455</x:v>
      </x:c>
      <x:c r="H216" s="7" t="s">
        <x:v>7094</x:v>
      </x:c>
      <x:c r="I216" s="7" t="s">
        <x:v>7095</x:v>
      </x:c>
      <x:c r="J216" s="7" t="s">
        <x:v>6458</x:v>
      </x:c>
      <x:c r="K216" s="7" t="s">
        <x:v>6459</x:v>
      </x:c>
      <x:c r="L216" s="7" t="s">
        <x:v>7085</x:v>
      </x:c>
    </x:row>
    <x:row r="217" ht="45.75" hidden="0" customHeight="1">
      <x:c r="A217" s="7" t="s">
        <x:v>7096</x:v>
      </x:c>
      <x:c r="B217" s="7" t="s">
        <x:v>7097</x:v>
      </x:c>
      <x:c r="C217" s="7" t="s">
        <x:v>7098</x:v>
      </x:c>
      <x:c r="D217" s="7" t="s">
        <x:v>53</x:v>
      </x:c>
      <x:c r="E217" s="13" t="s">
        <x:v>53</x:v>
      </x:c>
      <x:c r="F217" s="13" t="s">
        <x:v>7080</x:v>
      </x:c>
      <x:c r="G217" s="7" t="s">
        <x:v>7099</x:v>
      </x:c>
      <x:c r="H217" s="7" t="s">
        <x:v>7100</x:v>
      </x:c>
      <x:c r="I217" s="7" t="s">
        <x:v>7101</x:v>
      </x:c>
      <x:c r="J217" s="7" t="s">
        <x:v>7102</x:v>
      </x:c>
      <x:c r="K217" s="7" t="s">
        <x:v>6459</x:v>
      </x:c>
      <x:c r="L217" s="7" t="s">
        <x:v>7085</x:v>
      </x:c>
    </x:row>
    <x:row r="218">
      <x:c r="A218" t="str">
        <x:v>R-BAMBU-CA-CATALOG-20260913</x:v>
      </x:c>
      <x:c r="B218" t="str">
        <x:v>Bambu Lab Canada</x:v>
      </x:c>
      <x:c r="C218" t="str">
        <x:v>3D Printer Filament Collection</x:v>
      </x:c>
      <x:c r="D218" t="str">
        <x:v>Not published</x:v>
      </x:c>
      <x:c r="E218" t="str">
        <x:v>Not published</x:v>
      </x:c>
      <x:c r="F218" t="str">
        <x:v>2026-09-13</x:v>
      </x:c>
      <x:c r="G218" t="str">
        <x:v>Official Canadian storefront catalogue</x:v>
      </x:c>
      <x:c r="H218" t="str">
        <x:v>https://ca.store.bambulab.com/collections/bambu-lab-3d-printer-filament</x:v>
      </x:c>
      <x:c r="I218" t="str">
        <x:v>Collection and linked product pages</x:v>
      </x:c>
      <x:c r="J218" t="str">
        <x:v>Bambu Lab catalogue cross-check</x:v>
      </x:c>
      <x:c r="K218" t="str">
        <x:v>Retrieved via web</x:v>
      </x:c>
      <x:c r="L218" t="str">
        <x:v>Not recorded</x:v>
      </x:c>
    </x:row>
    <x:row r="219">
      <x:c r="A219" t="str">
        <x:v>R-BAMBU-GUIDE-202609</x:v>
      </x:c>
      <x:c r="B219" t="str">
        <x:v>Bambu Lab</x:v>
      </x:c>
      <x:c r="C219" t="str">
        <x:v>Bambu Lab Filament Guide</x:v>
      </x:c>
      <x:c r="D219" t="str">
        <x:v>Not published</x:v>
      </x:c>
      <x:c r="E219" t="str">
        <x:v>Not published</x:v>
      </x:c>
      <x:c r="F219" t="str">
        <x:v>2026-09-13</x:v>
      </x:c>
      <x:c r="G219" t="str">
        <x:v>Manufacturer comparison guide</x:v>
      </x:c>
      <x:c r="H219" t="str">
        <x:v>https://cdn1.bambulab.com/filament/filament-guide/wksdyyzd8n9/filament-guide-en.pdf</x:v>
      </x:c>
      <x:c r="I219" t="str">
        <x:v>Material comparison and printing requirements</x:v>
      </x:c>
      <x:c r="J219" t="str">
        <x:v>Bambu Lab catalogue cross-check</x:v>
      </x:c>
      <x:c r="K219" t="str">
        <x:v>Retrieved</x:v>
      </x:c>
      <x:c r="L219" t="str">
        <x:v>048fb9a65547b5107fc935812ab5c81a78f70ff9d979797be897a8d47d19dc41</x:v>
      </x:c>
    </x:row>
    <x:row r="220">
      <x:c r="A220" t="str">
        <x:v>R-BAMBU-SUPPORT-PLA-NEW-TDS</x:v>
      </x:c>
      <x:c r="B220" t="str">
        <x:v>Bambu Lab</x:v>
      </x:c>
      <x:c r="C220" t="str">
        <x:v>Bambu Filament Technical Data Sheet - Support for PLA</x:v>
      </x:c>
      <x:c r="D220" t="str">
        <x:v>V1.0</x:v>
      </x:c>
      <x:c r="E220" t="str">
        <x:v>Not published</x:v>
      </x:c>
      <x:c r="F220" t="str">
        <x:v>2026-09-13</x:v>
      </x:c>
      <x:c r="G220" t="str">
        <x:v>Manufacturer TDS</x:v>
      </x:c>
      <x:c r="H220" t="str">
        <x:v>https://store.bblcdn.com/s2/default/200ef29f5cd04b20ba6c2c86f0cc3ec0/Bambus_Support_for_PLA_Technical_Data_Sheet.pdf</x:v>
      </x:c>
      <x:c r="I220" t="str">
        <x:v>pp. 1-3</x:v>
      </x:c>
      <x:c r="J220" t="str">
        <x:v>M077 / G077-01</x:v>
      </x:c>
      <x:c r="K220" t="str">
        <x:v>Retrieved</x:v>
      </x:c>
      <x:c r="L220" t="str">
        <x:v>4e070b33f2d0ff9c6169519635e7c2d508fd0760e2379dfc5cbd525ee89bdf2d</x:v>
      </x:c>
    </x:row>
    <x:row r="221">
      <x:c r="A221" t="str">
        <x:v>R-BAMBU-SUPPORT-PLA-NEW-PRODUCT</x:v>
      </x:c>
      <x:c r="B221" t="str">
        <x:v>Bambu Lab</x:v>
      </x:c>
      <x:c r="C221" t="str">
        <x:v>Support for PLA (New Version)</x:v>
      </x:c>
      <x:c r="D221" t="str">
        <x:v>Not published</x:v>
      </x:c>
      <x:c r="E221" t="str">
        <x:v>Not published</x:v>
      </x:c>
      <x:c r="F221" t="str">
        <x:v>2026-09-13</x:v>
      </x:c>
      <x:c r="G221" t="str">
        <x:v>Official manufacturer product page</x:v>
      </x:c>
      <x:c r="H221" t="str">
        <x:v>https://bambu-lab-jp.myshopify.com/en/products/support-for-pla-new</x:v>
      </x:c>
      <x:c r="I221" t="str">
        <x:v>Product scope, SKU, weight and compatibility</x:v>
      </x:c>
      <x:c r="J221" t="str">
        <x:v>M077 / G077-01</x:v>
      </x:c>
      <x:c r="K221" t="str">
        <x:v>Retrieved via web</x:v>
      </x:c>
      <x:c r="L221" t="str">
        <x:v>Not recorded</x:v>
      </x:c>
    </x:row>
    <x:row r="222">
      <x:c r="A222" t="str">
        <x:v>R-BASF-PCGF30-TDS</x:v>
      </x:c>
      <x:c r="B222" t="str">
        <x:v>BASF Forward AM</x:v>
      </x:c>
      <x:c r="C222" t="str">
        <x:v>Ultrafuse PC GF30 Technical Data Sheet</x:v>
      </x:c>
      <x:c r="D222" t="str">
        <x:v>Version 1.2</x:v>
      </x:c>
      <x:c r="E222" t="str">
        <x:v>2022-01-26</x:v>
      </x:c>
      <x:c r="F222" t="str">
        <x:v>2026-09-13</x:v>
      </x:c>
      <x:c r="G222" t="str">
        <x:v>Manufacturer TDS</x:v>
      </x:c>
      <x:c r="H222" t="str">
        <x:v>https://forward-am.com/wp-content/uploads/2021/12/Ultrafuse_PC_GF30_TDS_EN_v1.2.pdf</x:v>
      </x:c>
      <x:c r="I222" t="str">
        <x:v>pp. 1-3</x:v>
      </x:c>
      <x:c r="J222" t="str">
        <x:v>M038 / G038-02</x:v>
      </x:c>
      <x:c r="K222" t="str">
        <x:v>Retrieved</x:v>
      </x:c>
      <x:c r="L222" t="str">
        <x:v>bf1773381d166b1a930dd12be1164c3284b74bebfd4cc2894a8018cf8f3914a0</x:v>
      </x:c>
    </x:row>
    <x:row r="223">
      <x:c r="A223" t="str">
        <x:v>R-BASF-PCGF30-PRODUCT</x:v>
      </x:c>
      <x:c r="B223" t="str">
        <x:v>BASF Forward AM</x:v>
      </x:c>
      <x:c r="C223" t="str">
        <x:v>Ultrafuse PC GF30</x:v>
      </x:c>
      <x:c r="D223" t="str">
        <x:v>Not published</x:v>
      </x:c>
      <x:c r="E223" t="str">
        <x:v>Not published</x:v>
      </x:c>
      <x:c r="F223" t="str">
        <x:v>2026-09-13</x:v>
      </x:c>
      <x:c r="G223" t="str">
        <x:v>Official manufacturer product page</x:v>
      </x:c>
      <x:c r="H223" t="str">
        <x:v>https://forward-am.com/material-portfolio/ultrafuse-filaments-for-fused-filaments-fabrication-fff/reinforced-filaments/ultrafuse-pc-gf30/</x:v>
      </x:c>
      <x:c r="I223" t="str">
        <x:v>Current product, diameters, properties and applications</x:v>
      </x:c>
      <x:c r="J223" t="str">
        <x:v>M038 / G038-02</x:v>
      </x:c>
      <x:c r="K223" t="str">
        <x:v>Retrieved via web</x:v>
      </x:c>
      <x:c r="L223" t="str">
        <x:v>Not recorded</x:v>
      </x:c>
    </x:row>
    <x:row r="224">
      <x:c r="A224" t="str">
        <x:v>R-ESSENTIUM-PPSCF-TDS</x:v>
      </x:c>
      <x:c r="B224" t="str">
        <x:v>Essentium / Nexa3D</x:v>
      </x:c>
      <x:c r="C224" t="str">
        <x:v>Essentium PPS-CF Technical Data Sheet</x:v>
      </x:c>
      <x:c r="D224" t="str">
        <x:v>Version 1.0</x:v>
      </x:c>
      <x:c r="E224" t="str">
        <x:v>2021-11-13</x:v>
      </x:c>
      <x:c r="F224" t="str">
        <x:v>2026-09-13</x:v>
      </x:c>
      <x:c r="G224" t="str">
        <x:v>Manufacturer TDS hosted by current brand owner</x:v>
      </x:c>
      <x:c r="H224" t="str">
        <x:v>https://nexa3d.com/wp-content/uploads/2024/07/TDS-Essentium-PPS-CF.pdf</x:v>
      </x:c>
      <x:c r="I224" t="str">
        <x:v>pp. 1-2</x:v>
      </x:c>
      <x:c r="J224" t="str">
        <x:v>M073 / G073-02</x:v>
      </x:c>
      <x:c r="K224" t="str">
        <x:v>Retrieved</x:v>
      </x:c>
      <x:c r="L224" t="str">
        <x:v>225419a589be85d566c662f2720339a5eb20b6fa50187e98411bf627dd7b1e15</x:v>
      </x:c>
    </x:row>
    <x:row r="225">
      <x:c r="A225" t="str">
        <x:v>R-AIRTECH-KIMYA-PORTFOLIO</x:v>
      </x:c>
      <x:c r="B225" t="str">
        <x:v>Airtech 3D</x:v>
      </x:c>
      <x:c r="C225" t="str">
        <x:v>Kimya 3D Filaments</x:v>
      </x:c>
      <x:c r="D225" t="str">
        <x:v>Not published</x:v>
      </x:c>
      <x:c r="E225" t="str">
        <x:v>Not published</x:v>
      </x:c>
      <x:c r="F225" t="str">
        <x:v>2026-09-13</x:v>
      </x:c>
      <x:c r="G225" t="str">
        <x:v>Official current manufacturer portfolio</x:v>
      </x:c>
      <x:c r="H225" t="str">
        <x:v>https://www.airtech3d.com/filament</x:v>
      </x:c>
      <x:c r="I225" t="str">
        <x:v>Flexible filaments: PEBA-S</x:v>
      </x:c>
      <x:c r="J225" t="str">
        <x:v>M045 / G045-03</x:v>
      </x:c>
      <x:c r="K225" t="str">
        <x:v>Retrieved via web</x:v>
      </x:c>
      <x:c r="L225" t="str">
        <x:v>Not recorded</x:v>
      </x:c>
    </x:row>
    <x:row r="226">
      <x:c r="A226" t="str">
        <x:v>R-KIMYA-PEBA-S-TDS</x:v>
      </x:c>
      <x:c r="B226" t="str">
        <x:v>Airtech Europe / Kimya</x:v>
      </x:c>
      <x:c r="C226" t="str">
        <x:v>Kimya PEBA-S 3D Filament Technical Data Sheet</x:v>
      </x:c>
      <x:c r="D226" t="str">
        <x:v>Updated 2025-12-22</x:v>
      </x:c>
      <x:c r="E226" t="str">
        <x:v>2025-12-22</x:v>
      </x:c>
      <x:c r="F226" t="str">
        <x:v>2026-09-13</x:v>
      </x:c>
      <x:c r="G226" t="str">
        <x:v>Manufacturer TDS indexed at authorized distributor</x:v>
      </x:c>
      <x:c r="H226" t="str">
        <x:v>https://www.samaro.fr/app/uploads/2026/04/ba38ba38d87e28552202938c4c1cc670d8ef6fea3287_Kimya_PEBA_S_3D_Filament_EN-1.pdf</x:v>
      </x:c>
      <x:c r="I226" t="str">
        <x:v>Technical data and processing tables</x:v>
      </x:c>
      <x:c r="J226" t="str">
        <x:v>M045 / G045-03</x:v>
      </x:c>
      <x:c r="K226" t="str">
        <x:v>Indexed content retrieved; direct PDF blocked by site</x:v>
      </x:c>
      <x:c r="L226" t="str">
        <x:v>Not recorded</x:v>
      </x:c>
    </x:row>
    <x:row r="227">
      <x:c r="A227" t="str">
        <x:v>R-AIRTECH-KIMYA-ACQUISITION</x:v>
      </x:c>
      <x:c r="B227" t="str">
        <x:v>Airtech Advanced Materials Group</x:v>
      </x:c>
      <x:c r="C227" t="str">
        <x:v>Airtech Acquires Kimya Assets</x:v>
      </x:c>
      <x:c r="D227" t="str">
        <x:v>Not published</x:v>
      </x:c>
      <x:c r="E227" t="str">
        <x:v>2025-04-08</x:v>
      </x:c>
      <x:c r="F227" t="str">
        <x:v>2026-09-13</x:v>
      </x:c>
      <x:c r="G227" t="str">
        <x:v>Official corporate announcement</x:v>
      </x:c>
      <x:c r="H227" t="str">
        <x:v>https://www.airtech3d.com/airtech-acquires-kimya-assets-extend-additive-manufacturing-filament-capabilities-and-solutions</x:v>
      </x:c>
      <x:c r="I227" t="str">
        <x:v>Ownership and current portfolio provenance</x:v>
      </x:c>
      <x:c r="J227" t="str">
        <x:v>Kimya portfolio</x:v>
      </x:c>
      <x:c r="K227" t="str">
        <x:v>Retrieved via web</x:v>
      </x:c>
      <x:c r="L227" t="str">
        <x:v>Not recorded</x:v>
      </x:c>
    </x:row>
    <x:row r="228">
      <x:c r="A228" t="str">
        <x:v>R-ESUN-PLA-LITE-PAGE</x:v>
      </x:c>
      <x:c r="B228" t="str">
        <x:v>eSUN</x:v>
      </x:c>
      <x:c r="C228" t="str">
        <x:v>eSUN PLA-Lite product page</x:v>
      </x:c>
      <x:c r="D228" t="str">
        <x:v>Not published</x:v>
      </x:c>
      <x:c r="E228" t="str">
        <x:v>Not published</x:v>
      </x:c>
      <x:c r="F228" t="str">
        <x:v>2026-09-13</x:v>
      </x:c>
      <x:c r="G228" t="str">
        <x:v>Manufacturer product / guide</x:v>
      </x:c>
      <x:c r="H228" t="str">
        <x:v>https://www.esun3d.com/epla-lite-product</x:v>
      </x:c>
      <x:c r="I228" t="str">
        <x:v>Printing Parameter: Physical Performance, Mechanical Properties, Recommended Printing Parameters</x:v>
      </x:c>
      <x:c r="J228" t="str">
        <x:v>M004 / G004-01</x:v>
      </x:c>
      <x:c r="K228" t="str">
        <x:v>Retrieved</x:v>
      </x:c>
      <x:c r="L228" t="str">
        <x:v>b8807094397d378aee0717e441947378f5d537a510d1c8cf8fb3d89146d1d8b2</x:v>
      </x:c>
    </x:row>
    <x:row r="229">
      <x:c r="A229" t="str">
        <x:v>R-POLYMAKER-SILK-PLA-PAGE</x:v>
      </x:c>
      <x:c r="B229" t="str">
        <x:v>Polymaker</x:v>
      </x:c>
      <x:c r="C229" t="str">
        <x:v>Panchroma Silk PLA product page</x:v>
      </x:c>
      <x:c r="D229" t="str">
        <x:v>Not published</x:v>
      </x:c>
      <x:c r="E229" t="str">
        <x:v>Not published</x:v>
      </x:c>
      <x:c r="F229" t="str">
        <x:v>2026-09-13</x:v>
      </x:c>
      <x:c r="G229" t="str">
        <x:v>Manufacturer product / guide</x:v>
      </x:c>
      <x:c r="H229" t="str">
        <x:v>https://shop.polymaker.com/products/silk-pla</x:v>
      </x:c>
      <x:c r="I229" t="str">
        <x:v>Technical Specifications</x:v>
      </x:c>
      <x:c r="J229" t="str">
        <x:v>M008 / G008-01</x:v>
      </x:c>
      <x:c r="K229" t="str">
        <x:v>Retrieved</x:v>
      </x:c>
      <x:c r="L229" t="str">
        <x:v>d74050b88ed9f9e214e461804d297fdf98808c991ef496c5bbc2aa6e55da6d5d</x:v>
      </x:c>
    </x:row>
    <x:row r="230">
      <x:c r="A230" t="str">
        <x:v>R-POLYMAKER-PANCHROMA-TDS-V2-1</x:v>
      </x:c>
      <x:c r="B230" t="str">
        <x:v>Polymaker</x:v>
      </x:c>
      <x:c r="C230" t="str">
        <x:v>Panchroma Product Data Sheet</x:v>
      </x:c>
      <x:c r="D230" t="str">
        <x:v>V2.1</x:v>
      </x:c>
      <x:c r="E230" t="str">
        <x:v>Not published</x:v>
      </x:c>
      <x:c r="F230" t="str">
        <x:v>2026-09-13</x:v>
      </x:c>
      <x:c r="G230" t="str">
        <x:v>Manufacturer TDS</x:v>
      </x:c>
      <x:c r="H230" t="str">
        <x:v>https://polymaker.com/wp-content/uploads/Panchroma_TDS_V2.1.pdf</x:v>
      </x:c>
      <x:c r="I230" t="str">
        <x:v>Data table; How to make specimens</x:v>
      </x:c>
      <x:c r="J230" t="str">
        <x:v>M008 / G008-01; M091 / G091-02</x:v>
      </x:c>
      <x:c r="K230" t="str">
        <x:v>Retrieved</x:v>
      </x:c>
      <x:c r="L230" t="str">
        <x:v>12015f8e82a3420ed806e90c8c730645accda3fcc37f6b51f907e0574ff3c895</x:v>
      </x:c>
    </x:row>
    <x:row r="231">
      <x:c r="A231" t="str">
        <x:v>R-POLYMAKER-WIKI-PANCHROMA-COPE</x:v>
      </x:c>
      <x:c r="B231" t="str">
        <x:v>Polymaker</x:v>
      </x:c>
      <x:c r="C231" t="str">
        <x:v>Panchroma CoPE | Polymaker Wiki</x:v>
      </x:c>
      <x:c r="D231" t="str">
        <x:v>Not published</x:v>
      </x:c>
      <x:c r="E231" t="str">
        <x:v>Not published</x:v>
      </x:c>
      <x:c r="F231" t="str">
        <x:v>2026-09-13</x:v>
      </x:c>
      <x:c r="G231" t="str">
        <x:v>Manufacturer product / guide</x:v>
      </x:c>
      <x:c r="H231" t="str">
        <x:v>https://wiki.polymaker.com/polymaker-products/polymaker-filaments/panchroma-tm/panchroma-tm-cope</x:v>
      </x:c>
      <x:c r="I231" t="str">
        <x:v>Recommended printing settings</x:v>
      </x:c>
      <x:c r="J231" t="str">
        <x:v>M091 / G091-02</x:v>
      </x:c>
      <x:c r="K231" t="str">
        <x:v>Retrieved</x:v>
      </x:c>
      <x:c r="L231" t="str">
        <x:v>db568e0f9c59febd061e48b8d79823c1688c3dbdbe842f118cb3d380b2b1bae8</x:v>
      </x:c>
    </x:row>
    <x:row r="232">
      <x:c r="A232" t="str">
        <x:v>R-POLYMAKER-COPE-TDS-V5-4</x:v>
      </x:c>
      <x:c r="B232" t="str">
        <x:v>Polymaker</x:v>
      </x:c>
      <x:c r="C232" t="str">
        <x:v>Panchroma CoPE Technical Data Sheet</x:v>
      </x:c>
      <x:c r="D232" t="str">
        <x:v>V5.4</x:v>
      </x:c>
      <x:c r="E232" t="str">
        <x:v>Not published</x:v>
      </x:c>
      <x:c r="F232" t="str">
        <x:v>2026-09-13</x:v>
      </x:c>
      <x:c r="G232" t="str">
        <x:v>Manufacturer TDS</x:v>
      </x:c>
      <x:c r="H232" t="str">
        <x:v>https://polymaker.com/wp-content/uploads/lana-downloads/Panchroma-CoPE_TDS_EN_V5.4.pdf</x:v>
      </x:c>
      <x:c r="I232" t="str">
        <x:v>Cited by the 2026-09-13 research for density 1.296 g/cm³ and elongation 10.5 ± 3.8%</x:v>
      </x:c>
      <x:c r="J232" t="str">
        <x:v>M091 / G091-02</x:v>
      </x:c>
      <x:c r="K232" t="str">
        <x:v>Not retrieved: HTTP 404 on 2026-09-13. Nothing from this source was entered</x:v>
      </x:c>
      <x:c r="L232" t="str">
        <x:v>Not recorded</x:v>
      </x:c>
    </x:row>
    <x:row r="233">
      <x:c r="A233" t="str">
        <x:v>R-FIBERON-PETGF15-TDS</x:v>
      </x:c>
      <x:c r="B233" t="str">
        <x:v>Polymaker (Fiberon)</x:v>
      </x:c>
      <x:c r="C233" t="str">
        <x:v>Fiberon PET-GF15 Technical Data Sheet</x:v>
      </x:c>
      <x:c r="D233" t="str">
        <x:v>V1.0</x:v>
      </x:c>
      <x:c r="E233" t="str">
        <x:v>Not published</x:v>
      </x:c>
      <x:c r="F233" t="str">
        <x:v>2026-09-13</x:v>
      </x:c>
      <x:c r="G233" t="str">
        <x:v>Manufacturer TDS</x:v>
      </x:c>
      <x:c r="H233" t="str">
        <x:v>https://fiberon.polymaker.com/wp-content/uploads/TDS_FIBERON-PET-GF15_V1.0_EN.pdf</x:v>
      </x:c>
      <x:c r="I233" t="str">
        <x:v>Physical, thermal and mechanical properties; recommended printing conditions; how to make specimens</x:v>
      </x:c>
      <x:c r="J233" t="str">
        <x:v>M068 / G068-02</x:v>
      </x:c>
      <x:c r="K233" t="str">
        <x:v>Retrieved</x:v>
      </x:c>
      <x:c r="L233" t="str">
        <x:v>cdb81cbccd54e790038caf17353bd91172713cb7d35f7d8e16f919124923b37b</x:v>
      </x:c>
    </x:row>
    <x:row r="234">
      <x:c r="A234" t="str">
        <x:v>R-FIBERON-PETGF15-PAGE</x:v>
      </x:c>
      <x:c r="B234" t="str">
        <x:v>Polymaker (Fiberon)</x:v>
      </x:c>
      <x:c r="C234" t="str">
        <x:v>Fiberon PET-GF15 product page</x:v>
      </x:c>
      <x:c r="D234" t="str">
        <x:v>Not published</x:v>
      </x:c>
      <x:c r="E234" t="str">
        <x:v>Not published</x:v>
      </x:c>
      <x:c r="F234" t="str">
        <x:v>2026-09-13</x:v>
      </x:c>
      <x:c r="G234" t="str">
        <x:v>Manufacturer product / guide</x:v>
      </x:c>
      <x:c r="H234" t="str">
        <x:v>https://fiberon.polymaker.com/product/pet-gf15/</x:v>
      </x:c>
      <x:c r="I234" t="str">
        <x:v>Cited by the 2026-09-13 research for chamber guidance</x:v>
      </x:c>
      <x:c r="J234" t="str">
        <x:v>M068 / G068-02</x:v>
      </x:c>
      <x:c r="K234" t="str">
        <x:v>Not retrieved: HTTP 403 on 2026-09-13. Nothing from this source was entered</x:v>
      </x:c>
      <x:c r="L234" t="str">
        <x:v>Not recorded</x:v>
      </x:c>
    </x:row>
    <x:row r="235">
      <x:c r="A235" t="str">
        <x:v>R-FILLAMENTUM-CPE-HG100-TDS</x:v>
      </x:c>
      <x:c r="B235" t="str">
        <x:v>Fillamentum</x:v>
      </x:c>
      <x:c r="C235" t="str">
        <x:v>CPE HG100 Datasheet</x:v>
      </x:c>
      <x:c r="D235" t="str">
        <x:v>2019-01-03</x:v>
      </x:c>
      <x:c r="E235" t="str">
        <x:v>Not published</x:v>
      </x:c>
      <x:c r="F235" t="str">
        <x:v>2026-09-13</x:v>
      </x:c>
      <x:c r="G235" t="str">
        <x:v>Manufacturer TDS</x:v>
      </x:c>
      <x:c r="H235" t="str">
        <x:v>https://fillamentum.com/wp-content/uploads/2020/10/Technical-Data-Sheet_CPE-HG100_03012019.pdf</x:v>
      </x:c>
      <x:c r="I235" t="str">
        <x:v>Physical, mechanical and thermal properties</x:v>
      </x:c>
      <x:c r="J235" t="str">
        <x:v>M089 / G089-01</x:v>
      </x:c>
      <x:c r="K235" t="str">
        <x:v>Retrieved</x:v>
      </x:c>
      <x:c r="L235" t="str">
        <x:v>ad4f1420c47b40cc8972c202724dae27c1718c9070938e077c6150f33071f495</x:v>
      </x:c>
    </x:row>
    <x:row r="236">
      <x:c r="A236" t="str">
        <x:v>R-FILLAMENTUM-CPE-HG100-GUIDE</x:v>
      </x:c>
      <x:c r="B236" t="str">
        <x:v>Fillamentum</x:v>
      </x:c>
      <x:c r="C236" t="str">
        <x:v>3D Printing Guide: Fillamentum CPE HG100</x:v>
      </x:c>
      <x:c r="D236" t="str">
        <x:v>Not published</x:v>
      </x:c>
      <x:c r="E236" t="str">
        <x:v>Not published</x:v>
      </x:c>
      <x:c r="F236" t="str">
        <x:v>2026-09-13</x:v>
      </x:c>
      <x:c r="G236" t="str">
        <x:v>Manufacturer product / guide</x:v>
      </x:c>
      <x:c r="H236" t="str">
        <x:v>https://fillamentum.com/wp-content/uploads/2021/02/Fillamentum_Printing_Guide_CPE-HG100.pdf</x:v>
      </x:c>
      <x:c r="I236" t="str">
        <x:v>Printing parameters</x:v>
      </x:c>
      <x:c r="J236" t="str">
        <x:v>M089 / G089-01</x:v>
      </x:c>
      <x:c r="K236" t="str">
        <x:v>Retrieved</x:v>
      </x:c>
      <x:c r="L236" t="str">
        <x:v>cd37bc12f747170a4f51a8f9cf18b40fac21652f1f0b02802432207cf95ce19b</x:v>
      </x:c>
    </x:row>
    <x:row r="237">
      <x:c r="A237" t="str">
        <x:v>R-FILLAMENTUM-CPE-CF112-GUIDE</x:v>
      </x:c>
      <x:c r="B237" t="str">
        <x:v>Fillamentum</x:v>
      </x:c>
      <x:c r="C237" t="str">
        <x:v>3D Printing Guide: Fillamentum CPE CF112 Carbon</x:v>
      </x:c>
      <x:c r="D237" t="str">
        <x:v>Not published</x:v>
      </x:c>
      <x:c r="E237" t="str">
        <x:v>Not published</x:v>
      </x:c>
      <x:c r="F237" t="str">
        <x:v>2026-09-13</x:v>
      </x:c>
      <x:c r="G237" t="str">
        <x:v>Manufacturer product / guide</x:v>
      </x:c>
      <x:c r="H237" t="str">
        <x:v>https://fillamentum.com/wp-content/uploads/2020/10/FI_Printing_Guide_CPE-CF112-Carbon.pdf</x:v>
      </x:c>
      <x:c r="I237" t="str">
        <x:v>Printing parameters; Nozzle</x:v>
      </x:c>
      <x:c r="J237" t="str">
        <x:v>M090 / G090-01</x:v>
      </x:c>
      <x:c r="K237" t="str">
        <x:v>Retrieved</x:v>
      </x:c>
      <x:c r="L237" t="str">
        <x:v>fed13e64605e32d803a832009efcebef37aa0204e0f8282c7b67d206ddc7137a</x:v>
      </x:c>
    </x:row>
    <x:row r="238">
      <x:c r="A238" t="str">
        <x:v>R-COLORFABB-NGEN-TDS-V2</x:v>
      </x:c>
      <x:c r="B238" t="str">
        <x:v>colorFabb</x:v>
      </x:c>
      <x:c r="C238" t="str">
        <x:v>Technical datasheet colorFabb_nGen</x:v>
      </x:c>
      <x:c r="D238" t="str">
        <x:v>v2.0, 2023-09-01</x:v>
      </x:c>
      <x:c r="E238" t="str">
        <x:v>Not published</x:v>
      </x:c>
      <x:c r="F238" t="str">
        <x:v>2026-09-13</x:v>
      </x:c>
      <x:c r="G238" t="str">
        <x:v>Manufacturer TDS</x:v>
      </x:c>
      <x:c r="H238" t="str">
        <x:v>https://colorfabb.com/media/datasheets/tds/colorfabb/TDS_E_ColorFabb_nGen.pdf</x:v>
      </x:c>
      <x:c r="I238" t="str">
        <x:v>Typical properties; guideline for print settings; notes</x:v>
      </x:c>
      <x:c r="J238" t="str">
        <x:v>M092 / G092-01</x:v>
      </x:c>
      <x:c r="K238" t="str">
        <x:v>Retrieved</x:v>
      </x:c>
      <x:c r="L238" t="str">
        <x:v>d0a40f96297dcfd4e658dd0ffadeb0e848aafd66c6371b516394f5475b956afa</x:v>
      </x:c>
    </x:row>
  </x:sheetData>
  <x:pageMargins left="0.7" right="0.7" top="0.75" bottom="0.75" header="0.3" footer="0.3"/>
  <x:tableParts count="1">
    <x:tablePart xmlns:r="http://schemas.openxmlformats.org/officeDocument/2006/relationships" r:id="R870e864b6e98426a"/>
  </x:tableParts>
</x:worksheet>
</file>

<file path=xl/worksheets/sheet8.xml><?xml version="1.0" encoding="utf-8"?>
<x:worksheet xmlns:x="http://schemas.openxmlformats.org/spreadsheetml/2006/main">
  <x:sheetViews>
    <x:sheetView showGridLines="0" workbookViewId="0">
      <x:pane xSplit="2" ySplit="3" topLeftCell="C4" activePane="bottomRight" state="frozen"/>
    </x:sheetView>
  </x:sheetViews>
  <x:sheetFormatPr defaultColWidth="8.6796875" defaultRowHeight="15"/>
  <x:cols>
    <x:col min="1" max="2" width="14" style="1" hidden="0" customWidth="1"/>
    <x:col min="3" max="4" width="26" style="1" hidden="0" customWidth="1"/>
    <x:col min="5" max="5" width="85" style="1" hidden="0" customWidth="1"/>
  </x:cols>
  <x:sheetData>
    <x:row r="1" ht="24" hidden="0" customHeight="1">
      <x:c r="A1" s="3" t="s">
        <x:v>7103</x:v>
      </x:c>
      <x:c r="B1" s="2"/>
      <x:c r="C1" s="2"/>
      <x:c r="D1" s="2"/>
      <x:c r="E1" s="2"/>
    </x:row>
    <x:row r="2" ht="15" hidden="0" customHeight="1">
      <x:c r="A2" s="2"/>
      <x:c r="B2" s="2"/>
      <x:c r="C2" s="2"/>
      <x:c r="D2" s="2"/>
      <x:c r="E2" s="2"/>
    </x:row>
    <x:row r="3" ht="43.5" hidden="0" customHeight="1">
      <x:c r="A3" s="4" t="s">
        <x:v>7104</x:v>
      </x:c>
      <x:c r="B3" s="4" t="s">
        <x:v>2</x:v>
      </x:c>
      <x:c r="C3" s="4" t="s">
        <x:v>5586</x:v>
      </x:c>
      <x:c r="D3" s="4" t="s">
        <x:v>7105</x:v>
      </x:c>
      <x:c r="E3" s="4" t="s">
        <x:v>5588</x:v>
      </x:c>
    </x:row>
    <x:row r="4" ht="37.5" hidden="0" customHeight="1">
      <x:c r="A4" s="7" t="s">
        <x:v>7106</x:v>
      </x:c>
      <x:c r="B4" s="7" t="s">
        <x:v>104</x:v>
      </x:c>
      <x:c r="C4" s="7" t="s">
        <x:v>1124</x:v>
      </x:c>
      <x:c r="D4" s="7" t="str">
        <x:v>Resolved</x:v>
      </x:c>
      <x:c r="E4" s="7" t="str">
        <x:v>eSUN PLA-Lite recorded 2026-09-13 as G004-01, a technical grade sample for this generic entry. The earlier PLA Pure lead remains rejected; no Bambu product is implied.</x:v>
      </x:c>
    </x:row>
    <x:row r="5" ht="37.5" hidden="0" customHeight="1">
      <x:c r="A5" s="7" t="s">
        <x:v>7109</x:v>
      </x:c>
      <x:c r="B5" s="7" t="s">
        <x:v>144</x:v>
      </x:c>
      <x:c r="C5" s="7" t="s">
        <x:v>1124</x:v>
      </x:c>
      <x:c r="D5" s="7" t="str">
        <x:v>Resolved</x:v>
      </x:c>
      <x:c r="E5" s="7" t="str">
        <x:v>Polymaker Panchroma Silk PLA recorded 2026-09-13 as G008-01, a technical grade sample of a silk-effect PLA. The original product and Bambu PLA Silk+ are not substituted.</x:v>
      </x:c>
    </x:row>
    <x:row r="6" ht="37.5" hidden="0" customHeight="1">
      <x:c r="A6" s="7" t="s">
        <x:v>7110</x:v>
      </x:c>
      <x:c r="B6" s="7" t="s">
        <x:v>252</x:v>
      </x:c>
      <x:c r="C6" s="7" t="s">
        <x:v>7111</x:v>
      </x:c>
      <x:c r="D6" s="7" t="s">
        <x:v>7112</x:v>
      </x:c>
      <x:c r="E6" s="7" t="s">
        <x:v>7113</x:v>
      </x:c>
    </x:row>
    <x:row r="7" ht="51.75" hidden="0" customHeight="1">
      <x:c r="A7" s="7" t="s">
        <x:v>7114</x:v>
      </x:c>
      <x:c r="B7" s="7" t="s">
        <x:v>252</x:v>
      </x:c>
      <x:c r="C7" s="7" t="s">
        <x:v>1124</x:v>
      </x:c>
      <x:c r="D7" s="7" t="s">
        <x:v>7107</x:v>
      </x:c>
      <x:c r="E7" s="7" t="s">
        <x:v>7115</x:v>
      </x:c>
    </x:row>
    <x:row r="8" ht="51.75" hidden="0" customHeight="1">
      <x:c r="A8" s="7" t="s">
        <x:v>7116</x:v>
      </x:c>
      <x:c r="B8" s="7" t="s">
        <x:v>324</x:v>
      </x:c>
      <x:c r="C8" s="7" t="s">
        <x:v>1124</x:v>
      </x:c>
      <x:c r="D8" s="7" t="s">
        <x:v>7107</x:v>
      </x:c>
      <x:c r="E8" s="7" t="s">
        <x:v>7117</x:v>
      </x:c>
    </x:row>
    <x:row r="9" ht="51.75" hidden="0" customHeight="1">
      <x:c r="A9" s="7" t="s">
        <x:v>7118</x:v>
      </x:c>
      <x:c r="B9" s="7" t="s">
        <x:v>369</x:v>
      </x:c>
      <x:c r="C9" s="7" t="s">
        <x:v>1124</x:v>
      </x:c>
      <x:c r="D9" s="7" t="s">
        <x:v>7107</x:v>
      </x:c>
      <x:c r="E9" s="7" t="s">
        <x:v>7115</x:v>
      </x:c>
    </x:row>
    <x:row r="10" ht="51.75" hidden="0" customHeight="1">
      <x:c r="A10" s="7" t="s">
        <x:v>7119</x:v>
      </x:c>
      <x:c r="B10" s="7" t="s">
        <x:v>380</x:v>
      </x:c>
      <x:c r="C10" s="7" t="s">
        <x:v>1124</x:v>
      </x:c>
      <x:c r="D10" s="7" t="s">
        <x:v>7107</x:v>
      </x:c>
      <x:c r="E10" s="7" t="s">
        <x:v>7115</x:v>
      </x:c>
    </x:row>
    <x:row r="11" ht="51.75" hidden="0" customHeight="1">
      <x:c r="A11" s="7" t="s">
        <x:v>7120</x:v>
      </x:c>
      <x:c r="B11" s="7" t="s">
        <x:v>428</x:v>
      </x:c>
      <x:c r="C11" s="7" t="s">
        <x:v>1124</x:v>
      </x:c>
      <x:c r="D11" s="7" t="s">
        <x:v>7107</x:v>
      </x:c>
      <x:c r="E11" s="7" t="s">
        <x:v>7115</x:v>
      </x:c>
    </x:row>
    <x:row r="12" ht="51.75" hidden="0" customHeight="1">
      <x:c r="A12" s="7" t="s">
        <x:v>7121</x:v>
      </x:c>
      <x:c r="B12" s="7" t="s">
        <x:v>473</x:v>
      </x:c>
      <x:c r="C12" s="7" t="s">
        <x:v>1124</x:v>
      </x:c>
      <x:c r="D12" s="7" t="s">
        <x:v>7107</x:v>
      </x:c>
      <x:c r="E12" s="7" t="str">
        <x:v>2 distinct manufacturer(s) documented against target 3 after the 2026-09-13 audit. One additional independent exact formulation remains desirable.</x:v>
      </x:c>
    </x:row>
    <x:row r="13" ht="51.75" hidden="0" customHeight="1">
      <x:c r="A13" s="7" t="s">
        <x:v>7122</x:v>
      </x:c>
      <x:c r="B13" s="7" t="s">
        <x:v>481</x:v>
      </x:c>
      <x:c r="C13" s="7" t="s">
        <x:v>1124</x:v>
      </x:c>
      <x:c r="D13" s="7" t="s">
        <x:v>7107</x:v>
      </x:c>
      <x:c r="E13" s="7" t="s">
        <x:v>7115</x:v>
      </x:c>
    </x:row>
    <x:row r="14" ht="51.75" hidden="0" customHeight="1">
      <x:c r="A14" s="7" t="s">
        <x:v>7123</x:v>
      </x:c>
      <x:c r="B14" s="7" t="s">
        <x:v>533</x:v>
      </x:c>
      <x:c r="C14" s="7" t="s">
        <x:v>1124</x:v>
      </x:c>
      <x:c r="D14" s="7" t="s">
        <x:v>7107</x:v>
      </x:c>
      <x:c r="E14" s="7" t="s">
        <x:v>7115</x:v>
      </x:c>
    </x:row>
    <x:row r="15" ht="51.75" hidden="0" customHeight="1">
      <x:c r="A15" s="7" t="s">
        <x:v>7124</x:v>
      </x:c>
      <x:c r="B15" s="7" t="s">
        <x:v>543</x:v>
      </x:c>
      <x:c r="C15" s="7" t="s">
        <x:v>1124</x:v>
      </x:c>
      <x:c r="D15" s="7" t="str">
        <x:v>Resolved</x:v>
      </x:c>
      <x:c r="E15" s="7" t="str">
        <x:v>3 distinct manufacturer(s) documented after adding Kimya PEBA-S on 2026-09-13.</x:v>
      </x:c>
    </x:row>
    <x:row r="16" ht="51.75" hidden="0" customHeight="1">
      <x:c r="A16" s="7" t="s">
        <x:v>7125</x:v>
      </x:c>
      <x:c r="B16" s="7" t="s">
        <x:v>551</x:v>
      </x:c>
      <x:c r="C16" s="7" t="s">
        <x:v>1124</x:v>
      </x:c>
      <x:c r="D16" s="7" t="s">
        <x:v>7107</x:v>
      </x:c>
      <x:c r="E16" s="7" t="s">
        <x:v>7117</x:v>
      </x:c>
    </x:row>
    <x:row r="17" ht="51.75" hidden="0" customHeight="1">
      <x:c r="A17" s="7" t="s">
        <x:v>7126</x:v>
      </x:c>
      <x:c r="B17" s="7" t="s">
        <x:v>589</x:v>
      </x:c>
      <x:c r="C17" s="7" t="s">
        <x:v>1124</x:v>
      </x:c>
      <x:c r="D17" s="7" t="s">
        <x:v>7107</x:v>
      </x:c>
      <x:c r="E17" s="7" t="s">
        <x:v>7117</x:v>
      </x:c>
    </x:row>
    <x:row r="18" ht="51.75" hidden="0" customHeight="1">
      <x:c r="A18" s="7" t="s">
        <x:v>7127</x:v>
      </x:c>
      <x:c r="B18" s="7" t="s">
        <x:v>616</x:v>
      </x:c>
      <x:c r="C18" s="7" t="s">
        <x:v>1124</x:v>
      </x:c>
      <x:c r="D18" s="7" t="s">
        <x:v>7107</x:v>
      </x:c>
      <x:c r="E18" s="7" t="s">
        <x:v>7117</x:v>
      </x:c>
    </x:row>
    <x:row r="19" ht="51.75" hidden="0" customHeight="1">
      <x:c r="A19" s="7" t="s">
        <x:v>7128</x:v>
      </x:c>
      <x:c r="B19" s="7" t="s">
        <x:v>639</x:v>
      </x:c>
      <x:c r="C19" s="7" t="s">
        <x:v>1124</x:v>
      </x:c>
      <x:c r="D19" s="7" t="s">
        <x:v>7107</x:v>
      </x:c>
      <x:c r="E19" s="7" t="s">
        <x:v>7117</x:v>
      </x:c>
    </x:row>
    <x:row r="20" ht="37.5" hidden="0" customHeight="1">
      <x:c r="A20" s="7" t="s">
        <x:v>7129</x:v>
      </x:c>
      <x:c r="B20" s="7" t="s">
        <x:v>647</x:v>
      </x:c>
      <x:c r="C20" s="7" t="s">
        <x:v>1124</x:v>
      </x:c>
      <x:c r="D20" s="7" t="s">
        <x:v>7107</x:v>
      </x:c>
      <x:c r="E20" s="7" t="s">
        <x:v>7108</x:v>
      </x:c>
    </x:row>
    <x:row r="21" ht="37.5" hidden="0" customHeight="1">
      <x:c r="A21" s="7" t="s">
        <x:v>7130</x:v>
      </x:c>
      <x:c r="B21" s="7" t="s">
        <x:v>652</x:v>
      </x:c>
      <x:c r="C21" s="7" t="s">
        <x:v>1124</x:v>
      </x:c>
      <x:c r="D21" s="7" t="s">
        <x:v>7107</x:v>
      </x:c>
      <x:c r="E21" s="7" t="s">
        <x:v>7108</x:v>
      </x:c>
    </x:row>
    <x:row r="22" ht="51.75" hidden="0" customHeight="1">
      <x:c r="A22" s="7" t="s">
        <x:v>7131</x:v>
      </x:c>
      <x:c r="B22" s="7" t="s">
        <x:v>656</x:v>
      </x:c>
      <x:c r="C22" s="7" t="s">
        <x:v>1124</x:v>
      </x:c>
      <x:c r="D22" s="7" t="s">
        <x:v>7107</x:v>
      </x:c>
      <x:c r="E22" s="7" t="s">
        <x:v>7115</x:v>
      </x:c>
    </x:row>
    <x:row r="23" ht="37.5" hidden="0" customHeight="1">
      <x:c r="A23" s="7" t="s">
        <x:v>7132</x:v>
      </x:c>
      <x:c r="B23" s="7" t="s">
        <x:v>667</x:v>
      </x:c>
      <x:c r="C23" s="7" t="s">
        <x:v>1124</x:v>
      </x:c>
      <x:c r="D23" s="7" t="s">
        <x:v>7107</x:v>
      </x:c>
      <x:c r="E23" s="7" t="s">
        <x:v>7108</x:v>
      </x:c>
    </x:row>
    <x:row r="24" ht="51.75" hidden="0" customHeight="1">
      <x:c r="A24" s="7" t="s">
        <x:v>7133</x:v>
      </x:c>
      <x:c r="B24" s="7" t="s">
        <x:v>671</x:v>
      </x:c>
      <x:c r="C24" s="7" t="s">
        <x:v>1124</x:v>
      </x:c>
      <x:c r="D24" s="7" t="s">
        <x:v>7107</x:v>
      </x:c>
      <x:c r="E24" s="7" t="s">
        <x:v>7117</x:v>
      </x:c>
    </x:row>
    <x:row r="25" ht="37.5" hidden="0" customHeight="1">
      <x:c r="A25" s="7" t="s">
        <x:v>7134</x:v>
      </x:c>
      <x:c r="B25" s="7" t="s">
        <x:v>683</x:v>
      </x:c>
      <x:c r="C25" s="7" t="s">
        <x:v>1124</x:v>
      </x:c>
      <x:c r="D25" s="7" t="s">
        <x:v>7107</x:v>
      </x:c>
      <x:c r="E25" s="7" t="s">
        <x:v>7108</x:v>
      </x:c>
    </x:row>
    <x:row r="26" ht="51.75" hidden="0" customHeight="1">
      <x:c r="A26" s="7" t="s">
        <x:v>7135</x:v>
      </x:c>
      <x:c r="B26" s="7" t="s">
        <x:v>687</x:v>
      </x:c>
      <x:c r="C26" s="7" t="s">
        <x:v>1124</x:v>
      </x:c>
      <x:c r="D26" s="7" t="s">
        <x:v>7107</x:v>
      </x:c>
      <x:c r="E26" s="7" t="s">
        <x:v>7115</x:v>
      </x:c>
    </x:row>
    <x:row r="27" ht="51.75" hidden="0" customHeight="1">
      <x:c r="A27" s="7" t="s">
        <x:v>7136</x:v>
      </x:c>
      <x:c r="B27" s="7" t="s">
        <x:v>708</x:v>
      </x:c>
      <x:c r="C27" s="7" t="s">
        <x:v>1124</x:v>
      </x:c>
      <x:c r="D27" s="7" t="s">
        <x:v>7107</x:v>
      </x:c>
      <x:c r="E27" s="7" t="s">
        <x:v>7115</x:v>
      </x:c>
    </x:row>
    <x:row r="28" ht="51.75" hidden="0" customHeight="1">
      <x:c r="A28" s="7" t="s">
        <x:v>7137</x:v>
      </x:c>
      <x:c r="B28" s="7" t="s">
        <x:v>719</x:v>
      </x:c>
      <x:c r="C28" s="7" t="s">
        <x:v>1124</x:v>
      </x:c>
      <x:c r="D28" s="7" t="s">
        <x:v>7107</x:v>
      </x:c>
      <x:c r="E28" s="7" t="s">
        <x:v>7115</x:v>
      </x:c>
    </x:row>
    <x:row r="29" ht="51.75" hidden="0" customHeight="1">
      <x:c r="A29" s="7" t="s">
        <x:v>7138</x:v>
      </x:c>
      <x:c r="B29" s="7" t="s">
        <x:v>728</x:v>
      </x:c>
      <x:c r="C29" s="7" t="s">
        <x:v>1124</x:v>
      </x:c>
      <x:c r="D29" s="7" t="s">
        <x:v>7107</x:v>
      </x:c>
      <x:c r="E29" s="7" t="s">
        <x:v>7117</x:v>
      </x:c>
    </x:row>
    <x:row r="30" ht="51.75" hidden="0" customHeight="1">
      <x:c r="A30" s="7" t="s">
        <x:v>7139</x:v>
      </x:c>
      <x:c r="B30" s="7" t="s">
        <x:v>738</x:v>
      </x:c>
      <x:c r="C30" s="7" t="s">
        <x:v>1124</x:v>
      </x:c>
      <x:c r="D30" s="7" t="s">
        <x:v>7107</x:v>
      </x:c>
      <x:c r="E30" s="7" t="s">
        <x:v>7117</x:v>
      </x:c>
    </x:row>
    <x:row r="31" ht="51.75" hidden="0" customHeight="1">
      <x:c r="A31" s="7" t="s">
        <x:v>7140</x:v>
      </x:c>
      <x:c r="B31" s="7" t="s">
        <x:v>759</x:v>
      </x:c>
      <x:c r="C31" s="7" t="s">
        <x:v>1124</x:v>
      </x:c>
      <x:c r="D31" s="7" t="str">
        <x:v>Gap</x:v>
      </x:c>
      <x:c r="E31" s="7" t="str">
        <x:v>2 distinct manufacturers documented against target 3 after adding Fiberon PET-GF15 (G068-02) on 2026-09-13.</x:v>
      </x:c>
    </x:row>
    <x:row r="32" ht="51.75" hidden="0" customHeight="1">
      <x:c r="A32" s="7" t="s">
        <x:v>7141</x:v>
      </x:c>
      <x:c r="B32" s="7" t="s">
        <x:v>768</x:v>
      </x:c>
      <x:c r="C32" s="7" t="s">
        <x:v>1124</x:v>
      </x:c>
      <x:c r="D32" s="7" t="s">
        <x:v>7107</x:v>
      </x:c>
      <x:c r="E32" s="7" t="s">
        <x:v>7117</x:v>
      </x:c>
    </x:row>
    <x:row r="33" ht="51.75" hidden="0" customHeight="1">
      <x:c r="A33" s="7" t="s">
        <x:v>7142</x:v>
      </x:c>
      <x:c r="B33" s="7" t="s">
        <x:v>792</x:v>
      </x:c>
      <x:c r="C33" s="7" t="s">
        <x:v>1124</x:v>
      </x:c>
      <x:c r="D33" s="7" t="s">
        <x:v>7107</x:v>
      </x:c>
      <x:c r="E33" s="7" t="s">
        <x:v>7117</x:v>
      </x:c>
    </x:row>
    <x:row r="34" ht="51.75" hidden="0" customHeight="1">
      <x:c r="A34" s="7" t="s">
        <x:v>7143</x:v>
      </x:c>
      <x:c r="B34" s="7" t="s">
        <x:v>802</x:v>
      </x:c>
      <x:c r="C34" s="7" t="s">
        <x:v>1124</x:v>
      </x:c>
      <x:c r="D34" s="7" t="s">
        <x:v>7107</x:v>
      </x:c>
      <x:c r="E34" s="7" t="s">
        <x:v>7115</x:v>
      </x:c>
    </x:row>
    <x:row r="35" ht="51.75" hidden="0" customHeight="1">
      <x:c r="A35" s="7" t="s">
        <x:v>7144</x:v>
      </x:c>
      <x:c r="B35" s="7" t="s">
        <x:v>824</x:v>
      </x:c>
      <x:c r="C35" s="7" t="s">
        <x:v>1124</x:v>
      </x:c>
      <x:c r="D35" s="7" t="s">
        <x:v>7107</x:v>
      </x:c>
      <x:c r="E35" s="7" t="s">
        <x:v>7115</x:v>
      </x:c>
    </x:row>
    <x:row r="36" ht="51.75" hidden="0" customHeight="1">
      <x:c r="A36" s="7" t="s">
        <x:v>7145</x:v>
      </x:c>
      <x:c r="B36" s="7" t="s">
        <x:v>847</x:v>
      </x:c>
      <x:c r="C36" s="7" t="s">
        <x:v>1124</x:v>
      </x:c>
      <x:c r="D36" s="7" t="s">
        <x:v>7107</x:v>
      </x:c>
      <x:c r="E36" s="7" t="s">
        <x:v>7117</x:v>
      </x:c>
    </x:row>
    <x:row r="37" ht="37.5" hidden="0" customHeight="1">
      <x:c r="A37" s="7" t="s">
        <x:v>7146</x:v>
      </x:c>
      <x:c r="B37" s="7" t="s">
        <x:v>856</x:v>
      </x:c>
      <x:c r="C37" s="7" t="s">
        <x:v>1124</x:v>
      </x:c>
      <x:c r="D37" s="7" t="str">
        <x:v>Resolved</x:v>
      </x:c>
      <x:c r="E37" s="7" t="str">
        <x:v>Exact current Bambu Support for PLA (New Version) grade and TDS recorded as G077-01 on 2026-09-13.</x:v>
      </x:c>
    </x:row>
    <x:row r="38" ht="51.75" hidden="0" customHeight="1">
      <x:c r="A38" s="7" t="s">
        <x:v>7147</x:v>
      </x:c>
      <x:c r="B38" s="7" t="s">
        <x:v>884</x:v>
      </x:c>
      <x:c r="C38" s="7" t="s">
        <x:v>1124</x:v>
      </x:c>
      <x:c r="D38" s="7" t="s">
        <x:v>7107</x:v>
      </x:c>
      <x:c r="E38" s="7" t="s">
        <x:v>7115</x:v>
      </x:c>
    </x:row>
    <x:row r="39" ht="51.75" hidden="0" customHeight="1">
      <x:c r="A39" s="7" t="s">
        <x:v>7148</x:v>
      </x:c>
      <x:c r="B39" s="7" t="s">
        <x:v>898</x:v>
      </x:c>
      <x:c r="C39" s="7" t="s">
        <x:v>1124</x:v>
      </x:c>
      <x:c r="D39" s="7" t="s">
        <x:v>7107</x:v>
      </x:c>
      <x:c r="E39" s="7" t="s">
        <x:v>7115</x:v>
      </x:c>
    </x:row>
    <x:row r="40" ht="51.75" hidden="0" customHeight="1">
      <x:c r="A40" s="7" t="s">
        <x:v>7149</x:v>
      </x:c>
      <x:c r="B40" s="7" t="s">
        <x:v>910</x:v>
      </x:c>
      <x:c r="C40" s="7" t="s">
        <x:v>1124</x:v>
      </x:c>
      <x:c r="D40" s="7" t="s">
        <x:v>7107</x:v>
      </x:c>
      <x:c r="E40" s="7" t="s">
        <x:v>7117</x:v>
      </x:c>
    </x:row>
    <x:row r="41" ht="51.75" hidden="0" customHeight="1">
      <x:c r="A41" s="7" t="s">
        <x:v>7150</x:v>
      </x:c>
      <x:c r="B41" s="7" t="s">
        <x:v>921</x:v>
      </x:c>
      <x:c r="C41" s="7" t="s">
        <x:v>1124</x:v>
      </x:c>
      <x:c r="D41" s="7" t="s">
        <x:v>7107</x:v>
      </x:c>
      <x:c r="E41" s="7" t="s">
        <x:v>7117</x:v>
      </x:c>
    </x:row>
    <x:row r="42" ht="51.75" hidden="0" customHeight="1">
      <x:c r="A42" s="7" t="s">
        <x:v>7151</x:v>
      </x:c>
      <x:c r="B42" s="7" t="s">
        <x:v>928</x:v>
      </x:c>
      <x:c r="C42" s="7" t="s">
        <x:v>1124</x:v>
      </x:c>
      <x:c r="D42" s="7" t="s">
        <x:v>7107</x:v>
      </x:c>
      <x:c r="E42" s="7" t="s">
        <x:v>7117</x:v>
      </x:c>
    </x:row>
    <x:row r="43" ht="51.75" hidden="0" customHeight="1">
      <x:c r="A43" s="7" t="s">
        <x:v>7152</x:v>
      </x:c>
      <x:c r="B43" s="7" t="s">
        <x:v>936</x:v>
      </x:c>
      <x:c r="C43" s="7" t="s">
        <x:v>1124</x:v>
      </x:c>
      <x:c r="D43" s="7" t="s">
        <x:v>7107</x:v>
      </x:c>
      <x:c r="E43" s="7" t="s">
        <x:v>7117</x:v>
      </x:c>
    </x:row>
    <x:row r="44" ht="51.75" hidden="0" customHeight="1">
      <x:c r="A44" s="7" t="s">
        <x:v>7153</x:v>
      </x:c>
      <x:c r="B44" s="7" t="s">
        <x:v>944</x:v>
      </x:c>
      <x:c r="C44" s="7" t="s">
        <x:v>1124</x:v>
      </x:c>
      <x:c r="D44" s="7" t="s">
        <x:v>7107</x:v>
      </x:c>
      <x:c r="E44" s="7" t="s">
        <x:v>7117</x:v>
      </x:c>
    </x:row>
    <x:row r="45" ht="51.75" hidden="0" customHeight="1">
      <x:c r="A45" s="7" t="s">
        <x:v>7154</x:v>
      </x:c>
      <x:c r="B45" s="7" t="s">
        <x:v>957</x:v>
      </x:c>
      <x:c r="C45" s="7" t="s">
        <x:v>1124</x:v>
      </x:c>
      <x:c r="D45" s="7" t="s">
        <x:v>7107</x:v>
      </x:c>
      <x:c r="E45" s="7" t="s">
        <x:v>7115</x:v>
      </x:c>
    </x:row>
    <x:row r="46" ht="51.75" hidden="0" customHeight="1">
      <x:c r="A46" s="7" t="s">
        <x:v>7155</x:v>
      </x:c>
      <x:c r="B46" s="7" t="s">
        <x:v>969</x:v>
      </x:c>
      <x:c r="C46" s="7" t="s">
        <x:v>1124</x:v>
      </x:c>
      <x:c r="D46" s="7" t="s">
        <x:v>7107</x:v>
      </x:c>
      <x:c r="E46" s="7" t="s">
        <x:v>7117</x:v>
      </x:c>
    </x:row>
    <x:row r="47" ht="51.75" hidden="0" customHeight="1">
      <x:c r="A47" s="7" t="s">
        <x:v>7156</x:v>
      </x:c>
      <x:c r="B47" s="7" t="s">
        <x:v>978</x:v>
      </x:c>
      <x:c r="C47" s="7" t="s">
        <x:v>1124</x:v>
      </x:c>
      <x:c r="D47" s="7" t="s">
        <x:v>7107</x:v>
      </x:c>
      <x:c r="E47" s="7" t="s">
        <x:v>7115</x:v>
      </x:c>
    </x:row>
    <x:row r="48" ht="51.75" hidden="0" customHeight="1">
      <x:c r="A48" s="7" t="s">
        <x:v>7157</x:v>
      </x:c>
      <x:c r="B48" s="7" t="s">
        <x:v>990</x:v>
      </x:c>
      <x:c r="C48" s="7" t="s">
        <x:v>1124</x:v>
      </x:c>
      <x:c r="D48" s="7" t="str">
        <x:v>Resolved</x:v>
      </x:c>
      <x:c r="E48" s="7" t="str">
        <x:v>Panchroma CoPE (G091-02) recorded 2026-09-13 as the exact CoPE identity and representative grade. G091-01 duplicated Fillamentum CPE HG100 and is retained only as an audit trail.</x:v>
      </x:c>
    </x:row>
    <x:row r="49" ht="51.75" hidden="0" customHeight="1">
      <x:c r="A49" s="7" t="s">
        <x:v>7158</x:v>
      </x:c>
      <x:c r="B49" s="7" t="s">
        <x:v>997</x:v>
      </x:c>
      <x:c r="C49" s="7" t="s">
        <x:v>1124</x:v>
      </x:c>
      <x:c r="D49" s="7" t="s">
        <x:v>7107</x:v>
      </x:c>
      <x:c r="E49" s="7" t="s">
        <x:v>7117</x:v>
      </x:c>
    </x:row>
    <x:row r="50" ht="51.75" hidden="0" customHeight="1">
      <x:c r="A50" s="7" t="s">
        <x:v>7159</x:v>
      </x:c>
      <x:c r="B50" s="7" t="s">
        <x:v>1007</x:v>
      </x:c>
      <x:c r="C50" s="7" t="s">
        <x:v>1124</x:v>
      </x:c>
      <x:c r="D50" s="7" t="s">
        <x:v>7107</x:v>
      </x:c>
      <x:c r="E50" s="7" t="s">
        <x:v>7117</x:v>
      </x:c>
    </x:row>
    <x:row r="51" ht="51.75" hidden="0" customHeight="1">
      <x:c r="A51" s="7" t="s">
        <x:v>7160</x:v>
      </x:c>
      <x:c r="B51" s="7" t="s">
        <x:v>1031</x:v>
      </x:c>
      <x:c r="C51" s="7" t="s">
        <x:v>1124</x:v>
      </x:c>
      <x:c r="D51" s="7" t="s">
        <x:v>7107</x:v>
      </x:c>
      <x:c r="E51" s="7" t="s">
        <x:v>7117</x:v>
      </x:c>
    </x:row>
    <x:row r="52" ht="51.75" hidden="0" customHeight="1">
      <x:c r="A52" s="7" t="s">
        <x:v>7161</x:v>
      </x:c>
      <x:c r="B52" s="7" t="s">
        <x:v>1042</x:v>
      </x:c>
      <x:c r="C52" s="7" t="s">
        <x:v>1124</x:v>
      </x:c>
      <x:c r="D52" s="7" t="s">
        <x:v>7107</x:v>
      </x:c>
      <x:c r="E52" s="7" t="s">
        <x:v>7117</x:v>
      </x:c>
    </x:row>
    <x:row r="53" ht="51.75" hidden="0" customHeight="1">
      <x:c r="A53" s="7" t="s">
        <x:v>7162</x:v>
      </x:c>
      <x:c r="B53" s="7" t="s">
        <x:v>1051</x:v>
      </x:c>
      <x:c r="C53" s="7" t="s">
        <x:v>1124</x:v>
      </x:c>
      <x:c r="D53" s="7" t="s">
        <x:v>7107</x:v>
      </x:c>
      <x:c r="E53" s="7" t="s">
        <x:v>7115</x:v>
      </x:c>
    </x:row>
    <x:row r="54" ht="51.75" hidden="0" customHeight="1">
      <x:c r="A54" s="7" t="s">
        <x:v>7163</x:v>
      </x:c>
      <x:c r="B54" s="7" t="s">
        <x:v>1068</x:v>
      </x:c>
      <x:c r="C54" s="7" t="s">
        <x:v>1124</x:v>
      </x:c>
      <x:c r="D54" s="7" t="s">
        <x:v>7107</x:v>
      </x:c>
      <x:c r="E54" s="7" t="s">
        <x:v>7117</x:v>
      </x:c>
    </x:row>
    <x:row r="55" ht="51.75" hidden="0" customHeight="1">
      <x:c r="A55" s="7" t="s">
        <x:v>7164</x:v>
      </x:c>
      <x:c r="B55" s="7" t="s">
        <x:v>1080</x:v>
      </x:c>
      <x:c r="C55" s="7" t="s">
        <x:v>1124</x:v>
      </x:c>
      <x:c r="D55" s="7" t="s">
        <x:v>7107</x:v>
      </x:c>
      <x:c r="E55" s="7" t="s">
        <x:v>7115</x:v>
      </x:c>
    </x:row>
    <x:row r="56" ht="51.75" hidden="0" customHeight="1">
      <x:c r="A56" s="7" t="s">
        <x:v>7165</x:v>
      </x:c>
      <x:c r="B56" s="7" t="s">
        <x:v>1093</x:v>
      </x:c>
      <x:c r="C56" s="7" t="s">
        <x:v>1124</x:v>
      </x:c>
      <x:c r="D56" s="7" t="s">
        <x:v>7107</x:v>
      </x:c>
      <x:c r="E56" s="7" t="s">
        <x:v>7117</x:v>
      </x:c>
    </x:row>
    <x:row r="57" ht="51.75" hidden="0" customHeight="1">
      <x:c r="A57" s="7" t="s">
        <x:v>7166</x:v>
      </x:c>
      <x:c r="B57" s="7" t="s">
        <x:v>1104</x:v>
      </x:c>
      <x:c r="C57" s="7" t="s">
        <x:v>1124</x:v>
      </x:c>
      <x:c r="D57" s="7" t="s">
        <x:v>7107</x:v>
      </x:c>
      <x:c r="E57" s="7" t="s">
        <x:v>7117</x:v>
      </x:c>
    </x:row>
    <x:row r="58" ht="51.75" hidden="0" customHeight="1">
      <x:c r="A58" s="7" t="s">
        <x:v>7167</x:v>
      </x:c>
      <x:c r="B58" s="7" t="s">
        <x:v>1113</x:v>
      </x:c>
      <x:c r="C58" s="7" t="s">
        <x:v>1124</x:v>
      </x:c>
      <x:c r="D58" s="7" t="s">
        <x:v>7107</x:v>
      </x:c>
      <x:c r="E58" s="7" t="s">
        <x:v>7115</x:v>
      </x:c>
    </x:row>
    <x:row r="59" ht="37.5" hidden="0" customHeight="1">
      <x:c r="A59" s="7" t="s">
        <x:v>7168</x:v>
      </x:c>
      <x:c r="B59" s="7" t="s">
        <x:v>1080</x:v>
      </x:c>
      <x:c r="C59" s="7" t="s">
        <x:v>7169</x:v>
      </x:c>
      <x:c r="D59" s="7" t="s">
        <x:v>7170</x:v>
      </x:c>
      <x:c r="E59" s="7" t="s">
        <x:v>7171</x:v>
      </x:c>
    </x:row>
    <x:row r="60" ht="37.5" hidden="0" customHeight="1">
      <x:c r="A60" s="7" t="s">
        <x:v>7172</x:v>
      </x:c>
      <x:c r="B60" s="7" t="s">
        <x:v>1051</x:v>
      </x:c>
      <x:c r="C60" s="7" t="s">
        <x:v>7169</x:v>
      </x:c>
      <x:c r="D60" s="7" t="s">
        <x:v>7170</x:v>
      </x:c>
      <x:c r="E60" s="7" t="s">
        <x:v>7173</x:v>
      </x:c>
    </x:row>
    <x:row r="61" ht="37.5" hidden="0" customHeight="1">
      <x:c r="A61" s="7" t="s">
        <x:v>7174</x:v>
      </x:c>
      <x:c r="B61" s="7" t="s">
        <x:v>738</x:v>
      </x:c>
      <x:c r="C61" s="7" t="s">
        <x:v>7169</x:v>
      </x:c>
      <x:c r="D61" s="7" t="s">
        <x:v>7175</x:v>
      </x:c>
      <x:c r="E61" s="7" t="s">
        <x:v>7176</x:v>
      </x:c>
    </x:row>
    <x:row r="62" ht="37.5" hidden="0" customHeight="1">
      <x:c r="A62" s="7" t="s">
        <x:v>7177</x:v>
      </x:c>
      <x:c r="B62" s="7" t="s">
        <x:v>768</x:v>
      </x:c>
      <x:c r="C62" s="7" t="s">
        <x:v>7178</x:v>
      </x:c>
      <x:c r="D62" s="7" t="s">
        <x:v>7175</x:v>
      </x:c>
      <x:c r="E62" s="7" t="s">
        <x:v>7179</x:v>
      </x:c>
    </x:row>
    <x:row r="63" ht="37.5" hidden="0" customHeight="1">
      <x:c r="A63" s="7" t="s">
        <x:v>7180</x:v>
      </x:c>
      <x:c r="B63" s="7" t="s">
        <x:v>1051</x:v>
      </x:c>
      <x:c r="C63" s="7" t="s">
        <x:v>7181</x:v>
      </x:c>
      <x:c r="D63" s="7" t="s">
        <x:v>7175</x:v>
      </x:c>
      <x:c r="E63" s="7" t="s">
        <x:v>7182</x:v>
      </x:c>
    </x:row>
    <x:row r="64" ht="51.75" hidden="0" customHeight="1">
      <x:c r="A64" s="7" t="s">
        <x:v>7183</x:v>
      </x:c>
      <x:c r="B64" s="7" t="s">
        <x:v>390</x:v>
      </x:c>
      <x:c r="C64" s="7" t="s">
        <x:v>7184</x:v>
      </x:c>
      <x:c r="D64" s="7" t="s">
        <x:v>7170</x:v>
      </x:c>
      <x:c r="E64" s="7" t="s">
        <x:v>7185</x:v>
      </x:c>
    </x:row>
    <x:row r="65" ht="51.75" hidden="0" customHeight="1">
      <x:c r="A65" s="7" t="s">
        <x:v>7186</x:v>
      </x:c>
      <x:c r="B65" s="7" t="s">
        <x:v>437</x:v>
      </x:c>
      <x:c r="C65" s="7" t="s">
        <x:v>7184</x:v>
      </x:c>
      <x:c r="D65" s="7" t="s">
        <x:v>7170</x:v>
      </x:c>
      <x:c r="E65" s="7" t="s">
        <x:v>7185</x:v>
      </x:c>
    </x:row>
    <x:row r="66" ht="51.75" hidden="0" customHeight="1">
      <x:c r="A66" s="7" t="s">
        <x:v>7187</x:v>
      </x:c>
      <x:c r="B66" s="7" t="s">
        <x:v>616</x:v>
      </x:c>
      <x:c r="C66" s="7" t="s">
        <x:v>7184</x:v>
      </x:c>
      <x:c r="D66" s="7" t="s">
        <x:v>7170</x:v>
      </x:c>
      <x:c r="E66" s="7" t="s">
        <x:v>7185</x:v>
      </x:c>
    </x:row>
    <x:row r="67" ht="51.75" hidden="0" customHeight="1">
      <x:c r="A67" s="7" t="s">
        <x:v>7188</x:v>
      </x:c>
      <x:c r="B67" s="7" t="s">
        <x:v>1020</x:v>
      </x:c>
      <x:c r="C67" s="7" t="s">
        <x:v>7184</x:v>
      </x:c>
      <x:c r="D67" s="7" t="s">
        <x:v>7170</x:v>
      </x:c>
      <x:c r="E67" s="7" t="s">
        <x:v>7185</x:v>
      </x:c>
    </x:row>
    <x:row r="68" ht="30" hidden="0" customHeight="1">
      <x:c r="A68" s="7" t="s">
        <x:v>7189</x:v>
      </x:c>
      <x:c r="B68" s="7" t="s">
        <x:v>45</x:v>
      </x:c>
      <x:c r="C68" s="7" t="s">
        <x:v>7190</x:v>
      </x:c>
      <x:c r="D68" s="7" t="s">
        <x:v>7191</x:v>
      </x:c>
      <x:c r="E68" s="7" t="s">
        <x:v>7192</x:v>
      </x:c>
    </x:row>
    <x:row r="69" ht="37.5" hidden="0" customHeight="1">
      <x:c r="A69" s="7" t="s">
        <x:v>7193</x:v>
      </x:c>
      <x:c r="B69" s="7" t="s">
        <x:v>45</x:v>
      </x:c>
      <x:c r="C69" s="7" t="s">
        <x:v>5</x:v>
      </x:c>
      <x:c r="D69" s="7" t="s">
        <x:v>7191</x:v>
      </x:c>
      <x:c r="E69" s="7" t="s">
        <x:v>7194</x:v>
      </x:c>
    </x:row>
    <x:row r="70" ht="30" hidden="0" customHeight="1">
      <x:c r="A70" s="7" t="s">
        <x:v>7195</x:v>
      </x:c>
      <x:c r="B70" s="7" t="s">
        <x:v>45</x:v>
      </x:c>
      <x:c r="C70" s="7" t="s">
        <x:v>1450</x:v>
      </x:c>
      <x:c r="D70" s="7" t="s">
        <x:v>7191</x:v>
      </x:c>
      <x:c r="E70" s="7" t="s">
        <x:v>7196</x:v>
      </x:c>
    </x:row>
    <x:row r="71" ht="30" hidden="0" customHeight="1">
      <x:c r="A71" s="7" t="s">
        <x:v>7197</x:v>
      </x:c>
      <x:c r="B71" s="7" t="s">
        <x:v>45</x:v>
      </x:c>
      <x:c r="C71" s="7" t="s">
        <x:v>7198</x:v>
      </x:c>
      <x:c r="D71" s="7" t="s">
        <x:v>7191</x:v>
      </x:c>
      <x:c r="E71" s="7" t="s">
        <x:v>7199</x:v>
      </x:c>
    </x:row>
    <x:row r="72" ht="30" hidden="0" customHeight="1">
      <x:c r="A72" s="7" t="s">
        <x:v>7200</x:v>
      </x:c>
      <x:c r="B72" s="7" t="s">
        <x:v>45</x:v>
      </x:c>
      <x:c r="C72" s="7" t="s">
        <x:v>7201</x:v>
      </x:c>
      <x:c r="D72" s="7" t="s">
        <x:v>7191</x:v>
      </x:c>
      <x:c r="E72" s="7" t="s">
        <x:v>7202</x:v>
      </x:c>
    </x:row>
    <x:row r="73" ht="37.5" hidden="0" customHeight="1">
      <x:c r="A73" s="7" t="s">
        <x:v>7203</x:v>
      </x:c>
      <x:c r="B73" s="7" t="s">
        <x:v>45</x:v>
      </x:c>
      <x:c r="C73" s="7" t="s">
        <x:v>7204</x:v>
      </x:c>
      <x:c r="D73" s="7" t="s">
        <x:v>7191</x:v>
      </x:c>
      <x:c r="E73" s="7" t="s">
        <x:v>7205</x:v>
      </x:c>
    </x:row>
    <x:row r="74" ht="37.5" hidden="0" customHeight="1">
      <x:c r="A74" s="7" t="s">
        <x:v>7206</x:v>
      </x:c>
      <x:c r="B74" s="7" t="s">
        <x:v>45</x:v>
      </x:c>
      <x:c r="C74" s="7" t="s">
        <x:v>7207</x:v>
      </x:c>
      <x:c r="D74" s="7" t="s">
        <x:v>7191</x:v>
      </x:c>
      <x:c r="E74" s="7" t="s">
        <x:v>7208</x:v>
      </x:c>
    </x:row>
    <x:row r="75" ht="37.5" hidden="0" customHeight="1">
      <x:c r="A75" s="7" t="s">
        <x:v>7209</x:v>
      </x:c>
      <x:c r="B75" s="7" t="s">
        <x:v>45</x:v>
      </x:c>
      <x:c r="C75" s="7" t="s">
        <x:v>7210</x:v>
      </x:c>
      <x:c r="D75" s="7" t="s">
        <x:v>7107</x:v>
      </x:c>
      <x:c r="E75" s="7" t="s">
        <x:v>7211</x:v>
      </x:c>
    </x:row>
    <x:row r="76" ht="51.75" hidden="0" customHeight="1">
      <x:c r="A76" s="7" t="s">
        <x:v>7212</x:v>
      </x:c>
      <x:c r="B76" s="7" t="s">
        <x:v>45</x:v>
      </x:c>
      <x:c r="C76" s="7" t="s">
        <x:v>7213</x:v>
      </x:c>
      <x:c r="D76" s="7" t="s">
        <x:v>7107</x:v>
      </x:c>
      <x:c r="E76" s="7" t="s">
        <x:v>7214</x:v>
      </x:c>
    </x:row>
    <x:row r="77" ht="37.5" hidden="0" customHeight="1">
      <x:c r="A77" s="7" t="s">
        <x:v>7215</x:v>
      </x:c>
      <x:c r="B77" s="7" t="s">
        <x:v>45</x:v>
      </x:c>
      <x:c r="C77" s="7" t="s">
        <x:v>7216</x:v>
      </x:c>
      <x:c r="D77" s="7" t="s">
        <x:v>7217</x:v>
      </x:c>
      <x:c r="E77" s="7" t="s">
        <x:v>7218</x:v>
      </x:c>
    </x:row>
    <x:row r="78" ht="30" hidden="0" customHeight="1">
      <x:c r="A78" s="7" t="s">
        <x:v>7219</x:v>
      </x:c>
      <x:c r="B78" s="7" t="s">
        <x:v>76</x:v>
      </x:c>
      <x:c r="C78" s="7" t="s">
        <x:v>7190</x:v>
      </x:c>
      <x:c r="D78" s="7" t="s">
        <x:v>7191</x:v>
      </x:c>
      <x:c r="E78" s="7" t="s">
        <x:v>7192</x:v>
      </x:c>
    </x:row>
    <x:row r="79" ht="37.5" hidden="0" customHeight="1">
      <x:c r="A79" s="7" t="s">
        <x:v>7220</x:v>
      </x:c>
      <x:c r="B79" s="7" t="s">
        <x:v>76</x:v>
      </x:c>
      <x:c r="C79" s="7" t="s">
        <x:v>5</x:v>
      </x:c>
      <x:c r="D79" s="7" t="s">
        <x:v>7191</x:v>
      </x:c>
      <x:c r="E79" s="7" t="s">
        <x:v>7194</x:v>
      </x:c>
    </x:row>
    <x:row r="80" ht="30" hidden="0" customHeight="1">
      <x:c r="A80" s="7" t="s">
        <x:v>7221</x:v>
      </x:c>
      <x:c r="B80" s="7" t="s">
        <x:v>76</x:v>
      </x:c>
      <x:c r="C80" s="7" t="s">
        <x:v>1450</x:v>
      </x:c>
      <x:c r="D80" s="7" t="s">
        <x:v>7191</x:v>
      </x:c>
      <x:c r="E80" s="7" t="s">
        <x:v>7196</x:v>
      </x:c>
    </x:row>
    <x:row r="81" ht="30" hidden="0" customHeight="1">
      <x:c r="A81" s="7" t="s">
        <x:v>7222</x:v>
      </x:c>
      <x:c r="B81" s="7" t="s">
        <x:v>76</x:v>
      </x:c>
      <x:c r="C81" s="7" t="s">
        <x:v>7198</x:v>
      </x:c>
      <x:c r="D81" s="7" t="s">
        <x:v>7191</x:v>
      </x:c>
      <x:c r="E81" s="7" t="s">
        <x:v>7199</x:v>
      </x:c>
    </x:row>
    <x:row r="82" ht="30" hidden="0" customHeight="1">
      <x:c r="A82" s="7" t="s">
        <x:v>7223</x:v>
      </x:c>
      <x:c r="B82" s="7" t="s">
        <x:v>76</x:v>
      </x:c>
      <x:c r="C82" s="7" t="s">
        <x:v>7201</x:v>
      </x:c>
      <x:c r="D82" s="7" t="s">
        <x:v>7191</x:v>
      </x:c>
      <x:c r="E82" s="7" t="s">
        <x:v>7202</x:v>
      </x:c>
    </x:row>
    <x:row r="83" ht="37.5" hidden="0" customHeight="1">
      <x:c r="A83" s="7" t="s">
        <x:v>7224</x:v>
      </x:c>
      <x:c r="B83" s="7" t="s">
        <x:v>76</x:v>
      </x:c>
      <x:c r="C83" s="7" t="s">
        <x:v>7204</x:v>
      </x:c>
      <x:c r="D83" s="7" t="s">
        <x:v>7191</x:v>
      </x:c>
      <x:c r="E83" s="7" t="s">
        <x:v>7205</x:v>
      </x:c>
    </x:row>
    <x:row r="84" ht="37.5" hidden="0" customHeight="1">
      <x:c r="A84" s="7" t="s">
        <x:v>7225</x:v>
      </x:c>
      <x:c r="B84" s="7" t="s">
        <x:v>76</x:v>
      </x:c>
      <x:c r="C84" s="7" t="s">
        <x:v>7207</x:v>
      </x:c>
      <x:c r="D84" s="7" t="s">
        <x:v>7191</x:v>
      </x:c>
      <x:c r="E84" s="7" t="s">
        <x:v>7208</x:v>
      </x:c>
    </x:row>
    <x:row r="85" ht="30" hidden="0" customHeight="1">
      <x:c r="A85" s="7" t="s">
        <x:v>7226</x:v>
      </x:c>
      <x:c r="B85" s="7" t="s">
        <x:v>76</x:v>
      </x:c>
      <x:c r="C85" s="7" t="s">
        <x:v>7210</x:v>
      </x:c>
      <x:c r="D85" s="7" t="s">
        <x:v>7191</x:v>
      </x:c>
      <x:c r="E85" s="7" t="s">
        <x:v>87</x:v>
      </x:c>
    </x:row>
    <x:row r="86" ht="51.75" hidden="0" customHeight="1">
      <x:c r="A86" s="7" t="s">
        <x:v>7227</x:v>
      </x:c>
      <x:c r="B86" s="7" t="s">
        <x:v>76</x:v>
      </x:c>
      <x:c r="C86" s="7" t="s">
        <x:v>7213</x:v>
      </x:c>
      <x:c r="D86" s="7" t="s">
        <x:v>7107</x:v>
      </x:c>
      <x:c r="E86" s="7" t="s">
        <x:v>7214</x:v>
      </x:c>
    </x:row>
    <x:row r="87" ht="37.5" hidden="0" customHeight="1">
      <x:c r="A87" s="7" t="s">
        <x:v>7228</x:v>
      </x:c>
      <x:c r="B87" s="7" t="s">
        <x:v>76</x:v>
      </x:c>
      <x:c r="C87" s="7" t="s">
        <x:v>7216</x:v>
      </x:c>
      <x:c r="D87" s="7" t="s">
        <x:v>7217</x:v>
      </x:c>
      <x:c r="E87" s="7" t="s">
        <x:v>7218</x:v>
      </x:c>
    </x:row>
    <x:row r="88" ht="30" hidden="0" customHeight="1">
      <x:c r="A88" s="7" t="s">
        <x:v>7229</x:v>
      </x:c>
      <x:c r="B88" s="7" t="s">
        <x:v>94</x:v>
      </x:c>
      <x:c r="C88" s="7" t="s">
        <x:v>7190</x:v>
      </x:c>
      <x:c r="D88" s="7" t="s">
        <x:v>7191</x:v>
      </x:c>
      <x:c r="E88" s="7" t="s">
        <x:v>7192</x:v>
      </x:c>
    </x:row>
    <x:row r="89" ht="37.5" hidden="0" customHeight="1">
      <x:c r="A89" s="7" t="s">
        <x:v>7230</x:v>
      </x:c>
      <x:c r="B89" s="7" t="s">
        <x:v>94</x:v>
      </x:c>
      <x:c r="C89" s="7" t="s">
        <x:v>5</x:v>
      </x:c>
      <x:c r="D89" s="7" t="s">
        <x:v>7191</x:v>
      </x:c>
      <x:c r="E89" s="7" t="s">
        <x:v>7194</x:v>
      </x:c>
    </x:row>
    <x:row r="90" ht="30" hidden="0" customHeight="1">
      <x:c r="A90" s="7" t="s">
        <x:v>7231</x:v>
      </x:c>
      <x:c r="B90" s="7" t="s">
        <x:v>94</x:v>
      </x:c>
      <x:c r="C90" s="7" t="s">
        <x:v>1450</x:v>
      </x:c>
      <x:c r="D90" s="7" t="s">
        <x:v>7191</x:v>
      </x:c>
      <x:c r="E90" s="7" t="s">
        <x:v>7196</x:v>
      </x:c>
    </x:row>
    <x:row r="91" ht="30" hidden="0" customHeight="1">
      <x:c r="A91" s="7" t="s">
        <x:v>7232</x:v>
      </x:c>
      <x:c r="B91" s="7" t="s">
        <x:v>94</x:v>
      </x:c>
      <x:c r="C91" s="7" t="s">
        <x:v>7198</x:v>
      </x:c>
      <x:c r="D91" s="7" t="s">
        <x:v>7191</x:v>
      </x:c>
      <x:c r="E91" s="7" t="s">
        <x:v>7199</x:v>
      </x:c>
    </x:row>
    <x:row r="92" ht="30" hidden="0" customHeight="1">
      <x:c r="A92" s="7" t="s">
        <x:v>7233</x:v>
      </x:c>
      <x:c r="B92" s="7" t="s">
        <x:v>94</x:v>
      </x:c>
      <x:c r="C92" s="7" t="s">
        <x:v>7201</x:v>
      </x:c>
      <x:c r="D92" s="7" t="s">
        <x:v>7191</x:v>
      </x:c>
      <x:c r="E92" s="7" t="s">
        <x:v>7202</x:v>
      </x:c>
    </x:row>
    <x:row r="93" ht="37.5" hidden="0" customHeight="1">
      <x:c r="A93" s="7" t="s">
        <x:v>7234</x:v>
      </x:c>
      <x:c r="B93" s="7" t="s">
        <x:v>94</x:v>
      </x:c>
      <x:c r="C93" s="7" t="s">
        <x:v>7204</x:v>
      </x:c>
      <x:c r="D93" s="7" t="s">
        <x:v>7191</x:v>
      </x:c>
      <x:c r="E93" s="7" t="s">
        <x:v>7205</x:v>
      </x:c>
    </x:row>
    <x:row r="94" ht="37.5" hidden="0" customHeight="1">
      <x:c r="A94" s="7" t="s">
        <x:v>7235</x:v>
      </x:c>
      <x:c r="B94" s="7" t="s">
        <x:v>94</x:v>
      </x:c>
      <x:c r="C94" s="7" t="s">
        <x:v>7207</x:v>
      </x:c>
      <x:c r="D94" s="7" t="s">
        <x:v>7191</x:v>
      </x:c>
      <x:c r="E94" s="7" t="s">
        <x:v>7208</x:v>
      </x:c>
    </x:row>
    <x:row r="95" ht="30" hidden="0" customHeight="1">
      <x:c r="A95" s="7" t="s">
        <x:v>7236</x:v>
      </x:c>
      <x:c r="B95" s="7" t="s">
        <x:v>94</x:v>
      </x:c>
      <x:c r="C95" s="7" t="s">
        <x:v>7210</x:v>
      </x:c>
      <x:c r="D95" s="7" t="s">
        <x:v>7191</x:v>
      </x:c>
      <x:c r="E95" s="7" t="s">
        <x:v>87</x:v>
      </x:c>
    </x:row>
    <x:row r="96" ht="51.75" hidden="0" customHeight="1">
      <x:c r="A96" s="7" t="s">
        <x:v>7237</x:v>
      </x:c>
      <x:c r="B96" s="7" t="s">
        <x:v>94</x:v>
      </x:c>
      <x:c r="C96" s="7" t="s">
        <x:v>7213</x:v>
      </x:c>
      <x:c r="D96" s="7" t="s">
        <x:v>7107</x:v>
      </x:c>
      <x:c r="E96" s="7" t="s">
        <x:v>7214</x:v>
      </x:c>
    </x:row>
    <x:row r="97" ht="37.5" hidden="0" customHeight="1">
      <x:c r="A97" s="7" t="s">
        <x:v>7238</x:v>
      </x:c>
      <x:c r="B97" s="7" t="s">
        <x:v>94</x:v>
      </x:c>
      <x:c r="C97" s="7" t="s">
        <x:v>7216</x:v>
      </x:c>
      <x:c r="D97" s="7" t="s">
        <x:v>7217</x:v>
      </x:c>
      <x:c r="E97" s="7" t="s">
        <x:v>7218</x:v>
      </x:c>
    </x:row>
    <x:row r="98" ht="30" hidden="0" customHeight="1">
      <x:c r="A98" s="7" t="s">
        <x:v>7239</x:v>
      </x:c>
      <x:c r="B98" s="7" t="s">
        <x:v>104</x:v>
      </x:c>
      <x:c r="C98" s="7" t="s">
        <x:v>7190</x:v>
      </x:c>
      <x:c r="D98" s="7" t="s">
        <x:v>7191</x:v>
      </x:c>
      <x:c r="E98" s="7" t="s">
        <x:v>7192</x:v>
      </x:c>
    </x:row>
    <x:row r="99" ht="37.5" hidden="0" customHeight="1">
      <x:c r="A99" s="7" t="s">
        <x:v>7240</x:v>
      </x:c>
      <x:c r="B99" s="7" t="s">
        <x:v>104</x:v>
      </x:c>
      <x:c r="C99" s="7" t="s">
        <x:v>5</x:v>
      </x:c>
      <x:c r="D99" s="7" t="s">
        <x:v>7191</x:v>
      </x:c>
      <x:c r="E99" s="7" t="s">
        <x:v>7194</x:v>
      </x:c>
    </x:row>
    <x:row r="100" ht="37.5" hidden="0" customHeight="1">
      <x:c r="A100" s="7" t="s">
        <x:v>7241</x:v>
      </x:c>
      <x:c r="B100" s="7" t="s">
        <x:v>104</x:v>
      </x:c>
      <x:c r="C100" s="7" t="s">
        <x:v>1450</x:v>
      </x:c>
      <x:c r="D100" s="7" t="str">
        <x:v>Evidence recorded</x:v>
      </x:c>
      <x:c r="E100" s="7" t="str">
        <x:v>eSUN PLA-Lite printing parameters recorded as P0161; no enclosure needed.</x:v>
      </x:c>
    </x:row>
    <x:row r="101" ht="37.5" hidden="0" customHeight="1">
      <x:c r="A101" s="7" t="s">
        <x:v>7242</x:v>
      </x:c>
      <x:c r="B101" s="7" t="s">
        <x:v>104</x:v>
      </x:c>
      <x:c r="C101" s="7" t="s">
        <x:v>7198</x:v>
      </x:c>
      <x:c r="D101" s="7" t="str">
        <x:v>Evidence recorded</x:v>
      </x:c>
      <x:c r="E101" s="7" t="str">
        <x:v>eSUN PLA-Lite XY and Z tensile strength, elongation, flexural and Izod values recorded. Tensile modulus is not published; 3114.92 MPa is flexural and is not substituted.</x:v>
      </x:c>
    </x:row>
    <x:row r="102" ht="37.5" hidden="0" customHeight="1">
      <x:c r="A102" s="7" t="s">
        <x:v>7243</x:v>
      </x:c>
      <x:c r="B102" s="7" t="s">
        <x:v>104</x:v>
      </x:c>
      <x:c r="C102" s="7" t="s">
        <x:v>7201</x:v>
      </x:c>
      <x:c r="D102" s="7" t="str">
        <x:v>Partially resolved</x:v>
      </x:c>
      <x:c r="E102" s="7" t="str">
        <x:v>HDT 53 °C recorded; the page states neither the standard nor the load, so it carries the load-not-stated caveat.</x:v>
      </x:c>
    </x:row>
    <x:row r="103" ht="37.5" hidden="0" customHeight="1">
      <x:c r="A103" s="7" t="s">
        <x:v>7244</x:v>
      </x:c>
      <x:c r="B103" s="7" t="s">
        <x:v>104</x:v>
      </x:c>
      <x:c r="C103" s="7" t="s">
        <x:v>7204</x:v>
      </x:c>
      <x:c r="D103" s="7" t="s">
        <x:v>7107</x:v>
      </x:c>
      <x:c r="E103" s="7" t="s">
        <x:v>7211</x:v>
      </x:c>
    </x:row>
    <x:row r="104" ht="37.5" hidden="0" customHeight="1">
      <x:c r="A104" s="7" t="s">
        <x:v>7245</x:v>
      </x:c>
      <x:c r="B104" s="7" t="s">
        <x:v>104</x:v>
      </x:c>
      <x:c r="C104" s="7" t="s">
        <x:v>7207</x:v>
      </x:c>
      <x:c r="D104" s="7" t="s">
        <x:v>7107</x:v>
      </x:c>
      <x:c r="E104" s="7" t="s">
        <x:v>7211</x:v>
      </x:c>
    </x:row>
    <x:row r="105" ht="37.5" hidden="0" customHeight="1">
      <x:c r="A105" s="7" t="s">
        <x:v>7246</x:v>
      </x:c>
      <x:c r="B105" s="7" t="s">
        <x:v>104</x:v>
      </x:c>
      <x:c r="C105" s="7" t="s">
        <x:v>7210</x:v>
      </x:c>
      <x:c r="D105" s="7" t="s">
        <x:v>7107</x:v>
      </x:c>
      <x:c r="E105" s="7" t="s">
        <x:v>7211</x:v>
      </x:c>
    </x:row>
    <x:row r="106" ht="51.75" hidden="0" customHeight="1">
      <x:c r="A106" s="7" t="s">
        <x:v>7247</x:v>
      </x:c>
      <x:c r="B106" s="7" t="s">
        <x:v>104</x:v>
      </x:c>
      <x:c r="C106" s="7" t="s">
        <x:v>7213</x:v>
      </x:c>
      <x:c r="D106" s="7" t="s">
        <x:v>7107</x:v>
      </x:c>
      <x:c r="E106" s="7" t="s">
        <x:v>7214</x:v>
      </x:c>
    </x:row>
    <x:row r="107" ht="30" hidden="0" customHeight="1">
      <x:c r="A107" s="7" t="s">
        <x:v>7248</x:v>
      </x:c>
      <x:c r="B107" s="7" t="s">
        <x:v>111</x:v>
      </x:c>
      <x:c r="C107" s="7" t="s">
        <x:v>7190</x:v>
      </x:c>
      <x:c r="D107" s="7" t="s">
        <x:v>7191</x:v>
      </x:c>
      <x:c r="E107" s="7" t="s">
        <x:v>7192</x:v>
      </x:c>
    </x:row>
    <x:row r="108" ht="37.5" hidden="0" customHeight="1">
      <x:c r="A108" s="7" t="s">
        <x:v>7249</x:v>
      </x:c>
      <x:c r="B108" s="7" t="s">
        <x:v>111</x:v>
      </x:c>
      <x:c r="C108" s="7" t="s">
        <x:v>5</x:v>
      </x:c>
      <x:c r="D108" s="7" t="s">
        <x:v>7191</x:v>
      </x:c>
      <x:c r="E108" s="7" t="s">
        <x:v>7194</x:v>
      </x:c>
    </x:row>
    <x:row r="109" ht="30" hidden="0" customHeight="1">
      <x:c r="A109" s="7" t="s">
        <x:v>7250</x:v>
      </x:c>
      <x:c r="B109" s="7" t="s">
        <x:v>111</x:v>
      </x:c>
      <x:c r="C109" s="7" t="s">
        <x:v>1450</x:v>
      </x:c>
      <x:c r="D109" s="7" t="s">
        <x:v>7191</x:v>
      </x:c>
      <x:c r="E109" s="7" t="s">
        <x:v>7196</x:v>
      </x:c>
    </x:row>
    <x:row r="110" ht="30" hidden="0" customHeight="1">
      <x:c r="A110" s="7" t="s">
        <x:v>7251</x:v>
      </x:c>
      <x:c r="B110" s="7" t="s">
        <x:v>111</x:v>
      </x:c>
      <x:c r="C110" s="7" t="s">
        <x:v>7198</x:v>
      </x:c>
      <x:c r="D110" s="7" t="s">
        <x:v>7191</x:v>
      </x:c>
      <x:c r="E110" s="7" t="s">
        <x:v>7199</x:v>
      </x:c>
    </x:row>
    <x:row r="111" ht="30" hidden="0" customHeight="1">
      <x:c r="A111" s="7" t="s">
        <x:v>7252</x:v>
      </x:c>
      <x:c r="B111" s="7" t="s">
        <x:v>111</x:v>
      </x:c>
      <x:c r="C111" s="7" t="s">
        <x:v>7201</x:v>
      </x:c>
      <x:c r="D111" s="7" t="s">
        <x:v>7191</x:v>
      </x:c>
      <x:c r="E111" s="7" t="s">
        <x:v>7202</x:v>
      </x:c>
    </x:row>
    <x:row r="112" ht="37.5" hidden="0" customHeight="1">
      <x:c r="A112" s="7" t="s">
        <x:v>7253</x:v>
      </x:c>
      <x:c r="B112" s="7" t="s">
        <x:v>111</x:v>
      </x:c>
      <x:c r="C112" s="7" t="s">
        <x:v>7204</x:v>
      </x:c>
      <x:c r="D112" s="7" t="s">
        <x:v>7191</x:v>
      </x:c>
      <x:c r="E112" s="7" t="s">
        <x:v>7205</x:v>
      </x:c>
    </x:row>
    <x:row r="113" ht="37.5" hidden="0" customHeight="1">
      <x:c r="A113" s="7" t="s">
        <x:v>7254</x:v>
      </x:c>
      <x:c r="B113" s="7" t="s">
        <x:v>111</x:v>
      </x:c>
      <x:c r="C113" s="7" t="s">
        <x:v>7207</x:v>
      </x:c>
      <x:c r="D113" s="7" t="s">
        <x:v>7191</x:v>
      </x:c>
      <x:c r="E113" s="7" t="s">
        <x:v>7208</x:v>
      </x:c>
    </x:row>
    <x:row r="114" ht="37.5" hidden="0" customHeight="1">
      <x:c r="A114" s="7" t="s">
        <x:v>7255</x:v>
      </x:c>
      <x:c r="B114" s="7" t="s">
        <x:v>111</x:v>
      </x:c>
      <x:c r="C114" s="7" t="s">
        <x:v>7210</x:v>
      </x:c>
      <x:c r="D114" s="7" t="s">
        <x:v>7107</x:v>
      </x:c>
      <x:c r="E114" s="7" t="s">
        <x:v>7211</x:v>
      </x:c>
    </x:row>
    <x:row r="115" ht="51.75" hidden="0" customHeight="1">
      <x:c r="A115" s="7" t="s">
        <x:v>7256</x:v>
      </x:c>
      <x:c r="B115" s="7" t="s">
        <x:v>111</x:v>
      </x:c>
      <x:c r="C115" s="7" t="s">
        <x:v>7213</x:v>
      </x:c>
      <x:c r="D115" s="7" t="s">
        <x:v>7107</x:v>
      </x:c>
      <x:c r="E115" s="7" t="s">
        <x:v>7214</x:v>
      </x:c>
    </x:row>
    <x:row r="116" ht="37.5" hidden="0" customHeight="1">
      <x:c r="A116" s="7" t="s">
        <x:v>7257</x:v>
      </x:c>
      <x:c r="B116" s="7" t="s">
        <x:v>111</x:v>
      </x:c>
      <x:c r="C116" s="7" t="s">
        <x:v>7216</x:v>
      </x:c>
      <x:c r="D116" s="7" t="s">
        <x:v>7217</x:v>
      </x:c>
      <x:c r="E116" s="7" t="s">
        <x:v>7218</x:v>
      </x:c>
    </x:row>
    <x:row r="117" ht="30" hidden="0" customHeight="1">
      <x:c r="A117" s="7" t="s">
        <x:v>7258</x:v>
      </x:c>
      <x:c r="B117" s="7" t="s">
        <x:v>122</x:v>
      </x:c>
      <x:c r="C117" s="7" t="s">
        <x:v>7190</x:v>
      </x:c>
      <x:c r="D117" s="7" t="s">
        <x:v>7191</x:v>
      </x:c>
      <x:c r="E117" s="7" t="s">
        <x:v>7192</x:v>
      </x:c>
    </x:row>
    <x:row r="118" ht="37.5" hidden="0" customHeight="1">
      <x:c r="A118" s="7" t="s">
        <x:v>7259</x:v>
      </x:c>
      <x:c r="B118" s="7" t="s">
        <x:v>122</x:v>
      </x:c>
      <x:c r="C118" s="7" t="s">
        <x:v>5</x:v>
      </x:c>
      <x:c r="D118" s="7" t="s">
        <x:v>7191</x:v>
      </x:c>
      <x:c r="E118" s="7" t="s">
        <x:v>7194</x:v>
      </x:c>
    </x:row>
    <x:row r="119" ht="30" hidden="0" customHeight="1">
      <x:c r="A119" s="7" t="s">
        <x:v>7260</x:v>
      </x:c>
      <x:c r="B119" s="7" t="s">
        <x:v>122</x:v>
      </x:c>
      <x:c r="C119" s="7" t="s">
        <x:v>1450</x:v>
      </x:c>
      <x:c r="D119" s="7" t="s">
        <x:v>7191</x:v>
      </x:c>
      <x:c r="E119" s="7" t="s">
        <x:v>7196</x:v>
      </x:c>
    </x:row>
    <x:row r="120" ht="30" hidden="0" customHeight="1">
      <x:c r="A120" s="7" t="s">
        <x:v>7261</x:v>
      </x:c>
      <x:c r="B120" s="7" t="s">
        <x:v>122</x:v>
      </x:c>
      <x:c r="C120" s="7" t="s">
        <x:v>7198</x:v>
      </x:c>
      <x:c r="D120" s="7" t="s">
        <x:v>7191</x:v>
      </x:c>
      <x:c r="E120" s="7" t="s">
        <x:v>7199</x:v>
      </x:c>
    </x:row>
    <x:row r="121" ht="30" hidden="0" customHeight="1">
      <x:c r="A121" s="7" t="s">
        <x:v>7262</x:v>
      </x:c>
      <x:c r="B121" s="7" t="s">
        <x:v>122</x:v>
      </x:c>
      <x:c r="C121" s="7" t="s">
        <x:v>7201</x:v>
      </x:c>
      <x:c r="D121" s="7" t="s">
        <x:v>7191</x:v>
      </x:c>
      <x:c r="E121" s="7" t="s">
        <x:v>7202</x:v>
      </x:c>
    </x:row>
    <x:row r="122" ht="37.5" hidden="0" customHeight="1">
      <x:c r="A122" s="7" t="s">
        <x:v>7263</x:v>
      </x:c>
      <x:c r="B122" s="7" t="s">
        <x:v>122</x:v>
      </x:c>
      <x:c r="C122" s="7" t="s">
        <x:v>7204</x:v>
      </x:c>
      <x:c r="D122" s="7" t="s">
        <x:v>7191</x:v>
      </x:c>
      <x:c r="E122" s="7" t="str">
        <x:v>5 exposure, solubility or moisture record(s) from this material's own sources. Test conditions are rarely stated; not a chemical design limit.</x:v>
      </x:c>
    </x:row>
    <x:row r="123" ht="37.5" hidden="0" customHeight="1">
      <x:c r="A123" s="7" t="s">
        <x:v>7264</x:v>
      </x:c>
      <x:c r="B123" s="7" t="s">
        <x:v>122</x:v>
      </x:c>
      <x:c r="C123" s="7" t="s">
        <x:v>7207</x:v>
      </x:c>
      <x:c r="D123" s="7" t="s">
        <x:v>7107</x:v>
      </x:c>
      <x:c r="E123" s="7" t="s">
        <x:v>7211</x:v>
      </x:c>
    </x:row>
    <x:row r="124" ht="30" hidden="0" customHeight="1">
      <x:c r="A124" s="7" t="s">
        <x:v>7265</x:v>
      </x:c>
      <x:c r="B124" s="7" t="s">
        <x:v>122</x:v>
      </x:c>
      <x:c r="C124" s="7" t="s">
        <x:v>7210</x:v>
      </x:c>
      <x:c r="D124" s="7" t="s">
        <x:v>7191</x:v>
      </x:c>
      <x:c r="E124" s="7" t="s">
        <x:v>132</x:v>
      </x:c>
    </x:row>
    <x:row r="125" ht="51.75" hidden="0" customHeight="1">
      <x:c r="A125" s="7" t="s">
        <x:v>7266</x:v>
      </x:c>
      <x:c r="B125" s="7" t="s">
        <x:v>122</x:v>
      </x:c>
      <x:c r="C125" s="7" t="s">
        <x:v>7213</x:v>
      </x:c>
      <x:c r="D125" s="7" t="s">
        <x:v>7107</x:v>
      </x:c>
      <x:c r="E125" s="7" t="s">
        <x:v>7214</x:v>
      </x:c>
    </x:row>
    <x:row r="126" ht="37.5" hidden="0" customHeight="1">
      <x:c r="A126" s="7" t="s">
        <x:v>7267</x:v>
      </x:c>
      <x:c r="B126" s="7" t="s">
        <x:v>122</x:v>
      </x:c>
      <x:c r="C126" s="7" t="s">
        <x:v>7216</x:v>
      </x:c>
      <x:c r="D126" s="7" t="s">
        <x:v>7217</x:v>
      </x:c>
      <x:c r="E126" s="7" t="s">
        <x:v>7218</x:v>
      </x:c>
    </x:row>
    <x:row r="127" ht="30" hidden="0" customHeight="1">
      <x:c r="A127" s="7" t="s">
        <x:v>7268</x:v>
      </x:c>
      <x:c r="B127" s="7" t="s">
        <x:v>134</x:v>
      </x:c>
      <x:c r="C127" s="7" t="s">
        <x:v>7190</x:v>
      </x:c>
      <x:c r="D127" s="7" t="s">
        <x:v>7191</x:v>
      </x:c>
      <x:c r="E127" s="7" t="s">
        <x:v>7192</x:v>
      </x:c>
    </x:row>
    <x:row r="128" ht="37.5" hidden="0" customHeight="1">
      <x:c r="A128" s="7" t="s">
        <x:v>7269</x:v>
      </x:c>
      <x:c r="B128" s="7" t="s">
        <x:v>134</x:v>
      </x:c>
      <x:c r="C128" s="7" t="s">
        <x:v>5</x:v>
      </x:c>
      <x:c r="D128" s="7" t="s">
        <x:v>7191</x:v>
      </x:c>
      <x:c r="E128" s="7" t="s">
        <x:v>7194</x:v>
      </x:c>
    </x:row>
    <x:row r="129" ht="30" hidden="0" customHeight="1">
      <x:c r="A129" s="7" t="s">
        <x:v>7270</x:v>
      </x:c>
      <x:c r="B129" s="7" t="s">
        <x:v>134</x:v>
      </x:c>
      <x:c r="C129" s="7" t="s">
        <x:v>1450</x:v>
      </x:c>
      <x:c r="D129" s="7" t="s">
        <x:v>7191</x:v>
      </x:c>
      <x:c r="E129" s="7" t="s">
        <x:v>7196</x:v>
      </x:c>
    </x:row>
    <x:row r="130" ht="30" hidden="0" customHeight="1">
      <x:c r="A130" s="7" t="s">
        <x:v>7271</x:v>
      </x:c>
      <x:c r="B130" s="7" t="s">
        <x:v>134</x:v>
      </x:c>
      <x:c r="C130" s="7" t="s">
        <x:v>7198</x:v>
      </x:c>
      <x:c r="D130" s="7" t="s">
        <x:v>7191</x:v>
      </x:c>
      <x:c r="E130" s="7" t="s">
        <x:v>7199</x:v>
      </x:c>
    </x:row>
    <x:row r="131" ht="30" hidden="0" customHeight="1">
      <x:c r="A131" s="7" t="s">
        <x:v>7272</x:v>
      </x:c>
      <x:c r="B131" s="7" t="s">
        <x:v>134</x:v>
      </x:c>
      <x:c r="C131" s="7" t="s">
        <x:v>7201</x:v>
      </x:c>
      <x:c r="D131" s="7" t="s">
        <x:v>7191</x:v>
      </x:c>
      <x:c r="E131" s="7" t="s">
        <x:v>7202</x:v>
      </x:c>
    </x:row>
    <x:row r="132" ht="37.5" hidden="0" customHeight="1">
      <x:c r="A132" s="7" t="s">
        <x:v>7273</x:v>
      </x:c>
      <x:c r="B132" s="7" t="s">
        <x:v>134</x:v>
      </x:c>
      <x:c r="C132" s="7" t="s">
        <x:v>7204</x:v>
      </x:c>
      <x:c r="D132" s="7" t="s">
        <x:v>7191</x:v>
      </x:c>
      <x:c r="E132" s="7" t="str">
        <x:v>5 exposure, solubility or moisture record(s) from this material's own sources. Test conditions are rarely stated; not a chemical design limit.</x:v>
      </x:c>
    </x:row>
    <x:row r="133" ht="37.5" hidden="0" customHeight="1">
      <x:c r="A133" s="7" t="s">
        <x:v>7274</x:v>
      </x:c>
      <x:c r="B133" s="7" t="s">
        <x:v>134</x:v>
      </x:c>
      <x:c r="C133" s="7" t="s">
        <x:v>7207</x:v>
      </x:c>
      <x:c r="D133" s="7" t="s">
        <x:v>7107</x:v>
      </x:c>
      <x:c r="E133" s="7" t="s">
        <x:v>7211</x:v>
      </x:c>
    </x:row>
    <x:row r="134" ht="30" hidden="0" customHeight="1">
      <x:c r="A134" s="7" t="s">
        <x:v>7275</x:v>
      </x:c>
      <x:c r="B134" s="7" t="s">
        <x:v>134</x:v>
      </x:c>
      <x:c r="C134" s="7" t="s">
        <x:v>7210</x:v>
      </x:c>
      <x:c r="D134" s="7" t="s">
        <x:v>7191</x:v>
      </x:c>
      <x:c r="E134" s="7" t="s">
        <x:v>132</x:v>
      </x:c>
    </x:row>
    <x:row r="135" ht="51.75" hidden="0" customHeight="1">
      <x:c r="A135" s="7" t="s">
        <x:v>7276</x:v>
      </x:c>
      <x:c r="B135" s="7" t="s">
        <x:v>134</x:v>
      </x:c>
      <x:c r="C135" s="7" t="s">
        <x:v>7213</x:v>
      </x:c>
      <x:c r="D135" s="7" t="s">
        <x:v>7107</x:v>
      </x:c>
      <x:c r="E135" s="7" t="s">
        <x:v>7214</x:v>
      </x:c>
    </x:row>
    <x:row r="136" ht="37.5" hidden="0" customHeight="1">
      <x:c r="A136" s="7" t="s">
        <x:v>7277</x:v>
      </x:c>
      <x:c r="B136" s="7" t="s">
        <x:v>134</x:v>
      </x:c>
      <x:c r="C136" s="7" t="s">
        <x:v>7216</x:v>
      </x:c>
      <x:c r="D136" s="7" t="s">
        <x:v>7217</x:v>
      </x:c>
      <x:c r="E136" s="7" t="s">
        <x:v>7218</x:v>
      </x:c>
    </x:row>
    <x:row r="137" ht="30" hidden="0" customHeight="1">
      <x:c r="A137" s="7" t="s">
        <x:v>7278</x:v>
      </x:c>
      <x:c r="B137" s="7" t="s">
        <x:v>144</x:v>
      </x:c>
      <x:c r="C137" s="7" t="s">
        <x:v>7190</x:v>
      </x:c>
      <x:c r="D137" s="7" t="s">
        <x:v>7191</x:v>
      </x:c>
      <x:c r="E137" s="7" t="s">
        <x:v>7192</x:v>
      </x:c>
    </x:row>
    <x:row r="138" ht="37.5" hidden="0" customHeight="1">
      <x:c r="A138" s="7" t="s">
        <x:v>7279</x:v>
      </x:c>
      <x:c r="B138" s="7" t="s">
        <x:v>144</x:v>
      </x:c>
      <x:c r="C138" s="7" t="s">
        <x:v>5</x:v>
      </x:c>
      <x:c r="D138" s="7" t="s">
        <x:v>7191</x:v>
      </x:c>
      <x:c r="E138" s="7" t="s">
        <x:v>7194</x:v>
      </x:c>
    </x:row>
    <x:row r="139" ht="37.5" hidden="0" customHeight="1">
      <x:c r="A139" s="7" t="s">
        <x:v>7280</x:v>
      </x:c>
      <x:c r="B139" s="7" t="s">
        <x:v>144</x:v>
      </x:c>
      <x:c r="C139" s="7" t="s">
        <x:v>1450</x:v>
      </x:c>
      <x:c r="D139" s="7" t="str">
        <x:v>Evidence recorded</x:v>
      </x:c>
      <x:c r="E139" s="7" t="str">
        <x:v>Panchroma Silk PLA printing guidance recorded as P0162; enclosure not needed.</x:v>
      </x:c>
    </x:row>
    <x:row r="140" ht="37.5" hidden="0" customHeight="1">
      <x:c r="A140" s="7" t="s">
        <x:v>7281</x:v>
      </x:c>
      <x:c r="B140" s="7" t="s">
        <x:v>144</x:v>
      </x:c>
      <x:c r="C140" s="7" t="s">
        <x:v>7198</x:v>
      </x:c>
      <x:c r="D140" s="7" t="str">
        <x:v>Partially resolved</x:v>
      </x:c>
      <x:c r="E140" s="7" t="str">
        <x:v>Printed XY modulus and strength, Z strength and notched Charpy recorded from the Panchroma TDS V2.1. Elongation at break is not published.</x:v>
      </x:c>
    </x:row>
    <x:row r="141" ht="37.5" hidden="0" customHeight="1">
      <x:c r="A141" s="7" t="s">
        <x:v>7282</x:v>
      </x:c>
      <x:c r="B141" s="7" t="s">
        <x:v>144</x:v>
      </x:c>
      <x:c r="C141" s="7" t="s">
        <x:v>7201</x:v>
      </x:c>
      <x:c r="D141" s="7" t="str">
        <x:v>Partially resolved</x:v>
      </x:c>
      <x:c r="E141" s="7" t="str">
        <x:v>Vicat 64.7 °C recorded. HDT is not published, and Vicat is not substituted for it.</x:v>
      </x:c>
    </x:row>
    <x:row r="142" ht="37.5" hidden="0" customHeight="1">
      <x:c r="A142" s="7" t="s">
        <x:v>7283</x:v>
      </x:c>
      <x:c r="B142" s="7" t="s">
        <x:v>144</x:v>
      </x:c>
      <x:c r="C142" s="7" t="s">
        <x:v>7204</x:v>
      </x:c>
      <x:c r="D142" s="7" t="s">
        <x:v>7107</x:v>
      </x:c>
      <x:c r="E142" s="7" t="s">
        <x:v>7211</x:v>
      </x:c>
    </x:row>
    <x:row r="143" ht="37.5" hidden="0" customHeight="1">
      <x:c r="A143" s="7" t="s">
        <x:v>7284</x:v>
      </x:c>
      <x:c r="B143" s="7" t="s">
        <x:v>144</x:v>
      </x:c>
      <x:c r="C143" s="7" t="s">
        <x:v>7207</x:v>
      </x:c>
      <x:c r="D143" s="7" t="s">
        <x:v>7107</x:v>
      </x:c>
      <x:c r="E143" s="7" t="s">
        <x:v>7211</x:v>
      </x:c>
    </x:row>
    <x:row r="144" ht="37.5" hidden="0" customHeight="1">
      <x:c r="A144" s="7" t="s">
        <x:v>7285</x:v>
      </x:c>
      <x:c r="B144" s="7" t="s">
        <x:v>144</x:v>
      </x:c>
      <x:c r="C144" s="7" t="s">
        <x:v>7210</x:v>
      </x:c>
      <x:c r="D144" s="7" t="s">
        <x:v>7107</x:v>
      </x:c>
      <x:c r="E144" s="7" t="s">
        <x:v>7211</x:v>
      </x:c>
    </x:row>
    <x:row r="145" ht="51.75" hidden="0" customHeight="1">
      <x:c r="A145" s="7" t="s">
        <x:v>7286</x:v>
      </x:c>
      <x:c r="B145" s="7" t="s">
        <x:v>144</x:v>
      </x:c>
      <x:c r="C145" s="7" t="s">
        <x:v>7213</x:v>
      </x:c>
      <x:c r="D145" s="7" t="s">
        <x:v>7107</x:v>
      </x:c>
      <x:c r="E145" s="7" t="s">
        <x:v>7214</x:v>
      </x:c>
    </x:row>
    <x:row r="146" ht="30" hidden="0" customHeight="1">
      <x:c r="A146" s="7" t="s">
        <x:v>7287</x:v>
      </x:c>
      <x:c r="B146" s="7" t="s">
        <x:v>148</x:v>
      </x:c>
      <x:c r="C146" s="7" t="s">
        <x:v>7190</x:v>
      </x:c>
      <x:c r="D146" s="7" t="s">
        <x:v>7191</x:v>
      </x:c>
      <x:c r="E146" s="7" t="s">
        <x:v>7192</x:v>
      </x:c>
    </x:row>
    <x:row r="147" ht="37.5" hidden="0" customHeight="1">
      <x:c r="A147" s="7" t="s">
        <x:v>7288</x:v>
      </x:c>
      <x:c r="B147" s="7" t="s">
        <x:v>148</x:v>
      </x:c>
      <x:c r="C147" s="7" t="s">
        <x:v>5</x:v>
      </x:c>
      <x:c r="D147" s="7" t="s">
        <x:v>7191</x:v>
      </x:c>
      <x:c r="E147" s="7" t="s">
        <x:v>7194</x:v>
      </x:c>
    </x:row>
    <x:row r="148" ht="30" hidden="0" customHeight="1">
      <x:c r="A148" s="7" t="s">
        <x:v>7289</x:v>
      </x:c>
      <x:c r="B148" s="7" t="s">
        <x:v>148</x:v>
      </x:c>
      <x:c r="C148" s="7" t="s">
        <x:v>1450</x:v>
      </x:c>
      <x:c r="D148" s="7" t="s">
        <x:v>7191</x:v>
      </x:c>
      <x:c r="E148" s="7" t="s">
        <x:v>7196</x:v>
      </x:c>
    </x:row>
    <x:row r="149" ht="30" hidden="0" customHeight="1">
      <x:c r="A149" s="7" t="s">
        <x:v>7290</x:v>
      </x:c>
      <x:c r="B149" s="7" t="s">
        <x:v>148</x:v>
      </x:c>
      <x:c r="C149" s="7" t="s">
        <x:v>7198</x:v>
      </x:c>
      <x:c r="D149" s="7" t="s">
        <x:v>7191</x:v>
      </x:c>
      <x:c r="E149" s="7" t="s">
        <x:v>7199</x:v>
      </x:c>
    </x:row>
    <x:row r="150" ht="30" hidden="0" customHeight="1">
      <x:c r="A150" s="7" t="s">
        <x:v>7291</x:v>
      </x:c>
      <x:c r="B150" s="7" t="s">
        <x:v>148</x:v>
      </x:c>
      <x:c r="C150" s="7" t="s">
        <x:v>7201</x:v>
      </x:c>
      <x:c r="D150" s="7" t="s">
        <x:v>7191</x:v>
      </x:c>
      <x:c r="E150" s="7" t="s">
        <x:v>7202</x:v>
      </x:c>
    </x:row>
    <x:row r="151" ht="37.5" hidden="0" customHeight="1">
      <x:c r="A151" s="7" t="s">
        <x:v>7292</x:v>
      </x:c>
      <x:c r="B151" s="7" t="s">
        <x:v>148</x:v>
      </x:c>
      <x:c r="C151" s="7" t="s">
        <x:v>7204</x:v>
      </x:c>
      <x:c r="D151" s="7" t="s">
        <x:v>7191</x:v>
      </x:c>
      <x:c r="E151" s="7" t="str">
        <x:v>5 exposure, solubility or moisture record(s) from this material's own sources. Test conditions are rarely stated; not a chemical design limit.</x:v>
      </x:c>
    </x:row>
    <x:row r="152" ht="37.5" hidden="0" customHeight="1">
      <x:c r="A152" s="7" t="s">
        <x:v>7293</x:v>
      </x:c>
      <x:c r="B152" s="7" t="s">
        <x:v>148</x:v>
      </x:c>
      <x:c r="C152" s="7" t="s">
        <x:v>7207</x:v>
      </x:c>
      <x:c r="D152" s="7" t="s">
        <x:v>7191</x:v>
      </x:c>
      <x:c r="E152" s="7" t="s">
        <x:v>7208</x:v>
      </x:c>
    </x:row>
    <x:row r="153" ht="30" hidden="0" customHeight="1">
      <x:c r="A153" s="7" t="s">
        <x:v>7294</x:v>
      </x:c>
      <x:c r="B153" s="7" t="s">
        <x:v>148</x:v>
      </x:c>
      <x:c r="C153" s="7" t="s">
        <x:v>7210</x:v>
      </x:c>
      <x:c r="D153" s="7" t="s">
        <x:v>7191</x:v>
      </x:c>
      <x:c r="E153" s="7" t="s">
        <x:v>87</x:v>
      </x:c>
    </x:row>
    <x:row r="154" ht="51.75" hidden="0" customHeight="1">
      <x:c r="A154" s="7" t="s">
        <x:v>7295</x:v>
      </x:c>
      <x:c r="B154" s="7" t="s">
        <x:v>148</x:v>
      </x:c>
      <x:c r="C154" s="7" t="s">
        <x:v>7213</x:v>
      </x:c>
      <x:c r="D154" s="7" t="s">
        <x:v>7107</x:v>
      </x:c>
      <x:c r="E154" s="7" t="s">
        <x:v>7214</x:v>
      </x:c>
    </x:row>
    <x:row r="155" ht="37.5" hidden="0" customHeight="1">
      <x:c r="A155" s="7" t="s">
        <x:v>7296</x:v>
      </x:c>
      <x:c r="B155" s="7" t="s">
        <x:v>148</x:v>
      </x:c>
      <x:c r="C155" s="7" t="s">
        <x:v>7216</x:v>
      </x:c>
      <x:c r="D155" s="7" t="s">
        <x:v>7217</x:v>
      </x:c>
      <x:c r="E155" s="7" t="s">
        <x:v>7218</x:v>
      </x:c>
    </x:row>
    <x:row r="156" ht="30" hidden="0" customHeight="1">
      <x:c r="A156" s="7" t="s">
        <x:v>7297</x:v>
      </x:c>
      <x:c r="B156" s="7" t="s">
        <x:v>158</x:v>
      </x:c>
      <x:c r="C156" s="7" t="s">
        <x:v>7190</x:v>
      </x:c>
      <x:c r="D156" s="7" t="s">
        <x:v>7191</x:v>
      </x:c>
      <x:c r="E156" s="7" t="s">
        <x:v>7192</x:v>
      </x:c>
    </x:row>
    <x:row r="157" ht="37.5" hidden="0" customHeight="1">
      <x:c r="A157" s="7" t="s">
        <x:v>7298</x:v>
      </x:c>
      <x:c r="B157" s="7" t="s">
        <x:v>158</x:v>
      </x:c>
      <x:c r="C157" s="7" t="s">
        <x:v>5</x:v>
      </x:c>
      <x:c r="D157" s="7" t="s">
        <x:v>7191</x:v>
      </x:c>
      <x:c r="E157" s="7" t="s">
        <x:v>7194</x:v>
      </x:c>
    </x:row>
    <x:row r="158" ht="30" hidden="0" customHeight="1">
      <x:c r="A158" s="7" t="s">
        <x:v>7299</x:v>
      </x:c>
      <x:c r="B158" s="7" t="s">
        <x:v>158</x:v>
      </x:c>
      <x:c r="C158" s="7" t="s">
        <x:v>1450</x:v>
      </x:c>
      <x:c r="D158" s="7" t="s">
        <x:v>7191</x:v>
      </x:c>
      <x:c r="E158" s="7" t="s">
        <x:v>7196</x:v>
      </x:c>
    </x:row>
    <x:row r="159" ht="30" hidden="0" customHeight="1">
      <x:c r="A159" s="7" t="s">
        <x:v>7300</x:v>
      </x:c>
      <x:c r="B159" s="7" t="s">
        <x:v>158</x:v>
      </x:c>
      <x:c r="C159" s="7" t="s">
        <x:v>7198</x:v>
      </x:c>
      <x:c r="D159" s="7" t="s">
        <x:v>7191</x:v>
      </x:c>
      <x:c r="E159" s="7" t="s">
        <x:v>7199</x:v>
      </x:c>
    </x:row>
    <x:row r="160" ht="30" hidden="0" customHeight="1">
      <x:c r="A160" s="7" t="s">
        <x:v>7301</x:v>
      </x:c>
      <x:c r="B160" s="7" t="s">
        <x:v>158</x:v>
      </x:c>
      <x:c r="C160" s="7" t="s">
        <x:v>7201</x:v>
      </x:c>
      <x:c r="D160" s="7" t="s">
        <x:v>7191</x:v>
      </x:c>
      <x:c r="E160" s="7" t="s">
        <x:v>7202</x:v>
      </x:c>
    </x:row>
    <x:row r="161" ht="37.5" hidden="0" customHeight="1">
      <x:c r="A161" s="7" t="s">
        <x:v>7302</x:v>
      </x:c>
      <x:c r="B161" s="7" t="s">
        <x:v>158</x:v>
      </x:c>
      <x:c r="C161" s="7" t="s">
        <x:v>7204</x:v>
      </x:c>
      <x:c r="D161" s="7" t="s">
        <x:v>7191</x:v>
      </x:c>
      <x:c r="E161" s="7" t="str">
        <x:v>5 exposure, solubility or moisture record(s) from this material's own sources. Test conditions are rarely stated; not a chemical design limit.</x:v>
      </x:c>
    </x:row>
    <x:row r="162" ht="37.5" hidden="0" customHeight="1">
      <x:c r="A162" s="7" t="s">
        <x:v>7303</x:v>
      </x:c>
      <x:c r="B162" s="7" t="s">
        <x:v>158</x:v>
      </x:c>
      <x:c r="C162" s="7" t="s">
        <x:v>7207</x:v>
      </x:c>
      <x:c r="D162" s="7" t="s">
        <x:v>7191</x:v>
      </x:c>
      <x:c r="E162" s="7" t="s">
        <x:v>7208</x:v>
      </x:c>
    </x:row>
    <x:row r="163" ht="30" hidden="0" customHeight="1">
      <x:c r="A163" s="7" t="s">
        <x:v>7304</x:v>
      </x:c>
      <x:c r="B163" s="7" t="s">
        <x:v>158</x:v>
      </x:c>
      <x:c r="C163" s="7" t="s">
        <x:v>7210</x:v>
      </x:c>
      <x:c r="D163" s="7" t="s">
        <x:v>7191</x:v>
      </x:c>
      <x:c r="E163" s="7" t="s">
        <x:v>87</x:v>
      </x:c>
    </x:row>
    <x:row r="164" ht="51.75" hidden="0" customHeight="1">
      <x:c r="A164" s="7" t="s">
        <x:v>7305</x:v>
      </x:c>
      <x:c r="B164" s="7" t="s">
        <x:v>158</x:v>
      </x:c>
      <x:c r="C164" s="7" t="s">
        <x:v>7213</x:v>
      </x:c>
      <x:c r="D164" s="7" t="s">
        <x:v>7107</x:v>
      </x:c>
      <x:c r="E164" s="7" t="s">
        <x:v>7214</x:v>
      </x:c>
    </x:row>
    <x:row r="165" ht="37.5" hidden="0" customHeight="1">
      <x:c r="A165" s="7" t="s">
        <x:v>7306</x:v>
      </x:c>
      <x:c r="B165" s="7" t="s">
        <x:v>158</x:v>
      </x:c>
      <x:c r="C165" s="7" t="s">
        <x:v>7216</x:v>
      </x:c>
      <x:c r="D165" s="7" t="s">
        <x:v>7217</x:v>
      </x:c>
      <x:c r="E165" s="7" t="s">
        <x:v>7218</x:v>
      </x:c>
    </x:row>
    <x:row r="166" ht="30" hidden="0" customHeight="1">
      <x:c r="A166" s="7" t="s">
        <x:v>7307</x:v>
      </x:c>
      <x:c r="B166" s="7" t="s">
        <x:v>171</x:v>
      </x:c>
      <x:c r="C166" s="7" t="s">
        <x:v>7190</x:v>
      </x:c>
      <x:c r="D166" s="7" t="s">
        <x:v>7191</x:v>
      </x:c>
      <x:c r="E166" s="7" t="s">
        <x:v>7192</x:v>
      </x:c>
    </x:row>
    <x:row r="167" ht="37.5" hidden="0" customHeight="1">
      <x:c r="A167" s="7" t="s">
        <x:v>7308</x:v>
      </x:c>
      <x:c r="B167" s="7" t="s">
        <x:v>171</x:v>
      </x:c>
      <x:c r="C167" s="7" t="s">
        <x:v>5</x:v>
      </x:c>
      <x:c r="D167" s="7" t="s">
        <x:v>7191</x:v>
      </x:c>
      <x:c r="E167" s="7" t="s">
        <x:v>7194</x:v>
      </x:c>
    </x:row>
    <x:row r="168" ht="30" hidden="0" customHeight="1">
      <x:c r="A168" s="7" t="s">
        <x:v>7309</x:v>
      </x:c>
      <x:c r="B168" s="7" t="s">
        <x:v>171</x:v>
      </x:c>
      <x:c r="C168" s="7" t="s">
        <x:v>1450</x:v>
      </x:c>
      <x:c r="D168" s="7" t="s">
        <x:v>7191</x:v>
      </x:c>
      <x:c r="E168" s="7" t="s">
        <x:v>7196</x:v>
      </x:c>
    </x:row>
    <x:row r="169" ht="30" hidden="0" customHeight="1">
      <x:c r="A169" s="7" t="s">
        <x:v>7310</x:v>
      </x:c>
      <x:c r="B169" s="7" t="s">
        <x:v>171</x:v>
      </x:c>
      <x:c r="C169" s="7" t="s">
        <x:v>7198</x:v>
      </x:c>
      <x:c r="D169" s="7" t="s">
        <x:v>7191</x:v>
      </x:c>
      <x:c r="E169" s="7" t="s">
        <x:v>7199</x:v>
      </x:c>
    </x:row>
    <x:row r="170" ht="30" hidden="0" customHeight="1">
      <x:c r="A170" s="7" t="s">
        <x:v>7311</x:v>
      </x:c>
      <x:c r="B170" s="7" t="s">
        <x:v>171</x:v>
      </x:c>
      <x:c r="C170" s="7" t="s">
        <x:v>7201</x:v>
      </x:c>
      <x:c r="D170" s="7" t="s">
        <x:v>7191</x:v>
      </x:c>
      <x:c r="E170" s="7" t="s">
        <x:v>7202</x:v>
      </x:c>
    </x:row>
    <x:row r="171" ht="37.5" hidden="0" customHeight="1">
      <x:c r="A171" s="7" t="s">
        <x:v>7312</x:v>
      </x:c>
      <x:c r="B171" s="7" t="s">
        <x:v>171</x:v>
      </x:c>
      <x:c r="C171" s="7" t="s">
        <x:v>7204</x:v>
      </x:c>
      <x:c r="D171" s="7" t="s">
        <x:v>7191</x:v>
      </x:c>
      <x:c r="E171" s="7" t="s">
        <x:v>7205</x:v>
      </x:c>
    </x:row>
    <x:row r="172" ht="37.5" hidden="0" customHeight="1">
      <x:c r="A172" s="7" t="s">
        <x:v>7313</x:v>
      </x:c>
      <x:c r="B172" s="7" t="s">
        <x:v>171</x:v>
      </x:c>
      <x:c r="C172" s="7" t="s">
        <x:v>7207</x:v>
      </x:c>
      <x:c r="D172" s="7" t="s">
        <x:v>7191</x:v>
      </x:c>
      <x:c r="E172" s="7" t="s">
        <x:v>7208</x:v>
      </x:c>
    </x:row>
    <x:row r="173" ht="30" hidden="0" customHeight="1">
      <x:c r="A173" s="7" t="s">
        <x:v>7314</x:v>
      </x:c>
      <x:c r="B173" s="7" t="s">
        <x:v>171</x:v>
      </x:c>
      <x:c r="C173" s="7" t="s">
        <x:v>7210</x:v>
      </x:c>
      <x:c r="D173" s="7" t="s">
        <x:v>7191</x:v>
      </x:c>
      <x:c r="E173" s="7" t="s">
        <x:v>132</x:v>
      </x:c>
    </x:row>
    <x:row r="174" ht="51.75" hidden="0" customHeight="1">
      <x:c r="A174" s="7" t="s">
        <x:v>7315</x:v>
      </x:c>
      <x:c r="B174" s="7" t="s">
        <x:v>171</x:v>
      </x:c>
      <x:c r="C174" s="7" t="s">
        <x:v>7213</x:v>
      </x:c>
      <x:c r="D174" s="7" t="s">
        <x:v>7107</x:v>
      </x:c>
      <x:c r="E174" s="7" t="s">
        <x:v>7214</x:v>
      </x:c>
    </x:row>
    <x:row r="175" ht="37.5" hidden="0" customHeight="1">
      <x:c r="A175" s="7" t="s">
        <x:v>7316</x:v>
      </x:c>
      <x:c r="B175" s="7" t="s">
        <x:v>171</x:v>
      </x:c>
      <x:c r="C175" s="7" t="s">
        <x:v>7216</x:v>
      </x:c>
      <x:c r="D175" s="7" t="s">
        <x:v>7217</x:v>
      </x:c>
      <x:c r="E175" s="7" t="s">
        <x:v>7218</x:v>
      </x:c>
    </x:row>
    <x:row r="176" ht="30" hidden="0" customHeight="1">
      <x:c r="A176" s="7" t="s">
        <x:v>7317</x:v>
      </x:c>
      <x:c r="B176" s="7" t="s">
        <x:v>181</x:v>
      </x:c>
      <x:c r="C176" s="7" t="s">
        <x:v>7190</x:v>
      </x:c>
      <x:c r="D176" s="7" t="s">
        <x:v>7191</x:v>
      </x:c>
      <x:c r="E176" s="7" t="s">
        <x:v>7192</x:v>
      </x:c>
    </x:row>
    <x:row r="177" ht="37.5" hidden="0" customHeight="1">
      <x:c r="A177" s="7" t="s">
        <x:v>7318</x:v>
      </x:c>
      <x:c r="B177" s="7" t="s">
        <x:v>181</x:v>
      </x:c>
      <x:c r="C177" s="7" t="s">
        <x:v>5</x:v>
      </x:c>
      <x:c r="D177" s="7" t="s">
        <x:v>7191</x:v>
      </x:c>
      <x:c r="E177" s="7" t="s">
        <x:v>7194</x:v>
      </x:c>
    </x:row>
    <x:row r="178" ht="30" hidden="0" customHeight="1">
      <x:c r="A178" s="7" t="s">
        <x:v>7319</x:v>
      </x:c>
      <x:c r="B178" s="7" t="s">
        <x:v>181</x:v>
      </x:c>
      <x:c r="C178" s="7" t="s">
        <x:v>1450</x:v>
      </x:c>
      <x:c r="D178" s="7" t="s">
        <x:v>7191</x:v>
      </x:c>
      <x:c r="E178" s="7" t="s">
        <x:v>7196</x:v>
      </x:c>
    </x:row>
    <x:row r="179" ht="30" hidden="0" customHeight="1">
      <x:c r="A179" s="7" t="s">
        <x:v>7320</x:v>
      </x:c>
      <x:c r="B179" s="7" t="s">
        <x:v>181</x:v>
      </x:c>
      <x:c r="C179" s="7" t="s">
        <x:v>7198</x:v>
      </x:c>
      <x:c r="D179" s="7" t="s">
        <x:v>7191</x:v>
      </x:c>
      <x:c r="E179" s="7" t="s">
        <x:v>7199</x:v>
      </x:c>
    </x:row>
    <x:row r="180" ht="30" hidden="0" customHeight="1">
      <x:c r="A180" s="7" t="s">
        <x:v>7321</x:v>
      </x:c>
      <x:c r="B180" s="7" t="s">
        <x:v>181</x:v>
      </x:c>
      <x:c r="C180" s="7" t="s">
        <x:v>7201</x:v>
      </x:c>
      <x:c r="D180" s="7" t="s">
        <x:v>7191</x:v>
      </x:c>
      <x:c r="E180" s="7" t="s">
        <x:v>7202</x:v>
      </x:c>
    </x:row>
    <x:row r="181" ht="37.5" hidden="0" customHeight="1">
      <x:c r="A181" s="7" t="s">
        <x:v>7322</x:v>
      </x:c>
      <x:c r="B181" s="7" t="s">
        <x:v>181</x:v>
      </x:c>
      <x:c r="C181" s="7" t="s">
        <x:v>7204</x:v>
      </x:c>
      <x:c r="D181" s="7" t="s">
        <x:v>7191</x:v>
      </x:c>
      <x:c r="E181" s="7" t="s">
        <x:v>7205</x:v>
      </x:c>
    </x:row>
    <x:row r="182" ht="37.5" hidden="0" customHeight="1">
      <x:c r="A182" s="7" t="s">
        <x:v>7323</x:v>
      </x:c>
      <x:c r="B182" s="7" t="s">
        <x:v>181</x:v>
      </x:c>
      <x:c r="C182" s="7" t="s">
        <x:v>7207</x:v>
      </x:c>
      <x:c r="D182" s="7" t="s">
        <x:v>7191</x:v>
      </x:c>
      <x:c r="E182" s="7" t="s">
        <x:v>7208</x:v>
      </x:c>
    </x:row>
    <x:row r="183" ht="30" hidden="0" customHeight="1">
      <x:c r="A183" s="7" t="s">
        <x:v>7324</x:v>
      </x:c>
      <x:c r="B183" s="7" t="s">
        <x:v>181</x:v>
      </x:c>
      <x:c r="C183" s="7" t="s">
        <x:v>7210</x:v>
      </x:c>
      <x:c r="D183" s="7" t="s">
        <x:v>7191</x:v>
      </x:c>
      <x:c r="E183" s="7" t="s">
        <x:v>132</x:v>
      </x:c>
    </x:row>
    <x:row r="184" ht="51.75" hidden="0" customHeight="1">
      <x:c r="A184" s="7" t="s">
        <x:v>7325</x:v>
      </x:c>
      <x:c r="B184" s="7" t="s">
        <x:v>181</x:v>
      </x:c>
      <x:c r="C184" s="7" t="s">
        <x:v>7213</x:v>
      </x:c>
      <x:c r="D184" s="7" t="s">
        <x:v>7107</x:v>
      </x:c>
      <x:c r="E184" s="7" t="s">
        <x:v>7214</x:v>
      </x:c>
    </x:row>
    <x:row r="185" ht="37.5" hidden="0" customHeight="1">
      <x:c r="A185" s="7" t="s">
        <x:v>7326</x:v>
      </x:c>
      <x:c r="B185" s="7" t="s">
        <x:v>181</x:v>
      </x:c>
      <x:c r="C185" s="7" t="s">
        <x:v>7216</x:v>
      </x:c>
      <x:c r="D185" s="7" t="s">
        <x:v>7217</x:v>
      </x:c>
      <x:c r="E185" s="7" t="s">
        <x:v>7218</x:v>
      </x:c>
    </x:row>
    <x:row r="186" ht="30" hidden="0" customHeight="1">
      <x:c r="A186" s="7" t="s">
        <x:v>7327</x:v>
      </x:c>
      <x:c r="B186" s="7" t="s">
        <x:v>191</x:v>
      </x:c>
      <x:c r="C186" s="7" t="s">
        <x:v>7190</x:v>
      </x:c>
      <x:c r="D186" s="7" t="s">
        <x:v>7191</x:v>
      </x:c>
      <x:c r="E186" s="7" t="s">
        <x:v>7192</x:v>
      </x:c>
    </x:row>
    <x:row r="187" ht="37.5" hidden="0" customHeight="1">
      <x:c r="A187" s="7" t="s">
        <x:v>7328</x:v>
      </x:c>
      <x:c r="B187" s="7" t="s">
        <x:v>191</x:v>
      </x:c>
      <x:c r="C187" s="7" t="s">
        <x:v>5</x:v>
      </x:c>
      <x:c r="D187" s="7" t="s">
        <x:v>7191</x:v>
      </x:c>
      <x:c r="E187" s="7" t="s">
        <x:v>7194</x:v>
      </x:c>
    </x:row>
    <x:row r="188" ht="30" hidden="0" customHeight="1">
      <x:c r="A188" s="7" t="s">
        <x:v>7329</x:v>
      </x:c>
      <x:c r="B188" s="7" t="s">
        <x:v>191</x:v>
      </x:c>
      <x:c r="C188" s="7" t="s">
        <x:v>1450</x:v>
      </x:c>
      <x:c r="D188" s="7" t="s">
        <x:v>7191</x:v>
      </x:c>
      <x:c r="E188" s="7" t="s">
        <x:v>7196</x:v>
      </x:c>
    </x:row>
    <x:row r="189" ht="30" hidden="0" customHeight="1">
      <x:c r="A189" s="7" t="s">
        <x:v>7330</x:v>
      </x:c>
      <x:c r="B189" s="7" t="s">
        <x:v>191</x:v>
      </x:c>
      <x:c r="C189" s="7" t="s">
        <x:v>7198</x:v>
      </x:c>
      <x:c r="D189" s="7" t="s">
        <x:v>7191</x:v>
      </x:c>
      <x:c r="E189" s="7" t="s">
        <x:v>7199</x:v>
      </x:c>
    </x:row>
    <x:row r="190" ht="30" hidden="0" customHeight="1">
      <x:c r="A190" s="7" t="s">
        <x:v>7331</x:v>
      </x:c>
      <x:c r="B190" s="7" t="s">
        <x:v>191</x:v>
      </x:c>
      <x:c r="C190" s="7" t="s">
        <x:v>7201</x:v>
      </x:c>
      <x:c r="D190" s="7" t="s">
        <x:v>7191</x:v>
      </x:c>
      <x:c r="E190" s="7" t="s">
        <x:v>7202</x:v>
      </x:c>
    </x:row>
    <x:row r="191" ht="37.5" hidden="0" customHeight="1">
      <x:c r="A191" s="7" t="s">
        <x:v>7332</x:v>
      </x:c>
      <x:c r="B191" s="7" t="s">
        <x:v>191</x:v>
      </x:c>
      <x:c r="C191" s="7" t="s">
        <x:v>7204</x:v>
      </x:c>
      <x:c r="D191" s="7" t="s">
        <x:v>7191</x:v>
      </x:c>
      <x:c r="E191" s="7" t="str">
        <x:v>5 exposure, solubility or moisture record(s) from this material's own sources. Test conditions are rarely stated; not a chemical design limit.</x:v>
      </x:c>
    </x:row>
    <x:row r="192" ht="37.5" hidden="0" customHeight="1">
      <x:c r="A192" s="7" t="s">
        <x:v>7333</x:v>
      </x:c>
      <x:c r="B192" s="7" t="s">
        <x:v>191</x:v>
      </x:c>
      <x:c r="C192" s="7" t="s">
        <x:v>7207</x:v>
      </x:c>
      <x:c r="D192" s="7" t="s">
        <x:v>7107</x:v>
      </x:c>
      <x:c r="E192" s="7" t="s">
        <x:v>7211</x:v>
      </x:c>
    </x:row>
    <x:row r="193" ht="30" hidden="0" customHeight="1">
      <x:c r="A193" s="7" t="s">
        <x:v>7334</x:v>
      </x:c>
      <x:c r="B193" s="7" t="s">
        <x:v>191</x:v>
      </x:c>
      <x:c r="C193" s="7" t="s">
        <x:v>7210</x:v>
      </x:c>
      <x:c r="D193" s="7" t="s">
        <x:v>7191</x:v>
      </x:c>
      <x:c r="E193" s="7" t="s">
        <x:v>132</x:v>
      </x:c>
    </x:row>
    <x:row r="194" ht="51.75" hidden="0" customHeight="1">
      <x:c r="A194" s="7" t="s">
        <x:v>7335</x:v>
      </x:c>
      <x:c r="B194" s="7" t="s">
        <x:v>191</x:v>
      </x:c>
      <x:c r="C194" s="7" t="s">
        <x:v>7213</x:v>
      </x:c>
      <x:c r="D194" s="7" t="s">
        <x:v>7107</x:v>
      </x:c>
      <x:c r="E194" s="7" t="s">
        <x:v>7214</x:v>
      </x:c>
    </x:row>
    <x:row r="195" ht="37.5" hidden="0" customHeight="1">
      <x:c r="A195" s="7" t="s">
        <x:v>7336</x:v>
      </x:c>
      <x:c r="B195" s="7" t="s">
        <x:v>191</x:v>
      </x:c>
      <x:c r="C195" s="7" t="s">
        <x:v>7216</x:v>
      </x:c>
      <x:c r="D195" s="7" t="s">
        <x:v>7217</x:v>
      </x:c>
      <x:c r="E195" s="7" t="s">
        <x:v>7218</x:v>
      </x:c>
    </x:row>
    <x:row r="196" ht="30" hidden="0" customHeight="1">
      <x:c r="A196" s="7" t="s">
        <x:v>7337</x:v>
      </x:c>
      <x:c r="B196" s="7" t="s">
        <x:v>199</x:v>
      </x:c>
      <x:c r="C196" s="7" t="s">
        <x:v>7190</x:v>
      </x:c>
      <x:c r="D196" s="7" t="s">
        <x:v>7191</x:v>
      </x:c>
      <x:c r="E196" s="7" t="s">
        <x:v>7192</x:v>
      </x:c>
    </x:row>
    <x:row r="197" ht="37.5" hidden="0" customHeight="1">
      <x:c r="A197" s="7" t="s">
        <x:v>7338</x:v>
      </x:c>
      <x:c r="B197" s="7" t="s">
        <x:v>199</x:v>
      </x:c>
      <x:c r="C197" s="7" t="s">
        <x:v>5</x:v>
      </x:c>
      <x:c r="D197" s="7" t="s">
        <x:v>7191</x:v>
      </x:c>
      <x:c r="E197" s="7" t="s">
        <x:v>7194</x:v>
      </x:c>
    </x:row>
    <x:row r="198" ht="30" hidden="0" customHeight="1">
      <x:c r="A198" s="7" t="s">
        <x:v>7339</x:v>
      </x:c>
      <x:c r="B198" s="7" t="s">
        <x:v>199</x:v>
      </x:c>
      <x:c r="C198" s="7" t="s">
        <x:v>1450</x:v>
      </x:c>
      <x:c r="D198" s="7" t="s">
        <x:v>7191</x:v>
      </x:c>
      <x:c r="E198" s="7" t="s">
        <x:v>7196</x:v>
      </x:c>
    </x:row>
    <x:row r="199" ht="30" hidden="0" customHeight="1">
      <x:c r="A199" s="7" t="s">
        <x:v>7340</x:v>
      </x:c>
      <x:c r="B199" s="7" t="s">
        <x:v>199</x:v>
      </x:c>
      <x:c r="C199" s="7" t="s">
        <x:v>7198</x:v>
      </x:c>
      <x:c r="D199" s="7" t="s">
        <x:v>7191</x:v>
      </x:c>
      <x:c r="E199" s="7" t="s">
        <x:v>7199</x:v>
      </x:c>
    </x:row>
    <x:row r="200" ht="30" hidden="0" customHeight="1">
      <x:c r="A200" s="7" t="s">
        <x:v>7341</x:v>
      </x:c>
      <x:c r="B200" s="7" t="s">
        <x:v>199</x:v>
      </x:c>
      <x:c r="C200" s="7" t="s">
        <x:v>7201</x:v>
      </x:c>
      <x:c r="D200" s="7" t="s">
        <x:v>7191</x:v>
      </x:c>
      <x:c r="E200" s="7" t="s">
        <x:v>7202</x:v>
      </x:c>
    </x:row>
    <x:row r="201" ht="37.5" hidden="0" customHeight="1">
      <x:c r="A201" s="7" t="s">
        <x:v>7342</x:v>
      </x:c>
      <x:c r="B201" s="7" t="s">
        <x:v>199</x:v>
      </x:c>
      <x:c r="C201" s="7" t="s">
        <x:v>7204</x:v>
      </x:c>
      <x:c r="D201" s="7" t="s">
        <x:v>7191</x:v>
      </x:c>
      <x:c r="E201" s="7" t="s">
        <x:v>7205</x:v>
      </x:c>
    </x:row>
    <x:row r="202" ht="37.5" hidden="0" customHeight="1">
      <x:c r="A202" s="7" t="s">
        <x:v>7343</x:v>
      </x:c>
      <x:c r="B202" s="7" t="s">
        <x:v>199</x:v>
      </x:c>
      <x:c r="C202" s="7" t="s">
        <x:v>7207</x:v>
      </x:c>
      <x:c r="D202" s="7" t="s">
        <x:v>7191</x:v>
      </x:c>
      <x:c r="E202" s="7" t="s">
        <x:v>7208</x:v>
      </x:c>
    </x:row>
    <x:row r="203" ht="30" hidden="0" customHeight="1">
      <x:c r="A203" s="7" t="s">
        <x:v>7344</x:v>
      </x:c>
      <x:c r="B203" s="7" t="s">
        <x:v>199</x:v>
      </x:c>
      <x:c r="C203" s="7" t="s">
        <x:v>7210</x:v>
      </x:c>
      <x:c r="D203" s="7" t="s">
        <x:v>7191</x:v>
      </x:c>
      <x:c r="E203" s="7" t="s">
        <x:v>132</x:v>
      </x:c>
    </x:row>
    <x:row r="204" ht="51.75" hidden="0" customHeight="1">
      <x:c r="A204" s="7" t="s">
        <x:v>7345</x:v>
      </x:c>
      <x:c r="B204" s="7" t="s">
        <x:v>199</x:v>
      </x:c>
      <x:c r="C204" s="7" t="s">
        <x:v>7213</x:v>
      </x:c>
      <x:c r="D204" s="7" t="s">
        <x:v>7107</x:v>
      </x:c>
      <x:c r="E204" s="7" t="s">
        <x:v>7214</x:v>
      </x:c>
    </x:row>
    <x:row r="205" ht="37.5" hidden="0" customHeight="1">
      <x:c r="A205" s="7" t="s">
        <x:v>7346</x:v>
      </x:c>
      <x:c r="B205" s="7" t="s">
        <x:v>199</x:v>
      </x:c>
      <x:c r="C205" s="7" t="s">
        <x:v>7216</x:v>
      </x:c>
      <x:c r="D205" s="7" t="s">
        <x:v>7217</x:v>
      </x:c>
      <x:c r="E205" s="7" t="s">
        <x:v>7218</x:v>
      </x:c>
    </x:row>
    <x:row r="206" ht="30" hidden="0" customHeight="1">
      <x:c r="A206" s="7" t="s">
        <x:v>7347</x:v>
      </x:c>
      <x:c r="B206" s="7" t="s">
        <x:v>210</x:v>
      </x:c>
      <x:c r="C206" s="7" t="s">
        <x:v>7190</x:v>
      </x:c>
      <x:c r="D206" s="7" t="s">
        <x:v>7191</x:v>
      </x:c>
      <x:c r="E206" s="7" t="s">
        <x:v>7192</x:v>
      </x:c>
    </x:row>
    <x:row r="207" ht="37.5" hidden="0" customHeight="1">
      <x:c r="A207" s="7" t="s">
        <x:v>7348</x:v>
      </x:c>
      <x:c r="B207" s="7" t="s">
        <x:v>210</x:v>
      </x:c>
      <x:c r="C207" s="7" t="s">
        <x:v>5</x:v>
      </x:c>
      <x:c r="D207" s="7" t="s">
        <x:v>7191</x:v>
      </x:c>
      <x:c r="E207" s="7" t="s">
        <x:v>7194</x:v>
      </x:c>
    </x:row>
    <x:row r="208" ht="30" hidden="0" customHeight="1">
      <x:c r="A208" s="7" t="s">
        <x:v>7349</x:v>
      </x:c>
      <x:c r="B208" s="7" t="s">
        <x:v>210</x:v>
      </x:c>
      <x:c r="C208" s="7" t="s">
        <x:v>1450</x:v>
      </x:c>
      <x:c r="D208" s="7" t="s">
        <x:v>7191</x:v>
      </x:c>
      <x:c r="E208" s="7" t="s">
        <x:v>7196</x:v>
      </x:c>
    </x:row>
    <x:row r="209" ht="30" hidden="0" customHeight="1">
      <x:c r="A209" s="7" t="s">
        <x:v>7350</x:v>
      </x:c>
      <x:c r="B209" s="7" t="s">
        <x:v>210</x:v>
      </x:c>
      <x:c r="C209" s="7" t="s">
        <x:v>7198</x:v>
      </x:c>
      <x:c r="D209" s="7" t="s">
        <x:v>7191</x:v>
      </x:c>
      <x:c r="E209" s="7" t="s">
        <x:v>7199</x:v>
      </x:c>
    </x:row>
    <x:row r="210" ht="30" hidden="0" customHeight="1">
      <x:c r="A210" s="7" t="s">
        <x:v>7351</x:v>
      </x:c>
      <x:c r="B210" s="7" t="s">
        <x:v>210</x:v>
      </x:c>
      <x:c r="C210" s="7" t="s">
        <x:v>7201</x:v>
      </x:c>
      <x:c r="D210" s="7" t="s">
        <x:v>7191</x:v>
      </x:c>
      <x:c r="E210" s="7" t="s">
        <x:v>7202</x:v>
      </x:c>
    </x:row>
    <x:row r="211" ht="37.5" hidden="0" customHeight="1">
      <x:c r="A211" s="7" t="s">
        <x:v>7352</x:v>
      </x:c>
      <x:c r="B211" s="7" t="s">
        <x:v>210</x:v>
      </x:c>
      <x:c r="C211" s="7" t="s">
        <x:v>7204</x:v>
      </x:c>
      <x:c r="D211" s="7" t="s">
        <x:v>7191</x:v>
      </x:c>
      <x:c r="E211" s="7" t="str">
        <x:v>5 exposure, solubility or moisture record(s) from this material's own sources. Test conditions are rarely stated; not a chemical design limit.</x:v>
      </x:c>
    </x:row>
    <x:row r="212" ht="37.5" hidden="0" customHeight="1">
      <x:c r="A212" s="7" t="s">
        <x:v>7353</x:v>
      </x:c>
      <x:c r="B212" s="7" t="s">
        <x:v>210</x:v>
      </x:c>
      <x:c r="C212" s="7" t="s">
        <x:v>7207</x:v>
      </x:c>
      <x:c r="D212" s="7" t="s">
        <x:v>7191</x:v>
      </x:c>
      <x:c r="E212" s="7" t="s">
        <x:v>7208</x:v>
      </x:c>
    </x:row>
    <x:row r="213" ht="30" hidden="0" customHeight="1">
      <x:c r="A213" s="7" t="s">
        <x:v>7354</x:v>
      </x:c>
      <x:c r="B213" s="7" t="s">
        <x:v>210</x:v>
      </x:c>
      <x:c r="C213" s="7" t="s">
        <x:v>7210</x:v>
      </x:c>
      <x:c r="D213" s="7" t="s">
        <x:v>7191</x:v>
      </x:c>
      <x:c r="E213" s="7" t="s">
        <x:v>87</x:v>
      </x:c>
    </x:row>
    <x:row r="214" ht="51.75" hidden="0" customHeight="1">
      <x:c r="A214" s="7" t="s">
        <x:v>7355</x:v>
      </x:c>
      <x:c r="B214" s="7" t="s">
        <x:v>210</x:v>
      </x:c>
      <x:c r="C214" s="7" t="s">
        <x:v>7213</x:v>
      </x:c>
      <x:c r="D214" s="7" t="s">
        <x:v>7107</x:v>
      </x:c>
      <x:c r="E214" s="7" t="s">
        <x:v>7214</x:v>
      </x:c>
    </x:row>
    <x:row r="215" ht="37.5" hidden="0" customHeight="1">
      <x:c r="A215" s="7" t="s">
        <x:v>7356</x:v>
      </x:c>
      <x:c r="B215" s="7" t="s">
        <x:v>210</x:v>
      </x:c>
      <x:c r="C215" s="7" t="s">
        <x:v>7216</x:v>
      </x:c>
      <x:c r="D215" s="7" t="s">
        <x:v>7217</x:v>
      </x:c>
      <x:c r="E215" s="7" t="s">
        <x:v>7218</x:v>
      </x:c>
    </x:row>
    <x:row r="216" ht="30" hidden="0" customHeight="1">
      <x:c r="A216" s="7" t="s">
        <x:v>7357</x:v>
      </x:c>
      <x:c r="B216" s="7" t="s">
        <x:v>219</x:v>
      </x:c>
      <x:c r="C216" s="7" t="s">
        <x:v>7190</x:v>
      </x:c>
      <x:c r="D216" s="7" t="s">
        <x:v>7191</x:v>
      </x:c>
      <x:c r="E216" s="7" t="s">
        <x:v>7192</x:v>
      </x:c>
    </x:row>
    <x:row r="217" ht="37.5" hidden="0" customHeight="1">
      <x:c r="A217" s="7" t="s">
        <x:v>7358</x:v>
      </x:c>
      <x:c r="B217" s="7" t="s">
        <x:v>219</x:v>
      </x:c>
      <x:c r="C217" s="7" t="s">
        <x:v>5</x:v>
      </x:c>
      <x:c r="D217" s="7" t="s">
        <x:v>7191</x:v>
      </x:c>
      <x:c r="E217" s="7" t="s">
        <x:v>7194</x:v>
      </x:c>
    </x:row>
    <x:row r="218" ht="30" hidden="0" customHeight="1">
      <x:c r="A218" s="7" t="s">
        <x:v>7359</x:v>
      </x:c>
      <x:c r="B218" s="7" t="s">
        <x:v>219</x:v>
      </x:c>
      <x:c r="C218" s="7" t="s">
        <x:v>1450</x:v>
      </x:c>
      <x:c r="D218" s="7" t="s">
        <x:v>7191</x:v>
      </x:c>
      <x:c r="E218" s="7" t="s">
        <x:v>7196</x:v>
      </x:c>
    </x:row>
    <x:row r="219" ht="30" hidden="0" customHeight="1">
      <x:c r="A219" s="7" t="s">
        <x:v>7360</x:v>
      </x:c>
      <x:c r="B219" s="7" t="s">
        <x:v>219</x:v>
      </x:c>
      <x:c r="C219" s="7" t="s">
        <x:v>7198</x:v>
      </x:c>
      <x:c r="D219" s="7" t="s">
        <x:v>7191</x:v>
      </x:c>
      <x:c r="E219" s="7" t="s">
        <x:v>7199</x:v>
      </x:c>
    </x:row>
    <x:row r="220" ht="30" hidden="0" customHeight="1">
      <x:c r="A220" s="7" t="s">
        <x:v>7361</x:v>
      </x:c>
      <x:c r="B220" s="7" t="s">
        <x:v>219</x:v>
      </x:c>
      <x:c r="C220" s="7" t="s">
        <x:v>7201</x:v>
      </x:c>
      <x:c r="D220" s="7" t="s">
        <x:v>7191</x:v>
      </x:c>
      <x:c r="E220" s="7" t="s">
        <x:v>7202</x:v>
      </x:c>
    </x:row>
    <x:row r="221" ht="37.5" hidden="0" customHeight="1">
      <x:c r="A221" s="7" t="s">
        <x:v>7362</x:v>
      </x:c>
      <x:c r="B221" s="7" t="s">
        <x:v>219</x:v>
      </x:c>
      <x:c r="C221" s="7" t="s">
        <x:v>7204</x:v>
      </x:c>
      <x:c r="D221" s="7" t="s">
        <x:v>7191</x:v>
      </x:c>
      <x:c r="E221" s="7" t="s">
        <x:v>7205</x:v>
      </x:c>
    </x:row>
    <x:row r="222" ht="37.5" hidden="0" customHeight="1">
      <x:c r="A222" s="7" t="s">
        <x:v>7363</x:v>
      </x:c>
      <x:c r="B222" s="7" t="s">
        <x:v>219</x:v>
      </x:c>
      <x:c r="C222" s="7" t="s">
        <x:v>7207</x:v>
      </x:c>
      <x:c r="D222" s="7" t="s">
        <x:v>7191</x:v>
      </x:c>
      <x:c r="E222" s="7" t="s">
        <x:v>7208</x:v>
      </x:c>
    </x:row>
    <x:row r="223" ht="30" hidden="0" customHeight="1">
      <x:c r="A223" s="7" t="s">
        <x:v>7364</x:v>
      </x:c>
      <x:c r="B223" s="7" t="s">
        <x:v>219</x:v>
      </x:c>
      <x:c r="C223" s="7" t="s">
        <x:v>7210</x:v>
      </x:c>
      <x:c r="D223" s="7" t="s">
        <x:v>7191</x:v>
      </x:c>
      <x:c r="E223" s="7" t="s">
        <x:v>132</x:v>
      </x:c>
    </x:row>
    <x:row r="224" ht="51.75" hidden="0" customHeight="1">
      <x:c r="A224" s="7" t="s">
        <x:v>7365</x:v>
      </x:c>
      <x:c r="B224" s="7" t="s">
        <x:v>219</x:v>
      </x:c>
      <x:c r="C224" s="7" t="s">
        <x:v>7213</x:v>
      </x:c>
      <x:c r="D224" s="7" t="s">
        <x:v>7107</x:v>
      </x:c>
      <x:c r="E224" s="7" t="s">
        <x:v>7214</x:v>
      </x:c>
    </x:row>
    <x:row r="225" ht="37.5" hidden="0" customHeight="1">
      <x:c r="A225" s="7" t="s">
        <x:v>7366</x:v>
      </x:c>
      <x:c r="B225" s="7" t="s">
        <x:v>219</x:v>
      </x:c>
      <x:c r="C225" s="7" t="s">
        <x:v>7216</x:v>
      </x:c>
      <x:c r="D225" s="7" t="s">
        <x:v>7217</x:v>
      </x:c>
      <x:c r="E225" s="7" t="s">
        <x:v>7218</x:v>
      </x:c>
    </x:row>
    <x:row r="226" ht="30" hidden="0" customHeight="1">
      <x:c r="A226" s="7" t="s">
        <x:v>7367</x:v>
      </x:c>
      <x:c r="B226" s="7" t="s">
        <x:v>229</x:v>
      </x:c>
      <x:c r="C226" s="7" t="s">
        <x:v>7190</x:v>
      </x:c>
      <x:c r="D226" s="7" t="s">
        <x:v>7191</x:v>
      </x:c>
      <x:c r="E226" s="7" t="s">
        <x:v>7192</x:v>
      </x:c>
    </x:row>
    <x:row r="227" ht="37.5" hidden="0" customHeight="1">
      <x:c r="A227" s="7" t="s">
        <x:v>7368</x:v>
      </x:c>
      <x:c r="B227" s="7" t="s">
        <x:v>229</x:v>
      </x:c>
      <x:c r="C227" s="7" t="s">
        <x:v>5</x:v>
      </x:c>
      <x:c r="D227" s="7" t="s">
        <x:v>7191</x:v>
      </x:c>
      <x:c r="E227" s="7" t="s">
        <x:v>7194</x:v>
      </x:c>
    </x:row>
    <x:row r="228" ht="30" hidden="0" customHeight="1">
      <x:c r="A228" s="7" t="s">
        <x:v>7369</x:v>
      </x:c>
      <x:c r="B228" s="7" t="s">
        <x:v>229</x:v>
      </x:c>
      <x:c r="C228" s="7" t="s">
        <x:v>1450</x:v>
      </x:c>
      <x:c r="D228" s="7" t="s">
        <x:v>7191</x:v>
      </x:c>
      <x:c r="E228" s="7" t="s">
        <x:v>7196</x:v>
      </x:c>
    </x:row>
    <x:row r="229" ht="30" hidden="0" customHeight="1">
      <x:c r="A229" s="7" t="s">
        <x:v>7370</x:v>
      </x:c>
      <x:c r="B229" s="7" t="s">
        <x:v>229</x:v>
      </x:c>
      <x:c r="C229" s="7" t="s">
        <x:v>7198</x:v>
      </x:c>
      <x:c r="D229" s="7" t="s">
        <x:v>7191</x:v>
      </x:c>
      <x:c r="E229" s="7" t="s">
        <x:v>7199</x:v>
      </x:c>
    </x:row>
    <x:row r="230" ht="30" hidden="0" customHeight="1">
      <x:c r="A230" s="7" t="s">
        <x:v>7371</x:v>
      </x:c>
      <x:c r="B230" s="7" t="s">
        <x:v>229</x:v>
      </x:c>
      <x:c r="C230" s="7" t="s">
        <x:v>7201</x:v>
      </x:c>
      <x:c r="D230" s="7" t="s">
        <x:v>7191</x:v>
      </x:c>
      <x:c r="E230" s="7" t="s">
        <x:v>7202</x:v>
      </x:c>
    </x:row>
    <x:row r="231" ht="37.5" hidden="0" customHeight="1">
      <x:c r="A231" s="7" t="s">
        <x:v>7372</x:v>
      </x:c>
      <x:c r="B231" s="7" t="s">
        <x:v>229</x:v>
      </x:c>
      <x:c r="C231" s="7" t="s">
        <x:v>7204</x:v>
      </x:c>
      <x:c r="D231" s="7" t="s">
        <x:v>7191</x:v>
      </x:c>
      <x:c r="E231" s="7" t="str">
        <x:v>5 exposure, solubility or moisture record(s) from this material's own sources. Test conditions are rarely stated; not a chemical design limit.</x:v>
      </x:c>
    </x:row>
    <x:row r="232" ht="37.5" hidden="0" customHeight="1">
      <x:c r="A232" s="7" t="s">
        <x:v>7373</x:v>
      </x:c>
      <x:c r="B232" s="7" t="s">
        <x:v>229</x:v>
      </x:c>
      <x:c r="C232" s="7" t="s">
        <x:v>7207</x:v>
      </x:c>
      <x:c r="D232" s="7" t="s">
        <x:v>7191</x:v>
      </x:c>
      <x:c r="E232" s="7" t="s">
        <x:v>7208</x:v>
      </x:c>
    </x:row>
    <x:row r="233" ht="30" hidden="0" customHeight="1">
      <x:c r="A233" s="7" t="s">
        <x:v>7374</x:v>
      </x:c>
      <x:c r="B233" s="7" t="s">
        <x:v>229</x:v>
      </x:c>
      <x:c r="C233" s="7" t="s">
        <x:v>7210</x:v>
      </x:c>
      <x:c r="D233" s="7" t="s">
        <x:v>7191</x:v>
      </x:c>
      <x:c r="E233" s="7" t="s">
        <x:v>132</x:v>
      </x:c>
    </x:row>
    <x:row r="234" ht="51.75" hidden="0" customHeight="1">
      <x:c r="A234" s="7" t="s">
        <x:v>7375</x:v>
      </x:c>
      <x:c r="B234" s="7" t="s">
        <x:v>229</x:v>
      </x:c>
      <x:c r="C234" s="7" t="s">
        <x:v>7213</x:v>
      </x:c>
      <x:c r="D234" s="7" t="s">
        <x:v>7107</x:v>
      </x:c>
      <x:c r="E234" s="7" t="s">
        <x:v>7214</x:v>
      </x:c>
    </x:row>
    <x:row r="235" ht="37.5" hidden="0" customHeight="1">
      <x:c r="A235" s="7" t="s">
        <x:v>7376</x:v>
      </x:c>
      <x:c r="B235" s="7" t="s">
        <x:v>229</x:v>
      </x:c>
      <x:c r="C235" s="7" t="s">
        <x:v>7216</x:v>
      </x:c>
      <x:c r="D235" s="7" t="s">
        <x:v>7217</x:v>
      </x:c>
      <x:c r="E235" s="7" t="s">
        <x:v>7218</x:v>
      </x:c>
    </x:row>
    <x:row r="236" ht="30" hidden="0" customHeight="1">
      <x:c r="A236" s="7" t="s">
        <x:v>7377</x:v>
      </x:c>
      <x:c r="B236" s="7" t="s">
        <x:v>241</x:v>
      </x:c>
      <x:c r="C236" s="7" t="s">
        <x:v>7190</x:v>
      </x:c>
      <x:c r="D236" s="7" t="s">
        <x:v>7191</x:v>
      </x:c>
      <x:c r="E236" s="7" t="s">
        <x:v>7192</x:v>
      </x:c>
    </x:row>
    <x:row r="237" ht="37.5" hidden="0" customHeight="1">
      <x:c r="A237" s="7" t="s">
        <x:v>7378</x:v>
      </x:c>
      <x:c r="B237" s="7" t="s">
        <x:v>241</x:v>
      </x:c>
      <x:c r="C237" s="7" t="s">
        <x:v>5</x:v>
      </x:c>
      <x:c r="D237" s="7" t="s">
        <x:v>7191</x:v>
      </x:c>
      <x:c r="E237" s="7" t="s">
        <x:v>7194</x:v>
      </x:c>
    </x:row>
    <x:row r="238" ht="30" hidden="0" customHeight="1">
      <x:c r="A238" s="7" t="s">
        <x:v>7379</x:v>
      </x:c>
      <x:c r="B238" s="7" t="s">
        <x:v>241</x:v>
      </x:c>
      <x:c r="C238" s="7" t="s">
        <x:v>1450</x:v>
      </x:c>
      <x:c r="D238" s="7" t="s">
        <x:v>7191</x:v>
      </x:c>
      <x:c r="E238" s="7" t="s">
        <x:v>7196</x:v>
      </x:c>
    </x:row>
    <x:row r="239" ht="30" hidden="0" customHeight="1">
      <x:c r="A239" s="7" t="s">
        <x:v>7380</x:v>
      </x:c>
      <x:c r="B239" s="7" t="s">
        <x:v>241</x:v>
      </x:c>
      <x:c r="C239" s="7" t="s">
        <x:v>7198</x:v>
      </x:c>
      <x:c r="D239" s="7" t="s">
        <x:v>7191</x:v>
      </x:c>
      <x:c r="E239" s="7" t="s">
        <x:v>7199</x:v>
      </x:c>
    </x:row>
    <x:row r="240" ht="30" hidden="0" customHeight="1">
      <x:c r="A240" s="7" t="s">
        <x:v>7381</x:v>
      </x:c>
      <x:c r="B240" s="7" t="s">
        <x:v>241</x:v>
      </x:c>
      <x:c r="C240" s="7" t="s">
        <x:v>7201</x:v>
      </x:c>
      <x:c r="D240" s="7" t="s">
        <x:v>7191</x:v>
      </x:c>
      <x:c r="E240" s="7" t="s">
        <x:v>7202</x:v>
      </x:c>
    </x:row>
    <x:row r="241" ht="37.5" hidden="0" customHeight="1">
      <x:c r="A241" s="7" t="s">
        <x:v>7382</x:v>
      </x:c>
      <x:c r="B241" s="7" t="s">
        <x:v>241</x:v>
      </x:c>
      <x:c r="C241" s="7" t="s">
        <x:v>7204</x:v>
      </x:c>
      <x:c r="D241" s="7" t="s">
        <x:v>7191</x:v>
      </x:c>
      <x:c r="E241" s="7" t="s">
        <x:v>7205</x:v>
      </x:c>
    </x:row>
    <x:row r="242" ht="37.5" hidden="0" customHeight="1">
      <x:c r="A242" s="7" t="s">
        <x:v>7383</x:v>
      </x:c>
      <x:c r="B242" s="7" t="s">
        <x:v>241</x:v>
      </x:c>
      <x:c r="C242" s="7" t="s">
        <x:v>7207</x:v>
      </x:c>
      <x:c r="D242" s="7" t="s">
        <x:v>7191</x:v>
      </x:c>
      <x:c r="E242" s="7" t="s">
        <x:v>7208</x:v>
      </x:c>
    </x:row>
    <x:row r="243" ht="30" hidden="0" customHeight="1">
      <x:c r="A243" s="7" t="s">
        <x:v>7384</x:v>
      </x:c>
      <x:c r="B243" s="7" t="s">
        <x:v>241</x:v>
      </x:c>
      <x:c r="C243" s="7" t="s">
        <x:v>7210</x:v>
      </x:c>
      <x:c r="D243" s="7" t="s">
        <x:v>7191</x:v>
      </x:c>
      <x:c r="E243" s="7" t="s">
        <x:v>132</x:v>
      </x:c>
    </x:row>
    <x:row r="244" ht="51.75" hidden="0" customHeight="1">
      <x:c r="A244" s="7" t="s">
        <x:v>7385</x:v>
      </x:c>
      <x:c r="B244" s="7" t="s">
        <x:v>241</x:v>
      </x:c>
      <x:c r="C244" s="7" t="s">
        <x:v>7213</x:v>
      </x:c>
      <x:c r="D244" s="7" t="s">
        <x:v>7107</x:v>
      </x:c>
      <x:c r="E244" s="7" t="s">
        <x:v>7214</x:v>
      </x:c>
    </x:row>
    <x:row r="245" ht="37.5" hidden="0" customHeight="1">
      <x:c r="A245" s="7" t="s">
        <x:v>7386</x:v>
      </x:c>
      <x:c r="B245" s="7" t="s">
        <x:v>241</x:v>
      </x:c>
      <x:c r="C245" s="7" t="s">
        <x:v>7216</x:v>
      </x:c>
      <x:c r="D245" s="7" t="s">
        <x:v>7217</x:v>
      </x:c>
      <x:c r="E245" s="7" t="s">
        <x:v>7218</x:v>
      </x:c>
    </x:row>
    <x:row r="246" ht="30" hidden="0" customHeight="1">
      <x:c r="A246" s="7" t="s">
        <x:v>7387</x:v>
      </x:c>
      <x:c r="B246" s="7" t="s">
        <x:v>252</x:v>
      </x:c>
      <x:c r="C246" s="7" t="s">
        <x:v>7190</x:v>
      </x:c>
      <x:c r="D246" s="7" t="s">
        <x:v>7191</x:v>
      </x:c>
      <x:c r="E246" s="7" t="s">
        <x:v>7192</x:v>
      </x:c>
    </x:row>
    <x:row r="247" ht="37.5" hidden="0" customHeight="1">
      <x:c r="A247" s="7" t="s">
        <x:v>7388</x:v>
      </x:c>
      <x:c r="B247" s="7" t="s">
        <x:v>252</x:v>
      </x:c>
      <x:c r="C247" s="7" t="s">
        <x:v>5</x:v>
      </x:c>
      <x:c r="D247" s="7" t="s">
        <x:v>7191</x:v>
      </x:c>
      <x:c r="E247" s="7" t="s">
        <x:v>7194</x:v>
      </x:c>
    </x:row>
    <x:row r="248" ht="30" hidden="0" customHeight="1">
      <x:c r="A248" s="7" t="s">
        <x:v>7389</x:v>
      </x:c>
      <x:c r="B248" s="7" t="s">
        <x:v>252</x:v>
      </x:c>
      <x:c r="C248" s="7" t="s">
        <x:v>1450</x:v>
      </x:c>
      <x:c r="D248" s="7" t="s">
        <x:v>7191</x:v>
      </x:c>
      <x:c r="E248" s="7" t="s">
        <x:v>7196</x:v>
      </x:c>
    </x:row>
    <x:row r="249" ht="30" hidden="0" customHeight="1">
      <x:c r="A249" s="7" t="s">
        <x:v>7390</x:v>
      </x:c>
      <x:c r="B249" s="7" t="s">
        <x:v>252</x:v>
      </x:c>
      <x:c r="C249" s="7" t="s">
        <x:v>7198</x:v>
      </x:c>
      <x:c r="D249" s="7" t="s">
        <x:v>7191</x:v>
      </x:c>
      <x:c r="E249" s="7" t="s">
        <x:v>7199</x:v>
      </x:c>
    </x:row>
    <x:row r="250" ht="30" hidden="0" customHeight="1">
      <x:c r="A250" s="7" t="s">
        <x:v>7391</x:v>
      </x:c>
      <x:c r="B250" s="7" t="s">
        <x:v>252</x:v>
      </x:c>
      <x:c r="C250" s="7" t="s">
        <x:v>7201</x:v>
      </x:c>
      <x:c r="D250" s="7" t="s">
        <x:v>7191</x:v>
      </x:c>
      <x:c r="E250" s="7" t="s">
        <x:v>7202</x:v>
      </x:c>
    </x:row>
    <x:row r="251" ht="37.5" hidden="0" customHeight="1">
      <x:c r="A251" s="7" t="s">
        <x:v>7392</x:v>
      </x:c>
      <x:c r="B251" s="7" t="s">
        <x:v>252</x:v>
      </x:c>
      <x:c r="C251" s="7" t="s">
        <x:v>7204</x:v>
      </x:c>
      <x:c r="D251" s="7" t="s">
        <x:v>7191</x:v>
      </x:c>
      <x:c r="E251" s="7" t="s">
        <x:v>7205</x:v>
      </x:c>
    </x:row>
    <x:row r="252" ht="37.5" hidden="0" customHeight="1">
      <x:c r="A252" s="7" t="s">
        <x:v>7393</x:v>
      </x:c>
      <x:c r="B252" s="7" t="s">
        <x:v>252</x:v>
      </x:c>
      <x:c r="C252" s="7" t="s">
        <x:v>7207</x:v>
      </x:c>
      <x:c r="D252" s="7" t="s">
        <x:v>7107</x:v>
      </x:c>
      <x:c r="E252" s="7" t="s">
        <x:v>7211</x:v>
      </x:c>
    </x:row>
    <x:row r="253" ht="37.5" hidden="0" customHeight="1">
      <x:c r="A253" s="7" t="s">
        <x:v>7394</x:v>
      </x:c>
      <x:c r="B253" s="7" t="s">
        <x:v>252</x:v>
      </x:c>
      <x:c r="C253" s="7" t="s">
        <x:v>7210</x:v>
      </x:c>
      <x:c r="D253" s="7" t="s">
        <x:v>7107</x:v>
      </x:c>
      <x:c r="E253" s="7" t="s">
        <x:v>7211</x:v>
      </x:c>
    </x:row>
    <x:row r="254" ht="51.75" hidden="0" customHeight="1">
      <x:c r="A254" s="7" t="s">
        <x:v>7395</x:v>
      </x:c>
      <x:c r="B254" s="7" t="s">
        <x:v>252</x:v>
      </x:c>
      <x:c r="C254" s="7" t="s">
        <x:v>7213</x:v>
      </x:c>
      <x:c r="D254" s="7" t="s">
        <x:v>7107</x:v>
      </x:c>
      <x:c r="E254" s="7" t="s">
        <x:v>7214</x:v>
      </x:c>
    </x:row>
    <x:row r="255" ht="37.5" hidden="0" customHeight="1">
      <x:c r="A255" s="7" t="s">
        <x:v>7396</x:v>
      </x:c>
      <x:c r="B255" s="7" t="s">
        <x:v>252</x:v>
      </x:c>
      <x:c r="C255" s="7" t="s">
        <x:v>7216</x:v>
      </x:c>
      <x:c r="D255" s="7" t="s">
        <x:v>7217</x:v>
      </x:c>
      <x:c r="E255" s="7" t="s">
        <x:v>7218</x:v>
      </x:c>
    </x:row>
    <x:row r="256" ht="30" hidden="0" customHeight="1">
      <x:c r="A256" s="7" t="s">
        <x:v>7397</x:v>
      </x:c>
      <x:c r="B256" s="7" t="s">
        <x:v>266</x:v>
      </x:c>
      <x:c r="C256" s="7" t="s">
        <x:v>7190</x:v>
      </x:c>
      <x:c r="D256" s="7" t="s">
        <x:v>7191</x:v>
      </x:c>
      <x:c r="E256" s="7" t="s">
        <x:v>7192</x:v>
      </x:c>
    </x:row>
    <x:row r="257" ht="37.5" hidden="0" customHeight="1">
      <x:c r="A257" s="7" t="s">
        <x:v>7398</x:v>
      </x:c>
      <x:c r="B257" s="7" t="s">
        <x:v>266</x:v>
      </x:c>
      <x:c r="C257" s="7" t="s">
        <x:v>5</x:v>
      </x:c>
      <x:c r="D257" s="7" t="s">
        <x:v>7191</x:v>
      </x:c>
      <x:c r="E257" s="7" t="s">
        <x:v>7194</x:v>
      </x:c>
    </x:row>
    <x:row r="258" ht="30" hidden="0" customHeight="1">
      <x:c r="A258" s="7" t="s">
        <x:v>7399</x:v>
      </x:c>
      <x:c r="B258" s="7" t="s">
        <x:v>266</x:v>
      </x:c>
      <x:c r="C258" s="7" t="s">
        <x:v>1450</x:v>
      </x:c>
      <x:c r="D258" s="7" t="s">
        <x:v>7191</x:v>
      </x:c>
      <x:c r="E258" s="7" t="s">
        <x:v>7196</x:v>
      </x:c>
    </x:row>
    <x:row r="259" ht="30" hidden="0" customHeight="1">
      <x:c r="A259" s="7" t="s">
        <x:v>7400</x:v>
      </x:c>
      <x:c r="B259" s="7" t="s">
        <x:v>266</x:v>
      </x:c>
      <x:c r="C259" s="7" t="s">
        <x:v>7198</x:v>
      </x:c>
      <x:c r="D259" s="7" t="s">
        <x:v>7191</x:v>
      </x:c>
      <x:c r="E259" s="7" t="s">
        <x:v>7199</x:v>
      </x:c>
    </x:row>
    <x:row r="260" ht="30" hidden="0" customHeight="1">
      <x:c r="A260" s="7" t="s">
        <x:v>7401</x:v>
      </x:c>
      <x:c r="B260" s="7" t="s">
        <x:v>266</x:v>
      </x:c>
      <x:c r="C260" s="7" t="s">
        <x:v>7201</x:v>
      </x:c>
      <x:c r="D260" s="7" t="s">
        <x:v>7191</x:v>
      </x:c>
      <x:c r="E260" s="7" t="s">
        <x:v>7202</x:v>
      </x:c>
    </x:row>
    <x:row r="261" ht="37.5" hidden="0" customHeight="1">
      <x:c r="A261" s="7" t="s">
        <x:v>7402</x:v>
      </x:c>
      <x:c r="B261" s="7" t="s">
        <x:v>266</x:v>
      </x:c>
      <x:c r="C261" s="7" t="s">
        <x:v>7204</x:v>
      </x:c>
      <x:c r="D261" s="7" t="s">
        <x:v>7191</x:v>
      </x:c>
      <x:c r="E261" s="7" t="s">
        <x:v>7205</x:v>
      </x:c>
    </x:row>
    <x:row r="262" ht="37.5" hidden="0" customHeight="1">
      <x:c r="A262" s="7" t="s">
        <x:v>7403</x:v>
      </x:c>
      <x:c r="B262" s="7" t="s">
        <x:v>266</x:v>
      </x:c>
      <x:c r="C262" s="7" t="s">
        <x:v>7207</x:v>
      </x:c>
      <x:c r="D262" s="7" t="s">
        <x:v>7191</x:v>
      </x:c>
      <x:c r="E262" s="7" t="s">
        <x:v>7208</x:v>
      </x:c>
    </x:row>
    <x:row r="263" ht="37.5" hidden="0" customHeight="1">
      <x:c r="A263" s="7" t="s">
        <x:v>7404</x:v>
      </x:c>
      <x:c r="B263" s="7" t="s">
        <x:v>266</x:v>
      </x:c>
      <x:c r="C263" s="7" t="s">
        <x:v>7210</x:v>
      </x:c>
      <x:c r="D263" s="7" t="s">
        <x:v>7107</x:v>
      </x:c>
      <x:c r="E263" s="7" t="s">
        <x:v>7211</x:v>
      </x:c>
    </x:row>
    <x:row r="264" ht="51.75" hidden="0" customHeight="1">
      <x:c r="A264" s="7" t="s">
        <x:v>7405</x:v>
      </x:c>
      <x:c r="B264" s="7" t="s">
        <x:v>266</x:v>
      </x:c>
      <x:c r="C264" s="7" t="s">
        <x:v>7213</x:v>
      </x:c>
      <x:c r="D264" s="7" t="s">
        <x:v>7107</x:v>
      </x:c>
      <x:c r="E264" s="7" t="s">
        <x:v>7214</x:v>
      </x:c>
    </x:row>
    <x:row r="265" ht="37.5" hidden="0" customHeight="1">
      <x:c r="A265" s="7" t="s">
        <x:v>7406</x:v>
      </x:c>
      <x:c r="B265" s="7" t="s">
        <x:v>266</x:v>
      </x:c>
      <x:c r="C265" s="7" t="s">
        <x:v>7216</x:v>
      </x:c>
      <x:c r="D265" s="7" t="s">
        <x:v>7217</x:v>
      </x:c>
      <x:c r="E265" s="7" t="s">
        <x:v>7218</x:v>
      </x:c>
    </x:row>
    <x:row r="266" ht="30" hidden="0" customHeight="1">
      <x:c r="A266" s="7" t="s">
        <x:v>7407</x:v>
      </x:c>
      <x:c r="B266" s="7" t="s">
        <x:v>277</x:v>
      </x:c>
      <x:c r="C266" s="7" t="s">
        <x:v>7190</x:v>
      </x:c>
      <x:c r="D266" s="7" t="s">
        <x:v>7191</x:v>
      </x:c>
      <x:c r="E266" s="7" t="s">
        <x:v>7192</x:v>
      </x:c>
    </x:row>
    <x:row r="267" ht="37.5" hidden="0" customHeight="1">
      <x:c r="A267" s="7" t="s">
        <x:v>7408</x:v>
      </x:c>
      <x:c r="B267" s="7" t="s">
        <x:v>277</x:v>
      </x:c>
      <x:c r="C267" s="7" t="s">
        <x:v>5</x:v>
      </x:c>
      <x:c r="D267" s="7" t="s">
        <x:v>7191</x:v>
      </x:c>
      <x:c r="E267" s="7" t="s">
        <x:v>7194</x:v>
      </x:c>
    </x:row>
    <x:row r="268" ht="30" hidden="0" customHeight="1">
      <x:c r="A268" s="7" t="s">
        <x:v>7409</x:v>
      </x:c>
      <x:c r="B268" s="7" t="s">
        <x:v>277</x:v>
      </x:c>
      <x:c r="C268" s="7" t="s">
        <x:v>1450</x:v>
      </x:c>
      <x:c r="D268" s="7" t="s">
        <x:v>7191</x:v>
      </x:c>
      <x:c r="E268" s="7" t="s">
        <x:v>7196</x:v>
      </x:c>
    </x:row>
    <x:row r="269" ht="30" hidden="0" customHeight="1">
      <x:c r="A269" s="7" t="s">
        <x:v>7410</x:v>
      </x:c>
      <x:c r="B269" s="7" t="s">
        <x:v>277</x:v>
      </x:c>
      <x:c r="C269" s="7" t="s">
        <x:v>7198</x:v>
      </x:c>
      <x:c r="D269" s="7" t="s">
        <x:v>7191</x:v>
      </x:c>
      <x:c r="E269" s="7" t="s">
        <x:v>7199</x:v>
      </x:c>
    </x:row>
    <x:row r="270" ht="30" hidden="0" customHeight="1">
      <x:c r="A270" s="7" t="s">
        <x:v>7411</x:v>
      </x:c>
      <x:c r="B270" s="7" t="s">
        <x:v>277</x:v>
      </x:c>
      <x:c r="C270" s="7" t="s">
        <x:v>7201</x:v>
      </x:c>
      <x:c r="D270" s="7" t="s">
        <x:v>7191</x:v>
      </x:c>
      <x:c r="E270" s="7" t="s">
        <x:v>7202</x:v>
      </x:c>
    </x:row>
    <x:row r="271" ht="37.5" hidden="0" customHeight="1">
      <x:c r="A271" s="7" t="s">
        <x:v>7412</x:v>
      </x:c>
      <x:c r="B271" s="7" t="s">
        <x:v>277</x:v>
      </x:c>
      <x:c r="C271" s="7" t="s">
        <x:v>7204</x:v>
      </x:c>
      <x:c r="D271" s="7" t="s">
        <x:v>7191</x:v>
      </x:c>
      <x:c r="E271" s="7" t="s">
        <x:v>7205</x:v>
      </x:c>
    </x:row>
    <x:row r="272" ht="37.5" hidden="0" customHeight="1">
      <x:c r="A272" s="7" t="s">
        <x:v>7413</x:v>
      </x:c>
      <x:c r="B272" s="7" t="s">
        <x:v>277</x:v>
      </x:c>
      <x:c r="C272" s="7" t="s">
        <x:v>7207</x:v>
      </x:c>
      <x:c r="D272" s="7" t="s">
        <x:v>7107</x:v>
      </x:c>
      <x:c r="E272" s="7" t="s">
        <x:v>7211</x:v>
      </x:c>
    </x:row>
    <x:row r="273" ht="30" hidden="0" customHeight="1">
      <x:c r="A273" s="7" t="s">
        <x:v>7414</x:v>
      </x:c>
      <x:c r="B273" s="7" t="s">
        <x:v>277</x:v>
      </x:c>
      <x:c r="C273" s="7" t="s">
        <x:v>7210</x:v>
      </x:c>
      <x:c r="D273" s="7" t="s">
        <x:v>7191</x:v>
      </x:c>
      <x:c r="E273" s="7" t="s">
        <x:v>132</x:v>
      </x:c>
    </x:row>
    <x:row r="274" ht="51.75" hidden="0" customHeight="1">
      <x:c r="A274" s="7" t="s">
        <x:v>7415</x:v>
      </x:c>
      <x:c r="B274" s="7" t="s">
        <x:v>277</x:v>
      </x:c>
      <x:c r="C274" s="7" t="s">
        <x:v>7213</x:v>
      </x:c>
      <x:c r="D274" s="7" t="s">
        <x:v>7107</x:v>
      </x:c>
      <x:c r="E274" s="7" t="s">
        <x:v>7214</x:v>
      </x:c>
    </x:row>
    <x:row r="275" ht="37.5" hidden="0" customHeight="1">
      <x:c r="A275" s="7" t="s">
        <x:v>7416</x:v>
      </x:c>
      <x:c r="B275" s="7" t="s">
        <x:v>277</x:v>
      </x:c>
      <x:c r="C275" s="7" t="s">
        <x:v>7216</x:v>
      </x:c>
      <x:c r="D275" s="7" t="s">
        <x:v>7217</x:v>
      </x:c>
      <x:c r="E275" s="7" t="s">
        <x:v>7218</x:v>
      </x:c>
    </x:row>
    <x:row r="276" ht="30" hidden="0" customHeight="1">
      <x:c r="A276" s="7" t="s">
        <x:v>7417</x:v>
      </x:c>
      <x:c r="B276" s="7" t="s">
        <x:v>291</x:v>
      </x:c>
      <x:c r="C276" s="7" t="s">
        <x:v>7190</x:v>
      </x:c>
      <x:c r="D276" s="7" t="s">
        <x:v>7191</x:v>
      </x:c>
      <x:c r="E276" s="7" t="s">
        <x:v>7192</x:v>
      </x:c>
    </x:row>
    <x:row r="277" ht="37.5" hidden="0" customHeight="1">
      <x:c r="A277" s="7" t="s">
        <x:v>7418</x:v>
      </x:c>
      <x:c r="B277" s="7" t="s">
        <x:v>291</x:v>
      </x:c>
      <x:c r="C277" s="7" t="s">
        <x:v>5</x:v>
      </x:c>
      <x:c r="D277" s="7" t="s">
        <x:v>7191</x:v>
      </x:c>
      <x:c r="E277" s="7" t="s">
        <x:v>7194</x:v>
      </x:c>
    </x:row>
    <x:row r="278" ht="30" hidden="0" customHeight="1">
      <x:c r="A278" s="7" t="s">
        <x:v>7419</x:v>
      </x:c>
      <x:c r="B278" s="7" t="s">
        <x:v>291</x:v>
      </x:c>
      <x:c r="C278" s="7" t="s">
        <x:v>1450</x:v>
      </x:c>
      <x:c r="D278" s="7" t="s">
        <x:v>7191</x:v>
      </x:c>
      <x:c r="E278" s="7" t="s">
        <x:v>7196</x:v>
      </x:c>
    </x:row>
    <x:row r="279" ht="30" hidden="0" customHeight="1">
      <x:c r="A279" s="7" t="s">
        <x:v>7420</x:v>
      </x:c>
      <x:c r="B279" s="7" t="s">
        <x:v>291</x:v>
      </x:c>
      <x:c r="C279" s="7" t="s">
        <x:v>7198</x:v>
      </x:c>
      <x:c r="D279" s="7" t="s">
        <x:v>7191</x:v>
      </x:c>
      <x:c r="E279" s="7" t="s">
        <x:v>7199</x:v>
      </x:c>
    </x:row>
    <x:row r="280" ht="30" hidden="0" customHeight="1">
      <x:c r="A280" s="7" t="s">
        <x:v>7421</x:v>
      </x:c>
      <x:c r="B280" s="7" t="s">
        <x:v>291</x:v>
      </x:c>
      <x:c r="C280" s="7" t="s">
        <x:v>7201</x:v>
      </x:c>
      <x:c r="D280" s="7" t="s">
        <x:v>7191</x:v>
      </x:c>
      <x:c r="E280" s="7" t="s">
        <x:v>7202</x:v>
      </x:c>
    </x:row>
    <x:row r="281" ht="37.5" hidden="0" customHeight="1">
      <x:c r="A281" s="7" t="s">
        <x:v>7422</x:v>
      </x:c>
      <x:c r="B281" s="7" t="s">
        <x:v>291</x:v>
      </x:c>
      <x:c r="C281" s="7" t="s">
        <x:v>7204</x:v>
      </x:c>
      <x:c r="D281" s="7" t="s">
        <x:v>7191</x:v>
      </x:c>
      <x:c r="E281" s="7" t="str">
        <x:v>5 exposure, solubility or moisture record(s) from this material's own sources. Test conditions are rarely stated; not a chemical design limit.</x:v>
      </x:c>
    </x:row>
    <x:row r="282" ht="37.5" hidden="0" customHeight="1">
      <x:c r="A282" s="7" t="s">
        <x:v>7423</x:v>
      </x:c>
      <x:c r="B282" s="7" t="s">
        <x:v>291</x:v>
      </x:c>
      <x:c r="C282" s="7" t="s">
        <x:v>7207</x:v>
      </x:c>
      <x:c r="D282" s="7" t="s">
        <x:v>7191</x:v>
      </x:c>
      <x:c r="E282" s="7" t="s">
        <x:v>7208</x:v>
      </x:c>
    </x:row>
    <x:row r="283" ht="37.5" hidden="0" customHeight="1">
      <x:c r="A283" s="7" t="s">
        <x:v>7424</x:v>
      </x:c>
      <x:c r="B283" s="7" t="s">
        <x:v>291</x:v>
      </x:c>
      <x:c r="C283" s="7" t="s">
        <x:v>7210</x:v>
      </x:c>
      <x:c r="D283" s="7" t="s">
        <x:v>7107</x:v>
      </x:c>
      <x:c r="E283" s="7" t="s">
        <x:v>7211</x:v>
      </x:c>
    </x:row>
    <x:row r="284" ht="51.75" hidden="0" customHeight="1">
      <x:c r="A284" s="7" t="s">
        <x:v>7425</x:v>
      </x:c>
      <x:c r="B284" s="7" t="s">
        <x:v>291</x:v>
      </x:c>
      <x:c r="C284" s="7" t="s">
        <x:v>7213</x:v>
      </x:c>
      <x:c r="D284" s="7" t="s">
        <x:v>7107</x:v>
      </x:c>
      <x:c r="E284" s="7" t="s">
        <x:v>7214</x:v>
      </x:c>
    </x:row>
    <x:row r="285" ht="37.5" hidden="0" customHeight="1">
      <x:c r="A285" s="7" t="s">
        <x:v>7426</x:v>
      </x:c>
      <x:c r="B285" s="7" t="s">
        <x:v>291</x:v>
      </x:c>
      <x:c r="C285" s="7" t="s">
        <x:v>7216</x:v>
      </x:c>
      <x:c r="D285" s="7" t="s">
        <x:v>7217</x:v>
      </x:c>
      <x:c r="E285" s="7" t="s">
        <x:v>7218</x:v>
      </x:c>
    </x:row>
    <x:row r="286" ht="30" hidden="0" customHeight="1">
      <x:c r="A286" s="7" t="s">
        <x:v>7427</x:v>
      </x:c>
      <x:c r="B286" s="7" t="s">
        <x:v>300</x:v>
      </x:c>
      <x:c r="C286" s="7" t="s">
        <x:v>7190</x:v>
      </x:c>
      <x:c r="D286" s="7" t="s">
        <x:v>7191</x:v>
      </x:c>
      <x:c r="E286" s="7" t="s">
        <x:v>7192</x:v>
      </x:c>
    </x:row>
    <x:row r="287" ht="37.5" hidden="0" customHeight="1">
      <x:c r="A287" s="7" t="s">
        <x:v>7428</x:v>
      </x:c>
      <x:c r="B287" s="7" t="s">
        <x:v>300</x:v>
      </x:c>
      <x:c r="C287" s="7" t="s">
        <x:v>5</x:v>
      </x:c>
      <x:c r="D287" s="7" t="s">
        <x:v>7191</x:v>
      </x:c>
      <x:c r="E287" s="7" t="s">
        <x:v>7194</x:v>
      </x:c>
    </x:row>
    <x:row r="288" ht="30" hidden="0" customHeight="1">
      <x:c r="A288" s="7" t="s">
        <x:v>7429</x:v>
      </x:c>
      <x:c r="B288" s="7" t="s">
        <x:v>300</x:v>
      </x:c>
      <x:c r="C288" s="7" t="s">
        <x:v>1450</x:v>
      </x:c>
      <x:c r="D288" s="7" t="s">
        <x:v>7191</x:v>
      </x:c>
      <x:c r="E288" s="7" t="s">
        <x:v>7196</x:v>
      </x:c>
    </x:row>
    <x:row r="289" ht="30" hidden="0" customHeight="1">
      <x:c r="A289" s="7" t="s">
        <x:v>7430</x:v>
      </x:c>
      <x:c r="B289" s="7" t="s">
        <x:v>300</x:v>
      </x:c>
      <x:c r="C289" s="7" t="s">
        <x:v>7198</x:v>
      </x:c>
      <x:c r="D289" s="7" t="s">
        <x:v>7191</x:v>
      </x:c>
      <x:c r="E289" s="7" t="s">
        <x:v>7199</x:v>
      </x:c>
    </x:row>
    <x:row r="290" ht="30" hidden="0" customHeight="1">
      <x:c r="A290" s="7" t="s">
        <x:v>7431</x:v>
      </x:c>
      <x:c r="B290" s="7" t="s">
        <x:v>300</x:v>
      </x:c>
      <x:c r="C290" s="7" t="s">
        <x:v>7201</x:v>
      </x:c>
      <x:c r="D290" s="7" t="s">
        <x:v>7191</x:v>
      </x:c>
      <x:c r="E290" s="7" t="s">
        <x:v>7202</x:v>
      </x:c>
    </x:row>
    <x:row r="291" ht="37.5" hidden="0" customHeight="1">
      <x:c r="A291" s="7" t="s">
        <x:v>7432</x:v>
      </x:c>
      <x:c r="B291" s="7" t="s">
        <x:v>300</x:v>
      </x:c>
      <x:c r="C291" s="7" t="s">
        <x:v>7204</x:v>
      </x:c>
      <x:c r="D291" s="7" t="s">
        <x:v>7191</x:v>
      </x:c>
      <x:c r="E291" s="7" t="s">
        <x:v>7205</x:v>
      </x:c>
    </x:row>
    <x:row r="292" ht="37.5" hidden="0" customHeight="1">
      <x:c r="A292" s="7" t="s">
        <x:v>7433</x:v>
      </x:c>
      <x:c r="B292" s="7" t="s">
        <x:v>300</x:v>
      </x:c>
      <x:c r="C292" s="7" t="s">
        <x:v>7207</x:v>
      </x:c>
      <x:c r="D292" s="7" t="s">
        <x:v>7191</x:v>
      </x:c>
      <x:c r="E292" s="7" t="s">
        <x:v>7208</x:v>
      </x:c>
    </x:row>
    <x:row r="293" ht="30" hidden="0" customHeight="1">
      <x:c r="A293" s="7" t="s">
        <x:v>7434</x:v>
      </x:c>
      <x:c r="B293" s="7" t="s">
        <x:v>300</x:v>
      </x:c>
      <x:c r="C293" s="7" t="s">
        <x:v>7210</x:v>
      </x:c>
      <x:c r="D293" s="7" t="s">
        <x:v>7191</x:v>
      </x:c>
      <x:c r="E293" s="7" t="s">
        <x:v>132</x:v>
      </x:c>
    </x:row>
    <x:row r="294" ht="51.75" hidden="0" customHeight="1">
      <x:c r="A294" s="7" t="s">
        <x:v>7435</x:v>
      </x:c>
      <x:c r="B294" s="7" t="s">
        <x:v>300</x:v>
      </x:c>
      <x:c r="C294" s="7" t="s">
        <x:v>7213</x:v>
      </x:c>
      <x:c r="D294" s="7" t="s">
        <x:v>7107</x:v>
      </x:c>
      <x:c r="E294" s="7" t="s">
        <x:v>7214</x:v>
      </x:c>
    </x:row>
    <x:row r="295" ht="37.5" hidden="0" customHeight="1">
      <x:c r="A295" s="7" t="s">
        <x:v>7436</x:v>
      </x:c>
      <x:c r="B295" s="7" t="s">
        <x:v>300</x:v>
      </x:c>
      <x:c r="C295" s="7" t="s">
        <x:v>7216</x:v>
      </x:c>
      <x:c r="D295" s="7" t="s">
        <x:v>7217</x:v>
      </x:c>
      <x:c r="E295" s="7" t="s">
        <x:v>7218</x:v>
      </x:c>
    </x:row>
    <x:row r="296" ht="30" hidden="0" customHeight="1">
      <x:c r="A296" s="7" t="s">
        <x:v>7437</x:v>
      </x:c>
      <x:c r="B296" s="7" t="s">
        <x:v>313</x:v>
      </x:c>
      <x:c r="C296" s="7" t="s">
        <x:v>7190</x:v>
      </x:c>
      <x:c r="D296" s="7" t="s">
        <x:v>7191</x:v>
      </x:c>
      <x:c r="E296" s="7" t="s">
        <x:v>7192</x:v>
      </x:c>
    </x:row>
    <x:row r="297" ht="37.5" hidden="0" customHeight="1">
      <x:c r="A297" s="7" t="s">
        <x:v>7438</x:v>
      </x:c>
      <x:c r="B297" s="7" t="s">
        <x:v>313</x:v>
      </x:c>
      <x:c r="C297" s="7" t="s">
        <x:v>5</x:v>
      </x:c>
      <x:c r="D297" s="7" t="s">
        <x:v>7191</x:v>
      </x:c>
      <x:c r="E297" s="7" t="s">
        <x:v>7194</x:v>
      </x:c>
    </x:row>
    <x:row r="298" ht="30" hidden="0" customHeight="1">
      <x:c r="A298" s="7" t="s">
        <x:v>7439</x:v>
      </x:c>
      <x:c r="B298" s="7" t="s">
        <x:v>313</x:v>
      </x:c>
      <x:c r="C298" s="7" t="s">
        <x:v>1450</x:v>
      </x:c>
      <x:c r="D298" s="7" t="s">
        <x:v>7191</x:v>
      </x:c>
      <x:c r="E298" s="7" t="s">
        <x:v>7196</x:v>
      </x:c>
    </x:row>
    <x:row r="299" ht="30" hidden="0" customHeight="1">
      <x:c r="A299" s="7" t="s">
        <x:v>7440</x:v>
      </x:c>
      <x:c r="B299" s="7" t="s">
        <x:v>313</x:v>
      </x:c>
      <x:c r="C299" s="7" t="s">
        <x:v>7198</x:v>
      </x:c>
      <x:c r="D299" s="7" t="s">
        <x:v>7191</x:v>
      </x:c>
      <x:c r="E299" s="7" t="s">
        <x:v>7199</x:v>
      </x:c>
    </x:row>
    <x:row r="300" ht="30" hidden="0" customHeight="1">
      <x:c r="A300" s="7" t="s">
        <x:v>7441</x:v>
      </x:c>
      <x:c r="B300" s="7" t="s">
        <x:v>313</x:v>
      </x:c>
      <x:c r="C300" s="7" t="s">
        <x:v>7201</x:v>
      </x:c>
      <x:c r="D300" s="7" t="s">
        <x:v>7191</x:v>
      </x:c>
      <x:c r="E300" s="7" t="s">
        <x:v>7202</x:v>
      </x:c>
    </x:row>
    <x:row r="301" ht="37.5" hidden="0" customHeight="1">
      <x:c r="A301" s="7" t="s">
        <x:v>7442</x:v>
      </x:c>
      <x:c r="B301" s="7" t="s">
        <x:v>313</x:v>
      </x:c>
      <x:c r="C301" s="7" t="s">
        <x:v>7204</x:v>
      </x:c>
      <x:c r="D301" s="7" t="s">
        <x:v>7191</x:v>
      </x:c>
      <x:c r="E301" s="7" t="s">
        <x:v>7205</x:v>
      </x:c>
    </x:row>
    <x:row r="302" ht="37.5" hidden="0" customHeight="1">
      <x:c r="A302" s="7" t="s">
        <x:v>7443</x:v>
      </x:c>
      <x:c r="B302" s="7" t="s">
        <x:v>313</x:v>
      </x:c>
      <x:c r="C302" s="7" t="s">
        <x:v>7207</x:v>
      </x:c>
      <x:c r="D302" s="7" t="s">
        <x:v>7191</x:v>
      </x:c>
      <x:c r="E302" s="7" t="s">
        <x:v>7208</x:v>
      </x:c>
    </x:row>
    <x:row r="303" ht="30" hidden="0" customHeight="1">
      <x:c r="A303" s="7" t="s">
        <x:v>7444</x:v>
      </x:c>
      <x:c r="B303" s="7" t="s">
        <x:v>313</x:v>
      </x:c>
      <x:c r="C303" s="7" t="s">
        <x:v>7210</x:v>
      </x:c>
      <x:c r="D303" s="7" t="s">
        <x:v>7191</x:v>
      </x:c>
      <x:c r="E303" s="7" t="s">
        <x:v>132</x:v>
      </x:c>
    </x:row>
    <x:row r="304" ht="51.75" hidden="0" customHeight="1">
      <x:c r="A304" s="7" t="s">
        <x:v>7445</x:v>
      </x:c>
      <x:c r="B304" s="7" t="s">
        <x:v>313</x:v>
      </x:c>
      <x:c r="C304" s="7" t="s">
        <x:v>7213</x:v>
      </x:c>
      <x:c r="D304" s="7" t="s">
        <x:v>7107</x:v>
      </x:c>
      <x:c r="E304" s="7" t="s">
        <x:v>7214</x:v>
      </x:c>
    </x:row>
    <x:row r="305" ht="37.5" hidden="0" customHeight="1">
      <x:c r="A305" s="7" t="s">
        <x:v>7446</x:v>
      </x:c>
      <x:c r="B305" s="7" t="s">
        <x:v>313</x:v>
      </x:c>
      <x:c r="C305" s="7" t="s">
        <x:v>7216</x:v>
      </x:c>
      <x:c r="D305" s="7" t="s">
        <x:v>7217</x:v>
      </x:c>
      <x:c r="E305" s="7" t="s">
        <x:v>7218</x:v>
      </x:c>
    </x:row>
    <x:row r="306" ht="30" hidden="0" customHeight="1">
      <x:c r="A306" s="7" t="s">
        <x:v>7447</x:v>
      </x:c>
      <x:c r="B306" s="7" t="s">
        <x:v>324</x:v>
      </x:c>
      <x:c r="C306" s="7" t="s">
        <x:v>7190</x:v>
      </x:c>
      <x:c r="D306" s="7" t="s">
        <x:v>7191</x:v>
      </x:c>
      <x:c r="E306" s="7" t="s">
        <x:v>7192</x:v>
      </x:c>
    </x:row>
    <x:row r="307" ht="37.5" hidden="0" customHeight="1">
      <x:c r="A307" s="7" t="s">
        <x:v>7448</x:v>
      </x:c>
      <x:c r="B307" s="7" t="s">
        <x:v>324</x:v>
      </x:c>
      <x:c r="C307" s="7" t="s">
        <x:v>5</x:v>
      </x:c>
      <x:c r="D307" s="7" t="s">
        <x:v>7191</x:v>
      </x:c>
      <x:c r="E307" s="7" t="s">
        <x:v>7194</x:v>
      </x:c>
    </x:row>
    <x:row r="308" ht="37.5" hidden="0" customHeight="1">
      <x:c r="A308" s="7" t="s">
        <x:v>7449</x:v>
      </x:c>
      <x:c r="B308" s="7" t="s">
        <x:v>324</x:v>
      </x:c>
      <x:c r="C308" s="7" t="s">
        <x:v>1450</x:v>
      </x:c>
      <x:c r="D308" s="7" t="s">
        <x:v>7107</x:v>
      </x:c>
      <x:c r="E308" s="7" t="s">
        <x:v>7211</x:v>
      </x:c>
    </x:row>
    <x:row r="309" ht="37.5" hidden="0" customHeight="1">
      <x:c r="A309" s="7" t="s">
        <x:v>7450</x:v>
      </x:c>
      <x:c r="B309" s="7" t="s">
        <x:v>324</x:v>
      </x:c>
      <x:c r="C309" s="7" t="s">
        <x:v>7198</x:v>
      </x:c>
      <x:c r="D309" s="7" t="str">
        <x:v>Limited comparability</x:v>
      </x:c>
      <x:c r="E309" s="7" t="str">
        <x:v>Elongation at break 98% (V000508) is recorded with no stated direction, so it cannot be an XY headline. No other mechanical value is published.</x:v>
      </x:c>
    </x:row>
    <x:row r="310" ht="30" hidden="0" customHeight="1">
      <x:c r="A310" s="7" t="s">
        <x:v>7451</x:v>
      </x:c>
      <x:c r="B310" s="7" t="s">
        <x:v>324</x:v>
      </x:c>
      <x:c r="C310" s="7" t="s">
        <x:v>7201</x:v>
      </x:c>
      <x:c r="D310" s="7" t="s">
        <x:v>7191</x:v>
      </x:c>
      <x:c r="E310" s="7" t="s">
        <x:v>7202</x:v>
      </x:c>
    </x:row>
    <x:row r="311" ht="37.5" hidden="0" customHeight="1">
      <x:c r="A311" s="7" t="s">
        <x:v>7452</x:v>
      </x:c>
      <x:c r="B311" s="7" t="s">
        <x:v>324</x:v>
      </x:c>
      <x:c r="C311" s="7" t="s">
        <x:v>7204</x:v>
      </x:c>
      <x:c r="D311" s="7" t="str">
        <x:v>Gap</x:v>
      </x:c>
      <x:c r="E311" s="7" t="str">
        <x:v>No exposure, solubility or moisture record from this material's own sources. Records cited for its family are context, not evidence for this grade.</x:v>
      </x:c>
    </x:row>
    <x:row r="312" ht="37.5" hidden="0" customHeight="1">
      <x:c r="A312" s="7" t="s">
        <x:v>7453</x:v>
      </x:c>
      <x:c r="B312" s="7" t="s">
        <x:v>324</x:v>
      </x:c>
      <x:c r="C312" s="7" t="s">
        <x:v>7207</x:v>
      </x:c>
      <x:c r="D312" s="7" t="s">
        <x:v>7107</x:v>
      </x:c>
      <x:c r="E312" s="7" t="s">
        <x:v>7211</x:v>
      </x:c>
    </x:row>
    <x:row r="313" ht="37.5" hidden="0" customHeight="1">
      <x:c r="A313" s="7" t="s">
        <x:v>7454</x:v>
      </x:c>
      <x:c r="B313" s="7" t="s">
        <x:v>324</x:v>
      </x:c>
      <x:c r="C313" s="7" t="s">
        <x:v>7210</x:v>
      </x:c>
      <x:c r="D313" s="7" t="s">
        <x:v>7107</x:v>
      </x:c>
      <x:c r="E313" s="7" t="s">
        <x:v>7211</x:v>
      </x:c>
    </x:row>
    <x:row r="314" ht="51.75" hidden="0" customHeight="1">
      <x:c r="A314" s="7" t="s">
        <x:v>7455</x:v>
      </x:c>
      <x:c r="B314" s="7" t="s">
        <x:v>324</x:v>
      </x:c>
      <x:c r="C314" s="7" t="s">
        <x:v>7213</x:v>
      </x:c>
      <x:c r="D314" s="7" t="s">
        <x:v>7107</x:v>
      </x:c>
      <x:c r="E314" s="7" t="s">
        <x:v>7214</x:v>
      </x:c>
    </x:row>
    <x:row r="315" ht="37.5" hidden="0" customHeight="1">
      <x:c r="A315" s="7" t="s">
        <x:v>7456</x:v>
      </x:c>
      <x:c r="B315" s="7" t="s">
        <x:v>324</x:v>
      </x:c>
      <x:c r="C315" s="7" t="s">
        <x:v>7216</x:v>
      </x:c>
      <x:c r="D315" s="7" t="s">
        <x:v>7217</x:v>
      </x:c>
      <x:c r="E315" s="7" t="s">
        <x:v>7218</x:v>
      </x:c>
    </x:row>
    <x:row r="316" ht="30" hidden="0" customHeight="1">
      <x:c r="A316" s="7" t="s">
        <x:v>7457</x:v>
      </x:c>
      <x:c r="B316" s="7" t="s">
        <x:v>330</x:v>
      </x:c>
      <x:c r="C316" s="7" t="s">
        <x:v>7190</x:v>
      </x:c>
      <x:c r="D316" s="7" t="s">
        <x:v>7191</x:v>
      </x:c>
      <x:c r="E316" s="7" t="s">
        <x:v>7192</x:v>
      </x:c>
    </x:row>
    <x:row r="317" ht="37.5" hidden="0" customHeight="1">
      <x:c r="A317" s="7" t="s">
        <x:v>7458</x:v>
      </x:c>
      <x:c r="B317" s="7" t="s">
        <x:v>330</x:v>
      </x:c>
      <x:c r="C317" s="7" t="s">
        <x:v>5</x:v>
      </x:c>
      <x:c r="D317" s="7" t="s">
        <x:v>7191</x:v>
      </x:c>
      <x:c r="E317" s="7" t="s">
        <x:v>7194</x:v>
      </x:c>
    </x:row>
    <x:row r="318" ht="30" hidden="0" customHeight="1">
      <x:c r="A318" s="7" t="s">
        <x:v>7459</x:v>
      </x:c>
      <x:c r="B318" s="7" t="s">
        <x:v>330</x:v>
      </x:c>
      <x:c r="C318" s="7" t="s">
        <x:v>1450</x:v>
      </x:c>
      <x:c r="D318" s="7" t="s">
        <x:v>7191</x:v>
      </x:c>
      <x:c r="E318" s="7" t="s">
        <x:v>7196</x:v>
      </x:c>
    </x:row>
    <x:row r="319" ht="30" hidden="0" customHeight="1">
      <x:c r="A319" s="7" t="s">
        <x:v>7460</x:v>
      </x:c>
      <x:c r="B319" s="7" t="s">
        <x:v>330</x:v>
      </x:c>
      <x:c r="C319" s="7" t="s">
        <x:v>7198</x:v>
      </x:c>
      <x:c r="D319" s="7" t="s">
        <x:v>7191</x:v>
      </x:c>
      <x:c r="E319" s="7" t="s">
        <x:v>7199</x:v>
      </x:c>
    </x:row>
    <x:row r="320" ht="30" hidden="0" customHeight="1">
      <x:c r="A320" s="7" t="s">
        <x:v>7461</x:v>
      </x:c>
      <x:c r="B320" s="7" t="s">
        <x:v>330</x:v>
      </x:c>
      <x:c r="C320" s="7" t="s">
        <x:v>7201</x:v>
      </x:c>
      <x:c r="D320" s="7" t="s">
        <x:v>7191</x:v>
      </x:c>
      <x:c r="E320" s="7" t="s">
        <x:v>7202</x:v>
      </x:c>
    </x:row>
    <x:row r="321" ht="37.5" hidden="0" customHeight="1">
      <x:c r="A321" s="7" t="s">
        <x:v>7462</x:v>
      </x:c>
      <x:c r="B321" s="7" t="s">
        <x:v>330</x:v>
      </x:c>
      <x:c r="C321" s="7" t="s">
        <x:v>7204</x:v>
      </x:c>
      <x:c r="D321" s="7" t="s">
        <x:v>7191</x:v>
      </x:c>
      <x:c r="E321" s="7" t="s">
        <x:v>7205</x:v>
      </x:c>
    </x:row>
    <x:row r="322" ht="37.5" hidden="0" customHeight="1">
      <x:c r="A322" s="7" t="s">
        <x:v>7463</x:v>
      </x:c>
      <x:c r="B322" s="7" t="s">
        <x:v>330</x:v>
      </x:c>
      <x:c r="C322" s="7" t="s">
        <x:v>7207</x:v>
      </x:c>
      <x:c r="D322" s="7" t="s">
        <x:v>7107</x:v>
      </x:c>
      <x:c r="E322" s="7" t="s">
        <x:v>7211</x:v>
      </x:c>
    </x:row>
    <x:row r="323" ht="37.5" hidden="0" customHeight="1">
      <x:c r="A323" s="7" t="s">
        <x:v>7464</x:v>
      </x:c>
      <x:c r="B323" s="7" t="s">
        <x:v>330</x:v>
      </x:c>
      <x:c r="C323" s="7" t="s">
        <x:v>7210</x:v>
      </x:c>
      <x:c r="D323" s="7" t="s">
        <x:v>7107</x:v>
      </x:c>
      <x:c r="E323" s="7" t="s">
        <x:v>7211</x:v>
      </x:c>
    </x:row>
    <x:row r="324" ht="51.75" hidden="0" customHeight="1">
      <x:c r="A324" s="7" t="s">
        <x:v>7465</x:v>
      </x:c>
      <x:c r="B324" s="7" t="s">
        <x:v>330</x:v>
      </x:c>
      <x:c r="C324" s="7" t="s">
        <x:v>7213</x:v>
      </x:c>
      <x:c r="D324" s="7" t="s">
        <x:v>7107</x:v>
      </x:c>
      <x:c r="E324" s="7" t="s">
        <x:v>7214</x:v>
      </x:c>
    </x:row>
    <x:row r="325" ht="37.5" hidden="0" customHeight="1">
      <x:c r="A325" s="7" t="s">
        <x:v>7466</x:v>
      </x:c>
      <x:c r="B325" s="7" t="s">
        <x:v>330</x:v>
      </x:c>
      <x:c r="C325" s="7" t="s">
        <x:v>7216</x:v>
      </x:c>
      <x:c r="D325" s="7" t="s">
        <x:v>7217</x:v>
      </x:c>
      <x:c r="E325" s="7" t="s">
        <x:v>7218</x:v>
      </x:c>
    </x:row>
    <x:row r="326" ht="30" hidden="0" customHeight="1">
      <x:c r="A326" s="7" t="s">
        <x:v>7467</x:v>
      </x:c>
      <x:c r="B326" s="7" t="s">
        <x:v>342</x:v>
      </x:c>
      <x:c r="C326" s="7" t="s">
        <x:v>7190</x:v>
      </x:c>
      <x:c r="D326" s="7" t="s">
        <x:v>7191</x:v>
      </x:c>
      <x:c r="E326" s="7" t="s">
        <x:v>7192</x:v>
      </x:c>
    </x:row>
    <x:row r="327" ht="37.5" hidden="0" customHeight="1">
      <x:c r="A327" s="7" t="s">
        <x:v>7468</x:v>
      </x:c>
      <x:c r="B327" s="7" t="s">
        <x:v>342</x:v>
      </x:c>
      <x:c r="C327" s="7" t="s">
        <x:v>5</x:v>
      </x:c>
      <x:c r="D327" s="7" t="s">
        <x:v>7191</x:v>
      </x:c>
      <x:c r="E327" s="7" t="s">
        <x:v>7194</x:v>
      </x:c>
    </x:row>
    <x:row r="328" ht="30" hidden="0" customHeight="1">
      <x:c r="A328" s="7" t="s">
        <x:v>7469</x:v>
      </x:c>
      <x:c r="B328" s="7" t="s">
        <x:v>342</x:v>
      </x:c>
      <x:c r="C328" s="7" t="s">
        <x:v>1450</x:v>
      </x:c>
      <x:c r="D328" s="7" t="s">
        <x:v>7191</x:v>
      </x:c>
      <x:c r="E328" s="7" t="s">
        <x:v>7196</x:v>
      </x:c>
    </x:row>
    <x:row r="329" ht="30" hidden="0" customHeight="1">
      <x:c r="A329" s="7" t="s">
        <x:v>7470</x:v>
      </x:c>
      <x:c r="B329" s="7" t="s">
        <x:v>342</x:v>
      </x:c>
      <x:c r="C329" s="7" t="s">
        <x:v>7198</x:v>
      </x:c>
      <x:c r="D329" s="7" t="s">
        <x:v>7191</x:v>
      </x:c>
      <x:c r="E329" s="7" t="s">
        <x:v>7199</x:v>
      </x:c>
    </x:row>
    <x:row r="330" ht="30" hidden="0" customHeight="1">
      <x:c r="A330" s="7" t="s">
        <x:v>7471</x:v>
      </x:c>
      <x:c r="B330" s="7" t="s">
        <x:v>342</x:v>
      </x:c>
      <x:c r="C330" s="7" t="s">
        <x:v>7201</x:v>
      </x:c>
      <x:c r="D330" s="7" t="s">
        <x:v>7191</x:v>
      </x:c>
      <x:c r="E330" s="7" t="s">
        <x:v>7202</x:v>
      </x:c>
    </x:row>
    <x:row r="331" ht="37.5" hidden="0" customHeight="1">
      <x:c r="A331" s="7" t="s">
        <x:v>7472</x:v>
      </x:c>
      <x:c r="B331" s="7" t="s">
        <x:v>342</x:v>
      </x:c>
      <x:c r="C331" s="7" t="s">
        <x:v>7204</x:v>
      </x:c>
      <x:c r="D331" s="7" t="s">
        <x:v>7191</x:v>
      </x:c>
      <x:c r="E331" s="7" t="s">
        <x:v>7205</x:v>
      </x:c>
    </x:row>
    <x:row r="332" ht="37.5" hidden="0" customHeight="1">
      <x:c r="A332" s="7" t="s">
        <x:v>7473</x:v>
      </x:c>
      <x:c r="B332" s="7" t="s">
        <x:v>342</x:v>
      </x:c>
      <x:c r="C332" s="7" t="s">
        <x:v>7207</x:v>
      </x:c>
      <x:c r="D332" s="7" t="s">
        <x:v>7191</x:v>
      </x:c>
      <x:c r="E332" s="7" t="s">
        <x:v>7208</x:v>
      </x:c>
    </x:row>
    <x:row r="333" ht="30" hidden="0" customHeight="1">
      <x:c r="A333" s="7" t="s">
        <x:v>7474</x:v>
      </x:c>
      <x:c r="B333" s="7" t="s">
        <x:v>342</x:v>
      </x:c>
      <x:c r="C333" s="7" t="s">
        <x:v>7210</x:v>
      </x:c>
      <x:c r="D333" s="7" t="s">
        <x:v>7191</x:v>
      </x:c>
      <x:c r="E333" s="7" t="s">
        <x:v>87</x:v>
      </x:c>
    </x:row>
    <x:row r="334" ht="51.75" hidden="0" customHeight="1">
      <x:c r="A334" s="7" t="s">
        <x:v>7475</x:v>
      </x:c>
      <x:c r="B334" s="7" t="s">
        <x:v>342</x:v>
      </x:c>
      <x:c r="C334" s="7" t="s">
        <x:v>7213</x:v>
      </x:c>
      <x:c r="D334" s="7" t="s">
        <x:v>7107</x:v>
      </x:c>
      <x:c r="E334" s="7" t="s">
        <x:v>7214</x:v>
      </x:c>
    </x:row>
    <x:row r="335" ht="37.5" hidden="0" customHeight="1">
      <x:c r="A335" s="7" t="s">
        <x:v>7476</x:v>
      </x:c>
      <x:c r="B335" s="7" t="s">
        <x:v>342</x:v>
      </x:c>
      <x:c r="C335" s="7" t="s">
        <x:v>7216</x:v>
      </x:c>
      <x:c r="D335" s="7" t="s">
        <x:v>7217</x:v>
      </x:c>
      <x:c r="E335" s="7" t="s">
        <x:v>7218</x:v>
      </x:c>
    </x:row>
    <x:row r="336" ht="30" hidden="0" customHeight="1">
      <x:c r="A336" s="7" t="s">
        <x:v>7477</x:v>
      </x:c>
      <x:c r="B336" s="7" t="s">
        <x:v>356</x:v>
      </x:c>
      <x:c r="C336" s="7" t="s">
        <x:v>7190</x:v>
      </x:c>
      <x:c r="D336" s="7" t="s">
        <x:v>7191</x:v>
      </x:c>
      <x:c r="E336" s="7" t="s">
        <x:v>7192</x:v>
      </x:c>
    </x:row>
    <x:row r="337" ht="37.5" hidden="0" customHeight="1">
      <x:c r="A337" s="7" t="s">
        <x:v>7478</x:v>
      </x:c>
      <x:c r="B337" s="7" t="s">
        <x:v>356</x:v>
      </x:c>
      <x:c r="C337" s="7" t="s">
        <x:v>5</x:v>
      </x:c>
      <x:c r="D337" s="7" t="s">
        <x:v>7191</x:v>
      </x:c>
      <x:c r="E337" s="7" t="s">
        <x:v>7194</x:v>
      </x:c>
    </x:row>
    <x:row r="338" ht="30" hidden="0" customHeight="1">
      <x:c r="A338" s="7" t="s">
        <x:v>7479</x:v>
      </x:c>
      <x:c r="B338" s="7" t="s">
        <x:v>356</x:v>
      </x:c>
      <x:c r="C338" s="7" t="s">
        <x:v>1450</x:v>
      </x:c>
      <x:c r="D338" s="7" t="s">
        <x:v>7191</x:v>
      </x:c>
      <x:c r="E338" s="7" t="s">
        <x:v>7196</x:v>
      </x:c>
    </x:row>
    <x:row r="339" ht="30" hidden="0" customHeight="1">
      <x:c r="A339" s="7" t="s">
        <x:v>7480</x:v>
      </x:c>
      <x:c r="B339" s="7" t="s">
        <x:v>356</x:v>
      </x:c>
      <x:c r="C339" s="7" t="s">
        <x:v>7198</x:v>
      </x:c>
      <x:c r="D339" s="7" t="s">
        <x:v>7191</x:v>
      </x:c>
      <x:c r="E339" s="7" t="s">
        <x:v>7199</x:v>
      </x:c>
    </x:row>
    <x:row r="340" ht="30" hidden="0" customHeight="1">
      <x:c r="A340" s="7" t="s">
        <x:v>7481</x:v>
      </x:c>
      <x:c r="B340" s="7" t="s">
        <x:v>356</x:v>
      </x:c>
      <x:c r="C340" s="7" t="s">
        <x:v>7201</x:v>
      </x:c>
      <x:c r="D340" s="7" t="s">
        <x:v>7191</x:v>
      </x:c>
      <x:c r="E340" s="7" t="s">
        <x:v>7202</x:v>
      </x:c>
    </x:row>
    <x:row r="341" ht="37.5" hidden="0" customHeight="1">
      <x:c r="A341" s="7" t="s">
        <x:v>7482</x:v>
      </x:c>
      <x:c r="B341" s="7" t="s">
        <x:v>356</x:v>
      </x:c>
      <x:c r="C341" s="7" t="s">
        <x:v>7204</x:v>
      </x:c>
      <x:c r="D341" s="7" t="s">
        <x:v>7191</x:v>
      </x:c>
      <x:c r="E341" s="7" t="str">
        <x:v>5 exposure, solubility or moisture record(s) from this material's own sources. Test conditions are rarely stated; not a chemical design limit.</x:v>
      </x:c>
    </x:row>
    <x:row r="342" ht="37.5" hidden="0" customHeight="1">
      <x:c r="A342" s="7" t="s">
        <x:v>7483</x:v>
      </x:c>
      <x:c r="B342" s="7" t="s">
        <x:v>356</x:v>
      </x:c>
      <x:c r="C342" s="7" t="s">
        <x:v>7207</x:v>
      </x:c>
      <x:c r="D342" s="7" t="s">
        <x:v>7191</x:v>
      </x:c>
      <x:c r="E342" s="7" t="s">
        <x:v>7208</x:v>
      </x:c>
    </x:row>
    <x:row r="343" ht="30" hidden="0" customHeight="1">
      <x:c r="A343" s="7" t="s">
        <x:v>7484</x:v>
      </x:c>
      <x:c r="B343" s="7" t="s">
        <x:v>356</x:v>
      </x:c>
      <x:c r="C343" s="7" t="s">
        <x:v>7210</x:v>
      </x:c>
      <x:c r="D343" s="7" t="s">
        <x:v>7191</x:v>
      </x:c>
      <x:c r="E343" s="7" t="s">
        <x:v>132</x:v>
      </x:c>
    </x:row>
    <x:row r="344" ht="51.75" hidden="0" customHeight="1">
      <x:c r="A344" s="7" t="s">
        <x:v>7485</x:v>
      </x:c>
      <x:c r="B344" s="7" t="s">
        <x:v>356</x:v>
      </x:c>
      <x:c r="C344" s="7" t="s">
        <x:v>7213</x:v>
      </x:c>
      <x:c r="D344" s="7" t="s">
        <x:v>7107</x:v>
      </x:c>
      <x:c r="E344" s="7" t="s">
        <x:v>7214</x:v>
      </x:c>
    </x:row>
    <x:row r="345" ht="37.5" hidden="0" customHeight="1">
      <x:c r="A345" s="7" t="s">
        <x:v>7486</x:v>
      </x:c>
      <x:c r="B345" s="7" t="s">
        <x:v>356</x:v>
      </x:c>
      <x:c r="C345" s="7" t="s">
        <x:v>7216</x:v>
      </x:c>
      <x:c r="D345" s="7" t="s">
        <x:v>7217</x:v>
      </x:c>
      <x:c r="E345" s="7" t="s">
        <x:v>7218</x:v>
      </x:c>
    </x:row>
    <x:row r="346" ht="30" hidden="0" customHeight="1">
      <x:c r="A346" s="7" t="s">
        <x:v>7487</x:v>
      </x:c>
      <x:c r="B346" s="7" t="s">
        <x:v>369</x:v>
      </x:c>
      <x:c r="C346" s="7" t="s">
        <x:v>7190</x:v>
      </x:c>
      <x:c r="D346" s="7" t="s">
        <x:v>7191</x:v>
      </x:c>
      <x:c r="E346" s="7" t="s">
        <x:v>7192</x:v>
      </x:c>
    </x:row>
    <x:row r="347" ht="37.5" hidden="0" customHeight="1">
      <x:c r="A347" s="7" t="s">
        <x:v>7488</x:v>
      </x:c>
      <x:c r="B347" s="7" t="s">
        <x:v>369</x:v>
      </x:c>
      <x:c r="C347" s="7" t="s">
        <x:v>5</x:v>
      </x:c>
      <x:c r="D347" s="7" t="s">
        <x:v>7191</x:v>
      </x:c>
      <x:c r="E347" s="7" t="s">
        <x:v>7194</x:v>
      </x:c>
    </x:row>
    <x:row r="348" ht="30" hidden="0" customHeight="1">
      <x:c r="A348" s="7" t="s">
        <x:v>7489</x:v>
      </x:c>
      <x:c r="B348" s="7" t="s">
        <x:v>369</x:v>
      </x:c>
      <x:c r="C348" s="7" t="s">
        <x:v>1450</x:v>
      </x:c>
      <x:c r="D348" s="7" t="s">
        <x:v>7191</x:v>
      </x:c>
      <x:c r="E348" s="7" t="s">
        <x:v>7196</x:v>
      </x:c>
    </x:row>
    <x:row r="349" ht="30" hidden="0" customHeight="1">
      <x:c r="A349" s="7" t="s">
        <x:v>7490</x:v>
      </x:c>
      <x:c r="B349" s="7" t="s">
        <x:v>369</x:v>
      </x:c>
      <x:c r="C349" s="7" t="s">
        <x:v>7198</x:v>
      </x:c>
      <x:c r="D349" s="7" t="s">
        <x:v>7191</x:v>
      </x:c>
      <x:c r="E349" s="7" t="s">
        <x:v>7199</x:v>
      </x:c>
    </x:row>
    <x:row r="350" ht="30" hidden="0" customHeight="1">
      <x:c r="A350" s="7" t="s">
        <x:v>7491</x:v>
      </x:c>
      <x:c r="B350" s="7" t="s">
        <x:v>369</x:v>
      </x:c>
      <x:c r="C350" s="7" t="s">
        <x:v>7201</x:v>
      </x:c>
      <x:c r="D350" s="7" t="s">
        <x:v>7191</x:v>
      </x:c>
      <x:c r="E350" s="7" t="s">
        <x:v>7202</x:v>
      </x:c>
    </x:row>
    <x:row r="351" ht="37.5" hidden="0" customHeight="1">
      <x:c r="A351" s="7" t="s">
        <x:v>7492</x:v>
      </x:c>
      <x:c r="B351" s="7" t="s">
        <x:v>369</x:v>
      </x:c>
      <x:c r="C351" s="7" t="s">
        <x:v>7204</x:v>
      </x:c>
      <x:c r="D351" s="7" t="s">
        <x:v>7107</x:v>
      </x:c>
      <x:c r="E351" s="7" t="s">
        <x:v>7211</x:v>
      </x:c>
    </x:row>
    <x:row r="352" ht="37.5" hidden="0" customHeight="1">
      <x:c r="A352" s="7" t="s">
        <x:v>7493</x:v>
      </x:c>
      <x:c r="B352" s="7" t="s">
        <x:v>369</x:v>
      </x:c>
      <x:c r="C352" s="7" t="s">
        <x:v>7207</x:v>
      </x:c>
      <x:c r="D352" s="7" t="s">
        <x:v>7107</x:v>
      </x:c>
      <x:c r="E352" s="7" t="s">
        <x:v>7211</x:v>
      </x:c>
    </x:row>
    <x:row r="353" ht="37.5" hidden="0" customHeight="1">
      <x:c r="A353" s="7" t="s">
        <x:v>7494</x:v>
      </x:c>
      <x:c r="B353" s="7" t="s">
        <x:v>369</x:v>
      </x:c>
      <x:c r="C353" s="7" t="s">
        <x:v>7210</x:v>
      </x:c>
      <x:c r="D353" s="7" t="s">
        <x:v>7107</x:v>
      </x:c>
      <x:c r="E353" s="7" t="s">
        <x:v>7211</x:v>
      </x:c>
    </x:row>
    <x:row r="354" ht="51.75" hidden="0" customHeight="1">
      <x:c r="A354" s="7" t="s">
        <x:v>7495</x:v>
      </x:c>
      <x:c r="B354" s="7" t="s">
        <x:v>369</x:v>
      </x:c>
      <x:c r="C354" s="7" t="s">
        <x:v>7213</x:v>
      </x:c>
      <x:c r="D354" s="7" t="s">
        <x:v>7107</x:v>
      </x:c>
      <x:c r="E354" s="7" t="s">
        <x:v>7214</x:v>
      </x:c>
    </x:row>
    <x:row r="355" ht="37.5" hidden="0" customHeight="1">
      <x:c r="A355" s="7" t="s">
        <x:v>7496</x:v>
      </x:c>
      <x:c r="B355" s="7" t="s">
        <x:v>369</x:v>
      </x:c>
      <x:c r="C355" s="7" t="s">
        <x:v>7216</x:v>
      </x:c>
      <x:c r="D355" s="7" t="s">
        <x:v>7217</x:v>
      </x:c>
      <x:c r="E355" s="7" t="s">
        <x:v>7218</x:v>
      </x:c>
    </x:row>
    <x:row r="356" ht="30" hidden="0" customHeight="1">
      <x:c r="A356" s="7" t="s">
        <x:v>7497</x:v>
      </x:c>
      <x:c r="B356" s="7" t="s">
        <x:v>380</x:v>
      </x:c>
      <x:c r="C356" s="7" t="s">
        <x:v>7190</x:v>
      </x:c>
      <x:c r="D356" s="7" t="s">
        <x:v>7191</x:v>
      </x:c>
      <x:c r="E356" s="7" t="s">
        <x:v>7192</x:v>
      </x:c>
    </x:row>
    <x:row r="357" ht="37.5" hidden="0" customHeight="1">
      <x:c r="A357" s="7" t="s">
        <x:v>7498</x:v>
      </x:c>
      <x:c r="B357" s="7" t="s">
        <x:v>380</x:v>
      </x:c>
      <x:c r="C357" s="7" t="s">
        <x:v>5</x:v>
      </x:c>
      <x:c r="D357" s="7" t="s">
        <x:v>7191</x:v>
      </x:c>
      <x:c r="E357" s="7" t="s">
        <x:v>7194</x:v>
      </x:c>
    </x:row>
    <x:row r="358" ht="30" hidden="0" customHeight="1">
      <x:c r="A358" s="7" t="s">
        <x:v>7499</x:v>
      </x:c>
      <x:c r="B358" s="7" t="s">
        <x:v>380</x:v>
      </x:c>
      <x:c r="C358" s="7" t="s">
        <x:v>1450</x:v>
      </x:c>
      <x:c r="D358" s="7" t="s">
        <x:v>7191</x:v>
      </x:c>
      <x:c r="E358" s="7" t="s">
        <x:v>7196</x:v>
      </x:c>
    </x:row>
    <x:row r="359" ht="30" hidden="0" customHeight="1">
      <x:c r="A359" s="7" t="s">
        <x:v>7500</x:v>
      </x:c>
      <x:c r="B359" s="7" t="s">
        <x:v>380</x:v>
      </x:c>
      <x:c r="C359" s="7" t="s">
        <x:v>7198</x:v>
      </x:c>
      <x:c r="D359" s="7" t="s">
        <x:v>7191</x:v>
      </x:c>
      <x:c r="E359" s="7" t="s">
        <x:v>7199</x:v>
      </x:c>
    </x:row>
    <x:row r="360" ht="30" hidden="0" customHeight="1">
      <x:c r="A360" s="7" t="s">
        <x:v>7501</x:v>
      </x:c>
      <x:c r="B360" s="7" t="s">
        <x:v>380</x:v>
      </x:c>
      <x:c r="C360" s="7" t="s">
        <x:v>7201</x:v>
      </x:c>
      <x:c r="D360" s="7" t="s">
        <x:v>7191</x:v>
      </x:c>
      <x:c r="E360" s="7" t="s">
        <x:v>7202</x:v>
      </x:c>
    </x:row>
    <x:row r="361" ht="37.5" hidden="0" customHeight="1">
      <x:c r="A361" s="7" t="s">
        <x:v>7502</x:v>
      </x:c>
      <x:c r="B361" s="7" t="s">
        <x:v>380</x:v>
      </x:c>
      <x:c r="C361" s="7" t="s">
        <x:v>7204</x:v>
      </x:c>
      <x:c r="D361" s="7" t="s">
        <x:v>7107</x:v>
      </x:c>
      <x:c r="E361" s="7" t="s">
        <x:v>7211</x:v>
      </x:c>
    </x:row>
    <x:row r="362" ht="37.5" hidden="0" customHeight="1">
      <x:c r="A362" s="7" t="s">
        <x:v>7503</x:v>
      </x:c>
      <x:c r="B362" s="7" t="s">
        <x:v>380</x:v>
      </x:c>
      <x:c r="C362" s="7" t="s">
        <x:v>7207</x:v>
      </x:c>
      <x:c r="D362" s="7" t="s">
        <x:v>7107</x:v>
      </x:c>
      <x:c r="E362" s="7" t="s">
        <x:v>7211</x:v>
      </x:c>
    </x:row>
    <x:row r="363" ht="37.5" hidden="0" customHeight="1">
      <x:c r="A363" s="7" t="s">
        <x:v>7504</x:v>
      </x:c>
      <x:c r="B363" s="7" t="s">
        <x:v>380</x:v>
      </x:c>
      <x:c r="C363" s="7" t="s">
        <x:v>7210</x:v>
      </x:c>
      <x:c r="D363" s="7" t="s">
        <x:v>7107</x:v>
      </x:c>
      <x:c r="E363" s="7" t="s">
        <x:v>7211</x:v>
      </x:c>
    </x:row>
    <x:row r="364" ht="51.75" hidden="0" customHeight="1">
      <x:c r="A364" s="7" t="s">
        <x:v>7505</x:v>
      </x:c>
      <x:c r="B364" s="7" t="s">
        <x:v>380</x:v>
      </x:c>
      <x:c r="C364" s="7" t="s">
        <x:v>7213</x:v>
      </x:c>
      <x:c r="D364" s="7" t="s">
        <x:v>7107</x:v>
      </x:c>
      <x:c r="E364" s="7" t="s">
        <x:v>7214</x:v>
      </x:c>
    </x:row>
    <x:row r="365" ht="37.5" hidden="0" customHeight="1">
      <x:c r="A365" s="7" t="s">
        <x:v>7506</x:v>
      </x:c>
      <x:c r="B365" s="7" t="s">
        <x:v>380</x:v>
      </x:c>
      <x:c r="C365" s="7" t="s">
        <x:v>7216</x:v>
      </x:c>
      <x:c r="D365" s="7" t="s">
        <x:v>7217</x:v>
      </x:c>
      <x:c r="E365" s="7" t="s">
        <x:v>7218</x:v>
      </x:c>
    </x:row>
    <x:row r="366" ht="30" hidden="0" customHeight="1">
      <x:c r="A366" s="7" t="s">
        <x:v>7507</x:v>
      </x:c>
      <x:c r="B366" s="7" t="s">
        <x:v>390</x:v>
      </x:c>
      <x:c r="C366" s="7" t="s">
        <x:v>7190</x:v>
      </x:c>
      <x:c r="D366" s="7" t="s">
        <x:v>7191</x:v>
      </x:c>
      <x:c r="E366" s="7" t="s">
        <x:v>7192</x:v>
      </x:c>
    </x:row>
    <x:row r="367" ht="37.5" hidden="0" customHeight="1">
      <x:c r="A367" s="7" t="s">
        <x:v>7508</x:v>
      </x:c>
      <x:c r="B367" s="7" t="s">
        <x:v>390</x:v>
      </x:c>
      <x:c r="C367" s="7" t="s">
        <x:v>5</x:v>
      </x:c>
      <x:c r="D367" s="7" t="s">
        <x:v>7191</x:v>
      </x:c>
      <x:c r="E367" s="7" t="s">
        <x:v>7194</x:v>
      </x:c>
    </x:row>
    <x:row r="368" ht="30" hidden="0" customHeight="1">
      <x:c r="A368" s="7" t="s">
        <x:v>7509</x:v>
      </x:c>
      <x:c r="B368" s="7" t="s">
        <x:v>390</x:v>
      </x:c>
      <x:c r="C368" s="7" t="s">
        <x:v>1450</x:v>
      </x:c>
      <x:c r="D368" s="7" t="s">
        <x:v>7191</x:v>
      </x:c>
      <x:c r="E368" s="7" t="s">
        <x:v>7196</x:v>
      </x:c>
    </x:row>
    <x:row r="369" ht="30" hidden="0" customHeight="1">
      <x:c r="A369" s="7" t="s">
        <x:v>7510</x:v>
      </x:c>
      <x:c r="B369" s="7" t="s">
        <x:v>390</x:v>
      </x:c>
      <x:c r="C369" s="7" t="s">
        <x:v>7198</x:v>
      </x:c>
      <x:c r="D369" s="7" t="s">
        <x:v>7191</x:v>
      </x:c>
      <x:c r="E369" s="7" t="s">
        <x:v>7199</x:v>
      </x:c>
    </x:row>
    <x:row r="370" ht="30" hidden="0" customHeight="1">
      <x:c r="A370" s="7" t="s">
        <x:v>7511</x:v>
      </x:c>
      <x:c r="B370" s="7" t="s">
        <x:v>390</x:v>
      </x:c>
      <x:c r="C370" s="7" t="s">
        <x:v>7201</x:v>
      </x:c>
      <x:c r="D370" s="7" t="s">
        <x:v>7191</x:v>
      </x:c>
      <x:c r="E370" s="7" t="s">
        <x:v>7202</x:v>
      </x:c>
    </x:row>
    <x:row r="371" ht="37.5" hidden="0" customHeight="1">
      <x:c r="A371" s="7" t="s">
        <x:v>7512</x:v>
      </x:c>
      <x:c r="B371" s="7" t="s">
        <x:v>390</x:v>
      </x:c>
      <x:c r="C371" s="7" t="s">
        <x:v>7204</x:v>
      </x:c>
      <x:c r="D371" s="7" t="s">
        <x:v>7191</x:v>
      </x:c>
      <x:c r="E371" s="7" t="s">
        <x:v>7205</x:v>
      </x:c>
    </x:row>
    <x:row r="372" ht="37.5" hidden="0" customHeight="1">
      <x:c r="A372" s="7" t="s">
        <x:v>7513</x:v>
      </x:c>
      <x:c r="B372" s="7" t="s">
        <x:v>390</x:v>
      </x:c>
      <x:c r="C372" s="7" t="s">
        <x:v>7207</x:v>
      </x:c>
      <x:c r="D372" s="7" t="s">
        <x:v>7191</x:v>
      </x:c>
      <x:c r="E372" s="7" t="s">
        <x:v>7208</x:v>
      </x:c>
    </x:row>
    <x:row r="373" ht="30" hidden="0" customHeight="1">
      <x:c r="A373" s="7" t="s">
        <x:v>7514</x:v>
      </x:c>
      <x:c r="B373" s="7" t="s">
        <x:v>390</x:v>
      </x:c>
      <x:c r="C373" s="7" t="s">
        <x:v>7210</x:v>
      </x:c>
      <x:c r="D373" s="7" t="s">
        <x:v>7191</x:v>
      </x:c>
      <x:c r="E373" s="7" t="s">
        <x:v>397</x:v>
      </x:c>
    </x:row>
    <x:row r="374" ht="51.75" hidden="0" customHeight="1">
      <x:c r="A374" s="7" t="s">
        <x:v>7515</x:v>
      </x:c>
      <x:c r="B374" s="7" t="s">
        <x:v>390</x:v>
      </x:c>
      <x:c r="C374" s="7" t="s">
        <x:v>7213</x:v>
      </x:c>
      <x:c r="D374" s="7" t="s">
        <x:v>7107</x:v>
      </x:c>
      <x:c r="E374" s="7" t="s">
        <x:v>7214</x:v>
      </x:c>
    </x:row>
    <x:row r="375" ht="37.5" hidden="0" customHeight="1">
      <x:c r="A375" s="7" t="s">
        <x:v>7516</x:v>
      </x:c>
      <x:c r="B375" s="7" t="s">
        <x:v>390</x:v>
      </x:c>
      <x:c r="C375" s="7" t="s">
        <x:v>7216</x:v>
      </x:c>
      <x:c r="D375" s="7" t="s">
        <x:v>7217</x:v>
      </x:c>
      <x:c r="E375" s="7" t="s">
        <x:v>7218</x:v>
      </x:c>
    </x:row>
    <x:row r="376" ht="30" hidden="0" customHeight="1">
      <x:c r="A376" s="7" t="s">
        <x:v>7517</x:v>
      </x:c>
      <x:c r="B376" s="7" t="s">
        <x:v>404</x:v>
      </x:c>
      <x:c r="C376" s="7" t="s">
        <x:v>7190</x:v>
      </x:c>
      <x:c r="D376" s="7" t="s">
        <x:v>7191</x:v>
      </x:c>
      <x:c r="E376" s="7" t="s">
        <x:v>7192</x:v>
      </x:c>
    </x:row>
    <x:row r="377" ht="37.5" hidden="0" customHeight="1">
      <x:c r="A377" s="7" t="s">
        <x:v>7518</x:v>
      </x:c>
      <x:c r="B377" s="7" t="s">
        <x:v>404</x:v>
      </x:c>
      <x:c r="C377" s="7" t="s">
        <x:v>5</x:v>
      </x:c>
      <x:c r="D377" s="7" t="s">
        <x:v>7191</x:v>
      </x:c>
      <x:c r="E377" s="7" t="s">
        <x:v>7194</x:v>
      </x:c>
    </x:row>
    <x:row r="378" ht="30" hidden="0" customHeight="1">
      <x:c r="A378" s="7" t="s">
        <x:v>7519</x:v>
      </x:c>
      <x:c r="B378" s="7" t="s">
        <x:v>404</x:v>
      </x:c>
      <x:c r="C378" s="7" t="s">
        <x:v>1450</x:v>
      </x:c>
      <x:c r="D378" s="7" t="s">
        <x:v>7191</x:v>
      </x:c>
      <x:c r="E378" s="7" t="s">
        <x:v>7196</x:v>
      </x:c>
    </x:row>
    <x:row r="379" ht="30" hidden="0" customHeight="1">
      <x:c r="A379" s="7" t="s">
        <x:v>7520</x:v>
      </x:c>
      <x:c r="B379" s="7" t="s">
        <x:v>404</x:v>
      </x:c>
      <x:c r="C379" s="7" t="s">
        <x:v>7198</x:v>
      </x:c>
      <x:c r="D379" s="7" t="s">
        <x:v>7191</x:v>
      </x:c>
      <x:c r="E379" s="7" t="s">
        <x:v>7199</x:v>
      </x:c>
    </x:row>
    <x:row r="380" ht="30" hidden="0" customHeight="1">
      <x:c r="A380" s="7" t="s">
        <x:v>7521</x:v>
      </x:c>
      <x:c r="B380" s="7" t="s">
        <x:v>404</x:v>
      </x:c>
      <x:c r="C380" s="7" t="s">
        <x:v>7201</x:v>
      </x:c>
      <x:c r="D380" s="7" t="s">
        <x:v>7191</x:v>
      </x:c>
      <x:c r="E380" s="7" t="s">
        <x:v>7202</x:v>
      </x:c>
    </x:row>
    <x:row r="381" ht="37.5" hidden="0" customHeight="1">
      <x:c r="A381" s="7" t="s">
        <x:v>7522</x:v>
      </x:c>
      <x:c r="B381" s="7" t="s">
        <x:v>404</x:v>
      </x:c>
      <x:c r="C381" s="7" t="s">
        <x:v>7204</x:v>
      </x:c>
      <x:c r="D381" s="7" t="s">
        <x:v>7191</x:v>
      </x:c>
      <x:c r="E381" s="7" t="s">
        <x:v>7205</x:v>
      </x:c>
    </x:row>
    <x:row r="382" ht="37.5" hidden="0" customHeight="1">
      <x:c r="A382" s="7" t="s">
        <x:v>7523</x:v>
      </x:c>
      <x:c r="B382" s="7" t="s">
        <x:v>404</x:v>
      </x:c>
      <x:c r="C382" s="7" t="s">
        <x:v>7207</x:v>
      </x:c>
      <x:c r="D382" s="7" t="s">
        <x:v>7191</x:v>
      </x:c>
      <x:c r="E382" s="7" t="s">
        <x:v>7208</x:v>
      </x:c>
    </x:row>
    <x:row r="383" ht="30" hidden="0" customHeight="1">
      <x:c r="A383" s="7" t="s">
        <x:v>7524</x:v>
      </x:c>
      <x:c r="B383" s="7" t="s">
        <x:v>404</x:v>
      </x:c>
      <x:c r="C383" s="7" t="s">
        <x:v>7210</x:v>
      </x:c>
      <x:c r="D383" s="7" t="s">
        <x:v>7191</x:v>
      </x:c>
      <x:c r="E383" s="7" t="s">
        <x:v>132</x:v>
      </x:c>
    </x:row>
    <x:row r="384" ht="51.75" hidden="0" customHeight="1">
      <x:c r="A384" s="7" t="s">
        <x:v>7525</x:v>
      </x:c>
      <x:c r="B384" s="7" t="s">
        <x:v>404</x:v>
      </x:c>
      <x:c r="C384" s="7" t="s">
        <x:v>7213</x:v>
      </x:c>
      <x:c r="D384" s="7" t="s">
        <x:v>7107</x:v>
      </x:c>
      <x:c r="E384" s="7" t="s">
        <x:v>7214</x:v>
      </x:c>
    </x:row>
    <x:row r="385" ht="37.5" hidden="0" customHeight="1">
      <x:c r="A385" s="7" t="s">
        <x:v>7526</x:v>
      </x:c>
      <x:c r="B385" s="7" t="s">
        <x:v>404</x:v>
      </x:c>
      <x:c r="C385" s="7" t="s">
        <x:v>7216</x:v>
      </x:c>
      <x:c r="D385" s="7" t="s">
        <x:v>7217</x:v>
      </x:c>
      <x:c r="E385" s="7" t="s">
        <x:v>7218</x:v>
      </x:c>
    </x:row>
    <x:row r="386" ht="30" hidden="0" customHeight="1">
      <x:c r="A386" s="7" t="s">
        <x:v>7527</x:v>
      </x:c>
      <x:c r="B386" s="7" t="s">
        <x:v>417</x:v>
      </x:c>
      <x:c r="C386" s="7" t="s">
        <x:v>7190</x:v>
      </x:c>
      <x:c r="D386" s="7" t="s">
        <x:v>7191</x:v>
      </x:c>
      <x:c r="E386" s="7" t="s">
        <x:v>7192</x:v>
      </x:c>
    </x:row>
    <x:row r="387" ht="37.5" hidden="0" customHeight="1">
      <x:c r="A387" s="7" t="s">
        <x:v>7528</x:v>
      </x:c>
      <x:c r="B387" s="7" t="s">
        <x:v>417</x:v>
      </x:c>
      <x:c r="C387" s="7" t="s">
        <x:v>5</x:v>
      </x:c>
      <x:c r="D387" s="7" t="s">
        <x:v>7191</x:v>
      </x:c>
      <x:c r="E387" s="7" t="s">
        <x:v>7194</x:v>
      </x:c>
    </x:row>
    <x:row r="388" ht="30" hidden="0" customHeight="1">
      <x:c r="A388" s="7" t="s">
        <x:v>7529</x:v>
      </x:c>
      <x:c r="B388" s="7" t="s">
        <x:v>417</x:v>
      </x:c>
      <x:c r="C388" s="7" t="s">
        <x:v>1450</x:v>
      </x:c>
      <x:c r="D388" s="7" t="s">
        <x:v>7191</x:v>
      </x:c>
      <x:c r="E388" s="7" t="s">
        <x:v>7196</x:v>
      </x:c>
    </x:row>
    <x:row r="389" ht="30" hidden="0" customHeight="1">
      <x:c r="A389" s="7" t="s">
        <x:v>7530</x:v>
      </x:c>
      <x:c r="B389" s="7" t="s">
        <x:v>417</x:v>
      </x:c>
      <x:c r="C389" s="7" t="s">
        <x:v>7198</x:v>
      </x:c>
      <x:c r="D389" s="7" t="s">
        <x:v>7191</x:v>
      </x:c>
      <x:c r="E389" s="7" t="s">
        <x:v>7199</x:v>
      </x:c>
    </x:row>
    <x:row r="390" ht="30" hidden="0" customHeight="1">
      <x:c r="A390" s="7" t="s">
        <x:v>7531</x:v>
      </x:c>
      <x:c r="B390" s="7" t="s">
        <x:v>417</x:v>
      </x:c>
      <x:c r="C390" s="7" t="s">
        <x:v>7201</x:v>
      </x:c>
      <x:c r="D390" s="7" t="s">
        <x:v>7191</x:v>
      </x:c>
      <x:c r="E390" s="7" t="s">
        <x:v>7202</x:v>
      </x:c>
    </x:row>
    <x:row r="391" ht="37.5" hidden="0" customHeight="1">
      <x:c r="A391" s="7" t="s">
        <x:v>7532</x:v>
      </x:c>
      <x:c r="B391" s="7" t="s">
        <x:v>417</x:v>
      </x:c>
      <x:c r="C391" s="7" t="s">
        <x:v>7204</x:v>
      </x:c>
      <x:c r="D391" s="7" t="s">
        <x:v>7191</x:v>
      </x:c>
      <x:c r="E391" s="7" t="s">
        <x:v>7205</x:v>
      </x:c>
    </x:row>
    <x:row r="392" ht="37.5" hidden="0" customHeight="1">
      <x:c r="A392" s="7" t="s">
        <x:v>7533</x:v>
      </x:c>
      <x:c r="B392" s="7" t="s">
        <x:v>417</x:v>
      </x:c>
      <x:c r="C392" s="7" t="s">
        <x:v>7207</x:v>
      </x:c>
      <x:c r="D392" s="7" t="s">
        <x:v>7191</x:v>
      </x:c>
      <x:c r="E392" s="7" t="s">
        <x:v>7208</x:v>
      </x:c>
    </x:row>
    <x:row r="393" ht="37.5" hidden="0" customHeight="1">
      <x:c r="A393" s="7" t="s">
        <x:v>7534</x:v>
      </x:c>
      <x:c r="B393" s="7" t="s">
        <x:v>417</x:v>
      </x:c>
      <x:c r="C393" s="7" t="s">
        <x:v>7210</x:v>
      </x:c>
      <x:c r="D393" s="7" t="s">
        <x:v>7107</x:v>
      </x:c>
      <x:c r="E393" s="7" t="s">
        <x:v>7211</x:v>
      </x:c>
    </x:row>
    <x:row r="394" ht="51.75" hidden="0" customHeight="1">
      <x:c r="A394" s="7" t="s">
        <x:v>7535</x:v>
      </x:c>
      <x:c r="B394" s="7" t="s">
        <x:v>417</x:v>
      </x:c>
      <x:c r="C394" s="7" t="s">
        <x:v>7213</x:v>
      </x:c>
      <x:c r="D394" s="7" t="s">
        <x:v>7107</x:v>
      </x:c>
      <x:c r="E394" s="7" t="s">
        <x:v>7214</x:v>
      </x:c>
    </x:row>
    <x:row r="395" ht="37.5" hidden="0" customHeight="1">
      <x:c r="A395" s="7" t="s">
        <x:v>7536</x:v>
      </x:c>
      <x:c r="B395" s="7" t="s">
        <x:v>417</x:v>
      </x:c>
      <x:c r="C395" s="7" t="s">
        <x:v>7216</x:v>
      </x:c>
      <x:c r="D395" s="7" t="s">
        <x:v>7217</x:v>
      </x:c>
      <x:c r="E395" s="7" t="s">
        <x:v>7218</x:v>
      </x:c>
    </x:row>
    <x:row r="396" ht="30" hidden="0" customHeight="1">
      <x:c r="A396" s="7" t="s">
        <x:v>7537</x:v>
      </x:c>
      <x:c r="B396" s="7" t="s">
        <x:v>428</x:v>
      </x:c>
      <x:c r="C396" s="7" t="s">
        <x:v>7190</x:v>
      </x:c>
      <x:c r="D396" s="7" t="s">
        <x:v>7191</x:v>
      </x:c>
      <x:c r="E396" s="7" t="s">
        <x:v>7192</x:v>
      </x:c>
    </x:row>
    <x:row r="397" ht="37.5" hidden="0" customHeight="1">
      <x:c r="A397" s="7" t="s">
        <x:v>7538</x:v>
      </x:c>
      <x:c r="B397" s="7" t="s">
        <x:v>428</x:v>
      </x:c>
      <x:c r="C397" s="7" t="s">
        <x:v>5</x:v>
      </x:c>
      <x:c r="D397" s="7" t="s">
        <x:v>7191</x:v>
      </x:c>
      <x:c r="E397" s="7" t="s">
        <x:v>7194</x:v>
      </x:c>
    </x:row>
    <x:row r="398" ht="30" hidden="0" customHeight="1">
      <x:c r="A398" s="7" t="s">
        <x:v>7539</x:v>
      </x:c>
      <x:c r="B398" s="7" t="s">
        <x:v>428</x:v>
      </x:c>
      <x:c r="C398" s="7" t="s">
        <x:v>1450</x:v>
      </x:c>
      <x:c r="D398" s="7" t="s">
        <x:v>7191</x:v>
      </x:c>
      <x:c r="E398" s="7" t="s">
        <x:v>7196</x:v>
      </x:c>
    </x:row>
    <x:row r="399" ht="30" hidden="0" customHeight="1">
      <x:c r="A399" s="7" t="s">
        <x:v>7540</x:v>
      </x:c>
      <x:c r="B399" s="7" t="s">
        <x:v>428</x:v>
      </x:c>
      <x:c r="C399" s="7" t="s">
        <x:v>7198</x:v>
      </x:c>
      <x:c r="D399" s="7" t="s">
        <x:v>7191</x:v>
      </x:c>
      <x:c r="E399" s="7" t="s">
        <x:v>7199</x:v>
      </x:c>
    </x:row>
    <x:row r="400" ht="30" hidden="0" customHeight="1">
      <x:c r="A400" s="7" t="s">
        <x:v>7541</x:v>
      </x:c>
      <x:c r="B400" s="7" t="s">
        <x:v>428</x:v>
      </x:c>
      <x:c r="C400" s="7" t="s">
        <x:v>7201</x:v>
      </x:c>
      <x:c r="D400" s="7" t="s">
        <x:v>7191</x:v>
      </x:c>
      <x:c r="E400" s="7" t="s">
        <x:v>7202</x:v>
      </x:c>
    </x:row>
    <x:row r="401" ht="37.5" hidden="0" customHeight="1">
      <x:c r="A401" s="7" t="s">
        <x:v>7542</x:v>
      </x:c>
      <x:c r="B401" s="7" t="s">
        <x:v>428</x:v>
      </x:c>
      <x:c r="C401" s="7" t="s">
        <x:v>7204</x:v>
      </x:c>
      <x:c r="D401" s="7" t="s">
        <x:v>7107</x:v>
      </x:c>
      <x:c r="E401" s="7" t="s">
        <x:v>7211</x:v>
      </x:c>
    </x:row>
    <x:row r="402" ht="37.5" hidden="0" customHeight="1">
      <x:c r="A402" s="7" t="s">
        <x:v>7543</x:v>
      </x:c>
      <x:c r="B402" s="7" t="s">
        <x:v>428</x:v>
      </x:c>
      <x:c r="C402" s="7" t="s">
        <x:v>7207</x:v>
      </x:c>
      <x:c r="D402" s="7" t="s">
        <x:v>7107</x:v>
      </x:c>
      <x:c r="E402" s="7" t="s">
        <x:v>7211</x:v>
      </x:c>
    </x:row>
    <x:row r="403" ht="37.5" hidden="0" customHeight="1">
      <x:c r="A403" s="7" t="s">
        <x:v>7544</x:v>
      </x:c>
      <x:c r="B403" s="7" t="s">
        <x:v>428</x:v>
      </x:c>
      <x:c r="C403" s="7" t="s">
        <x:v>7210</x:v>
      </x:c>
      <x:c r="D403" s="7" t="s">
        <x:v>7107</x:v>
      </x:c>
      <x:c r="E403" s="7" t="s">
        <x:v>7211</x:v>
      </x:c>
    </x:row>
    <x:row r="404" ht="51.75" hidden="0" customHeight="1">
      <x:c r="A404" s="7" t="s">
        <x:v>7545</x:v>
      </x:c>
      <x:c r="B404" s="7" t="s">
        <x:v>428</x:v>
      </x:c>
      <x:c r="C404" s="7" t="s">
        <x:v>7213</x:v>
      </x:c>
      <x:c r="D404" s="7" t="s">
        <x:v>7107</x:v>
      </x:c>
      <x:c r="E404" s="7" t="s">
        <x:v>7214</x:v>
      </x:c>
    </x:row>
    <x:row r="405" ht="37.5" hidden="0" customHeight="1">
      <x:c r="A405" s="7" t="s">
        <x:v>7546</x:v>
      </x:c>
      <x:c r="B405" s="7" t="s">
        <x:v>428</x:v>
      </x:c>
      <x:c r="C405" s="7" t="s">
        <x:v>7216</x:v>
      </x:c>
      <x:c r="D405" s="7" t="s">
        <x:v>7217</x:v>
      </x:c>
      <x:c r="E405" s="7" t="s">
        <x:v>7218</x:v>
      </x:c>
    </x:row>
    <x:row r="406" ht="30" hidden="0" customHeight="1">
      <x:c r="A406" s="7" t="s">
        <x:v>7547</x:v>
      </x:c>
      <x:c r="B406" s="7" t="s">
        <x:v>437</x:v>
      </x:c>
      <x:c r="C406" s="7" t="s">
        <x:v>7190</x:v>
      </x:c>
      <x:c r="D406" s="7" t="s">
        <x:v>7191</x:v>
      </x:c>
      <x:c r="E406" s="7" t="s">
        <x:v>7192</x:v>
      </x:c>
    </x:row>
    <x:row r="407" ht="37.5" hidden="0" customHeight="1">
      <x:c r="A407" s="7" t="s">
        <x:v>7548</x:v>
      </x:c>
      <x:c r="B407" s="7" t="s">
        <x:v>437</x:v>
      </x:c>
      <x:c r="C407" s="7" t="s">
        <x:v>5</x:v>
      </x:c>
      <x:c r="D407" s="7" t="s">
        <x:v>7191</x:v>
      </x:c>
      <x:c r="E407" s="7" t="s">
        <x:v>7194</x:v>
      </x:c>
    </x:row>
    <x:row r="408" ht="30" hidden="0" customHeight="1">
      <x:c r="A408" s="7" t="s">
        <x:v>7549</x:v>
      </x:c>
      <x:c r="B408" s="7" t="s">
        <x:v>437</x:v>
      </x:c>
      <x:c r="C408" s="7" t="s">
        <x:v>1450</x:v>
      </x:c>
      <x:c r="D408" s="7" t="s">
        <x:v>7191</x:v>
      </x:c>
      <x:c r="E408" s="7" t="s">
        <x:v>7196</x:v>
      </x:c>
    </x:row>
    <x:row r="409" ht="30" hidden="0" customHeight="1">
      <x:c r="A409" s="7" t="s">
        <x:v>7550</x:v>
      </x:c>
      <x:c r="B409" s="7" t="s">
        <x:v>437</x:v>
      </x:c>
      <x:c r="C409" s="7" t="s">
        <x:v>7198</x:v>
      </x:c>
      <x:c r="D409" s="7" t="s">
        <x:v>7191</x:v>
      </x:c>
      <x:c r="E409" s="7" t="s">
        <x:v>7199</x:v>
      </x:c>
    </x:row>
    <x:row r="410" ht="30" hidden="0" customHeight="1">
      <x:c r="A410" s="7" t="s">
        <x:v>7551</x:v>
      </x:c>
      <x:c r="B410" s="7" t="s">
        <x:v>437</x:v>
      </x:c>
      <x:c r="C410" s="7" t="s">
        <x:v>7201</x:v>
      </x:c>
      <x:c r="D410" s="7" t="s">
        <x:v>7191</x:v>
      </x:c>
      <x:c r="E410" s="7" t="s">
        <x:v>7202</x:v>
      </x:c>
    </x:row>
    <x:row r="411" ht="37.5" hidden="0" customHeight="1">
      <x:c r="A411" s="7" t="s">
        <x:v>7552</x:v>
      </x:c>
      <x:c r="B411" s="7" t="s">
        <x:v>437</x:v>
      </x:c>
      <x:c r="C411" s="7" t="s">
        <x:v>7204</x:v>
      </x:c>
      <x:c r="D411" s="7" t="s">
        <x:v>7191</x:v>
      </x:c>
      <x:c r="E411" s="7" t="s">
        <x:v>7205</x:v>
      </x:c>
    </x:row>
    <x:row r="412" ht="37.5" hidden="0" customHeight="1">
      <x:c r="A412" s="7" t="s">
        <x:v>7553</x:v>
      </x:c>
      <x:c r="B412" s="7" t="s">
        <x:v>437</x:v>
      </x:c>
      <x:c r="C412" s="7" t="s">
        <x:v>7207</x:v>
      </x:c>
      <x:c r="D412" s="7" t="s">
        <x:v>7191</x:v>
      </x:c>
      <x:c r="E412" s="7" t="s">
        <x:v>7208</x:v>
      </x:c>
    </x:row>
    <x:row r="413" ht="30" hidden="0" customHeight="1">
      <x:c r="A413" s="7" t="s">
        <x:v>7554</x:v>
      </x:c>
      <x:c r="B413" s="7" t="s">
        <x:v>437</x:v>
      </x:c>
      <x:c r="C413" s="7" t="s">
        <x:v>7210</x:v>
      </x:c>
      <x:c r="D413" s="7" t="s">
        <x:v>7191</x:v>
      </x:c>
      <x:c r="E413" s="7" t="s">
        <x:v>132</x:v>
      </x:c>
    </x:row>
    <x:row r="414" ht="51.75" hidden="0" customHeight="1">
      <x:c r="A414" s="7" t="s">
        <x:v>7555</x:v>
      </x:c>
      <x:c r="B414" s="7" t="s">
        <x:v>437</x:v>
      </x:c>
      <x:c r="C414" s="7" t="s">
        <x:v>7213</x:v>
      </x:c>
      <x:c r="D414" s="7" t="s">
        <x:v>7107</x:v>
      </x:c>
      <x:c r="E414" s="7" t="s">
        <x:v>7214</x:v>
      </x:c>
    </x:row>
    <x:row r="415" ht="37.5" hidden="0" customHeight="1">
      <x:c r="A415" s="7" t="s">
        <x:v>7556</x:v>
      </x:c>
      <x:c r="B415" s="7" t="s">
        <x:v>437</x:v>
      </x:c>
      <x:c r="C415" s="7" t="s">
        <x:v>7216</x:v>
      </x:c>
      <x:c r="D415" s="7" t="s">
        <x:v>7217</x:v>
      </x:c>
      <x:c r="E415" s="7" t="s">
        <x:v>7218</x:v>
      </x:c>
    </x:row>
    <x:row r="416" ht="30" hidden="0" customHeight="1">
      <x:c r="A416" s="7" t="s">
        <x:v>7557</x:v>
      </x:c>
      <x:c r="B416" s="7" t="s">
        <x:v>452</x:v>
      </x:c>
      <x:c r="C416" s="7" t="s">
        <x:v>7190</x:v>
      </x:c>
      <x:c r="D416" s="7" t="s">
        <x:v>7191</x:v>
      </x:c>
      <x:c r="E416" s="7" t="s">
        <x:v>7192</x:v>
      </x:c>
    </x:row>
    <x:row r="417" ht="37.5" hidden="0" customHeight="1">
      <x:c r="A417" s="7" t="s">
        <x:v>7558</x:v>
      </x:c>
      <x:c r="B417" s="7" t="s">
        <x:v>452</x:v>
      </x:c>
      <x:c r="C417" s="7" t="s">
        <x:v>5</x:v>
      </x:c>
      <x:c r="D417" s="7" t="s">
        <x:v>7191</x:v>
      </x:c>
      <x:c r="E417" s="7" t="s">
        <x:v>7194</x:v>
      </x:c>
    </x:row>
    <x:row r="418" ht="30" hidden="0" customHeight="1">
      <x:c r="A418" s="7" t="s">
        <x:v>7559</x:v>
      </x:c>
      <x:c r="B418" s="7" t="s">
        <x:v>452</x:v>
      </x:c>
      <x:c r="C418" s="7" t="s">
        <x:v>1450</x:v>
      </x:c>
      <x:c r="D418" s="7" t="s">
        <x:v>7191</x:v>
      </x:c>
      <x:c r="E418" s="7" t="s">
        <x:v>7196</x:v>
      </x:c>
    </x:row>
    <x:row r="419" ht="30" hidden="0" customHeight="1">
      <x:c r="A419" s="7" t="s">
        <x:v>7560</x:v>
      </x:c>
      <x:c r="B419" s="7" t="s">
        <x:v>452</x:v>
      </x:c>
      <x:c r="C419" s="7" t="s">
        <x:v>7198</x:v>
      </x:c>
      <x:c r="D419" s="7" t="s">
        <x:v>7191</x:v>
      </x:c>
      <x:c r="E419" s="7" t="s">
        <x:v>7199</x:v>
      </x:c>
    </x:row>
    <x:row r="420" ht="30" hidden="0" customHeight="1">
      <x:c r="A420" s="7" t="s">
        <x:v>7561</x:v>
      </x:c>
      <x:c r="B420" s="7" t="s">
        <x:v>452</x:v>
      </x:c>
      <x:c r="C420" s="7" t="s">
        <x:v>7201</x:v>
      </x:c>
      <x:c r="D420" s="7" t="s">
        <x:v>7191</x:v>
      </x:c>
      <x:c r="E420" s="7" t="s">
        <x:v>7202</x:v>
      </x:c>
    </x:row>
    <x:row r="421" ht="37.5" hidden="0" customHeight="1">
      <x:c r="A421" s="7" t="s">
        <x:v>7562</x:v>
      </x:c>
      <x:c r="B421" s="7" t="s">
        <x:v>452</x:v>
      </x:c>
      <x:c r="C421" s="7" t="s">
        <x:v>7204</x:v>
      </x:c>
      <x:c r="D421" s="7" t="s">
        <x:v>7191</x:v>
      </x:c>
      <x:c r="E421" s="7" t="str">
        <x:v>5 exposure, solubility or moisture record(s) from this material's own sources. Test conditions are rarely stated; not a chemical design limit.</x:v>
      </x:c>
    </x:row>
    <x:row r="422" ht="37.5" hidden="0" customHeight="1">
      <x:c r="A422" s="7" t="s">
        <x:v>7563</x:v>
      </x:c>
      <x:c r="B422" s="7" t="s">
        <x:v>452</x:v>
      </x:c>
      <x:c r="C422" s="7" t="s">
        <x:v>7207</x:v>
      </x:c>
      <x:c r="D422" s="7" t="s">
        <x:v>7107</x:v>
      </x:c>
      <x:c r="E422" s="7" t="s">
        <x:v>7211</x:v>
      </x:c>
    </x:row>
    <x:row r="423" ht="30" hidden="0" customHeight="1">
      <x:c r="A423" s="7" t="s">
        <x:v>7564</x:v>
      </x:c>
      <x:c r="B423" s="7" t="s">
        <x:v>452</x:v>
      </x:c>
      <x:c r="C423" s="7" t="s">
        <x:v>7210</x:v>
      </x:c>
      <x:c r="D423" s="7" t="s">
        <x:v>7191</x:v>
      </x:c>
      <x:c r="E423" s="7" t="s">
        <x:v>132</x:v>
      </x:c>
    </x:row>
    <x:row r="424" ht="51.75" hidden="0" customHeight="1">
      <x:c r="A424" s="7" t="s">
        <x:v>7565</x:v>
      </x:c>
      <x:c r="B424" s="7" t="s">
        <x:v>452</x:v>
      </x:c>
      <x:c r="C424" s="7" t="s">
        <x:v>7213</x:v>
      </x:c>
      <x:c r="D424" s="7" t="s">
        <x:v>7107</x:v>
      </x:c>
      <x:c r="E424" s="7" t="s">
        <x:v>7214</x:v>
      </x:c>
    </x:row>
    <x:row r="425" ht="37.5" hidden="0" customHeight="1">
      <x:c r="A425" s="7" t="s">
        <x:v>7566</x:v>
      </x:c>
      <x:c r="B425" s="7" t="s">
        <x:v>452</x:v>
      </x:c>
      <x:c r="C425" s="7" t="s">
        <x:v>7216</x:v>
      </x:c>
      <x:c r="D425" s="7" t="s">
        <x:v>7217</x:v>
      </x:c>
      <x:c r="E425" s="7" t="s">
        <x:v>7218</x:v>
      </x:c>
    </x:row>
    <x:row r="426" ht="30" hidden="0" customHeight="1">
      <x:c r="A426" s="7" t="s">
        <x:v>7567</x:v>
      </x:c>
      <x:c r="B426" s="7" t="s">
        <x:v>463</x:v>
      </x:c>
      <x:c r="C426" s="7" t="s">
        <x:v>7190</x:v>
      </x:c>
      <x:c r="D426" s="7" t="s">
        <x:v>7191</x:v>
      </x:c>
      <x:c r="E426" s="7" t="s">
        <x:v>7192</x:v>
      </x:c>
    </x:row>
    <x:row r="427" ht="37.5" hidden="0" customHeight="1">
      <x:c r="A427" s="7" t="s">
        <x:v>7568</x:v>
      </x:c>
      <x:c r="B427" s="7" t="s">
        <x:v>463</x:v>
      </x:c>
      <x:c r="C427" s="7" t="s">
        <x:v>5</x:v>
      </x:c>
      <x:c r="D427" s="7" t="s">
        <x:v>7191</x:v>
      </x:c>
      <x:c r="E427" s="7" t="s">
        <x:v>7194</x:v>
      </x:c>
    </x:row>
    <x:row r="428" ht="30" hidden="0" customHeight="1">
      <x:c r="A428" s="7" t="s">
        <x:v>7569</x:v>
      </x:c>
      <x:c r="B428" s="7" t="s">
        <x:v>463</x:v>
      </x:c>
      <x:c r="C428" s="7" t="s">
        <x:v>1450</x:v>
      </x:c>
      <x:c r="D428" s="7" t="s">
        <x:v>7191</x:v>
      </x:c>
      <x:c r="E428" s="7" t="s">
        <x:v>7196</x:v>
      </x:c>
    </x:row>
    <x:row r="429" ht="30" hidden="0" customHeight="1">
      <x:c r="A429" s="7" t="s">
        <x:v>7570</x:v>
      </x:c>
      <x:c r="B429" s="7" t="s">
        <x:v>463</x:v>
      </x:c>
      <x:c r="C429" s="7" t="s">
        <x:v>7198</x:v>
      </x:c>
      <x:c r="D429" s="7" t="s">
        <x:v>7191</x:v>
      </x:c>
      <x:c r="E429" s="7" t="s">
        <x:v>7199</x:v>
      </x:c>
    </x:row>
    <x:row r="430" ht="30" hidden="0" customHeight="1">
      <x:c r="A430" s="7" t="s">
        <x:v>7571</x:v>
      </x:c>
      <x:c r="B430" s="7" t="s">
        <x:v>463</x:v>
      </x:c>
      <x:c r="C430" s="7" t="s">
        <x:v>7201</x:v>
      </x:c>
      <x:c r="D430" s="7" t="s">
        <x:v>7191</x:v>
      </x:c>
      <x:c r="E430" s="7" t="s">
        <x:v>7202</x:v>
      </x:c>
    </x:row>
    <x:row r="431" ht="37.5" hidden="0" customHeight="1">
      <x:c r="A431" s="7" t="s">
        <x:v>7572</x:v>
      </x:c>
      <x:c r="B431" s="7" t="s">
        <x:v>463</x:v>
      </x:c>
      <x:c r="C431" s="7" t="s">
        <x:v>7204</x:v>
      </x:c>
      <x:c r="D431" s="7" t="str">
        <x:v>Gap</x:v>
      </x:c>
      <x:c r="E431" s="7" t="str">
        <x:v>No exposure, solubility or moisture record from this material's own sources. Records cited for its family are context, not evidence for this grade.</x:v>
      </x:c>
    </x:row>
    <x:row r="432" ht="37.5" hidden="0" customHeight="1">
      <x:c r="A432" s="7" t="s">
        <x:v>7573</x:v>
      </x:c>
      <x:c r="B432" s="7" t="s">
        <x:v>463</x:v>
      </x:c>
      <x:c r="C432" s="7" t="s">
        <x:v>7207</x:v>
      </x:c>
      <x:c r="D432" s="7" t="s">
        <x:v>7107</x:v>
      </x:c>
      <x:c r="E432" s="7" t="s">
        <x:v>7211</x:v>
      </x:c>
    </x:row>
    <x:row r="433" ht="37.5" hidden="0" customHeight="1">
      <x:c r="A433" s="7" t="s">
        <x:v>7574</x:v>
      </x:c>
      <x:c r="B433" s="7" t="s">
        <x:v>463</x:v>
      </x:c>
      <x:c r="C433" s="7" t="s">
        <x:v>7210</x:v>
      </x:c>
      <x:c r="D433" s="7" t="s">
        <x:v>7107</x:v>
      </x:c>
      <x:c r="E433" s="7" t="s">
        <x:v>7211</x:v>
      </x:c>
    </x:row>
    <x:row r="434" ht="51.75" hidden="0" customHeight="1">
      <x:c r="A434" s="7" t="s">
        <x:v>7575</x:v>
      </x:c>
      <x:c r="B434" s="7" t="s">
        <x:v>463</x:v>
      </x:c>
      <x:c r="C434" s="7" t="s">
        <x:v>7213</x:v>
      </x:c>
      <x:c r="D434" s="7" t="s">
        <x:v>7107</x:v>
      </x:c>
      <x:c r="E434" s="7" t="s">
        <x:v>7214</x:v>
      </x:c>
    </x:row>
    <x:row r="435" ht="37.5" hidden="0" customHeight="1">
      <x:c r="A435" s="7" t="s">
        <x:v>7576</x:v>
      </x:c>
      <x:c r="B435" s="7" t="s">
        <x:v>463</x:v>
      </x:c>
      <x:c r="C435" s="7" t="s">
        <x:v>7216</x:v>
      </x:c>
      <x:c r="D435" s="7" t="s">
        <x:v>7217</x:v>
      </x:c>
      <x:c r="E435" s="7" t="s">
        <x:v>7218</x:v>
      </x:c>
    </x:row>
    <x:row r="436" ht="30" hidden="0" customHeight="1">
      <x:c r="A436" s="7" t="s">
        <x:v>7577</x:v>
      </x:c>
      <x:c r="B436" s="7" t="s">
        <x:v>473</x:v>
      </x:c>
      <x:c r="C436" s="7" t="s">
        <x:v>7190</x:v>
      </x:c>
      <x:c r="D436" s="7" t="s">
        <x:v>7191</x:v>
      </x:c>
      <x:c r="E436" s="7" t="s">
        <x:v>7192</x:v>
      </x:c>
    </x:row>
    <x:row r="437" ht="37.5" hidden="0" customHeight="1">
      <x:c r="A437" s="7" t="s">
        <x:v>7578</x:v>
      </x:c>
      <x:c r="B437" s="7" t="s">
        <x:v>473</x:v>
      </x:c>
      <x:c r="C437" s="7" t="s">
        <x:v>5</x:v>
      </x:c>
      <x:c r="D437" s="7" t="s">
        <x:v>7191</x:v>
      </x:c>
      <x:c r="E437" s="7" t="s">
        <x:v>7194</x:v>
      </x:c>
    </x:row>
    <x:row r="438" ht="37.5" hidden="0" customHeight="1">
      <x:c r="A438" s="7" t="s">
        <x:v>7579</x:v>
      </x:c>
      <x:c r="B438" s="7" t="s">
        <x:v>473</x:v>
      </x:c>
      <x:c r="C438" s="7" t="s">
        <x:v>1450</x:v>
      </x:c>
      <x:c r="D438" s="7" t="str">
        <x:v>Evidence recorded</x:v>
      </x:c>
      <x:c r="E438" s="7" t="str">
        <x:v>BASF Ultrafuse PC GF30 profile P0158 publishes nozzle, bed and drying; P0048 publishes a bed temperature only.</x:v>
      </x:c>
    </x:row>
    <x:row r="439" ht="30" hidden="0" customHeight="1">
      <x:c r="A439" s="7" t="s">
        <x:v>7580</x:v>
      </x:c>
      <x:c r="B439" s="7" t="s">
        <x:v>473</x:v>
      </x:c>
      <x:c r="C439" s="7" t="s">
        <x:v>7198</x:v>
      </x:c>
      <x:c r="D439" s="7" t="s">
        <x:v>7191</x:v>
      </x:c>
      <x:c r="E439" s="7" t="s">
        <x:v>7199</x:v>
      </x:c>
    </x:row>
    <x:row r="440" ht="30" hidden="0" customHeight="1">
      <x:c r="A440" s="7" t="s">
        <x:v>7581</x:v>
      </x:c>
      <x:c r="B440" s="7" t="s">
        <x:v>473</x:v>
      </x:c>
      <x:c r="C440" s="7" t="s">
        <x:v>7201</x:v>
      </x:c>
      <x:c r="D440" s="7" t="s">
        <x:v>7191</x:v>
      </x:c>
      <x:c r="E440" s="7" t="s">
        <x:v>7202</x:v>
      </x:c>
    </x:row>
    <x:row r="441" ht="37.5" hidden="0" customHeight="1">
      <x:c r="A441" s="7" t="s">
        <x:v>7582</x:v>
      </x:c>
      <x:c r="B441" s="7" t="s">
        <x:v>473</x:v>
      </x:c>
      <x:c r="C441" s="7" t="s">
        <x:v>7204</x:v>
      </x:c>
      <x:c r="D441" s="7" t="s">
        <x:v>7191</x:v>
      </x:c>
      <x:c r="E441" s="7" t="s">
        <x:v>7205</x:v>
      </x:c>
    </x:row>
    <x:row r="442" ht="37.5" hidden="0" customHeight="1">
      <x:c r="A442" s="7" t="s">
        <x:v>7583</x:v>
      </x:c>
      <x:c r="B442" s="7" t="s">
        <x:v>473</x:v>
      </x:c>
      <x:c r="C442" s="7" t="s">
        <x:v>7207</x:v>
      </x:c>
      <x:c r="D442" s="7" t="s">
        <x:v>7107</x:v>
      </x:c>
      <x:c r="E442" s="7" t="s">
        <x:v>7211</x:v>
      </x:c>
    </x:row>
    <x:row r="443" ht="37.5" hidden="0" customHeight="1">
      <x:c r="A443" s="7" t="s">
        <x:v>7584</x:v>
      </x:c>
      <x:c r="B443" s="7" t="s">
        <x:v>473</x:v>
      </x:c>
      <x:c r="C443" s="7" t="s">
        <x:v>7210</x:v>
      </x:c>
      <x:c r="D443" s="7" t="s">
        <x:v>7107</x:v>
      </x:c>
      <x:c r="E443" s="7" t="s">
        <x:v>7211</x:v>
      </x:c>
    </x:row>
    <x:row r="444" ht="51.75" hidden="0" customHeight="1">
      <x:c r="A444" s="7" t="s">
        <x:v>7585</x:v>
      </x:c>
      <x:c r="B444" s="7" t="s">
        <x:v>473</x:v>
      </x:c>
      <x:c r="C444" s="7" t="s">
        <x:v>7213</x:v>
      </x:c>
      <x:c r="D444" s="7" t="s">
        <x:v>7107</x:v>
      </x:c>
      <x:c r="E444" s="7" t="s">
        <x:v>7214</x:v>
      </x:c>
    </x:row>
    <x:row r="445" ht="37.5" hidden="0" customHeight="1">
      <x:c r="A445" s="7" t="s">
        <x:v>7586</x:v>
      </x:c>
      <x:c r="B445" s="7" t="s">
        <x:v>473</x:v>
      </x:c>
      <x:c r="C445" s="7" t="s">
        <x:v>7216</x:v>
      </x:c>
      <x:c r="D445" s="7" t="s">
        <x:v>7217</x:v>
      </x:c>
      <x:c r="E445" s="7" t="s">
        <x:v>7218</x:v>
      </x:c>
    </x:row>
    <x:row r="446" ht="30" hidden="0" customHeight="1">
      <x:c r="A446" s="7" t="s">
        <x:v>7587</x:v>
      </x:c>
      <x:c r="B446" s="7" t="s">
        <x:v>481</x:v>
      </x:c>
      <x:c r="C446" s="7" t="s">
        <x:v>7190</x:v>
      </x:c>
      <x:c r="D446" s="7" t="s">
        <x:v>7191</x:v>
      </x:c>
      <x:c r="E446" s="7" t="s">
        <x:v>7192</x:v>
      </x:c>
    </x:row>
    <x:row r="447" ht="37.5" hidden="0" customHeight="1">
      <x:c r="A447" s="7" t="s">
        <x:v>7588</x:v>
      </x:c>
      <x:c r="B447" s="7" t="s">
        <x:v>481</x:v>
      </x:c>
      <x:c r="C447" s="7" t="s">
        <x:v>5</x:v>
      </x:c>
      <x:c r="D447" s="7" t="s">
        <x:v>7191</x:v>
      </x:c>
      <x:c r="E447" s="7" t="s">
        <x:v>7194</x:v>
      </x:c>
    </x:row>
    <x:row r="448" ht="30" hidden="0" customHeight="1">
      <x:c r="A448" s="7" t="s">
        <x:v>7589</x:v>
      </x:c>
      <x:c r="B448" s="7" t="s">
        <x:v>481</x:v>
      </x:c>
      <x:c r="C448" s="7" t="s">
        <x:v>1450</x:v>
      </x:c>
      <x:c r="D448" s="7" t="s">
        <x:v>7191</x:v>
      </x:c>
      <x:c r="E448" s="7" t="s">
        <x:v>7196</x:v>
      </x:c>
    </x:row>
    <x:row r="449" ht="30" hidden="0" customHeight="1">
      <x:c r="A449" s="7" t="s">
        <x:v>7590</x:v>
      </x:c>
      <x:c r="B449" s="7" t="s">
        <x:v>481</x:v>
      </x:c>
      <x:c r="C449" s="7" t="s">
        <x:v>7198</x:v>
      </x:c>
      <x:c r="D449" s="7" t="s">
        <x:v>7191</x:v>
      </x:c>
      <x:c r="E449" s="7" t="s">
        <x:v>7199</x:v>
      </x:c>
    </x:row>
    <x:row r="450" ht="37.5" hidden="0" customHeight="1">
      <x:c r="A450" s="7" t="s">
        <x:v>7591</x:v>
      </x:c>
      <x:c r="B450" s="7" t="s">
        <x:v>481</x:v>
      </x:c>
      <x:c r="C450" s="7" t="s">
        <x:v>7201</x:v>
      </x:c>
      <x:c r="D450" s="7" t="str">
        <x:v>Evidence recorded</x:v>
      </x:c>
      <x:c r="E450" s="7" t="str">
        <x:v>HDT 74 °C and 49 °C (V000765, V000766, transcription corrected) are recorded for grade G039-02. It is not the representative grade, so neither is the headline.</x:v>
      </x:c>
    </x:row>
    <x:row r="451" ht="37.5" hidden="0" customHeight="1">
      <x:c r="A451" s="7" t="s">
        <x:v>7592</x:v>
      </x:c>
      <x:c r="B451" s="7" t="s">
        <x:v>481</x:v>
      </x:c>
      <x:c r="C451" s="7" t="s">
        <x:v>7204</x:v>
      </x:c>
      <x:c r="D451" s="7" t="s">
        <x:v>7191</x:v>
      </x:c>
      <x:c r="E451" s="7" t="s">
        <x:v>7205</x:v>
      </x:c>
    </x:row>
    <x:row r="452" ht="37.5" hidden="0" customHeight="1">
      <x:c r="A452" s="7" t="s">
        <x:v>7593</x:v>
      </x:c>
      <x:c r="B452" s="7" t="s">
        <x:v>481</x:v>
      </x:c>
      <x:c r="C452" s="7" t="s">
        <x:v>7207</x:v>
      </x:c>
      <x:c r="D452" s="7" t="s">
        <x:v>7191</x:v>
      </x:c>
      <x:c r="E452" s="7" t="s">
        <x:v>7208</x:v>
      </x:c>
    </x:row>
    <x:row r="453" ht="37.5" hidden="0" customHeight="1">
      <x:c r="A453" s="7" t="s">
        <x:v>7594</x:v>
      </x:c>
      <x:c r="B453" s="7" t="s">
        <x:v>481</x:v>
      </x:c>
      <x:c r="C453" s="7" t="s">
        <x:v>7210</x:v>
      </x:c>
      <x:c r="D453" s="7" t="s">
        <x:v>7107</x:v>
      </x:c>
      <x:c r="E453" s="7" t="s">
        <x:v>7211</x:v>
      </x:c>
    </x:row>
    <x:row r="454" ht="51.75" hidden="0" customHeight="1">
      <x:c r="A454" s="7" t="s">
        <x:v>7595</x:v>
      </x:c>
      <x:c r="B454" s="7" t="s">
        <x:v>481</x:v>
      </x:c>
      <x:c r="C454" s="7" t="s">
        <x:v>7213</x:v>
      </x:c>
      <x:c r="D454" s="7" t="s">
        <x:v>7107</x:v>
      </x:c>
      <x:c r="E454" s="7" t="s">
        <x:v>7214</x:v>
      </x:c>
    </x:row>
    <x:row r="455" ht="37.5" hidden="0" customHeight="1">
      <x:c r="A455" s="7" t="s">
        <x:v>7596</x:v>
      </x:c>
      <x:c r="B455" s="7" t="s">
        <x:v>481</x:v>
      </x:c>
      <x:c r="C455" s="7" t="s">
        <x:v>7216</x:v>
      </x:c>
      <x:c r="D455" s="7" t="s">
        <x:v>7217</x:v>
      </x:c>
      <x:c r="E455" s="7" t="s">
        <x:v>7218</x:v>
      </x:c>
    </x:row>
    <x:row r="456" ht="30" hidden="0" customHeight="1">
      <x:c r="A456" s="7" t="s">
        <x:v>7597</x:v>
      </x:c>
      <x:c r="B456" s="7" t="s">
        <x:v>495</x:v>
      </x:c>
      <x:c r="C456" s="7" t="s">
        <x:v>7190</x:v>
      </x:c>
      <x:c r="D456" s="7" t="s">
        <x:v>7191</x:v>
      </x:c>
      <x:c r="E456" s="7" t="s">
        <x:v>7192</x:v>
      </x:c>
    </x:row>
    <x:row r="457" ht="37.5" hidden="0" customHeight="1">
      <x:c r="A457" s="7" t="s">
        <x:v>7598</x:v>
      </x:c>
      <x:c r="B457" s="7" t="s">
        <x:v>495</x:v>
      </x:c>
      <x:c r="C457" s="7" t="s">
        <x:v>5</x:v>
      </x:c>
      <x:c r="D457" s="7" t="s">
        <x:v>7191</x:v>
      </x:c>
      <x:c r="E457" s="7" t="s">
        <x:v>7194</x:v>
      </x:c>
    </x:row>
    <x:row r="458" ht="30" hidden="0" customHeight="1">
      <x:c r="A458" s="7" t="s">
        <x:v>7599</x:v>
      </x:c>
      <x:c r="B458" s="7" t="s">
        <x:v>495</x:v>
      </x:c>
      <x:c r="C458" s="7" t="s">
        <x:v>1450</x:v>
      </x:c>
      <x:c r="D458" s="7" t="s">
        <x:v>7191</x:v>
      </x:c>
      <x:c r="E458" s="7" t="s">
        <x:v>7196</x:v>
      </x:c>
    </x:row>
    <x:row r="459" ht="30" hidden="0" customHeight="1">
      <x:c r="A459" s="7" t="s">
        <x:v>7600</x:v>
      </x:c>
      <x:c r="B459" s="7" t="s">
        <x:v>495</x:v>
      </x:c>
      <x:c r="C459" s="7" t="s">
        <x:v>7198</x:v>
      </x:c>
      <x:c r="D459" s="7" t="s">
        <x:v>7191</x:v>
      </x:c>
      <x:c r="E459" s="7" t="s">
        <x:v>7199</x:v>
      </x:c>
    </x:row>
    <x:row r="460" ht="30" hidden="0" customHeight="1">
      <x:c r="A460" s="7" t="s">
        <x:v>7601</x:v>
      </x:c>
      <x:c r="B460" s="7" t="s">
        <x:v>495</x:v>
      </x:c>
      <x:c r="C460" s="7" t="s">
        <x:v>7201</x:v>
      </x:c>
      <x:c r="D460" s="7" t="s">
        <x:v>7191</x:v>
      </x:c>
      <x:c r="E460" s="7" t="s">
        <x:v>7202</x:v>
      </x:c>
    </x:row>
    <x:row r="461" ht="37.5" hidden="0" customHeight="1">
      <x:c r="A461" s="7" t="s">
        <x:v>7602</x:v>
      </x:c>
      <x:c r="B461" s="7" t="s">
        <x:v>495</x:v>
      </x:c>
      <x:c r="C461" s="7" t="s">
        <x:v>7204</x:v>
      </x:c>
      <x:c r="D461" s="7" t="s">
        <x:v>7191</x:v>
      </x:c>
      <x:c r="E461" s="7" t="str">
        <x:v>5 exposure, solubility or moisture record(s) from this material's own sources. Test conditions are rarely stated; not a chemical design limit.</x:v>
      </x:c>
    </x:row>
    <x:row r="462" ht="37.5" hidden="0" customHeight="1">
      <x:c r="A462" s="7" t="s">
        <x:v>7603</x:v>
      </x:c>
      <x:c r="B462" s="7" t="s">
        <x:v>495</x:v>
      </x:c>
      <x:c r="C462" s="7" t="s">
        <x:v>7207</x:v>
      </x:c>
      <x:c r="D462" s="7" t="s">
        <x:v>7107</x:v>
      </x:c>
      <x:c r="E462" s="7" t="s">
        <x:v>7211</x:v>
      </x:c>
    </x:row>
    <x:row r="463" ht="30" hidden="0" customHeight="1">
      <x:c r="A463" s="7" t="s">
        <x:v>7604</x:v>
      </x:c>
      <x:c r="B463" s="7" t="s">
        <x:v>495</x:v>
      </x:c>
      <x:c r="C463" s="7" t="s">
        <x:v>7210</x:v>
      </x:c>
      <x:c r="D463" s="7" t="s">
        <x:v>7191</x:v>
      </x:c>
      <x:c r="E463" s="7" t="s">
        <x:v>87</x:v>
      </x:c>
    </x:row>
    <x:row r="464" ht="51.75" hidden="0" customHeight="1">
      <x:c r="A464" s="7" t="s">
        <x:v>7605</x:v>
      </x:c>
      <x:c r="B464" s="7" t="s">
        <x:v>495</x:v>
      </x:c>
      <x:c r="C464" s="7" t="s">
        <x:v>7213</x:v>
      </x:c>
      <x:c r="D464" s="7" t="s">
        <x:v>7107</x:v>
      </x:c>
      <x:c r="E464" s="7" t="s">
        <x:v>7214</x:v>
      </x:c>
    </x:row>
    <x:row r="465" ht="37.5" hidden="0" customHeight="1">
      <x:c r="A465" s="7" t="s">
        <x:v>7606</x:v>
      </x:c>
      <x:c r="B465" s="7" t="s">
        <x:v>495</x:v>
      </x:c>
      <x:c r="C465" s="7" t="s">
        <x:v>7216</x:v>
      </x:c>
      <x:c r="D465" s="7" t="s">
        <x:v>7217</x:v>
      </x:c>
      <x:c r="E465" s="7" t="s">
        <x:v>7218</x:v>
      </x:c>
    </x:row>
    <x:row r="466" ht="30" hidden="0" customHeight="1">
      <x:c r="A466" s="7" t="s">
        <x:v>7607</x:v>
      </x:c>
      <x:c r="B466" s="7" t="s">
        <x:v>507</x:v>
      </x:c>
      <x:c r="C466" s="7" t="s">
        <x:v>7190</x:v>
      </x:c>
      <x:c r="D466" s="7" t="s">
        <x:v>7191</x:v>
      </x:c>
      <x:c r="E466" s="7" t="s">
        <x:v>7192</x:v>
      </x:c>
    </x:row>
    <x:row r="467" ht="37.5" hidden="0" customHeight="1">
      <x:c r="A467" s="7" t="s">
        <x:v>7608</x:v>
      </x:c>
      <x:c r="B467" s="7" t="s">
        <x:v>507</x:v>
      </x:c>
      <x:c r="C467" s="7" t="s">
        <x:v>5</x:v>
      </x:c>
      <x:c r="D467" s="7" t="s">
        <x:v>7191</x:v>
      </x:c>
      <x:c r="E467" s="7" t="s">
        <x:v>7194</x:v>
      </x:c>
    </x:row>
    <x:row r="468" ht="30" hidden="0" customHeight="1">
      <x:c r="A468" s="7" t="s">
        <x:v>7609</x:v>
      </x:c>
      <x:c r="B468" s="7" t="s">
        <x:v>507</x:v>
      </x:c>
      <x:c r="C468" s="7" t="s">
        <x:v>1450</x:v>
      </x:c>
      <x:c r="D468" s="7" t="s">
        <x:v>7191</x:v>
      </x:c>
      <x:c r="E468" s="7" t="s">
        <x:v>7196</x:v>
      </x:c>
    </x:row>
    <x:row r="469" ht="30" hidden="0" customHeight="1">
      <x:c r="A469" s="7" t="s">
        <x:v>7610</x:v>
      </x:c>
      <x:c r="B469" s="7" t="s">
        <x:v>507</x:v>
      </x:c>
      <x:c r="C469" s="7" t="s">
        <x:v>7198</x:v>
      </x:c>
      <x:c r="D469" s="7" t="s">
        <x:v>7191</x:v>
      </x:c>
      <x:c r="E469" s="7" t="s">
        <x:v>7199</x:v>
      </x:c>
    </x:row>
    <x:row r="470" ht="30" hidden="0" customHeight="1">
      <x:c r="A470" s="7" t="s">
        <x:v>7611</x:v>
      </x:c>
      <x:c r="B470" s="7" t="s">
        <x:v>507</x:v>
      </x:c>
      <x:c r="C470" s="7" t="s">
        <x:v>7201</x:v>
      </x:c>
      <x:c r="D470" s="7" t="s">
        <x:v>7191</x:v>
      </x:c>
      <x:c r="E470" s="7" t="s">
        <x:v>7202</x:v>
      </x:c>
    </x:row>
    <x:row r="471" ht="37.5" hidden="0" customHeight="1">
      <x:c r="A471" s="7" t="s">
        <x:v>7612</x:v>
      </x:c>
      <x:c r="B471" s="7" t="s">
        <x:v>507</x:v>
      </x:c>
      <x:c r="C471" s="7" t="s">
        <x:v>7204</x:v>
      </x:c>
      <x:c r="D471" s="7" t="s">
        <x:v>7191</x:v>
      </x:c>
      <x:c r="E471" s="7" t="s">
        <x:v>7205</x:v>
      </x:c>
    </x:row>
    <x:row r="472" ht="37.5" hidden="0" customHeight="1">
      <x:c r="A472" s="7" t="s">
        <x:v>7613</x:v>
      </x:c>
      <x:c r="B472" s="7" t="s">
        <x:v>507</x:v>
      </x:c>
      <x:c r="C472" s="7" t="s">
        <x:v>7207</x:v>
      </x:c>
      <x:c r="D472" s="7" t="s">
        <x:v>7191</x:v>
      </x:c>
      <x:c r="E472" s="7" t="s">
        <x:v>7208</x:v>
      </x:c>
    </x:row>
    <x:row r="473" ht="30" hidden="0" customHeight="1">
      <x:c r="A473" s="7" t="s">
        <x:v>7614</x:v>
      </x:c>
      <x:c r="B473" s="7" t="s">
        <x:v>507</x:v>
      </x:c>
      <x:c r="C473" s="7" t="s">
        <x:v>7210</x:v>
      </x:c>
      <x:c r="D473" s="7" t="s">
        <x:v>7191</x:v>
      </x:c>
      <x:c r="E473" s="7" t="s">
        <x:v>87</x:v>
      </x:c>
    </x:row>
    <x:row r="474" ht="51.75" hidden="0" customHeight="1">
      <x:c r="A474" s="7" t="s">
        <x:v>7615</x:v>
      </x:c>
      <x:c r="B474" s="7" t="s">
        <x:v>507</x:v>
      </x:c>
      <x:c r="C474" s="7" t="s">
        <x:v>7213</x:v>
      </x:c>
      <x:c r="D474" s="7" t="s">
        <x:v>7107</x:v>
      </x:c>
      <x:c r="E474" s="7" t="s">
        <x:v>7214</x:v>
      </x:c>
    </x:row>
    <x:row r="475" ht="37.5" hidden="0" customHeight="1">
      <x:c r="A475" s="7" t="s">
        <x:v>7616</x:v>
      </x:c>
      <x:c r="B475" s="7" t="s">
        <x:v>507</x:v>
      </x:c>
      <x:c r="C475" s="7" t="s">
        <x:v>7216</x:v>
      </x:c>
      <x:c r="D475" s="7" t="s">
        <x:v>7217</x:v>
      </x:c>
      <x:c r="E475" s="7" t="s">
        <x:v>7218</x:v>
      </x:c>
    </x:row>
    <x:row r="476" ht="30" hidden="0" customHeight="1">
      <x:c r="A476" s="7" t="s">
        <x:v>7617</x:v>
      </x:c>
      <x:c r="B476" s="7" t="s">
        <x:v>519</x:v>
      </x:c>
      <x:c r="C476" s="7" t="s">
        <x:v>7190</x:v>
      </x:c>
      <x:c r="D476" s="7" t="s">
        <x:v>7191</x:v>
      </x:c>
      <x:c r="E476" s="7" t="s">
        <x:v>7192</x:v>
      </x:c>
    </x:row>
    <x:row r="477" ht="37.5" hidden="0" customHeight="1">
      <x:c r="A477" s="7" t="s">
        <x:v>7618</x:v>
      </x:c>
      <x:c r="B477" s="7" t="s">
        <x:v>519</x:v>
      </x:c>
      <x:c r="C477" s="7" t="s">
        <x:v>5</x:v>
      </x:c>
      <x:c r="D477" s="7" t="s">
        <x:v>7191</x:v>
      </x:c>
      <x:c r="E477" s="7" t="s">
        <x:v>7194</x:v>
      </x:c>
    </x:row>
    <x:row r="478" ht="30" hidden="0" customHeight="1">
      <x:c r="A478" s="7" t="s">
        <x:v>7619</x:v>
      </x:c>
      <x:c r="B478" s="7" t="s">
        <x:v>519</x:v>
      </x:c>
      <x:c r="C478" s="7" t="s">
        <x:v>1450</x:v>
      </x:c>
      <x:c r="D478" s="7" t="s">
        <x:v>7191</x:v>
      </x:c>
      <x:c r="E478" s="7" t="s">
        <x:v>7196</x:v>
      </x:c>
    </x:row>
    <x:row r="479" ht="30" hidden="0" customHeight="1">
      <x:c r="A479" s="7" t="s">
        <x:v>7620</x:v>
      </x:c>
      <x:c r="B479" s="7" t="s">
        <x:v>519</x:v>
      </x:c>
      <x:c r="C479" s="7" t="s">
        <x:v>7198</x:v>
      </x:c>
      <x:c r="D479" s="7" t="s">
        <x:v>7191</x:v>
      </x:c>
      <x:c r="E479" s="7" t="s">
        <x:v>7199</x:v>
      </x:c>
    </x:row>
    <x:row r="480" ht="30" hidden="0" customHeight="1">
      <x:c r="A480" s="7" t="s">
        <x:v>7621</x:v>
      </x:c>
      <x:c r="B480" s="7" t="s">
        <x:v>519</x:v>
      </x:c>
      <x:c r="C480" s="7" t="s">
        <x:v>7201</x:v>
      </x:c>
      <x:c r="D480" s="7" t="s">
        <x:v>7191</x:v>
      </x:c>
      <x:c r="E480" s="7" t="s">
        <x:v>7202</x:v>
      </x:c>
    </x:row>
    <x:row r="481" ht="37.5" hidden="0" customHeight="1">
      <x:c r="A481" s="7" t="s">
        <x:v>7622</x:v>
      </x:c>
      <x:c r="B481" s="7" t="s">
        <x:v>519</x:v>
      </x:c>
      <x:c r="C481" s="7" t="s">
        <x:v>7204</x:v>
      </x:c>
      <x:c r="D481" s="7" t="s">
        <x:v>7191</x:v>
      </x:c>
      <x:c r="E481" s="7" t="str">
        <x:v>5 exposure, solubility or moisture record(s) from this material's own sources. Test conditions are rarely stated; not a chemical design limit.</x:v>
      </x:c>
    </x:row>
    <x:row r="482" ht="37.5" hidden="0" customHeight="1">
      <x:c r="A482" s="7" t="s">
        <x:v>7623</x:v>
      </x:c>
      <x:c r="B482" s="7" t="s">
        <x:v>519</x:v>
      </x:c>
      <x:c r="C482" s="7" t="s">
        <x:v>7207</x:v>
      </x:c>
      <x:c r="D482" s="7" t="s">
        <x:v>7107</x:v>
      </x:c>
      <x:c r="E482" s="7" t="s">
        <x:v>7211</x:v>
      </x:c>
    </x:row>
    <x:row r="483" ht="30" hidden="0" customHeight="1">
      <x:c r="A483" s="7" t="s">
        <x:v>7624</x:v>
      </x:c>
      <x:c r="B483" s="7" t="s">
        <x:v>519</x:v>
      </x:c>
      <x:c r="C483" s="7" t="s">
        <x:v>7210</x:v>
      </x:c>
      <x:c r="D483" s="7" t="s">
        <x:v>7191</x:v>
      </x:c>
      <x:c r="E483" s="7" t="s">
        <x:v>132</x:v>
      </x:c>
    </x:row>
    <x:row r="484" ht="51.75" hidden="0" customHeight="1">
      <x:c r="A484" s="7" t="s">
        <x:v>7625</x:v>
      </x:c>
      <x:c r="B484" s="7" t="s">
        <x:v>519</x:v>
      </x:c>
      <x:c r="C484" s="7" t="s">
        <x:v>7213</x:v>
      </x:c>
      <x:c r="D484" s="7" t="s">
        <x:v>7107</x:v>
      </x:c>
      <x:c r="E484" s="7" t="s">
        <x:v>7214</x:v>
      </x:c>
    </x:row>
    <x:row r="485" ht="37.5" hidden="0" customHeight="1">
      <x:c r="A485" s="7" t="s">
        <x:v>7626</x:v>
      </x:c>
      <x:c r="B485" s="7" t="s">
        <x:v>519</x:v>
      </x:c>
      <x:c r="C485" s="7" t="s">
        <x:v>7216</x:v>
      </x:c>
      <x:c r="D485" s="7" t="s">
        <x:v>7217</x:v>
      </x:c>
      <x:c r="E485" s="7" t="s">
        <x:v>7218</x:v>
      </x:c>
    </x:row>
    <x:row r="486" ht="30" hidden="0" customHeight="1">
      <x:c r="A486" s="7" t="s">
        <x:v>7627</x:v>
      </x:c>
      <x:c r="B486" s="7" t="s">
        <x:v>527</x:v>
      </x:c>
      <x:c r="C486" s="7" t="s">
        <x:v>7190</x:v>
      </x:c>
      <x:c r="D486" s="7" t="s">
        <x:v>7191</x:v>
      </x:c>
      <x:c r="E486" s="7" t="s">
        <x:v>7192</x:v>
      </x:c>
    </x:row>
    <x:row r="487" ht="37.5" hidden="0" customHeight="1">
      <x:c r="A487" s="7" t="s">
        <x:v>7628</x:v>
      </x:c>
      <x:c r="B487" s="7" t="s">
        <x:v>527</x:v>
      </x:c>
      <x:c r="C487" s="7" t="s">
        <x:v>5</x:v>
      </x:c>
      <x:c r="D487" s="7" t="s">
        <x:v>7191</x:v>
      </x:c>
      <x:c r="E487" s="7" t="s">
        <x:v>7194</x:v>
      </x:c>
    </x:row>
    <x:row r="488" ht="30" hidden="0" customHeight="1">
      <x:c r="A488" s="7" t="s">
        <x:v>7629</x:v>
      </x:c>
      <x:c r="B488" s="7" t="s">
        <x:v>527</x:v>
      </x:c>
      <x:c r="C488" s="7" t="s">
        <x:v>1450</x:v>
      </x:c>
      <x:c r="D488" s="7" t="s">
        <x:v>7191</x:v>
      </x:c>
      <x:c r="E488" s="7" t="s">
        <x:v>7196</x:v>
      </x:c>
    </x:row>
    <x:row r="489" ht="30" hidden="0" customHeight="1">
      <x:c r="A489" s="7" t="s">
        <x:v>7630</x:v>
      </x:c>
      <x:c r="B489" s="7" t="s">
        <x:v>527</x:v>
      </x:c>
      <x:c r="C489" s="7" t="s">
        <x:v>7198</x:v>
      </x:c>
      <x:c r="D489" s="7" t="s">
        <x:v>7191</x:v>
      </x:c>
      <x:c r="E489" s="7" t="s">
        <x:v>7199</x:v>
      </x:c>
    </x:row>
    <x:row r="490" ht="30" hidden="0" customHeight="1">
      <x:c r="A490" s="7" t="s">
        <x:v>7631</x:v>
      </x:c>
      <x:c r="B490" s="7" t="s">
        <x:v>527</x:v>
      </x:c>
      <x:c r="C490" s="7" t="s">
        <x:v>7201</x:v>
      </x:c>
      <x:c r="D490" s="7" t="s">
        <x:v>7191</x:v>
      </x:c>
      <x:c r="E490" s="7" t="s">
        <x:v>7202</x:v>
      </x:c>
    </x:row>
    <x:row r="491" ht="37.5" hidden="0" customHeight="1">
      <x:c r="A491" s="7" t="s">
        <x:v>7632</x:v>
      </x:c>
      <x:c r="B491" s="7" t="s">
        <x:v>527</x:v>
      </x:c>
      <x:c r="C491" s="7" t="s">
        <x:v>7204</x:v>
      </x:c>
      <x:c r="D491" s="7" t="s">
        <x:v>7191</x:v>
      </x:c>
      <x:c r="E491" s="7" t="str">
        <x:v>5 exposure, solubility or moisture record(s) from this material's own sources. Test conditions are rarely stated; not a chemical design limit.</x:v>
      </x:c>
    </x:row>
    <x:row r="492" ht="37.5" hidden="0" customHeight="1">
      <x:c r="A492" s="7" t="s">
        <x:v>7633</x:v>
      </x:c>
      <x:c r="B492" s="7" t="s">
        <x:v>527</x:v>
      </x:c>
      <x:c r="C492" s="7" t="s">
        <x:v>7207</x:v>
      </x:c>
      <x:c r="D492" s="7" t="s">
        <x:v>7107</x:v>
      </x:c>
      <x:c r="E492" s="7" t="s">
        <x:v>7211</x:v>
      </x:c>
    </x:row>
    <x:row r="493" ht="37.5" hidden="0" customHeight="1">
      <x:c r="A493" s="7" t="s">
        <x:v>7634</x:v>
      </x:c>
      <x:c r="B493" s="7" t="s">
        <x:v>527</x:v>
      </x:c>
      <x:c r="C493" s="7" t="s">
        <x:v>7210</x:v>
      </x:c>
      <x:c r="D493" s="7" t="s">
        <x:v>7107</x:v>
      </x:c>
      <x:c r="E493" s="7" t="s">
        <x:v>7211</x:v>
      </x:c>
    </x:row>
    <x:row r="494" ht="51.75" hidden="0" customHeight="1">
      <x:c r="A494" s="7" t="s">
        <x:v>7635</x:v>
      </x:c>
      <x:c r="B494" s="7" t="s">
        <x:v>527</x:v>
      </x:c>
      <x:c r="C494" s="7" t="s">
        <x:v>7213</x:v>
      </x:c>
      <x:c r="D494" s="7" t="s">
        <x:v>7107</x:v>
      </x:c>
      <x:c r="E494" s="7" t="s">
        <x:v>7214</x:v>
      </x:c>
    </x:row>
    <x:row r="495" ht="37.5" hidden="0" customHeight="1">
      <x:c r="A495" s="7" t="s">
        <x:v>7636</x:v>
      </x:c>
      <x:c r="B495" s="7" t="s">
        <x:v>527</x:v>
      </x:c>
      <x:c r="C495" s="7" t="s">
        <x:v>7216</x:v>
      </x:c>
      <x:c r="D495" s="7" t="s">
        <x:v>7217</x:v>
      </x:c>
      <x:c r="E495" s="7" t="s">
        <x:v>7218</x:v>
      </x:c>
    </x:row>
    <x:row r="496" ht="30" hidden="0" customHeight="1">
      <x:c r="A496" s="7" t="s">
        <x:v>7637</x:v>
      </x:c>
      <x:c r="B496" s="7" t="s">
        <x:v>533</x:v>
      </x:c>
      <x:c r="C496" s="7" t="s">
        <x:v>7190</x:v>
      </x:c>
      <x:c r="D496" s="7" t="s">
        <x:v>7191</x:v>
      </x:c>
      <x:c r="E496" s="7" t="s">
        <x:v>7192</x:v>
      </x:c>
    </x:row>
    <x:row r="497" ht="37.5" hidden="0" customHeight="1">
      <x:c r="A497" s="7" t="s">
        <x:v>7638</x:v>
      </x:c>
      <x:c r="B497" s="7" t="s">
        <x:v>533</x:v>
      </x:c>
      <x:c r="C497" s="7" t="s">
        <x:v>5</x:v>
      </x:c>
      <x:c r="D497" s="7" t="s">
        <x:v>7191</x:v>
      </x:c>
      <x:c r="E497" s="7" t="s">
        <x:v>7194</x:v>
      </x:c>
    </x:row>
    <x:row r="498" ht="30" hidden="0" customHeight="1">
      <x:c r="A498" s="7" t="s">
        <x:v>7639</x:v>
      </x:c>
      <x:c r="B498" s="7" t="s">
        <x:v>533</x:v>
      </x:c>
      <x:c r="C498" s="7" t="s">
        <x:v>1450</x:v>
      </x:c>
      <x:c r="D498" s="7" t="s">
        <x:v>7191</x:v>
      </x:c>
      <x:c r="E498" s="7" t="s">
        <x:v>7196</x:v>
      </x:c>
    </x:row>
    <x:row r="499" ht="30" hidden="0" customHeight="1">
      <x:c r="A499" s="7" t="s">
        <x:v>7640</x:v>
      </x:c>
      <x:c r="B499" s="7" t="s">
        <x:v>533</x:v>
      </x:c>
      <x:c r="C499" s="7" t="s">
        <x:v>7198</x:v>
      </x:c>
      <x:c r="D499" s="7" t="s">
        <x:v>7191</x:v>
      </x:c>
      <x:c r="E499" s="7" t="s">
        <x:v>7199</x:v>
      </x:c>
    </x:row>
    <x:row r="500" ht="30" hidden="0" customHeight="1">
      <x:c r="A500" s="7" t="s">
        <x:v>7641</x:v>
      </x:c>
      <x:c r="B500" s="7" t="s">
        <x:v>533</x:v>
      </x:c>
      <x:c r="C500" s="7" t="s">
        <x:v>7201</x:v>
      </x:c>
      <x:c r="D500" s="7" t="s">
        <x:v>7191</x:v>
      </x:c>
      <x:c r="E500" s="7" t="s">
        <x:v>7202</x:v>
      </x:c>
    </x:row>
    <x:row r="501" ht="37.5" hidden="0" customHeight="1">
      <x:c r="A501" s="7" t="s">
        <x:v>7642</x:v>
      </x:c>
      <x:c r="B501" s="7" t="s">
        <x:v>533</x:v>
      </x:c>
      <x:c r="C501" s="7" t="s">
        <x:v>7204</x:v>
      </x:c>
      <x:c r="D501" s="7" t="s">
        <x:v>7191</x:v>
      </x:c>
      <x:c r="E501" s="7" t="s">
        <x:v>7205</x:v>
      </x:c>
    </x:row>
    <x:row r="502" ht="37.5" hidden="0" customHeight="1">
      <x:c r="A502" s="7" t="s">
        <x:v>7643</x:v>
      </x:c>
      <x:c r="B502" s="7" t="s">
        <x:v>533</x:v>
      </x:c>
      <x:c r="C502" s="7" t="s">
        <x:v>7207</x:v>
      </x:c>
      <x:c r="D502" s="7" t="s">
        <x:v>7107</x:v>
      </x:c>
      <x:c r="E502" s="7" t="s">
        <x:v>7211</x:v>
      </x:c>
    </x:row>
    <x:row r="503" ht="37.5" hidden="0" customHeight="1">
      <x:c r="A503" s="7" t="s">
        <x:v>7644</x:v>
      </x:c>
      <x:c r="B503" s="7" t="s">
        <x:v>533</x:v>
      </x:c>
      <x:c r="C503" s="7" t="s">
        <x:v>7210</x:v>
      </x:c>
      <x:c r="D503" s="7" t="s">
        <x:v>7107</x:v>
      </x:c>
      <x:c r="E503" s="7" t="s">
        <x:v>7211</x:v>
      </x:c>
    </x:row>
    <x:row r="504" ht="51.75" hidden="0" customHeight="1">
      <x:c r="A504" s="7" t="s">
        <x:v>7645</x:v>
      </x:c>
      <x:c r="B504" s="7" t="s">
        <x:v>533</x:v>
      </x:c>
      <x:c r="C504" s="7" t="s">
        <x:v>7213</x:v>
      </x:c>
      <x:c r="D504" s="7" t="s">
        <x:v>7107</x:v>
      </x:c>
      <x:c r="E504" s="7" t="s">
        <x:v>7214</x:v>
      </x:c>
    </x:row>
    <x:row r="505" ht="37.5" hidden="0" customHeight="1">
      <x:c r="A505" s="7" t="s">
        <x:v>7646</x:v>
      </x:c>
      <x:c r="B505" s="7" t="s">
        <x:v>533</x:v>
      </x:c>
      <x:c r="C505" s="7" t="s">
        <x:v>7216</x:v>
      </x:c>
      <x:c r="D505" s="7" t="s">
        <x:v>7217</x:v>
      </x:c>
      <x:c r="E505" s="7" t="s">
        <x:v>7218</x:v>
      </x:c>
    </x:row>
    <x:row r="506" ht="30" hidden="0" customHeight="1">
      <x:c r="A506" s="7" t="s">
        <x:v>7647</x:v>
      </x:c>
      <x:c r="B506" s="7" t="s">
        <x:v>543</x:v>
      </x:c>
      <x:c r="C506" s="7" t="s">
        <x:v>7190</x:v>
      </x:c>
      <x:c r="D506" s="7" t="s">
        <x:v>7191</x:v>
      </x:c>
      <x:c r="E506" s="7" t="s">
        <x:v>7192</x:v>
      </x:c>
    </x:row>
    <x:row r="507" ht="37.5" hidden="0" customHeight="1">
      <x:c r="A507" s="7" t="s">
        <x:v>7648</x:v>
      </x:c>
      <x:c r="B507" s="7" t="s">
        <x:v>543</x:v>
      </x:c>
      <x:c r="C507" s="7" t="s">
        <x:v>5</x:v>
      </x:c>
      <x:c r="D507" s="7" t="s">
        <x:v>7191</x:v>
      </x:c>
      <x:c r="E507" s="7" t="s">
        <x:v>7194</x:v>
      </x:c>
    </x:row>
    <x:row r="508" ht="30" hidden="0" customHeight="1">
      <x:c r="A508" s="7" t="s">
        <x:v>7649</x:v>
      </x:c>
      <x:c r="B508" s="7" t="s">
        <x:v>543</x:v>
      </x:c>
      <x:c r="C508" s="7" t="s">
        <x:v>1450</x:v>
      </x:c>
      <x:c r="D508" s="7" t="s">
        <x:v>7191</x:v>
      </x:c>
      <x:c r="E508" s="7" t="s">
        <x:v>7196</x:v>
      </x:c>
    </x:row>
    <x:row r="509" ht="30" hidden="0" customHeight="1">
      <x:c r="A509" s="7" t="s">
        <x:v>7650</x:v>
      </x:c>
      <x:c r="B509" s="7" t="s">
        <x:v>543</x:v>
      </x:c>
      <x:c r="C509" s="7" t="s">
        <x:v>7198</x:v>
      </x:c>
      <x:c r="D509" s="7" t="s">
        <x:v>7191</x:v>
      </x:c>
      <x:c r="E509" s="7" t="s">
        <x:v>7199</x:v>
      </x:c>
    </x:row>
    <x:row r="510" ht="30" hidden="0" customHeight="1">
      <x:c r="A510" s="7" t="s">
        <x:v>7651</x:v>
      </x:c>
      <x:c r="B510" s="7" t="s">
        <x:v>543</x:v>
      </x:c>
      <x:c r="C510" s="7" t="s">
        <x:v>7201</x:v>
      </x:c>
      <x:c r="D510" s="7" t="s">
        <x:v>7191</x:v>
      </x:c>
      <x:c r="E510" s="7" t="s">
        <x:v>7202</x:v>
      </x:c>
    </x:row>
    <x:row r="511" ht="37.5" hidden="0" customHeight="1">
      <x:c r="A511" s="7" t="s">
        <x:v>7652</x:v>
      </x:c>
      <x:c r="B511" s="7" t="s">
        <x:v>543</x:v>
      </x:c>
      <x:c r="C511" s="7" t="s">
        <x:v>7204</x:v>
      </x:c>
      <x:c r="D511" s="7" t="s">
        <x:v>7107</x:v>
      </x:c>
      <x:c r="E511" s="7" t="s">
        <x:v>7211</x:v>
      </x:c>
    </x:row>
    <x:row r="512" ht="37.5" hidden="0" customHeight="1">
      <x:c r="A512" s="7" t="s">
        <x:v>7653</x:v>
      </x:c>
      <x:c r="B512" s="7" t="s">
        <x:v>543</x:v>
      </x:c>
      <x:c r="C512" s="7" t="s">
        <x:v>7207</x:v>
      </x:c>
      <x:c r="D512" s="7" t="s">
        <x:v>7107</x:v>
      </x:c>
      <x:c r="E512" s="7" t="s">
        <x:v>7211</x:v>
      </x:c>
    </x:row>
    <x:row r="513" ht="37.5" hidden="0" customHeight="1">
      <x:c r="A513" s="7" t="s">
        <x:v>7654</x:v>
      </x:c>
      <x:c r="B513" s="7" t="s">
        <x:v>543</x:v>
      </x:c>
      <x:c r="C513" s="7" t="s">
        <x:v>7210</x:v>
      </x:c>
      <x:c r="D513" s="7" t="s">
        <x:v>7107</x:v>
      </x:c>
      <x:c r="E513" s="7" t="s">
        <x:v>7211</x:v>
      </x:c>
    </x:row>
    <x:row r="514" ht="51.75" hidden="0" customHeight="1">
      <x:c r="A514" s="7" t="s">
        <x:v>7655</x:v>
      </x:c>
      <x:c r="B514" s="7" t="s">
        <x:v>543</x:v>
      </x:c>
      <x:c r="C514" s="7" t="s">
        <x:v>7213</x:v>
      </x:c>
      <x:c r="D514" s="7" t="s">
        <x:v>7107</x:v>
      </x:c>
      <x:c r="E514" s="7" t="s">
        <x:v>7214</x:v>
      </x:c>
    </x:row>
    <x:row r="515" ht="37.5" hidden="0" customHeight="1">
      <x:c r="A515" s="7" t="s">
        <x:v>7656</x:v>
      </x:c>
      <x:c r="B515" s="7" t="s">
        <x:v>543</x:v>
      </x:c>
      <x:c r="C515" s="7" t="s">
        <x:v>7216</x:v>
      </x:c>
      <x:c r="D515" s="7" t="s">
        <x:v>7217</x:v>
      </x:c>
      <x:c r="E515" s="7" t="s">
        <x:v>7218</x:v>
      </x:c>
    </x:row>
    <x:row r="516" ht="30" hidden="0" customHeight="1">
      <x:c r="A516" s="7" t="s">
        <x:v>7657</x:v>
      </x:c>
      <x:c r="B516" s="7" t="s">
        <x:v>551</x:v>
      </x:c>
      <x:c r="C516" s="7" t="s">
        <x:v>7190</x:v>
      </x:c>
      <x:c r="D516" s="7" t="s">
        <x:v>7191</x:v>
      </x:c>
      <x:c r="E516" s="7" t="s">
        <x:v>7192</x:v>
      </x:c>
    </x:row>
    <x:row r="517" ht="37.5" hidden="0" customHeight="1">
      <x:c r="A517" s="7" t="s">
        <x:v>7658</x:v>
      </x:c>
      <x:c r="B517" s="7" t="s">
        <x:v>551</x:v>
      </x:c>
      <x:c r="C517" s="7" t="s">
        <x:v>5</x:v>
      </x:c>
      <x:c r="D517" s="7" t="s">
        <x:v>7191</x:v>
      </x:c>
      <x:c r="E517" s="7" t="s">
        <x:v>7194</x:v>
      </x:c>
    </x:row>
    <x:row r="518" ht="30" hidden="0" customHeight="1">
      <x:c r="A518" s="7" t="s">
        <x:v>7659</x:v>
      </x:c>
      <x:c r="B518" s="7" t="s">
        <x:v>551</x:v>
      </x:c>
      <x:c r="C518" s="7" t="s">
        <x:v>1450</x:v>
      </x:c>
      <x:c r="D518" s="7" t="s">
        <x:v>7191</x:v>
      </x:c>
      <x:c r="E518" s="7" t="s">
        <x:v>7196</x:v>
      </x:c>
    </x:row>
    <x:row r="519" ht="37.5" hidden="0" customHeight="1">
      <x:c r="A519" s="7" t="s">
        <x:v>7660</x:v>
      </x:c>
      <x:c r="B519" s="7" t="s">
        <x:v>551</x:v>
      </x:c>
      <x:c r="C519" s="7" t="s">
        <x:v>7198</x:v>
      </x:c>
      <x:c r="D519" s="7" t="s">
        <x:v>7107</x:v>
      </x:c>
      <x:c r="E519" s="7" t="s">
        <x:v>7211</x:v>
      </x:c>
    </x:row>
    <x:row r="520" ht="30" hidden="0" customHeight="1">
      <x:c r="A520" s="7" t="s">
        <x:v>7661</x:v>
      </x:c>
      <x:c r="B520" s="7" t="s">
        <x:v>551</x:v>
      </x:c>
      <x:c r="C520" s="7" t="s">
        <x:v>7201</x:v>
      </x:c>
      <x:c r="D520" s="7" t="s">
        <x:v>7191</x:v>
      </x:c>
      <x:c r="E520" s="7" t="s">
        <x:v>7202</x:v>
      </x:c>
    </x:row>
    <x:row r="521" ht="37.5" hidden="0" customHeight="1">
      <x:c r="A521" s="7" t="s">
        <x:v>7662</x:v>
      </x:c>
      <x:c r="B521" s="7" t="s">
        <x:v>551</x:v>
      </x:c>
      <x:c r="C521" s="7" t="s">
        <x:v>7204</x:v>
      </x:c>
      <x:c r="D521" s="7" t="s">
        <x:v>7107</x:v>
      </x:c>
      <x:c r="E521" s="7" t="s">
        <x:v>7211</x:v>
      </x:c>
    </x:row>
    <x:row r="522" ht="37.5" hidden="0" customHeight="1">
      <x:c r="A522" s="7" t="s">
        <x:v>7663</x:v>
      </x:c>
      <x:c r="B522" s="7" t="s">
        <x:v>551</x:v>
      </x:c>
      <x:c r="C522" s="7" t="s">
        <x:v>7207</x:v>
      </x:c>
      <x:c r="D522" s="7" t="s">
        <x:v>7107</x:v>
      </x:c>
      <x:c r="E522" s="7" t="s">
        <x:v>7211</x:v>
      </x:c>
    </x:row>
    <x:row r="523" ht="37.5" hidden="0" customHeight="1">
      <x:c r="A523" s="7" t="s">
        <x:v>7664</x:v>
      </x:c>
      <x:c r="B523" s="7" t="s">
        <x:v>551</x:v>
      </x:c>
      <x:c r="C523" s="7" t="s">
        <x:v>7210</x:v>
      </x:c>
      <x:c r="D523" s="7" t="s">
        <x:v>7107</x:v>
      </x:c>
      <x:c r="E523" s="7" t="s">
        <x:v>7211</x:v>
      </x:c>
    </x:row>
    <x:row r="524" ht="51.75" hidden="0" customHeight="1">
      <x:c r="A524" s="7" t="s">
        <x:v>7665</x:v>
      </x:c>
      <x:c r="B524" s="7" t="s">
        <x:v>551</x:v>
      </x:c>
      <x:c r="C524" s="7" t="s">
        <x:v>7213</x:v>
      </x:c>
      <x:c r="D524" s="7" t="s">
        <x:v>7107</x:v>
      </x:c>
      <x:c r="E524" s="7" t="s">
        <x:v>7214</x:v>
      </x:c>
    </x:row>
    <x:row r="525" ht="37.5" hidden="0" customHeight="1">
      <x:c r="A525" s="7" t="s">
        <x:v>7666</x:v>
      </x:c>
      <x:c r="B525" s="7" t="s">
        <x:v>551</x:v>
      </x:c>
      <x:c r="C525" s="7" t="s">
        <x:v>7216</x:v>
      </x:c>
      <x:c r="D525" s="7" t="s">
        <x:v>7217</x:v>
      </x:c>
      <x:c r="E525" s="7" t="s">
        <x:v>7218</x:v>
      </x:c>
    </x:row>
    <x:row r="526" ht="30" hidden="0" customHeight="1">
      <x:c r="A526" s="7" t="s">
        <x:v>7667</x:v>
      </x:c>
      <x:c r="B526" s="7" t="s">
        <x:v>559</x:v>
      </x:c>
      <x:c r="C526" s="7" t="s">
        <x:v>7190</x:v>
      </x:c>
      <x:c r="D526" s="7" t="s">
        <x:v>7191</x:v>
      </x:c>
      <x:c r="E526" s="7" t="s">
        <x:v>7192</x:v>
      </x:c>
    </x:row>
    <x:row r="527" ht="37.5" hidden="0" customHeight="1">
      <x:c r="A527" s="7" t="s">
        <x:v>7668</x:v>
      </x:c>
      <x:c r="B527" s="7" t="s">
        <x:v>559</x:v>
      </x:c>
      <x:c r="C527" s="7" t="s">
        <x:v>5</x:v>
      </x:c>
      <x:c r="D527" s="7" t="s">
        <x:v>7191</x:v>
      </x:c>
      <x:c r="E527" s="7" t="s">
        <x:v>7194</x:v>
      </x:c>
    </x:row>
    <x:row r="528" ht="30" hidden="0" customHeight="1">
      <x:c r="A528" s="7" t="s">
        <x:v>7669</x:v>
      </x:c>
      <x:c r="B528" s="7" t="s">
        <x:v>559</x:v>
      </x:c>
      <x:c r="C528" s="7" t="s">
        <x:v>1450</x:v>
      </x:c>
      <x:c r="D528" s="7" t="s">
        <x:v>7191</x:v>
      </x:c>
      <x:c r="E528" s="7" t="s">
        <x:v>7196</x:v>
      </x:c>
    </x:row>
    <x:row r="529" ht="30" hidden="0" customHeight="1">
      <x:c r="A529" s="7" t="s">
        <x:v>7670</x:v>
      </x:c>
      <x:c r="B529" s="7" t="s">
        <x:v>559</x:v>
      </x:c>
      <x:c r="C529" s="7" t="s">
        <x:v>7198</x:v>
      </x:c>
      <x:c r="D529" s="7" t="s">
        <x:v>7191</x:v>
      </x:c>
      <x:c r="E529" s="7" t="s">
        <x:v>7199</x:v>
      </x:c>
    </x:row>
    <x:row r="530" ht="30" hidden="0" customHeight="1">
      <x:c r="A530" s="7" t="s">
        <x:v>7671</x:v>
      </x:c>
      <x:c r="B530" s="7" t="s">
        <x:v>559</x:v>
      </x:c>
      <x:c r="C530" s="7" t="s">
        <x:v>7201</x:v>
      </x:c>
      <x:c r="D530" s="7" t="s">
        <x:v>7191</x:v>
      </x:c>
      <x:c r="E530" s="7" t="s">
        <x:v>7202</x:v>
      </x:c>
    </x:row>
    <x:row r="531" ht="37.5" hidden="0" customHeight="1">
      <x:c r="A531" s="7" t="s">
        <x:v>7672</x:v>
      </x:c>
      <x:c r="B531" s="7" t="s">
        <x:v>559</x:v>
      </x:c>
      <x:c r="C531" s="7" t="s">
        <x:v>7204</x:v>
      </x:c>
      <x:c r="D531" s="7" t="s">
        <x:v>7191</x:v>
      </x:c>
      <x:c r="E531" s="7" t="s">
        <x:v>7205</x:v>
      </x:c>
    </x:row>
    <x:row r="532" ht="37.5" hidden="0" customHeight="1">
      <x:c r="A532" s="7" t="s">
        <x:v>7673</x:v>
      </x:c>
      <x:c r="B532" s="7" t="s">
        <x:v>559</x:v>
      </x:c>
      <x:c r="C532" s="7" t="s">
        <x:v>7207</x:v>
      </x:c>
      <x:c r="D532" s="7" t="s">
        <x:v>7191</x:v>
      </x:c>
      <x:c r="E532" s="7" t="s">
        <x:v>7208</x:v>
      </x:c>
    </x:row>
    <x:row r="533" ht="30" hidden="0" customHeight="1">
      <x:c r="A533" s="7" t="s">
        <x:v>7674</x:v>
      </x:c>
      <x:c r="B533" s="7" t="s">
        <x:v>559</x:v>
      </x:c>
      <x:c r="C533" s="7" t="s">
        <x:v>7210</x:v>
      </x:c>
      <x:c r="D533" s="7" t="s">
        <x:v>7191</x:v>
      </x:c>
      <x:c r="E533" s="7" t="s">
        <x:v>132</x:v>
      </x:c>
    </x:row>
    <x:row r="534" ht="51.75" hidden="0" customHeight="1">
      <x:c r="A534" s="7" t="s">
        <x:v>7675</x:v>
      </x:c>
      <x:c r="B534" s="7" t="s">
        <x:v>559</x:v>
      </x:c>
      <x:c r="C534" s="7" t="s">
        <x:v>7213</x:v>
      </x:c>
      <x:c r="D534" s="7" t="s">
        <x:v>7107</x:v>
      </x:c>
      <x:c r="E534" s="7" t="s">
        <x:v>7214</x:v>
      </x:c>
    </x:row>
    <x:row r="535" ht="37.5" hidden="0" customHeight="1">
      <x:c r="A535" s="7" t="s">
        <x:v>7676</x:v>
      </x:c>
      <x:c r="B535" s="7" t="s">
        <x:v>559</x:v>
      </x:c>
      <x:c r="C535" s="7" t="s">
        <x:v>7216</x:v>
      </x:c>
      <x:c r="D535" s="7" t="s">
        <x:v>7217</x:v>
      </x:c>
      <x:c r="E535" s="7" t="s">
        <x:v>7218</x:v>
      </x:c>
    </x:row>
    <x:row r="536" ht="30" hidden="0" customHeight="1">
      <x:c r="A536" s="7" t="s">
        <x:v>7677</x:v>
      </x:c>
      <x:c r="B536" s="7" t="s">
        <x:v>576</x:v>
      </x:c>
      <x:c r="C536" s="7" t="s">
        <x:v>7190</x:v>
      </x:c>
      <x:c r="D536" s="7" t="s">
        <x:v>7191</x:v>
      </x:c>
      <x:c r="E536" s="7" t="s">
        <x:v>7192</x:v>
      </x:c>
    </x:row>
    <x:row r="537" ht="37.5" hidden="0" customHeight="1">
      <x:c r="A537" s="7" t="s">
        <x:v>7678</x:v>
      </x:c>
      <x:c r="B537" s="7" t="s">
        <x:v>576</x:v>
      </x:c>
      <x:c r="C537" s="7" t="s">
        <x:v>5</x:v>
      </x:c>
      <x:c r="D537" s="7" t="s">
        <x:v>7191</x:v>
      </x:c>
      <x:c r="E537" s="7" t="s">
        <x:v>7194</x:v>
      </x:c>
    </x:row>
    <x:row r="538" ht="30" hidden="0" customHeight="1">
      <x:c r="A538" s="7" t="s">
        <x:v>7679</x:v>
      </x:c>
      <x:c r="B538" s="7" t="s">
        <x:v>576</x:v>
      </x:c>
      <x:c r="C538" s="7" t="s">
        <x:v>1450</x:v>
      </x:c>
      <x:c r="D538" s="7" t="s">
        <x:v>7191</x:v>
      </x:c>
      <x:c r="E538" s="7" t="s">
        <x:v>7196</x:v>
      </x:c>
    </x:row>
    <x:row r="539" ht="30" hidden="0" customHeight="1">
      <x:c r="A539" s="7" t="s">
        <x:v>7680</x:v>
      </x:c>
      <x:c r="B539" s="7" t="s">
        <x:v>576</x:v>
      </x:c>
      <x:c r="C539" s="7" t="s">
        <x:v>7198</x:v>
      </x:c>
      <x:c r="D539" s="7" t="s">
        <x:v>7191</x:v>
      </x:c>
      <x:c r="E539" s="7" t="s">
        <x:v>7199</x:v>
      </x:c>
    </x:row>
    <x:row r="540" ht="30" hidden="0" customHeight="1">
      <x:c r="A540" s="7" t="s">
        <x:v>7681</x:v>
      </x:c>
      <x:c r="B540" s="7" t="s">
        <x:v>576</x:v>
      </x:c>
      <x:c r="C540" s="7" t="s">
        <x:v>7201</x:v>
      </x:c>
      <x:c r="D540" s="7" t="s">
        <x:v>7191</x:v>
      </x:c>
      <x:c r="E540" s="7" t="s">
        <x:v>7202</x:v>
      </x:c>
    </x:row>
    <x:row r="541" ht="37.5" hidden="0" customHeight="1">
      <x:c r="A541" s="7" t="s">
        <x:v>7682</x:v>
      </x:c>
      <x:c r="B541" s="7" t="s">
        <x:v>576</x:v>
      </x:c>
      <x:c r="C541" s="7" t="s">
        <x:v>7204</x:v>
      </x:c>
      <x:c r="D541" s="7" t="s">
        <x:v>7191</x:v>
      </x:c>
      <x:c r="E541" s="7" t="s">
        <x:v>7205</x:v>
      </x:c>
    </x:row>
    <x:row r="542" ht="37.5" hidden="0" customHeight="1">
      <x:c r="A542" s="7" t="s">
        <x:v>7683</x:v>
      </x:c>
      <x:c r="B542" s="7" t="s">
        <x:v>576</x:v>
      </x:c>
      <x:c r="C542" s="7" t="s">
        <x:v>7207</x:v>
      </x:c>
      <x:c r="D542" s="7" t="s">
        <x:v>7191</x:v>
      </x:c>
      <x:c r="E542" s="7" t="s">
        <x:v>7208</x:v>
      </x:c>
    </x:row>
    <x:row r="543" ht="30" hidden="0" customHeight="1">
      <x:c r="A543" s="7" t="s">
        <x:v>7684</x:v>
      </x:c>
      <x:c r="B543" s="7" t="s">
        <x:v>576</x:v>
      </x:c>
      <x:c r="C543" s="7" t="s">
        <x:v>7210</x:v>
      </x:c>
      <x:c r="D543" s="7" t="s">
        <x:v>7191</x:v>
      </x:c>
      <x:c r="E543" s="7" t="s">
        <x:v>87</x:v>
      </x:c>
    </x:row>
    <x:row r="544" ht="51.75" hidden="0" customHeight="1">
      <x:c r="A544" s="7" t="s">
        <x:v>7685</x:v>
      </x:c>
      <x:c r="B544" s="7" t="s">
        <x:v>576</x:v>
      </x:c>
      <x:c r="C544" s="7" t="s">
        <x:v>7213</x:v>
      </x:c>
      <x:c r="D544" s="7" t="s">
        <x:v>7107</x:v>
      </x:c>
      <x:c r="E544" s="7" t="s">
        <x:v>7214</x:v>
      </x:c>
    </x:row>
    <x:row r="545" ht="37.5" hidden="0" customHeight="1">
      <x:c r="A545" s="7" t="s">
        <x:v>7686</x:v>
      </x:c>
      <x:c r="B545" s="7" t="s">
        <x:v>576</x:v>
      </x:c>
      <x:c r="C545" s="7" t="s">
        <x:v>7216</x:v>
      </x:c>
      <x:c r="D545" s="7" t="s">
        <x:v>7217</x:v>
      </x:c>
      <x:c r="E545" s="7" t="s">
        <x:v>7218</x:v>
      </x:c>
    </x:row>
    <x:row r="546" ht="30" hidden="0" customHeight="1">
      <x:c r="A546" s="7" t="s">
        <x:v>7687</x:v>
      </x:c>
      <x:c r="B546" s="7" t="s">
        <x:v>589</x:v>
      </x:c>
      <x:c r="C546" s="7" t="s">
        <x:v>7190</x:v>
      </x:c>
      <x:c r="D546" s="7" t="s">
        <x:v>7191</x:v>
      </x:c>
      <x:c r="E546" s="7" t="s">
        <x:v>7192</x:v>
      </x:c>
    </x:row>
    <x:row r="547" ht="37.5" hidden="0" customHeight="1">
      <x:c r="A547" s="7" t="s">
        <x:v>7688</x:v>
      </x:c>
      <x:c r="B547" s="7" t="s">
        <x:v>589</x:v>
      </x:c>
      <x:c r="C547" s="7" t="s">
        <x:v>5</x:v>
      </x:c>
      <x:c r="D547" s="7" t="s">
        <x:v>7191</x:v>
      </x:c>
      <x:c r="E547" s="7" t="s">
        <x:v>7194</x:v>
      </x:c>
    </x:row>
    <x:row r="548" ht="30" hidden="0" customHeight="1">
      <x:c r="A548" s="7" t="s">
        <x:v>7689</x:v>
      </x:c>
      <x:c r="B548" s="7" t="s">
        <x:v>589</x:v>
      </x:c>
      <x:c r="C548" s="7" t="s">
        <x:v>1450</x:v>
      </x:c>
      <x:c r="D548" s="7" t="s">
        <x:v>7191</x:v>
      </x:c>
      <x:c r="E548" s="7" t="s">
        <x:v>7196</x:v>
      </x:c>
    </x:row>
    <x:row r="549" ht="30" hidden="0" customHeight="1">
      <x:c r="A549" s="7" t="s">
        <x:v>7690</x:v>
      </x:c>
      <x:c r="B549" s="7" t="s">
        <x:v>589</x:v>
      </x:c>
      <x:c r="C549" s="7" t="s">
        <x:v>7198</x:v>
      </x:c>
      <x:c r="D549" s="7" t="s">
        <x:v>7191</x:v>
      </x:c>
      <x:c r="E549" s="7" t="s">
        <x:v>7199</x:v>
      </x:c>
    </x:row>
    <x:row r="550" ht="37.5" hidden="0" customHeight="1">
      <x:c r="A550" s="7" t="s">
        <x:v>7691</x:v>
      </x:c>
      <x:c r="B550" s="7" t="s">
        <x:v>589</x:v>
      </x:c>
      <x:c r="C550" s="7" t="s">
        <x:v>7201</x:v>
      </x:c>
      <x:c r="D550" s="7" t="s">
        <x:v>7107</x:v>
      </x:c>
      <x:c r="E550" s="7" t="s">
        <x:v>7211</x:v>
      </x:c>
    </x:row>
    <x:row r="551" ht="37.5" hidden="0" customHeight="1">
      <x:c r="A551" s="7" t="s">
        <x:v>7692</x:v>
      </x:c>
      <x:c r="B551" s="7" t="s">
        <x:v>589</x:v>
      </x:c>
      <x:c r="C551" s="7" t="s">
        <x:v>7204</x:v>
      </x:c>
      <x:c r="D551" s="7" t="str">
        <x:v>Gap</x:v>
      </x:c>
      <x:c r="E551" s="7" t="str">
        <x:v>No exposure, solubility or moisture record from this material's own sources. Records cited for its family are context, not evidence for this grade.</x:v>
      </x:c>
    </x:row>
    <x:row r="552" ht="37.5" hidden="0" customHeight="1">
      <x:c r="A552" s="7" t="s">
        <x:v>7693</x:v>
      </x:c>
      <x:c r="B552" s="7" t="s">
        <x:v>589</x:v>
      </x:c>
      <x:c r="C552" s="7" t="s">
        <x:v>7207</x:v>
      </x:c>
      <x:c r="D552" s="7" t="s">
        <x:v>7107</x:v>
      </x:c>
      <x:c r="E552" s="7" t="s">
        <x:v>7211</x:v>
      </x:c>
    </x:row>
    <x:row r="553" ht="30" hidden="0" customHeight="1">
      <x:c r="A553" s="7" t="s">
        <x:v>7694</x:v>
      </x:c>
      <x:c r="B553" s="7" t="s">
        <x:v>589</x:v>
      </x:c>
      <x:c r="C553" s="7" t="s">
        <x:v>7210</x:v>
      </x:c>
      <x:c r="D553" s="7" t="s">
        <x:v>7191</x:v>
      </x:c>
      <x:c r="E553" s="7" t="s">
        <x:v>132</x:v>
      </x:c>
    </x:row>
    <x:row r="554" ht="51.75" hidden="0" customHeight="1">
      <x:c r="A554" s="7" t="s">
        <x:v>7695</x:v>
      </x:c>
      <x:c r="B554" s="7" t="s">
        <x:v>589</x:v>
      </x:c>
      <x:c r="C554" s="7" t="s">
        <x:v>7213</x:v>
      </x:c>
      <x:c r="D554" s="7" t="s">
        <x:v>7107</x:v>
      </x:c>
      <x:c r="E554" s="7" t="s">
        <x:v>7214</x:v>
      </x:c>
    </x:row>
    <x:row r="555" ht="37.5" hidden="0" customHeight="1">
      <x:c r="A555" s="7" t="s">
        <x:v>7696</x:v>
      </x:c>
      <x:c r="B555" s="7" t="s">
        <x:v>589</x:v>
      </x:c>
      <x:c r="C555" s="7" t="s">
        <x:v>7216</x:v>
      </x:c>
      <x:c r="D555" s="7" t="s">
        <x:v>7217</x:v>
      </x:c>
      <x:c r="E555" s="7" t="s">
        <x:v>7218</x:v>
      </x:c>
    </x:row>
    <x:row r="556" ht="30" hidden="0" customHeight="1">
      <x:c r="A556" s="7" t="s">
        <x:v>7697</x:v>
      </x:c>
      <x:c r="B556" s="7" t="s">
        <x:v>598</x:v>
      </x:c>
      <x:c r="C556" s="7" t="s">
        <x:v>7190</x:v>
      </x:c>
      <x:c r="D556" s="7" t="s">
        <x:v>7191</x:v>
      </x:c>
      <x:c r="E556" s="7" t="s">
        <x:v>7192</x:v>
      </x:c>
    </x:row>
    <x:row r="557" ht="37.5" hidden="0" customHeight="1">
      <x:c r="A557" s="7" t="s">
        <x:v>7698</x:v>
      </x:c>
      <x:c r="B557" s="7" t="s">
        <x:v>598</x:v>
      </x:c>
      <x:c r="C557" s="7" t="s">
        <x:v>5</x:v>
      </x:c>
      <x:c r="D557" s="7" t="s">
        <x:v>7191</x:v>
      </x:c>
      <x:c r="E557" s="7" t="s">
        <x:v>7194</x:v>
      </x:c>
    </x:row>
    <x:row r="558" ht="30" hidden="0" customHeight="1">
      <x:c r="A558" s="7" t="s">
        <x:v>7699</x:v>
      </x:c>
      <x:c r="B558" s="7" t="s">
        <x:v>598</x:v>
      </x:c>
      <x:c r="C558" s="7" t="s">
        <x:v>1450</x:v>
      </x:c>
      <x:c r="D558" s="7" t="s">
        <x:v>7191</x:v>
      </x:c>
      <x:c r="E558" s="7" t="s">
        <x:v>7196</x:v>
      </x:c>
    </x:row>
    <x:row r="559" ht="30" hidden="0" customHeight="1">
      <x:c r="A559" s="7" t="s">
        <x:v>7700</x:v>
      </x:c>
      <x:c r="B559" s="7" t="s">
        <x:v>598</x:v>
      </x:c>
      <x:c r="C559" s="7" t="s">
        <x:v>7198</x:v>
      </x:c>
      <x:c r="D559" s="7" t="s">
        <x:v>7191</x:v>
      </x:c>
      <x:c r="E559" s="7" t="s">
        <x:v>7199</x:v>
      </x:c>
    </x:row>
    <x:row r="560" ht="30" hidden="0" customHeight="1">
      <x:c r="A560" s="7" t="s">
        <x:v>7701</x:v>
      </x:c>
      <x:c r="B560" s="7" t="s">
        <x:v>598</x:v>
      </x:c>
      <x:c r="C560" s="7" t="s">
        <x:v>7201</x:v>
      </x:c>
      <x:c r="D560" s="7" t="s">
        <x:v>7191</x:v>
      </x:c>
      <x:c r="E560" s="7" t="s">
        <x:v>7202</x:v>
      </x:c>
    </x:row>
    <x:row r="561" ht="37.5" hidden="0" customHeight="1">
      <x:c r="A561" s="7" t="s">
        <x:v>7702</x:v>
      </x:c>
      <x:c r="B561" s="7" t="s">
        <x:v>598</x:v>
      </x:c>
      <x:c r="C561" s="7" t="s">
        <x:v>7204</x:v>
      </x:c>
      <x:c r="D561" s="7" t="s">
        <x:v>7191</x:v>
      </x:c>
      <x:c r="E561" s="7" t="s">
        <x:v>7205</x:v>
      </x:c>
    </x:row>
    <x:row r="562" ht="37.5" hidden="0" customHeight="1">
      <x:c r="A562" s="7" t="s">
        <x:v>7703</x:v>
      </x:c>
      <x:c r="B562" s="7" t="s">
        <x:v>598</x:v>
      </x:c>
      <x:c r="C562" s="7" t="s">
        <x:v>7207</x:v>
      </x:c>
      <x:c r="D562" s="7" t="s">
        <x:v>7191</x:v>
      </x:c>
      <x:c r="E562" s="7" t="s">
        <x:v>7208</x:v>
      </x:c>
    </x:row>
    <x:row r="563" ht="30" hidden="0" customHeight="1">
      <x:c r="A563" s="7" t="s">
        <x:v>7704</x:v>
      </x:c>
      <x:c r="B563" s="7" t="s">
        <x:v>598</x:v>
      </x:c>
      <x:c r="C563" s="7" t="s">
        <x:v>7210</x:v>
      </x:c>
      <x:c r="D563" s="7" t="s">
        <x:v>7191</x:v>
      </x:c>
      <x:c r="E563" s="7" t="s">
        <x:v>87</x:v>
      </x:c>
    </x:row>
    <x:row r="564" ht="51.75" hidden="0" customHeight="1">
      <x:c r="A564" s="7" t="s">
        <x:v>7705</x:v>
      </x:c>
      <x:c r="B564" s="7" t="s">
        <x:v>598</x:v>
      </x:c>
      <x:c r="C564" s="7" t="s">
        <x:v>7213</x:v>
      </x:c>
      <x:c r="D564" s="7" t="s">
        <x:v>7107</x:v>
      </x:c>
      <x:c r="E564" s="7" t="s">
        <x:v>7214</x:v>
      </x:c>
    </x:row>
    <x:row r="565" ht="37.5" hidden="0" customHeight="1">
      <x:c r="A565" s="7" t="s">
        <x:v>7706</x:v>
      </x:c>
      <x:c r="B565" s="7" t="s">
        <x:v>598</x:v>
      </x:c>
      <x:c r="C565" s="7" t="s">
        <x:v>7216</x:v>
      </x:c>
      <x:c r="D565" s="7" t="s">
        <x:v>7217</x:v>
      </x:c>
      <x:c r="E565" s="7" t="s">
        <x:v>7218</x:v>
      </x:c>
    </x:row>
    <x:row r="566" ht="30" hidden="0" customHeight="1">
      <x:c r="A566" s="7" t="s">
        <x:v>7707</x:v>
      </x:c>
      <x:c r="B566" s="7" t="s">
        <x:v>608</x:v>
      </x:c>
      <x:c r="C566" s="7" t="s">
        <x:v>7190</x:v>
      </x:c>
      <x:c r="D566" s="7" t="s">
        <x:v>7191</x:v>
      </x:c>
      <x:c r="E566" s="7" t="s">
        <x:v>7192</x:v>
      </x:c>
    </x:row>
    <x:row r="567" ht="37.5" hidden="0" customHeight="1">
      <x:c r="A567" s="7" t="s">
        <x:v>7708</x:v>
      </x:c>
      <x:c r="B567" s="7" t="s">
        <x:v>608</x:v>
      </x:c>
      <x:c r="C567" s="7" t="s">
        <x:v>5</x:v>
      </x:c>
      <x:c r="D567" s="7" t="s">
        <x:v>7191</x:v>
      </x:c>
      <x:c r="E567" s="7" t="s">
        <x:v>7194</x:v>
      </x:c>
    </x:row>
    <x:row r="568" ht="30" hidden="0" customHeight="1">
      <x:c r="A568" s="7" t="s">
        <x:v>7709</x:v>
      </x:c>
      <x:c r="B568" s="7" t="s">
        <x:v>608</x:v>
      </x:c>
      <x:c r="C568" s="7" t="s">
        <x:v>1450</x:v>
      </x:c>
      <x:c r="D568" s="7" t="s">
        <x:v>7191</x:v>
      </x:c>
      <x:c r="E568" s="7" t="s">
        <x:v>7196</x:v>
      </x:c>
    </x:row>
    <x:row r="569" ht="30" hidden="0" customHeight="1">
      <x:c r="A569" s="7" t="s">
        <x:v>7710</x:v>
      </x:c>
      <x:c r="B569" s="7" t="s">
        <x:v>608</x:v>
      </x:c>
      <x:c r="C569" s="7" t="s">
        <x:v>7198</x:v>
      </x:c>
      <x:c r="D569" s="7" t="s">
        <x:v>7191</x:v>
      </x:c>
      <x:c r="E569" s="7" t="s">
        <x:v>7199</x:v>
      </x:c>
    </x:row>
    <x:row r="570" ht="30" hidden="0" customHeight="1">
      <x:c r="A570" s="7" t="s">
        <x:v>7711</x:v>
      </x:c>
      <x:c r="B570" s="7" t="s">
        <x:v>608</x:v>
      </x:c>
      <x:c r="C570" s="7" t="s">
        <x:v>7201</x:v>
      </x:c>
      <x:c r="D570" s="7" t="s">
        <x:v>7191</x:v>
      </x:c>
      <x:c r="E570" s="7" t="s">
        <x:v>7202</x:v>
      </x:c>
    </x:row>
    <x:row r="571" ht="37.5" hidden="0" customHeight="1">
      <x:c r="A571" s="7" t="s">
        <x:v>7712</x:v>
      </x:c>
      <x:c r="B571" s="7" t="s">
        <x:v>608</x:v>
      </x:c>
      <x:c r="C571" s="7" t="s">
        <x:v>7204</x:v>
      </x:c>
      <x:c r="D571" s="7" t="s">
        <x:v>7191</x:v>
      </x:c>
      <x:c r="E571" s="7" t="str">
        <x:v>5 exposure, solubility or moisture record(s) from this material's own sources. Test conditions are rarely stated; not a chemical design limit.</x:v>
      </x:c>
    </x:row>
    <x:row r="572" ht="37.5" hidden="0" customHeight="1">
      <x:c r="A572" s="7" t="s">
        <x:v>7713</x:v>
      </x:c>
      <x:c r="B572" s="7" t="s">
        <x:v>608</x:v>
      </x:c>
      <x:c r="C572" s="7" t="s">
        <x:v>7207</x:v>
      </x:c>
      <x:c r="D572" s="7" t="s">
        <x:v>7107</x:v>
      </x:c>
      <x:c r="E572" s="7" t="s">
        <x:v>7211</x:v>
      </x:c>
    </x:row>
    <x:row r="573" ht="30" hidden="0" customHeight="1">
      <x:c r="A573" s="7" t="s">
        <x:v>7714</x:v>
      </x:c>
      <x:c r="B573" s="7" t="s">
        <x:v>608</x:v>
      </x:c>
      <x:c r="C573" s="7" t="s">
        <x:v>7210</x:v>
      </x:c>
      <x:c r="D573" s="7" t="s">
        <x:v>7191</x:v>
      </x:c>
      <x:c r="E573" s="7" t="s">
        <x:v>132</x:v>
      </x:c>
    </x:row>
    <x:row r="574" ht="51.75" hidden="0" customHeight="1">
      <x:c r="A574" s="7" t="s">
        <x:v>7715</x:v>
      </x:c>
      <x:c r="B574" s="7" t="s">
        <x:v>608</x:v>
      </x:c>
      <x:c r="C574" s="7" t="s">
        <x:v>7213</x:v>
      </x:c>
      <x:c r="D574" s="7" t="s">
        <x:v>7107</x:v>
      </x:c>
      <x:c r="E574" s="7" t="s">
        <x:v>7214</x:v>
      </x:c>
    </x:row>
    <x:row r="575" ht="37.5" hidden="0" customHeight="1">
      <x:c r="A575" s="7" t="s">
        <x:v>7716</x:v>
      </x:c>
      <x:c r="B575" s="7" t="s">
        <x:v>608</x:v>
      </x:c>
      <x:c r="C575" s="7" t="s">
        <x:v>7216</x:v>
      </x:c>
      <x:c r="D575" s="7" t="s">
        <x:v>7217</x:v>
      </x:c>
      <x:c r="E575" s="7" t="s">
        <x:v>7218</x:v>
      </x:c>
    </x:row>
    <x:row r="576" ht="30" hidden="0" customHeight="1">
      <x:c r="A576" s="7" t="s">
        <x:v>7717</x:v>
      </x:c>
      <x:c r="B576" s="7" t="s">
        <x:v>616</x:v>
      </x:c>
      <x:c r="C576" s="7" t="s">
        <x:v>7190</x:v>
      </x:c>
      <x:c r="D576" s="7" t="s">
        <x:v>7191</x:v>
      </x:c>
      <x:c r="E576" s="7" t="s">
        <x:v>7192</x:v>
      </x:c>
    </x:row>
    <x:row r="577" ht="37.5" hidden="0" customHeight="1">
      <x:c r="A577" s="7" t="s">
        <x:v>7718</x:v>
      </x:c>
      <x:c r="B577" s="7" t="s">
        <x:v>616</x:v>
      </x:c>
      <x:c r="C577" s="7" t="s">
        <x:v>5</x:v>
      </x:c>
      <x:c r="D577" s="7" t="s">
        <x:v>7191</x:v>
      </x:c>
      <x:c r="E577" s="7" t="s">
        <x:v>7194</x:v>
      </x:c>
    </x:row>
    <x:row r="578" ht="30" hidden="0" customHeight="1">
      <x:c r="A578" s="7" t="s">
        <x:v>7719</x:v>
      </x:c>
      <x:c r="B578" s="7" t="s">
        <x:v>616</x:v>
      </x:c>
      <x:c r="C578" s="7" t="s">
        <x:v>1450</x:v>
      </x:c>
      <x:c r="D578" s="7" t="s">
        <x:v>7191</x:v>
      </x:c>
      <x:c r="E578" s="7" t="s">
        <x:v>7196</x:v>
      </x:c>
    </x:row>
    <x:row r="579" ht="37.5" hidden="0" customHeight="1">
      <x:c r="A579" s="7" t="s">
        <x:v>7720</x:v>
      </x:c>
      <x:c r="B579" s="7" t="s">
        <x:v>616</x:v>
      </x:c>
      <x:c r="C579" s="7" t="s">
        <x:v>7198</x:v>
      </x:c>
      <x:c r="D579" s="7" t="str">
        <x:v>Limited comparability</x:v>
      </x:c>
      <x:c r="E579" s="7" t="str">
        <x:v>The only mechanical records are 12 fatigue results for the study grade G052-R1, which is not a procurement grade. No tensile, flexural or impact value is published for a PA12 grade.</x:v>
      </x:c>
    </x:row>
    <x:row r="580" ht="37.5" hidden="0" customHeight="1">
      <x:c r="A580" s="7" t="s">
        <x:v>7721</x:v>
      </x:c>
      <x:c r="B580" s="7" t="s">
        <x:v>616</x:v>
      </x:c>
      <x:c r="C580" s="7" t="s">
        <x:v>7201</x:v>
      </x:c>
      <x:c r="D580" s="7" t="s">
        <x:v>7107</x:v>
      </x:c>
      <x:c r="E580" s="7" t="s">
        <x:v>7211</x:v>
      </x:c>
    </x:row>
    <x:row r="581" ht="37.5" hidden="0" customHeight="1">
      <x:c r="A581" s="7" t="s">
        <x:v>7722</x:v>
      </x:c>
      <x:c r="B581" s="7" t="s">
        <x:v>616</x:v>
      </x:c>
      <x:c r="C581" s="7" t="s">
        <x:v>7204</x:v>
      </x:c>
      <x:c r="D581" s="7" t="s">
        <x:v>7191</x:v>
      </x:c>
      <x:c r="E581" s="7" t="s">
        <x:v>7205</x:v>
      </x:c>
    </x:row>
    <x:row r="582" ht="37.5" hidden="0" customHeight="1">
      <x:c r="A582" s="7" t="s">
        <x:v>7723</x:v>
      </x:c>
      <x:c r="B582" s="7" t="s">
        <x:v>616</x:v>
      </x:c>
      <x:c r="C582" s="7" t="s">
        <x:v>7207</x:v>
      </x:c>
      <x:c r="D582" s="7" t="s">
        <x:v>7191</x:v>
      </x:c>
      <x:c r="E582" s="7" t="s">
        <x:v>7208</x:v>
      </x:c>
    </x:row>
    <x:row r="583" ht="37.5" hidden="0" customHeight="1">
      <x:c r="A583" s="7" t="s">
        <x:v>7724</x:v>
      </x:c>
      <x:c r="B583" s="7" t="s">
        <x:v>616</x:v>
      </x:c>
      <x:c r="C583" s="7" t="s">
        <x:v>7210</x:v>
      </x:c>
      <x:c r="D583" s="7" t="s">
        <x:v>7107</x:v>
      </x:c>
      <x:c r="E583" s="7" t="s">
        <x:v>7211</x:v>
      </x:c>
    </x:row>
    <x:row r="584" ht="51.75" hidden="0" customHeight="1">
      <x:c r="A584" s="7" t="s">
        <x:v>7725</x:v>
      </x:c>
      <x:c r="B584" s="7" t="s">
        <x:v>616</x:v>
      </x:c>
      <x:c r="C584" s="7" t="s">
        <x:v>7213</x:v>
      </x:c>
      <x:c r="D584" s="7" t="s">
        <x:v>7107</x:v>
      </x:c>
      <x:c r="E584" s="7" t="s">
        <x:v>7214</x:v>
      </x:c>
    </x:row>
    <x:row r="585" ht="30" hidden="0" customHeight="1">
      <x:c r="A585" s="7" t="s">
        <x:v>7726</x:v>
      </x:c>
      <x:c r="B585" s="7" t="s">
        <x:v>627</x:v>
      </x:c>
      <x:c r="C585" s="7" t="s">
        <x:v>7190</x:v>
      </x:c>
      <x:c r="D585" s="7" t="s">
        <x:v>7191</x:v>
      </x:c>
      <x:c r="E585" s="7" t="s">
        <x:v>7192</x:v>
      </x:c>
    </x:row>
    <x:row r="586" ht="37.5" hidden="0" customHeight="1">
      <x:c r="A586" s="7" t="s">
        <x:v>7727</x:v>
      </x:c>
      <x:c r="B586" s="7" t="s">
        <x:v>627</x:v>
      </x:c>
      <x:c r="C586" s="7" t="s">
        <x:v>5</x:v>
      </x:c>
      <x:c r="D586" s="7" t="s">
        <x:v>7191</x:v>
      </x:c>
      <x:c r="E586" s="7" t="s">
        <x:v>7194</x:v>
      </x:c>
    </x:row>
    <x:row r="587" ht="30" hidden="0" customHeight="1">
      <x:c r="A587" s="7" t="s">
        <x:v>7728</x:v>
      </x:c>
      <x:c r="B587" s="7" t="s">
        <x:v>627</x:v>
      </x:c>
      <x:c r="C587" s="7" t="s">
        <x:v>1450</x:v>
      </x:c>
      <x:c r="D587" s="7" t="s">
        <x:v>7191</x:v>
      </x:c>
      <x:c r="E587" s="7" t="s">
        <x:v>7196</x:v>
      </x:c>
    </x:row>
    <x:row r="588" ht="30" hidden="0" customHeight="1">
      <x:c r="A588" s="7" t="s">
        <x:v>7729</x:v>
      </x:c>
      <x:c r="B588" s="7" t="s">
        <x:v>627</x:v>
      </x:c>
      <x:c r="C588" s="7" t="s">
        <x:v>7198</x:v>
      </x:c>
      <x:c r="D588" s="7" t="s">
        <x:v>7191</x:v>
      </x:c>
      <x:c r="E588" s="7" t="s">
        <x:v>7199</x:v>
      </x:c>
    </x:row>
    <x:row r="589" ht="30" hidden="0" customHeight="1">
      <x:c r="A589" s="7" t="s">
        <x:v>7730</x:v>
      </x:c>
      <x:c r="B589" s="7" t="s">
        <x:v>627</x:v>
      </x:c>
      <x:c r="C589" s="7" t="s">
        <x:v>7201</x:v>
      </x:c>
      <x:c r="D589" s="7" t="s">
        <x:v>7191</x:v>
      </x:c>
      <x:c r="E589" s="7" t="s">
        <x:v>7202</x:v>
      </x:c>
    </x:row>
    <x:row r="590" ht="37.5" hidden="0" customHeight="1">
      <x:c r="A590" s="7" t="s">
        <x:v>7731</x:v>
      </x:c>
      <x:c r="B590" s="7" t="s">
        <x:v>627</x:v>
      </x:c>
      <x:c r="C590" s="7" t="s">
        <x:v>7204</x:v>
      </x:c>
      <x:c r="D590" s="7" t="s">
        <x:v>7191</x:v>
      </x:c>
      <x:c r="E590" s="7" t="s">
        <x:v>7205</x:v>
      </x:c>
    </x:row>
    <x:row r="591" ht="37.5" hidden="0" customHeight="1">
      <x:c r="A591" s="7" t="s">
        <x:v>7732</x:v>
      </x:c>
      <x:c r="B591" s="7" t="s">
        <x:v>627</x:v>
      </x:c>
      <x:c r="C591" s="7" t="s">
        <x:v>7207</x:v>
      </x:c>
      <x:c r="D591" s="7" t="s">
        <x:v>7191</x:v>
      </x:c>
      <x:c r="E591" s="7" t="s">
        <x:v>7208</x:v>
      </x:c>
    </x:row>
    <x:row r="592" ht="37.5" hidden="0" customHeight="1">
      <x:c r="A592" s="7" t="s">
        <x:v>7733</x:v>
      </x:c>
      <x:c r="B592" s="7" t="s">
        <x:v>627</x:v>
      </x:c>
      <x:c r="C592" s="7" t="s">
        <x:v>7210</x:v>
      </x:c>
      <x:c r="D592" s="7" t="s">
        <x:v>7107</x:v>
      </x:c>
      <x:c r="E592" s="7" t="s">
        <x:v>7211</x:v>
      </x:c>
    </x:row>
    <x:row r="593" ht="51.75" hidden="0" customHeight="1">
      <x:c r="A593" s="7" t="s">
        <x:v>7734</x:v>
      </x:c>
      <x:c r="B593" s="7" t="s">
        <x:v>627</x:v>
      </x:c>
      <x:c r="C593" s="7" t="s">
        <x:v>7213</x:v>
      </x:c>
      <x:c r="D593" s="7" t="s">
        <x:v>7107</x:v>
      </x:c>
      <x:c r="E593" s="7" t="s">
        <x:v>7214</x:v>
      </x:c>
    </x:row>
    <x:row r="594" ht="37.5" hidden="0" customHeight="1">
      <x:c r="A594" s="7" t="s">
        <x:v>7735</x:v>
      </x:c>
      <x:c r="B594" s="7" t="s">
        <x:v>627</x:v>
      </x:c>
      <x:c r="C594" s="7" t="s">
        <x:v>7216</x:v>
      </x:c>
      <x:c r="D594" s="7" t="s">
        <x:v>7217</x:v>
      </x:c>
      <x:c r="E594" s="7" t="s">
        <x:v>7218</x:v>
      </x:c>
    </x:row>
    <x:row r="595" ht="30" hidden="0" customHeight="1">
      <x:c r="A595" s="7" t="s">
        <x:v>7736</x:v>
      </x:c>
      <x:c r="B595" s="7" t="s">
        <x:v>639</x:v>
      </x:c>
      <x:c r="C595" s="7" t="s">
        <x:v>7190</x:v>
      </x:c>
      <x:c r="D595" s="7" t="s">
        <x:v>7191</x:v>
      </x:c>
      <x:c r="E595" s="7" t="s">
        <x:v>7192</x:v>
      </x:c>
    </x:row>
    <x:row r="596" ht="37.5" hidden="0" customHeight="1">
      <x:c r="A596" s="7" t="s">
        <x:v>7737</x:v>
      </x:c>
      <x:c r="B596" s="7" t="s">
        <x:v>639</x:v>
      </x:c>
      <x:c r="C596" s="7" t="s">
        <x:v>5</x:v>
      </x:c>
      <x:c r="D596" s="7" t="s">
        <x:v>7191</x:v>
      </x:c>
      <x:c r="E596" s="7" t="s">
        <x:v>7194</x:v>
      </x:c>
    </x:row>
    <x:row r="597" ht="30" hidden="0" customHeight="1">
      <x:c r="A597" s="7" t="s">
        <x:v>7738</x:v>
      </x:c>
      <x:c r="B597" s="7" t="s">
        <x:v>639</x:v>
      </x:c>
      <x:c r="C597" s="7" t="s">
        <x:v>1450</x:v>
      </x:c>
      <x:c r="D597" s="7" t="s">
        <x:v>7191</x:v>
      </x:c>
      <x:c r="E597" s="7" t="s">
        <x:v>7196</x:v>
      </x:c>
    </x:row>
    <x:row r="598" ht="30" hidden="0" customHeight="1">
      <x:c r="A598" s="7" t="s">
        <x:v>7739</x:v>
      </x:c>
      <x:c r="B598" s="7" t="s">
        <x:v>639</x:v>
      </x:c>
      <x:c r="C598" s="7" t="s">
        <x:v>7198</x:v>
      </x:c>
      <x:c r="D598" s="7" t="s">
        <x:v>7191</x:v>
      </x:c>
      <x:c r="E598" s="7" t="s">
        <x:v>7199</x:v>
      </x:c>
    </x:row>
    <x:row r="599" ht="30" hidden="0" customHeight="1">
      <x:c r="A599" s="7" t="s">
        <x:v>7740</x:v>
      </x:c>
      <x:c r="B599" s="7" t="s">
        <x:v>639</x:v>
      </x:c>
      <x:c r="C599" s="7" t="s">
        <x:v>7201</x:v>
      </x:c>
      <x:c r="D599" s="7" t="s">
        <x:v>7191</x:v>
      </x:c>
      <x:c r="E599" s="7" t="s">
        <x:v>7202</x:v>
      </x:c>
    </x:row>
    <x:row r="600" ht="37.5" hidden="0" customHeight="1">
      <x:c r="A600" s="7" t="s">
        <x:v>7741</x:v>
      </x:c>
      <x:c r="B600" s="7" t="s">
        <x:v>639</x:v>
      </x:c>
      <x:c r="C600" s="7" t="s">
        <x:v>7204</x:v>
      </x:c>
      <x:c r="D600" s="7" t="s">
        <x:v>7107</x:v>
      </x:c>
      <x:c r="E600" s="7" t="s">
        <x:v>7211</x:v>
      </x:c>
    </x:row>
    <x:row r="601" ht="37.5" hidden="0" customHeight="1">
      <x:c r="A601" s="7" t="s">
        <x:v>7742</x:v>
      </x:c>
      <x:c r="B601" s="7" t="s">
        <x:v>639</x:v>
      </x:c>
      <x:c r="C601" s="7" t="s">
        <x:v>7207</x:v>
      </x:c>
      <x:c r="D601" s="7" t="s">
        <x:v>7107</x:v>
      </x:c>
      <x:c r="E601" s="7" t="s">
        <x:v>7211</x:v>
      </x:c>
    </x:row>
    <x:row r="602" ht="37.5" hidden="0" customHeight="1">
      <x:c r="A602" s="7" t="s">
        <x:v>7743</x:v>
      </x:c>
      <x:c r="B602" s="7" t="s">
        <x:v>639</x:v>
      </x:c>
      <x:c r="C602" s="7" t="s">
        <x:v>7210</x:v>
      </x:c>
      <x:c r="D602" s="7" t="s">
        <x:v>7107</x:v>
      </x:c>
      <x:c r="E602" s="7" t="s">
        <x:v>7211</x:v>
      </x:c>
    </x:row>
    <x:row r="603" ht="51.75" hidden="0" customHeight="1">
      <x:c r="A603" s="7" t="s">
        <x:v>7744</x:v>
      </x:c>
      <x:c r="B603" s="7" t="s">
        <x:v>639</x:v>
      </x:c>
      <x:c r="C603" s="7" t="s">
        <x:v>7213</x:v>
      </x:c>
      <x:c r="D603" s="7" t="s">
        <x:v>7107</x:v>
      </x:c>
      <x:c r="E603" s="7" t="s">
        <x:v>7214</x:v>
      </x:c>
    </x:row>
    <x:row r="604" ht="37.5" hidden="0" customHeight="1">
      <x:c r="A604" s="7" t="s">
        <x:v>7745</x:v>
      </x:c>
      <x:c r="B604" s="7" t="s">
        <x:v>639</x:v>
      </x:c>
      <x:c r="C604" s="7" t="s">
        <x:v>7216</x:v>
      </x:c>
      <x:c r="D604" s="7" t="s">
        <x:v>7217</x:v>
      </x:c>
      <x:c r="E604" s="7" t="s">
        <x:v>7218</x:v>
      </x:c>
    </x:row>
    <x:row r="605" ht="30" hidden="0" customHeight="1">
      <x:c r="A605" s="7" t="s">
        <x:v>7746</x:v>
      </x:c>
      <x:c r="B605" s="7" t="s">
        <x:v>647</x:v>
      </x:c>
      <x:c r="C605" s="7" t="s">
        <x:v>7190</x:v>
      </x:c>
      <x:c r="D605" s="7" t="s">
        <x:v>7191</x:v>
      </x:c>
      <x:c r="E605" s="7" t="s">
        <x:v>7192</x:v>
      </x:c>
    </x:row>
    <x:row r="606" ht="37.5" hidden="0" customHeight="1">
      <x:c r="A606" s="7" t="s">
        <x:v>7747</x:v>
      </x:c>
      <x:c r="B606" s="7" t="s">
        <x:v>647</x:v>
      </x:c>
      <x:c r="C606" s="7" t="s">
        <x:v>5</x:v>
      </x:c>
      <x:c r="D606" s="7" t="s">
        <x:v>7191</x:v>
      </x:c>
      <x:c r="E606" s="7" t="s">
        <x:v>7194</x:v>
      </x:c>
    </x:row>
    <x:row r="607" ht="37.5" hidden="0" customHeight="1">
      <x:c r="A607" s="7" t="s">
        <x:v>7748</x:v>
      </x:c>
      <x:c r="B607" s="7" t="s">
        <x:v>647</x:v>
      </x:c>
      <x:c r="C607" s="7" t="s">
        <x:v>1450</x:v>
      </x:c>
      <x:c r="D607" s="7" t="s">
        <x:v>7107</x:v>
      </x:c>
      <x:c r="E607" s="7" t="s">
        <x:v>7211</x:v>
      </x:c>
    </x:row>
    <x:row r="608" ht="37.5" hidden="0" customHeight="1">
      <x:c r="A608" s="7" t="s">
        <x:v>7749</x:v>
      </x:c>
      <x:c r="B608" s="7" t="s">
        <x:v>647</x:v>
      </x:c>
      <x:c r="C608" s="7" t="s">
        <x:v>7198</x:v>
      </x:c>
      <x:c r="D608" s="7" t="s">
        <x:v>7107</x:v>
      </x:c>
      <x:c r="E608" s="7" t="s">
        <x:v>7211</x:v>
      </x:c>
    </x:row>
    <x:row r="609" ht="37.5" hidden="0" customHeight="1">
      <x:c r="A609" s="7" t="s">
        <x:v>7750</x:v>
      </x:c>
      <x:c r="B609" s="7" t="s">
        <x:v>647</x:v>
      </x:c>
      <x:c r="C609" s="7" t="s">
        <x:v>7201</x:v>
      </x:c>
      <x:c r="D609" s="7" t="s">
        <x:v>7107</x:v>
      </x:c>
      <x:c r="E609" s="7" t="s">
        <x:v>7211</x:v>
      </x:c>
    </x:row>
    <x:row r="610" ht="37.5" hidden="0" customHeight="1">
      <x:c r="A610" s="7" t="s">
        <x:v>7751</x:v>
      </x:c>
      <x:c r="B610" s="7" t="s">
        <x:v>647</x:v>
      </x:c>
      <x:c r="C610" s="7" t="s">
        <x:v>7204</x:v>
      </x:c>
      <x:c r="D610" s="7" t="s">
        <x:v>7107</x:v>
      </x:c>
      <x:c r="E610" s="7" t="s">
        <x:v>7211</x:v>
      </x:c>
    </x:row>
    <x:row r="611" ht="37.5" hidden="0" customHeight="1">
      <x:c r="A611" s="7" t="s">
        <x:v>7752</x:v>
      </x:c>
      <x:c r="B611" s="7" t="s">
        <x:v>647</x:v>
      </x:c>
      <x:c r="C611" s="7" t="s">
        <x:v>7207</x:v>
      </x:c>
      <x:c r="D611" s="7" t="s">
        <x:v>7107</x:v>
      </x:c>
      <x:c r="E611" s="7" t="s">
        <x:v>7211</x:v>
      </x:c>
    </x:row>
    <x:row r="612" ht="37.5" hidden="0" customHeight="1">
      <x:c r="A612" s="7" t="s">
        <x:v>7753</x:v>
      </x:c>
      <x:c r="B612" s="7" t="s">
        <x:v>647</x:v>
      </x:c>
      <x:c r="C612" s="7" t="s">
        <x:v>7210</x:v>
      </x:c>
      <x:c r="D612" s="7" t="s">
        <x:v>7107</x:v>
      </x:c>
      <x:c r="E612" s="7" t="s">
        <x:v>7211</x:v>
      </x:c>
    </x:row>
    <x:row r="613" ht="51.75" hidden="0" customHeight="1">
      <x:c r="A613" s="7" t="s">
        <x:v>7754</x:v>
      </x:c>
      <x:c r="B613" s="7" t="s">
        <x:v>647</x:v>
      </x:c>
      <x:c r="C613" s="7" t="s">
        <x:v>7213</x:v>
      </x:c>
      <x:c r="D613" s="7" t="s">
        <x:v>7107</x:v>
      </x:c>
      <x:c r="E613" s="7" t="s">
        <x:v>7214</x:v>
      </x:c>
    </x:row>
    <x:row r="614" ht="37.5" hidden="0" customHeight="1">
      <x:c r="A614" s="7" t="s">
        <x:v>7755</x:v>
      </x:c>
      <x:c r="B614" s="7" t="s">
        <x:v>647</x:v>
      </x:c>
      <x:c r="C614" s="7" t="s">
        <x:v>7756</x:v>
      </x:c>
      <x:c r="D614" s="7" t="s">
        <x:v>7757</x:v>
      </x:c>
      <x:c r="E614" s="7" t="s">
        <x:v>7758</x:v>
      </x:c>
    </x:row>
    <x:row r="615" ht="30" hidden="0" customHeight="1">
      <x:c r="A615" s="7" t="s">
        <x:v>7759</x:v>
      </x:c>
      <x:c r="B615" s="7" t="s">
        <x:v>652</x:v>
      </x:c>
      <x:c r="C615" s="7" t="s">
        <x:v>7190</x:v>
      </x:c>
      <x:c r="D615" s="7" t="s">
        <x:v>7191</x:v>
      </x:c>
      <x:c r="E615" s="7" t="s">
        <x:v>7192</x:v>
      </x:c>
    </x:row>
    <x:row r="616" ht="37.5" hidden="0" customHeight="1">
      <x:c r="A616" s="7" t="s">
        <x:v>7760</x:v>
      </x:c>
      <x:c r="B616" s="7" t="s">
        <x:v>652</x:v>
      </x:c>
      <x:c r="C616" s="7" t="s">
        <x:v>5</x:v>
      </x:c>
      <x:c r="D616" s="7" t="s">
        <x:v>7191</x:v>
      </x:c>
      <x:c r="E616" s="7" t="s">
        <x:v>7194</x:v>
      </x:c>
    </x:row>
    <x:row r="617" ht="37.5" hidden="0" customHeight="1">
      <x:c r="A617" s="7" t="s">
        <x:v>7761</x:v>
      </x:c>
      <x:c r="B617" s="7" t="s">
        <x:v>652</x:v>
      </x:c>
      <x:c r="C617" s="7" t="s">
        <x:v>1450</x:v>
      </x:c>
      <x:c r="D617" s="7" t="s">
        <x:v>7107</x:v>
      </x:c>
      <x:c r="E617" s="7" t="s">
        <x:v>7211</x:v>
      </x:c>
    </x:row>
    <x:row r="618" ht="37.5" hidden="0" customHeight="1">
      <x:c r="A618" s="7" t="s">
        <x:v>7762</x:v>
      </x:c>
      <x:c r="B618" s="7" t="s">
        <x:v>652</x:v>
      </x:c>
      <x:c r="C618" s="7" t="s">
        <x:v>7198</x:v>
      </x:c>
      <x:c r="D618" s="7" t="s">
        <x:v>7107</x:v>
      </x:c>
      <x:c r="E618" s="7" t="s">
        <x:v>7211</x:v>
      </x:c>
    </x:row>
    <x:row r="619" ht="37.5" hidden="0" customHeight="1">
      <x:c r="A619" s="7" t="s">
        <x:v>7763</x:v>
      </x:c>
      <x:c r="B619" s="7" t="s">
        <x:v>652</x:v>
      </x:c>
      <x:c r="C619" s="7" t="s">
        <x:v>7201</x:v>
      </x:c>
      <x:c r="D619" s="7" t="s">
        <x:v>7107</x:v>
      </x:c>
      <x:c r="E619" s="7" t="s">
        <x:v>7211</x:v>
      </x:c>
    </x:row>
    <x:row r="620" ht="37.5" hidden="0" customHeight="1">
      <x:c r="A620" s="7" t="s">
        <x:v>7764</x:v>
      </x:c>
      <x:c r="B620" s="7" t="s">
        <x:v>652</x:v>
      </x:c>
      <x:c r="C620" s="7" t="s">
        <x:v>7204</x:v>
      </x:c>
      <x:c r="D620" s="7" t="s">
        <x:v>7107</x:v>
      </x:c>
      <x:c r="E620" s="7" t="s">
        <x:v>7211</x:v>
      </x:c>
    </x:row>
    <x:row r="621" ht="37.5" hidden="0" customHeight="1">
      <x:c r="A621" s="7" t="s">
        <x:v>7765</x:v>
      </x:c>
      <x:c r="B621" s="7" t="s">
        <x:v>652</x:v>
      </x:c>
      <x:c r="C621" s="7" t="s">
        <x:v>7207</x:v>
      </x:c>
      <x:c r="D621" s="7" t="s">
        <x:v>7107</x:v>
      </x:c>
      <x:c r="E621" s="7" t="s">
        <x:v>7211</x:v>
      </x:c>
    </x:row>
    <x:row r="622" ht="37.5" hidden="0" customHeight="1">
      <x:c r="A622" s="7" t="s">
        <x:v>7766</x:v>
      </x:c>
      <x:c r="B622" s="7" t="s">
        <x:v>652</x:v>
      </x:c>
      <x:c r="C622" s="7" t="s">
        <x:v>7210</x:v>
      </x:c>
      <x:c r="D622" s="7" t="s">
        <x:v>7107</x:v>
      </x:c>
      <x:c r="E622" s="7" t="s">
        <x:v>7211</x:v>
      </x:c>
    </x:row>
    <x:row r="623" ht="51.75" hidden="0" customHeight="1">
      <x:c r="A623" s="7" t="s">
        <x:v>7767</x:v>
      </x:c>
      <x:c r="B623" s="7" t="s">
        <x:v>652</x:v>
      </x:c>
      <x:c r="C623" s="7" t="s">
        <x:v>7213</x:v>
      </x:c>
      <x:c r="D623" s="7" t="s">
        <x:v>7107</x:v>
      </x:c>
      <x:c r="E623" s="7" t="s">
        <x:v>7214</x:v>
      </x:c>
    </x:row>
    <x:row r="624" ht="37.5" hidden="0" customHeight="1">
      <x:c r="A624" s="7" t="s">
        <x:v>7768</x:v>
      </x:c>
      <x:c r="B624" s="7" t="s">
        <x:v>652</x:v>
      </x:c>
      <x:c r="C624" s="7" t="s">
        <x:v>7756</x:v>
      </x:c>
      <x:c r="D624" s="7" t="s">
        <x:v>7757</x:v>
      </x:c>
      <x:c r="E624" s="7" t="s">
        <x:v>7758</x:v>
      </x:c>
    </x:row>
    <x:row r="625" ht="30" hidden="0" customHeight="1">
      <x:c r="A625" s="7" t="s">
        <x:v>7769</x:v>
      </x:c>
      <x:c r="B625" s="7" t="s">
        <x:v>656</x:v>
      </x:c>
      <x:c r="C625" s="7" t="s">
        <x:v>7190</x:v>
      </x:c>
      <x:c r="D625" s="7" t="s">
        <x:v>7191</x:v>
      </x:c>
      <x:c r="E625" s="7" t="s">
        <x:v>7192</x:v>
      </x:c>
    </x:row>
    <x:row r="626" ht="37.5" hidden="0" customHeight="1">
      <x:c r="A626" s="7" t="s">
        <x:v>7770</x:v>
      </x:c>
      <x:c r="B626" s="7" t="s">
        <x:v>656</x:v>
      </x:c>
      <x:c r="C626" s="7" t="s">
        <x:v>5</x:v>
      </x:c>
      <x:c r="D626" s="7" t="s">
        <x:v>7191</x:v>
      </x:c>
      <x:c r="E626" s="7" t="s">
        <x:v>7194</x:v>
      </x:c>
    </x:row>
    <x:row r="627" ht="30" hidden="0" customHeight="1">
      <x:c r="A627" s="7" t="s">
        <x:v>7771</x:v>
      </x:c>
      <x:c r="B627" s="7" t="s">
        <x:v>656</x:v>
      </x:c>
      <x:c r="C627" s="7" t="s">
        <x:v>1450</x:v>
      </x:c>
      <x:c r="D627" s="7" t="s">
        <x:v>7191</x:v>
      </x:c>
      <x:c r="E627" s="7" t="s">
        <x:v>7196</x:v>
      </x:c>
    </x:row>
    <x:row r="628" ht="30" hidden="0" customHeight="1">
      <x:c r="A628" s="7" t="s">
        <x:v>7772</x:v>
      </x:c>
      <x:c r="B628" s="7" t="s">
        <x:v>656</x:v>
      </x:c>
      <x:c r="C628" s="7" t="s">
        <x:v>7198</x:v>
      </x:c>
      <x:c r="D628" s="7" t="s">
        <x:v>7191</x:v>
      </x:c>
      <x:c r="E628" s="7" t="s">
        <x:v>7199</x:v>
      </x:c>
    </x:row>
    <x:row r="629" ht="30" hidden="0" customHeight="1">
      <x:c r="A629" s="7" t="s">
        <x:v>7773</x:v>
      </x:c>
      <x:c r="B629" s="7" t="s">
        <x:v>656</x:v>
      </x:c>
      <x:c r="C629" s="7" t="s">
        <x:v>7201</x:v>
      </x:c>
      <x:c r="D629" s="7" t="s">
        <x:v>7191</x:v>
      </x:c>
      <x:c r="E629" s="7" t="s">
        <x:v>7202</x:v>
      </x:c>
    </x:row>
    <x:row r="630" ht="37.5" hidden="0" customHeight="1">
      <x:c r="A630" s="7" t="s">
        <x:v>7774</x:v>
      </x:c>
      <x:c r="B630" s="7" t="s">
        <x:v>656</x:v>
      </x:c>
      <x:c r="C630" s="7" t="s">
        <x:v>7204</x:v>
      </x:c>
      <x:c r="D630" s="7" t="s">
        <x:v>7191</x:v>
      </x:c>
      <x:c r="E630" s="7" t="s">
        <x:v>7205</x:v>
      </x:c>
    </x:row>
    <x:row r="631" ht="37.5" hidden="0" customHeight="1">
      <x:c r="A631" s="7" t="s">
        <x:v>7775</x:v>
      </x:c>
      <x:c r="B631" s="7" t="s">
        <x:v>656</x:v>
      </x:c>
      <x:c r="C631" s="7" t="s">
        <x:v>7207</x:v>
      </x:c>
      <x:c r="D631" s="7" t="s">
        <x:v>7191</x:v>
      </x:c>
      <x:c r="E631" s="7" t="s">
        <x:v>7208</x:v>
      </x:c>
    </x:row>
    <x:row r="632" ht="37.5" hidden="0" customHeight="1">
      <x:c r="A632" s="7" t="s">
        <x:v>7776</x:v>
      </x:c>
      <x:c r="B632" s="7" t="s">
        <x:v>656</x:v>
      </x:c>
      <x:c r="C632" s="7" t="s">
        <x:v>7210</x:v>
      </x:c>
      <x:c r="D632" s="7" t="s">
        <x:v>7107</x:v>
      </x:c>
      <x:c r="E632" s="7" t="s">
        <x:v>7211</x:v>
      </x:c>
    </x:row>
    <x:row r="633" ht="51.75" hidden="0" customHeight="1">
      <x:c r="A633" s="7" t="s">
        <x:v>7777</x:v>
      </x:c>
      <x:c r="B633" s="7" t="s">
        <x:v>656</x:v>
      </x:c>
      <x:c r="C633" s="7" t="s">
        <x:v>7213</x:v>
      </x:c>
      <x:c r="D633" s="7" t="s">
        <x:v>7107</x:v>
      </x:c>
      <x:c r="E633" s="7" t="s">
        <x:v>7214</x:v>
      </x:c>
    </x:row>
    <x:row r="634" ht="37.5" hidden="0" customHeight="1">
      <x:c r="A634" s="7" t="s">
        <x:v>7778</x:v>
      </x:c>
      <x:c r="B634" s="7" t="s">
        <x:v>656</x:v>
      </x:c>
      <x:c r="C634" s="7" t="s">
        <x:v>7216</x:v>
      </x:c>
      <x:c r="D634" s="7" t="s">
        <x:v>7217</x:v>
      </x:c>
      <x:c r="E634" s="7" t="s">
        <x:v>7218</x:v>
      </x:c>
    </x:row>
    <x:row r="635" ht="30" hidden="0" customHeight="1">
      <x:c r="A635" s="7" t="s">
        <x:v>7779</x:v>
      </x:c>
      <x:c r="B635" s="7" t="s">
        <x:v>667</x:v>
      </x:c>
      <x:c r="C635" s="7" t="s">
        <x:v>7190</x:v>
      </x:c>
      <x:c r="D635" s="7" t="s">
        <x:v>7191</x:v>
      </x:c>
      <x:c r="E635" s="7" t="s">
        <x:v>7192</x:v>
      </x:c>
    </x:row>
    <x:row r="636" ht="37.5" hidden="0" customHeight="1">
      <x:c r="A636" s="7" t="s">
        <x:v>7780</x:v>
      </x:c>
      <x:c r="B636" s="7" t="s">
        <x:v>667</x:v>
      </x:c>
      <x:c r="C636" s="7" t="s">
        <x:v>5</x:v>
      </x:c>
      <x:c r="D636" s="7" t="s">
        <x:v>7191</x:v>
      </x:c>
      <x:c r="E636" s="7" t="s">
        <x:v>7194</x:v>
      </x:c>
    </x:row>
    <x:row r="637" ht="37.5" hidden="0" customHeight="1">
      <x:c r="A637" s="7" t="s">
        <x:v>7781</x:v>
      </x:c>
      <x:c r="B637" s="7" t="s">
        <x:v>667</x:v>
      </x:c>
      <x:c r="C637" s="7" t="s">
        <x:v>1450</x:v>
      </x:c>
      <x:c r="D637" s="7" t="s">
        <x:v>7107</x:v>
      </x:c>
      <x:c r="E637" s="7" t="s">
        <x:v>7211</x:v>
      </x:c>
    </x:row>
    <x:row r="638" ht="37.5" hidden="0" customHeight="1">
      <x:c r="A638" s="7" t="s">
        <x:v>7782</x:v>
      </x:c>
      <x:c r="B638" s="7" t="s">
        <x:v>667</x:v>
      </x:c>
      <x:c r="C638" s="7" t="s">
        <x:v>7198</x:v>
      </x:c>
      <x:c r="D638" s="7" t="s">
        <x:v>7107</x:v>
      </x:c>
      <x:c r="E638" s="7" t="s">
        <x:v>7211</x:v>
      </x:c>
    </x:row>
    <x:row r="639" ht="37.5" hidden="0" customHeight="1">
      <x:c r="A639" s="7" t="s">
        <x:v>7783</x:v>
      </x:c>
      <x:c r="B639" s="7" t="s">
        <x:v>667</x:v>
      </x:c>
      <x:c r="C639" s="7" t="s">
        <x:v>7201</x:v>
      </x:c>
      <x:c r="D639" s="7" t="s">
        <x:v>7107</x:v>
      </x:c>
      <x:c r="E639" s="7" t="s">
        <x:v>7211</x:v>
      </x:c>
    </x:row>
    <x:row r="640" ht="37.5" hidden="0" customHeight="1">
      <x:c r="A640" s="7" t="s">
        <x:v>7784</x:v>
      </x:c>
      <x:c r="B640" s="7" t="s">
        <x:v>667</x:v>
      </x:c>
      <x:c r="C640" s="7" t="s">
        <x:v>7204</x:v>
      </x:c>
      <x:c r="D640" s="7" t="s">
        <x:v>7107</x:v>
      </x:c>
      <x:c r="E640" s="7" t="s">
        <x:v>7211</x:v>
      </x:c>
    </x:row>
    <x:row r="641" ht="37.5" hidden="0" customHeight="1">
      <x:c r="A641" s="7" t="s">
        <x:v>7785</x:v>
      </x:c>
      <x:c r="B641" s="7" t="s">
        <x:v>667</x:v>
      </x:c>
      <x:c r="C641" s="7" t="s">
        <x:v>7207</x:v>
      </x:c>
      <x:c r="D641" s="7" t="s">
        <x:v>7107</x:v>
      </x:c>
      <x:c r="E641" s="7" t="s">
        <x:v>7211</x:v>
      </x:c>
    </x:row>
    <x:row r="642" ht="37.5" hidden="0" customHeight="1">
      <x:c r="A642" s="7" t="s">
        <x:v>7786</x:v>
      </x:c>
      <x:c r="B642" s="7" t="s">
        <x:v>667</x:v>
      </x:c>
      <x:c r="C642" s="7" t="s">
        <x:v>7210</x:v>
      </x:c>
      <x:c r="D642" s="7" t="s">
        <x:v>7107</x:v>
      </x:c>
      <x:c r="E642" s="7" t="s">
        <x:v>7211</x:v>
      </x:c>
    </x:row>
    <x:row r="643" ht="51.75" hidden="0" customHeight="1">
      <x:c r="A643" s="7" t="s">
        <x:v>7787</x:v>
      </x:c>
      <x:c r="B643" s="7" t="s">
        <x:v>667</x:v>
      </x:c>
      <x:c r="C643" s="7" t="s">
        <x:v>7213</x:v>
      </x:c>
      <x:c r="D643" s="7" t="s">
        <x:v>7107</x:v>
      </x:c>
      <x:c r="E643" s="7" t="s">
        <x:v>7214</x:v>
      </x:c>
    </x:row>
    <x:row r="644" ht="37.5" hidden="0" customHeight="1">
      <x:c r="A644" s="7" t="s">
        <x:v>7788</x:v>
      </x:c>
      <x:c r="B644" s="7" t="s">
        <x:v>667</x:v>
      </x:c>
      <x:c r="C644" s="7" t="s">
        <x:v>7756</x:v>
      </x:c>
      <x:c r="D644" s="7" t="s">
        <x:v>7757</x:v>
      </x:c>
      <x:c r="E644" s="7" t="s">
        <x:v>7758</x:v>
      </x:c>
    </x:row>
    <x:row r="645" ht="30" hidden="0" customHeight="1">
      <x:c r="A645" s="7" t="s">
        <x:v>7789</x:v>
      </x:c>
      <x:c r="B645" s="7" t="s">
        <x:v>671</x:v>
      </x:c>
      <x:c r="C645" s="7" t="s">
        <x:v>7190</x:v>
      </x:c>
      <x:c r="D645" s="7" t="s">
        <x:v>7191</x:v>
      </x:c>
      <x:c r="E645" s="7" t="s">
        <x:v>7192</x:v>
      </x:c>
    </x:row>
    <x:row r="646" ht="37.5" hidden="0" customHeight="1">
      <x:c r="A646" s="7" t="s">
        <x:v>7790</x:v>
      </x:c>
      <x:c r="B646" s="7" t="s">
        <x:v>671</x:v>
      </x:c>
      <x:c r="C646" s="7" t="s">
        <x:v>5</x:v>
      </x:c>
      <x:c r="D646" s="7" t="s">
        <x:v>7191</x:v>
      </x:c>
      <x:c r="E646" s="7" t="s">
        <x:v>7194</x:v>
      </x:c>
    </x:row>
    <x:row r="647" ht="30" hidden="0" customHeight="1">
      <x:c r="A647" s="7" t="s">
        <x:v>7791</x:v>
      </x:c>
      <x:c r="B647" s="7" t="s">
        <x:v>671</x:v>
      </x:c>
      <x:c r="C647" s="7" t="s">
        <x:v>1450</x:v>
      </x:c>
      <x:c r="D647" s="7" t="s">
        <x:v>7191</x:v>
      </x:c>
      <x:c r="E647" s="7" t="s">
        <x:v>7196</x:v>
      </x:c>
    </x:row>
    <x:row r="648" ht="30" hidden="0" customHeight="1">
      <x:c r="A648" s="7" t="s">
        <x:v>7792</x:v>
      </x:c>
      <x:c r="B648" s="7" t="s">
        <x:v>671</x:v>
      </x:c>
      <x:c r="C648" s="7" t="s">
        <x:v>7198</x:v>
      </x:c>
      <x:c r="D648" s="7" t="s">
        <x:v>7191</x:v>
      </x:c>
      <x:c r="E648" s="7" t="s">
        <x:v>7199</x:v>
      </x:c>
    </x:row>
    <x:row r="649" ht="30" hidden="0" customHeight="1">
      <x:c r="A649" s="7" t="s">
        <x:v>7793</x:v>
      </x:c>
      <x:c r="B649" s="7" t="s">
        <x:v>671</x:v>
      </x:c>
      <x:c r="C649" s="7" t="s">
        <x:v>7201</x:v>
      </x:c>
      <x:c r="D649" s="7" t="s">
        <x:v>7191</x:v>
      </x:c>
      <x:c r="E649" s="7" t="s">
        <x:v>7202</x:v>
      </x:c>
    </x:row>
    <x:row r="650" ht="37.5" hidden="0" customHeight="1">
      <x:c r="A650" s="7" t="s">
        <x:v>7794</x:v>
      </x:c>
      <x:c r="B650" s="7" t="s">
        <x:v>671</x:v>
      </x:c>
      <x:c r="C650" s="7" t="s">
        <x:v>7204</x:v>
      </x:c>
      <x:c r="D650" s="7" t="s">
        <x:v>7107</x:v>
      </x:c>
      <x:c r="E650" s="7" t="s">
        <x:v>7211</x:v>
      </x:c>
    </x:row>
    <x:row r="651" ht="37.5" hidden="0" customHeight="1">
      <x:c r="A651" s="7" t="s">
        <x:v>7795</x:v>
      </x:c>
      <x:c r="B651" s="7" t="s">
        <x:v>671</x:v>
      </x:c>
      <x:c r="C651" s="7" t="s">
        <x:v>7207</x:v>
      </x:c>
      <x:c r="D651" s="7" t="s">
        <x:v>7191</x:v>
      </x:c>
      <x:c r="E651" s="7" t="s">
        <x:v>7208</x:v>
      </x:c>
    </x:row>
    <x:row r="652" ht="37.5" hidden="0" customHeight="1">
      <x:c r="A652" s="7" t="s">
        <x:v>7796</x:v>
      </x:c>
      <x:c r="B652" s="7" t="s">
        <x:v>671</x:v>
      </x:c>
      <x:c r="C652" s="7" t="s">
        <x:v>7210</x:v>
      </x:c>
      <x:c r="D652" s="7" t="s">
        <x:v>7107</x:v>
      </x:c>
      <x:c r="E652" s="7" t="s">
        <x:v>7211</x:v>
      </x:c>
    </x:row>
    <x:row r="653" ht="51.75" hidden="0" customHeight="1">
      <x:c r="A653" s="7" t="s">
        <x:v>7797</x:v>
      </x:c>
      <x:c r="B653" s="7" t="s">
        <x:v>671</x:v>
      </x:c>
      <x:c r="C653" s="7" t="s">
        <x:v>7213</x:v>
      </x:c>
      <x:c r="D653" s="7" t="s">
        <x:v>7107</x:v>
      </x:c>
      <x:c r="E653" s="7" t="s">
        <x:v>7214</x:v>
      </x:c>
    </x:row>
    <x:row r="654" ht="37.5" hidden="0" customHeight="1">
      <x:c r="A654" s="7" t="s">
        <x:v>7798</x:v>
      </x:c>
      <x:c r="B654" s="7" t="s">
        <x:v>671</x:v>
      </x:c>
      <x:c r="C654" s="7" t="s">
        <x:v>7216</x:v>
      </x:c>
      <x:c r="D654" s="7" t="s">
        <x:v>7217</x:v>
      </x:c>
      <x:c r="E654" s="7" t="s">
        <x:v>7218</x:v>
      </x:c>
    </x:row>
    <x:row r="655" ht="30" hidden="0" customHeight="1">
      <x:c r="A655" s="7" t="s">
        <x:v>7799</x:v>
      </x:c>
      <x:c r="B655" s="7" t="s">
        <x:v>683</x:v>
      </x:c>
      <x:c r="C655" s="7" t="s">
        <x:v>7190</x:v>
      </x:c>
      <x:c r="D655" s="7" t="s">
        <x:v>7191</x:v>
      </x:c>
      <x:c r="E655" s="7" t="s">
        <x:v>7192</x:v>
      </x:c>
    </x:row>
    <x:row r="656" ht="37.5" hidden="0" customHeight="1">
      <x:c r="A656" s="7" t="s">
        <x:v>7800</x:v>
      </x:c>
      <x:c r="B656" s="7" t="s">
        <x:v>683</x:v>
      </x:c>
      <x:c r="C656" s="7" t="s">
        <x:v>5</x:v>
      </x:c>
      <x:c r="D656" s="7" t="s">
        <x:v>7191</x:v>
      </x:c>
      <x:c r="E656" s="7" t="s">
        <x:v>7194</x:v>
      </x:c>
    </x:row>
    <x:row r="657" ht="37.5" hidden="0" customHeight="1">
      <x:c r="A657" s="7" t="s">
        <x:v>7801</x:v>
      </x:c>
      <x:c r="B657" s="7" t="s">
        <x:v>683</x:v>
      </x:c>
      <x:c r="C657" s="7" t="s">
        <x:v>1450</x:v>
      </x:c>
      <x:c r="D657" s="7" t="s">
        <x:v>7107</x:v>
      </x:c>
      <x:c r="E657" s="7" t="s">
        <x:v>7211</x:v>
      </x:c>
    </x:row>
    <x:row r="658" ht="37.5" hidden="0" customHeight="1">
      <x:c r="A658" s="7" t="s">
        <x:v>7802</x:v>
      </x:c>
      <x:c r="B658" s="7" t="s">
        <x:v>683</x:v>
      </x:c>
      <x:c r="C658" s="7" t="s">
        <x:v>7198</x:v>
      </x:c>
      <x:c r="D658" s="7" t="s">
        <x:v>7107</x:v>
      </x:c>
      <x:c r="E658" s="7" t="s">
        <x:v>7211</x:v>
      </x:c>
    </x:row>
    <x:row r="659" ht="37.5" hidden="0" customHeight="1">
      <x:c r="A659" s="7" t="s">
        <x:v>7803</x:v>
      </x:c>
      <x:c r="B659" s="7" t="s">
        <x:v>683</x:v>
      </x:c>
      <x:c r="C659" s="7" t="s">
        <x:v>7201</x:v>
      </x:c>
      <x:c r="D659" s="7" t="s">
        <x:v>7107</x:v>
      </x:c>
      <x:c r="E659" s="7" t="s">
        <x:v>7211</x:v>
      </x:c>
    </x:row>
    <x:row r="660" ht="37.5" hidden="0" customHeight="1">
      <x:c r="A660" s="7" t="s">
        <x:v>7804</x:v>
      </x:c>
      <x:c r="B660" s="7" t="s">
        <x:v>683</x:v>
      </x:c>
      <x:c r="C660" s="7" t="s">
        <x:v>7204</x:v>
      </x:c>
      <x:c r="D660" s="7" t="s">
        <x:v>7107</x:v>
      </x:c>
      <x:c r="E660" s="7" t="s">
        <x:v>7211</x:v>
      </x:c>
    </x:row>
    <x:row r="661" ht="37.5" hidden="0" customHeight="1">
      <x:c r="A661" s="7" t="s">
        <x:v>7805</x:v>
      </x:c>
      <x:c r="B661" s="7" t="s">
        <x:v>683</x:v>
      </x:c>
      <x:c r="C661" s="7" t="s">
        <x:v>7207</x:v>
      </x:c>
      <x:c r="D661" s="7" t="s">
        <x:v>7107</x:v>
      </x:c>
      <x:c r="E661" s="7" t="s">
        <x:v>7211</x:v>
      </x:c>
    </x:row>
    <x:row r="662" ht="37.5" hidden="0" customHeight="1">
      <x:c r="A662" s="7" t="s">
        <x:v>7806</x:v>
      </x:c>
      <x:c r="B662" s="7" t="s">
        <x:v>683</x:v>
      </x:c>
      <x:c r="C662" s="7" t="s">
        <x:v>7210</x:v>
      </x:c>
      <x:c r="D662" s="7" t="s">
        <x:v>7107</x:v>
      </x:c>
      <x:c r="E662" s="7" t="s">
        <x:v>7211</x:v>
      </x:c>
    </x:row>
    <x:row r="663" ht="51.75" hidden="0" customHeight="1">
      <x:c r="A663" s="7" t="s">
        <x:v>7807</x:v>
      </x:c>
      <x:c r="B663" s="7" t="s">
        <x:v>683</x:v>
      </x:c>
      <x:c r="C663" s="7" t="s">
        <x:v>7213</x:v>
      </x:c>
      <x:c r="D663" s="7" t="s">
        <x:v>7107</x:v>
      </x:c>
      <x:c r="E663" s="7" t="s">
        <x:v>7214</x:v>
      </x:c>
    </x:row>
    <x:row r="664" ht="37.5" hidden="0" customHeight="1">
      <x:c r="A664" s="7" t="s">
        <x:v>7808</x:v>
      </x:c>
      <x:c r="B664" s="7" t="s">
        <x:v>683</x:v>
      </x:c>
      <x:c r="C664" s="7" t="s">
        <x:v>7756</x:v>
      </x:c>
      <x:c r="D664" s="7" t="s">
        <x:v>7757</x:v>
      </x:c>
      <x:c r="E664" s="7" t="s">
        <x:v>7758</x:v>
      </x:c>
    </x:row>
    <x:row r="665" ht="30" hidden="0" customHeight="1">
      <x:c r="A665" s="7" t="s">
        <x:v>7809</x:v>
      </x:c>
      <x:c r="B665" s="7" t="s">
        <x:v>687</x:v>
      </x:c>
      <x:c r="C665" s="7" t="s">
        <x:v>7190</x:v>
      </x:c>
      <x:c r="D665" s="7" t="s">
        <x:v>7191</x:v>
      </x:c>
      <x:c r="E665" s="7" t="s">
        <x:v>7192</x:v>
      </x:c>
    </x:row>
    <x:row r="666" ht="37.5" hidden="0" customHeight="1">
      <x:c r="A666" s="7" t="s">
        <x:v>7810</x:v>
      </x:c>
      <x:c r="B666" s="7" t="s">
        <x:v>687</x:v>
      </x:c>
      <x:c r="C666" s="7" t="s">
        <x:v>5</x:v>
      </x:c>
      <x:c r="D666" s="7" t="s">
        <x:v>7191</x:v>
      </x:c>
      <x:c r="E666" s="7" t="s">
        <x:v>7194</x:v>
      </x:c>
    </x:row>
    <x:row r="667" ht="30" hidden="0" customHeight="1">
      <x:c r="A667" s="7" t="s">
        <x:v>7811</x:v>
      </x:c>
      <x:c r="B667" s="7" t="s">
        <x:v>687</x:v>
      </x:c>
      <x:c r="C667" s="7" t="s">
        <x:v>1450</x:v>
      </x:c>
      <x:c r="D667" s="7" t="s">
        <x:v>7191</x:v>
      </x:c>
      <x:c r="E667" s="7" t="s">
        <x:v>7196</x:v>
      </x:c>
    </x:row>
    <x:row r="668" ht="30" hidden="0" customHeight="1">
      <x:c r="A668" s="7" t="s">
        <x:v>7812</x:v>
      </x:c>
      <x:c r="B668" s="7" t="s">
        <x:v>687</x:v>
      </x:c>
      <x:c r="C668" s="7" t="s">
        <x:v>7198</x:v>
      </x:c>
      <x:c r="D668" s="7" t="s">
        <x:v>7191</x:v>
      </x:c>
      <x:c r="E668" s="7" t="s">
        <x:v>7199</x:v>
      </x:c>
    </x:row>
    <x:row r="669" ht="30" hidden="0" customHeight="1">
      <x:c r="A669" s="7" t="s">
        <x:v>7813</x:v>
      </x:c>
      <x:c r="B669" s="7" t="s">
        <x:v>687</x:v>
      </x:c>
      <x:c r="C669" s="7" t="s">
        <x:v>7201</x:v>
      </x:c>
      <x:c r="D669" s="7" t="s">
        <x:v>7191</x:v>
      </x:c>
      <x:c r="E669" s="7" t="s">
        <x:v>7202</x:v>
      </x:c>
    </x:row>
    <x:row r="670" ht="37.5" hidden="0" customHeight="1">
      <x:c r="A670" s="7" t="s">
        <x:v>7814</x:v>
      </x:c>
      <x:c r="B670" s="7" t="s">
        <x:v>687</x:v>
      </x:c>
      <x:c r="C670" s="7" t="s">
        <x:v>7204</x:v>
      </x:c>
      <x:c r="D670" s="7" t="s">
        <x:v>7191</x:v>
      </x:c>
      <x:c r="E670" s="7" t="s">
        <x:v>7205</x:v>
      </x:c>
    </x:row>
    <x:row r="671" ht="37.5" hidden="0" customHeight="1">
      <x:c r="A671" s="7" t="s">
        <x:v>7815</x:v>
      </x:c>
      <x:c r="B671" s="7" t="s">
        <x:v>687</x:v>
      </x:c>
      <x:c r="C671" s="7" t="s">
        <x:v>7207</x:v>
      </x:c>
      <x:c r="D671" s="7" t="s">
        <x:v>7191</x:v>
      </x:c>
      <x:c r="E671" s="7" t="s">
        <x:v>7208</x:v>
      </x:c>
    </x:row>
    <x:row r="672" ht="37.5" hidden="0" customHeight="1">
      <x:c r="A672" s="7" t="s">
        <x:v>7816</x:v>
      </x:c>
      <x:c r="B672" s="7" t="s">
        <x:v>687</x:v>
      </x:c>
      <x:c r="C672" s="7" t="s">
        <x:v>7210</x:v>
      </x:c>
      <x:c r="D672" s="7" t="s">
        <x:v>7107</x:v>
      </x:c>
      <x:c r="E672" s="7" t="s">
        <x:v>7211</x:v>
      </x:c>
    </x:row>
    <x:row r="673" ht="51.75" hidden="0" customHeight="1">
      <x:c r="A673" s="7" t="s">
        <x:v>7817</x:v>
      </x:c>
      <x:c r="B673" s="7" t="s">
        <x:v>687</x:v>
      </x:c>
      <x:c r="C673" s="7" t="s">
        <x:v>7213</x:v>
      </x:c>
      <x:c r="D673" s="7" t="s">
        <x:v>7107</x:v>
      </x:c>
      <x:c r="E673" s="7" t="s">
        <x:v>7214</x:v>
      </x:c>
    </x:row>
    <x:row r="674" ht="37.5" hidden="0" customHeight="1">
      <x:c r="A674" s="7" t="s">
        <x:v>7818</x:v>
      </x:c>
      <x:c r="B674" s="7" t="s">
        <x:v>687</x:v>
      </x:c>
      <x:c r="C674" s="7" t="s">
        <x:v>7216</x:v>
      </x:c>
      <x:c r="D674" s="7" t="s">
        <x:v>7217</x:v>
      </x:c>
      <x:c r="E674" s="7" t="s">
        <x:v>7218</x:v>
      </x:c>
    </x:row>
    <x:row r="675" ht="30" hidden="0" customHeight="1">
      <x:c r="A675" s="7" t="s">
        <x:v>7819</x:v>
      </x:c>
      <x:c r="B675" s="7" t="s">
        <x:v>697</x:v>
      </x:c>
      <x:c r="C675" s="7" t="s">
        <x:v>7190</x:v>
      </x:c>
      <x:c r="D675" s="7" t="s">
        <x:v>7191</x:v>
      </x:c>
      <x:c r="E675" s="7" t="s">
        <x:v>7192</x:v>
      </x:c>
    </x:row>
    <x:row r="676" ht="37.5" hidden="0" customHeight="1">
      <x:c r="A676" s="7" t="s">
        <x:v>7820</x:v>
      </x:c>
      <x:c r="B676" s="7" t="s">
        <x:v>697</x:v>
      </x:c>
      <x:c r="C676" s="7" t="s">
        <x:v>5</x:v>
      </x:c>
      <x:c r="D676" s="7" t="s">
        <x:v>7191</x:v>
      </x:c>
      <x:c r="E676" s="7" t="s">
        <x:v>7194</x:v>
      </x:c>
    </x:row>
    <x:row r="677" ht="30" hidden="0" customHeight="1">
      <x:c r="A677" s="7" t="s">
        <x:v>7821</x:v>
      </x:c>
      <x:c r="B677" s="7" t="s">
        <x:v>697</x:v>
      </x:c>
      <x:c r="C677" s="7" t="s">
        <x:v>1450</x:v>
      </x:c>
      <x:c r="D677" s="7" t="s">
        <x:v>7191</x:v>
      </x:c>
      <x:c r="E677" s="7" t="s">
        <x:v>7196</x:v>
      </x:c>
    </x:row>
    <x:row r="678" ht="30" hidden="0" customHeight="1">
      <x:c r="A678" s="7" t="s">
        <x:v>7822</x:v>
      </x:c>
      <x:c r="B678" s="7" t="s">
        <x:v>697</x:v>
      </x:c>
      <x:c r="C678" s="7" t="s">
        <x:v>7198</x:v>
      </x:c>
      <x:c r="D678" s="7" t="s">
        <x:v>7191</x:v>
      </x:c>
      <x:c r="E678" s="7" t="s">
        <x:v>7199</x:v>
      </x:c>
    </x:row>
    <x:row r="679" ht="30" hidden="0" customHeight="1">
      <x:c r="A679" s="7" t="s">
        <x:v>7823</x:v>
      </x:c>
      <x:c r="B679" s="7" t="s">
        <x:v>697</x:v>
      </x:c>
      <x:c r="C679" s="7" t="s">
        <x:v>7201</x:v>
      </x:c>
      <x:c r="D679" s="7" t="s">
        <x:v>7191</x:v>
      </x:c>
      <x:c r="E679" s="7" t="s">
        <x:v>7202</x:v>
      </x:c>
    </x:row>
    <x:row r="680" ht="37.5" hidden="0" customHeight="1">
      <x:c r="A680" s="7" t="s">
        <x:v>7824</x:v>
      </x:c>
      <x:c r="B680" s="7" t="s">
        <x:v>697</x:v>
      </x:c>
      <x:c r="C680" s="7" t="s">
        <x:v>7204</x:v>
      </x:c>
      <x:c r="D680" s="7" t="str">
        <x:v>Gap</x:v>
      </x:c>
      <x:c r="E680" s="7" t="str">
        <x:v>No exposure, solubility or moisture record from this material's own sources. Records cited for its family are context, not evidence for this grade.</x:v>
      </x:c>
    </x:row>
    <x:row r="681" ht="37.5" hidden="0" customHeight="1">
      <x:c r="A681" s="7" t="s">
        <x:v>7825</x:v>
      </x:c>
      <x:c r="B681" s="7" t="s">
        <x:v>697</x:v>
      </x:c>
      <x:c r="C681" s="7" t="s">
        <x:v>7207</x:v>
      </x:c>
      <x:c r="D681" s="7" t="s">
        <x:v>7191</x:v>
      </x:c>
      <x:c r="E681" s="7" t="s">
        <x:v>7208</x:v>
      </x:c>
    </x:row>
    <x:row r="682" ht="37.5" hidden="0" customHeight="1">
      <x:c r="A682" s="7" t="s">
        <x:v>7826</x:v>
      </x:c>
      <x:c r="B682" s="7" t="s">
        <x:v>697</x:v>
      </x:c>
      <x:c r="C682" s="7" t="s">
        <x:v>7210</x:v>
      </x:c>
      <x:c r="D682" s="7" t="s">
        <x:v>7107</x:v>
      </x:c>
      <x:c r="E682" s="7" t="s">
        <x:v>7211</x:v>
      </x:c>
    </x:row>
    <x:row r="683" ht="51.75" hidden="0" customHeight="1">
      <x:c r="A683" s="7" t="s">
        <x:v>7827</x:v>
      </x:c>
      <x:c r="B683" s="7" t="s">
        <x:v>697</x:v>
      </x:c>
      <x:c r="C683" s="7" t="s">
        <x:v>7213</x:v>
      </x:c>
      <x:c r="D683" s="7" t="s">
        <x:v>7107</x:v>
      </x:c>
      <x:c r="E683" s="7" t="s">
        <x:v>7214</x:v>
      </x:c>
    </x:row>
    <x:row r="684" ht="37.5" hidden="0" customHeight="1">
      <x:c r="A684" s="7" t="s">
        <x:v>7828</x:v>
      </x:c>
      <x:c r="B684" s="7" t="s">
        <x:v>697</x:v>
      </x:c>
      <x:c r="C684" s="7" t="s">
        <x:v>7216</x:v>
      </x:c>
      <x:c r="D684" s="7" t="s">
        <x:v>7217</x:v>
      </x:c>
      <x:c r="E684" s="7" t="s">
        <x:v>7218</x:v>
      </x:c>
    </x:row>
    <x:row r="685" ht="30" hidden="0" customHeight="1">
      <x:c r="A685" s="7" t="s">
        <x:v>7829</x:v>
      </x:c>
      <x:c r="B685" s="7" t="s">
        <x:v>708</x:v>
      </x:c>
      <x:c r="C685" s="7" t="s">
        <x:v>7190</x:v>
      </x:c>
      <x:c r="D685" s="7" t="s">
        <x:v>7191</x:v>
      </x:c>
      <x:c r="E685" s="7" t="s">
        <x:v>7192</x:v>
      </x:c>
    </x:row>
    <x:row r="686" ht="37.5" hidden="0" customHeight="1">
      <x:c r="A686" s="7" t="s">
        <x:v>7830</x:v>
      </x:c>
      <x:c r="B686" s="7" t="s">
        <x:v>708</x:v>
      </x:c>
      <x:c r="C686" s="7" t="s">
        <x:v>5</x:v>
      </x:c>
      <x:c r="D686" s="7" t="s">
        <x:v>7191</x:v>
      </x:c>
      <x:c r="E686" s="7" t="s">
        <x:v>7194</x:v>
      </x:c>
    </x:row>
    <x:row r="687" ht="30" hidden="0" customHeight="1">
      <x:c r="A687" s="7" t="s">
        <x:v>7831</x:v>
      </x:c>
      <x:c r="B687" s="7" t="s">
        <x:v>708</x:v>
      </x:c>
      <x:c r="C687" s="7" t="s">
        <x:v>1450</x:v>
      </x:c>
      <x:c r="D687" s="7" t="s">
        <x:v>7191</x:v>
      </x:c>
      <x:c r="E687" s="7" t="s">
        <x:v>7196</x:v>
      </x:c>
    </x:row>
    <x:row r="688" ht="30" hidden="0" customHeight="1">
      <x:c r="A688" s="7" t="s">
        <x:v>7832</x:v>
      </x:c>
      <x:c r="B688" s="7" t="s">
        <x:v>708</x:v>
      </x:c>
      <x:c r="C688" s="7" t="s">
        <x:v>7198</x:v>
      </x:c>
      <x:c r="D688" s="7" t="s">
        <x:v>7191</x:v>
      </x:c>
      <x:c r="E688" s="7" t="s">
        <x:v>7199</x:v>
      </x:c>
    </x:row>
    <x:row r="689" ht="30" hidden="0" customHeight="1">
      <x:c r="A689" s="7" t="s">
        <x:v>7833</x:v>
      </x:c>
      <x:c r="B689" s="7" t="s">
        <x:v>708</x:v>
      </x:c>
      <x:c r="C689" s="7" t="s">
        <x:v>7201</x:v>
      </x:c>
      <x:c r="D689" s="7" t="s">
        <x:v>7191</x:v>
      </x:c>
      <x:c r="E689" s="7" t="s">
        <x:v>7202</x:v>
      </x:c>
    </x:row>
    <x:row r="690" ht="37.5" hidden="0" customHeight="1">
      <x:c r="A690" s="7" t="s">
        <x:v>7834</x:v>
      </x:c>
      <x:c r="B690" s="7" t="s">
        <x:v>708</x:v>
      </x:c>
      <x:c r="C690" s="7" t="s">
        <x:v>7204</x:v>
      </x:c>
      <x:c r="D690" s="7" t="s">
        <x:v>7191</x:v>
      </x:c>
      <x:c r="E690" s="7" t="s">
        <x:v>7205</x:v>
      </x:c>
    </x:row>
    <x:row r="691" ht="37.5" hidden="0" customHeight="1">
      <x:c r="A691" s="7" t="s">
        <x:v>7835</x:v>
      </x:c>
      <x:c r="B691" s="7" t="s">
        <x:v>708</x:v>
      </x:c>
      <x:c r="C691" s="7" t="s">
        <x:v>7207</x:v>
      </x:c>
      <x:c r="D691" s="7" t="s">
        <x:v>7191</x:v>
      </x:c>
      <x:c r="E691" s="7" t="s">
        <x:v>7208</x:v>
      </x:c>
    </x:row>
    <x:row r="692" ht="30" hidden="0" customHeight="1">
      <x:c r="A692" s="7" t="s">
        <x:v>7836</x:v>
      </x:c>
      <x:c r="B692" s="7" t="s">
        <x:v>708</x:v>
      </x:c>
      <x:c r="C692" s="7" t="s">
        <x:v>7210</x:v>
      </x:c>
      <x:c r="D692" s="7" t="s">
        <x:v>7191</x:v>
      </x:c>
      <x:c r="E692" s="7" t="s">
        <x:v>132</x:v>
      </x:c>
    </x:row>
    <x:row r="693" ht="51.75" hidden="0" customHeight="1">
      <x:c r="A693" s="7" t="s">
        <x:v>7837</x:v>
      </x:c>
      <x:c r="B693" s="7" t="s">
        <x:v>708</x:v>
      </x:c>
      <x:c r="C693" s="7" t="s">
        <x:v>7213</x:v>
      </x:c>
      <x:c r="D693" s="7" t="s">
        <x:v>7107</x:v>
      </x:c>
      <x:c r="E693" s="7" t="s">
        <x:v>7214</x:v>
      </x:c>
    </x:row>
    <x:row r="694" ht="37.5" hidden="0" customHeight="1">
      <x:c r="A694" s="7" t="s">
        <x:v>7838</x:v>
      </x:c>
      <x:c r="B694" s="7" t="s">
        <x:v>708</x:v>
      </x:c>
      <x:c r="C694" s="7" t="s">
        <x:v>7216</x:v>
      </x:c>
      <x:c r="D694" s="7" t="s">
        <x:v>7217</x:v>
      </x:c>
      <x:c r="E694" s="7" t="s">
        <x:v>7218</x:v>
      </x:c>
    </x:row>
    <x:row r="695" ht="30" hidden="0" customHeight="1">
      <x:c r="A695" s="7" t="s">
        <x:v>7839</x:v>
      </x:c>
      <x:c r="B695" s="7" t="s">
        <x:v>719</x:v>
      </x:c>
      <x:c r="C695" s="7" t="s">
        <x:v>7190</x:v>
      </x:c>
      <x:c r="D695" s="7" t="s">
        <x:v>7191</x:v>
      </x:c>
      <x:c r="E695" s="7" t="s">
        <x:v>7192</x:v>
      </x:c>
    </x:row>
    <x:row r="696" ht="37.5" hidden="0" customHeight="1">
      <x:c r="A696" s="7" t="s">
        <x:v>7840</x:v>
      </x:c>
      <x:c r="B696" s="7" t="s">
        <x:v>719</x:v>
      </x:c>
      <x:c r="C696" s="7" t="s">
        <x:v>5</x:v>
      </x:c>
      <x:c r="D696" s="7" t="s">
        <x:v>7191</x:v>
      </x:c>
      <x:c r="E696" s="7" t="s">
        <x:v>7194</x:v>
      </x:c>
    </x:row>
    <x:row r="697" ht="30" hidden="0" customHeight="1">
      <x:c r="A697" s="7" t="s">
        <x:v>7841</x:v>
      </x:c>
      <x:c r="B697" s="7" t="s">
        <x:v>719</x:v>
      </x:c>
      <x:c r="C697" s="7" t="s">
        <x:v>1450</x:v>
      </x:c>
      <x:c r="D697" s="7" t="s">
        <x:v>7191</x:v>
      </x:c>
      <x:c r="E697" s="7" t="s">
        <x:v>7196</x:v>
      </x:c>
    </x:row>
    <x:row r="698" ht="30" hidden="0" customHeight="1">
      <x:c r="A698" s="7" t="s">
        <x:v>7842</x:v>
      </x:c>
      <x:c r="B698" s="7" t="s">
        <x:v>719</x:v>
      </x:c>
      <x:c r="C698" s="7" t="s">
        <x:v>7198</x:v>
      </x:c>
      <x:c r="D698" s="7" t="s">
        <x:v>7191</x:v>
      </x:c>
      <x:c r="E698" s="7" t="s">
        <x:v>7199</x:v>
      </x:c>
    </x:row>
    <x:row r="699" ht="30" hidden="0" customHeight="1">
      <x:c r="A699" s="7" t="s">
        <x:v>7843</x:v>
      </x:c>
      <x:c r="B699" s="7" t="s">
        <x:v>719</x:v>
      </x:c>
      <x:c r="C699" s="7" t="s">
        <x:v>7201</x:v>
      </x:c>
      <x:c r="D699" s="7" t="s">
        <x:v>7191</x:v>
      </x:c>
      <x:c r="E699" s="7" t="s">
        <x:v>7202</x:v>
      </x:c>
    </x:row>
    <x:row r="700" ht="37.5" hidden="0" customHeight="1">
      <x:c r="A700" s="7" t="s">
        <x:v>7844</x:v>
      </x:c>
      <x:c r="B700" s="7" t="s">
        <x:v>719</x:v>
      </x:c>
      <x:c r="C700" s="7" t="s">
        <x:v>7204</x:v>
      </x:c>
      <x:c r="D700" s="7" t="s">
        <x:v>7107</x:v>
      </x:c>
      <x:c r="E700" s="7" t="s">
        <x:v>7211</x:v>
      </x:c>
    </x:row>
    <x:row r="701" ht="37.5" hidden="0" customHeight="1">
      <x:c r="A701" s="7" t="s">
        <x:v>7845</x:v>
      </x:c>
      <x:c r="B701" s="7" t="s">
        <x:v>719</x:v>
      </x:c>
      <x:c r="C701" s="7" t="s">
        <x:v>7207</x:v>
      </x:c>
      <x:c r="D701" s="7" t="s">
        <x:v>7191</x:v>
      </x:c>
      <x:c r="E701" s="7" t="s">
        <x:v>7208</x:v>
      </x:c>
    </x:row>
    <x:row r="702" ht="37.5" hidden="0" customHeight="1">
      <x:c r="A702" s="7" t="s">
        <x:v>7846</x:v>
      </x:c>
      <x:c r="B702" s="7" t="s">
        <x:v>719</x:v>
      </x:c>
      <x:c r="C702" s="7" t="s">
        <x:v>7210</x:v>
      </x:c>
      <x:c r="D702" s="7" t="s">
        <x:v>7107</x:v>
      </x:c>
      <x:c r="E702" s="7" t="s">
        <x:v>7211</x:v>
      </x:c>
    </x:row>
    <x:row r="703" ht="51.75" hidden="0" customHeight="1">
      <x:c r="A703" s="7" t="s">
        <x:v>7847</x:v>
      </x:c>
      <x:c r="B703" s="7" t="s">
        <x:v>719</x:v>
      </x:c>
      <x:c r="C703" s="7" t="s">
        <x:v>7213</x:v>
      </x:c>
      <x:c r="D703" s="7" t="s">
        <x:v>7107</x:v>
      </x:c>
      <x:c r="E703" s="7" t="s">
        <x:v>7214</x:v>
      </x:c>
    </x:row>
    <x:row r="704" ht="37.5" hidden="0" customHeight="1">
      <x:c r="A704" s="7" t="s">
        <x:v>7848</x:v>
      </x:c>
      <x:c r="B704" s="7" t="s">
        <x:v>719</x:v>
      </x:c>
      <x:c r="C704" s="7" t="s">
        <x:v>7216</x:v>
      </x:c>
      <x:c r="D704" s="7" t="s">
        <x:v>7217</x:v>
      </x:c>
      <x:c r="E704" s="7" t="s">
        <x:v>7218</x:v>
      </x:c>
    </x:row>
    <x:row r="705" ht="30" hidden="0" customHeight="1">
      <x:c r="A705" s="7" t="s">
        <x:v>7849</x:v>
      </x:c>
      <x:c r="B705" s="7" t="s">
        <x:v>728</x:v>
      </x:c>
      <x:c r="C705" s="7" t="s">
        <x:v>7190</x:v>
      </x:c>
      <x:c r="D705" s="7" t="s">
        <x:v>7191</x:v>
      </x:c>
      <x:c r="E705" s="7" t="s">
        <x:v>7192</x:v>
      </x:c>
    </x:row>
    <x:row r="706" ht="37.5" hidden="0" customHeight="1">
      <x:c r="A706" s="7" t="s">
        <x:v>7850</x:v>
      </x:c>
      <x:c r="B706" s="7" t="s">
        <x:v>728</x:v>
      </x:c>
      <x:c r="C706" s="7" t="s">
        <x:v>5</x:v>
      </x:c>
      <x:c r="D706" s="7" t="s">
        <x:v>7191</x:v>
      </x:c>
      <x:c r="E706" s="7" t="s">
        <x:v>7194</x:v>
      </x:c>
    </x:row>
    <x:row r="707" ht="30" hidden="0" customHeight="1">
      <x:c r="A707" s="7" t="s">
        <x:v>7851</x:v>
      </x:c>
      <x:c r="B707" s="7" t="s">
        <x:v>728</x:v>
      </x:c>
      <x:c r="C707" s="7" t="s">
        <x:v>1450</x:v>
      </x:c>
      <x:c r="D707" s="7" t="s">
        <x:v>7191</x:v>
      </x:c>
      <x:c r="E707" s="7" t="s">
        <x:v>7196</x:v>
      </x:c>
    </x:row>
    <x:row r="708" ht="30" hidden="0" customHeight="1">
      <x:c r="A708" s="7" t="s">
        <x:v>7852</x:v>
      </x:c>
      <x:c r="B708" s="7" t="s">
        <x:v>728</x:v>
      </x:c>
      <x:c r="C708" s="7" t="s">
        <x:v>7198</x:v>
      </x:c>
      <x:c r="D708" s="7" t="s">
        <x:v>7191</x:v>
      </x:c>
      <x:c r="E708" s="7" t="s">
        <x:v>7199</x:v>
      </x:c>
    </x:row>
    <x:row r="709" ht="37.5" hidden="0" customHeight="1">
      <x:c r="A709" s="7" t="s">
        <x:v>7853</x:v>
      </x:c>
      <x:c r="B709" s="7" t="s">
        <x:v>728</x:v>
      </x:c>
      <x:c r="C709" s="7" t="s">
        <x:v>7201</x:v>
      </x:c>
      <x:c r="D709" s="7" t="str">
        <x:v>Partially resolved</x:v>
      </x:c>
      <x:c r="E709" s="7" t="str">
        <x:v>Only a crystallization temperature (180.3 °C, V001237) is published. No HDT, glass transition, Vicat or melting value.</x:v>
      </x:c>
    </x:row>
    <x:row r="710" ht="37.5" hidden="0" customHeight="1">
      <x:c r="A710" s="7" t="s">
        <x:v>7854</x:v>
      </x:c>
      <x:c r="B710" s="7" t="s">
        <x:v>728</x:v>
      </x:c>
      <x:c r="C710" s="7" t="s">
        <x:v>7204</x:v>
      </x:c>
      <x:c r="D710" s="7" t="s">
        <x:v>7107</x:v>
      </x:c>
      <x:c r="E710" s="7" t="s">
        <x:v>7211</x:v>
      </x:c>
    </x:row>
    <x:row r="711" ht="37.5" hidden="0" customHeight="1">
      <x:c r="A711" s="7" t="s">
        <x:v>7855</x:v>
      </x:c>
      <x:c r="B711" s="7" t="s">
        <x:v>728</x:v>
      </x:c>
      <x:c r="C711" s="7" t="s">
        <x:v>7207</x:v>
      </x:c>
      <x:c r="D711" s="7" t="s">
        <x:v>7191</x:v>
      </x:c>
      <x:c r="E711" s="7" t="s">
        <x:v>7208</x:v>
      </x:c>
    </x:row>
    <x:row r="712" ht="37.5" hidden="0" customHeight="1">
      <x:c r="A712" s="7" t="s">
        <x:v>7856</x:v>
      </x:c>
      <x:c r="B712" s="7" t="s">
        <x:v>728</x:v>
      </x:c>
      <x:c r="C712" s="7" t="s">
        <x:v>7210</x:v>
      </x:c>
      <x:c r="D712" s="7" t="s">
        <x:v>7107</x:v>
      </x:c>
      <x:c r="E712" s="7" t="s">
        <x:v>7211</x:v>
      </x:c>
    </x:row>
    <x:row r="713" ht="51.75" hidden="0" customHeight="1">
      <x:c r="A713" s="7" t="s">
        <x:v>7857</x:v>
      </x:c>
      <x:c r="B713" s="7" t="s">
        <x:v>728</x:v>
      </x:c>
      <x:c r="C713" s="7" t="s">
        <x:v>7213</x:v>
      </x:c>
      <x:c r="D713" s="7" t="s">
        <x:v>7107</x:v>
      </x:c>
      <x:c r="E713" s="7" t="s">
        <x:v>7214</x:v>
      </x:c>
    </x:row>
    <x:row r="714" ht="37.5" hidden="0" customHeight="1">
      <x:c r="A714" s="7" t="s">
        <x:v>7858</x:v>
      </x:c>
      <x:c r="B714" s="7" t="s">
        <x:v>728</x:v>
      </x:c>
      <x:c r="C714" s="7" t="s">
        <x:v>7216</x:v>
      </x:c>
      <x:c r="D714" s="7" t="s">
        <x:v>7217</x:v>
      </x:c>
      <x:c r="E714" s="7" t="s">
        <x:v>7218</x:v>
      </x:c>
    </x:row>
    <x:row r="715" ht="30" hidden="0" customHeight="1">
      <x:c r="A715" s="7" t="s">
        <x:v>7859</x:v>
      </x:c>
      <x:c r="B715" s="7" t="s">
        <x:v>738</x:v>
      </x:c>
      <x:c r="C715" s="7" t="s">
        <x:v>7190</x:v>
      </x:c>
      <x:c r="D715" s="7" t="s">
        <x:v>7191</x:v>
      </x:c>
      <x:c r="E715" s="7" t="s">
        <x:v>7192</x:v>
      </x:c>
    </x:row>
    <x:row r="716" ht="37.5" hidden="0" customHeight="1">
      <x:c r="A716" s="7" t="s">
        <x:v>7860</x:v>
      </x:c>
      <x:c r="B716" s="7" t="s">
        <x:v>738</x:v>
      </x:c>
      <x:c r="C716" s="7" t="s">
        <x:v>5</x:v>
      </x:c>
      <x:c r="D716" s="7" t="s">
        <x:v>7191</x:v>
      </x:c>
      <x:c r="E716" s="7" t="s">
        <x:v>7194</x:v>
      </x:c>
    </x:row>
    <x:row r="717" ht="30" hidden="0" customHeight="1">
      <x:c r="A717" s="7" t="s">
        <x:v>7861</x:v>
      </x:c>
      <x:c r="B717" s="7" t="s">
        <x:v>738</x:v>
      </x:c>
      <x:c r="C717" s="7" t="s">
        <x:v>1450</x:v>
      </x:c>
      <x:c r="D717" s="7" t="s">
        <x:v>7191</x:v>
      </x:c>
      <x:c r="E717" s="7" t="s">
        <x:v>7196</x:v>
      </x:c>
    </x:row>
    <x:row r="718" ht="30" hidden="0" customHeight="1">
      <x:c r="A718" s="7" t="s">
        <x:v>7862</x:v>
      </x:c>
      <x:c r="B718" s="7" t="s">
        <x:v>738</x:v>
      </x:c>
      <x:c r="C718" s="7" t="s">
        <x:v>7198</x:v>
      </x:c>
      <x:c r="D718" s="7" t="s">
        <x:v>7191</x:v>
      </x:c>
      <x:c r="E718" s="7" t="s">
        <x:v>7199</x:v>
      </x:c>
    </x:row>
    <x:row r="719" ht="30" hidden="0" customHeight="1">
      <x:c r="A719" s="7" t="s">
        <x:v>7863</x:v>
      </x:c>
      <x:c r="B719" s="7" t="s">
        <x:v>738</x:v>
      </x:c>
      <x:c r="C719" s="7" t="s">
        <x:v>7201</x:v>
      </x:c>
      <x:c r="D719" s="7" t="s">
        <x:v>7191</x:v>
      </x:c>
      <x:c r="E719" s="7" t="s">
        <x:v>7202</x:v>
      </x:c>
    </x:row>
    <x:row r="720" ht="37.5" hidden="0" customHeight="1">
      <x:c r="A720" s="7" t="s">
        <x:v>7864</x:v>
      </x:c>
      <x:c r="B720" s="7" t="s">
        <x:v>738</x:v>
      </x:c>
      <x:c r="C720" s="7" t="s">
        <x:v>7204</x:v>
      </x:c>
      <x:c r="D720" s="7" t="s">
        <x:v>7107</x:v>
      </x:c>
      <x:c r="E720" s="7" t="s">
        <x:v>7211</x:v>
      </x:c>
    </x:row>
    <x:row r="721" ht="37.5" hidden="0" customHeight="1">
      <x:c r="A721" s="7" t="s">
        <x:v>7865</x:v>
      </x:c>
      <x:c r="B721" s="7" t="s">
        <x:v>738</x:v>
      </x:c>
      <x:c r="C721" s="7" t="s">
        <x:v>7207</x:v>
      </x:c>
      <x:c r="D721" s="7" t="s">
        <x:v>7191</x:v>
      </x:c>
      <x:c r="E721" s="7" t="s">
        <x:v>7208</x:v>
      </x:c>
    </x:row>
    <x:row r="722" ht="37.5" hidden="0" customHeight="1">
      <x:c r="A722" s="7" t="s">
        <x:v>7866</x:v>
      </x:c>
      <x:c r="B722" s="7" t="s">
        <x:v>738</x:v>
      </x:c>
      <x:c r="C722" s="7" t="s">
        <x:v>7210</x:v>
      </x:c>
      <x:c r="D722" s="7" t="s">
        <x:v>7107</x:v>
      </x:c>
      <x:c r="E722" s="7" t="s">
        <x:v>7211</x:v>
      </x:c>
    </x:row>
    <x:row r="723" ht="51.75" hidden="0" customHeight="1">
      <x:c r="A723" s="7" t="s">
        <x:v>7867</x:v>
      </x:c>
      <x:c r="B723" s="7" t="s">
        <x:v>738</x:v>
      </x:c>
      <x:c r="C723" s="7" t="s">
        <x:v>7213</x:v>
      </x:c>
      <x:c r="D723" s="7" t="s">
        <x:v>7107</x:v>
      </x:c>
      <x:c r="E723" s="7" t="s">
        <x:v>7214</x:v>
      </x:c>
    </x:row>
    <x:row r="724" ht="37.5" hidden="0" customHeight="1">
      <x:c r="A724" s="7" t="s">
        <x:v>7868</x:v>
      </x:c>
      <x:c r="B724" s="7" t="s">
        <x:v>738</x:v>
      </x:c>
      <x:c r="C724" s="7" t="s">
        <x:v>7216</x:v>
      </x:c>
      <x:c r="D724" s="7" t="s">
        <x:v>7217</x:v>
      </x:c>
      <x:c r="E724" s="7" t="s">
        <x:v>7218</x:v>
      </x:c>
    </x:row>
    <x:row r="725" ht="30" hidden="0" customHeight="1">
      <x:c r="A725" s="7" t="s">
        <x:v>7869</x:v>
      </x:c>
      <x:c r="B725" s="7" t="s">
        <x:v>749</x:v>
      </x:c>
      <x:c r="C725" s="7" t="s">
        <x:v>7190</x:v>
      </x:c>
      <x:c r="D725" s="7" t="s">
        <x:v>7191</x:v>
      </x:c>
      <x:c r="E725" s="7" t="s">
        <x:v>7192</x:v>
      </x:c>
    </x:row>
    <x:row r="726" ht="37.5" hidden="0" customHeight="1">
      <x:c r="A726" s="7" t="s">
        <x:v>7870</x:v>
      </x:c>
      <x:c r="B726" s="7" t="s">
        <x:v>749</x:v>
      </x:c>
      <x:c r="C726" s="7" t="s">
        <x:v>5</x:v>
      </x:c>
      <x:c r="D726" s="7" t="s">
        <x:v>7191</x:v>
      </x:c>
      <x:c r="E726" s="7" t="s">
        <x:v>7194</x:v>
      </x:c>
    </x:row>
    <x:row r="727" ht="30" hidden="0" customHeight="1">
      <x:c r="A727" s="7" t="s">
        <x:v>7871</x:v>
      </x:c>
      <x:c r="B727" s="7" t="s">
        <x:v>749</x:v>
      </x:c>
      <x:c r="C727" s="7" t="s">
        <x:v>1450</x:v>
      </x:c>
      <x:c r="D727" s="7" t="s">
        <x:v>7191</x:v>
      </x:c>
      <x:c r="E727" s="7" t="s">
        <x:v>7196</x:v>
      </x:c>
    </x:row>
    <x:row r="728" ht="30" hidden="0" customHeight="1">
      <x:c r="A728" s="7" t="s">
        <x:v>7872</x:v>
      </x:c>
      <x:c r="B728" s="7" t="s">
        <x:v>749</x:v>
      </x:c>
      <x:c r="C728" s="7" t="s">
        <x:v>7198</x:v>
      </x:c>
      <x:c r="D728" s="7" t="s">
        <x:v>7191</x:v>
      </x:c>
      <x:c r="E728" s="7" t="s">
        <x:v>7199</x:v>
      </x:c>
    </x:row>
    <x:row r="729" ht="30" hidden="0" customHeight="1">
      <x:c r="A729" s="7" t="s">
        <x:v>7873</x:v>
      </x:c>
      <x:c r="B729" s="7" t="s">
        <x:v>749</x:v>
      </x:c>
      <x:c r="C729" s="7" t="s">
        <x:v>7201</x:v>
      </x:c>
      <x:c r="D729" s="7" t="s">
        <x:v>7191</x:v>
      </x:c>
      <x:c r="E729" s="7" t="s">
        <x:v>7202</x:v>
      </x:c>
    </x:row>
    <x:row r="730" ht="37.5" hidden="0" customHeight="1">
      <x:c r="A730" s="7" t="s">
        <x:v>7874</x:v>
      </x:c>
      <x:c r="B730" s="7" t="s">
        <x:v>749</x:v>
      </x:c>
      <x:c r="C730" s="7" t="s">
        <x:v>7204</x:v>
      </x:c>
      <x:c r="D730" s="7" t="s">
        <x:v>7191</x:v>
      </x:c>
      <x:c r="E730" s="7" t="str">
        <x:v>5 exposure, solubility or moisture record(s) from this material's own sources. Test conditions are rarely stated; not a chemical design limit.</x:v>
      </x:c>
    </x:row>
    <x:row r="731" ht="37.5" hidden="0" customHeight="1">
      <x:c r="A731" s="7" t="s">
        <x:v>7875</x:v>
      </x:c>
      <x:c r="B731" s="7" t="s">
        <x:v>749</x:v>
      </x:c>
      <x:c r="C731" s="7" t="s">
        <x:v>7207</x:v>
      </x:c>
      <x:c r="D731" s="7" t="s">
        <x:v>7107</x:v>
      </x:c>
      <x:c r="E731" s="7" t="s">
        <x:v>7211</x:v>
      </x:c>
    </x:row>
    <x:row r="732" ht="30" hidden="0" customHeight="1">
      <x:c r="A732" s="7" t="s">
        <x:v>7876</x:v>
      </x:c>
      <x:c r="B732" s="7" t="s">
        <x:v>749</x:v>
      </x:c>
      <x:c r="C732" s="7" t="s">
        <x:v>7210</x:v>
      </x:c>
      <x:c r="D732" s="7" t="s">
        <x:v>7191</x:v>
      </x:c>
      <x:c r="E732" s="7" t="s">
        <x:v>132</x:v>
      </x:c>
    </x:row>
    <x:row r="733" ht="51.75" hidden="0" customHeight="1">
      <x:c r="A733" s="7" t="s">
        <x:v>7877</x:v>
      </x:c>
      <x:c r="B733" s="7" t="s">
        <x:v>749</x:v>
      </x:c>
      <x:c r="C733" s="7" t="s">
        <x:v>7213</x:v>
      </x:c>
      <x:c r="D733" s="7" t="s">
        <x:v>7107</x:v>
      </x:c>
      <x:c r="E733" s="7" t="s">
        <x:v>7214</x:v>
      </x:c>
    </x:row>
    <x:row r="734" ht="37.5" hidden="0" customHeight="1">
      <x:c r="A734" s="7" t="s">
        <x:v>7878</x:v>
      </x:c>
      <x:c r="B734" s="7" t="s">
        <x:v>749</x:v>
      </x:c>
      <x:c r="C734" s="7" t="s">
        <x:v>7216</x:v>
      </x:c>
      <x:c r="D734" s="7" t="s">
        <x:v>7217</x:v>
      </x:c>
      <x:c r="E734" s="7" t="s">
        <x:v>7218</x:v>
      </x:c>
    </x:row>
    <x:row r="735" ht="30" hidden="0" customHeight="1">
      <x:c r="A735" s="7" t="s">
        <x:v>7879</x:v>
      </x:c>
      <x:c r="B735" s="7" t="s">
        <x:v>759</x:v>
      </x:c>
      <x:c r="C735" s="7" t="s">
        <x:v>7190</x:v>
      </x:c>
      <x:c r="D735" s="7" t="s">
        <x:v>7191</x:v>
      </x:c>
      <x:c r="E735" s="7" t="s">
        <x:v>7192</x:v>
      </x:c>
    </x:row>
    <x:row r="736" ht="37.5" hidden="0" customHeight="1">
      <x:c r="A736" s="7" t="s">
        <x:v>7880</x:v>
      </x:c>
      <x:c r="B736" s="7" t="s">
        <x:v>759</x:v>
      </x:c>
      <x:c r="C736" s="7" t="s">
        <x:v>5</x:v>
      </x:c>
      <x:c r="D736" s="7" t="s">
        <x:v>7191</x:v>
      </x:c>
      <x:c r="E736" s="7" t="s">
        <x:v>7194</x:v>
      </x:c>
    </x:row>
    <x:row r="737" ht="30" hidden="0" customHeight="1">
      <x:c r="A737" s="7" t="s">
        <x:v>7881</x:v>
      </x:c>
      <x:c r="B737" s="7" t="s">
        <x:v>759</x:v>
      </x:c>
      <x:c r="C737" s="7" t="s">
        <x:v>1450</x:v>
      </x:c>
      <x:c r="D737" s="7" t="s">
        <x:v>7191</x:v>
      </x:c>
      <x:c r="E737" s="7" t="s">
        <x:v>7196</x:v>
      </x:c>
    </x:row>
    <x:row r="738" ht="37.5" hidden="0" customHeight="1">
      <x:c r="A738" s="7" t="s">
        <x:v>7882</x:v>
      </x:c>
      <x:c r="B738" s="7" t="s">
        <x:v>759</x:v>
      </x:c>
      <x:c r="C738" s="7" t="s">
        <x:v>7198</x:v>
      </x:c>
      <x:c r="D738" s="7" t="str">
        <x:v>Evidence recorded</x:v>
      </x:c>
      <x:c r="E738" s="7" t="str">
        <x:v>Fiberon PET-GF15 printed XY and Z tensile, flexural and Charpy values recorded; all specimens annealed 120 °C for 16 h before testing.</x:v>
      </x:c>
    </x:row>
    <x:row r="739" ht="37.5" hidden="0" customHeight="1">
      <x:c r="A739" s="7" t="s">
        <x:v>7883</x:v>
      </x:c>
      <x:c r="B739" s="7" t="s">
        <x:v>759</x:v>
      </x:c>
      <x:c r="C739" s="7" t="s">
        <x:v>7201</x:v>
      </x:c>
      <x:c r="D739" s="7" t="str">
        <x:v>Evidence recorded</x:v>
      </x:c>
      <x:c r="E739" s="7" t="str">
        <x:v>Fiberon PET-GF15 HDT at 0.45 MPa is published as printed (81.6 °C) and annealed (133.7 °C); recorded as separate measurements, and the headline is the as-printed value.</x:v>
      </x:c>
    </x:row>
    <x:row r="740" ht="37.5" hidden="0" customHeight="1">
      <x:c r="A740" s="7" t="s">
        <x:v>7884</x:v>
      </x:c>
      <x:c r="B740" s="7" t="s">
        <x:v>759</x:v>
      </x:c>
      <x:c r="C740" s="7" t="s">
        <x:v>7204</x:v>
      </x:c>
      <x:c r="D740" s="7" t="s">
        <x:v>7107</x:v>
      </x:c>
      <x:c r="E740" s="7" t="s">
        <x:v>7211</x:v>
      </x:c>
    </x:row>
    <x:row r="741" ht="37.5" hidden="0" customHeight="1">
      <x:c r="A741" s="7" t="s">
        <x:v>7885</x:v>
      </x:c>
      <x:c r="B741" s="7" t="s">
        <x:v>759</x:v>
      </x:c>
      <x:c r="C741" s="7" t="s">
        <x:v>7207</x:v>
      </x:c>
      <x:c r="D741" s="7" t="s">
        <x:v>7191</x:v>
      </x:c>
      <x:c r="E741" s="7" t="s">
        <x:v>7208</x:v>
      </x:c>
    </x:row>
    <x:row r="742" ht="37.5" hidden="0" customHeight="1">
      <x:c r="A742" s="7" t="s">
        <x:v>7886</x:v>
      </x:c>
      <x:c r="B742" s="7" t="s">
        <x:v>759</x:v>
      </x:c>
      <x:c r="C742" s="7" t="s">
        <x:v>7210</x:v>
      </x:c>
      <x:c r="D742" s="7" t="s">
        <x:v>7107</x:v>
      </x:c>
      <x:c r="E742" s="7" t="s">
        <x:v>7211</x:v>
      </x:c>
    </x:row>
    <x:row r="743" ht="51.75" hidden="0" customHeight="1">
      <x:c r="A743" s="7" t="s">
        <x:v>7887</x:v>
      </x:c>
      <x:c r="B743" s="7" t="s">
        <x:v>759</x:v>
      </x:c>
      <x:c r="C743" s="7" t="s">
        <x:v>7213</x:v>
      </x:c>
      <x:c r="D743" s="7" t="s">
        <x:v>7107</x:v>
      </x:c>
      <x:c r="E743" s="7" t="s">
        <x:v>7214</x:v>
      </x:c>
    </x:row>
    <x:row r="744" ht="30" hidden="0" customHeight="1">
      <x:c r="A744" s="7" t="s">
        <x:v>7888</x:v>
      </x:c>
      <x:c r="B744" s="7" t="s">
        <x:v>768</x:v>
      </x:c>
      <x:c r="C744" s="7" t="s">
        <x:v>7190</x:v>
      </x:c>
      <x:c r="D744" s="7" t="s">
        <x:v>7191</x:v>
      </x:c>
      <x:c r="E744" s="7" t="s">
        <x:v>7192</x:v>
      </x:c>
    </x:row>
    <x:row r="745" ht="37.5" hidden="0" customHeight="1">
      <x:c r="A745" s="7" t="s">
        <x:v>7889</x:v>
      </x:c>
      <x:c r="B745" s="7" t="s">
        <x:v>768</x:v>
      </x:c>
      <x:c r="C745" s="7" t="s">
        <x:v>5</x:v>
      </x:c>
      <x:c r="D745" s="7" t="s">
        <x:v>7191</x:v>
      </x:c>
      <x:c r="E745" s="7" t="s">
        <x:v>7194</x:v>
      </x:c>
    </x:row>
    <x:row r="746" ht="30" hidden="0" customHeight="1">
      <x:c r="A746" s="7" t="s">
        <x:v>7890</x:v>
      </x:c>
      <x:c r="B746" s="7" t="s">
        <x:v>768</x:v>
      </x:c>
      <x:c r="C746" s="7" t="s">
        <x:v>1450</x:v>
      </x:c>
      <x:c r="D746" s="7" t="s">
        <x:v>7191</x:v>
      </x:c>
      <x:c r="E746" s="7" t="s">
        <x:v>7196</x:v>
      </x:c>
    </x:row>
    <x:row r="747" ht="30" hidden="0" customHeight="1">
      <x:c r="A747" s="7" t="s">
        <x:v>7891</x:v>
      </x:c>
      <x:c r="B747" s="7" t="s">
        <x:v>768</x:v>
      </x:c>
      <x:c r="C747" s="7" t="s">
        <x:v>7198</x:v>
      </x:c>
      <x:c r="D747" s="7" t="s">
        <x:v>7191</x:v>
      </x:c>
      <x:c r="E747" s="7" t="s">
        <x:v>7199</x:v>
      </x:c>
    </x:row>
    <x:row r="748" ht="30" hidden="0" customHeight="1">
      <x:c r="A748" s="7" t="s">
        <x:v>7892</x:v>
      </x:c>
      <x:c r="B748" s="7" t="s">
        <x:v>768</x:v>
      </x:c>
      <x:c r="C748" s="7" t="s">
        <x:v>7201</x:v>
      </x:c>
      <x:c r="D748" s="7" t="s">
        <x:v>7191</x:v>
      </x:c>
      <x:c r="E748" s="7" t="s">
        <x:v>7202</x:v>
      </x:c>
    </x:row>
    <x:row r="749" ht="37.5" hidden="0" customHeight="1">
      <x:c r="A749" s="7" t="s">
        <x:v>7893</x:v>
      </x:c>
      <x:c r="B749" s="7" t="s">
        <x:v>768</x:v>
      </x:c>
      <x:c r="C749" s="7" t="s">
        <x:v>7204</x:v>
      </x:c>
      <x:c r="D749" s="7" t="str">
        <x:v>Gap</x:v>
      </x:c>
      <x:c r="E749" s="7" t="str">
        <x:v>No exposure, solubility or moisture record from this material's own sources. Records cited for its family are context, not evidence for this grade.</x:v>
      </x:c>
    </x:row>
    <x:row r="750" ht="37.5" hidden="0" customHeight="1">
      <x:c r="A750" s="7" t="s">
        <x:v>7894</x:v>
      </x:c>
      <x:c r="B750" s="7" t="s">
        <x:v>768</x:v>
      </x:c>
      <x:c r="C750" s="7" t="s">
        <x:v>7207</x:v>
      </x:c>
      <x:c r="D750" s="7" t="s">
        <x:v>7191</x:v>
      </x:c>
      <x:c r="E750" s="7" t="s">
        <x:v>7208</x:v>
      </x:c>
    </x:row>
    <x:row r="751" ht="37.5" hidden="0" customHeight="1">
      <x:c r="A751" s="7" t="s">
        <x:v>7895</x:v>
      </x:c>
      <x:c r="B751" s="7" t="s">
        <x:v>768</x:v>
      </x:c>
      <x:c r="C751" s="7" t="s">
        <x:v>7210</x:v>
      </x:c>
      <x:c r="D751" s="7" t="s">
        <x:v>7107</x:v>
      </x:c>
      <x:c r="E751" s="7" t="s">
        <x:v>7211</x:v>
      </x:c>
    </x:row>
    <x:row r="752" ht="51.75" hidden="0" customHeight="1">
      <x:c r="A752" s="7" t="s">
        <x:v>7896</x:v>
      </x:c>
      <x:c r="B752" s="7" t="s">
        <x:v>768</x:v>
      </x:c>
      <x:c r="C752" s="7" t="s">
        <x:v>7213</x:v>
      </x:c>
      <x:c r="D752" s="7" t="s">
        <x:v>7107</x:v>
      </x:c>
      <x:c r="E752" s="7" t="s">
        <x:v>7214</x:v>
      </x:c>
    </x:row>
    <x:row r="753" ht="37.5" hidden="0" customHeight="1">
      <x:c r="A753" s="7" t="s">
        <x:v>7897</x:v>
      </x:c>
      <x:c r="B753" s="7" t="s">
        <x:v>768</x:v>
      </x:c>
      <x:c r="C753" s="7" t="s">
        <x:v>7216</x:v>
      </x:c>
      <x:c r="D753" s="7" t="s">
        <x:v>7217</x:v>
      </x:c>
      <x:c r="E753" s="7" t="s">
        <x:v>7218</x:v>
      </x:c>
    </x:row>
    <x:row r="754" ht="37.5" hidden="0" customHeight="1">
      <x:c r="A754" s="7" t="s">
        <x:v>7898</x:v>
      </x:c>
      <x:c r="B754" s="7" t="s">
        <x:v>768</x:v>
      </x:c>
      <x:c r="C754" s="7" t="s">
        <x:v>7756</x:v>
      </x:c>
      <x:c r="D754" s="7" t="s">
        <x:v>7757</x:v>
      </x:c>
      <x:c r="E754" s="7" t="s">
        <x:v>7758</x:v>
      </x:c>
    </x:row>
    <x:row r="755" ht="30" hidden="0" customHeight="1">
      <x:c r="A755" s="7" t="s">
        <x:v>7899</x:v>
      </x:c>
      <x:c r="B755" s="7" t="s">
        <x:v>780</x:v>
      </x:c>
      <x:c r="C755" s="7" t="s">
        <x:v>7190</x:v>
      </x:c>
      <x:c r="D755" s="7" t="s">
        <x:v>7191</x:v>
      </x:c>
      <x:c r="E755" s="7" t="s">
        <x:v>7192</x:v>
      </x:c>
    </x:row>
    <x:row r="756" ht="37.5" hidden="0" customHeight="1">
      <x:c r="A756" s="7" t="s">
        <x:v>7900</x:v>
      </x:c>
      <x:c r="B756" s="7" t="s">
        <x:v>780</x:v>
      </x:c>
      <x:c r="C756" s="7" t="s">
        <x:v>5</x:v>
      </x:c>
      <x:c r="D756" s="7" t="s">
        <x:v>7191</x:v>
      </x:c>
      <x:c r="E756" s="7" t="s">
        <x:v>7194</x:v>
      </x:c>
    </x:row>
    <x:row r="757" ht="30" hidden="0" customHeight="1">
      <x:c r="A757" s="7" t="s">
        <x:v>7901</x:v>
      </x:c>
      <x:c r="B757" s="7" t="s">
        <x:v>780</x:v>
      </x:c>
      <x:c r="C757" s="7" t="s">
        <x:v>1450</x:v>
      </x:c>
      <x:c r="D757" s="7" t="s">
        <x:v>7191</x:v>
      </x:c>
      <x:c r="E757" s="7" t="s">
        <x:v>7196</x:v>
      </x:c>
    </x:row>
    <x:row r="758" ht="30" hidden="0" customHeight="1">
      <x:c r="A758" s="7" t="s">
        <x:v>7902</x:v>
      </x:c>
      <x:c r="B758" s="7" t="s">
        <x:v>780</x:v>
      </x:c>
      <x:c r="C758" s="7" t="s">
        <x:v>7198</x:v>
      </x:c>
      <x:c r="D758" s="7" t="s">
        <x:v>7191</x:v>
      </x:c>
      <x:c r="E758" s="7" t="s">
        <x:v>7199</x:v>
      </x:c>
    </x:row>
    <x:row r="759" ht="30" hidden="0" customHeight="1">
      <x:c r="A759" s="7" t="s">
        <x:v>7903</x:v>
      </x:c>
      <x:c r="B759" s="7" t="s">
        <x:v>780</x:v>
      </x:c>
      <x:c r="C759" s="7" t="s">
        <x:v>7201</x:v>
      </x:c>
      <x:c r="D759" s="7" t="s">
        <x:v>7191</x:v>
      </x:c>
      <x:c r="E759" s="7" t="s">
        <x:v>7202</x:v>
      </x:c>
    </x:row>
    <x:row r="760" ht="37.5" hidden="0" customHeight="1">
      <x:c r="A760" s="7" t="s">
        <x:v>7904</x:v>
      </x:c>
      <x:c r="B760" s="7" t="s">
        <x:v>780</x:v>
      </x:c>
      <x:c r="C760" s="7" t="s">
        <x:v>7204</x:v>
      </x:c>
      <x:c r="D760" s="7" t="s">
        <x:v>7191</x:v>
      </x:c>
      <x:c r="E760" s="7" t="s">
        <x:v>7205</x:v>
      </x:c>
    </x:row>
    <x:row r="761" ht="37.5" hidden="0" customHeight="1">
      <x:c r="A761" s="7" t="s">
        <x:v>7905</x:v>
      </x:c>
      <x:c r="B761" s="7" t="s">
        <x:v>780</x:v>
      </x:c>
      <x:c r="C761" s="7" t="s">
        <x:v>7207</x:v>
      </x:c>
      <x:c r="D761" s="7" t="s">
        <x:v>7191</x:v>
      </x:c>
      <x:c r="E761" s="7" t="s">
        <x:v>7208</x:v>
      </x:c>
    </x:row>
    <x:row r="762" ht="30" hidden="0" customHeight="1">
      <x:c r="A762" s="7" t="s">
        <x:v>7906</x:v>
      </x:c>
      <x:c r="B762" s="7" t="s">
        <x:v>780</x:v>
      </x:c>
      <x:c r="C762" s="7" t="s">
        <x:v>7210</x:v>
      </x:c>
      <x:c r="D762" s="7" t="s">
        <x:v>7191</x:v>
      </x:c>
      <x:c r="E762" s="7" t="s">
        <x:v>87</x:v>
      </x:c>
    </x:row>
    <x:row r="763" ht="51.75" hidden="0" customHeight="1">
      <x:c r="A763" s="7" t="s">
        <x:v>7907</x:v>
      </x:c>
      <x:c r="B763" s="7" t="s">
        <x:v>780</x:v>
      </x:c>
      <x:c r="C763" s="7" t="s">
        <x:v>7213</x:v>
      </x:c>
      <x:c r="D763" s="7" t="s">
        <x:v>7107</x:v>
      </x:c>
      <x:c r="E763" s="7" t="s">
        <x:v>7214</x:v>
      </x:c>
    </x:row>
    <x:row r="764" ht="37.5" hidden="0" customHeight="1">
      <x:c r="A764" s="7" t="s">
        <x:v>7908</x:v>
      </x:c>
      <x:c r="B764" s="7" t="s">
        <x:v>780</x:v>
      </x:c>
      <x:c r="C764" s="7" t="s">
        <x:v>7216</x:v>
      </x:c>
      <x:c r="D764" s="7" t="s">
        <x:v>7217</x:v>
      </x:c>
      <x:c r="E764" s="7" t="s">
        <x:v>7218</x:v>
      </x:c>
    </x:row>
    <x:row r="765" ht="30" hidden="0" customHeight="1">
      <x:c r="A765" s="7" t="s">
        <x:v>7909</x:v>
      </x:c>
      <x:c r="B765" s="7" t="s">
        <x:v>792</x:v>
      </x:c>
      <x:c r="C765" s="7" t="s">
        <x:v>7190</x:v>
      </x:c>
      <x:c r="D765" s="7" t="s">
        <x:v>7191</x:v>
      </x:c>
      <x:c r="E765" s="7" t="s">
        <x:v>7192</x:v>
      </x:c>
    </x:row>
    <x:row r="766" ht="37.5" hidden="0" customHeight="1">
      <x:c r="A766" s="7" t="s">
        <x:v>7910</x:v>
      </x:c>
      <x:c r="B766" s="7" t="s">
        <x:v>792</x:v>
      </x:c>
      <x:c r="C766" s="7" t="s">
        <x:v>5</x:v>
      </x:c>
      <x:c r="D766" s="7" t="s">
        <x:v>7191</x:v>
      </x:c>
      <x:c r="E766" s="7" t="s">
        <x:v>7194</x:v>
      </x:c>
    </x:row>
    <x:row r="767" ht="30" hidden="0" customHeight="1">
      <x:c r="A767" s="7" t="s">
        <x:v>7911</x:v>
      </x:c>
      <x:c r="B767" s="7" t="s">
        <x:v>792</x:v>
      </x:c>
      <x:c r="C767" s="7" t="s">
        <x:v>1450</x:v>
      </x:c>
      <x:c r="D767" s="7" t="s">
        <x:v>7191</x:v>
      </x:c>
      <x:c r="E767" s="7" t="s">
        <x:v>7196</x:v>
      </x:c>
    </x:row>
    <x:row r="768" ht="30" hidden="0" customHeight="1">
      <x:c r="A768" s="7" t="s">
        <x:v>7912</x:v>
      </x:c>
      <x:c r="B768" s="7" t="s">
        <x:v>792</x:v>
      </x:c>
      <x:c r="C768" s="7" t="s">
        <x:v>7198</x:v>
      </x:c>
      <x:c r="D768" s="7" t="s">
        <x:v>7191</x:v>
      </x:c>
      <x:c r="E768" s="7" t="s">
        <x:v>7199</x:v>
      </x:c>
    </x:row>
    <x:row r="769" ht="30" hidden="0" customHeight="1">
      <x:c r="A769" s="7" t="s">
        <x:v>7913</x:v>
      </x:c>
      <x:c r="B769" s="7" t="s">
        <x:v>792</x:v>
      </x:c>
      <x:c r="C769" s="7" t="s">
        <x:v>7201</x:v>
      </x:c>
      <x:c r="D769" s="7" t="s">
        <x:v>7191</x:v>
      </x:c>
      <x:c r="E769" s="7" t="s">
        <x:v>7202</x:v>
      </x:c>
    </x:row>
    <x:row r="770" ht="37.5" hidden="0" customHeight="1">
      <x:c r="A770" s="7" t="s">
        <x:v>7914</x:v>
      </x:c>
      <x:c r="B770" s="7" t="s">
        <x:v>792</x:v>
      </x:c>
      <x:c r="C770" s="7" t="s">
        <x:v>7204</x:v>
      </x:c>
      <x:c r="D770" s="7" t="str">
        <x:v>Gap</x:v>
      </x:c>
      <x:c r="E770" s="7" t="str">
        <x:v>No exposure, solubility or moisture record from this material's own sources. Records cited for its family are context, not evidence for this grade.</x:v>
      </x:c>
    </x:row>
    <x:row r="771" ht="37.5" hidden="0" customHeight="1">
      <x:c r="A771" s="7" t="s">
        <x:v>7915</x:v>
      </x:c>
      <x:c r="B771" s="7" t="s">
        <x:v>792</x:v>
      </x:c>
      <x:c r="C771" s="7" t="s">
        <x:v>7207</x:v>
      </x:c>
      <x:c r="D771" s="7" t="s">
        <x:v>7191</x:v>
      </x:c>
      <x:c r="E771" s="7" t="s">
        <x:v>7208</x:v>
      </x:c>
    </x:row>
    <x:row r="772" ht="37.5" hidden="0" customHeight="1">
      <x:c r="A772" s="7" t="s">
        <x:v>7916</x:v>
      </x:c>
      <x:c r="B772" s="7" t="s">
        <x:v>792</x:v>
      </x:c>
      <x:c r="C772" s="7" t="s">
        <x:v>7210</x:v>
      </x:c>
      <x:c r="D772" s="7" t="s">
        <x:v>7107</x:v>
      </x:c>
      <x:c r="E772" s="7" t="s">
        <x:v>7211</x:v>
      </x:c>
    </x:row>
    <x:row r="773" ht="51.75" hidden="0" customHeight="1">
      <x:c r="A773" s="7" t="s">
        <x:v>7917</x:v>
      </x:c>
      <x:c r="B773" s="7" t="s">
        <x:v>792</x:v>
      </x:c>
      <x:c r="C773" s="7" t="s">
        <x:v>7213</x:v>
      </x:c>
      <x:c r="D773" s="7" t="s">
        <x:v>7107</x:v>
      </x:c>
      <x:c r="E773" s="7" t="s">
        <x:v>7214</x:v>
      </x:c>
    </x:row>
    <x:row r="774" ht="37.5" hidden="0" customHeight="1">
      <x:c r="A774" s="7" t="s">
        <x:v>7918</x:v>
      </x:c>
      <x:c r="B774" s="7" t="s">
        <x:v>792</x:v>
      </x:c>
      <x:c r="C774" s="7" t="s">
        <x:v>7216</x:v>
      </x:c>
      <x:c r="D774" s="7" t="s">
        <x:v>7217</x:v>
      </x:c>
      <x:c r="E774" s="7" t="s">
        <x:v>7218</x:v>
      </x:c>
    </x:row>
    <x:row r="775" ht="30" hidden="0" customHeight="1">
      <x:c r="A775" s="7" t="s">
        <x:v>7919</x:v>
      </x:c>
      <x:c r="B775" s="7" t="s">
        <x:v>802</x:v>
      </x:c>
      <x:c r="C775" s="7" t="s">
        <x:v>7190</x:v>
      </x:c>
      <x:c r="D775" s="7" t="s">
        <x:v>7191</x:v>
      </x:c>
      <x:c r="E775" s="7" t="s">
        <x:v>7192</x:v>
      </x:c>
    </x:row>
    <x:row r="776" ht="37.5" hidden="0" customHeight="1">
      <x:c r="A776" s="7" t="s">
        <x:v>7920</x:v>
      </x:c>
      <x:c r="B776" s="7" t="s">
        <x:v>802</x:v>
      </x:c>
      <x:c r="C776" s="7" t="s">
        <x:v>5</x:v>
      </x:c>
      <x:c r="D776" s="7" t="s">
        <x:v>7191</x:v>
      </x:c>
      <x:c r="E776" s="7" t="s">
        <x:v>7194</x:v>
      </x:c>
    </x:row>
    <x:row r="777" ht="30" hidden="0" customHeight="1">
      <x:c r="A777" s="7" t="s">
        <x:v>7921</x:v>
      </x:c>
      <x:c r="B777" s="7" t="s">
        <x:v>802</x:v>
      </x:c>
      <x:c r="C777" s="7" t="s">
        <x:v>1450</x:v>
      </x:c>
      <x:c r="D777" s="7" t="s">
        <x:v>7191</x:v>
      </x:c>
      <x:c r="E777" s="7" t="s">
        <x:v>7196</x:v>
      </x:c>
    </x:row>
    <x:row r="778" ht="30" hidden="0" customHeight="1">
      <x:c r="A778" s="7" t="s">
        <x:v>7922</x:v>
      </x:c>
      <x:c r="B778" s="7" t="s">
        <x:v>802</x:v>
      </x:c>
      <x:c r="C778" s="7" t="s">
        <x:v>7198</x:v>
      </x:c>
      <x:c r="D778" s="7" t="s">
        <x:v>7191</x:v>
      </x:c>
      <x:c r="E778" s="7" t="s">
        <x:v>7199</x:v>
      </x:c>
    </x:row>
    <x:row r="779" ht="30" hidden="0" customHeight="1">
      <x:c r="A779" s="7" t="s">
        <x:v>7923</x:v>
      </x:c>
      <x:c r="B779" s="7" t="s">
        <x:v>802</x:v>
      </x:c>
      <x:c r="C779" s="7" t="s">
        <x:v>7201</x:v>
      </x:c>
      <x:c r="D779" s="7" t="s">
        <x:v>7191</x:v>
      </x:c>
      <x:c r="E779" s="7" t="s">
        <x:v>7202</x:v>
      </x:c>
    </x:row>
    <x:row r="780" ht="37.5" hidden="0" customHeight="1">
      <x:c r="A780" s="7" t="s">
        <x:v>7924</x:v>
      </x:c>
      <x:c r="B780" s="7" t="s">
        <x:v>802</x:v>
      </x:c>
      <x:c r="C780" s="7" t="s">
        <x:v>7204</x:v>
      </x:c>
      <x:c r="D780" s="7" t="s">
        <x:v>7107</x:v>
      </x:c>
      <x:c r="E780" s="7" t="s">
        <x:v>7211</x:v>
      </x:c>
    </x:row>
    <x:row r="781" ht="37.5" hidden="0" customHeight="1">
      <x:c r="A781" s="7" t="s">
        <x:v>7925</x:v>
      </x:c>
      <x:c r="B781" s="7" t="s">
        <x:v>802</x:v>
      </x:c>
      <x:c r="C781" s="7" t="s">
        <x:v>7207</x:v>
      </x:c>
      <x:c r="D781" s="7" t="s">
        <x:v>7107</x:v>
      </x:c>
      <x:c r="E781" s="7" t="s">
        <x:v>7211</x:v>
      </x:c>
    </x:row>
    <x:row r="782" ht="37.5" hidden="0" customHeight="1">
      <x:c r="A782" s="7" t="s">
        <x:v>7926</x:v>
      </x:c>
      <x:c r="B782" s="7" t="s">
        <x:v>802</x:v>
      </x:c>
      <x:c r="C782" s="7" t="s">
        <x:v>7210</x:v>
      </x:c>
      <x:c r="D782" s="7" t="s">
        <x:v>7107</x:v>
      </x:c>
      <x:c r="E782" s="7" t="s">
        <x:v>7211</x:v>
      </x:c>
    </x:row>
    <x:row r="783" ht="51.75" hidden="0" customHeight="1">
      <x:c r="A783" s="7" t="s">
        <x:v>7927</x:v>
      </x:c>
      <x:c r="B783" s="7" t="s">
        <x:v>802</x:v>
      </x:c>
      <x:c r="C783" s="7" t="s">
        <x:v>7213</x:v>
      </x:c>
      <x:c r="D783" s="7" t="s">
        <x:v>7107</x:v>
      </x:c>
      <x:c r="E783" s="7" t="s">
        <x:v>7214</x:v>
      </x:c>
    </x:row>
    <x:row r="784" ht="37.5" hidden="0" customHeight="1">
      <x:c r="A784" s="7" t="s">
        <x:v>7928</x:v>
      </x:c>
      <x:c r="B784" s="7" t="s">
        <x:v>802</x:v>
      </x:c>
      <x:c r="C784" s="7" t="s">
        <x:v>7216</x:v>
      </x:c>
      <x:c r="D784" s="7" t="s">
        <x:v>7217</x:v>
      </x:c>
      <x:c r="E784" s="7" t="s">
        <x:v>7218</x:v>
      </x:c>
    </x:row>
    <x:row r="785" ht="30" hidden="0" customHeight="1">
      <x:c r="A785" s="7" t="s">
        <x:v>7929</x:v>
      </x:c>
      <x:c r="B785" s="7" t="s">
        <x:v>813</x:v>
      </x:c>
      <x:c r="C785" s="7" t="s">
        <x:v>7190</x:v>
      </x:c>
      <x:c r="D785" s="7" t="s">
        <x:v>7191</x:v>
      </x:c>
      <x:c r="E785" s="7" t="s">
        <x:v>7192</x:v>
      </x:c>
    </x:row>
    <x:row r="786" ht="37.5" hidden="0" customHeight="1">
      <x:c r="A786" s="7" t="s">
        <x:v>7930</x:v>
      </x:c>
      <x:c r="B786" s="7" t="s">
        <x:v>813</x:v>
      </x:c>
      <x:c r="C786" s="7" t="s">
        <x:v>5</x:v>
      </x:c>
      <x:c r="D786" s="7" t="s">
        <x:v>7191</x:v>
      </x:c>
      <x:c r="E786" s="7" t="s">
        <x:v>7194</x:v>
      </x:c>
    </x:row>
    <x:row r="787" ht="30" hidden="0" customHeight="1">
      <x:c r="A787" s="7" t="s">
        <x:v>7931</x:v>
      </x:c>
      <x:c r="B787" s="7" t="s">
        <x:v>813</x:v>
      </x:c>
      <x:c r="C787" s="7" t="s">
        <x:v>1450</x:v>
      </x:c>
      <x:c r="D787" s="7" t="s">
        <x:v>7191</x:v>
      </x:c>
      <x:c r="E787" s="7" t="s">
        <x:v>7196</x:v>
      </x:c>
    </x:row>
    <x:row r="788" ht="30" hidden="0" customHeight="1">
      <x:c r="A788" s="7" t="s">
        <x:v>7932</x:v>
      </x:c>
      <x:c r="B788" s="7" t="s">
        <x:v>813</x:v>
      </x:c>
      <x:c r="C788" s="7" t="s">
        <x:v>7198</x:v>
      </x:c>
      <x:c r="D788" s="7" t="s">
        <x:v>7191</x:v>
      </x:c>
      <x:c r="E788" s="7" t="s">
        <x:v>7199</x:v>
      </x:c>
    </x:row>
    <x:row r="789" ht="30" hidden="0" customHeight="1">
      <x:c r="A789" s="7" t="s">
        <x:v>7933</x:v>
      </x:c>
      <x:c r="B789" s="7" t="s">
        <x:v>813</x:v>
      </x:c>
      <x:c r="C789" s="7" t="s">
        <x:v>7201</x:v>
      </x:c>
      <x:c r="D789" s="7" t="s">
        <x:v>7191</x:v>
      </x:c>
      <x:c r="E789" s="7" t="s">
        <x:v>7202</x:v>
      </x:c>
    </x:row>
    <x:row r="790" ht="37.5" hidden="0" customHeight="1">
      <x:c r="A790" s="7" t="s">
        <x:v>7934</x:v>
      </x:c>
      <x:c r="B790" s="7" t="s">
        <x:v>813</x:v>
      </x:c>
      <x:c r="C790" s="7" t="s">
        <x:v>7204</x:v>
      </x:c>
      <x:c r="D790" s="7" t="s">
        <x:v>7191</x:v>
      </x:c>
      <x:c r="E790" s="7" t="str">
        <x:v>7 exposure, solubility or moisture record(s) from this material's own sources. Test conditions are rarely stated; not a chemical design limit.</x:v>
      </x:c>
    </x:row>
    <x:row r="791" ht="37.5" hidden="0" customHeight="1">
      <x:c r="A791" s="7" t="s">
        <x:v>7935</x:v>
      </x:c>
      <x:c r="B791" s="7" t="s">
        <x:v>813</x:v>
      </x:c>
      <x:c r="C791" s="7" t="s">
        <x:v>7207</x:v>
      </x:c>
      <x:c r="D791" s="7" t="s">
        <x:v>7191</x:v>
      </x:c>
      <x:c r="E791" s="7" t="s">
        <x:v>7208</x:v>
      </x:c>
    </x:row>
    <x:row r="792" ht="30" hidden="0" customHeight="1">
      <x:c r="A792" s="7" t="s">
        <x:v>7936</x:v>
      </x:c>
      <x:c r="B792" s="7" t="s">
        <x:v>813</x:v>
      </x:c>
      <x:c r="C792" s="7" t="s">
        <x:v>7210</x:v>
      </x:c>
      <x:c r="D792" s="7" t="s">
        <x:v>7191</x:v>
      </x:c>
      <x:c r="E792" s="7" t="s">
        <x:v>87</x:v>
      </x:c>
    </x:row>
    <x:row r="793" ht="51.75" hidden="0" customHeight="1">
      <x:c r="A793" s="7" t="s">
        <x:v>7937</x:v>
      </x:c>
      <x:c r="B793" s="7" t="s">
        <x:v>813</x:v>
      </x:c>
      <x:c r="C793" s="7" t="s">
        <x:v>7213</x:v>
      </x:c>
      <x:c r="D793" s="7" t="s">
        <x:v>7107</x:v>
      </x:c>
      <x:c r="E793" s="7" t="s">
        <x:v>7214</x:v>
      </x:c>
    </x:row>
    <x:row r="794" ht="37.5" hidden="0" customHeight="1">
      <x:c r="A794" s="7" t="s">
        <x:v>7938</x:v>
      </x:c>
      <x:c r="B794" s="7" t="s">
        <x:v>813</x:v>
      </x:c>
      <x:c r="C794" s="7" t="s">
        <x:v>7216</x:v>
      </x:c>
      <x:c r="D794" s="7" t="s">
        <x:v>7217</x:v>
      </x:c>
      <x:c r="E794" s="7" t="s">
        <x:v>7218</x:v>
      </x:c>
    </x:row>
    <x:row r="795" ht="30" hidden="0" customHeight="1">
      <x:c r="A795" s="7" t="s">
        <x:v>7939</x:v>
      </x:c>
      <x:c r="B795" s="7" t="s">
        <x:v>824</x:v>
      </x:c>
      <x:c r="C795" s="7" t="s">
        <x:v>7190</x:v>
      </x:c>
      <x:c r="D795" s="7" t="s">
        <x:v>7191</x:v>
      </x:c>
      <x:c r="E795" s="7" t="s">
        <x:v>7192</x:v>
      </x:c>
    </x:row>
    <x:row r="796" ht="37.5" hidden="0" customHeight="1">
      <x:c r="A796" s="7" t="s">
        <x:v>7940</x:v>
      </x:c>
      <x:c r="B796" s="7" t="s">
        <x:v>824</x:v>
      </x:c>
      <x:c r="C796" s="7" t="s">
        <x:v>5</x:v>
      </x:c>
      <x:c r="D796" s="7" t="s">
        <x:v>7191</x:v>
      </x:c>
      <x:c r="E796" s="7" t="s">
        <x:v>7194</x:v>
      </x:c>
    </x:row>
    <x:row r="797" ht="30" hidden="0" customHeight="1">
      <x:c r="A797" s="7" t="s">
        <x:v>7941</x:v>
      </x:c>
      <x:c r="B797" s="7" t="s">
        <x:v>824</x:v>
      </x:c>
      <x:c r="C797" s="7" t="s">
        <x:v>1450</x:v>
      </x:c>
      <x:c r="D797" s="7" t="s">
        <x:v>7191</x:v>
      </x:c>
      <x:c r="E797" s="7" t="s">
        <x:v>7196</x:v>
      </x:c>
    </x:row>
    <x:row r="798" ht="30" hidden="0" customHeight="1">
      <x:c r="A798" s="7" t="s">
        <x:v>7942</x:v>
      </x:c>
      <x:c r="B798" s="7" t="s">
        <x:v>824</x:v>
      </x:c>
      <x:c r="C798" s="7" t="s">
        <x:v>7198</x:v>
      </x:c>
      <x:c r="D798" s="7" t="s">
        <x:v>7191</x:v>
      </x:c>
      <x:c r="E798" s="7" t="s">
        <x:v>7199</x:v>
      </x:c>
    </x:row>
    <x:row r="799" ht="30" hidden="0" customHeight="1">
      <x:c r="A799" s="7" t="s">
        <x:v>7943</x:v>
      </x:c>
      <x:c r="B799" s="7" t="s">
        <x:v>824</x:v>
      </x:c>
      <x:c r="C799" s="7" t="s">
        <x:v>7201</x:v>
      </x:c>
      <x:c r="D799" s="7" t="s">
        <x:v>7191</x:v>
      </x:c>
      <x:c r="E799" s="7" t="s">
        <x:v>7202</x:v>
      </x:c>
    </x:row>
    <x:row r="800" ht="37.5" hidden="0" customHeight="1">
      <x:c r="A800" s="7" t="s">
        <x:v>7944</x:v>
      </x:c>
      <x:c r="B800" s="7" t="s">
        <x:v>824</x:v>
      </x:c>
      <x:c r="C800" s="7" t="s">
        <x:v>7204</x:v>
      </x:c>
      <x:c r="D800" s="7" t="str">
        <x:v>Gap</x:v>
      </x:c>
      <x:c r="E800" s="7" t="str">
        <x:v>No exposure, solubility or moisture record from this material's own sources. Records cited for its family are context, not evidence for this grade.</x:v>
      </x:c>
    </x:row>
    <x:row r="801" ht="37.5" hidden="0" customHeight="1">
      <x:c r="A801" s="7" t="s">
        <x:v>7945</x:v>
      </x:c>
      <x:c r="B801" s="7" t="s">
        <x:v>824</x:v>
      </x:c>
      <x:c r="C801" s="7" t="s">
        <x:v>7207</x:v>
      </x:c>
      <x:c r="D801" s="7" t="s">
        <x:v>7107</x:v>
      </x:c>
      <x:c r="E801" s="7" t="s">
        <x:v>7211</x:v>
      </x:c>
    </x:row>
    <x:row r="802" ht="37.5" hidden="0" customHeight="1">
      <x:c r="A802" s="7" t="s">
        <x:v>7946</x:v>
      </x:c>
      <x:c r="B802" s="7" t="s">
        <x:v>824</x:v>
      </x:c>
      <x:c r="C802" s="7" t="s">
        <x:v>7210</x:v>
      </x:c>
      <x:c r="D802" s="7" t="s">
        <x:v>7107</x:v>
      </x:c>
      <x:c r="E802" s="7" t="s">
        <x:v>7211</x:v>
      </x:c>
    </x:row>
    <x:row r="803" ht="51.75" hidden="0" customHeight="1">
      <x:c r="A803" s="7" t="s">
        <x:v>7947</x:v>
      </x:c>
      <x:c r="B803" s="7" t="s">
        <x:v>824</x:v>
      </x:c>
      <x:c r="C803" s="7" t="s">
        <x:v>7213</x:v>
      </x:c>
      <x:c r="D803" s="7" t="s">
        <x:v>7107</x:v>
      </x:c>
      <x:c r="E803" s="7" t="s">
        <x:v>7214</x:v>
      </x:c>
    </x:row>
    <x:row r="804" ht="37.5" hidden="0" customHeight="1">
      <x:c r="A804" s="7" t="s">
        <x:v>7948</x:v>
      </x:c>
      <x:c r="B804" s="7" t="s">
        <x:v>824</x:v>
      </x:c>
      <x:c r="C804" s="7" t="s">
        <x:v>7216</x:v>
      </x:c>
      <x:c r="D804" s="7" t="s">
        <x:v>7217</x:v>
      </x:c>
      <x:c r="E804" s="7" t="s">
        <x:v>7218</x:v>
      </x:c>
    </x:row>
    <x:row r="805" ht="30" hidden="0" customHeight="1">
      <x:c r="A805" s="7" t="s">
        <x:v>7949</x:v>
      </x:c>
      <x:c r="B805" s="7" t="s">
        <x:v>834</x:v>
      </x:c>
      <x:c r="C805" s="7" t="s">
        <x:v>7190</x:v>
      </x:c>
      <x:c r="D805" s="7" t="s">
        <x:v>7191</x:v>
      </x:c>
      <x:c r="E805" s="7" t="s">
        <x:v>7192</x:v>
      </x:c>
    </x:row>
    <x:row r="806" ht="37.5" hidden="0" customHeight="1">
      <x:c r="A806" s="7" t="s">
        <x:v>7950</x:v>
      </x:c>
      <x:c r="B806" s="7" t="s">
        <x:v>834</x:v>
      </x:c>
      <x:c r="C806" s="7" t="s">
        <x:v>5</x:v>
      </x:c>
      <x:c r="D806" s="7" t="s">
        <x:v>7191</x:v>
      </x:c>
      <x:c r="E806" s="7" t="s">
        <x:v>7194</x:v>
      </x:c>
    </x:row>
    <x:row r="807" ht="30" hidden="0" customHeight="1">
      <x:c r="A807" s="7" t="s">
        <x:v>7951</x:v>
      </x:c>
      <x:c r="B807" s="7" t="s">
        <x:v>834</x:v>
      </x:c>
      <x:c r="C807" s="7" t="s">
        <x:v>1450</x:v>
      </x:c>
      <x:c r="D807" s="7" t="s">
        <x:v>7191</x:v>
      </x:c>
      <x:c r="E807" s="7" t="s">
        <x:v>7196</x:v>
      </x:c>
    </x:row>
    <x:row r="808" ht="37.5" hidden="0" customHeight="1">
      <x:c r="A808" s="7" t="s">
        <x:v>7952</x:v>
      </x:c>
      <x:c r="B808" s="7" t="s">
        <x:v>834</x:v>
      </x:c>
      <x:c r="C808" s="7" t="s">
        <x:v>7198</x:v>
      </x:c>
      <x:c r="D808" s="7" t="s">
        <x:v>7107</x:v>
      </x:c>
      <x:c r="E808" s="7" t="s">
        <x:v>7211</x:v>
      </x:c>
    </x:row>
    <x:row r="809" ht="30" hidden="0" customHeight="1">
      <x:c r="A809" s="7" t="s">
        <x:v>7953</x:v>
      </x:c>
      <x:c r="B809" s="7" t="s">
        <x:v>834</x:v>
      </x:c>
      <x:c r="C809" s="7" t="s">
        <x:v>7201</x:v>
      </x:c>
      <x:c r="D809" s="7" t="s">
        <x:v>7191</x:v>
      </x:c>
      <x:c r="E809" s="7" t="s">
        <x:v>7202</x:v>
      </x:c>
    </x:row>
    <x:row r="810" ht="37.5" hidden="0" customHeight="1">
      <x:c r="A810" s="7" t="s">
        <x:v>7954</x:v>
      </x:c>
      <x:c r="B810" s="7" t="s">
        <x:v>834</x:v>
      </x:c>
      <x:c r="C810" s="7" t="s">
        <x:v>7204</x:v>
      </x:c>
      <x:c r="D810" s="7" t="s">
        <x:v>7191</x:v>
      </x:c>
      <x:c r="E810" s="7" t="str">
        <x:v>7 exposure, solubility or moisture record(s) from this material's own sources. Test conditions are rarely stated; not a chemical design limit.</x:v>
      </x:c>
    </x:row>
    <x:row r="811" ht="37.5" hidden="0" customHeight="1">
      <x:c r="A811" s="7" t="s">
        <x:v>7955</x:v>
      </x:c>
      <x:c r="B811" s="7" t="s">
        <x:v>834</x:v>
      </x:c>
      <x:c r="C811" s="7" t="s">
        <x:v>7207</x:v>
      </x:c>
      <x:c r="D811" s="7" t="s">
        <x:v>7107</x:v>
      </x:c>
      <x:c r="E811" s="7" t="s">
        <x:v>7211</x:v>
      </x:c>
    </x:row>
    <x:row r="812" ht="30" hidden="0" customHeight="1">
      <x:c r="A812" s="7" t="s">
        <x:v>7956</x:v>
      </x:c>
      <x:c r="B812" s="7" t="s">
        <x:v>834</x:v>
      </x:c>
      <x:c r="C812" s="7" t="s">
        <x:v>7210</x:v>
      </x:c>
      <x:c r="D812" s="7" t="s">
        <x:v>7191</x:v>
      </x:c>
      <x:c r="E812" s="7" t="s">
        <x:v>132</x:v>
      </x:c>
    </x:row>
    <x:row r="813" ht="51.75" hidden="0" customHeight="1">
      <x:c r="A813" s="7" t="s">
        <x:v>7957</x:v>
      </x:c>
      <x:c r="B813" s="7" t="s">
        <x:v>834</x:v>
      </x:c>
      <x:c r="C813" s="7" t="s">
        <x:v>7213</x:v>
      </x:c>
      <x:c r="D813" s="7" t="s">
        <x:v>7107</x:v>
      </x:c>
      <x:c r="E813" s="7" t="s">
        <x:v>7214</x:v>
      </x:c>
    </x:row>
    <x:row r="814" ht="37.5" hidden="0" customHeight="1">
      <x:c r="A814" s="7" t="s">
        <x:v>7958</x:v>
      </x:c>
      <x:c r="B814" s="7" t="s">
        <x:v>834</x:v>
      </x:c>
      <x:c r="C814" s="7" t="s">
        <x:v>7216</x:v>
      </x:c>
      <x:c r="D814" s="7" t="s">
        <x:v>7217</x:v>
      </x:c>
      <x:c r="E814" s="7" t="s">
        <x:v>7218</x:v>
      </x:c>
    </x:row>
    <x:row r="815" ht="37.5" hidden="0" customHeight="1">
      <x:c r="A815" s="7" t="s">
        <x:v>7959</x:v>
      </x:c>
      <x:c r="B815" s="7" t="s">
        <x:v>834</x:v>
      </x:c>
      <x:c r="C815" s="7" t="s">
        <x:v>7756</x:v>
      </x:c>
      <x:c r="D815" s="7" t="s">
        <x:v>7757</x:v>
      </x:c>
      <x:c r="E815" s="7" t="s">
        <x:v>7758</x:v>
      </x:c>
    </x:row>
    <x:row r="816" ht="30" hidden="0" customHeight="1">
      <x:c r="A816" s="7" t="s">
        <x:v>7960</x:v>
      </x:c>
      <x:c r="B816" s="7" t="s">
        <x:v>847</x:v>
      </x:c>
      <x:c r="C816" s="7" t="s">
        <x:v>7190</x:v>
      </x:c>
      <x:c r="D816" s="7" t="s">
        <x:v>7191</x:v>
      </x:c>
      <x:c r="E816" s="7" t="s">
        <x:v>7192</x:v>
      </x:c>
    </x:row>
    <x:row r="817" ht="37.5" hidden="0" customHeight="1">
      <x:c r="A817" s="7" t="s">
        <x:v>7961</x:v>
      </x:c>
      <x:c r="B817" s="7" t="s">
        <x:v>847</x:v>
      </x:c>
      <x:c r="C817" s="7" t="s">
        <x:v>5</x:v>
      </x:c>
      <x:c r="D817" s="7" t="s">
        <x:v>7191</x:v>
      </x:c>
      <x:c r="E817" s="7" t="s">
        <x:v>7194</x:v>
      </x:c>
    </x:row>
    <x:row r="818" ht="30" hidden="0" customHeight="1">
      <x:c r="A818" s="7" t="s">
        <x:v>7962</x:v>
      </x:c>
      <x:c r="B818" s="7" t="s">
        <x:v>847</x:v>
      </x:c>
      <x:c r="C818" s="7" t="s">
        <x:v>1450</x:v>
      </x:c>
      <x:c r="D818" s="7" t="s">
        <x:v>7191</x:v>
      </x:c>
      <x:c r="E818" s="7" t="s">
        <x:v>7196</x:v>
      </x:c>
    </x:row>
    <x:row r="819" ht="30" hidden="0" customHeight="1">
      <x:c r="A819" s="7" t="s">
        <x:v>7963</x:v>
      </x:c>
      <x:c r="B819" s="7" t="s">
        <x:v>847</x:v>
      </x:c>
      <x:c r="C819" s="7" t="s">
        <x:v>7198</x:v>
      </x:c>
      <x:c r="D819" s="7" t="s">
        <x:v>7191</x:v>
      </x:c>
      <x:c r="E819" s="7" t="s">
        <x:v>7199</x:v>
      </x:c>
    </x:row>
    <x:row r="820" ht="30" hidden="0" customHeight="1">
      <x:c r="A820" s="7" t="s">
        <x:v>7964</x:v>
      </x:c>
      <x:c r="B820" s="7" t="s">
        <x:v>847</x:v>
      </x:c>
      <x:c r="C820" s="7" t="s">
        <x:v>7201</x:v>
      </x:c>
      <x:c r="D820" s="7" t="s">
        <x:v>7191</x:v>
      </x:c>
      <x:c r="E820" s="7" t="s">
        <x:v>7202</x:v>
      </x:c>
    </x:row>
    <x:row r="821" ht="37.5" hidden="0" customHeight="1">
      <x:c r="A821" s="7" t="s">
        <x:v>7965</x:v>
      </x:c>
      <x:c r="B821" s="7" t="s">
        <x:v>847</x:v>
      </x:c>
      <x:c r="C821" s="7" t="s">
        <x:v>7204</x:v>
      </x:c>
      <x:c r="D821" s="7" t="s">
        <x:v>7107</x:v>
      </x:c>
      <x:c r="E821" s="7" t="s">
        <x:v>7211</x:v>
      </x:c>
    </x:row>
    <x:row r="822" ht="37.5" hidden="0" customHeight="1">
      <x:c r="A822" s="7" t="s">
        <x:v>7966</x:v>
      </x:c>
      <x:c r="B822" s="7" t="s">
        <x:v>847</x:v>
      </x:c>
      <x:c r="C822" s="7" t="s">
        <x:v>7207</x:v>
      </x:c>
      <x:c r="D822" s="7" t="s">
        <x:v>7107</x:v>
      </x:c>
      <x:c r="E822" s="7" t="s">
        <x:v>7211</x:v>
      </x:c>
    </x:row>
    <x:row r="823" ht="37.5" hidden="0" customHeight="1">
      <x:c r="A823" s="7" t="s">
        <x:v>7967</x:v>
      </x:c>
      <x:c r="B823" s="7" t="s">
        <x:v>847</x:v>
      </x:c>
      <x:c r="C823" s="7" t="s">
        <x:v>7210</x:v>
      </x:c>
      <x:c r="D823" s="7" t="s">
        <x:v>7107</x:v>
      </x:c>
      <x:c r="E823" s="7" t="s">
        <x:v>7211</x:v>
      </x:c>
    </x:row>
    <x:row r="824" ht="51.75" hidden="0" customHeight="1">
      <x:c r="A824" s="7" t="s">
        <x:v>7968</x:v>
      </x:c>
      <x:c r="B824" s="7" t="s">
        <x:v>847</x:v>
      </x:c>
      <x:c r="C824" s="7" t="s">
        <x:v>7213</x:v>
      </x:c>
      <x:c r="D824" s="7" t="s">
        <x:v>7107</x:v>
      </x:c>
      <x:c r="E824" s="7" t="s">
        <x:v>7214</x:v>
      </x:c>
    </x:row>
    <x:row r="825" ht="37.5" hidden="0" customHeight="1">
      <x:c r="A825" s="7" t="s">
        <x:v>7969</x:v>
      </x:c>
      <x:c r="B825" s="7" t="s">
        <x:v>847</x:v>
      </x:c>
      <x:c r="C825" s="7" t="s">
        <x:v>7216</x:v>
      </x:c>
      <x:c r="D825" s="7" t="s">
        <x:v>7217</x:v>
      </x:c>
      <x:c r="E825" s="7" t="s">
        <x:v>7218</x:v>
      </x:c>
    </x:row>
    <x:row r="826" ht="37.5" hidden="0" customHeight="1">
      <x:c r="A826" s="7" t="s">
        <x:v>7970</x:v>
      </x:c>
      <x:c r="B826" s="7" t="s">
        <x:v>847</x:v>
      </x:c>
      <x:c r="C826" s="7" t="s">
        <x:v>7756</x:v>
      </x:c>
      <x:c r="D826" s="7" t="s">
        <x:v>7757</x:v>
      </x:c>
      <x:c r="E826" s="7" t="s">
        <x:v>7758</x:v>
      </x:c>
    </x:row>
    <x:row r="827" ht="30" hidden="0" customHeight="1">
      <x:c r="A827" s="7" t="s">
        <x:v>7971</x:v>
      </x:c>
      <x:c r="B827" s="7" t="s">
        <x:v>856</x:v>
      </x:c>
      <x:c r="C827" s="7" t="s">
        <x:v>7190</x:v>
      </x:c>
      <x:c r="D827" s="7" t="s">
        <x:v>7191</x:v>
      </x:c>
      <x:c r="E827" s="7" t="s">
        <x:v>7192</x:v>
      </x:c>
    </x:row>
    <x:row r="828" ht="37.5" hidden="0" customHeight="1">
      <x:c r="A828" s="7" t="s">
        <x:v>7972</x:v>
      </x:c>
      <x:c r="B828" s="7" t="s">
        <x:v>856</x:v>
      </x:c>
      <x:c r="C828" s="7" t="s">
        <x:v>5</x:v>
      </x:c>
      <x:c r="D828" s="7" t="s">
        <x:v>7191</x:v>
      </x:c>
      <x:c r="E828" s="7" t="s">
        <x:v>7194</x:v>
      </x:c>
    </x:row>
    <x:row r="829" ht="37.5" hidden="0" customHeight="1">
      <x:c r="A829" s="7" t="s">
        <x:v>7973</x:v>
      </x:c>
      <x:c r="B829" s="7" t="s">
        <x:v>856</x:v>
      </x:c>
      <x:c r="C829" s="7" t="s">
        <x:v>1450</x:v>
      </x:c>
      <x:c r="D829" s="7" t="str">
        <x:v>Evidence recorded</x:v>
      </x:c>
      <x:c r="E829" s="7" t="str">
        <x:v>Exact grade-specific nozzle, bed, chamber, drying, cooling, speed, overhang and bridging guidance recorded from the Bambu TDS.</x:v>
      </x:c>
    </x:row>
    <x:row r="830" ht="37.5" hidden="0" customHeight="1">
      <x:c r="A830" s="7" t="s">
        <x:v>7974</x:v>
      </x:c>
      <x:c r="B830" s="7" t="s">
        <x:v>856</x:v>
      </x:c>
      <x:c r="C830" s="7" t="s">
        <x:v>7198</x:v>
      </x:c>
      <x:c r="D830" s="7" t="str">
        <x:v>Gap</x:v>
      </x:c>
      <x:c r="E830" s="7" t="str">
        <x:v>Exact TDS reviewed; every mechanical field is explicitly N/A. No adjacent-product values substituted.</x:v>
      </x:c>
    </x:row>
    <x:row r="831" ht="37.5" hidden="0" customHeight="1">
      <x:c r="A831" s="7" t="s">
        <x:v>7975</x:v>
      </x:c>
      <x:c r="B831" s="7" t="s">
        <x:v>856</x:v>
      </x:c>
      <x:c r="C831" s="7" t="s">
        <x:v>7201</x:v>
      </x:c>
      <x:c r="D831" s="7" t="str">
        <x:v>Evidence recorded</x:v>
      </x:c>
      <x:c r="E831" s="7" t="str">
        <x:v>Melting temperature recorded; Tg, crystallization, Vicat and HDT are explicitly N/A in the exact TDS.</x:v>
      </x:c>
    </x:row>
    <x:row r="832" ht="37.5" hidden="0" customHeight="1">
      <x:c r="A832" s="7" t="s">
        <x:v>7976</x:v>
      </x:c>
      <x:c r="B832" s="7" t="s">
        <x:v>856</x:v>
      </x:c>
      <x:c r="C832" s="7" t="s">
        <x:v>7204</x:v>
      </x:c>
      <x:c r="D832" s="7" t="str">
        <x:v>Evidence recorded</x:v>
      </x:c>
      <x:c r="E832" s="7" t="str">
        <x:v>Storage humidity, water absorption, stability and qualitative chemical-resistance statements recorded from the exact TDS.</x:v>
      </x:c>
    </x:row>
    <x:row r="833" ht="37.5" hidden="0" customHeight="1">
      <x:c r="A833" s="7" t="s">
        <x:v>7977</x:v>
      </x:c>
      <x:c r="B833" s="7" t="s">
        <x:v>856</x:v>
      </x:c>
      <x:c r="C833" s="7" t="s">
        <x:v>7207</x:v>
      </x:c>
      <x:c r="D833" s="7" t="str">
        <x:v>Evidence recorded</x:v>
      </x:c>
      <x:c r="E833" s="7" t="str">
        <x:v>Support-interface purpose and pairing limitation recorded from official Bambu evidence.</x:v>
      </x:c>
    </x:row>
    <x:row r="834" ht="37.5" hidden="0" customHeight="1">
      <x:c r="A834" s="7" t="s">
        <x:v>7978</x:v>
      </x:c>
      <x:c r="B834" s="7" t="s">
        <x:v>856</x:v>
      </x:c>
      <x:c r="C834" s="7" t="s">
        <x:v>7210</x:v>
      </x:c>
      <x:c r="D834" s="7" t="s">
        <x:v>7107</x:v>
      </x:c>
      <x:c r="E834" s="7" t="s">
        <x:v>7211</x:v>
      </x:c>
    </x:row>
    <x:row r="835" ht="51.75" hidden="0" customHeight="1">
      <x:c r="A835" s="7" t="s">
        <x:v>7979</x:v>
      </x:c>
      <x:c r="B835" s="7" t="s">
        <x:v>856</x:v>
      </x:c>
      <x:c r="C835" s="7" t="s">
        <x:v>7213</x:v>
      </x:c>
      <x:c r="D835" s="7" t="s">
        <x:v>7107</x:v>
      </x:c>
      <x:c r="E835" s="7" t="s">
        <x:v>7214</x:v>
      </x:c>
    </x:row>
    <x:row r="836" ht="37.5" hidden="0" customHeight="1">
      <x:c r="A836" s="7" t="s">
        <x:v>7980</x:v>
      </x:c>
      <x:c r="B836" s="7" t="s">
        <x:v>856</x:v>
      </x:c>
      <x:c r="C836" s="7" t="s">
        <x:v>7756</x:v>
      </x:c>
      <x:c r="D836" s="7" t="s">
        <x:v>7757</x:v>
      </x:c>
      <x:c r="E836" s="7" t="s">
        <x:v>7758</x:v>
      </x:c>
    </x:row>
    <x:row r="837" ht="30" hidden="0" customHeight="1">
      <x:c r="A837" s="7" t="s">
        <x:v>7981</x:v>
      </x:c>
      <x:c r="B837" s="7" t="s">
        <x:v>861</x:v>
      </x:c>
      <x:c r="C837" s="7" t="s">
        <x:v>7190</x:v>
      </x:c>
      <x:c r="D837" s="7" t="s">
        <x:v>7191</x:v>
      </x:c>
      <x:c r="E837" s="7" t="s">
        <x:v>7192</x:v>
      </x:c>
    </x:row>
    <x:row r="838" ht="37.5" hidden="0" customHeight="1">
      <x:c r="A838" s="7" t="s">
        <x:v>7982</x:v>
      </x:c>
      <x:c r="B838" s="7" t="s">
        <x:v>861</x:v>
      </x:c>
      <x:c r="C838" s="7" t="s">
        <x:v>5</x:v>
      </x:c>
      <x:c r="D838" s="7" t="s">
        <x:v>7191</x:v>
      </x:c>
      <x:c r="E838" s="7" t="s">
        <x:v>7194</x:v>
      </x:c>
    </x:row>
    <x:row r="839" ht="30" hidden="0" customHeight="1">
      <x:c r="A839" s="7" t="s">
        <x:v>7983</x:v>
      </x:c>
      <x:c r="B839" s="7" t="s">
        <x:v>861</x:v>
      </x:c>
      <x:c r="C839" s="7" t="s">
        <x:v>1450</x:v>
      </x:c>
      <x:c r="D839" s="7" t="s">
        <x:v>7191</x:v>
      </x:c>
      <x:c r="E839" s="7" t="s">
        <x:v>7196</x:v>
      </x:c>
    </x:row>
    <x:row r="840" ht="37.5" hidden="0" customHeight="1">
      <x:c r="A840" s="7" t="s">
        <x:v>7984</x:v>
      </x:c>
      <x:c r="B840" s="7" t="s">
        <x:v>861</x:v>
      </x:c>
      <x:c r="C840" s="7" t="s">
        <x:v>7198</x:v>
      </x:c>
      <x:c r="D840" s="7" t="s">
        <x:v>7107</x:v>
      </x:c>
      <x:c r="E840" s="7" t="s">
        <x:v>7211</x:v>
      </x:c>
    </x:row>
    <x:row r="841" ht="30" hidden="0" customHeight="1">
      <x:c r="A841" s="7" t="s">
        <x:v>7985</x:v>
      </x:c>
      <x:c r="B841" s="7" t="s">
        <x:v>861</x:v>
      </x:c>
      <x:c r="C841" s="7" t="s">
        <x:v>7201</x:v>
      </x:c>
      <x:c r="D841" s="7" t="s">
        <x:v>7191</x:v>
      </x:c>
      <x:c r="E841" s="7" t="s">
        <x:v>7202</x:v>
      </x:c>
    </x:row>
    <x:row r="842" ht="37.5" hidden="0" customHeight="1">
      <x:c r="A842" s="7" t="s">
        <x:v>7986</x:v>
      </x:c>
      <x:c r="B842" s="7" t="s">
        <x:v>861</x:v>
      </x:c>
      <x:c r="C842" s="7" t="s">
        <x:v>7204</x:v>
      </x:c>
      <x:c r="D842" s="7" t="s">
        <x:v>7191</x:v>
      </x:c>
      <x:c r="E842" s="7" t="str">
        <x:v>5 exposure, solubility or moisture record(s) from this material's own sources. Test conditions are rarely stated; not a chemical design limit.</x:v>
      </x:c>
    </x:row>
    <x:row r="843" ht="37.5" hidden="0" customHeight="1">
      <x:c r="A843" s="7" t="s">
        <x:v>7987</x:v>
      </x:c>
      <x:c r="B843" s="7" t="s">
        <x:v>861</x:v>
      </x:c>
      <x:c r="C843" s="7" t="s">
        <x:v>7207</x:v>
      </x:c>
      <x:c r="D843" s="7" t="s">
        <x:v>7107</x:v>
      </x:c>
      <x:c r="E843" s="7" t="s">
        <x:v>7211</x:v>
      </x:c>
    </x:row>
    <x:row r="844" ht="30" hidden="0" customHeight="1">
      <x:c r="A844" s="7" t="s">
        <x:v>7988</x:v>
      </x:c>
      <x:c r="B844" s="7" t="s">
        <x:v>861</x:v>
      </x:c>
      <x:c r="C844" s="7" t="s">
        <x:v>7210</x:v>
      </x:c>
      <x:c r="D844" s="7" t="s">
        <x:v>7191</x:v>
      </x:c>
      <x:c r="E844" s="7" t="s">
        <x:v>87</x:v>
      </x:c>
    </x:row>
    <x:row r="845" ht="51.75" hidden="0" customHeight="1">
      <x:c r="A845" s="7" t="s">
        <x:v>7989</x:v>
      </x:c>
      <x:c r="B845" s="7" t="s">
        <x:v>861</x:v>
      </x:c>
      <x:c r="C845" s="7" t="s">
        <x:v>7213</x:v>
      </x:c>
      <x:c r="D845" s="7" t="s">
        <x:v>7107</x:v>
      </x:c>
      <x:c r="E845" s="7" t="s">
        <x:v>7214</x:v>
      </x:c>
    </x:row>
    <x:row r="846" ht="37.5" hidden="0" customHeight="1">
      <x:c r="A846" s="7" t="s">
        <x:v>7990</x:v>
      </x:c>
      <x:c r="B846" s="7" t="s">
        <x:v>861</x:v>
      </x:c>
      <x:c r="C846" s="7" t="s">
        <x:v>7216</x:v>
      </x:c>
      <x:c r="D846" s="7" t="s">
        <x:v>7217</x:v>
      </x:c>
      <x:c r="E846" s="7" t="s">
        <x:v>7218</x:v>
      </x:c>
    </x:row>
    <x:row r="847" ht="37.5" hidden="0" customHeight="1">
      <x:c r="A847" s="7" t="s">
        <x:v>7991</x:v>
      </x:c>
      <x:c r="B847" s="7" t="s">
        <x:v>861</x:v>
      </x:c>
      <x:c r="C847" s="7" t="s">
        <x:v>7756</x:v>
      </x:c>
      <x:c r="D847" s="7" t="s">
        <x:v>7757</x:v>
      </x:c>
      <x:c r="E847" s="7" t="s">
        <x:v>7758</x:v>
      </x:c>
    </x:row>
    <x:row r="848" ht="30" hidden="0" customHeight="1">
      <x:c r="A848" s="7" t="s">
        <x:v>7992</x:v>
      </x:c>
      <x:c r="B848" s="7" t="s">
        <x:v>870</x:v>
      </x:c>
      <x:c r="C848" s="7" t="s">
        <x:v>7190</x:v>
      </x:c>
      <x:c r="D848" s="7" t="s">
        <x:v>7191</x:v>
      </x:c>
      <x:c r="E848" s="7" t="s">
        <x:v>7192</x:v>
      </x:c>
    </x:row>
    <x:row r="849" ht="37.5" hidden="0" customHeight="1">
      <x:c r="A849" s="7" t="s">
        <x:v>7993</x:v>
      </x:c>
      <x:c r="B849" s="7" t="s">
        <x:v>870</x:v>
      </x:c>
      <x:c r="C849" s="7" t="s">
        <x:v>5</x:v>
      </x:c>
      <x:c r="D849" s="7" t="s">
        <x:v>7191</x:v>
      </x:c>
      <x:c r="E849" s="7" t="s">
        <x:v>7194</x:v>
      </x:c>
    </x:row>
    <x:row r="850" ht="30" hidden="0" customHeight="1">
      <x:c r="A850" s="7" t="s">
        <x:v>7994</x:v>
      </x:c>
      <x:c r="B850" s="7" t="s">
        <x:v>870</x:v>
      </x:c>
      <x:c r="C850" s="7" t="s">
        <x:v>1450</x:v>
      </x:c>
      <x:c r="D850" s="7" t="s">
        <x:v>7191</x:v>
      </x:c>
      <x:c r="E850" s="7" t="s">
        <x:v>7196</x:v>
      </x:c>
    </x:row>
    <x:row r="851" ht="37.5" hidden="0" customHeight="1">
      <x:c r="A851" s="7" t="s">
        <x:v>7995</x:v>
      </x:c>
      <x:c r="B851" s="7" t="s">
        <x:v>870</x:v>
      </x:c>
      <x:c r="C851" s="7" t="s">
        <x:v>7198</x:v>
      </x:c>
      <x:c r="D851" s="7" t="s">
        <x:v>7107</x:v>
      </x:c>
      <x:c r="E851" s="7" t="s">
        <x:v>7211</x:v>
      </x:c>
    </x:row>
    <x:row r="852" ht="30" hidden="0" customHeight="1">
      <x:c r="A852" s="7" t="s">
        <x:v>7996</x:v>
      </x:c>
      <x:c r="B852" s="7" t="s">
        <x:v>870</x:v>
      </x:c>
      <x:c r="C852" s="7" t="s">
        <x:v>7201</x:v>
      </x:c>
      <x:c r="D852" s="7" t="s">
        <x:v>7191</x:v>
      </x:c>
      <x:c r="E852" s="7" t="s">
        <x:v>7202</x:v>
      </x:c>
    </x:row>
    <x:row r="853" ht="37.5" hidden="0" customHeight="1">
      <x:c r="A853" s="7" t="s">
        <x:v>7997</x:v>
      </x:c>
      <x:c r="B853" s="7" t="s">
        <x:v>870</x:v>
      </x:c>
      <x:c r="C853" s="7" t="s">
        <x:v>7204</x:v>
      </x:c>
      <x:c r="D853" s="7" t="s">
        <x:v>7191</x:v>
      </x:c>
      <x:c r="E853" s="7" t="s">
        <x:v>7205</x:v>
      </x:c>
    </x:row>
    <x:row r="854" ht="37.5" hidden="0" customHeight="1">
      <x:c r="A854" s="7" t="s">
        <x:v>7998</x:v>
      </x:c>
      <x:c r="B854" s="7" t="s">
        <x:v>870</x:v>
      </x:c>
      <x:c r="C854" s="7" t="s">
        <x:v>7207</x:v>
      </x:c>
      <x:c r="D854" s="7" t="s">
        <x:v>7107</x:v>
      </x:c>
      <x:c r="E854" s="7" t="s">
        <x:v>7211</x:v>
      </x:c>
    </x:row>
    <x:row r="855" ht="30" hidden="0" customHeight="1">
      <x:c r="A855" s="7" t="s">
        <x:v>7999</x:v>
      </x:c>
      <x:c r="B855" s="7" t="s">
        <x:v>870</x:v>
      </x:c>
      <x:c r="C855" s="7" t="s">
        <x:v>7210</x:v>
      </x:c>
      <x:c r="D855" s="7" t="s">
        <x:v>7191</x:v>
      </x:c>
      <x:c r="E855" s="7" t="s">
        <x:v>132</x:v>
      </x:c>
    </x:row>
    <x:row r="856" ht="51.75" hidden="0" customHeight="1">
      <x:c r="A856" s="7" t="s">
        <x:v>8000</x:v>
      </x:c>
      <x:c r="B856" s="7" t="s">
        <x:v>870</x:v>
      </x:c>
      <x:c r="C856" s="7" t="s">
        <x:v>7213</x:v>
      </x:c>
      <x:c r="D856" s="7" t="s">
        <x:v>7107</x:v>
      </x:c>
      <x:c r="E856" s="7" t="s">
        <x:v>7214</x:v>
      </x:c>
    </x:row>
    <x:row r="857" ht="37.5" hidden="0" customHeight="1">
      <x:c r="A857" s="7" t="s">
        <x:v>8001</x:v>
      </x:c>
      <x:c r="B857" s="7" t="s">
        <x:v>870</x:v>
      </x:c>
      <x:c r="C857" s="7" t="s">
        <x:v>7216</x:v>
      </x:c>
      <x:c r="D857" s="7" t="s">
        <x:v>7217</x:v>
      </x:c>
      <x:c r="E857" s="7" t="s">
        <x:v>7218</x:v>
      </x:c>
    </x:row>
    <x:row r="858" ht="37.5" hidden="0" customHeight="1">
      <x:c r="A858" s="7" t="s">
        <x:v>8002</x:v>
      </x:c>
      <x:c r="B858" s="7" t="s">
        <x:v>870</x:v>
      </x:c>
      <x:c r="C858" s="7" t="s">
        <x:v>7756</x:v>
      </x:c>
      <x:c r="D858" s="7" t="s">
        <x:v>7757</x:v>
      </x:c>
      <x:c r="E858" s="7" t="s">
        <x:v>7758</x:v>
      </x:c>
    </x:row>
    <x:row r="859" ht="30" hidden="0" customHeight="1">
      <x:c r="A859" s="7" t="s">
        <x:v>8003</x:v>
      </x:c>
      <x:c r="B859" s="7" t="s">
        <x:v>878</x:v>
      </x:c>
      <x:c r="C859" s="7" t="s">
        <x:v>7190</x:v>
      </x:c>
      <x:c r="D859" s="7" t="s">
        <x:v>7191</x:v>
      </x:c>
      <x:c r="E859" s="7" t="s">
        <x:v>7192</x:v>
      </x:c>
    </x:row>
    <x:row r="860" ht="37.5" hidden="0" customHeight="1">
      <x:c r="A860" s="7" t="s">
        <x:v>8004</x:v>
      </x:c>
      <x:c r="B860" s="7" t="s">
        <x:v>878</x:v>
      </x:c>
      <x:c r="C860" s="7" t="s">
        <x:v>5</x:v>
      </x:c>
      <x:c r="D860" s="7" t="s">
        <x:v>7191</x:v>
      </x:c>
      <x:c r="E860" s="7" t="s">
        <x:v>7194</x:v>
      </x:c>
    </x:row>
    <x:row r="861" ht="30" hidden="0" customHeight="1">
      <x:c r="A861" s="7" t="s">
        <x:v>8005</x:v>
      </x:c>
      <x:c r="B861" s="7" t="s">
        <x:v>878</x:v>
      </x:c>
      <x:c r="C861" s="7" t="s">
        <x:v>1450</x:v>
      </x:c>
      <x:c r="D861" s="7" t="s">
        <x:v>7191</x:v>
      </x:c>
      <x:c r="E861" s="7" t="s">
        <x:v>7196</x:v>
      </x:c>
    </x:row>
    <x:row r="862" ht="37.5" hidden="0" customHeight="1">
      <x:c r="A862" s="7" t="s">
        <x:v>8006</x:v>
      </x:c>
      <x:c r="B862" s="7" t="s">
        <x:v>878</x:v>
      </x:c>
      <x:c r="C862" s="7" t="s">
        <x:v>7198</x:v>
      </x:c>
      <x:c r="D862" s="7" t="s">
        <x:v>7107</x:v>
      </x:c>
      <x:c r="E862" s="7" t="s">
        <x:v>7211</x:v>
      </x:c>
    </x:row>
    <x:row r="863" ht="30" hidden="0" customHeight="1">
      <x:c r="A863" s="7" t="s">
        <x:v>8007</x:v>
      </x:c>
      <x:c r="B863" s="7" t="s">
        <x:v>878</x:v>
      </x:c>
      <x:c r="C863" s="7" t="s">
        <x:v>7201</x:v>
      </x:c>
      <x:c r="D863" s="7" t="s">
        <x:v>7191</x:v>
      </x:c>
      <x:c r="E863" s="7" t="s">
        <x:v>7202</x:v>
      </x:c>
    </x:row>
    <x:row r="864" ht="37.5" hidden="0" customHeight="1">
      <x:c r="A864" s="7" t="s">
        <x:v>8008</x:v>
      </x:c>
      <x:c r="B864" s="7" t="s">
        <x:v>878</x:v>
      </x:c>
      <x:c r="C864" s="7" t="s">
        <x:v>7204</x:v>
      </x:c>
      <x:c r="D864" s="7" t="s">
        <x:v>7191</x:v>
      </x:c>
      <x:c r="E864" s="7" t="str">
        <x:v>5 exposure, solubility or moisture record(s) from this material's own sources. Test conditions are rarely stated; not a chemical design limit.</x:v>
      </x:c>
    </x:row>
    <x:row r="865" ht="37.5" hidden="0" customHeight="1">
      <x:c r="A865" s="7" t="s">
        <x:v>8009</x:v>
      </x:c>
      <x:c r="B865" s="7" t="s">
        <x:v>878</x:v>
      </x:c>
      <x:c r="C865" s="7" t="s">
        <x:v>7207</x:v>
      </x:c>
      <x:c r="D865" s="7" t="s">
        <x:v>7107</x:v>
      </x:c>
      <x:c r="E865" s="7" t="s">
        <x:v>7211</x:v>
      </x:c>
    </x:row>
    <x:row r="866" ht="37.5" hidden="0" customHeight="1">
      <x:c r="A866" s="7" t="s">
        <x:v>8010</x:v>
      </x:c>
      <x:c r="B866" s="7" t="s">
        <x:v>878</x:v>
      </x:c>
      <x:c r="C866" s="7" t="s">
        <x:v>7210</x:v>
      </x:c>
      <x:c r="D866" s="7" t="s">
        <x:v>7107</x:v>
      </x:c>
      <x:c r="E866" s="7" t="s">
        <x:v>7211</x:v>
      </x:c>
    </x:row>
    <x:row r="867" ht="51.75" hidden="0" customHeight="1">
      <x:c r="A867" s="7" t="s">
        <x:v>8011</x:v>
      </x:c>
      <x:c r="B867" s="7" t="s">
        <x:v>878</x:v>
      </x:c>
      <x:c r="C867" s="7" t="s">
        <x:v>7213</x:v>
      </x:c>
      <x:c r="D867" s="7" t="s">
        <x:v>7107</x:v>
      </x:c>
      <x:c r="E867" s="7" t="s">
        <x:v>7214</x:v>
      </x:c>
    </x:row>
    <x:row r="868" ht="37.5" hidden="0" customHeight="1">
      <x:c r="A868" s="7" t="s">
        <x:v>8012</x:v>
      </x:c>
      <x:c r="B868" s="7" t="s">
        <x:v>878</x:v>
      </x:c>
      <x:c r="C868" s="7" t="s">
        <x:v>7216</x:v>
      </x:c>
      <x:c r="D868" s="7" t="s">
        <x:v>7217</x:v>
      </x:c>
      <x:c r="E868" s="7" t="s">
        <x:v>7218</x:v>
      </x:c>
    </x:row>
    <x:row r="869" ht="37.5" hidden="0" customHeight="1">
      <x:c r="A869" s="7" t="s">
        <x:v>8013</x:v>
      </x:c>
      <x:c r="B869" s="7" t="s">
        <x:v>878</x:v>
      </x:c>
      <x:c r="C869" s="7" t="s">
        <x:v>7756</x:v>
      </x:c>
      <x:c r="D869" s="7" t="s">
        <x:v>7757</x:v>
      </x:c>
      <x:c r="E869" s="7" t="s">
        <x:v>7758</x:v>
      </x:c>
    </x:row>
    <x:row r="870" ht="30" hidden="0" customHeight="1">
      <x:c r="A870" s="7" t="s">
        <x:v>8014</x:v>
      </x:c>
      <x:c r="B870" s="7" t="s">
        <x:v>884</x:v>
      </x:c>
      <x:c r="C870" s="7" t="s">
        <x:v>7190</x:v>
      </x:c>
      <x:c r="D870" s="7" t="s">
        <x:v>7191</x:v>
      </x:c>
      <x:c r="E870" s="7" t="s">
        <x:v>7192</x:v>
      </x:c>
    </x:row>
    <x:row r="871" ht="37.5" hidden="0" customHeight="1">
      <x:c r="A871" s="7" t="s">
        <x:v>8015</x:v>
      </x:c>
      <x:c r="B871" s="7" t="s">
        <x:v>884</x:v>
      </x:c>
      <x:c r="C871" s="7" t="s">
        <x:v>5</x:v>
      </x:c>
      <x:c r="D871" s="7" t="s">
        <x:v>7191</x:v>
      </x:c>
      <x:c r="E871" s="7" t="s">
        <x:v>7194</x:v>
      </x:c>
    </x:row>
    <x:row r="872" ht="30" hidden="0" customHeight="1">
      <x:c r="A872" s="7" t="s">
        <x:v>8016</x:v>
      </x:c>
      <x:c r="B872" s="7" t="s">
        <x:v>884</x:v>
      </x:c>
      <x:c r="C872" s="7" t="s">
        <x:v>1450</x:v>
      </x:c>
      <x:c r="D872" s="7" t="s">
        <x:v>7191</x:v>
      </x:c>
      <x:c r="E872" s="7" t="s">
        <x:v>7196</x:v>
      </x:c>
    </x:row>
    <x:row r="873" ht="30" hidden="0" customHeight="1">
      <x:c r="A873" s="7" t="s">
        <x:v>8017</x:v>
      </x:c>
      <x:c r="B873" s="7" t="s">
        <x:v>884</x:v>
      </x:c>
      <x:c r="C873" s="7" t="s">
        <x:v>7198</x:v>
      </x:c>
      <x:c r="D873" s="7" t="s">
        <x:v>7191</x:v>
      </x:c>
      <x:c r="E873" s="7" t="s">
        <x:v>7199</x:v>
      </x:c>
    </x:row>
    <x:row r="874" ht="30" hidden="0" customHeight="1">
      <x:c r="A874" s="7" t="s">
        <x:v>8018</x:v>
      </x:c>
      <x:c r="B874" s="7" t="s">
        <x:v>884</x:v>
      </x:c>
      <x:c r="C874" s="7" t="s">
        <x:v>7201</x:v>
      </x:c>
      <x:c r="D874" s="7" t="s">
        <x:v>7191</x:v>
      </x:c>
      <x:c r="E874" s="7" t="s">
        <x:v>7202</x:v>
      </x:c>
    </x:row>
    <x:row r="875" ht="37.5" hidden="0" customHeight="1">
      <x:c r="A875" s="7" t="s">
        <x:v>8019</x:v>
      </x:c>
      <x:c r="B875" s="7" t="s">
        <x:v>884</x:v>
      </x:c>
      <x:c r="C875" s="7" t="s">
        <x:v>7204</x:v>
      </x:c>
      <x:c r="D875" s="7" t="s">
        <x:v>7191</x:v>
      </x:c>
      <x:c r="E875" s="7" t="s">
        <x:v>7205</x:v>
      </x:c>
    </x:row>
    <x:row r="876" ht="37.5" hidden="0" customHeight="1">
      <x:c r="A876" s="7" t="s">
        <x:v>8020</x:v>
      </x:c>
      <x:c r="B876" s="7" t="s">
        <x:v>884</x:v>
      </x:c>
      <x:c r="C876" s="7" t="s">
        <x:v>7207</x:v>
      </x:c>
      <x:c r="D876" s="7" t="s">
        <x:v>7191</x:v>
      </x:c>
      <x:c r="E876" s="7" t="s">
        <x:v>7208</x:v>
      </x:c>
    </x:row>
    <x:row r="877" ht="30" hidden="0" customHeight="1">
      <x:c r="A877" s="7" t="s">
        <x:v>8021</x:v>
      </x:c>
      <x:c r="B877" s="7" t="s">
        <x:v>884</x:v>
      </x:c>
      <x:c r="C877" s="7" t="s">
        <x:v>7210</x:v>
      </x:c>
      <x:c r="D877" s="7" t="s">
        <x:v>7191</x:v>
      </x:c>
      <x:c r="E877" s="7" t="s">
        <x:v>132</x:v>
      </x:c>
    </x:row>
    <x:row r="878" ht="51.75" hidden="0" customHeight="1">
      <x:c r="A878" s="7" t="s">
        <x:v>8022</x:v>
      </x:c>
      <x:c r="B878" s="7" t="s">
        <x:v>884</x:v>
      </x:c>
      <x:c r="C878" s="7" t="s">
        <x:v>7213</x:v>
      </x:c>
      <x:c r="D878" s="7" t="s">
        <x:v>7107</x:v>
      </x:c>
      <x:c r="E878" s="7" t="s">
        <x:v>7214</x:v>
      </x:c>
    </x:row>
    <x:row r="879" ht="37.5" hidden="0" customHeight="1">
      <x:c r="A879" s="7" t="s">
        <x:v>8023</x:v>
      </x:c>
      <x:c r="B879" s="7" t="s">
        <x:v>884</x:v>
      </x:c>
      <x:c r="C879" s="7" t="s">
        <x:v>7216</x:v>
      </x:c>
      <x:c r="D879" s="7" t="s">
        <x:v>7217</x:v>
      </x:c>
      <x:c r="E879" s="7" t="s">
        <x:v>7218</x:v>
      </x:c>
    </x:row>
    <x:row r="880" ht="30" hidden="0" customHeight="1">
      <x:c r="A880" s="7" t="s">
        <x:v>8024</x:v>
      </x:c>
      <x:c r="B880" s="7" t="s">
        <x:v>898</x:v>
      </x:c>
      <x:c r="C880" s="7" t="s">
        <x:v>7190</x:v>
      </x:c>
      <x:c r="D880" s="7" t="s">
        <x:v>7191</x:v>
      </x:c>
      <x:c r="E880" s="7" t="s">
        <x:v>7192</x:v>
      </x:c>
    </x:row>
    <x:row r="881" ht="37.5" hidden="0" customHeight="1">
      <x:c r="A881" s="7" t="s">
        <x:v>8025</x:v>
      </x:c>
      <x:c r="B881" s="7" t="s">
        <x:v>898</x:v>
      </x:c>
      <x:c r="C881" s="7" t="s">
        <x:v>5</x:v>
      </x:c>
      <x:c r="D881" s="7" t="s">
        <x:v>7191</x:v>
      </x:c>
      <x:c r="E881" s="7" t="s">
        <x:v>7194</x:v>
      </x:c>
    </x:row>
    <x:row r="882" ht="37.5" hidden="0" customHeight="1">
      <x:c r="A882" s="7" t="s">
        <x:v>8026</x:v>
      </x:c>
      <x:c r="B882" s="7" t="s">
        <x:v>898</x:v>
      </x:c>
      <x:c r="C882" s="7" t="s">
        <x:v>1450</x:v>
      </x:c>
      <x:c r="D882" s="7" t="str">
        <x:v>Partially resolved</x:v>
      </x:c>
      <x:c r="E882" s="7" t="str">
        <x:v>Only a bed temperature (40-60 °C, P0104) is published. Nozzle and chamber temperatures are not.</x:v>
      </x:c>
    </x:row>
    <x:row r="883" ht="30" hidden="0" customHeight="1">
      <x:c r="A883" s="7" t="s">
        <x:v>8027</x:v>
      </x:c>
      <x:c r="B883" s="7" t="s">
        <x:v>898</x:v>
      </x:c>
      <x:c r="C883" s="7" t="s">
        <x:v>7198</x:v>
      </x:c>
      <x:c r="D883" s="7" t="s">
        <x:v>7191</x:v>
      </x:c>
      <x:c r="E883" s="7" t="s">
        <x:v>7199</x:v>
      </x:c>
    </x:row>
    <x:row r="884" ht="30" hidden="0" customHeight="1">
      <x:c r="A884" s="7" t="s">
        <x:v>8028</x:v>
      </x:c>
      <x:c r="B884" s="7" t="s">
        <x:v>898</x:v>
      </x:c>
      <x:c r="C884" s="7" t="s">
        <x:v>7201</x:v>
      </x:c>
      <x:c r="D884" s="7" t="s">
        <x:v>7191</x:v>
      </x:c>
      <x:c r="E884" s="7" t="s">
        <x:v>7202</x:v>
      </x:c>
    </x:row>
    <x:row r="885" ht="37.5" hidden="0" customHeight="1">
      <x:c r="A885" s="7" t="s">
        <x:v>8029</x:v>
      </x:c>
      <x:c r="B885" s="7" t="s">
        <x:v>898</x:v>
      </x:c>
      <x:c r="C885" s="7" t="s">
        <x:v>7204</x:v>
      </x:c>
      <x:c r="D885" s="7" t="s">
        <x:v>7107</x:v>
      </x:c>
      <x:c r="E885" s="7" t="s">
        <x:v>7211</x:v>
      </x:c>
    </x:row>
    <x:row r="886" ht="37.5" hidden="0" customHeight="1">
      <x:c r="A886" s="7" t="s">
        <x:v>8030</x:v>
      </x:c>
      <x:c r="B886" s="7" t="s">
        <x:v>898</x:v>
      </x:c>
      <x:c r="C886" s="7" t="s">
        <x:v>7207</x:v>
      </x:c>
      <x:c r="D886" s="7" t="s">
        <x:v>7191</x:v>
      </x:c>
      <x:c r="E886" s="7" t="s">
        <x:v>7208</x:v>
      </x:c>
    </x:row>
    <x:row r="887" ht="37.5" hidden="0" customHeight="1">
      <x:c r="A887" s="7" t="s">
        <x:v>8031</x:v>
      </x:c>
      <x:c r="B887" s="7" t="s">
        <x:v>898</x:v>
      </x:c>
      <x:c r="C887" s="7" t="s">
        <x:v>7210</x:v>
      </x:c>
      <x:c r="D887" s="7" t="s">
        <x:v>7107</x:v>
      </x:c>
      <x:c r="E887" s="7" t="s">
        <x:v>7211</x:v>
      </x:c>
    </x:row>
    <x:row r="888" ht="51.75" hidden="0" customHeight="1">
      <x:c r="A888" s="7" t="s">
        <x:v>8032</x:v>
      </x:c>
      <x:c r="B888" s="7" t="s">
        <x:v>898</x:v>
      </x:c>
      <x:c r="C888" s="7" t="s">
        <x:v>7213</x:v>
      </x:c>
      <x:c r="D888" s="7" t="s">
        <x:v>7107</x:v>
      </x:c>
      <x:c r="E888" s="7" t="s">
        <x:v>7214</x:v>
      </x:c>
    </x:row>
    <x:row r="889" ht="37.5" hidden="0" customHeight="1">
      <x:c r="A889" s="7" t="s">
        <x:v>8033</x:v>
      </x:c>
      <x:c r="B889" s="7" t="s">
        <x:v>898</x:v>
      </x:c>
      <x:c r="C889" s="7" t="s">
        <x:v>7216</x:v>
      </x:c>
      <x:c r="D889" s="7" t="s">
        <x:v>7217</x:v>
      </x:c>
      <x:c r="E889" s="7" t="s">
        <x:v>7218</x:v>
      </x:c>
    </x:row>
    <x:row r="890" ht="30" hidden="0" customHeight="1">
      <x:c r="A890" s="7" t="s">
        <x:v>8034</x:v>
      </x:c>
      <x:c r="B890" s="7" t="s">
        <x:v>910</x:v>
      </x:c>
      <x:c r="C890" s="7" t="s">
        <x:v>7190</x:v>
      </x:c>
      <x:c r="D890" s="7" t="s">
        <x:v>7191</x:v>
      </x:c>
      <x:c r="E890" s="7" t="s">
        <x:v>7192</x:v>
      </x:c>
    </x:row>
    <x:row r="891" ht="37.5" hidden="0" customHeight="1">
      <x:c r="A891" s="7" t="s">
        <x:v>8035</x:v>
      </x:c>
      <x:c r="B891" s="7" t="s">
        <x:v>910</x:v>
      </x:c>
      <x:c r="C891" s="7" t="s">
        <x:v>5</x:v>
      </x:c>
      <x:c r="D891" s="7" t="s">
        <x:v>7191</x:v>
      </x:c>
      <x:c r="E891" s="7" t="s">
        <x:v>7194</x:v>
      </x:c>
    </x:row>
    <x:row r="892" ht="30" hidden="0" customHeight="1">
      <x:c r="A892" s="7" t="s">
        <x:v>8036</x:v>
      </x:c>
      <x:c r="B892" s="7" t="s">
        <x:v>910</x:v>
      </x:c>
      <x:c r="C892" s="7" t="s">
        <x:v>1450</x:v>
      </x:c>
      <x:c r="D892" s="7" t="s">
        <x:v>7191</x:v>
      </x:c>
      <x:c r="E892" s="7" t="s">
        <x:v>7196</x:v>
      </x:c>
    </x:row>
    <x:row r="893" ht="30" hidden="0" customHeight="1">
      <x:c r="A893" s="7" t="s">
        <x:v>8037</x:v>
      </x:c>
      <x:c r="B893" s="7" t="s">
        <x:v>910</x:v>
      </x:c>
      <x:c r="C893" s="7" t="s">
        <x:v>7198</x:v>
      </x:c>
      <x:c r="D893" s="7" t="s">
        <x:v>7191</x:v>
      </x:c>
      <x:c r="E893" s="7" t="s">
        <x:v>7199</x:v>
      </x:c>
    </x:row>
    <x:row r="894" ht="30" hidden="0" customHeight="1">
      <x:c r="A894" s="7" t="s">
        <x:v>8038</x:v>
      </x:c>
      <x:c r="B894" s="7" t="s">
        <x:v>910</x:v>
      </x:c>
      <x:c r="C894" s="7" t="s">
        <x:v>7201</x:v>
      </x:c>
      <x:c r="D894" s="7" t="s">
        <x:v>7191</x:v>
      </x:c>
      <x:c r="E894" s="7" t="s">
        <x:v>7202</x:v>
      </x:c>
    </x:row>
    <x:row r="895" ht="37.5" hidden="0" customHeight="1">
      <x:c r="A895" s="7" t="s">
        <x:v>8039</x:v>
      </x:c>
      <x:c r="B895" s="7" t="s">
        <x:v>910</x:v>
      </x:c>
      <x:c r="C895" s="7" t="s">
        <x:v>7204</x:v>
      </x:c>
      <x:c r="D895" s="7" t="s">
        <x:v>7107</x:v>
      </x:c>
      <x:c r="E895" s="7" t="s">
        <x:v>7211</x:v>
      </x:c>
    </x:row>
    <x:row r="896" ht="37.5" hidden="0" customHeight="1">
      <x:c r="A896" s="7" t="s">
        <x:v>8040</x:v>
      </x:c>
      <x:c r="B896" s="7" t="s">
        <x:v>910</x:v>
      </x:c>
      <x:c r="C896" s="7" t="s">
        <x:v>7207</x:v>
      </x:c>
      <x:c r="D896" s="7" t="s">
        <x:v>7107</x:v>
      </x:c>
      <x:c r="E896" s="7" t="s">
        <x:v>7211</x:v>
      </x:c>
    </x:row>
    <x:row r="897" ht="37.5" hidden="0" customHeight="1">
      <x:c r="A897" s="7" t="s">
        <x:v>8041</x:v>
      </x:c>
      <x:c r="B897" s="7" t="s">
        <x:v>910</x:v>
      </x:c>
      <x:c r="C897" s="7" t="s">
        <x:v>7210</x:v>
      </x:c>
      <x:c r="D897" s="7" t="s">
        <x:v>7107</x:v>
      </x:c>
      <x:c r="E897" s="7" t="s">
        <x:v>7211</x:v>
      </x:c>
    </x:row>
    <x:row r="898" ht="51.75" hidden="0" customHeight="1">
      <x:c r="A898" s="7" t="s">
        <x:v>8042</x:v>
      </x:c>
      <x:c r="B898" s="7" t="s">
        <x:v>910</x:v>
      </x:c>
      <x:c r="C898" s="7" t="s">
        <x:v>7213</x:v>
      </x:c>
      <x:c r="D898" s="7" t="s">
        <x:v>7107</x:v>
      </x:c>
      <x:c r="E898" s="7" t="s">
        <x:v>7214</x:v>
      </x:c>
    </x:row>
    <x:row r="899" ht="37.5" hidden="0" customHeight="1">
      <x:c r="A899" s="7" t="s">
        <x:v>8043</x:v>
      </x:c>
      <x:c r="B899" s="7" t="s">
        <x:v>910</x:v>
      </x:c>
      <x:c r="C899" s="7" t="s">
        <x:v>7216</x:v>
      </x:c>
      <x:c r="D899" s="7" t="s">
        <x:v>7217</x:v>
      </x:c>
      <x:c r="E899" s="7" t="s">
        <x:v>7218</x:v>
      </x:c>
    </x:row>
    <x:row r="900" ht="30" hidden="0" customHeight="1">
      <x:c r="A900" s="7" t="s">
        <x:v>8044</x:v>
      </x:c>
      <x:c r="B900" s="7" t="s">
        <x:v>921</x:v>
      </x:c>
      <x:c r="C900" s="7" t="s">
        <x:v>7190</x:v>
      </x:c>
      <x:c r="D900" s="7" t="s">
        <x:v>7191</x:v>
      </x:c>
      <x:c r="E900" s="7" t="s">
        <x:v>7192</x:v>
      </x:c>
    </x:row>
    <x:row r="901" ht="37.5" hidden="0" customHeight="1">
      <x:c r="A901" s="7" t="s">
        <x:v>8045</x:v>
      </x:c>
      <x:c r="B901" s="7" t="s">
        <x:v>921</x:v>
      </x:c>
      <x:c r="C901" s="7" t="s">
        <x:v>5</x:v>
      </x:c>
      <x:c r="D901" s="7" t="s">
        <x:v>7191</x:v>
      </x:c>
      <x:c r="E901" s="7" t="s">
        <x:v>7194</x:v>
      </x:c>
    </x:row>
    <x:row r="902" ht="37.5" hidden="0" customHeight="1">
      <x:c r="A902" s="7" t="s">
        <x:v>8046</x:v>
      </x:c>
      <x:c r="B902" s="7" t="s">
        <x:v>921</x:v>
      </x:c>
      <x:c r="C902" s="7" t="s">
        <x:v>1450</x:v>
      </x:c>
      <x:c r="D902" s="7" t="s">
        <x:v>7107</x:v>
      </x:c>
      <x:c r="E902" s="7" t="s">
        <x:v>7211</x:v>
      </x:c>
    </x:row>
    <x:row r="903" ht="30" hidden="0" customHeight="1">
      <x:c r="A903" s="7" t="s">
        <x:v>8047</x:v>
      </x:c>
      <x:c r="B903" s="7" t="s">
        <x:v>921</x:v>
      </x:c>
      <x:c r="C903" s="7" t="s">
        <x:v>7198</x:v>
      </x:c>
      <x:c r="D903" s="7" t="s">
        <x:v>7191</x:v>
      </x:c>
      <x:c r="E903" s="7" t="s">
        <x:v>7199</x:v>
      </x:c>
    </x:row>
    <x:row r="904" ht="30" hidden="0" customHeight="1">
      <x:c r="A904" s="7" t="s">
        <x:v>8048</x:v>
      </x:c>
      <x:c r="B904" s="7" t="s">
        <x:v>921</x:v>
      </x:c>
      <x:c r="C904" s="7" t="s">
        <x:v>7201</x:v>
      </x:c>
      <x:c r="D904" s="7" t="s">
        <x:v>7191</x:v>
      </x:c>
      <x:c r="E904" s="7" t="s">
        <x:v>7202</x:v>
      </x:c>
    </x:row>
    <x:row r="905" ht="37.5" hidden="0" customHeight="1">
      <x:c r="A905" s="7" t="s">
        <x:v>8049</x:v>
      </x:c>
      <x:c r="B905" s="7" t="s">
        <x:v>921</x:v>
      </x:c>
      <x:c r="C905" s="7" t="s">
        <x:v>7204</x:v>
      </x:c>
      <x:c r="D905" s="7" t="s">
        <x:v>7107</x:v>
      </x:c>
      <x:c r="E905" s="7" t="s">
        <x:v>7211</x:v>
      </x:c>
    </x:row>
    <x:row r="906" ht="37.5" hidden="0" customHeight="1">
      <x:c r="A906" s="7" t="s">
        <x:v>8050</x:v>
      </x:c>
      <x:c r="B906" s="7" t="s">
        <x:v>921</x:v>
      </x:c>
      <x:c r="C906" s="7" t="s">
        <x:v>7207</x:v>
      </x:c>
      <x:c r="D906" s="7" t="s">
        <x:v>7107</x:v>
      </x:c>
      <x:c r="E906" s="7" t="s">
        <x:v>7211</x:v>
      </x:c>
    </x:row>
    <x:row r="907" ht="37.5" hidden="0" customHeight="1">
      <x:c r="A907" s="7" t="s">
        <x:v>8051</x:v>
      </x:c>
      <x:c r="B907" s="7" t="s">
        <x:v>921</x:v>
      </x:c>
      <x:c r="C907" s="7" t="s">
        <x:v>7210</x:v>
      </x:c>
      <x:c r="D907" s="7" t="s">
        <x:v>7107</x:v>
      </x:c>
      <x:c r="E907" s="7" t="s">
        <x:v>7211</x:v>
      </x:c>
    </x:row>
    <x:row r="908" ht="51.75" hidden="0" customHeight="1">
      <x:c r="A908" s="7" t="s">
        <x:v>8052</x:v>
      </x:c>
      <x:c r="B908" s="7" t="s">
        <x:v>921</x:v>
      </x:c>
      <x:c r="C908" s="7" t="s">
        <x:v>7213</x:v>
      </x:c>
      <x:c r="D908" s="7" t="s">
        <x:v>7107</x:v>
      </x:c>
      <x:c r="E908" s="7" t="s">
        <x:v>7214</x:v>
      </x:c>
    </x:row>
    <x:row r="909" ht="37.5" hidden="0" customHeight="1">
      <x:c r="A909" s="7" t="s">
        <x:v>8053</x:v>
      </x:c>
      <x:c r="B909" s="7" t="s">
        <x:v>921</x:v>
      </x:c>
      <x:c r="C909" s="7" t="s">
        <x:v>7216</x:v>
      </x:c>
      <x:c r="D909" s="7" t="s">
        <x:v>7217</x:v>
      </x:c>
      <x:c r="E909" s="7" t="s">
        <x:v>7218</x:v>
      </x:c>
    </x:row>
    <x:row r="910" ht="30" hidden="0" customHeight="1">
      <x:c r="A910" s="7" t="s">
        <x:v>8054</x:v>
      </x:c>
      <x:c r="B910" s="7" t="s">
        <x:v>928</x:v>
      </x:c>
      <x:c r="C910" s="7" t="s">
        <x:v>7190</x:v>
      </x:c>
      <x:c r="D910" s="7" t="s">
        <x:v>7191</x:v>
      </x:c>
      <x:c r="E910" s="7" t="s">
        <x:v>7192</x:v>
      </x:c>
    </x:row>
    <x:row r="911" ht="37.5" hidden="0" customHeight="1">
      <x:c r="A911" s="7" t="s">
        <x:v>8055</x:v>
      </x:c>
      <x:c r="B911" s="7" t="s">
        <x:v>928</x:v>
      </x:c>
      <x:c r="C911" s="7" t="s">
        <x:v>5</x:v>
      </x:c>
      <x:c r="D911" s="7" t="s">
        <x:v>7191</x:v>
      </x:c>
      <x:c r="E911" s="7" t="s">
        <x:v>7194</x:v>
      </x:c>
    </x:row>
    <x:row r="912" ht="30" hidden="0" customHeight="1">
      <x:c r="A912" s="7" t="s">
        <x:v>8056</x:v>
      </x:c>
      <x:c r="B912" s="7" t="s">
        <x:v>928</x:v>
      </x:c>
      <x:c r="C912" s="7" t="s">
        <x:v>1450</x:v>
      </x:c>
      <x:c r="D912" s="7" t="s">
        <x:v>7191</x:v>
      </x:c>
      <x:c r="E912" s="7" t="s">
        <x:v>7196</x:v>
      </x:c>
    </x:row>
    <x:row r="913" ht="30" hidden="0" customHeight="1">
      <x:c r="A913" s="7" t="s">
        <x:v>8057</x:v>
      </x:c>
      <x:c r="B913" s="7" t="s">
        <x:v>928</x:v>
      </x:c>
      <x:c r="C913" s="7" t="s">
        <x:v>7198</x:v>
      </x:c>
      <x:c r="D913" s="7" t="s">
        <x:v>7191</x:v>
      </x:c>
      <x:c r="E913" s="7" t="s">
        <x:v>7199</x:v>
      </x:c>
    </x:row>
    <x:row r="914" ht="37.5" hidden="0" customHeight="1">
      <x:c r="A914" s="7" t="s">
        <x:v>8058</x:v>
      </x:c>
      <x:c r="B914" s="7" t="s">
        <x:v>928</x:v>
      </x:c>
      <x:c r="C914" s="7" t="s">
        <x:v>7201</x:v>
      </x:c>
      <x:c r="D914" s="7" t="s">
        <x:v>7107</x:v>
      </x:c>
      <x:c r="E914" s="7" t="s">
        <x:v>7211</x:v>
      </x:c>
    </x:row>
    <x:row r="915" ht="37.5" hidden="0" customHeight="1">
      <x:c r="A915" s="7" t="s">
        <x:v>8059</x:v>
      </x:c>
      <x:c r="B915" s="7" t="s">
        <x:v>928</x:v>
      </x:c>
      <x:c r="C915" s="7" t="s">
        <x:v>7204</x:v>
      </x:c>
      <x:c r="D915" s="7" t="s">
        <x:v>7107</x:v>
      </x:c>
      <x:c r="E915" s="7" t="s">
        <x:v>7211</x:v>
      </x:c>
    </x:row>
    <x:row r="916" ht="37.5" hidden="0" customHeight="1">
      <x:c r="A916" s="7" t="s">
        <x:v>8060</x:v>
      </x:c>
      <x:c r="B916" s="7" t="s">
        <x:v>928</x:v>
      </x:c>
      <x:c r="C916" s="7" t="s">
        <x:v>7207</x:v>
      </x:c>
      <x:c r="D916" s="7" t="s">
        <x:v>7107</x:v>
      </x:c>
      <x:c r="E916" s="7" t="s">
        <x:v>7211</x:v>
      </x:c>
    </x:row>
    <x:row r="917" ht="37.5" hidden="0" customHeight="1">
      <x:c r="A917" s="7" t="s">
        <x:v>8061</x:v>
      </x:c>
      <x:c r="B917" s="7" t="s">
        <x:v>928</x:v>
      </x:c>
      <x:c r="C917" s="7" t="s">
        <x:v>7210</x:v>
      </x:c>
      <x:c r="D917" s="7" t="s">
        <x:v>7107</x:v>
      </x:c>
      <x:c r="E917" s="7" t="s">
        <x:v>7211</x:v>
      </x:c>
    </x:row>
    <x:row r="918" ht="51.75" hidden="0" customHeight="1">
      <x:c r="A918" s="7" t="s">
        <x:v>8062</x:v>
      </x:c>
      <x:c r="B918" s="7" t="s">
        <x:v>928</x:v>
      </x:c>
      <x:c r="C918" s="7" t="s">
        <x:v>7213</x:v>
      </x:c>
      <x:c r="D918" s="7" t="s">
        <x:v>7107</x:v>
      </x:c>
      <x:c r="E918" s="7" t="s">
        <x:v>7214</x:v>
      </x:c>
    </x:row>
    <x:row r="919" ht="37.5" hidden="0" customHeight="1">
      <x:c r="A919" s="7" t="s">
        <x:v>8063</x:v>
      </x:c>
      <x:c r="B919" s="7" t="s">
        <x:v>928</x:v>
      </x:c>
      <x:c r="C919" s="7" t="s">
        <x:v>7216</x:v>
      </x:c>
      <x:c r="D919" s="7" t="s">
        <x:v>7217</x:v>
      </x:c>
      <x:c r="E919" s="7" t="s">
        <x:v>7218</x:v>
      </x:c>
    </x:row>
    <x:row r="920" ht="37.5" hidden="0" customHeight="1">
      <x:c r="A920" s="7" t="s">
        <x:v>8064</x:v>
      </x:c>
      <x:c r="B920" s="7" t="s">
        <x:v>928</x:v>
      </x:c>
      <x:c r="C920" s="7" t="s">
        <x:v>7756</x:v>
      </x:c>
      <x:c r="D920" s="7" t="s">
        <x:v>7757</x:v>
      </x:c>
      <x:c r="E920" s="7" t="s">
        <x:v>7758</x:v>
      </x:c>
    </x:row>
    <x:row r="921" ht="30" hidden="0" customHeight="1">
      <x:c r="A921" s="7" t="s">
        <x:v>8065</x:v>
      </x:c>
      <x:c r="B921" s="7" t="s">
        <x:v>936</x:v>
      </x:c>
      <x:c r="C921" s="7" t="s">
        <x:v>7190</x:v>
      </x:c>
      <x:c r="D921" s="7" t="s">
        <x:v>7191</x:v>
      </x:c>
      <x:c r="E921" s="7" t="s">
        <x:v>7192</x:v>
      </x:c>
    </x:row>
    <x:row r="922" ht="37.5" hidden="0" customHeight="1">
      <x:c r="A922" s="7" t="s">
        <x:v>8066</x:v>
      </x:c>
      <x:c r="B922" s="7" t="s">
        <x:v>936</x:v>
      </x:c>
      <x:c r="C922" s="7" t="s">
        <x:v>5</x:v>
      </x:c>
      <x:c r="D922" s="7" t="s">
        <x:v>7191</x:v>
      </x:c>
      <x:c r="E922" s="7" t="s">
        <x:v>7194</x:v>
      </x:c>
    </x:row>
    <x:row r="923" ht="30" hidden="0" customHeight="1">
      <x:c r="A923" s="7" t="s">
        <x:v>8067</x:v>
      </x:c>
      <x:c r="B923" s="7" t="s">
        <x:v>936</x:v>
      </x:c>
      <x:c r="C923" s="7" t="s">
        <x:v>1450</x:v>
      </x:c>
      <x:c r="D923" s="7" t="s">
        <x:v>7191</x:v>
      </x:c>
      <x:c r="E923" s="7" t="s">
        <x:v>7196</x:v>
      </x:c>
    </x:row>
    <x:row r="924" ht="30" hidden="0" customHeight="1">
      <x:c r="A924" s="7" t="s">
        <x:v>8068</x:v>
      </x:c>
      <x:c r="B924" s="7" t="s">
        <x:v>936</x:v>
      </x:c>
      <x:c r="C924" s="7" t="s">
        <x:v>7198</x:v>
      </x:c>
      <x:c r="D924" s="7" t="s">
        <x:v>7191</x:v>
      </x:c>
      <x:c r="E924" s="7" t="s">
        <x:v>7199</x:v>
      </x:c>
    </x:row>
    <x:row r="925" ht="30" hidden="0" customHeight="1">
      <x:c r="A925" s="7" t="s">
        <x:v>8069</x:v>
      </x:c>
      <x:c r="B925" s="7" t="s">
        <x:v>936</x:v>
      </x:c>
      <x:c r="C925" s="7" t="s">
        <x:v>7201</x:v>
      </x:c>
      <x:c r="D925" s="7" t="s">
        <x:v>7191</x:v>
      </x:c>
      <x:c r="E925" s="7" t="s">
        <x:v>7202</x:v>
      </x:c>
    </x:row>
    <x:row r="926" ht="37.5" hidden="0" customHeight="1">
      <x:c r="A926" s="7" t="s">
        <x:v>8070</x:v>
      </x:c>
      <x:c r="B926" s="7" t="s">
        <x:v>936</x:v>
      </x:c>
      <x:c r="C926" s="7" t="s">
        <x:v>7204</x:v>
      </x:c>
      <x:c r="D926" s="7" t="s">
        <x:v>7191</x:v>
      </x:c>
      <x:c r="E926" s="7" t="s">
        <x:v>7205</x:v>
      </x:c>
    </x:row>
    <x:row r="927" ht="37.5" hidden="0" customHeight="1">
      <x:c r="A927" s="7" t="s">
        <x:v>8071</x:v>
      </x:c>
      <x:c r="B927" s="7" t="s">
        <x:v>936</x:v>
      </x:c>
      <x:c r="C927" s="7" t="s">
        <x:v>7207</x:v>
      </x:c>
      <x:c r="D927" s="7" t="s">
        <x:v>7107</x:v>
      </x:c>
      <x:c r="E927" s="7" t="s">
        <x:v>7211</x:v>
      </x:c>
    </x:row>
    <x:row r="928" ht="37.5" hidden="0" customHeight="1">
      <x:c r="A928" s="7" t="s">
        <x:v>8072</x:v>
      </x:c>
      <x:c r="B928" s="7" t="s">
        <x:v>936</x:v>
      </x:c>
      <x:c r="C928" s="7" t="s">
        <x:v>7210</x:v>
      </x:c>
      <x:c r="D928" s="7" t="s">
        <x:v>7107</x:v>
      </x:c>
      <x:c r="E928" s="7" t="s">
        <x:v>7211</x:v>
      </x:c>
    </x:row>
    <x:row r="929" ht="51.75" hidden="0" customHeight="1">
      <x:c r="A929" s="7" t="s">
        <x:v>8073</x:v>
      </x:c>
      <x:c r="B929" s="7" t="s">
        <x:v>936</x:v>
      </x:c>
      <x:c r="C929" s="7" t="s">
        <x:v>7213</x:v>
      </x:c>
      <x:c r="D929" s="7" t="s">
        <x:v>7107</x:v>
      </x:c>
      <x:c r="E929" s="7" t="s">
        <x:v>7214</x:v>
      </x:c>
    </x:row>
    <x:row r="930" ht="37.5" hidden="0" customHeight="1">
      <x:c r="A930" s="7" t="s">
        <x:v>8074</x:v>
      </x:c>
      <x:c r="B930" s="7" t="s">
        <x:v>936</x:v>
      </x:c>
      <x:c r="C930" s="7" t="s">
        <x:v>7216</x:v>
      </x:c>
      <x:c r="D930" s="7" t="s">
        <x:v>7217</x:v>
      </x:c>
      <x:c r="E930" s="7" t="s">
        <x:v>7218</x:v>
      </x:c>
    </x:row>
    <x:row r="931" ht="30" hidden="0" customHeight="1">
      <x:c r="A931" s="7" t="s">
        <x:v>8075</x:v>
      </x:c>
      <x:c r="B931" s="7" t="s">
        <x:v>944</x:v>
      </x:c>
      <x:c r="C931" s="7" t="s">
        <x:v>7190</x:v>
      </x:c>
      <x:c r="D931" s="7" t="s">
        <x:v>7191</x:v>
      </x:c>
      <x:c r="E931" s="7" t="s">
        <x:v>7192</x:v>
      </x:c>
    </x:row>
    <x:row r="932" ht="37.5" hidden="0" customHeight="1">
      <x:c r="A932" s="7" t="s">
        <x:v>8076</x:v>
      </x:c>
      <x:c r="B932" s="7" t="s">
        <x:v>944</x:v>
      </x:c>
      <x:c r="C932" s="7" t="s">
        <x:v>5</x:v>
      </x:c>
      <x:c r="D932" s="7" t="s">
        <x:v>7191</x:v>
      </x:c>
      <x:c r="E932" s="7" t="s">
        <x:v>7194</x:v>
      </x:c>
    </x:row>
    <x:row r="933" ht="30" hidden="0" customHeight="1">
      <x:c r="A933" s="7" t="s">
        <x:v>8077</x:v>
      </x:c>
      <x:c r="B933" s="7" t="s">
        <x:v>944</x:v>
      </x:c>
      <x:c r="C933" s="7" t="s">
        <x:v>1450</x:v>
      </x:c>
      <x:c r="D933" s="7" t="s">
        <x:v>7191</x:v>
      </x:c>
      <x:c r="E933" s="7" t="s">
        <x:v>7196</x:v>
      </x:c>
    </x:row>
    <x:row r="934" ht="37.5" hidden="0" customHeight="1">
      <x:c r="A934" s="7" t="s">
        <x:v>8078</x:v>
      </x:c>
      <x:c r="B934" s="7" t="s">
        <x:v>944</x:v>
      </x:c>
      <x:c r="C934" s="7" t="s">
        <x:v>7198</x:v>
      </x:c>
      <x:c r="D934" s="7" t="s">
        <x:v>7107</x:v>
      </x:c>
      <x:c r="E934" s="7" t="s">
        <x:v>7211</x:v>
      </x:c>
    </x:row>
    <x:row r="935" ht="37.5" hidden="0" customHeight="1">
      <x:c r="A935" s="7" t="s">
        <x:v>8079</x:v>
      </x:c>
      <x:c r="B935" s="7" t="s">
        <x:v>944</x:v>
      </x:c>
      <x:c r="C935" s="7" t="s">
        <x:v>7201</x:v>
      </x:c>
      <x:c r="D935" s="7" t="s">
        <x:v>7107</x:v>
      </x:c>
      <x:c r="E935" s="7" t="s">
        <x:v>7211</x:v>
      </x:c>
    </x:row>
    <x:row r="936" ht="37.5" hidden="0" customHeight="1">
      <x:c r="A936" s="7" t="s">
        <x:v>8080</x:v>
      </x:c>
      <x:c r="B936" s="7" t="s">
        <x:v>944</x:v>
      </x:c>
      <x:c r="C936" s="7" t="s">
        <x:v>7204</x:v>
      </x:c>
      <x:c r="D936" s="7" t="s">
        <x:v>7191</x:v>
      </x:c>
      <x:c r="E936" s="7" t="s">
        <x:v>7205</x:v>
      </x:c>
    </x:row>
    <x:row r="937" ht="37.5" hidden="0" customHeight="1">
      <x:c r="A937" s="7" t="s">
        <x:v>8081</x:v>
      </x:c>
      <x:c r="B937" s="7" t="s">
        <x:v>944</x:v>
      </x:c>
      <x:c r="C937" s="7" t="s">
        <x:v>7207</x:v>
      </x:c>
      <x:c r="D937" s="7" t="s">
        <x:v>7191</x:v>
      </x:c>
      <x:c r="E937" s="7" t="s">
        <x:v>7208</x:v>
      </x:c>
    </x:row>
    <x:row r="938" ht="37.5" hidden="0" customHeight="1">
      <x:c r="A938" s="7" t="s">
        <x:v>8082</x:v>
      </x:c>
      <x:c r="B938" s="7" t="s">
        <x:v>944</x:v>
      </x:c>
      <x:c r="C938" s="7" t="s">
        <x:v>7210</x:v>
      </x:c>
      <x:c r="D938" s="7" t="s">
        <x:v>7107</x:v>
      </x:c>
      <x:c r="E938" s="7" t="s">
        <x:v>7211</x:v>
      </x:c>
    </x:row>
    <x:row r="939" ht="51.75" hidden="0" customHeight="1">
      <x:c r="A939" s="7" t="s">
        <x:v>8083</x:v>
      </x:c>
      <x:c r="B939" s="7" t="s">
        <x:v>944</x:v>
      </x:c>
      <x:c r="C939" s="7" t="s">
        <x:v>7213</x:v>
      </x:c>
      <x:c r="D939" s="7" t="s">
        <x:v>7107</x:v>
      </x:c>
      <x:c r="E939" s="7" t="s">
        <x:v>7214</x:v>
      </x:c>
    </x:row>
    <x:row r="940" ht="37.5" hidden="0" customHeight="1">
      <x:c r="A940" s="7" t="s">
        <x:v>8084</x:v>
      </x:c>
      <x:c r="B940" s="7" t="s">
        <x:v>944</x:v>
      </x:c>
      <x:c r="C940" s="7" t="s">
        <x:v>7756</x:v>
      </x:c>
      <x:c r="D940" s="7" t="s">
        <x:v>7757</x:v>
      </x:c>
      <x:c r="E940" s="7" t="s">
        <x:v>7758</x:v>
      </x:c>
    </x:row>
    <x:row r="941" ht="30" hidden="0" customHeight="1">
      <x:c r="A941" s="7" t="s">
        <x:v>8085</x:v>
      </x:c>
      <x:c r="B941" s="7" t="s">
        <x:v>957</x:v>
      </x:c>
      <x:c r="C941" s="7" t="s">
        <x:v>7190</x:v>
      </x:c>
      <x:c r="D941" s="7" t="s">
        <x:v>7191</x:v>
      </x:c>
      <x:c r="E941" s="7" t="s">
        <x:v>7192</x:v>
      </x:c>
    </x:row>
    <x:row r="942" ht="37.5" hidden="0" customHeight="1">
      <x:c r="A942" s="7" t="s">
        <x:v>8086</x:v>
      </x:c>
      <x:c r="B942" s="7" t="s">
        <x:v>957</x:v>
      </x:c>
      <x:c r="C942" s="7" t="s">
        <x:v>5</x:v>
      </x:c>
      <x:c r="D942" s="7" t="s">
        <x:v>7191</x:v>
      </x:c>
      <x:c r="E942" s="7" t="s">
        <x:v>7194</x:v>
      </x:c>
    </x:row>
    <x:row r="943" ht="30" hidden="0" customHeight="1">
      <x:c r="A943" s="7" t="s">
        <x:v>8087</x:v>
      </x:c>
      <x:c r="B943" s="7" t="s">
        <x:v>957</x:v>
      </x:c>
      <x:c r="C943" s="7" t="s">
        <x:v>1450</x:v>
      </x:c>
      <x:c r="D943" s="7" t="s">
        <x:v>7191</x:v>
      </x:c>
      <x:c r="E943" s="7" t="s">
        <x:v>7196</x:v>
      </x:c>
    </x:row>
    <x:row r="944" ht="30" hidden="0" customHeight="1">
      <x:c r="A944" s="7" t="s">
        <x:v>8088</x:v>
      </x:c>
      <x:c r="B944" s="7" t="s">
        <x:v>957</x:v>
      </x:c>
      <x:c r="C944" s="7" t="s">
        <x:v>7198</x:v>
      </x:c>
      <x:c r="D944" s="7" t="s">
        <x:v>7191</x:v>
      </x:c>
      <x:c r="E944" s="7" t="s">
        <x:v>7199</x:v>
      </x:c>
    </x:row>
    <x:row r="945" ht="30" hidden="0" customHeight="1">
      <x:c r="A945" s="7" t="s">
        <x:v>8089</x:v>
      </x:c>
      <x:c r="B945" s="7" t="s">
        <x:v>957</x:v>
      </x:c>
      <x:c r="C945" s="7" t="s">
        <x:v>7201</x:v>
      </x:c>
      <x:c r="D945" s="7" t="s">
        <x:v>7191</x:v>
      </x:c>
      <x:c r="E945" s="7" t="s">
        <x:v>7202</x:v>
      </x:c>
    </x:row>
    <x:row r="946" ht="37.5" hidden="0" customHeight="1">
      <x:c r="A946" s="7" t="s">
        <x:v>8090</x:v>
      </x:c>
      <x:c r="B946" s="7" t="s">
        <x:v>957</x:v>
      </x:c>
      <x:c r="C946" s="7" t="s">
        <x:v>7204</x:v>
      </x:c>
      <x:c r="D946" s="7" t="s">
        <x:v>7107</x:v>
      </x:c>
      <x:c r="E946" s="7" t="s">
        <x:v>7211</x:v>
      </x:c>
    </x:row>
    <x:row r="947" ht="37.5" hidden="0" customHeight="1">
      <x:c r="A947" s="7" t="s">
        <x:v>8091</x:v>
      </x:c>
      <x:c r="B947" s="7" t="s">
        <x:v>957</x:v>
      </x:c>
      <x:c r="C947" s="7" t="s">
        <x:v>7207</x:v>
      </x:c>
      <x:c r="D947" s="7" t="s">
        <x:v>7107</x:v>
      </x:c>
      <x:c r="E947" s="7" t="s">
        <x:v>7211</x:v>
      </x:c>
    </x:row>
    <x:row r="948" ht="30" hidden="0" customHeight="1">
      <x:c r="A948" s="7" t="s">
        <x:v>8092</x:v>
      </x:c>
      <x:c r="B948" s="7" t="s">
        <x:v>957</x:v>
      </x:c>
      <x:c r="C948" s="7" t="s">
        <x:v>7210</x:v>
      </x:c>
      <x:c r="D948" s="7" t="s">
        <x:v>7191</x:v>
      </x:c>
      <x:c r="E948" s="7" t="s">
        <x:v>132</x:v>
      </x:c>
    </x:row>
    <x:row r="949" ht="51.75" hidden="0" customHeight="1">
      <x:c r="A949" s="7" t="s">
        <x:v>8093</x:v>
      </x:c>
      <x:c r="B949" s="7" t="s">
        <x:v>957</x:v>
      </x:c>
      <x:c r="C949" s="7" t="s">
        <x:v>7213</x:v>
      </x:c>
      <x:c r="D949" s="7" t="s">
        <x:v>7107</x:v>
      </x:c>
      <x:c r="E949" s="7" t="s">
        <x:v>7214</x:v>
      </x:c>
    </x:row>
    <x:row r="950" ht="37.5" hidden="0" customHeight="1">
      <x:c r="A950" s="7" t="s">
        <x:v>8094</x:v>
      </x:c>
      <x:c r="B950" s="7" t="s">
        <x:v>957</x:v>
      </x:c>
      <x:c r="C950" s="7" t="s">
        <x:v>7216</x:v>
      </x:c>
      <x:c r="D950" s="7" t="s">
        <x:v>7217</x:v>
      </x:c>
      <x:c r="E950" s="7" t="s">
        <x:v>7218</x:v>
      </x:c>
    </x:row>
    <x:row r="951" ht="30" hidden="0" customHeight="1">
      <x:c r="A951" s="7" t="s">
        <x:v>8095</x:v>
      </x:c>
      <x:c r="B951" s="7" t="s">
        <x:v>969</x:v>
      </x:c>
      <x:c r="C951" s="7" t="s">
        <x:v>7190</x:v>
      </x:c>
      <x:c r="D951" s="7" t="s">
        <x:v>7191</x:v>
      </x:c>
      <x:c r="E951" s="7" t="s">
        <x:v>7192</x:v>
      </x:c>
    </x:row>
    <x:row r="952" ht="37.5" hidden="0" customHeight="1">
      <x:c r="A952" s="7" t="s">
        <x:v>8096</x:v>
      </x:c>
      <x:c r="B952" s="7" t="s">
        <x:v>969</x:v>
      </x:c>
      <x:c r="C952" s="7" t="s">
        <x:v>5</x:v>
      </x:c>
      <x:c r="D952" s="7" t="s">
        <x:v>7191</x:v>
      </x:c>
      <x:c r="E952" s="7" t="s">
        <x:v>7194</x:v>
      </x:c>
    </x:row>
    <x:row r="953" ht="37.5" hidden="0" customHeight="1">
      <x:c r="A953" s="7" t="s">
        <x:v>8097</x:v>
      </x:c>
      <x:c r="B953" s="7" t="s">
        <x:v>969</x:v>
      </x:c>
      <x:c r="C953" s="7" t="s">
        <x:v>1450</x:v>
      </x:c>
      <x:c r="D953" s="7" t="str">
        <x:v>Evidence recorded</x:v>
      </x:c>
      <x:c r="E953" s="7" t="str">
        <x:v>Fillamentum CPE HG100 printing guide recorded as P0165; heated chamber / enclosure not needed.</x:v>
      </x:c>
    </x:row>
    <x:row r="954" ht="37.5" hidden="0" customHeight="1">
      <x:c r="A954" s="7" t="s">
        <x:v>8098</x:v>
      </x:c>
      <x:c r="B954" s="7" t="s">
        <x:v>969</x:v>
      </x:c>
      <x:c r="C954" s="7" t="s">
        <x:v>7198</x:v>
      </x:c>
      <x:c r="D954" s="7" t="str">
        <x:v>Limited comparability</x:v>
      </x:c>
      <x:c r="E954" s="7" t="str">
        <x:v>CPE HG100 TDS values recorded 2026-09-13. Specimen form and orientation are not published, so tensile values are related evidence only; density is the only mechanical headline.</x:v>
      </x:c>
    </x:row>
    <x:row r="955" ht="37.5" hidden="0" customHeight="1">
      <x:c r="A955" s="7" t="s">
        <x:v>8099</x:v>
      </x:c>
      <x:c r="B955" s="7" t="s">
        <x:v>969</x:v>
      </x:c>
      <x:c r="C955" s="7" t="s">
        <x:v>7201</x:v>
      </x:c>
      <x:c r="D955" s="7" t="str">
        <x:v>Evidence recorded</x:v>
      </x:c>
      <x:c r="E955" s="7" t="str">
        <x:v>HDT 80 °C at 0.455 MPa (ASTM D648) recorded as the headline. The TDS labels 90 °C a glass transition under ASTM D1525, the Vicat method; kept under its own label.</x:v>
      </x:c>
    </x:row>
    <x:row r="956" ht="37.5" hidden="0" customHeight="1">
      <x:c r="A956" s="7" t="s">
        <x:v>8100</x:v>
      </x:c>
      <x:c r="B956" s="7" t="s">
        <x:v>969</x:v>
      </x:c>
      <x:c r="C956" s="7" t="s">
        <x:v>7204</x:v>
      </x:c>
      <x:c r="D956" s="7" t="s">
        <x:v>7191</x:v>
      </x:c>
      <x:c r="E956" s="7" t="s">
        <x:v>7205</x:v>
      </x:c>
    </x:row>
    <x:row r="957" ht="37.5" hidden="0" customHeight="1">
      <x:c r="A957" s="7" t="s">
        <x:v>8101</x:v>
      </x:c>
      <x:c r="B957" s="7" t="s">
        <x:v>969</x:v>
      </x:c>
      <x:c r="C957" s="7" t="s">
        <x:v>7207</x:v>
      </x:c>
      <x:c r="D957" s="7" t="s">
        <x:v>7191</x:v>
      </x:c>
      <x:c r="E957" s="7" t="s">
        <x:v>7208</x:v>
      </x:c>
    </x:row>
    <x:row r="958" ht="37.5" hidden="0" customHeight="1">
      <x:c r="A958" s="7" t="s">
        <x:v>8102</x:v>
      </x:c>
      <x:c r="B958" s="7" t="s">
        <x:v>969</x:v>
      </x:c>
      <x:c r="C958" s="7" t="s">
        <x:v>7210</x:v>
      </x:c>
      <x:c r="D958" s="7" t="s">
        <x:v>7107</x:v>
      </x:c>
      <x:c r="E958" s="7" t="s">
        <x:v>7211</x:v>
      </x:c>
    </x:row>
    <x:row r="959" ht="51.75" hidden="0" customHeight="1">
      <x:c r="A959" s="7" t="s">
        <x:v>8103</x:v>
      </x:c>
      <x:c r="B959" s="7" t="s">
        <x:v>969</x:v>
      </x:c>
      <x:c r="C959" s="7" t="s">
        <x:v>7213</x:v>
      </x:c>
      <x:c r="D959" s="7" t="s">
        <x:v>7107</x:v>
      </x:c>
      <x:c r="E959" s="7" t="s">
        <x:v>7214</x:v>
      </x:c>
    </x:row>
    <x:row r="960" ht="30" hidden="0" customHeight="1">
      <x:c r="A960" s="7" t="s">
        <x:v>8104</x:v>
      </x:c>
      <x:c r="B960" s="7" t="s">
        <x:v>978</x:v>
      </x:c>
      <x:c r="C960" s="7" t="s">
        <x:v>7190</x:v>
      </x:c>
      <x:c r="D960" s="7" t="s">
        <x:v>7191</x:v>
      </x:c>
      <x:c r="E960" s="7" t="s">
        <x:v>7192</x:v>
      </x:c>
    </x:row>
    <x:row r="961" ht="37.5" hidden="0" customHeight="1">
      <x:c r="A961" s="7" t="s">
        <x:v>8105</x:v>
      </x:c>
      <x:c r="B961" s="7" t="s">
        <x:v>978</x:v>
      </x:c>
      <x:c r="C961" s="7" t="s">
        <x:v>5</x:v>
      </x:c>
      <x:c r="D961" s="7" t="s">
        <x:v>7191</x:v>
      </x:c>
      <x:c r="E961" s="7" t="s">
        <x:v>7194</x:v>
      </x:c>
    </x:row>
    <x:row r="962" ht="30" hidden="0" customHeight="1">
      <x:c r="A962" s="7" t="s">
        <x:v>8106</x:v>
      </x:c>
      <x:c r="B962" s="7" t="s">
        <x:v>978</x:v>
      </x:c>
      <x:c r="C962" s="7" t="s">
        <x:v>1450</x:v>
      </x:c>
      <x:c r="D962" s="7" t="s">
        <x:v>7191</x:v>
      </x:c>
      <x:c r="E962" s="7" t="s">
        <x:v>7196</x:v>
      </x:c>
    </x:row>
    <x:row r="963" ht="30" hidden="0" customHeight="1">
      <x:c r="A963" s="7" t="s">
        <x:v>8107</x:v>
      </x:c>
      <x:c r="B963" s="7" t="s">
        <x:v>978</x:v>
      </x:c>
      <x:c r="C963" s="7" t="s">
        <x:v>7198</x:v>
      </x:c>
      <x:c r="D963" s="7" t="s">
        <x:v>7191</x:v>
      </x:c>
      <x:c r="E963" s="7" t="s">
        <x:v>7199</x:v>
      </x:c>
    </x:row>
    <x:row r="964" ht="30" hidden="0" customHeight="1">
      <x:c r="A964" s="7" t="s">
        <x:v>8108</x:v>
      </x:c>
      <x:c r="B964" s="7" t="s">
        <x:v>978</x:v>
      </x:c>
      <x:c r="C964" s="7" t="s">
        <x:v>7201</x:v>
      </x:c>
      <x:c r="D964" s="7" t="s">
        <x:v>7191</x:v>
      </x:c>
      <x:c r="E964" s="7" t="s">
        <x:v>7202</x:v>
      </x:c>
    </x:row>
    <x:row r="965" ht="37.5" hidden="0" customHeight="1">
      <x:c r="A965" s="7" t="s">
        <x:v>8109</x:v>
      </x:c>
      <x:c r="B965" s="7" t="s">
        <x:v>978</x:v>
      </x:c>
      <x:c r="C965" s="7" t="s">
        <x:v>7204</x:v>
      </x:c>
      <x:c r="D965" s="7" t="s">
        <x:v>7191</x:v>
      </x:c>
      <x:c r="E965" s="7" t="s">
        <x:v>7205</x:v>
      </x:c>
    </x:row>
    <x:row r="966" ht="37.5" hidden="0" customHeight="1">
      <x:c r="A966" s="7" t="s">
        <x:v>8110</x:v>
      </x:c>
      <x:c r="B966" s="7" t="s">
        <x:v>978</x:v>
      </x:c>
      <x:c r="C966" s="7" t="s">
        <x:v>7207</x:v>
      </x:c>
      <x:c r="D966" s="7" t="s">
        <x:v>7191</x:v>
      </x:c>
      <x:c r="E966" s="7" t="s">
        <x:v>7208</x:v>
      </x:c>
    </x:row>
    <x:row r="967" ht="37.5" hidden="0" customHeight="1">
      <x:c r="A967" s="7" t="s">
        <x:v>8111</x:v>
      </x:c>
      <x:c r="B967" s="7" t="s">
        <x:v>978</x:v>
      </x:c>
      <x:c r="C967" s="7" t="s">
        <x:v>7210</x:v>
      </x:c>
      <x:c r="D967" s="7" t="s">
        <x:v>7107</x:v>
      </x:c>
      <x:c r="E967" s="7" t="s">
        <x:v>7211</x:v>
      </x:c>
    </x:row>
    <x:row r="968" ht="51.75" hidden="0" customHeight="1">
      <x:c r="A968" s="7" t="s">
        <x:v>8112</x:v>
      </x:c>
      <x:c r="B968" s="7" t="s">
        <x:v>978</x:v>
      </x:c>
      <x:c r="C968" s="7" t="s">
        <x:v>7213</x:v>
      </x:c>
      <x:c r="D968" s="7" t="s">
        <x:v>7107</x:v>
      </x:c>
      <x:c r="E968" s="7" t="s">
        <x:v>7214</x:v>
      </x:c>
    </x:row>
    <x:row r="969" ht="37.5" hidden="0" customHeight="1">
      <x:c r="A969" s="7" t="s">
        <x:v>8113</x:v>
      </x:c>
      <x:c r="B969" s="7" t="s">
        <x:v>978</x:v>
      </x:c>
      <x:c r="C969" s="7" t="s">
        <x:v>7216</x:v>
      </x:c>
      <x:c r="D969" s="7" t="s">
        <x:v>7217</x:v>
      </x:c>
      <x:c r="E969" s="7" t="s">
        <x:v>7218</x:v>
      </x:c>
    </x:row>
    <x:row r="970" ht="30" hidden="0" customHeight="1">
      <x:c r="A970" s="7" t="s">
        <x:v>8114</x:v>
      </x:c>
      <x:c r="B970" s="7" t="s">
        <x:v>990</x:v>
      </x:c>
      <x:c r="C970" s="7" t="s">
        <x:v>7190</x:v>
      </x:c>
      <x:c r="D970" s="7" t="s">
        <x:v>7191</x:v>
      </x:c>
      <x:c r="E970" s="7" t="s">
        <x:v>7192</x:v>
      </x:c>
    </x:row>
    <x:row r="971" ht="37.5" hidden="0" customHeight="1">
      <x:c r="A971" s="7" t="s">
        <x:v>8115</x:v>
      </x:c>
      <x:c r="B971" s="7" t="s">
        <x:v>990</x:v>
      </x:c>
      <x:c r="C971" s="7" t="s">
        <x:v>5</x:v>
      </x:c>
      <x:c r="D971" s="7" t="s">
        <x:v>7191</x:v>
      </x:c>
      <x:c r="E971" s="7" t="s">
        <x:v>7194</x:v>
      </x:c>
    </x:row>
    <x:row r="972" ht="37.5" hidden="0" customHeight="1">
      <x:c r="A972" s="7" t="s">
        <x:v>8116</x:v>
      </x:c>
      <x:c r="B972" s="7" t="s">
        <x:v>990</x:v>
      </x:c>
      <x:c r="C972" s="7" t="s">
        <x:v>1450</x:v>
      </x:c>
      <x:c r="D972" s="7" t="str">
        <x:v>Evidence recorded</x:v>
      </x:c>
      <x:c r="E972" s="7" t="str">
        <x:v>Panchroma CoPE printing guidance recorded as P0163; closure chamber not needed.</x:v>
      </x:c>
    </x:row>
    <x:row r="973" ht="37.5" hidden="0" customHeight="1">
      <x:c r="A973" s="7" t="s">
        <x:v>8117</x:v>
      </x:c>
      <x:c r="B973" s="7" t="s">
        <x:v>990</x:v>
      </x:c>
      <x:c r="C973" s="7" t="s">
        <x:v>7198</x:v>
      </x:c>
      <x:c r="D973" s="7" t="str">
        <x:v>Partially resolved</x:v>
      </x:c>
      <x:c r="E973" s="7" t="str">
        <x:v>Printed XY modulus and strength, Z strength and notched Charpy recorded from the Panchroma TDS V2.1. The elongation of 10.5 ± 3.8% cited from the CoPE TDS V5.4 could not be retrieved (HTTP 404) and was not entered.</x:v>
      </x:c>
    </x:row>
    <x:row r="974" ht="37.5" hidden="0" customHeight="1">
      <x:c r="A974" s="7" t="s">
        <x:v>8118</x:v>
      </x:c>
      <x:c r="B974" s="7" t="s">
        <x:v>990</x:v>
      </x:c>
      <x:c r="C974" s="7" t="s">
        <x:v>7201</x:v>
      </x:c>
      <x:c r="D974" s="7" t="str">
        <x:v>Partially resolved</x:v>
      </x:c>
      <x:c r="E974" s="7" t="str">
        <x:v>Vicat 66 °C recorded. HDT is not published, and Vicat is not substituted for it.</x:v>
      </x:c>
    </x:row>
    <x:row r="975" ht="37.5" hidden="0" customHeight="1">
      <x:c r="A975" s="7" t="s">
        <x:v>8119</x:v>
      </x:c>
      <x:c r="B975" s="7" t="s">
        <x:v>990</x:v>
      </x:c>
      <x:c r="C975" s="7" t="s">
        <x:v>7204</x:v>
      </x:c>
      <x:c r="D975" s="7" t="s">
        <x:v>7107</x:v>
      </x:c>
      <x:c r="E975" s="7" t="s">
        <x:v>7211</x:v>
      </x:c>
    </x:row>
    <x:row r="976" ht="37.5" hidden="0" customHeight="1">
      <x:c r="A976" s="7" t="s">
        <x:v>8120</x:v>
      </x:c>
      <x:c r="B976" s="7" t="s">
        <x:v>990</x:v>
      </x:c>
      <x:c r="C976" s="7" t="s">
        <x:v>7207</x:v>
      </x:c>
      <x:c r="D976" s="7" t="s">
        <x:v>7107</x:v>
      </x:c>
      <x:c r="E976" s="7" t="s">
        <x:v>7211</x:v>
      </x:c>
    </x:row>
    <x:row r="977" ht="37.5" hidden="0" customHeight="1">
      <x:c r="A977" s="7" t="s">
        <x:v>8121</x:v>
      </x:c>
      <x:c r="B977" s="7" t="s">
        <x:v>990</x:v>
      </x:c>
      <x:c r="C977" s="7" t="s">
        <x:v>7210</x:v>
      </x:c>
      <x:c r="D977" s="7" t="s">
        <x:v>7107</x:v>
      </x:c>
      <x:c r="E977" s="7" t="s">
        <x:v>7211</x:v>
      </x:c>
    </x:row>
    <x:row r="978" ht="51.75" hidden="0" customHeight="1">
      <x:c r="A978" s="7" t="s">
        <x:v>8122</x:v>
      </x:c>
      <x:c r="B978" s="7" t="s">
        <x:v>990</x:v>
      </x:c>
      <x:c r="C978" s="7" t="s">
        <x:v>7213</x:v>
      </x:c>
      <x:c r="D978" s="7" t="s">
        <x:v>7107</x:v>
      </x:c>
      <x:c r="E978" s="7" t="s">
        <x:v>7214</x:v>
      </x:c>
    </x:row>
    <x:row r="979" ht="30" hidden="0" customHeight="1">
      <x:c r="A979" s="7" t="s">
        <x:v>8123</x:v>
      </x:c>
      <x:c r="B979" s="7" t="s">
        <x:v>997</x:v>
      </x:c>
      <x:c r="C979" s="7" t="s">
        <x:v>7190</x:v>
      </x:c>
      <x:c r="D979" s="7" t="s">
        <x:v>7191</x:v>
      </x:c>
      <x:c r="E979" s="7" t="s">
        <x:v>7192</x:v>
      </x:c>
    </x:row>
    <x:row r="980" ht="37.5" hidden="0" customHeight="1">
      <x:c r="A980" s="7" t="s">
        <x:v>8124</x:v>
      </x:c>
      <x:c r="B980" s="7" t="s">
        <x:v>997</x:v>
      </x:c>
      <x:c r="C980" s="7" t="s">
        <x:v>5</x:v>
      </x:c>
      <x:c r="D980" s="7" t="s">
        <x:v>7191</x:v>
      </x:c>
      <x:c r="E980" s="7" t="s">
        <x:v>7194</x:v>
      </x:c>
    </x:row>
    <x:row r="981" ht="37.5" hidden="0" customHeight="1">
      <x:c r="A981" s="7" t="s">
        <x:v>8125</x:v>
      </x:c>
      <x:c r="B981" s="7" t="s">
        <x:v>997</x:v>
      </x:c>
      <x:c r="C981" s="7" t="s">
        <x:v>1450</x:v>
      </x:c>
      <x:c r="D981" s="7" t="str">
        <x:v>Evidence recorded</x:v>
      </x:c>
      <x:c r="E981" s="7" t="str">
        <x:v>colorFabb nGen TDS v2.0 print guideline recorded as P0167.</x:v>
      </x:c>
    </x:row>
    <x:row r="982" ht="37.5" hidden="0" customHeight="1">
      <x:c r="A982" s="7" t="s">
        <x:v>8126</x:v>
      </x:c>
      <x:c r="B982" s="7" t="s">
        <x:v>997</x:v>
      </x:c>
      <x:c r="C982" s="7" t="s">
        <x:v>7198</x:v>
      </x:c>
      <x:c r="D982" s="7" t="str">
        <x:v>Evidence recorded</x:v>
      </x:c>
      <x:c r="E982" s="7" t="str">
        <x:v>Printed XY modulus, strength, elongation and notched Charpy from TDS v2.0 are headlines. Injection-moulded raw-material values are recorded separately and never headlines.</x:v>
      </x:c>
    </x:row>
    <x:row r="983" ht="37.5" hidden="0" customHeight="1">
      <x:c r="A983" s="7" t="s">
        <x:v>8127</x:v>
      </x:c>
      <x:c r="B983" s="7" t="s">
        <x:v>997</x:v>
      </x:c>
      <x:c r="C983" s="7" t="s">
        <x:v>7201</x:v>
      </x:c>
      <x:c r="D983" s="7" t="str">
        <x:v>Limited comparability</x:v>
      </x:c>
      <x:c r="E983" s="7" t="str">
        <x:v>HDT 71 °C at 0.455 MPa is raw-material supplier data per the TDS footnote and is not a headline.</x:v>
      </x:c>
    </x:row>
    <x:row r="984" ht="37.5" hidden="0" customHeight="1">
      <x:c r="A984" s="7" t="s">
        <x:v>8128</x:v>
      </x:c>
      <x:c r="B984" s="7" t="s">
        <x:v>997</x:v>
      </x:c>
      <x:c r="C984" s="7" t="s">
        <x:v>7204</x:v>
      </x:c>
      <x:c r="D984" s="7" t="s">
        <x:v>7107</x:v>
      </x:c>
      <x:c r="E984" s="7" t="s">
        <x:v>7211</x:v>
      </x:c>
    </x:row>
    <x:row r="985" ht="37.5" hidden="0" customHeight="1">
      <x:c r="A985" s="7" t="s">
        <x:v>8129</x:v>
      </x:c>
      <x:c r="B985" s="7" t="s">
        <x:v>997</x:v>
      </x:c>
      <x:c r="C985" s="7" t="s">
        <x:v>7207</x:v>
      </x:c>
      <x:c r="D985" s="7" t="s">
        <x:v>7191</x:v>
      </x:c>
      <x:c r="E985" s="7" t="s">
        <x:v>7208</x:v>
      </x:c>
    </x:row>
    <x:row r="986" ht="37.5" hidden="0" customHeight="1">
      <x:c r="A986" s="7" t="s">
        <x:v>8130</x:v>
      </x:c>
      <x:c r="B986" s="7" t="s">
        <x:v>997</x:v>
      </x:c>
      <x:c r="C986" s="7" t="s">
        <x:v>7210</x:v>
      </x:c>
      <x:c r="D986" s="7" t="s">
        <x:v>7107</x:v>
      </x:c>
      <x:c r="E986" s="7" t="s">
        <x:v>7211</x:v>
      </x:c>
    </x:row>
    <x:row r="987" ht="51.75" hidden="0" customHeight="1">
      <x:c r="A987" s="7" t="s">
        <x:v>8131</x:v>
      </x:c>
      <x:c r="B987" s="7" t="s">
        <x:v>997</x:v>
      </x:c>
      <x:c r="C987" s="7" t="s">
        <x:v>7213</x:v>
      </x:c>
      <x:c r="D987" s="7" t="s">
        <x:v>7107</x:v>
      </x:c>
      <x:c r="E987" s="7" t="s">
        <x:v>7214</x:v>
      </x:c>
    </x:row>
    <x:row r="988" ht="30" hidden="0" customHeight="1">
      <x:c r="A988" s="7" t="s">
        <x:v>8132</x:v>
      </x:c>
      <x:c r="B988" s="7" t="s">
        <x:v>1007</x:v>
      </x:c>
      <x:c r="C988" s="7" t="s">
        <x:v>7190</x:v>
      </x:c>
      <x:c r="D988" s="7" t="s">
        <x:v>7191</x:v>
      </x:c>
      <x:c r="E988" s="7" t="s">
        <x:v>7192</x:v>
      </x:c>
    </x:row>
    <x:row r="989" ht="37.5" hidden="0" customHeight="1">
      <x:c r="A989" s="7" t="s">
        <x:v>8133</x:v>
      </x:c>
      <x:c r="B989" s="7" t="s">
        <x:v>1007</x:v>
      </x:c>
      <x:c r="C989" s="7" t="s">
        <x:v>5</x:v>
      </x:c>
      <x:c r="D989" s="7" t="s">
        <x:v>7191</x:v>
      </x:c>
      <x:c r="E989" s="7" t="s">
        <x:v>7194</x:v>
      </x:c>
    </x:row>
    <x:row r="990" ht="30" hidden="0" customHeight="1">
      <x:c r="A990" s="7" t="s">
        <x:v>8134</x:v>
      </x:c>
      <x:c r="B990" s="7" t="s">
        <x:v>1007</x:v>
      </x:c>
      <x:c r="C990" s="7" t="s">
        <x:v>1450</x:v>
      </x:c>
      <x:c r="D990" s="7" t="s">
        <x:v>7191</x:v>
      </x:c>
      <x:c r="E990" s="7" t="s">
        <x:v>7196</x:v>
      </x:c>
    </x:row>
    <x:row r="991" ht="30" hidden="0" customHeight="1">
      <x:c r="A991" s="7" t="s">
        <x:v>8135</x:v>
      </x:c>
      <x:c r="B991" s="7" t="s">
        <x:v>1007</x:v>
      </x:c>
      <x:c r="C991" s="7" t="s">
        <x:v>7198</x:v>
      </x:c>
      <x:c r="D991" s="7" t="s">
        <x:v>7191</x:v>
      </x:c>
      <x:c r="E991" s="7" t="s">
        <x:v>7199</x:v>
      </x:c>
    </x:row>
    <x:row r="992" ht="30" hidden="0" customHeight="1">
      <x:c r="A992" s="7" t="s">
        <x:v>8136</x:v>
      </x:c>
      <x:c r="B992" s="7" t="s">
        <x:v>1007</x:v>
      </x:c>
      <x:c r="C992" s="7" t="s">
        <x:v>7201</x:v>
      </x:c>
      <x:c r="D992" s="7" t="s">
        <x:v>7191</x:v>
      </x:c>
      <x:c r="E992" s="7" t="s">
        <x:v>7202</x:v>
      </x:c>
    </x:row>
    <x:row r="993" ht="37.5" hidden="0" customHeight="1">
      <x:c r="A993" s="7" t="s">
        <x:v>8137</x:v>
      </x:c>
      <x:c r="B993" s="7" t="s">
        <x:v>1007</x:v>
      </x:c>
      <x:c r="C993" s="7" t="s">
        <x:v>7204</x:v>
      </x:c>
      <x:c r="D993" s="7" t="s">
        <x:v>7191</x:v>
      </x:c>
      <x:c r="E993" s="7" t="s">
        <x:v>7205</x:v>
      </x:c>
    </x:row>
    <x:row r="994" ht="37.5" hidden="0" customHeight="1">
      <x:c r="A994" s="7" t="s">
        <x:v>8138</x:v>
      </x:c>
      <x:c r="B994" s="7" t="s">
        <x:v>1007</x:v>
      </x:c>
      <x:c r="C994" s="7" t="s">
        <x:v>7207</x:v>
      </x:c>
      <x:c r="D994" s="7" t="s">
        <x:v>7191</x:v>
      </x:c>
      <x:c r="E994" s="7" t="s">
        <x:v>7208</x:v>
      </x:c>
    </x:row>
    <x:row r="995" ht="37.5" hidden="0" customHeight="1">
      <x:c r="A995" s="7" t="s">
        <x:v>8139</x:v>
      </x:c>
      <x:c r="B995" s="7" t="s">
        <x:v>1007</x:v>
      </x:c>
      <x:c r="C995" s="7" t="s">
        <x:v>7210</x:v>
      </x:c>
      <x:c r="D995" s="7" t="s">
        <x:v>7107</x:v>
      </x:c>
      <x:c r="E995" s="7" t="s">
        <x:v>7211</x:v>
      </x:c>
    </x:row>
    <x:row r="996" ht="51.75" hidden="0" customHeight="1">
      <x:c r="A996" s="7" t="s">
        <x:v>8140</x:v>
      </x:c>
      <x:c r="B996" s="7" t="s">
        <x:v>1007</x:v>
      </x:c>
      <x:c r="C996" s="7" t="s">
        <x:v>7213</x:v>
      </x:c>
      <x:c r="D996" s="7" t="s">
        <x:v>7107</x:v>
      </x:c>
      <x:c r="E996" s="7" t="s">
        <x:v>7214</x:v>
      </x:c>
    </x:row>
    <x:row r="997" ht="37.5" hidden="0" customHeight="1">
      <x:c r="A997" s="7" t="s">
        <x:v>8141</x:v>
      </x:c>
      <x:c r="B997" s="7" t="s">
        <x:v>1007</x:v>
      </x:c>
      <x:c r="C997" s="7" t="s">
        <x:v>7216</x:v>
      </x:c>
      <x:c r="D997" s="7" t="s">
        <x:v>7217</x:v>
      </x:c>
      <x:c r="E997" s="7" t="s">
        <x:v>7218</x:v>
      </x:c>
    </x:row>
    <x:row r="998" ht="30" hidden="0" customHeight="1">
      <x:c r="A998" s="7" t="s">
        <x:v>8142</x:v>
      </x:c>
      <x:c r="B998" s="7" t="s">
        <x:v>1020</x:v>
      </x:c>
      <x:c r="C998" s="7" t="s">
        <x:v>7190</x:v>
      </x:c>
      <x:c r="D998" s="7" t="s">
        <x:v>7191</x:v>
      </x:c>
      <x:c r="E998" s="7" t="s">
        <x:v>7192</x:v>
      </x:c>
    </x:row>
    <x:row r="999" ht="37.5" hidden="0" customHeight="1">
      <x:c r="A999" s="7" t="s">
        <x:v>8143</x:v>
      </x:c>
      <x:c r="B999" s="7" t="s">
        <x:v>1020</x:v>
      </x:c>
      <x:c r="C999" s="7" t="s">
        <x:v>5</x:v>
      </x:c>
      <x:c r="D999" s="7" t="s">
        <x:v>7191</x:v>
      </x:c>
      <x:c r="E999" s="7" t="s">
        <x:v>7194</x:v>
      </x:c>
    </x:row>
    <x:row r="1000" ht="30" hidden="0" customHeight="1">
      <x:c r="A1000" s="7" t="s">
        <x:v>8144</x:v>
      </x:c>
      <x:c r="B1000" s="7" t="s">
        <x:v>1020</x:v>
      </x:c>
      <x:c r="C1000" s="7" t="s">
        <x:v>1450</x:v>
      </x:c>
      <x:c r="D1000" s="7" t="s">
        <x:v>7191</x:v>
      </x:c>
      <x:c r="E1000" s="7" t="s">
        <x:v>7196</x:v>
      </x:c>
    </x:row>
    <x:row r="1001" ht="30" hidden="0" customHeight="1">
      <x:c r="A1001" s="7" t="s">
        <x:v>8145</x:v>
      </x:c>
      <x:c r="B1001" s="7" t="s">
        <x:v>1020</x:v>
      </x:c>
      <x:c r="C1001" s="7" t="s">
        <x:v>7198</x:v>
      </x:c>
      <x:c r="D1001" s="7" t="s">
        <x:v>7191</x:v>
      </x:c>
      <x:c r="E1001" s="7" t="s">
        <x:v>7199</x:v>
      </x:c>
    </x:row>
    <x:row r="1002" ht="30" hidden="0" customHeight="1">
      <x:c r="A1002" s="7" t="s">
        <x:v>8146</x:v>
      </x:c>
      <x:c r="B1002" s="7" t="s">
        <x:v>1020</x:v>
      </x:c>
      <x:c r="C1002" s="7" t="s">
        <x:v>7201</x:v>
      </x:c>
      <x:c r="D1002" s="7" t="s">
        <x:v>7191</x:v>
      </x:c>
      <x:c r="E1002" s="7" t="s">
        <x:v>7202</x:v>
      </x:c>
    </x:row>
    <x:row r="1003" ht="37.5" hidden="0" customHeight="1">
      <x:c r="A1003" s="7" t="s">
        <x:v>8147</x:v>
      </x:c>
      <x:c r="B1003" s="7" t="s">
        <x:v>1020</x:v>
      </x:c>
      <x:c r="C1003" s="7" t="s">
        <x:v>7204</x:v>
      </x:c>
      <x:c r="D1003" s="7" t="s">
        <x:v>7191</x:v>
      </x:c>
      <x:c r="E1003" s="7" t="s">
        <x:v>7205</x:v>
      </x:c>
    </x:row>
    <x:row r="1004" ht="37.5" hidden="0" customHeight="1">
      <x:c r="A1004" s="7" t="s">
        <x:v>8148</x:v>
      </x:c>
      <x:c r="B1004" s="7" t="s">
        <x:v>1020</x:v>
      </x:c>
      <x:c r="C1004" s="7" t="s">
        <x:v>7207</x:v>
      </x:c>
      <x:c r="D1004" s="7" t="s">
        <x:v>7107</x:v>
      </x:c>
      <x:c r="E1004" s="7" t="s">
        <x:v>7211</x:v>
      </x:c>
    </x:row>
    <x:row r="1005" ht="37.5" hidden="0" customHeight="1">
      <x:c r="A1005" s="7" t="s">
        <x:v>8149</x:v>
      </x:c>
      <x:c r="B1005" s="7" t="s">
        <x:v>1020</x:v>
      </x:c>
      <x:c r="C1005" s="7" t="s">
        <x:v>7210</x:v>
      </x:c>
      <x:c r="D1005" s="7" t="s">
        <x:v>7107</x:v>
      </x:c>
      <x:c r="E1005" s="7" t="s">
        <x:v>7211</x:v>
      </x:c>
    </x:row>
    <x:row r="1006" ht="51.75" hidden="0" customHeight="1">
      <x:c r="A1006" s="7" t="s">
        <x:v>8150</x:v>
      </x:c>
      <x:c r="B1006" s="7" t="s">
        <x:v>1020</x:v>
      </x:c>
      <x:c r="C1006" s="7" t="s">
        <x:v>7213</x:v>
      </x:c>
      <x:c r="D1006" s="7" t="s">
        <x:v>7107</x:v>
      </x:c>
      <x:c r="E1006" s="7" t="s">
        <x:v>7214</x:v>
      </x:c>
    </x:row>
    <x:row r="1007" ht="37.5" hidden="0" customHeight="1">
      <x:c r="A1007" s="7" t="s">
        <x:v>8151</x:v>
      </x:c>
      <x:c r="B1007" s="7" t="s">
        <x:v>1020</x:v>
      </x:c>
      <x:c r="C1007" s="7" t="s">
        <x:v>7216</x:v>
      </x:c>
      <x:c r="D1007" s="7" t="s">
        <x:v>7217</x:v>
      </x:c>
      <x:c r="E1007" s="7" t="s">
        <x:v>7218</x:v>
      </x:c>
    </x:row>
    <x:row r="1008" ht="30" hidden="0" customHeight="1">
      <x:c r="A1008" s="7" t="s">
        <x:v>8152</x:v>
      </x:c>
      <x:c r="B1008" s="7" t="s">
        <x:v>1031</x:v>
      </x:c>
      <x:c r="C1008" s="7" t="s">
        <x:v>7190</x:v>
      </x:c>
      <x:c r="D1008" s="7" t="s">
        <x:v>7191</x:v>
      </x:c>
      <x:c r="E1008" s="7" t="s">
        <x:v>7192</x:v>
      </x:c>
    </x:row>
    <x:row r="1009" ht="37.5" hidden="0" customHeight="1">
      <x:c r="A1009" s="7" t="s">
        <x:v>8153</x:v>
      </x:c>
      <x:c r="B1009" s="7" t="s">
        <x:v>1031</x:v>
      </x:c>
      <x:c r="C1009" s="7" t="s">
        <x:v>5</x:v>
      </x:c>
      <x:c r="D1009" s="7" t="s">
        <x:v>7191</x:v>
      </x:c>
      <x:c r="E1009" s="7" t="s">
        <x:v>7194</x:v>
      </x:c>
    </x:row>
    <x:row r="1010" ht="30" hidden="0" customHeight="1">
      <x:c r="A1010" s="7" t="s">
        <x:v>8154</x:v>
      </x:c>
      <x:c r="B1010" s="7" t="s">
        <x:v>1031</x:v>
      </x:c>
      <x:c r="C1010" s="7" t="s">
        <x:v>1450</x:v>
      </x:c>
      <x:c r="D1010" s="7" t="s">
        <x:v>7191</x:v>
      </x:c>
      <x:c r="E1010" s="7" t="s">
        <x:v>7196</x:v>
      </x:c>
    </x:row>
    <x:row r="1011" ht="30" hidden="0" customHeight="1">
      <x:c r="A1011" s="7" t="s">
        <x:v>8155</x:v>
      </x:c>
      <x:c r="B1011" s="7" t="s">
        <x:v>1031</x:v>
      </x:c>
      <x:c r="C1011" s="7" t="s">
        <x:v>7198</x:v>
      </x:c>
      <x:c r="D1011" s="7" t="s">
        <x:v>7191</x:v>
      </x:c>
      <x:c r="E1011" s="7" t="s">
        <x:v>7199</x:v>
      </x:c>
    </x:row>
    <x:row r="1012" ht="30" hidden="0" customHeight="1">
      <x:c r="A1012" s="7" t="s">
        <x:v>8156</x:v>
      </x:c>
      <x:c r="B1012" s="7" t="s">
        <x:v>1031</x:v>
      </x:c>
      <x:c r="C1012" s="7" t="s">
        <x:v>7201</x:v>
      </x:c>
      <x:c r="D1012" s="7" t="s">
        <x:v>7191</x:v>
      </x:c>
      <x:c r="E1012" s="7" t="s">
        <x:v>7202</x:v>
      </x:c>
    </x:row>
    <x:row r="1013" ht="37.5" hidden="0" customHeight="1">
      <x:c r="A1013" s="7" t="s">
        <x:v>8157</x:v>
      </x:c>
      <x:c r="B1013" s="7" t="s">
        <x:v>1031</x:v>
      </x:c>
      <x:c r="C1013" s="7" t="s">
        <x:v>7204</x:v>
      </x:c>
      <x:c r="D1013" s="7" t="s">
        <x:v>7191</x:v>
      </x:c>
      <x:c r="E1013" s="7" t="s">
        <x:v>7205</x:v>
      </x:c>
    </x:row>
    <x:row r="1014" ht="37.5" hidden="0" customHeight="1">
      <x:c r="A1014" s="7" t="s">
        <x:v>8158</x:v>
      </x:c>
      <x:c r="B1014" s="7" t="s">
        <x:v>1031</x:v>
      </x:c>
      <x:c r="C1014" s="7" t="s">
        <x:v>7207</x:v>
      </x:c>
      <x:c r="D1014" s="7" t="s">
        <x:v>7107</x:v>
      </x:c>
      <x:c r="E1014" s="7" t="s">
        <x:v>7211</x:v>
      </x:c>
    </x:row>
    <x:row r="1015" ht="37.5" hidden="0" customHeight="1">
      <x:c r="A1015" s="7" t="s">
        <x:v>8159</x:v>
      </x:c>
      <x:c r="B1015" s="7" t="s">
        <x:v>1031</x:v>
      </x:c>
      <x:c r="C1015" s="7" t="s">
        <x:v>7210</x:v>
      </x:c>
      <x:c r="D1015" s="7" t="s">
        <x:v>7107</x:v>
      </x:c>
      <x:c r="E1015" s="7" t="s">
        <x:v>7211</x:v>
      </x:c>
    </x:row>
    <x:row r="1016" ht="51.75" hidden="0" customHeight="1">
      <x:c r="A1016" s="7" t="s">
        <x:v>8160</x:v>
      </x:c>
      <x:c r="B1016" s="7" t="s">
        <x:v>1031</x:v>
      </x:c>
      <x:c r="C1016" s="7" t="s">
        <x:v>7213</x:v>
      </x:c>
      <x:c r="D1016" s="7" t="s">
        <x:v>7107</x:v>
      </x:c>
      <x:c r="E1016" s="7" t="s">
        <x:v>7214</x:v>
      </x:c>
    </x:row>
    <x:row r="1017" ht="37.5" hidden="0" customHeight="1">
      <x:c r="A1017" s="7" t="s">
        <x:v>8161</x:v>
      </x:c>
      <x:c r="B1017" s="7" t="s">
        <x:v>1031</x:v>
      </x:c>
      <x:c r="C1017" s="7" t="s">
        <x:v>7216</x:v>
      </x:c>
      <x:c r="D1017" s="7" t="s">
        <x:v>7217</x:v>
      </x:c>
      <x:c r="E1017" s="7" t="s">
        <x:v>7218</x:v>
      </x:c>
    </x:row>
    <x:row r="1018" ht="30" hidden="0" customHeight="1">
      <x:c r="A1018" s="7" t="s">
        <x:v>8162</x:v>
      </x:c>
      <x:c r="B1018" s="7" t="s">
        <x:v>1042</x:v>
      </x:c>
      <x:c r="C1018" s="7" t="s">
        <x:v>7190</x:v>
      </x:c>
      <x:c r="D1018" s="7" t="s">
        <x:v>7191</x:v>
      </x:c>
      <x:c r="E1018" s="7" t="s">
        <x:v>7192</x:v>
      </x:c>
    </x:row>
    <x:row r="1019" ht="37.5" hidden="0" customHeight="1">
      <x:c r="A1019" s="7" t="s">
        <x:v>8163</x:v>
      </x:c>
      <x:c r="B1019" s="7" t="s">
        <x:v>1042</x:v>
      </x:c>
      <x:c r="C1019" s="7" t="s">
        <x:v>5</x:v>
      </x:c>
      <x:c r="D1019" s="7" t="s">
        <x:v>7191</x:v>
      </x:c>
      <x:c r="E1019" s="7" t="s">
        <x:v>7194</x:v>
      </x:c>
    </x:row>
    <x:row r="1020" ht="30" hidden="0" customHeight="1">
      <x:c r="A1020" s="7" t="s">
        <x:v>8164</x:v>
      </x:c>
      <x:c r="B1020" s="7" t="s">
        <x:v>1042</x:v>
      </x:c>
      <x:c r="C1020" s="7" t="s">
        <x:v>1450</x:v>
      </x:c>
      <x:c r="D1020" s="7" t="s">
        <x:v>7191</x:v>
      </x:c>
      <x:c r="E1020" s="7" t="s">
        <x:v>7196</x:v>
      </x:c>
    </x:row>
    <x:row r="1021" ht="30" hidden="0" customHeight="1">
      <x:c r="A1021" s="7" t="s">
        <x:v>8165</x:v>
      </x:c>
      <x:c r="B1021" s="7" t="s">
        <x:v>1042</x:v>
      </x:c>
      <x:c r="C1021" s="7" t="s">
        <x:v>7198</x:v>
      </x:c>
      <x:c r="D1021" s="7" t="s">
        <x:v>7191</x:v>
      </x:c>
      <x:c r="E1021" s="7" t="s">
        <x:v>7199</x:v>
      </x:c>
    </x:row>
    <x:row r="1022" ht="30" hidden="0" customHeight="1">
      <x:c r="A1022" s="7" t="s">
        <x:v>8166</x:v>
      </x:c>
      <x:c r="B1022" s="7" t="s">
        <x:v>1042</x:v>
      </x:c>
      <x:c r="C1022" s="7" t="s">
        <x:v>7201</x:v>
      </x:c>
      <x:c r="D1022" s="7" t="s">
        <x:v>7191</x:v>
      </x:c>
      <x:c r="E1022" s="7" t="s">
        <x:v>7202</x:v>
      </x:c>
    </x:row>
    <x:row r="1023" ht="37.5" hidden="0" customHeight="1">
      <x:c r="A1023" s="7" t="s">
        <x:v>8167</x:v>
      </x:c>
      <x:c r="B1023" s="7" t="s">
        <x:v>1042</x:v>
      </x:c>
      <x:c r="C1023" s="7" t="s">
        <x:v>7204</x:v>
      </x:c>
      <x:c r="D1023" s="7" t="s">
        <x:v>7107</x:v>
      </x:c>
      <x:c r="E1023" s="7" t="s">
        <x:v>7211</x:v>
      </x:c>
    </x:row>
    <x:row r="1024" ht="37.5" hidden="0" customHeight="1">
      <x:c r="A1024" s="7" t="s">
        <x:v>8168</x:v>
      </x:c>
      <x:c r="B1024" s="7" t="s">
        <x:v>1042</x:v>
      </x:c>
      <x:c r="C1024" s="7" t="s">
        <x:v>7207</x:v>
      </x:c>
      <x:c r="D1024" s="7" t="s">
        <x:v>7107</x:v>
      </x:c>
      <x:c r="E1024" s="7" t="s">
        <x:v>7211</x:v>
      </x:c>
    </x:row>
    <x:row r="1025" ht="37.5" hidden="0" customHeight="1">
      <x:c r="A1025" s="7" t="s">
        <x:v>8169</x:v>
      </x:c>
      <x:c r="B1025" s="7" t="s">
        <x:v>1042</x:v>
      </x:c>
      <x:c r="C1025" s="7" t="s">
        <x:v>7210</x:v>
      </x:c>
      <x:c r="D1025" s="7" t="s">
        <x:v>7107</x:v>
      </x:c>
      <x:c r="E1025" s="7" t="s">
        <x:v>7211</x:v>
      </x:c>
    </x:row>
    <x:row r="1026" ht="51.75" hidden="0" customHeight="1">
      <x:c r="A1026" s="7" t="s">
        <x:v>8170</x:v>
      </x:c>
      <x:c r="B1026" s="7" t="s">
        <x:v>1042</x:v>
      </x:c>
      <x:c r="C1026" s="7" t="s">
        <x:v>7213</x:v>
      </x:c>
      <x:c r="D1026" s="7" t="s">
        <x:v>7107</x:v>
      </x:c>
      <x:c r="E1026" s="7" t="s">
        <x:v>7214</x:v>
      </x:c>
    </x:row>
    <x:row r="1027" ht="37.5" hidden="0" customHeight="1">
      <x:c r="A1027" s="7" t="s">
        <x:v>8171</x:v>
      </x:c>
      <x:c r="B1027" s="7" t="s">
        <x:v>1042</x:v>
      </x:c>
      <x:c r="C1027" s="7" t="s">
        <x:v>7216</x:v>
      </x:c>
      <x:c r="D1027" s="7" t="s">
        <x:v>7217</x:v>
      </x:c>
      <x:c r="E1027" s="7" t="s">
        <x:v>7218</x:v>
      </x:c>
    </x:row>
    <x:row r="1028" ht="37.5" hidden="0" customHeight="1">
      <x:c r="A1028" s="7" t="s">
        <x:v>8172</x:v>
      </x:c>
      <x:c r="B1028" s="7" t="s">
        <x:v>1042</x:v>
      </x:c>
      <x:c r="C1028" s="7" t="s">
        <x:v>7756</x:v>
      </x:c>
      <x:c r="D1028" s="7" t="s">
        <x:v>7757</x:v>
      </x:c>
      <x:c r="E1028" s="7" t="s">
        <x:v>7758</x:v>
      </x:c>
    </x:row>
    <x:row r="1029" ht="30" hidden="0" customHeight="1">
      <x:c r="A1029" s="7" t="s">
        <x:v>8173</x:v>
      </x:c>
      <x:c r="B1029" s="7" t="s">
        <x:v>1051</x:v>
      </x:c>
      <x:c r="C1029" s="7" t="s">
        <x:v>7190</x:v>
      </x:c>
      <x:c r="D1029" s="7" t="s">
        <x:v>7191</x:v>
      </x:c>
      <x:c r="E1029" s="7" t="s">
        <x:v>7192</x:v>
      </x:c>
    </x:row>
    <x:row r="1030" ht="37.5" hidden="0" customHeight="1">
      <x:c r="A1030" s="7" t="s">
        <x:v>8174</x:v>
      </x:c>
      <x:c r="B1030" s="7" t="s">
        <x:v>1051</x:v>
      </x:c>
      <x:c r="C1030" s="7" t="s">
        <x:v>5</x:v>
      </x:c>
      <x:c r="D1030" s="7" t="s">
        <x:v>7191</x:v>
      </x:c>
      <x:c r="E1030" s="7" t="s">
        <x:v>7194</x:v>
      </x:c>
    </x:row>
    <x:row r="1031" ht="30" hidden="0" customHeight="1">
      <x:c r="A1031" s="7" t="s">
        <x:v>8175</x:v>
      </x:c>
      <x:c r="B1031" s="7" t="s">
        <x:v>1051</x:v>
      </x:c>
      <x:c r="C1031" s="7" t="s">
        <x:v>1450</x:v>
      </x:c>
      <x:c r="D1031" s="7" t="s">
        <x:v>7191</x:v>
      </x:c>
      <x:c r="E1031" s="7" t="s">
        <x:v>7196</x:v>
      </x:c>
    </x:row>
    <x:row r="1032" ht="30" hidden="0" customHeight="1">
      <x:c r="A1032" s="7" t="s">
        <x:v>8176</x:v>
      </x:c>
      <x:c r="B1032" s="7" t="s">
        <x:v>1051</x:v>
      </x:c>
      <x:c r="C1032" s="7" t="s">
        <x:v>7198</x:v>
      </x:c>
      <x:c r="D1032" s="7" t="s">
        <x:v>7191</x:v>
      </x:c>
      <x:c r="E1032" s="7" t="s">
        <x:v>7199</x:v>
      </x:c>
    </x:row>
    <x:row r="1033" ht="30" hidden="0" customHeight="1">
      <x:c r="A1033" s="7" t="s">
        <x:v>8177</x:v>
      </x:c>
      <x:c r="B1033" s="7" t="s">
        <x:v>1051</x:v>
      </x:c>
      <x:c r="C1033" s="7" t="s">
        <x:v>7201</x:v>
      </x:c>
      <x:c r="D1033" s="7" t="s">
        <x:v>7191</x:v>
      </x:c>
      <x:c r="E1033" s="7" t="s">
        <x:v>7202</x:v>
      </x:c>
    </x:row>
    <x:row r="1034" ht="37.5" hidden="0" customHeight="1">
      <x:c r="A1034" s="7" t="s">
        <x:v>8178</x:v>
      </x:c>
      <x:c r="B1034" s="7" t="s">
        <x:v>1051</x:v>
      </x:c>
      <x:c r="C1034" s="7" t="s">
        <x:v>7204</x:v>
      </x:c>
      <x:c r="D1034" s="7" t="s">
        <x:v>7191</x:v>
      </x:c>
      <x:c r="E1034" s="7" t="s">
        <x:v>7205</x:v>
      </x:c>
    </x:row>
    <x:row r="1035" ht="37.5" hidden="0" customHeight="1">
      <x:c r="A1035" s="7" t="s">
        <x:v>8179</x:v>
      </x:c>
      <x:c r="B1035" s="7" t="s">
        <x:v>1051</x:v>
      </x:c>
      <x:c r="C1035" s="7" t="s">
        <x:v>7207</x:v>
      </x:c>
      <x:c r="D1035" s="7" t="s">
        <x:v>7191</x:v>
      </x:c>
      <x:c r="E1035" s="7" t="s">
        <x:v>7208</x:v>
      </x:c>
    </x:row>
    <x:row r="1036" ht="37.5" hidden="0" customHeight="1">
      <x:c r="A1036" s="7" t="s">
        <x:v>8180</x:v>
      </x:c>
      <x:c r="B1036" s="7" t="s">
        <x:v>1051</x:v>
      </x:c>
      <x:c r="C1036" s="7" t="s">
        <x:v>7210</x:v>
      </x:c>
      <x:c r="D1036" s="7" t="s">
        <x:v>7107</x:v>
      </x:c>
      <x:c r="E1036" s="7" t="s">
        <x:v>7211</x:v>
      </x:c>
    </x:row>
    <x:row r="1037" ht="37.5" hidden="0" customHeight="1">
      <x:c r="A1037" s="7" t="s">
        <x:v>8181</x:v>
      </x:c>
      <x:c r="B1037" s="7" t="s">
        <x:v>1051</x:v>
      </x:c>
      <x:c r="C1037" s="7" t="s">
        <x:v>7213</x:v>
      </x:c>
      <x:c r="D1037" s="7" t="s">
        <x:v>7107</x:v>
      </x:c>
      <x:c r="E1037" s="7" t="s">
        <x:v>8182</x:v>
      </x:c>
    </x:row>
    <x:row r="1038" ht="37.5" hidden="0" customHeight="1">
      <x:c r="A1038" s="7" t="s">
        <x:v>8183</x:v>
      </x:c>
      <x:c r="B1038" s="7" t="s">
        <x:v>1051</x:v>
      </x:c>
      <x:c r="C1038" s="7" t="s">
        <x:v>7216</x:v>
      </x:c>
      <x:c r="D1038" s="7" t="s">
        <x:v>7217</x:v>
      </x:c>
      <x:c r="E1038" s="7" t="s">
        <x:v>7218</x:v>
      </x:c>
    </x:row>
    <x:row r="1039" ht="37.5" hidden="0" customHeight="1">
      <x:c r="A1039" s="7" t="s">
        <x:v>8184</x:v>
      </x:c>
      <x:c r="B1039" s="7" t="s">
        <x:v>1051</x:v>
      </x:c>
      <x:c r="C1039" s="7" t="s">
        <x:v>7756</x:v>
      </x:c>
      <x:c r="D1039" s="7" t="s">
        <x:v>7757</x:v>
      </x:c>
      <x:c r="E1039" s="7" t="s">
        <x:v>7758</x:v>
      </x:c>
    </x:row>
    <x:row r="1040" ht="30" hidden="0" customHeight="1">
      <x:c r="A1040" s="7" t="s">
        <x:v>8185</x:v>
      </x:c>
      <x:c r="B1040" s="7" t="s">
        <x:v>1068</x:v>
      </x:c>
      <x:c r="C1040" s="7" t="s">
        <x:v>7190</x:v>
      </x:c>
      <x:c r="D1040" s="7" t="s">
        <x:v>7191</x:v>
      </x:c>
      <x:c r="E1040" s="7" t="s">
        <x:v>7192</x:v>
      </x:c>
    </x:row>
    <x:row r="1041" ht="37.5" hidden="0" customHeight="1">
      <x:c r="A1041" s="7" t="s">
        <x:v>8186</x:v>
      </x:c>
      <x:c r="B1041" s="7" t="s">
        <x:v>1068</x:v>
      </x:c>
      <x:c r="C1041" s="7" t="s">
        <x:v>5</x:v>
      </x:c>
      <x:c r="D1041" s="7" t="s">
        <x:v>7191</x:v>
      </x:c>
      <x:c r="E1041" s="7" t="s">
        <x:v>7194</x:v>
      </x:c>
    </x:row>
    <x:row r="1042" ht="30" hidden="0" customHeight="1">
      <x:c r="A1042" s="7" t="s">
        <x:v>8187</x:v>
      </x:c>
      <x:c r="B1042" s="7" t="s">
        <x:v>1068</x:v>
      </x:c>
      <x:c r="C1042" s="7" t="s">
        <x:v>1450</x:v>
      </x:c>
      <x:c r="D1042" s="7" t="s">
        <x:v>7191</x:v>
      </x:c>
      <x:c r="E1042" s="7" t="s">
        <x:v>7196</x:v>
      </x:c>
    </x:row>
    <x:row r="1043" ht="30" hidden="0" customHeight="1">
      <x:c r="A1043" s="7" t="s">
        <x:v>8188</x:v>
      </x:c>
      <x:c r="B1043" s="7" t="s">
        <x:v>1068</x:v>
      </x:c>
      <x:c r="C1043" s="7" t="s">
        <x:v>7198</x:v>
      </x:c>
      <x:c r="D1043" s="7" t="s">
        <x:v>7191</x:v>
      </x:c>
      <x:c r="E1043" s="7" t="s">
        <x:v>7199</x:v>
      </x:c>
    </x:row>
    <x:row r="1044" ht="30" hidden="0" customHeight="1">
      <x:c r="A1044" s="7" t="s">
        <x:v>8189</x:v>
      </x:c>
      <x:c r="B1044" s="7" t="s">
        <x:v>1068</x:v>
      </x:c>
      <x:c r="C1044" s="7" t="s">
        <x:v>7201</x:v>
      </x:c>
      <x:c r="D1044" s="7" t="s">
        <x:v>7191</x:v>
      </x:c>
      <x:c r="E1044" s="7" t="s">
        <x:v>7202</x:v>
      </x:c>
    </x:row>
    <x:row r="1045" ht="37.5" hidden="0" customHeight="1">
      <x:c r="A1045" s="7" t="s">
        <x:v>8190</x:v>
      </x:c>
      <x:c r="B1045" s="7" t="s">
        <x:v>1068</x:v>
      </x:c>
      <x:c r="C1045" s="7" t="s">
        <x:v>7204</x:v>
      </x:c>
      <x:c r="D1045" s="7" t="s">
        <x:v>7107</x:v>
      </x:c>
      <x:c r="E1045" s="7" t="s">
        <x:v>7211</x:v>
      </x:c>
    </x:row>
    <x:row r="1046" ht="37.5" hidden="0" customHeight="1">
      <x:c r="A1046" s="7" t="s">
        <x:v>8191</x:v>
      </x:c>
      <x:c r="B1046" s="7" t="s">
        <x:v>1068</x:v>
      </x:c>
      <x:c r="C1046" s="7" t="s">
        <x:v>7207</x:v>
      </x:c>
      <x:c r="D1046" s="7" t="s">
        <x:v>7191</x:v>
      </x:c>
      <x:c r="E1046" s="7" t="s">
        <x:v>7208</x:v>
      </x:c>
    </x:row>
    <x:row r="1047" ht="37.5" hidden="0" customHeight="1">
      <x:c r="A1047" s="7" t="s">
        <x:v>8192</x:v>
      </x:c>
      <x:c r="B1047" s="7" t="s">
        <x:v>1068</x:v>
      </x:c>
      <x:c r="C1047" s="7" t="s">
        <x:v>7210</x:v>
      </x:c>
      <x:c r="D1047" s="7" t="s">
        <x:v>7107</x:v>
      </x:c>
      <x:c r="E1047" s="7" t="s">
        <x:v>7211</x:v>
      </x:c>
    </x:row>
    <x:row r="1048" ht="51.75" hidden="0" customHeight="1">
      <x:c r="A1048" s="7" t="s">
        <x:v>8193</x:v>
      </x:c>
      <x:c r="B1048" s="7" t="s">
        <x:v>1068</x:v>
      </x:c>
      <x:c r="C1048" s="7" t="s">
        <x:v>7213</x:v>
      </x:c>
      <x:c r="D1048" s="7" t="s">
        <x:v>7107</x:v>
      </x:c>
      <x:c r="E1048" s="7" t="s">
        <x:v>7214</x:v>
      </x:c>
    </x:row>
    <x:row r="1049" ht="37.5" hidden="0" customHeight="1">
      <x:c r="A1049" s="7" t="s">
        <x:v>8194</x:v>
      </x:c>
      <x:c r="B1049" s="7" t="s">
        <x:v>1068</x:v>
      </x:c>
      <x:c r="C1049" s="7" t="s">
        <x:v>7216</x:v>
      </x:c>
      <x:c r="D1049" s="7" t="s">
        <x:v>7217</x:v>
      </x:c>
      <x:c r="E1049" s="7" t="s">
        <x:v>7218</x:v>
      </x:c>
    </x:row>
    <x:row r="1050" ht="37.5" hidden="0" customHeight="1">
      <x:c r="A1050" s="7" t="s">
        <x:v>8195</x:v>
      </x:c>
      <x:c r="B1050" s="7" t="s">
        <x:v>1068</x:v>
      </x:c>
      <x:c r="C1050" s="7" t="s">
        <x:v>7756</x:v>
      </x:c>
      <x:c r="D1050" s="7" t="s">
        <x:v>7757</x:v>
      </x:c>
      <x:c r="E1050" s="7" t="s">
        <x:v>7758</x:v>
      </x:c>
    </x:row>
    <x:row r="1051" ht="30" hidden="0" customHeight="1">
      <x:c r="A1051" s="7" t="s">
        <x:v>8196</x:v>
      </x:c>
      <x:c r="B1051" s="7" t="s">
        <x:v>1080</x:v>
      </x:c>
      <x:c r="C1051" s="7" t="s">
        <x:v>7190</x:v>
      </x:c>
      <x:c r="D1051" s="7" t="s">
        <x:v>7191</x:v>
      </x:c>
      <x:c r="E1051" s="7" t="s">
        <x:v>7192</x:v>
      </x:c>
    </x:row>
    <x:row r="1052" ht="37.5" hidden="0" customHeight="1">
      <x:c r="A1052" s="7" t="s">
        <x:v>8197</x:v>
      </x:c>
      <x:c r="B1052" s="7" t="s">
        <x:v>1080</x:v>
      </x:c>
      <x:c r="C1052" s="7" t="s">
        <x:v>5</x:v>
      </x:c>
      <x:c r="D1052" s="7" t="s">
        <x:v>7191</x:v>
      </x:c>
      <x:c r="E1052" s="7" t="s">
        <x:v>7194</x:v>
      </x:c>
    </x:row>
    <x:row r="1053" ht="30" hidden="0" customHeight="1">
      <x:c r="A1053" s="7" t="s">
        <x:v>8198</x:v>
      </x:c>
      <x:c r="B1053" s="7" t="s">
        <x:v>1080</x:v>
      </x:c>
      <x:c r="C1053" s="7" t="s">
        <x:v>1450</x:v>
      </x:c>
      <x:c r="D1053" s="7" t="s">
        <x:v>7191</x:v>
      </x:c>
      <x:c r="E1053" s="7" t="s">
        <x:v>7196</x:v>
      </x:c>
    </x:row>
    <x:row r="1054" ht="30" hidden="0" customHeight="1">
      <x:c r="A1054" s="7" t="s">
        <x:v>8199</x:v>
      </x:c>
      <x:c r="B1054" s="7" t="s">
        <x:v>1080</x:v>
      </x:c>
      <x:c r="C1054" s="7" t="s">
        <x:v>7198</x:v>
      </x:c>
      <x:c r="D1054" s="7" t="s">
        <x:v>7191</x:v>
      </x:c>
      <x:c r="E1054" s="7" t="s">
        <x:v>7199</x:v>
      </x:c>
    </x:row>
    <x:row r="1055" ht="30" hidden="0" customHeight="1">
      <x:c r="A1055" s="7" t="s">
        <x:v>8200</x:v>
      </x:c>
      <x:c r="B1055" s="7" t="s">
        <x:v>1080</x:v>
      </x:c>
      <x:c r="C1055" s="7" t="s">
        <x:v>7201</x:v>
      </x:c>
      <x:c r="D1055" s="7" t="s">
        <x:v>7191</x:v>
      </x:c>
      <x:c r="E1055" s="7" t="s">
        <x:v>7202</x:v>
      </x:c>
    </x:row>
    <x:row r="1056" ht="37.5" hidden="0" customHeight="1">
      <x:c r="A1056" s="7" t="s">
        <x:v>8201</x:v>
      </x:c>
      <x:c r="B1056" s="7" t="s">
        <x:v>1080</x:v>
      </x:c>
      <x:c r="C1056" s="7" t="s">
        <x:v>7204</x:v>
      </x:c>
      <x:c r="D1056" s="7" t="s">
        <x:v>7191</x:v>
      </x:c>
      <x:c r="E1056" s="7" t="s">
        <x:v>7205</x:v>
      </x:c>
    </x:row>
    <x:row r="1057" ht="37.5" hidden="0" customHeight="1">
      <x:c r="A1057" s="7" t="s">
        <x:v>8202</x:v>
      </x:c>
      <x:c r="B1057" s="7" t="s">
        <x:v>1080</x:v>
      </x:c>
      <x:c r="C1057" s="7" t="s">
        <x:v>7207</x:v>
      </x:c>
      <x:c r="D1057" s="7" t="s">
        <x:v>7191</x:v>
      </x:c>
      <x:c r="E1057" s="7" t="s">
        <x:v>7208</x:v>
      </x:c>
    </x:row>
    <x:row r="1058" ht="37.5" hidden="0" customHeight="1">
      <x:c r="A1058" s="7" t="s">
        <x:v>8203</x:v>
      </x:c>
      <x:c r="B1058" s="7" t="s">
        <x:v>1080</x:v>
      </x:c>
      <x:c r="C1058" s="7" t="s">
        <x:v>7210</x:v>
      </x:c>
      <x:c r="D1058" s="7" t="s">
        <x:v>7107</x:v>
      </x:c>
      <x:c r="E1058" s="7" t="s">
        <x:v>7211</x:v>
      </x:c>
    </x:row>
    <x:row r="1059" ht="51.75" hidden="0" customHeight="1">
      <x:c r="A1059" s="7" t="s">
        <x:v>8204</x:v>
      </x:c>
      <x:c r="B1059" s="7" t="s">
        <x:v>1080</x:v>
      </x:c>
      <x:c r="C1059" s="7" t="s">
        <x:v>7213</x:v>
      </x:c>
      <x:c r="D1059" s="7" t="s">
        <x:v>7107</x:v>
      </x:c>
      <x:c r="E1059" s="7" t="s">
        <x:v>7214</x:v>
      </x:c>
    </x:row>
    <x:row r="1060" ht="37.5" hidden="0" customHeight="1">
      <x:c r="A1060" s="7" t="s">
        <x:v>8205</x:v>
      </x:c>
      <x:c r="B1060" s="7" t="s">
        <x:v>1080</x:v>
      </x:c>
      <x:c r="C1060" s="7" t="s">
        <x:v>7216</x:v>
      </x:c>
      <x:c r="D1060" s="7" t="s">
        <x:v>7217</x:v>
      </x:c>
      <x:c r="E1060" s="7" t="s">
        <x:v>7218</x:v>
      </x:c>
    </x:row>
    <x:row r="1061" ht="37.5" hidden="0" customHeight="1">
      <x:c r="A1061" s="7" t="s">
        <x:v>8206</x:v>
      </x:c>
      <x:c r="B1061" s="7" t="s">
        <x:v>1080</x:v>
      </x:c>
      <x:c r="C1061" s="7" t="s">
        <x:v>7756</x:v>
      </x:c>
      <x:c r="D1061" s="7" t="s">
        <x:v>7757</x:v>
      </x:c>
      <x:c r="E1061" s="7" t="s">
        <x:v>7758</x:v>
      </x:c>
    </x:row>
    <x:row r="1062" ht="30" hidden="0" customHeight="1">
      <x:c r="A1062" s="7" t="s">
        <x:v>8207</x:v>
      </x:c>
      <x:c r="B1062" s="7" t="s">
        <x:v>1093</x:v>
      </x:c>
      <x:c r="C1062" s="7" t="s">
        <x:v>7190</x:v>
      </x:c>
      <x:c r="D1062" s="7" t="s">
        <x:v>7191</x:v>
      </x:c>
      <x:c r="E1062" s="7" t="s">
        <x:v>7192</x:v>
      </x:c>
    </x:row>
    <x:row r="1063" ht="37.5" hidden="0" customHeight="1">
      <x:c r="A1063" s="7" t="s">
        <x:v>8208</x:v>
      </x:c>
      <x:c r="B1063" s="7" t="s">
        <x:v>1093</x:v>
      </x:c>
      <x:c r="C1063" s="7" t="s">
        <x:v>5</x:v>
      </x:c>
      <x:c r="D1063" s="7" t="s">
        <x:v>7191</x:v>
      </x:c>
      <x:c r="E1063" s="7" t="s">
        <x:v>7194</x:v>
      </x:c>
    </x:row>
    <x:row r="1064" ht="30" hidden="0" customHeight="1">
      <x:c r="A1064" s="7" t="s">
        <x:v>8209</x:v>
      </x:c>
      <x:c r="B1064" s="7" t="s">
        <x:v>1093</x:v>
      </x:c>
      <x:c r="C1064" s="7" t="s">
        <x:v>1450</x:v>
      </x:c>
      <x:c r="D1064" s="7" t="s">
        <x:v>7191</x:v>
      </x:c>
      <x:c r="E1064" s="7" t="s">
        <x:v>7196</x:v>
      </x:c>
    </x:row>
    <x:row r="1065" ht="30" hidden="0" customHeight="1">
      <x:c r="A1065" s="7" t="s">
        <x:v>8210</x:v>
      </x:c>
      <x:c r="B1065" s="7" t="s">
        <x:v>1093</x:v>
      </x:c>
      <x:c r="C1065" s="7" t="s">
        <x:v>7198</x:v>
      </x:c>
      <x:c r="D1065" s="7" t="s">
        <x:v>7191</x:v>
      </x:c>
      <x:c r="E1065" s="7" t="s">
        <x:v>7199</x:v>
      </x:c>
    </x:row>
    <x:row r="1066" ht="30" hidden="0" customHeight="1">
      <x:c r="A1066" s="7" t="s">
        <x:v>8211</x:v>
      </x:c>
      <x:c r="B1066" s="7" t="s">
        <x:v>1093</x:v>
      </x:c>
      <x:c r="C1066" s="7" t="s">
        <x:v>7201</x:v>
      </x:c>
      <x:c r="D1066" s="7" t="s">
        <x:v>7191</x:v>
      </x:c>
      <x:c r="E1066" s="7" t="s">
        <x:v>7202</x:v>
      </x:c>
    </x:row>
    <x:row r="1067" ht="37.5" hidden="0" customHeight="1">
      <x:c r="A1067" s="7" t="s">
        <x:v>8212</x:v>
      </x:c>
      <x:c r="B1067" s="7" t="s">
        <x:v>1093</x:v>
      </x:c>
      <x:c r="C1067" s="7" t="s">
        <x:v>7204</x:v>
      </x:c>
      <x:c r="D1067" s="7" t="s">
        <x:v>7191</x:v>
      </x:c>
      <x:c r="E1067" s="7" t="s">
        <x:v>7205</x:v>
      </x:c>
    </x:row>
    <x:row r="1068" ht="37.5" hidden="0" customHeight="1">
      <x:c r="A1068" s="7" t="s">
        <x:v>8213</x:v>
      </x:c>
      <x:c r="B1068" s="7" t="s">
        <x:v>1093</x:v>
      </x:c>
      <x:c r="C1068" s="7" t="s">
        <x:v>7207</x:v>
      </x:c>
      <x:c r="D1068" s="7" t="s">
        <x:v>7191</x:v>
      </x:c>
      <x:c r="E1068" s="7" t="s">
        <x:v>7208</x:v>
      </x:c>
    </x:row>
    <x:row r="1069" ht="37.5" hidden="0" customHeight="1">
      <x:c r="A1069" s="7" t="s">
        <x:v>8214</x:v>
      </x:c>
      <x:c r="B1069" s="7" t="s">
        <x:v>1093</x:v>
      </x:c>
      <x:c r="C1069" s="7" t="s">
        <x:v>7210</x:v>
      </x:c>
      <x:c r="D1069" s="7" t="s">
        <x:v>7107</x:v>
      </x:c>
      <x:c r="E1069" s="7" t="s">
        <x:v>7211</x:v>
      </x:c>
    </x:row>
    <x:row r="1070" ht="51.75" hidden="0" customHeight="1">
      <x:c r="A1070" s="7" t="s">
        <x:v>8215</x:v>
      </x:c>
      <x:c r="B1070" s="7" t="s">
        <x:v>1093</x:v>
      </x:c>
      <x:c r="C1070" s="7" t="s">
        <x:v>7213</x:v>
      </x:c>
      <x:c r="D1070" s="7" t="s">
        <x:v>7107</x:v>
      </x:c>
      <x:c r="E1070" s="7" t="s">
        <x:v>7214</x:v>
      </x:c>
    </x:row>
    <x:row r="1071" ht="37.5" hidden="0" customHeight="1">
      <x:c r="A1071" s="7" t="s">
        <x:v>8216</x:v>
      </x:c>
      <x:c r="B1071" s="7" t="s">
        <x:v>1093</x:v>
      </x:c>
      <x:c r="C1071" s="7" t="s">
        <x:v>7216</x:v>
      </x:c>
      <x:c r="D1071" s="7" t="s">
        <x:v>7217</x:v>
      </x:c>
      <x:c r="E1071" s="7" t="s">
        <x:v>7218</x:v>
      </x:c>
    </x:row>
    <x:row r="1072" ht="37.5" hidden="0" customHeight="1">
      <x:c r="A1072" s="7" t="s">
        <x:v>8217</x:v>
      </x:c>
      <x:c r="B1072" s="7" t="s">
        <x:v>1093</x:v>
      </x:c>
      <x:c r="C1072" s="7" t="s">
        <x:v>7756</x:v>
      </x:c>
      <x:c r="D1072" s="7" t="s">
        <x:v>7757</x:v>
      </x:c>
      <x:c r="E1072" s="7" t="s">
        <x:v>7758</x:v>
      </x:c>
    </x:row>
    <x:row r="1073" ht="30" hidden="0" customHeight="1">
      <x:c r="A1073" s="7" t="s">
        <x:v>8218</x:v>
      </x:c>
      <x:c r="B1073" s="7" t="s">
        <x:v>1104</x:v>
      </x:c>
      <x:c r="C1073" s="7" t="s">
        <x:v>7190</x:v>
      </x:c>
      <x:c r="D1073" s="7" t="s">
        <x:v>7191</x:v>
      </x:c>
      <x:c r="E1073" s="7" t="s">
        <x:v>7192</x:v>
      </x:c>
    </x:row>
    <x:row r="1074" ht="37.5" hidden="0" customHeight="1">
      <x:c r="A1074" s="7" t="s">
        <x:v>8219</x:v>
      </x:c>
      <x:c r="B1074" s="7" t="s">
        <x:v>1104</x:v>
      </x:c>
      <x:c r="C1074" s="7" t="s">
        <x:v>5</x:v>
      </x:c>
      <x:c r="D1074" s="7" t="s">
        <x:v>7191</x:v>
      </x:c>
      <x:c r="E1074" s="7" t="s">
        <x:v>7194</x:v>
      </x:c>
    </x:row>
    <x:row r="1075" ht="30" hidden="0" customHeight="1">
      <x:c r="A1075" s="7" t="s">
        <x:v>8220</x:v>
      </x:c>
      <x:c r="B1075" s="7" t="s">
        <x:v>1104</x:v>
      </x:c>
      <x:c r="C1075" s="7" t="s">
        <x:v>1450</x:v>
      </x:c>
      <x:c r="D1075" s="7" t="s">
        <x:v>7191</x:v>
      </x:c>
      <x:c r="E1075" s="7" t="s">
        <x:v>7196</x:v>
      </x:c>
    </x:row>
    <x:row r="1076" ht="30" hidden="0" customHeight="1">
      <x:c r="A1076" s="7" t="s">
        <x:v>8221</x:v>
      </x:c>
      <x:c r="B1076" s="7" t="s">
        <x:v>1104</x:v>
      </x:c>
      <x:c r="C1076" s="7" t="s">
        <x:v>7198</x:v>
      </x:c>
      <x:c r="D1076" s="7" t="s">
        <x:v>7191</x:v>
      </x:c>
      <x:c r="E1076" s="7" t="s">
        <x:v>7199</x:v>
      </x:c>
    </x:row>
    <x:row r="1077" ht="30" hidden="0" customHeight="1">
      <x:c r="A1077" s="7" t="s">
        <x:v>8222</x:v>
      </x:c>
      <x:c r="B1077" s="7" t="s">
        <x:v>1104</x:v>
      </x:c>
      <x:c r="C1077" s="7" t="s">
        <x:v>7201</x:v>
      </x:c>
      <x:c r="D1077" s="7" t="s">
        <x:v>7191</x:v>
      </x:c>
      <x:c r="E1077" s="7" t="s">
        <x:v>7202</x:v>
      </x:c>
    </x:row>
    <x:row r="1078" ht="37.5" hidden="0" customHeight="1">
      <x:c r="A1078" s="7" t="s">
        <x:v>8223</x:v>
      </x:c>
      <x:c r="B1078" s="7" t="s">
        <x:v>1104</x:v>
      </x:c>
      <x:c r="C1078" s="7" t="s">
        <x:v>7204</x:v>
      </x:c>
      <x:c r="D1078" s="7" t="s">
        <x:v>7107</x:v>
      </x:c>
      <x:c r="E1078" s="7" t="s">
        <x:v>7211</x:v>
      </x:c>
    </x:row>
    <x:row r="1079" ht="37.5" hidden="0" customHeight="1">
      <x:c r="A1079" s="7" t="s">
        <x:v>8224</x:v>
      </x:c>
      <x:c r="B1079" s="7" t="s">
        <x:v>1104</x:v>
      </x:c>
      <x:c r="C1079" s="7" t="s">
        <x:v>7207</x:v>
      </x:c>
      <x:c r="D1079" s="7" t="s">
        <x:v>7191</x:v>
      </x:c>
      <x:c r="E1079" s="7" t="s">
        <x:v>7208</x:v>
      </x:c>
    </x:row>
    <x:row r="1080" ht="37.5" hidden="0" customHeight="1">
      <x:c r="A1080" s="7" t="s">
        <x:v>8225</x:v>
      </x:c>
      <x:c r="B1080" s="7" t="s">
        <x:v>1104</x:v>
      </x:c>
      <x:c r="C1080" s="7" t="s">
        <x:v>7210</x:v>
      </x:c>
      <x:c r="D1080" s="7" t="s">
        <x:v>7107</x:v>
      </x:c>
      <x:c r="E1080" s="7" t="s">
        <x:v>7211</x:v>
      </x:c>
    </x:row>
    <x:row r="1081" ht="51.75" hidden="0" customHeight="1">
      <x:c r="A1081" s="7" t="s">
        <x:v>8226</x:v>
      </x:c>
      <x:c r="B1081" s="7" t="s">
        <x:v>1104</x:v>
      </x:c>
      <x:c r="C1081" s="7" t="s">
        <x:v>7213</x:v>
      </x:c>
      <x:c r="D1081" s="7" t="s">
        <x:v>7107</x:v>
      </x:c>
      <x:c r="E1081" s="7" t="s">
        <x:v>7214</x:v>
      </x:c>
    </x:row>
    <x:row r="1082" ht="37.5" hidden="0" customHeight="1">
      <x:c r="A1082" s="7" t="s">
        <x:v>8227</x:v>
      </x:c>
      <x:c r="B1082" s="7" t="s">
        <x:v>1104</x:v>
      </x:c>
      <x:c r="C1082" s="7" t="s">
        <x:v>7216</x:v>
      </x:c>
      <x:c r="D1082" s="7" t="s">
        <x:v>7217</x:v>
      </x:c>
      <x:c r="E1082" s="7" t="s">
        <x:v>7218</x:v>
      </x:c>
    </x:row>
    <x:row r="1083" ht="37.5" hidden="0" customHeight="1">
      <x:c r="A1083" s="7" t="s">
        <x:v>8228</x:v>
      </x:c>
      <x:c r="B1083" s="7" t="s">
        <x:v>1104</x:v>
      </x:c>
      <x:c r="C1083" s="7" t="s">
        <x:v>7756</x:v>
      </x:c>
      <x:c r="D1083" s="7" t="s">
        <x:v>7757</x:v>
      </x:c>
      <x:c r="E1083" s="7" t="s">
        <x:v>7758</x:v>
      </x:c>
    </x:row>
    <x:row r="1084" ht="30" hidden="0" customHeight="1">
      <x:c r="A1084" s="7" t="s">
        <x:v>8229</x:v>
      </x:c>
      <x:c r="B1084" s="7" t="s">
        <x:v>1113</x:v>
      </x:c>
      <x:c r="C1084" s="7" t="s">
        <x:v>7190</x:v>
      </x:c>
      <x:c r="D1084" s="7" t="s">
        <x:v>7191</x:v>
      </x:c>
      <x:c r="E1084" s="7" t="s">
        <x:v>7192</x:v>
      </x:c>
    </x:row>
    <x:row r="1085" ht="37.5" hidden="0" customHeight="1">
      <x:c r="A1085" s="7" t="s">
        <x:v>8230</x:v>
      </x:c>
      <x:c r="B1085" s="7" t="s">
        <x:v>1113</x:v>
      </x:c>
      <x:c r="C1085" s="7" t="s">
        <x:v>5</x:v>
      </x:c>
      <x:c r="D1085" s="7" t="s">
        <x:v>7191</x:v>
      </x:c>
      <x:c r="E1085" s="7" t="s">
        <x:v>7194</x:v>
      </x:c>
    </x:row>
    <x:row r="1086" ht="30" hidden="0" customHeight="1">
      <x:c r="A1086" s="7" t="s">
        <x:v>8231</x:v>
      </x:c>
      <x:c r="B1086" s="7" t="s">
        <x:v>1113</x:v>
      </x:c>
      <x:c r="C1086" s="7" t="s">
        <x:v>1450</x:v>
      </x:c>
      <x:c r="D1086" s="7" t="s">
        <x:v>7191</x:v>
      </x:c>
      <x:c r="E1086" s="7" t="s">
        <x:v>7196</x:v>
      </x:c>
    </x:row>
    <x:row r="1087" ht="30" hidden="0" customHeight="1">
      <x:c r="A1087" s="7" t="s">
        <x:v>8232</x:v>
      </x:c>
      <x:c r="B1087" s="7" t="s">
        <x:v>1113</x:v>
      </x:c>
      <x:c r="C1087" s="7" t="s">
        <x:v>7198</x:v>
      </x:c>
      <x:c r="D1087" s="7" t="s">
        <x:v>7191</x:v>
      </x:c>
      <x:c r="E1087" s="7" t="s">
        <x:v>7199</x:v>
      </x:c>
    </x:row>
    <x:row r="1088" ht="30" hidden="0" customHeight="1">
      <x:c r="A1088" s="7" t="s">
        <x:v>8233</x:v>
      </x:c>
      <x:c r="B1088" s="7" t="s">
        <x:v>1113</x:v>
      </x:c>
      <x:c r="C1088" s="7" t="s">
        <x:v>7201</x:v>
      </x:c>
      <x:c r="D1088" s="7" t="s">
        <x:v>7191</x:v>
      </x:c>
      <x:c r="E1088" s="7" t="s">
        <x:v>7202</x:v>
      </x:c>
    </x:row>
    <x:row r="1089" ht="37.5" hidden="0" customHeight="1">
      <x:c r="A1089" s="7" t="s">
        <x:v>8234</x:v>
      </x:c>
      <x:c r="B1089" s="7" t="s">
        <x:v>1113</x:v>
      </x:c>
      <x:c r="C1089" s="7" t="s">
        <x:v>7204</x:v>
      </x:c>
      <x:c r="D1089" s="7" t="s">
        <x:v>7191</x:v>
      </x:c>
      <x:c r="E1089" s="7" t="s">
        <x:v>7205</x:v>
      </x:c>
    </x:row>
    <x:row r="1090" ht="37.5" hidden="0" customHeight="1">
      <x:c r="A1090" s="7" t="s">
        <x:v>8235</x:v>
      </x:c>
      <x:c r="B1090" s="7" t="s">
        <x:v>1113</x:v>
      </x:c>
      <x:c r="C1090" s="7" t="s">
        <x:v>7207</x:v>
      </x:c>
      <x:c r="D1090" s="7" t="s">
        <x:v>7191</x:v>
      </x:c>
      <x:c r="E1090" s="7" t="s">
        <x:v>7208</x:v>
      </x:c>
    </x:row>
    <x:row r="1091" ht="37.5" hidden="0" customHeight="1">
      <x:c r="A1091" s="7" t="s">
        <x:v>8236</x:v>
      </x:c>
      <x:c r="B1091" s="7" t="s">
        <x:v>1113</x:v>
      </x:c>
      <x:c r="C1091" s="7" t="s">
        <x:v>7210</x:v>
      </x:c>
      <x:c r="D1091" s="7" t="s">
        <x:v>7107</x:v>
      </x:c>
      <x:c r="E1091" s="7" t="s">
        <x:v>7211</x:v>
      </x:c>
    </x:row>
    <x:row r="1092" ht="51.75" hidden="0" customHeight="1">
      <x:c r="A1092" s="7" t="s">
        <x:v>8237</x:v>
      </x:c>
      <x:c r="B1092" s="7" t="s">
        <x:v>1113</x:v>
      </x:c>
      <x:c r="C1092" s="7" t="s">
        <x:v>7213</x:v>
      </x:c>
      <x:c r="D1092" s="7" t="s">
        <x:v>7107</x:v>
      </x:c>
      <x:c r="E1092" s="7" t="s">
        <x:v>7214</x:v>
      </x:c>
    </x:row>
    <x:row r="1093" ht="37.5" hidden="0" customHeight="1">
      <x:c r="A1093" s="7" t="s">
        <x:v>8238</x:v>
      </x:c>
      <x:c r="B1093" s="7" t="s">
        <x:v>1113</x:v>
      </x:c>
      <x:c r="C1093" s="7" t="s">
        <x:v>7216</x:v>
      </x:c>
      <x:c r="D1093" s="7" t="s">
        <x:v>7217</x:v>
      </x:c>
      <x:c r="E1093" s="7" t="s">
        <x:v>7218</x:v>
      </x:c>
    </x:row>
    <x:row r="1094" ht="37.5" hidden="0" customHeight="1">
      <x:c r="A1094" s="7" t="s">
        <x:v>8239</x:v>
      </x:c>
      <x:c r="B1094" s="7" t="s">
        <x:v>1113</x:v>
      </x:c>
      <x:c r="C1094" s="7" t="s">
        <x:v>7756</x:v>
      </x:c>
      <x:c r="D1094" s="7" t="s">
        <x:v>7757</x:v>
      </x:c>
      <x:c r="E1094" s="7" t="s">
        <x:v>7758</x:v>
      </x:c>
    </x:row>
    <x:row r="1095" ht="37.5" hidden="0" customHeight="1">
      <x:c r="A1095" s="7" t="s">
        <x:v>8240</x:v>
      </x:c>
      <x:c r="B1095" s="7" t="s">
        <x:v>252</x:v>
      </x:c>
      <x:c r="C1095" s="7" t="s">
        <x:v>8241</x:v>
      </x:c>
      <x:c r="D1095" s="7" t="s">
        <x:v>7175</x:v>
      </x:c>
      <x:c r="E1095" s="7" t="s">
        <x:v>8242</x:v>
      </x:c>
    </x:row>
    <x:row r="1096" ht="37.5" hidden="0" customHeight="1">
      <x:c r="A1096" s="7" t="s">
        <x:v>8243</x:v>
      </x:c>
      <x:c r="B1096" s="7" t="s">
        <x:v>252</x:v>
      </x:c>
      <x:c r="C1096" s="7" t="s">
        <x:v>8241</x:v>
      </x:c>
      <x:c r="D1096" s="7" t="s">
        <x:v>7175</x:v>
      </x:c>
      <x:c r="E1096" s="7" t="s">
        <x:v>8244</x:v>
      </x:c>
    </x:row>
    <x:row r="1097" ht="37.5" hidden="0" customHeight="1">
      <x:c r="A1097" s="7" t="s">
        <x:v>8245</x:v>
      </x:c>
      <x:c r="B1097" s="7" t="s">
        <x:v>266</x:v>
      </x:c>
      <x:c r="C1097" s="7" t="s">
        <x:v>8241</x:v>
      </x:c>
      <x:c r="D1097" s="7" t="s">
        <x:v>7175</x:v>
      </x:c>
      <x:c r="E1097" s="7" t="s">
        <x:v>8246</x:v>
      </x:c>
    </x:row>
    <x:row r="1098" ht="30" hidden="0" customHeight="1">
      <x:c r="A1098" s="7" t="s">
        <x:v>8247</x:v>
      </x:c>
      <x:c r="B1098" s="7" t="s">
        <x:v>266</x:v>
      </x:c>
      <x:c r="C1098" s="7" t="s">
        <x:v>8241</x:v>
      </x:c>
      <x:c r="D1098" s="7" t="s">
        <x:v>7170</x:v>
      </x:c>
      <x:c r="E1098" s="7" t="s">
        <x:v>8248</x:v>
      </x:c>
    </x:row>
    <x:row r="1099" ht="30" hidden="0" customHeight="1">
      <x:c r="A1099" s="7" t="s">
        <x:v>8249</x:v>
      </x:c>
      <x:c r="B1099" s="7" t="s">
        <x:v>330</x:v>
      </x:c>
      <x:c r="C1099" s="7" t="s">
        <x:v>8241</x:v>
      </x:c>
      <x:c r="D1099" s="7" t="s">
        <x:v>7175</x:v>
      </x:c>
      <x:c r="E1099" s="7" t="s">
        <x:v>8250</x:v>
      </x:c>
    </x:row>
    <x:row r="1100" ht="37.5" hidden="0" customHeight="1">
      <x:c r="A1100" s="7" t="s">
        <x:v>8251</x:v>
      </x:c>
      <x:c r="B1100" s="7" t="s">
        <x:v>369</x:v>
      </x:c>
      <x:c r="C1100" s="7" t="s">
        <x:v>8241</x:v>
      </x:c>
      <x:c r="D1100" s="7" t="s">
        <x:v>7175</x:v>
      </x:c>
      <x:c r="E1100" s="7" t="s">
        <x:v>8252</x:v>
      </x:c>
    </x:row>
    <x:row r="1101" ht="30" hidden="0" customHeight="1">
      <x:c r="A1101" s="7" t="s">
        <x:v>8253</x:v>
      </x:c>
      <x:c r="B1101" s="7" t="s">
        <x:v>463</x:v>
      </x:c>
      <x:c r="C1101" s="7" t="s">
        <x:v>8241</x:v>
      </x:c>
      <x:c r="D1101" s="7" t="s">
        <x:v>7175</x:v>
      </x:c>
      <x:c r="E1101" s="7" t="s">
        <x:v>8254</x:v>
      </x:c>
    </x:row>
    <x:row r="1102" ht="30" hidden="0" customHeight="1">
      <x:c r="A1102" s="7" t="s">
        <x:v>8255</x:v>
      </x:c>
      <x:c r="B1102" s="7" t="s">
        <x:v>463</x:v>
      </x:c>
      <x:c r="C1102" s="7" t="s">
        <x:v>8241</x:v>
      </x:c>
      <x:c r="D1102" s="7" t="s">
        <x:v>7175</x:v>
      </x:c>
      <x:c r="E1102" s="7" t="s">
        <x:v>8256</x:v>
      </x:c>
    </x:row>
    <x:row r="1103" ht="37.5" hidden="0" customHeight="1">
      <x:c r="A1103" s="7" t="s">
        <x:v>8257</x:v>
      </x:c>
      <x:c r="B1103" s="7" t="s">
        <x:v>481</x:v>
      </x:c>
      <x:c r="C1103" s="7" t="s">
        <x:v>8241</x:v>
      </x:c>
      <x:c r="D1103" s="7" t="s">
        <x:v>7175</x:v>
      </x:c>
      <x:c r="E1103" s="7" t="s">
        <x:v>8258</x:v>
      </x:c>
    </x:row>
    <x:row r="1104" ht="37.5" hidden="0" customHeight="1">
      <x:c r="A1104" s="7" t="s">
        <x:v>8259</x:v>
      </x:c>
      <x:c r="B1104" s="7" t="s">
        <x:v>481</x:v>
      </x:c>
      <x:c r="C1104" s="7" t="s">
        <x:v>8241</x:v>
      </x:c>
      <x:c r="D1104" s="7" t="s">
        <x:v>7175</x:v>
      </x:c>
      <x:c r="E1104" s="7" t="s">
        <x:v>8260</x:v>
      </x:c>
    </x:row>
    <x:row r="1105" ht="30" hidden="0" customHeight="1">
      <x:c r="A1105" s="7" t="s">
        <x:v>8261</x:v>
      </x:c>
      <x:c r="B1105" s="7" t="s">
        <x:v>543</x:v>
      </x:c>
      <x:c r="C1105" s="7" t="s">
        <x:v>8241</x:v>
      </x:c>
      <x:c r="D1105" s="7" t="s">
        <x:v>7175</x:v>
      </x:c>
      <x:c r="E1105" s="7" t="s">
        <x:v>8262</x:v>
      </x:c>
    </x:row>
    <x:row r="1106" ht="30" hidden="0" customHeight="1">
      <x:c r="A1106" s="7" t="s">
        <x:v>8263</x:v>
      </x:c>
      <x:c r="B1106" s="7" t="s">
        <x:v>543</x:v>
      </x:c>
      <x:c r="C1106" s="7" t="s">
        <x:v>8241</x:v>
      </x:c>
      <x:c r="D1106" s="7" t="s">
        <x:v>7175</x:v>
      </x:c>
      <x:c r="E1106" s="7" t="s">
        <x:v>8264</x:v>
      </x:c>
    </x:row>
    <x:row r="1107" ht="30" hidden="0" customHeight="1">
      <x:c r="A1107" s="7" t="s">
        <x:v>8265</x:v>
      </x:c>
      <x:c r="B1107" s="7" t="s">
        <x:v>884</x:v>
      </x:c>
      <x:c r="C1107" s="7" t="s">
        <x:v>8241</x:v>
      </x:c>
      <x:c r="D1107" s="7" t="s">
        <x:v>7175</x:v>
      </x:c>
      <x:c r="E1107" s="7" t="s">
        <x:v>8266</x:v>
      </x:c>
    </x:row>
    <x:row r="1108" ht="37.5" hidden="0" customHeight="1">
      <x:c r="A1108" s="7" t="s">
        <x:v>8267</x:v>
      </x:c>
      <x:c r="B1108" s="7" t="s">
        <x:v>957</x:v>
      </x:c>
      <x:c r="C1108" s="7" t="s">
        <x:v>8241</x:v>
      </x:c>
      <x:c r="D1108" s="7" t="s">
        <x:v>7175</x:v>
      </x:c>
      <x:c r="E1108" s="7" t="s">
        <x:v>8268</x:v>
      </x:c>
    </x:row>
    <x:row r="1109" ht="37.5" hidden="0" customHeight="1">
      <x:c r="A1109" s="7" t="s">
        <x:v>8269</x:v>
      </x:c>
      <x:c r="B1109" s="7" t="s">
        <x:v>957</x:v>
      </x:c>
      <x:c r="C1109" s="7" t="s">
        <x:v>8241</x:v>
      </x:c>
      <x:c r="D1109" s="7" t="s">
        <x:v>8270</x:v>
      </x:c>
      <x:c r="E1109" s="7" t="s">
        <x:v>8271</x:v>
      </x:c>
    </x:row>
    <x:row r="1110">
      <x:c r="A1110" t="str">
        <x:v>C01107</x:v>
      </x:c>
      <x:c r="B1110" t="str">
        <x:v>M018</x:v>
      </x:c>
      <x:c r="C1110" t="str">
        <x:v>Measurement parsing</x:v>
      </x:c>
      <x:c r="D1110" t="str">
        <x:v>Resolved</x:v>
      </x:c>
      <x:c r="E1110" t="str">
        <x:v>V000342 corrected 2026-09-13: the Bambu PLA-CF TDS explicitly labels 7.6 ± 2.6 kJ/m² as notched; workbook had it as unnotched.</x:v>
      </x:c>
    </x:row>
    <x:row r="1111">
      <x:c r="A1111" t="str">
        <x:v>C01108</x:v>
      </x:c>
      <x:c r="B1111" t="str">
        <x:v>M018</x:v>
      </x:c>
      <x:c r="C1111" t="str">
        <x:v>Source ambiguity</x:v>
      </x:c>
      <x:c r="D1111" t="str">
        <x:v>Conflict</x:v>
      </x:c>
      <x:c r="E1111" t="str">
        <x:v>V000343 remains direction XY exactly as printed, but the third impact row repeats the XY label and gives no notch state. Notch is now Not published; do not infer Z or notched.</x:v>
      </x:c>
    </x:row>
    <x:row r="1112">
      <x:c r="A1112" t="str">
        <x:v>C01109</x:v>
      </x:c>
      <x:c r="B1112" t="str">
        <x:v>M036</x:v>
      </x:c>
      <x:c r="C1112" t="str">
        <x:v>Measurement parsing</x:v>
      </x:c>
      <x:c r="D1112" t="str">
        <x:v>Resolved</x:v>
      </x:c>
      <x:c r="E1112" t="str">
        <x:v>V000717 locator corrected 2026-09-13: the Bambu PC FR TDS explicitly identifies 8.4 ± 1.3 kJ/m² as notched.</x:v>
      </x:c>
    </x:row>
    <x:row r="1113">
      <x:c r="A1113" t="str">
        <x:v>C01110</x:v>
      </x:c>
      <x:c r="B1113" t="str">
        <x:v>M027</x:v>
      </x:c>
      <x:c r="C1113" t="str">
        <x:v>Canadian price</x:v>
      </x:c>
      <x:c r="D1113" t="str">
        <x:v>Quarantined</x:v>
      </x:c>
      <x:c r="E1113" t="str">
        <x:v>CA0069 is a PLA Pure retailer listing incorrectly attached to ABS. Excluded from eligible and headline samples; regular CAD/kg removed pending exact-grade mapping.</x:v>
      </x:c>
    </x:row>
    <x:row r="1114">
      <x:c r="A1114" t="str">
        <x:v>C01111</x:v>
      </x:c>
      <x:c r="B1114" t="str">
        <x:v>M077</x:v>
      </x:c>
      <x:c r="C1114" t="str">
        <x:v>Grades</x:v>
      </x:c>
      <x:c r="D1114" t="str">
        <x:v>Resolved</x:v>
      </x:c>
      <x:c r="E1114" t="str">
        <x:v>Exact current Bambu Support for PLA (New Version) grade and TDS recorded as G077-01; original identity retained rather than substituting Support for PLA/PETG.</x:v>
      </x:c>
    </x:row>
    <x:row r="1115">
      <x:c r="A1115" t="str">
        <x:v>C01112</x:v>
      </x:c>
      <x:c r="B1115" t="str">
        <x:v>M077</x:v>
      </x:c>
      <x:c r="C1115" t="str">
        <x:v>Mechanical</x:v>
      </x:c>
      <x:c r="D1115" t="str">
        <x:v>Gap</x:v>
      </x:c>
      <x:c r="E1115" t="str">
        <x:v>The exact Bambu TDS publishes N/A for every mechanical row. Missing values are recorded as such and were not inferred.</x:v>
      </x:c>
    </x:row>
    <x:row r="1116">
      <x:c r="A1116" t="str">
        <x:v>C01113</x:v>
      </x:c>
      <x:c r="B1116" t="str">
        <x:v>M038</x:v>
      </x:c>
      <x:c r="C1116" t="str">
        <x:v>Grades</x:v>
      </x:c>
      <x:c r="D1116" t="str">
        <x:v>Gap</x:v>
      </x:c>
      <x:c r="E1116" t="str">
        <x:v>2 distinct manufacturers now documented against target 3 after adding BASF Forward AM Ultrafuse PC GF30. One more independent exact formulation remains desirable.</x:v>
      </x:c>
    </x:row>
    <x:row r="1117">
      <x:c r="A1117" t="str">
        <x:v>C01114</x:v>
      </x:c>
      <x:c r="B1117" t="str">
        <x:v>M045</x:v>
      </x:c>
      <x:c r="C1117" t="str">
        <x:v>Grades</x:v>
      </x:c>
      <x:c r="D1117" t="str">
        <x:v>Resolved</x:v>
      </x:c>
      <x:c r="E1117" t="str">
        <x:v>3 distinct manufacturers documented after adding Kimya PEBA-S; TDS content was indexed, while direct file download was blocked and is explicitly marked.</x:v>
      </x:c>
    </x:row>
    <x:row r="1118">
      <x:c r="A1118" t="str">
        <x:v>C01115</x:v>
      </x:c>
      <x:c r="B1118" t="str">
        <x:v>M073</x:v>
      </x:c>
      <x:c r="C1118" t="str">
        <x:v>H2C status</x:v>
      </x:c>
      <x:c r="D1118" t="str">
        <x:v>Reviewed with limitations</x:v>
      </x:c>
      <x:c r="E1118" t="str">
        <x:v>Essentium PPS-CF added as independent evidence, not H2C approval. Its published 330-400 °C nozzle range exceeds the H2C 350 °C maximum.</x:v>
      </x:c>
    </x:row>
    <x:row r="1119">
      <x:c r="A1119" t="str">
        <x:v>C01116</x:v>
      </x:c>
      <x:c r="B1119" t="str">
        <x:v>M077</x:v>
      </x:c>
      <x:c r="C1119" t="str">
        <x:v>Canadian price</x:v>
      </x:c>
      <x:c r="D1119" t="str">
        <x:v>Gap</x:v>
      </x:c>
      <x:c r="E1119" t="str">
        <x:v>No grade-matched Canadian price was verified for Support for PLA (New Version) in this audit.</x:v>
      </x:c>
    </x:row>
    <x:row r="1120">
      <x:c r="A1120" t="str">
        <x:v>C01117</x:v>
      </x:c>
      <x:c r="B1120" t="str">
        <x:v>M002</x:v>
      </x:c>
      <x:c r="C1120" t="str">
        <x:v>Print setup</x:v>
      </x:c>
      <x:c r="D1120" t="str">
        <x:v>Resolved</x:v>
      </x:c>
      <x:c r="E1120" t="str">
        <x:v>P0004 chamber temperature "25 - 45 °C" recovered 2026-09-13 from B-pla-basic-filament-TDS. The re-fetched file matches the recorded SHA-256; the row follows a page break and was missed in transcription.</x:v>
      </x:c>
    </x:row>
    <x:row r="1121">
      <x:c r="A1121" t="str">
        <x:v>C01118</x:v>
      </x:c>
      <x:c r="B1121" t="str">
        <x:v>M003</x:v>
      </x:c>
      <x:c r="C1121" t="str">
        <x:v>Print setup</x:v>
      </x:c>
      <x:c r="D1121" t="str">
        <x:v>Resolved</x:v>
      </x:c>
      <x:c r="E1121" t="str">
        <x:v>P0005 chamber temperature "25 - 45 °C" recovered 2026-09-13 from B-pla-matte-TDS. The re-fetched file matches the recorded SHA-256; the row follows a page break and was missed in transcription.</x:v>
      </x:c>
    </x:row>
    <x:row r="1122">
      <x:c r="A1122" t="str">
        <x:v>C01119</x:v>
      </x:c>
      <x:c r="B1122" t="str">
        <x:v>M011</x:v>
      </x:c>
      <x:c r="C1122" t="str">
        <x:v>Print setup</x:v>
      </x:c>
      <x:c r="D1122" t="str">
        <x:v>Resolved</x:v>
      </x:c>
      <x:c r="E1122" t="str">
        <x:v>P0011 chamber temperature "25 - 45 °C" recovered 2026-09-13 from B-pla-metal-TDS. The re-fetched file matches the recorded SHA-256; the row follows a page break and was missed in transcription.</x:v>
      </x:c>
    </x:row>
    <x:row r="1123">
      <x:c r="A1123" t="str">
        <x:v>C01120</x:v>
      </x:c>
      <x:c r="B1123" t="str">
        <x:v>M012</x:v>
      </x:c>
      <x:c r="C1123" t="str">
        <x:v>Print setup</x:v>
      </x:c>
      <x:c r="D1123" t="str">
        <x:v>Resolved</x:v>
      </x:c>
      <x:c r="E1123" t="str">
        <x:v>P0012 chamber temperature "25 - 45 °C" recovered 2026-09-13 from B-pla-marble-TDS. The re-fetched file matches the recorded SHA-256; the row follows a page break and was missed in transcription.</x:v>
      </x:c>
    </x:row>
    <x:row r="1124">
      <x:c r="A1124" t="str">
        <x:v>C01121</x:v>
      </x:c>
      <x:c r="B1124" t="str">
        <x:v>M013</x:v>
      </x:c>
      <x:c r="C1124" t="str">
        <x:v>Print setup</x:v>
      </x:c>
      <x:c r="D1124" t="str">
        <x:v>Resolved</x:v>
      </x:c>
      <x:c r="E1124" t="str">
        <x:v>P0013 chamber temperature "25-45 °C" recovered 2026-09-13 from B-pla-sparkle-TDS. The re-fetched file matches the recorded SHA-256; the row follows a page break and was missed in transcription.</x:v>
      </x:c>
    </x:row>
    <x:row r="1125">
      <x:c r="A1125" t="str">
        <x:v>C01122</x:v>
      </x:c>
      <x:c r="B1125" t="str">
        <x:v>M015</x:v>
      </x:c>
      <x:c r="C1125" t="str">
        <x:v>Print setup</x:v>
      </x:c>
      <x:c r="D1125" t="str">
        <x:v>Resolved</x:v>
      </x:c>
      <x:c r="E1125" t="str">
        <x:v>P0015 chamber temperature "25 - 45 °C" recovered 2026-09-13 from B-pla-galaxy-TDS. The re-fetched file matches the recorded SHA-256; the row follows a page break and was missed in transcription.</x:v>
      </x:c>
    </x:row>
    <x:row r="1126">
      <x:c r="A1126" t="str">
        <x:v>C01123</x:v>
      </x:c>
      <x:c r="B1126" t="str">
        <x:v>M021</x:v>
      </x:c>
      <x:c r="C1126" t="str">
        <x:v>Print setup</x:v>
      </x:c>
      <x:c r="D1126" t="str">
        <x:v>Resolved</x:v>
      </x:c>
      <x:c r="E1126" t="str">
        <x:v>P0024 chamber temperature "35 - 50 °C" recovered 2026-09-13 from B-petg-basic-TDS. The re-fetched file matches the recorded SHA-256; the row follows a page break and was missed in transcription.</x:v>
      </x:c>
    </x:row>
    <x:row r="1127">
      <x:c r="A1127" t="str">
        <x:v>C01124</x:v>
      </x:c>
      <x:c r="B1127" t="str">
        <x:v>M022</x:v>
      </x:c>
      <x:c r="C1127" t="str">
        <x:v>Print setup</x:v>
      </x:c>
      <x:c r="D1127" t="str">
        <x:v>Resolved</x:v>
      </x:c>
      <x:c r="E1127" t="str">
        <x:v>P0025 chamber temperature "35 - 50 °C" recovered 2026-09-13 from B-petg-hf-TDS. The re-fetched file matches the recorded SHA-256; the row follows a page break and was missed in transcription.</x:v>
      </x:c>
    </x:row>
    <x:row r="1128">
      <x:c r="A1128" t="str">
        <x:v>C01125</x:v>
      </x:c>
      <x:c r="B1128" t="str">
        <x:v>M024</x:v>
      </x:c>
      <x:c r="C1128" t="str">
        <x:v>Print setup</x:v>
      </x:c>
      <x:c r="D1128" t="str">
        <x:v>Resolved</x:v>
      </x:c>
      <x:c r="E1128" t="str">
        <x:v>P0027 chamber temperature "35 - 50 °C" recovered 2026-09-13 from B-petg-cf-TDS. The re-fetched file matches the recorded SHA-256; the row follows a page break and was missed in transcription.</x:v>
      </x:c>
    </x:row>
    <x:row r="1129">
      <x:c r="A1129" t="str">
        <x:v>C01126</x:v>
      </x:c>
      <x:c r="B1129" t="str">
        <x:v>M036</x:v>
      </x:c>
      <x:c r="C1129" t="str">
        <x:v>Print setup</x:v>
      </x:c>
      <x:c r="D1129" t="str">
        <x:v>Resolved</x:v>
      </x:c>
      <x:c r="E1129" t="str">
        <x:v>P0044 chamber temperature "45 - 60 °C" recovered 2026-09-13 from B-pc-fr-TDS. The re-fetched file matches the recorded SHA-256; the row follows a page break and was missed in transcription.</x:v>
      </x:c>
    </x:row>
    <x:row r="1130">
      <x:c r="A1130" t="str">
        <x:v>C01127</x:v>
      </x:c>
      <x:c r="B1130" t="str">
        <x:v>M048</x:v>
      </x:c>
      <x:c r="C1130" t="str">
        <x:v>Print setup</x:v>
      </x:c>
      <x:c r="D1130" t="str">
        <x:v>Resolved</x:v>
      </x:c>
      <x:c r="E1130" t="str">
        <x:v>P0063 chamber temperature "45 - 60 °C" recovered 2026-09-13 from B-paht-cf-TDS. The re-fetched file matches the recorded SHA-256; the row follows a page break and was missed in transcription.</x:v>
      </x:c>
    </x:row>
    <x:row r="1131">
      <x:c r="A1131" t="str">
        <x:v>C01128</x:v>
      </x:c>
      <x:c r="B1131" t="str">
        <x:v>M070</x:v>
      </x:c>
      <x:c r="C1131" t="str">
        <x:v>Print setup</x:v>
      </x:c>
      <x:c r="D1131" t="str">
        <x:v>Resolved</x:v>
      </x:c>
      <x:c r="E1131" t="str">
        <x:v>P0089 chamber temperature "50 - 80 °C" recovered 2026-09-13 from B-ppa-cf-TDS. The re-fetched file matches the recorded SHA-256; the row follows a page break and was missed in transcription.</x:v>
      </x:c>
    </x:row>
    <x:row r="1132">
      <x:c r="A1132" t="str">
        <x:v>C01129</x:v>
      </x:c>
      <x:c r="B1132" t="str">
        <x:v>M073</x:v>
      </x:c>
      <x:c r="C1132" t="str">
        <x:v>Print setup</x:v>
      </x:c>
      <x:c r="D1132" t="str">
        <x:v>Resolved</x:v>
      </x:c>
      <x:c r="E1132" t="str">
        <x:v>P0093 chamber temperature "60 - 90 °C" recovered 2026-09-13 from B-pps-cf-TDS. The re-fetched file matches the recorded SHA-256; the row follows a page break and was missed in transcription.</x:v>
      </x:c>
    </x:row>
    <x:row r="1133">
      <x:c r="A1133" t="str">
        <x:v>C01130</x:v>
      </x:c>
      <x:c r="B1133" t="str">
        <x:v>M080</x:v>
      </x:c>
      <x:c r="C1133" t="str">
        <x:v>Print setup</x:v>
      </x:c>
      <x:c r="D1133" t="str">
        <x:v>Resolved</x:v>
      </x:c>
      <x:c r="E1133" t="str">
        <x:v>P0100 chamber temperature "45-60 °C" recovered 2026-09-13 from B-support-for-pa-pet-TDS. The re-fetched file matches the recorded SHA-256; the row follows a page break and was missed in transcription.</x:v>
      </x:c>
    </x:row>
    <x:row r="1134">
      <x:c r="A1134" t="str">
        <x:v>C01131</x:v>
      </x:c>
      <x:c r="B1134" t="str">
        <x:v>M001</x:v>
      </x:c>
      <x:c r="C1134" t="str">
        <x:v>Print setup</x:v>
      </x:c>
      <x:c r="D1134" t="str">
        <x:v>Resolved</x:v>
      </x:c>
      <x:c r="E1134" t="str">
        <x:v>P0002 PolySonic PLA TDS states "Closure Chamber: No needed"; recorded 2026-09-13 as not required.</x:v>
      </x:c>
    </x:row>
    <x:row r="1135">
      <x:c r="A1135" t="str">
        <x:v>C01132</x:v>
      </x:c>
      <x:c r="B1135" t="str">
        <x:v>M044</x:v>
      </x:c>
      <x:c r="C1135" t="str">
        <x:v>Print setup</x:v>
      </x:c>
      <x:c r="D1135" t="str">
        <x:v>Reviewed with limitations</x:v>
      </x:c>
      <x:c r="E1135" t="str">
        <x:v>BASF Ultrafuse TPC 45D lists build chamber temperature as "-". Recorded 2026-09-13 as no setpoint published: not zero and not "not required".</x:v>
      </x:c>
    </x:row>
    <x:row r="1136">
      <x:c r="A1136" t="str">
        <x:v>C01133</x:v>
      </x:c>
      <x:c r="B1136" t="str">
        <x:v>M046</x:v>
      </x:c>
      <x:c r="C1136" t="str">
        <x:v>Print setup</x:v>
      </x:c>
      <x:c r="D1136" t="str">
        <x:v>Reviewed with limitations</x:v>
      </x:c>
      <x:c r="E1136" t="str">
        <x:v>BASF Ultrafuse TPC 45D lists build chamber temperature as "-". Recorded 2026-09-13 as no setpoint published: not zero and not "not required".</x:v>
      </x:c>
    </x:row>
    <x:row r="1137">
      <x:c r="A1137" t="str">
        <x:v>C01134</x:v>
      </x:c>
      <x:c r="B1137" t="str">
        <x:v>M072</x:v>
      </x:c>
      <x:c r="C1137" t="str">
        <x:v>Print setup</x:v>
      </x:c>
      <x:c r="D1137" t="str">
        <x:v>Resolved</x:v>
      </x:c>
      <x:c r="E1137" t="str">
        <x:v>Spectrum PPS AM230 "Closed chamber: active heated (60-80°C)" was held only in the Enclosure column of P0092; recorded 2026-09-13 as the chamber window as well.</x:v>
      </x:c>
    </x:row>
    <x:row r="1138">
      <x:c r="A1138" t="str">
        <x:v>C01135</x:v>
      </x:c>
      <x:c r="B1138" t="str">
        <x:v>M090</x:v>
      </x:c>
      <x:c r="C1138" t="str">
        <x:v>Print setup</x:v>
      </x:c>
      <x:c r="D1138" t="str">
        <x:v>Evidence recorded</x:v>
      </x:c>
      <x:c r="E1138" t="str">
        <x:v>Fillamentum CPE CF112 Carbon printing guide recorded as P0166: heated chamber / enclosure not needed; wear-resistant nozzle necessary.</x:v>
      </x:c>
    </x:row>
    <x:row r="1139">
      <x:c r="A1139" t="str">
        <x:v>C01136</x:v>
      </x:c>
      <x:c r="B1139" t="str">
        <x:v>M068</x:v>
      </x:c>
      <x:c r="C1139" t="str">
        <x:v>Source conflict</x:v>
      </x:c>
      <x:c r="D1139" t="str">
        <x:v>Conflict</x:v>
      </x:c>
      <x:c r="E1139" t="str">
        <x:v>The 2026-09-13 research cites the Fiberon PET-GF15 product page as recommending a chamber for dimensional stability. TDS V1.0 states room temperature, which is recorded. The product page returned HTTP 403 and was not verified.</x:v>
      </x:c>
    </x:row>
    <x:row r="1140">
      <x:c r="A1140" t="str">
        <x:v>C01137</x:v>
      </x:c>
      <x:c r="B1140" t="str">
        <x:v>M092</x:v>
      </x:c>
      <x:c r="C1140" t="str">
        <x:v>Identity</x:v>
      </x:c>
      <x:c r="D1140" t="str">
        <x:v>Conflict</x:v>
      </x:c>
      <x:c r="E1140" t="str">
        <x:v>The grade row names Eastman Amphora AM3300; colorFabb TDS v2.0 (2023-09-01) names Amphora HT3300. Not resolved 2026-09-13.</x:v>
      </x:c>
    </x:row>
    <x:row r="1141">
      <x:c r="A1141" t="str">
        <x:v>C01138</x:v>
      </x:c>
      <x:c r="B1141" t="str">
        <x:v>M070</x:v>
      </x:c>
      <x:c r="C1141" t="str">
        <x:v>Research conflict</x:v>
      </x:c>
      <x:c r="D1141" t="str">
        <x:v>Resolved</x:v>
      </x:c>
      <x:c r="E1141" t="str">
        <x:v>The 2026-09-13 research report says the accessible Bambu PPA-CF TDS publishes no chamber range. The hash-matched TDS V1.0 states 50-80 °C, which is recorded. The reseller 100-120 °C figure is not used.</x:v>
      </x:c>
    </x:row>
    <x:row r="1142">
      <x:c r="A1142" t="str">
        <x:v>C01139</x:v>
      </x:c>
      <x:c r="B1142" t="str">
        <x:v>M055</x:v>
      </x:c>
      <x:c r="C1142" t="str">
        <x:v>Grades</x:v>
      </x:c>
      <x:c r="D1142" t="str">
        <x:v>Reviewed with limitations</x:v>
      </x:c>
      <x:c r="E1142" t="str">
        <x:v>2026-09-13 research found no defensible exact commercial grade. Stratasys PA6/66-GF30-FR and Fiberon PA612-CF15 are different formulations and were not substituted.</x:v>
      </x:c>
    </x:row>
    <x:row r="1143">
      <x:c r="A1143" t="str">
        <x:v>C01140</x:v>
      </x:c>
      <x:c r="B1143" t="str">
        <x:v>M056</x:v>
      </x:c>
      <x:c r="C1143" t="str">
        <x:v>Grades</x:v>
      </x:c>
      <x:c r="D1143" t="str">
        <x:v>Reviewed with limitations</x:v>
      </x:c>
      <x:c r="E1143" t="str">
        <x:v>2026-09-13 research found no defensible exact commercial grade. Stratasys PA6/66-GF30-FR and Fiberon PA612-CF15 are different formulations and were not substituted.</x:v>
      </x:c>
    </x:row>
    <x:row r="1144">
      <x:c r="A1144" t="str">
        <x:v>C01141</x:v>
      </x:c>
      <x:c r="B1144" t="str">
        <x:v>M058</x:v>
      </x:c>
      <x:c r="C1144" t="str">
        <x:v>Grades</x:v>
      </x:c>
      <x:c r="D1144" t="str">
        <x:v>Reviewed with limitations</x:v>
      </x:c>
      <x:c r="E1144" t="str">
        <x:v>2026-09-13 research found no defensible exact commercial grade. Stratasys PA6/66-GF30-FR and Fiberon PA612-CF15 are different formulations and were not substituted.</x:v>
      </x:c>
    </x:row>
    <x:row r="1145">
      <x:c r="A1145" t="str">
        <x:v>C01142</x:v>
      </x:c>
      <x:c r="B1145" t="str">
        <x:v>M060</x:v>
      </x:c>
      <x:c r="C1145" t="str">
        <x:v>Grades</x:v>
      </x:c>
      <x:c r="D1145" t="str">
        <x:v>Reviewed with limitations</x:v>
      </x:c>
      <x:c r="E1145" t="str">
        <x:v>2026-09-13 research found no defensible exact commercial grade. Stratasys PA6/66-GF30-FR and Fiberon PA612-CF15 are different formulations and were not substituted.</x:v>
      </x:c>
    </x:row>
    <x:row r="1146">
      <x:c r="A1146" t="str">
        <x:v>C01143</x:v>
      </x:c>
      <x:c r="B1146" t="str">
        <x:v>M087</x:v>
      </x:c>
      <x:c r="C1146" t="str">
        <x:v>Print setup</x:v>
      </x:c>
      <x:c r="D1146" t="str">
        <x:v>Reviewed with limitations</x:v>
      </x:c>
      <x:c r="E1146" t="str">
        <x:v>purefil POM page re-read 2026-09-13: bed 120-150 °C, no chamber temperature and no mechanical or HDT values. A chamber temperature is not inferred from the bed temperature.</x:v>
      </x:c>
    </x:row>
    <x:row r="1147">
      <x:c r="A1147" t="str">
        <x:v>C01144</x:v>
      </x:c>
      <x:c r="B1147" t="str">
        <x:v>M069</x:v>
      </x:c>
      <x:c r="C1147" t="str">
        <x:v>Print setup</x:v>
      </x:c>
      <x:c r="D1147" t="str">
        <x:v>Reviewed with limitations</x:v>
      </x:c>
      <x:c r="E1147" t="str">
        <x:v>The cited IPCON TDS was re-read 2026-09-13 (SHA-256 matches): nozzle and bed are published, the chamber temperature is not.</x:v>
      </x:c>
    </x:row>
    <x:row r="1148">
      <x:c r="A1148" t="str">
        <x:v>C01145</x:v>
      </x:c>
      <x:c r="B1148" t="str">
        <x:v>M071</x:v>
      </x:c>
      <x:c r="C1148" t="str">
        <x:v>Print setup</x:v>
      </x:c>
      <x:c r="D1148" t="str">
        <x:v>Reviewed with limitations</x:v>
      </x:c>
      <x:c r="E1148" t="str">
        <x:v>The cited IPCON TDS was re-read 2026-09-13 (SHA-256 matches): nozzle and bed are published, the chamber temperature is not.</x:v>
      </x:c>
    </x:row>
    <x:row r="1149">
      <x:c r="A1149" t="str">
        <x:v>C01146</x:v>
      </x:c>
      <x:c r="B1149" t="str">
        <x:v>M096</x:v>
      </x:c>
      <x:c r="C1149" t="str">
        <x:v>Print setup</x:v>
      </x:c>
      <x:c r="D1149" t="str">
        <x:v>Reviewed with limitations</x:v>
      </x:c>
      <x:c r="E1149" t="str">
        <x:v>3DXTECH FluorX PVDF recommends a heated chamber and publishes no temperature. The 2026-09-13 research assigns no estimate band, and none is used.</x:v>
      </x:c>
    </x:row>
  </x:sheetData>
  <x:conditionalFormatting sqref="D4:D1109">
    <x:cfRule type="containsText" dxfId="6" priority="2" aboveAverage="0" percent="0" bottom="0" operator="containsText" text="Conflict" rank="0" equalAverage="0">
      <x:formula>NOT(ISERROR(SEARCH("Conflict",D4)))</x:formula>
    </x:cfRule>
  </x:conditionalFormatting>
  <x:pageMargins left="0.7" right="0.7" top="0.75" bottom="0.75" header="0.3" footer="0.3"/>
  <x:tableParts count="1">
    <x:tablePart xmlns:r="http://schemas.openxmlformats.org/officeDocument/2006/relationships" r:id="R5ce234de3b4544e3"/>
  </x:tableParts>
</x:worksheet>
</file>

<file path=xl/worksheets/sheet9.xml><?xml version="1.0" encoding="utf-8"?>
<x:worksheet xmlns:x="http://schemas.openxmlformats.org/spreadsheetml/2006/main">
  <x:sheetPr>
    <x:tabColor rgb="FF8D9B91"/>
  </x:sheetPr>
  <x:sheetViews>
    <x:sheetView showGridLines="0" workbookViewId="0">
      <x:pane xSplit="1" ySplit="3" topLeftCell="B4" activePane="bottomRight" state="frozen"/>
    </x:sheetView>
  </x:sheetViews>
  <x:sheetFormatPr defaultColWidth="8.6796875" defaultRowHeight="15"/>
  <x:cols>
    <x:col min="1" max="2" width="26" style="1" hidden="0" customWidth="1"/>
    <x:col min="3" max="3" width="105" style="1" hidden="0" customWidth="1"/>
  </x:cols>
  <x:sheetData>
    <x:row r="1" ht="24" hidden="0" customHeight="1">
      <x:c r="A1" s="3" t="s">
        <x:v>8272</x:v>
      </x:c>
      <x:c r="B1" s="2"/>
      <x:c r="C1" s="2"/>
    </x:row>
    <x:row r="2" ht="15" hidden="0" customHeight="1">
      <x:c r="A2" s="2"/>
      <x:c r="B2" s="2"/>
      <x:c r="C2" s="2"/>
    </x:row>
    <x:row r="3" ht="43.5" hidden="0" customHeight="1">
      <x:c r="A3" s="4" t="s">
        <x:v>8273</x:v>
      </x:c>
      <x:c r="B3" s="4" t="s">
        <x:v>5587</x:v>
      </x:c>
      <x:c r="C3" s="4" t="s">
        <x:v>8274</x:v>
      </x:c>
    </x:row>
    <x:row r="4" ht="37.5" hidden="0" customHeight="1">
      <x:c r="A4" s="7" t="s">
        <x:v>26</x:v>
      </x:c>
      <x:c r="B4" s="7" t="s">
        <x:v>8275</x:v>
      </x:c>
      <x:c r="C4" s="7" t="str">
        <x:v>2026-09-13. Exactly 96 H2C-relevant and six excluded canonical entries. Manufacturer source audit and missing-data research implemented; no ranking or weighted selection score.</x:v>
      </x:c>
    </x:row>
    <x:row r="5" ht="37.5" hidden="0" customHeight="1">
      <x:c r="A5" s="7" t="s">
        <x:v>26</x:v>
      </x:c>
      <x:c r="B5" s="7" t="s">
        <x:v>8276</x:v>
      </x:c>
      <x:c r="C5" s="7" t="s">
        <x:v>8277</x:v>
      </x:c>
    </x:row>
    <x:row r="6" ht="37.5" hidden="0" customHeight="1">
      <x:c r="A6" s="7" t="s">
        <x:v>7190</x:v>
      </x:c>
      <x:c r="B6" s="7" t="s">
        <x:v>8278</x:v>
      </x:c>
      <x:c r="C6" s="7" t="s">
        <x:v>8279</x:v>
      </x:c>
    </x:row>
    <x:row r="7" ht="51.75" hidden="0" customHeight="1">
      <x:c r="A7" s="7" t="s">
        <x:v>7190</x:v>
      </x:c>
      <x:c r="B7" s="7" t="s">
        <x:v>8280</x:v>
      </x:c>
      <x:c r="C7" s="7" t="s">
        <x:v>8281</x:v>
      </x:c>
    </x:row>
    <x:row r="8" ht="51.75" hidden="0" customHeight="1">
      <x:c r="A8" s="7" t="s">
        <x:v>8282</x:v>
      </x:c>
      <x:c r="B8" s="7" t="s">
        <x:v>8283</x:v>
      </x:c>
      <x:c r="C8" s="7" t="s">
        <x:v>8284</x:v>
      </x:c>
    </x:row>
    <x:row r="9" ht="51.75" hidden="0" customHeight="1">
      <x:c r="A9" s="7" t="s">
        <x:v>8282</x:v>
      </x:c>
      <x:c r="B9" s="7" t="s">
        <x:v>8285</x:v>
      </x:c>
      <x:c r="C9" s="7" t="s">
        <x:v>8286</x:v>
      </x:c>
    </x:row>
    <x:row r="10" ht="37.5" hidden="0" customHeight="1">
      <x:c r="A10" s="7" t="s">
        <x:v>8282</x:v>
      </x:c>
      <x:c r="B10" s="7" t="s">
        <x:v>8287</x:v>
      </x:c>
      <x:c r="C10" s="7" t="s">
        <x:v>8288</x:v>
      </x:c>
    </x:row>
    <x:row r="11" ht="51.75" hidden="0" customHeight="1">
      <x:c r="A11" s="7" t="s">
        <x:v>8289</x:v>
      </x:c>
      <x:c r="B11" s="7" t="s">
        <x:v>8290</x:v>
      </x:c>
      <x:c r="C11" s="7" t="s">
        <x:v>8291</x:v>
      </x:c>
    </x:row>
    <x:row r="12" ht="37.5" hidden="0" customHeight="1">
      <x:c r="A12" s="7" t="s">
        <x:v>8289</x:v>
      </x:c>
      <x:c r="B12" s="7" t="s">
        <x:v>8292</x:v>
      </x:c>
      <x:c r="C12" s="7" t="s">
        <x:v>8293</x:v>
      </x:c>
    </x:row>
    <x:row r="13" ht="51.75" hidden="0" customHeight="1">
      <x:c r="A13" s="7" t="s">
        <x:v>8289</x:v>
      </x:c>
      <x:c r="B13" s="7" t="s">
        <x:v>8294</x:v>
      </x:c>
      <x:c r="C13" s="7" t="s">
        <x:v>8295</x:v>
      </x:c>
    </x:row>
    <x:row r="14" ht="37.5" hidden="0" customHeight="1">
      <x:c r="A14" s="7" t="s">
        <x:v>8289</x:v>
      </x:c>
      <x:c r="B14" s="7" t="s">
        <x:v>7201</x:v>
      </x:c>
      <x:c r="C14" s="7" t="s">
        <x:v>8296</x:v>
      </x:c>
    </x:row>
    <x:row r="15" ht="37.5" hidden="0" customHeight="1">
      <x:c r="A15" s="7" t="s">
        <x:v>8297</x:v>
      </x:c>
      <x:c r="B15" s="7" t="s">
        <x:v>8298</x:v>
      </x:c>
      <x:c r="C15" s="7" t="s">
        <x:v>8299</x:v>
      </x:c>
    </x:row>
    <x:row r="16" ht="37.5" hidden="0" customHeight="1">
      <x:c r="A16" s="7" t="s">
        <x:v>8297</x:v>
      </x:c>
      <x:c r="B16" s="7" t="s">
        <x:v>8300</x:v>
      </x:c>
      <x:c r="C16" s="7" t="s">
        <x:v>8301</x:v>
      </x:c>
    </x:row>
    <x:row r="17" ht="51.75" hidden="0" customHeight="1">
      <x:c r="A17" s="7" t="s">
        <x:v>8302</x:v>
      </x:c>
      <x:c r="B17" s="7" t="s">
        <x:v>8303</x:v>
      </x:c>
      <x:c r="C17" s="7" t="s">
        <x:v>8304</x:v>
      </x:c>
    </x:row>
    <x:row r="18" ht="51.75" hidden="0" customHeight="1">
      <x:c r="A18" s="7" t="s">
        <x:v>8302</x:v>
      </x:c>
      <x:c r="B18" s="7" t="s">
        <x:v>8305</x:v>
      </x:c>
      <x:c r="C18" s="7" t="s">
        <x:v>8306</x:v>
      </x:c>
    </x:row>
    <x:row r="19" ht="51.75" hidden="0" customHeight="1">
      <x:c r="A19" s="7" t="s">
        <x:v>8302</x:v>
      </x:c>
      <x:c r="B19" s="7" t="s">
        <x:v>8307</x:v>
      </x:c>
      <x:c r="C19" s="7" t="s">
        <x:v>8308</x:v>
      </x:c>
    </x:row>
    <x:row r="20" ht="37.5" hidden="0" customHeight="1">
      <x:c r="A20" s="7" t="s">
        <x:v>8302</x:v>
      </x:c>
      <x:c r="B20" s="7" t="s">
        <x:v>8309</x:v>
      </x:c>
      <x:c r="C20" s="7" t="s">
        <x:v>8310</x:v>
      </x:c>
    </x:row>
    <x:row r="21" ht="37.5" hidden="0" customHeight="1">
      <x:c r="A21" s="7" t="s">
        <x:v>8311</x:v>
      </x:c>
      <x:c r="B21" s="7" t="s">
        <x:v>8312</x:v>
      </x:c>
      <x:c r="C21" s="7" t="s">
        <x:v>8313</x:v>
      </x:c>
    </x:row>
    <x:row r="22" ht="37.5" hidden="0" customHeight="1">
      <x:c r="A22" s="7" t="s">
        <x:v>8311</x:v>
      </x:c>
      <x:c r="B22" s="7" t="s">
        <x:v>8314</x:v>
      </x:c>
      <x:c r="C22" s="7" t="s">
        <x:v>8315</x:v>
      </x:c>
    </x:row>
    <x:row r="23" ht="51.75" hidden="0" customHeight="1">
      <x:c r="A23" s="7" t="s">
        <x:v>8311</x:v>
      </x:c>
      <x:c r="B23" s="7" t="s">
        <x:v>8316</x:v>
      </x:c>
      <x:c r="C23" s="7" t="s">
        <x:v>8317</x:v>
      </x:c>
    </x:row>
    <x:row r="24" ht="51.75" hidden="0" customHeight="1">
      <x:c r="A24" s="7" t="s">
        <x:v>8318</x:v>
      </x:c>
      <x:c r="B24" s="7" t="s">
        <x:v>8319</x:v>
      </x:c>
      <x:c r="C24" s="7" t="s">
        <x:v>8320</x:v>
      </x:c>
    </x:row>
    <x:row r="25" ht="51.75" hidden="0" customHeight="1">
      <x:c r="A25" s="7" t="s">
        <x:v>8318</x:v>
      </x:c>
      <x:c r="B25" s="7" t="s">
        <x:v>6020</x:v>
      </x:c>
      <x:c r="C25" s="7" t="s">
        <x:v>8321</x:v>
      </x:c>
    </x:row>
    <x:row r="26" ht="66" hidden="0" customHeight="1">
      <x:c r="A26" s="7" t="s">
        <x:v>8322</x:v>
      </x:c>
      <x:c r="B26" s="7" t="s">
        <x:v>75</x:v>
      </x:c>
      <x:c r="C26" s="7" t="s">
        <x:v>8323</x:v>
      </x:c>
    </x:row>
    <x:row r="27" ht="51.75" hidden="0" customHeight="1">
      <x:c r="A27" s="7" t="s">
        <x:v>8322</x:v>
      </x:c>
      <x:c r="B27" s="7" t="s">
        <x:v>8324</x:v>
      </x:c>
      <x:c r="C27" s="7" t="s">
        <x:v>8325</x:v>
      </x:c>
    </x:row>
    <x:row r="28" ht="37.5" hidden="0" customHeight="1">
      <x:c r="A28" s="7" t="s">
        <x:v>8322</x:v>
      </x:c>
      <x:c r="B28" s="7" t="s">
        <x:v>8326</x:v>
      </x:c>
      <x:c r="C28" s="7" t="s">
        <x:v>8327</x:v>
      </x:c>
    </x:row>
    <x:row r="29" ht="37.5" hidden="0" customHeight="1">
      <x:c r="A29" s="7" t="s">
        <x:v>8328</x:v>
      </x:c>
      <x:c r="B29" s="7" t="s">
        <x:v>1916</x:v>
      </x:c>
      <x:c r="C29" s="7" t="s">
        <x:v>8329</x:v>
      </x:c>
    </x:row>
    <x:row r="30" ht="37.5" hidden="0" customHeight="1">
      <x:c r="A30" s="7" t="s">
        <x:v>8328</x:v>
      </x:c>
      <x:c r="B30" s="7" t="s">
        <x:v>8330</x:v>
      </x:c>
      <x:c r="C30" s="7" t="s">
        <x:v>8331</x:v>
      </x:c>
    </x:row>
    <x:row r="31" ht="37.5" hidden="0" customHeight="1">
      <x:c r="A31" s="7" t="s">
        <x:v>8328</x:v>
      </x:c>
      <x:c r="B31" s="7" t="s">
        <x:v>8332</x:v>
      </x:c>
      <x:c r="C31" s="7" t="s">
        <x:v>8333</x:v>
      </x:c>
    </x:row>
    <x:row r="32" ht="37.5" hidden="0" customHeight="1">
      <x:c r="A32" s="7" t="s">
        <x:v>8328</x:v>
      </x:c>
      <x:c r="B32" s="7" t="s">
        <x:v>8334</x:v>
      </x:c>
      <x:c r="C32" s="7" t="s">
        <x:v>8335</x:v>
      </x:c>
    </x:row>
    <x:row r="33" ht="37.5" hidden="0" customHeight="1">
      <x:c r="A33" s="7" t="s">
        <x:v>8328</x:v>
      </x:c>
      <x:c r="B33" s="7" t="s">
        <x:v>8336</x:v>
      </x:c>
      <x:c r="C33" s="7" t="s">
        <x:v>8337</x:v>
      </x:c>
    </x:row>
    <x:row r="34" ht="37.5" hidden="0" customHeight="1">
      <x:c r="A34" s="7" t="s">
        <x:v>8328</x:v>
      </x:c>
      <x:c r="B34" s="7" t="s">
        <x:v>4718</x:v>
      </x:c>
      <x:c r="C34" s="7" t="s">
        <x:v>8338</x:v>
      </x:c>
    </x:row>
    <x:row r="35" ht="37.5" hidden="0" customHeight="1">
      <x:c r="A35" s="7" t="s">
        <x:v>8328</x:v>
      </x:c>
      <x:c r="B35" s="7" t="s">
        <x:v>8339</x:v>
      </x:c>
      <x:c r="C35" s="7" t="s">
        <x:v>8340</x:v>
      </x:c>
    </x:row>
    <x:row r="36" ht="37.5" hidden="0" customHeight="1">
      <x:c r="A36" s="7" t="s">
        <x:v>8328</x:v>
      </x:c>
      <x:c r="B36" s="7" t="s">
        <x:v>8341</x:v>
      </x:c>
      <x:c r="C36" s="7" t="s">
        <x:v>8342</x:v>
      </x:c>
    </x:row>
    <x:row r="37" ht="37.5" hidden="0" customHeight="1">
      <x:c r="A37" s="7" t="s">
        <x:v>8343</x:v>
      </x:c>
      <x:c r="B37" s="7" t="s">
        <x:v>7103</x:v>
      </x:c>
      <x:c r="C37" s="7" t="s">
        <x:v>8344</x:v>
      </x:c>
    </x:row>
    <x:row r="38" ht="51.75" hidden="0" customHeight="1">
      <x:c r="A38" s="7" t="s">
        <x:v>8343</x:v>
      </x:c>
      <x:c r="B38" s="7" t="s">
        <x:v>8345</x:v>
      </x:c>
      <x:c r="C38" s="7" t="str">
        <x:v>Rare PA66, PA66-CF, unfilled PA612 and PA612-GF lack verified exact-grade technical profiles in this sample; POM has an exact product page but no mechanical, HDT or chamber values. PLA Lite and PLA Silk carry third-party technical grade samples (eSUN PLA-Lite, Panchroma Silk PLA), not the original products. Full H2C routing/AMS validation is not established for every third-party grade.</x:v>
      </x:c>
    </x:row>
    <x:row r="39" ht="37.5" hidden="0" customHeight="1">
      <x:c r="A39" s="7" t="s">
        <x:v>8343</x:v>
      </x:c>
      <x:c r="B39" s="7" t="s">
        <x:v>6025</x:v>
      </x:c>
      <x:c r="C39" s="7" t="s">
        <x:v>8347</x:v>
      </x:c>
    </x:row>
    <x:row r="40" ht="66" hidden="0" customHeight="1">
      <x:c r="A40" s="7" t="s">
        <x:v>8343</x:v>
      </x:c>
      <x:c r="B40" s="7" t="s">
        <x:v>8348</x:v>
      </x:c>
      <x:c r="C40" s="7" t="s">
        <x:v>8349</x:v>
      </x:c>
    </x:row>
    <x:row r="41" ht="45.75" hidden="0" customHeight="1">
      <x:c r="A41" s="7" t="s">
        <x:v>8282</x:v>
      </x:c>
      <x:c r="B41" s="7" t="s">
        <x:v>8350</x:v>
      </x:c>
      <x:c r="C41" s="7" t="s">
        <x:v>8351</x:v>
      </x:c>
    </x:row>
    <x:row r="42" ht="68.25" hidden="0" customHeight="1">
      <x:c r="A42" s="7" t="s">
        <x:v>8343</x:v>
      </x:c>
      <x:c r="B42" s="7" t="s">
        <x:v>8352</x:v>
      </x:c>
      <x:c r="C42" s="7" t="s">
        <x:v>8353</x:v>
      </x:c>
    </x:row>
    <x:row r="43">
      <x:c r="A43" t="str">
        <x:v>Evidence</x:v>
      </x:c>
      <x:c r="B43" t="str">
        <x:v>2026-09-13 manufacturer audit</x:v>
      </x:c>
      <x:c r="C43" t="str">
        <x:v>Official and current manufacturer evidence was checked for Bambu Lab, eSUN, Fillamentum, BASF Forward AM, Stratasys, 3DXTECH, Markforged, Essentium/Nexa3D, Polymaker, Prusa Research and Kimya/Airtech. Exact-grade identity was required for inserted values.</x:v>
      </x:c>
    </x:row>
    <x:row r="44">
      <x:c r="A44" t="str">
        <x:v>Evidence</x:v>
      </x:c>
      <x:c r="B44" t="str">
        <x:v>Hash and token verification</x:v>
      </x:c>
      <x:c r="C44" t="str">
        <x:v>86 existing target-manufacturer source records were refetched or checked; every recorded hash matched fetched bytes. 1,333 existing numeric property rows were checked for their raw numbers in extracted current PDF text with zero missing numeric tokens. This detects stale files and many transcription errors, but not every possible semantic mislabel.</x:v>
      </x:c>
    </x:row>
    <x:row r="45">
      <x:c r="A45" t="str">
        <x:v>Evidence</x:v>
      </x:c>
      <x:c r="B45" t="str">
        <x:v>No silent substitution</x:v>
      </x:c>
      <x:c r="C45" t="str">
        <x:v>Current catalog products were not inserted merely because their family name looked similar. Closed-platform or over-sample candidates remain in the external research report unless an exact canonical mapping and evidence need justified a workbook grade.</x:v>
      </x:c>
    </x:row>
    <x:row r="46">
      <x:c r="A46" t="str">
        <x:v>H2C</x:v>
      </x:c>
      <x:c r="B46" t="str">
        <x:v>Chamber evidence</x:v>
      </x:c>
      <x:c r="C46" t="str">
        <x:v>A published chamber window is read against the 65 °C active chamber. At or below it: within. Starting at or below it and extending above: partial, because only part of the window is reachable; never within. Wholly above: exceeds. "Not required", room temperature or "enclosure not needed" clear the chamber question without inventing a temperature. "Recommended" without a number, "-" in a TDS and no setpoint stay unknown. An enclosure is not an actively heated chamber.</x:v>
      </x:c>
    </x:row>
    <x:row r="47">
      <x:c r="A47" t="str">
        <x:v>Evidence</x:v>
      </x:c>
      <x:c r="B47" t="str">
        <x:v>2026-09-13 missing-data research</x:v>
      </x:c>
      <x:c r="C47" t="str">
        <x:v>Implemented after re-reading every cited source. Chamber rows missed at a page break were recovered from 14 Bambu TDS files whose SHA-256 matches this register. Four technical grade samples were added (eSUN PLA-Lite, Panchroma Silk PLA, Panchroma CoPE, Fiberon PET-GF15) and CoPE was separated from CPE. Sources that could not be retrieved contributed nothing. Research chamber bands are inference kept outside this workbook.</x:v>
      </x:c>
    </x:row>
  </x:sheetData>
  <x:pageMargins left="0.7" right="0.7" top="0.75" bottom="0.75" header="0.3" footer="0.3"/>
  <x:tableParts count="1">
    <x:tablePart xmlns:r="http://schemas.openxmlformats.org/officeDocument/2006/relationships" r:id="R27a77386b7f1416f"/>
  </x:tableParts>
</x:worksheet>
</file>