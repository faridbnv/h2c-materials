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81f4e7a5e47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 by brand" sheetId="1" r:id="Ree476c971b744a1f"/>
    <x:sheet xmlns:r="http://schemas.openxmlformats.org/officeDocument/2006/relationships" name="Documents" sheetId="2" r:id="Rc99f5571dc34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 mmm yyyy"/>
  </x:numFmts>
  <x:fonts count="8">
    <x:font>
      <x:sz val="11"/>
      <x:name val="Carlito"/>
    </x:font>
    <x:font>
      <x:sz val="11"/>
      <x:color rgb="FF243746"/>
      <x:name val="Arial"/>
    </x:font>
    <x:font>
      <x:b/>
      <x:sz val="16"/>
      <x:color rgb="FF17324D"/>
      <x:name val="Arial"/>
    </x:font>
    <x:font>
      <x:sz val="11"/>
      <x:color rgb="FF516879"/>
      <x:name val="Arial"/>
    </x:font>
    <x:font>
      <x:sz val="10"/>
      <x:color rgb="FF006B85"/>
      <x:name val="Arial"/>
    </x:font>
    <x:font>
      <x:b/>
      <x:sz val="11"/>
      <x:color rgb="FFFFFFFF"/>
      <x:name val="Arial"/>
    </x:font>
    <x:font>
      <x:sz val="11"/>
      <x:color rgb="FF006B85"/>
      <x:name val="Arial"/>
    </x:font>
    <x:font>
      <x:b/>
      <x:sz val="11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1F6F9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875D10"/>
      </x:font>
      <x:fill>
        <x:patternFill patternType="solid">
          <x:bgColor rgb="FFFFF1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92c7e67a6480a" /><Relationship Type="http://schemas.openxmlformats.org/officeDocument/2006/relationships/theme" Target="/xl/theme/theme1.xml" Id="Rcb7225f5d8c44436" /><Relationship Type="http://schemas.openxmlformats.org/officeDocument/2006/relationships/sharedStrings" Target="/xl/sharedStrings.xml" Id="R6d87947a30e14194" /><Relationship Type="http://schemas.openxmlformats.org/officeDocument/2006/relationships/worksheet" Target="/xl/worksheets/sheet1.xml" Id="Ree476c971b744a1f" /><Relationship Type="http://schemas.openxmlformats.org/officeDocument/2006/relationships/worksheet" Target="/xl/worksheets/sheet2.xml" Id="Rc99f5571dc3441cc" /></Relationships>
</file>

<file path=xl/tables/table1.xml><?xml version="1.0" encoding="utf-8"?>
<x:table xmlns:x="http://schemas.openxmlformats.org/spreadsheetml/2006/main" id="1" name="BrandSourceCounts" displayName="BrandSourceCounts" ref="A8:N58" headerRowCount="1" totalsRowCount="0" totalsRowShown="0">
  <x:autoFilter ref="A8:N58"/>
  <x:tableColumns count="14">
    <x:tableColumn id="1" name="Brand / source"/>
    <x:tableColumn id="2" name="Filament TDS"/>
    <x:tableColumn id="3" name="SDS"/>
    <x:tableColumn id="4" name="Guides / product pages"/>
    <x:tableColumn id="5" name="Printer documentation"/>
    <x:tableColumn id="6" name="Catalogues / pricing"/>
    <x:tableColumn id="7" name="Polymer supplier datasheets"/>
    <x:tableColumn id="8" name="Research papers"/>
    <x:tableColumn id="9" name="Local / scope references"/>
    <x:tableColumn id="10" name="Other documents"/>
    <x:tableColumn id="11" name="Total used"/>
    <x:tableColumn id="12" name="Not retrieved"/>
    <x:tableColumn id="13" name="Total registered"/>
    <x:tableColumn id="14" name="Original publisher nam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sitoryDocuments" displayName="RepositoryDocuments" ref="A8:Q308" headerRowCount="1" totalsRowCount="0" totalsRowShown="0">
  <x:autoFilter ref="A8:Q308"/>
  <x:tableColumns count="17">
    <x:tableColumn id="1" name="Brand / grouped source"/>
    <x:tableColumn id="2" name="Document category"/>
    <x:tableColumn id="3" name="Document title"/>
    <x:tableColumn id="4" name="Document link"/>
    <x:tableColumn id="5" name="Included in used counts"/>
    <x:tableColumn id="6" name="SourceID"/>
    <x:tableColumn id="7" name="Original source class"/>
    <x:tableColumn id="8" name="Citation role"/>
    <x:tableColumn id="9" name="Recorded access status"/>
    <x:tableColumn id="10" name="Applicable grades"/>
    <x:tableColumn id="11" name="Source locator"/>
    <x:tableColumn id="12" name="Revision"/>
    <x:tableColumn id="13" name="Publication date"/>
    <x:tableColumn id="14" name="Access date"/>
    <x:tableColumn id="15" name="Original publisher"/>
    <x:tableColumn id="16" name="Full document URL / local path"/>
    <x:tableColumn id="17" name="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dba9742af7b34ef1" /><ns0:Relationship Id="rIdRepositoryLink1" Type="http://schemas.openxmlformats.org/officeDocument/2006/relationships/hyperlink" Target="https://github.com/faridbnv/h2c-materials/blob/46d9a83e4368425fe294fe40be2195725ff0ac0a/data/tables/sources.csv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caadb39612a14b67" /><ns0:Relationship Id="rIdRepositoryLink2" Type="http://schemas.openxmlformats.org/officeDocument/2006/relationships/hyperlink" Target="https://github.com/faridbnv/h2c-materials/blob/46d9a83e4368425fe294fe40be2195725ff0ac0a/data/tables/sources.csv" TargetMode="External" /><ns0:Relationship Id="rIdRepositoryLink3" Type="http://schemas.openxmlformats.org/officeDocument/2006/relationships/hyperlink" Target="https://store.bblcdn.com/s7/default/23b4cf2b83d5470bb96d19970b5f3ae8/Bambu_ABS_Technical_Data_Sheet_V3.pdf" TargetMode="External" /><ns0:Relationship Id="rIdRepositoryLink4" Type="http://schemas.openxmlformats.org/officeDocument/2006/relationships/hyperlink" Target="https://store.bblcdn.com/69f0758087c943f8a0a87bffa6dc901b.pdf" TargetMode="External" /><ns0:Relationship Id="rIdRepositoryLink5" Type="http://schemas.openxmlformats.org/officeDocument/2006/relationships/hyperlink" Target="https://store.bblcdn.com/ad7b08230c164e72856cffbe06bb7dc9.pdf" TargetMode="External" /><ns0:Relationship Id="rIdRepositoryLink6" Type="http://schemas.openxmlformats.org/officeDocument/2006/relationships/hyperlink" Target="https://store.bblcdn.com/s1/default/02b005fdf02d450084e3128f7cf0c36f/Bambu_ASA_Aero_Technical_Data_Sheet.pdf" TargetMode="External" /><ns0:Relationship Id="rIdRepositoryLink7" Type="http://schemas.openxmlformats.org/officeDocument/2006/relationships/hyperlink" Target="https://store.bblcdn.com/s7/default/44b0a48ab1d84e819647c980eb179ae9/Bambus_ASA-CF_Technical_Data_Sheet.pdf" TargetMode="External" /><ns0:Relationship Id="rIdRepositoryLink8" Type="http://schemas.openxmlformats.org/officeDocument/2006/relationships/hyperlink" Target="https://store.bblcdn.com/b2abc59ac250492b979a52f1ce3e61b3.pdf" TargetMode="External" /><ns0:Relationship Id="rIdRepositoryLink9" Type="http://schemas.openxmlformats.org/officeDocument/2006/relationships/hyperlink" Target="https://store.bblcdn.com/s5/default/f0317db8b3f44d0486553c1e214cff9d.pdf" TargetMode="External" /><ns0:Relationship Id="rIdRepositoryLink10" Type="http://schemas.openxmlformats.org/officeDocument/2006/relationships/hyperlink" Target="https://store.bblcdn.com/7166b20bc68f4c87b32c972b856eeb4b.pdf" TargetMode="External" /><ns0:Relationship Id="rIdRepositoryLink11" Type="http://schemas.openxmlformats.org/officeDocument/2006/relationships/hyperlink" Target="https://store.bblcdn.com/a52afdccddfd448583d119587122c8c5.pdf" TargetMode="External" /><ns0:Relationship Id="rIdRepositoryLink12" Type="http://schemas.openxmlformats.org/officeDocument/2006/relationships/hyperlink" Target="https://store.bblcdn.com/s1/default/4adf3c9827a0475d8777e9b8cfd11fbe.pdf" TargetMode="External" /><ns0:Relationship Id="rIdRepositoryLink13" Type="http://schemas.openxmlformats.org/officeDocument/2006/relationships/hyperlink" Target="https://store.bblcdn.com/9690d6226f024acab2ba0dd52dabb654.pdf" TargetMode="External" /><ns0:Relationship Id="rIdRepositoryLink14" Type="http://schemas.openxmlformats.org/officeDocument/2006/relationships/hyperlink" Target="https://store.bblcdn.com/s1/default/cb94589bf7994fdcbfa833badefae9cd/Bambu_PETG_Basic_Technical_Data_Sheet.pdf" TargetMode="External" /><ns0:Relationship Id="rIdRepositoryLink15" Type="http://schemas.openxmlformats.org/officeDocument/2006/relationships/hyperlink" Target="https://store.bblcdn.com/3a230e260a3a47c2b0db0156e07eef91.pdf" TargetMode="External" /><ns0:Relationship Id="rIdRepositoryLink16" Type="http://schemas.openxmlformats.org/officeDocument/2006/relationships/hyperlink" Target="https://store.bblcdn.com/s1/default/338c9cd853fd44d9b6ed354a49048e72/Bambu_PETG_Translucent_Technical_Data_Sheet.pdf" TargetMode="External" /><ns0:Relationship Id="rIdRepositoryLink17" Type="http://schemas.openxmlformats.org/officeDocument/2006/relationships/hyperlink" Target="https://store.bblcdn.com/626e4f424bf345ae965ad0ddfcaf2459.pdf" TargetMode="External" /><ns0:Relationship Id="rIdRepositoryLink18" Type="http://schemas.openxmlformats.org/officeDocument/2006/relationships/hyperlink" Target="https://store.bblcdn.com/cbc8b808aaf84ead9bb3b0b9b43e66af.pdf" TargetMode="External" /><ns0:Relationship Id="rIdRepositoryLink19" Type="http://schemas.openxmlformats.org/officeDocument/2006/relationships/hyperlink" Target="https://store.bblcdn.com/s1/default/58b85d0f3db94878854a28fdb8a0006e/Bambu_PLA_Basic_Technical_Data_Sheet.pdf" TargetMode="External" /><ns0:Relationship Id="rIdRepositoryLink20" Type="http://schemas.openxmlformats.org/officeDocument/2006/relationships/hyperlink" Target="https://cdn.shopify.com/s/files/1/0584/7236/6216/files/Bambu_PLA_Basic_Gradient_Technical_Data_Sheet.pdf" TargetMode="External" /><ns0:Relationship Id="rIdRepositoryLink21" Type="http://schemas.openxmlformats.org/officeDocument/2006/relationships/hyperlink" Target="https://store.bblcdn.com/8f0b6b2741e3498689c2c7706374c482.pdf" TargetMode="External" /><ns0:Relationship Id="rIdRepositoryLink22" Type="http://schemas.openxmlformats.org/officeDocument/2006/relationships/hyperlink" Target="https://store.bblcdn.com/cd34cf072d14484bbf027290d16abe9b.pdf" TargetMode="External" /><ns0:Relationship Id="rIdRepositoryLink23" Type="http://schemas.openxmlformats.org/officeDocument/2006/relationships/hyperlink" Target="https://store.bblcdn.com/b81e083c7d1f4e2182ef749d48f9ec86.pdf" TargetMode="External" /><ns0:Relationship Id="rIdRepositoryLink24" Type="http://schemas.openxmlformats.org/officeDocument/2006/relationships/hyperlink" Target="https://store.bblcdn.com/s7/default/5b061f2feeac4ba88f355a33248bbda7/Bambu_PLA_Matte_Technical_Data_Sheet.pdf" TargetMode="External" /><ns0:Relationship Id="rIdRepositoryLink25" Type="http://schemas.openxmlformats.org/officeDocument/2006/relationships/hyperlink" Target="https://store.bblcdn.com/c6c28a13ba294c6f9fe62755ec9188fa.pdf" TargetMode="External" /><ns0:Relationship Id="rIdRepositoryLink26" Type="http://schemas.openxmlformats.org/officeDocument/2006/relationships/hyperlink" Target="https://cdn.shopify.com/s/files/1/0584/7236/6216/files/Bambu_PLA_Silk_Dual_Color_Technical_Data_Sheet.pdf" TargetMode="External" /><ns0:Relationship Id="rIdRepositoryLink27" Type="http://schemas.openxmlformats.org/officeDocument/2006/relationships/hyperlink" Target="https://cdn.shopify.com/s/files/1/0584/7236/6216/files/Bambu_PLA_Silk__Technical_Data_Sheet.pdf?v=1733472353" TargetMode="External" /><ns0:Relationship Id="rIdRepositoryLink28" Type="http://schemas.openxmlformats.org/officeDocument/2006/relationships/hyperlink" Target="https://store.bblcdn.com/169532c9ce4d4610a9e85d92c0222bb9.pdf" TargetMode="External" /><ns0:Relationship Id="rIdRepositoryLink29" Type="http://schemas.openxmlformats.org/officeDocument/2006/relationships/hyperlink" Target="https://store.bblcdn.com/s7/default/80a85371db2e40bda97069d283fed76c/BambuPLA_Tough_TechnicalData_Sheet_(2).pdf" TargetMode="External" /><ns0:Relationship Id="rIdRepositoryLink30" Type="http://schemas.openxmlformats.org/officeDocument/2006/relationships/hyperlink" Target="https://store.bblcdn.com/s7/default/729a8bf233e9474db25c8d5be1e64a00/Bambu_PLA_Translucent_Technical_Data_Sheet.pdf" TargetMode="External" /><ns0:Relationship Id="rIdRepositoryLink31" Type="http://schemas.openxmlformats.org/officeDocument/2006/relationships/hyperlink" Target="https://store.bblcdn.com/s4/default/6fda0ae88e5a4e66bb5d58f2968eee42/Bambus_PLA_Wood_Technical_Data_Sheet.pdf" TargetMode="External" /><ns0:Relationship Id="rIdRepositoryLink32" Type="http://schemas.openxmlformats.org/officeDocument/2006/relationships/hyperlink" Target="https://store.bblcdn.com/842f399d4e274507953a5231126ec8c1.pdf" TargetMode="External" /><ns0:Relationship Id="rIdRepositoryLink33" Type="http://schemas.openxmlformats.org/officeDocument/2006/relationships/hyperlink" Target="https://store.bblcdn.com/05b0e4ca5ee14a4cb378cfa48df24f91.pdf" TargetMode="External" /><ns0:Relationship Id="rIdRepositoryLink34" Type="http://schemas.openxmlformats.org/officeDocument/2006/relationships/hyperlink" Target="https://store.bblcdn.com/26f4f40359484040a8660c9150a90fc0.pdf" TargetMode="External" /><ns0:Relationship Id="rIdRepositoryLink35" Type="http://schemas.openxmlformats.org/officeDocument/2006/relationships/hyperlink" Target="https://store.bblcdn.com/s7/default/868930e5a44944258586caa250cc8143/Bambu_PVA_Technical_Data_Sheet.pdf" TargetMode="External" /><ns0:Relationship Id="rIdRepositoryLink36" Type="http://schemas.openxmlformats.org/officeDocument/2006/relationships/hyperlink" Target="https://store.bblcdn.com/4ea7b59ca78c485f828115735ed35050.pdf" TargetMode="External" /><ns0:Relationship Id="rIdRepositoryLink37" Type="http://schemas.openxmlformats.org/officeDocument/2006/relationships/hyperlink" Target="https://store.bblcdn.com/7e83189be1eb4a3dab8ce9b9a7b2065a.pdf" TargetMode="External" /><ns0:Relationship Id="rIdRepositoryLink38" Type="http://schemas.openxmlformats.org/officeDocument/2006/relationships/hyperlink" Target="https://store.bblcdn.com/s2/default/200ef29f5cd04b20ba6c2c86f0cc3ec0/Bambus_Support_for_PLA_Technical_Data_Sheet.pdf" TargetMode="External" /><ns0:Relationship Id="rIdRepositoryLink39" Type="http://schemas.openxmlformats.org/officeDocument/2006/relationships/hyperlink" Target="https://store.bblcdn.com/d09d55778d42495db121e28a3b04a4c5.pdf" TargetMode="External" /><ns0:Relationship Id="rIdRepositoryLink40" Type="http://schemas.openxmlformats.org/officeDocument/2006/relationships/hyperlink" Target="https://cdn.shopify.com/s/files/1/0645/5876/0155/files/Bambu_TPU_85A_Technical_Data_Sheet_a7233668-497b-487f-af8a-3adb49fafaa1.pdf?v=1741314674" TargetMode="External" /><ns0:Relationship Id="rIdRepositoryLink41" Type="http://schemas.openxmlformats.org/officeDocument/2006/relationships/hyperlink" Target="https://cdn.shopify.com/s/files/1/0645/5876/0155/files/Bambu_TPU_90A_Technical_Data_Sheet_582bf8f6-1f0a-474c-aeda-9e72af3689dc.pdf?v=1741314674" TargetMode="External" /><ns0:Relationship Id="rIdRepositoryLink42" Type="http://schemas.openxmlformats.org/officeDocument/2006/relationships/hyperlink" Target="https://store.bblcdn.com/58df32731eab4c90a7dac9b12e13ba88.pdf" TargetMode="External" /><ns0:Relationship Id="rIdRepositoryLink43" Type="http://schemas.openxmlformats.org/officeDocument/2006/relationships/hyperlink" Target="https://store.bblcdn.com/s5/default/0a98353dce6d486ca848b21d2b19a207.pdf" TargetMode="External" /><ns0:Relationship Id="rIdRepositoryLink44" Type="http://schemas.openxmlformats.org/officeDocument/2006/relationships/hyperlink" Target="https://ca.store.bambulab.com/products/abs-filament" TargetMode="External" /><ns0:Relationship Id="rIdRepositoryLink45" Type="http://schemas.openxmlformats.org/officeDocument/2006/relationships/hyperlink" Target="https://ca.store.bambulab.com/products/abs-gf" TargetMode="External" /><ns0:Relationship Id="rIdRepositoryLink46" Type="http://schemas.openxmlformats.org/officeDocument/2006/relationships/hyperlink" Target="https://ca.store.bambulab.com/products/asa-aero" TargetMode="External" /><ns0:Relationship Id="rIdRepositoryLink47" Type="http://schemas.openxmlformats.org/officeDocument/2006/relationships/hyperlink" Target="https://ca.store.bambulab.com/products/asa-filament" TargetMode="External" /><ns0:Relationship Id="rIdRepositoryLink48" Type="http://schemas.openxmlformats.org/officeDocument/2006/relationships/hyperlink" Target="https://ca.store.bambulab.com/products/asa-cf" TargetMode="External" /><ns0:Relationship Id="rIdRepositoryLink49" Type="http://schemas.openxmlformats.org/officeDocument/2006/relationships/hyperlink" Target="https://ca.store.bambulab.com/products/pla-silk-upgrade" TargetMode="External" /><ns0:Relationship Id="rIdRepositoryLink50" Type="http://schemas.openxmlformats.org/officeDocument/2006/relationships/hyperlink" Target="https://cdn1.bambulab.com/filament/filament-guide/250123/filament-guide-en.pdf" TargetMode="External" /><ns0:Relationship Id="rIdRepositoryLink51" Type="http://schemas.openxmlformats.org/officeDocument/2006/relationships/hyperlink" Target="https://cdn1.bambulab.com/filament/filament-guide/wksdyyzd8n9/filament-guide-en.pdf" TargetMode="External" /><ns0:Relationship Id="rIdRepositoryLink52" Type="http://schemas.openxmlformats.org/officeDocument/2006/relationships/hyperlink" Target="https://ca.store.bambulab.com/products/pet-cf" TargetMode="External" /><ns0:Relationship Id="rIdRepositoryLink53" Type="http://schemas.openxmlformats.org/officeDocument/2006/relationships/hyperlink" Target="https://ca.store.bambulab.com/products/pps-cf" TargetMode="External" /><ns0:Relationship Id="rIdRepositoryLink54" Type="http://schemas.openxmlformats.org/officeDocument/2006/relationships/hyperlink" Target="https://ca.store.bambulab.com/products/pa6-cf" TargetMode="External" /><ns0:Relationship Id="rIdRepositoryLink55" Type="http://schemas.openxmlformats.org/officeDocument/2006/relationships/hyperlink" Target="https://ca.store.bambulab.com/products/pa6-gf" TargetMode="External" /><ns0:Relationship Id="rIdRepositoryLink56" Type="http://schemas.openxmlformats.org/officeDocument/2006/relationships/hyperlink" Target="https://ca.store.bambulab.com/products/paht-cf" TargetMode="External" /><ns0:Relationship Id="rIdRepositoryLink57" Type="http://schemas.openxmlformats.org/officeDocument/2006/relationships/hyperlink" Target="https://ca.store.bambulab.com/products/pc-fr" TargetMode="External" /><ns0:Relationship Id="rIdRepositoryLink58" Type="http://schemas.openxmlformats.org/officeDocument/2006/relationships/hyperlink" Target="https://ca.store.bambulab.com/products/pc-filament" TargetMode="External" /><ns0:Relationship Id="rIdRepositoryLink59" Type="http://schemas.openxmlformats.org/officeDocument/2006/relationships/hyperlink" Target="https://ca.store.bambulab.com/products/petg-basic" TargetMode="External" /><ns0:Relationship Id="rIdRepositoryLink60" Type="http://schemas.openxmlformats.org/officeDocument/2006/relationships/hyperlink" Target="https://ca.store.bambulab.com/products/petg-hf" TargetMode="External" /><ns0:Relationship Id="rIdRepositoryLink61" Type="http://schemas.openxmlformats.org/officeDocument/2006/relationships/hyperlink" Target="https://ca.store.bambulab.com/products/petg-translucent" TargetMode="External" /><ns0:Relationship Id="rIdRepositoryLink62" Type="http://schemas.openxmlformats.org/officeDocument/2006/relationships/hyperlink" Target="https://ca.store.bambulab.com/products/petg-cf" TargetMode="External" /><ns0:Relationship Id="rIdRepositoryLink63" Type="http://schemas.openxmlformats.org/officeDocument/2006/relationships/hyperlink" Target="https://ca.store.bambulab.com/products/pla-aero" TargetMode="External" /><ns0:Relationship Id="rIdRepositoryLink64" Type="http://schemas.openxmlformats.org/officeDocument/2006/relationships/hyperlink" Target="https://ca.store.bambulab.com/products/pla-basic-gradient" TargetMode="External" /><ns0:Relationship Id="rIdRepositoryLink65" Type="http://schemas.openxmlformats.org/officeDocument/2006/relationships/hyperlink" Target="https://ca.store.bambulab.com/products/pla-basic-filament" TargetMode="External" /><ns0:Relationship Id="rIdRepositoryLink66" Type="http://schemas.openxmlformats.org/officeDocument/2006/relationships/hyperlink" Target="https://ca.store.bambulab.com/products/pla-galaxy" TargetMode="External" /><ns0:Relationship Id="rIdRepositoryLink67" Type="http://schemas.openxmlformats.org/officeDocument/2006/relationships/hyperlink" Target="https://ca.store.bambulab.com/products/pla-glow" TargetMode="External" /><ns0:Relationship Id="rIdRepositoryLink68" Type="http://schemas.openxmlformats.org/officeDocument/2006/relationships/hyperlink" Target="https://ca.store.bambulab.com/products/pla-marble" TargetMode="External" /><ns0:Relationship Id="rIdRepositoryLink69" Type="http://schemas.openxmlformats.org/officeDocument/2006/relationships/hyperlink" Target="https://ca.store.bambulab.com/products/pla-matte" TargetMode="External" /><ns0:Relationship Id="rIdRepositoryLink70" Type="http://schemas.openxmlformats.org/officeDocument/2006/relationships/hyperlink" Target="https://ca.store.bambulab.com/products/pla-metal" TargetMode="External" /><ns0:Relationship Id="rIdRepositoryLink71" Type="http://schemas.openxmlformats.org/officeDocument/2006/relationships/hyperlink" Target="https://ca.store.bambulab.com/products/pla-silk-multi-color" TargetMode="External" /><ns0:Relationship Id="rIdRepositoryLink72" Type="http://schemas.openxmlformats.org/officeDocument/2006/relationships/hyperlink" Target="https://ca.store.bambulab.com/products/pla-sparkle" TargetMode="External" /><ns0:Relationship Id="rIdRepositoryLink73" Type="http://schemas.openxmlformats.org/officeDocument/2006/relationships/hyperlink" Target="https://ca.store.bambulab.com/products/pla-tough-upgrade" TargetMode="External" /><ns0:Relationship Id="rIdRepositoryLink74" Type="http://schemas.openxmlformats.org/officeDocument/2006/relationships/hyperlink" Target="https://ca.store.bambulab.com/products/pla-translucent" TargetMode="External" /><ns0:Relationship Id="rIdRepositoryLink75" Type="http://schemas.openxmlformats.org/officeDocument/2006/relationships/hyperlink" Target="https://ca.store.bambulab.com/products/pla-wood" TargetMode="External" /><ns0:Relationship Id="rIdRepositoryLink76" Type="http://schemas.openxmlformats.org/officeDocument/2006/relationships/hyperlink" Target="https://ca.store.bambulab.com/products/pla-cf" TargetMode="External" /><ns0:Relationship Id="rIdRepositoryLink77" Type="http://schemas.openxmlformats.org/officeDocument/2006/relationships/hyperlink" Target="https://ca.store.bambulab.com/products/ppa-cf" TargetMode="External" /><ns0:Relationship Id="rIdRepositoryLink78" Type="http://schemas.openxmlformats.org/officeDocument/2006/relationships/hyperlink" Target="https://ca.store.bambulab.com/products/pva" TargetMode="External" /><ns0:Relationship Id="rIdRepositoryLink79" Type="http://schemas.openxmlformats.org/officeDocument/2006/relationships/hyperlink" Target="https://ca.store.bambulab.com/products/support-for-abs" TargetMode="External" /><ns0:Relationship Id="rIdRepositoryLink80" Type="http://schemas.openxmlformats.org/officeDocument/2006/relationships/hyperlink" Target="https://ca.store.bambulab.com/products/support-for-pa-pet" TargetMode="External" /><ns0:Relationship Id="rIdRepositoryLink81" Type="http://schemas.openxmlformats.org/officeDocument/2006/relationships/hyperlink" Target="https://bambu-lab-jp.myshopify.com/en/products/support-for-pla-new" TargetMode="External" /><ns0:Relationship Id="rIdRepositoryLink82" Type="http://schemas.openxmlformats.org/officeDocument/2006/relationships/hyperlink" Target="https://ca.store.bambulab.com/products/support-for-pla-petg" TargetMode="External" /><ns0:Relationship Id="rIdRepositoryLink83" Type="http://schemas.openxmlformats.org/officeDocument/2006/relationships/hyperlink" Target="https://ca.store.bambulab.com/products/tpu-85a-tpu-90a" TargetMode="External" /><ns0:Relationship Id="rIdRepositoryLink84" Type="http://schemas.openxmlformats.org/officeDocument/2006/relationships/hyperlink" Target="https://ca.store.bambulab.com/products/tpu-95a-hf" TargetMode="External" /><ns0:Relationship Id="rIdRepositoryLink85" Type="http://schemas.openxmlformats.org/officeDocument/2006/relationships/hyperlink" Target="https://ca.store.bambulab.com/products/tpu-for-ams" TargetMode="External" /><ns0:Relationship Id="rIdRepositoryLink86" Type="http://schemas.openxmlformats.org/officeDocument/2006/relationships/hyperlink" Target="https://bambulab.com/en/h2c/specs" TargetMode="External" /><ns0:Relationship Id="rIdRepositoryLink87" Type="http://schemas.openxmlformats.org/officeDocument/2006/relationships/hyperlink" Target="https://csm.bblcdn.com/hub/eff78da43720461787dc8bbe5fa0372d.pdf" TargetMode="External" /><ns0:Relationship Id="rIdRepositoryLink88" Type="http://schemas.openxmlformats.org/officeDocument/2006/relationships/hyperlink" Target="https://wiki.bambulab.com/en/h2c/h2c-filament-printing-guide" TargetMode="External" /><ns0:Relationship Id="rIdRepositoryLink89" Type="http://schemas.openxmlformats.org/officeDocument/2006/relationships/hyperlink" Target="https://ca.store.bambulab.com/collections/bambu-lab-3d-printer-filament" TargetMode="External" /><ns0:Relationship Id="rIdRepositoryLink90" Type="http://schemas.openxmlformats.org/officeDocument/2006/relationships/hyperlink" Target="https://cdn.shopify.com/s/files/1/0625/4185/6821/files/3DXMAX_HIPS_TDS_v3.pdf?v=1723942764" TargetMode="External" /><ns0:Relationship Id="rIdRepositoryLink91" Type="http://schemas.openxmlformats.org/officeDocument/2006/relationships/hyperlink" Target="https://cdn.shopify.com/s/files/1/0625/4185/6821/files/3DXMAX_PCABS_TDS_v3.pdf?v=1723942764" TargetMode="External" /><ns0:Relationship Id="rIdRepositoryLink92" Type="http://schemas.openxmlformats.org/officeDocument/2006/relationships/hyperlink" Target="https://cdn.shopify.com/s/files/1/0625/4185/6821/files/3DXPRO_LG_PETG_TDS_v3.pdf?v=1723942764" TargetMode="External" /><ns0:Relationship Id="rIdRepositoryLink93" Type="http://schemas.openxmlformats.org/officeDocument/2006/relationships/hyperlink" Target="https://cdn.shopify.com/s/files/1/0625/4185/6821/files/3DXSTAT_ESD_ABS_TDS_v3.pdf?v=1723942764" TargetMode="External" /><ns0:Relationship Id="rIdRepositoryLink94" Type="http://schemas.openxmlformats.org/officeDocument/2006/relationships/hyperlink" Target="https://cdn.shopify.com/s/files/1/0625/4185/6821/files/3DXSTAT_ESD-PETG-TDS-v03.pdf?v=1723942764" TargetMode="External" /><ns0:Relationship Id="rIdRepositoryLink95" Type="http://schemas.openxmlformats.org/officeDocument/2006/relationships/hyperlink" Target="https://cdn.shopify.com/s/files/1/0625/4185/6821/files/3DXSTAT_ESD_PA12_TDS_v1.pdf?v=1723942768" TargetMode="External" /><ns0:Relationship Id="rIdRepositoryLink96" Type="http://schemas.openxmlformats.org/officeDocument/2006/relationships/hyperlink" Target="https://cdn.shopify.com/s/files/1/0625/4185/6821/files/AMIDEX_Nylon_GF30_TDS_v1.pdf?v=1723942764" TargetMode="External" /><ns0:Relationship Id="rIdRepositoryLink97" Type="http://schemas.openxmlformats.org/officeDocument/2006/relationships/hyperlink" Target="https://cdn.shopify.com/s/files/1/0625/4185/6821/files/CarbonX_CF_ABS_TDS_v3.pdf?v=1723942765" TargetMode="External" /><ns0:Relationship Id="rIdRepositoryLink98" Type="http://schemas.openxmlformats.org/officeDocument/2006/relationships/hyperlink" Target="https://cdn.shopify.com/s/files/1/0625/4185/6821/files/CarbonX_CF_PC_TDSv3.pdf?v=1723942764" TargetMode="External" /><ns0:Relationship Id="rIdRepositoryLink99" Type="http://schemas.openxmlformats.org/officeDocument/2006/relationships/hyperlink" Target="https://cdn.shopify.com/s/files/1/0625/4185/6821/files/CarbonX_CF_PA12_TDS_v1.pdf?v=1723942768" TargetMode="External" /><ns0:Relationship Id="rIdRepositoryLink100" Type="http://schemas.openxmlformats.org/officeDocument/2006/relationships/hyperlink" Target="https://cdn.shopify.com/s/files/1/0625/4185/6821/files/ECOMAX_PLA_TDS_v3.pdf?v=1723942765" TargetMode="External" /><ns0:Relationship Id="rIdRepositoryLink101" Type="http://schemas.openxmlformats.org/officeDocument/2006/relationships/hyperlink" Target="https://cdn.shopify.com/s/files/1/0625/4185/6821/files/FLUORX_PVDF_TDS_v3.pdf?v=1723942766" TargetMode="External" /><ns0:Relationship Id="rIdRepositoryLink102" Type="http://schemas.openxmlformats.org/officeDocument/2006/relationships/hyperlink" Target="https://cdn.shopify.com/s/files/1/0625/4185/6821/files/FIBREX_PA12_GF30_TDS_v1.0.pdf?v=1723942768" TargetMode="External" /><ns0:Relationship Id="rIdRepositoryLink103" Type="http://schemas.openxmlformats.org/officeDocument/2006/relationships/hyperlink" Target="https://cdn.shopify.com/s/files/1/0625/4185/6821/files/THERMAX_PEI_1010_TDS_v4.pdf?v=1723942766" TargetMode="External" /><ns0:Relationship Id="rIdRepositoryLink104" Type="http://schemas.openxmlformats.org/officeDocument/2006/relationships/hyperlink" Target="https://cdn.shopify.com/s/files/1/0625/4185/6821/files/THERMAX_PES_TDS_v1.0.pdf?v=1739974182" TargetMode="External" /><ns0:Relationship Id="rIdRepositoryLink105" Type="http://schemas.openxmlformats.org/officeDocument/2006/relationships/hyperlink" Target="https://cdn.shopify.com/s/files/1/0625/4185/6821/files/THERMAX_PPS_TDS_v3.pdf?v=1723942766" TargetMode="External" /><ns0:Relationship Id="rIdRepositoryLink106" Type="http://schemas.openxmlformats.org/officeDocument/2006/relationships/hyperlink" Target="https://cdn.shopify.com/s/files/1/0625/4185/6821/files/THERMAX_PPSU_TDS_v3.pdf?v=1723942766" TargetMode="External" /><ns0:Relationship Id="rIdRepositoryLink107" Type="http://schemas.openxmlformats.org/officeDocument/2006/relationships/hyperlink" Target="https://cdn.shopify.com/s/files/1/0625/4185/6821/files/THERMAX_PSU_TDS_v3.pdf?v=1723942766" TargetMode="External" /><ns0:Relationship Id="rIdRepositoryLink108" Type="http://schemas.openxmlformats.org/officeDocument/2006/relationships/hyperlink" Target="https://cdn.shopify.com/s/files/1/0625/4185/6821/files/AMIDEX_PA6_Copolymer_v1.0.pdf?v=1723942767" TargetMode="External" /><ns0:Relationship Id="rIdRepositoryLink109" Type="http://schemas.openxmlformats.org/officeDocument/2006/relationships/hyperlink" Target="https://cdn.shopify.com/s/files/1/0625/4185/6821/files/CarbonX_CF_ASA_TDS_v1.pdf" TargetMode="External" /><ns0:Relationship Id="rIdRepositoryLink110" Type="http://schemas.openxmlformats.org/officeDocument/2006/relationships/hyperlink" Target="https://cdn.shopify.com/s/files/1/0625/4185/6821/files/CarbonX_CF_PP_TDSv1.pdf?v=1723942768" TargetMode="External" /><ns0:Relationship Id="rIdRepositoryLink111" Type="http://schemas.openxmlformats.org/officeDocument/2006/relationships/hyperlink" Target="https://cdn.shopify.com/s/files/1/0625/4185/6821/files/FIBREX_GF_PP_TDS_v1.pdf?v=1723942768" TargetMode="External" /><ns0:Relationship Id="rIdRepositoryLink112" Type="http://schemas.openxmlformats.org/officeDocument/2006/relationships/hyperlink" Target="https://cdn.shopify.com/s/files/1/0625/4185/6821/files/Hyperlite_PP_TDS_v1.pdf?v=1723942768" TargetMode="External" /><ns0:Relationship Id="rIdRepositoryLink113" Type="http://schemas.openxmlformats.org/officeDocument/2006/relationships/hyperlink" Target="https://cdn.shopify.com/s/files/1/0625/4185/6821/files/MAXG_PCTG_TDS_v1.0.pdf?v=1723942769" TargetMode="External" /><ns0:Relationship Id="rIdRepositoryLink114" Type="http://schemas.openxmlformats.org/officeDocument/2006/relationships/hyperlink" Target="https://cdn.shopify.com/s/files/1/0625/4185/6821/files/Thermax_PEKK-A_TDS_v2.1.pdf?v=1723942767" TargetMode="External" /><ns0:Relationship Id="rIdRepositoryLink115" Type="http://schemas.openxmlformats.org/officeDocument/2006/relationships/hyperlink" Target="https://cdn.shopify.com/s/files/1/0625/4185/6821/files/Thermax_PEKK-C_TDS_v3.3.pdf?v=1723942768" TargetMode="External" /><ns0:Relationship Id="rIdRepositoryLink116" Type="http://schemas.openxmlformats.org/officeDocument/2006/relationships/hyperlink" Target="https://cdn.shopify.com/s/files/1/0625/4185/6821/files/Themax_PEEK_TDS_v3.pdf?v=1723942765" TargetMode="External" /><ns0:Relationship Id="rIdRepositoryLink117" Type="http://schemas.openxmlformats.org/officeDocument/2006/relationships/hyperlink" Target="https://cdn.shopify.com/s/files/1/0625/4185/6821/files/CarbonX_CF_ASA_SDS_v1.1.pdf" TargetMode="External" /><ns0:Relationship Id="rIdRepositoryLink118" Type="http://schemas.openxmlformats.org/officeDocument/2006/relationships/hyperlink" Target="https://www.3dxtech.com/products/3dxmaxa-r-pc-abs" TargetMode="External" /><ns0:Relationship Id="rIdRepositoryLink119" Type="http://schemas.openxmlformats.org/officeDocument/2006/relationships/hyperlink" Target="https://www.3dxtech.com/products/3dxmax-hips" TargetMode="External" /><ns0:Relationship Id="rIdRepositoryLink120" Type="http://schemas.openxmlformats.org/officeDocument/2006/relationships/hyperlink" Target="https://www.3dxtech.com/products/3dxstat-esd-abs-1" TargetMode="External" /><ns0:Relationship Id="rIdRepositoryLink121" Type="http://schemas.openxmlformats.org/officeDocument/2006/relationships/hyperlink" Target="https://www.3dxtech.com/products/3dxstat-esd-petg-1" TargetMode="External" /><ns0:Relationship Id="rIdRepositoryLink122" Type="http://schemas.openxmlformats.org/officeDocument/2006/relationships/hyperlink" Target="https://www.3dxtech.com/products/amidex%E2%84%A2-nylon-12" TargetMode="External" /><ns0:Relationship Id="rIdRepositoryLink123" Type="http://schemas.openxmlformats.org/officeDocument/2006/relationships/hyperlink" Target="https://www.3dxtech.com/products/amidex-nylon-6-67" TargetMode="External" /><ns0:Relationship Id="rIdRepositoryLink124" Type="http://schemas.openxmlformats.org/officeDocument/2006/relationships/hyperlink" Target="https://www.3dxtech.com/products/carbonx-abs-cf-1" TargetMode="External" /><ns0:Relationship Id="rIdRepositoryLink125" Type="http://schemas.openxmlformats.org/officeDocument/2006/relationships/hyperlink" Target="https://www.3dxtech.com/products/carbonx-nylon-12-cf-1" TargetMode="External" /><ns0:Relationship Id="rIdRepositoryLink126" Type="http://schemas.openxmlformats.org/officeDocument/2006/relationships/hyperlink" Target="https://www.3dxtech.com/products/carbonx-pc-cf-1" TargetMode="External" /><ns0:Relationship Id="rIdRepositoryLink127" Type="http://schemas.openxmlformats.org/officeDocument/2006/relationships/hyperlink" Target="https://www.3dxtech.com/products/carbonx-pp-cf-1" TargetMode="External" /><ns0:Relationship Id="rIdRepositoryLink128" Type="http://schemas.openxmlformats.org/officeDocument/2006/relationships/hyperlink" Target="https://www.3dxtech.com/products/ecomax-r-pla" TargetMode="External" /><ns0:Relationship Id="rIdRepositoryLink129" Type="http://schemas.openxmlformats.org/officeDocument/2006/relationships/hyperlink" Target="https://www.3dxtech.com/products/fibrex-nylon-12-gf30-1" TargetMode="External" /><ns0:Relationship Id="rIdRepositoryLink130" Type="http://schemas.openxmlformats.org/officeDocument/2006/relationships/hyperlink" Target="https://www.3dxtech.com/products/fluorx-pvdf-1" TargetMode="External" /><ns0:Relationship Id="rIdRepositoryLink131" Type="http://schemas.openxmlformats.org/officeDocument/2006/relationships/hyperlink" Target="https://www.3dxtech.com/products/max-g-pctg-1" TargetMode="External" /><ns0:Relationship Id="rIdRepositoryLink132" Type="http://schemas.openxmlformats.org/officeDocument/2006/relationships/hyperlink" Target="https://www.3dxtech.com/products/thermax-peek-1" TargetMode="External" /><ns0:Relationship Id="rIdRepositoryLink133" Type="http://schemas.openxmlformats.org/officeDocument/2006/relationships/hyperlink" Target="https://www.3dxtech.com/products/thermax-pei-1010" TargetMode="External" /><ns0:Relationship Id="rIdRepositoryLink134" Type="http://schemas.openxmlformats.org/officeDocument/2006/relationships/hyperlink" Target="https://www.3dxtech.com/products/pekk-a" TargetMode="External" /><ns0:Relationship Id="rIdRepositoryLink135" Type="http://schemas.openxmlformats.org/officeDocument/2006/relationships/hyperlink" Target="https://www.3dxtech.com/products/thermax-pes-1" TargetMode="External" /><ns0:Relationship Id="rIdRepositoryLink136" Type="http://schemas.openxmlformats.org/officeDocument/2006/relationships/hyperlink" Target="https://www.3dxtech.com/products/thermax-pps" TargetMode="External" /><ns0:Relationship Id="rIdRepositoryLink137" Type="http://schemas.openxmlformats.org/officeDocument/2006/relationships/hyperlink" Target="https://www.3dxtech.com/products/thermax-ppsu-1" TargetMode="External" /><ns0:Relationship Id="rIdRepositoryLink138" Type="http://schemas.openxmlformats.org/officeDocument/2006/relationships/hyperlink" Target="https://www.3dxtech.com/products/thermax-psu-1" TargetMode="External" /><ns0:Relationship Id="rIdRepositoryLink139" Type="http://schemas.openxmlformats.org/officeDocument/2006/relationships/hyperlink" Target="https://polymaker.com/wp-content/uploads/lana-downloads/TDS_FIBERON-PET-CF17_V1.0_EN.pdf" TargetMode="External" /><ns0:Relationship Id="rIdRepositoryLink140" Type="http://schemas.openxmlformats.org/officeDocument/2006/relationships/hyperlink" Target="https://fiberon.polymaker.com/wp-content/uploads/TDS_FIBERON-PET-GF15_V1.0_EN.pdf" TargetMode="External" /><ns0:Relationship Id="rIdRepositoryLink141" Type="http://schemas.openxmlformats.org/officeDocument/2006/relationships/hyperlink" Target="https://polymaker.com/wp-content/uploads/lana-downloads/TDS_FIBERON-PETG-rCF08_V1.0_EN.pdf" TargetMode="External" /><ns0:Relationship Id="rIdRepositoryLink142" Type="http://schemas.openxmlformats.org/officeDocument/2006/relationships/hyperlink" Target="https://fiberon.polymaker.com/wp-content/uploads/TDS_FIBERON-PA612-CF15_V1.1_EN.pdf" TargetMode="External" /><ns0:Relationship Id="rIdRepositoryLink143" Type="http://schemas.openxmlformats.org/officeDocument/2006/relationships/hyperlink" Target="https://cdn.polymaker.com.cn/wp-content/uploads/lana-downloads/TDS_FIBERON-PA612-ESD_V1.0_EN-1.pdf" TargetMode="External" /><ns0:Relationship Id="rIdRepositoryLink144" Type="http://schemas.openxmlformats.org/officeDocument/2006/relationships/hyperlink" Target="https://cdn.shopify.com/s/files/1/0548/7299/7945/files/TDS_FIBERON_PPS-GF20_V1.1.pdf?v=1752777698" TargetMode="External" /><ns0:Relationship Id="rIdRepositoryLink145" Type="http://schemas.openxmlformats.org/officeDocument/2006/relationships/hyperlink" Target="https://wiki.polymaker.com/polymaker-products/more-about-our-products/documents/technical-data-sheets/pla/ht-pla-gf" TargetMode="External" /><ns0:Relationship Id="rIdRepositoryLink146" Type="http://schemas.openxmlformats.org/officeDocument/2006/relationships/hyperlink" Target="https://polymaker.com/wp-content/uploads/lana-downloads/Panchroma-CoPE_TDS_EN_V5.4.pdf" TargetMode="External" /><ns0:Relationship Id="rIdRepositoryLink147" Type="http://schemas.openxmlformats.org/officeDocument/2006/relationships/hyperlink" Target="https://polymaker.com/wp-content/uploads/Panchroma_TDS_V2.1.pdf" TargetMode="External" /><ns0:Relationship Id="rIdRepositoryLink148" Type="http://schemas.openxmlformats.org/officeDocument/2006/relationships/hyperlink" Target="https://cdn.polymaker.com.cn/wp-content/uploads/lana-downloads/PolyFlex_TPU90_TDS_V5.1.pdf" TargetMode="External" /><ns0:Relationship Id="rIdRepositoryLink149" Type="http://schemas.openxmlformats.org/officeDocument/2006/relationships/hyperlink" Target="https://cdn.polymaker.com.cn/wp-content/uploads/lana-downloads/PolyFlex_TPU95_TDS_V5.1.pdf" TargetMode="External" /><ns0:Relationship Id="rIdRepositoryLink150" Type="http://schemas.openxmlformats.org/officeDocument/2006/relationships/hyperlink" Target="https://cdn.polymaker.com.cn/wp-content/uploads/lana-downloads/PolyLite_ABS_TDS_V5.3.pdf" TargetMode="External" /><ns0:Relationship Id="rIdRepositoryLink151" Type="http://schemas.openxmlformats.org/officeDocument/2006/relationships/hyperlink" Target="https://cdn.polymaker.com.cn/wp-content/uploads/lana-downloads/PolyLite_ASA_TDS_V5.3.pdf" TargetMode="External" /><ns0:Relationship Id="rIdRepositoryLink152" Type="http://schemas.openxmlformats.org/officeDocument/2006/relationships/hyperlink" Target="https://cdn.polymaker.com.cn/wp-content/uploads/lana-downloads/PolyLite_PC_TDS_V5.3.pdf" TargetMode="External" /><ns0:Relationship Id="rIdRepositoryLink153" Type="http://schemas.openxmlformats.org/officeDocument/2006/relationships/hyperlink" Target="https://cdn.polymaker.com.cn/wp-content/uploads/lana-downloads/PolyLite_PETG_TDS_V5.3.pdf" TargetMode="External" /><ns0:Relationship Id="rIdRepositoryLink154" Type="http://schemas.openxmlformats.org/officeDocument/2006/relationships/hyperlink" Target="https://cdn.polymaker.com.cn/wp-content/uploads/lana-downloads/PolyMax_PC_FR_TDS_V5.1.pdf" TargetMode="External" /><ns0:Relationship Id="rIdRepositoryLink155" Type="http://schemas.openxmlformats.org/officeDocument/2006/relationships/hyperlink" Target="https://cdn.polymaker.com.cn/wp-content/uploads/lana-downloads/PolyMax_PETG-ESD_TDS_V5.3.pdf" TargetMode="External" /><ns0:Relationship Id="rIdRepositoryLink156" Type="http://schemas.openxmlformats.org/officeDocument/2006/relationships/hyperlink" Target="https://cdn.polymaker.com.cn/wp-content/uploads/lana-downloads/PolyMide_CoPA_TDS_V5.2.pdf" TargetMode="External" /><ns0:Relationship Id="rIdRepositoryLink157" Type="http://schemas.openxmlformats.org/officeDocument/2006/relationships/hyperlink" Target="https://cdn.polymaker.com.cn/wp-content/uploads/lana-downloads/PolyMide_PA12_CF_TDS_V5.1.1.pdf" TargetMode="External" /><ns0:Relationship Id="rIdRepositoryLink158" Type="http://schemas.openxmlformats.org/officeDocument/2006/relationships/hyperlink" Target="https://cdn.polymaker.com.cn/wp-content/uploads/lana-downloads/PolyMide_PA6_GF_TDS_V5.1.pdf" TargetMode="External" /><ns0:Relationship Id="rIdRepositoryLink159" Type="http://schemas.openxmlformats.org/officeDocument/2006/relationships/hyperlink" Target="https://cdn.shopify.com/s/files/1/0548/7299/7945/files/PolySmooth_TDS_EN_V5.4.pdf?v=1731961910" TargetMode="External" /><ns0:Relationship Id="rIdRepositoryLink160" Type="http://schemas.openxmlformats.org/officeDocument/2006/relationships/hyperlink" Target="https://cdn.polymaker.com.cn/wp-content/uploads/lana-downloads/PolySonic-PLA-EN_V5.3-TDS.pdf" TargetMode="External" /><ns0:Relationship Id="rIdRepositoryLink161" Type="http://schemas.openxmlformats.org/officeDocument/2006/relationships/hyperlink" Target="https://cdn.polymaker.com.cn/wp-content/uploads/lana-downloads/Polymaker_PC_ABS_TDS_V5.1.pdf" TargetMode="External" /><ns0:Relationship Id="rIdRepositoryLink162" Type="http://schemas.openxmlformats.org/officeDocument/2006/relationships/hyperlink" Target="https://cdn.polymaker.com.cn/wp-content/uploads/lana-downloads/Polymaker_PC_PBT_TDS_V5.1.pdf" TargetMode="External" /><ns0:Relationship Id="rIdRepositoryLink163" Type="http://schemas.openxmlformats.org/officeDocument/2006/relationships/hyperlink" Target="https://cdn.polymaker.com.cn/wp-content/uploads/lana-downloads/Polymaker-HT-PLA-GF_TDS_EN_V1.1.pdf" TargetMode="External" /><ns0:Relationship Id="rIdRepositoryLink164" Type="http://schemas.openxmlformats.org/officeDocument/2006/relationships/hyperlink" Target="https://fiberon.polymaker.com/product/pet-gf15/" TargetMode="External" /><ns0:Relationship Id="rIdRepositoryLink165" Type="http://schemas.openxmlformats.org/officeDocument/2006/relationships/hyperlink" Target="https://wiki.polymaker.com/polymaker-products/polymaker-filaments/panchroma-tm/panchroma-tm-cope" TargetMode="External" /><ns0:Relationship Id="rIdRepositoryLink166" Type="http://schemas.openxmlformats.org/officeDocument/2006/relationships/hyperlink" Target="https://shop.polymaker.com/products/silk-pla" TargetMode="External" /><ns0:Relationship Id="rIdRepositoryLink167" Type="http://schemas.openxmlformats.org/officeDocument/2006/relationships/hyperlink" Target="https://www.isanmate.com/wp-content/uploads/2025/08/ASA-Glass-Fiber-Technical-Data-Sheet.pdf" TargetMode="External" /><ns0:Relationship Id="rIdRepositoryLink168" Type="http://schemas.openxmlformats.org/officeDocument/2006/relationships/hyperlink" Target="https://www.isanmate.com/wp-content/uploads/2022/09/CF-ABS_TDS.pdf" TargetMode="External" /><ns0:Relationship Id="rIdRepositoryLink169" Type="http://schemas.openxmlformats.org/officeDocument/2006/relationships/hyperlink" Target="https://www.isanmate.com/wp-content/uploads/2024/09/ESD-ABS_TDS.pdf" TargetMode="External" /><ns0:Relationship Id="rIdRepositoryLink170" Type="http://schemas.openxmlformats.org/officeDocument/2006/relationships/hyperlink" Target="https://www.isanmate.com/wp-content/uploads/2022/09/PEEK_TDS.pdf" TargetMode="External" /><ns0:Relationship Id="rIdRepositoryLink171" Type="http://schemas.openxmlformats.org/officeDocument/2006/relationships/hyperlink" Target="https://www.isanmate.com/wp-content/uploads/2022/09/PEI-9085_TDS.pdf" TargetMode="External" /><ns0:Relationship Id="rIdRepositoryLink172" Type="http://schemas.openxmlformats.org/officeDocument/2006/relationships/hyperlink" Target="https://www.isanmate.com/wp-content/uploads/2025/08/PETG_TDS.pdf" TargetMode="External" /><ns0:Relationship Id="rIdRepositoryLink173" Type="http://schemas.openxmlformats.org/officeDocument/2006/relationships/hyperlink" Target="https://www.isanmate.com/wp-content/uploads/2025/08/PETG-Glass-Fiber-Technical-Data-Sheet.pdf" TargetMode="External" /><ns0:Relationship Id="rIdRepositoryLink174" Type="http://schemas.openxmlformats.org/officeDocument/2006/relationships/hyperlink" Target="https://www.isanmate.com/wp-content/uploads/2022/09/PLA_TDS.pdf" TargetMode="External" /><ns0:Relationship Id="rIdRepositoryLink175" Type="http://schemas.openxmlformats.org/officeDocument/2006/relationships/hyperlink" Target="https://www.isanmate.com/wp-content/uploads/2025/08/PLA-Glass-Fiber-Technical-Data-Sheet.pdf" TargetMode="External" /><ns0:Relationship Id="rIdRepositoryLink176" Type="http://schemas.openxmlformats.org/officeDocument/2006/relationships/hyperlink" Target="https://www.isanmate.com/wp-content/uploads/2025/08/PP_TDS.pdf" TargetMode="External" /><ns0:Relationship Id="rIdRepositoryLink177" Type="http://schemas.openxmlformats.org/officeDocument/2006/relationships/hyperlink" Target="https://www.isanmate.com/wp-content/uploads/2022/09/PPSU_TDS.pdf" TargetMode="External" /><ns0:Relationship Id="rIdRepositoryLink178" Type="http://schemas.openxmlformats.org/officeDocument/2006/relationships/hyperlink" Target="https://www.isanmate.com/wp-content/uploads/2022/09/TPU_TDS.pdf" TargetMode="External" /><ns0:Relationship Id="rIdRepositoryLink179" Type="http://schemas.openxmlformats.org/officeDocument/2006/relationships/hyperlink" Target="https://www.isanmate.com/wp-content/uploads/2024/09/PA6-CF_TDS.pdf" TargetMode="External" /><ns0:Relationship Id="rIdRepositoryLink180" Type="http://schemas.openxmlformats.org/officeDocument/2006/relationships/hyperlink" Target="https://www.isanmate.com/wp-content/uploads/2024/09/PC-CF_TDS.pdf" TargetMode="External" /><ns0:Relationship Id="rIdRepositoryLink181" Type="http://schemas.openxmlformats.org/officeDocument/2006/relationships/hyperlink" Target="https://spectrumfilaments.com/wp-content/uploads/2023/11/en_tds_spectrum_asax_x_gf10.pdf" TargetMode="External" /><ns0:Relationship Id="rIdRepositoryLink182" Type="http://schemas.openxmlformats.org/officeDocument/2006/relationships/hyperlink" Target="https://spectrumfilaments.com/wp-content/uploads/2025/11/en_tds_spectrum_hdpe.pdf" TargetMode="External" /><ns0:Relationship Id="rIdRepositoryLink183" Type="http://schemas.openxmlformats.org/officeDocument/2006/relationships/hyperlink" Target="https://spectrumfilaments.com/wp-content/uploads/2022/05/en_tds_spectrum_hipsx.pdf" TargetMode="External" /><ns0:Relationship Id="rIdRepositoryLink184" Type="http://schemas.openxmlformats.org/officeDocument/2006/relationships/hyperlink" Target="https://spectrumfilaments.com/wp-content/uploads/2024/11/en_tds_spectrum_pa12_cf15.pdf" TargetMode="External" /><ns0:Relationship Id="rIdRepositoryLink185" Type="http://schemas.openxmlformats.org/officeDocument/2006/relationships/hyperlink" Target="https://spectrumfilaments.com/wp-content/uploads/2022/05/en_tds_spectrum_pa6_neat_bk.pdf" TargetMode="External" /><ns0:Relationship Id="rIdRepositoryLink186" Type="http://schemas.openxmlformats.org/officeDocument/2006/relationships/hyperlink" Target="https://spectrumfilaments.com/wp-content/uploads/2024/02/en_tds_spectrum_pc_abs_fr_v0.pdf" TargetMode="External" /><ns0:Relationship Id="rIdRepositoryLink187" Type="http://schemas.openxmlformats.org/officeDocument/2006/relationships/hyperlink" Target="https://spectrumfilaments.com/wp-content/uploads/2024/11/en_tds_spectrum_pc_cf.pdf" TargetMode="External" /><ns0:Relationship Id="rIdRepositoryLink188" Type="http://schemas.openxmlformats.org/officeDocument/2006/relationships/hyperlink" Target="https://spectrumfilaments.com/wp-content/uploads/2022/05/en_tds_spectrum_pctg.pdf" TargetMode="External" /><ns0:Relationship Id="rIdRepositoryLink189" Type="http://schemas.openxmlformats.org/officeDocument/2006/relationships/hyperlink" Target="https://spectrumfilaments.com/wp-content/uploads/2022/10/en_tds_spectrum_pctg_cf10.pdf" TargetMode="External" /><ns0:Relationship Id="rIdRepositoryLink190" Type="http://schemas.openxmlformats.org/officeDocument/2006/relationships/hyperlink" Target="https://spectrumfilaments.com/wp-content/uploads/2025/11/en_tds_spectrum_peba.pdf" TargetMode="External" /><ns0:Relationship Id="rIdRepositoryLink191" Type="http://schemas.openxmlformats.org/officeDocument/2006/relationships/hyperlink" Target="https://spectrumfilaments.com/wp-content/uploads/2025/11/en_tds_spectrum_petg_esd.pdf" TargetMode="External" /><ns0:Relationship Id="rIdRepositoryLink192" Type="http://schemas.openxmlformats.org/officeDocument/2006/relationships/hyperlink" Target="https://spectrumfilaments.com/wp-content/uploads/2022/10/en_tds_spectrum_pps_am230.pdf" TargetMode="External" /><ns0:Relationship Id="rIdRepositoryLink193" Type="http://schemas.openxmlformats.org/officeDocument/2006/relationships/hyperlink" Target="https://siraya.tech/pages/fibreheart-ppa-gf-tds" TargetMode="External" /><ns0:Relationship Id="rIdRepositoryLink194" Type="http://schemas.openxmlformats.org/officeDocument/2006/relationships/hyperlink" Target="https://drive.google.com/file/d/1f2ZP0RORUl6RalvYTG7vaFeEJBrTNoC2/view" TargetMode="External" /><ns0:Relationship Id="rIdRepositoryLink195" Type="http://schemas.openxmlformats.org/officeDocument/2006/relationships/hyperlink" Target="https://drive.google.com/file/d/1GaGVCDdMkTlow4lEnktYVjDoS5o5WAKU/view" TargetMode="External" /><ns0:Relationship Id="rIdRepositoryLink196" Type="http://schemas.openxmlformats.org/officeDocument/2006/relationships/hyperlink" Target="https://drive.google.com/file/d/1PelrzkuSeJ9APBa451_7qJ3t_MMKJH9H/view" TargetMode="External" /><ns0:Relationship Id="rIdRepositoryLink197" Type="http://schemas.openxmlformats.org/officeDocument/2006/relationships/hyperlink" Target="https://drive.google.com/file/d/1BtsXWum9kAZEWi0dbaha2eKUp5DRORhS/view" TargetMode="External" /><ns0:Relationship Id="rIdRepositoryLink198" Type="http://schemas.openxmlformats.org/officeDocument/2006/relationships/hyperlink" Target="https://drive.google.com/file/d/1fmW2wikLsuWH39cW6p6NCg_kPwikk_LV/view" TargetMode="External" /><ns0:Relationship Id="rIdRepositoryLink199" Type="http://schemas.openxmlformats.org/officeDocument/2006/relationships/hyperlink" Target="https://drive.google.com/file/d/1OiaxrW6QL_WKWPO6mBTX9f6EjZyiKBlB/view" TargetMode="External" /><ns0:Relationship Id="rIdRepositoryLink200" Type="http://schemas.openxmlformats.org/officeDocument/2006/relationships/hyperlink" Target="https://drive.google.com/file/d/1GvDXi7KEz8I19IJP71tESdB9vGS48xr_/view" TargetMode="External" /><ns0:Relationship Id="rIdRepositoryLink201" Type="http://schemas.openxmlformats.org/officeDocument/2006/relationships/hyperlink" Target="https://drive.google.com/file/d/1M8Z-Ylnh9c9vY86NZx39tXCFKJoLirlJ/view" TargetMode="External" /><ns0:Relationship Id="rIdRepositoryLink202" Type="http://schemas.openxmlformats.org/officeDocument/2006/relationships/hyperlink" Target="https://forward-am.com/wp-content/uploads/2024/10/Ultrafuse_PAHT_CF15_TDS_EN_v3.5-1.pdf" TargetMode="External" /><ns0:Relationship Id="rIdRepositoryLink203" Type="http://schemas.openxmlformats.org/officeDocument/2006/relationships/hyperlink" Target="https://move.forward-am.com/hubfs/AES%20Documentation/Support%20Filaments/BVOH/TDS/Ultrafuse_BVOH_TDS_EN_v1.3.pdf" TargetMode="External" /><ns0:Relationship Id="rIdRepositoryLink204" Type="http://schemas.openxmlformats.org/officeDocument/2006/relationships/hyperlink" Target="https://www.raise3d.jp/tds_ultrafuse_bvoh.pdf" TargetMode="External" /><ns0:Relationship Id="rIdRepositoryLink205" Type="http://schemas.openxmlformats.org/officeDocument/2006/relationships/hyperlink" Target="https://forward-am.com/wp-content/uploads/2021/12/Ultrafuse_PC_GF30_TDS_EN_v1.2.pdf" TargetMode="External" /><ns0:Relationship Id="rIdRepositoryLink206" Type="http://schemas.openxmlformats.org/officeDocument/2006/relationships/hyperlink" Target="https://move.forward-am.com/hubfs/AES%20Documentation/Flexible%20Filaments/TPC%2045D/TDS/Ultrafuse_TPC_45D_TDS_EN_v2.3.pdf" TargetMode="External" /><ns0:Relationship Id="rIdRepositoryLink207" Type="http://schemas.openxmlformats.org/officeDocument/2006/relationships/hyperlink" Target="https://forward-am.com/material-portfolio/ultrafuse-filaments-for-fused-filaments-fabrication-fff/reinforced-filaments/ultrafuse-pc-gf30/" TargetMode="External" /><ns0:Relationship Id="rIdRepositoryLink208" Type="http://schemas.openxmlformats.org/officeDocument/2006/relationships/hyperlink" Target="https://www.ipconpolymer.com/wp-content/uploads/2026/06/IPCON-ASA-GF_TDS-Technical-Data-Sheet_V1.0.pdf" TargetMode="External" /><ns0:Relationship Id="rIdRepositoryLink209" Type="http://schemas.openxmlformats.org/officeDocument/2006/relationships/hyperlink" Target="https://www.ipconpolymer.com/wp-content/uploads/2025/11/IPCON-PPA_TDS-Technical-Data-Sheet.pdf" TargetMode="External" /><ns0:Relationship Id="rIdRepositoryLink210" Type="http://schemas.openxmlformats.org/officeDocument/2006/relationships/hyperlink" Target="https://www.ipconpolymer.com/wp-content/uploads/2026/03/IPCON-PPA-GF_TDS-Technical-Data-Sheet.pdf" TargetMode="External" /><ns0:Relationship Id="rIdRepositoryLink211" Type="http://schemas.openxmlformats.org/officeDocument/2006/relationships/hyperlink" Target="https://www.ipconpolymer.com/wp-content/uploads/2026/05/IPCON-PPS-GF_TDS-Technical-Data-Sheet-_V2.0.pdf" TargetMode="External" /><ns0:Relationship Id="rIdRepositoryLink212" Type="http://schemas.openxmlformats.org/officeDocument/2006/relationships/hyperlink" Target="https://fillamentum.com/wp-content/uploads/2020/10/TDS_CPE-CF112-Carbon.pdf" TargetMode="External" /><ns0:Relationship Id="rIdRepositoryLink213" Type="http://schemas.openxmlformats.org/officeDocument/2006/relationships/hyperlink" Target="https://fillamentum.com/wp-content/uploads/2020/10/Technical-Data-Sheet_CPE-HG100_03012019.pdf" TargetMode="External" /><ns0:Relationship Id="rIdRepositoryLink214" Type="http://schemas.openxmlformats.org/officeDocument/2006/relationships/hyperlink" Target="https://fillamentum.com/wp-content/uploads/2020/10/TDS_Flexfill-PEBA-90A_EN.pdf" TargetMode="External" /><ns0:Relationship Id="rIdRepositoryLink215" Type="http://schemas.openxmlformats.org/officeDocument/2006/relationships/hyperlink" Target="https://fillamentum.com/wp-content/uploads/2020/10/FI_Printing_Guide_CPE-CF112-Carbon.pdf" TargetMode="External" /><ns0:Relationship Id="rIdRepositoryLink216" Type="http://schemas.openxmlformats.org/officeDocument/2006/relationships/hyperlink" Target="https://fillamentum.com/wp-content/uploads/2021/02/Fillamentum_Printing_Guide_CPE-HG100.pdf" TargetMode="External" /><ns0:Relationship Id="rIdRepositoryLink217" Type="http://schemas.openxmlformats.org/officeDocument/2006/relationships/hyperlink" Target="https://fillamentum.com/collections/cpe-filament/" TargetMode="External" /><ns0:Relationship Id="rIdRepositoryLink218" Type="http://schemas.openxmlformats.org/officeDocument/2006/relationships/hyperlink" Target="https://www.samaro.fr/app/uploads/2026/09/ba38ba38d87e28552202938c4c1cc670d8ef6fea3287_Kimya_PEBA_S_3D_Filament_EN.pdf" TargetMode="External" /><ns0:Relationship Id="rIdRepositoryLink219" Type="http://schemas.openxmlformats.org/officeDocument/2006/relationships/hyperlink" Target="https://f.hubspotusercontent20.net/hubfs/7196278/Datasheets/Kimya/Kimya_TPC-91A_Technical_Data_Sheet.pdf" TargetMode="External" /><ns0:Relationship Id="rIdRepositoryLink220" Type="http://schemas.openxmlformats.org/officeDocument/2006/relationships/hyperlink" Target="https://www.airtech3d.com/filament" TargetMode="External" /><ns0:Relationship Id="rIdRepositoryLink221" Type="http://schemas.openxmlformats.org/officeDocument/2006/relationships/hyperlink" Target="https://www.airtech3d.com/airtech-acquires-kimya-assets-extend-additive-manufacturing-filament-capabilities-and-solutions" TargetMode="External" /><ns0:Relationship Id="rIdRepositoryLink222" Type="http://schemas.openxmlformats.org/officeDocument/2006/relationships/hyperlink" Target="https://www.esun3d.com/media/esun/catalog/certification/product/PEBA-90A/PEBA90A-TDS-en.pdf" TargetMode="External" /><ns0:Relationship Id="rIdRepositoryLink223" Type="http://schemas.openxmlformats.org/officeDocument/2006/relationships/hyperlink" Target="https://www.esun3d.com/media/esun/catalog/certification/product/PLA-Silk/PLA-Silk_TDS_2025.06.19.pdf" TargetMode="External" /><ns0:Relationship Id="rIdRepositoryLink224" Type="http://schemas.openxmlformats.org/officeDocument/2006/relationships/hyperlink" Target="https://www.esun3d.com/epla-lite-product" TargetMode="External" /><ns0:Relationship Id="rIdRepositoryLink225" Type="http://schemas.openxmlformats.org/officeDocument/2006/relationships/hyperlink" Target="https://www.formfutura.com/web/content/256571?download=true" TargetMode="External" /><ns0:Relationship Id="rIdRepositoryLink226" Type="http://schemas.openxmlformats.org/officeDocument/2006/relationships/hyperlink" Target="https://www.formfutura.com/web/content/281451?download=true" TargetMode="External" /><ns0:Relationship Id="rIdRepositoryLink227" Type="http://schemas.openxmlformats.org/officeDocument/2006/relationships/hyperlink" Target="https://www.stratasys.com/siteassets/materials/materials-catalog/fdm-materials/nylon-12/mds_fdm_nylon-12_0921a.pdf" TargetMode="External" /><ns0:Relationship Id="rIdRepositoryLink228" Type="http://schemas.openxmlformats.org/officeDocument/2006/relationships/hyperlink" Target="https://paradigm-3d.com/wp-content/uploads/2024/01/ULTEM-9085-EN-Data-Sheet-FDM-Material.pdf" TargetMode="External" /><ns0:Relationship Id="rIdRepositoryLink229" Type="http://schemas.openxmlformats.org/officeDocument/2006/relationships/hyperlink" Target="https://prusament.com/wp-content/uploads/2022/10/PVB_Prusament_TDS_2021_10_EN.pdf" TargetMode="External" /><ns0:Relationship Id="rIdRepositoryLink230" Type="http://schemas.openxmlformats.org/officeDocument/2006/relationships/hyperlink" Target="https://help.prusa3d.com/article/abs_2058" TargetMode="External" /><ns0:Relationship Id="rIdRepositoryLink231" Type="http://schemas.openxmlformats.org/officeDocument/2006/relationships/hyperlink" Target="https://help.prusa3d.com/article/asa_1809" TargetMode="External" /><ns0:Relationship Id="rIdRepositoryLink232" Type="http://schemas.openxmlformats.org/officeDocument/2006/relationships/hyperlink" Target="https://help.prusa3d.com/article/cpe_166877" TargetMode="External" /><ns0:Relationship Id="rIdRepositoryLink233" Type="http://schemas.openxmlformats.org/officeDocument/2006/relationships/hyperlink" Target="https://help.prusa3d.com/filament-material-guide" TargetMode="External" /><ns0:Relationship Id="rIdRepositoryLink234" Type="http://schemas.openxmlformats.org/officeDocument/2006/relationships/hyperlink" Target="https://help.prusa3d.com/article/flexible-materials_2057" TargetMode="External" /><ns0:Relationship Id="rIdRepositoryLink235" Type="http://schemas.openxmlformats.org/officeDocument/2006/relationships/hyperlink" Target="https://help.prusa3d.com/article/hips_167118" TargetMode="External" /><ns0:Relationship Id="rIdRepositoryLink236" Type="http://schemas.openxmlformats.org/officeDocument/2006/relationships/hyperlink" Target="https://help.prusa3d.com/article/ngen_167174" TargetMode="External" /><ns0:Relationship Id="rIdRepositoryLink237" Type="http://schemas.openxmlformats.org/officeDocument/2006/relationships/hyperlink" Target="https://help.prusa3d.com/article/petg_2059" TargetMode="External" /><ns0:Relationship Id="rIdRepositoryLink238" Type="http://schemas.openxmlformats.org/officeDocument/2006/relationships/hyperlink" Target="https://help.prusa3d.com/article/pla_2062" TargetMode="External" /><ns0:Relationship Id="rIdRepositoryLink239" Type="http://schemas.openxmlformats.org/officeDocument/2006/relationships/hyperlink" Target="https://help.prusa3d.com/article/pvb_196708" TargetMode="External" /><ns0:Relationship Id="rIdRepositoryLink240" Type="http://schemas.openxmlformats.org/officeDocument/2006/relationships/hyperlink" Target="https://help.prusa3d.com/article/polyamide-nylon_167188" TargetMode="External" /><ns0:Relationship Id="rIdRepositoryLink241" Type="http://schemas.openxmlformats.org/officeDocument/2006/relationships/hyperlink" Target="https://help.prusa3d.com/article/polycarbonate-pc_165812" TargetMode="External" /><ns0:Relationship Id="rIdRepositoryLink242" Type="http://schemas.openxmlformats.org/officeDocument/2006/relationships/hyperlink" Target="https://help.prusa3d.com/article/polypropylene-pp_167126" TargetMode="External" /><ns0:Relationship Id="rIdRepositoryLink243" Type="http://schemas.openxmlformats.org/officeDocument/2006/relationships/hyperlink" Target="https://help.prusa3d.com/article/water-soluble-bvoh-pva_167012" TargetMode="External" /><ns0:Relationship Id="rIdRepositoryLink244" Type="http://schemas.openxmlformats.org/officeDocument/2006/relationships/hyperlink" Target="https://after-support.flashforge.jp/uploads/datasheet/tds/ASA_GF_TDS_EN.pdf" TargetMode="External" /><ns0:Relationship Id="rIdRepositoryLink245" Type="http://schemas.openxmlformats.org/officeDocument/2006/relationships/hyperlink" Target="https://www.flashforge.com/products/pet-gf" TargetMode="External" /><ns0:Relationship Id="rIdRepositoryLink246" Type="http://schemas.openxmlformats.org/officeDocument/2006/relationships/hyperlink" Target="https://s1.raise3d.com/2022/04/Raise3D-Industrial-PPA-CF_TDS-V21.pdf" TargetMode="External" /><ns0:Relationship Id="rIdRepositoryLink247" Type="http://schemas.openxmlformats.org/officeDocument/2006/relationships/hyperlink" Target="https://s1.raise3d.com/2023/02/Raise3D-Industrial-PPA-CF_SDS_V1.2.pdf" TargetMode="External" /><ns0:Relationship Id="rIdRepositoryLink248" Type="http://schemas.openxmlformats.org/officeDocument/2006/relationships/hyperlink" Target="https://colorfabb.com/media/datasheets/tds/colorfabb/TDS_E_ColorFabb_nGen.pdf" TargetMode="External" /><ns0:Relationship Id="rIdRepositoryLink249" Type="http://schemas.openxmlformats.org/officeDocument/2006/relationships/hyperlink" Target="https://colorfabb.us/filaments/materials/co-polyester-filaments/ngen" TargetMode="External" /><ns0:Relationship Id="rIdRepositoryLink250" Type="http://schemas.openxmlformats.org/officeDocument/2006/relationships/hyperlink" Target="https://bigrep.com/wp-content/uploads/2023/06/TDS-BigRep-BVOH-web.pdf" TargetMode="External" /><ns0:Relationship Id="rIdRepositoryLink251" Type="http://schemas.openxmlformats.org/officeDocument/2006/relationships/hyperlink" Target="https://www.braskem.com.br/portal/usa/arquivos/3DPrinting/Product-Data-Sheet-FL300PE.pdf" TargetMode="External" /><ns0:Relationship Id="rIdRepositoryLink252" Type="http://schemas.openxmlformats.org/officeDocument/2006/relationships/hyperlink" Target="https://www.matterhackers.com/r/kVK5ym" TargetMode="External" /><ns0:Relationship Id="rIdRepositoryLink253" Type="http://schemas.openxmlformats.org/officeDocument/2006/relationships/hyperlink" Target="https://cdn.shopify.com/s/files/1/0625/4185/6821/files/EVOLV3D_OBC-TDS.pdf?v=1723942766" TargetMode="External" /><ns0:Relationship Id="rIdRepositoryLink254" Type="http://schemas.openxmlformats.org/officeDocument/2006/relationships/hyperlink" Target="https://file.globalso.com/file_manage/3828/20250630/eryone-petg-gf-tds.pdf" TargetMode="External" /><ns0:Relationship Id="rIdRepositoryLink255" Type="http://schemas.openxmlformats.org/officeDocument/2006/relationships/hyperlink" Target="https://nexa3d.com/wp-content/uploads/2024/07/TDS-Essentium-PPS-CF.pdf" TargetMode="External" /><ns0:Relationship Id="rIdRepositoryLink256" Type="http://schemas.openxmlformats.org/officeDocument/2006/relationships/hyperlink" Target="https://filamentworld.de/fact-sheets/Grupa-Azoty_Tarfuse-POM_Datenblatt_EN.pdf" TargetMode="External" /><ns0:Relationship Id="rIdRepositoryLink257" Type="http://schemas.openxmlformats.org/officeDocument/2006/relationships/hyperlink" Target="https://cdn.shopify.com/s/files/1/0685/9168/1815/files/SIDDAMENT_V2_PC-GF_TDS.pdf?v=1779204053" TargetMode="External" /><ns0:Relationship Id="rIdRepositoryLink258" Type="http://schemas.openxmlformats.org/officeDocument/2006/relationships/hyperlink" Target="https://ysfilament.com/u_file/2206/14/file/YOUSUPOMTDS-ae63.pdf" TargetMode="External" /><ns0:Relationship Id="rIdRepositoryLink259" Type="http://schemas.openxmlformats.org/officeDocument/2006/relationships/hyperlink" Target="https://www.distrupol.com/Crastin_PBT_and_Rynite_PET_Design_Info_Module_IV.pdf" TargetMode="External" /><ns0:Relationship Id="rIdRepositoryLink260" Type="http://schemas.openxmlformats.org/officeDocument/2006/relationships/hyperlink" Target="https://kmsbearings.com/content/category/pdfs/Delrin_Acetal_Design_Guide.pdf" TargetMode="External" /><ns0:Relationship Id="rIdRepositoryLink261" Type="http://schemas.openxmlformats.org/officeDocument/2006/relationships/hyperlink" Target="https://www.distrupol.com/Minlon_Zytel_Design__Info_Module_2.pdf" TargetMode="External" /><ns0:Relationship Id="rIdRepositoryLink262" Type="http://schemas.openxmlformats.org/officeDocument/2006/relationships/hyperlink" Target="https://t-link.com.hk/MaterialSpec/Nylon66/ALL%20Zytel.pdf" TargetMode="External" /><ns0:Relationship Id="rIdRepositoryLink263" Type="http://schemas.openxmlformats.org/officeDocument/2006/relationships/hyperlink" Target="https://www.materialdatacenter.com/mb/file/show/52/0/Chemical%20resistance_Hytrel.pdf" TargetMode="External" /><ns0:Relationship Id="rIdRepositoryLink264" Type="http://schemas.openxmlformats.org/officeDocument/2006/relationships/hyperlink" Target="http://www.totalresin.com/product/product/Hytrel_design_guide.pdf" TargetMode="External" /><ns0:Relationship Id="rIdRepositoryLink265" Type="http://schemas.openxmlformats.org/officeDocument/2006/relationships/hyperlink" Target="https://upmold.com/wp-content/uploads/data-sheet/POM-DuPont-Delrin-100P%20NC010.pdf" TargetMode="External" /><ns0:Relationship Id="rIdRepositoryLink266" Type="http://schemas.openxmlformats.org/officeDocument/2006/relationships/hyperlink" Target="https://3dprintingcanada.com/products.json?limit=250&amp;page=1" TargetMode="External" /><ns0:Relationship Id="rIdRepositoryLink267" Type="http://schemas.openxmlformats.org/officeDocument/2006/relationships/hyperlink" Target="https://3dprintingcanada.com/products.json?limit=250&amp;page=3" TargetMode="External" /><ns0:Relationship Id="rIdRepositoryLink268" Type="http://schemas.openxmlformats.org/officeDocument/2006/relationships/hyperlink" Target="https://3dprintingcanada.com/products.json?limit=250&amp;page=4" TargetMode="External" /><ns0:Relationship Id="rIdRepositoryLink269" Type="http://schemas.openxmlformats.org/officeDocument/2006/relationships/hyperlink" Target="https://3dprintingcanada.com/collections/advanced-filaments/products.json?limit=250" TargetMode="External" /><ns0:Relationship Id="rIdRepositoryLink270" Type="http://schemas.openxmlformats.org/officeDocument/2006/relationships/hyperlink" Target="https://www.okwenclosures.com/en/media/e1c71e00-cf5c-11e2-896a-0050568225d7" TargetMode="External" /><ns0:Relationship Id="rIdRepositoryLink271" Type="http://schemas.openxmlformats.org/officeDocument/2006/relationships/hyperlink" Target="https://www.basf.com/dam/jcr:e42483e4-4087-3544-a6a2-f958427c1030/Elastollan_Properties-Chemical-Properties.pdf" TargetMode="External" /><ns0:Relationship Id="rIdRepositoryLink272" Type="http://schemas.openxmlformats.org/officeDocument/2006/relationships/hyperlink" Target="https://zeus.phys.uconn.edu/wiki/images/Polystyrene_properties.pdf" TargetMode="External" /><ns0:Relationship Id="rIdRepositoryLink273" Type="http://schemas.openxmlformats.org/officeDocument/2006/relationships/hyperlink" Target="https://chemicals.basf.com/dam/jcr:7c5b6f87-b64c-4974-83d9-b261c5a25032/BASF_Ultramid_Nylon_Chemical_Resistance_Guide.pdf" TargetMode="External" /><ns0:Relationship Id="rIdRepositoryLink274" Type="http://schemas.openxmlformats.org/officeDocument/2006/relationships/hyperlink" Target="https://www.kuraray-poval.com/fileadmin/user_upload/KURARAY_POVAL/technical_information/grades_by_region/grades_poval/TDS-KURARAY_POVAL_TM_-EXCEVAL_TM_-ELVANOL_TM-ENGLISH.pdf" TargetMode="External" /><ns0:Relationship Id="rIdRepositoryLink275" Type="http://schemas.openxmlformats.org/officeDocument/2006/relationships/hyperlink" Target="https://www.3dwasp.shop/wp-content/uploads/2020/03/TDS_MOWIFLEX-3D-2000-filament.pdf" TargetMode="External" /><ns0:Relationship Id="rIdRepositoryLink276" Type="http://schemas.openxmlformats.org/officeDocument/2006/relationships/hyperlink" Target="https://www.kuraray.com/content/dam/kuraray/jp/ja/products/mowital/TDS_Mowital_B-EN_0724_3.pdf" TargetMode="External" /><ns0:Relationship Id="rIdRepositoryLink277" Type="http://schemas.openxmlformats.org/officeDocument/2006/relationships/hyperlink" Target="https://hpp.arkema.com/files/live/sites/shared_arkema/files/downloads/HPP/product-brochures/Pebax%20Chem%20Res.pdf" TargetMode="External" /><ns0:Relationship Id="rIdRepositoryLink278" Type="http://schemas.openxmlformats.org/officeDocument/2006/relationships/hyperlink" Target="https://page.arkema.com/rs/253-HSZ-754/images/kynar-pvdf-chemical-resistance-chart.pdf" TargetMode="External" /><ns0:Relationship Id="rIdRepositoryLink279" Type="http://schemas.openxmlformats.org/officeDocument/2006/relationships/hyperlink" Target="https://natureworksllc.com/getContentAsset/6d5ea62c-7872-4297-aff7-67b8a53fe47f/53ffd608-340f-457b-b656-6b8cc0000bd4/TechnicalDataSheet_3D850_monofilament.pdf?language=en" TargetMode="External" /><ns0:Relationship Id="rIdRepositoryLink280" Type="http://schemas.openxmlformats.org/officeDocument/2006/relationships/hyperlink" Target="https://natureworksllc.com/getContentAsset/83916624-88b9-490c-bab1-74294189824e/53ffd608-340f-457b-b656-6b8cc0000bd4/PropertiesDocument_Solubility-Test-Results_pdf-(1).pdf?language=en" TargetMode="External" /><ns0:Relationship Id="rIdRepositoryLink281" Type="http://schemas.openxmlformats.org/officeDocument/2006/relationships/hyperlink" Target="https://www.mdpi.com/2073-4360/18/2/302" TargetMode="External" /><ns0:Relationship Id="rIdRepositoryLink282" Type="http://schemas.openxmlformats.org/officeDocument/2006/relationships/hyperlink" Target="https://pmc.ncbi.nlm.nih.gov/articles/PMC12845617/" TargetMode="External" /><ns0:Relationship Id="rIdRepositoryLink283" Type="http://schemas.openxmlformats.org/officeDocument/2006/relationships/hyperlink" Target="https://www.cdc.gov/niosh/bulletin/2019/additive-manufacturing.html" TargetMode="External" /><ns0:Relationship Id="rIdRepositoryLink284" Type="http://schemas.openxmlformats.org/officeDocument/2006/relationships/hyperlink" Target="https://quickparts.com/wp-content/uploads/2023/04/zytel%C2%AE-101l-nc010-gb.pdf" TargetMode="External" /><ns0:Relationship Id="rIdRepositoryLink285" Type="http://schemas.openxmlformats.org/officeDocument/2006/relationships/hyperlink" Target="https://solutions.covestro.com/-/media/covestro/solution-center/whitepapers/makrolon---the-chemical-resistance.pdf" TargetMode="External" /><ns0:Relationship Id="rIdRepositoryLink286" Type="http://schemas.openxmlformats.org/officeDocument/2006/relationships/hyperlink" Target="https://www.emsgrivory.com/fileadmin/user_upload/EMS-GRIVORY/documents/Brochures/English/Technical_Data_Sheet-Resistance-to-Chemicals_en_07-2022.pdf" TargetMode="External" /><ns0:Relationship Id="rIdRepositoryLink287" Type="http://schemas.openxmlformats.org/officeDocument/2006/relationships/hyperlink" Target="https://www.eastman.com/content/dam/eastman/corporate/en/literature/t/trs145.pdf" TargetMode="External" /><ns0:Relationship Id="rIdRepositoryLink288" Type="http://schemas.openxmlformats.org/officeDocument/2006/relationships/hyperlink" Target="https://s3.amazonaws.com/amcopolymers.com/v3/Vestamid-Brochure.pdf" TargetMode="External" /><ns0:Relationship Id="rIdRepositoryLink289" Type="http://schemas.openxmlformats.org/officeDocument/2006/relationships/hyperlink" Target="https://www.purefil.de/purefil-pom-filament_186_2176/" TargetMode="External" /><ns0:Relationship Id="rIdRepositoryLink290" Type="http://schemas.openxmlformats.org/officeDocument/2006/relationships/hyperlink" Target="https://pmc.ncbi.nlm.nih.gov/articles/PMC11054632/" TargetMode="External" /><ns0:Relationship Id="rIdRepositoryLink291" Type="http://schemas.openxmlformats.org/officeDocument/2006/relationships/hyperlink" Target="https://www.ineos.com/globalassets/ineos-group/businesses/ineos-olefins-and-polymers-usa/products/technical-information--patents/ineos-hdpe-chemical-resistance-guide.pdf" TargetMode="External" /><ns0:Relationship Id="rIdRepositoryLink292" Type="http://schemas.openxmlformats.org/officeDocument/2006/relationships/hyperlink" Target="https://www.lyondellbasell.com/link/89b9ff6eb5c541b6b90ade5020e644a0.aspx" TargetMode="External" /><ns0:Relationship Id="rIdRepositoryLink293" Type="http://schemas.openxmlformats.org/officeDocument/2006/relationships/hyperlink" Target="https://us.mitsubishi-chemical.com/product/nichigo-g-polymer/" TargetMode="External" /><ns0:Relationship Id="rIdRepositoryLink294" Type="http://schemas.openxmlformats.org/officeDocument/2006/relationships/hyperlink" Target="https://shop3d.ca/products.json?limit=250&amp;page=1" TargetMode="External" /><ns0:Relationship Id="rIdRepositoryLink295" Type="http://schemas.openxmlformats.org/officeDocument/2006/relationships/hyperlink" Target="https://www.solvay.com/sites/solvay_solvay/files/tridion/documents/Amodel-PPA-Overview_EN.pdf" TargetMode="External" /><ns0:Relationship Id="rIdRepositoryLink296" Type="http://schemas.openxmlformats.org/officeDocument/2006/relationships/hyperlink" Target="https://www.formerra.com/sites/default/files/2021-07/0901b803808e059f.pdf" TargetMode="External" /><ns0:Relationship Id="rIdRepositoryLink297" Type="http://schemas.openxmlformats.org/officeDocument/2006/relationships/hyperlink" Target="https://www.plastics.toray/technical/torelina/tec_022.html" TargetMode="External" /><ns0:Relationship Id="rIdRepositoryLink298" Type="http://schemas.openxmlformats.org/officeDocument/2006/relationships/hyperlink" Target="https://www.trinity3ds.com/3dxtech-filament/pp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24D"/>
  </sheetPr>
  <sheetViews>
    <sheetView showGridLines="0" workbookViewId="0">
      <pane xSplit="1" ySplit="8" topLeftCell="B9" activePane="bottomRight" state="frozen"/>
    </sheetView>
  </sheetViews>
  <sheetFormatPr defaultRowHeight="15"/>
  <cols>
    <col min="1" max="1" width="33.33000183105469" hidden="0" customWidth="1"/>
    <col min="2" max="2" width="10" hidden="0" customWidth="1"/>
    <col min="3" max="3" width="8.329999923706055" hidden="0" customWidth="1"/>
    <col min="4" max="4" width="17.219999313354492" hidden="0" customWidth="1"/>
    <col min="5" max="5" width="13.329999923706055" hidden="0" customWidth="1"/>
    <col min="6" max="6" width="11.670000076293945" hidden="0" customWidth="1"/>
    <col min="7" max="7" width="15" hidden="0" customWidth="1"/>
    <col min="8" max="8" width="10.5600004196167" hidden="0" customWidth="1"/>
    <col min="9" max="9" width="13.329999923706055" hidden="0" customWidth="1"/>
    <col min="10" max="10" width="10" hidden="0" customWidth="1"/>
    <col min="11" max="11" width="11.109999656677246" hidden="0" customWidth="1"/>
    <col min="12" max="12" width="12.220000267028809" hidden="0" customWidth="1"/>
    <col min="13" max="13" width="12.779999732971191" hidden="0" customWidth="1"/>
    <col min="14" max="14" width="66.66999816894531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0" customHeight="1">
      <c r="A2" s="3" t="str">
        <v>H2C repository sources by brand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" customHeight="1">
      <c r="A3" s="4" t="str">
        <v>Counts use distinct repository SourceIDs. Publisher aliases are grouped; original publisher names are preserved.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32" customHeight="1">
      <c r="A4" s="20" t="str">
        <v>Registered records</v>
      </c>
      <c r="B4" s="20" t="n">
        <f>SUM(M9:M58)</f>
        <v>300</v>
      </c>
      <c r="C4" s="20" t="str">
        <v>Used records</v>
      </c>
      <c r="D4" s="20" t="n">
        <f>SUM(K9:K58)</f>
        <v>298</v>
      </c>
      <c r="E4" s="20" t="str">
        <v>Filament TDS</v>
      </c>
      <c r="F4" s="20" t="n">
        <f>SUM(B9:B58)</f>
        <v>156</v>
      </c>
      <c r="G4" s="20" t="str">
        <v>SDS</v>
      </c>
      <c r="H4" s="20" t="n">
        <f>SUM(C9:C58)</f>
        <v>6</v>
      </c>
      <c r="I4" s="20" t="str">
        <v>Not retrieved</v>
      </c>
      <c r="J4" s="20" t="n">
        <f>SUM(L9:L58)</f>
        <v>2</v>
      </c>
      <c r="K4" s="2"/>
      <c r="L4" s="2"/>
      <c r="M4" s="2"/>
      <c r="N4" s="2"/>
    </row>
    <row r="5" ht="26" customHeight="1">
      <c r="A5" s="4" t="str">
        <v>Used counts exclude the two not-retrieved records; cited, corroboration, register and provenance records are retained. Counts are documents, not grades or property measurements.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24" customHeight="1">
      <c r="A6" s="2" t="str">
        <v>Repository source</v>
      </c>
      <c r="B6" s="5" t="str">
        <v>https://github.com/faridbnv/h2c-materials/blob/46d9a83e4368425fe294fe40be2195725ff0ac0a/data/tables/sources.csv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46" customHeight="1">
      <c r="A8" s="9" t="str">
        <v>Brand / source</v>
      </c>
      <c r="B8" s="9" t="str">
        <v>Filament TDS</v>
      </c>
      <c r="C8" s="9" t="str">
        <v>SDS</v>
      </c>
      <c r="D8" s="9" t="str">
        <v>Guides / product pages</v>
      </c>
      <c r="E8" s="9" t="str">
        <v>Printer documentation</v>
      </c>
      <c r="F8" s="9" t="str">
        <v>Catalogues / pricing</v>
      </c>
      <c r="G8" s="9" t="str">
        <v>Polymer supplier datasheets</v>
      </c>
      <c r="H8" s="9" t="str">
        <v>Research papers</v>
      </c>
      <c r="I8" s="9" t="str">
        <v>Local / scope references</v>
      </c>
      <c r="J8" s="9" t="str">
        <v>Other documents</v>
      </c>
      <c r="K8" s="9" t="str">
        <v>Total used</v>
      </c>
      <c r="L8" s="9" t="str">
        <v>Not retrieved</v>
      </c>
      <c r="M8" s="9" t="str">
        <v>Total registered</v>
      </c>
      <c r="N8" s="9" t="str">
        <v>Original publisher names</v>
      </c>
    </row>
    <row r="9" ht="48" customHeight="1">
      <c r="A9" s="13" t="str">
        <v>Bambu Lab</v>
      </c>
      <c r="B9" s="11" t="n">
        <f>COUNTIFS('Documents'!$A$9:$A$308,$A9,'Documents'!$B$9:$B$308,"Filament TDS",'Documents'!$E$9:$E$308,"Yes")</f>
        <v>41</v>
      </c>
      <c r="C9" s="11" t="n">
        <f>COUNTIFS('Documents'!$A$9:$A$308,$A9,'Documents'!$B$9:$B$308,"SDS",'Documents'!$E$9:$E$308,"Yes")</f>
        <v>0</v>
      </c>
      <c r="D9" s="11" t="n">
        <f>COUNTIFS('Documents'!$A$9:$A$308,$A9,'Documents'!$B$9:$B$308,"Guide / product page",'Documents'!$E$9:$E$308,"Yes")</f>
        <v>42</v>
      </c>
      <c r="E9" s="11" t="n">
        <f>COUNTIFS('Documents'!$A$9:$A$308,$A9,'Documents'!$B$9:$B$308,"Printer documentation",'Documents'!$E$9:$E$308,"Yes")</f>
        <v>3</v>
      </c>
      <c r="F9" s="11" t="n">
        <f>COUNTIFS('Documents'!$A$9:$A$308,$A9,'Documents'!$B$9:$B$308,"Catalogue / pricing",'Documents'!$E$9:$E$308,"Yes")</f>
        <v>1</v>
      </c>
      <c r="G9" s="11" t="n">
        <f>COUNTIFS('Documents'!$A$9:$A$308,$A9,'Documents'!$B$9:$B$308,"Polymer supplier datasheet",'Documents'!$E$9:$E$308,"Yes")</f>
        <v>0</v>
      </c>
      <c r="H9" s="11" t="n">
        <f>COUNTIFS('Documents'!$A$9:$A$308,$A9,'Documents'!$B$9:$B$308,"Research paper",'Documents'!$E$9:$E$308,"Yes")</f>
        <v>0</v>
      </c>
      <c r="I9" s="11" t="n">
        <f>COUNTIFS('Documents'!$A$9:$A$308,$A9,'Documents'!$B$9:$B$308,"Local / scope reference",'Documents'!$E$9:$E$308,"Yes")</f>
        <v>0</v>
      </c>
      <c r="J9" s="11" t="n">
        <f>COUNTIFS('Documents'!$A$9:$A$308,$A9,'Documents'!$B$9:$B$308,"Safety guidance",'Documents'!$E$9:$E$308,"Yes")+COUNTIFS('Documents'!$A$9:$A$308,$A9,'Documents'!$B$9:$B$308,"Corporate announcement",'Documents'!$E$9:$E$308,"Yes")</f>
        <v>0</v>
      </c>
      <c r="K9" s="11" t="n">
        <f>SUM(B9:J9)</f>
        <v>87</v>
      </c>
      <c r="L9" s="11" t="n">
        <f>COUNTIFS('Documents'!$A$9:$A$308,$A9,'Documents'!$E$9:$E$308,"No")</f>
        <v>0</v>
      </c>
      <c r="M9" s="11" t="n">
        <f>COUNTIFS('Documents'!$A$9:$A$308,$A9)</f>
        <v>87</v>
      </c>
      <c r="N9" s="13" t="str">
        <v>Bambu Lab; Bambu Lab Canada</v>
      </c>
    </row>
    <row r="10" ht="48" customHeight="1">
      <c r="A10" s="14" t="str">
        <v>3DXTECH</v>
      </c>
      <c r="B10" s="12" t="n">
        <f>COUNTIFS('Documents'!$A$9:$A$308,$A10,'Documents'!$B$9:$B$308,"Filament TDS",'Documents'!$E$9:$E$308,"Yes")</f>
        <v>27</v>
      </c>
      <c r="C10" s="12" t="n">
        <f>COUNTIFS('Documents'!$A$9:$A$308,$A10,'Documents'!$B$9:$B$308,"SDS",'Documents'!$E$9:$E$308,"Yes")</f>
        <v>1</v>
      </c>
      <c r="D10" s="12" t="n">
        <f>COUNTIFS('Documents'!$A$9:$A$308,$A10,'Documents'!$B$9:$B$308,"Guide / product page",'Documents'!$E$9:$E$308,"Yes")</f>
        <v>21</v>
      </c>
      <c r="E10" s="12" t="n">
        <f>COUNTIFS('Documents'!$A$9:$A$308,$A10,'Documents'!$B$9:$B$308,"Printer documentation",'Documents'!$E$9:$E$308,"Yes")</f>
        <v>0</v>
      </c>
      <c r="F10" s="12" t="n">
        <f>COUNTIFS('Documents'!$A$9:$A$308,$A10,'Documents'!$B$9:$B$308,"Catalogue / pricing",'Documents'!$E$9:$E$308,"Yes")</f>
        <v>0</v>
      </c>
      <c r="G10" s="12" t="n">
        <f>COUNTIFS('Documents'!$A$9:$A$308,$A10,'Documents'!$B$9:$B$308,"Polymer supplier datasheet",'Documents'!$E$9:$E$308,"Yes")</f>
        <v>0</v>
      </c>
      <c r="H10" s="12" t="n">
        <f>COUNTIFS('Documents'!$A$9:$A$308,$A10,'Documents'!$B$9:$B$308,"Research paper",'Documents'!$E$9:$E$308,"Yes")</f>
        <v>0</v>
      </c>
      <c r="I10" s="12" t="n">
        <f>COUNTIFS('Documents'!$A$9:$A$308,$A10,'Documents'!$B$9:$B$308,"Local / scope reference",'Documents'!$E$9:$E$308,"Yes")</f>
        <v>0</v>
      </c>
      <c r="J10" s="12" t="n">
        <f>COUNTIFS('Documents'!$A$9:$A$308,$A10,'Documents'!$B$9:$B$308,"Safety guidance",'Documents'!$E$9:$E$308,"Yes")+COUNTIFS('Documents'!$A$9:$A$308,$A10,'Documents'!$B$9:$B$308,"Corporate announcement",'Documents'!$E$9:$E$308,"Yes")</f>
        <v>0</v>
      </c>
      <c r="K10" s="12" t="n">
        <f>SUM(B10:J10)</f>
        <v>49</v>
      </c>
      <c r="L10" s="12" t="n">
        <f>COUNTIFS('Documents'!$A$9:$A$308,$A10,'Documents'!$E$9:$E$308,"No")</f>
        <v>0</v>
      </c>
      <c r="M10" s="12" t="n">
        <f>COUNTIFS('Documents'!$A$9:$A$308,$A10)</f>
        <v>49</v>
      </c>
      <c r="N10" s="14" t="str">
        <v>3DXTECH</v>
      </c>
    </row>
    <row r="11" ht="48" customHeight="1">
      <c r="A11" s="13" t="str">
        <v>Polymaker / Fiberon</v>
      </c>
      <c r="B11" s="11" t="n">
        <f>COUNTIFS('Documents'!$A$9:$A$308,$A11,'Documents'!$B$9:$B$308,"Filament TDS",'Documents'!$E$9:$E$308,"Yes")</f>
        <v>24</v>
      </c>
      <c r="C11" s="11" t="n">
        <f>COUNTIFS('Documents'!$A$9:$A$308,$A11,'Documents'!$B$9:$B$308,"SDS",'Documents'!$E$9:$E$308,"Yes")</f>
        <v>0</v>
      </c>
      <c r="D11" s="11" t="n">
        <f>COUNTIFS('Documents'!$A$9:$A$308,$A11,'Documents'!$B$9:$B$308,"Guide / product page",'Documents'!$E$9:$E$308,"Yes")</f>
        <v>2</v>
      </c>
      <c r="E11" s="11" t="n">
        <f>COUNTIFS('Documents'!$A$9:$A$308,$A11,'Documents'!$B$9:$B$308,"Printer documentation",'Documents'!$E$9:$E$308,"Yes")</f>
        <v>0</v>
      </c>
      <c r="F11" s="11" t="n">
        <f>COUNTIFS('Documents'!$A$9:$A$308,$A11,'Documents'!$B$9:$B$308,"Catalogue / pricing",'Documents'!$E$9:$E$308,"Yes")</f>
        <v>0</v>
      </c>
      <c r="G11" s="11" t="n">
        <f>COUNTIFS('Documents'!$A$9:$A$308,$A11,'Documents'!$B$9:$B$308,"Polymer supplier datasheet",'Documents'!$E$9:$E$308,"Yes")</f>
        <v>0</v>
      </c>
      <c r="H11" s="11" t="n">
        <f>COUNTIFS('Documents'!$A$9:$A$308,$A11,'Documents'!$B$9:$B$308,"Research paper",'Documents'!$E$9:$E$308,"Yes")</f>
        <v>0</v>
      </c>
      <c r="I11" s="11" t="n">
        <f>COUNTIFS('Documents'!$A$9:$A$308,$A11,'Documents'!$B$9:$B$308,"Local / scope reference",'Documents'!$E$9:$E$308,"Yes")</f>
        <v>0</v>
      </c>
      <c r="J11" s="11" t="n">
        <f>COUNTIFS('Documents'!$A$9:$A$308,$A11,'Documents'!$B$9:$B$308,"Safety guidance",'Documents'!$E$9:$E$308,"Yes")+COUNTIFS('Documents'!$A$9:$A$308,$A11,'Documents'!$B$9:$B$308,"Corporate announcement",'Documents'!$E$9:$E$308,"Yes")</f>
        <v>0</v>
      </c>
      <c r="K11" s="11" t="n">
        <f>SUM(B11:J11)</f>
        <v>26</v>
      </c>
      <c r="L11" s="11" t="n">
        <f>COUNTIFS('Documents'!$A$9:$A$308,$A11,'Documents'!$E$9:$E$308,"No")</f>
        <v>2</v>
      </c>
      <c r="M11" s="11" t="n">
        <f>COUNTIFS('Documents'!$A$9:$A$308,$A11)</f>
        <v>28</v>
      </c>
      <c r="N11" s="13" t="str">
        <v>Polymaker (Fiberon); Polymaker</v>
      </c>
    </row>
    <row r="12" ht="48" customHeight="1">
      <c r="A12" s="14" t="str">
        <v>iSANMATE</v>
      </c>
      <c r="B12" s="12" t="n">
        <f>COUNTIFS('Documents'!$A$9:$A$308,$A12,'Documents'!$B$9:$B$308,"Filament TDS",'Documents'!$E$9:$E$308,"Yes")</f>
        <v>14</v>
      </c>
      <c r="C12" s="12" t="n">
        <f>COUNTIFS('Documents'!$A$9:$A$308,$A12,'Documents'!$B$9:$B$308,"SDS",'Documents'!$E$9:$E$308,"Yes")</f>
        <v>0</v>
      </c>
      <c r="D12" s="12" t="n">
        <f>COUNTIFS('Documents'!$A$9:$A$308,$A12,'Documents'!$B$9:$B$308,"Guide / product page",'Documents'!$E$9:$E$308,"Yes")</f>
        <v>0</v>
      </c>
      <c r="E12" s="12" t="n">
        <f>COUNTIFS('Documents'!$A$9:$A$308,$A12,'Documents'!$B$9:$B$308,"Printer documentation",'Documents'!$E$9:$E$308,"Yes")</f>
        <v>0</v>
      </c>
      <c r="F12" s="12" t="n">
        <f>COUNTIFS('Documents'!$A$9:$A$308,$A12,'Documents'!$B$9:$B$308,"Catalogue / pricing",'Documents'!$E$9:$E$308,"Yes")</f>
        <v>0</v>
      </c>
      <c r="G12" s="12" t="n">
        <f>COUNTIFS('Documents'!$A$9:$A$308,$A12,'Documents'!$B$9:$B$308,"Polymer supplier datasheet",'Documents'!$E$9:$E$308,"Yes")</f>
        <v>0</v>
      </c>
      <c r="H12" s="12" t="n">
        <f>COUNTIFS('Documents'!$A$9:$A$308,$A12,'Documents'!$B$9:$B$308,"Research paper",'Documents'!$E$9:$E$308,"Yes")</f>
        <v>0</v>
      </c>
      <c r="I12" s="12" t="n">
        <f>COUNTIFS('Documents'!$A$9:$A$308,$A12,'Documents'!$B$9:$B$308,"Local / scope reference",'Documents'!$E$9:$E$308,"Yes")</f>
        <v>0</v>
      </c>
      <c r="J12" s="12" t="n">
        <f>COUNTIFS('Documents'!$A$9:$A$308,$A12,'Documents'!$B$9:$B$308,"Safety guidance",'Documents'!$E$9:$E$308,"Yes")+COUNTIFS('Documents'!$A$9:$A$308,$A12,'Documents'!$B$9:$B$308,"Corporate announcement",'Documents'!$E$9:$E$308,"Yes")</f>
        <v>0</v>
      </c>
      <c r="K12" s="12" t="n">
        <f>SUM(B12:J12)</f>
        <v>14</v>
      </c>
      <c r="L12" s="12" t="n">
        <f>COUNTIFS('Documents'!$A$9:$A$308,$A12,'Documents'!$E$9:$E$308,"No")</f>
        <v>0</v>
      </c>
      <c r="M12" s="12" t="n">
        <f>COUNTIFS('Documents'!$A$9:$A$308,$A12)</f>
        <v>14</v>
      </c>
      <c r="N12" s="14" t="str">
        <v>iSANMATE</v>
      </c>
    </row>
    <row r="13" ht="48" customHeight="1">
      <c r="A13" s="13" t="str">
        <v>Spectrum</v>
      </c>
      <c r="B13" s="11" t="n">
        <f>COUNTIFS('Documents'!$A$9:$A$308,$A13,'Documents'!$B$9:$B$308,"Filament TDS",'Documents'!$E$9:$E$308,"Yes")</f>
        <v>12</v>
      </c>
      <c r="C13" s="11" t="n">
        <f>COUNTIFS('Documents'!$A$9:$A$308,$A13,'Documents'!$B$9:$B$308,"SDS",'Documents'!$E$9:$E$308,"Yes")</f>
        <v>0</v>
      </c>
      <c r="D13" s="11" t="n">
        <f>COUNTIFS('Documents'!$A$9:$A$308,$A13,'Documents'!$B$9:$B$308,"Guide / product page",'Documents'!$E$9:$E$308,"Yes")</f>
        <v>0</v>
      </c>
      <c r="E13" s="11" t="n">
        <f>COUNTIFS('Documents'!$A$9:$A$308,$A13,'Documents'!$B$9:$B$308,"Printer documentation",'Documents'!$E$9:$E$308,"Yes")</f>
        <v>0</v>
      </c>
      <c r="F13" s="11" t="n">
        <f>COUNTIFS('Documents'!$A$9:$A$308,$A13,'Documents'!$B$9:$B$308,"Catalogue / pricing",'Documents'!$E$9:$E$308,"Yes")</f>
        <v>0</v>
      </c>
      <c r="G13" s="11" t="n">
        <f>COUNTIFS('Documents'!$A$9:$A$308,$A13,'Documents'!$B$9:$B$308,"Polymer supplier datasheet",'Documents'!$E$9:$E$308,"Yes")</f>
        <v>0</v>
      </c>
      <c r="H13" s="11" t="n">
        <f>COUNTIFS('Documents'!$A$9:$A$308,$A13,'Documents'!$B$9:$B$308,"Research paper",'Documents'!$E$9:$E$308,"Yes")</f>
        <v>0</v>
      </c>
      <c r="I13" s="11" t="n">
        <f>COUNTIFS('Documents'!$A$9:$A$308,$A13,'Documents'!$B$9:$B$308,"Local / scope reference",'Documents'!$E$9:$E$308,"Yes")</f>
        <v>0</v>
      </c>
      <c r="J13" s="11" t="n">
        <f>COUNTIFS('Documents'!$A$9:$A$308,$A13,'Documents'!$B$9:$B$308,"Safety guidance",'Documents'!$E$9:$E$308,"Yes")+COUNTIFS('Documents'!$A$9:$A$308,$A13,'Documents'!$B$9:$B$308,"Corporate announcement",'Documents'!$E$9:$E$308,"Yes")</f>
        <v>0</v>
      </c>
      <c r="K13" s="11" t="n">
        <f>SUM(B13:J13)</f>
        <v>12</v>
      </c>
      <c r="L13" s="11" t="n">
        <f>COUNTIFS('Documents'!$A$9:$A$308,$A13,'Documents'!$E$9:$E$308,"No")</f>
        <v>0</v>
      </c>
      <c r="M13" s="11" t="n">
        <f>COUNTIFS('Documents'!$A$9:$A$308,$A13)</f>
        <v>12</v>
      </c>
      <c r="N13" s="13" t="str">
        <v>Spectrum</v>
      </c>
    </row>
    <row r="14" ht="48" customHeight="1">
      <c r="A14" s="14" t="str">
        <v>Siraya Tech</v>
      </c>
      <c r="B14" s="12" t="n">
        <f>COUNTIFS('Documents'!$A$9:$A$308,$A14,'Documents'!$B$9:$B$308,"Filament TDS",'Documents'!$E$9:$E$308,"Yes")</f>
        <v>5</v>
      </c>
      <c r="C14" s="12" t="n">
        <f>COUNTIFS('Documents'!$A$9:$A$308,$A14,'Documents'!$B$9:$B$308,"SDS",'Documents'!$E$9:$E$308,"Yes")</f>
        <v>4</v>
      </c>
      <c r="D14" s="12" t="n">
        <f>COUNTIFS('Documents'!$A$9:$A$308,$A14,'Documents'!$B$9:$B$308,"Guide / product page",'Documents'!$E$9:$E$308,"Yes")</f>
        <v>0</v>
      </c>
      <c r="E14" s="12" t="n">
        <f>COUNTIFS('Documents'!$A$9:$A$308,$A14,'Documents'!$B$9:$B$308,"Printer documentation",'Documents'!$E$9:$E$308,"Yes")</f>
        <v>0</v>
      </c>
      <c r="F14" s="12" t="n">
        <f>COUNTIFS('Documents'!$A$9:$A$308,$A14,'Documents'!$B$9:$B$308,"Catalogue / pricing",'Documents'!$E$9:$E$308,"Yes")</f>
        <v>0</v>
      </c>
      <c r="G14" s="12" t="n">
        <f>COUNTIFS('Documents'!$A$9:$A$308,$A14,'Documents'!$B$9:$B$308,"Polymer supplier datasheet",'Documents'!$E$9:$E$308,"Yes")</f>
        <v>0</v>
      </c>
      <c r="H14" s="12" t="n">
        <f>COUNTIFS('Documents'!$A$9:$A$308,$A14,'Documents'!$B$9:$B$308,"Research paper",'Documents'!$E$9:$E$308,"Yes")</f>
        <v>0</v>
      </c>
      <c r="I14" s="12" t="n">
        <f>COUNTIFS('Documents'!$A$9:$A$308,$A14,'Documents'!$B$9:$B$308,"Local / scope reference",'Documents'!$E$9:$E$308,"Yes")</f>
        <v>0</v>
      </c>
      <c r="J14" s="12" t="n">
        <f>COUNTIFS('Documents'!$A$9:$A$308,$A14,'Documents'!$B$9:$B$308,"Safety guidance",'Documents'!$E$9:$E$308,"Yes")+COUNTIFS('Documents'!$A$9:$A$308,$A14,'Documents'!$B$9:$B$308,"Corporate announcement",'Documents'!$E$9:$E$308,"Yes")</f>
        <v>0</v>
      </c>
      <c r="K14" s="12" t="n">
        <f>SUM(B14:J14)</f>
        <v>9</v>
      </c>
      <c r="L14" s="12" t="n">
        <f>COUNTIFS('Documents'!$A$9:$A$308,$A14,'Documents'!$E$9:$E$308,"No")</f>
        <v>0</v>
      </c>
      <c r="M14" s="12" t="n">
        <f>COUNTIFS('Documents'!$A$9:$A$308,$A14)</f>
        <v>9</v>
      </c>
      <c r="N14" s="14" t="str">
        <v>Siraya Tech</v>
      </c>
    </row>
    <row r="15" ht="48" customHeight="1">
      <c r="A15" s="13" t="str">
        <v>BASF Forward AM / Ultrafuse</v>
      </c>
      <c r="B15" s="11" t="n">
        <f>COUNTIFS('Documents'!$A$9:$A$308,$A15,'Documents'!$B$9:$B$308,"Filament TDS",'Documents'!$E$9:$E$308,"Yes")</f>
        <v>5</v>
      </c>
      <c r="C15" s="11" t="n">
        <f>COUNTIFS('Documents'!$A$9:$A$308,$A15,'Documents'!$B$9:$B$308,"SDS",'Documents'!$E$9:$E$308,"Yes")</f>
        <v>0</v>
      </c>
      <c r="D15" s="11" t="n">
        <f>COUNTIFS('Documents'!$A$9:$A$308,$A15,'Documents'!$B$9:$B$308,"Guide / product page",'Documents'!$E$9:$E$308,"Yes")</f>
        <v>1</v>
      </c>
      <c r="E15" s="11" t="n">
        <f>COUNTIFS('Documents'!$A$9:$A$308,$A15,'Documents'!$B$9:$B$308,"Printer documentation",'Documents'!$E$9:$E$308,"Yes")</f>
        <v>0</v>
      </c>
      <c r="F15" s="11" t="n">
        <f>COUNTIFS('Documents'!$A$9:$A$308,$A15,'Documents'!$B$9:$B$308,"Catalogue / pricing",'Documents'!$E$9:$E$308,"Yes")</f>
        <v>0</v>
      </c>
      <c r="G15" s="11" t="n">
        <f>COUNTIFS('Documents'!$A$9:$A$308,$A15,'Documents'!$B$9:$B$308,"Polymer supplier datasheet",'Documents'!$E$9:$E$308,"Yes")</f>
        <v>0</v>
      </c>
      <c r="H15" s="11" t="n">
        <f>COUNTIFS('Documents'!$A$9:$A$308,$A15,'Documents'!$B$9:$B$308,"Research paper",'Documents'!$E$9:$E$308,"Yes")</f>
        <v>0</v>
      </c>
      <c r="I15" s="11" t="n">
        <f>COUNTIFS('Documents'!$A$9:$A$308,$A15,'Documents'!$B$9:$B$308,"Local / scope reference",'Documents'!$E$9:$E$308,"Yes")</f>
        <v>0</v>
      </c>
      <c r="J15" s="11" t="n">
        <f>COUNTIFS('Documents'!$A$9:$A$308,$A15,'Documents'!$B$9:$B$308,"Safety guidance",'Documents'!$E$9:$E$308,"Yes")+COUNTIFS('Documents'!$A$9:$A$308,$A15,'Documents'!$B$9:$B$308,"Corporate announcement",'Documents'!$E$9:$E$308,"Yes")</f>
        <v>0</v>
      </c>
      <c r="K15" s="11" t="n">
        <f>SUM(B15:J15)</f>
        <v>6</v>
      </c>
      <c r="L15" s="11" t="n">
        <f>COUNTIFS('Documents'!$A$9:$A$308,$A15,'Documents'!$E$9:$E$308,"No")</f>
        <v>0</v>
      </c>
      <c r="M15" s="11" t="n">
        <f>COUNTIFS('Documents'!$A$9:$A$308,$A15)</f>
        <v>6</v>
      </c>
      <c r="N15" s="13" t="str">
        <v>BASF Forward AM; BASF Forward AM (document mirrored by Raise3D Japan)</v>
      </c>
    </row>
    <row r="16" ht="48" customHeight="1">
      <c r="A16" s="14" t="str">
        <v>IPCON</v>
      </c>
      <c r="B16" s="12" t="n">
        <f>COUNTIFS('Documents'!$A$9:$A$308,$A16,'Documents'!$B$9:$B$308,"Filament TDS",'Documents'!$E$9:$E$308,"Yes")</f>
        <v>4</v>
      </c>
      <c r="C16" s="12" t="n">
        <f>COUNTIFS('Documents'!$A$9:$A$308,$A16,'Documents'!$B$9:$B$308,"SDS",'Documents'!$E$9:$E$308,"Yes")</f>
        <v>0</v>
      </c>
      <c r="D16" s="12" t="n">
        <f>COUNTIFS('Documents'!$A$9:$A$308,$A16,'Documents'!$B$9:$B$308,"Guide / product page",'Documents'!$E$9:$E$308,"Yes")</f>
        <v>0</v>
      </c>
      <c r="E16" s="12" t="n">
        <f>COUNTIFS('Documents'!$A$9:$A$308,$A16,'Documents'!$B$9:$B$308,"Printer documentation",'Documents'!$E$9:$E$308,"Yes")</f>
        <v>0</v>
      </c>
      <c r="F16" s="12" t="n">
        <f>COUNTIFS('Documents'!$A$9:$A$308,$A16,'Documents'!$B$9:$B$308,"Catalogue / pricing",'Documents'!$E$9:$E$308,"Yes")</f>
        <v>0</v>
      </c>
      <c r="G16" s="12" t="n">
        <f>COUNTIFS('Documents'!$A$9:$A$308,$A16,'Documents'!$B$9:$B$308,"Polymer supplier datasheet",'Documents'!$E$9:$E$308,"Yes")</f>
        <v>0</v>
      </c>
      <c r="H16" s="12" t="n">
        <f>COUNTIFS('Documents'!$A$9:$A$308,$A16,'Documents'!$B$9:$B$308,"Research paper",'Documents'!$E$9:$E$308,"Yes")</f>
        <v>0</v>
      </c>
      <c r="I16" s="12" t="n">
        <f>COUNTIFS('Documents'!$A$9:$A$308,$A16,'Documents'!$B$9:$B$308,"Local / scope reference",'Documents'!$E$9:$E$308,"Yes")</f>
        <v>0</v>
      </c>
      <c r="J16" s="12" t="n">
        <f>COUNTIFS('Documents'!$A$9:$A$308,$A16,'Documents'!$B$9:$B$308,"Safety guidance",'Documents'!$E$9:$E$308,"Yes")+COUNTIFS('Documents'!$A$9:$A$308,$A16,'Documents'!$B$9:$B$308,"Corporate announcement",'Documents'!$E$9:$E$308,"Yes")</f>
        <v>0</v>
      </c>
      <c r="K16" s="12" t="n">
        <f>SUM(B16:J16)</f>
        <v>4</v>
      </c>
      <c r="L16" s="12" t="n">
        <f>COUNTIFS('Documents'!$A$9:$A$308,$A16,'Documents'!$E$9:$E$308,"No")</f>
        <v>0</v>
      </c>
      <c r="M16" s="12" t="n">
        <f>COUNTIFS('Documents'!$A$9:$A$308,$A16)</f>
        <v>4</v>
      </c>
      <c r="N16" s="14" t="str">
        <v>IPCON Polymer Material (Suzhou); IPCON</v>
      </c>
    </row>
    <row r="17" ht="48" customHeight="1">
      <c r="A17" s="13" t="str">
        <v>Fillamentum</v>
      </c>
      <c r="B17" s="11" t="n">
        <f>COUNTIFS('Documents'!$A$9:$A$308,$A17,'Documents'!$B$9:$B$308,"Filament TDS",'Documents'!$E$9:$E$308,"Yes")</f>
        <v>3</v>
      </c>
      <c r="C17" s="11" t="n">
        <f>COUNTIFS('Documents'!$A$9:$A$308,$A17,'Documents'!$B$9:$B$308,"SDS",'Documents'!$E$9:$E$308,"Yes")</f>
        <v>0</v>
      </c>
      <c r="D17" s="11" t="n">
        <f>COUNTIFS('Documents'!$A$9:$A$308,$A17,'Documents'!$B$9:$B$308,"Guide / product page",'Documents'!$E$9:$E$308,"Yes")</f>
        <v>3</v>
      </c>
      <c r="E17" s="11" t="n">
        <f>COUNTIFS('Documents'!$A$9:$A$308,$A17,'Documents'!$B$9:$B$308,"Printer documentation",'Documents'!$E$9:$E$308,"Yes")</f>
        <v>0</v>
      </c>
      <c r="F17" s="11" t="n">
        <f>COUNTIFS('Documents'!$A$9:$A$308,$A17,'Documents'!$B$9:$B$308,"Catalogue / pricing",'Documents'!$E$9:$E$308,"Yes")</f>
        <v>0</v>
      </c>
      <c r="G17" s="11" t="n">
        <f>COUNTIFS('Documents'!$A$9:$A$308,$A17,'Documents'!$B$9:$B$308,"Polymer supplier datasheet",'Documents'!$E$9:$E$308,"Yes")</f>
        <v>0</v>
      </c>
      <c r="H17" s="11" t="n">
        <f>COUNTIFS('Documents'!$A$9:$A$308,$A17,'Documents'!$B$9:$B$308,"Research paper",'Documents'!$E$9:$E$308,"Yes")</f>
        <v>0</v>
      </c>
      <c r="I17" s="11" t="n">
        <f>COUNTIFS('Documents'!$A$9:$A$308,$A17,'Documents'!$B$9:$B$308,"Local / scope reference",'Documents'!$E$9:$E$308,"Yes")</f>
        <v>0</v>
      </c>
      <c r="J17" s="11" t="n">
        <f>COUNTIFS('Documents'!$A$9:$A$308,$A17,'Documents'!$B$9:$B$308,"Safety guidance",'Documents'!$E$9:$E$308,"Yes")+COUNTIFS('Documents'!$A$9:$A$308,$A17,'Documents'!$B$9:$B$308,"Corporate announcement",'Documents'!$E$9:$E$308,"Yes")</f>
        <v>0</v>
      </c>
      <c r="K17" s="11" t="n">
        <f>SUM(B17:J17)</f>
        <v>6</v>
      </c>
      <c r="L17" s="11" t="n">
        <f>COUNTIFS('Documents'!$A$9:$A$308,$A17,'Documents'!$E$9:$E$308,"No")</f>
        <v>0</v>
      </c>
      <c r="M17" s="11" t="n">
        <f>COUNTIFS('Documents'!$A$9:$A$308,$A17)</f>
        <v>6</v>
      </c>
      <c r="N17" s="13" t="str">
        <v>Fillamentum; Fillamentum Manufacturing Czech</v>
      </c>
    </row>
    <row r="18" ht="48" customHeight="1">
      <c r="A18" s="14" t="str">
        <v>Kimya / Airtech</v>
      </c>
      <c r="B18" s="12" t="n">
        <f>COUNTIFS('Documents'!$A$9:$A$308,$A18,'Documents'!$B$9:$B$308,"Filament TDS",'Documents'!$E$9:$E$308,"Yes")</f>
        <v>2</v>
      </c>
      <c r="C18" s="12" t="n">
        <f>COUNTIFS('Documents'!$A$9:$A$308,$A18,'Documents'!$B$9:$B$308,"SDS",'Documents'!$E$9:$E$308,"Yes")</f>
        <v>0</v>
      </c>
      <c r="D18" s="12" t="n">
        <f>COUNTIFS('Documents'!$A$9:$A$308,$A18,'Documents'!$B$9:$B$308,"Guide / product page",'Documents'!$E$9:$E$308,"Yes")</f>
        <v>1</v>
      </c>
      <c r="E18" s="12" t="n">
        <f>COUNTIFS('Documents'!$A$9:$A$308,$A18,'Documents'!$B$9:$B$308,"Printer documentation",'Documents'!$E$9:$E$308,"Yes")</f>
        <v>0</v>
      </c>
      <c r="F18" s="12" t="n">
        <f>COUNTIFS('Documents'!$A$9:$A$308,$A18,'Documents'!$B$9:$B$308,"Catalogue / pricing",'Documents'!$E$9:$E$308,"Yes")</f>
        <v>0</v>
      </c>
      <c r="G18" s="12" t="n">
        <f>COUNTIFS('Documents'!$A$9:$A$308,$A18,'Documents'!$B$9:$B$308,"Polymer supplier datasheet",'Documents'!$E$9:$E$308,"Yes")</f>
        <v>0</v>
      </c>
      <c r="H18" s="12" t="n">
        <f>COUNTIFS('Documents'!$A$9:$A$308,$A18,'Documents'!$B$9:$B$308,"Research paper",'Documents'!$E$9:$E$308,"Yes")</f>
        <v>0</v>
      </c>
      <c r="I18" s="12" t="n">
        <f>COUNTIFS('Documents'!$A$9:$A$308,$A18,'Documents'!$B$9:$B$308,"Local / scope reference",'Documents'!$E$9:$E$308,"Yes")</f>
        <v>0</v>
      </c>
      <c r="J18" s="12" t="n">
        <f>COUNTIFS('Documents'!$A$9:$A$308,$A18,'Documents'!$B$9:$B$308,"Safety guidance",'Documents'!$E$9:$E$308,"Yes")+COUNTIFS('Documents'!$A$9:$A$308,$A18,'Documents'!$B$9:$B$308,"Corporate announcement",'Documents'!$E$9:$E$308,"Yes")</f>
        <v>1</v>
      </c>
      <c r="K18" s="12" t="n">
        <f>SUM(B18:J18)</f>
        <v>4</v>
      </c>
      <c r="L18" s="12" t="n">
        <f>COUNTIFS('Documents'!$A$9:$A$308,$A18,'Documents'!$E$9:$E$308,"No")</f>
        <v>0</v>
      </c>
      <c r="M18" s="12" t="n">
        <f>COUNTIFS('Documents'!$A$9:$A$308,$A18)</f>
        <v>4</v>
      </c>
      <c r="N18" s="14" t="str">
        <v>Airtech Europe / Kimya; Kimya (Armor Group); Airtech 3D; Airtech Advanced Materials Group</v>
      </c>
    </row>
    <row r="19" ht="48" customHeight="1">
      <c r="A19" s="13" t="str">
        <v>eSUN</v>
      </c>
      <c r="B19" s="11" t="n">
        <f>COUNTIFS('Documents'!$A$9:$A$308,$A19,'Documents'!$B$9:$B$308,"Filament TDS",'Documents'!$E$9:$E$308,"Yes")</f>
        <v>2</v>
      </c>
      <c r="C19" s="11" t="n">
        <f>COUNTIFS('Documents'!$A$9:$A$308,$A19,'Documents'!$B$9:$B$308,"SDS",'Documents'!$E$9:$E$308,"Yes")</f>
        <v>0</v>
      </c>
      <c r="D19" s="11" t="n">
        <f>COUNTIFS('Documents'!$A$9:$A$308,$A19,'Documents'!$B$9:$B$308,"Guide / product page",'Documents'!$E$9:$E$308,"Yes")</f>
        <v>1</v>
      </c>
      <c r="E19" s="11" t="n">
        <f>COUNTIFS('Documents'!$A$9:$A$308,$A19,'Documents'!$B$9:$B$308,"Printer documentation",'Documents'!$E$9:$E$308,"Yes")</f>
        <v>0</v>
      </c>
      <c r="F19" s="11" t="n">
        <f>COUNTIFS('Documents'!$A$9:$A$308,$A19,'Documents'!$B$9:$B$308,"Catalogue / pricing",'Documents'!$E$9:$E$308,"Yes")</f>
        <v>0</v>
      </c>
      <c r="G19" s="11" t="n">
        <f>COUNTIFS('Documents'!$A$9:$A$308,$A19,'Documents'!$B$9:$B$308,"Polymer supplier datasheet",'Documents'!$E$9:$E$308,"Yes")</f>
        <v>0</v>
      </c>
      <c r="H19" s="11" t="n">
        <f>COUNTIFS('Documents'!$A$9:$A$308,$A19,'Documents'!$B$9:$B$308,"Research paper",'Documents'!$E$9:$E$308,"Yes")</f>
        <v>0</v>
      </c>
      <c r="I19" s="11" t="n">
        <f>COUNTIFS('Documents'!$A$9:$A$308,$A19,'Documents'!$B$9:$B$308,"Local / scope reference",'Documents'!$E$9:$E$308,"Yes")</f>
        <v>0</v>
      </c>
      <c r="J19" s="11" t="n">
        <f>COUNTIFS('Documents'!$A$9:$A$308,$A19,'Documents'!$B$9:$B$308,"Safety guidance",'Documents'!$E$9:$E$308,"Yes")+COUNTIFS('Documents'!$A$9:$A$308,$A19,'Documents'!$B$9:$B$308,"Corporate announcement",'Documents'!$E$9:$E$308,"Yes")</f>
        <v>0</v>
      </c>
      <c r="K19" s="11" t="n">
        <f>SUM(B19:J19)</f>
        <v>3</v>
      </c>
      <c r="L19" s="11" t="n">
        <f>COUNTIFS('Documents'!$A$9:$A$308,$A19,'Documents'!$E$9:$E$308,"No")</f>
        <v>0</v>
      </c>
      <c r="M19" s="11" t="n">
        <f>COUNTIFS('Documents'!$A$9:$A$308,$A19)</f>
        <v>3</v>
      </c>
      <c r="N19" s="13" t="str">
        <v>eSUN</v>
      </c>
    </row>
    <row r="20" ht="48" customHeight="1">
      <c r="A20" s="14" t="str">
        <v>FormFutura</v>
      </c>
      <c r="B20" s="12" t="n">
        <f>COUNTIFS('Documents'!$A$9:$A$308,$A20,'Documents'!$B$9:$B$308,"Filament TDS",'Documents'!$E$9:$E$308,"Yes")</f>
        <v>2</v>
      </c>
      <c r="C20" s="12" t="n">
        <f>COUNTIFS('Documents'!$A$9:$A$308,$A20,'Documents'!$B$9:$B$308,"SDS",'Documents'!$E$9:$E$308,"Yes")</f>
        <v>0</v>
      </c>
      <c r="D20" s="12" t="n">
        <f>COUNTIFS('Documents'!$A$9:$A$308,$A20,'Documents'!$B$9:$B$308,"Guide / product page",'Documents'!$E$9:$E$308,"Yes")</f>
        <v>0</v>
      </c>
      <c r="E20" s="12" t="n">
        <f>COUNTIFS('Documents'!$A$9:$A$308,$A20,'Documents'!$B$9:$B$308,"Printer documentation",'Documents'!$E$9:$E$308,"Yes")</f>
        <v>0</v>
      </c>
      <c r="F20" s="12" t="n">
        <f>COUNTIFS('Documents'!$A$9:$A$308,$A20,'Documents'!$B$9:$B$308,"Catalogue / pricing",'Documents'!$E$9:$E$308,"Yes")</f>
        <v>0</v>
      </c>
      <c r="G20" s="12" t="n">
        <f>COUNTIFS('Documents'!$A$9:$A$308,$A20,'Documents'!$B$9:$B$308,"Polymer supplier datasheet",'Documents'!$E$9:$E$308,"Yes")</f>
        <v>0</v>
      </c>
      <c r="H20" s="12" t="n">
        <f>COUNTIFS('Documents'!$A$9:$A$308,$A20,'Documents'!$B$9:$B$308,"Research paper",'Documents'!$E$9:$E$308,"Yes")</f>
        <v>0</v>
      </c>
      <c r="I20" s="12" t="n">
        <f>COUNTIFS('Documents'!$A$9:$A$308,$A20,'Documents'!$B$9:$B$308,"Local / scope reference",'Documents'!$E$9:$E$308,"Yes")</f>
        <v>0</v>
      </c>
      <c r="J20" s="12" t="n">
        <f>COUNTIFS('Documents'!$A$9:$A$308,$A20,'Documents'!$B$9:$B$308,"Safety guidance",'Documents'!$E$9:$E$308,"Yes")+COUNTIFS('Documents'!$A$9:$A$308,$A20,'Documents'!$B$9:$B$308,"Corporate announcement",'Documents'!$E$9:$E$308,"Yes")</f>
        <v>0</v>
      </c>
      <c r="K20" s="12" t="n">
        <f>SUM(B20:J20)</f>
        <v>2</v>
      </c>
      <c r="L20" s="12" t="n">
        <f>COUNTIFS('Documents'!$A$9:$A$308,$A20,'Documents'!$E$9:$E$308,"No")</f>
        <v>0</v>
      </c>
      <c r="M20" s="12" t="n">
        <f>COUNTIFS('Documents'!$A$9:$A$308,$A20)</f>
        <v>2</v>
      </c>
      <c r="N20" s="14" t="str">
        <v>FormFutura</v>
      </c>
    </row>
    <row r="21" ht="48" customHeight="1">
      <c r="A21" s="13" t="str">
        <v>Stratasys</v>
      </c>
      <c r="B21" s="11" t="n">
        <f>COUNTIFS('Documents'!$A$9:$A$308,$A21,'Documents'!$B$9:$B$308,"Filament TDS",'Documents'!$E$9:$E$308,"Yes")</f>
        <v>2</v>
      </c>
      <c r="C21" s="11" t="n">
        <f>COUNTIFS('Documents'!$A$9:$A$308,$A21,'Documents'!$B$9:$B$308,"SDS",'Documents'!$E$9:$E$308,"Yes")</f>
        <v>0</v>
      </c>
      <c r="D21" s="11" t="n">
        <f>COUNTIFS('Documents'!$A$9:$A$308,$A21,'Documents'!$B$9:$B$308,"Guide / product page",'Documents'!$E$9:$E$308,"Yes")</f>
        <v>0</v>
      </c>
      <c r="E21" s="11" t="n">
        <f>COUNTIFS('Documents'!$A$9:$A$308,$A21,'Documents'!$B$9:$B$308,"Printer documentation",'Documents'!$E$9:$E$308,"Yes")</f>
        <v>0</v>
      </c>
      <c r="F21" s="11" t="n">
        <f>COUNTIFS('Documents'!$A$9:$A$308,$A21,'Documents'!$B$9:$B$308,"Catalogue / pricing",'Documents'!$E$9:$E$308,"Yes")</f>
        <v>0</v>
      </c>
      <c r="G21" s="11" t="n">
        <f>COUNTIFS('Documents'!$A$9:$A$308,$A21,'Documents'!$B$9:$B$308,"Polymer supplier datasheet",'Documents'!$E$9:$E$308,"Yes")</f>
        <v>0</v>
      </c>
      <c r="H21" s="11" t="n">
        <f>COUNTIFS('Documents'!$A$9:$A$308,$A21,'Documents'!$B$9:$B$308,"Research paper",'Documents'!$E$9:$E$308,"Yes")</f>
        <v>0</v>
      </c>
      <c r="I21" s="11" t="n">
        <f>COUNTIFS('Documents'!$A$9:$A$308,$A21,'Documents'!$B$9:$B$308,"Local / scope reference",'Documents'!$E$9:$E$308,"Yes")</f>
        <v>0</v>
      </c>
      <c r="J21" s="11" t="n">
        <f>COUNTIFS('Documents'!$A$9:$A$308,$A21,'Documents'!$B$9:$B$308,"Safety guidance",'Documents'!$E$9:$E$308,"Yes")+COUNTIFS('Documents'!$A$9:$A$308,$A21,'Documents'!$B$9:$B$308,"Corporate announcement",'Documents'!$E$9:$E$308,"Yes")</f>
        <v>0</v>
      </c>
      <c r="K21" s="11" t="n">
        <f>SUM(B21:J21)</f>
        <v>2</v>
      </c>
      <c r="L21" s="11" t="n">
        <f>COUNTIFS('Documents'!$A$9:$A$308,$A21,'Documents'!$E$9:$E$308,"No")</f>
        <v>0</v>
      </c>
      <c r="M21" s="11" t="n">
        <f>COUNTIFS('Documents'!$A$9:$A$308,$A21)</f>
        <v>2</v>
      </c>
      <c r="N21" s="13" t="str">
        <v>Stratasys</v>
      </c>
    </row>
    <row r="22" ht="48" customHeight="1">
      <c r="A22" s="14" t="str">
        <v>Prusa Research</v>
      </c>
      <c r="B22" s="12" t="n">
        <f>COUNTIFS('Documents'!$A$9:$A$308,$A22,'Documents'!$B$9:$B$308,"Filament TDS",'Documents'!$E$9:$E$308,"Yes")</f>
        <v>1</v>
      </c>
      <c r="C22" s="12" t="n">
        <f>COUNTIFS('Documents'!$A$9:$A$308,$A22,'Documents'!$B$9:$B$308,"SDS",'Documents'!$E$9:$E$308,"Yes")</f>
        <v>0</v>
      </c>
      <c r="D22" s="12" t="n">
        <f>COUNTIFS('Documents'!$A$9:$A$308,$A22,'Documents'!$B$9:$B$308,"Guide / product page",'Documents'!$E$9:$E$308,"Yes")</f>
        <v>14</v>
      </c>
      <c r="E22" s="12" t="n">
        <f>COUNTIFS('Documents'!$A$9:$A$308,$A22,'Documents'!$B$9:$B$308,"Printer documentation",'Documents'!$E$9:$E$308,"Yes")</f>
        <v>0</v>
      </c>
      <c r="F22" s="12" t="n">
        <f>COUNTIFS('Documents'!$A$9:$A$308,$A22,'Documents'!$B$9:$B$308,"Catalogue / pricing",'Documents'!$E$9:$E$308,"Yes")</f>
        <v>0</v>
      </c>
      <c r="G22" s="12" t="n">
        <f>COUNTIFS('Documents'!$A$9:$A$308,$A22,'Documents'!$B$9:$B$308,"Polymer supplier datasheet",'Documents'!$E$9:$E$308,"Yes")</f>
        <v>0</v>
      </c>
      <c r="H22" s="12" t="n">
        <f>COUNTIFS('Documents'!$A$9:$A$308,$A22,'Documents'!$B$9:$B$308,"Research paper",'Documents'!$E$9:$E$308,"Yes")</f>
        <v>0</v>
      </c>
      <c r="I22" s="12" t="n">
        <f>COUNTIFS('Documents'!$A$9:$A$308,$A22,'Documents'!$B$9:$B$308,"Local / scope reference",'Documents'!$E$9:$E$308,"Yes")</f>
        <v>0</v>
      </c>
      <c r="J22" s="12" t="n">
        <f>COUNTIFS('Documents'!$A$9:$A$308,$A22,'Documents'!$B$9:$B$308,"Safety guidance",'Documents'!$E$9:$E$308,"Yes")+COUNTIFS('Documents'!$A$9:$A$308,$A22,'Documents'!$B$9:$B$308,"Corporate announcement",'Documents'!$E$9:$E$308,"Yes")</f>
        <v>0</v>
      </c>
      <c r="K22" s="12" t="n">
        <f>SUM(B22:J22)</f>
        <v>15</v>
      </c>
      <c r="L22" s="12" t="n">
        <f>COUNTIFS('Documents'!$A$9:$A$308,$A22,'Documents'!$E$9:$E$308,"No")</f>
        <v>0</v>
      </c>
      <c r="M22" s="12" t="n">
        <f>COUNTIFS('Documents'!$A$9:$A$308,$A22)</f>
        <v>15</v>
      </c>
      <c r="N22" s="14" t="str">
        <v>Prusa Research</v>
      </c>
    </row>
    <row r="23" ht="48" customHeight="1">
      <c r="A23" s="13" t="str">
        <v>Flashforge</v>
      </c>
      <c r="B23" s="11" t="n">
        <f>COUNTIFS('Documents'!$A$9:$A$308,$A23,'Documents'!$B$9:$B$308,"Filament TDS",'Documents'!$E$9:$E$308,"Yes")</f>
        <v>1</v>
      </c>
      <c r="C23" s="11" t="n">
        <f>COUNTIFS('Documents'!$A$9:$A$308,$A23,'Documents'!$B$9:$B$308,"SDS",'Documents'!$E$9:$E$308,"Yes")</f>
        <v>0</v>
      </c>
      <c r="D23" s="11" t="n">
        <f>COUNTIFS('Documents'!$A$9:$A$308,$A23,'Documents'!$B$9:$B$308,"Guide / product page",'Documents'!$E$9:$E$308,"Yes")</f>
        <v>1</v>
      </c>
      <c r="E23" s="11" t="n">
        <f>COUNTIFS('Documents'!$A$9:$A$308,$A23,'Documents'!$B$9:$B$308,"Printer documentation",'Documents'!$E$9:$E$308,"Yes")</f>
        <v>0</v>
      </c>
      <c r="F23" s="11" t="n">
        <f>COUNTIFS('Documents'!$A$9:$A$308,$A23,'Documents'!$B$9:$B$308,"Catalogue / pricing",'Documents'!$E$9:$E$308,"Yes")</f>
        <v>0</v>
      </c>
      <c r="G23" s="11" t="n">
        <f>COUNTIFS('Documents'!$A$9:$A$308,$A23,'Documents'!$B$9:$B$308,"Polymer supplier datasheet",'Documents'!$E$9:$E$308,"Yes")</f>
        <v>0</v>
      </c>
      <c r="H23" s="11" t="n">
        <f>COUNTIFS('Documents'!$A$9:$A$308,$A23,'Documents'!$B$9:$B$308,"Research paper",'Documents'!$E$9:$E$308,"Yes")</f>
        <v>0</v>
      </c>
      <c r="I23" s="11" t="n">
        <f>COUNTIFS('Documents'!$A$9:$A$308,$A23,'Documents'!$B$9:$B$308,"Local / scope reference",'Documents'!$E$9:$E$308,"Yes")</f>
        <v>0</v>
      </c>
      <c r="J23" s="11" t="n">
        <f>COUNTIFS('Documents'!$A$9:$A$308,$A23,'Documents'!$B$9:$B$308,"Safety guidance",'Documents'!$E$9:$E$308,"Yes")+COUNTIFS('Documents'!$A$9:$A$308,$A23,'Documents'!$B$9:$B$308,"Corporate announcement",'Documents'!$E$9:$E$308,"Yes")</f>
        <v>0</v>
      </c>
      <c r="K23" s="11" t="n">
        <f>SUM(B23:J23)</f>
        <v>2</v>
      </c>
      <c r="L23" s="11" t="n">
        <f>COUNTIFS('Documents'!$A$9:$A$308,$A23,'Documents'!$E$9:$E$308,"No")</f>
        <v>0</v>
      </c>
      <c r="M23" s="11" t="n">
        <f>COUNTIFS('Documents'!$A$9:$A$308,$A23)</f>
        <v>2</v>
      </c>
      <c r="N23" s="13" t="str">
        <v>Flashforge</v>
      </c>
    </row>
    <row r="24" ht="48" customHeight="1">
      <c r="A24" s="14" t="str">
        <v>Raise3D</v>
      </c>
      <c r="B24" s="12" t="n">
        <f>COUNTIFS('Documents'!$A$9:$A$308,$A24,'Documents'!$B$9:$B$308,"Filament TDS",'Documents'!$E$9:$E$308,"Yes")</f>
        <v>1</v>
      </c>
      <c r="C24" s="12" t="n">
        <f>COUNTIFS('Documents'!$A$9:$A$308,$A24,'Documents'!$B$9:$B$308,"SDS",'Documents'!$E$9:$E$308,"Yes")</f>
        <v>1</v>
      </c>
      <c r="D24" s="12" t="n">
        <f>COUNTIFS('Documents'!$A$9:$A$308,$A24,'Documents'!$B$9:$B$308,"Guide / product page",'Documents'!$E$9:$E$308,"Yes")</f>
        <v>0</v>
      </c>
      <c r="E24" s="12" t="n">
        <f>COUNTIFS('Documents'!$A$9:$A$308,$A24,'Documents'!$B$9:$B$308,"Printer documentation",'Documents'!$E$9:$E$308,"Yes")</f>
        <v>0</v>
      </c>
      <c r="F24" s="12" t="n">
        <f>COUNTIFS('Documents'!$A$9:$A$308,$A24,'Documents'!$B$9:$B$308,"Catalogue / pricing",'Documents'!$E$9:$E$308,"Yes")</f>
        <v>0</v>
      </c>
      <c r="G24" s="12" t="n">
        <f>COUNTIFS('Documents'!$A$9:$A$308,$A24,'Documents'!$B$9:$B$308,"Polymer supplier datasheet",'Documents'!$E$9:$E$308,"Yes")</f>
        <v>0</v>
      </c>
      <c r="H24" s="12" t="n">
        <f>COUNTIFS('Documents'!$A$9:$A$308,$A24,'Documents'!$B$9:$B$308,"Research paper",'Documents'!$E$9:$E$308,"Yes")</f>
        <v>0</v>
      </c>
      <c r="I24" s="12" t="n">
        <f>COUNTIFS('Documents'!$A$9:$A$308,$A24,'Documents'!$B$9:$B$308,"Local / scope reference",'Documents'!$E$9:$E$308,"Yes")</f>
        <v>0</v>
      </c>
      <c r="J24" s="12" t="n">
        <f>COUNTIFS('Documents'!$A$9:$A$308,$A24,'Documents'!$B$9:$B$308,"Safety guidance",'Documents'!$E$9:$E$308,"Yes")+COUNTIFS('Documents'!$A$9:$A$308,$A24,'Documents'!$B$9:$B$308,"Corporate announcement",'Documents'!$E$9:$E$308,"Yes")</f>
        <v>0</v>
      </c>
      <c r="K24" s="12" t="n">
        <f>SUM(B24:J24)</f>
        <v>2</v>
      </c>
      <c r="L24" s="12" t="n">
        <f>COUNTIFS('Documents'!$A$9:$A$308,$A24,'Documents'!$E$9:$E$308,"No")</f>
        <v>0</v>
      </c>
      <c r="M24" s="12" t="n">
        <f>COUNTIFS('Documents'!$A$9:$A$308,$A24)</f>
        <v>2</v>
      </c>
      <c r="N24" s="14" t="str">
        <v>Raise3D</v>
      </c>
    </row>
    <row r="25" ht="48" customHeight="1">
      <c r="A25" s="13" t="str">
        <v>colorFabb</v>
      </c>
      <c r="B25" s="11" t="n">
        <f>COUNTIFS('Documents'!$A$9:$A$308,$A25,'Documents'!$B$9:$B$308,"Filament TDS",'Documents'!$E$9:$E$308,"Yes")</f>
        <v>1</v>
      </c>
      <c r="C25" s="11" t="n">
        <f>COUNTIFS('Documents'!$A$9:$A$308,$A25,'Documents'!$B$9:$B$308,"SDS",'Documents'!$E$9:$E$308,"Yes")</f>
        <v>0</v>
      </c>
      <c r="D25" s="11" t="n">
        <f>COUNTIFS('Documents'!$A$9:$A$308,$A25,'Documents'!$B$9:$B$308,"Guide / product page",'Documents'!$E$9:$E$308,"Yes")</f>
        <v>1</v>
      </c>
      <c r="E25" s="11" t="n">
        <f>COUNTIFS('Documents'!$A$9:$A$308,$A25,'Documents'!$B$9:$B$308,"Printer documentation",'Documents'!$E$9:$E$308,"Yes")</f>
        <v>0</v>
      </c>
      <c r="F25" s="11" t="n">
        <f>COUNTIFS('Documents'!$A$9:$A$308,$A25,'Documents'!$B$9:$B$308,"Catalogue / pricing",'Documents'!$E$9:$E$308,"Yes")</f>
        <v>0</v>
      </c>
      <c r="G25" s="11" t="n">
        <f>COUNTIFS('Documents'!$A$9:$A$308,$A25,'Documents'!$B$9:$B$308,"Polymer supplier datasheet",'Documents'!$E$9:$E$308,"Yes")</f>
        <v>0</v>
      </c>
      <c r="H25" s="11" t="n">
        <f>COUNTIFS('Documents'!$A$9:$A$308,$A25,'Documents'!$B$9:$B$308,"Research paper",'Documents'!$E$9:$E$308,"Yes")</f>
        <v>0</v>
      </c>
      <c r="I25" s="11" t="n">
        <f>COUNTIFS('Documents'!$A$9:$A$308,$A25,'Documents'!$B$9:$B$308,"Local / scope reference",'Documents'!$E$9:$E$308,"Yes")</f>
        <v>0</v>
      </c>
      <c r="J25" s="11" t="n">
        <f>COUNTIFS('Documents'!$A$9:$A$308,$A25,'Documents'!$B$9:$B$308,"Safety guidance",'Documents'!$E$9:$E$308,"Yes")+COUNTIFS('Documents'!$A$9:$A$308,$A25,'Documents'!$B$9:$B$308,"Corporate announcement",'Documents'!$E$9:$E$308,"Yes")</f>
        <v>0</v>
      </c>
      <c r="K25" s="11" t="n">
        <f>SUM(B25:J25)</f>
        <v>2</v>
      </c>
      <c r="L25" s="11" t="n">
        <f>COUNTIFS('Documents'!$A$9:$A$308,$A25,'Documents'!$E$9:$E$308,"No")</f>
        <v>0</v>
      </c>
      <c r="M25" s="11" t="n">
        <f>COUNTIFS('Documents'!$A$9:$A$308,$A25)</f>
        <v>2</v>
      </c>
      <c r="N25" s="13" t="str">
        <v>colorFabb</v>
      </c>
    </row>
    <row r="26" ht="48" customHeight="1">
      <c r="A26" s="14" t="str">
        <v>BigRep</v>
      </c>
      <c r="B26" s="12" t="n">
        <f>COUNTIFS('Documents'!$A$9:$A$308,$A26,'Documents'!$B$9:$B$308,"Filament TDS",'Documents'!$E$9:$E$308,"Yes")</f>
        <v>1</v>
      </c>
      <c r="C26" s="12" t="n">
        <f>COUNTIFS('Documents'!$A$9:$A$308,$A26,'Documents'!$B$9:$B$308,"SDS",'Documents'!$E$9:$E$308,"Yes")</f>
        <v>0</v>
      </c>
      <c r="D26" s="12" t="n">
        <f>COUNTIFS('Documents'!$A$9:$A$308,$A26,'Documents'!$B$9:$B$308,"Guide / product page",'Documents'!$E$9:$E$308,"Yes")</f>
        <v>0</v>
      </c>
      <c r="E26" s="12" t="n">
        <f>COUNTIFS('Documents'!$A$9:$A$308,$A26,'Documents'!$B$9:$B$308,"Printer documentation",'Documents'!$E$9:$E$308,"Yes")</f>
        <v>0</v>
      </c>
      <c r="F26" s="12" t="n">
        <f>COUNTIFS('Documents'!$A$9:$A$308,$A26,'Documents'!$B$9:$B$308,"Catalogue / pricing",'Documents'!$E$9:$E$308,"Yes")</f>
        <v>0</v>
      </c>
      <c r="G26" s="12" t="n">
        <f>COUNTIFS('Documents'!$A$9:$A$308,$A26,'Documents'!$B$9:$B$308,"Polymer supplier datasheet",'Documents'!$E$9:$E$308,"Yes")</f>
        <v>0</v>
      </c>
      <c r="H26" s="12" t="n">
        <f>COUNTIFS('Documents'!$A$9:$A$308,$A26,'Documents'!$B$9:$B$308,"Research paper",'Documents'!$E$9:$E$308,"Yes")</f>
        <v>0</v>
      </c>
      <c r="I26" s="12" t="n">
        <f>COUNTIFS('Documents'!$A$9:$A$308,$A26,'Documents'!$B$9:$B$308,"Local / scope reference",'Documents'!$E$9:$E$308,"Yes")</f>
        <v>0</v>
      </c>
      <c r="J26" s="12" t="n">
        <f>COUNTIFS('Documents'!$A$9:$A$308,$A26,'Documents'!$B$9:$B$308,"Safety guidance",'Documents'!$E$9:$E$308,"Yes")+COUNTIFS('Documents'!$A$9:$A$308,$A26,'Documents'!$B$9:$B$308,"Corporate announcement",'Documents'!$E$9:$E$308,"Yes")</f>
        <v>0</v>
      </c>
      <c r="K26" s="12" t="n">
        <f>SUM(B26:J26)</f>
        <v>1</v>
      </c>
      <c r="L26" s="12" t="n">
        <f>COUNTIFS('Documents'!$A$9:$A$308,$A26,'Documents'!$E$9:$E$308,"No")</f>
        <v>0</v>
      </c>
      <c r="M26" s="12" t="n">
        <f>COUNTIFS('Documents'!$A$9:$A$308,$A26)</f>
        <v>1</v>
      </c>
      <c r="N26" s="14" t="str">
        <v>BigRep</v>
      </c>
    </row>
    <row r="27" ht="48" customHeight="1">
      <c r="A27" s="13" t="str">
        <v>Braskem</v>
      </c>
      <c r="B27" s="11" t="n">
        <f>COUNTIFS('Documents'!$A$9:$A$308,$A27,'Documents'!$B$9:$B$308,"Filament TDS",'Documents'!$E$9:$E$308,"Yes")</f>
        <v>1</v>
      </c>
      <c r="C27" s="11" t="n">
        <f>COUNTIFS('Documents'!$A$9:$A$308,$A27,'Documents'!$B$9:$B$308,"SDS",'Documents'!$E$9:$E$308,"Yes")</f>
        <v>0</v>
      </c>
      <c r="D27" s="11" t="n">
        <f>COUNTIFS('Documents'!$A$9:$A$308,$A27,'Documents'!$B$9:$B$308,"Guide / product page",'Documents'!$E$9:$E$308,"Yes")</f>
        <v>0</v>
      </c>
      <c r="E27" s="11" t="n">
        <f>COUNTIFS('Documents'!$A$9:$A$308,$A27,'Documents'!$B$9:$B$308,"Printer documentation",'Documents'!$E$9:$E$308,"Yes")</f>
        <v>0</v>
      </c>
      <c r="F27" s="11" t="n">
        <f>COUNTIFS('Documents'!$A$9:$A$308,$A27,'Documents'!$B$9:$B$308,"Catalogue / pricing",'Documents'!$E$9:$E$308,"Yes")</f>
        <v>0</v>
      </c>
      <c r="G27" s="11" t="n">
        <f>COUNTIFS('Documents'!$A$9:$A$308,$A27,'Documents'!$B$9:$B$308,"Polymer supplier datasheet",'Documents'!$E$9:$E$308,"Yes")</f>
        <v>0</v>
      </c>
      <c r="H27" s="11" t="n">
        <f>COUNTIFS('Documents'!$A$9:$A$308,$A27,'Documents'!$B$9:$B$308,"Research paper",'Documents'!$E$9:$E$308,"Yes")</f>
        <v>0</v>
      </c>
      <c r="I27" s="11" t="n">
        <f>COUNTIFS('Documents'!$A$9:$A$308,$A27,'Documents'!$B$9:$B$308,"Local / scope reference",'Documents'!$E$9:$E$308,"Yes")</f>
        <v>0</v>
      </c>
      <c r="J27" s="11" t="n">
        <f>COUNTIFS('Documents'!$A$9:$A$308,$A27,'Documents'!$B$9:$B$308,"Safety guidance",'Documents'!$E$9:$E$308,"Yes")+COUNTIFS('Documents'!$A$9:$A$308,$A27,'Documents'!$B$9:$B$308,"Corporate announcement",'Documents'!$E$9:$E$308,"Yes")</f>
        <v>0</v>
      </c>
      <c r="K27" s="11" t="n">
        <f>SUM(B27:J27)</f>
        <v>1</v>
      </c>
      <c r="L27" s="11" t="n">
        <f>COUNTIFS('Documents'!$A$9:$A$308,$A27,'Documents'!$E$9:$E$308,"No")</f>
        <v>0</v>
      </c>
      <c r="M27" s="11" t="n">
        <f>COUNTIFS('Documents'!$A$9:$A$308,$A27)</f>
        <v>1</v>
      </c>
      <c r="N27" s="13" t="str">
        <v>Braskem</v>
      </c>
    </row>
    <row r="28" ht="48" customHeight="1">
      <c r="A28" s="14" t="str">
        <v>DSM / Arnitel</v>
      </c>
      <c r="B28" s="12" t="n">
        <f>COUNTIFS('Documents'!$A$9:$A$308,$A28,'Documents'!$B$9:$B$308,"Filament TDS",'Documents'!$E$9:$E$308,"Yes")</f>
        <v>1</v>
      </c>
      <c r="C28" s="12" t="n">
        <f>COUNTIFS('Documents'!$A$9:$A$308,$A28,'Documents'!$B$9:$B$308,"SDS",'Documents'!$E$9:$E$308,"Yes")</f>
        <v>0</v>
      </c>
      <c r="D28" s="12" t="n">
        <f>COUNTIFS('Documents'!$A$9:$A$308,$A28,'Documents'!$B$9:$B$308,"Guide / product page",'Documents'!$E$9:$E$308,"Yes")</f>
        <v>0</v>
      </c>
      <c r="E28" s="12" t="n">
        <f>COUNTIFS('Documents'!$A$9:$A$308,$A28,'Documents'!$B$9:$B$308,"Printer documentation",'Documents'!$E$9:$E$308,"Yes")</f>
        <v>0</v>
      </c>
      <c r="F28" s="12" t="n">
        <f>COUNTIFS('Documents'!$A$9:$A$308,$A28,'Documents'!$B$9:$B$308,"Catalogue / pricing",'Documents'!$E$9:$E$308,"Yes")</f>
        <v>0</v>
      </c>
      <c r="G28" s="12" t="n">
        <f>COUNTIFS('Documents'!$A$9:$A$308,$A28,'Documents'!$B$9:$B$308,"Polymer supplier datasheet",'Documents'!$E$9:$E$308,"Yes")</f>
        <v>0</v>
      </c>
      <c r="H28" s="12" t="n">
        <f>COUNTIFS('Documents'!$A$9:$A$308,$A28,'Documents'!$B$9:$B$308,"Research paper",'Documents'!$E$9:$E$308,"Yes")</f>
        <v>0</v>
      </c>
      <c r="I28" s="12" t="n">
        <f>COUNTIFS('Documents'!$A$9:$A$308,$A28,'Documents'!$B$9:$B$308,"Local / scope reference",'Documents'!$E$9:$E$308,"Yes")</f>
        <v>0</v>
      </c>
      <c r="J28" s="12" t="n">
        <f>COUNTIFS('Documents'!$A$9:$A$308,$A28,'Documents'!$B$9:$B$308,"Safety guidance",'Documents'!$E$9:$E$308,"Yes")+COUNTIFS('Documents'!$A$9:$A$308,$A28,'Documents'!$B$9:$B$308,"Corporate announcement",'Documents'!$E$9:$E$308,"Yes")</f>
        <v>0</v>
      </c>
      <c r="K28" s="12" t="n">
        <f>SUM(B28:J28)</f>
        <v>1</v>
      </c>
      <c r="L28" s="12" t="n">
        <f>COUNTIFS('Documents'!$A$9:$A$308,$A28,'Documents'!$E$9:$E$308,"No")</f>
        <v>0</v>
      </c>
      <c r="M28" s="12" t="n">
        <f>COUNTIFS('Documents'!$A$9:$A$308,$A28)</f>
        <v>1</v>
      </c>
      <c r="N28" s="14" t="str">
        <v>DSM (document hosted by MatterHackers)</v>
      </c>
    </row>
    <row r="29" ht="48" customHeight="1">
      <c r="A29" s="13" t="str">
        <v>Dow / EVOLV3D</v>
      </c>
      <c r="B29" s="11" t="n">
        <f>COUNTIFS('Documents'!$A$9:$A$308,$A29,'Documents'!$B$9:$B$308,"Filament TDS",'Documents'!$E$9:$E$308,"Yes")</f>
        <v>1</v>
      </c>
      <c r="C29" s="11" t="n">
        <f>COUNTIFS('Documents'!$A$9:$A$308,$A29,'Documents'!$B$9:$B$308,"SDS",'Documents'!$E$9:$E$308,"Yes")</f>
        <v>0</v>
      </c>
      <c r="D29" s="11" t="n">
        <f>COUNTIFS('Documents'!$A$9:$A$308,$A29,'Documents'!$B$9:$B$308,"Guide / product page",'Documents'!$E$9:$E$308,"Yes")</f>
        <v>0</v>
      </c>
      <c r="E29" s="11" t="n">
        <f>COUNTIFS('Documents'!$A$9:$A$308,$A29,'Documents'!$B$9:$B$308,"Printer documentation",'Documents'!$E$9:$E$308,"Yes")</f>
        <v>0</v>
      </c>
      <c r="F29" s="11" t="n">
        <f>COUNTIFS('Documents'!$A$9:$A$308,$A29,'Documents'!$B$9:$B$308,"Catalogue / pricing",'Documents'!$E$9:$E$308,"Yes")</f>
        <v>0</v>
      </c>
      <c r="G29" s="11" t="n">
        <f>COUNTIFS('Documents'!$A$9:$A$308,$A29,'Documents'!$B$9:$B$308,"Polymer supplier datasheet",'Documents'!$E$9:$E$308,"Yes")</f>
        <v>0</v>
      </c>
      <c r="H29" s="11" t="n">
        <f>COUNTIFS('Documents'!$A$9:$A$308,$A29,'Documents'!$B$9:$B$308,"Research paper",'Documents'!$E$9:$E$308,"Yes")</f>
        <v>0</v>
      </c>
      <c r="I29" s="11" t="n">
        <f>COUNTIFS('Documents'!$A$9:$A$308,$A29,'Documents'!$B$9:$B$308,"Local / scope reference",'Documents'!$E$9:$E$308,"Yes")</f>
        <v>0</v>
      </c>
      <c r="J29" s="11" t="n">
        <f>COUNTIFS('Documents'!$A$9:$A$308,$A29,'Documents'!$B$9:$B$308,"Safety guidance",'Documents'!$E$9:$E$308,"Yes")+COUNTIFS('Documents'!$A$9:$A$308,$A29,'Documents'!$B$9:$B$308,"Corporate announcement",'Documents'!$E$9:$E$308,"Yes")</f>
        <v>0</v>
      </c>
      <c r="K29" s="11" t="n">
        <f>SUM(B29:J29)</f>
        <v>1</v>
      </c>
      <c r="L29" s="11" t="n">
        <f>COUNTIFS('Documents'!$A$9:$A$308,$A29,'Documents'!$E$9:$E$308,"No")</f>
        <v>0</v>
      </c>
      <c r="M29" s="11" t="n">
        <f>COUNTIFS('Documents'!$A$9:$A$308,$A29)</f>
        <v>1</v>
      </c>
      <c r="N29" s="13" t="str">
        <v>Dow (TDS hosted by 3DXTECH)</v>
      </c>
    </row>
    <row r="30" ht="48" customHeight="1">
      <c r="A30" s="14" t="str">
        <v>Eryone</v>
      </c>
      <c r="B30" s="12" t="n">
        <f>COUNTIFS('Documents'!$A$9:$A$308,$A30,'Documents'!$B$9:$B$308,"Filament TDS",'Documents'!$E$9:$E$308,"Yes")</f>
        <v>1</v>
      </c>
      <c r="C30" s="12" t="n">
        <f>COUNTIFS('Documents'!$A$9:$A$308,$A30,'Documents'!$B$9:$B$308,"SDS",'Documents'!$E$9:$E$308,"Yes")</f>
        <v>0</v>
      </c>
      <c r="D30" s="12" t="n">
        <f>COUNTIFS('Documents'!$A$9:$A$308,$A30,'Documents'!$B$9:$B$308,"Guide / product page",'Documents'!$E$9:$E$308,"Yes")</f>
        <v>0</v>
      </c>
      <c r="E30" s="12" t="n">
        <f>COUNTIFS('Documents'!$A$9:$A$308,$A30,'Documents'!$B$9:$B$308,"Printer documentation",'Documents'!$E$9:$E$308,"Yes")</f>
        <v>0</v>
      </c>
      <c r="F30" s="12" t="n">
        <f>COUNTIFS('Documents'!$A$9:$A$308,$A30,'Documents'!$B$9:$B$308,"Catalogue / pricing",'Documents'!$E$9:$E$308,"Yes")</f>
        <v>0</v>
      </c>
      <c r="G30" s="12" t="n">
        <f>COUNTIFS('Documents'!$A$9:$A$308,$A30,'Documents'!$B$9:$B$308,"Polymer supplier datasheet",'Documents'!$E$9:$E$308,"Yes")</f>
        <v>0</v>
      </c>
      <c r="H30" s="12" t="n">
        <f>COUNTIFS('Documents'!$A$9:$A$308,$A30,'Documents'!$B$9:$B$308,"Research paper",'Documents'!$E$9:$E$308,"Yes")</f>
        <v>0</v>
      </c>
      <c r="I30" s="12" t="n">
        <f>COUNTIFS('Documents'!$A$9:$A$308,$A30,'Documents'!$B$9:$B$308,"Local / scope reference",'Documents'!$E$9:$E$308,"Yes")</f>
        <v>0</v>
      </c>
      <c r="J30" s="12" t="n">
        <f>COUNTIFS('Documents'!$A$9:$A$308,$A30,'Documents'!$B$9:$B$308,"Safety guidance",'Documents'!$E$9:$E$308,"Yes")+COUNTIFS('Documents'!$A$9:$A$308,$A30,'Documents'!$B$9:$B$308,"Corporate announcement",'Documents'!$E$9:$E$308,"Yes")</f>
        <v>0</v>
      </c>
      <c r="K30" s="12" t="n">
        <f>SUM(B30:J30)</f>
        <v>1</v>
      </c>
      <c r="L30" s="12" t="n">
        <f>COUNTIFS('Documents'!$A$9:$A$308,$A30,'Documents'!$E$9:$E$308,"No")</f>
        <v>0</v>
      </c>
      <c r="M30" s="12" t="n">
        <f>COUNTIFS('Documents'!$A$9:$A$308,$A30)</f>
        <v>1</v>
      </c>
      <c r="N30" s="14" t="str">
        <v>Shenzhen Eryone Technology</v>
      </c>
    </row>
    <row r="31" ht="48" customHeight="1">
      <c r="A31" s="13" t="str">
        <v>Essentium / Nexa3D</v>
      </c>
      <c r="B31" s="11" t="n">
        <f>COUNTIFS('Documents'!$A$9:$A$308,$A31,'Documents'!$B$9:$B$308,"Filament TDS",'Documents'!$E$9:$E$308,"Yes")</f>
        <v>1</v>
      </c>
      <c r="C31" s="11" t="n">
        <f>COUNTIFS('Documents'!$A$9:$A$308,$A31,'Documents'!$B$9:$B$308,"SDS",'Documents'!$E$9:$E$308,"Yes")</f>
        <v>0</v>
      </c>
      <c r="D31" s="11" t="n">
        <f>COUNTIFS('Documents'!$A$9:$A$308,$A31,'Documents'!$B$9:$B$308,"Guide / product page",'Documents'!$E$9:$E$308,"Yes")</f>
        <v>0</v>
      </c>
      <c r="E31" s="11" t="n">
        <f>COUNTIFS('Documents'!$A$9:$A$308,$A31,'Documents'!$B$9:$B$308,"Printer documentation",'Documents'!$E$9:$E$308,"Yes")</f>
        <v>0</v>
      </c>
      <c r="F31" s="11" t="n">
        <f>COUNTIFS('Documents'!$A$9:$A$308,$A31,'Documents'!$B$9:$B$308,"Catalogue / pricing",'Documents'!$E$9:$E$308,"Yes")</f>
        <v>0</v>
      </c>
      <c r="G31" s="11" t="n">
        <f>COUNTIFS('Documents'!$A$9:$A$308,$A31,'Documents'!$B$9:$B$308,"Polymer supplier datasheet",'Documents'!$E$9:$E$308,"Yes")</f>
        <v>0</v>
      </c>
      <c r="H31" s="11" t="n">
        <f>COUNTIFS('Documents'!$A$9:$A$308,$A31,'Documents'!$B$9:$B$308,"Research paper",'Documents'!$E$9:$E$308,"Yes")</f>
        <v>0</v>
      </c>
      <c r="I31" s="11" t="n">
        <f>COUNTIFS('Documents'!$A$9:$A$308,$A31,'Documents'!$B$9:$B$308,"Local / scope reference",'Documents'!$E$9:$E$308,"Yes")</f>
        <v>0</v>
      </c>
      <c r="J31" s="11" t="n">
        <f>COUNTIFS('Documents'!$A$9:$A$308,$A31,'Documents'!$B$9:$B$308,"Safety guidance",'Documents'!$E$9:$E$308,"Yes")+COUNTIFS('Documents'!$A$9:$A$308,$A31,'Documents'!$B$9:$B$308,"Corporate announcement",'Documents'!$E$9:$E$308,"Yes")</f>
        <v>0</v>
      </c>
      <c r="K31" s="11" t="n">
        <f>SUM(B31:J31)</f>
        <v>1</v>
      </c>
      <c r="L31" s="11" t="n">
        <f>COUNTIFS('Documents'!$A$9:$A$308,$A31,'Documents'!$E$9:$E$308,"No")</f>
        <v>0</v>
      </c>
      <c r="M31" s="11" t="n">
        <f>COUNTIFS('Documents'!$A$9:$A$308,$A31)</f>
        <v>1</v>
      </c>
      <c r="N31" s="13" t="str">
        <v>Essentium / Nexa3D</v>
      </c>
    </row>
    <row r="32" ht="48" customHeight="1">
      <c r="A32" s="14" t="str">
        <v>Grupa Azoty / Tarfuse</v>
      </c>
      <c r="B32" s="12" t="n">
        <f>COUNTIFS('Documents'!$A$9:$A$308,$A32,'Documents'!$B$9:$B$308,"Filament TDS",'Documents'!$E$9:$E$308,"Yes")</f>
        <v>1</v>
      </c>
      <c r="C32" s="12" t="n">
        <f>COUNTIFS('Documents'!$A$9:$A$308,$A32,'Documents'!$B$9:$B$308,"SDS",'Documents'!$E$9:$E$308,"Yes")</f>
        <v>0</v>
      </c>
      <c r="D32" s="12" t="n">
        <f>COUNTIFS('Documents'!$A$9:$A$308,$A32,'Documents'!$B$9:$B$308,"Guide / product page",'Documents'!$E$9:$E$308,"Yes")</f>
        <v>0</v>
      </c>
      <c r="E32" s="12" t="n">
        <f>COUNTIFS('Documents'!$A$9:$A$308,$A32,'Documents'!$B$9:$B$308,"Printer documentation",'Documents'!$E$9:$E$308,"Yes")</f>
        <v>0</v>
      </c>
      <c r="F32" s="12" t="n">
        <f>COUNTIFS('Documents'!$A$9:$A$308,$A32,'Documents'!$B$9:$B$308,"Catalogue / pricing",'Documents'!$E$9:$E$308,"Yes")</f>
        <v>0</v>
      </c>
      <c r="G32" s="12" t="n">
        <f>COUNTIFS('Documents'!$A$9:$A$308,$A32,'Documents'!$B$9:$B$308,"Polymer supplier datasheet",'Documents'!$E$9:$E$308,"Yes")</f>
        <v>0</v>
      </c>
      <c r="H32" s="12" t="n">
        <f>COUNTIFS('Documents'!$A$9:$A$308,$A32,'Documents'!$B$9:$B$308,"Research paper",'Documents'!$E$9:$E$308,"Yes")</f>
        <v>0</v>
      </c>
      <c r="I32" s="12" t="n">
        <f>COUNTIFS('Documents'!$A$9:$A$308,$A32,'Documents'!$B$9:$B$308,"Local / scope reference",'Documents'!$E$9:$E$308,"Yes")</f>
        <v>0</v>
      </c>
      <c r="J32" s="12" t="n">
        <f>COUNTIFS('Documents'!$A$9:$A$308,$A32,'Documents'!$B$9:$B$308,"Safety guidance",'Documents'!$E$9:$E$308,"Yes")+COUNTIFS('Documents'!$A$9:$A$308,$A32,'Documents'!$B$9:$B$308,"Corporate announcement",'Documents'!$E$9:$E$308,"Yes")</f>
        <v>0</v>
      </c>
      <c r="K32" s="12" t="n">
        <f>SUM(B32:J32)</f>
        <v>1</v>
      </c>
      <c r="L32" s="12" t="n">
        <f>COUNTIFS('Documents'!$A$9:$A$308,$A32,'Documents'!$E$9:$E$308,"No")</f>
        <v>0</v>
      </c>
      <c r="M32" s="12" t="n">
        <f>COUNTIFS('Documents'!$A$9:$A$308,$A32)</f>
        <v>1</v>
      </c>
      <c r="N32" s="14" t="str">
        <v>Grupa Azoty (document mirrored by filamentworld.de)</v>
      </c>
    </row>
    <row r="33" ht="48" customHeight="1">
      <c r="A33" s="13" t="str">
        <v>SIDDAMENT</v>
      </c>
      <c r="B33" s="11" t="n">
        <f>COUNTIFS('Documents'!$A$9:$A$308,$A33,'Documents'!$B$9:$B$308,"Filament TDS",'Documents'!$E$9:$E$308,"Yes")</f>
        <v>1</v>
      </c>
      <c r="C33" s="11" t="n">
        <f>COUNTIFS('Documents'!$A$9:$A$308,$A33,'Documents'!$B$9:$B$308,"SDS",'Documents'!$E$9:$E$308,"Yes")</f>
        <v>0</v>
      </c>
      <c r="D33" s="11" t="n">
        <f>COUNTIFS('Documents'!$A$9:$A$308,$A33,'Documents'!$B$9:$B$308,"Guide / product page",'Documents'!$E$9:$E$308,"Yes")</f>
        <v>0</v>
      </c>
      <c r="E33" s="11" t="n">
        <f>COUNTIFS('Documents'!$A$9:$A$308,$A33,'Documents'!$B$9:$B$308,"Printer documentation",'Documents'!$E$9:$E$308,"Yes")</f>
        <v>0</v>
      </c>
      <c r="F33" s="11" t="n">
        <f>COUNTIFS('Documents'!$A$9:$A$308,$A33,'Documents'!$B$9:$B$308,"Catalogue / pricing",'Documents'!$E$9:$E$308,"Yes")</f>
        <v>0</v>
      </c>
      <c r="G33" s="11" t="n">
        <f>COUNTIFS('Documents'!$A$9:$A$308,$A33,'Documents'!$B$9:$B$308,"Polymer supplier datasheet",'Documents'!$E$9:$E$308,"Yes")</f>
        <v>0</v>
      </c>
      <c r="H33" s="11" t="n">
        <f>COUNTIFS('Documents'!$A$9:$A$308,$A33,'Documents'!$B$9:$B$308,"Research paper",'Documents'!$E$9:$E$308,"Yes")</f>
        <v>0</v>
      </c>
      <c r="I33" s="11" t="n">
        <f>COUNTIFS('Documents'!$A$9:$A$308,$A33,'Documents'!$B$9:$B$308,"Local / scope reference",'Documents'!$E$9:$E$308,"Yes")</f>
        <v>0</v>
      </c>
      <c r="J33" s="11" t="n">
        <f>COUNTIFS('Documents'!$A$9:$A$308,$A33,'Documents'!$B$9:$B$308,"Safety guidance",'Documents'!$E$9:$E$308,"Yes")+COUNTIFS('Documents'!$A$9:$A$308,$A33,'Documents'!$B$9:$B$308,"Corporate announcement",'Documents'!$E$9:$E$308,"Yes")</f>
        <v>0</v>
      </c>
      <c r="K33" s="11" t="n">
        <f>SUM(B33:J33)</f>
        <v>1</v>
      </c>
      <c r="L33" s="11" t="n">
        <f>COUNTIFS('Documents'!$A$9:$A$308,$A33,'Documents'!$E$9:$E$308,"No")</f>
        <v>0</v>
      </c>
      <c r="M33" s="11" t="n">
        <f>COUNTIFS('Documents'!$A$9:$A$308,$A33)</f>
        <v>1</v>
      </c>
      <c r="N33" s="13" t="str">
        <v>SIDDAMENT</v>
      </c>
    </row>
    <row r="34" ht="48" customHeight="1">
      <c r="A34" s="14" t="str">
        <v>Yousu</v>
      </c>
      <c r="B34" s="12" t="n">
        <f>COUNTIFS('Documents'!$A$9:$A$308,$A34,'Documents'!$B$9:$B$308,"Filament TDS",'Documents'!$E$9:$E$308,"Yes")</f>
        <v>1</v>
      </c>
      <c r="C34" s="12" t="n">
        <f>COUNTIFS('Documents'!$A$9:$A$308,$A34,'Documents'!$B$9:$B$308,"SDS",'Documents'!$E$9:$E$308,"Yes")</f>
        <v>0</v>
      </c>
      <c r="D34" s="12" t="n">
        <f>COUNTIFS('Documents'!$A$9:$A$308,$A34,'Documents'!$B$9:$B$308,"Guide / product page",'Documents'!$E$9:$E$308,"Yes")</f>
        <v>0</v>
      </c>
      <c r="E34" s="12" t="n">
        <f>COUNTIFS('Documents'!$A$9:$A$308,$A34,'Documents'!$B$9:$B$308,"Printer documentation",'Documents'!$E$9:$E$308,"Yes")</f>
        <v>0</v>
      </c>
      <c r="F34" s="12" t="n">
        <f>COUNTIFS('Documents'!$A$9:$A$308,$A34,'Documents'!$B$9:$B$308,"Catalogue / pricing",'Documents'!$E$9:$E$308,"Yes")</f>
        <v>0</v>
      </c>
      <c r="G34" s="12" t="n">
        <f>COUNTIFS('Documents'!$A$9:$A$308,$A34,'Documents'!$B$9:$B$308,"Polymer supplier datasheet",'Documents'!$E$9:$E$308,"Yes")</f>
        <v>0</v>
      </c>
      <c r="H34" s="12" t="n">
        <f>COUNTIFS('Documents'!$A$9:$A$308,$A34,'Documents'!$B$9:$B$308,"Research paper",'Documents'!$E$9:$E$308,"Yes")</f>
        <v>0</v>
      </c>
      <c r="I34" s="12" t="n">
        <f>COUNTIFS('Documents'!$A$9:$A$308,$A34,'Documents'!$B$9:$B$308,"Local / scope reference",'Documents'!$E$9:$E$308,"Yes")</f>
        <v>0</v>
      </c>
      <c r="J34" s="12" t="n">
        <f>COUNTIFS('Documents'!$A$9:$A$308,$A34,'Documents'!$B$9:$B$308,"Safety guidance",'Documents'!$E$9:$E$308,"Yes")+COUNTIFS('Documents'!$A$9:$A$308,$A34,'Documents'!$B$9:$B$308,"Corporate announcement",'Documents'!$E$9:$E$308,"Yes")</f>
        <v>0</v>
      </c>
      <c r="K34" s="12" t="n">
        <f>SUM(B34:J34)</f>
        <v>1</v>
      </c>
      <c r="L34" s="12" t="n">
        <f>COUNTIFS('Documents'!$A$9:$A$308,$A34,'Documents'!$E$9:$E$308,"No")</f>
        <v>0</v>
      </c>
      <c r="M34" s="12" t="n">
        <f>COUNTIFS('Documents'!$A$9:$A$308,$A34)</f>
        <v>1</v>
      </c>
      <c r="N34" s="14" t="str">
        <v>Guangzhou Yousu 3D Technology</v>
      </c>
    </row>
    <row r="35" ht="70" customHeight="1">
      <c r="A35" s="13" t="str">
        <v>DuPont</v>
      </c>
      <c r="B35" s="11" t="n">
        <f>COUNTIFS('Documents'!$A$9:$A$308,$A35,'Documents'!$B$9:$B$308,"Filament TDS",'Documents'!$E$9:$E$308,"Yes")</f>
        <v>0</v>
      </c>
      <c r="C35" s="11" t="n">
        <f>COUNTIFS('Documents'!$A$9:$A$308,$A35,'Documents'!$B$9:$B$308,"SDS",'Documents'!$E$9:$E$308,"Yes")</f>
        <v>0</v>
      </c>
      <c r="D35" s="11" t="n">
        <f>COUNTIFS('Documents'!$A$9:$A$308,$A35,'Documents'!$B$9:$B$308,"Guide / product page",'Documents'!$E$9:$E$308,"Yes")</f>
        <v>0</v>
      </c>
      <c r="E35" s="11" t="n">
        <f>COUNTIFS('Documents'!$A$9:$A$308,$A35,'Documents'!$B$9:$B$308,"Printer documentation",'Documents'!$E$9:$E$308,"Yes")</f>
        <v>0</v>
      </c>
      <c r="F35" s="11" t="n">
        <f>COUNTIFS('Documents'!$A$9:$A$308,$A35,'Documents'!$B$9:$B$308,"Catalogue / pricing",'Documents'!$E$9:$E$308,"Yes")</f>
        <v>0</v>
      </c>
      <c r="G35" s="11" t="n">
        <f>COUNTIFS('Documents'!$A$9:$A$308,$A35,'Documents'!$B$9:$B$308,"Polymer supplier datasheet",'Documents'!$E$9:$E$308,"Yes")</f>
        <v>7</v>
      </c>
      <c r="H35" s="11" t="n">
        <f>COUNTIFS('Documents'!$A$9:$A$308,$A35,'Documents'!$B$9:$B$308,"Research paper",'Documents'!$E$9:$E$308,"Yes")</f>
        <v>0</v>
      </c>
      <c r="I35" s="11" t="n">
        <f>COUNTIFS('Documents'!$A$9:$A$308,$A35,'Documents'!$B$9:$B$308,"Local / scope reference",'Documents'!$E$9:$E$308,"Yes")</f>
        <v>0</v>
      </c>
      <c r="J35" s="11" t="n">
        <f>COUNTIFS('Documents'!$A$9:$A$308,$A35,'Documents'!$B$9:$B$308,"Safety guidance",'Documents'!$E$9:$E$308,"Yes")+COUNTIFS('Documents'!$A$9:$A$308,$A35,'Documents'!$B$9:$B$308,"Corporate announcement",'Documents'!$E$9:$E$308,"Yes")</f>
        <v>0</v>
      </c>
      <c r="K35" s="11" t="n">
        <f>SUM(B35:J35)</f>
        <v>7</v>
      </c>
      <c r="L35" s="11" t="n">
        <f>COUNTIFS('Documents'!$A$9:$A$308,$A35,'Documents'!$E$9:$E$308,"No")</f>
        <v>0</v>
      </c>
      <c r="M35" s="11" t="n">
        <f>COUNTIFS('Documents'!$A$9:$A$308,$A35)</f>
        <v>7</v>
      </c>
      <c r="N35" s="13" t="str">
        <v>DuPont Engineering Polymers (document mirrored by Distrupol); DuPont Engineering Polymers (document mirrored by KMS Bearings); DuPont (document mirrored by T-Link); DuPont Engineering Polymers (document mirrored by Material Data Center); DuPont Engineering Polymers (document mirrored by Total Resin); DuPont (document mirrored by Upmold)</v>
      </c>
    </row>
    <row r="36" ht="48" customHeight="1">
      <c r="A36" s="14" t="str">
        <v>3D Printing Canada</v>
      </c>
      <c r="B36" s="12" t="n">
        <f>COUNTIFS('Documents'!$A$9:$A$308,$A36,'Documents'!$B$9:$B$308,"Filament TDS",'Documents'!$E$9:$E$308,"Yes")</f>
        <v>0</v>
      </c>
      <c r="C36" s="12" t="n">
        <f>COUNTIFS('Documents'!$A$9:$A$308,$A36,'Documents'!$B$9:$B$308,"SDS",'Documents'!$E$9:$E$308,"Yes")</f>
        <v>0</v>
      </c>
      <c r="D36" s="12" t="n">
        <f>COUNTIFS('Documents'!$A$9:$A$308,$A36,'Documents'!$B$9:$B$308,"Guide / product page",'Documents'!$E$9:$E$308,"Yes")</f>
        <v>0</v>
      </c>
      <c r="E36" s="12" t="n">
        <f>COUNTIFS('Documents'!$A$9:$A$308,$A36,'Documents'!$B$9:$B$308,"Printer documentation",'Documents'!$E$9:$E$308,"Yes")</f>
        <v>0</v>
      </c>
      <c r="F36" s="12" t="n">
        <f>COUNTIFS('Documents'!$A$9:$A$308,$A36,'Documents'!$B$9:$B$308,"Catalogue / pricing",'Documents'!$E$9:$E$308,"Yes")</f>
        <v>4</v>
      </c>
      <c r="G36" s="12" t="n">
        <f>COUNTIFS('Documents'!$A$9:$A$308,$A36,'Documents'!$B$9:$B$308,"Polymer supplier datasheet",'Documents'!$E$9:$E$308,"Yes")</f>
        <v>0</v>
      </c>
      <c r="H36" s="12" t="n">
        <f>COUNTIFS('Documents'!$A$9:$A$308,$A36,'Documents'!$B$9:$B$308,"Research paper",'Documents'!$E$9:$E$308,"Yes")</f>
        <v>0</v>
      </c>
      <c r="I36" s="12" t="n">
        <f>COUNTIFS('Documents'!$A$9:$A$308,$A36,'Documents'!$B$9:$B$308,"Local / scope reference",'Documents'!$E$9:$E$308,"Yes")</f>
        <v>0</v>
      </c>
      <c r="J36" s="12" t="n">
        <f>COUNTIFS('Documents'!$A$9:$A$308,$A36,'Documents'!$B$9:$B$308,"Safety guidance",'Documents'!$E$9:$E$308,"Yes")+COUNTIFS('Documents'!$A$9:$A$308,$A36,'Documents'!$B$9:$B$308,"Corporate announcement",'Documents'!$E$9:$E$308,"Yes")</f>
        <v>0</v>
      </c>
      <c r="K36" s="12" t="n">
        <f>SUM(B36:J36)</f>
        <v>4</v>
      </c>
      <c r="L36" s="12" t="n">
        <f>COUNTIFS('Documents'!$A$9:$A$308,$A36,'Documents'!$E$9:$E$308,"No")</f>
        <v>0</v>
      </c>
      <c r="M36" s="12" t="n">
        <f>COUNTIFS('Documents'!$A$9:$A$308,$A36)</f>
        <v>4</v>
      </c>
      <c r="N36" s="14" t="str">
        <v>CA-3DPC1; CA-3DPC3; CA-3DPC4; CA-ADVANCED</v>
      </c>
    </row>
    <row r="37" ht="48" customHeight="1">
      <c r="A37" s="13" t="str">
        <v>BASF (polymer data)</v>
      </c>
      <c r="B37" s="11" t="n">
        <f>COUNTIFS('Documents'!$A$9:$A$308,$A37,'Documents'!$B$9:$B$308,"Filament TDS",'Documents'!$E$9:$E$308,"Yes")</f>
        <v>0</v>
      </c>
      <c r="C37" s="11" t="n">
        <f>COUNTIFS('Documents'!$A$9:$A$308,$A37,'Documents'!$B$9:$B$308,"SDS",'Documents'!$E$9:$E$308,"Yes")</f>
        <v>0</v>
      </c>
      <c r="D37" s="11" t="n">
        <f>COUNTIFS('Documents'!$A$9:$A$308,$A37,'Documents'!$B$9:$B$308,"Guide / product page",'Documents'!$E$9:$E$308,"Yes")</f>
        <v>0</v>
      </c>
      <c r="E37" s="11" t="n">
        <f>COUNTIFS('Documents'!$A$9:$A$308,$A37,'Documents'!$B$9:$B$308,"Printer documentation",'Documents'!$E$9:$E$308,"Yes")</f>
        <v>0</v>
      </c>
      <c r="F37" s="11" t="n">
        <f>COUNTIFS('Documents'!$A$9:$A$308,$A37,'Documents'!$B$9:$B$308,"Catalogue / pricing",'Documents'!$E$9:$E$308,"Yes")</f>
        <v>0</v>
      </c>
      <c r="G37" s="11" t="n">
        <f>COUNTIFS('Documents'!$A$9:$A$308,$A37,'Documents'!$B$9:$B$308,"Polymer supplier datasheet",'Documents'!$E$9:$E$308,"Yes")</f>
        <v>4</v>
      </c>
      <c r="H37" s="11" t="n">
        <f>COUNTIFS('Documents'!$A$9:$A$308,$A37,'Documents'!$B$9:$B$308,"Research paper",'Documents'!$E$9:$E$308,"Yes")</f>
        <v>0</v>
      </c>
      <c r="I37" s="11" t="n">
        <f>COUNTIFS('Documents'!$A$9:$A$308,$A37,'Documents'!$B$9:$B$308,"Local / scope reference",'Documents'!$E$9:$E$308,"Yes")</f>
        <v>0</v>
      </c>
      <c r="J37" s="11" t="n">
        <f>COUNTIFS('Documents'!$A$9:$A$308,$A37,'Documents'!$B$9:$B$308,"Safety guidance",'Documents'!$E$9:$E$308,"Yes")+COUNTIFS('Documents'!$A$9:$A$308,$A37,'Documents'!$B$9:$B$308,"Corporate announcement",'Documents'!$E$9:$E$308,"Yes")</f>
        <v>0</v>
      </c>
      <c r="K37" s="11" t="n">
        <f>SUM(B37:J37)</f>
        <v>4</v>
      </c>
      <c r="L37" s="11" t="n">
        <f>COUNTIFS('Documents'!$A$9:$A$308,$A37,'Documents'!$E$9:$E$308,"No")</f>
        <v>0</v>
      </c>
      <c r="M37" s="11" t="n">
        <f>COUNTIFS('Documents'!$A$9:$A$308,$A37)</f>
        <v>4</v>
      </c>
      <c r="N37" s="13" t="str">
        <v>BASF Aktiengesellschaft (document mirrored by OKW Gehäusesysteme); BASF Polyurethanes GmbH; BASF SE (document mirrored by University of Connecticut, physics wiki); BASF Corporation</v>
      </c>
    </row>
    <row r="38" ht="48" customHeight="1">
      <c r="A38" s="14" t="str">
        <v>User-supplied reference</v>
      </c>
      <c r="B38" s="12" t="n">
        <f>COUNTIFS('Documents'!$A$9:$A$308,$A38,'Documents'!$B$9:$B$308,"Filament TDS",'Documents'!$E$9:$E$308,"Yes")</f>
        <v>0</v>
      </c>
      <c r="C38" s="12" t="n">
        <f>COUNTIFS('Documents'!$A$9:$A$308,$A38,'Documents'!$B$9:$B$308,"SDS",'Documents'!$E$9:$E$308,"Yes")</f>
        <v>0</v>
      </c>
      <c r="D38" s="12" t="n">
        <f>COUNTIFS('Documents'!$A$9:$A$308,$A38,'Documents'!$B$9:$B$308,"Guide / product page",'Documents'!$E$9:$E$308,"Yes")</f>
        <v>0</v>
      </c>
      <c r="E38" s="12" t="n">
        <f>COUNTIFS('Documents'!$A$9:$A$308,$A38,'Documents'!$B$9:$B$308,"Printer documentation",'Documents'!$E$9:$E$308,"Yes")</f>
        <v>0</v>
      </c>
      <c r="F38" s="12" t="n">
        <f>COUNTIFS('Documents'!$A$9:$A$308,$A38,'Documents'!$B$9:$B$308,"Catalogue / pricing",'Documents'!$E$9:$E$308,"Yes")</f>
        <v>0</v>
      </c>
      <c r="G38" s="12" t="n">
        <f>COUNTIFS('Documents'!$A$9:$A$308,$A38,'Documents'!$B$9:$B$308,"Polymer supplier datasheet",'Documents'!$E$9:$E$308,"Yes")</f>
        <v>0</v>
      </c>
      <c r="H38" s="12" t="n">
        <f>COUNTIFS('Documents'!$A$9:$A$308,$A38,'Documents'!$B$9:$B$308,"Research paper",'Documents'!$E$9:$E$308,"Yes")</f>
        <v>0</v>
      </c>
      <c r="I38" s="12" t="n">
        <f>COUNTIFS('Documents'!$A$9:$A$308,$A38,'Documents'!$B$9:$B$308,"Local / scope reference",'Documents'!$E$9:$E$308,"Yes")</f>
        <v>4</v>
      </c>
      <c r="J38" s="12" t="n">
        <f>COUNTIFS('Documents'!$A$9:$A$308,$A38,'Documents'!$B$9:$B$308,"Safety guidance",'Documents'!$E$9:$E$308,"Yes")+COUNTIFS('Documents'!$A$9:$A$308,$A38,'Documents'!$B$9:$B$308,"Corporate announcement",'Documents'!$E$9:$E$308,"Yes")</f>
        <v>0</v>
      </c>
      <c r="K38" s="12" t="n">
        <f>SUM(B38:J38)</f>
        <v>4</v>
      </c>
      <c r="L38" s="12" t="n">
        <f>COUNTIFS('Documents'!$A$9:$A$308,$A38,'Documents'!$E$9:$E$308,"No")</f>
        <v>0</v>
      </c>
      <c r="M38" s="12" t="n">
        <f>COUNTIFS('Documents'!$A$9:$A$308,$A38)</f>
        <v>4</v>
      </c>
      <c r="N38" s="14" t="str">
        <v>User-supplied reference</v>
      </c>
    </row>
    <row r="39" ht="48" customHeight="1">
      <c r="A39" s="13" t="str">
        <v>Kuraray</v>
      </c>
      <c r="B39" s="11" t="n">
        <f>COUNTIFS('Documents'!$A$9:$A$308,$A39,'Documents'!$B$9:$B$308,"Filament TDS",'Documents'!$E$9:$E$308,"Yes")</f>
        <v>0</v>
      </c>
      <c r="C39" s="11" t="n">
        <f>COUNTIFS('Documents'!$A$9:$A$308,$A39,'Documents'!$B$9:$B$308,"SDS",'Documents'!$E$9:$E$308,"Yes")</f>
        <v>0</v>
      </c>
      <c r="D39" s="11" t="n">
        <f>COUNTIFS('Documents'!$A$9:$A$308,$A39,'Documents'!$B$9:$B$308,"Guide / product page",'Documents'!$E$9:$E$308,"Yes")</f>
        <v>0</v>
      </c>
      <c r="E39" s="11" t="n">
        <f>COUNTIFS('Documents'!$A$9:$A$308,$A39,'Documents'!$B$9:$B$308,"Printer documentation",'Documents'!$E$9:$E$308,"Yes")</f>
        <v>0</v>
      </c>
      <c r="F39" s="11" t="n">
        <f>COUNTIFS('Documents'!$A$9:$A$308,$A39,'Documents'!$B$9:$B$308,"Catalogue / pricing",'Documents'!$E$9:$E$308,"Yes")</f>
        <v>0</v>
      </c>
      <c r="G39" s="11" t="n">
        <f>COUNTIFS('Documents'!$A$9:$A$308,$A39,'Documents'!$B$9:$B$308,"Polymer supplier datasheet",'Documents'!$E$9:$E$308,"Yes")</f>
        <v>3</v>
      </c>
      <c r="H39" s="11" t="n">
        <f>COUNTIFS('Documents'!$A$9:$A$308,$A39,'Documents'!$B$9:$B$308,"Research paper",'Documents'!$E$9:$E$308,"Yes")</f>
        <v>0</v>
      </c>
      <c r="I39" s="11" t="n">
        <f>COUNTIFS('Documents'!$A$9:$A$308,$A39,'Documents'!$B$9:$B$308,"Local / scope reference",'Documents'!$E$9:$E$308,"Yes")</f>
        <v>0</v>
      </c>
      <c r="J39" s="11" t="n">
        <f>COUNTIFS('Documents'!$A$9:$A$308,$A39,'Documents'!$B$9:$B$308,"Safety guidance",'Documents'!$E$9:$E$308,"Yes")+COUNTIFS('Documents'!$A$9:$A$308,$A39,'Documents'!$B$9:$B$308,"Corporate announcement",'Documents'!$E$9:$E$308,"Yes")</f>
        <v>0</v>
      </c>
      <c r="K39" s="11" t="n">
        <f>SUM(B39:J39)</f>
        <v>3</v>
      </c>
      <c r="L39" s="11" t="n">
        <f>COUNTIFS('Documents'!$A$9:$A$308,$A39,'Documents'!$E$9:$E$308,"No")</f>
        <v>0</v>
      </c>
      <c r="M39" s="11" t="n">
        <f>COUNTIFS('Documents'!$A$9:$A$308,$A39)</f>
        <v>3</v>
      </c>
      <c r="N39" s="13" t="str">
        <v>Kuraray Europe GmbH; Kuraray Europe GmbH (document mirrored by WASP)</v>
      </c>
    </row>
    <row r="40" ht="48" customHeight="1">
      <c r="A40" s="14" t="str">
        <v>Arkema</v>
      </c>
      <c r="B40" s="12" t="n">
        <f>COUNTIFS('Documents'!$A$9:$A$308,$A40,'Documents'!$B$9:$B$308,"Filament TDS",'Documents'!$E$9:$E$308,"Yes")</f>
        <v>0</v>
      </c>
      <c r="C40" s="12" t="n">
        <f>COUNTIFS('Documents'!$A$9:$A$308,$A40,'Documents'!$B$9:$B$308,"SDS",'Documents'!$E$9:$E$308,"Yes")</f>
        <v>0</v>
      </c>
      <c r="D40" s="12" t="n">
        <f>COUNTIFS('Documents'!$A$9:$A$308,$A40,'Documents'!$B$9:$B$308,"Guide / product page",'Documents'!$E$9:$E$308,"Yes")</f>
        <v>0</v>
      </c>
      <c r="E40" s="12" t="n">
        <f>COUNTIFS('Documents'!$A$9:$A$308,$A40,'Documents'!$B$9:$B$308,"Printer documentation",'Documents'!$E$9:$E$308,"Yes")</f>
        <v>0</v>
      </c>
      <c r="F40" s="12" t="n">
        <f>COUNTIFS('Documents'!$A$9:$A$308,$A40,'Documents'!$B$9:$B$308,"Catalogue / pricing",'Documents'!$E$9:$E$308,"Yes")</f>
        <v>0</v>
      </c>
      <c r="G40" s="12" t="n">
        <f>COUNTIFS('Documents'!$A$9:$A$308,$A40,'Documents'!$B$9:$B$308,"Polymer supplier datasheet",'Documents'!$E$9:$E$308,"Yes")</f>
        <v>2</v>
      </c>
      <c r="H40" s="12" t="n">
        <f>COUNTIFS('Documents'!$A$9:$A$308,$A40,'Documents'!$B$9:$B$308,"Research paper",'Documents'!$E$9:$E$308,"Yes")</f>
        <v>0</v>
      </c>
      <c r="I40" s="12" t="n">
        <f>COUNTIFS('Documents'!$A$9:$A$308,$A40,'Documents'!$B$9:$B$308,"Local / scope reference",'Documents'!$E$9:$E$308,"Yes")</f>
        <v>0</v>
      </c>
      <c r="J40" s="12" t="n">
        <f>COUNTIFS('Documents'!$A$9:$A$308,$A40,'Documents'!$B$9:$B$308,"Safety guidance",'Documents'!$E$9:$E$308,"Yes")+COUNTIFS('Documents'!$A$9:$A$308,$A40,'Documents'!$B$9:$B$308,"Corporate announcement",'Documents'!$E$9:$E$308,"Yes")</f>
        <v>0</v>
      </c>
      <c r="K40" s="12" t="n">
        <f>SUM(B40:J40)</f>
        <v>2</v>
      </c>
      <c r="L40" s="12" t="n">
        <f>COUNTIFS('Documents'!$A$9:$A$308,$A40,'Documents'!$E$9:$E$308,"No")</f>
        <v>0</v>
      </c>
      <c r="M40" s="12" t="n">
        <f>COUNTIFS('Documents'!$A$9:$A$308,$A40)</f>
        <v>2</v>
      </c>
      <c r="N40" s="14" t="str">
        <v>Arkema; Arkema Inc.</v>
      </c>
    </row>
    <row r="41" ht="48" customHeight="1">
      <c r="A41" s="13" t="str">
        <v>NatureWorks LLC</v>
      </c>
      <c r="B41" s="11" t="n">
        <f>COUNTIFS('Documents'!$A$9:$A$308,$A41,'Documents'!$B$9:$B$308,"Filament TDS",'Documents'!$E$9:$E$308,"Yes")</f>
        <v>0</v>
      </c>
      <c r="C41" s="11" t="n">
        <f>COUNTIFS('Documents'!$A$9:$A$308,$A41,'Documents'!$B$9:$B$308,"SDS",'Documents'!$E$9:$E$308,"Yes")</f>
        <v>0</v>
      </c>
      <c r="D41" s="11" t="n">
        <f>COUNTIFS('Documents'!$A$9:$A$308,$A41,'Documents'!$B$9:$B$308,"Guide / product page",'Documents'!$E$9:$E$308,"Yes")</f>
        <v>0</v>
      </c>
      <c r="E41" s="11" t="n">
        <f>COUNTIFS('Documents'!$A$9:$A$308,$A41,'Documents'!$B$9:$B$308,"Printer documentation",'Documents'!$E$9:$E$308,"Yes")</f>
        <v>0</v>
      </c>
      <c r="F41" s="11" t="n">
        <f>COUNTIFS('Documents'!$A$9:$A$308,$A41,'Documents'!$B$9:$B$308,"Catalogue / pricing",'Documents'!$E$9:$E$308,"Yes")</f>
        <v>0</v>
      </c>
      <c r="G41" s="11" t="n">
        <f>COUNTIFS('Documents'!$A$9:$A$308,$A41,'Documents'!$B$9:$B$308,"Polymer supplier datasheet",'Documents'!$E$9:$E$308,"Yes")</f>
        <v>2</v>
      </c>
      <c r="H41" s="11" t="n">
        <f>COUNTIFS('Documents'!$A$9:$A$308,$A41,'Documents'!$B$9:$B$308,"Research paper",'Documents'!$E$9:$E$308,"Yes")</f>
        <v>0</v>
      </c>
      <c r="I41" s="11" t="n">
        <f>COUNTIFS('Documents'!$A$9:$A$308,$A41,'Documents'!$B$9:$B$308,"Local / scope reference",'Documents'!$E$9:$E$308,"Yes")</f>
        <v>0</v>
      </c>
      <c r="J41" s="11" t="n">
        <f>COUNTIFS('Documents'!$A$9:$A$308,$A41,'Documents'!$B$9:$B$308,"Safety guidance",'Documents'!$E$9:$E$308,"Yes")+COUNTIFS('Documents'!$A$9:$A$308,$A41,'Documents'!$B$9:$B$308,"Corporate announcement",'Documents'!$E$9:$E$308,"Yes")</f>
        <v>0</v>
      </c>
      <c r="K41" s="11" t="n">
        <f>SUM(B41:J41)</f>
        <v>2</v>
      </c>
      <c r="L41" s="11" t="n">
        <f>COUNTIFS('Documents'!$A$9:$A$308,$A41,'Documents'!$E$9:$E$308,"No")</f>
        <v>0</v>
      </c>
      <c r="M41" s="11" t="n">
        <f>COUNTIFS('Documents'!$A$9:$A$308,$A41)</f>
        <v>2</v>
      </c>
      <c r="N41" s="13" t="str">
        <v>NatureWorks LLC</v>
      </c>
    </row>
    <row r="42" ht="48" customHeight="1">
      <c r="A42" s="14" t="str">
        <v>Rodrigues et al. / Polymers</v>
      </c>
      <c r="B42" s="12" t="n">
        <f>COUNTIFS('Documents'!$A$9:$A$308,$A42,'Documents'!$B$9:$B$308,"Filament TDS",'Documents'!$E$9:$E$308,"Yes")</f>
        <v>0</v>
      </c>
      <c r="C42" s="12" t="n">
        <f>COUNTIFS('Documents'!$A$9:$A$308,$A42,'Documents'!$B$9:$B$308,"SDS",'Documents'!$E$9:$E$308,"Yes")</f>
        <v>0</v>
      </c>
      <c r="D42" s="12" t="n">
        <f>COUNTIFS('Documents'!$A$9:$A$308,$A42,'Documents'!$B$9:$B$308,"Guide / product page",'Documents'!$E$9:$E$308,"Yes")</f>
        <v>0</v>
      </c>
      <c r="E42" s="12" t="n">
        <f>COUNTIFS('Documents'!$A$9:$A$308,$A42,'Documents'!$B$9:$B$308,"Printer documentation",'Documents'!$E$9:$E$308,"Yes")</f>
        <v>0</v>
      </c>
      <c r="F42" s="12" t="n">
        <f>COUNTIFS('Documents'!$A$9:$A$308,$A42,'Documents'!$B$9:$B$308,"Catalogue / pricing",'Documents'!$E$9:$E$308,"Yes")</f>
        <v>0</v>
      </c>
      <c r="G42" s="12" t="n">
        <f>COUNTIFS('Documents'!$A$9:$A$308,$A42,'Documents'!$B$9:$B$308,"Polymer supplier datasheet",'Documents'!$E$9:$E$308,"Yes")</f>
        <v>0</v>
      </c>
      <c r="H42" s="12" t="n">
        <f>COUNTIFS('Documents'!$A$9:$A$308,$A42,'Documents'!$B$9:$B$308,"Research paper",'Documents'!$E$9:$E$308,"Yes")</f>
        <v>2</v>
      </c>
      <c r="I42" s="12" t="n">
        <f>COUNTIFS('Documents'!$A$9:$A$308,$A42,'Documents'!$B$9:$B$308,"Local / scope reference",'Documents'!$E$9:$E$308,"Yes")</f>
        <v>0</v>
      </c>
      <c r="J42" s="12" t="n">
        <f>COUNTIFS('Documents'!$A$9:$A$308,$A42,'Documents'!$B$9:$B$308,"Safety guidance",'Documents'!$E$9:$E$308,"Yes")+COUNTIFS('Documents'!$A$9:$A$308,$A42,'Documents'!$B$9:$B$308,"Corporate announcement",'Documents'!$E$9:$E$308,"Yes")</f>
        <v>0</v>
      </c>
      <c r="K42" s="12" t="n">
        <f>SUM(B42:J42)</f>
        <v>2</v>
      </c>
      <c r="L42" s="12" t="n">
        <f>COUNTIFS('Documents'!$A$9:$A$308,$A42,'Documents'!$E$9:$E$308,"No")</f>
        <v>0</v>
      </c>
      <c r="M42" s="12" t="n">
        <f>COUNTIFS('Documents'!$A$9:$A$308,$A42)</f>
        <v>2</v>
      </c>
      <c r="N42" s="14" t="str">
        <v>Rodrigues et al., Polymers 18(2), 302; Rodrigues et al., Polymers</v>
      </c>
    </row>
    <row r="43" ht="48" customHeight="1">
      <c r="A43" s="13" t="str">
        <v>CDC / NIOSH</v>
      </c>
      <c r="B43" s="11" t="n">
        <f>COUNTIFS('Documents'!$A$9:$A$308,$A43,'Documents'!$B$9:$B$308,"Filament TDS",'Documents'!$E$9:$E$308,"Yes")</f>
        <v>0</v>
      </c>
      <c r="C43" s="11" t="n">
        <f>COUNTIFS('Documents'!$A$9:$A$308,$A43,'Documents'!$B$9:$B$308,"SDS",'Documents'!$E$9:$E$308,"Yes")</f>
        <v>0</v>
      </c>
      <c r="D43" s="11" t="n">
        <f>COUNTIFS('Documents'!$A$9:$A$308,$A43,'Documents'!$B$9:$B$308,"Guide / product page",'Documents'!$E$9:$E$308,"Yes")</f>
        <v>0</v>
      </c>
      <c r="E43" s="11" t="n">
        <f>COUNTIFS('Documents'!$A$9:$A$308,$A43,'Documents'!$B$9:$B$308,"Printer documentation",'Documents'!$E$9:$E$308,"Yes")</f>
        <v>0</v>
      </c>
      <c r="F43" s="11" t="n">
        <f>COUNTIFS('Documents'!$A$9:$A$308,$A43,'Documents'!$B$9:$B$308,"Catalogue / pricing",'Documents'!$E$9:$E$308,"Yes")</f>
        <v>0</v>
      </c>
      <c r="G43" s="11" t="n">
        <f>COUNTIFS('Documents'!$A$9:$A$308,$A43,'Documents'!$B$9:$B$308,"Polymer supplier datasheet",'Documents'!$E$9:$E$308,"Yes")</f>
        <v>0</v>
      </c>
      <c r="H43" s="11" t="n">
        <f>COUNTIFS('Documents'!$A$9:$A$308,$A43,'Documents'!$B$9:$B$308,"Research paper",'Documents'!$E$9:$E$308,"Yes")</f>
        <v>0</v>
      </c>
      <c r="I43" s="11" t="n">
        <f>COUNTIFS('Documents'!$A$9:$A$308,$A43,'Documents'!$B$9:$B$308,"Local / scope reference",'Documents'!$E$9:$E$308,"Yes")</f>
        <v>0</v>
      </c>
      <c r="J43" s="11" t="n">
        <f>COUNTIFS('Documents'!$A$9:$A$308,$A43,'Documents'!$B$9:$B$308,"Safety guidance",'Documents'!$E$9:$E$308,"Yes")+COUNTIFS('Documents'!$A$9:$A$308,$A43,'Documents'!$B$9:$B$308,"Corporate announcement",'Documents'!$E$9:$E$308,"Yes")</f>
        <v>1</v>
      </c>
      <c r="K43" s="11" t="n">
        <f>SUM(B43:J43)</f>
        <v>1</v>
      </c>
      <c r="L43" s="11" t="n">
        <f>COUNTIFS('Documents'!$A$9:$A$308,$A43,'Documents'!$E$9:$E$308,"No")</f>
        <v>0</v>
      </c>
      <c r="M43" s="11" t="n">
        <f>COUNTIFS('Documents'!$A$9:$A$308,$A43)</f>
        <v>1</v>
      </c>
      <c r="N43" s="13" t="str">
        <v>CDC / NIOSH</v>
      </c>
    </row>
    <row r="44" ht="48" customHeight="1">
      <c r="A44" s="14" t="str">
        <v>Celanese / DuPont (document mirrored by Quickparts)</v>
      </c>
      <c r="B44" s="12" t="n">
        <f>COUNTIFS('Documents'!$A$9:$A$308,$A44,'Documents'!$B$9:$B$308,"Filament TDS",'Documents'!$E$9:$E$308,"Yes")</f>
        <v>0</v>
      </c>
      <c r="C44" s="12" t="n">
        <f>COUNTIFS('Documents'!$A$9:$A$308,$A44,'Documents'!$B$9:$B$308,"SDS",'Documents'!$E$9:$E$308,"Yes")</f>
        <v>0</v>
      </c>
      <c r="D44" s="12" t="n">
        <f>COUNTIFS('Documents'!$A$9:$A$308,$A44,'Documents'!$B$9:$B$308,"Guide / product page",'Documents'!$E$9:$E$308,"Yes")</f>
        <v>0</v>
      </c>
      <c r="E44" s="12" t="n">
        <f>COUNTIFS('Documents'!$A$9:$A$308,$A44,'Documents'!$B$9:$B$308,"Printer documentation",'Documents'!$E$9:$E$308,"Yes")</f>
        <v>0</v>
      </c>
      <c r="F44" s="12" t="n">
        <f>COUNTIFS('Documents'!$A$9:$A$308,$A44,'Documents'!$B$9:$B$308,"Catalogue / pricing",'Documents'!$E$9:$E$308,"Yes")</f>
        <v>0</v>
      </c>
      <c r="G44" s="12" t="n">
        <f>COUNTIFS('Documents'!$A$9:$A$308,$A44,'Documents'!$B$9:$B$308,"Polymer supplier datasheet",'Documents'!$E$9:$E$308,"Yes")</f>
        <v>1</v>
      </c>
      <c r="H44" s="12" t="n">
        <f>COUNTIFS('Documents'!$A$9:$A$308,$A44,'Documents'!$B$9:$B$308,"Research paper",'Documents'!$E$9:$E$308,"Yes")</f>
        <v>0</v>
      </c>
      <c r="I44" s="12" t="n">
        <f>COUNTIFS('Documents'!$A$9:$A$308,$A44,'Documents'!$B$9:$B$308,"Local / scope reference",'Documents'!$E$9:$E$308,"Yes")</f>
        <v>0</v>
      </c>
      <c r="J44" s="12" t="n">
        <f>COUNTIFS('Documents'!$A$9:$A$308,$A44,'Documents'!$B$9:$B$308,"Safety guidance",'Documents'!$E$9:$E$308,"Yes")+COUNTIFS('Documents'!$A$9:$A$308,$A44,'Documents'!$B$9:$B$308,"Corporate announcement",'Documents'!$E$9:$E$308,"Yes")</f>
        <v>0</v>
      </c>
      <c r="K44" s="12" t="n">
        <f>SUM(B44:J44)</f>
        <v>1</v>
      </c>
      <c r="L44" s="12" t="n">
        <f>COUNTIFS('Documents'!$A$9:$A$308,$A44,'Documents'!$E$9:$E$308,"No")</f>
        <v>0</v>
      </c>
      <c r="M44" s="12" t="n">
        <f>COUNTIFS('Documents'!$A$9:$A$308,$A44)</f>
        <v>1</v>
      </c>
      <c r="N44" s="14" t="str">
        <v>Celanese / DuPont (document mirrored by Quickparts)</v>
      </c>
    </row>
    <row r="45" ht="48" customHeight="1">
      <c r="A45" s="13" t="str">
        <v>Covestro Deutschland AG</v>
      </c>
      <c r="B45" s="11" t="n">
        <f>COUNTIFS('Documents'!$A$9:$A$308,$A45,'Documents'!$B$9:$B$308,"Filament TDS",'Documents'!$E$9:$E$308,"Yes")</f>
        <v>0</v>
      </c>
      <c r="C45" s="11" t="n">
        <f>COUNTIFS('Documents'!$A$9:$A$308,$A45,'Documents'!$B$9:$B$308,"SDS",'Documents'!$E$9:$E$308,"Yes")</f>
        <v>0</v>
      </c>
      <c r="D45" s="11" t="n">
        <f>COUNTIFS('Documents'!$A$9:$A$308,$A45,'Documents'!$B$9:$B$308,"Guide / product page",'Documents'!$E$9:$E$308,"Yes")</f>
        <v>0</v>
      </c>
      <c r="E45" s="11" t="n">
        <f>COUNTIFS('Documents'!$A$9:$A$308,$A45,'Documents'!$B$9:$B$308,"Printer documentation",'Documents'!$E$9:$E$308,"Yes")</f>
        <v>0</v>
      </c>
      <c r="F45" s="11" t="n">
        <f>COUNTIFS('Documents'!$A$9:$A$308,$A45,'Documents'!$B$9:$B$308,"Catalogue / pricing",'Documents'!$E$9:$E$308,"Yes")</f>
        <v>0</v>
      </c>
      <c r="G45" s="11" t="n">
        <f>COUNTIFS('Documents'!$A$9:$A$308,$A45,'Documents'!$B$9:$B$308,"Polymer supplier datasheet",'Documents'!$E$9:$E$308,"Yes")</f>
        <v>1</v>
      </c>
      <c r="H45" s="11" t="n">
        <f>COUNTIFS('Documents'!$A$9:$A$308,$A45,'Documents'!$B$9:$B$308,"Research paper",'Documents'!$E$9:$E$308,"Yes")</f>
        <v>0</v>
      </c>
      <c r="I45" s="11" t="n">
        <f>COUNTIFS('Documents'!$A$9:$A$308,$A45,'Documents'!$B$9:$B$308,"Local / scope reference",'Documents'!$E$9:$E$308,"Yes")</f>
        <v>0</v>
      </c>
      <c r="J45" s="11" t="n">
        <f>COUNTIFS('Documents'!$A$9:$A$308,$A45,'Documents'!$B$9:$B$308,"Safety guidance",'Documents'!$E$9:$E$308,"Yes")+COUNTIFS('Documents'!$A$9:$A$308,$A45,'Documents'!$B$9:$B$308,"Corporate announcement",'Documents'!$E$9:$E$308,"Yes")</f>
        <v>0</v>
      </c>
      <c r="K45" s="11" t="n">
        <f>SUM(B45:J45)</f>
        <v>1</v>
      </c>
      <c r="L45" s="11" t="n">
        <f>COUNTIFS('Documents'!$A$9:$A$308,$A45,'Documents'!$E$9:$E$308,"No")</f>
        <v>0</v>
      </c>
      <c r="M45" s="11" t="n">
        <f>COUNTIFS('Documents'!$A$9:$A$308,$A45)</f>
        <v>1</v>
      </c>
      <c r="N45" s="13" t="str">
        <v>Covestro Deutschland AG</v>
      </c>
    </row>
    <row r="46" ht="48" customHeight="1">
      <c r="A46" s="14" t="str">
        <v>EMS-GRIVORY</v>
      </c>
      <c r="B46" s="12" t="n">
        <f>COUNTIFS('Documents'!$A$9:$A$308,$A46,'Documents'!$B$9:$B$308,"Filament TDS",'Documents'!$E$9:$E$308,"Yes")</f>
        <v>0</v>
      </c>
      <c r="C46" s="12" t="n">
        <f>COUNTIFS('Documents'!$A$9:$A$308,$A46,'Documents'!$B$9:$B$308,"SDS",'Documents'!$E$9:$E$308,"Yes")</f>
        <v>0</v>
      </c>
      <c r="D46" s="12" t="n">
        <f>COUNTIFS('Documents'!$A$9:$A$308,$A46,'Documents'!$B$9:$B$308,"Guide / product page",'Documents'!$E$9:$E$308,"Yes")</f>
        <v>0</v>
      </c>
      <c r="E46" s="12" t="n">
        <f>COUNTIFS('Documents'!$A$9:$A$308,$A46,'Documents'!$B$9:$B$308,"Printer documentation",'Documents'!$E$9:$E$308,"Yes")</f>
        <v>0</v>
      </c>
      <c r="F46" s="12" t="n">
        <f>COUNTIFS('Documents'!$A$9:$A$308,$A46,'Documents'!$B$9:$B$308,"Catalogue / pricing",'Documents'!$E$9:$E$308,"Yes")</f>
        <v>0</v>
      </c>
      <c r="G46" s="12" t="n">
        <f>COUNTIFS('Documents'!$A$9:$A$308,$A46,'Documents'!$B$9:$B$308,"Polymer supplier datasheet",'Documents'!$E$9:$E$308,"Yes")</f>
        <v>1</v>
      </c>
      <c r="H46" s="12" t="n">
        <f>COUNTIFS('Documents'!$A$9:$A$308,$A46,'Documents'!$B$9:$B$308,"Research paper",'Documents'!$E$9:$E$308,"Yes")</f>
        <v>0</v>
      </c>
      <c r="I46" s="12" t="n">
        <f>COUNTIFS('Documents'!$A$9:$A$308,$A46,'Documents'!$B$9:$B$308,"Local / scope reference",'Documents'!$E$9:$E$308,"Yes")</f>
        <v>0</v>
      </c>
      <c r="J46" s="12" t="n">
        <f>COUNTIFS('Documents'!$A$9:$A$308,$A46,'Documents'!$B$9:$B$308,"Safety guidance",'Documents'!$E$9:$E$308,"Yes")+COUNTIFS('Documents'!$A$9:$A$308,$A46,'Documents'!$B$9:$B$308,"Corporate announcement",'Documents'!$E$9:$E$308,"Yes")</f>
        <v>0</v>
      </c>
      <c r="K46" s="12" t="n">
        <f>SUM(B46:J46)</f>
        <v>1</v>
      </c>
      <c r="L46" s="12" t="n">
        <f>COUNTIFS('Documents'!$A$9:$A$308,$A46,'Documents'!$E$9:$E$308,"No")</f>
        <v>0</v>
      </c>
      <c r="M46" s="12" t="n">
        <f>COUNTIFS('Documents'!$A$9:$A$308,$A46)</f>
        <v>1</v>
      </c>
      <c r="N46" s="14" t="str">
        <v>EMS-GRIVORY</v>
      </c>
    </row>
    <row r="47" ht="48" customHeight="1">
      <c r="A47" s="13" t="str">
        <v>Eastman Chemical Company</v>
      </c>
      <c r="B47" s="11" t="n">
        <f>COUNTIFS('Documents'!$A$9:$A$308,$A47,'Documents'!$B$9:$B$308,"Filament TDS",'Documents'!$E$9:$E$308,"Yes")</f>
        <v>0</v>
      </c>
      <c r="C47" s="11" t="n">
        <f>COUNTIFS('Documents'!$A$9:$A$308,$A47,'Documents'!$B$9:$B$308,"SDS",'Documents'!$E$9:$E$308,"Yes")</f>
        <v>0</v>
      </c>
      <c r="D47" s="11" t="n">
        <f>COUNTIFS('Documents'!$A$9:$A$308,$A47,'Documents'!$B$9:$B$308,"Guide / product page",'Documents'!$E$9:$E$308,"Yes")</f>
        <v>0</v>
      </c>
      <c r="E47" s="11" t="n">
        <f>COUNTIFS('Documents'!$A$9:$A$308,$A47,'Documents'!$B$9:$B$308,"Printer documentation",'Documents'!$E$9:$E$308,"Yes")</f>
        <v>0</v>
      </c>
      <c r="F47" s="11" t="n">
        <f>COUNTIFS('Documents'!$A$9:$A$308,$A47,'Documents'!$B$9:$B$308,"Catalogue / pricing",'Documents'!$E$9:$E$308,"Yes")</f>
        <v>0</v>
      </c>
      <c r="G47" s="11" t="n">
        <f>COUNTIFS('Documents'!$A$9:$A$308,$A47,'Documents'!$B$9:$B$308,"Polymer supplier datasheet",'Documents'!$E$9:$E$308,"Yes")</f>
        <v>1</v>
      </c>
      <c r="H47" s="11" t="n">
        <f>COUNTIFS('Documents'!$A$9:$A$308,$A47,'Documents'!$B$9:$B$308,"Research paper",'Documents'!$E$9:$E$308,"Yes")</f>
        <v>0</v>
      </c>
      <c r="I47" s="11" t="n">
        <f>COUNTIFS('Documents'!$A$9:$A$308,$A47,'Documents'!$B$9:$B$308,"Local / scope reference",'Documents'!$E$9:$E$308,"Yes")</f>
        <v>0</v>
      </c>
      <c r="J47" s="11" t="n">
        <f>COUNTIFS('Documents'!$A$9:$A$308,$A47,'Documents'!$B$9:$B$308,"Safety guidance",'Documents'!$E$9:$E$308,"Yes")+COUNTIFS('Documents'!$A$9:$A$308,$A47,'Documents'!$B$9:$B$308,"Corporate announcement",'Documents'!$E$9:$E$308,"Yes")</f>
        <v>0</v>
      </c>
      <c r="K47" s="11" t="n">
        <f>SUM(B47:J47)</f>
        <v>1</v>
      </c>
      <c r="L47" s="11" t="n">
        <f>COUNTIFS('Documents'!$A$9:$A$308,$A47,'Documents'!$E$9:$E$308,"No")</f>
        <v>0</v>
      </c>
      <c r="M47" s="11" t="n">
        <f>COUNTIFS('Documents'!$A$9:$A$308,$A47)</f>
        <v>1</v>
      </c>
      <c r="N47" s="13" t="str">
        <v>Eastman Chemical Company</v>
      </c>
    </row>
    <row r="48" ht="48" customHeight="1">
      <c r="A48" s="14" t="str">
        <v>Evonik Industries AG (document hosted by AMCO Polymers)</v>
      </c>
      <c r="B48" s="12" t="n">
        <f>COUNTIFS('Documents'!$A$9:$A$308,$A48,'Documents'!$B$9:$B$308,"Filament TDS",'Documents'!$E$9:$E$308,"Yes")</f>
        <v>0</v>
      </c>
      <c r="C48" s="12" t="n">
        <f>COUNTIFS('Documents'!$A$9:$A$308,$A48,'Documents'!$B$9:$B$308,"SDS",'Documents'!$E$9:$E$308,"Yes")</f>
        <v>0</v>
      </c>
      <c r="D48" s="12" t="n">
        <f>COUNTIFS('Documents'!$A$9:$A$308,$A48,'Documents'!$B$9:$B$308,"Guide / product page",'Documents'!$E$9:$E$308,"Yes")</f>
        <v>0</v>
      </c>
      <c r="E48" s="12" t="n">
        <f>COUNTIFS('Documents'!$A$9:$A$308,$A48,'Documents'!$B$9:$B$308,"Printer documentation",'Documents'!$E$9:$E$308,"Yes")</f>
        <v>0</v>
      </c>
      <c r="F48" s="12" t="n">
        <f>COUNTIFS('Documents'!$A$9:$A$308,$A48,'Documents'!$B$9:$B$308,"Catalogue / pricing",'Documents'!$E$9:$E$308,"Yes")</f>
        <v>0</v>
      </c>
      <c r="G48" s="12" t="n">
        <f>COUNTIFS('Documents'!$A$9:$A$308,$A48,'Documents'!$B$9:$B$308,"Polymer supplier datasheet",'Documents'!$E$9:$E$308,"Yes")</f>
        <v>1</v>
      </c>
      <c r="H48" s="12" t="n">
        <f>COUNTIFS('Documents'!$A$9:$A$308,$A48,'Documents'!$B$9:$B$308,"Research paper",'Documents'!$E$9:$E$308,"Yes")</f>
        <v>0</v>
      </c>
      <c r="I48" s="12" t="n">
        <f>COUNTIFS('Documents'!$A$9:$A$308,$A48,'Documents'!$B$9:$B$308,"Local / scope reference",'Documents'!$E$9:$E$308,"Yes")</f>
        <v>0</v>
      </c>
      <c r="J48" s="12" t="n">
        <f>COUNTIFS('Documents'!$A$9:$A$308,$A48,'Documents'!$B$9:$B$308,"Safety guidance",'Documents'!$E$9:$E$308,"Yes")+COUNTIFS('Documents'!$A$9:$A$308,$A48,'Documents'!$B$9:$B$308,"Corporate announcement",'Documents'!$E$9:$E$308,"Yes")</f>
        <v>0</v>
      </c>
      <c r="K48" s="12" t="n">
        <f>SUM(B48:J48)</f>
        <v>1</v>
      </c>
      <c r="L48" s="12" t="n">
        <f>COUNTIFS('Documents'!$A$9:$A$308,$A48,'Documents'!$E$9:$E$308,"No")</f>
        <v>0</v>
      </c>
      <c r="M48" s="12" t="n">
        <f>COUNTIFS('Documents'!$A$9:$A$308,$A48)</f>
        <v>1</v>
      </c>
      <c r="N48" s="14" t="str">
        <v>Evonik Industries AG (document hosted by AMCO Polymers)</v>
      </c>
    </row>
    <row r="49" ht="48" customHeight="1">
      <c r="A49" s="13" t="str">
        <v>Fabru / purefil</v>
      </c>
      <c r="B49" s="11" t="n">
        <f>COUNTIFS('Documents'!$A$9:$A$308,$A49,'Documents'!$B$9:$B$308,"Filament TDS",'Documents'!$E$9:$E$308,"Yes")</f>
        <v>0</v>
      </c>
      <c r="C49" s="11" t="n">
        <f>COUNTIFS('Documents'!$A$9:$A$308,$A49,'Documents'!$B$9:$B$308,"SDS",'Documents'!$E$9:$E$308,"Yes")</f>
        <v>0</v>
      </c>
      <c r="D49" s="11" t="n">
        <f>COUNTIFS('Documents'!$A$9:$A$308,$A49,'Documents'!$B$9:$B$308,"Guide / product page",'Documents'!$E$9:$E$308,"Yes")</f>
        <v>1</v>
      </c>
      <c r="E49" s="11" t="n">
        <f>COUNTIFS('Documents'!$A$9:$A$308,$A49,'Documents'!$B$9:$B$308,"Printer documentation",'Documents'!$E$9:$E$308,"Yes")</f>
        <v>0</v>
      </c>
      <c r="F49" s="11" t="n">
        <f>COUNTIFS('Documents'!$A$9:$A$308,$A49,'Documents'!$B$9:$B$308,"Catalogue / pricing",'Documents'!$E$9:$E$308,"Yes")</f>
        <v>0</v>
      </c>
      <c r="G49" s="11" t="n">
        <f>COUNTIFS('Documents'!$A$9:$A$308,$A49,'Documents'!$B$9:$B$308,"Polymer supplier datasheet",'Documents'!$E$9:$E$308,"Yes")</f>
        <v>0</v>
      </c>
      <c r="H49" s="11" t="n">
        <f>COUNTIFS('Documents'!$A$9:$A$308,$A49,'Documents'!$B$9:$B$308,"Research paper",'Documents'!$E$9:$E$308,"Yes")</f>
        <v>0</v>
      </c>
      <c r="I49" s="11" t="n">
        <f>COUNTIFS('Documents'!$A$9:$A$308,$A49,'Documents'!$B$9:$B$308,"Local / scope reference",'Documents'!$E$9:$E$308,"Yes")</f>
        <v>0</v>
      </c>
      <c r="J49" s="11" t="n">
        <f>COUNTIFS('Documents'!$A$9:$A$308,$A49,'Documents'!$B$9:$B$308,"Safety guidance",'Documents'!$E$9:$E$308,"Yes")+COUNTIFS('Documents'!$A$9:$A$308,$A49,'Documents'!$B$9:$B$308,"Corporate announcement",'Documents'!$E$9:$E$308,"Yes")</f>
        <v>0</v>
      </c>
      <c r="K49" s="11" t="n">
        <f>SUM(B49:J49)</f>
        <v>1</v>
      </c>
      <c r="L49" s="11" t="n">
        <f>COUNTIFS('Documents'!$A$9:$A$308,$A49,'Documents'!$E$9:$E$308,"No")</f>
        <v>0</v>
      </c>
      <c r="M49" s="11" t="n">
        <f>COUNTIFS('Documents'!$A$9:$A$308,$A49)</f>
        <v>1</v>
      </c>
      <c r="N49" s="13" t="str">
        <v>Fabru / purefil</v>
      </c>
    </row>
    <row r="50" ht="48" customHeight="1">
      <c r="A50" s="14" t="str">
        <v>Głowacki et al., Polymers</v>
      </c>
      <c r="B50" s="12" t="n">
        <f>COUNTIFS('Documents'!$A$9:$A$308,$A50,'Documents'!$B$9:$B$308,"Filament TDS",'Documents'!$E$9:$E$308,"Yes")</f>
        <v>0</v>
      </c>
      <c r="C50" s="12" t="n">
        <f>COUNTIFS('Documents'!$A$9:$A$308,$A50,'Documents'!$B$9:$B$308,"SDS",'Documents'!$E$9:$E$308,"Yes")</f>
        <v>0</v>
      </c>
      <c r="D50" s="12" t="n">
        <f>COUNTIFS('Documents'!$A$9:$A$308,$A50,'Documents'!$B$9:$B$308,"Guide / product page",'Documents'!$E$9:$E$308,"Yes")</f>
        <v>0</v>
      </c>
      <c r="E50" s="12" t="n">
        <f>COUNTIFS('Documents'!$A$9:$A$308,$A50,'Documents'!$B$9:$B$308,"Printer documentation",'Documents'!$E$9:$E$308,"Yes")</f>
        <v>0</v>
      </c>
      <c r="F50" s="12" t="n">
        <f>COUNTIFS('Documents'!$A$9:$A$308,$A50,'Documents'!$B$9:$B$308,"Catalogue / pricing",'Documents'!$E$9:$E$308,"Yes")</f>
        <v>0</v>
      </c>
      <c r="G50" s="12" t="n">
        <f>COUNTIFS('Documents'!$A$9:$A$308,$A50,'Documents'!$B$9:$B$308,"Polymer supplier datasheet",'Documents'!$E$9:$E$308,"Yes")</f>
        <v>0</v>
      </c>
      <c r="H50" s="12" t="n">
        <f>COUNTIFS('Documents'!$A$9:$A$308,$A50,'Documents'!$B$9:$B$308,"Research paper",'Documents'!$E$9:$E$308,"Yes")</f>
        <v>1</v>
      </c>
      <c r="I50" s="12" t="n">
        <f>COUNTIFS('Documents'!$A$9:$A$308,$A50,'Documents'!$B$9:$B$308,"Local / scope reference",'Documents'!$E$9:$E$308,"Yes")</f>
        <v>0</v>
      </c>
      <c r="J50" s="12" t="n">
        <f>COUNTIFS('Documents'!$A$9:$A$308,$A50,'Documents'!$B$9:$B$308,"Safety guidance",'Documents'!$E$9:$E$308,"Yes")+COUNTIFS('Documents'!$A$9:$A$308,$A50,'Documents'!$B$9:$B$308,"Corporate announcement",'Documents'!$E$9:$E$308,"Yes")</f>
        <v>0</v>
      </c>
      <c r="K50" s="12" t="n">
        <f>SUM(B50:J50)</f>
        <v>1</v>
      </c>
      <c r="L50" s="12" t="n">
        <f>COUNTIFS('Documents'!$A$9:$A$308,$A50,'Documents'!$E$9:$E$308,"No")</f>
        <v>0</v>
      </c>
      <c r="M50" s="12" t="n">
        <f>COUNTIFS('Documents'!$A$9:$A$308,$A50)</f>
        <v>1</v>
      </c>
      <c r="N50" s="14" t="str">
        <v>Głowacki et al., Polymers</v>
      </c>
    </row>
    <row r="51" ht="48" customHeight="1">
      <c r="A51" s="13" t="str">
        <v>INEOS Olefins &amp; Polymers USA</v>
      </c>
      <c r="B51" s="11" t="n">
        <f>COUNTIFS('Documents'!$A$9:$A$308,$A51,'Documents'!$B$9:$B$308,"Filament TDS",'Documents'!$E$9:$E$308,"Yes")</f>
        <v>0</v>
      </c>
      <c r="C51" s="11" t="n">
        <f>COUNTIFS('Documents'!$A$9:$A$308,$A51,'Documents'!$B$9:$B$308,"SDS",'Documents'!$E$9:$E$308,"Yes")</f>
        <v>0</v>
      </c>
      <c r="D51" s="11" t="n">
        <f>COUNTIFS('Documents'!$A$9:$A$308,$A51,'Documents'!$B$9:$B$308,"Guide / product page",'Documents'!$E$9:$E$308,"Yes")</f>
        <v>0</v>
      </c>
      <c r="E51" s="11" t="n">
        <f>COUNTIFS('Documents'!$A$9:$A$308,$A51,'Documents'!$B$9:$B$308,"Printer documentation",'Documents'!$E$9:$E$308,"Yes")</f>
        <v>0</v>
      </c>
      <c r="F51" s="11" t="n">
        <f>COUNTIFS('Documents'!$A$9:$A$308,$A51,'Documents'!$B$9:$B$308,"Catalogue / pricing",'Documents'!$E$9:$E$308,"Yes")</f>
        <v>0</v>
      </c>
      <c r="G51" s="11" t="n">
        <f>COUNTIFS('Documents'!$A$9:$A$308,$A51,'Documents'!$B$9:$B$308,"Polymer supplier datasheet",'Documents'!$E$9:$E$308,"Yes")</f>
        <v>1</v>
      </c>
      <c r="H51" s="11" t="n">
        <f>COUNTIFS('Documents'!$A$9:$A$308,$A51,'Documents'!$B$9:$B$308,"Research paper",'Documents'!$E$9:$E$308,"Yes")</f>
        <v>0</v>
      </c>
      <c r="I51" s="11" t="n">
        <f>COUNTIFS('Documents'!$A$9:$A$308,$A51,'Documents'!$B$9:$B$308,"Local / scope reference",'Documents'!$E$9:$E$308,"Yes")</f>
        <v>0</v>
      </c>
      <c r="J51" s="11" t="n">
        <f>COUNTIFS('Documents'!$A$9:$A$308,$A51,'Documents'!$B$9:$B$308,"Safety guidance",'Documents'!$E$9:$E$308,"Yes")+COUNTIFS('Documents'!$A$9:$A$308,$A51,'Documents'!$B$9:$B$308,"Corporate announcement",'Documents'!$E$9:$E$308,"Yes")</f>
        <v>0</v>
      </c>
      <c r="K51" s="11" t="n">
        <f>SUM(B51:J51)</f>
        <v>1</v>
      </c>
      <c r="L51" s="11" t="n">
        <f>COUNTIFS('Documents'!$A$9:$A$308,$A51,'Documents'!$E$9:$E$308,"No")</f>
        <v>0</v>
      </c>
      <c r="M51" s="11" t="n">
        <f>COUNTIFS('Documents'!$A$9:$A$308,$A51)</f>
        <v>1</v>
      </c>
      <c r="N51" s="13" t="str">
        <v>INEOS Olefins &amp; Polymers USA</v>
      </c>
    </row>
    <row r="52" ht="48" customHeight="1">
      <c r="A52" s="14" t="str">
        <v>LyondellBasell Industries</v>
      </c>
      <c r="B52" s="12" t="n">
        <f>COUNTIFS('Documents'!$A$9:$A$308,$A52,'Documents'!$B$9:$B$308,"Filament TDS",'Documents'!$E$9:$E$308,"Yes")</f>
        <v>0</v>
      </c>
      <c r="C52" s="12" t="n">
        <f>COUNTIFS('Documents'!$A$9:$A$308,$A52,'Documents'!$B$9:$B$308,"SDS",'Documents'!$E$9:$E$308,"Yes")</f>
        <v>0</v>
      </c>
      <c r="D52" s="12" t="n">
        <f>COUNTIFS('Documents'!$A$9:$A$308,$A52,'Documents'!$B$9:$B$308,"Guide / product page",'Documents'!$E$9:$E$308,"Yes")</f>
        <v>0</v>
      </c>
      <c r="E52" s="12" t="n">
        <f>COUNTIFS('Documents'!$A$9:$A$308,$A52,'Documents'!$B$9:$B$308,"Printer documentation",'Documents'!$E$9:$E$308,"Yes")</f>
        <v>0</v>
      </c>
      <c r="F52" s="12" t="n">
        <f>COUNTIFS('Documents'!$A$9:$A$308,$A52,'Documents'!$B$9:$B$308,"Catalogue / pricing",'Documents'!$E$9:$E$308,"Yes")</f>
        <v>0</v>
      </c>
      <c r="G52" s="12" t="n">
        <f>COUNTIFS('Documents'!$A$9:$A$308,$A52,'Documents'!$B$9:$B$308,"Polymer supplier datasheet",'Documents'!$E$9:$E$308,"Yes")</f>
        <v>1</v>
      </c>
      <c r="H52" s="12" t="n">
        <f>COUNTIFS('Documents'!$A$9:$A$308,$A52,'Documents'!$B$9:$B$308,"Research paper",'Documents'!$E$9:$E$308,"Yes")</f>
        <v>0</v>
      </c>
      <c r="I52" s="12" t="n">
        <f>COUNTIFS('Documents'!$A$9:$A$308,$A52,'Documents'!$B$9:$B$308,"Local / scope reference",'Documents'!$E$9:$E$308,"Yes")</f>
        <v>0</v>
      </c>
      <c r="J52" s="12" t="n">
        <f>COUNTIFS('Documents'!$A$9:$A$308,$A52,'Documents'!$B$9:$B$308,"Safety guidance",'Documents'!$E$9:$E$308,"Yes")+COUNTIFS('Documents'!$A$9:$A$308,$A52,'Documents'!$B$9:$B$308,"Corporate announcement",'Documents'!$E$9:$E$308,"Yes")</f>
        <v>0</v>
      </c>
      <c r="K52" s="12" t="n">
        <f>SUM(B52:J52)</f>
        <v>1</v>
      </c>
      <c r="L52" s="12" t="n">
        <f>COUNTIFS('Documents'!$A$9:$A$308,$A52,'Documents'!$E$9:$E$308,"No")</f>
        <v>0</v>
      </c>
      <c r="M52" s="12" t="n">
        <f>COUNTIFS('Documents'!$A$9:$A$308,$A52)</f>
        <v>1</v>
      </c>
      <c r="N52" s="14" t="str">
        <v>LyondellBasell Industries</v>
      </c>
    </row>
    <row r="53" ht="48" customHeight="1">
      <c r="A53" s="13" t="str">
        <v>Mitsubishi Chemical America</v>
      </c>
      <c r="B53" s="11" t="n">
        <f>COUNTIFS('Documents'!$A$9:$A$308,$A53,'Documents'!$B$9:$B$308,"Filament TDS",'Documents'!$E$9:$E$308,"Yes")</f>
        <v>0</v>
      </c>
      <c r="C53" s="11" t="n">
        <f>COUNTIFS('Documents'!$A$9:$A$308,$A53,'Documents'!$B$9:$B$308,"SDS",'Documents'!$E$9:$E$308,"Yes")</f>
        <v>0</v>
      </c>
      <c r="D53" s="11" t="n">
        <f>COUNTIFS('Documents'!$A$9:$A$308,$A53,'Documents'!$B$9:$B$308,"Guide / product page",'Documents'!$E$9:$E$308,"Yes")</f>
        <v>1</v>
      </c>
      <c r="E53" s="11" t="n">
        <f>COUNTIFS('Documents'!$A$9:$A$308,$A53,'Documents'!$B$9:$B$308,"Printer documentation",'Documents'!$E$9:$E$308,"Yes")</f>
        <v>0</v>
      </c>
      <c r="F53" s="11" t="n">
        <f>COUNTIFS('Documents'!$A$9:$A$308,$A53,'Documents'!$B$9:$B$308,"Catalogue / pricing",'Documents'!$E$9:$E$308,"Yes")</f>
        <v>0</v>
      </c>
      <c r="G53" s="11" t="n">
        <f>COUNTIFS('Documents'!$A$9:$A$308,$A53,'Documents'!$B$9:$B$308,"Polymer supplier datasheet",'Documents'!$E$9:$E$308,"Yes")</f>
        <v>0</v>
      </c>
      <c r="H53" s="11" t="n">
        <f>COUNTIFS('Documents'!$A$9:$A$308,$A53,'Documents'!$B$9:$B$308,"Research paper",'Documents'!$E$9:$E$308,"Yes")</f>
        <v>0</v>
      </c>
      <c r="I53" s="11" t="n">
        <f>COUNTIFS('Documents'!$A$9:$A$308,$A53,'Documents'!$B$9:$B$308,"Local / scope reference",'Documents'!$E$9:$E$308,"Yes")</f>
        <v>0</v>
      </c>
      <c r="J53" s="11" t="n">
        <f>COUNTIFS('Documents'!$A$9:$A$308,$A53,'Documents'!$B$9:$B$308,"Safety guidance",'Documents'!$E$9:$E$308,"Yes")+COUNTIFS('Documents'!$A$9:$A$308,$A53,'Documents'!$B$9:$B$308,"Corporate announcement",'Documents'!$E$9:$E$308,"Yes")</f>
        <v>0</v>
      </c>
      <c r="K53" s="11" t="n">
        <f>SUM(B53:J53)</f>
        <v>1</v>
      </c>
      <c r="L53" s="11" t="n">
        <f>COUNTIFS('Documents'!$A$9:$A$308,$A53,'Documents'!$E$9:$E$308,"No")</f>
        <v>0</v>
      </c>
      <c r="M53" s="11" t="n">
        <f>COUNTIFS('Documents'!$A$9:$A$308,$A53)</f>
        <v>1</v>
      </c>
      <c r="N53" s="13" t="str">
        <v>Mitsubishi Chemical America</v>
      </c>
    </row>
    <row r="54" ht="48" customHeight="1">
      <c r="A54" s="14" t="str">
        <v>Shop3D Canada</v>
      </c>
      <c r="B54" s="12" t="n">
        <f>COUNTIFS('Documents'!$A$9:$A$308,$A54,'Documents'!$B$9:$B$308,"Filament TDS",'Documents'!$E$9:$E$308,"Yes")</f>
        <v>0</v>
      </c>
      <c r="C54" s="12" t="n">
        <f>COUNTIFS('Documents'!$A$9:$A$308,$A54,'Documents'!$B$9:$B$308,"SDS",'Documents'!$E$9:$E$308,"Yes")</f>
        <v>0</v>
      </c>
      <c r="D54" s="12" t="n">
        <f>COUNTIFS('Documents'!$A$9:$A$308,$A54,'Documents'!$B$9:$B$308,"Guide / product page",'Documents'!$E$9:$E$308,"Yes")</f>
        <v>0</v>
      </c>
      <c r="E54" s="12" t="n">
        <f>COUNTIFS('Documents'!$A$9:$A$308,$A54,'Documents'!$B$9:$B$308,"Printer documentation",'Documents'!$E$9:$E$308,"Yes")</f>
        <v>0</v>
      </c>
      <c r="F54" s="12" t="n">
        <f>COUNTIFS('Documents'!$A$9:$A$308,$A54,'Documents'!$B$9:$B$308,"Catalogue / pricing",'Documents'!$E$9:$E$308,"Yes")</f>
        <v>1</v>
      </c>
      <c r="G54" s="12" t="n">
        <f>COUNTIFS('Documents'!$A$9:$A$308,$A54,'Documents'!$B$9:$B$308,"Polymer supplier datasheet",'Documents'!$E$9:$E$308,"Yes")</f>
        <v>0</v>
      </c>
      <c r="H54" s="12" t="n">
        <f>COUNTIFS('Documents'!$A$9:$A$308,$A54,'Documents'!$B$9:$B$308,"Research paper",'Documents'!$E$9:$E$308,"Yes")</f>
        <v>0</v>
      </c>
      <c r="I54" s="12" t="n">
        <f>COUNTIFS('Documents'!$A$9:$A$308,$A54,'Documents'!$B$9:$B$308,"Local / scope reference",'Documents'!$E$9:$E$308,"Yes")</f>
        <v>0</v>
      </c>
      <c r="J54" s="12" t="n">
        <f>COUNTIFS('Documents'!$A$9:$A$308,$A54,'Documents'!$B$9:$B$308,"Safety guidance",'Documents'!$E$9:$E$308,"Yes")+COUNTIFS('Documents'!$A$9:$A$308,$A54,'Documents'!$B$9:$B$308,"Corporate announcement",'Documents'!$E$9:$E$308,"Yes")</f>
        <v>0</v>
      </c>
      <c r="K54" s="12" t="n">
        <f>SUM(B54:J54)</f>
        <v>1</v>
      </c>
      <c r="L54" s="12" t="n">
        <f>COUNTIFS('Documents'!$A$9:$A$308,$A54,'Documents'!$E$9:$E$308,"No")</f>
        <v>0</v>
      </c>
      <c r="M54" s="12" t="n">
        <f>COUNTIFS('Documents'!$A$9:$A$308,$A54)</f>
        <v>1</v>
      </c>
      <c r="N54" s="14" t="str">
        <v>CA-SHOP3D1</v>
      </c>
    </row>
    <row r="55" ht="48" customHeight="1">
      <c r="A55" s="13" t="str">
        <v>Solvay Specialty Polymers</v>
      </c>
      <c r="B55" s="11" t="n">
        <f>COUNTIFS('Documents'!$A$9:$A$308,$A55,'Documents'!$B$9:$B$308,"Filament TDS",'Documents'!$E$9:$E$308,"Yes")</f>
        <v>0</v>
      </c>
      <c r="C55" s="11" t="n">
        <f>COUNTIFS('Documents'!$A$9:$A$308,$A55,'Documents'!$B$9:$B$308,"SDS",'Documents'!$E$9:$E$308,"Yes")</f>
        <v>0</v>
      </c>
      <c r="D55" s="11" t="n">
        <f>COUNTIFS('Documents'!$A$9:$A$308,$A55,'Documents'!$B$9:$B$308,"Guide / product page",'Documents'!$E$9:$E$308,"Yes")</f>
        <v>0</v>
      </c>
      <c r="E55" s="11" t="n">
        <f>COUNTIFS('Documents'!$A$9:$A$308,$A55,'Documents'!$B$9:$B$308,"Printer documentation",'Documents'!$E$9:$E$308,"Yes")</f>
        <v>0</v>
      </c>
      <c r="F55" s="11" t="n">
        <f>COUNTIFS('Documents'!$A$9:$A$308,$A55,'Documents'!$B$9:$B$308,"Catalogue / pricing",'Documents'!$E$9:$E$308,"Yes")</f>
        <v>0</v>
      </c>
      <c r="G55" s="11" t="n">
        <f>COUNTIFS('Documents'!$A$9:$A$308,$A55,'Documents'!$B$9:$B$308,"Polymer supplier datasheet",'Documents'!$E$9:$E$308,"Yes")</f>
        <v>1</v>
      </c>
      <c r="H55" s="11" t="n">
        <f>COUNTIFS('Documents'!$A$9:$A$308,$A55,'Documents'!$B$9:$B$308,"Research paper",'Documents'!$E$9:$E$308,"Yes")</f>
        <v>0</v>
      </c>
      <c r="I55" s="11" t="n">
        <f>COUNTIFS('Documents'!$A$9:$A$308,$A55,'Documents'!$B$9:$B$308,"Local / scope reference",'Documents'!$E$9:$E$308,"Yes")</f>
        <v>0</v>
      </c>
      <c r="J55" s="11" t="n">
        <f>COUNTIFS('Documents'!$A$9:$A$308,$A55,'Documents'!$B$9:$B$308,"Safety guidance",'Documents'!$E$9:$E$308,"Yes")+COUNTIFS('Documents'!$A$9:$A$308,$A55,'Documents'!$B$9:$B$308,"Corporate announcement",'Documents'!$E$9:$E$308,"Yes")</f>
        <v>0</v>
      </c>
      <c r="K55" s="11" t="n">
        <f>SUM(B55:J55)</f>
        <v>1</v>
      </c>
      <c r="L55" s="11" t="n">
        <f>COUNTIFS('Documents'!$A$9:$A$308,$A55,'Documents'!$E$9:$E$308,"No")</f>
        <v>0</v>
      </c>
      <c r="M55" s="11" t="n">
        <f>COUNTIFS('Documents'!$A$9:$A$308,$A55)</f>
        <v>1</v>
      </c>
      <c r="N55" s="13" t="str">
        <v>Solvay Specialty Polymers</v>
      </c>
    </row>
    <row r="56" ht="48" customHeight="1">
      <c r="A56" s="14" t="str">
        <v>The Dow Chemical Company (document hosted by Formerra)</v>
      </c>
      <c r="B56" s="12" t="n">
        <f>COUNTIFS('Documents'!$A$9:$A$308,$A56,'Documents'!$B$9:$B$308,"Filament TDS",'Documents'!$E$9:$E$308,"Yes")</f>
        <v>0</v>
      </c>
      <c r="C56" s="12" t="n">
        <f>COUNTIFS('Documents'!$A$9:$A$308,$A56,'Documents'!$B$9:$B$308,"SDS",'Documents'!$E$9:$E$308,"Yes")</f>
        <v>0</v>
      </c>
      <c r="D56" s="12" t="n">
        <f>COUNTIFS('Documents'!$A$9:$A$308,$A56,'Documents'!$B$9:$B$308,"Guide / product page",'Documents'!$E$9:$E$308,"Yes")</f>
        <v>0</v>
      </c>
      <c r="E56" s="12" t="n">
        <f>COUNTIFS('Documents'!$A$9:$A$308,$A56,'Documents'!$B$9:$B$308,"Printer documentation",'Documents'!$E$9:$E$308,"Yes")</f>
        <v>0</v>
      </c>
      <c r="F56" s="12" t="n">
        <f>COUNTIFS('Documents'!$A$9:$A$308,$A56,'Documents'!$B$9:$B$308,"Catalogue / pricing",'Documents'!$E$9:$E$308,"Yes")</f>
        <v>0</v>
      </c>
      <c r="G56" s="12" t="n">
        <f>COUNTIFS('Documents'!$A$9:$A$308,$A56,'Documents'!$B$9:$B$308,"Polymer supplier datasheet",'Documents'!$E$9:$E$308,"Yes")</f>
        <v>1</v>
      </c>
      <c r="H56" s="12" t="n">
        <f>COUNTIFS('Documents'!$A$9:$A$308,$A56,'Documents'!$B$9:$B$308,"Research paper",'Documents'!$E$9:$E$308,"Yes")</f>
        <v>0</v>
      </c>
      <c r="I56" s="12" t="n">
        <f>COUNTIFS('Documents'!$A$9:$A$308,$A56,'Documents'!$B$9:$B$308,"Local / scope reference",'Documents'!$E$9:$E$308,"Yes")</f>
        <v>0</v>
      </c>
      <c r="J56" s="12" t="n">
        <f>COUNTIFS('Documents'!$A$9:$A$308,$A56,'Documents'!$B$9:$B$308,"Safety guidance",'Documents'!$E$9:$E$308,"Yes")+COUNTIFS('Documents'!$A$9:$A$308,$A56,'Documents'!$B$9:$B$308,"Corporate announcement",'Documents'!$E$9:$E$308,"Yes")</f>
        <v>0</v>
      </c>
      <c r="K56" s="12" t="n">
        <f>SUM(B56:J56)</f>
        <v>1</v>
      </c>
      <c r="L56" s="12" t="n">
        <f>COUNTIFS('Documents'!$A$9:$A$308,$A56,'Documents'!$E$9:$E$308,"No")</f>
        <v>0</v>
      </c>
      <c r="M56" s="12" t="n">
        <f>COUNTIFS('Documents'!$A$9:$A$308,$A56)</f>
        <v>1</v>
      </c>
      <c r="N56" s="14" t="str">
        <v>The Dow Chemical Company (document hosted by Formerra)</v>
      </c>
    </row>
    <row r="57" ht="48" customHeight="1">
      <c r="A57" s="13" t="str">
        <v>Toray Industries, Inc. (Toray Plastics)</v>
      </c>
      <c r="B57" s="11" t="n">
        <f>COUNTIFS('Documents'!$A$9:$A$308,$A57,'Documents'!$B$9:$B$308,"Filament TDS",'Documents'!$E$9:$E$308,"Yes")</f>
        <v>0</v>
      </c>
      <c r="C57" s="11" t="n">
        <f>COUNTIFS('Documents'!$A$9:$A$308,$A57,'Documents'!$B$9:$B$308,"SDS",'Documents'!$E$9:$E$308,"Yes")</f>
        <v>0</v>
      </c>
      <c r="D57" s="11" t="n">
        <f>COUNTIFS('Documents'!$A$9:$A$308,$A57,'Documents'!$B$9:$B$308,"Guide / product page",'Documents'!$E$9:$E$308,"Yes")</f>
        <v>1</v>
      </c>
      <c r="E57" s="11" t="n">
        <f>COUNTIFS('Documents'!$A$9:$A$308,$A57,'Documents'!$B$9:$B$308,"Printer documentation",'Documents'!$E$9:$E$308,"Yes")</f>
        <v>0</v>
      </c>
      <c r="F57" s="11" t="n">
        <f>COUNTIFS('Documents'!$A$9:$A$308,$A57,'Documents'!$B$9:$B$308,"Catalogue / pricing",'Documents'!$E$9:$E$308,"Yes")</f>
        <v>0</v>
      </c>
      <c r="G57" s="11" t="n">
        <f>COUNTIFS('Documents'!$A$9:$A$308,$A57,'Documents'!$B$9:$B$308,"Polymer supplier datasheet",'Documents'!$E$9:$E$308,"Yes")</f>
        <v>0</v>
      </c>
      <c r="H57" s="11" t="n">
        <f>COUNTIFS('Documents'!$A$9:$A$308,$A57,'Documents'!$B$9:$B$308,"Research paper",'Documents'!$E$9:$E$308,"Yes")</f>
        <v>0</v>
      </c>
      <c r="I57" s="11" t="n">
        <f>COUNTIFS('Documents'!$A$9:$A$308,$A57,'Documents'!$B$9:$B$308,"Local / scope reference",'Documents'!$E$9:$E$308,"Yes")</f>
        <v>0</v>
      </c>
      <c r="J57" s="11" t="n">
        <f>COUNTIFS('Documents'!$A$9:$A$308,$A57,'Documents'!$B$9:$B$308,"Safety guidance",'Documents'!$E$9:$E$308,"Yes")+COUNTIFS('Documents'!$A$9:$A$308,$A57,'Documents'!$B$9:$B$308,"Corporate announcement",'Documents'!$E$9:$E$308,"Yes")</f>
        <v>0</v>
      </c>
      <c r="K57" s="11" t="n">
        <f>SUM(B57:J57)</f>
        <v>1</v>
      </c>
      <c r="L57" s="11" t="n">
        <f>COUNTIFS('Documents'!$A$9:$A$308,$A57,'Documents'!$E$9:$E$308,"No")</f>
        <v>0</v>
      </c>
      <c r="M57" s="11" t="n">
        <f>COUNTIFS('Documents'!$A$9:$A$308,$A57)</f>
        <v>1</v>
      </c>
      <c r="N57" s="13" t="str">
        <v>Toray Industries, Inc. (Toray Plastics)</v>
      </c>
    </row>
    <row r="58" ht="48" customHeight="1">
      <c r="A58" s="14" t="str">
        <v>Trinity3DS</v>
      </c>
      <c r="B58" s="12" t="n">
        <f>COUNTIFS('Documents'!$A$9:$A$308,$A58,'Documents'!$B$9:$B$308,"Filament TDS",'Documents'!$E$9:$E$308,"Yes")</f>
        <v>0</v>
      </c>
      <c r="C58" s="12" t="n">
        <f>COUNTIFS('Documents'!$A$9:$A$308,$A58,'Documents'!$B$9:$B$308,"SDS",'Documents'!$E$9:$E$308,"Yes")</f>
        <v>0</v>
      </c>
      <c r="D58" s="12" t="n">
        <f>COUNTIFS('Documents'!$A$9:$A$308,$A58,'Documents'!$B$9:$B$308,"Guide / product page",'Documents'!$E$9:$E$308,"Yes")</f>
        <v>1</v>
      </c>
      <c r="E58" s="12" t="n">
        <f>COUNTIFS('Documents'!$A$9:$A$308,$A58,'Documents'!$B$9:$B$308,"Printer documentation",'Documents'!$E$9:$E$308,"Yes")</f>
        <v>0</v>
      </c>
      <c r="F58" s="12" t="n">
        <f>COUNTIFS('Documents'!$A$9:$A$308,$A58,'Documents'!$B$9:$B$308,"Catalogue / pricing",'Documents'!$E$9:$E$308,"Yes")</f>
        <v>0</v>
      </c>
      <c r="G58" s="12" t="n">
        <f>COUNTIFS('Documents'!$A$9:$A$308,$A58,'Documents'!$B$9:$B$308,"Polymer supplier datasheet",'Documents'!$E$9:$E$308,"Yes")</f>
        <v>0</v>
      </c>
      <c r="H58" s="12" t="n">
        <f>COUNTIFS('Documents'!$A$9:$A$308,$A58,'Documents'!$B$9:$B$308,"Research paper",'Documents'!$E$9:$E$308,"Yes")</f>
        <v>0</v>
      </c>
      <c r="I58" s="12" t="n">
        <f>COUNTIFS('Documents'!$A$9:$A$308,$A58,'Documents'!$B$9:$B$308,"Local / scope reference",'Documents'!$E$9:$E$308,"Yes")</f>
        <v>0</v>
      </c>
      <c r="J58" s="12" t="n">
        <f>COUNTIFS('Documents'!$A$9:$A$308,$A58,'Documents'!$B$9:$B$308,"Safety guidance",'Documents'!$E$9:$E$308,"Yes")+COUNTIFS('Documents'!$A$9:$A$308,$A58,'Documents'!$B$9:$B$308,"Corporate announcement",'Documents'!$E$9:$E$308,"Yes")</f>
        <v>0</v>
      </c>
      <c r="K58" s="12" t="n">
        <f>SUM(B58:J58)</f>
        <v>1</v>
      </c>
      <c r="L58" s="12" t="n">
        <f>COUNTIFS('Documents'!$A$9:$A$308,$A58,'Documents'!$E$9:$E$308,"No")</f>
        <v>0</v>
      </c>
      <c r="M58" s="12" t="n">
        <f>COUNTIFS('Documents'!$A$9:$A$308,$A58)</f>
        <v>1</v>
      </c>
      <c r="N58" s="14" t="str">
        <v>Trinity3DS (authorized 3DXTECH distributor), quoting 3DXTECH</v>
      </c>
    </row>
  </sheetData>
  <hyperlinks>
    <hyperlink ref="B6" r:id="rIdRepositoryLink1"/>
  </hyperlinks>
  <pageMargins left="0.7" right="0.7" top="0.75" bottom="0.75" header="0.3" footer="0.3"/>
  <tableParts count="1">
    <tablePart r:id="Rdba9742af7b34ef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16879"/>
  </sheetPr>
  <sheetViews>
    <sheetView showGridLines="0" workbookViewId="0">
      <pane xSplit="1" ySplit="8" topLeftCell="B9" activePane="bottomRight" state="frozen"/>
    </sheetView>
  </sheetViews>
  <sheetFormatPr defaultRowHeight="15"/>
  <cols>
    <col min="1" max="1" width="28.889999389648438" hidden="0" customWidth="1"/>
    <col min="2" max="2" width="22.780000686645508" hidden="0" customWidth="1"/>
    <col min="3" max="3" width="57.779998779296875" hidden="0" customWidth="1"/>
    <col min="4" max="4" width="12.220000267028809" hidden="0" customWidth="1"/>
    <col min="5" max="5" width="10.5600004196167" hidden="0" customWidth="1"/>
    <col min="6" max="6" width="38.88999938964844" hidden="0" customWidth="1"/>
    <col min="7" max="7" width="34.439998626708984" hidden="0" customWidth="1"/>
    <col min="8" max="8" width="13.329999923706055" hidden="0" customWidth="1"/>
    <col min="9" max="9" width="60" hidden="0" customWidth="1"/>
    <col min="10" max="10" width="32.220001220703125" hidden="0" customWidth="1"/>
    <col min="11" max="11" width="68.88999938964844" hidden="0" customWidth="1"/>
    <col min="12" max="12" width="25.559999465942383" hidden="0" customWidth="1"/>
    <col min="13" max="13" width="13.890000343322754" hidden="0" customWidth="1"/>
    <col min="14" max="14" width="13.890000343322754" hidden="0" customWidth="1"/>
    <col min="15" max="15" width="47.779998779296875" hidden="0" customWidth="1"/>
    <col min="16" max="16" width="71.11000061035156" hidden="0" customWidth="1"/>
    <col min="17" max="17" width="56.66999816894531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0" customHeight="1">
      <c r="A2" s="3" t="str">
        <v>H2C repository document register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" customHeight="1">
      <c r="A3" s="4" t="str">
        <v>Counts use distinct repository SourceIDs. Publisher aliases are grouped; original publisher names are preserved.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32" customHeight="1">
      <c r="A4" s="20" t="str">
        <v>Registered records</v>
      </c>
      <c r="B4" s="20" t="n">
        <v>300</v>
      </c>
      <c r="C4" s="20" t="str">
        <v>Used records</v>
      </c>
      <c r="D4" s="20" t="n">
        <v>298</v>
      </c>
      <c r="E4" s="20" t="str">
        <v>Filament TDS</v>
      </c>
      <c r="F4" s="20" t="n">
        <v>156</v>
      </c>
      <c r="G4" s="20" t="str">
        <v>SDS</v>
      </c>
      <c r="H4" s="20" t="n">
        <v>6</v>
      </c>
      <c r="I4" s="20" t="str">
        <v>Not retrieved</v>
      </c>
      <c r="J4" s="20" t="n">
        <v>2</v>
      </c>
      <c r="K4" s="2"/>
      <c r="L4" s="2"/>
      <c r="M4" s="2"/>
      <c r="N4" s="2"/>
      <c r="O4" s="2"/>
      <c r="P4" s="2"/>
      <c r="Q4" s="2"/>
    </row>
    <row r="5" ht="26" customHeight="1">
      <c r="A5" s="4" t="str">
        <v>Used counts exclude the two not-retrieved records; cited, corroboration, register and provenance records are retained. Counts are documents, not grades or property measurements.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24" customHeight="1">
      <c r="A6" s="2" t="str">
        <v>Repository source</v>
      </c>
      <c r="B6" s="5" t="str">
        <v>https://github.com/faridbnv/h2c-materials/blob/46d9a83e4368425fe294fe40be2195725ff0ac0a/data/tables/sources.csv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1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46" customHeight="1">
      <c r="A8" s="9" t="str">
        <v>Brand / grouped source</v>
      </c>
      <c r="B8" s="9" t="str">
        <v>Document category</v>
      </c>
      <c r="C8" s="9" t="str">
        <v>Document title</v>
      </c>
      <c r="D8" s="9" t="str">
        <v>Document link</v>
      </c>
      <c r="E8" s="9" t="str">
        <v>Included in used counts</v>
      </c>
      <c r="F8" s="9" t="str">
        <v>SourceID</v>
      </c>
      <c r="G8" s="9" t="str">
        <v>Original source class</v>
      </c>
      <c r="H8" s="9" t="str">
        <v>Citation role</v>
      </c>
      <c r="I8" s="9" t="str">
        <v>Recorded access status</v>
      </c>
      <c r="J8" s="9" t="str">
        <v>Applicable grades</v>
      </c>
      <c r="K8" s="9" t="str">
        <v>Source locator</v>
      </c>
      <c r="L8" s="9" t="str">
        <v>Revision</v>
      </c>
      <c r="M8" s="9" t="str">
        <v>Publication date</v>
      </c>
      <c r="N8" s="9" t="str">
        <v>Access date</v>
      </c>
      <c r="O8" s="9" t="str">
        <v>Original publisher</v>
      </c>
      <c r="P8" s="9" t="str">
        <v>Full document URL / local path</v>
      </c>
      <c r="Q8" s="9" t="str">
        <v>SHA256</v>
      </c>
    </row>
    <row r="9" ht="48" customHeight="1">
      <c r="A9" s="13" t="str">
        <v>Bambu Lab</v>
      </c>
      <c r="B9" s="13" t="str">
        <v>Filament TDS</v>
      </c>
      <c r="C9" s="13" t="str">
        <v>Bambu Filament Technical Data Sheet - ABS</v>
      </c>
      <c r="D9" s="17" t="str">
        <v>Open document</v>
      </c>
      <c r="E9" s="13" t="str">
        <v>Yes</v>
      </c>
      <c r="F9" s="13" t="str">
        <v>B-abs-filament-TDS</v>
      </c>
      <c r="G9" s="13" t="str">
        <v>Manufacturer TDS</v>
      </c>
      <c r="H9" s="13" t="str">
        <v>cited</v>
      </c>
      <c r="I9" s="13" t="str">
        <v>Retrieved</v>
      </c>
      <c r="J9" s="13" t="str">
        <v>G027-01</v>
      </c>
      <c r="K9" s="13" t="str">
        <v>Document / product page</v>
      </c>
      <c r="L9" s="13" t="str">
        <v>Technical Data Sheet V3.0</v>
      </c>
      <c r="M9" s="15" t="str">
        <v>Not published</v>
      </c>
      <c r="N9" s="15" t="n">
        <v>46275</v>
      </c>
      <c r="O9" s="13" t="str">
        <v>Bambu Lab</v>
      </c>
      <c r="P9" s="10" t="str">
        <v>https://store.bblcdn.com/s7/default/23b4cf2b83d5470bb96d19970b5f3ae8/Bambu_ABS_Technical_Data_Sheet_V3.pdf</v>
      </c>
      <c r="Q9" s="10" t="str">
        <v>371323063447db7c7c390bdcf66ef6e902a680bafa0f757b75c417c26cae3fb5</v>
      </c>
    </row>
    <row r="10" ht="48" customHeight="1">
      <c r="A10" s="14" t="str">
        <v>Bambu Lab</v>
      </c>
      <c r="B10" s="14" t="str">
        <v>Filament TDS</v>
      </c>
      <c r="C10" s="14" t="str">
        <v>Bambu Filament Technical Data Sheet - ABS-GF</v>
      </c>
      <c r="D10" s="18" t="str">
        <v>Open document</v>
      </c>
      <c r="E10" s="14" t="str">
        <v>Yes</v>
      </c>
      <c r="F10" s="14" t="str">
        <v>B-abs-gf-TDS</v>
      </c>
      <c r="G10" s="14" t="str">
        <v>Manufacturer TDS</v>
      </c>
      <c r="H10" s="14" t="str">
        <v>cited</v>
      </c>
      <c r="I10" s="14" t="str">
        <v>Retrieved</v>
      </c>
      <c r="J10" s="14" t="str">
        <v>G028-01</v>
      </c>
      <c r="K10" s="14" t="str">
        <v>Document / product page</v>
      </c>
      <c r="L10" s="14" t="str">
        <v>Technical Data Sheet V1.0</v>
      </c>
      <c r="M10" s="16" t="str">
        <v>Not published</v>
      </c>
      <c r="N10" s="16" t="n">
        <v>46275</v>
      </c>
      <c r="O10" s="14" t="str">
        <v>Bambu Lab</v>
      </c>
      <c r="P10" s="2" t="str">
        <v>https://store.bblcdn.com/69f0758087c943f8a0a87bffa6dc901b.pdf</v>
      </c>
      <c r="Q10" s="2" t="str">
        <v>0d506ed63d1c831a9cb0645ecba3fc0ec4cba09614df2d0f3a957f00cb103b44</v>
      </c>
    </row>
    <row r="11" ht="48" customHeight="1">
      <c r="A11" s="13" t="str">
        <v>Bambu Lab</v>
      </c>
      <c r="B11" s="13" t="str">
        <v>Filament TDS</v>
      </c>
      <c r="C11" s="13" t="str">
        <v>Bambu Filament Technical Data Sheet - ASA</v>
      </c>
      <c r="D11" s="17" t="str">
        <v>Open document</v>
      </c>
      <c r="E11" s="13" t="str">
        <v>Yes</v>
      </c>
      <c r="F11" s="13" t="str">
        <v>B-asa-filament-TDS</v>
      </c>
      <c r="G11" s="13" t="str">
        <v>Manufacturer TDS</v>
      </c>
      <c r="H11" s="13" t="str">
        <v>cited</v>
      </c>
      <c r="I11" s="13" t="str">
        <v>Retrieved</v>
      </c>
      <c r="J11" s="13" t="str">
        <v>G031-01</v>
      </c>
      <c r="K11" s="13" t="str">
        <v>Document / product page</v>
      </c>
      <c r="L11" s="13" t="str">
        <v>Technical Data Sheet V3.0</v>
      </c>
      <c r="M11" s="15" t="str">
        <v>Not published</v>
      </c>
      <c r="N11" s="15" t="n">
        <v>46275</v>
      </c>
      <c r="O11" s="13" t="str">
        <v>Bambu Lab</v>
      </c>
      <c r="P11" s="10" t="str">
        <v>https://store.bblcdn.com/ad7b08230c164e72856cffbe06bb7dc9.pdf</v>
      </c>
      <c r="Q11" s="10" t="str">
        <v>9927eba5def39ebb3ffe7e7d2f99aafc6784b654371adca35d55f81bea4eacf0</v>
      </c>
    </row>
    <row r="12" ht="48" customHeight="1">
      <c r="A12" s="14" t="str">
        <v>Bambu Lab</v>
      </c>
      <c r="B12" s="14" t="str">
        <v>Filament TDS</v>
      </c>
      <c r="C12" s="14" t="str">
        <v>Bambu Filament Technical Data Sheet - ASA Aero</v>
      </c>
      <c r="D12" s="18" t="str">
        <v>Open document</v>
      </c>
      <c r="E12" s="14" t="str">
        <v>Yes</v>
      </c>
      <c r="F12" s="14" t="str">
        <v>B-asa-aero-TDS</v>
      </c>
      <c r="G12" s="14" t="str">
        <v>Manufacturer TDS</v>
      </c>
      <c r="H12" s="14" t="str">
        <v>cited</v>
      </c>
      <c r="I12" s="14" t="str">
        <v>Retrieved</v>
      </c>
      <c r="J12" s="14" t="str">
        <v>G032-01</v>
      </c>
      <c r="K12" s="14" t="str">
        <v>Document / product page</v>
      </c>
      <c r="L12" s="14" t="str">
        <v>Technical Data Sheet V1.0</v>
      </c>
      <c r="M12" s="16" t="str">
        <v>Not published</v>
      </c>
      <c r="N12" s="16" t="n">
        <v>46275</v>
      </c>
      <c r="O12" s="14" t="str">
        <v>Bambu Lab</v>
      </c>
      <c r="P12" s="2" t="str">
        <v>https://store.bblcdn.com/s1/default/02b005fdf02d450084e3128f7cf0c36f/Bambu_ASA_Aero_Technical_Data_Sheet.pdf</v>
      </c>
      <c r="Q12" s="2" t="str">
        <v>c5f128401819ebcad88fbbd4818eea9b1ceda7b99e58ab43550672633dc8e851</v>
      </c>
    </row>
    <row r="13" ht="48" customHeight="1">
      <c r="A13" s="13" t="str">
        <v>Bambu Lab</v>
      </c>
      <c r="B13" s="13" t="str">
        <v>Filament TDS</v>
      </c>
      <c r="C13" s="13" t="str">
        <v>Bambu Filament Technical Data Sheet - ASA-CF</v>
      </c>
      <c r="D13" s="17" t="str">
        <v>Open document</v>
      </c>
      <c r="E13" s="13" t="str">
        <v>Yes</v>
      </c>
      <c r="F13" s="13" t="str">
        <v>B-asa-cf-TDS</v>
      </c>
      <c r="G13" s="13" t="str">
        <v>Manufacturer TDS</v>
      </c>
      <c r="H13" s="13" t="str">
        <v>cited</v>
      </c>
      <c r="I13" s="13" t="str">
        <v>Retrieved</v>
      </c>
      <c r="J13" s="13" t="str">
        <v>G033-01</v>
      </c>
      <c r="K13" s="13" t="str">
        <v>Document / product page</v>
      </c>
      <c r="L13" s="13" t="str">
        <v>Technical Data Sheet V1.0</v>
      </c>
      <c r="M13" s="15" t="str">
        <v>Not published</v>
      </c>
      <c r="N13" s="15" t="n">
        <v>46275</v>
      </c>
      <c r="O13" s="13" t="str">
        <v>Bambu Lab</v>
      </c>
      <c r="P13" s="10" t="str">
        <v>https://store.bblcdn.com/s7/default/44b0a48ab1d84e819647c980eb179ae9/Bambus_ASA-CF_Technical_Data_Sheet.pdf</v>
      </c>
      <c r="Q13" s="10" t="str">
        <v>d244e24b49638f08317eb93b941b9b55d8232f5bc957b296a4a9678c6dd03b2a</v>
      </c>
    </row>
    <row r="14" ht="48" customHeight="1">
      <c r="A14" s="14" t="str">
        <v>Bambu Lab</v>
      </c>
      <c r="B14" s="14" t="str">
        <v>Filament TDS</v>
      </c>
      <c r="C14" s="14" t="str">
        <v>Bambu Filament Technical Data Sheet - PA6-CF</v>
      </c>
      <c r="D14" s="18" t="str">
        <v>Open document</v>
      </c>
      <c r="E14" s="14" t="str">
        <v>Yes</v>
      </c>
      <c r="F14" s="14" t="str">
        <v>B-pa6-cf-TDS</v>
      </c>
      <c r="G14" s="14" t="str">
        <v>Manufacturer TDS</v>
      </c>
      <c r="H14" s="14" t="str">
        <v>cited</v>
      </c>
      <c r="I14" s="14" t="str">
        <v>Retrieved</v>
      </c>
      <c r="J14" s="14" t="str">
        <v>G050-01</v>
      </c>
      <c r="K14" s="14" t="str">
        <v>Document / product page</v>
      </c>
      <c r="L14" s="14" t="str">
        <v>Technical Data Sheet V3.0</v>
      </c>
      <c r="M14" s="16" t="str">
        <v>Not published</v>
      </c>
      <c r="N14" s="16" t="n">
        <v>46275</v>
      </c>
      <c r="O14" s="14" t="str">
        <v>Bambu Lab</v>
      </c>
      <c r="P14" s="2" t="str">
        <v>https://store.bblcdn.com/b2abc59ac250492b979a52f1ce3e61b3.pdf</v>
      </c>
      <c r="Q14" s="2" t="str">
        <v>9308b0da339853daae60a37c109c73a8eb75b2d630f841c3e2b72bc32b00313e</v>
      </c>
    </row>
    <row r="15" ht="48" customHeight="1">
      <c r="A15" s="13" t="str">
        <v>Bambu Lab</v>
      </c>
      <c r="B15" s="13" t="str">
        <v>Filament TDS</v>
      </c>
      <c r="C15" s="13" t="str">
        <v>Bambu Filament Technical Data Sheet - PA6-GF</v>
      </c>
      <c r="D15" s="17" t="str">
        <v>Open document</v>
      </c>
      <c r="E15" s="13" t="str">
        <v>Yes</v>
      </c>
      <c r="F15" s="13" t="str">
        <v>B-pa6-gf-TDS</v>
      </c>
      <c r="G15" s="13" t="str">
        <v>Manufacturer TDS</v>
      </c>
      <c r="H15" s="13" t="str">
        <v>cited</v>
      </c>
      <c r="I15" s="13" t="str">
        <v>Retrieved</v>
      </c>
      <c r="J15" s="13" t="str">
        <v>G051-01</v>
      </c>
      <c r="K15" s="13" t="str">
        <v>Document / product page</v>
      </c>
      <c r="L15" s="13" t="str">
        <v>Technical Data Sheet V1.0</v>
      </c>
      <c r="M15" s="15" t="str">
        <v>Not published</v>
      </c>
      <c r="N15" s="15" t="n">
        <v>46275</v>
      </c>
      <c r="O15" s="13" t="str">
        <v>Bambu Lab</v>
      </c>
      <c r="P15" s="10" t="str">
        <v>https://store.bblcdn.com/s5/default/f0317db8b3f44d0486553c1e214cff9d.pdf</v>
      </c>
      <c r="Q15" s="10" t="str">
        <v>0e7397acf2007ff23291004bc1d38f1809dd51a512602b2b6205c23cbe14ea26</v>
      </c>
    </row>
    <row r="16" ht="48" customHeight="1">
      <c r="A16" s="14" t="str">
        <v>Bambu Lab</v>
      </c>
      <c r="B16" s="14" t="str">
        <v>Filament TDS</v>
      </c>
      <c r="C16" s="14" t="str">
        <v>Bambu Filament Technical Data Sheet - PAHT-CF</v>
      </c>
      <c r="D16" s="18" t="str">
        <v>Open document</v>
      </c>
      <c r="E16" s="14" t="str">
        <v>Yes</v>
      </c>
      <c r="F16" s="14" t="str">
        <v>B-paht-cf-TDS</v>
      </c>
      <c r="G16" s="14" t="str">
        <v>Manufacturer TDS</v>
      </c>
      <c r="H16" s="14" t="str">
        <v>cited</v>
      </c>
      <c r="I16" s="14" t="str">
        <v>Retrieved</v>
      </c>
      <c r="J16" s="14" t="str">
        <v>G048-01</v>
      </c>
      <c r="K16" s="14" t="str">
        <v>Document / product page</v>
      </c>
      <c r="L16" s="14" t="str">
        <v>Technical Data Sheet V3.0</v>
      </c>
      <c r="M16" s="16" t="str">
        <v>Not published</v>
      </c>
      <c r="N16" s="16" t="n">
        <v>46275</v>
      </c>
      <c r="O16" s="14" t="str">
        <v>Bambu Lab</v>
      </c>
      <c r="P16" s="2" t="str">
        <v>https://store.bblcdn.com/7166b20bc68f4c87b32c972b856eeb4b.pdf</v>
      </c>
      <c r="Q16" s="2" t="str">
        <v>6bacdcd4acd3f7ca650217d1c2352f5dbc3c4f676f9196a564a05f5da8ef5f11</v>
      </c>
    </row>
    <row r="17" ht="48" customHeight="1">
      <c r="A17" s="13" t="str">
        <v>Bambu Lab</v>
      </c>
      <c r="B17" s="13" t="str">
        <v>Filament TDS</v>
      </c>
      <c r="C17" s="13" t="str">
        <v>Bambu Filament Technical Data Sheet - PC</v>
      </c>
      <c r="D17" s="17" t="str">
        <v>Open document</v>
      </c>
      <c r="E17" s="13" t="str">
        <v>Yes</v>
      </c>
      <c r="F17" s="13" t="str">
        <v>B-PC-TDS</v>
      </c>
      <c r="G17" s="13" t="str">
        <v>Manufacturer TDS</v>
      </c>
      <c r="H17" s="13" t="str">
        <v>cited</v>
      </c>
      <c r="I17" s="13" t="str">
        <v>Retrieved</v>
      </c>
      <c r="J17" s="13" t="str">
        <v>G035-01</v>
      </c>
      <c r="K17" s="13" t="str">
        <v>Document / product page</v>
      </c>
      <c r="L17" s="13" t="str">
        <v>Technical Data Sheet V2.0</v>
      </c>
      <c r="M17" s="15" t="str">
        <v>Not published</v>
      </c>
      <c r="N17" s="15" t="n">
        <v>46275</v>
      </c>
      <c r="O17" s="13" t="str">
        <v>Bambu Lab</v>
      </c>
      <c r="P17" s="10" t="str">
        <v>https://store.bblcdn.com/a52afdccddfd448583d119587122c8c5.pdf</v>
      </c>
      <c r="Q17" s="10" t="str">
        <v>578ed906bc1604e756e0d1cb5b287b2bf4377390fbf151dc6405f8d38daf551d</v>
      </c>
    </row>
    <row r="18" ht="48" customHeight="1">
      <c r="A18" s="14" t="str">
        <v>Bambu Lab</v>
      </c>
      <c r="B18" s="14" t="str">
        <v>Filament TDS</v>
      </c>
      <c r="C18" s="14" t="str">
        <v>Bambu Filament Technical Data Sheet - PC FR</v>
      </c>
      <c r="D18" s="18" t="str">
        <v>Open document</v>
      </c>
      <c r="E18" s="14" t="str">
        <v>Yes</v>
      </c>
      <c r="F18" s="14" t="str">
        <v>B-pc-fr-TDS</v>
      </c>
      <c r="G18" s="14" t="str">
        <v>Manufacturer TDS</v>
      </c>
      <c r="H18" s="14" t="str">
        <v>cited</v>
      </c>
      <c r="I18" s="14" t="str">
        <v>Retrieved</v>
      </c>
      <c r="J18" s="14" t="str">
        <v>G036-01</v>
      </c>
      <c r="K18" s="14" t="str">
        <v>Document / product page</v>
      </c>
      <c r="L18" s="14" t="str">
        <v>Technical Data Sheet V1.0</v>
      </c>
      <c r="M18" s="16" t="str">
        <v>Not published</v>
      </c>
      <c r="N18" s="16" t="n">
        <v>46275</v>
      </c>
      <c r="O18" s="14" t="str">
        <v>Bambu Lab</v>
      </c>
      <c r="P18" s="2" t="str">
        <v>https://store.bblcdn.com/s1/default/4adf3c9827a0475d8777e9b8cfd11fbe.pdf</v>
      </c>
      <c r="Q18" s="2" t="str">
        <v>9270695083ba583121736306b8e60fda24402a156a1883771aecd5ddc612be8f</v>
      </c>
    </row>
    <row r="19" ht="48" customHeight="1">
      <c r="A19" s="13" t="str">
        <v>Bambu Lab</v>
      </c>
      <c r="B19" s="13" t="str">
        <v>Filament TDS</v>
      </c>
      <c r="C19" s="13" t="str">
        <v>Bambu Filament Technical Data Sheet - PET-CF</v>
      </c>
      <c r="D19" s="17" t="str">
        <v>Open document</v>
      </c>
      <c r="E19" s="13" t="str">
        <v>Yes</v>
      </c>
      <c r="F19" s="13" t="str">
        <v>B-pet-cf-TDS</v>
      </c>
      <c r="G19" s="13" t="str">
        <v>Manufacturer TDS</v>
      </c>
      <c r="H19" s="13" t="str">
        <v>cited</v>
      </c>
      <c r="I19" s="13" t="str">
        <v>Retrieved</v>
      </c>
      <c r="J19" s="13" t="str">
        <v>G067-01</v>
      </c>
      <c r="K19" s="13" t="str">
        <v>Document / product page</v>
      </c>
      <c r="L19" s="13" t="str">
        <v>Technical Data Sheet V3.0</v>
      </c>
      <c r="M19" s="15" t="str">
        <v>Not published</v>
      </c>
      <c r="N19" s="15" t="n">
        <v>46275</v>
      </c>
      <c r="O19" s="13" t="str">
        <v>Bambu Lab</v>
      </c>
      <c r="P19" s="10" t="str">
        <v>https://store.bblcdn.com/9690d6226f024acab2ba0dd52dabb654.pdf</v>
      </c>
      <c r="Q19" s="10" t="str">
        <v>7045c5d57f9bcfab43799a6e3606ff405ae33143b3c44cf8da2520da089c2f02</v>
      </c>
    </row>
    <row r="20" ht="48" customHeight="1">
      <c r="A20" s="14" t="str">
        <v>Bambu Lab</v>
      </c>
      <c r="B20" s="14" t="str">
        <v>Filament TDS</v>
      </c>
      <c r="C20" s="14" t="str">
        <v>Bambu Filament Technical Data Sheet - PETG Basic</v>
      </c>
      <c r="D20" s="18" t="str">
        <v>Open document</v>
      </c>
      <c r="E20" s="14" t="str">
        <v>Yes</v>
      </c>
      <c r="F20" s="14" t="str">
        <v>B-petg-basic-TDS</v>
      </c>
      <c r="G20" s="14" t="str">
        <v>Manufacturer TDS</v>
      </c>
      <c r="H20" s="14" t="str">
        <v>cited</v>
      </c>
      <c r="I20" s="14" t="str">
        <v>Retrieved</v>
      </c>
      <c r="J20" s="14" t="str">
        <v>G021-01</v>
      </c>
      <c r="K20" s="14" t="str">
        <v>Document / product page</v>
      </c>
      <c r="L20" s="14" t="str">
        <v>Technical Data Sheet V3.0</v>
      </c>
      <c r="M20" s="16" t="str">
        <v>Not published</v>
      </c>
      <c r="N20" s="16" t="n">
        <v>46275</v>
      </c>
      <c r="O20" s="14" t="str">
        <v>Bambu Lab</v>
      </c>
      <c r="P20" s="2" t="str">
        <v>https://store.bblcdn.com/s1/default/cb94589bf7994fdcbfa833badefae9cd/Bambu_PETG_Basic_Technical_Data_Sheet.pdf</v>
      </c>
      <c r="Q20" s="2" t="str">
        <v>fc23b725a4632bd931f28d0076461180e0ba87b7c2ddb6b1f16478ad5c5db6c6</v>
      </c>
    </row>
    <row r="21" ht="48" customHeight="1">
      <c r="A21" s="13" t="str">
        <v>Bambu Lab</v>
      </c>
      <c r="B21" s="13" t="str">
        <v>Filament TDS</v>
      </c>
      <c r="C21" s="13" t="str">
        <v>Bambu Filament Technical Data Sheet - PETG HF</v>
      </c>
      <c r="D21" s="17" t="str">
        <v>Open document</v>
      </c>
      <c r="E21" s="13" t="str">
        <v>Yes</v>
      </c>
      <c r="F21" s="13" t="str">
        <v>B-petg-hf-TDS</v>
      </c>
      <c r="G21" s="13" t="str">
        <v>Manufacturer TDS</v>
      </c>
      <c r="H21" s="13" t="str">
        <v>cited</v>
      </c>
      <c r="I21" s="13" t="str">
        <v>Retrieved</v>
      </c>
      <c r="J21" s="13" t="str">
        <v>G022-01</v>
      </c>
      <c r="K21" s="13" t="str">
        <v>Document / product page</v>
      </c>
      <c r="L21" s="13" t="str">
        <v>Technical Data Sheet V1.0</v>
      </c>
      <c r="M21" s="15" t="str">
        <v>Not published</v>
      </c>
      <c r="N21" s="15" t="n">
        <v>46275</v>
      </c>
      <c r="O21" s="13" t="str">
        <v>Bambu Lab</v>
      </c>
      <c r="P21" s="10" t="str">
        <v>https://store.bblcdn.com/3a230e260a3a47c2b0db0156e07eef91.pdf</v>
      </c>
      <c r="Q21" s="10" t="str">
        <v>51981f734b941947f3fe696cc370c1a4b7419f4eb4cffa77ea97c3d5d4b53ab4</v>
      </c>
    </row>
    <row r="22" ht="48" customHeight="1">
      <c r="A22" s="14" t="str">
        <v>Bambu Lab</v>
      </c>
      <c r="B22" s="14" t="str">
        <v>Filament TDS</v>
      </c>
      <c r="C22" s="14" t="str">
        <v>Bambu Filament Technical Data Sheet - PETG Translucent</v>
      </c>
      <c r="D22" s="18" t="str">
        <v>Open document</v>
      </c>
      <c r="E22" s="14" t="str">
        <v>Yes</v>
      </c>
      <c r="F22" s="14" t="str">
        <v>B-petg-translucent-TDS</v>
      </c>
      <c r="G22" s="14" t="str">
        <v>Manufacturer TDS</v>
      </c>
      <c r="H22" s="14" t="str">
        <v>cited</v>
      </c>
      <c r="I22" s="14" t="str">
        <v>Retrieved</v>
      </c>
      <c r="J22" s="14" t="str">
        <v>G023-01</v>
      </c>
      <c r="K22" s="14" t="str">
        <v>Document / product page</v>
      </c>
      <c r="L22" s="14" t="str">
        <v>Technical Data Sheet V1.0</v>
      </c>
      <c r="M22" s="16" t="str">
        <v>Not published</v>
      </c>
      <c r="N22" s="16" t="n">
        <v>46275</v>
      </c>
      <c r="O22" s="14" t="str">
        <v>Bambu Lab</v>
      </c>
      <c r="P22" s="2" t="str">
        <v>https://store.bblcdn.com/s1/default/338c9cd853fd44d9b6ed354a49048e72/Bambu_PETG_Translucent_Technical_Data_Sheet.pdf</v>
      </c>
      <c r="Q22" s="2" t="str">
        <v>76246afc09c01b232869072208abbace373650b5b1e661ab222b4605f67a5229</v>
      </c>
    </row>
    <row r="23" ht="48" customHeight="1">
      <c r="A23" s="13" t="str">
        <v>Bambu Lab</v>
      </c>
      <c r="B23" s="13" t="str">
        <v>Filament TDS</v>
      </c>
      <c r="C23" s="13" t="str">
        <v>Bambu Filament Technical Data Sheet - PETG-CF</v>
      </c>
      <c r="D23" s="17" t="str">
        <v>Open document</v>
      </c>
      <c r="E23" s="13" t="str">
        <v>Yes</v>
      </c>
      <c r="F23" s="13" t="str">
        <v>B-petg-cf-TDS</v>
      </c>
      <c r="G23" s="13" t="str">
        <v>Manufacturer TDS</v>
      </c>
      <c r="H23" s="13" t="str">
        <v>cited</v>
      </c>
      <c r="I23" s="13" t="str">
        <v>Retrieved</v>
      </c>
      <c r="J23" s="13" t="str">
        <v>G024-01</v>
      </c>
      <c r="K23" s="13" t="str">
        <v>Document / product page</v>
      </c>
      <c r="L23" s="13" t="str">
        <v>Technical Data Sheet V3.0</v>
      </c>
      <c r="M23" s="15" t="str">
        <v>Not published</v>
      </c>
      <c r="N23" s="15" t="n">
        <v>46275</v>
      </c>
      <c r="O23" s="13" t="str">
        <v>Bambu Lab</v>
      </c>
      <c r="P23" s="10" t="str">
        <v>https://store.bblcdn.com/626e4f424bf345ae965ad0ddfcaf2459.pdf</v>
      </c>
      <c r="Q23" s="10" t="str">
        <v>18ca4ea88470343cd76173c44e5d9e71e6d7e538a6287816a62d80660329bba6</v>
      </c>
    </row>
    <row r="24" ht="48" customHeight="1">
      <c r="A24" s="14" t="str">
        <v>Bambu Lab</v>
      </c>
      <c r="B24" s="14" t="str">
        <v>Filament TDS</v>
      </c>
      <c r="C24" s="14" t="str">
        <v>Bambu Filament Technical Data Sheet - PLA Aero</v>
      </c>
      <c r="D24" s="18" t="str">
        <v>Open document</v>
      </c>
      <c r="E24" s="14" t="str">
        <v>Yes</v>
      </c>
      <c r="F24" s="14" t="str">
        <v>B-pla-aero-TDS</v>
      </c>
      <c r="G24" s="14" t="str">
        <v>Manufacturer TDS</v>
      </c>
      <c r="H24" s="14" t="str">
        <v>cited</v>
      </c>
      <c r="I24" s="14" t="str">
        <v>Retrieved</v>
      </c>
      <c r="J24" s="14" t="str">
        <v>G017-01</v>
      </c>
      <c r="K24" s="14" t="str">
        <v>Document / product page</v>
      </c>
      <c r="L24" s="14" t="str">
        <v>Technical Data Sheet V4.0</v>
      </c>
      <c r="M24" s="16" t="str">
        <v>Not published</v>
      </c>
      <c r="N24" s="16" t="n">
        <v>46275</v>
      </c>
      <c r="O24" s="14" t="str">
        <v>Bambu Lab</v>
      </c>
      <c r="P24" s="2" t="str">
        <v>https://store.bblcdn.com/cbc8b808aaf84ead9bb3b0b9b43e66af.pdf</v>
      </c>
      <c r="Q24" s="2" t="str">
        <v>c7730c4bac6f58d8660bbc5bd580fa00f18b956033b9768a5a543d546d15c592</v>
      </c>
    </row>
    <row r="25" ht="48" customHeight="1">
      <c r="A25" s="13" t="str">
        <v>Bambu Lab</v>
      </c>
      <c r="B25" s="13" t="str">
        <v>Filament TDS</v>
      </c>
      <c r="C25" s="13" t="str">
        <v>Bambu Filament Technical Data Sheet - PLA Basic</v>
      </c>
      <c r="D25" s="17" t="str">
        <v>Open document</v>
      </c>
      <c r="E25" s="13" t="str">
        <v>Yes</v>
      </c>
      <c r="F25" s="13" t="str">
        <v>B-pla-basic-filament-TDS</v>
      </c>
      <c r="G25" s="13" t="str">
        <v>Manufacturer TDS</v>
      </c>
      <c r="H25" s="13" t="str">
        <v>cited</v>
      </c>
      <c r="I25" s="13" t="str">
        <v>Retrieved</v>
      </c>
      <c r="J25" s="13" t="str">
        <v>G002-01</v>
      </c>
      <c r="K25" s="13" t="str">
        <v>Document / product page</v>
      </c>
      <c r="L25" s="13" t="str">
        <v>Technical Data Sheet V3.0</v>
      </c>
      <c r="M25" s="15" t="str">
        <v>Not published</v>
      </c>
      <c r="N25" s="15" t="n">
        <v>46275</v>
      </c>
      <c r="O25" s="13" t="str">
        <v>Bambu Lab</v>
      </c>
      <c r="P25" s="10" t="str">
        <v>https://store.bblcdn.com/s1/default/58b85d0f3db94878854a28fdb8a0006e/Bambu_PLA_Basic_Technical_Data_Sheet.pdf</v>
      </c>
      <c r="Q25" s="10" t="str">
        <v>05b504148050e17c02d2f20f1a4b718b4e35d43af1c406da34127711762ff939</v>
      </c>
    </row>
    <row r="26" ht="48" customHeight="1">
      <c r="A26" s="14" t="str">
        <v>Bambu Lab</v>
      </c>
      <c r="B26" s="14" t="str">
        <v>Filament TDS</v>
      </c>
      <c r="C26" s="14" t="str">
        <v>Bambu Filament Technical Data Sheet - PLA Basic</v>
      </c>
      <c r="D26" s="18" t="str">
        <v>Open document</v>
      </c>
      <c r="E26" s="14" t="str">
        <v>Yes</v>
      </c>
      <c r="F26" s="14" t="str">
        <v>B-pla-basic-gradient-TDS</v>
      </c>
      <c r="G26" s="14" t="str">
        <v>Manufacturer TDS</v>
      </c>
      <c r="H26" s="14" t="str">
        <v>cited</v>
      </c>
      <c r="I26" s="14" t="str">
        <v>Retrieved</v>
      </c>
      <c r="J26" s="14" t="str">
        <v>G005-01</v>
      </c>
      <c r="K26" s="14" t="str">
        <v>Document / product page</v>
      </c>
      <c r="L26" s="14" t="str">
        <v>Technical Data Sheet V2.0</v>
      </c>
      <c r="M26" s="16" t="str">
        <v>Not published</v>
      </c>
      <c r="N26" s="16" t="n">
        <v>46275</v>
      </c>
      <c r="O26" s="14" t="str">
        <v>Bambu Lab</v>
      </c>
      <c r="P26" s="2" t="str">
        <v>https://cdn.shopify.com/s/files/1/0584/7236/6216/files/Bambu_PLA_Basic_Gradient_Technical_Data_Sheet.pdf</v>
      </c>
      <c r="Q26" s="2" t="str">
        <v>84f9fde455348a11c3861307bd391a8e4cebdf6f367c19506b56eee413512a50</v>
      </c>
    </row>
    <row r="27" ht="48" customHeight="1">
      <c r="A27" s="13" t="str">
        <v>Bambu Lab</v>
      </c>
      <c r="B27" s="13" t="str">
        <v>Filament TDS</v>
      </c>
      <c r="C27" s="13" t="str">
        <v>Bambu Filament Technical Data Sheet - PLA Galaxy</v>
      </c>
      <c r="D27" s="17" t="str">
        <v>Open document</v>
      </c>
      <c r="E27" s="13" t="str">
        <v>Yes</v>
      </c>
      <c r="F27" s="13" t="str">
        <v>B-pla-galaxy-TDS</v>
      </c>
      <c r="G27" s="13" t="str">
        <v>Manufacturer TDS</v>
      </c>
      <c r="H27" s="13" t="str">
        <v>cited</v>
      </c>
      <c r="I27" s="13" t="str">
        <v>Retrieved</v>
      </c>
      <c r="J27" s="13" t="str">
        <v>G015-01</v>
      </c>
      <c r="K27" s="13" t="str">
        <v>Document / product page</v>
      </c>
      <c r="L27" s="13" t="str">
        <v>Technical Data Sheet V1.0</v>
      </c>
      <c r="M27" s="15" t="str">
        <v>Not published</v>
      </c>
      <c r="N27" s="15" t="n">
        <v>46275</v>
      </c>
      <c r="O27" s="13" t="str">
        <v>Bambu Lab</v>
      </c>
      <c r="P27" s="10" t="str">
        <v>https://store.bblcdn.com/8f0b6b2741e3498689c2c7706374c482.pdf</v>
      </c>
      <c r="Q27" s="10" t="str">
        <v>75cfdf621cfe629d80e0bffcad327c5088a1ddcd891cfb24cac0cc717cf63e21</v>
      </c>
    </row>
    <row r="28" ht="48" customHeight="1">
      <c r="A28" s="14" t="str">
        <v>Bambu Lab</v>
      </c>
      <c r="B28" s="14" t="str">
        <v>Filament TDS</v>
      </c>
      <c r="C28" s="14" t="str">
        <v>Bambu Filament Technical Data Sheet - PLA Glow</v>
      </c>
      <c r="D28" s="18" t="str">
        <v>Open document</v>
      </c>
      <c r="E28" s="14" t="str">
        <v>Yes</v>
      </c>
      <c r="F28" s="14" t="str">
        <v>B-pla-glow-TDS</v>
      </c>
      <c r="G28" s="14" t="str">
        <v>Manufacturer TDS</v>
      </c>
      <c r="H28" s="14" t="str">
        <v>cited</v>
      </c>
      <c r="I28" s="14" t="str">
        <v>Retrieved</v>
      </c>
      <c r="J28" s="14" t="str">
        <v>G016-01</v>
      </c>
      <c r="K28" s="14" t="str">
        <v>Document / product page</v>
      </c>
      <c r="L28" s="14" t="str">
        <v>Technical Data Sheet V1.0</v>
      </c>
      <c r="M28" s="16" t="str">
        <v>Not published</v>
      </c>
      <c r="N28" s="16" t="n">
        <v>46275</v>
      </c>
      <c r="O28" s="14" t="str">
        <v>Bambu Lab</v>
      </c>
      <c r="P28" s="2" t="str">
        <v>https://store.bblcdn.com/cd34cf072d14484bbf027290d16abe9b.pdf</v>
      </c>
      <c r="Q28" s="2" t="str">
        <v>7ebb92f0abcb8ebfe225d1fda4556454eaaf20bc27c42a06831d67d56e3ae919</v>
      </c>
    </row>
    <row r="29" ht="48" customHeight="1">
      <c r="A29" s="13" t="str">
        <v>Bambu Lab</v>
      </c>
      <c r="B29" s="13" t="str">
        <v>Filament TDS</v>
      </c>
      <c r="C29" s="13" t="str">
        <v>Bambu Filament Technical Data Sheet - PLA Marble</v>
      </c>
      <c r="D29" s="17" t="str">
        <v>Open document</v>
      </c>
      <c r="E29" s="13" t="str">
        <v>Yes</v>
      </c>
      <c r="F29" s="13" t="str">
        <v>B-pla-marble-TDS</v>
      </c>
      <c r="G29" s="13" t="str">
        <v>Manufacturer TDS</v>
      </c>
      <c r="H29" s="13" t="str">
        <v>cited</v>
      </c>
      <c r="I29" s="13" t="str">
        <v>Retrieved</v>
      </c>
      <c r="J29" s="13" t="str">
        <v>G012-01</v>
      </c>
      <c r="K29" s="13" t="str">
        <v>Document / product page</v>
      </c>
      <c r="L29" s="13" t="str">
        <v>Technical Data Sheet V3.0</v>
      </c>
      <c r="M29" s="15" t="str">
        <v>Not published</v>
      </c>
      <c r="N29" s="15" t="n">
        <v>46275</v>
      </c>
      <c r="O29" s="13" t="str">
        <v>Bambu Lab</v>
      </c>
      <c r="P29" s="10" t="str">
        <v>https://store.bblcdn.com/b81e083c7d1f4e2182ef749d48f9ec86.pdf</v>
      </c>
      <c r="Q29" s="10" t="str">
        <v>5e5b81ceef7fe995c3e31e42ee6e12f79606619eabdd6d4438f00bb797bbdcf1</v>
      </c>
    </row>
    <row r="30" ht="48" customHeight="1">
      <c r="A30" s="14" t="str">
        <v>Bambu Lab</v>
      </c>
      <c r="B30" s="14" t="str">
        <v>Filament TDS</v>
      </c>
      <c r="C30" s="14" t="str">
        <v>Bambu Filament Technical Data Sheet - PLA Matte</v>
      </c>
      <c r="D30" s="18" t="str">
        <v>Open document</v>
      </c>
      <c r="E30" s="14" t="str">
        <v>Yes</v>
      </c>
      <c r="F30" s="14" t="str">
        <v>B-pla-matte-TDS</v>
      </c>
      <c r="G30" s="14" t="str">
        <v>Manufacturer TDS</v>
      </c>
      <c r="H30" s="14" t="str">
        <v>cited</v>
      </c>
      <c r="I30" s="14" t="str">
        <v>Retrieved</v>
      </c>
      <c r="J30" s="14" t="str">
        <v>G003-01</v>
      </c>
      <c r="K30" s="14" t="str">
        <v>Document / product page</v>
      </c>
      <c r="L30" s="14" t="str">
        <v>Technical Data Sheet V3.0</v>
      </c>
      <c r="M30" s="16" t="str">
        <v>Not published</v>
      </c>
      <c r="N30" s="16" t="n">
        <v>46275</v>
      </c>
      <c r="O30" s="14" t="str">
        <v>Bambu Lab</v>
      </c>
      <c r="P30" s="2" t="str">
        <v>https://store.bblcdn.com/s7/default/5b061f2feeac4ba88f355a33248bbda7/Bambu_PLA_Matte_Technical_Data_Sheet.pdf</v>
      </c>
      <c r="Q30" s="2" t="str">
        <v>544f98056f3a142969983a97dcd75140b447bca397f99e17edeb260cd2d0d3f5</v>
      </c>
    </row>
    <row r="31" ht="48" customHeight="1">
      <c r="A31" s="13" t="str">
        <v>Bambu Lab</v>
      </c>
      <c r="B31" s="13" t="str">
        <v>Filament TDS</v>
      </c>
      <c r="C31" s="13" t="str">
        <v>Bambu Filament Technical Data Sheet - PLA Metal</v>
      </c>
      <c r="D31" s="17" t="str">
        <v>Open document</v>
      </c>
      <c r="E31" s="13" t="str">
        <v>Yes</v>
      </c>
      <c r="F31" s="13" t="str">
        <v>B-pla-metal-TDS</v>
      </c>
      <c r="G31" s="13" t="str">
        <v>Manufacturer TDS</v>
      </c>
      <c r="H31" s="13" t="str">
        <v>cited</v>
      </c>
      <c r="I31" s="13" t="str">
        <v>Retrieved</v>
      </c>
      <c r="J31" s="13" t="str">
        <v>G011-01</v>
      </c>
      <c r="K31" s="13" t="str">
        <v>Document / product page</v>
      </c>
      <c r="L31" s="13" t="str">
        <v>Technical Data Sheet V3.0</v>
      </c>
      <c r="M31" s="15" t="str">
        <v>Not published</v>
      </c>
      <c r="N31" s="15" t="n">
        <v>46275</v>
      </c>
      <c r="O31" s="13" t="str">
        <v>Bambu Lab</v>
      </c>
      <c r="P31" s="10" t="str">
        <v>https://store.bblcdn.com/c6c28a13ba294c6f9fe62755ec9188fa.pdf</v>
      </c>
      <c r="Q31" s="10" t="str">
        <v>89844096f35cf7a7bf44b8ac80cfd7f191b99fbcf8b839a4fa24bcb712e3f161</v>
      </c>
    </row>
    <row r="32" ht="48" customHeight="1">
      <c r="A32" s="14" t="str">
        <v>Bambu Lab</v>
      </c>
      <c r="B32" s="14" t="str">
        <v>Filament TDS</v>
      </c>
      <c r="C32" s="14" t="str">
        <v>Bambu Filament Technical Data Sheet - PLA Silk</v>
      </c>
      <c r="D32" s="18" t="str">
        <v>Open document</v>
      </c>
      <c r="E32" s="14" t="str">
        <v>Yes</v>
      </c>
      <c r="F32" s="14" t="str">
        <v>B-pla-silk-dual-color-TDS</v>
      </c>
      <c r="G32" s="14" t="str">
        <v>Manufacturer TDS</v>
      </c>
      <c r="H32" s="14" t="str">
        <v>cited</v>
      </c>
      <c r="I32" s="14" t="str">
        <v>Retrieved</v>
      </c>
      <c r="J32" s="14" t="str">
        <v>G010-01</v>
      </c>
      <c r="K32" s="14" t="str">
        <v>Document / product page</v>
      </c>
      <c r="L32" s="14" t="str">
        <v>Technical Data Sheet V3.0</v>
      </c>
      <c r="M32" s="16" t="str">
        <v>Not published</v>
      </c>
      <c r="N32" s="16" t="n">
        <v>46275</v>
      </c>
      <c r="O32" s="14" t="str">
        <v>Bambu Lab</v>
      </c>
      <c r="P32" s="2" t="str">
        <v>https://cdn.shopify.com/s/files/1/0584/7236/6216/files/Bambu_PLA_Silk_Dual_Color_Technical_Data_Sheet.pdf</v>
      </c>
      <c r="Q32" s="2" t="str">
        <v>ed62961c3288d08217f80cf27fdfd467f6bfe70b853ab683a40b179731227666</v>
      </c>
    </row>
    <row r="33" ht="48" customHeight="1">
      <c r="A33" s="13" t="str">
        <v>Bambu Lab</v>
      </c>
      <c r="B33" s="13" t="str">
        <v>Filament TDS</v>
      </c>
      <c r="C33" s="13" t="str">
        <v>Bambu Filament Technical Data Sheet - PLA Silk+</v>
      </c>
      <c r="D33" s="17" t="str">
        <v>Open document</v>
      </c>
      <c r="E33" s="13" t="str">
        <v>Yes</v>
      </c>
      <c r="F33" s="13" t="str">
        <v>B-pla-silk-upgrade-TDS</v>
      </c>
      <c r="G33" s="13" t="str">
        <v>Manufacturer TDS</v>
      </c>
      <c r="H33" s="13" t="str">
        <v>cited</v>
      </c>
      <c r="I33" s="13" t="str">
        <v>Retrieved</v>
      </c>
      <c r="J33" s="13" t="str">
        <v>G009-01</v>
      </c>
      <c r="K33" s="13" t="str">
        <v>Document / product page</v>
      </c>
      <c r="L33" s="13" t="str">
        <v>Technical Data Sheet V1.0</v>
      </c>
      <c r="M33" s="15" t="str">
        <v>Not published</v>
      </c>
      <c r="N33" s="15" t="n">
        <v>46275</v>
      </c>
      <c r="O33" s="13" t="str">
        <v>Bambu Lab</v>
      </c>
      <c r="P33" s="10" t="str">
        <v>https://cdn.shopify.com/s/files/1/0584/7236/6216/files/Bambu_PLA_Silk__Technical_Data_Sheet.pdf?v=1733472353</v>
      </c>
      <c r="Q33" s="10" t="str">
        <v>336eab9b2bd1b8e1768880cc82b44da4ab16f8de4ccc434d9d47b2beebb22ea6</v>
      </c>
    </row>
    <row r="34" ht="48" customHeight="1">
      <c r="A34" s="14" t="str">
        <v>Bambu Lab</v>
      </c>
      <c r="B34" s="14" t="str">
        <v>Filament TDS</v>
      </c>
      <c r="C34" s="14" t="str">
        <v>Bambu Filament Technical Data Sheet - PLA Sparkle</v>
      </c>
      <c r="D34" s="18" t="str">
        <v>Open document</v>
      </c>
      <c r="E34" s="14" t="str">
        <v>Yes</v>
      </c>
      <c r="F34" s="14" t="str">
        <v>B-pla-sparkle-TDS</v>
      </c>
      <c r="G34" s="14" t="str">
        <v>Manufacturer TDS</v>
      </c>
      <c r="H34" s="14" t="str">
        <v>cited</v>
      </c>
      <c r="I34" s="14" t="str">
        <v>Retrieved</v>
      </c>
      <c r="J34" s="14" t="str">
        <v>G013-01</v>
      </c>
      <c r="K34" s="14" t="str">
        <v>Document / product page</v>
      </c>
      <c r="L34" s="14" t="str">
        <v>Technical Data Sheet V1.0</v>
      </c>
      <c r="M34" s="16" t="str">
        <v>Not published</v>
      </c>
      <c r="N34" s="16" t="n">
        <v>46275</v>
      </c>
      <c r="O34" s="14" t="str">
        <v>Bambu Lab</v>
      </c>
      <c r="P34" s="2" t="str">
        <v>https://store.bblcdn.com/169532c9ce4d4610a9e85d92c0222bb9.pdf</v>
      </c>
      <c r="Q34" s="2" t="str">
        <v>aff0134b09ee327c60a7b5a0966aad140cbaa4373952abb7a633e5f7aacd6550</v>
      </c>
    </row>
    <row r="35" ht="48" customHeight="1">
      <c r="A35" s="13" t="str">
        <v>Bambu Lab</v>
      </c>
      <c r="B35" s="13" t="str">
        <v>Filament TDS</v>
      </c>
      <c r="C35" s="13" t="str">
        <v>Bambu Filament Technical Data Sheet - PLA Tough+</v>
      </c>
      <c r="D35" s="17" t="str">
        <v>Open document</v>
      </c>
      <c r="E35" s="13" t="str">
        <v>Yes</v>
      </c>
      <c r="F35" s="13" t="str">
        <v>B-pla-tough-upgrade-TDS</v>
      </c>
      <c r="G35" s="13" t="str">
        <v>Manufacturer TDS</v>
      </c>
      <c r="H35" s="13" t="str">
        <v>cited</v>
      </c>
      <c r="I35" s="13" t="str">
        <v>Retrieved</v>
      </c>
      <c r="J35" s="13" t="str">
        <v>G006-01</v>
      </c>
      <c r="K35" s="13" t="str">
        <v>Document / product page</v>
      </c>
      <c r="L35" s="13" t="str">
        <v>Technical Data Sheet V3.0</v>
      </c>
      <c r="M35" s="15" t="str">
        <v>Not published</v>
      </c>
      <c r="N35" s="15" t="n">
        <v>46275</v>
      </c>
      <c r="O35" s="13" t="str">
        <v>Bambu Lab</v>
      </c>
      <c r="P35" s="10" t="str">
        <v>https://store.bblcdn.com/s7/default/80a85371db2e40bda97069d283fed76c/BambuPLA_Tough_TechnicalData_Sheet_(2).pdf</v>
      </c>
      <c r="Q35" s="10" t="str">
        <v>73fc789bc00aee976c7d70890bada6103fc8fadcbae50cd955872549c7603f61</v>
      </c>
    </row>
    <row r="36" ht="48" customHeight="1">
      <c r="A36" s="14" t="str">
        <v>Bambu Lab</v>
      </c>
      <c r="B36" s="14" t="str">
        <v>Filament TDS</v>
      </c>
      <c r="C36" s="14" t="str">
        <v>Bambu Filament Technical Data Sheet - PLA Translucent</v>
      </c>
      <c r="D36" s="18" t="str">
        <v>Open document</v>
      </c>
      <c r="E36" s="14" t="str">
        <v>Yes</v>
      </c>
      <c r="F36" s="14" t="str">
        <v>B-pla-translucent-TDS</v>
      </c>
      <c r="G36" s="14" t="str">
        <v>Manufacturer TDS</v>
      </c>
      <c r="H36" s="14" t="str">
        <v>cited</v>
      </c>
      <c r="I36" s="14" t="str">
        <v>Retrieved</v>
      </c>
      <c r="J36" s="14" t="str">
        <v>G007-01</v>
      </c>
      <c r="K36" s="14" t="str">
        <v>Document / product page</v>
      </c>
      <c r="L36" s="14" t="str">
        <v>Technical Data Sheet V3.0</v>
      </c>
      <c r="M36" s="16" t="str">
        <v>Not published</v>
      </c>
      <c r="N36" s="16" t="n">
        <v>46275</v>
      </c>
      <c r="O36" s="14" t="str">
        <v>Bambu Lab</v>
      </c>
      <c r="P36" s="2" t="str">
        <v>https://store.bblcdn.com/s7/default/729a8bf233e9474db25c8d5be1e64a00/Bambu_PLA_Translucent_Technical_Data_Sheet.pdf</v>
      </c>
      <c r="Q36" s="2" t="str">
        <v>9a0d6356bb2c0839e1586c256e8b38b2f69dd60b86ae044607af19a72e3e379b</v>
      </c>
    </row>
    <row r="37" ht="48" customHeight="1">
      <c r="A37" s="13" t="str">
        <v>Bambu Lab</v>
      </c>
      <c r="B37" s="13" t="str">
        <v>Filament TDS</v>
      </c>
      <c r="C37" s="13" t="str">
        <v>Bambu Filament Technical Data Sheet - PLA Wood</v>
      </c>
      <c r="D37" s="17" t="str">
        <v>Open document</v>
      </c>
      <c r="E37" s="13" t="str">
        <v>Yes</v>
      </c>
      <c r="F37" s="13" t="str">
        <v>B-pla-wood-TDS</v>
      </c>
      <c r="G37" s="13" t="str">
        <v>Manufacturer TDS</v>
      </c>
      <c r="H37" s="13" t="str">
        <v>cited</v>
      </c>
      <c r="I37" s="13" t="str">
        <v>Retrieved</v>
      </c>
      <c r="J37" s="13" t="str">
        <v>G014-01</v>
      </c>
      <c r="K37" s="13" t="str">
        <v>Document / product page</v>
      </c>
      <c r="L37" s="13" t="str">
        <v>Technical Data Sheet V1.0</v>
      </c>
      <c r="M37" s="15" t="str">
        <v>Not published</v>
      </c>
      <c r="N37" s="15" t="n">
        <v>46275</v>
      </c>
      <c r="O37" s="13" t="str">
        <v>Bambu Lab</v>
      </c>
      <c r="P37" s="10" t="str">
        <v>https://store.bblcdn.com/s4/default/6fda0ae88e5a4e66bb5d58f2968eee42/Bambus_PLA_Wood_Technical_Data_Sheet.pdf</v>
      </c>
      <c r="Q37" s="10" t="str">
        <v>0d4a7db697bb84866f7852860a81035d5329a645008844ba0f39a03d80bddf52</v>
      </c>
    </row>
    <row r="38" ht="48" customHeight="1">
      <c r="A38" s="14" t="str">
        <v>Bambu Lab</v>
      </c>
      <c r="B38" s="14" t="str">
        <v>Filament TDS</v>
      </c>
      <c r="C38" s="14" t="str">
        <v>Bambu Filament Technical Data Sheet - PLA-CF</v>
      </c>
      <c r="D38" s="18" t="str">
        <v>Open document</v>
      </c>
      <c r="E38" s="14" t="str">
        <v>Yes</v>
      </c>
      <c r="F38" s="14" t="str">
        <v>B-pla-cf-TDS</v>
      </c>
      <c r="G38" s="14" t="str">
        <v>Manufacturer TDS</v>
      </c>
      <c r="H38" s="14" t="str">
        <v>cited</v>
      </c>
      <c r="I38" s="14" t="str">
        <v>Retrieved</v>
      </c>
      <c r="J38" s="14" t="str">
        <v>G018-01</v>
      </c>
      <c r="K38" s="14" t="str">
        <v>Document / product page</v>
      </c>
      <c r="L38" s="14" t="str">
        <v>Technical Data Sheet V2.0</v>
      </c>
      <c r="M38" s="16" t="str">
        <v>Not published</v>
      </c>
      <c r="N38" s="16" t="n">
        <v>46275</v>
      </c>
      <c r="O38" s="14" t="str">
        <v>Bambu Lab</v>
      </c>
      <c r="P38" s="2" t="str">
        <v>https://store.bblcdn.com/842f399d4e274507953a5231126ec8c1.pdf</v>
      </c>
      <c r="Q38" s="2" t="str">
        <v>1939edfb494813529cd5324854975b0248e662af8adc11045599257f08bffae3</v>
      </c>
    </row>
    <row r="39" ht="48" customHeight="1">
      <c r="A39" s="13" t="str">
        <v>Bambu Lab</v>
      </c>
      <c r="B39" s="13" t="str">
        <v>Filament TDS</v>
      </c>
      <c r="C39" s="13" t="str">
        <v>Bambu Filament Technical Data Sheet - PPA-CF</v>
      </c>
      <c r="D39" s="17" t="str">
        <v>Open document</v>
      </c>
      <c r="E39" s="13" t="str">
        <v>Yes</v>
      </c>
      <c r="F39" s="13" t="str">
        <v>B-ppa-cf-TDS</v>
      </c>
      <c r="G39" s="13" t="str">
        <v>Manufacturer TDS</v>
      </c>
      <c r="H39" s="13" t="str">
        <v>cited</v>
      </c>
      <c r="I39" s="13" t="str">
        <v>Retrieved</v>
      </c>
      <c r="J39" s="13" t="str">
        <v>G070-01</v>
      </c>
      <c r="K39" s="13" t="str">
        <v>Document / product page</v>
      </c>
      <c r="L39" s="13" t="str">
        <v>Technical Data Sheet V1.0</v>
      </c>
      <c r="M39" s="15" t="str">
        <v>Not published</v>
      </c>
      <c r="N39" s="15" t="n">
        <v>46275</v>
      </c>
      <c r="O39" s="13" t="str">
        <v>Bambu Lab</v>
      </c>
      <c r="P39" s="10" t="str">
        <v>https://store.bblcdn.com/05b0e4ca5ee14a4cb378cfa48df24f91.pdf</v>
      </c>
      <c r="Q39" s="10" t="str">
        <v>bfc041b0898b8d0a183e0622143d6978cfb95df12ccf51a7515b4a0934e45951</v>
      </c>
    </row>
    <row r="40" ht="48" customHeight="1">
      <c r="A40" s="14" t="str">
        <v>Bambu Lab</v>
      </c>
      <c r="B40" s="14" t="str">
        <v>Filament TDS</v>
      </c>
      <c r="C40" s="14" t="str">
        <v>Bambu Filament Technical Data Sheet - PPS-CF</v>
      </c>
      <c r="D40" s="18" t="str">
        <v>Open document</v>
      </c>
      <c r="E40" s="14" t="str">
        <v>Yes</v>
      </c>
      <c r="F40" s="14" t="str">
        <v>B-pps-cf-TDS</v>
      </c>
      <c r="G40" s="14" t="str">
        <v>Manufacturer TDS</v>
      </c>
      <c r="H40" s="14" t="str">
        <v>cited</v>
      </c>
      <c r="I40" s="14" t="str">
        <v>Retrieved</v>
      </c>
      <c r="J40" s="14" t="str">
        <v>G073-01</v>
      </c>
      <c r="K40" s="14" t="str">
        <v>Document / product page</v>
      </c>
      <c r="L40" s="14" t="str">
        <v>Technical Data Sheet V1.0</v>
      </c>
      <c r="M40" s="16" t="str">
        <v>Not published</v>
      </c>
      <c r="N40" s="16" t="n">
        <v>46275</v>
      </c>
      <c r="O40" s="14" t="str">
        <v>Bambu Lab</v>
      </c>
      <c r="P40" s="2" t="str">
        <v>https://store.bblcdn.com/26f4f40359484040a8660c9150a90fc0.pdf</v>
      </c>
      <c r="Q40" s="2" t="str">
        <v>d0246a1d2acd61802385e8f9d8a1e3a3e6db5b426337f6c56993402d4c2f2cd0</v>
      </c>
    </row>
    <row r="41" ht="48" customHeight="1">
      <c r="A41" s="13" t="str">
        <v>Bambu Lab</v>
      </c>
      <c r="B41" s="13" t="str">
        <v>Filament TDS</v>
      </c>
      <c r="C41" s="13" t="str">
        <v>Bambu Filament Technical Data Sheet - PVA</v>
      </c>
      <c r="D41" s="17" t="str">
        <v>Open document</v>
      </c>
      <c r="E41" s="13" t="str">
        <v>Yes</v>
      </c>
      <c r="F41" s="13" t="str">
        <v>B-pva-TDS</v>
      </c>
      <c r="G41" s="13" t="str">
        <v>Manufacturer TDS</v>
      </c>
      <c r="H41" s="13" t="str">
        <v>cited</v>
      </c>
      <c r="I41" s="13" t="str">
        <v>Retrieved</v>
      </c>
      <c r="J41" s="13" t="str">
        <v>G075-01</v>
      </c>
      <c r="K41" s="13" t="str">
        <v>Document / product page</v>
      </c>
      <c r="L41" s="13" t="str">
        <v>Technical Data Sheet V1.0</v>
      </c>
      <c r="M41" s="15" t="str">
        <v>Not published</v>
      </c>
      <c r="N41" s="15" t="n">
        <v>46275</v>
      </c>
      <c r="O41" s="13" t="str">
        <v>Bambu Lab</v>
      </c>
      <c r="P41" s="10" t="str">
        <v>https://store.bblcdn.com/s7/default/868930e5a44944258586caa250cc8143/Bambu_PVA_Technical_Data_Sheet.pdf</v>
      </c>
      <c r="Q41" s="10" t="str">
        <v>7ca185263fec71442794b3f34409233557bd30995613b759e810532616fe955b</v>
      </c>
    </row>
    <row r="42" ht="48" customHeight="1">
      <c r="A42" s="14" t="str">
        <v>Bambu Lab</v>
      </c>
      <c r="B42" s="14" t="str">
        <v>Filament TDS</v>
      </c>
      <c r="C42" s="14" t="str">
        <v>Bambu Filament Technical Data Sheet - Support for ABS</v>
      </c>
      <c r="D42" s="18" t="str">
        <v>Open document</v>
      </c>
      <c r="E42" s="14" t="str">
        <v>Yes</v>
      </c>
      <c r="F42" s="14" t="str">
        <v>B-support-for-abs-TDS</v>
      </c>
      <c r="G42" s="14" t="str">
        <v>Manufacturer TDS</v>
      </c>
      <c r="H42" s="14" t="str">
        <v>cited</v>
      </c>
      <c r="I42" s="14" t="str">
        <v>Retrieved</v>
      </c>
      <c r="J42" s="14" t="str">
        <v>G079-01</v>
      </c>
      <c r="K42" s="14" t="str">
        <v>Document / product page</v>
      </c>
      <c r="L42" s="14" t="str">
        <v>Technical Data Sheet V1.0</v>
      </c>
      <c r="M42" s="16" t="str">
        <v>Not published</v>
      </c>
      <c r="N42" s="16" t="n">
        <v>46275</v>
      </c>
      <c r="O42" s="14" t="str">
        <v>Bambu Lab</v>
      </c>
      <c r="P42" s="2" t="str">
        <v>https://store.bblcdn.com/4ea7b59ca78c485f828115735ed35050.pdf</v>
      </c>
      <c r="Q42" s="2" t="str">
        <v>35f3f69ae2f5097c2d9ef0d7a928a48dc25b478fb01d8b5cf0ac2a9d9904e655</v>
      </c>
    </row>
    <row r="43" ht="48" customHeight="1">
      <c r="A43" s="13" t="str">
        <v>Bambu Lab</v>
      </c>
      <c r="B43" s="13" t="str">
        <v>Filament TDS</v>
      </c>
      <c r="C43" s="13" t="str">
        <v>Bambu Filament Technical Data Sheet - Support for PA/PET</v>
      </c>
      <c r="D43" s="17" t="str">
        <v>Open document</v>
      </c>
      <c r="E43" s="13" t="str">
        <v>Yes</v>
      </c>
      <c r="F43" s="13" t="str">
        <v>B-support-for-pa-pet-TDS</v>
      </c>
      <c r="G43" s="13" t="str">
        <v>Manufacturer TDS</v>
      </c>
      <c r="H43" s="13" t="str">
        <v>cited</v>
      </c>
      <c r="I43" s="13" t="str">
        <v>Retrieved</v>
      </c>
      <c r="J43" s="13" t="str">
        <v>G080-01</v>
      </c>
      <c r="K43" s="13" t="str">
        <v>Document / product page</v>
      </c>
      <c r="L43" s="13" t="str">
        <v>Technical Data Sheet V1.0</v>
      </c>
      <c r="M43" s="15" t="str">
        <v>Not published</v>
      </c>
      <c r="N43" s="15" t="n">
        <v>46275</v>
      </c>
      <c r="O43" s="13" t="str">
        <v>Bambu Lab</v>
      </c>
      <c r="P43" s="10" t="str">
        <v>https://store.bblcdn.com/7e83189be1eb4a3dab8ce9b9a7b2065a.pdf</v>
      </c>
      <c r="Q43" s="10" t="str">
        <v>8aa9c8a2a4572bf5e15ae2b4752254b498449e55cab8bc1628f9cf9f024994b7</v>
      </c>
    </row>
    <row r="44" ht="48" customHeight="1">
      <c r="A44" s="14" t="str">
        <v>Bambu Lab</v>
      </c>
      <c r="B44" s="14" t="str">
        <v>Filament TDS</v>
      </c>
      <c r="C44" s="14" t="str">
        <v>Bambu Filament Technical Data Sheet - Support for PLA</v>
      </c>
      <c r="D44" s="18" t="str">
        <v>Open document</v>
      </c>
      <c r="E44" s="14" t="str">
        <v>Yes</v>
      </c>
      <c r="F44" s="14" t="str">
        <v>R-BAMBU-SUPPORT-PLA-NEW-TDS</v>
      </c>
      <c r="G44" s="14" t="str">
        <v>Manufacturer TDS</v>
      </c>
      <c r="H44" s="14" t="str">
        <v>cited</v>
      </c>
      <c r="I44" s="14" t="str">
        <v>Retrieved</v>
      </c>
      <c r="J44" s="14" t="str">
        <v>M077 / G077-01</v>
      </c>
      <c r="K44" s="14" t="str">
        <v>pp. 1-3</v>
      </c>
      <c r="L44" s="14" t="str">
        <v>V1.0</v>
      </c>
      <c r="M44" s="16" t="str">
        <v>Not published</v>
      </c>
      <c r="N44" s="16" t="n">
        <v>46278</v>
      </c>
      <c r="O44" s="14" t="str">
        <v>Bambu Lab</v>
      </c>
      <c r="P44" s="2" t="str">
        <v>https://store.bblcdn.com/s2/default/200ef29f5cd04b20ba6c2c86f0cc3ec0/Bambus_Support_for_PLA_Technical_Data_Sheet.pdf</v>
      </c>
      <c r="Q44" s="2" t="str">
        <v>4e070b33f2d0ff9c6169519635e7c2d508fd0760e2379dfc5cbd525ee89bdf2d</v>
      </c>
    </row>
    <row r="45" ht="48" customHeight="1">
      <c r="A45" s="13" t="str">
        <v>Bambu Lab</v>
      </c>
      <c r="B45" s="13" t="str">
        <v>Filament TDS</v>
      </c>
      <c r="C45" s="13" t="str">
        <v>Bambu Filament Technical Data Sheet - Support for PLA/PETG</v>
      </c>
      <c r="D45" s="17" t="str">
        <v>Open document</v>
      </c>
      <c r="E45" s="13" t="str">
        <v>Yes</v>
      </c>
      <c r="F45" s="13" t="str">
        <v>B-support-for-pla-petg-TDS</v>
      </c>
      <c r="G45" s="13" t="str">
        <v>Manufacturer TDS</v>
      </c>
      <c r="H45" s="13" t="str">
        <v>cited</v>
      </c>
      <c r="I45" s="13" t="str">
        <v>Retrieved</v>
      </c>
      <c r="J45" s="13" t="str">
        <v>G078-01</v>
      </c>
      <c r="K45" s="13" t="str">
        <v>Document / product page</v>
      </c>
      <c r="L45" s="13" t="str">
        <v>Technical Data Sheet V1.0</v>
      </c>
      <c r="M45" s="15" t="str">
        <v>Not published</v>
      </c>
      <c r="N45" s="15" t="n">
        <v>46275</v>
      </c>
      <c r="O45" s="13" t="str">
        <v>Bambu Lab</v>
      </c>
      <c r="P45" s="10" t="str">
        <v>https://store.bblcdn.com/d09d55778d42495db121e28a3b04a4c5.pdf</v>
      </c>
      <c r="Q45" s="10" t="str">
        <v>a2f6e88e520e18592333c35da3fd43b89838d14ee6934b617b326fd017e62d54</v>
      </c>
    </row>
    <row r="46" ht="48" customHeight="1">
      <c r="A46" s="14" t="str">
        <v>Bambu Lab</v>
      </c>
      <c r="B46" s="14" t="str">
        <v>Filament TDS</v>
      </c>
      <c r="C46" s="14" t="str">
        <v>Bambu Filament Technical Data Sheet - TPU 85A</v>
      </c>
      <c r="D46" s="18" t="str">
        <v>Open document</v>
      </c>
      <c r="E46" s="14" t="str">
        <v>Yes</v>
      </c>
      <c r="F46" s="14" t="str">
        <v>B-TPU-SOFT-TDS-5</v>
      </c>
      <c r="G46" s="14" t="str">
        <v>Manufacturer TDS</v>
      </c>
      <c r="H46" s="14" t="str">
        <v>cited</v>
      </c>
      <c r="I46" s="14" t="str">
        <v>Retrieved</v>
      </c>
      <c r="J46" s="14" t="str">
        <v>G043-01</v>
      </c>
      <c r="K46" s="14" t="str">
        <v>Document / product page</v>
      </c>
      <c r="L46" s="14" t="str">
        <v>Technical Data Sheet V1.0</v>
      </c>
      <c r="M46" s="16" t="str">
        <v>Not published</v>
      </c>
      <c r="N46" s="16" t="n">
        <v>46275</v>
      </c>
      <c r="O46" s="14" t="str">
        <v>Bambu Lab</v>
      </c>
      <c r="P46" s="2" t="str">
        <v>https://cdn.shopify.com/s/files/1/0645/5876/0155/files/Bambu_TPU_85A_Technical_Data_Sheet_a7233668-497b-487f-af8a-3adb49fafaa1.pdf?v=1741314674</v>
      </c>
      <c r="Q46" s="2" t="str">
        <v>70f480e450f416c4df7a0a0445c4fb356da782382c4308bddcb76ae4b401e4ae</v>
      </c>
    </row>
    <row r="47" ht="48" customHeight="1">
      <c r="A47" s="13" t="str">
        <v>Bambu Lab</v>
      </c>
      <c r="B47" s="13" t="str">
        <v>Filament TDS</v>
      </c>
      <c r="C47" s="13" t="str">
        <v>Bambu Filament Technical Data Sheet - TPU 90A</v>
      </c>
      <c r="D47" s="17" t="str">
        <v>Open document</v>
      </c>
      <c r="E47" s="13" t="str">
        <v>Yes</v>
      </c>
      <c r="F47" s="13" t="str">
        <v>B-TPU-SOFT-TDS-4</v>
      </c>
      <c r="G47" s="13" t="str">
        <v>Manufacturer TDS</v>
      </c>
      <c r="H47" s="13" t="str">
        <v>cited</v>
      </c>
      <c r="I47" s="13" t="str">
        <v>Retrieved</v>
      </c>
      <c r="J47" s="13" t="str">
        <v>G042-01</v>
      </c>
      <c r="K47" s="13" t="str">
        <v>Document / product page</v>
      </c>
      <c r="L47" s="13" t="str">
        <v>Technical Data Sheet V1.0</v>
      </c>
      <c r="M47" s="15" t="str">
        <v>Not published</v>
      </c>
      <c r="N47" s="15" t="n">
        <v>46275</v>
      </c>
      <c r="O47" s="13" t="str">
        <v>Bambu Lab</v>
      </c>
      <c r="P47" s="10" t="str">
        <v>https://cdn.shopify.com/s/files/1/0645/5876/0155/files/Bambu_TPU_90A_Technical_Data_Sheet_582bf8f6-1f0a-474c-aeda-9e72af3689dc.pdf?v=1741314674</v>
      </c>
      <c r="Q47" s="10" t="str">
        <v>1bd702da7bb1dd6c8b56816d2469f29f5c3d9943524b7d84b779b064203effb0</v>
      </c>
    </row>
    <row r="48" ht="48" customHeight="1">
      <c r="A48" s="14" t="str">
        <v>Bambu Lab</v>
      </c>
      <c r="B48" s="14" t="str">
        <v>Filament TDS</v>
      </c>
      <c r="C48" s="14" t="str">
        <v>Bambu Filament Technical Data Sheet - TPU 95A HF</v>
      </c>
      <c r="D48" s="18" t="str">
        <v>Open document</v>
      </c>
      <c r="E48" s="14" t="str">
        <v>Yes</v>
      </c>
      <c r="F48" s="14" t="str">
        <v>B-tpu-95a-hf-TDS</v>
      </c>
      <c r="G48" s="14" t="str">
        <v>Manufacturer TDS</v>
      </c>
      <c r="H48" s="14" t="str">
        <v>cited</v>
      </c>
      <c r="I48" s="14" t="str">
        <v>Retrieved</v>
      </c>
      <c r="J48" s="14" t="str">
        <v>G041-01</v>
      </c>
      <c r="K48" s="14" t="str">
        <v>Document / product page</v>
      </c>
      <c r="L48" s="14" t="str">
        <v>Technical Data Sheet V1.0</v>
      </c>
      <c r="M48" s="16" t="str">
        <v>Not published</v>
      </c>
      <c r="N48" s="16" t="n">
        <v>46275</v>
      </c>
      <c r="O48" s="14" t="str">
        <v>Bambu Lab</v>
      </c>
      <c r="P48" s="2" t="str">
        <v>https://store.bblcdn.com/58df32731eab4c90a7dac9b12e13ba88.pdf</v>
      </c>
      <c r="Q48" s="2" t="str">
        <v>531bd68e500ca41b635584f19d637a3f48e26e31cbe560e80c8020e200f07fb9</v>
      </c>
    </row>
    <row r="49" ht="48" customHeight="1">
      <c r="A49" s="13" t="str">
        <v>Bambu Lab</v>
      </c>
      <c r="B49" s="13" t="str">
        <v>Filament TDS</v>
      </c>
      <c r="C49" s="13" t="str">
        <v>Bambu Filament Technical Data Sheet - TPU for AMS</v>
      </c>
      <c r="D49" s="17" t="str">
        <v>Open document</v>
      </c>
      <c r="E49" s="13" t="str">
        <v>Yes</v>
      </c>
      <c r="F49" s="13" t="str">
        <v>B-tpu-for-ams-TDS</v>
      </c>
      <c r="G49" s="13" t="str">
        <v>Manufacturer TDS</v>
      </c>
      <c r="H49" s="13" t="str">
        <v>cited</v>
      </c>
      <c r="I49" s="13" t="str">
        <v>Retrieved</v>
      </c>
      <c r="J49" s="13" t="str">
        <v>G040-01</v>
      </c>
      <c r="K49" s="13" t="str">
        <v>Document / product page</v>
      </c>
      <c r="L49" s="13" t="str">
        <v>Technical Data Sheet V1.0</v>
      </c>
      <c r="M49" s="15" t="str">
        <v>Not published</v>
      </c>
      <c r="N49" s="15" t="n">
        <v>46275</v>
      </c>
      <c r="O49" s="13" t="str">
        <v>Bambu Lab</v>
      </c>
      <c r="P49" s="10" t="str">
        <v>https://store.bblcdn.com/s5/default/0a98353dce6d486ca848b21d2b19a207.pdf</v>
      </c>
      <c r="Q49" s="10" t="str">
        <v>587ca053a17fdeb1b40d5e639b178c5d980f4c440789d8c2842d67057a0b9b8c</v>
      </c>
    </row>
    <row r="50" ht="48" customHeight="1">
      <c r="A50" s="14" t="str">
        <v>Bambu Lab</v>
      </c>
      <c r="B50" s="14" t="str">
        <v>Guide / product page</v>
      </c>
      <c r="C50" s="14" t="str">
        <v>ABS | Bambu Lab CA Store</v>
      </c>
      <c r="D50" s="18" t="str">
        <v>Open document</v>
      </c>
      <c r="E50" s="14" t="str">
        <v>Yes</v>
      </c>
      <c r="F50" s="14" t="str">
        <v>B-abs-filament</v>
      </c>
      <c r="G50" s="14" t="str">
        <v>Manufacturer product / guide</v>
      </c>
      <c r="H50" s="14" t="str">
        <v>cited</v>
      </c>
      <c r="I50" s="14" t="str">
        <v>Retrieved</v>
      </c>
      <c r="J50" s="14" t="str">
        <v>Family / scope guidance</v>
      </c>
      <c r="K50" s="14" t="str">
        <v>Document / product page</v>
      </c>
      <c r="L50" s="14" t="str">
        <v>Not published</v>
      </c>
      <c r="M50" s="16" t="str">
        <v>Not published</v>
      </c>
      <c r="N50" s="16" t="n">
        <v>46275</v>
      </c>
      <c r="O50" s="14" t="str">
        <v>Bambu Lab</v>
      </c>
      <c r="P50" s="2" t="str">
        <v>https://ca.store.bambulab.com/products/abs-filament</v>
      </c>
      <c r="Q50" s="2" t="str">
        <v>feac5616b65acf62dd19a73f1d5cbd266c00bb4b55e9e934eacd1c8f7baa8bbd</v>
      </c>
    </row>
    <row r="51" ht="48" customHeight="1">
      <c r="A51" s="13" t="str">
        <v>Bambu Lab</v>
      </c>
      <c r="B51" s="13" t="str">
        <v>Guide / product page</v>
      </c>
      <c r="C51" s="13" t="str">
        <v>ABS-GF | Bambu Lab CA Store</v>
      </c>
      <c r="D51" s="17" t="str">
        <v>Open document</v>
      </c>
      <c r="E51" s="13" t="str">
        <v>Yes</v>
      </c>
      <c r="F51" s="13" t="str">
        <v>B-abs-gf</v>
      </c>
      <c r="G51" s="13" t="str">
        <v>Manufacturer product / guide</v>
      </c>
      <c r="H51" s="13" t="str">
        <v>cited</v>
      </c>
      <c r="I51" s="13" t="str">
        <v>Retrieved</v>
      </c>
      <c r="J51" s="13" t="str">
        <v>Family / scope guidance</v>
      </c>
      <c r="K51" s="13" t="str">
        <v>Document / product page</v>
      </c>
      <c r="L51" s="13" t="str">
        <v>Not published</v>
      </c>
      <c r="M51" s="15" t="str">
        <v>Not published</v>
      </c>
      <c r="N51" s="15" t="n">
        <v>46275</v>
      </c>
      <c r="O51" s="13" t="str">
        <v>Bambu Lab</v>
      </c>
      <c r="P51" s="10" t="str">
        <v>https://ca.store.bambulab.com/products/abs-gf</v>
      </c>
      <c r="Q51" s="10" t="str">
        <v>f69f1eda39d24c46c0e83ea3b31d2aa564152832cbdc38ea3166876cf2918554</v>
      </c>
    </row>
    <row r="52" ht="48" customHeight="1">
      <c r="A52" s="14" t="str">
        <v>Bambu Lab</v>
      </c>
      <c r="B52" s="14" t="str">
        <v>Guide / product page</v>
      </c>
      <c r="C52" s="14" t="str">
        <v>ASA Aero | Bambu Lab CA Store</v>
      </c>
      <c r="D52" s="18" t="str">
        <v>Open document</v>
      </c>
      <c r="E52" s="14" t="str">
        <v>Yes</v>
      </c>
      <c r="F52" s="14" t="str">
        <v>B-asa-aero</v>
      </c>
      <c r="G52" s="14" t="str">
        <v>Manufacturer product / guide</v>
      </c>
      <c r="H52" s="14" t="str">
        <v>cited</v>
      </c>
      <c r="I52" s="14" t="str">
        <v>Retrieved</v>
      </c>
      <c r="J52" s="14" t="str">
        <v>Family / scope guidance</v>
      </c>
      <c r="K52" s="14" t="str">
        <v>Document / product page</v>
      </c>
      <c r="L52" s="14" t="str">
        <v>Not published</v>
      </c>
      <c r="M52" s="16" t="str">
        <v>Not published</v>
      </c>
      <c r="N52" s="16" t="n">
        <v>46275</v>
      </c>
      <c r="O52" s="14" t="str">
        <v>Bambu Lab</v>
      </c>
      <c r="P52" s="2" t="str">
        <v>https://ca.store.bambulab.com/products/asa-aero</v>
      </c>
      <c r="Q52" s="2" t="str">
        <v>265753247b413cf063d77109b5e27cc047673bd9340ca6de8ddd7ed0fe532f79</v>
      </c>
    </row>
    <row r="53" ht="48" customHeight="1">
      <c r="A53" s="13" t="str">
        <v>Bambu Lab</v>
      </c>
      <c r="B53" s="13" t="str">
        <v>Guide / product page</v>
      </c>
      <c r="C53" s="13" t="str">
        <v>ASA | Bambu Lab CA Store</v>
      </c>
      <c r="D53" s="17" t="str">
        <v>Open document</v>
      </c>
      <c r="E53" s="13" t="str">
        <v>Yes</v>
      </c>
      <c r="F53" s="13" t="str">
        <v>B-asa-filament</v>
      </c>
      <c r="G53" s="13" t="str">
        <v>Manufacturer product / guide</v>
      </c>
      <c r="H53" s="13" t="str">
        <v>cited</v>
      </c>
      <c r="I53" s="13" t="str">
        <v>Retrieved</v>
      </c>
      <c r="J53" s="13" t="str">
        <v>Family / scope guidance</v>
      </c>
      <c r="K53" s="13" t="str">
        <v>Document / product page</v>
      </c>
      <c r="L53" s="13" t="str">
        <v>Not published</v>
      </c>
      <c r="M53" s="15" t="str">
        <v>Not published</v>
      </c>
      <c r="N53" s="15" t="n">
        <v>46275</v>
      </c>
      <c r="O53" s="13" t="str">
        <v>Bambu Lab</v>
      </c>
      <c r="P53" s="10" t="str">
        <v>https://ca.store.bambulab.com/products/asa-filament</v>
      </c>
      <c r="Q53" s="10" t="str">
        <v>1807d7f84317a3e28c07b031667e789cee72e9c46c948ff165c036e598a98995</v>
      </c>
    </row>
    <row r="54" ht="48" customHeight="1">
      <c r="A54" s="14" t="str">
        <v>Bambu Lab</v>
      </c>
      <c r="B54" s="14" t="str">
        <v>Guide / product page</v>
      </c>
      <c r="C54" s="14" t="str">
        <v>ASA-CF | Bambu Lab CA Store</v>
      </c>
      <c r="D54" s="18" t="str">
        <v>Open document</v>
      </c>
      <c r="E54" s="14" t="str">
        <v>Yes</v>
      </c>
      <c r="F54" s="14" t="str">
        <v>B-asa-cf</v>
      </c>
      <c r="G54" s="14" t="str">
        <v>Manufacturer product / guide</v>
      </c>
      <c r="H54" s="14" t="str">
        <v>cited</v>
      </c>
      <c r="I54" s="14" t="str">
        <v>Retrieved</v>
      </c>
      <c r="J54" s="14" t="str">
        <v>Family / scope guidance</v>
      </c>
      <c r="K54" s="14" t="str">
        <v>Document / product page</v>
      </c>
      <c r="L54" s="14" t="str">
        <v>Not published</v>
      </c>
      <c r="M54" s="16" t="str">
        <v>Not published</v>
      </c>
      <c r="N54" s="16" t="n">
        <v>46275</v>
      </c>
      <c r="O54" s="14" t="str">
        <v>Bambu Lab</v>
      </c>
      <c r="P54" s="2" t="str">
        <v>https://ca.store.bambulab.com/products/asa-cf</v>
      </c>
      <c r="Q54" s="2" t="str">
        <v>5fce3dad396754b6743592309955549301512bbff4cd689f19c1f6f9e40d59c6</v>
      </c>
    </row>
    <row r="55" ht="48" customHeight="1">
      <c r="A55" s="13" t="str">
        <v>Bambu Lab</v>
      </c>
      <c r="B55" s="13" t="str">
        <v>Guide / product page</v>
      </c>
      <c r="C55" s="13" t="str">
        <v>Bambu Filament - PLA Silk+ | Bambu Lab CA Store</v>
      </c>
      <c r="D55" s="17" t="str">
        <v>Open document</v>
      </c>
      <c r="E55" s="13" t="str">
        <v>Yes</v>
      </c>
      <c r="F55" s="13" t="str">
        <v>B-pla-silk-upgrade</v>
      </c>
      <c r="G55" s="13" t="str">
        <v>Manufacturer product / guide</v>
      </c>
      <c r="H55" s="13" t="str">
        <v>cited</v>
      </c>
      <c r="I55" s="13" t="str">
        <v>Retrieved</v>
      </c>
      <c r="J55" s="13" t="str">
        <v>Family / scope guidance</v>
      </c>
      <c r="K55" s="13" t="str">
        <v>Document / product page</v>
      </c>
      <c r="L55" s="13" t="str">
        <v>Not published</v>
      </c>
      <c r="M55" s="15" t="str">
        <v>Not published</v>
      </c>
      <c r="N55" s="15" t="n">
        <v>46275</v>
      </c>
      <c r="O55" s="13" t="str">
        <v>Bambu Lab</v>
      </c>
      <c r="P55" s="10" t="str">
        <v>https://ca.store.bambulab.com/products/pla-silk-upgrade</v>
      </c>
      <c r="Q55" s="10" t="str">
        <v>293d2ffa206501f7ed8adf184defb9b3b55bb848785457c53bc6785f065f713c</v>
      </c>
    </row>
    <row r="56" ht="48" customHeight="1">
      <c r="A56" s="14" t="str">
        <v>Bambu Lab</v>
      </c>
      <c r="B56" s="14" t="str">
        <v>Guide / product page</v>
      </c>
      <c r="C56" s="14" t="str">
        <v>Bambu Lab Filament Guide</v>
      </c>
      <c r="D56" s="18" t="str">
        <v>Open document</v>
      </c>
      <c r="E56" s="14" t="str">
        <v>Yes</v>
      </c>
      <c r="F56" s="14" t="str">
        <v>B-GUIDE</v>
      </c>
      <c r="G56" s="14" t="str">
        <v>Manufacturer comparison guide</v>
      </c>
      <c r="H56" s="14" t="str">
        <v>corroboration</v>
      </c>
      <c r="I56" s="14" t="str">
        <v>Retrieved</v>
      </c>
      <c r="J56" s="14" t="str">
        <v>Family / scope guidance</v>
      </c>
      <c r="K56" s="14" t="str">
        <v>Material comparison and printing requirements table</v>
      </c>
      <c r="L56" s="14" t="str">
        <v>Not published</v>
      </c>
      <c r="M56" s="16" t="str">
        <v>Not published</v>
      </c>
      <c r="N56" s="16" t="n">
        <v>46275</v>
      </c>
      <c r="O56" s="14" t="str">
        <v>Bambu Lab</v>
      </c>
      <c r="P56" s="2" t="str">
        <v>https://cdn1.bambulab.com/filament/filament-guide/250123/filament-guide-en.pdf</v>
      </c>
      <c r="Q56" s="2" t="str">
        <v>ea799364fa4664e61632a1e87e5073c3edd0e76f93bd5524192bb018b5cfb858</v>
      </c>
    </row>
    <row r="57" ht="48" customHeight="1">
      <c r="A57" s="13" t="str">
        <v>Bambu Lab</v>
      </c>
      <c r="B57" s="13" t="str">
        <v>Guide / product page</v>
      </c>
      <c r="C57" s="13" t="str">
        <v>Bambu Lab Filament Guide</v>
      </c>
      <c r="D57" s="17" t="str">
        <v>Open document</v>
      </c>
      <c r="E57" s="13" t="str">
        <v>Yes</v>
      </c>
      <c r="F57" s="13" t="str">
        <v>R-BAMBU-GUIDE-202609</v>
      </c>
      <c r="G57" s="13" t="str">
        <v>Manufacturer comparison guide</v>
      </c>
      <c r="H57" s="13" t="str">
        <v>corroboration</v>
      </c>
      <c r="I57" s="13" t="str">
        <v>Retrieved</v>
      </c>
      <c r="J57" s="13" t="str">
        <v>Bambu Lab catalogue cross-check</v>
      </c>
      <c r="K57" s="13" t="str">
        <v>Material comparison and printing requirements</v>
      </c>
      <c r="L57" s="13" t="str">
        <v>Not published</v>
      </c>
      <c r="M57" s="15" t="str">
        <v>Not published</v>
      </c>
      <c r="N57" s="15" t="n">
        <v>46278</v>
      </c>
      <c r="O57" s="13" t="str">
        <v>Bambu Lab</v>
      </c>
      <c r="P57" s="10" t="str">
        <v>https://cdn1.bambulab.com/filament/filament-guide/wksdyyzd8n9/filament-guide-en.pdf</v>
      </c>
      <c r="Q57" s="10" t="str">
        <v>048fb9a65547b5107fc935812ab5c81a78f70ff9d979797be897a8d47d19dc41</v>
      </c>
    </row>
    <row r="58" ht="48" customHeight="1">
      <c r="A58" s="14" t="str">
        <v>Bambu Lab</v>
      </c>
      <c r="B58" s="14" t="str">
        <v>Guide / product page</v>
      </c>
      <c r="C58" s="14" t="str">
        <v>CF Reinforced PET Filament | Bambu Lab CA Store</v>
      </c>
      <c r="D58" s="18" t="str">
        <v>Open document</v>
      </c>
      <c r="E58" s="14" t="str">
        <v>Yes</v>
      </c>
      <c r="F58" s="14" t="str">
        <v>B-pet-cf</v>
      </c>
      <c r="G58" s="14" t="str">
        <v>Manufacturer product / guide</v>
      </c>
      <c r="H58" s="14" t="str">
        <v>cited</v>
      </c>
      <c r="I58" s="14" t="str">
        <v>Retrieved</v>
      </c>
      <c r="J58" s="14" t="str">
        <v>Family / scope guidance</v>
      </c>
      <c r="K58" s="14" t="str">
        <v>Document / product page</v>
      </c>
      <c r="L58" s="14" t="str">
        <v>Not published</v>
      </c>
      <c r="M58" s="16" t="str">
        <v>Not published</v>
      </c>
      <c r="N58" s="16" t="n">
        <v>46275</v>
      </c>
      <c r="O58" s="14" t="str">
        <v>Bambu Lab</v>
      </c>
      <c r="P58" s="2" t="str">
        <v>https://ca.store.bambulab.com/products/pet-cf</v>
      </c>
      <c r="Q58" s="2" t="str">
        <v>7e4ce9aad103255ed5e79cb0569dc2c193e5185324daadcf1d44fa651eb23b7b</v>
      </c>
    </row>
    <row r="59" ht="48" customHeight="1">
      <c r="A59" s="13" t="str">
        <v>Bambu Lab</v>
      </c>
      <c r="B59" s="13" t="str">
        <v>Guide / product page</v>
      </c>
      <c r="C59" s="13" t="str">
        <v>CF Reinforced PPS Filament | Bambu Lab CA Store</v>
      </c>
      <c r="D59" s="17" t="str">
        <v>Open document</v>
      </c>
      <c r="E59" s="13" t="str">
        <v>Yes</v>
      </c>
      <c r="F59" s="13" t="str">
        <v>B-pps-cf</v>
      </c>
      <c r="G59" s="13" t="str">
        <v>Manufacturer product / guide</v>
      </c>
      <c r="H59" s="13" t="str">
        <v>cited</v>
      </c>
      <c r="I59" s="13" t="str">
        <v>Retrieved</v>
      </c>
      <c r="J59" s="13" t="str">
        <v>Family / scope guidance</v>
      </c>
      <c r="K59" s="13" t="str">
        <v>Document / product page</v>
      </c>
      <c r="L59" s="13" t="str">
        <v>Not published</v>
      </c>
      <c r="M59" s="15" t="str">
        <v>Not published</v>
      </c>
      <c r="N59" s="15" t="n">
        <v>46275</v>
      </c>
      <c r="O59" s="13" t="str">
        <v>Bambu Lab</v>
      </c>
      <c r="P59" s="10" t="str">
        <v>https://ca.store.bambulab.com/products/pps-cf</v>
      </c>
      <c r="Q59" s="10" t="str">
        <v>01e589e418ebdd5359ce160ad83f0ea8f8c993e9106712073bf3dd7cea2716db</v>
      </c>
    </row>
    <row r="60" ht="48" customHeight="1">
      <c r="A60" s="14" t="str">
        <v>Bambu Lab</v>
      </c>
      <c r="B60" s="14" t="str">
        <v>Guide / product page</v>
      </c>
      <c r="C60" s="14" t="str">
        <v>PA6-CF | Bambu Lab CA Store</v>
      </c>
      <c r="D60" s="18" t="str">
        <v>Open document</v>
      </c>
      <c r="E60" s="14" t="str">
        <v>Yes</v>
      </c>
      <c r="F60" s="14" t="str">
        <v>B-pa6-cf</v>
      </c>
      <c r="G60" s="14" t="str">
        <v>Manufacturer product / guide</v>
      </c>
      <c r="H60" s="14" t="str">
        <v>cited</v>
      </c>
      <c r="I60" s="14" t="str">
        <v>Retrieved</v>
      </c>
      <c r="J60" s="14" t="str">
        <v>Family / scope guidance</v>
      </c>
      <c r="K60" s="14" t="str">
        <v>Document / product page</v>
      </c>
      <c r="L60" s="14" t="str">
        <v>Not published</v>
      </c>
      <c r="M60" s="16" t="str">
        <v>Not published</v>
      </c>
      <c r="N60" s="16" t="n">
        <v>46275</v>
      </c>
      <c r="O60" s="14" t="str">
        <v>Bambu Lab</v>
      </c>
      <c r="P60" s="2" t="str">
        <v>https://ca.store.bambulab.com/products/pa6-cf</v>
      </c>
      <c r="Q60" s="2" t="str">
        <v>1fe4c182422f334df2074676882cc595a64b39325a667e2c430fe05735295c57</v>
      </c>
    </row>
    <row r="61" ht="48" customHeight="1">
      <c r="A61" s="13" t="str">
        <v>Bambu Lab</v>
      </c>
      <c r="B61" s="13" t="str">
        <v>Guide / product page</v>
      </c>
      <c r="C61" s="13" t="str">
        <v>PA6-GF | Bambu Lab CA Store</v>
      </c>
      <c r="D61" s="17" t="str">
        <v>Open document</v>
      </c>
      <c r="E61" s="13" t="str">
        <v>Yes</v>
      </c>
      <c r="F61" s="13" t="str">
        <v>B-pa6-gf</v>
      </c>
      <c r="G61" s="13" t="str">
        <v>Manufacturer product / guide</v>
      </c>
      <c r="H61" s="13" t="str">
        <v>cited</v>
      </c>
      <c r="I61" s="13" t="str">
        <v>Retrieved</v>
      </c>
      <c r="J61" s="13" t="str">
        <v>Family / scope guidance</v>
      </c>
      <c r="K61" s="13" t="str">
        <v>Document / product page</v>
      </c>
      <c r="L61" s="13" t="str">
        <v>Not published</v>
      </c>
      <c r="M61" s="15" t="str">
        <v>Not published</v>
      </c>
      <c r="N61" s="15" t="n">
        <v>46275</v>
      </c>
      <c r="O61" s="13" t="str">
        <v>Bambu Lab</v>
      </c>
      <c r="P61" s="10" t="str">
        <v>https://ca.store.bambulab.com/products/pa6-gf</v>
      </c>
      <c r="Q61" s="10" t="str">
        <v>ae5167fcfafc4c88d6c0bc31607627aad5039dac2849926c8ab508d01b5296ef</v>
      </c>
    </row>
    <row r="62" ht="48" customHeight="1">
      <c r="A62" s="14" t="str">
        <v>Bambu Lab</v>
      </c>
      <c r="B62" s="14" t="str">
        <v>Guide / product page</v>
      </c>
      <c r="C62" s="14" t="str">
        <v>PAHT-CF | Bambu Lab CA Store</v>
      </c>
      <c r="D62" s="18" t="str">
        <v>Open document</v>
      </c>
      <c r="E62" s="14" t="str">
        <v>Yes</v>
      </c>
      <c r="F62" s="14" t="str">
        <v>B-paht-cf</v>
      </c>
      <c r="G62" s="14" t="str">
        <v>Manufacturer product / guide</v>
      </c>
      <c r="H62" s="14" t="str">
        <v>cited</v>
      </c>
      <c r="I62" s="14" t="str">
        <v>Retrieved</v>
      </c>
      <c r="J62" s="14" t="str">
        <v>Family / scope guidance</v>
      </c>
      <c r="K62" s="14" t="str">
        <v>Document / product page</v>
      </c>
      <c r="L62" s="14" t="str">
        <v>Not published</v>
      </c>
      <c r="M62" s="16" t="str">
        <v>Not published</v>
      </c>
      <c r="N62" s="16" t="n">
        <v>46275</v>
      </c>
      <c r="O62" s="14" t="str">
        <v>Bambu Lab</v>
      </c>
      <c r="P62" s="2" t="str">
        <v>https://ca.store.bambulab.com/products/paht-cf</v>
      </c>
      <c r="Q62" s="2" t="str">
        <v>c54e6d5d2d3ae10071b7586cb785aa8bb527d0ebed9889b3b49dd320950a3371</v>
      </c>
    </row>
    <row r="63" ht="48" customHeight="1">
      <c r="A63" s="13" t="str">
        <v>Bambu Lab</v>
      </c>
      <c r="B63" s="13" t="str">
        <v>Guide / product page</v>
      </c>
      <c r="C63" s="13" t="str">
        <v>PC FR | Bambu Lab CA Store</v>
      </c>
      <c r="D63" s="17" t="str">
        <v>Open document</v>
      </c>
      <c r="E63" s="13" t="str">
        <v>Yes</v>
      </c>
      <c r="F63" s="13" t="str">
        <v>B-pc-fr</v>
      </c>
      <c r="G63" s="13" t="str">
        <v>Manufacturer product / guide</v>
      </c>
      <c r="H63" s="13" t="str">
        <v>cited</v>
      </c>
      <c r="I63" s="13" t="str">
        <v>Retrieved</v>
      </c>
      <c r="J63" s="13" t="str">
        <v>Family / scope guidance</v>
      </c>
      <c r="K63" s="13" t="str">
        <v>Document / product page</v>
      </c>
      <c r="L63" s="13" t="str">
        <v>Not published</v>
      </c>
      <c r="M63" s="15" t="str">
        <v>Not published</v>
      </c>
      <c r="N63" s="15" t="n">
        <v>46275</v>
      </c>
      <c r="O63" s="13" t="str">
        <v>Bambu Lab</v>
      </c>
      <c r="P63" s="10" t="str">
        <v>https://ca.store.bambulab.com/products/pc-fr</v>
      </c>
      <c r="Q63" s="10" t="str">
        <v>809f9fb9ae24cb5d7a5cf22c2e9fffad3a4849b79e0b5d0e8575adb596a5008f</v>
      </c>
    </row>
    <row r="64" ht="48" customHeight="1">
      <c r="A64" s="14" t="str">
        <v>Bambu Lab</v>
      </c>
      <c r="B64" s="14" t="str">
        <v>Guide / product page</v>
      </c>
      <c r="C64" s="14" t="str">
        <v>PC | Bambu Lab CA Store</v>
      </c>
      <c r="D64" s="18" t="str">
        <v>Open document</v>
      </c>
      <c r="E64" s="14" t="str">
        <v>Yes</v>
      </c>
      <c r="F64" s="14" t="str">
        <v>B-PC</v>
      </c>
      <c r="G64" s="14" t="str">
        <v>Manufacturer product / guide</v>
      </c>
      <c r="H64" s="14" t="str">
        <v>cited</v>
      </c>
      <c r="I64" s="14" t="str">
        <v>Retrieved</v>
      </c>
      <c r="J64" s="14" t="str">
        <v>Family / scope guidance</v>
      </c>
      <c r="K64" s="14" t="str">
        <v>Document / product page</v>
      </c>
      <c r="L64" s="14" t="str">
        <v>Not published</v>
      </c>
      <c r="M64" s="16" t="str">
        <v>Not published</v>
      </c>
      <c r="N64" s="16" t="n">
        <v>46275</v>
      </c>
      <c r="O64" s="14" t="str">
        <v>Bambu Lab</v>
      </c>
      <c r="P64" s="2" t="str">
        <v>https://ca.store.bambulab.com/products/pc-filament</v>
      </c>
      <c r="Q64" s="2" t="str">
        <v>e10e15aa9a90f4713a18d8785d376f296eda2b53671bf05a686a4b9d677523c9</v>
      </c>
    </row>
    <row r="65" ht="48" customHeight="1">
      <c r="A65" s="13" t="str">
        <v>Bambu Lab</v>
      </c>
      <c r="B65" s="13" t="str">
        <v>Guide / product page</v>
      </c>
      <c r="C65" s="13" t="str">
        <v>PETG Basic | Bambu Lab CA Store</v>
      </c>
      <c r="D65" s="17" t="str">
        <v>Open document</v>
      </c>
      <c r="E65" s="13" t="str">
        <v>Yes</v>
      </c>
      <c r="F65" s="13" t="str">
        <v>B-petg-basic</v>
      </c>
      <c r="G65" s="13" t="str">
        <v>Manufacturer product / guide</v>
      </c>
      <c r="H65" s="13" t="str">
        <v>cited</v>
      </c>
      <c r="I65" s="13" t="str">
        <v>Retrieved</v>
      </c>
      <c r="J65" s="13" t="str">
        <v>Family / scope guidance</v>
      </c>
      <c r="K65" s="13" t="str">
        <v>Document / product page</v>
      </c>
      <c r="L65" s="13" t="str">
        <v>Not published</v>
      </c>
      <c r="M65" s="15" t="str">
        <v>Not published</v>
      </c>
      <c r="N65" s="15" t="n">
        <v>46275</v>
      </c>
      <c r="O65" s="13" t="str">
        <v>Bambu Lab</v>
      </c>
      <c r="P65" s="10" t="str">
        <v>https://ca.store.bambulab.com/products/petg-basic</v>
      </c>
      <c r="Q65" s="10" t="str">
        <v>3350a2adc747ca24b0711bcda4125ab42c1be484de21e08459033c3c06b73ad3</v>
      </c>
    </row>
    <row r="66" ht="48" customHeight="1">
      <c r="A66" s="14" t="str">
        <v>Bambu Lab</v>
      </c>
      <c r="B66" s="14" t="str">
        <v>Guide / product page</v>
      </c>
      <c r="C66" s="14" t="str">
        <v>PETG HF | Bambu Lab CA Store</v>
      </c>
      <c r="D66" s="18" t="str">
        <v>Open document</v>
      </c>
      <c r="E66" s="14" t="str">
        <v>Yes</v>
      </c>
      <c r="F66" s="14" t="str">
        <v>B-petg-hf</v>
      </c>
      <c r="G66" s="14" t="str">
        <v>Manufacturer product / guide</v>
      </c>
      <c r="H66" s="14" t="str">
        <v>cited</v>
      </c>
      <c r="I66" s="14" t="str">
        <v>Retrieved</v>
      </c>
      <c r="J66" s="14" t="str">
        <v>Family / scope guidance</v>
      </c>
      <c r="K66" s="14" t="str">
        <v>Document / product page</v>
      </c>
      <c r="L66" s="14" t="str">
        <v>Not published</v>
      </c>
      <c r="M66" s="16" t="str">
        <v>Not published</v>
      </c>
      <c r="N66" s="16" t="n">
        <v>46275</v>
      </c>
      <c r="O66" s="14" t="str">
        <v>Bambu Lab</v>
      </c>
      <c r="P66" s="2" t="str">
        <v>https://ca.store.bambulab.com/products/petg-hf</v>
      </c>
      <c r="Q66" s="2" t="str">
        <v>ef9caee9ccd90241e7b895db6c3780ccd7c46b0323cfe515fb656b947c25e45c</v>
      </c>
    </row>
    <row r="67" ht="48" customHeight="1">
      <c r="A67" s="13" t="str">
        <v>Bambu Lab</v>
      </c>
      <c r="B67" s="13" t="str">
        <v>Guide / product page</v>
      </c>
      <c r="C67" s="13" t="str">
        <v>PETG Translucent | Bambu Lab CA Store</v>
      </c>
      <c r="D67" s="17" t="str">
        <v>Open document</v>
      </c>
      <c r="E67" s="13" t="str">
        <v>Yes</v>
      </c>
      <c r="F67" s="13" t="str">
        <v>B-petg-translucent</v>
      </c>
      <c r="G67" s="13" t="str">
        <v>Manufacturer product / guide</v>
      </c>
      <c r="H67" s="13" t="str">
        <v>cited</v>
      </c>
      <c r="I67" s="13" t="str">
        <v>Retrieved</v>
      </c>
      <c r="J67" s="13" t="str">
        <v>Family / scope guidance</v>
      </c>
      <c r="K67" s="13" t="str">
        <v>Document / product page</v>
      </c>
      <c r="L67" s="13" t="str">
        <v>Not published</v>
      </c>
      <c r="M67" s="15" t="str">
        <v>Not published</v>
      </c>
      <c r="N67" s="15" t="n">
        <v>46275</v>
      </c>
      <c r="O67" s="13" t="str">
        <v>Bambu Lab</v>
      </c>
      <c r="P67" s="10" t="str">
        <v>https://ca.store.bambulab.com/products/petg-translucent</v>
      </c>
      <c r="Q67" s="10" t="str">
        <v>b6e6fe83466e26c496afda722552580726cb8a0edc4cf89905702e01c19c127d</v>
      </c>
    </row>
    <row r="68" ht="48" customHeight="1">
      <c r="A68" s="14" t="str">
        <v>Bambu Lab</v>
      </c>
      <c r="B68" s="14" t="str">
        <v>Guide / product page</v>
      </c>
      <c r="C68" s="14" t="str">
        <v>PETG-CF | Bambu Lab CA Store</v>
      </c>
      <c r="D68" s="18" t="str">
        <v>Open document</v>
      </c>
      <c r="E68" s="14" t="str">
        <v>Yes</v>
      </c>
      <c r="F68" s="14" t="str">
        <v>B-petg-cf</v>
      </c>
      <c r="G68" s="14" t="str">
        <v>Manufacturer product / guide</v>
      </c>
      <c r="H68" s="14" t="str">
        <v>cited</v>
      </c>
      <c r="I68" s="14" t="str">
        <v>Retrieved</v>
      </c>
      <c r="J68" s="14" t="str">
        <v>Family / scope guidance</v>
      </c>
      <c r="K68" s="14" t="str">
        <v>Document / product page</v>
      </c>
      <c r="L68" s="14" t="str">
        <v>Not published</v>
      </c>
      <c r="M68" s="16" t="str">
        <v>Not published</v>
      </c>
      <c r="N68" s="16" t="n">
        <v>46275</v>
      </c>
      <c r="O68" s="14" t="str">
        <v>Bambu Lab</v>
      </c>
      <c r="P68" s="2" t="str">
        <v>https://ca.store.bambulab.com/products/petg-cf</v>
      </c>
      <c r="Q68" s="2" t="str">
        <v>816927d039b606a67d85645419a12d7798c5ceb1b0bb3bc31495595b8924ace2</v>
      </c>
    </row>
    <row r="69" ht="48" customHeight="1">
      <c r="A69" s="13" t="str">
        <v>Bambu Lab</v>
      </c>
      <c r="B69" s="13" t="str">
        <v>Guide / product page</v>
      </c>
      <c r="C69" s="13" t="str">
        <v>PLA Aero | Bambu Lab CA Store</v>
      </c>
      <c r="D69" s="17" t="str">
        <v>Open document</v>
      </c>
      <c r="E69" s="13" t="str">
        <v>Yes</v>
      </c>
      <c r="F69" s="13" t="str">
        <v>B-pla-aero</v>
      </c>
      <c r="G69" s="13" t="str">
        <v>Manufacturer product / guide</v>
      </c>
      <c r="H69" s="13" t="str">
        <v>cited</v>
      </c>
      <c r="I69" s="13" t="str">
        <v>Retrieved</v>
      </c>
      <c r="J69" s="13" t="str">
        <v>Family / scope guidance</v>
      </c>
      <c r="K69" s="13" t="str">
        <v>Document / product page</v>
      </c>
      <c r="L69" s="13" t="str">
        <v>Not published</v>
      </c>
      <c r="M69" s="15" t="str">
        <v>Not published</v>
      </c>
      <c r="N69" s="15" t="n">
        <v>46275</v>
      </c>
      <c r="O69" s="13" t="str">
        <v>Bambu Lab</v>
      </c>
      <c r="P69" s="10" t="str">
        <v>https://ca.store.bambulab.com/products/pla-aero</v>
      </c>
      <c r="Q69" s="10" t="str">
        <v>d4f2efcb892986c72b2345692626a68546c766242813c10092c839488a9198db</v>
      </c>
    </row>
    <row r="70" ht="48" customHeight="1">
      <c r="A70" s="14" t="str">
        <v>Bambu Lab</v>
      </c>
      <c r="B70" s="14" t="str">
        <v>Guide / product page</v>
      </c>
      <c r="C70" s="14" t="str">
        <v>PLA Basic Gradient | Bambu Lab CA Store</v>
      </c>
      <c r="D70" s="18" t="str">
        <v>Open document</v>
      </c>
      <c r="E70" s="14" t="str">
        <v>Yes</v>
      </c>
      <c r="F70" s="14" t="str">
        <v>B-pla-basic-gradient</v>
      </c>
      <c r="G70" s="14" t="str">
        <v>Manufacturer product / guide</v>
      </c>
      <c r="H70" s="14" t="str">
        <v>cited</v>
      </c>
      <c r="I70" s="14" t="str">
        <v>Retrieved</v>
      </c>
      <c r="J70" s="14" t="str">
        <v>Family / scope guidance</v>
      </c>
      <c r="K70" s="14" t="str">
        <v>Document / product page</v>
      </c>
      <c r="L70" s="14" t="str">
        <v>Not published</v>
      </c>
      <c r="M70" s="16" t="str">
        <v>Not published</v>
      </c>
      <c r="N70" s="16" t="n">
        <v>46275</v>
      </c>
      <c r="O70" s="14" t="str">
        <v>Bambu Lab</v>
      </c>
      <c r="P70" s="2" t="str">
        <v>https://ca.store.bambulab.com/products/pla-basic-gradient</v>
      </c>
      <c r="Q70" s="2" t="str">
        <v>3f0eeb5ae23ebff2a2ed65387207d06f4bac0c56ea4f05d216d04e744433e5c4</v>
      </c>
    </row>
    <row r="71" ht="48" customHeight="1">
      <c r="A71" s="13" t="str">
        <v>Bambu Lab</v>
      </c>
      <c r="B71" s="13" t="str">
        <v>Guide / product page</v>
      </c>
      <c r="C71" s="13" t="str">
        <v>PLA Basic | Bambu Lab CA Store</v>
      </c>
      <c r="D71" s="17" t="str">
        <v>Open document</v>
      </c>
      <c r="E71" s="13" t="str">
        <v>Yes</v>
      </c>
      <c r="F71" s="13" t="str">
        <v>B-pla-basic-filament</v>
      </c>
      <c r="G71" s="13" t="str">
        <v>Manufacturer product / guide</v>
      </c>
      <c r="H71" s="13" t="str">
        <v>cited</v>
      </c>
      <c r="I71" s="13" t="str">
        <v>Retrieved</v>
      </c>
      <c r="J71" s="13" t="str">
        <v>Family / scope guidance</v>
      </c>
      <c r="K71" s="13" t="str">
        <v>Document / product page</v>
      </c>
      <c r="L71" s="13" t="str">
        <v>Not published</v>
      </c>
      <c r="M71" s="15" t="str">
        <v>Not published</v>
      </c>
      <c r="N71" s="15" t="n">
        <v>46275</v>
      </c>
      <c r="O71" s="13" t="str">
        <v>Bambu Lab</v>
      </c>
      <c r="P71" s="10" t="str">
        <v>https://ca.store.bambulab.com/products/pla-basic-filament</v>
      </c>
      <c r="Q71" s="10" t="str">
        <v>2a43d29a8bd8269c8853609c3162de704e9e91b2b353f3deb0f5e7e8c28f44fd</v>
      </c>
    </row>
    <row r="72" ht="48" customHeight="1">
      <c r="A72" s="14" t="str">
        <v>Bambu Lab</v>
      </c>
      <c r="B72" s="14" t="str">
        <v>Guide / product page</v>
      </c>
      <c r="C72" s="14" t="str">
        <v>PLA Galaxy | Bambu Lab CA Store</v>
      </c>
      <c r="D72" s="18" t="str">
        <v>Open document</v>
      </c>
      <c r="E72" s="14" t="str">
        <v>Yes</v>
      </c>
      <c r="F72" s="14" t="str">
        <v>B-pla-galaxy</v>
      </c>
      <c r="G72" s="14" t="str">
        <v>Manufacturer product / guide</v>
      </c>
      <c r="H72" s="14" t="str">
        <v>cited</v>
      </c>
      <c r="I72" s="14" t="str">
        <v>Retrieved</v>
      </c>
      <c r="J72" s="14" t="str">
        <v>Family / scope guidance</v>
      </c>
      <c r="K72" s="14" t="str">
        <v>Document / product page</v>
      </c>
      <c r="L72" s="14" t="str">
        <v>Not published</v>
      </c>
      <c r="M72" s="16" t="str">
        <v>Not published</v>
      </c>
      <c r="N72" s="16" t="n">
        <v>46275</v>
      </c>
      <c r="O72" s="14" t="str">
        <v>Bambu Lab</v>
      </c>
      <c r="P72" s="2" t="str">
        <v>https://ca.store.bambulab.com/products/pla-galaxy</v>
      </c>
      <c r="Q72" s="2" t="str">
        <v>37cd80096035730aa2ce45aa202259babd0dae5da5152ac08ed14fe44bad8bbc</v>
      </c>
    </row>
    <row r="73" ht="48" customHeight="1">
      <c r="A73" s="13" t="str">
        <v>Bambu Lab</v>
      </c>
      <c r="B73" s="13" t="str">
        <v>Guide / product page</v>
      </c>
      <c r="C73" s="13" t="str">
        <v>PLA Glow | Bambu Lab CA Store</v>
      </c>
      <c r="D73" s="17" t="str">
        <v>Open document</v>
      </c>
      <c r="E73" s="13" t="str">
        <v>Yes</v>
      </c>
      <c r="F73" s="13" t="str">
        <v>B-pla-glow</v>
      </c>
      <c r="G73" s="13" t="str">
        <v>Manufacturer product / guide</v>
      </c>
      <c r="H73" s="13" t="str">
        <v>cited</v>
      </c>
      <c r="I73" s="13" t="str">
        <v>Retrieved</v>
      </c>
      <c r="J73" s="13" t="str">
        <v>Family / scope guidance</v>
      </c>
      <c r="K73" s="13" t="str">
        <v>Document / product page</v>
      </c>
      <c r="L73" s="13" t="str">
        <v>Not published</v>
      </c>
      <c r="M73" s="15" t="str">
        <v>Not published</v>
      </c>
      <c r="N73" s="15" t="n">
        <v>46275</v>
      </c>
      <c r="O73" s="13" t="str">
        <v>Bambu Lab</v>
      </c>
      <c r="P73" s="10" t="str">
        <v>https://ca.store.bambulab.com/products/pla-glow</v>
      </c>
      <c r="Q73" s="10" t="str">
        <v>aea169e56d6c710ec1093a97cd1a8b5b4c962103b57ddb215fe0bb41787d1ecd</v>
      </c>
    </row>
    <row r="74" ht="48" customHeight="1">
      <c r="A74" s="14" t="str">
        <v>Bambu Lab</v>
      </c>
      <c r="B74" s="14" t="str">
        <v>Guide / product page</v>
      </c>
      <c r="C74" s="14" t="str">
        <v>PLA Marble | Bambu Lab CA Store</v>
      </c>
      <c r="D74" s="18" t="str">
        <v>Open document</v>
      </c>
      <c r="E74" s="14" t="str">
        <v>Yes</v>
      </c>
      <c r="F74" s="14" t="str">
        <v>B-pla-marble</v>
      </c>
      <c r="G74" s="14" t="str">
        <v>Manufacturer product / guide</v>
      </c>
      <c r="H74" s="14" t="str">
        <v>cited</v>
      </c>
      <c r="I74" s="14" t="str">
        <v>Retrieved</v>
      </c>
      <c r="J74" s="14" t="str">
        <v>Family / scope guidance</v>
      </c>
      <c r="K74" s="14" t="str">
        <v>Document / product page</v>
      </c>
      <c r="L74" s="14" t="str">
        <v>Not published</v>
      </c>
      <c r="M74" s="16" t="str">
        <v>Not published</v>
      </c>
      <c r="N74" s="16" t="n">
        <v>46275</v>
      </c>
      <c r="O74" s="14" t="str">
        <v>Bambu Lab</v>
      </c>
      <c r="P74" s="2" t="str">
        <v>https://ca.store.bambulab.com/products/pla-marble</v>
      </c>
      <c r="Q74" s="2" t="str">
        <v>51f4b52959c9256d50d2b6f6f4fd0c2cc47378aafaf07247a6da64a5e53322e6</v>
      </c>
    </row>
    <row r="75" ht="48" customHeight="1">
      <c r="A75" s="13" t="str">
        <v>Bambu Lab</v>
      </c>
      <c r="B75" s="13" t="str">
        <v>Guide / product page</v>
      </c>
      <c r="C75" s="13" t="str">
        <v>PLA Matte | Bambu Lab CA Store</v>
      </c>
      <c r="D75" s="17" t="str">
        <v>Open document</v>
      </c>
      <c r="E75" s="13" t="str">
        <v>Yes</v>
      </c>
      <c r="F75" s="13" t="str">
        <v>B-pla-matte</v>
      </c>
      <c r="G75" s="13" t="str">
        <v>Manufacturer product / guide</v>
      </c>
      <c r="H75" s="13" t="str">
        <v>cited</v>
      </c>
      <c r="I75" s="13" t="str">
        <v>Retrieved</v>
      </c>
      <c r="J75" s="13" t="str">
        <v>Family / scope guidance</v>
      </c>
      <c r="K75" s="13" t="str">
        <v>Document / product page</v>
      </c>
      <c r="L75" s="13" t="str">
        <v>Not published</v>
      </c>
      <c r="M75" s="15" t="str">
        <v>Not published</v>
      </c>
      <c r="N75" s="15" t="n">
        <v>46275</v>
      </c>
      <c r="O75" s="13" t="str">
        <v>Bambu Lab</v>
      </c>
      <c r="P75" s="10" t="str">
        <v>https://ca.store.bambulab.com/products/pla-matte</v>
      </c>
      <c r="Q75" s="10" t="str">
        <v>292c5d1fa660d8500a571537f0eada519ca78ebc04db93d97d08ee3bbf416d63</v>
      </c>
    </row>
    <row r="76" ht="48" customHeight="1">
      <c r="A76" s="14" t="str">
        <v>Bambu Lab</v>
      </c>
      <c r="B76" s="14" t="str">
        <v>Guide / product page</v>
      </c>
      <c r="C76" s="14" t="str">
        <v>PLA Metal | Bambu Lab CA Store</v>
      </c>
      <c r="D76" s="18" t="str">
        <v>Open document</v>
      </c>
      <c r="E76" s="14" t="str">
        <v>Yes</v>
      </c>
      <c r="F76" s="14" t="str">
        <v>B-pla-metal</v>
      </c>
      <c r="G76" s="14" t="str">
        <v>Manufacturer product / guide</v>
      </c>
      <c r="H76" s="14" t="str">
        <v>cited</v>
      </c>
      <c r="I76" s="14" t="str">
        <v>Retrieved</v>
      </c>
      <c r="J76" s="14" t="str">
        <v>Family / scope guidance</v>
      </c>
      <c r="K76" s="14" t="str">
        <v>Document / product page</v>
      </c>
      <c r="L76" s="14" t="str">
        <v>Not published</v>
      </c>
      <c r="M76" s="16" t="str">
        <v>Not published</v>
      </c>
      <c r="N76" s="16" t="n">
        <v>46275</v>
      </c>
      <c r="O76" s="14" t="str">
        <v>Bambu Lab</v>
      </c>
      <c r="P76" s="2" t="str">
        <v>https://ca.store.bambulab.com/products/pla-metal</v>
      </c>
      <c r="Q76" s="2" t="str">
        <v>5d4b6935d7552af102e65424aec69096596128544082f2df2f9d3543b416821f</v>
      </c>
    </row>
    <row r="77" ht="48" customHeight="1">
      <c r="A77" s="13" t="str">
        <v>Bambu Lab</v>
      </c>
      <c r="B77" s="13" t="str">
        <v>Guide / product page</v>
      </c>
      <c r="C77" s="13" t="str">
        <v>PLA Silk Multi Color | Bambu Lab CA Store</v>
      </c>
      <c r="D77" s="17" t="str">
        <v>Open document</v>
      </c>
      <c r="E77" s="13" t="str">
        <v>Yes</v>
      </c>
      <c r="F77" s="13" t="str">
        <v>B-pla-silk-dual-color</v>
      </c>
      <c r="G77" s="13" t="str">
        <v>Manufacturer product / guide</v>
      </c>
      <c r="H77" s="13" t="str">
        <v>cited</v>
      </c>
      <c r="I77" s="13" t="str">
        <v>Retrieved</v>
      </c>
      <c r="J77" s="13" t="str">
        <v>Family / scope guidance</v>
      </c>
      <c r="K77" s="13" t="str">
        <v>Document / product page</v>
      </c>
      <c r="L77" s="13" t="str">
        <v>Not published</v>
      </c>
      <c r="M77" s="15" t="str">
        <v>Not published</v>
      </c>
      <c r="N77" s="15" t="n">
        <v>46275</v>
      </c>
      <c r="O77" s="13" t="str">
        <v>Bambu Lab</v>
      </c>
      <c r="P77" s="10" t="str">
        <v>https://ca.store.bambulab.com/products/pla-silk-multi-color</v>
      </c>
      <c r="Q77" s="10" t="str">
        <v>5636a79ae886fd5d24c61082bf1a966489f10591d279668d304c34862be9072e</v>
      </c>
    </row>
    <row r="78" ht="48" customHeight="1">
      <c r="A78" s="14" t="str">
        <v>Bambu Lab</v>
      </c>
      <c r="B78" s="14" t="str">
        <v>Guide / product page</v>
      </c>
      <c r="C78" s="14" t="str">
        <v>PLA Sparkle | Bambu Lab CA Store</v>
      </c>
      <c r="D78" s="18" t="str">
        <v>Open document</v>
      </c>
      <c r="E78" s="14" t="str">
        <v>Yes</v>
      </c>
      <c r="F78" s="14" t="str">
        <v>B-pla-sparkle</v>
      </c>
      <c r="G78" s="14" t="str">
        <v>Manufacturer product / guide</v>
      </c>
      <c r="H78" s="14" t="str">
        <v>cited</v>
      </c>
      <c r="I78" s="14" t="str">
        <v>Retrieved</v>
      </c>
      <c r="J78" s="14" t="str">
        <v>Family / scope guidance</v>
      </c>
      <c r="K78" s="14" t="str">
        <v>Document / product page</v>
      </c>
      <c r="L78" s="14" t="str">
        <v>Not published</v>
      </c>
      <c r="M78" s="16" t="str">
        <v>Not published</v>
      </c>
      <c r="N78" s="16" t="n">
        <v>46275</v>
      </c>
      <c r="O78" s="14" t="str">
        <v>Bambu Lab</v>
      </c>
      <c r="P78" s="2" t="str">
        <v>https://ca.store.bambulab.com/products/pla-sparkle</v>
      </c>
      <c r="Q78" s="2" t="str">
        <v>4874e2a31c565ead68694dfd97d671cf8518bca7b279d50d89991f03702f120b</v>
      </c>
    </row>
    <row r="79" ht="48" customHeight="1">
      <c r="A79" s="13" t="str">
        <v>Bambu Lab</v>
      </c>
      <c r="B79" s="13" t="str">
        <v>Guide / product page</v>
      </c>
      <c r="C79" s="13" t="str">
        <v>PLA Tough+ | Bambu Lab CA Store</v>
      </c>
      <c r="D79" s="17" t="str">
        <v>Open document</v>
      </c>
      <c r="E79" s="13" t="str">
        <v>Yes</v>
      </c>
      <c r="F79" s="13" t="str">
        <v>B-pla-tough-upgrade</v>
      </c>
      <c r="G79" s="13" t="str">
        <v>Manufacturer product / guide</v>
      </c>
      <c r="H79" s="13" t="str">
        <v>cited</v>
      </c>
      <c r="I79" s="13" t="str">
        <v>Retrieved</v>
      </c>
      <c r="J79" s="13" t="str">
        <v>Family / scope guidance</v>
      </c>
      <c r="K79" s="13" t="str">
        <v>Document / product page</v>
      </c>
      <c r="L79" s="13" t="str">
        <v>Not published</v>
      </c>
      <c r="M79" s="15" t="str">
        <v>Not published</v>
      </c>
      <c r="N79" s="15" t="n">
        <v>46275</v>
      </c>
      <c r="O79" s="13" t="str">
        <v>Bambu Lab</v>
      </c>
      <c r="P79" s="10" t="str">
        <v>https://ca.store.bambulab.com/products/pla-tough-upgrade</v>
      </c>
      <c r="Q79" s="10" t="str">
        <v>bd93953779b7e8d7faefd540a6b2d5c7a416299d4d98d22e76168b4478b954de</v>
      </c>
    </row>
    <row r="80" ht="48" customHeight="1">
      <c r="A80" s="14" t="str">
        <v>Bambu Lab</v>
      </c>
      <c r="B80" s="14" t="str">
        <v>Guide / product page</v>
      </c>
      <c r="C80" s="14" t="str">
        <v>PLA Translucent | Bambu Lab CA Store</v>
      </c>
      <c r="D80" s="18" t="str">
        <v>Open document</v>
      </c>
      <c r="E80" s="14" t="str">
        <v>Yes</v>
      </c>
      <c r="F80" s="14" t="str">
        <v>B-pla-translucent</v>
      </c>
      <c r="G80" s="14" t="str">
        <v>Manufacturer product / guide</v>
      </c>
      <c r="H80" s="14" t="str">
        <v>cited</v>
      </c>
      <c r="I80" s="14" t="str">
        <v>Retrieved</v>
      </c>
      <c r="J80" s="14" t="str">
        <v>Family / scope guidance</v>
      </c>
      <c r="K80" s="14" t="str">
        <v>Document / product page</v>
      </c>
      <c r="L80" s="14" t="str">
        <v>Not published</v>
      </c>
      <c r="M80" s="16" t="str">
        <v>Not published</v>
      </c>
      <c r="N80" s="16" t="n">
        <v>46275</v>
      </c>
      <c r="O80" s="14" t="str">
        <v>Bambu Lab</v>
      </c>
      <c r="P80" s="2" t="str">
        <v>https://ca.store.bambulab.com/products/pla-translucent</v>
      </c>
      <c r="Q80" s="2" t="str">
        <v>9563e70806bb045bedbb0ff0ce6af0246c9bf004fc691b30ec2202edd9984532</v>
      </c>
    </row>
    <row r="81" ht="48" customHeight="1">
      <c r="A81" s="13" t="str">
        <v>Bambu Lab</v>
      </c>
      <c r="B81" s="13" t="str">
        <v>Guide / product page</v>
      </c>
      <c r="C81" s="13" t="str">
        <v>PLA Wood | Bambu Lab CA Store</v>
      </c>
      <c r="D81" s="17" t="str">
        <v>Open document</v>
      </c>
      <c r="E81" s="13" t="str">
        <v>Yes</v>
      </c>
      <c r="F81" s="13" t="str">
        <v>B-pla-wood</v>
      </c>
      <c r="G81" s="13" t="str">
        <v>Manufacturer product / guide</v>
      </c>
      <c r="H81" s="13" t="str">
        <v>cited</v>
      </c>
      <c r="I81" s="13" t="str">
        <v>Retrieved</v>
      </c>
      <c r="J81" s="13" t="str">
        <v>Family / scope guidance</v>
      </c>
      <c r="K81" s="13" t="str">
        <v>Document / product page</v>
      </c>
      <c r="L81" s="13" t="str">
        <v>Not published</v>
      </c>
      <c r="M81" s="15" t="str">
        <v>Not published</v>
      </c>
      <c r="N81" s="15" t="n">
        <v>46275</v>
      </c>
      <c r="O81" s="13" t="str">
        <v>Bambu Lab</v>
      </c>
      <c r="P81" s="10" t="str">
        <v>https://ca.store.bambulab.com/products/pla-wood</v>
      </c>
      <c r="Q81" s="10" t="str">
        <v>e07e2db1c164a8b5750f2a81a71c9d139629c35f65a66c615bc3177995b739fe</v>
      </c>
    </row>
    <row r="82" ht="48" customHeight="1">
      <c r="A82" s="14" t="str">
        <v>Bambu Lab</v>
      </c>
      <c r="B82" s="14" t="str">
        <v>Guide / product page</v>
      </c>
      <c r="C82" s="14" t="str">
        <v>PLA-CF | Bambu Lab CA Store</v>
      </c>
      <c r="D82" s="18" t="str">
        <v>Open document</v>
      </c>
      <c r="E82" s="14" t="str">
        <v>Yes</v>
      </c>
      <c r="F82" s="14" t="str">
        <v>B-pla-cf</v>
      </c>
      <c r="G82" s="14" t="str">
        <v>Manufacturer product / guide</v>
      </c>
      <c r="H82" s="14" t="str">
        <v>cited</v>
      </c>
      <c r="I82" s="14" t="str">
        <v>Retrieved</v>
      </c>
      <c r="J82" s="14" t="str">
        <v>Family / scope guidance</v>
      </c>
      <c r="K82" s="14" t="str">
        <v>Document / product page</v>
      </c>
      <c r="L82" s="14" t="str">
        <v>Not published</v>
      </c>
      <c r="M82" s="16" t="str">
        <v>Not published</v>
      </c>
      <c r="N82" s="16" t="n">
        <v>46275</v>
      </c>
      <c r="O82" s="14" t="str">
        <v>Bambu Lab</v>
      </c>
      <c r="P82" s="2" t="str">
        <v>https://ca.store.bambulab.com/products/pla-cf</v>
      </c>
      <c r="Q82" s="2" t="str">
        <v>2295bb4df4f05db9c6304fb53657607a5332e32eb0d2eee9cdb27f12185953e3</v>
      </c>
    </row>
    <row r="83" ht="48" customHeight="1">
      <c r="A83" s="13" t="str">
        <v>Bambu Lab</v>
      </c>
      <c r="B83" s="13" t="str">
        <v>Guide / product page</v>
      </c>
      <c r="C83" s="13" t="str">
        <v>PPA-CF | Bambu Lab CA Store</v>
      </c>
      <c r="D83" s="17" t="str">
        <v>Open document</v>
      </c>
      <c r="E83" s="13" t="str">
        <v>Yes</v>
      </c>
      <c r="F83" s="13" t="str">
        <v>B-ppa-cf</v>
      </c>
      <c r="G83" s="13" t="str">
        <v>Manufacturer product / guide</v>
      </c>
      <c r="H83" s="13" t="str">
        <v>cited</v>
      </c>
      <c r="I83" s="13" t="str">
        <v>Retrieved</v>
      </c>
      <c r="J83" s="13" t="str">
        <v>Family / scope guidance</v>
      </c>
      <c r="K83" s="13" t="str">
        <v>Document / product page</v>
      </c>
      <c r="L83" s="13" t="str">
        <v>Not published</v>
      </c>
      <c r="M83" s="15" t="str">
        <v>Not published</v>
      </c>
      <c r="N83" s="15" t="n">
        <v>46275</v>
      </c>
      <c r="O83" s="13" t="str">
        <v>Bambu Lab</v>
      </c>
      <c r="P83" s="10" t="str">
        <v>https://ca.store.bambulab.com/products/ppa-cf</v>
      </c>
      <c r="Q83" s="10" t="str">
        <v>e3c1b415302d034a09c07f976ba72a04d6e77633ab6010250a96017d6273cf3b</v>
      </c>
    </row>
    <row r="84" ht="48" customHeight="1">
      <c r="A84" s="14" t="str">
        <v>Bambu Lab</v>
      </c>
      <c r="B84" s="14" t="str">
        <v>Guide / product page</v>
      </c>
      <c r="C84" s="14" t="str">
        <v>PVA | Bambu Lab CA Store</v>
      </c>
      <c r="D84" s="18" t="str">
        <v>Open document</v>
      </c>
      <c r="E84" s="14" t="str">
        <v>Yes</v>
      </c>
      <c r="F84" s="14" t="str">
        <v>B-pva</v>
      </c>
      <c r="G84" s="14" t="str">
        <v>Manufacturer product / guide</v>
      </c>
      <c r="H84" s="14" t="str">
        <v>cited</v>
      </c>
      <c r="I84" s="14" t="str">
        <v>Retrieved</v>
      </c>
      <c r="J84" s="14" t="str">
        <v>Family / scope guidance</v>
      </c>
      <c r="K84" s="14" t="str">
        <v>Document / product page</v>
      </c>
      <c r="L84" s="14" t="str">
        <v>Not published</v>
      </c>
      <c r="M84" s="16" t="str">
        <v>Not published</v>
      </c>
      <c r="N84" s="16" t="n">
        <v>46275</v>
      </c>
      <c r="O84" s="14" t="str">
        <v>Bambu Lab</v>
      </c>
      <c r="P84" s="2" t="str">
        <v>https://ca.store.bambulab.com/products/pva</v>
      </c>
      <c r="Q84" s="2" t="str">
        <v>6250ae1e79f680c61fde568550cc86b2ed7b754a76d01e6ea46565255356ea4d</v>
      </c>
    </row>
    <row r="85" ht="48" customHeight="1">
      <c r="A85" s="13" t="str">
        <v>Bambu Lab</v>
      </c>
      <c r="B85" s="13" t="str">
        <v>Guide / product page</v>
      </c>
      <c r="C85" s="13" t="str">
        <v>Support for ABS | Bambu Lab CA Store</v>
      </c>
      <c r="D85" s="17" t="str">
        <v>Open document</v>
      </c>
      <c r="E85" s="13" t="str">
        <v>Yes</v>
      </c>
      <c r="F85" s="13" t="str">
        <v>B-support-for-abs</v>
      </c>
      <c r="G85" s="13" t="str">
        <v>Manufacturer product / guide</v>
      </c>
      <c r="H85" s="13" t="str">
        <v>cited</v>
      </c>
      <c r="I85" s="13" t="str">
        <v>Retrieved</v>
      </c>
      <c r="J85" s="13" t="str">
        <v>Family / scope guidance</v>
      </c>
      <c r="K85" s="13" t="str">
        <v>Document / product page</v>
      </c>
      <c r="L85" s="13" t="str">
        <v>Not published</v>
      </c>
      <c r="M85" s="15" t="str">
        <v>Not published</v>
      </c>
      <c r="N85" s="15" t="n">
        <v>46275</v>
      </c>
      <c r="O85" s="13" t="str">
        <v>Bambu Lab</v>
      </c>
      <c r="P85" s="10" t="str">
        <v>https://ca.store.bambulab.com/products/support-for-abs</v>
      </c>
      <c r="Q85" s="10" t="str">
        <v>656bd5b3ed1f4cb2f40074a281b1cc56dc349cbb643e52b3905d6525164e25a5</v>
      </c>
    </row>
    <row r="86" ht="48" customHeight="1">
      <c r="A86" s="14" t="str">
        <v>Bambu Lab</v>
      </c>
      <c r="B86" s="14" t="str">
        <v>Guide / product page</v>
      </c>
      <c r="C86" s="14" t="str">
        <v>Support for PA/PET | Bambu Lab CA Store</v>
      </c>
      <c r="D86" s="18" t="str">
        <v>Open document</v>
      </c>
      <c r="E86" s="14" t="str">
        <v>Yes</v>
      </c>
      <c r="F86" s="14" t="str">
        <v>B-support-for-pa-pet</v>
      </c>
      <c r="G86" s="14" t="str">
        <v>Manufacturer product / guide</v>
      </c>
      <c r="H86" s="14" t="str">
        <v>cited</v>
      </c>
      <c r="I86" s="14" t="str">
        <v>Retrieved</v>
      </c>
      <c r="J86" s="14" t="str">
        <v>Family / scope guidance</v>
      </c>
      <c r="K86" s="14" t="str">
        <v>Document / product page</v>
      </c>
      <c r="L86" s="14" t="str">
        <v>Not published</v>
      </c>
      <c r="M86" s="16" t="str">
        <v>Not published</v>
      </c>
      <c r="N86" s="16" t="n">
        <v>46275</v>
      </c>
      <c r="O86" s="14" t="str">
        <v>Bambu Lab</v>
      </c>
      <c r="P86" s="2" t="str">
        <v>https://ca.store.bambulab.com/products/support-for-pa-pet</v>
      </c>
      <c r="Q86" s="2" t="str">
        <v>b9ac40056b23a2cba1bc4336077a8786fa1e3c8d8a0a4540b6aee6de780e9c0c</v>
      </c>
    </row>
    <row r="87" ht="48" customHeight="1">
      <c r="A87" s="13" t="str">
        <v>Bambu Lab</v>
      </c>
      <c r="B87" s="13" t="str">
        <v>Guide / product page</v>
      </c>
      <c r="C87" s="13" t="str">
        <v>Support for PLA (New Version)</v>
      </c>
      <c r="D87" s="17" t="str">
        <v>Open document</v>
      </c>
      <c r="E87" s="13" t="str">
        <v>Yes</v>
      </c>
      <c r="F87" s="13" t="str">
        <v>R-BAMBU-SUPPORT-PLA-NEW-PRODUCT</v>
      </c>
      <c r="G87" s="13" t="str">
        <v>Official manufacturer product page</v>
      </c>
      <c r="H87" s="13" t="str">
        <v>cited</v>
      </c>
      <c r="I87" s="13" t="str">
        <v>Retrieved via web</v>
      </c>
      <c r="J87" s="13" t="str">
        <v>M077 / G077-01</v>
      </c>
      <c r="K87" s="13" t="str">
        <v>Product scope, SKU, weight and compatibility</v>
      </c>
      <c r="L87" s="13" t="str">
        <v>Not published</v>
      </c>
      <c r="M87" s="15" t="str">
        <v>Not published</v>
      </c>
      <c r="N87" s="15" t="n">
        <v>46278</v>
      </c>
      <c r="O87" s="13" t="str">
        <v>Bambu Lab</v>
      </c>
      <c r="P87" s="10" t="str">
        <v>https://bambu-lab-jp.myshopify.com/en/products/support-for-pla-new</v>
      </c>
      <c r="Q87" s="10" t="str">
        <v>Not recorded</v>
      </c>
    </row>
    <row r="88" ht="48" customHeight="1">
      <c r="A88" s="14" t="str">
        <v>Bambu Lab</v>
      </c>
      <c r="B88" s="14" t="str">
        <v>Guide / product page</v>
      </c>
      <c r="C88" s="14" t="str">
        <v>Support for PLA/PETG | Bambu Lab CA Store</v>
      </c>
      <c r="D88" s="18" t="str">
        <v>Open document</v>
      </c>
      <c r="E88" s="14" t="str">
        <v>Yes</v>
      </c>
      <c r="F88" s="14" t="str">
        <v>B-support-for-pla-petg</v>
      </c>
      <c r="G88" s="14" t="str">
        <v>Manufacturer product / guide</v>
      </c>
      <c r="H88" s="14" t="str">
        <v>cited</v>
      </c>
      <c r="I88" s="14" t="str">
        <v>Retrieved</v>
      </c>
      <c r="J88" s="14" t="str">
        <v>Family / scope guidance</v>
      </c>
      <c r="K88" s="14" t="str">
        <v>Document / product page</v>
      </c>
      <c r="L88" s="14" t="str">
        <v>Not published</v>
      </c>
      <c r="M88" s="16" t="str">
        <v>Not published</v>
      </c>
      <c r="N88" s="16" t="n">
        <v>46275</v>
      </c>
      <c r="O88" s="14" t="str">
        <v>Bambu Lab</v>
      </c>
      <c r="P88" s="2" t="str">
        <v>https://ca.store.bambulab.com/products/support-for-pla-petg</v>
      </c>
      <c r="Q88" s="2" t="str">
        <v>fdb541d86bac50e5cd80bb5a251219616ae5e0492ed404be11c6e48231ee228a</v>
      </c>
    </row>
    <row r="89" ht="48" customHeight="1">
      <c r="A89" s="13" t="str">
        <v>Bambu Lab</v>
      </c>
      <c r="B89" s="13" t="str">
        <v>Guide / product page</v>
      </c>
      <c r="C89" s="13" t="str">
        <v>TPU 85A / TPU 90A | Bambu Lab CA Store</v>
      </c>
      <c r="D89" s="17" t="str">
        <v>Open document</v>
      </c>
      <c r="E89" s="13" t="str">
        <v>Yes</v>
      </c>
      <c r="F89" s="13" t="str">
        <v>B-TPU-SOFT</v>
      </c>
      <c r="G89" s="13" t="str">
        <v>Manufacturer product / guide</v>
      </c>
      <c r="H89" s="13" t="str">
        <v>cited</v>
      </c>
      <c r="I89" s="13" t="str">
        <v>Retrieved</v>
      </c>
      <c r="J89" s="13" t="str">
        <v>Family / scope guidance</v>
      </c>
      <c r="K89" s="13" t="str">
        <v>Document / product page</v>
      </c>
      <c r="L89" s="13" t="str">
        <v>Not published</v>
      </c>
      <c r="M89" s="15" t="str">
        <v>Not published</v>
      </c>
      <c r="N89" s="15" t="n">
        <v>46275</v>
      </c>
      <c r="O89" s="13" t="str">
        <v>Bambu Lab</v>
      </c>
      <c r="P89" s="10" t="str">
        <v>https://ca.store.bambulab.com/products/tpu-85a-tpu-90a</v>
      </c>
      <c r="Q89" s="10" t="str">
        <v>6399431f80638c739814f81368a982ca0358529982355749399097c4b4fc2f26</v>
      </c>
    </row>
    <row r="90" ht="48" customHeight="1">
      <c r="A90" s="14" t="str">
        <v>Bambu Lab</v>
      </c>
      <c r="B90" s="14" t="str">
        <v>Guide / product page</v>
      </c>
      <c r="C90" s="14" t="str">
        <v>TPU 95A HF | Bambu Lab CA Store</v>
      </c>
      <c r="D90" s="18" t="str">
        <v>Open document</v>
      </c>
      <c r="E90" s="14" t="str">
        <v>Yes</v>
      </c>
      <c r="F90" s="14" t="str">
        <v>B-tpu-95a-hf</v>
      </c>
      <c r="G90" s="14" t="str">
        <v>Manufacturer product / guide</v>
      </c>
      <c r="H90" s="14" t="str">
        <v>cited</v>
      </c>
      <c r="I90" s="14" t="str">
        <v>Retrieved</v>
      </c>
      <c r="J90" s="14" t="str">
        <v>Family / scope guidance</v>
      </c>
      <c r="K90" s="14" t="str">
        <v>Document / product page</v>
      </c>
      <c r="L90" s="14" t="str">
        <v>Not published</v>
      </c>
      <c r="M90" s="16" t="str">
        <v>Not published</v>
      </c>
      <c r="N90" s="16" t="n">
        <v>46275</v>
      </c>
      <c r="O90" s="14" t="str">
        <v>Bambu Lab</v>
      </c>
      <c r="P90" s="2" t="str">
        <v>https://ca.store.bambulab.com/products/tpu-95a-hf</v>
      </c>
      <c r="Q90" s="2" t="str">
        <v>e8d72a6c87679f35a2413339c5d8e7bcd421607f6369792334bf3ab058c46cca</v>
      </c>
    </row>
    <row r="91" ht="48" customHeight="1">
      <c r="A91" s="13" t="str">
        <v>Bambu Lab</v>
      </c>
      <c r="B91" s="13" t="str">
        <v>Guide / product page</v>
      </c>
      <c r="C91" s="13" t="str">
        <v>TPU for AMS | Bambu Lab CA Store</v>
      </c>
      <c r="D91" s="17" t="str">
        <v>Open document</v>
      </c>
      <c r="E91" s="13" t="str">
        <v>Yes</v>
      </c>
      <c r="F91" s="13" t="str">
        <v>B-tpu-for-ams</v>
      </c>
      <c r="G91" s="13" t="str">
        <v>Manufacturer product / guide</v>
      </c>
      <c r="H91" s="13" t="str">
        <v>cited</v>
      </c>
      <c r="I91" s="13" t="str">
        <v>Retrieved</v>
      </c>
      <c r="J91" s="13" t="str">
        <v>Family / scope guidance</v>
      </c>
      <c r="K91" s="13" t="str">
        <v>Document / product page</v>
      </c>
      <c r="L91" s="13" t="str">
        <v>Not published</v>
      </c>
      <c r="M91" s="15" t="str">
        <v>Not published</v>
      </c>
      <c r="N91" s="15" t="n">
        <v>46275</v>
      </c>
      <c r="O91" s="13" t="str">
        <v>Bambu Lab</v>
      </c>
      <c r="P91" s="10" t="str">
        <v>https://ca.store.bambulab.com/products/tpu-for-ams</v>
      </c>
      <c r="Q91" s="10" t="str">
        <v>f76f53b345ba71d18714100b496f39546dfadf9a9abb22e74b1728754b687f70</v>
      </c>
    </row>
    <row r="92" ht="48" customHeight="1">
      <c r="A92" s="14" t="str">
        <v>Bambu Lab</v>
      </c>
      <c r="B92" s="14" t="str">
        <v>Printer documentation</v>
      </c>
      <c r="C92" s="14" t="str">
        <v>Bambu Lab H2C - Technical Specifications</v>
      </c>
      <c r="D92" s="18" t="str">
        <v>Open document</v>
      </c>
      <c r="E92" s="14" t="str">
        <v>Yes</v>
      </c>
      <c r="F92" s="14" t="str">
        <v>R-H2C-SPECS</v>
      </c>
      <c r="G92" s="14" t="str">
        <v>Official printer documentation</v>
      </c>
      <c r="H92" s="14" t="str">
        <v>cited</v>
      </c>
      <c r="I92" s="14" t="str">
        <v>Retrieved</v>
      </c>
      <c r="J92" s="14" t="str">
        <v>Family / scope guidance</v>
      </c>
      <c r="K92" s="14" t="str">
        <v>Max nozzle 350 C; max heatbed 120 C; max chamber 65 C</v>
      </c>
      <c r="L92" s="14" t="str">
        <v>Not published</v>
      </c>
      <c r="M92" s="16" t="str">
        <v>Not published</v>
      </c>
      <c r="N92" s="16" t="n">
        <v>46276</v>
      </c>
      <c r="O92" s="14" t="str">
        <v>Bambu Lab</v>
      </c>
      <c r="P92" s="2" t="str">
        <v>https://bambulab.com/en/h2c/specs</v>
      </c>
      <c r="Q92" s="2" t="str">
        <v>Not recorded</v>
      </c>
    </row>
    <row r="93" ht="48" customHeight="1">
      <c r="A93" s="13" t="str">
        <v>Bambu Lab</v>
      </c>
      <c r="B93" s="13" t="str">
        <v>Printer documentation</v>
      </c>
      <c r="C93" s="13" t="str">
        <v>Bambu Lab H2C 3D Printing User Manual</v>
      </c>
      <c r="D93" s="17" t="str">
        <v>Open document</v>
      </c>
      <c r="E93" s="13" t="str">
        <v>Yes</v>
      </c>
      <c r="F93" s="13" t="str">
        <v>H2C-MANUAL</v>
      </c>
      <c r="G93" s="13" t="str">
        <v>Official printer documentation</v>
      </c>
      <c r="H93" s="13" t="str">
        <v>cited</v>
      </c>
      <c r="I93" s="13" t="str">
        <v>Retrieved</v>
      </c>
      <c r="J93" s="13" t="str">
        <v>Family / scope guidance</v>
      </c>
      <c r="K93" s="13" t="str">
        <v>Chapter8 Filament; pp123-139; see printed page numbering</v>
      </c>
      <c r="L93" s="13" t="str">
        <v>V1.0</v>
      </c>
      <c r="M93" s="15" t="str">
        <v>2026-01</v>
      </c>
      <c r="N93" s="15" t="n">
        <v>46275</v>
      </c>
      <c r="O93" s="13" t="str">
        <v>Bambu Lab</v>
      </c>
      <c r="P93" s="10" t="str">
        <v>https://csm.bblcdn.com/hub/eff78da43720461787dc8bbe5fa0372d.pdf</v>
      </c>
      <c r="Q93" s="10" t="str">
        <v>7f2034156a14c4fc08cfeb8d431a23f6c2dcef03ebd56276add6858665daec30</v>
      </c>
    </row>
    <row r="94" ht="48" customHeight="1">
      <c r="A94" s="14" t="str">
        <v>Bambu Lab</v>
      </c>
      <c r="B94" s="14" t="str">
        <v>Printer documentation</v>
      </c>
      <c r="C94" s="14" t="str">
        <v>H2C Filamant Printing Guide | Bambu Lab Wiki</v>
      </c>
      <c r="D94" s="18" t="str">
        <v>Open document</v>
      </c>
      <c r="E94" s="14" t="str">
        <v>Yes</v>
      </c>
      <c r="F94" s="14" t="str">
        <v>H2C-WIKI</v>
      </c>
      <c r="G94" s="14" t="str">
        <v>Official printer documentation</v>
      </c>
      <c r="H94" s="14" t="str">
        <v>cited</v>
      </c>
      <c r="I94" s="14" t="str">
        <v>Retrieved</v>
      </c>
      <c r="J94" s="14" t="str">
        <v>Family / scope guidance</v>
      </c>
      <c r="K94" s="14" t="str">
        <v>Document / product page</v>
      </c>
      <c r="L94" s="14" t="str">
        <v>Not published</v>
      </c>
      <c r="M94" s="16" t="str">
        <v>Not published</v>
      </c>
      <c r="N94" s="16" t="n">
        <v>46275</v>
      </c>
      <c r="O94" s="14" t="str">
        <v>Bambu Lab</v>
      </c>
      <c r="P94" s="2" t="str">
        <v>https://wiki.bambulab.com/en/h2c/h2c-filament-printing-guide</v>
      </c>
      <c r="Q94" s="2" t="str">
        <v>c8204c57189a28fe724c064f1b4747c8c6486419445888df691c4dddeac81276</v>
      </c>
    </row>
    <row r="95" ht="48" customHeight="1">
      <c r="A95" s="13" t="str">
        <v>Bambu Lab</v>
      </c>
      <c r="B95" s="13" t="str">
        <v>Catalogue / pricing</v>
      </c>
      <c r="C95" s="13" t="str">
        <v>3D Printer Filament Collection</v>
      </c>
      <c r="D95" s="17" t="str">
        <v>Open document</v>
      </c>
      <c r="E95" s="13" t="str">
        <v>Yes</v>
      </c>
      <c r="F95" s="13" t="str">
        <v>R-BAMBU-CA-CATALOG-20260913</v>
      </c>
      <c r="G95" s="13" t="str">
        <v>Official Canadian storefront catalogue</v>
      </c>
      <c r="H95" s="13" t="str">
        <v>register</v>
      </c>
      <c r="I95" s="13" t="str">
        <v>Retrieved via web</v>
      </c>
      <c r="J95" s="13" t="str">
        <v>Bambu Lab catalogue cross-check</v>
      </c>
      <c r="K95" s="13" t="str">
        <v>Collection and linked product pages</v>
      </c>
      <c r="L95" s="13" t="str">
        <v>Not published</v>
      </c>
      <c r="M95" s="15" t="str">
        <v>Not published</v>
      </c>
      <c r="N95" s="15" t="n">
        <v>46278</v>
      </c>
      <c r="O95" s="13" t="str">
        <v>Bambu Lab Canada</v>
      </c>
      <c r="P95" s="10" t="str">
        <v>https://ca.store.bambulab.com/collections/bambu-lab-3d-printer-filament</v>
      </c>
      <c r="Q95" s="10" t="str">
        <v>Not recorded</v>
      </c>
    </row>
    <row r="96" ht="48" customHeight="1">
      <c r="A96" s="14" t="str">
        <v>3DXTECH</v>
      </c>
      <c r="B96" s="14" t="str">
        <v>Filament TDS</v>
      </c>
      <c r="C96" s="14" t="str">
        <v>3DXMAX HIPS</v>
      </c>
      <c r="D96" s="18" t="str">
        <v>Open document</v>
      </c>
      <c r="E96" s="14" t="str">
        <v>Yes</v>
      </c>
      <c r="F96" s="14" t="str">
        <v>X-3DXMAX-HIPS-TDS-v3</v>
      </c>
      <c r="G96" s="14" t="str">
        <v>Manufacturer TDS</v>
      </c>
      <c r="H96" s="14" t="str">
        <v>cited</v>
      </c>
      <c r="I96" s="14" t="str">
        <v>Retrieved</v>
      </c>
      <c r="J96" s="14" t="str">
        <v>G081-01</v>
      </c>
      <c r="K96" s="14" t="str">
        <v>Document / product page</v>
      </c>
      <c r="L96" s="14" t="str">
        <v>TDS Rev 3.0</v>
      </c>
      <c r="M96" s="16" t="str">
        <v>Not published</v>
      </c>
      <c r="N96" s="16" t="n">
        <v>46275</v>
      </c>
      <c r="O96" s="14" t="str">
        <v>3DXTECH</v>
      </c>
      <c r="P96" s="2" t="str">
        <v>https://cdn.shopify.com/s/files/1/0625/4185/6821/files/3DXMAX_HIPS_TDS_v3.pdf?v=1723942764</v>
      </c>
      <c r="Q96" s="2" t="str">
        <v>ded0380fa2b323605d3df64755d61995c5bf4a15bb5d2180eda8e5c4bfcead70</v>
      </c>
    </row>
    <row r="97" ht="48" customHeight="1">
      <c r="A97" s="13" t="str">
        <v>3DXTECH</v>
      </c>
      <c r="B97" s="13" t="str">
        <v>Filament TDS</v>
      </c>
      <c r="C97" s="13" t="str">
        <v>3DXMAX PCABS</v>
      </c>
      <c r="D97" s="17" t="str">
        <v>Open document</v>
      </c>
      <c r="E97" s="13" t="str">
        <v>Yes</v>
      </c>
      <c r="F97" s="13" t="str">
        <v>X-3DXMAX-PCABS-TDS-v3</v>
      </c>
      <c r="G97" s="13" t="str">
        <v>Manufacturer TDS</v>
      </c>
      <c r="H97" s="13" t="str">
        <v>cited</v>
      </c>
      <c r="I97" s="13" t="str">
        <v>Retrieved</v>
      </c>
      <c r="J97" s="13" t="str">
        <v>G094-01</v>
      </c>
      <c r="K97" s="13" t="str">
        <v>Document / product page</v>
      </c>
      <c r="L97" s="13" t="str">
        <v>TDS Rev 3.0</v>
      </c>
      <c r="M97" s="15" t="str">
        <v>Not published</v>
      </c>
      <c r="N97" s="15" t="n">
        <v>46275</v>
      </c>
      <c r="O97" s="13" t="str">
        <v>3DXTECH</v>
      </c>
      <c r="P97" s="10" t="str">
        <v>https://cdn.shopify.com/s/files/1/0625/4185/6821/files/3DXMAX_PCABS_TDS_v3.pdf?v=1723942764</v>
      </c>
      <c r="Q97" s="10" t="str">
        <v>2f1bbd6de32a6e9a4a24e1ef7c61d0ebfb39c410faf73fe7be2178a0bf39de05</v>
      </c>
    </row>
    <row r="98" ht="48" customHeight="1">
      <c r="A98" s="14" t="str">
        <v>3DXTECH</v>
      </c>
      <c r="B98" s="14" t="str">
        <v>Filament TDS</v>
      </c>
      <c r="C98" s="14" t="str">
        <v>3DXPRO LG PETG</v>
      </c>
      <c r="D98" s="18" t="str">
        <v>Open document</v>
      </c>
      <c r="E98" s="14" t="str">
        <v>Yes</v>
      </c>
      <c r="F98" s="14" t="str">
        <v>X-3DXPRO-LG-PETG-TDS-v3</v>
      </c>
      <c r="G98" s="14" t="str">
        <v>Manufacturer TDS</v>
      </c>
      <c r="H98" s="14" t="str">
        <v>cited</v>
      </c>
      <c r="I98" s="14" t="str">
        <v>Retrieved</v>
      </c>
      <c r="J98" s="14" t="str">
        <v>G020-01</v>
      </c>
      <c r="K98" s="14" t="str">
        <v>Document / product page</v>
      </c>
      <c r="L98" s="14" t="str">
        <v>TDS Rev 3.0</v>
      </c>
      <c r="M98" s="16" t="str">
        <v>Not published</v>
      </c>
      <c r="N98" s="16" t="n">
        <v>46275</v>
      </c>
      <c r="O98" s="14" t="str">
        <v>3DXTECH</v>
      </c>
      <c r="P98" s="2" t="str">
        <v>https://cdn.shopify.com/s/files/1/0625/4185/6821/files/3DXPRO_LG_PETG_TDS_v3.pdf?v=1723942764</v>
      </c>
      <c r="Q98" s="2" t="str">
        <v>90bffa56993d09180589ba4ceb660a8505cdd7956eb8744666309cd1ecd8f853</v>
      </c>
    </row>
    <row r="99" ht="48" customHeight="1">
      <c r="A99" s="13" t="str">
        <v>3DXTECH</v>
      </c>
      <c r="B99" s="13" t="str">
        <v>Filament TDS</v>
      </c>
      <c r="C99" s="13" t="str">
        <v>3DXSTAT ESD ABS</v>
      </c>
      <c r="D99" s="17" t="str">
        <v>Open document</v>
      </c>
      <c r="E99" s="13" t="str">
        <v>Yes</v>
      </c>
      <c r="F99" s="13" t="str">
        <v>X-3DXSTAT-ESD-ABS-TDS-v3</v>
      </c>
      <c r="G99" s="13" t="str">
        <v>Manufacturer TDS</v>
      </c>
      <c r="H99" s="13" t="str">
        <v>cited</v>
      </c>
      <c r="I99" s="13" t="str">
        <v>Retrieved</v>
      </c>
      <c r="J99" s="13" t="str">
        <v>G030-01</v>
      </c>
      <c r="K99" s="13" t="str">
        <v>Document / product page</v>
      </c>
      <c r="L99" s="13" t="str">
        <v>TDS Rev 3.0</v>
      </c>
      <c r="M99" s="15" t="str">
        <v>Not published</v>
      </c>
      <c r="N99" s="15" t="n">
        <v>46275</v>
      </c>
      <c r="O99" s="13" t="str">
        <v>3DXTECH</v>
      </c>
      <c r="P99" s="10" t="str">
        <v>https://cdn.shopify.com/s/files/1/0625/4185/6821/files/3DXSTAT_ESD_ABS_TDS_v3.pdf?v=1723942764</v>
      </c>
      <c r="Q99" s="10" t="str">
        <v>ed66de6ab0824f93507a6c684b1b85a565970c3b76c95f1546c419ff1dbb32f3</v>
      </c>
    </row>
    <row r="100" ht="48" customHeight="1">
      <c r="A100" s="14" t="str">
        <v>3DXTECH</v>
      </c>
      <c r="B100" s="14" t="str">
        <v>Filament TDS</v>
      </c>
      <c r="C100" s="14" t="str">
        <v>3DXSTAT ESD PETG</v>
      </c>
      <c r="D100" s="18" t="str">
        <v>Open document</v>
      </c>
      <c r="E100" s="14" t="str">
        <v>Yes</v>
      </c>
      <c r="F100" s="14" t="str">
        <v>X-3DXSTAT-ESD-PETG-TDS-v03</v>
      </c>
      <c r="G100" s="14" t="str">
        <v>Manufacturer TDS</v>
      </c>
      <c r="H100" s="14" t="str">
        <v>cited</v>
      </c>
      <c r="I100" s="14" t="str">
        <v>Retrieved</v>
      </c>
      <c r="J100" s="14" t="str">
        <v>G026-01</v>
      </c>
      <c r="K100" s="14" t="str">
        <v>Document / product page</v>
      </c>
      <c r="L100" s="14" t="str">
        <v>TDS Rev 3.0</v>
      </c>
      <c r="M100" s="16" t="str">
        <v>Not published</v>
      </c>
      <c r="N100" s="16" t="n">
        <v>46275</v>
      </c>
      <c r="O100" s="14" t="str">
        <v>3DXTECH</v>
      </c>
      <c r="P100" s="2" t="str">
        <v>https://cdn.shopify.com/s/files/1/0625/4185/6821/files/3DXSTAT_ESD-PETG-TDS-v03.pdf?v=1723942764</v>
      </c>
      <c r="Q100" s="2" t="str">
        <v>1400595ae5526bd279645acf88f392b9e2b542a50dea27fb099e4c56b0aad86a</v>
      </c>
    </row>
    <row r="101" ht="48" customHeight="1">
      <c r="A101" s="13" t="str">
        <v>3DXTECH</v>
      </c>
      <c r="B101" s="13" t="str">
        <v>Filament TDS</v>
      </c>
      <c r="C101" s="13" t="str">
        <v>3DXSTAT™ ESD-Safe Nylon 12 (PA12) 3D Filament</v>
      </c>
      <c r="D101" s="17" t="str">
        <v>Open document</v>
      </c>
      <c r="E101" s="13" t="str">
        <v>Yes</v>
      </c>
      <c r="F101" s="13" t="str">
        <v>X-3DXSTAT-ESD-PA12-TDS-v1</v>
      </c>
      <c r="G101" s="13" t="str">
        <v>Manufacturer TDS</v>
      </c>
      <c r="H101" s="13" t="str">
        <v>cited</v>
      </c>
      <c r="I101" s="13" t="str">
        <v>Retrieved</v>
      </c>
      <c r="J101" s="13" t="str">
        <v>G064-01</v>
      </c>
      <c r="K101" s="13" t="str">
        <v>Document / product page</v>
      </c>
      <c r="L101" s="13" t="str">
        <v>Rev 1.0</v>
      </c>
      <c r="M101" s="15" t="str">
        <v>Not published</v>
      </c>
      <c r="N101" s="15" t="n">
        <v>46275</v>
      </c>
      <c r="O101" s="13" t="str">
        <v>3DXTECH</v>
      </c>
      <c r="P101" s="10" t="str">
        <v>https://cdn.shopify.com/s/files/1/0625/4185/6821/files/3DXSTAT_ESD_PA12_TDS_v1.pdf?v=1723942768</v>
      </c>
      <c r="Q101" s="10" t="str">
        <v>1a5a0d4890826119d1df768ca9990db4b83ccbfd1635a65299d4ae6b2cfaff56</v>
      </c>
    </row>
    <row r="102" ht="48" customHeight="1">
      <c r="A102" s="14" t="str">
        <v>3DXTECH</v>
      </c>
      <c r="B102" s="14" t="str">
        <v>Filament TDS</v>
      </c>
      <c r="C102" s="14" t="str">
        <v>AMIDEX Nylon GF30</v>
      </c>
      <c r="D102" s="18" t="str">
        <v>Open document</v>
      </c>
      <c r="E102" s="14" t="str">
        <v>Yes</v>
      </c>
      <c r="F102" s="14" t="str">
        <v>X-AMIDEX-Nylon-GF30-TDS-v1</v>
      </c>
      <c r="G102" s="14" t="str">
        <v>Manufacturer TDS</v>
      </c>
      <c r="H102" s="14" t="str">
        <v>cited</v>
      </c>
      <c r="I102" s="14" t="str">
        <v>Retrieved</v>
      </c>
      <c r="J102" s="14" t="str">
        <v>G051-02 (re-filed 2026-09-13 from G063-01)</v>
      </c>
      <c r="K102" s="14" t="str">
        <v>Document / product page</v>
      </c>
      <c r="L102" s="14" t="str">
        <v>TDS Rev 1.0</v>
      </c>
      <c r="M102" s="16" t="str">
        <v>Not published</v>
      </c>
      <c r="N102" s="16" t="n">
        <v>46275</v>
      </c>
      <c r="O102" s="14" t="str">
        <v>3DXTECH</v>
      </c>
      <c r="P102" s="2" t="str">
        <v>https://cdn.shopify.com/s/files/1/0625/4185/6821/files/AMIDEX_Nylon_GF30_TDS_v1.pdf?v=1723942764</v>
      </c>
      <c r="Q102" s="2" t="str">
        <v>a91cf33f1b3841b7cfdcc41147f72ce9e9040174a10c599b436bdd30ba1bfaba</v>
      </c>
    </row>
    <row r="103" ht="48" customHeight="1">
      <c r="A103" s="13" t="str">
        <v>3DXTECH</v>
      </c>
      <c r="B103" s="13" t="str">
        <v>Filament TDS</v>
      </c>
      <c r="C103" s="13" t="str">
        <v>CarbonX CF ABS</v>
      </c>
      <c r="D103" s="17" t="str">
        <v>Open document</v>
      </c>
      <c r="E103" s="13" t="str">
        <v>Yes</v>
      </c>
      <c r="F103" s="13" t="str">
        <v>X-CarbonX-CF-ABS-TDS-v3</v>
      </c>
      <c r="G103" s="13" t="str">
        <v>Manufacturer TDS</v>
      </c>
      <c r="H103" s="13" t="str">
        <v>cited</v>
      </c>
      <c r="I103" s="13" t="str">
        <v>Retrieved</v>
      </c>
      <c r="J103" s="13" t="str">
        <v>G029-01</v>
      </c>
      <c r="K103" s="13" t="str">
        <v>Document / product page</v>
      </c>
      <c r="L103" s="13" t="str">
        <v>TDS Rev 3.0</v>
      </c>
      <c r="M103" s="15" t="str">
        <v>Not published</v>
      </c>
      <c r="N103" s="15" t="n">
        <v>46275</v>
      </c>
      <c r="O103" s="13" t="str">
        <v>3DXTECH</v>
      </c>
      <c r="P103" s="10" t="str">
        <v>https://cdn.shopify.com/s/files/1/0625/4185/6821/files/CarbonX_CF_ABS_TDS_v3.pdf?v=1723942765</v>
      </c>
      <c r="Q103" s="10" t="str">
        <v>1be4565728cfd6a8b19b57f4c19e764a03575e623f5262e45460f6094e590064</v>
      </c>
    </row>
    <row r="104" ht="48" customHeight="1">
      <c r="A104" s="14" t="str">
        <v>3DXTECH</v>
      </c>
      <c r="B104" s="14" t="str">
        <v>Filament TDS</v>
      </c>
      <c r="C104" s="14" t="str">
        <v>CarbonX CF PC</v>
      </c>
      <c r="D104" s="18" t="str">
        <v>Open document</v>
      </c>
      <c r="E104" s="14" t="str">
        <v>Yes</v>
      </c>
      <c r="F104" s="14" t="str">
        <v>X-CarbonX-CF-PC-TDSv3</v>
      </c>
      <c r="G104" s="14" t="str">
        <v>Manufacturer TDS</v>
      </c>
      <c r="H104" s="14" t="str">
        <v>cited</v>
      </c>
      <c r="I104" s="14" t="str">
        <v>Retrieved</v>
      </c>
      <c r="J104" s="14" t="str">
        <v>G037-01</v>
      </c>
      <c r="K104" s="14" t="str">
        <v>Document / product page</v>
      </c>
      <c r="L104" s="14" t="str">
        <v>TDS Rev 3.0</v>
      </c>
      <c r="M104" s="16" t="str">
        <v>Not published</v>
      </c>
      <c r="N104" s="16" t="n">
        <v>46275</v>
      </c>
      <c r="O104" s="14" t="str">
        <v>3DXTECH</v>
      </c>
      <c r="P104" s="2" t="str">
        <v>https://cdn.shopify.com/s/files/1/0625/4185/6821/files/CarbonX_CF_PC_TDSv3.pdf?v=1723942764</v>
      </c>
      <c r="Q104" s="2" t="str">
        <v>7c382ac00a0cde95a77e55e1a18dc54dadf872fcf9fa151e516dc3e80e139579</v>
      </c>
    </row>
    <row r="105" ht="48" customHeight="1">
      <c r="A105" s="13" t="str">
        <v>3DXTECH</v>
      </c>
      <c r="B105" s="13" t="str">
        <v>Filament TDS</v>
      </c>
      <c r="C105" s="13" t="str">
        <v>CarbonX™ Carbon Fiber Nylon 12 (PA12) 3D Filament</v>
      </c>
      <c r="D105" s="17" t="str">
        <v>Open document</v>
      </c>
      <c r="E105" s="13" t="str">
        <v>Yes</v>
      </c>
      <c r="F105" s="13" t="str">
        <v>X-CarbonX-CF-PA12-TDS-v1</v>
      </c>
      <c r="G105" s="13" t="str">
        <v>Manufacturer TDS</v>
      </c>
      <c r="H105" s="13" t="str">
        <v>cited</v>
      </c>
      <c r="I105" s="13" t="str">
        <v>Retrieved</v>
      </c>
      <c r="J105" s="13" t="str">
        <v>G053-01; G062-01</v>
      </c>
      <c r="K105" s="13" t="str">
        <v>Document / product page</v>
      </c>
      <c r="L105" s="13" t="str">
        <v>Rev 1.0</v>
      </c>
      <c r="M105" s="15" t="str">
        <v>Not published</v>
      </c>
      <c r="N105" s="15" t="n">
        <v>46275</v>
      </c>
      <c r="O105" s="13" t="str">
        <v>3DXTECH</v>
      </c>
      <c r="P105" s="10" t="str">
        <v>https://cdn.shopify.com/s/files/1/0625/4185/6821/files/CarbonX_CF_PA12_TDS_v1.pdf?v=1723942768</v>
      </c>
      <c r="Q105" s="10" t="str">
        <v>4dcfe502bf8f32e1dc2c62c532e9064f00e4d3e3e580659074d42f588abc8994</v>
      </c>
    </row>
    <row r="106" ht="48" customHeight="1">
      <c r="A106" s="14" t="str">
        <v>3DXTECH</v>
      </c>
      <c r="B106" s="14" t="str">
        <v>Filament TDS</v>
      </c>
      <c r="C106" s="14" t="str">
        <v>ECOMAX PLA</v>
      </c>
      <c r="D106" s="18" t="str">
        <v>Open document</v>
      </c>
      <c r="E106" s="14" t="str">
        <v>Yes</v>
      </c>
      <c r="F106" s="14" t="str">
        <v>X-ECOMAX-PLA-TDS-v3</v>
      </c>
      <c r="G106" s="14" t="str">
        <v>Manufacturer TDS</v>
      </c>
      <c r="H106" s="14" t="str">
        <v>cited</v>
      </c>
      <c r="I106" s="14" t="str">
        <v>Retrieved</v>
      </c>
      <c r="J106" s="14" t="str">
        <v>G001-01</v>
      </c>
      <c r="K106" s="14" t="str">
        <v>Document / product page</v>
      </c>
      <c r="L106" s="14" t="str">
        <v>TDS Rev 3.0</v>
      </c>
      <c r="M106" s="16" t="str">
        <v>Not published</v>
      </c>
      <c r="N106" s="16" t="n">
        <v>46275</v>
      </c>
      <c r="O106" s="14" t="str">
        <v>3DXTECH</v>
      </c>
      <c r="P106" s="2" t="str">
        <v>https://cdn.shopify.com/s/files/1/0625/4185/6821/files/ECOMAX_PLA_TDS_v3.pdf?v=1723942765</v>
      </c>
      <c r="Q106" s="2" t="str">
        <v>d1fdff52f1293ebab12bd2e853b187522c4cc37e29f9938df7c0a51ebf5d048a</v>
      </c>
    </row>
    <row r="107" ht="48" customHeight="1">
      <c r="A107" s="13" t="str">
        <v>3DXTECH</v>
      </c>
      <c r="B107" s="13" t="str">
        <v>Filament TDS</v>
      </c>
      <c r="C107" s="13" t="str">
        <v>FLUORX PVDF</v>
      </c>
      <c r="D107" s="17" t="str">
        <v>Open document</v>
      </c>
      <c r="E107" s="13" t="str">
        <v>Yes</v>
      </c>
      <c r="F107" s="13" t="str">
        <v>X-FLUORX-PVDF-TDS-v3</v>
      </c>
      <c r="G107" s="13" t="str">
        <v>Manufacturer TDS</v>
      </c>
      <c r="H107" s="13" t="str">
        <v>cited</v>
      </c>
      <c r="I107" s="13" t="str">
        <v>Retrieved</v>
      </c>
      <c r="J107" s="13" t="str">
        <v>G096-01</v>
      </c>
      <c r="K107" s="13" t="str">
        <v>Document / product page</v>
      </c>
      <c r="L107" s="13" t="str">
        <v>TDS Rev 3.0</v>
      </c>
      <c r="M107" s="15" t="str">
        <v>Not published</v>
      </c>
      <c r="N107" s="15" t="n">
        <v>46275</v>
      </c>
      <c r="O107" s="13" t="str">
        <v>3DXTECH</v>
      </c>
      <c r="P107" s="10" t="str">
        <v>https://cdn.shopify.com/s/files/1/0625/4185/6821/files/FLUORX_PVDF_TDS_v3.pdf?v=1723942766</v>
      </c>
      <c r="Q107" s="10" t="str">
        <v>29ea976bfd57b0ba568d750f3db7a6a26333b202e418635ad8b38f5700866b11</v>
      </c>
    </row>
    <row r="108" ht="48" customHeight="1">
      <c r="A108" s="14" t="str">
        <v>3DXTECH</v>
      </c>
      <c r="B108" s="14" t="str">
        <v>Filament TDS</v>
      </c>
      <c r="C108" s="14" t="str">
        <v>FibreX™ Glass Fiber Reinforced Nylon 12 [PA12+GF30]</v>
      </c>
      <c r="D108" s="18" t="str">
        <v>Open document</v>
      </c>
      <c r="E108" s="14" t="str">
        <v>Yes</v>
      </c>
      <c r="F108" s="14" t="str">
        <v>X-FIBREX-PA12-GF30-TDS-v1-0</v>
      </c>
      <c r="G108" s="14" t="str">
        <v>Manufacturer TDS</v>
      </c>
      <c r="H108" s="14" t="str">
        <v>cited</v>
      </c>
      <c r="I108" s="14" t="str">
        <v>Retrieved</v>
      </c>
      <c r="J108" s="14" t="str">
        <v>G054-01</v>
      </c>
      <c r="K108" s="14" t="str">
        <v>Document / product page</v>
      </c>
      <c r="L108" s="14" t="str">
        <v>Rev 1.0</v>
      </c>
      <c r="M108" s="16" t="str">
        <v>Not published</v>
      </c>
      <c r="N108" s="16" t="n">
        <v>46275</v>
      </c>
      <c r="O108" s="14" t="str">
        <v>3DXTECH</v>
      </c>
      <c r="P108" s="2" t="str">
        <v>https://cdn.shopify.com/s/files/1/0625/4185/6821/files/FIBREX_PA12_GF30_TDS_v1.0.pdf?v=1723942768</v>
      </c>
      <c r="Q108" s="2" t="str">
        <v>fde0d9e90f7f95e8490751f8c678749f90c44e664c8a2fd6411abd3b93890194</v>
      </c>
    </row>
    <row r="109" ht="48" customHeight="1">
      <c r="A109" s="13" t="str">
        <v>3DXTECH</v>
      </c>
      <c r="B109" s="13" t="str">
        <v>Filament TDS</v>
      </c>
      <c r="C109" s="13" t="str">
        <v>THERMAX PEI 1010</v>
      </c>
      <c r="D109" s="17" t="str">
        <v>Open document</v>
      </c>
      <c r="E109" s="13" t="str">
        <v>Yes</v>
      </c>
      <c r="F109" s="13" t="str">
        <v>X-THERMAX-PEI-1010-TDS-v4</v>
      </c>
      <c r="G109" s="13" t="str">
        <v>Manufacturer TDS</v>
      </c>
      <c r="H109" s="13" t="str">
        <v>cited</v>
      </c>
      <c r="I109" s="13" t="str">
        <v>Retrieved</v>
      </c>
      <c r="J109" s="13" t="str">
        <v>G099-01</v>
      </c>
      <c r="K109" s="13" t="str">
        <v>Document / product page</v>
      </c>
      <c r="L109" s="13" t="str">
        <v>TDS Rev 4.0</v>
      </c>
      <c r="M109" s="15" t="str">
        <v>Not published</v>
      </c>
      <c r="N109" s="15" t="n">
        <v>46275</v>
      </c>
      <c r="O109" s="13" t="str">
        <v>3DXTECH</v>
      </c>
      <c r="P109" s="10" t="str">
        <v>https://cdn.shopify.com/s/files/1/0625/4185/6821/files/THERMAX_PEI_1010_TDS_v4.pdf?v=1723942766</v>
      </c>
      <c r="Q109" s="10" t="str">
        <v>00e85941947b6ea3291460085798ba46e538fc73ce5722ad069dddd8d12ea90b</v>
      </c>
    </row>
    <row r="110" ht="48" customHeight="1">
      <c r="A110" s="14" t="str">
        <v>3DXTECH</v>
      </c>
      <c r="B110" s="14" t="str">
        <v>Filament TDS</v>
      </c>
      <c r="C110" s="14" t="str">
        <v>THERMAX PES</v>
      </c>
      <c r="D110" s="18" t="str">
        <v>Open document</v>
      </c>
      <c r="E110" s="14" t="str">
        <v>Yes</v>
      </c>
      <c r="F110" s="14" t="str">
        <v>S-PES-THERMAX-PES-TDS-v1-0</v>
      </c>
      <c r="G110" s="14" t="str">
        <v>Manufacturer TDS</v>
      </c>
      <c r="H110" s="14" t="str">
        <v>cited</v>
      </c>
      <c r="I110" s="14" t="str">
        <v>Retrieved</v>
      </c>
      <c r="J110" s="14" t="str">
        <v>G101-01</v>
      </c>
      <c r="K110" s="14" t="str">
        <v>Document / product page</v>
      </c>
      <c r="L110" s="14" t="str">
        <v>TDS Rev 1.0</v>
      </c>
      <c r="M110" s="16" t="str">
        <v>Not published</v>
      </c>
      <c r="N110" s="16" t="n">
        <v>46275</v>
      </c>
      <c r="O110" s="14" t="str">
        <v>3DXTECH</v>
      </c>
      <c r="P110" s="2" t="str">
        <v>https://cdn.shopify.com/s/files/1/0625/4185/6821/files/THERMAX_PES_TDS_v1.0.pdf?v=1739974182</v>
      </c>
      <c r="Q110" s="2" t="str">
        <v>ffb3c5b57802fa85b91fc78eb99312b2054817f4026e447e73c973d66239980e</v>
      </c>
    </row>
    <row r="111" ht="48" customHeight="1">
      <c r="A111" s="13" t="str">
        <v>3DXTECH</v>
      </c>
      <c r="B111" s="13" t="str">
        <v>Filament TDS</v>
      </c>
      <c r="C111" s="13" t="str">
        <v>THERMAX PPS</v>
      </c>
      <c r="D111" s="17" t="str">
        <v>Open document</v>
      </c>
      <c r="E111" s="13" t="str">
        <v>Yes</v>
      </c>
      <c r="F111" s="13" t="str">
        <v>X-THERMAX-PPS-TDS-v3</v>
      </c>
      <c r="G111" s="13" t="str">
        <v>Manufacturer TDS</v>
      </c>
      <c r="H111" s="13" t="str">
        <v>cited</v>
      </c>
      <c r="I111" s="13" t="str">
        <v>Retrieved</v>
      </c>
      <c r="J111" s="13" t="str">
        <v>G072-01</v>
      </c>
      <c r="K111" s="13" t="str">
        <v>Document / product page</v>
      </c>
      <c r="L111" s="13" t="str">
        <v>TDS Rev 3.0</v>
      </c>
      <c r="M111" s="15" t="str">
        <v>Not published</v>
      </c>
      <c r="N111" s="15" t="n">
        <v>46275</v>
      </c>
      <c r="O111" s="13" t="str">
        <v>3DXTECH</v>
      </c>
      <c r="P111" s="10" t="str">
        <v>https://cdn.shopify.com/s/files/1/0625/4185/6821/files/THERMAX_PPS_TDS_v3.pdf?v=1723942766</v>
      </c>
      <c r="Q111" s="10" t="str">
        <v>becbd47e43bc1eeee0ad62ffd51f579b771a91f4eabf4ac0d3fc1386f12e3491</v>
      </c>
    </row>
    <row r="112" ht="48" customHeight="1">
      <c r="A112" s="14" t="str">
        <v>3DXTECH</v>
      </c>
      <c r="B112" s="14" t="str">
        <v>Filament TDS</v>
      </c>
      <c r="C112" s="14" t="str">
        <v>THERMAX PPSU</v>
      </c>
      <c r="D112" s="18" t="str">
        <v>Open document</v>
      </c>
      <c r="E112" s="14" t="str">
        <v>Yes</v>
      </c>
      <c r="F112" s="14" t="str">
        <v>X-THERMAX-PPSU-TDS-v3</v>
      </c>
      <c r="G112" s="14" t="str">
        <v>Manufacturer TDS</v>
      </c>
      <c r="H112" s="14" t="str">
        <v>cited</v>
      </c>
      <c r="I112" s="14" t="str">
        <v>Retrieved</v>
      </c>
      <c r="J112" s="14" t="str">
        <v>G102-01</v>
      </c>
      <c r="K112" s="14" t="str">
        <v>Document / product page</v>
      </c>
      <c r="L112" s="14" t="str">
        <v>TDS Rev 3.0</v>
      </c>
      <c r="M112" s="16" t="str">
        <v>Not published</v>
      </c>
      <c r="N112" s="16" t="n">
        <v>46275</v>
      </c>
      <c r="O112" s="14" t="str">
        <v>3DXTECH</v>
      </c>
      <c r="P112" s="2" t="str">
        <v>https://cdn.shopify.com/s/files/1/0625/4185/6821/files/THERMAX_PPSU_TDS_v3.pdf?v=1723942766</v>
      </c>
      <c r="Q112" s="2" t="str">
        <v>fe1fb1156f08fc7cd69d97f74d36d9412d2e81a62457809699a001a2ee90951d</v>
      </c>
    </row>
    <row r="113" ht="48" customHeight="1">
      <c r="A113" s="13" t="str">
        <v>3DXTECH</v>
      </c>
      <c r="B113" s="13" t="str">
        <v>Filament TDS</v>
      </c>
      <c r="C113" s="13" t="str">
        <v>THERMAX PSU</v>
      </c>
      <c r="D113" s="17" t="str">
        <v>Open document</v>
      </c>
      <c r="E113" s="13" t="str">
        <v>Yes</v>
      </c>
      <c r="F113" s="13" t="str">
        <v>X-THERMAX-PSU-TDS-v3</v>
      </c>
      <c r="G113" s="13" t="str">
        <v>Manufacturer TDS</v>
      </c>
      <c r="H113" s="13" t="str">
        <v>cited</v>
      </c>
      <c r="I113" s="13" t="str">
        <v>Retrieved</v>
      </c>
      <c r="J113" s="13" t="str">
        <v>G100-01</v>
      </c>
      <c r="K113" s="13" t="str">
        <v>Document / product page</v>
      </c>
      <c r="L113" s="13" t="str">
        <v>TDS Rev 3.0</v>
      </c>
      <c r="M113" s="15" t="str">
        <v>Not published</v>
      </c>
      <c r="N113" s="15" t="n">
        <v>46275</v>
      </c>
      <c r="O113" s="13" t="str">
        <v>3DXTECH</v>
      </c>
      <c r="P113" s="10" t="str">
        <v>https://cdn.shopify.com/s/files/1/0625/4185/6821/files/THERMAX_PSU_TDS_v3.pdf?v=1723942766</v>
      </c>
      <c r="Q113" s="10" t="str">
        <v>606fb193af186280b05aff3d64642a7750d530dc92db523972007a17f7de0913</v>
      </c>
    </row>
    <row r="114" ht="48" customHeight="1">
      <c r="A114" s="14" t="str">
        <v>3DXTECH</v>
      </c>
      <c r="B114" s="14" t="str">
        <v>Filament TDS</v>
      </c>
      <c r="C114" s="14" t="str">
        <v>Technical Data Sheet: AmideX™ PA6 Copolymer 3D Printing Filament</v>
      </c>
      <c r="D114" s="18" t="str">
        <v>Open document</v>
      </c>
      <c r="E114" s="14" t="str">
        <v>Yes</v>
      </c>
      <c r="F114" s="14" t="str">
        <v>X-AMIDEX-PA6-Copolymer-v1-0</v>
      </c>
      <c r="G114" s="14" t="str">
        <v>Manufacturer TDS</v>
      </c>
      <c r="H114" s="14" t="str">
        <v>cited</v>
      </c>
      <c r="I114" s="14" t="str">
        <v>Retrieved</v>
      </c>
      <c r="J114" s="14" t="str">
        <v>G047-02; G057-02; G061-02</v>
      </c>
      <c r="K114" s="14" t="str">
        <v>Document / product page</v>
      </c>
      <c r="L114" s="14" t="str">
        <v>TDS Rev 1.0</v>
      </c>
      <c r="M114" s="16" t="str">
        <v>Not published</v>
      </c>
      <c r="N114" s="16" t="n">
        <v>46275</v>
      </c>
      <c r="O114" s="14" t="str">
        <v>3DXTECH</v>
      </c>
      <c r="P114" s="2" t="str">
        <v>https://cdn.shopify.com/s/files/1/0625/4185/6821/files/AMIDEX_PA6_Copolymer_v1.0.pdf?v=1723942767</v>
      </c>
      <c r="Q114" s="2" t="str">
        <v>6752cf025a50c485ead78dc0f22a87abcc5f19517ac2f7eccba385236035aaf1</v>
      </c>
    </row>
    <row r="115" ht="48" customHeight="1">
      <c r="A115" s="13" t="str">
        <v>3DXTECH</v>
      </c>
      <c r="B115" s="13" t="str">
        <v>Filament TDS</v>
      </c>
      <c r="C115" s="13" t="str">
        <v>Technical Data Sheet: CarbonX™ Carbon Fiber ASA 3D Printing Filament</v>
      </c>
      <c r="D115" s="17" t="str">
        <v>Open document</v>
      </c>
      <c r="E115" s="13" t="str">
        <v>Yes</v>
      </c>
      <c r="F115" s="13" t="str">
        <v>X-CarbonX-CF-ASA-TDS-v1</v>
      </c>
      <c r="G115" s="13" t="str">
        <v>Manufacturer TDS</v>
      </c>
      <c r="H115" s="13" t="str">
        <v>cited</v>
      </c>
      <c r="I115" s="13" t="str">
        <v>Retrieved; owner-supplied copy, byte-identical to the file 3DXTECH serves at this URL</v>
      </c>
      <c r="J115" s="13" t="str">
        <v>G033-02 (3DXTECH CarbonX CF ASA, the second ASA-CF formulation)</v>
      </c>
      <c r="K115" s="13" t="str">
        <v>p. 1 (single page): physical, mechanical, thermal and electrical properties, and the printed-specimen conditions</v>
      </c>
      <c r="L115" s="13" t="str">
        <v>TDS Rev 1.0</v>
      </c>
      <c r="M115" s="15" t="str">
        <v>Not published</v>
      </c>
      <c r="N115" s="15" t="n">
        <v>46282</v>
      </c>
      <c r="O115" s="13" t="str">
        <v>3DXTECH</v>
      </c>
      <c r="P115" s="10" t="str">
        <v>https://cdn.shopify.com/s/files/1/0625/4185/6821/files/CarbonX_CF_ASA_TDS_v1.pdf</v>
      </c>
      <c r="Q115" s="10" t="str">
        <v>4a5b3b4189abb6a2374654531e7d2f8fa9cd82b5f61ae65d582864e58759d3eb</v>
      </c>
    </row>
    <row r="116" ht="48" customHeight="1">
      <c r="A116" s="14" t="str">
        <v>3DXTECH</v>
      </c>
      <c r="B116" s="14" t="str">
        <v>Filament TDS</v>
      </c>
      <c r="C116" s="14" t="str">
        <v>Technical Data Sheet: CarbonX™ PP+CF 3D Printing Filament</v>
      </c>
      <c r="D116" s="18" t="str">
        <v>Open document</v>
      </c>
      <c r="E116" s="14" t="str">
        <v>Yes</v>
      </c>
      <c r="F116" s="14" t="str">
        <v>X-CarbonX-CF-PP-TDSv1</v>
      </c>
      <c r="G116" s="14" t="str">
        <v>Manufacturer TDS</v>
      </c>
      <c r="H116" s="14" t="str">
        <v>cited</v>
      </c>
      <c r="I116" s="14" t="str">
        <v>Retrieved</v>
      </c>
      <c r="J116" s="14" t="str">
        <v>G083-01</v>
      </c>
      <c r="K116" s="14" t="str">
        <v>Document / product page</v>
      </c>
      <c r="L116" s="14" t="str">
        <v>TDS Rev 1.0</v>
      </c>
      <c r="M116" s="16" t="str">
        <v>Not published</v>
      </c>
      <c r="N116" s="16" t="n">
        <v>46275</v>
      </c>
      <c r="O116" s="14" t="str">
        <v>3DXTECH</v>
      </c>
      <c r="P116" s="2" t="str">
        <v>https://cdn.shopify.com/s/files/1/0625/4185/6821/files/CarbonX_CF_PP_TDSv1.pdf?v=1723942768</v>
      </c>
      <c r="Q116" s="2" t="str">
        <v>e182faced13c5fd7fd3814028d752db177b4540fd46b5a5623c4cb141399c5d7</v>
      </c>
    </row>
    <row r="117" ht="48" customHeight="1">
      <c r="A117" s="13" t="str">
        <v>3DXTECH</v>
      </c>
      <c r="B117" s="13" t="str">
        <v>Filament TDS</v>
      </c>
      <c r="C117" s="13" t="str">
        <v>Technical Data Sheet: FibreX™ PP+GF30 3D Printing Filament</v>
      </c>
      <c r="D117" s="17" t="str">
        <v>Open document</v>
      </c>
      <c r="E117" s="13" t="str">
        <v>Yes</v>
      </c>
      <c r="F117" s="13" t="str">
        <v>X-FIBREX-GF-PP-TDS-v1</v>
      </c>
      <c r="G117" s="13" t="str">
        <v>Manufacturer TDS</v>
      </c>
      <c r="H117" s="13" t="str">
        <v>cited</v>
      </c>
      <c r="I117" s="13" t="str">
        <v>Retrieved</v>
      </c>
      <c r="J117" s="13" t="str">
        <v>G084-01</v>
      </c>
      <c r="K117" s="13" t="str">
        <v>Document / product page</v>
      </c>
      <c r="L117" s="13" t="str">
        <v>TDS Rev 1.0</v>
      </c>
      <c r="M117" s="15" t="str">
        <v>Not published</v>
      </c>
      <c r="N117" s="15" t="n">
        <v>46275</v>
      </c>
      <c r="O117" s="13" t="str">
        <v>3DXTECH</v>
      </c>
      <c r="P117" s="10" t="str">
        <v>https://cdn.shopify.com/s/files/1/0625/4185/6821/files/FIBREX_GF_PP_TDS_v1.pdf?v=1723942768</v>
      </c>
      <c r="Q117" s="10" t="str">
        <v>3777abf8d41158ed39d815cf5775dc2a952569a81122672b796ae1c033552af4</v>
      </c>
    </row>
    <row r="118" ht="48" customHeight="1">
      <c r="A118" s="14" t="str">
        <v>3DXTECH</v>
      </c>
      <c r="B118" s="14" t="str">
        <v>Filament TDS</v>
      </c>
      <c r="C118" s="14" t="str">
        <v>Technical Data Sheet: HyperLite™ PP 3D Printing Filament</v>
      </c>
      <c r="D118" s="18" t="str">
        <v>Open document</v>
      </c>
      <c r="E118" s="14" t="str">
        <v>Yes</v>
      </c>
      <c r="F118" s="14" t="str">
        <v>X-Hyperlite-PP-TDS-v1</v>
      </c>
      <c r="G118" s="14" t="str">
        <v>Manufacturer TDS</v>
      </c>
      <c r="H118" s="14" t="str">
        <v>cited</v>
      </c>
      <c r="I118" s="14" t="str">
        <v>Retrieved</v>
      </c>
      <c r="J118" s="14" t="str">
        <v>G103-01; G082-01 until 2026-09-15</v>
      </c>
      <c r="K118" s="14" t="str">
        <v>Document / product page</v>
      </c>
      <c r="L118" s="14" t="str">
        <v>TDS Rev 1.0</v>
      </c>
      <c r="M118" s="16" t="str">
        <v>Not published</v>
      </c>
      <c r="N118" s="16" t="n">
        <v>46279</v>
      </c>
      <c r="O118" s="14" t="str">
        <v>3DXTECH</v>
      </c>
      <c r="P118" s="2" t="str">
        <v>https://cdn.shopify.com/s/files/1/0625/4185/6821/files/Hyperlite_PP_TDS_v1.pdf?v=1723942768</v>
      </c>
      <c r="Q118" s="2" t="str">
        <v>fbf9839fbe6ca6e41e74e9b5da7ead3a15416aa273cae4b3841a5a3c413c7476</v>
      </c>
    </row>
    <row r="119" ht="48" customHeight="1">
      <c r="A119" s="13" t="str">
        <v>3DXTECH</v>
      </c>
      <c r="B119" s="13" t="str">
        <v>Filament TDS</v>
      </c>
      <c r="C119" s="13" t="str">
        <v>Technical Data Sheet: MAX-G™ PCTG 3D Printing Filament</v>
      </c>
      <c r="D119" s="17" t="str">
        <v>Open document</v>
      </c>
      <c r="E119" s="13" t="str">
        <v>Yes</v>
      </c>
      <c r="F119" s="13" t="str">
        <v>X-MAXG-PCTG-TDS-v1-0</v>
      </c>
      <c r="G119" s="13" t="str">
        <v>Manufacturer TDS</v>
      </c>
      <c r="H119" s="13" t="str">
        <v>cited</v>
      </c>
      <c r="I119" s="13" t="str">
        <v>Retrieved</v>
      </c>
      <c r="J119" s="13" t="str">
        <v>G088-01</v>
      </c>
      <c r="K119" s="13" t="str">
        <v>Document / product page</v>
      </c>
      <c r="L119" s="13" t="str">
        <v>TDS Rev 1.0</v>
      </c>
      <c r="M119" s="15" t="str">
        <v>Not published</v>
      </c>
      <c r="N119" s="15" t="n">
        <v>46275</v>
      </c>
      <c r="O119" s="13" t="str">
        <v>3DXTECH</v>
      </c>
      <c r="P119" s="10" t="str">
        <v>https://cdn.shopify.com/s/files/1/0625/4185/6821/files/MAXG_PCTG_TDS_v1.0.pdf?v=1723942769</v>
      </c>
      <c r="Q119" s="10" t="str">
        <v>a695fdbb4f48ad7642cbb02b43a24cd246b7c7e75f7eb4fa22f30244b5bae453</v>
      </c>
    </row>
    <row r="120" ht="48" customHeight="1">
      <c r="A120" s="14" t="str">
        <v>3DXTECH</v>
      </c>
      <c r="B120" s="14" t="str">
        <v>Filament TDS</v>
      </c>
      <c r="C120" s="14" t="str">
        <v>Technical Data Sheet: ThermaX™ PEKK-A 3D Printing Filament</v>
      </c>
      <c r="D120" s="18" t="str">
        <v>Open document</v>
      </c>
      <c r="E120" s="14" t="str">
        <v>Yes</v>
      </c>
      <c r="F120" s="14" t="str">
        <v>X-Thermax-PEKK-A-TDS-v2-1</v>
      </c>
      <c r="G120" s="14" t="str">
        <v>Manufacturer TDS</v>
      </c>
      <c r="H120" s="14" t="str">
        <v>cited</v>
      </c>
      <c r="I120" s="14" t="str">
        <v>Retrieved</v>
      </c>
      <c r="J120" s="14" t="str">
        <v>G098-01</v>
      </c>
      <c r="K120" s="14" t="str">
        <v>Document / product page</v>
      </c>
      <c r="L120" s="14" t="str">
        <v>TDS Rev 2.1</v>
      </c>
      <c r="M120" s="16" t="str">
        <v>Not published</v>
      </c>
      <c r="N120" s="16" t="n">
        <v>46275</v>
      </c>
      <c r="O120" s="14" t="str">
        <v>3DXTECH</v>
      </c>
      <c r="P120" s="2" t="str">
        <v>https://cdn.shopify.com/s/files/1/0625/4185/6821/files/Thermax_PEKK-A_TDS_v2.1.pdf?v=1723942767</v>
      </c>
      <c r="Q120" s="2" t="str">
        <v>32b515322516f39f76760d372b5c8350ee6e13c2c058d88545e4daaac027378a</v>
      </c>
    </row>
    <row r="121" ht="48" customHeight="1">
      <c r="A121" s="13" t="str">
        <v>3DXTECH</v>
      </c>
      <c r="B121" s="13" t="str">
        <v>Filament TDS</v>
      </c>
      <c r="C121" s="13" t="str">
        <v>Technical Data Sheet: ThermaX™ PEKK-C 3D Printing Filament</v>
      </c>
      <c r="D121" s="17" t="str">
        <v>Open document</v>
      </c>
      <c r="E121" s="13" t="str">
        <v>Yes</v>
      </c>
      <c r="F121" s="13" t="str">
        <v>X-Thermax-PEKK-C-TDS-v3-3</v>
      </c>
      <c r="G121" s="13" t="str">
        <v>Manufacturer TDS</v>
      </c>
      <c r="H121" s="13" t="str">
        <v>cited</v>
      </c>
      <c r="I121" s="13" t="str">
        <v>Retrieved</v>
      </c>
      <c r="J121" s="13" t="str">
        <v>G098-02</v>
      </c>
      <c r="K121" s="13" t="str">
        <v>Document / product page</v>
      </c>
      <c r="L121" s="13" t="str">
        <v>TDS Rev 3.1</v>
      </c>
      <c r="M121" s="15" t="str">
        <v>Not published</v>
      </c>
      <c r="N121" s="15" t="n">
        <v>46275</v>
      </c>
      <c r="O121" s="13" t="str">
        <v>3DXTECH</v>
      </c>
      <c r="P121" s="10" t="str">
        <v>https://cdn.shopify.com/s/files/1/0625/4185/6821/files/Thermax_PEKK-C_TDS_v3.3.pdf?v=1723942768</v>
      </c>
      <c r="Q121" s="10" t="str">
        <v>ad0f0fc687720da053c782e5c5cc77dcb6b9549b6a642da3bd47ffd95b7346aa</v>
      </c>
    </row>
    <row r="122" ht="48" customHeight="1">
      <c r="A122" s="14" t="str">
        <v>3DXTECH</v>
      </c>
      <c r="B122" s="14" t="str">
        <v>Filament TDS</v>
      </c>
      <c r="C122" s="14" t="str">
        <v>Themax PEEK</v>
      </c>
      <c r="D122" s="18" t="str">
        <v>Open document</v>
      </c>
      <c r="E122" s="14" t="str">
        <v>Yes</v>
      </c>
      <c r="F122" s="14" t="str">
        <v>X-Themax-PEEK-TDS-v3</v>
      </c>
      <c r="G122" s="14" t="str">
        <v>Manufacturer TDS</v>
      </c>
      <c r="H122" s="14" t="str">
        <v>cited</v>
      </c>
      <c r="I122" s="14" t="str">
        <v>Retrieved</v>
      </c>
      <c r="J122" s="14" t="str">
        <v>G097-01</v>
      </c>
      <c r="K122" s="14" t="str">
        <v>Document / product page</v>
      </c>
      <c r="L122" s="14" t="str">
        <v>TDS Rev 3.0</v>
      </c>
      <c r="M122" s="16" t="str">
        <v>Not published</v>
      </c>
      <c r="N122" s="16" t="n">
        <v>46275</v>
      </c>
      <c r="O122" s="14" t="str">
        <v>3DXTECH</v>
      </c>
      <c r="P122" s="2" t="str">
        <v>https://cdn.shopify.com/s/files/1/0625/4185/6821/files/Themax_PEEK_TDS_v3.pdf?v=1723942765</v>
      </c>
      <c r="Q122" s="2" t="str">
        <v>886d4174157e908efe48506ce2a8a43c82bf51b322a52cb1f41a53c9a18b4d83</v>
      </c>
    </row>
    <row r="123" ht="48" customHeight="1">
      <c r="A123" s="13" t="str">
        <v>3DXTECH</v>
      </c>
      <c r="B123" s="13" t="str">
        <v>SDS</v>
      </c>
      <c r="C123" s="13" t="str">
        <v>Safety Data Sheet: CarbonX™ CF-ASA</v>
      </c>
      <c r="D123" s="17" t="str">
        <v>Open document</v>
      </c>
      <c r="E123" s="13" t="str">
        <v>Yes</v>
      </c>
      <c r="F123" s="13" t="str">
        <v>X-CarbonX-CF-ASA-SDS-v1-1</v>
      </c>
      <c r="G123" s="13" t="str">
        <v>Manufacturer SDS</v>
      </c>
      <c r="H123" s="13" t="str">
        <v>cited</v>
      </c>
      <c r="I123" s="13" t="str">
        <v>Retrieved</v>
      </c>
      <c r="J123" s="13" t="str">
        <v>G033-02 (3DXTECH CarbonX CF ASA)</v>
      </c>
      <c r="K123" s="13" t="str">
        <v>p. 1: identification, hazards and composition; p. 2: fire, handling, storage and exposure controls; p. 3: stability, decomposition, disposal and transport</v>
      </c>
      <c r="L123" s="13" t="str">
        <v>V1.1</v>
      </c>
      <c r="M123" s="15" t="n">
        <v>44774</v>
      </c>
      <c r="N123" s="15" t="n">
        <v>46282</v>
      </c>
      <c r="O123" s="13" t="str">
        <v>3DXTECH</v>
      </c>
      <c r="P123" s="10" t="str">
        <v>https://cdn.shopify.com/s/files/1/0625/4185/6821/files/CarbonX_CF_ASA_SDS_v1.1.pdf</v>
      </c>
      <c r="Q123" s="10" t="str">
        <v>a5806c168de462d5ddbb144d08404422209d940caa256d8bcd3fd0c40839a2ff</v>
      </c>
    </row>
    <row r="124" ht="48" customHeight="1">
      <c r="A124" s="14" t="str">
        <v>3DXTECH</v>
      </c>
      <c r="B124" s="14" t="str">
        <v>Guide / product page</v>
      </c>
      <c r="C124" s="14" t="str">
        <v>3DXMAX PC-ABS Filament</v>
      </c>
      <c r="D124" s="18" t="str">
        <v>Open document</v>
      </c>
      <c r="E124" s="14" t="str">
        <v>Yes</v>
      </c>
      <c r="F124" s="14" t="str">
        <v>XP-3dxmaxa-r-pc-abs</v>
      </c>
      <c r="G124" s="14" t="str">
        <v>Manufacturer product / guide</v>
      </c>
      <c r="H124" s="14" t="str">
        <v>cited</v>
      </c>
      <c r="I124" s="14" t="str">
        <v>Retrieved</v>
      </c>
      <c r="J124" s="14" t="str">
        <v>G094-01</v>
      </c>
      <c r="K124" s="14" t="str">
        <v>Document / product page</v>
      </c>
      <c r="L124" s="14" t="str">
        <v>Not published</v>
      </c>
      <c r="M124" s="16" t="str">
        <v>Not published</v>
      </c>
      <c r="N124" s="16" t="n">
        <v>46281</v>
      </c>
      <c r="O124" s="14" t="str">
        <v>3DXTECH</v>
      </c>
      <c r="P124" s="2" t="str">
        <v>https://www.3dxtech.com/products/3dxmaxa-r-pc-abs</v>
      </c>
      <c r="Q124" s="2" t="str">
        <v>23162ca745d557749395e97fef6fcd81554c493ece6580e220a1e41f73675c91</v>
      </c>
    </row>
    <row r="125" ht="48" customHeight="1">
      <c r="A125" s="13" t="str">
        <v>3DXTECH</v>
      </c>
      <c r="B125" s="13" t="str">
        <v>Guide / product page</v>
      </c>
      <c r="C125" s="13" t="str">
        <v>3DXMAX® HIPS</v>
      </c>
      <c r="D125" s="17" t="str">
        <v>Open document</v>
      </c>
      <c r="E125" s="13" t="str">
        <v>Yes</v>
      </c>
      <c r="F125" s="13" t="str">
        <v>XP-3dxmax-hips</v>
      </c>
      <c r="G125" s="13" t="str">
        <v>Manufacturer product / guide</v>
      </c>
      <c r="H125" s="13" t="str">
        <v>cited</v>
      </c>
      <c r="I125" s="13" t="str">
        <v>Retrieved</v>
      </c>
      <c r="J125" s="13" t="str">
        <v>G081-01</v>
      </c>
      <c r="K125" s="13" t="str">
        <v>Document / product page</v>
      </c>
      <c r="L125" s="13" t="str">
        <v>Not published</v>
      </c>
      <c r="M125" s="15" t="str">
        <v>Not published</v>
      </c>
      <c r="N125" s="15" t="n">
        <v>46281</v>
      </c>
      <c r="O125" s="13" t="str">
        <v>3DXTECH</v>
      </c>
      <c r="P125" s="10" t="str">
        <v>https://www.3dxtech.com/products/3dxmax-hips</v>
      </c>
      <c r="Q125" s="10" t="str">
        <v>2f126775e23471dae7a501dbd6d1ba43a829d8ea6092bc9fb7b65e613ae02316</v>
      </c>
    </row>
    <row r="126" ht="48" customHeight="1">
      <c r="A126" s="14" t="str">
        <v>3DXTECH</v>
      </c>
      <c r="B126" s="14" t="str">
        <v>Guide / product page</v>
      </c>
      <c r="C126" s="14" t="str">
        <v>3DXSTAT™ ESD-ABS</v>
      </c>
      <c r="D126" s="18" t="str">
        <v>Open document</v>
      </c>
      <c r="E126" s="14" t="str">
        <v>Yes</v>
      </c>
      <c r="F126" s="14" t="str">
        <v>XP-3dxstat-esd-abs-1</v>
      </c>
      <c r="G126" s="14" t="str">
        <v>Manufacturer product / guide</v>
      </c>
      <c r="H126" s="14" t="str">
        <v>cited</v>
      </c>
      <c r="I126" s="14" t="str">
        <v>Retrieved</v>
      </c>
      <c r="J126" s="14" t="str">
        <v>G030-01</v>
      </c>
      <c r="K126" s="14" t="str">
        <v>Document / product page</v>
      </c>
      <c r="L126" s="14" t="str">
        <v>Not published</v>
      </c>
      <c r="M126" s="16" t="str">
        <v>Not published</v>
      </c>
      <c r="N126" s="16" t="n">
        <v>46281</v>
      </c>
      <c r="O126" s="14" t="str">
        <v>3DXTECH</v>
      </c>
      <c r="P126" s="2" t="str">
        <v>https://www.3dxtech.com/products/3dxstat-esd-abs-1</v>
      </c>
      <c r="Q126" s="2" t="str">
        <v>e61960fe6d4f97867263dbd9eb11a1fc4b6286ee69eeab73e48ea34eb5dbcd0b</v>
      </c>
    </row>
    <row r="127" ht="48" customHeight="1">
      <c r="A127" s="13" t="str">
        <v>3DXTECH</v>
      </c>
      <c r="B127" s="13" t="str">
        <v>Guide / product page</v>
      </c>
      <c r="C127" s="13" t="str">
        <v>3DXSTAT™ ESD-PETG</v>
      </c>
      <c r="D127" s="17" t="str">
        <v>Open document</v>
      </c>
      <c r="E127" s="13" t="str">
        <v>Yes</v>
      </c>
      <c r="F127" s="13" t="str">
        <v>XP-3dxstat-esd-petg-1</v>
      </c>
      <c r="G127" s="13" t="str">
        <v>Manufacturer product / guide</v>
      </c>
      <c r="H127" s="13" t="str">
        <v>cited</v>
      </c>
      <c r="I127" s="13" t="str">
        <v>Retrieved</v>
      </c>
      <c r="J127" s="13" t="str">
        <v>G026-01</v>
      </c>
      <c r="K127" s="13" t="str">
        <v>Document / product page</v>
      </c>
      <c r="L127" s="13" t="str">
        <v>Not published</v>
      </c>
      <c r="M127" s="15" t="str">
        <v>Not published</v>
      </c>
      <c r="N127" s="15" t="n">
        <v>46281</v>
      </c>
      <c r="O127" s="13" t="str">
        <v>3DXTECH</v>
      </c>
      <c r="P127" s="10" t="str">
        <v>https://www.3dxtech.com/products/3dxstat-esd-petg-1</v>
      </c>
      <c r="Q127" s="10" t="str">
        <v>10b66502cdb1fbc3463b2e6cb5c885a2c7e03c09b51d6aaa7a3fc18ba87ecbf5</v>
      </c>
    </row>
    <row r="128" ht="48" customHeight="1">
      <c r="A128" s="14" t="str">
        <v>3DXTECH</v>
      </c>
      <c r="B128" s="14" t="str">
        <v>Guide / product page</v>
      </c>
      <c r="C128" s="14" t="str">
        <v>AMIDEX™ NYLON 12</v>
      </c>
      <c r="D128" s="18" t="str">
        <v>Open document</v>
      </c>
      <c r="E128" s="14" t="str">
        <v>Yes</v>
      </c>
      <c r="F128" s="14" t="str">
        <v>S-PA12</v>
      </c>
      <c r="G128" s="14" t="str">
        <v>Manufacturer product / guide</v>
      </c>
      <c r="H128" s="14" t="str">
        <v>cited</v>
      </c>
      <c r="I128" s="14" t="str">
        <v>Retrieved</v>
      </c>
      <c r="J128" s="14" t="str">
        <v>G052-01</v>
      </c>
      <c r="K128" s="14" t="str">
        <v>Document / product page</v>
      </c>
      <c r="L128" s="14" t="str">
        <v>Not published</v>
      </c>
      <c r="M128" s="16" t="str">
        <v>Not published</v>
      </c>
      <c r="N128" s="16" t="n">
        <v>46281</v>
      </c>
      <c r="O128" s="14" t="str">
        <v>3DXTECH</v>
      </c>
      <c r="P128" s="2" t="str">
        <v>https://www.3dxtech.com/products/amidex%E2%84%A2-nylon-12</v>
      </c>
      <c r="Q128" s="2" t="str">
        <v>69602b5548f83fcbc2290e79b51a1021adefda667dccb0fbe1d1cbf6165eb064</v>
      </c>
    </row>
    <row r="129" ht="48" customHeight="1">
      <c r="A129" s="13" t="str">
        <v>3DXTECH</v>
      </c>
      <c r="B129" s="13" t="str">
        <v>Guide / product page</v>
      </c>
      <c r="C129" s="13" t="str">
        <v>AmideX Nylon 6-66</v>
      </c>
      <c r="D129" s="17" t="str">
        <v>Open document</v>
      </c>
      <c r="E129" s="13" t="str">
        <v>Yes</v>
      </c>
      <c r="F129" s="13" t="str">
        <v>XP-amidex-nylon-6-67</v>
      </c>
      <c r="G129" s="13" t="str">
        <v>Manufacturer product / guide</v>
      </c>
      <c r="H129" s="13" t="str">
        <v>cited</v>
      </c>
      <c r="I129" s="13" t="str">
        <v>Retrieved</v>
      </c>
      <c r="J129" s="13" t="str">
        <v>G047-02; G057-02; G061-02</v>
      </c>
      <c r="K129" s="13" t="str">
        <v>Document / product page</v>
      </c>
      <c r="L129" s="13" t="str">
        <v>Not published</v>
      </c>
      <c r="M129" s="15" t="str">
        <v>Not published</v>
      </c>
      <c r="N129" s="15" t="n">
        <v>46281</v>
      </c>
      <c r="O129" s="13" t="str">
        <v>3DXTECH</v>
      </c>
      <c r="P129" s="10" t="str">
        <v>https://www.3dxtech.com/products/amidex-nylon-6-67</v>
      </c>
      <c r="Q129" s="10" t="str">
        <v>84ab9bc06d3378d0e1464e3e3b13576bc7ea6dc32104baf21a2be7ae150c9391</v>
      </c>
    </row>
    <row r="130" ht="48" customHeight="1">
      <c r="A130" s="14" t="str">
        <v>3DXTECH</v>
      </c>
      <c r="B130" s="14" t="str">
        <v>Guide / product page</v>
      </c>
      <c r="C130" s="14" t="str">
        <v>CARBONX™ ABS+CF</v>
      </c>
      <c r="D130" s="18" t="str">
        <v>Open document</v>
      </c>
      <c r="E130" s="14" t="str">
        <v>Yes</v>
      </c>
      <c r="F130" s="14" t="str">
        <v>XP-carbonx-abs-cf-1</v>
      </c>
      <c r="G130" s="14" t="str">
        <v>Manufacturer product / guide</v>
      </c>
      <c r="H130" s="14" t="str">
        <v>cited</v>
      </c>
      <c r="I130" s="14" t="str">
        <v>Retrieved</v>
      </c>
      <c r="J130" s="14" t="str">
        <v>G029-01</v>
      </c>
      <c r="K130" s="14" t="str">
        <v>Document / product page</v>
      </c>
      <c r="L130" s="14" t="str">
        <v>Not published</v>
      </c>
      <c r="M130" s="16" t="str">
        <v>Not published</v>
      </c>
      <c r="N130" s="16" t="n">
        <v>46281</v>
      </c>
      <c r="O130" s="14" t="str">
        <v>3DXTECH</v>
      </c>
      <c r="P130" s="2" t="str">
        <v>https://www.3dxtech.com/products/carbonx-abs-cf-1</v>
      </c>
      <c r="Q130" s="2" t="str">
        <v>f8b457f8d9270311692c0927c92b0b69e2cfe56920e543793651808ac92bb475</v>
      </c>
    </row>
    <row r="131" ht="48" customHeight="1">
      <c r="A131" s="13" t="str">
        <v>3DXTECH</v>
      </c>
      <c r="B131" s="13" t="str">
        <v>Guide / product page</v>
      </c>
      <c r="C131" s="13" t="str">
        <v>CARBONX™ NYLON 12+CF</v>
      </c>
      <c r="D131" s="17" t="str">
        <v>Open document</v>
      </c>
      <c r="E131" s="13" t="str">
        <v>Yes</v>
      </c>
      <c r="F131" s="13" t="str">
        <v>XP-carbonx-nylon-12-cf-1</v>
      </c>
      <c r="G131" s="13" t="str">
        <v>Manufacturer product / guide</v>
      </c>
      <c r="H131" s="13" t="str">
        <v>cited</v>
      </c>
      <c r="I131" s="13" t="str">
        <v>Retrieved</v>
      </c>
      <c r="J131" s="13" t="str">
        <v>G053-01; G062-01</v>
      </c>
      <c r="K131" s="13" t="str">
        <v>Document / product page</v>
      </c>
      <c r="L131" s="13" t="str">
        <v>Not published</v>
      </c>
      <c r="M131" s="15" t="str">
        <v>Not published</v>
      </c>
      <c r="N131" s="15" t="n">
        <v>46281</v>
      </c>
      <c r="O131" s="13" t="str">
        <v>3DXTECH</v>
      </c>
      <c r="P131" s="10" t="str">
        <v>https://www.3dxtech.com/products/carbonx-nylon-12-cf-1</v>
      </c>
      <c r="Q131" s="10" t="str">
        <v>3c549529581c8ee387da14d02111765f6855cb6e5f25e117af66e1de711f436a</v>
      </c>
    </row>
    <row r="132" ht="48" customHeight="1">
      <c r="A132" s="14" t="str">
        <v>3DXTECH</v>
      </c>
      <c r="B132" s="14" t="str">
        <v>Guide / product page</v>
      </c>
      <c r="C132" s="14" t="str">
        <v>CARBONX™ PC+CF</v>
      </c>
      <c r="D132" s="18" t="str">
        <v>Open document</v>
      </c>
      <c r="E132" s="14" t="str">
        <v>Yes</v>
      </c>
      <c r="F132" s="14" t="str">
        <v>XP-carbonx-pc-cf-1</v>
      </c>
      <c r="G132" s="14" t="str">
        <v>Manufacturer product / guide</v>
      </c>
      <c r="H132" s="14" t="str">
        <v>cited</v>
      </c>
      <c r="I132" s="14" t="str">
        <v>Retrieved</v>
      </c>
      <c r="J132" s="14" t="str">
        <v>G037-01</v>
      </c>
      <c r="K132" s="14" t="str">
        <v>Document / product page</v>
      </c>
      <c r="L132" s="14" t="str">
        <v>Not published</v>
      </c>
      <c r="M132" s="16" t="str">
        <v>Not published</v>
      </c>
      <c r="N132" s="16" t="n">
        <v>46281</v>
      </c>
      <c r="O132" s="14" t="str">
        <v>3DXTECH</v>
      </c>
      <c r="P132" s="2" t="str">
        <v>https://www.3dxtech.com/products/carbonx-pc-cf-1</v>
      </c>
      <c r="Q132" s="2" t="str">
        <v>a488ecc931717aa82d9c8058275725980b95caafb0af67de2217480e4368b533</v>
      </c>
    </row>
    <row r="133" ht="48" customHeight="1">
      <c r="A133" s="13" t="str">
        <v>3DXTECH</v>
      </c>
      <c r="B133" s="13" t="str">
        <v>Guide / product page</v>
      </c>
      <c r="C133" s="13" t="str">
        <v>CARBONX™ PP+CF</v>
      </c>
      <c r="D133" s="17" t="str">
        <v>Open document</v>
      </c>
      <c r="E133" s="13" t="str">
        <v>Yes</v>
      </c>
      <c r="F133" s="13" t="str">
        <v>XP-carbonx-pp-cf-1</v>
      </c>
      <c r="G133" s="13" t="str">
        <v>Manufacturer product / guide</v>
      </c>
      <c r="H133" s="13" t="str">
        <v>cited</v>
      </c>
      <c r="I133" s="13" t="str">
        <v>Retrieved</v>
      </c>
      <c r="J133" s="13" t="str">
        <v>G083-01</v>
      </c>
      <c r="K133" s="13" t="str">
        <v>Document / product page</v>
      </c>
      <c r="L133" s="13" t="str">
        <v>Not published</v>
      </c>
      <c r="M133" s="15" t="str">
        <v>Not published</v>
      </c>
      <c r="N133" s="15" t="n">
        <v>46281</v>
      </c>
      <c r="O133" s="13" t="str">
        <v>3DXTECH</v>
      </c>
      <c r="P133" s="10" t="str">
        <v>https://www.3dxtech.com/products/carbonx-pp-cf-1</v>
      </c>
      <c r="Q133" s="10" t="str">
        <v>92512529b727d51ca105ab3d662e32592e495fe28496e43aaa74d26b46a3cd2d</v>
      </c>
    </row>
    <row r="134" ht="48" customHeight="1">
      <c r="A134" s="14" t="str">
        <v>3DXTECH</v>
      </c>
      <c r="B134" s="14" t="str">
        <v>Guide / product page</v>
      </c>
      <c r="C134" s="14" t="str">
        <v>ECOMAX® PLA</v>
      </c>
      <c r="D134" s="18" t="str">
        <v>Open document</v>
      </c>
      <c r="E134" s="14" t="str">
        <v>Yes</v>
      </c>
      <c r="F134" s="14" t="str">
        <v>XP-ecomax-r-pla</v>
      </c>
      <c r="G134" s="14" t="str">
        <v>Manufacturer product / guide</v>
      </c>
      <c r="H134" s="14" t="str">
        <v>cited</v>
      </c>
      <c r="I134" s="14" t="str">
        <v>Retrieved</v>
      </c>
      <c r="J134" s="14" t="str">
        <v>G001-01</v>
      </c>
      <c r="K134" s="14" t="str">
        <v>Document / product page</v>
      </c>
      <c r="L134" s="14" t="str">
        <v>Not published</v>
      </c>
      <c r="M134" s="16" t="str">
        <v>Not published</v>
      </c>
      <c r="N134" s="16" t="n">
        <v>46281</v>
      </c>
      <c r="O134" s="14" t="str">
        <v>3DXTECH</v>
      </c>
      <c r="P134" s="2" t="str">
        <v>https://www.3dxtech.com/products/ecomax-r-pla</v>
      </c>
      <c r="Q134" s="2" t="str">
        <v>9b21f17f9b11b4543aafd9198ae955ea3e38a24c0142d2a7c8c413b7392f858f</v>
      </c>
    </row>
    <row r="135" ht="48" customHeight="1">
      <c r="A135" s="13" t="str">
        <v>3DXTECH</v>
      </c>
      <c r="B135" s="13" t="str">
        <v>Guide / product page</v>
      </c>
      <c r="C135" s="13" t="str">
        <v>FIBREX™ NYLON 12+GF30</v>
      </c>
      <c r="D135" s="17" t="str">
        <v>Open document</v>
      </c>
      <c r="E135" s="13" t="str">
        <v>Yes</v>
      </c>
      <c r="F135" s="13" t="str">
        <v>XP-fibrex-nylon-12-gf30-1</v>
      </c>
      <c r="G135" s="13" t="str">
        <v>Manufacturer product / guide</v>
      </c>
      <c r="H135" s="13" t="str">
        <v>cited</v>
      </c>
      <c r="I135" s="13" t="str">
        <v>Retrieved</v>
      </c>
      <c r="J135" s="13" t="str">
        <v>G054-01</v>
      </c>
      <c r="K135" s="13" t="str">
        <v>Document / product page</v>
      </c>
      <c r="L135" s="13" t="str">
        <v>Not published</v>
      </c>
      <c r="M135" s="15" t="str">
        <v>Not published</v>
      </c>
      <c r="N135" s="15" t="n">
        <v>46281</v>
      </c>
      <c r="O135" s="13" t="str">
        <v>3DXTECH</v>
      </c>
      <c r="P135" s="10" t="str">
        <v>https://www.3dxtech.com/products/fibrex-nylon-12-gf30-1</v>
      </c>
      <c r="Q135" s="10" t="str">
        <v>fb5938120ddceb5cfeb1345f7ebde3f477a2195e7f630e751b6d972a517c7a84</v>
      </c>
    </row>
    <row r="136" ht="48" customHeight="1">
      <c r="A136" s="14" t="str">
        <v>3DXTECH</v>
      </c>
      <c r="B136" s="14" t="str">
        <v>Guide / product page</v>
      </c>
      <c r="C136" s="14" t="str">
        <v>FluorX PVDF Filament</v>
      </c>
      <c r="D136" s="18" t="str">
        <v>Open document</v>
      </c>
      <c r="E136" s="14" t="str">
        <v>Yes</v>
      </c>
      <c r="F136" s="14" t="str">
        <v>XP-fluorx-pvdf-1</v>
      </c>
      <c r="G136" s="14" t="str">
        <v>Manufacturer product / guide</v>
      </c>
      <c r="H136" s="14" t="str">
        <v>cited</v>
      </c>
      <c r="I136" s="14" t="str">
        <v>Retrieved</v>
      </c>
      <c r="J136" s="14" t="str">
        <v>G096-01</v>
      </c>
      <c r="K136" s="14" t="str">
        <v>Document / product page</v>
      </c>
      <c r="L136" s="14" t="str">
        <v>Not published</v>
      </c>
      <c r="M136" s="16" t="str">
        <v>Not published</v>
      </c>
      <c r="N136" s="16" t="n">
        <v>46281</v>
      </c>
      <c r="O136" s="14" t="str">
        <v>3DXTECH</v>
      </c>
      <c r="P136" s="2" t="str">
        <v>https://www.3dxtech.com/products/fluorx-pvdf-1</v>
      </c>
      <c r="Q136" s="2" t="str">
        <v>24c99f12f4a2a3ceee09aca914147aa5bde7f2fd4cabd2204d93bec43c1efd2a</v>
      </c>
    </row>
    <row r="137" ht="48" customHeight="1">
      <c r="A137" s="13" t="str">
        <v>3DXTECH</v>
      </c>
      <c r="B137" s="13" t="str">
        <v>Guide / product page</v>
      </c>
      <c r="C137" s="13" t="str">
        <v>MAX-G™ PCTG</v>
      </c>
      <c r="D137" s="17" t="str">
        <v>Open document</v>
      </c>
      <c r="E137" s="13" t="str">
        <v>Yes</v>
      </c>
      <c r="F137" s="13" t="str">
        <v>XP-max-g-pctg-1</v>
      </c>
      <c r="G137" s="13" t="str">
        <v>Manufacturer product / guide</v>
      </c>
      <c r="H137" s="13" t="str">
        <v>cited</v>
      </c>
      <c r="I137" s="13" t="str">
        <v>Retrieved</v>
      </c>
      <c r="J137" s="13" t="str">
        <v>G088-01</v>
      </c>
      <c r="K137" s="13" t="str">
        <v>Document / product page</v>
      </c>
      <c r="L137" s="13" t="str">
        <v>Not published</v>
      </c>
      <c r="M137" s="15" t="str">
        <v>Not published</v>
      </c>
      <c r="N137" s="15" t="n">
        <v>46281</v>
      </c>
      <c r="O137" s="13" t="str">
        <v>3DXTECH</v>
      </c>
      <c r="P137" s="10" t="str">
        <v>https://www.3dxtech.com/products/max-g-pctg-1</v>
      </c>
      <c r="Q137" s="10" t="str">
        <v>54eea34e03c1704d424415775e81268b62a997240c12c07c53a06f2b9ebc1c93</v>
      </c>
    </row>
    <row r="138" ht="48" customHeight="1">
      <c r="A138" s="14" t="str">
        <v>3DXTECH</v>
      </c>
      <c r="B138" s="14" t="str">
        <v>Guide / product page</v>
      </c>
      <c r="C138" s="14" t="str">
        <v>THERMAX™ PEEK</v>
      </c>
      <c r="D138" s="18" t="str">
        <v>Open document</v>
      </c>
      <c r="E138" s="14" t="str">
        <v>Yes</v>
      </c>
      <c r="F138" s="14" t="str">
        <v>XP-thermax-peek-1</v>
      </c>
      <c r="G138" s="14" t="str">
        <v>Manufacturer product / guide</v>
      </c>
      <c r="H138" s="14" t="str">
        <v>cited</v>
      </c>
      <c r="I138" s="14" t="str">
        <v>Retrieved</v>
      </c>
      <c r="J138" s="14" t="str">
        <v>G097-01</v>
      </c>
      <c r="K138" s="14" t="str">
        <v>Document / product page</v>
      </c>
      <c r="L138" s="14" t="str">
        <v>Not published</v>
      </c>
      <c r="M138" s="16" t="str">
        <v>Not published</v>
      </c>
      <c r="N138" s="16" t="n">
        <v>46281</v>
      </c>
      <c r="O138" s="14" t="str">
        <v>3DXTECH</v>
      </c>
      <c r="P138" s="2" t="str">
        <v>https://www.3dxtech.com/products/thermax-peek-1</v>
      </c>
      <c r="Q138" s="2" t="str">
        <v>aae2d4e991dbe1076139a0137ec132fd03ee1c98cd3e2894e9048deed42f0c0c</v>
      </c>
    </row>
    <row r="139" ht="48" customHeight="1">
      <c r="A139" s="13" t="str">
        <v>3DXTECH</v>
      </c>
      <c r="B139" s="13" t="str">
        <v>Guide / product page</v>
      </c>
      <c r="C139" s="13" t="str">
        <v>THERMAX™ PEI 1010</v>
      </c>
      <c r="D139" s="17" t="str">
        <v>Open document</v>
      </c>
      <c r="E139" s="13" t="str">
        <v>Yes</v>
      </c>
      <c r="F139" s="13" t="str">
        <v>XP-thermax-pei-1010</v>
      </c>
      <c r="G139" s="13" t="str">
        <v>Manufacturer product / guide</v>
      </c>
      <c r="H139" s="13" t="str">
        <v>cited</v>
      </c>
      <c r="I139" s="13" t="str">
        <v>Retrieved</v>
      </c>
      <c r="J139" s="13" t="str">
        <v>G099-01</v>
      </c>
      <c r="K139" s="13" t="str">
        <v>Document / product page</v>
      </c>
      <c r="L139" s="13" t="str">
        <v>Not published</v>
      </c>
      <c r="M139" s="15" t="str">
        <v>Not published</v>
      </c>
      <c r="N139" s="15" t="n">
        <v>46281</v>
      </c>
      <c r="O139" s="13" t="str">
        <v>3DXTECH</v>
      </c>
      <c r="P139" s="10" t="str">
        <v>https://www.3dxtech.com/products/thermax-pei-1010</v>
      </c>
      <c r="Q139" s="10" t="str">
        <v>abca56b66176b1df23bbe123ae9eb3521d3a282caed591dffe9c4fc88fe7b945</v>
      </c>
    </row>
    <row r="140" ht="48" customHeight="1">
      <c r="A140" s="14" t="str">
        <v>3DXTECH</v>
      </c>
      <c r="B140" s="14" t="str">
        <v>Guide / product page</v>
      </c>
      <c r="C140" s="14" t="str">
        <v>THERMAX™ PEKK-A</v>
      </c>
      <c r="D140" s="18" t="str">
        <v>Open document</v>
      </c>
      <c r="E140" s="14" t="str">
        <v>Yes</v>
      </c>
      <c r="F140" s="14" t="str">
        <v>XP-pekk-a</v>
      </c>
      <c r="G140" s="14" t="str">
        <v>Manufacturer product / guide</v>
      </c>
      <c r="H140" s="14" t="str">
        <v>cited</v>
      </c>
      <c r="I140" s="14" t="str">
        <v>Retrieved</v>
      </c>
      <c r="J140" s="14" t="str">
        <v>G098-01</v>
      </c>
      <c r="K140" s="14" t="str">
        <v>Document / product page</v>
      </c>
      <c r="L140" s="14" t="str">
        <v>Not published</v>
      </c>
      <c r="M140" s="16" t="str">
        <v>Not published</v>
      </c>
      <c r="N140" s="16" t="n">
        <v>46281</v>
      </c>
      <c r="O140" s="14" t="str">
        <v>3DXTECH</v>
      </c>
      <c r="P140" s="2" t="str">
        <v>https://www.3dxtech.com/products/pekk-a</v>
      </c>
      <c r="Q140" s="2" t="str">
        <v>80b51a7a322ad6f6f9d5f8eb2d51b176b3348768c14dc759150c70058b99107b</v>
      </c>
    </row>
    <row r="141" ht="48" customHeight="1">
      <c r="A141" s="13" t="str">
        <v>3DXTECH</v>
      </c>
      <c r="B141" s="13" t="str">
        <v>Guide / product page</v>
      </c>
      <c r="C141" s="13" t="str">
        <v>THERMAX™ PES</v>
      </c>
      <c r="D141" s="17" t="str">
        <v>Open document</v>
      </c>
      <c r="E141" s="13" t="str">
        <v>Yes</v>
      </c>
      <c r="F141" s="13" t="str">
        <v>S-PES</v>
      </c>
      <c r="G141" s="13" t="str">
        <v>Manufacturer product / guide</v>
      </c>
      <c r="H141" s="13" t="str">
        <v>cited</v>
      </c>
      <c r="I141" s="13" t="str">
        <v>Retrieved</v>
      </c>
      <c r="J141" s="13" t="str">
        <v>G101-01</v>
      </c>
      <c r="K141" s="13" t="str">
        <v>Document / product page</v>
      </c>
      <c r="L141" s="13" t="str">
        <v>Not published</v>
      </c>
      <c r="M141" s="15" t="str">
        <v>Not published</v>
      </c>
      <c r="N141" s="15" t="n">
        <v>46281</v>
      </c>
      <c r="O141" s="13" t="str">
        <v>3DXTECH</v>
      </c>
      <c r="P141" s="10" t="str">
        <v>https://www.3dxtech.com/products/thermax-pes-1</v>
      </c>
      <c r="Q141" s="10" t="str">
        <v>24d203ef2f3ffa6e8c0ccadbac8944605d099a6bb71c6210254d2e79aa905040</v>
      </c>
    </row>
    <row r="142" ht="48" customHeight="1">
      <c r="A142" s="14" t="str">
        <v>3DXTECH</v>
      </c>
      <c r="B142" s="14" t="str">
        <v>Guide / product page</v>
      </c>
      <c r="C142" s="14" t="str">
        <v>THERMAX™ PPS</v>
      </c>
      <c r="D142" s="18" t="str">
        <v>Open document</v>
      </c>
      <c r="E142" s="14" t="str">
        <v>Yes</v>
      </c>
      <c r="F142" s="14" t="str">
        <v>XP-thermax-pps</v>
      </c>
      <c r="G142" s="14" t="str">
        <v>Manufacturer product / guide</v>
      </c>
      <c r="H142" s="14" t="str">
        <v>cited</v>
      </c>
      <c r="I142" s="14" t="str">
        <v>Retrieved</v>
      </c>
      <c r="J142" s="14" t="str">
        <v>G072-01</v>
      </c>
      <c r="K142" s="14" t="str">
        <v>Document / product page</v>
      </c>
      <c r="L142" s="14" t="str">
        <v>Not published</v>
      </c>
      <c r="M142" s="16" t="str">
        <v>Not published</v>
      </c>
      <c r="N142" s="16" t="n">
        <v>46281</v>
      </c>
      <c r="O142" s="14" t="str">
        <v>3DXTECH</v>
      </c>
      <c r="P142" s="2" t="str">
        <v>https://www.3dxtech.com/products/thermax-pps</v>
      </c>
      <c r="Q142" s="2" t="str">
        <v>17a34615ac529b6c9fba884368958fd04c6ab2c108350f431c780b3beedadb81</v>
      </c>
    </row>
    <row r="143" ht="48" customHeight="1">
      <c r="A143" s="13" t="str">
        <v>3DXTECH</v>
      </c>
      <c r="B143" s="13" t="str">
        <v>Guide / product page</v>
      </c>
      <c r="C143" s="13" t="str">
        <v>THERMAX™ PPSU</v>
      </c>
      <c r="D143" s="17" t="str">
        <v>Open document</v>
      </c>
      <c r="E143" s="13" t="str">
        <v>Yes</v>
      </c>
      <c r="F143" s="13" t="str">
        <v>XP-thermax-ppsu-1</v>
      </c>
      <c r="G143" s="13" t="str">
        <v>Manufacturer product / guide</v>
      </c>
      <c r="H143" s="13" t="str">
        <v>cited</v>
      </c>
      <c r="I143" s="13" t="str">
        <v>Retrieved</v>
      </c>
      <c r="J143" s="13" t="str">
        <v>G102-01</v>
      </c>
      <c r="K143" s="13" t="str">
        <v>Document / product page</v>
      </c>
      <c r="L143" s="13" t="str">
        <v>Not published</v>
      </c>
      <c r="M143" s="15" t="str">
        <v>Not published</v>
      </c>
      <c r="N143" s="15" t="n">
        <v>46281</v>
      </c>
      <c r="O143" s="13" t="str">
        <v>3DXTECH</v>
      </c>
      <c r="P143" s="10" t="str">
        <v>https://www.3dxtech.com/products/thermax-ppsu-1</v>
      </c>
      <c r="Q143" s="10" t="str">
        <v>75fc3ced8d1fbb556011c8a902e03aac265dc5aac6efb00d0f1383fe9513ab8c</v>
      </c>
    </row>
    <row r="144" ht="48" customHeight="1">
      <c r="A144" s="14" t="str">
        <v>3DXTECH</v>
      </c>
      <c r="B144" s="14" t="str">
        <v>Guide / product page</v>
      </c>
      <c r="C144" s="14" t="str">
        <v>THERMAX™ PSU</v>
      </c>
      <c r="D144" s="18" t="str">
        <v>Open document</v>
      </c>
      <c r="E144" s="14" t="str">
        <v>Yes</v>
      </c>
      <c r="F144" s="14" t="str">
        <v>XP-thermax-psu-1</v>
      </c>
      <c r="G144" s="14" t="str">
        <v>Manufacturer product / guide</v>
      </c>
      <c r="H144" s="14" t="str">
        <v>cited</v>
      </c>
      <c r="I144" s="14" t="str">
        <v>Retrieved</v>
      </c>
      <c r="J144" s="14" t="str">
        <v>G100-01</v>
      </c>
      <c r="K144" s="14" t="str">
        <v>Document / product page</v>
      </c>
      <c r="L144" s="14" t="str">
        <v>Not published</v>
      </c>
      <c r="M144" s="16" t="str">
        <v>Not published</v>
      </c>
      <c r="N144" s="16" t="n">
        <v>46281</v>
      </c>
      <c r="O144" s="14" t="str">
        <v>3DXTECH</v>
      </c>
      <c r="P144" s="2" t="str">
        <v>https://www.3dxtech.com/products/thermax-psu-1</v>
      </c>
      <c r="Q144" s="2" t="str">
        <v>8b594b19c99e2e53ae4bad957de4b489638c307279725bd4546fae628280b166</v>
      </c>
    </row>
    <row r="145" ht="50" customHeight="1">
      <c r="A145" s="13" t="str">
        <v>Polymaker / Fiberon</v>
      </c>
      <c r="B145" s="13" t="str">
        <v>Filament TDS</v>
      </c>
      <c r="C145" s="13" t="str">
        <v>Fiberon PET-CF17 Technical Data Sheet</v>
      </c>
      <c r="D145" s="17" t="str">
        <v>Open document</v>
      </c>
      <c r="E145" s="13" t="str">
        <v>Yes</v>
      </c>
      <c r="F145" s="13" t="str">
        <v>R-FIBERON-PETCF17-TDS</v>
      </c>
      <c r="G145" s="13" t="str">
        <v>Manufacturer TDS</v>
      </c>
      <c r="H145" s="13" t="str">
        <v>cited</v>
      </c>
      <c r="I145" s="13" t="str">
        <v>Retrieved; owner-supplied copy hash-matched to the 2026-09-15 reading</v>
      </c>
      <c r="J145" s="13" t="str">
        <v>G067-02 (Fiberon PET-CF17, the second PET-CF formulation)</v>
      </c>
      <c r="K145" s="13" t="str">
        <v>p. 1 (single page): physical, thermal and mechanical properties, the moisture-absorption and HDT curves, the shrinkage test, the recommended printing conditions, the annealing note and how to make specimens</v>
      </c>
      <c r="L145" s="13" t="str">
        <v>V1.0</v>
      </c>
      <c r="M145" s="15" t="str">
        <v>Not published</v>
      </c>
      <c r="N145" s="15" t="n">
        <v>46282</v>
      </c>
      <c r="O145" s="13" t="str">
        <v>Polymaker (Fiberon)</v>
      </c>
      <c r="P145" s="10" t="str">
        <v>https://polymaker.com/wp-content/uploads/lana-downloads/TDS_FIBERON-PET-CF17_V1.0_EN.pdf</v>
      </c>
      <c r="Q145" s="10" t="str">
        <v>640a5ed487a8475805af3ecf387e942805182e263fdef5ebe0e5587a3e60a254</v>
      </c>
    </row>
    <row r="146" ht="48" customHeight="1">
      <c r="A146" s="14" t="str">
        <v>Polymaker / Fiberon</v>
      </c>
      <c r="B146" s="14" t="str">
        <v>Filament TDS</v>
      </c>
      <c r="C146" s="14" t="str">
        <v>Fiberon PET-GF15 Technical Data Sheet</v>
      </c>
      <c r="D146" s="18" t="str">
        <v>Open document</v>
      </c>
      <c r="E146" s="14" t="str">
        <v>Yes</v>
      </c>
      <c r="F146" s="14" t="str">
        <v>R-FIBERON-PETGF15-TDS</v>
      </c>
      <c r="G146" s="14" t="str">
        <v>Manufacturer TDS</v>
      </c>
      <c r="H146" s="14" t="str">
        <v>cited</v>
      </c>
      <c r="I146" s="14" t="str">
        <v>Retrieved</v>
      </c>
      <c r="J146" s="14" t="str">
        <v>M068 / G068-02</v>
      </c>
      <c r="K146" s="14" t="str">
        <v>Physical, thermal and mechanical properties; recommended printing conditions; how to make specimens</v>
      </c>
      <c r="L146" s="14" t="str">
        <v>V1.0</v>
      </c>
      <c r="M146" s="16" t="str">
        <v>Not published</v>
      </c>
      <c r="N146" s="16" t="n">
        <v>46278</v>
      </c>
      <c r="O146" s="14" t="str">
        <v>Polymaker (Fiberon)</v>
      </c>
      <c r="P146" s="2" t="str">
        <v>https://fiberon.polymaker.com/wp-content/uploads/TDS_FIBERON-PET-GF15_V1.0_EN.pdf</v>
      </c>
      <c r="Q146" s="2" t="str">
        <v>cdb81cbccd54e790038caf17353bd91172713cb7d35f7d8e16f919124923b37b</v>
      </c>
    </row>
    <row r="147" ht="50" customHeight="1">
      <c r="A147" s="13" t="str">
        <v>Polymaker / Fiberon</v>
      </c>
      <c r="B147" s="13" t="str">
        <v>Filament TDS</v>
      </c>
      <c r="C147" s="13" t="str">
        <v>Fiberon PETG-rCF08 Technical Data Sheet</v>
      </c>
      <c r="D147" s="17" t="str">
        <v>Open document</v>
      </c>
      <c r="E147" s="13" t="str">
        <v>Yes</v>
      </c>
      <c r="F147" s="13" t="str">
        <v>R-FIBERON-PETGRCF08-TDS</v>
      </c>
      <c r="G147" s="13" t="str">
        <v>Manufacturer TDS</v>
      </c>
      <c r="H147" s="13" t="str">
        <v>cited</v>
      </c>
      <c r="I147" s="13" t="str">
        <v>Retrieved; owner-supplied copy hash-matched to the 2026-09-15 reading</v>
      </c>
      <c r="J147" s="13" t="str">
        <v>G024-02 (Fiberon PETG-rCF08, the second PETG-CF formulation)</v>
      </c>
      <c r="K147" s="13" t="str">
        <v>p. 1 (single page): physical, thermal and mechanical properties, the moisture-absorption and HDT curves, the recommended printing conditions, the nozzle-wear and moisture notes and how to make specimens</v>
      </c>
      <c r="L147" s="13" t="str">
        <v>V1.0</v>
      </c>
      <c r="M147" s="15" t="str">
        <v>Not published</v>
      </c>
      <c r="N147" s="15" t="n">
        <v>46282</v>
      </c>
      <c r="O147" s="13" t="str">
        <v>Polymaker (Fiberon)</v>
      </c>
      <c r="P147" s="10" t="str">
        <v>https://polymaker.com/wp-content/uploads/lana-downloads/TDS_FIBERON-PETG-rCF08_V1.0_EN.pdf</v>
      </c>
      <c r="Q147" s="10" t="str">
        <v>390680407162c21163e2a8d3ef1088ef2bfe86cf035a0b7041b8a7f45a94ce3e</v>
      </c>
    </row>
    <row r="148" ht="48" customHeight="1">
      <c r="A148" s="14" t="str">
        <v>Polymaker / Fiberon</v>
      </c>
      <c r="B148" s="14" t="str">
        <v>Filament TDS</v>
      </c>
      <c r="C148" s="14" t="str">
        <v>Fiberon™ PA612-CF15 Technical Data Sheet</v>
      </c>
      <c r="D148" s="18" t="str">
        <v>Open document</v>
      </c>
      <c r="E148" s="14" t="str">
        <v>Yes</v>
      </c>
      <c r="F148" s="14" t="str">
        <v>S-FIBER-PA612</v>
      </c>
      <c r="G148" s="14" t="str">
        <v>Manufacturer TDS</v>
      </c>
      <c r="H148" s="14" t="str">
        <v>cited</v>
      </c>
      <c r="I148" s="14" t="str">
        <v>Retrieved</v>
      </c>
      <c r="J148" s="14" t="str">
        <v>G059-01; G062-02</v>
      </c>
      <c r="K148" s="14" t="str">
        <v>Document / product page</v>
      </c>
      <c r="L148" s="14" t="str">
        <v>V1.1</v>
      </c>
      <c r="M148" s="16" t="str">
        <v>Not published</v>
      </c>
      <c r="N148" s="16" t="n">
        <v>46275</v>
      </c>
      <c r="O148" s="14" t="str">
        <v>Polymaker</v>
      </c>
      <c r="P148" s="2" t="str">
        <v>https://fiberon.polymaker.com/wp-content/uploads/TDS_FIBERON-PA612-CF15_V1.1_EN.pdf</v>
      </c>
      <c r="Q148" s="2" t="str">
        <v>11c25587baddff2d5fada59a14c9e65944da102a1e3ab8f1522815324b74937f</v>
      </c>
    </row>
    <row r="149" ht="48" customHeight="1">
      <c r="A149" s="13" t="str">
        <v>Polymaker / Fiberon</v>
      </c>
      <c r="B149" s="13" t="str">
        <v>Filament TDS</v>
      </c>
      <c r="C149" s="13" t="str">
        <v>Fiberon™ PA612-ESD Technical Data Sheet</v>
      </c>
      <c r="D149" s="17" t="str">
        <v>Open document</v>
      </c>
      <c r="E149" s="13" t="str">
        <v>Yes</v>
      </c>
      <c r="F149" s="13" t="str">
        <v>S-POLYCN-TDS-FIBERON-PA612-ESD-V1-0-EN-1</v>
      </c>
      <c r="G149" s="13" t="str">
        <v>Manufacturer TDS</v>
      </c>
      <c r="H149" s="13" t="str">
        <v>cited</v>
      </c>
      <c r="I149" s="13" t="str">
        <v>Retrieved</v>
      </c>
      <c r="J149" s="13" t="str">
        <v>G064-02; G065-01</v>
      </c>
      <c r="K149" s="13" t="str">
        <v>Document / product page</v>
      </c>
      <c r="L149" s="13" t="str">
        <v>V1.0</v>
      </c>
      <c r="M149" s="15" t="str">
        <v>Not published</v>
      </c>
      <c r="N149" s="15" t="n">
        <v>46275</v>
      </c>
      <c r="O149" s="13" t="str">
        <v>Polymaker</v>
      </c>
      <c r="P149" s="10" t="str">
        <v>https://cdn.polymaker.com.cn/wp-content/uploads/lana-downloads/TDS_FIBERON-PA612-ESD_V1.0_EN-1.pdf</v>
      </c>
      <c r="Q149" s="10" t="str">
        <v>02023877e005d9edb5190175dc0dc44d3567b53cd893daea36097f4c0c729a7f</v>
      </c>
    </row>
    <row r="150" ht="48" customHeight="1">
      <c r="A150" s="14" t="str">
        <v>Polymaker / Fiberon</v>
      </c>
      <c r="B150" s="14" t="str">
        <v>Filament TDS</v>
      </c>
      <c r="C150" s="14" t="str">
        <v>Fiberon™ PPS-GF20 Technical Data Sheet</v>
      </c>
      <c r="D150" s="18" t="str">
        <v>Open document</v>
      </c>
      <c r="E150" s="14" t="str">
        <v>Yes</v>
      </c>
      <c r="F150" s="14" t="str">
        <v>S-FIBER-PPSGF-TDS-2</v>
      </c>
      <c r="G150" s="14" t="str">
        <v>Manufacturer TDS</v>
      </c>
      <c r="H150" s="14" t="str">
        <v>cited</v>
      </c>
      <c r="I150" s="14" t="str">
        <v>Retrieved</v>
      </c>
      <c r="J150" s="14" t="str">
        <v>G074-02</v>
      </c>
      <c r="K150" s="14" t="str">
        <v>Document / product page</v>
      </c>
      <c r="L150" s="14" t="str">
        <v>V1.1</v>
      </c>
      <c r="M150" s="16" t="str">
        <v>Not published</v>
      </c>
      <c r="N150" s="16" t="n">
        <v>46275</v>
      </c>
      <c r="O150" s="14" t="str">
        <v>Polymaker</v>
      </c>
      <c r="P150" s="2" t="str">
        <v>https://cdn.shopify.com/s/files/1/0548/7299/7945/files/TDS_FIBERON_PPS-GF20_V1.1.pdf?v=1752777698</v>
      </c>
      <c r="Q150" s="2" t="str">
        <v>2a2f32e737ecae8509160bcadd33ab263c26cd8e7d6334f38e935890136b0c66</v>
      </c>
    </row>
    <row r="151" ht="48" customHeight="1">
      <c r="A151" s="13" t="str">
        <v>Polymaker / Fiberon</v>
      </c>
      <c r="B151" s="13" t="str">
        <v>Filament TDS</v>
      </c>
      <c r="C151" s="13" t="str">
        <v>HT-PLA-GF | Polymaker Wiki (technical data sheet page)</v>
      </c>
      <c r="D151" s="17" t="str">
        <v>Open document</v>
      </c>
      <c r="E151" s="13" t="str">
        <v>Yes</v>
      </c>
      <c r="F151" s="13" t="str">
        <v>R-POLYMAKER-WIKI-HTPLAGF</v>
      </c>
      <c r="G151" s="13" t="str">
        <v>Manufacturer TDS (web)</v>
      </c>
      <c r="H151" s="13" t="str">
        <v>corroboration</v>
      </c>
      <c r="I151" s="13" t="str">
        <v>Retrieved</v>
      </c>
      <c r="J151" s="13" t="str">
        <v>M019 / G019-01</v>
      </c>
      <c r="K151" s="13" t="str">
        <v>Notched Charpy impact strength, as-printed and annealed</v>
      </c>
      <c r="L151" s="13" t="str">
        <v>Not published</v>
      </c>
      <c r="M151" s="15" t="str">
        <v>Not published</v>
      </c>
      <c r="N151" s="15" t="n">
        <v>46276</v>
      </c>
      <c r="O151" s="13" t="str">
        <v>Polymaker</v>
      </c>
      <c r="P151" s="10" t="str">
        <v>https://wiki.polymaker.com/polymaker-products/more-about-our-products/documents/technical-data-sheets/pla/ht-pla-gf</v>
      </c>
      <c r="Q151" s="10" t="str">
        <v>Not recorded</v>
      </c>
    </row>
    <row r="152" ht="48" customHeight="1">
      <c r="A152" s="14" t="str">
        <v>Polymaker / Fiberon</v>
      </c>
      <c r="B152" s="14" t="str">
        <v>Filament TDS</v>
      </c>
      <c r="C152" s="14" t="str">
        <v>Panchroma CoPE Technical Data Sheet</v>
      </c>
      <c r="D152" s="18" t="str">
        <v>Open document</v>
      </c>
      <c r="E152" s="14" t="str">
        <v>No</v>
      </c>
      <c r="F152" s="14" t="str">
        <v>R-POLYMAKER-COPE-TDS-V5-4</v>
      </c>
      <c r="G152" s="14" t="str">
        <v>Manufacturer TDS</v>
      </c>
      <c r="H152" s="14" t="str">
        <v>not-retrieved</v>
      </c>
      <c r="I152" s="14" t="str">
        <v>Not retrieved: HTTP 404 on 2026-09-13. Nothing from this source was entered</v>
      </c>
      <c r="J152" s="14" t="str">
        <v>M091 / G091-02</v>
      </c>
      <c r="K152" s="14" t="str">
        <v>Cited by the 2026-09-13 research for density 1.296 g/cm³ and elongation 10.5 ± 3.8%</v>
      </c>
      <c r="L152" s="14" t="str">
        <v>V5.4</v>
      </c>
      <c r="M152" s="16" t="str">
        <v>Not published</v>
      </c>
      <c r="N152" s="16" t="n">
        <v>46278</v>
      </c>
      <c r="O152" s="14" t="str">
        <v>Polymaker</v>
      </c>
      <c r="P152" s="2" t="str">
        <v>https://polymaker.com/wp-content/uploads/lana-downloads/Panchroma-CoPE_TDS_EN_V5.4.pdf</v>
      </c>
      <c r="Q152" s="2" t="str">
        <v>Not recorded</v>
      </c>
    </row>
    <row r="153" ht="48" customHeight="1">
      <c r="A153" s="13" t="str">
        <v>Polymaker / Fiberon</v>
      </c>
      <c r="B153" s="13" t="str">
        <v>Filament TDS</v>
      </c>
      <c r="C153" s="13" t="str">
        <v>Panchroma Product Data Sheet</v>
      </c>
      <c r="D153" s="17" t="str">
        <v>Open document</v>
      </c>
      <c r="E153" s="13" t="str">
        <v>Yes</v>
      </c>
      <c r="F153" s="13" t="str">
        <v>R-POLYMAKER-PANCHROMA-TDS-V2-1</v>
      </c>
      <c r="G153" s="13" t="str">
        <v>Manufacturer TDS</v>
      </c>
      <c r="H153" s="13" t="str">
        <v>cited</v>
      </c>
      <c r="I153" s="13" t="str">
        <v>Retrieved</v>
      </c>
      <c r="J153" s="13" t="str">
        <v>M008 / G008-01; M091 / G091-02</v>
      </c>
      <c r="K153" s="13" t="str">
        <v>Data table; How to make specimens</v>
      </c>
      <c r="L153" s="13" t="str">
        <v>V2.1</v>
      </c>
      <c r="M153" s="15" t="str">
        <v>Not published</v>
      </c>
      <c r="N153" s="15" t="n">
        <v>46278</v>
      </c>
      <c r="O153" s="13" t="str">
        <v>Polymaker</v>
      </c>
      <c r="P153" s="10" t="str">
        <v>https://polymaker.com/wp-content/uploads/Panchroma_TDS_V2.1.pdf</v>
      </c>
      <c r="Q153" s="10" t="str">
        <v>12015f8e82a3420ed806e90c8c730645accda3fcc37f6b51f907e0574ff3c895</v>
      </c>
    </row>
    <row r="154" ht="48" customHeight="1">
      <c r="A154" s="14" t="str">
        <v>Polymaker / Fiberon</v>
      </c>
      <c r="B154" s="14" t="str">
        <v>Filament TDS</v>
      </c>
      <c r="C154" s="14" t="str">
        <v>PolyFlex TPU90</v>
      </c>
      <c r="D154" s="18" t="str">
        <v>Open document</v>
      </c>
      <c r="E154" s="14" t="str">
        <v>Yes</v>
      </c>
      <c r="F154" s="14" t="str">
        <v>S-POLYCN-PolyFlex-TPU90-TDS-V5-1</v>
      </c>
      <c r="G154" s="14" t="str">
        <v>Manufacturer TDS</v>
      </c>
      <c r="H154" s="14" t="str">
        <v>cited</v>
      </c>
      <c r="I154" s="14" t="str">
        <v>Retrieved</v>
      </c>
      <c r="J154" s="14" t="str">
        <v>G039-03 (re-filed 2026-09-13 from G044-02)</v>
      </c>
      <c r="K154" s="14" t="str">
        <v>Document / product page</v>
      </c>
      <c r="L154" s="14" t="str">
        <v>Not published</v>
      </c>
      <c r="M154" s="16" t="str">
        <v>Not published</v>
      </c>
      <c r="N154" s="16" t="n">
        <v>46275</v>
      </c>
      <c r="O154" s="14" t="str">
        <v>Polymaker</v>
      </c>
      <c r="P154" s="2" t="str">
        <v>https://cdn.polymaker.com.cn/wp-content/uploads/lana-downloads/PolyFlex_TPU90_TDS_V5.1.pdf</v>
      </c>
      <c r="Q154" s="2" t="str">
        <v>b646650211110f3466d7f40f2ea69f2f066495f4be8bcdb7b2cf2f92489bbde8</v>
      </c>
    </row>
    <row r="155" ht="48" customHeight="1">
      <c r="A155" s="13" t="str">
        <v>Polymaker / Fiberon</v>
      </c>
      <c r="B155" s="13" t="str">
        <v>Filament TDS</v>
      </c>
      <c r="C155" s="13" t="str">
        <v>PolyFlex TPU95</v>
      </c>
      <c r="D155" s="17" t="str">
        <v>Open document</v>
      </c>
      <c r="E155" s="13" t="str">
        <v>Yes</v>
      </c>
      <c r="F155" s="13" t="str">
        <v>S-POLYCN-PolyFlex-TPU95-TDS-V5-1</v>
      </c>
      <c r="G155" s="13" t="str">
        <v>Manufacturer TDS</v>
      </c>
      <c r="H155" s="13" t="str">
        <v>cited</v>
      </c>
      <c r="I155" s="13" t="str">
        <v>Retrieved</v>
      </c>
      <c r="J155" s="13" t="str">
        <v>G039-01</v>
      </c>
      <c r="K155" s="13" t="str">
        <v>Document / product page</v>
      </c>
      <c r="L155" s="13" t="str">
        <v>Not published</v>
      </c>
      <c r="M155" s="15" t="str">
        <v>Not published</v>
      </c>
      <c r="N155" s="15" t="n">
        <v>46275</v>
      </c>
      <c r="O155" s="13" t="str">
        <v>Polymaker</v>
      </c>
      <c r="P155" s="10" t="str">
        <v>https://cdn.polymaker.com.cn/wp-content/uploads/lana-downloads/PolyFlex_TPU95_TDS_V5.1.pdf</v>
      </c>
      <c r="Q155" s="10" t="str">
        <v>085b92653b50d7f808fa7a162edd5aa721581c4bff6e942b316c734057450713</v>
      </c>
    </row>
    <row r="156" ht="48" customHeight="1">
      <c r="A156" s="14" t="str">
        <v>Polymaker / Fiberon</v>
      </c>
      <c r="B156" s="14" t="str">
        <v>Filament TDS</v>
      </c>
      <c r="C156" s="14" t="str">
        <v>PolyLite ABS Technical Data Sheet</v>
      </c>
      <c r="D156" s="18" t="str">
        <v>Open document</v>
      </c>
      <c r="E156" s="14" t="str">
        <v>Yes</v>
      </c>
      <c r="F156" s="14" t="str">
        <v>S-POLYCN-PolyLite-ABS-TDS-V5-3</v>
      </c>
      <c r="G156" s="14" t="str">
        <v>Manufacturer TDS</v>
      </c>
      <c r="H156" s="14" t="str">
        <v>cited</v>
      </c>
      <c r="I156" s="14" t="str">
        <v>Retrieved; owner-supplied copy hash-matched to the 2026-09-15 reading</v>
      </c>
      <c r="J156" s="14" t="str">
        <v>G027-02 (Polymaker PolyLite ABS, the second ABS formulation)</v>
      </c>
      <c r="K156" s="14" t="str">
        <v>p. 2: physical properties and chemical resistance; p. 3: thermal properties; p. 4: mechanical properties (X-Y and Z) and the printing guide; p. 5: how to make specimens</v>
      </c>
      <c r="L156" s="14" t="str">
        <v>V5.3</v>
      </c>
      <c r="M156" s="16" t="str">
        <v>Not published</v>
      </c>
      <c r="N156" s="16" t="n">
        <v>46282</v>
      </c>
      <c r="O156" s="14" t="str">
        <v>Polymaker</v>
      </c>
      <c r="P156" s="2" t="str">
        <v>https://cdn.polymaker.com.cn/wp-content/uploads/lana-downloads/PolyLite_ABS_TDS_V5.3.pdf</v>
      </c>
      <c r="Q156" s="2" t="str">
        <v>3471ec2cb7244564bd7e64ccee2e49633f5a416958f0e8307be4a1607232dfac</v>
      </c>
    </row>
    <row r="157" ht="48" customHeight="1">
      <c r="A157" s="13" t="str">
        <v>Polymaker / Fiberon</v>
      </c>
      <c r="B157" s="13" t="str">
        <v>Filament TDS</v>
      </c>
      <c r="C157" s="13" t="str">
        <v>PolyLite ASA Technical Data Sheet</v>
      </c>
      <c r="D157" s="17" t="str">
        <v>Open document</v>
      </c>
      <c r="E157" s="13" t="str">
        <v>Yes</v>
      </c>
      <c r="F157" s="13" t="str">
        <v>S-POLYCN-PolyLite-ASA-TDS-V5-3</v>
      </c>
      <c r="G157" s="13" t="str">
        <v>Manufacturer TDS</v>
      </c>
      <c r="H157" s="13" t="str">
        <v>cited</v>
      </c>
      <c r="I157" s="13" t="str">
        <v>Retrieved; owner-supplied copy hash-matched to the 2026-09-15 reading</v>
      </c>
      <c r="J157" s="13" t="str">
        <v>G031-02 (Polymaker PolyLite ASA, the second ASA formulation)</v>
      </c>
      <c r="K157" s="13" t="str">
        <v>p. 2: physical properties and chemical resistance; p. 3: thermal properties; p. 4: mechanical properties (X-Y and Z) and the printing guide; p. 5: how to make specimens</v>
      </c>
      <c r="L157" s="13" t="str">
        <v>V5.3</v>
      </c>
      <c r="M157" s="15" t="str">
        <v>Not published</v>
      </c>
      <c r="N157" s="15" t="n">
        <v>46282</v>
      </c>
      <c r="O157" s="13" t="str">
        <v>Polymaker</v>
      </c>
      <c r="P157" s="10" t="str">
        <v>https://cdn.polymaker.com.cn/wp-content/uploads/lana-downloads/PolyLite_ASA_TDS_V5.3.pdf</v>
      </c>
      <c r="Q157" s="10" t="str">
        <v>f51a4df921be2a531fe4870fcc9ef2c88c498522fecbde9490eca488635054a5</v>
      </c>
    </row>
    <row r="158" ht="50" customHeight="1">
      <c r="A158" s="14" t="str">
        <v>Polymaker / Fiberon</v>
      </c>
      <c r="B158" s="14" t="str">
        <v>Filament TDS</v>
      </c>
      <c r="C158" s="14" t="str">
        <v>PolyLite PC Technical Data Sheet</v>
      </c>
      <c r="D158" s="18" t="str">
        <v>Open document</v>
      </c>
      <c r="E158" s="14" t="str">
        <v>Yes</v>
      </c>
      <c r="F158" s="14" t="str">
        <v>S-POLYCN-PolyLite-PC-TDS-V5-3</v>
      </c>
      <c r="G158" s="14" t="str">
        <v>Manufacturer TDS</v>
      </c>
      <c r="H158" s="14" t="str">
        <v>cited</v>
      </c>
      <c r="I158" s="14" t="str">
        <v>Retrieved; owner-supplied copy hash-matched to the 2026-09-15 reading</v>
      </c>
      <c r="J158" s="14" t="str">
        <v>G035-02 (Polymaker PolyLite PC, the second PC formulation)</v>
      </c>
      <c r="K158" s="14" t="str">
        <v>p. 2: physical properties and chemical resistance; p. 3: thermal properties; p. 4: mechanical properties (X-Y and Z), the printing guide and the annealing recommendation; p. 5: how to make specimens</v>
      </c>
      <c r="L158" s="14" t="str">
        <v>V5.3</v>
      </c>
      <c r="M158" s="16" t="str">
        <v>Not published</v>
      </c>
      <c r="N158" s="16" t="n">
        <v>46282</v>
      </c>
      <c r="O158" s="14" t="str">
        <v>Polymaker</v>
      </c>
      <c r="P158" s="2" t="str">
        <v>https://cdn.polymaker.com.cn/wp-content/uploads/lana-downloads/PolyLite_PC_TDS_V5.3.pdf</v>
      </c>
      <c r="Q158" s="2" t="str">
        <v>89097c63d3da49edfcfff88f0c5c1a0e24684997a55d539fe52bd45742e4404d</v>
      </c>
    </row>
    <row r="159" ht="48" customHeight="1">
      <c r="A159" s="13" t="str">
        <v>Polymaker / Fiberon</v>
      </c>
      <c r="B159" s="13" t="str">
        <v>Filament TDS</v>
      </c>
      <c r="C159" s="13" t="str">
        <v>PolyLite PETG</v>
      </c>
      <c r="D159" s="17" t="str">
        <v>Open document</v>
      </c>
      <c r="E159" s="13" t="str">
        <v>Yes</v>
      </c>
      <c r="F159" s="13" t="str">
        <v>S-POLYCN-PolyLite-PETG-TDS-V5-3</v>
      </c>
      <c r="G159" s="13" t="str">
        <v>Manufacturer TDS</v>
      </c>
      <c r="H159" s="13" t="str">
        <v>cited</v>
      </c>
      <c r="I159" s="13" t="str">
        <v>Retrieved</v>
      </c>
      <c r="J159" s="13" t="str">
        <v>G020-02</v>
      </c>
      <c r="K159" s="13" t="str">
        <v>Document / product page</v>
      </c>
      <c r="L159" s="13" t="str">
        <v>Not published</v>
      </c>
      <c r="M159" s="15" t="str">
        <v>Not published</v>
      </c>
      <c r="N159" s="15" t="n">
        <v>46275</v>
      </c>
      <c r="O159" s="13" t="str">
        <v>Polymaker</v>
      </c>
      <c r="P159" s="10" t="str">
        <v>https://cdn.polymaker.com.cn/wp-content/uploads/lana-downloads/PolyLite_PETG_TDS_V5.3.pdf</v>
      </c>
      <c r="Q159" s="10" t="str">
        <v>3e325b645b42d7547517ee7940f5fd476b48815c08342676a38777206350092f</v>
      </c>
    </row>
    <row r="160" ht="50" customHeight="1">
      <c r="A160" s="14" t="str">
        <v>Polymaker / Fiberon</v>
      </c>
      <c r="B160" s="14" t="str">
        <v>Filament TDS</v>
      </c>
      <c r="C160" s="14" t="str">
        <v>PolyMax PC-FR Technical Data Sheet</v>
      </c>
      <c r="D160" s="18" t="str">
        <v>Open document</v>
      </c>
      <c r="E160" s="14" t="str">
        <v>Yes</v>
      </c>
      <c r="F160" s="14" t="str">
        <v>S-POLYCN-PolyMax-PC-FR-TDS-V5-1</v>
      </c>
      <c r="G160" s="14" t="str">
        <v>Manufacturer TDS</v>
      </c>
      <c r="H160" s="14" t="str">
        <v>cited</v>
      </c>
      <c r="I160" s="14" t="str">
        <v>Retrieved; owner-supplied copy hash-matched to the 2026-09-15 reading</v>
      </c>
      <c r="J160" s="14" t="str">
        <v>G036-02 (Polymaker PolyMax PC-FR, the second PC FR formulation)</v>
      </c>
      <c r="K160" s="14" t="str">
        <v>p. 2: physical properties, UL94 rating and chemical resistance; p. 3: thermal properties; p. 4: mechanical properties (X-Y and Z), the low-temperature impact row, the printing guide and the annealing recommendation; p. 6: how to make specimens</v>
      </c>
      <c r="L160" s="14" t="str">
        <v>V5.1</v>
      </c>
      <c r="M160" s="16" t="str">
        <v>Not published</v>
      </c>
      <c r="N160" s="16" t="n">
        <v>46282</v>
      </c>
      <c r="O160" s="14" t="str">
        <v>Polymaker</v>
      </c>
      <c r="P160" s="2" t="str">
        <v>https://cdn.polymaker.com.cn/wp-content/uploads/lana-downloads/PolyMax_PC_FR_TDS_V5.1.pdf</v>
      </c>
      <c r="Q160" s="2" t="str">
        <v>2a0902b570748c80a189a0b25007ebdde1d1b62f04e846fbf54e84d96c7ce114</v>
      </c>
    </row>
    <row r="161" ht="48" customHeight="1">
      <c r="A161" s="13" t="str">
        <v>Polymaker / Fiberon</v>
      </c>
      <c r="B161" s="13" t="str">
        <v>Filament TDS</v>
      </c>
      <c r="C161" s="13" t="str">
        <v>PolyMax™ PETG-ESD Technical Data Sheet</v>
      </c>
      <c r="D161" s="17" t="str">
        <v>Open document</v>
      </c>
      <c r="E161" s="13" t="str">
        <v>Yes</v>
      </c>
      <c r="F161" s="13" t="str">
        <v>S-POLYCN-PolyMax-PETG-ESD-TDS-V5-3</v>
      </c>
      <c r="G161" s="13" t="str">
        <v>Manufacturer TDS</v>
      </c>
      <c r="H161" s="13" t="str">
        <v>cited</v>
      </c>
      <c r="I161" s="13" t="str">
        <v>Retrieved</v>
      </c>
      <c r="J161" s="13" t="str">
        <v>G026-02</v>
      </c>
      <c r="K161" s="13" t="str">
        <v>Document / product page</v>
      </c>
      <c r="L161" s="13" t="str">
        <v>Technical Data Sheet V5.3</v>
      </c>
      <c r="M161" s="15" t="str">
        <v>Not published</v>
      </c>
      <c r="N161" s="15" t="n">
        <v>46275</v>
      </c>
      <c r="O161" s="13" t="str">
        <v>Polymaker</v>
      </c>
      <c r="P161" s="10" t="str">
        <v>https://cdn.polymaker.com.cn/wp-content/uploads/lana-downloads/PolyMax_PETG-ESD_TDS_V5.3.pdf</v>
      </c>
      <c r="Q161" s="10" t="str">
        <v>ea8f37d8be896751c9f054abaac5848adc686c42964922f95f62259261aa404e</v>
      </c>
    </row>
    <row r="162" ht="48" customHeight="1">
      <c r="A162" s="14" t="str">
        <v>Polymaker / Fiberon</v>
      </c>
      <c r="B162" s="14" t="str">
        <v>Filament TDS</v>
      </c>
      <c r="C162" s="14" t="str">
        <v>PolyMide CoPA</v>
      </c>
      <c r="D162" s="18" t="str">
        <v>Open document</v>
      </c>
      <c r="E162" s="14" t="str">
        <v>Yes</v>
      </c>
      <c r="F162" s="14" t="str">
        <v>S-POLYCN-PolyMide-CoPA-TDS-V5-2</v>
      </c>
      <c r="G162" s="14" t="str">
        <v>Manufacturer TDS</v>
      </c>
      <c r="H162" s="14" t="str">
        <v>cited</v>
      </c>
      <c r="I162" s="14" t="str">
        <v>Retrieved</v>
      </c>
      <c r="J162" s="14" t="str">
        <v>G047-01; G057-01; G061-01</v>
      </c>
      <c r="K162" s="14" t="str">
        <v>Document / product page</v>
      </c>
      <c r="L162" s="14" t="str">
        <v>Not published</v>
      </c>
      <c r="M162" s="16" t="str">
        <v>Not published</v>
      </c>
      <c r="N162" s="16" t="n">
        <v>46279</v>
      </c>
      <c r="O162" s="14" t="str">
        <v>Polymaker</v>
      </c>
      <c r="P162" s="2" t="str">
        <v>https://cdn.polymaker.com.cn/wp-content/uploads/lana-downloads/PolyMide_CoPA_TDS_V5.2.pdf</v>
      </c>
      <c r="Q162" s="2" t="str">
        <v>21762b0bec3f4b2819aa00ddb6b742c0fa449b86a4d699512cd6ad456fa53aee</v>
      </c>
    </row>
    <row r="163" ht="48" customHeight="1">
      <c r="A163" s="13" t="str">
        <v>Polymaker / Fiberon</v>
      </c>
      <c r="B163" s="13" t="str">
        <v>Filament TDS</v>
      </c>
      <c r="C163" s="13" t="str">
        <v>PolyMide PA12 CF</v>
      </c>
      <c r="D163" s="17" t="str">
        <v>Open document</v>
      </c>
      <c r="E163" s="13" t="str">
        <v>Yes</v>
      </c>
      <c r="F163" s="13" t="str">
        <v>S-POLYCN-PolyMide-PA12-CF-TDS-V5-1-1</v>
      </c>
      <c r="G163" s="13" t="str">
        <v>Manufacturer TDS</v>
      </c>
      <c r="H163" s="13" t="str">
        <v>cited</v>
      </c>
      <c r="I163" s="13" t="str">
        <v>Retrieved</v>
      </c>
      <c r="J163" s="13" t="str">
        <v>G053-02</v>
      </c>
      <c r="K163" s="13" t="str">
        <v>Document / product page</v>
      </c>
      <c r="L163" s="13" t="str">
        <v>Not published</v>
      </c>
      <c r="M163" s="15" t="str">
        <v>Not published</v>
      </c>
      <c r="N163" s="15" t="n">
        <v>46279</v>
      </c>
      <c r="O163" s="13" t="str">
        <v>Polymaker</v>
      </c>
      <c r="P163" s="10" t="str">
        <v>https://cdn.polymaker.com.cn/wp-content/uploads/lana-downloads/PolyMide_PA12_CF_TDS_V5.1.1.pdf</v>
      </c>
      <c r="Q163" s="10" t="str">
        <v>9fcb5693449b1f7cf4af84dc3a0f25753fb71476848ca24fd3b3a90c24c446db</v>
      </c>
    </row>
    <row r="164" ht="48" customHeight="1">
      <c r="A164" s="14" t="str">
        <v>Polymaker / Fiberon</v>
      </c>
      <c r="B164" s="14" t="str">
        <v>Filament TDS</v>
      </c>
      <c r="C164" s="14" t="str">
        <v>PolyMide PA6 GF</v>
      </c>
      <c r="D164" s="18" t="str">
        <v>Open document</v>
      </c>
      <c r="E164" s="14" t="str">
        <v>Yes</v>
      </c>
      <c r="F164" s="14" t="str">
        <v>S-POLYCN-PolyMide-PA6-GF-TDS-V5-1</v>
      </c>
      <c r="G164" s="14" t="str">
        <v>Manufacturer TDS</v>
      </c>
      <c r="H164" s="14" t="str">
        <v>cited</v>
      </c>
      <c r="I164" s="14" t="str">
        <v>Retrieved</v>
      </c>
      <c r="J164" s="14" t="str">
        <v>G051-03 (re-filed 2026-09-13 from G063-02)</v>
      </c>
      <c r="K164" s="14" t="str">
        <v>Document / product page</v>
      </c>
      <c r="L164" s="14" t="str">
        <v>Not published</v>
      </c>
      <c r="M164" s="16" t="str">
        <v>Not published</v>
      </c>
      <c r="N164" s="16" t="n">
        <v>46279</v>
      </c>
      <c r="O164" s="14" t="str">
        <v>Polymaker</v>
      </c>
      <c r="P164" s="2" t="str">
        <v>https://cdn.polymaker.com.cn/wp-content/uploads/lana-downloads/PolyMide_PA6_GF_TDS_V5.1.pdf</v>
      </c>
      <c r="Q164" s="2" t="str">
        <v>2852b98cdd004aad9f26893e2a4d66cdcbc6cf4c59c0b9d44973a66cc56c626c</v>
      </c>
    </row>
    <row r="165" ht="48" customHeight="1">
      <c r="A165" s="13" t="str">
        <v>Polymaker / Fiberon</v>
      </c>
      <c r="B165" s="13" t="str">
        <v>Filament TDS</v>
      </c>
      <c r="C165" s="13" t="str">
        <v>PolySmooth Technical Data Sheet</v>
      </c>
      <c r="D165" s="17" t="str">
        <v>Open document</v>
      </c>
      <c r="E165" s="13" t="str">
        <v>Yes</v>
      </c>
      <c r="F165" s="13" t="str">
        <v>S-POLYCN-PolySmooth-TDS-V5-4</v>
      </c>
      <c r="G165" s="13" t="str">
        <v>Manufacturer TDS</v>
      </c>
      <c r="H165" s="13" t="str">
        <v>cited</v>
      </c>
      <c r="I165" s="13" t="str">
        <v>Retrieved</v>
      </c>
      <c r="J165" s="13" t="str">
        <v>G093-02 (the TDS linked from the Polymaker wiki PolySmooth page)</v>
      </c>
      <c r="K165" s="13" t="str">
        <v>p. 2: Physical properties; p. 3: Thermal properties; p. 4: Mechanical properties; p. 5: How to make specimens</v>
      </c>
      <c r="L165" s="13" t="str">
        <v>V5.4</v>
      </c>
      <c r="M165" s="15" t="str">
        <v>Not published</v>
      </c>
      <c r="N165" s="15" t="n">
        <v>46281</v>
      </c>
      <c r="O165" s="13" t="str">
        <v>Polymaker</v>
      </c>
      <c r="P165" s="10" t="str">
        <v>https://cdn.shopify.com/s/files/1/0548/7299/7945/files/PolySmooth_TDS_EN_V5.4.pdf?v=1731961910</v>
      </c>
      <c r="Q165" s="10" t="str">
        <v>126df8abf06b12f4ba02ead2d247760a3087ebb5e6076a7187eab9acd1efb345</v>
      </c>
    </row>
    <row r="166" ht="48" customHeight="1">
      <c r="A166" s="14" t="str">
        <v>Polymaker / Fiberon</v>
      </c>
      <c r="B166" s="14" t="str">
        <v>Filament TDS</v>
      </c>
      <c r="C166" s="14" t="str">
        <v>PolySonic PLA EN V5 3</v>
      </c>
      <c r="D166" s="18" t="str">
        <v>Open document</v>
      </c>
      <c r="E166" s="14" t="str">
        <v>Yes</v>
      </c>
      <c r="F166" s="14" t="str">
        <v>S-POLYCN-PolySonic-PLA-EN-V5-3-TDS</v>
      </c>
      <c r="G166" s="14" t="str">
        <v>Manufacturer TDS</v>
      </c>
      <c r="H166" s="14" t="str">
        <v>cited</v>
      </c>
      <c r="I166" s="14" t="str">
        <v>Retrieved</v>
      </c>
      <c r="J166" s="14" t="str">
        <v>G001-02</v>
      </c>
      <c r="K166" s="14" t="str">
        <v>Document / product page</v>
      </c>
      <c r="L166" s="14" t="str">
        <v>Not published</v>
      </c>
      <c r="M166" s="16" t="str">
        <v>Not published</v>
      </c>
      <c r="N166" s="16" t="n">
        <v>46279</v>
      </c>
      <c r="O166" s="14" t="str">
        <v>Polymaker</v>
      </c>
      <c r="P166" s="2" t="str">
        <v>https://cdn.polymaker.com.cn/wp-content/uploads/lana-downloads/PolySonic-PLA-EN_V5.3-TDS.pdf</v>
      </c>
      <c r="Q166" s="2" t="str">
        <v>e71fac75b41e1f756b2827213885bd9f5d606a23b124cdb39f2035d04e049972</v>
      </c>
    </row>
    <row r="167" ht="48" customHeight="1">
      <c r="A167" s="13" t="str">
        <v>Polymaker / Fiberon</v>
      </c>
      <c r="B167" s="13" t="str">
        <v>Filament TDS</v>
      </c>
      <c r="C167" s="13" t="str">
        <v>Polymaker PC ABS</v>
      </c>
      <c r="D167" s="17" t="str">
        <v>Open document</v>
      </c>
      <c r="E167" s="13" t="str">
        <v>Yes</v>
      </c>
      <c r="F167" s="13" t="str">
        <v>S-POLYCN-Polymaker-PC-ABS-TDS-V5-1</v>
      </c>
      <c r="G167" s="13" t="str">
        <v>Manufacturer TDS</v>
      </c>
      <c r="H167" s="13" t="str">
        <v>cited</v>
      </c>
      <c r="I167" s="13" t="str">
        <v>Retrieved</v>
      </c>
      <c r="J167" s="13" t="str">
        <v>G094-02</v>
      </c>
      <c r="K167" s="13" t="str">
        <v>Document / product page</v>
      </c>
      <c r="L167" s="13" t="str">
        <v>Not published</v>
      </c>
      <c r="M167" s="15" t="str">
        <v>Not published</v>
      </c>
      <c r="N167" s="15" t="n">
        <v>46275</v>
      </c>
      <c r="O167" s="13" t="str">
        <v>Polymaker</v>
      </c>
      <c r="P167" s="10" t="str">
        <v>https://cdn.polymaker.com.cn/wp-content/uploads/lana-downloads/Polymaker_PC_ABS_TDS_V5.1.pdf</v>
      </c>
      <c r="Q167" s="10" t="str">
        <v>b85d00a14b3a1c90afe510c4f1d58d7fab8fb69660eaee79c7420b1b7f8c4058</v>
      </c>
    </row>
    <row r="168" ht="48" customHeight="1">
      <c r="A168" s="14" t="str">
        <v>Polymaker / Fiberon</v>
      </c>
      <c r="B168" s="14" t="str">
        <v>Filament TDS</v>
      </c>
      <c r="C168" s="14" t="str">
        <v>Polymaker PC PBT</v>
      </c>
      <c r="D168" s="18" t="str">
        <v>Open document</v>
      </c>
      <c r="E168" s="14" t="str">
        <v>Yes</v>
      </c>
      <c r="F168" s="14" t="str">
        <v>S-POLYCN-Polymaker-PC-PBT-TDS-V5-1</v>
      </c>
      <c r="G168" s="14" t="str">
        <v>Manufacturer TDS</v>
      </c>
      <c r="H168" s="14" t="str">
        <v>cited</v>
      </c>
      <c r="I168" s="14" t="str">
        <v>Retrieved</v>
      </c>
      <c r="J168" s="14" t="str">
        <v>G095-01</v>
      </c>
      <c r="K168" s="14" t="str">
        <v>Document / product page</v>
      </c>
      <c r="L168" s="14" t="str">
        <v>Not published</v>
      </c>
      <c r="M168" s="16" t="str">
        <v>Not published</v>
      </c>
      <c r="N168" s="16" t="n">
        <v>46275</v>
      </c>
      <c r="O168" s="14" t="str">
        <v>Polymaker</v>
      </c>
      <c r="P168" s="2" t="str">
        <v>https://cdn.polymaker.com.cn/wp-content/uploads/lana-downloads/Polymaker_PC_PBT_TDS_V5.1.pdf</v>
      </c>
      <c r="Q168" s="2" t="str">
        <v>422bebbd0afd300415532d7d089877fb734d51316e877a54f4c00c806ca1570e</v>
      </c>
    </row>
    <row r="169" ht="48" customHeight="1">
      <c r="A169" s="13" t="str">
        <v>Polymaker / Fiberon</v>
      </c>
      <c r="B169" s="13" t="str">
        <v>Filament TDS</v>
      </c>
      <c r="C169" s="13" t="str">
        <v>Polymaker™ HT-PLA-GF Technical Data Sheet</v>
      </c>
      <c r="D169" s="17" t="str">
        <v>Open document</v>
      </c>
      <c r="E169" s="13" t="str">
        <v>Yes</v>
      </c>
      <c r="F169" s="13" t="str">
        <v>S-POLYCN-Polymaker-HT-PLA-GF-TDS-EN-V1-1</v>
      </c>
      <c r="G169" s="13" t="str">
        <v>Manufacturer TDS</v>
      </c>
      <c r="H169" s="13" t="str">
        <v>cited</v>
      </c>
      <c r="I169" s="13" t="str">
        <v>Retrieved</v>
      </c>
      <c r="J169" s="13" t="str">
        <v>G019-01</v>
      </c>
      <c r="K169" s="13" t="str">
        <v>Document / product page</v>
      </c>
      <c r="L169" s="13" t="str">
        <v>V1.1</v>
      </c>
      <c r="M169" s="15" t="str">
        <v>Not published</v>
      </c>
      <c r="N169" s="15" t="n">
        <v>46279</v>
      </c>
      <c r="O169" s="13" t="str">
        <v>Polymaker</v>
      </c>
      <c r="P169" s="10" t="str">
        <v>https://cdn.polymaker.com.cn/wp-content/uploads/lana-downloads/Polymaker-HT-PLA-GF_TDS_EN_V1.1.pdf</v>
      </c>
      <c r="Q169" s="10" t="str">
        <v>7e9fe84101b5dfbbf0c8be3a834fd19ef5522ba3635fd6a74ef0692f1e29f3fb</v>
      </c>
    </row>
    <row r="170" ht="48" customHeight="1">
      <c r="A170" s="14" t="str">
        <v>Polymaker / Fiberon</v>
      </c>
      <c r="B170" s="14" t="str">
        <v>Guide / product page</v>
      </c>
      <c r="C170" s="14" t="str">
        <v>Fiberon PET-GF15 product page</v>
      </c>
      <c r="D170" s="18" t="str">
        <v>Open document</v>
      </c>
      <c r="E170" s="14" t="str">
        <v>No</v>
      </c>
      <c r="F170" s="14" t="str">
        <v>R-FIBERON-PETGF15-PAGE</v>
      </c>
      <c r="G170" s="14" t="str">
        <v>Manufacturer product / guide</v>
      </c>
      <c r="H170" s="14" t="str">
        <v>not-retrieved</v>
      </c>
      <c r="I170" s="14" t="str">
        <v>Not retrieved: HTTP 403 on 2026-09-13. Nothing from this source was entered</v>
      </c>
      <c r="J170" s="14" t="str">
        <v>M068 / G068-02</v>
      </c>
      <c r="K170" s="14" t="str">
        <v>Cited by the 2026-09-13 research for chamber guidance</v>
      </c>
      <c r="L170" s="14" t="str">
        <v>Not published</v>
      </c>
      <c r="M170" s="16" t="str">
        <v>Not published</v>
      </c>
      <c r="N170" s="16" t="n">
        <v>46278</v>
      </c>
      <c r="O170" s="14" t="str">
        <v>Polymaker (Fiberon)</v>
      </c>
      <c r="P170" s="2" t="str">
        <v>https://fiberon.polymaker.com/product/pet-gf15/</v>
      </c>
      <c r="Q170" s="2" t="str">
        <v>Not recorded</v>
      </c>
    </row>
    <row r="171" ht="48" customHeight="1">
      <c r="A171" s="13" t="str">
        <v>Polymaker / Fiberon</v>
      </c>
      <c r="B171" s="13" t="str">
        <v>Guide / product page</v>
      </c>
      <c r="C171" s="13" t="str">
        <v>Panchroma CoPE | Polymaker Wiki</v>
      </c>
      <c r="D171" s="17" t="str">
        <v>Open document</v>
      </c>
      <c r="E171" s="13" t="str">
        <v>Yes</v>
      </c>
      <c r="F171" s="13" t="str">
        <v>R-POLYMAKER-WIKI-PANCHROMA-COPE</v>
      </c>
      <c r="G171" s="13" t="str">
        <v>Manufacturer product / guide</v>
      </c>
      <c r="H171" s="13" t="str">
        <v>cited</v>
      </c>
      <c r="I171" s="13" t="str">
        <v>Retrieved</v>
      </c>
      <c r="J171" s="13" t="str">
        <v>M091 / G091-02</v>
      </c>
      <c r="K171" s="13" t="str">
        <v>Recommended printing settings</v>
      </c>
      <c r="L171" s="13" t="str">
        <v>Not published</v>
      </c>
      <c r="M171" s="15" t="str">
        <v>Not published</v>
      </c>
      <c r="N171" s="15" t="n">
        <v>46278</v>
      </c>
      <c r="O171" s="13" t="str">
        <v>Polymaker</v>
      </c>
      <c r="P171" s="10" t="str">
        <v>https://wiki.polymaker.com/polymaker-products/polymaker-filaments/panchroma-tm/panchroma-tm-cope</v>
      </c>
      <c r="Q171" s="10" t="str">
        <v>db568e0f9c59febd061e48b8d79823c1688c3dbdbe842f118cb3d380b2b1bae8</v>
      </c>
    </row>
    <row r="172" ht="48" customHeight="1">
      <c r="A172" s="14" t="str">
        <v>Polymaker / Fiberon</v>
      </c>
      <c r="B172" s="14" t="str">
        <v>Guide / product page</v>
      </c>
      <c r="C172" s="14" t="str">
        <v>Panchroma Silk PLA product page</v>
      </c>
      <c r="D172" s="18" t="str">
        <v>Open document</v>
      </c>
      <c r="E172" s="14" t="str">
        <v>Yes</v>
      </c>
      <c r="F172" s="14" t="str">
        <v>R-POLYMAKER-SILK-PLA-PAGE</v>
      </c>
      <c r="G172" s="14" t="str">
        <v>Manufacturer product / guide</v>
      </c>
      <c r="H172" s="14" t="str">
        <v>cited</v>
      </c>
      <c r="I172" s="14" t="str">
        <v>Retrieved</v>
      </c>
      <c r="J172" s="14" t="str">
        <v>M008 / G008-01</v>
      </c>
      <c r="K172" s="14" t="str">
        <v>Technical Specifications</v>
      </c>
      <c r="L172" s="14" t="str">
        <v>Not published</v>
      </c>
      <c r="M172" s="16" t="str">
        <v>Not published</v>
      </c>
      <c r="N172" s="16" t="n">
        <v>46278</v>
      </c>
      <c r="O172" s="14" t="str">
        <v>Polymaker</v>
      </c>
      <c r="P172" s="2" t="str">
        <v>https://shop.polymaker.com/products/silk-pla</v>
      </c>
      <c r="Q172" s="2" t="str">
        <v>d74050b88ed9f9e214e461804d297fdf98808c991ef496c5bbc2aa6e55da6d5d</v>
      </c>
    </row>
    <row r="173" ht="48" customHeight="1">
      <c r="A173" s="13" t="str">
        <v>iSANMATE</v>
      </c>
      <c r="B173" s="13" t="str">
        <v>Filament TDS</v>
      </c>
      <c r="C173" s="13" t="str">
        <v>ASA Glass Fiber</v>
      </c>
      <c r="D173" s="17" t="str">
        <v>Open document</v>
      </c>
      <c r="E173" s="13" t="str">
        <v>Yes</v>
      </c>
      <c r="F173" s="13" t="str">
        <v>I-ASA-Glass-Fiber-Technical-Data-Sheet</v>
      </c>
      <c r="G173" s="13" t="str">
        <v>Manufacturer TDS</v>
      </c>
      <c r="H173" s="13" t="str">
        <v>cited</v>
      </c>
      <c r="I173" s="13" t="str">
        <v>Retrieved</v>
      </c>
      <c r="J173" s="13" t="str">
        <v>G034-02</v>
      </c>
      <c r="K173" s="13" t="str">
        <v>Document / product page</v>
      </c>
      <c r="L173" s="13" t="str">
        <v>Not published</v>
      </c>
      <c r="M173" s="15" t="str">
        <v>Not published</v>
      </c>
      <c r="N173" s="15" t="n">
        <v>46275</v>
      </c>
      <c r="O173" s="13" t="str">
        <v>iSANMATE</v>
      </c>
      <c r="P173" s="10" t="str">
        <v>https://www.isanmate.com/wp-content/uploads/2025/08/ASA-Glass-Fiber-Technical-Data-Sheet.pdf</v>
      </c>
      <c r="Q173" s="10" t="str">
        <v>6173ede40cc31227ccfeec0425635d5d10e930d78cf597ff88b89450cb5a23ac</v>
      </c>
    </row>
    <row r="174" ht="48" customHeight="1">
      <c r="A174" s="14" t="str">
        <v>iSANMATE</v>
      </c>
      <c r="B174" s="14" t="str">
        <v>Filament TDS</v>
      </c>
      <c r="C174" s="14" t="str">
        <v>CF ABS</v>
      </c>
      <c r="D174" s="18" t="str">
        <v>Open document</v>
      </c>
      <c r="E174" s="14" t="str">
        <v>Yes</v>
      </c>
      <c r="F174" s="14" t="str">
        <v>I-CF-ABS-TDS</v>
      </c>
      <c r="G174" s="14" t="str">
        <v>Manufacturer TDS</v>
      </c>
      <c r="H174" s="14" t="str">
        <v>cited</v>
      </c>
      <c r="I174" s="14" t="str">
        <v>Retrieved; user-supplied local copy re-verified 2026-09-11 (SHA256 match confirms identical to originally cited document)</v>
      </c>
      <c r="J174" s="14" t="str">
        <v>G029-02</v>
      </c>
      <c r="K174" s="14" t="str">
        <v>Document / product page</v>
      </c>
      <c r="L174" s="14" t="str">
        <v>Not published</v>
      </c>
      <c r="M174" s="16" t="str">
        <v>Not published</v>
      </c>
      <c r="N174" s="16" t="n">
        <v>46275</v>
      </c>
      <c r="O174" s="14" t="str">
        <v>iSANMATE</v>
      </c>
      <c r="P174" s="2" t="str">
        <v>https://www.isanmate.com/wp-content/uploads/2022/09/CF-ABS_TDS.pdf</v>
      </c>
      <c r="Q174" s="2" t="str">
        <v>ea1795df0a5516f6b7ff66d0d1286f2956ebd0a1a099593e87fa8208f83e2921</v>
      </c>
    </row>
    <row r="175" ht="48" customHeight="1">
      <c r="A175" s="13" t="str">
        <v>iSANMATE</v>
      </c>
      <c r="B175" s="13" t="str">
        <v>Filament TDS</v>
      </c>
      <c r="C175" s="13" t="str">
        <v>ESD ABS</v>
      </c>
      <c r="D175" s="17" t="str">
        <v>Open document</v>
      </c>
      <c r="E175" s="13" t="str">
        <v>Yes</v>
      </c>
      <c r="F175" s="13" t="str">
        <v>I-ESD-ABS-TDS</v>
      </c>
      <c r="G175" s="13" t="str">
        <v>Manufacturer TDS</v>
      </c>
      <c r="H175" s="13" t="str">
        <v>cited</v>
      </c>
      <c r="I175" s="13" t="str">
        <v>Retrieved</v>
      </c>
      <c r="J175" s="13" t="str">
        <v>G030-02</v>
      </c>
      <c r="K175" s="13" t="str">
        <v>Document / product page</v>
      </c>
      <c r="L175" s="13" t="str">
        <v>Not published</v>
      </c>
      <c r="M175" s="15" t="str">
        <v>Not published</v>
      </c>
      <c r="N175" s="15" t="n">
        <v>46275</v>
      </c>
      <c r="O175" s="13" t="str">
        <v>iSANMATE</v>
      </c>
      <c r="P175" s="10" t="str">
        <v>https://www.isanmate.com/wp-content/uploads/2024/09/ESD-ABS_TDS.pdf</v>
      </c>
      <c r="Q175" s="10" t="str">
        <v>821d1a6b61e180865743990dcc664de686fde4b3c1d37361a7a69ffc46778a9c</v>
      </c>
    </row>
    <row r="176" ht="48" customHeight="1">
      <c r="A176" s="14" t="str">
        <v>iSANMATE</v>
      </c>
      <c r="B176" s="14" t="str">
        <v>Filament TDS</v>
      </c>
      <c r="C176" s="14" t="str">
        <v>PEEK</v>
      </c>
      <c r="D176" s="18" t="str">
        <v>Open document</v>
      </c>
      <c r="E176" s="14" t="str">
        <v>Yes</v>
      </c>
      <c r="F176" s="14" t="str">
        <v>I-PEEK-TDS</v>
      </c>
      <c r="G176" s="14" t="str">
        <v>Manufacturer TDS</v>
      </c>
      <c r="H176" s="14" t="str">
        <v>cited</v>
      </c>
      <c r="I176" s="14" t="str">
        <v>Retrieved</v>
      </c>
      <c r="J176" s="14" t="str">
        <v>G097-02</v>
      </c>
      <c r="K176" s="14" t="str">
        <v>Document / product page</v>
      </c>
      <c r="L176" s="14" t="str">
        <v>Not published</v>
      </c>
      <c r="M176" s="16" t="str">
        <v>Not published</v>
      </c>
      <c r="N176" s="16" t="n">
        <v>46275</v>
      </c>
      <c r="O176" s="14" t="str">
        <v>iSANMATE</v>
      </c>
      <c r="P176" s="2" t="str">
        <v>https://www.isanmate.com/wp-content/uploads/2022/09/PEEK_TDS.pdf</v>
      </c>
      <c r="Q176" s="2" t="str">
        <v>5a6f2f4bb8b575f8c3064ccddb029b5b00576451f6462e6c3955d2cccd615842</v>
      </c>
    </row>
    <row r="177" ht="48" customHeight="1">
      <c r="A177" s="13" t="str">
        <v>iSANMATE</v>
      </c>
      <c r="B177" s="13" t="str">
        <v>Filament TDS</v>
      </c>
      <c r="C177" s="13" t="str">
        <v>PEI 9085</v>
      </c>
      <c r="D177" s="17" t="str">
        <v>Open document</v>
      </c>
      <c r="E177" s="13" t="str">
        <v>Yes</v>
      </c>
      <c r="F177" s="13" t="str">
        <v>I-PEI-9085-TDS</v>
      </c>
      <c r="G177" s="13" t="str">
        <v>Manufacturer TDS</v>
      </c>
      <c r="H177" s="13" t="str">
        <v>cited</v>
      </c>
      <c r="I177" s="13" t="str">
        <v>Retrieved</v>
      </c>
      <c r="J177" s="13" t="str">
        <v>G099-02</v>
      </c>
      <c r="K177" s="13" t="str">
        <v>Document / product page</v>
      </c>
      <c r="L177" s="13" t="str">
        <v>Not published</v>
      </c>
      <c r="M177" s="15" t="str">
        <v>Not published</v>
      </c>
      <c r="N177" s="15" t="n">
        <v>46275</v>
      </c>
      <c r="O177" s="13" t="str">
        <v>iSANMATE</v>
      </c>
      <c r="P177" s="10" t="str">
        <v>https://www.isanmate.com/wp-content/uploads/2022/09/PEI-9085_TDS.pdf</v>
      </c>
      <c r="Q177" s="10" t="str">
        <v>7eed1a31b7d8ba6902f9ce32af55e058d15e8a44e922543e615360196ff1b628</v>
      </c>
    </row>
    <row r="178" ht="48" customHeight="1">
      <c r="A178" s="14" t="str">
        <v>iSANMATE</v>
      </c>
      <c r="B178" s="14" t="str">
        <v>Filament TDS</v>
      </c>
      <c r="C178" s="14" t="str">
        <v>PETG</v>
      </c>
      <c r="D178" s="18" t="str">
        <v>Open document</v>
      </c>
      <c r="E178" s="14" t="str">
        <v>Yes</v>
      </c>
      <c r="F178" s="14" t="str">
        <v>I-PETG-TDS</v>
      </c>
      <c r="G178" s="14" t="str">
        <v>Manufacturer TDS</v>
      </c>
      <c r="H178" s="14" t="str">
        <v>cited</v>
      </c>
      <c r="I178" s="14" t="str">
        <v>Retrieved; user-supplied local copy re-verified 2026-09-11 (SHA256 match confirms identical to originally cited document)</v>
      </c>
      <c r="J178" s="14" t="str">
        <v>G020-03</v>
      </c>
      <c r="K178" s="14" t="str">
        <v>Document / product page</v>
      </c>
      <c r="L178" s="14" t="str">
        <v>Not published</v>
      </c>
      <c r="M178" s="16" t="str">
        <v>Not published</v>
      </c>
      <c r="N178" s="16" t="n">
        <v>46275</v>
      </c>
      <c r="O178" s="14" t="str">
        <v>iSANMATE</v>
      </c>
      <c r="P178" s="2" t="str">
        <v>https://www.isanmate.com/wp-content/uploads/2025/08/PETG_TDS.pdf</v>
      </c>
      <c r="Q178" s="2" t="str">
        <v>f24f7e065c99fb348844ec58a80f3f5195853a620d567bc0857019c3837ed337</v>
      </c>
    </row>
    <row r="179" ht="48" customHeight="1">
      <c r="A179" s="13" t="str">
        <v>iSANMATE</v>
      </c>
      <c r="B179" s="13" t="str">
        <v>Filament TDS</v>
      </c>
      <c r="C179" s="13" t="str">
        <v>PETG Glass Fiber</v>
      </c>
      <c r="D179" s="17" t="str">
        <v>Open document</v>
      </c>
      <c r="E179" s="13" t="str">
        <v>Yes</v>
      </c>
      <c r="F179" s="13" t="str">
        <v>I-PETG-Glass-Fiber-Technical-Data-Sheet</v>
      </c>
      <c r="G179" s="13" t="str">
        <v>Manufacturer TDS</v>
      </c>
      <c r="H179" s="13" t="str">
        <v>cited</v>
      </c>
      <c r="I179" s="13" t="str">
        <v>Retrieved</v>
      </c>
      <c r="J179" s="13" t="str">
        <v>G025-01</v>
      </c>
      <c r="K179" s="13" t="str">
        <v>Document / product page</v>
      </c>
      <c r="L179" s="13" t="str">
        <v>Not published</v>
      </c>
      <c r="M179" s="15" t="str">
        <v>Not published</v>
      </c>
      <c r="N179" s="15" t="n">
        <v>46275</v>
      </c>
      <c r="O179" s="13" t="str">
        <v>iSANMATE</v>
      </c>
      <c r="P179" s="10" t="str">
        <v>https://www.isanmate.com/wp-content/uploads/2025/08/PETG-Glass-Fiber-Technical-Data-Sheet.pdf</v>
      </c>
      <c r="Q179" s="10" t="str">
        <v>1e41e738a6ff6ddf553e5dd6be850d40e01e51170f870e5287f2c3e7da700690</v>
      </c>
    </row>
    <row r="180" ht="48" customHeight="1">
      <c r="A180" s="14" t="str">
        <v>iSANMATE</v>
      </c>
      <c r="B180" s="14" t="str">
        <v>Filament TDS</v>
      </c>
      <c r="C180" s="14" t="str">
        <v>PLA</v>
      </c>
      <c r="D180" s="18" t="str">
        <v>Open document</v>
      </c>
      <c r="E180" s="14" t="str">
        <v>Yes</v>
      </c>
      <c r="F180" s="14" t="str">
        <v>I-PLA-TDS</v>
      </c>
      <c r="G180" s="14" t="str">
        <v>Manufacturer TDS</v>
      </c>
      <c r="H180" s="14" t="str">
        <v>cited</v>
      </c>
      <c r="I180" s="14" t="str">
        <v>Retrieved</v>
      </c>
      <c r="J180" s="14" t="str">
        <v>G001-03</v>
      </c>
      <c r="K180" s="14" t="str">
        <v>Document / product page</v>
      </c>
      <c r="L180" s="14" t="str">
        <v>Not published</v>
      </c>
      <c r="M180" s="16" t="str">
        <v>Not published</v>
      </c>
      <c r="N180" s="16" t="n">
        <v>46275</v>
      </c>
      <c r="O180" s="14" t="str">
        <v>iSANMATE</v>
      </c>
      <c r="P180" s="2" t="str">
        <v>https://www.isanmate.com/wp-content/uploads/2022/09/PLA_TDS.pdf</v>
      </c>
      <c r="Q180" s="2" t="str">
        <v>c30ebe387da2a183ec1970e88f56aaea8304ceb44d9bdca2e78029dabd1e5663</v>
      </c>
    </row>
    <row r="181" ht="48" customHeight="1">
      <c r="A181" s="13" t="str">
        <v>iSANMATE</v>
      </c>
      <c r="B181" s="13" t="str">
        <v>Filament TDS</v>
      </c>
      <c r="C181" s="13" t="str">
        <v>PLA Glass Fiber</v>
      </c>
      <c r="D181" s="17" t="str">
        <v>Open document</v>
      </c>
      <c r="E181" s="13" t="str">
        <v>Yes</v>
      </c>
      <c r="F181" s="13" t="str">
        <v>I-PLA-Glass-Fiber-Technical-Data-Sheet</v>
      </c>
      <c r="G181" s="13" t="str">
        <v>Manufacturer TDS</v>
      </c>
      <c r="H181" s="13" t="str">
        <v>cited</v>
      </c>
      <c r="I181" s="13" t="str">
        <v>Retrieved</v>
      </c>
      <c r="J181" s="13" t="str">
        <v>G019-02</v>
      </c>
      <c r="K181" s="13" t="str">
        <v>Document / product page</v>
      </c>
      <c r="L181" s="13" t="str">
        <v>Not published</v>
      </c>
      <c r="M181" s="15" t="str">
        <v>Not published</v>
      </c>
      <c r="N181" s="15" t="n">
        <v>46275</v>
      </c>
      <c r="O181" s="13" t="str">
        <v>iSANMATE</v>
      </c>
      <c r="P181" s="10" t="str">
        <v>https://www.isanmate.com/wp-content/uploads/2025/08/PLA-Glass-Fiber-Technical-Data-Sheet.pdf</v>
      </c>
      <c r="Q181" s="10" t="str">
        <v>558f53e24e2062b3087e76a965bcb7bdfb846ae2dad7ccbb6c9a0e9fd288e422</v>
      </c>
    </row>
    <row r="182" ht="48" customHeight="1">
      <c r="A182" s="14" t="str">
        <v>iSANMATE</v>
      </c>
      <c r="B182" s="14" t="str">
        <v>Filament TDS</v>
      </c>
      <c r="C182" s="14" t="str">
        <v>PP Filament Technical Data Sheet</v>
      </c>
      <c r="D182" s="18" t="str">
        <v>Open document</v>
      </c>
      <c r="E182" s="14" t="str">
        <v>Yes</v>
      </c>
      <c r="F182" s="14" t="str">
        <v>I-PP-TDS</v>
      </c>
      <c r="G182" s="14" t="str">
        <v>Manufacturer TDS</v>
      </c>
      <c r="H182" s="14" t="str">
        <v>cited</v>
      </c>
      <c r="I182" s="14" t="str">
        <v>Retrieved</v>
      </c>
      <c r="J182" s="14" t="str">
        <v>G082-02</v>
      </c>
      <c r="K182" s="14" t="str">
        <v>Document / product page</v>
      </c>
      <c r="L182" s="14" t="str">
        <v>Not published</v>
      </c>
      <c r="M182" s="16" t="str">
        <v>Not published</v>
      </c>
      <c r="N182" s="16" t="n">
        <v>46279</v>
      </c>
      <c r="O182" s="14" t="str">
        <v>iSANMATE</v>
      </c>
      <c r="P182" s="2" t="str">
        <v>https://www.isanmate.com/wp-content/uploads/2025/08/PP_TDS.pdf</v>
      </c>
      <c r="Q182" s="2" t="str">
        <v>a87bbb34447729466765245f2bd6e58387f78cd34ff67f2e60ea9f4606995d86</v>
      </c>
    </row>
    <row r="183" ht="48" customHeight="1">
      <c r="A183" s="13" t="str">
        <v>iSANMATE</v>
      </c>
      <c r="B183" s="13" t="str">
        <v>Filament TDS</v>
      </c>
      <c r="C183" s="13" t="str">
        <v>PPSU</v>
      </c>
      <c r="D183" s="17" t="str">
        <v>Open document</v>
      </c>
      <c r="E183" s="13" t="str">
        <v>Yes</v>
      </c>
      <c r="F183" s="13" t="str">
        <v>I-PPSU-TDS</v>
      </c>
      <c r="G183" s="13" t="str">
        <v>Manufacturer TDS</v>
      </c>
      <c r="H183" s="13" t="str">
        <v>cited</v>
      </c>
      <c r="I183" s="13" t="str">
        <v>Retrieved</v>
      </c>
      <c r="J183" s="13" t="str">
        <v>G102-02</v>
      </c>
      <c r="K183" s="13" t="str">
        <v>Document / product page</v>
      </c>
      <c r="L183" s="13" t="str">
        <v>Not published</v>
      </c>
      <c r="M183" s="15" t="str">
        <v>Not published</v>
      </c>
      <c r="N183" s="15" t="n">
        <v>46275</v>
      </c>
      <c r="O183" s="13" t="str">
        <v>iSANMATE</v>
      </c>
      <c r="P183" s="10" t="str">
        <v>https://www.isanmate.com/wp-content/uploads/2022/09/PPSU_TDS.pdf</v>
      </c>
      <c r="Q183" s="10" t="str">
        <v>2309fafe72eadfa6efa68aa4d458d82e2af46cffb4ccec9ebf4b97a5eb8d8e23</v>
      </c>
    </row>
    <row r="184" ht="48" customHeight="1">
      <c r="A184" s="14" t="str">
        <v>iSANMATE</v>
      </c>
      <c r="B184" s="14" t="str">
        <v>Filament TDS</v>
      </c>
      <c r="C184" s="14" t="str">
        <v>TPU</v>
      </c>
      <c r="D184" s="18" t="str">
        <v>Open document</v>
      </c>
      <c r="E184" s="14" t="str">
        <v>Yes</v>
      </c>
      <c r="F184" s="14" t="str">
        <v>I-TPU-TDS</v>
      </c>
      <c r="G184" s="14" t="str">
        <v>Manufacturer TDS</v>
      </c>
      <c r="H184" s="14" t="str">
        <v>cited</v>
      </c>
      <c r="I184" s="14" t="str">
        <v>Retrieved; user-supplied local copy re-verified 2026-09-11 (SHA256 match confirms identical to originally cited document)</v>
      </c>
      <c r="J184" s="14" t="str">
        <v>G039-02</v>
      </c>
      <c r="K184" s="14" t="str">
        <v>Document / product page</v>
      </c>
      <c r="L184" s="14" t="str">
        <v>Not published</v>
      </c>
      <c r="M184" s="16" t="str">
        <v>Not published</v>
      </c>
      <c r="N184" s="16" t="n">
        <v>46275</v>
      </c>
      <c r="O184" s="14" t="str">
        <v>iSANMATE</v>
      </c>
      <c r="P184" s="2" t="str">
        <v>https://www.isanmate.com/wp-content/uploads/2022/09/TPU_TDS.pdf</v>
      </c>
      <c r="Q184" s="2" t="str">
        <v>e97956b414caf60da28b4b720f37c1366734dcc46423c0c7bb43bf1ba8a98b94</v>
      </c>
    </row>
    <row r="185" ht="48" customHeight="1">
      <c r="A185" s="13" t="str">
        <v>iSANMATE</v>
      </c>
      <c r="B185" s="13" t="str">
        <v>Filament TDS</v>
      </c>
      <c r="C185" s="13" t="str">
        <v>意可曼PHA EM40010</v>
      </c>
      <c r="D185" s="17" t="str">
        <v>Open document</v>
      </c>
      <c r="E185" s="13" t="str">
        <v>Yes</v>
      </c>
      <c r="F185" s="13" t="str">
        <v>I-PA6-CF-TDS</v>
      </c>
      <c r="G185" s="13" t="str">
        <v>Manufacturer TDS</v>
      </c>
      <c r="H185" s="13" t="str">
        <v>cited</v>
      </c>
      <c r="I185" s="13" t="str">
        <v>Retrieved</v>
      </c>
      <c r="J185" s="13" t="str">
        <v>G050-02 (re-filed 2026-09-13 from G062-03)</v>
      </c>
      <c r="K185" s="13" t="str">
        <v>Document / product page</v>
      </c>
      <c r="L185" s="13" t="str">
        <v>Not published</v>
      </c>
      <c r="M185" s="15" t="str">
        <v>Not published</v>
      </c>
      <c r="N185" s="15" t="n">
        <v>46275</v>
      </c>
      <c r="O185" s="13" t="str">
        <v>iSANMATE</v>
      </c>
      <c r="P185" s="10" t="str">
        <v>https://www.isanmate.com/wp-content/uploads/2024/09/PA6-CF_TDS.pdf</v>
      </c>
      <c r="Q185" s="10" t="str">
        <v>83b6488a509bb65eed3b9f047c7ff164b942a52a71f1f56a09fa7d295d5b3dbc</v>
      </c>
    </row>
    <row r="186" ht="48" customHeight="1">
      <c r="A186" s="14" t="str">
        <v>iSANMATE</v>
      </c>
      <c r="B186" s="14" t="str">
        <v>Filament TDS</v>
      </c>
      <c r="C186" s="14" t="str">
        <v>意可曼PHA EM40010</v>
      </c>
      <c r="D186" s="18" t="str">
        <v>Open document</v>
      </c>
      <c r="E186" s="14" t="str">
        <v>Yes</v>
      </c>
      <c r="F186" s="14" t="str">
        <v>I-PC-CF-TDS</v>
      </c>
      <c r="G186" s="14" t="str">
        <v>Manufacturer TDS</v>
      </c>
      <c r="H186" s="14" t="str">
        <v>cited</v>
      </c>
      <c r="I186" s="14" t="str">
        <v>Retrieved</v>
      </c>
      <c r="J186" s="14" t="str">
        <v>G037-03</v>
      </c>
      <c r="K186" s="14" t="str">
        <v>Document / product page</v>
      </c>
      <c r="L186" s="14" t="str">
        <v>Not published</v>
      </c>
      <c r="M186" s="16" t="str">
        <v>Not published</v>
      </c>
      <c r="N186" s="16" t="n">
        <v>46275</v>
      </c>
      <c r="O186" s="14" t="str">
        <v>iSANMATE</v>
      </c>
      <c r="P186" s="2" t="str">
        <v>https://www.isanmate.com/wp-content/uploads/2024/09/PC-CF_TDS.pdf</v>
      </c>
      <c r="Q186" s="2" t="str">
        <v>a76a6fe305c4fa923e3ad3769e4d57a21d01bec96733a7828b60d766b2197446</v>
      </c>
    </row>
    <row r="187" ht="48" customHeight="1">
      <c r="A187" s="13" t="str">
        <v>Spectrum</v>
      </c>
      <c r="B187" s="13" t="str">
        <v>Filament TDS</v>
      </c>
      <c r="C187" s="13" t="str">
        <v>asax x gf10</v>
      </c>
      <c r="D187" s="17" t="str">
        <v>Open document</v>
      </c>
      <c r="E187" s="13" t="str">
        <v>Yes</v>
      </c>
      <c r="F187" s="13" t="str">
        <v>S-SPECTRUM-en-tds-spectrum-asax-x-gf10</v>
      </c>
      <c r="G187" s="13" t="str">
        <v>Manufacturer TDS</v>
      </c>
      <c r="H187" s="13" t="str">
        <v>cited</v>
      </c>
      <c r="I187" s="13" t="str">
        <v>Retrieved</v>
      </c>
      <c r="J187" s="13" t="str">
        <v>G034-01</v>
      </c>
      <c r="K187" s="13" t="str">
        <v>Document / product page</v>
      </c>
      <c r="L187" s="13" t="str">
        <v>Not published</v>
      </c>
      <c r="M187" s="15" t="str">
        <v>Not published</v>
      </c>
      <c r="N187" s="15" t="n">
        <v>46275</v>
      </c>
      <c r="O187" s="13" t="str">
        <v>Spectrum</v>
      </c>
      <c r="P187" s="10" t="str">
        <v>https://spectrumfilaments.com/wp-content/uploads/2023/11/en_tds_spectrum_asax_x_gf10.pdf</v>
      </c>
      <c r="Q187" s="10" t="str">
        <v>f4f34b14a45646ed848481f9f4aa287fe3c00a893d7daa6451b33b0542205bfe</v>
      </c>
    </row>
    <row r="188" ht="48" customHeight="1">
      <c r="A188" s="14" t="str">
        <v>Spectrum</v>
      </c>
      <c r="B188" s="14" t="str">
        <v>Filament TDS</v>
      </c>
      <c r="C188" s="14" t="str">
        <v>hdpe</v>
      </c>
      <c r="D188" s="18" t="str">
        <v>Open document</v>
      </c>
      <c r="E188" s="14" t="str">
        <v>Yes</v>
      </c>
      <c r="F188" s="14" t="str">
        <v>S-SPECTRUM-en-tds-spectrum-hdpe</v>
      </c>
      <c r="G188" s="14" t="str">
        <v>Manufacturer TDS</v>
      </c>
      <c r="H188" s="14" t="str">
        <v>cited</v>
      </c>
      <c r="I188" s="14" t="str">
        <v>Retrieved</v>
      </c>
      <c r="J188" s="14" t="str">
        <v>G085-01</v>
      </c>
      <c r="K188" s="14" t="str">
        <v>Document / product page</v>
      </c>
      <c r="L188" s="14" t="str">
        <v>Not published</v>
      </c>
      <c r="M188" s="16" t="str">
        <v>Not published</v>
      </c>
      <c r="N188" s="16" t="n">
        <v>46279</v>
      </c>
      <c r="O188" s="14" t="str">
        <v>Spectrum</v>
      </c>
      <c r="P188" s="2" t="str">
        <v>https://spectrumfilaments.com/wp-content/uploads/2025/11/en_tds_spectrum_hdpe.pdf</v>
      </c>
      <c r="Q188" s="2" t="str">
        <v>c350642ca2c9f7be57619cc577ecab1ee26363389e053f6cb0b608aa6ab7ea74</v>
      </c>
    </row>
    <row r="189" ht="48" customHeight="1">
      <c r="A189" s="13" t="str">
        <v>Spectrum</v>
      </c>
      <c r="B189" s="13" t="str">
        <v>Filament TDS</v>
      </c>
      <c r="C189" s="13" t="str">
        <v>hipsx</v>
      </c>
      <c r="D189" s="17" t="str">
        <v>Open document</v>
      </c>
      <c r="E189" s="13" t="str">
        <v>Yes</v>
      </c>
      <c r="F189" s="13" t="str">
        <v>S-SPECTRUM-en-tds-spectrum-hipsx</v>
      </c>
      <c r="G189" s="13" t="str">
        <v>Manufacturer TDS</v>
      </c>
      <c r="H189" s="13" t="str">
        <v>cited</v>
      </c>
      <c r="I189" s="13" t="str">
        <v>Retrieved</v>
      </c>
      <c r="J189" s="13" t="str">
        <v>G081-02</v>
      </c>
      <c r="K189" s="13" t="str">
        <v>Document / product page</v>
      </c>
      <c r="L189" s="13" t="str">
        <v>Not published</v>
      </c>
      <c r="M189" s="15" t="str">
        <v>Not published</v>
      </c>
      <c r="N189" s="15" t="n">
        <v>46275</v>
      </c>
      <c r="O189" s="13" t="str">
        <v>Spectrum</v>
      </c>
      <c r="P189" s="10" t="str">
        <v>https://spectrumfilaments.com/wp-content/uploads/2022/05/en_tds_spectrum_hipsx.pdf</v>
      </c>
      <c r="Q189" s="10" t="str">
        <v>14ae19e583630f59cec1e99425f0ac1cd29cf7e2251a2c2f1be589f0d4abeb9d</v>
      </c>
    </row>
    <row r="190" ht="48" customHeight="1">
      <c r="A190" s="14" t="str">
        <v>Spectrum</v>
      </c>
      <c r="B190" s="14" t="str">
        <v>Filament TDS</v>
      </c>
      <c r="C190" s="14" t="str">
        <v>pa12 cf15</v>
      </c>
      <c r="D190" s="18" t="str">
        <v>Open document</v>
      </c>
      <c r="E190" s="14" t="str">
        <v>Yes</v>
      </c>
      <c r="F190" s="14" t="str">
        <v>S-SPECTRUM-en-tds-spectrum-pa12-cf15</v>
      </c>
      <c r="G190" s="14" t="str">
        <v>Manufacturer TDS</v>
      </c>
      <c r="H190" s="14" t="str">
        <v>cited</v>
      </c>
      <c r="I190" s="14" t="str">
        <v>Retrieved</v>
      </c>
      <c r="J190" s="14" t="str">
        <v>G053-03</v>
      </c>
      <c r="K190" s="14" t="str">
        <v>Document / product page</v>
      </c>
      <c r="L190" s="14" t="str">
        <v>Not published</v>
      </c>
      <c r="M190" s="16" t="str">
        <v>Not published</v>
      </c>
      <c r="N190" s="16" t="n">
        <v>46275</v>
      </c>
      <c r="O190" s="14" t="str">
        <v>Spectrum</v>
      </c>
      <c r="P190" s="2" t="str">
        <v>https://spectrumfilaments.com/wp-content/uploads/2024/11/en_tds_spectrum_pa12_cf15.pdf</v>
      </c>
      <c r="Q190" s="2" t="str">
        <v>d65655d831fd9ad3f0491b7eeaefba57091d21d2a8fa8412c45756cf276b9f28</v>
      </c>
    </row>
    <row r="191" ht="48" customHeight="1">
      <c r="A191" s="13" t="str">
        <v>Spectrum</v>
      </c>
      <c r="B191" s="13" t="str">
        <v>Filament TDS</v>
      </c>
      <c r="C191" s="13" t="str">
        <v>pa6 neat bk</v>
      </c>
      <c r="D191" s="17" t="str">
        <v>Open document</v>
      </c>
      <c r="E191" s="13" t="str">
        <v>Yes</v>
      </c>
      <c r="F191" s="13" t="str">
        <v>S-SPECTRUM-en-tds-spectrum-pa6-neat-bk</v>
      </c>
      <c r="G191" s="13" t="str">
        <v>Manufacturer TDS</v>
      </c>
      <c r="H191" s="13" t="str">
        <v>cited</v>
      </c>
      <c r="I191" s="13" t="str">
        <v>Retrieved</v>
      </c>
      <c r="J191" s="13" t="str">
        <v>G047-03; G049-01</v>
      </c>
      <c r="K191" s="13" t="str">
        <v>Document / product page</v>
      </c>
      <c r="L191" s="13" t="str">
        <v>Not published</v>
      </c>
      <c r="M191" s="15" t="str">
        <v>Not published</v>
      </c>
      <c r="N191" s="15" t="n">
        <v>46275</v>
      </c>
      <c r="O191" s="13" t="str">
        <v>Spectrum</v>
      </c>
      <c r="P191" s="10" t="str">
        <v>https://spectrumfilaments.com/wp-content/uploads/2022/05/en_tds_spectrum_pa6_neat_bk.pdf</v>
      </c>
      <c r="Q191" s="10" t="str">
        <v>9f5bfbb42ac4e83215da49c4d4747cdd96902e17fd688b7e95f86c3426488b4a</v>
      </c>
    </row>
    <row r="192" ht="48" customHeight="1">
      <c r="A192" s="14" t="str">
        <v>Spectrum</v>
      </c>
      <c r="B192" s="14" t="str">
        <v>Filament TDS</v>
      </c>
      <c r="C192" s="14" t="str">
        <v>pc abs fr v0</v>
      </c>
      <c r="D192" s="18" t="str">
        <v>Open document</v>
      </c>
      <c r="E192" s="14" t="str">
        <v>Yes</v>
      </c>
      <c r="F192" s="14" t="str">
        <v>S-SPECTRUM-en-tds-spectrum-pc-abs-fr-v0</v>
      </c>
      <c r="G192" s="14" t="str">
        <v>Manufacturer TDS</v>
      </c>
      <c r="H192" s="14" t="str">
        <v>cited</v>
      </c>
      <c r="I192" s="14" t="str">
        <v>Retrieved</v>
      </c>
      <c r="J192" s="14" t="str">
        <v>G094-03</v>
      </c>
      <c r="K192" s="14" t="str">
        <v>Document / product page</v>
      </c>
      <c r="L192" s="14" t="str">
        <v>Not published</v>
      </c>
      <c r="M192" s="16" t="str">
        <v>Not published</v>
      </c>
      <c r="N192" s="16" t="n">
        <v>46275</v>
      </c>
      <c r="O192" s="14" t="str">
        <v>Spectrum</v>
      </c>
      <c r="P192" s="2" t="str">
        <v>https://spectrumfilaments.com/wp-content/uploads/2024/02/en_tds_spectrum_pc_abs_fr_v0.pdf</v>
      </c>
      <c r="Q192" s="2" t="str">
        <v>779e8bc90e3f33dddb840adac8eff14bed684d3d23e1861053829e663443d07e</v>
      </c>
    </row>
    <row r="193" ht="48" customHeight="1">
      <c r="A193" s="13" t="str">
        <v>Spectrum</v>
      </c>
      <c r="B193" s="13" t="str">
        <v>Filament TDS</v>
      </c>
      <c r="C193" s="13" t="str">
        <v>pc cf</v>
      </c>
      <c r="D193" s="17" t="str">
        <v>Open document</v>
      </c>
      <c r="E193" s="13" t="str">
        <v>Yes</v>
      </c>
      <c r="F193" s="13" t="str">
        <v>S-SPECTRUM-en-tds-spectrum-pc-cf</v>
      </c>
      <c r="G193" s="13" t="str">
        <v>Manufacturer TDS</v>
      </c>
      <c r="H193" s="13" t="str">
        <v>cited</v>
      </c>
      <c r="I193" s="13" t="str">
        <v>Retrieved</v>
      </c>
      <c r="J193" s="13" t="str">
        <v>G037-02</v>
      </c>
      <c r="K193" s="13" t="str">
        <v>Document / product page</v>
      </c>
      <c r="L193" s="13" t="str">
        <v>Not published</v>
      </c>
      <c r="M193" s="15" t="str">
        <v>Not published</v>
      </c>
      <c r="N193" s="15" t="n">
        <v>46275</v>
      </c>
      <c r="O193" s="13" t="str">
        <v>Spectrum</v>
      </c>
      <c r="P193" s="10" t="str">
        <v>https://spectrumfilaments.com/wp-content/uploads/2024/11/en_tds_spectrum_pc_cf.pdf</v>
      </c>
      <c r="Q193" s="10" t="str">
        <v>a9ee1709dc82eefdcceb9b6a37d919b96c74737c41fc527284a08bf00e457bac</v>
      </c>
    </row>
    <row r="194" ht="48" customHeight="1">
      <c r="A194" s="14" t="str">
        <v>Spectrum</v>
      </c>
      <c r="B194" s="14" t="str">
        <v>Filament TDS</v>
      </c>
      <c r="C194" s="14" t="str">
        <v>pctg</v>
      </c>
      <c r="D194" s="18" t="str">
        <v>Open document</v>
      </c>
      <c r="E194" s="14" t="str">
        <v>Yes</v>
      </c>
      <c r="F194" s="14" t="str">
        <v>S-SPECTRUM-en-tds-spectrum-pctg</v>
      </c>
      <c r="G194" s="14" t="str">
        <v>Manufacturer TDS</v>
      </c>
      <c r="H194" s="14" t="str">
        <v>cited</v>
      </c>
      <c r="I194" s="14" t="str">
        <v>Retrieved</v>
      </c>
      <c r="J194" s="14" t="str">
        <v>G088-02</v>
      </c>
      <c r="K194" s="14" t="str">
        <v>Document / product page</v>
      </c>
      <c r="L194" s="14" t="str">
        <v>Not published</v>
      </c>
      <c r="M194" s="16" t="str">
        <v>Not published</v>
      </c>
      <c r="N194" s="16" t="n">
        <v>46275</v>
      </c>
      <c r="O194" s="14" t="str">
        <v>Spectrum</v>
      </c>
      <c r="P194" s="2" t="str">
        <v>https://spectrumfilaments.com/wp-content/uploads/2022/05/en_tds_spectrum_pctg.pdf</v>
      </c>
      <c r="Q194" s="2" t="str">
        <v>9a479a8fb4f070f263959b4bc1ba2637eef4ff62a35294d21e16f8e870d238d1</v>
      </c>
    </row>
    <row r="195" ht="48" customHeight="1">
      <c r="A195" s="13" t="str">
        <v>Spectrum</v>
      </c>
      <c r="B195" s="13" t="str">
        <v>Filament TDS</v>
      </c>
      <c r="C195" s="13" t="str">
        <v>pctg cf10</v>
      </c>
      <c r="D195" s="17" t="str">
        <v>Open document</v>
      </c>
      <c r="E195" s="13" t="str">
        <v>Yes</v>
      </c>
      <c r="F195" s="13" t="str">
        <v>S-SPECTRUM-en-tds-spectrum-pctg-cf10</v>
      </c>
      <c r="G195" s="13" t="str">
        <v>Manufacturer TDS</v>
      </c>
      <c r="H195" s="13" t="str">
        <v>cited</v>
      </c>
      <c r="I195" s="13" t="str">
        <v>Retrieved</v>
      </c>
      <c r="J195" s="13" t="str">
        <v>G090-02</v>
      </c>
      <c r="K195" s="13" t="str">
        <v>Document / product page</v>
      </c>
      <c r="L195" s="13" t="str">
        <v>Not published</v>
      </c>
      <c r="M195" s="15" t="str">
        <v>Not published</v>
      </c>
      <c r="N195" s="15" t="n">
        <v>46275</v>
      </c>
      <c r="O195" s="13" t="str">
        <v>Spectrum</v>
      </c>
      <c r="P195" s="10" t="str">
        <v>https://spectrumfilaments.com/wp-content/uploads/2022/10/en_tds_spectrum_pctg_cf10.pdf</v>
      </c>
      <c r="Q195" s="10" t="str">
        <v>8d45d6e26d2aca8a3320658906e6c06ecf784e442ea43e25d73d45338122b072</v>
      </c>
    </row>
    <row r="196" ht="48" customHeight="1">
      <c r="A196" s="14" t="str">
        <v>Spectrum</v>
      </c>
      <c r="B196" s="14" t="str">
        <v>Filament TDS</v>
      </c>
      <c r="C196" s="14" t="str">
        <v>peba</v>
      </c>
      <c r="D196" s="18" t="str">
        <v>Open document</v>
      </c>
      <c r="E196" s="14" t="str">
        <v>Yes</v>
      </c>
      <c r="F196" s="14" t="str">
        <v>S-SPECTRUM-en-tds-spectrum-peba</v>
      </c>
      <c r="G196" s="14" t="str">
        <v>Manufacturer TDS</v>
      </c>
      <c r="H196" s="14" t="str">
        <v>cited</v>
      </c>
      <c r="I196" s="14" t="str">
        <v>Retrieved</v>
      </c>
      <c r="J196" s="14" t="str">
        <v>G045-02</v>
      </c>
      <c r="K196" s="14" t="str">
        <v>Document / product page</v>
      </c>
      <c r="L196" s="14" t="str">
        <v>Not published</v>
      </c>
      <c r="M196" s="16" t="str">
        <v>Not published</v>
      </c>
      <c r="N196" s="16" t="n">
        <v>46275</v>
      </c>
      <c r="O196" s="14" t="str">
        <v>Spectrum</v>
      </c>
      <c r="P196" s="2" t="str">
        <v>https://spectrumfilaments.com/wp-content/uploads/2025/11/en_tds_spectrum_peba.pdf</v>
      </c>
      <c r="Q196" s="2" t="str">
        <v>3f08e318cbd082cb229b11ec21dc89a26554d019e1374add333a8c02f8762fad</v>
      </c>
    </row>
    <row r="197" ht="48" customHeight="1">
      <c r="A197" s="13" t="str">
        <v>Spectrum</v>
      </c>
      <c r="B197" s="13" t="str">
        <v>Filament TDS</v>
      </c>
      <c r="C197" s="13" t="str">
        <v>petg esd</v>
      </c>
      <c r="D197" s="17" t="str">
        <v>Open document</v>
      </c>
      <c r="E197" s="13" t="str">
        <v>Yes</v>
      </c>
      <c r="F197" s="13" t="str">
        <v>S-SPECTRUM-en-tds-spectrum-petg-esd</v>
      </c>
      <c r="G197" s="13" t="str">
        <v>Manufacturer TDS</v>
      </c>
      <c r="H197" s="13" t="str">
        <v>cited</v>
      </c>
      <c r="I197" s="13" t="str">
        <v>Retrieved</v>
      </c>
      <c r="J197" s="13" t="str">
        <v>G026-03</v>
      </c>
      <c r="K197" s="13" t="str">
        <v>Document / product page</v>
      </c>
      <c r="L197" s="13" t="str">
        <v>Not published</v>
      </c>
      <c r="M197" s="15" t="str">
        <v>Not published</v>
      </c>
      <c r="N197" s="15" t="n">
        <v>46275</v>
      </c>
      <c r="O197" s="13" t="str">
        <v>Spectrum</v>
      </c>
      <c r="P197" s="10" t="str">
        <v>https://spectrumfilaments.com/wp-content/uploads/2025/11/en_tds_spectrum_petg_esd.pdf</v>
      </c>
      <c r="Q197" s="10" t="str">
        <v>98da8269b06df68ecf6c84e60cf792306e82a47282d2b6088d09ed41a72e85ab</v>
      </c>
    </row>
    <row r="198" ht="48" customHeight="1">
      <c r="A198" s="14" t="str">
        <v>Spectrum</v>
      </c>
      <c r="B198" s="14" t="str">
        <v>Filament TDS</v>
      </c>
      <c r="C198" s="14" t="str">
        <v>pps am230</v>
      </c>
      <c r="D198" s="18" t="str">
        <v>Open document</v>
      </c>
      <c r="E198" s="14" t="str">
        <v>Yes</v>
      </c>
      <c r="F198" s="14" t="str">
        <v>S-SPECTRUM-en-tds-spectrum-pps-am230</v>
      </c>
      <c r="G198" s="14" t="str">
        <v>Manufacturer TDS</v>
      </c>
      <c r="H198" s="14" t="str">
        <v>cited</v>
      </c>
      <c r="I198" s="14" t="str">
        <v>Retrieved</v>
      </c>
      <c r="J198" s="14" t="str">
        <v>G072-02</v>
      </c>
      <c r="K198" s="14" t="str">
        <v>Document / product page</v>
      </c>
      <c r="L198" s="14" t="str">
        <v>Not published</v>
      </c>
      <c r="M198" s="16" t="str">
        <v>Not published</v>
      </c>
      <c r="N198" s="16" t="n">
        <v>46275</v>
      </c>
      <c r="O198" s="14" t="str">
        <v>Spectrum</v>
      </c>
      <c r="P198" s="2" t="str">
        <v>https://spectrumfilaments.com/wp-content/uploads/2022/10/en_tds_spectrum_pps_am230.pdf</v>
      </c>
      <c r="Q198" s="2" t="str">
        <v>19c8753c06673ab9b12a20205fa8bd3445832502ce665ce04ba2de9826f03190</v>
      </c>
    </row>
    <row r="199" ht="50" customHeight="1">
      <c r="A199" s="13" t="str">
        <v>Siraya Tech</v>
      </c>
      <c r="B199" s="13" t="str">
        <v>Filament TDS</v>
      </c>
      <c r="C199" s="13" t="str">
        <v>Fibreheart PPA-GF TDS for FDM printer</v>
      </c>
      <c r="D199" s="17" t="str">
        <v>Open document</v>
      </c>
      <c r="E199" s="13" t="str">
        <v>Yes</v>
      </c>
      <c r="F199" s="13" t="str">
        <v>D-SIRAYA-Fibreheart-PPA-GF-TDS</v>
      </c>
      <c r="G199" s="13" t="str">
        <v>Manufacturer TDS (web)</v>
      </c>
      <c r="H199" s="13" t="str">
        <v>cited</v>
      </c>
      <c r="I199" s="13" t="str">
        <v>Retrieved; the publisher serves this TDS as a web page only. The cached document is the owner-supplied PDF rendering, whose values match the live page</v>
      </c>
      <c r="J199" s="13" t="str">
        <v>G071-02 (Siraya Tech Fibreheart PPA-GF, the second PPA-GF formulation)</v>
      </c>
      <c r="K199" s="13" t="str">
        <v>p. 2: specifications, including filament density; p. 3: mechanical and other properties, unannealed and annealed; pp. 4-5: the printing workflow and the annealing recommendation</v>
      </c>
      <c r="L199" s="13" t="str">
        <v>Not published</v>
      </c>
      <c r="M199" s="15" t="str">
        <v>Not published</v>
      </c>
      <c r="N199" s="15" t="n">
        <v>46282</v>
      </c>
      <c r="O199" s="13" t="str">
        <v>Siraya Tech</v>
      </c>
      <c r="P199" s="10" t="str">
        <v>https://siraya.tech/pages/fibreheart-ppa-gf-tds</v>
      </c>
      <c r="Q199" s="10" t="str">
        <v>5a2c215a17afb7e321277f53b7d729d3b0d1137bccd4b30ca70a5590e387ad15</v>
      </c>
    </row>
    <row r="200" ht="48" customHeight="1">
      <c r="A200" s="14" t="str">
        <v>Siraya Tech</v>
      </c>
      <c r="B200" s="14" t="str">
        <v>Filament TDS</v>
      </c>
      <c r="C200" s="14" t="str">
        <v>Technical Data Sheet: Siraya Tech Fibreheart ABS-GF</v>
      </c>
      <c r="D200" s="18" t="str">
        <v>Open document</v>
      </c>
      <c r="E200" s="14" t="str">
        <v>Yes</v>
      </c>
      <c r="F200" s="14" t="str">
        <v>D-SIRAYA-Fibreheart-ABS-GF-TDS</v>
      </c>
      <c r="G200" s="14" t="str">
        <v>Manufacturer TDS</v>
      </c>
      <c r="H200" s="14" t="str">
        <v>cited</v>
      </c>
      <c r="I200" s="14" t="str">
        <v>Retrieved; owner-supplied copy, byte-identical to the file linked from siraya.tech/pages/fibreheart-abs-gf-filament-tds</v>
      </c>
      <c r="J200" s="14" t="str">
        <v>G028-02 (Siraya Tech Fibreheart ABS-GF, the second ABS-GF formulation)</v>
      </c>
      <c r="K200" s="14" t="str">
        <v>p. 1: product introduction and the summary chart; p. 2: mechanical, other and filament properties; pp. 3-4: the printing workflow</v>
      </c>
      <c r="L200" s="14" t="str">
        <v>Not published</v>
      </c>
      <c r="M200" s="16" t="str">
        <v>Not published</v>
      </c>
      <c r="N200" s="16" t="n">
        <v>46282</v>
      </c>
      <c r="O200" s="14" t="str">
        <v>Siraya Tech</v>
      </c>
      <c r="P200" s="2" t="str">
        <v>https://drive.google.com/file/d/1f2ZP0RORUl6RalvYTG7vaFeEJBrTNoC2/view</v>
      </c>
      <c r="Q200" s="2" t="str">
        <v>f9e7f812255ac13a520c0ff75593c741ce6e60fe8f903b7d9ad1067eec4601cc</v>
      </c>
    </row>
    <row r="201" ht="48" customHeight="1">
      <c r="A201" s="13" t="str">
        <v>Siraya Tech</v>
      </c>
      <c r="B201" s="13" t="str">
        <v>Filament TDS</v>
      </c>
      <c r="C201" s="13" t="str">
        <v>Technical Data Sheet: Siraya Tech Fibreheart PPA</v>
      </c>
      <c r="D201" s="17" t="str">
        <v>Open document</v>
      </c>
      <c r="E201" s="13" t="str">
        <v>Yes</v>
      </c>
      <c r="F201" s="13" t="str">
        <v>D-SIRAYA-Fibreheart-PPA-TDS</v>
      </c>
      <c r="G201" s="13" t="str">
        <v>Manufacturer TDS</v>
      </c>
      <c r="H201" s="13" t="str">
        <v>cited</v>
      </c>
      <c r="I201" s="13" t="str">
        <v>Retrieved; owner-supplied copy, byte-identical to the file linked from siraya.tech/pages/siraya-tech-fibreheart-ppa-filament-tds</v>
      </c>
      <c r="J201" s="13" t="str">
        <v>G069-02 (Siraya Tech Fibreheart PPA, the second PPA formulation)</v>
      </c>
      <c r="K201" s="13" t="str">
        <v>p. 2: mechanical properties; p. 3: other properties, including the dry and wet heat-deflection rows; pp. 4-5: the printing workflow</v>
      </c>
      <c r="L201" s="13" t="str">
        <v>Not published</v>
      </c>
      <c r="M201" s="15" t="str">
        <v>Not published</v>
      </c>
      <c r="N201" s="15" t="n">
        <v>46282</v>
      </c>
      <c r="O201" s="13" t="str">
        <v>Siraya Tech</v>
      </c>
      <c r="P201" s="10" t="str">
        <v>https://drive.google.com/file/d/1GaGVCDdMkTlow4lEnktYVjDoS5o5WAKU/view</v>
      </c>
      <c r="Q201" s="10" t="str">
        <v>2a7e1fe39bb4d35e3c86fa12ed7db5c67d2c753b9a32fa615d2ab184579c9d45</v>
      </c>
    </row>
    <row r="202" ht="48" customHeight="1">
      <c r="A202" s="14" t="str">
        <v>Siraya Tech</v>
      </c>
      <c r="B202" s="14" t="str">
        <v>Filament TDS</v>
      </c>
      <c r="C202" s="14" t="str">
        <v>Technical Data Sheet: Siraya Tech Fibreheart PPA-CF</v>
      </c>
      <c r="D202" s="18" t="str">
        <v>Open document</v>
      </c>
      <c r="E202" s="14" t="str">
        <v>Yes</v>
      </c>
      <c r="F202" s="14" t="str">
        <v>D-SIRAYA-Fibreheart-PPA-CF-TDS</v>
      </c>
      <c r="G202" s="14" t="str">
        <v>Manufacturer TDS</v>
      </c>
      <c r="H202" s="14" t="str">
        <v>cited</v>
      </c>
      <c r="I202" s="14" t="str">
        <v>Retrieved; owner-supplied copy, byte-identical to the file linked from siraya.tech/pages/siraya-tech-fibreheart-paht-cf-ppa-based-tds</v>
      </c>
      <c r="J202" s="14" t="str">
        <v>G070-02 (Siraya Tech Fibreheart PPA-CF, a second PPA-CF formulation)</v>
      </c>
      <c r="K202" s="14" t="str">
        <v>p. 2: mechanical properties, unannealed and annealed; p. 3: other properties and the printing preparation; p. 4: the printing guide</v>
      </c>
      <c r="L202" s="14" t="str">
        <v>Not published</v>
      </c>
      <c r="M202" s="16" t="str">
        <v>Not published</v>
      </c>
      <c r="N202" s="16" t="n">
        <v>46282</v>
      </c>
      <c r="O202" s="14" t="str">
        <v>Siraya Tech</v>
      </c>
      <c r="P202" s="2" t="str">
        <v>https://drive.google.com/file/d/1PelrzkuSeJ9APBa451_7qJ3t_MMKJH9H/view</v>
      </c>
      <c r="Q202" s="2" t="str">
        <v>6be1ce96d4674f5b82dcf113b386ee8017687581e88c73bdf99d0b88525ecc02</v>
      </c>
    </row>
    <row r="203" ht="48" customHeight="1">
      <c r="A203" s="13" t="str">
        <v>Siraya Tech</v>
      </c>
      <c r="B203" s="13" t="str">
        <v>Filament TDS</v>
      </c>
      <c r="C203" s="13" t="str">
        <v>Technical Data Sheet: Siraya Tech Fibreheart PPA-CF Core</v>
      </c>
      <c r="D203" s="17" t="str">
        <v>Open document</v>
      </c>
      <c r="E203" s="13" t="str">
        <v>Yes</v>
      </c>
      <c r="F203" s="13" t="str">
        <v>D-SIRAYA-Fibreheart-PPA-CF-Core-TDS</v>
      </c>
      <c r="G203" s="13" t="str">
        <v>Manufacturer TDS</v>
      </c>
      <c r="H203" s="13" t="str">
        <v>cited</v>
      </c>
      <c r="I203" s="13" t="str">
        <v>Retrieved; owner-supplied copy, byte-identical to the file linked from siraya.tech/pages/siraya-tech-fibreheart-ppa-cf-core-tds</v>
      </c>
      <c r="J203" s="13" t="str">
        <v>G070-03 (Siraya Tech Fibreheart PPA-CF Core, a third PPA-CF formulation)</v>
      </c>
      <c r="K203" s="13" t="str">
        <v>p. 2: mechanical properties, unannealed and annealed; p. 3: other properties and the material specifications; p. 4: the printing preparation</v>
      </c>
      <c r="L203" s="13" t="str">
        <v>Not published</v>
      </c>
      <c r="M203" s="15" t="str">
        <v>Not published</v>
      </c>
      <c r="N203" s="15" t="n">
        <v>46282</v>
      </c>
      <c r="O203" s="13" t="str">
        <v>Siraya Tech</v>
      </c>
      <c r="P203" s="10" t="str">
        <v>https://drive.google.com/file/d/1BtsXWum9kAZEWi0dbaha2eKUp5DRORhS/view</v>
      </c>
      <c r="Q203" s="10" t="str">
        <v>bc1acc67abe5686d16c9367a12ca3fcb256cc7d3f7a7c56d4242f7eb4e0f9a4d</v>
      </c>
    </row>
    <row r="204" ht="48" customHeight="1">
      <c r="A204" s="14" t="str">
        <v>Siraya Tech</v>
      </c>
      <c r="B204" s="14" t="str">
        <v>SDS</v>
      </c>
      <c r="C204" s="14" t="str">
        <v>Material Safety Data Sheet: Siraya Tech ABS-GF</v>
      </c>
      <c r="D204" s="18" t="str">
        <v>Open document</v>
      </c>
      <c r="E204" s="14" t="str">
        <v>Yes</v>
      </c>
      <c r="F204" s="14" t="str">
        <v>D-SIRAYA-Fibreheart-ABS-GF-SDS</v>
      </c>
      <c r="G204" s="14" t="str">
        <v>Manufacturer SDS</v>
      </c>
      <c r="H204" s="14" t="str">
        <v>cited</v>
      </c>
      <c r="I204" s="14" t="str">
        <v>Retrieved; the currently-served revision, which differs from the copy the owner supplied</v>
      </c>
      <c r="J204" s="14" t="str">
        <v>G028-02 (Siraya Tech Fibreheart ABS-GF)</v>
      </c>
      <c r="K204" s="14" t="str">
        <v>p. 2: composition and information on ingredients, and fire fighting measures; p. 3: safe handling and storage; p. 4: chemical stability and waste disposal</v>
      </c>
      <c r="L204" s="14" t="str">
        <v>Not published</v>
      </c>
      <c r="M204" s="16" t="str">
        <v>Not published</v>
      </c>
      <c r="N204" s="16" t="n">
        <v>46282</v>
      </c>
      <c r="O204" s="14" t="str">
        <v>Siraya Tech</v>
      </c>
      <c r="P204" s="2" t="str">
        <v>https://drive.google.com/file/d/1fmW2wikLsuWH39cW6p6NCg_kPwikk_LV/view</v>
      </c>
      <c r="Q204" s="2" t="str">
        <v>1cb7ada0a4e3e63f3dd0423fb69e5b5af78f9b817cba5b351edbe510489011b7</v>
      </c>
    </row>
    <row r="205" ht="48" customHeight="1">
      <c r="A205" s="13" t="str">
        <v>Siraya Tech</v>
      </c>
      <c r="B205" s="13" t="str">
        <v>SDS</v>
      </c>
      <c r="C205" s="13" t="str">
        <v>Material Safety Data Sheet: Siraya Tech PAHT-CF</v>
      </c>
      <c r="D205" s="17" t="str">
        <v>Open document</v>
      </c>
      <c r="E205" s="13" t="str">
        <v>Yes</v>
      </c>
      <c r="F205" s="13" t="str">
        <v>D-SIRAYA-Fibreheart-PPA-CF-SDS</v>
      </c>
      <c r="G205" s="13" t="str">
        <v>Manufacturer SDS</v>
      </c>
      <c r="H205" s="13" t="str">
        <v>cited</v>
      </c>
      <c r="I205" s="13" t="str">
        <v>Retrieved; the currently-served revision, which differs from the copy the owner supplied</v>
      </c>
      <c r="J205" s="13" t="str">
        <v>G070-02 (Siraya Tech Fibreheart PPA-CF)</v>
      </c>
      <c r="K205" s="13" t="str">
        <v>p. 2: composition and information on ingredients, and fire fighting measures; p. 3: safe handling and storage; p. 4: chemical stability and waste disposal</v>
      </c>
      <c r="L205" s="13" t="str">
        <v>Not published</v>
      </c>
      <c r="M205" s="15" t="str">
        <v>Not published</v>
      </c>
      <c r="N205" s="15" t="n">
        <v>46282</v>
      </c>
      <c r="O205" s="13" t="str">
        <v>Siraya Tech</v>
      </c>
      <c r="P205" s="10" t="str">
        <v>https://drive.google.com/file/d/1OiaxrW6QL_WKWPO6mBTX9f6EjZyiKBlB/view</v>
      </c>
      <c r="Q205" s="10" t="str">
        <v>9962541a7bd28b7731fe067f0da0dd7d6c941183cd260e4118fe5e5771c8a43a</v>
      </c>
    </row>
    <row r="206" ht="48" customHeight="1">
      <c r="A206" s="14" t="str">
        <v>Siraya Tech</v>
      </c>
      <c r="B206" s="14" t="str">
        <v>SDS</v>
      </c>
      <c r="C206" s="14" t="str">
        <v>Material Safety Data Sheet: Siraya Tech PPA-CF Core</v>
      </c>
      <c r="D206" s="18" t="str">
        <v>Open document</v>
      </c>
      <c r="E206" s="14" t="str">
        <v>Yes</v>
      </c>
      <c r="F206" s="14" t="str">
        <v>D-SIRAYA-Fibreheart-PPA-CF-Core-SDS</v>
      </c>
      <c r="G206" s="14" t="str">
        <v>Manufacturer SDS</v>
      </c>
      <c r="H206" s="14" t="str">
        <v>cited</v>
      </c>
      <c r="I206" s="14" t="str">
        <v>Retrieved; the currently-served revision, which differs from the copy the owner supplied</v>
      </c>
      <c r="J206" s="14" t="str">
        <v>G070-03 (Siraya Tech Fibreheart PPA-CF Core)</v>
      </c>
      <c r="K206" s="14" t="str">
        <v>p. 2: composition and information on ingredients, and fire fighting measures; p. 3: safe handling and storage; p. 4: chemical stability and waste disposal</v>
      </c>
      <c r="L206" s="14" t="str">
        <v>Not published</v>
      </c>
      <c r="M206" s="16" t="str">
        <v>Not published</v>
      </c>
      <c r="N206" s="16" t="n">
        <v>46282</v>
      </c>
      <c r="O206" s="14" t="str">
        <v>Siraya Tech</v>
      </c>
      <c r="P206" s="2" t="str">
        <v>https://drive.google.com/file/d/1GvDXi7KEz8I19IJP71tESdB9vGS48xr_/view</v>
      </c>
      <c r="Q206" s="2" t="str">
        <v>5a0c0285acd73f10fb88da7b1c95bb6b501f6e0000bf5bc5619c770957dff5c1</v>
      </c>
    </row>
    <row r="207" ht="48" customHeight="1">
      <c r="A207" s="13" t="str">
        <v>Siraya Tech</v>
      </c>
      <c r="B207" s="13" t="str">
        <v>SDS</v>
      </c>
      <c r="C207" s="13" t="str">
        <v>Material Safety Data Sheet: Siraya Tech PPA-GF</v>
      </c>
      <c r="D207" s="17" t="str">
        <v>Open document</v>
      </c>
      <c r="E207" s="13" t="str">
        <v>Yes</v>
      </c>
      <c r="F207" s="13" t="str">
        <v>D-SIRAYA-Fibreheart-PPA-GF-SDS</v>
      </c>
      <c r="G207" s="13" t="str">
        <v>Manufacturer SDS</v>
      </c>
      <c r="H207" s="13" t="str">
        <v>cited</v>
      </c>
      <c r="I207" s="13" t="str">
        <v>Retrieved; the currently-served revision, which differs from the copy the owner supplied</v>
      </c>
      <c r="J207" s="13" t="str">
        <v>G071-02 (Siraya Tech Fibreheart PPA-GF)</v>
      </c>
      <c r="K207" s="13" t="str">
        <v>p. 2: composition and information on ingredients, and fire fighting measures; p. 3: safe handling and storage; p. 4: chemical stability and waste disposal</v>
      </c>
      <c r="L207" s="13" t="str">
        <v>Not published</v>
      </c>
      <c r="M207" s="15" t="str">
        <v>Not published</v>
      </c>
      <c r="N207" s="15" t="n">
        <v>46282</v>
      </c>
      <c r="O207" s="13" t="str">
        <v>Siraya Tech</v>
      </c>
      <c r="P207" s="10" t="str">
        <v>https://drive.google.com/file/d/1M8Z-Ylnh9c9vY86NZx39tXCFKJoLirlJ/view</v>
      </c>
      <c r="Q207" s="10" t="str">
        <v>9397bea4de94af9a178d5ade8d633f4e8e13a1bc07a6475a480bde1762b8a691</v>
      </c>
    </row>
    <row r="208" ht="78" customHeight="1">
      <c r="A208" s="14" t="str">
        <v>BASF Forward AM / Ultrafuse</v>
      </c>
      <c r="B208" s="14" t="str">
        <v>Filament TDS</v>
      </c>
      <c r="C208" s="14" t="str">
        <v>Technical Data Sheet for Ultrafuse PAHT CF15</v>
      </c>
      <c r="D208" s="18" t="str">
        <v>Open document</v>
      </c>
      <c r="E208" s="14" t="str">
        <v>Yes</v>
      </c>
      <c r="F208" s="14" t="str">
        <v>R-FORWARDAM-PAHT-CF15-TDS-v4-0</v>
      </c>
      <c r="G208" s="14" t="str">
        <v>Manufacturer TDS</v>
      </c>
      <c r="H208" s="14" t="str">
        <v>cited</v>
      </c>
      <c r="I208" s="14" t="str">
        <v>Retrieved; owner-supplied copy hash-matched to the 2026-09-15 reading. The file is served at a v3.5-1 URL and prints Version No. 4.0</v>
      </c>
      <c r="J208" s="14" t="str">
        <v>G048-02 (BASF Ultrafuse PAHT CF15, the second PAHT-CF formulation)</v>
      </c>
      <c r="K208" s="14" t="str">
        <v>p. 1: components, product description, storage and product safety; p. 2: filament and spool properties, the recommended and the as-tested print parameters, drying and support compatibility; p. 3: general and thermal properties, dry and conditioned; p. 4: mechanical and electrical properties, dried specimens, XY / XZ / ZX; p. 5: the same for conditioned specimens</v>
      </c>
      <c r="L208" s="14" t="str">
        <v>Version No.: 4.0</v>
      </c>
      <c r="M208" s="16" t="n">
        <v>45055</v>
      </c>
      <c r="N208" s="16" t="n">
        <v>46282</v>
      </c>
      <c r="O208" s="14" t="str">
        <v>BASF Forward AM</v>
      </c>
      <c r="P208" s="2" t="str">
        <v>https://forward-am.com/wp-content/uploads/2024/10/Ultrafuse_PAHT_CF15_TDS_EN_v3.5-1.pdf</v>
      </c>
      <c r="Q208" s="2" t="str">
        <v>29bce0add561a20979c9d5bcefc7a4811e4ff827768fc679977c93b388cac34f</v>
      </c>
    </row>
    <row r="209" ht="48" customHeight="1">
      <c r="A209" s="13" t="str">
        <v>BASF Forward AM / Ultrafuse</v>
      </c>
      <c r="B209" s="13" t="str">
        <v>Filament TDS</v>
      </c>
      <c r="C209" s="13" t="str">
        <v>Ultrafuse BVOH</v>
      </c>
      <c r="D209" s="17" t="str">
        <v>Open document</v>
      </c>
      <c r="E209" s="13" t="str">
        <v>Yes</v>
      </c>
      <c r="F209" s="13" t="str">
        <v>S-BVOH-ULTRAFUSE-TDS-v1-3</v>
      </c>
      <c r="G209" s="13" t="str">
        <v>Manufacturer TDS</v>
      </c>
      <c r="H209" s="13" t="str">
        <v>cited</v>
      </c>
      <c r="I209" s="13" t="str">
        <v>Retrieved</v>
      </c>
      <c r="J209" s="13" t="str">
        <v>G076-02</v>
      </c>
      <c r="K209" s="13" t="str">
        <v>p. 2: General and thermal properties; p. 3: Mechanical properties (print direction XY flat, XZ on its edge, ZX upright)</v>
      </c>
      <c r="L209" s="13" t="str">
        <v>Version No.: 1.3</v>
      </c>
      <c r="M209" s="15" t="n">
        <v>43780</v>
      </c>
      <c r="N209" s="15" t="n">
        <v>46281</v>
      </c>
      <c r="O209" s="13" t="str">
        <v>BASF Forward AM</v>
      </c>
      <c r="P209" s="10" t="str">
        <v>https://move.forward-am.com/hubfs/AES%20Documentation/Support%20Filaments/BVOH/TDS/Ultrafuse_BVOH_TDS_EN_v1.3.pdf</v>
      </c>
      <c r="Q209" s="10" t="str">
        <v>c45c6fb20e994a9e8370ac64174255778a8a3c07eeb6785eb1f2ee5be498adaa</v>
      </c>
    </row>
    <row r="210" ht="64" customHeight="1">
      <c r="A210" s="14" t="str">
        <v>BASF Forward AM / Ultrafuse</v>
      </c>
      <c r="B210" s="14" t="str">
        <v>Filament TDS</v>
      </c>
      <c r="C210" s="14" t="str">
        <v>Ultrafuse BVOH Extended TDS: Complete Technical Documentation and Testing Summary</v>
      </c>
      <c r="D210" s="18" t="str">
        <v>Open document</v>
      </c>
      <c r="E210" s="14" t="str">
        <v>Yes</v>
      </c>
      <c r="F210" s="14" t="str">
        <v>R-FORWARDAM-ULTRAFUSE-BVOH-EXTENDED-TDS</v>
      </c>
      <c r="G210" s="14" t="str">
        <v>Manufacturer TDS</v>
      </c>
      <c r="H210" s="14" t="str">
        <v>corroboration</v>
      </c>
      <c r="I210" s="14" t="str">
        <v>Retrieved</v>
      </c>
      <c r="J210" s="14" t="str">
        <v>G076-02; the same values as S-BVOH-ULTRAFUSE-TDS-v1-3 with the specimen printer, conditioning (23 °C / 50% RH, 72 h) and test speeds</v>
      </c>
      <c r="K210" s="14" t="str">
        <v>p. 3: Used for test specimens (Ultimaker S5, 210 °C, 60 °C bed, 40 mm/s); p. 4: Tensile and flexural properties by direction, footnotes 5-8 (conditioning and test speeds)</v>
      </c>
      <c r="L210" s="14" t="str">
        <v>Version 1.0</v>
      </c>
      <c r="M210" s="16" t="str">
        <v>Not published</v>
      </c>
      <c r="N210" s="16" t="n">
        <v>46281</v>
      </c>
      <c r="O210" s="14" t="str">
        <v>BASF Forward AM (document mirrored by Raise3D Japan)</v>
      </c>
      <c r="P210" s="2" t="str">
        <v>https://www.raise3d.jp/tds_ultrafuse_bvoh.pdf</v>
      </c>
      <c r="Q210" s="2" t="str">
        <v>5c312e6dd2740bf4264081441412666d526fb7ee1f12d681a63f468952a43eda</v>
      </c>
    </row>
    <row r="211" ht="48" customHeight="1">
      <c r="A211" s="13" t="str">
        <v>BASF Forward AM / Ultrafuse</v>
      </c>
      <c r="B211" s="13" t="str">
        <v>Filament TDS</v>
      </c>
      <c r="C211" s="13" t="str">
        <v>Ultrafuse PC GF30 Technical Data Sheet</v>
      </c>
      <c r="D211" s="17" t="str">
        <v>Open document</v>
      </c>
      <c r="E211" s="13" t="str">
        <v>Yes</v>
      </c>
      <c r="F211" s="13" t="str">
        <v>R-BASF-PCGF30-TDS</v>
      </c>
      <c r="G211" s="13" t="str">
        <v>Manufacturer TDS</v>
      </c>
      <c r="H211" s="13" t="str">
        <v>cited</v>
      </c>
      <c r="I211" s="13" t="str">
        <v>Retrieved</v>
      </c>
      <c r="J211" s="13" t="str">
        <v>M038 / G038-02</v>
      </c>
      <c r="K211" s="13" t="str">
        <v>pp. 1-3</v>
      </c>
      <c r="L211" s="13" t="str">
        <v>Version 1.2</v>
      </c>
      <c r="M211" s="15" t="n">
        <v>44587</v>
      </c>
      <c r="N211" s="15" t="n">
        <v>46278</v>
      </c>
      <c r="O211" s="13" t="str">
        <v>BASF Forward AM</v>
      </c>
      <c r="P211" s="10" t="str">
        <v>https://forward-am.com/wp-content/uploads/2021/12/Ultrafuse_PC_GF30_TDS_EN_v1.2.pdf</v>
      </c>
      <c r="Q211" s="10" t="str">
        <v>bf1773381d166b1a930dd12be1164c3284b74bebfd4cc2894a8018cf8f3914a0</v>
      </c>
    </row>
    <row r="212" ht="48" customHeight="1">
      <c r="A212" s="14" t="str">
        <v>BASF Forward AM / Ultrafuse</v>
      </c>
      <c r="B212" s="14" t="str">
        <v>Filament TDS</v>
      </c>
      <c r="C212" s="14" t="str">
        <v>Ultrafuse TPC 45D</v>
      </c>
      <c r="D212" s="18" t="str">
        <v>Open document</v>
      </c>
      <c r="E212" s="14" t="str">
        <v>Yes</v>
      </c>
      <c r="F212" s="14" t="str">
        <v>S-TPC</v>
      </c>
      <c r="G212" s="14" t="str">
        <v>Manufacturer TDS</v>
      </c>
      <c r="H212" s="14" t="str">
        <v>cited</v>
      </c>
      <c r="I212" s="14" t="str">
        <v>Retrieved</v>
      </c>
      <c r="J212" s="14" t="str">
        <v>G044-01; G046-01</v>
      </c>
      <c r="K212" s="14" t="str">
        <v>Document / product page</v>
      </c>
      <c r="L212" s="14" t="str">
        <v>Version No.: 2.3</v>
      </c>
      <c r="M212" s="16" t="str">
        <v>Not published</v>
      </c>
      <c r="N212" s="16" t="n">
        <v>46275</v>
      </c>
      <c r="O212" s="14" t="str">
        <v>BASF Forward AM</v>
      </c>
      <c r="P212" s="2" t="str">
        <v>https://move.forward-am.com/hubfs/AES%20Documentation/Flexible%20Filaments/TPC%2045D/TDS/Ultrafuse_TPC_45D_TDS_EN_v2.3.pdf</v>
      </c>
      <c r="Q212" s="2" t="str">
        <v>43cf570387b2fcd59372e157e61930b1b56e36bd847fce3bc2f7992083eadea6</v>
      </c>
    </row>
    <row r="213" ht="48" customHeight="1">
      <c r="A213" s="13" t="str">
        <v>BASF Forward AM / Ultrafuse</v>
      </c>
      <c r="B213" s="13" t="str">
        <v>Guide / product page</v>
      </c>
      <c r="C213" s="13" t="str">
        <v>Ultrafuse PC GF30</v>
      </c>
      <c r="D213" s="17" t="str">
        <v>Open document</v>
      </c>
      <c r="E213" s="13" t="str">
        <v>Yes</v>
      </c>
      <c r="F213" s="13" t="str">
        <v>R-BASF-PCGF30-PRODUCT</v>
      </c>
      <c r="G213" s="13" t="str">
        <v>Official manufacturer product page</v>
      </c>
      <c r="H213" s="13" t="str">
        <v>corroboration</v>
      </c>
      <c r="I213" s="13" t="str">
        <v>Retrieved via web</v>
      </c>
      <c r="J213" s="13" t="str">
        <v>M038 / G038-02</v>
      </c>
      <c r="K213" s="13" t="str">
        <v>Current product, diameters, properties and applications</v>
      </c>
      <c r="L213" s="13" t="str">
        <v>Not published</v>
      </c>
      <c r="M213" s="15" t="str">
        <v>Not published</v>
      </c>
      <c r="N213" s="15" t="n">
        <v>46278</v>
      </c>
      <c r="O213" s="13" t="str">
        <v>BASF Forward AM</v>
      </c>
      <c r="P213" s="10" t="str">
        <v>https://forward-am.com/material-portfolio/ultrafuse-filaments-for-fused-filaments-fabrication-fff/reinforced-filaments/ultrafuse-pc-gf30/</v>
      </c>
      <c r="Q213" s="10" t="str">
        <v>Not recorded</v>
      </c>
    </row>
    <row r="214" ht="48" customHeight="1">
      <c r="A214" s="14" t="str">
        <v>IPCON</v>
      </c>
      <c r="B214" s="14" t="str">
        <v>Filament TDS</v>
      </c>
      <c r="C214" s="14" t="str">
        <v>IPCON ASA GF Technical Data Sheet</v>
      </c>
      <c r="D214" s="18" t="str">
        <v>Open document</v>
      </c>
      <c r="E214" s="14" t="str">
        <v>Yes</v>
      </c>
      <c r="F214" s="14" t="str">
        <v>R-IPCON-ASA-GF-TDS</v>
      </c>
      <c r="G214" s="14" t="str">
        <v>Manufacturer TDS</v>
      </c>
      <c r="H214" s="14" t="str">
        <v>cited</v>
      </c>
      <c r="I214" s="14" t="str">
        <v>Retrieved</v>
      </c>
      <c r="J214" s="14" t="str">
        <v>M034 / G034-03</v>
      </c>
      <c r="K214" s="14" t="str">
        <v>Filament's properties; Recommended printing settings</v>
      </c>
      <c r="L214" s="14" t="str">
        <v>Version 1.0, 2026.06.01</v>
      </c>
      <c r="M214" s="16" t="str">
        <v>Not published</v>
      </c>
      <c r="N214" s="16" t="n">
        <v>46278</v>
      </c>
      <c r="O214" s="14" t="str">
        <v>IPCON Polymer Material (Suzhou)</v>
      </c>
      <c r="P214" s="2" t="str">
        <v>https://www.ipconpolymer.com/wp-content/uploads/2026/06/IPCON-ASA-GF_TDS-Technical-Data-Sheet_V1.0.pdf</v>
      </c>
      <c r="Q214" s="2" t="str">
        <v>a756397ca7e6529e0a9c081fca8fe54beb71aebc5000d63d4d2d2fe5f7a4f5db</v>
      </c>
    </row>
    <row r="215" ht="48" customHeight="1">
      <c r="A215" s="13" t="str">
        <v>IPCON</v>
      </c>
      <c r="B215" s="13" t="str">
        <v>Filament TDS</v>
      </c>
      <c r="C215" s="13" t="str">
        <v>PPA Pure Resin</v>
      </c>
      <c r="D215" s="17" t="str">
        <v>Open document</v>
      </c>
      <c r="E215" s="13" t="str">
        <v>Yes</v>
      </c>
      <c r="F215" s="13" t="str">
        <v>S-PPA-TDS</v>
      </c>
      <c r="G215" s="13" t="str">
        <v>Manufacturer TDS</v>
      </c>
      <c r="H215" s="13" t="str">
        <v>cited</v>
      </c>
      <c r="I215" s="13" t="str">
        <v>Retrieved</v>
      </c>
      <c r="J215" s="13" t="str">
        <v>G069-01</v>
      </c>
      <c r="K215" s="13" t="str">
        <v>Document / product page</v>
      </c>
      <c r="L215" s="13" t="str">
        <v>Version: 1.0</v>
      </c>
      <c r="M215" s="15" t="str">
        <v>Not published</v>
      </c>
      <c r="N215" s="15" t="n">
        <v>46275</v>
      </c>
      <c r="O215" s="13" t="str">
        <v>IPCON</v>
      </c>
      <c r="P215" s="10" t="str">
        <v>https://www.ipconpolymer.com/wp-content/uploads/2025/11/IPCON-PPA_TDS-Technical-Data-Sheet.pdf</v>
      </c>
      <c r="Q215" s="10" t="str">
        <v>86d3efd1d10736233d7b8c269db8b65797001bdc647e5a7fac2147de955cf99b</v>
      </c>
    </row>
    <row r="216" ht="48" customHeight="1">
      <c r="A216" s="14" t="str">
        <v>IPCON</v>
      </c>
      <c r="B216" s="14" t="str">
        <v>Filament TDS</v>
      </c>
      <c r="C216" s="14" t="str">
        <v>PPA-GF</v>
      </c>
      <c r="D216" s="18" t="str">
        <v>Open document</v>
      </c>
      <c r="E216" s="14" t="str">
        <v>Yes</v>
      </c>
      <c r="F216" s="14" t="str">
        <v>D-IPCON-PPA</v>
      </c>
      <c r="G216" s="14" t="str">
        <v>Manufacturer TDS</v>
      </c>
      <c r="H216" s="14" t="str">
        <v>cited</v>
      </c>
      <c r="I216" s="14" t="str">
        <v>Retrieved</v>
      </c>
      <c r="J216" s="14" t="str">
        <v>G071-01</v>
      </c>
      <c r="K216" s="14" t="str">
        <v>Document / product page</v>
      </c>
      <c r="L216" s="14" t="str">
        <v>Version: 1.0</v>
      </c>
      <c r="M216" s="16" t="str">
        <v>Not published</v>
      </c>
      <c r="N216" s="16" t="n">
        <v>46275</v>
      </c>
      <c r="O216" s="14" t="str">
        <v>IPCON</v>
      </c>
      <c r="P216" s="2" t="str">
        <v>https://www.ipconpolymer.com/wp-content/uploads/2026/03/IPCON-PPA-GF_TDS-Technical-Data-Sheet.pdf</v>
      </c>
      <c r="Q216" s="2" t="str">
        <v>f9a2ccb84116a13f0a798ba200f6537472ca95b7a804f2bd750a92956abb2bf4</v>
      </c>
    </row>
    <row r="217" ht="48" customHeight="1">
      <c r="A217" s="13" t="str">
        <v>IPCON</v>
      </c>
      <c r="B217" s="13" t="str">
        <v>Filament TDS</v>
      </c>
      <c r="C217" s="13" t="str">
        <v>PPS-GF</v>
      </c>
      <c r="D217" s="17" t="str">
        <v>Open document</v>
      </c>
      <c r="E217" s="13" t="str">
        <v>Yes</v>
      </c>
      <c r="F217" s="13" t="str">
        <v>S-PPSGF-TDS-0</v>
      </c>
      <c r="G217" s="13" t="str">
        <v>Manufacturer TDS</v>
      </c>
      <c r="H217" s="13" t="str">
        <v>cited</v>
      </c>
      <c r="I217" s="13" t="str">
        <v>Retrieved</v>
      </c>
      <c r="J217" s="13" t="str">
        <v>G074-01</v>
      </c>
      <c r="K217" s="13" t="str">
        <v>Document / product page</v>
      </c>
      <c r="L217" s="13" t="str">
        <v>Version: 2.0</v>
      </c>
      <c r="M217" s="15" t="str">
        <v>Not published</v>
      </c>
      <c r="N217" s="15" t="n">
        <v>46275</v>
      </c>
      <c r="O217" s="13" t="str">
        <v>IPCON</v>
      </c>
      <c r="P217" s="10" t="str">
        <v>https://www.ipconpolymer.com/wp-content/uploads/2026/05/IPCON-PPS-GF_TDS-Technical-Data-Sheet-_V2.0.pdf</v>
      </c>
      <c r="Q217" s="10" t="str">
        <v>9292234367318e13bd15d401b8eba9964abcc51fae445e7db62806bac45f5dfb</v>
      </c>
    </row>
    <row r="218" ht="48" customHeight="1">
      <c r="A218" s="14" t="str">
        <v>Fillamentum</v>
      </c>
      <c r="B218" s="14" t="str">
        <v>Filament TDS</v>
      </c>
      <c r="C218" s="14" t="str">
        <v>CPE CF112 Carbon</v>
      </c>
      <c r="D218" s="18" t="str">
        <v>Open document</v>
      </c>
      <c r="E218" s="14" t="str">
        <v>Yes</v>
      </c>
      <c r="F218" s="14" t="str">
        <v>S-CPECF</v>
      </c>
      <c r="G218" s="14" t="str">
        <v>Manufacturer TDS</v>
      </c>
      <c r="H218" s="14" t="str">
        <v>cited</v>
      </c>
      <c r="I218" s="14" t="str">
        <v>Retrieved</v>
      </c>
      <c r="J218" s="14" t="str">
        <v>G090-01</v>
      </c>
      <c r="K218" s="14" t="str">
        <v>Document / product page</v>
      </c>
      <c r="L218" s="14" t="str">
        <v>Not published</v>
      </c>
      <c r="M218" s="16" t="str">
        <v>Not published</v>
      </c>
      <c r="N218" s="16" t="n">
        <v>46275</v>
      </c>
      <c r="O218" s="14" t="str">
        <v>Fillamentum</v>
      </c>
      <c r="P218" s="2" t="str">
        <v>https://fillamentum.com/wp-content/uploads/2020/10/TDS_CPE-CF112-Carbon.pdf</v>
      </c>
      <c r="Q218" s="2" t="str">
        <v>3848af4a10ac9189899dea703d30d1abf6e5b95b1c66b9f6eaa49fc5cf248dca</v>
      </c>
    </row>
    <row r="219" ht="48" customHeight="1">
      <c r="A219" s="13" t="str">
        <v>Fillamentum</v>
      </c>
      <c r="B219" s="13" t="str">
        <v>Filament TDS</v>
      </c>
      <c r="C219" s="13" t="str">
        <v>CPE HG100 Datasheet</v>
      </c>
      <c r="D219" s="17" t="str">
        <v>Open document</v>
      </c>
      <c r="E219" s="13" t="str">
        <v>Yes</v>
      </c>
      <c r="F219" s="13" t="str">
        <v>R-FILLAMENTUM-CPE-HG100-TDS</v>
      </c>
      <c r="G219" s="13" t="str">
        <v>Manufacturer TDS</v>
      </c>
      <c r="H219" s="13" t="str">
        <v>cited</v>
      </c>
      <c r="I219" s="13" t="str">
        <v>Retrieved</v>
      </c>
      <c r="J219" s="13" t="str">
        <v>M089 / G089-01</v>
      </c>
      <c r="K219" s="13" t="str">
        <v>Physical, mechanical and thermal properties</v>
      </c>
      <c r="L219" s="13" t="str">
        <v>2019-01-03</v>
      </c>
      <c r="M219" s="15" t="str">
        <v>Not published</v>
      </c>
      <c r="N219" s="15" t="n">
        <v>46278</v>
      </c>
      <c r="O219" s="13" t="str">
        <v>Fillamentum</v>
      </c>
      <c r="P219" s="10" t="str">
        <v>https://fillamentum.com/wp-content/uploads/2020/10/Technical-Data-Sheet_CPE-HG100_03012019.pdf</v>
      </c>
      <c r="Q219" s="10" t="str">
        <v>ad4f1420c47b40cc8972c202724dae27c1718c9070938e077c6150f33071f495</v>
      </c>
    </row>
    <row r="220" ht="48" customHeight="1">
      <c r="A220" s="14" t="str">
        <v>Fillamentum</v>
      </c>
      <c r="B220" s="14" t="str">
        <v>Filament TDS</v>
      </c>
      <c r="C220" s="14" t="str">
        <v>Technical Data Sheet Flexfill PEBA 90A</v>
      </c>
      <c r="D220" s="18" t="str">
        <v>Open document</v>
      </c>
      <c r="E220" s="14" t="str">
        <v>Yes</v>
      </c>
      <c r="F220" s="14" t="str">
        <v>R-FILLAMENTUM-FLEXFILL-PEBA-90A-TDS</v>
      </c>
      <c r="G220" s="14" t="str">
        <v>Manufacturer TDS</v>
      </c>
      <c r="H220" s="14" t="str">
        <v>cited</v>
      </c>
      <c r="I220" s="14" t="str">
        <v>Retrieved</v>
      </c>
      <c r="J220" s="14" t="str">
        <v>G045-04</v>
      </c>
      <c r="K220" s="14" t="str">
        <v>p. 1: Physical, mechanical and printing properties</v>
      </c>
      <c r="L220" s="14" t="str">
        <v>Not published</v>
      </c>
      <c r="M220" s="16" t="str">
        <v>Not published</v>
      </c>
      <c r="N220" s="16" t="n">
        <v>46281</v>
      </c>
      <c r="O220" s="14" t="str">
        <v>Fillamentum Manufacturing Czech</v>
      </c>
      <c r="P220" s="2" t="str">
        <v>https://fillamentum.com/wp-content/uploads/2020/10/TDS_Flexfill-PEBA-90A_EN.pdf</v>
      </c>
      <c r="Q220" s="2" t="str">
        <v>58a32db0852fe8899985e64ab7895bee8c4e66cecd399fa9b967e732d5b51c79</v>
      </c>
    </row>
    <row r="221" ht="48" customHeight="1">
      <c r="A221" s="13" t="str">
        <v>Fillamentum</v>
      </c>
      <c r="B221" s="13" t="str">
        <v>Guide / product page</v>
      </c>
      <c r="C221" s="13" t="str">
        <v>3D Printing Guide: Fillamentum CPE CF112 Carbon</v>
      </c>
      <c r="D221" s="17" t="str">
        <v>Open document</v>
      </c>
      <c r="E221" s="13" t="str">
        <v>Yes</v>
      </c>
      <c r="F221" s="13" t="str">
        <v>R-FILLAMENTUM-CPE-CF112-GUIDE</v>
      </c>
      <c r="G221" s="13" t="str">
        <v>Manufacturer product / guide</v>
      </c>
      <c r="H221" s="13" t="str">
        <v>cited</v>
      </c>
      <c r="I221" s="13" t="str">
        <v>Retrieved</v>
      </c>
      <c r="J221" s="13" t="str">
        <v>M090 / G090-01</v>
      </c>
      <c r="K221" s="13" t="str">
        <v>Printing parameters; Nozzle</v>
      </c>
      <c r="L221" s="13" t="str">
        <v>Not published</v>
      </c>
      <c r="M221" s="15" t="str">
        <v>Not published</v>
      </c>
      <c r="N221" s="15" t="n">
        <v>46278</v>
      </c>
      <c r="O221" s="13" t="str">
        <v>Fillamentum</v>
      </c>
      <c r="P221" s="10" t="str">
        <v>https://fillamentum.com/wp-content/uploads/2020/10/FI_Printing_Guide_CPE-CF112-Carbon.pdf</v>
      </c>
      <c r="Q221" s="10" t="str">
        <v>fed13e64605e32d803a832009efcebef37aa0204e0f8282c7b67d206ddc7137a</v>
      </c>
    </row>
    <row r="222" ht="48" customHeight="1">
      <c r="A222" s="14" t="str">
        <v>Fillamentum</v>
      </c>
      <c r="B222" s="14" t="str">
        <v>Guide / product page</v>
      </c>
      <c r="C222" s="14" t="str">
        <v>3D Printing Guide: Fillamentum CPE HG100</v>
      </c>
      <c r="D222" s="18" t="str">
        <v>Open document</v>
      </c>
      <c r="E222" s="14" t="str">
        <v>Yes</v>
      </c>
      <c r="F222" s="14" t="str">
        <v>R-FILLAMENTUM-CPE-HG100-GUIDE</v>
      </c>
      <c r="G222" s="14" t="str">
        <v>Manufacturer product / guide</v>
      </c>
      <c r="H222" s="14" t="str">
        <v>cited</v>
      </c>
      <c r="I222" s="14" t="str">
        <v>Retrieved</v>
      </c>
      <c r="J222" s="14" t="str">
        <v>M089 / G089-01</v>
      </c>
      <c r="K222" s="14" t="str">
        <v>Printing parameters</v>
      </c>
      <c r="L222" s="14" t="str">
        <v>Not published</v>
      </c>
      <c r="M222" s="16" t="str">
        <v>Not published</v>
      </c>
      <c r="N222" s="16" t="n">
        <v>46278</v>
      </c>
      <c r="O222" s="14" t="str">
        <v>Fillamentum</v>
      </c>
      <c r="P222" s="2" t="str">
        <v>https://fillamentum.com/wp-content/uploads/2021/02/Fillamentum_Printing_Guide_CPE-HG100.pdf</v>
      </c>
      <c r="Q222" s="2" t="str">
        <v>cd37bc12f747170a4f51a8f9cf18b40fac21652f1f0b02802432207cf95ce19b</v>
      </c>
    </row>
    <row r="223" ht="48" customHeight="1">
      <c r="A223" s="13" t="str">
        <v>Fillamentum</v>
      </c>
      <c r="B223" s="13" t="str">
        <v>Guide / product page</v>
      </c>
      <c r="C223" s="13" t="str">
        <v>CPE HG100 | Fillamentum</v>
      </c>
      <c r="D223" s="17" t="str">
        <v>Open document</v>
      </c>
      <c r="E223" s="13" t="str">
        <v>Yes</v>
      </c>
      <c r="F223" s="13" t="str">
        <v>S-FILLAMENTUM</v>
      </c>
      <c r="G223" s="13" t="str">
        <v>Manufacturer product / guide</v>
      </c>
      <c r="H223" s="13" t="str">
        <v>cited</v>
      </c>
      <c r="I223" s="13" t="str">
        <v>Retrieved</v>
      </c>
      <c r="J223" s="13" t="str">
        <v>G089-01; G091-01</v>
      </c>
      <c r="K223" s="13" t="str">
        <v>Document / product page</v>
      </c>
      <c r="L223" s="13" t="str">
        <v>Not published</v>
      </c>
      <c r="M223" s="15" t="str">
        <v>Not published</v>
      </c>
      <c r="N223" s="15" t="n">
        <v>46275</v>
      </c>
      <c r="O223" s="13" t="str">
        <v>Fillamentum</v>
      </c>
      <c r="P223" s="10" t="str">
        <v>https://fillamentum.com/collections/cpe-filament/</v>
      </c>
      <c r="Q223" s="10" t="str">
        <v>3cf1bdbd89e9f5ccc5b4c62664d136d20229576859e292ffc0ddf87482af5162</v>
      </c>
    </row>
    <row r="224" ht="48" customHeight="1">
      <c r="A224" s="14" t="str">
        <v>Kimya / Airtech</v>
      </c>
      <c r="B224" s="14" t="str">
        <v>Filament TDS</v>
      </c>
      <c r="C224" s="14" t="str">
        <v>Kimya PEBA-S 3D Filament Technical Data Sheet</v>
      </c>
      <c r="D224" s="18" t="str">
        <v>Open document</v>
      </c>
      <c r="E224" s="14" t="str">
        <v>Yes</v>
      </c>
      <c r="F224" s="14" t="str">
        <v>R-KIMYA-PEBA-S-TDS</v>
      </c>
      <c r="G224" s="14" t="str">
        <v>Manufacturer TDS indexed at authorized distributor</v>
      </c>
      <c r="H224" s="14" t="str">
        <v>cited</v>
      </c>
      <c r="I224" s="14" t="str">
        <v>Retrieved</v>
      </c>
      <c r="J224" s="14" t="str">
        <v>M045 / G045-03</v>
      </c>
      <c r="K224" s="14" t="str">
        <v>Technical data and processing tables</v>
      </c>
      <c r="L224" s="14" t="str">
        <v>Updated 2025-12-22</v>
      </c>
      <c r="M224" s="16" t="n">
        <v>46013</v>
      </c>
      <c r="N224" s="16" t="n">
        <v>46280</v>
      </c>
      <c r="O224" s="14" t="str">
        <v>Airtech Europe / Kimya</v>
      </c>
      <c r="P224" s="2" t="str">
        <v>https://www.samaro.fr/app/uploads/2026/09/ba38ba38d87e28552202938c4c1cc670d8ef6fea3287_Kimya_PEBA_S_3D_Filament_EN.pdf</v>
      </c>
      <c r="Q224" s="2" t="str">
        <v>66c7b5b1e19bf57ba52811611ef420b1d4d409ad9e043b389b164e45da1c9ce3</v>
      </c>
    </row>
    <row r="225" ht="48" customHeight="1">
      <c r="A225" s="13" t="str">
        <v>Kimya / Airtech</v>
      </c>
      <c r="B225" s="13" t="str">
        <v>Filament TDS</v>
      </c>
      <c r="C225" s="13" t="str">
        <v>TPC-91A Kimya technical data sheet</v>
      </c>
      <c r="D225" s="17" t="str">
        <v>Open document</v>
      </c>
      <c r="E225" s="13" t="str">
        <v>Yes</v>
      </c>
      <c r="F225" s="13" t="str">
        <v>R-KIMYA-TPC-91A-TDS</v>
      </c>
      <c r="G225" s="13" t="str">
        <v>Manufacturer TDS</v>
      </c>
      <c r="H225" s="13" t="str">
        <v>cited</v>
      </c>
      <c r="I225" s="13" t="str">
        <v>Retrieved</v>
      </c>
      <c r="J225" s="13" t="str">
        <v>G046-02</v>
      </c>
      <c r="K225" s="13" t="str">
        <v>p. 1: Filament properties; p. 2: Print parameters and specimens dimensions; Printed specimens properties</v>
      </c>
      <c r="L225" s="13" t="str">
        <v>01/07/2019</v>
      </c>
      <c r="M225" s="15" t="str">
        <v>2019-07</v>
      </c>
      <c r="N225" s="15" t="n">
        <v>46281</v>
      </c>
      <c r="O225" s="13" t="str">
        <v>Kimya (Armor Group)</v>
      </c>
      <c r="P225" s="10" t="str">
        <v>https://f.hubspotusercontent20.net/hubfs/7196278/Datasheets/Kimya/Kimya_TPC-91A_Technical_Data_Sheet.pdf</v>
      </c>
      <c r="Q225" s="10" t="str">
        <v>0bc72b0b585d2d89de15cb7cdd8d3a3bb8fce568f0e1e0a1f4844cd5fe6521e6</v>
      </c>
    </row>
    <row r="226" ht="48" customHeight="1">
      <c r="A226" s="14" t="str">
        <v>Kimya / Airtech</v>
      </c>
      <c r="B226" s="14" t="str">
        <v>Guide / product page</v>
      </c>
      <c r="C226" s="14" t="str">
        <v>Kimya 3D Filaments</v>
      </c>
      <c r="D226" s="18" t="str">
        <v>Open document</v>
      </c>
      <c r="E226" s="14" t="str">
        <v>Yes</v>
      </c>
      <c r="F226" s="14" t="str">
        <v>R-AIRTECH-KIMYA-PORTFOLIO</v>
      </c>
      <c r="G226" s="14" t="str">
        <v>Official current manufacturer portfolio</v>
      </c>
      <c r="H226" s="14" t="str">
        <v>register</v>
      </c>
      <c r="I226" s="14" t="str">
        <v>Retrieved via web</v>
      </c>
      <c r="J226" s="14" t="str">
        <v>M045 / G045-03</v>
      </c>
      <c r="K226" s="14" t="str">
        <v>Flexible filaments: PEBA-S</v>
      </c>
      <c r="L226" s="14" t="str">
        <v>Not published</v>
      </c>
      <c r="M226" s="16" t="str">
        <v>Not published</v>
      </c>
      <c r="N226" s="16" t="n">
        <v>46278</v>
      </c>
      <c r="O226" s="14" t="str">
        <v>Airtech 3D</v>
      </c>
      <c r="P226" s="2" t="str">
        <v>https://www.airtech3d.com/filament</v>
      </c>
      <c r="Q226" s="2" t="str">
        <v>Not recorded</v>
      </c>
    </row>
    <row r="227" ht="48" customHeight="1">
      <c r="A227" s="13" t="str">
        <v>Kimya / Airtech</v>
      </c>
      <c r="B227" s="13" t="str">
        <v>Corporate announcement</v>
      </c>
      <c r="C227" s="13" t="str">
        <v>Airtech Acquires Kimya Assets</v>
      </c>
      <c r="D227" s="17" t="str">
        <v>Open document</v>
      </c>
      <c r="E227" s="13" t="str">
        <v>Yes</v>
      </c>
      <c r="F227" s="13" t="str">
        <v>R-AIRTECH-KIMYA-ACQUISITION</v>
      </c>
      <c r="G227" s="13" t="str">
        <v>Official corporate announcement</v>
      </c>
      <c r="H227" s="13" t="str">
        <v>register</v>
      </c>
      <c r="I227" s="13" t="str">
        <v>Retrieved via web</v>
      </c>
      <c r="J227" s="13" t="str">
        <v>Kimya portfolio</v>
      </c>
      <c r="K227" s="13" t="str">
        <v>Ownership and current portfolio provenance</v>
      </c>
      <c r="L227" s="13" t="str">
        <v>Not published</v>
      </c>
      <c r="M227" s="15" t="n">
        <v>45755</v>
      </c>
      <c r="N227" s="15" t="n">
        <v>46278</v>
      </c>
      <c r="O227" s="13" t="str">
        <v>Airtech Advanced Materials Group</v>
      </c>
      <c r="P227" s="10" t="str">
        <v>https://www.airtech3d.com/airtech-acquires-kimya-assets-extend-additive-manufacturing-filament-capabilities-and-solutions</v>
      </c>
      <c r="Q227" s="10" t="str">
        <v>Not recorded</v>
      </c>
    </row>
    <row r="228" ht="48" customHeight="1">
      <c r="A228" s="14" t="str">
        <v>eSUN</v>
      </c>
      <c r="B228" s="14" t="str">
        <v>Filament TDS</v>
      </c>
      <c r="C228" s="14" t="str">
        <v>PEBA90A</v>
      </c>
      <c r="D228" s="18" t="str">
        <v>Open document</v>
      </c>
      <c r="E228" s="14" t="str">
        <v>Yes</v>
      </c>
      <c r="F228" s="14" t="str">
        <v>S-PEBA-PEBA90A-TDS-en</v>
      </c>
      <c r="G228" s="14" t="str">
        <v>Manufacturer TDS</v>
      </c>
      <c r="H228" s="14" t="str">
        <v>cited</v>
      </c>
      <c r="I228" s="14" t="str">
        <v>Retrieved</v>
      </c>
      <c r="J228" s="14" t="str">
        <v>G045-01</v>
      </c>
      <c r="K228" s="14" t="str">
        <v>Document / product page</v>
      </c>
      <c r="L228" s="14" t="str">
        <v>Version 1.0</v>
      </c>
      <c r="M228" s="16" t="str">
        <v>Not published</v>
      </c>
      <c r="N228" s="16" t="n">
        <v>46275</v>
      </c>
      <c r="O228" s="14" t="str">
        <v>eSUN</v>
      </c>
      <c r="P228" s="2" t="str">
        <v>https://www.esun3d.com/media/esun/catalog/certification/product/PEBA-90A/PEBA90A-TDS-en.pdf</v>
      </c>
      <c r="Q228" s="2" t="str">
        <v>2fcbe0eaa6c09f42601d939c637f1d8e9d90f31972fbb3a03b7101ee9edf6cc2</v>
      </c>
    </row>
    <row r="229" ht="48" customHeight="1">
      <c r="A229" s="13" t="str">
        <v>eSUN</v>
      </c>
      <c r="B229" s="13" t="str">
        <v>Filament TDS</v>
      </c>
      <c r="C229" s="13" t="str">
        <v>PLA-Silk Technical Data Sheet</v>
      </c>
      <c r="D229" s="17" t="str">
        <v>Open document</v>
      </c>
      <c r="E229" s="13" t="str">
        <v>Yes</v>
      </c>
      <c r="F229" s="13" t="str">
        <v>S-ESUN-PLA-Silk-TDS-2025-06-19</v>
      </c>
      <c r="G229" s="13" t="str">
        <v>Manufacturer TDS</v>
      </c>
      <c r="H229" s="13" t="str">
        <v>cited</v>
      </c>
      <c r="I229" s="13" t="str">
        <v>Retrieved</v>
      </c>
      <c r="J229" s="13" t="str">
        <v>G008-02</v>
      </c>
      <c r="K229" s="13" t="str">
        <v>p. 1: Physical and thermal properties; p. 2: Mechanical properties (X-Y, Z); p. 3: Test conditions of mechanical properties</v>
      </c>
      <c r="L229" s="13" t="str">
        <v>Version 1.0 (JUL.2024); file dated 2025-06-19</v>
      </c>
      <c r="M229" s="15" t="str">
        <v>2024-07</v>
      </c>
      <c r="N229" s="15" t="n">
        <v>46281</v>
      </c>
      <c r="O229" s="13" t="str">
        <v>eSUN</v>
      </c>
      <c r="P229" s="10" t="str">
        <v>https://www.esun3d.com/media/esun/catalog/certification/product/PLA-Silk/PLA-Silk_TDS_2025.06.19.pdf</v>
      </c>
      <c r="Q229" s="10" t="str">
        <v>bf6f16467b0580027121615fa1fda8de06a9f678d90e7b419768f33d002365da</v>
      </c>
    </row>
    <row r="230" ht="48" customHeight="1">
      <c r="A230" s="14" t="str">
        <v>eSUN</v>
      </c>
      <c r="B230" s="14" t="str">
        <v>Guide / product page</v>
      </c>
      <c r="C230" s="14" t="str">
        <v>eSUN PLA-Lite product page</v>
      </c>
      <c r="D230" s="18" t="str">
        <v>Open document</v>
      </c>
      <c r="E230" s="14" t="str">
        <v>Yes</v>
      </c>
      <c r="F230" s="14" t="str">
        <v>R-ESUN-PLA-LITE-PAGE</v>
      </c>
      <c r="G230" s="14" t="str">
        <v>Manufacturer product / guide</v>
      </c>
      <c r="H230" s="14" t="str">
        <v>cited</v>
      </c>
      <c r="I230" s="14" t="str">
        <v>Retrieved</v>
      </c>
      <c r="J230" s="14" t="str">
        <v>M004 / G004-01</v>
      </c>
      <c r="K230" s="14" t="str">
        <v>Printing Parameter: Physical Performance, Mechanical Properties, Recommended Printing Parameters</v>
      </c>
      <c r="L230" s="14" t="str">
        <v>Not published</v>
      </c>
      <c r="M230" s="16" t="str">
        <v>Not published</v>
      </c>
      <c r="N230" s="16" t="n">
        <v>46278</v>
      </c>
      <c r="O230" s="14" t="str">
        <v>eSUN</v>
      </c>
      <c r="P230" s="2" t="str">
        <v>https://www.esun3d.com/epla-lite-product</v>
      </c>
      <c r="Q230" s="2" t="str">
        <v>b8807094397d378aee0717e441947378f5d537a510d1c8cf8fb3d89146d1d8b2</v>
      </c>
    </row>
    <row r="231" ht="48" customHeight="1">
      <c r="A231" s="13" t="str">
        <v>FormFutura</v>
      </c>
      <c r="B231" s="13" t="str">
        <v>Filament TDS</v>
      </c>
      <c r="C231" s="13" t="str">
        <v>High Precision PET — technical data sheet</v>
      </c>
      <c r="D231" s="17" t="str">
        <v>Open document</v>
      </c>
      <c r="E231" s="13" t="str">
        <v>Yes</v>
      </c>
      <c r="F231" s="13" t="str">
        <v>S-PET-TDS</v>
      </c>
      <c r="G231" s="13" t="str">
        <v>Manufacturer TDS</v>
      </c>
      <c r="H231" s="13" t="str">
        <v>cited</v>
      </c>
      <c r="I231" s="13" t="str">
        <v>Retrieved; user-supplied local copy re-verified 2026-09-11 (SHA256 match confirms identical to originally cited document)</v>
      </c>
      <c r="J231" s="13" t="str">
        <v>G066-01</v>
      </c>
      <c r="K231" s="13" t="str">
        <v>Document / product page</v>
      </c>
      <c r="L231" s="13" t="str">
        <v>Not published</v>
      </c>
      <c r="M231" s="15" t="n">
        <v>45527</v>
      </c>
      <c r="N231" s="15" t="n">
        <v>46275</v>
      </c>
      <c r="O231" s="13" t="str">
        <v>FormFutura</v>
      </c>
      <c r="P231" s="10" t="str">
        <v>https://www.formfutura.com/web/content/256571?download=true</v>
      </c>
      <c r="Q231" s="10" t="str">
        <v>f04c5244e4400548198fe54348c625ec9926364e021f167ed74673b387dabd89</v>
      </c>
    </row>
    <row r="232" ht="50" customHeight="1">
      <c r="A232" s="14" t="str">
        <v>FormFutura</v>
      </c>
      <c r="B232" s="14" t="str">
        <v>Filament TDS</v>
      </c>
      <c r="C232" s="14" t="str">
        <v>Technical Data Sheet STYX PA6</v>
      </c>
      <c r="D232" s="18" t="str">
        <v>Open document</v>
      </c>
      <c r="E232" s="14" t="str">
        <v>Yes</v>
      </c>
      <c r="F232" s="14" t="str">
        <v>R-FORMFUTURA-STYX-PA6-TDS</v>
      </c>
      <c r="G232" s="14" t="str">
        <v>Manufacturer TDS</v>
      </c>
      <c r="H232" s="14" t="str">
        <v>cited</v>
      </c>
      <c r="I232" s="14" t="str">
        <v>Retrieved</v>
      </c>
      <c r="J232" s="14" t="str">
        <v>G049-02</v>
      </c>
      <c r="K232" s="14" t="str">
        <v>p. 1: Material properties, Mechanical properties, Thermal properties (typical value and test method; no specimen, direction or print settings stated); Storage and handling; p. 2: Disclaimer</v>
      </c>
      <c r="L232" s="14" t="str">
        <v>Version: 1.0; print date 28-02-2023</v>
      </c>
      <c r="M232" s="16" t="n">
        <v>44985</v>
      </c>
      <c r="N232" s="16" t="n">
        <v>46281</v>
      </c>
      <c r="O232" s="14" t="str">
        <v>FormFutura</v>
      </c>
      <c r="P232" s="2" t="str">
        <v>https://www.formfutura.com/web/content/281451?download=true</v>
      </c>
      <c r="Q232" s="2" t="str">
        <v>5202ff7a803935abd6b61daa5b25dfa389515abd1a1ff0e1944fad91068b381c</v>
      </c>
    </row>
    <row r="233" ht="48" customHeight="1">
      <c r="A233" s="13" t="str">
        <v>Stratasys</v>
      </c>
      <c r="B233" s="13" t="str">
        <v>Filament TDS</v>
      </c>
      <c r="C233" s="13" t="str">
        <v>FDM Nylon 12 Data Sheet</v>
      </c>
      <c r="D233" s="17" t="str">
        <v>Open document</v>
      </c>
      <c r="E233" s="13" t="str">
        <v>Yes</v>
      </c>
      <c r="F233" s="13" t="str">
        <v>R-STRATASYS-FDM-NYLON12-MDS</v>
      </c>
      <c r="G233" s="13" t="str">
        <v>Manufacturer TDS</v>
      </c>
      <c r="H233" s="13" t="str">
        <v>cited</v>
      </c>
      <c r="I233" s="13" t="str">
        <v>Retrieved</v>
      </c>
      <c r="J233" s="13" t="str">
        <v>M052 / G052-R1</v>
      </c>
      <c r="K233" s="13" t="str">
        <v>Table 2 ordering information (310-21800); Table 3 physical properties; Table 4 mechanical properties (F900, T16 tip)</v>
      </c>
      <c r="L233" s="13" t="str">
        <v>Not published (file metadata 2021-09)</v>
      </c>
      <c r="M233" s="15" t="str">
        <v>Not published</v>
      </c>
      <c r="N233" s="15" t="n">
        <v>46278</v>
      </c>
      <c r="O233" s="13" t="str">
        <v>Stratasys</v>
      </c>
      <c r="P233" s="10" t="str">
        <v>https://www.stratasys.com/siteassets/materials/materials-catalog/fdm-materials/nylon-12/mds_fdm_nylon-12_0921a.pdf</v>
      </c>
      <c r="Q233" s="10" t="str">
        <v>d7c3536b4c6a9cabf3c08cb76d33864ecc231e79343e1834c02776e585caabf9</v>
      </c>
    </row>
    <row r="234" ht="48" customHeight="1">
      <c r="A234" s="14" t="str">
        <v>Stratasys</v>
      </c>
      <c r="B234" s="14" t="str">
        <v>Filament TDS</v>
      </c>
      <c r="C234" s="14" t="str">
        <v>ULTEM 9085 Resin FDM Thermoplastic Filament - data sheet</v>
      </c>
      <c r="D234" s="18" t="str">
        <v>Open document</v>
      </c>
      <c r="E234" s="14" t="str">
        <v>Yes</v>
      </c>
      <c r="F234" s="14" t="str">
        <v>R-STRATASYS-ULTEM9085</v>
      </c>
      <c r="G234" s="14" t="str">
        <v>Reference datasheet (corroboration only)</v>
      </c>
      <c r="H234" s="14" t="str">
        <v>corroboration</v>
      </c>
      <c r="I234" s="14" t="str">
        <v>Retrieved</v>
      </c>
      <c r="J234" s="14" t="str">
        <v>M099 - unit corroboration only; not a property source</v>
      </c>
      <c r="K234" s="14" t="str">
        <v>Mean CTE (TAN) ASTM E831, XZ/ZX, 31.35-51.88 um/[m*C]</v>
      </c>
      <c r="L234" s="14" t="str">
        <v>Not published</v>
      </c>
      <c r="M234" s="16" t="str">
        <v>Not published</v>
      </c>
      <c r="N234" s="16" t="n">
        <v>46276</v>
      </c>
      <c r="O234" s="14" t="str">
        <v>Stratasys</v>
      </c>
      <c r="P234" s="2" t="str">
        <v>https://paradigm-3d.com/wp-content/uploads/2024/01/ULTEM-9085-EN-Data-Sheet-FDM-Material.pdf</v>
      </c>
      <c r="Q234" s="2" t="str">
        <v>Not recorded</v>
      </c>
    </row>
    <row r="235" ht="48" customHeight="1">
      <c r="A235" s="13" t="str">
        <v>Prusa Research</v>
      </c>
      <c r="B235" s="13" t="str">
        <v>Filament TDS</v>
      </c>
      <c r="C235" s="13" t="str">
        <v>PVB Prusament</v>
      </c>
      <c r="D235" s="17" t="str">
        <v>Open document</v>
      </c>
      <c r="E235" s="13" t="str">
        <v>Yes</v>
      </c>
      <c r="F235" s="13" t="str">
        <v>S-PVB-PVB-Prusament-TDS-2021-10-EN</v>
      </c>
      <c r="G235" s="13" t="str">
        <v>Manufacturer TDS</v>
      </c>
      <c r="H235" s="13" t="str">
        <v>cited</v>
      </c>
      <c r="I235" s="13" t="str">
        <v>Retrieved</v>
      </c>
      <c r="J235" s="13" t="str">
        <v>G093-01</v>
      </c>
      <c r="K235" s="13" t="str">
        <v>Document / product page</v>
      </c>
      <c r="L235" s="13" t="str">
        <v>1.1</v>
      </c>
      <c r="M235" s="15" t="n">
        <v>44608</v>
      </c>
      <c r="N235" s="15" t="n">
        <v>46275</v>
      </c>
      <c r="O235" s="13" t="str">
        <v>Prusa Research</v>
      </c>
      <c r="P235" s="10" t="str">
        <v>https://prusament.com/wp-content/uploads/2022/10/PVB_Prusament_TDS_2021_10_EN.pdf</v>
      </c>
      <c r="Q235" s="10" t="str">
        <v>35107a38ec9f13051a97d9f47aaf064f85dc1e6242334def8159923c9be9b21b</v>
      </c>
    </row>
    <row r="236" ht="48" customHeight="1">
      <c r="A236" s="14" t="str">
        <v>Prusa Research</v>
      </c>
      <c r="B236" s="14" t="str">
        <v>Guide / product page</v>
      </c>
      <c r="C236" s="14" t="str">
        <v>ABS | Prusa Knowledge Base</v>
      </c>
      <c r="D236" s="18" t="str">
        <v>Open document</v>
      </c>
      <c r="E236" s="14" t="str">
        <v>Yes</v>
      </c>
      <c r="F236" s="14" t="str">
        <v>PR-abs</v>
      </c>
      <c r="G236" s="14" t="str">
        <v>Manufacturer product / guide</v>
      </c>
      <c r="H236" s="14" t="str">
        <v>cited</v>
      </c>
      <c r="I236" s="14" t="str">
        <v>Retrieved</v>
      </c>
      <c r="J236" s="14" t="str">
        <v>Family / scope guidance</v>
      </c>
      <c r="K236" s="14" t="str">
        <v>Document / product page</v>
      </c>
      <c r="L236" s="14" t="str">
        <v>Not published</v>
      </c>
      <c r="M236" s="16" t="str">
        <v>Not published</v>
      </c>
      <c r="N236" s="16" t="n">
        <v>46275</v>
      </c>
      <c r="O236" s="14" t="str">
        <v>Prusa Research</v>
      </c>
      <c r="P236" s="2" t="str">
        <v>https://help.prusa3d.com/article/abs_2058</v>
      </c>
      <c r="Q236" s="2" t="str">
        <v>ad3f3b8786cd898284d6bbcc023c01ef9a457f965312b729ca26c11d3df1ae65</v>
      </c>
    </row>
    <row r="237" ht="48" customHeight="1">
      <c r="A237" s="13" t="str">
        <v>Prusa Research</v>
      </c>
      <c r="B237" s="13" t="str">
        <v>Guide / product page</v>
      </c>
      <c r="C237" s="13" t="str">
        <v>ASA | Prusa Knowledge Base</v>
      </c>
      <c r="D237" s="17" t="str">
        <v>Open document</v>
      </c>
      <c r="E237" s="13" t="str">
        <v>Yes</v>
      </c>
      <c r="F237" s="13" t="str">
        <v>PR-asa</v>
      </c>
      <c r="G237" s="13" t="str">
        <v>Manufacturer product / guide</v>
      </c>
      <c r="H237" s="13" t="str">
        <v>cited</v>
      </c>
      <c r="I237" s="13" t="str">
        <v>Retrieved</v>
      </c>
      <c r="J237" s="13" t="str">
        <v>Family / scope guidance</v>
      </c>
      <c r="K237" s="13" t="str">
        <v>Document / product page</v>
      </c>
      <c r="L237" s="13" t="str">
        <v>Not published</v>
      </c>
      <c r="M237" s="15" t="str">
        <v>Not published</v>
      </c>
      <c r="N237" s="15" t="n">
        <v>46275</v>
      </c>
      <c r="O237" s="13" t="str">
        <v>Prusa Research</v>
      </c>
      <c r="P237" s="10" t="str">
        <v>https://help.prusa3d.com/article/asa_1809</v>
      </c>
      <c r="Q237" s="10" t="str">
        <v>7747a0892a1315f9eee1d9e2733f9a1fbaf18c26f02dcd24985a276f074b7885</v>
      </c>
    </row>
    <row r="238" ht="48" customHeight="1">
      <c r="A238" s="14" t="str">
        <v>Prusa Research</v>
      </c>
      <c r="B238" s="14" t="str">
        <v>Guide / product page</v>
      </c>
      <c r="C238" s="14" t="str">
        <v>CPE | Prusa Knowledge Base</v>
      </c>
      <c r="D238" s="18" t="str">
        <v>Open document</v>
      </c>
      <c r="E238" s="14" t="str">
        <v>Yes</v>
      </c>
      <c r="F238" s="14" t="str">
        <v>PR-cpe</v>
      </c>
      <c r="G238" s="14" t="str">
        <v>Manufacturer product / guide</v>
      </c>
      <c r="H238" s="14" t="str">
        <v>cited</v>
      </c>
      <c r="I238" s="14" t="str">
        <v>Retrieved</v>
      </c>
      <c r="J238" s="14" t="str">
        <v>Family / scope guidance</v>
      </c>
      <c r="K238" s="14" t="str">
        <v>Document / product page</v>
      </c>
      <c r="L238" s="14" t="str">
        <v>Not published</v>
      </c>
      <c r="M238" s="16" t="str">
        <v>Not published</v>
      </c>
      <c r="N238" s="16" t="n">
        <v>46275</v>
      </c>
      <c r="O238" s="14" t="str">
        <v>Prusa Research</v>
      </c>
      <c r="P238" s="2" t="str">
        <v>https://help.prusa3d.com/article/cpe_166877</v>
      </c>
      <c r="Q238" s="2" t="str">
        <v>993d7aec9fc6dfb399d90aefb7b7b4141bf2c17b68c84afe4e970cf3b0219b09</v>
      </c>
    </row>
    <row r="239" ht="48" customHeight="1">
      <c r="A239" s="13" t="str">
        <v>Prusa Research</v>
      </c>
      <c r="B239" s="13" t="str">
        <v>Guide / product page</v>
      </c>
      <c r="C239" s="13" t="str">
        <v>Filament Material Guide | Prusa Knowledge Base</v>
      </c>
      <c r="D239" s="17" t="str">
        <v>Open document</v>
      </c>
      <c r="E239" s="13" t="str">
        <v>Yes</v>
      </c>
      <c r="F239" s="13" t="str">
        <v>D-PRUSA</v>
      </c>
      <c r="G239" s="13" t="str">
        <v>Manufacturer product / guide</v>
      </c>
      <c r="H239" s="13" t="str">
        <v>corroboration</v>
      </c>
      <c r="I239" s="13" t="str">
        <v>Retrieved</v>
      </c>
      <c r="J239" s="13" t="str">
        <v>Family / scope guidance</v>
      </c>
      <c r="K239" s="13" t="str">
        <v>Document / product page</v>
      </c>
      <c r="L239" s="13" t="str">
        <v>Not published</v>
      </c>
      <c r="M239" s="15" t="str">
        <v>Not published</v>
      </c>
      <c r="N239" s="15" t="n">
        <v>46275</v>
      </c>
      <c r="O239" s="13" t="str">
        <v>Prusa Research</v>
      </c>
      <c r="P239" s="10" t="str">
        <v>https://help.prusa3d.com/filament-material-guide</v>
      </c>
      <c r="Q239" s="10" t="str">
        <v>2f6315b98756678e918b954db3f8fddc36eaed7aebdabaf2930c199dfdacc389</v>
      </c>
    </row>
    <row r="240" ht="48" customHeight="1">
      <c r="A240" s="14" t="str">
        <v>Prusa Research</v>
      </c>
      <c r="B240" s="14" t="str">
        <v>Guide / product page</v>
      </c>
      <c r="C240" s="14" t="str">
        <v>Flexible materials | Prusa Knowledge Base</v>
      </c>
      <c r="D240" s="18" t="str">
        <v>Open document</v>
      </c>
      <c r="E240" s="14" t="str">
        <v>Yes</v>
      </c>
      <c r="F240" s="14" t="str">
        <v>PR-flexible-materials</v>
      </c>
      <c r="G240" s="14" t="str">
        <v>Manufacturer product / guide</v>
      </c>
      <c r="H240" s="14" t="str">
        <v>cited</v>
      </c>
      <c r="I240" s="14" t="str">
        <v>Retrieved</v>
      </c>
      <c r="J240" s="14" t="str">
        <v>Family / scope guidance</v>
      </c>
      <c r="K240" s="14" t="str">
        <v>Document / product page</v>
      </c>
      <c r="L240" s="14" t="str">
        <v>Not published</v>
      </c>
      <c r="M240" s="16" t="str">
        <v>Not published</v>
      </c>
      <c r="N240" s="16" t="n">
        <v>46275</v>
      </c>
      <c r="O240" s="14" t="str">
        <v>Prusa Research</v>
      </c>
      <c r="P240" s="2" t="str">
        <v>https://help.prusa3d.com/article/flexible-materials_2057</v>
      </c>
      <c r="Q240" s="2" t="str">
        <v>385549a0cab7393e8b3514ccdb12ce25d39fbc693c28b9fd3cba9fe787e688a0</v>
      </c>
    </row>
    <row r="241" ht="48" customHeight="1">
      <c r="A241" s="13" t="str">
        <v>Prusa Research</v>
      </c>
      <c r="B241" s="13" t="str">
        <v>Guide / product page</v>
      </c>
      <c r="C241" s="13" t="str">
        <v>HIPS | Prusa Knowledge Base</v>
      </c>
      <c r="D241" s="17" t="str">
        <v>Open document</v>
      </c>
      <c r="E241" s="13" t="str">
        <v>Yes</v>
      </c>
      <c r="F241" s="13" t="str">
        <v>PR-hips</v>
      </c>
      <c r="G241" s="13" t="str">
        <v>Manufacturer product / guide</v>
      </c>
      <c r="H241" s="13" t="str">
        <v>cited</v>
      </c>
      <c r="I241" s="13" t="str">
        <v>Retrieved</v>
      </c>
      <c r="J241" s="13" t="str">
        <v>Family / scope guidance</v>
      </c>
      <c r="K241" s="13" t="str">
        <v>Document / product page</v>
      </c>
      <c r="L241" s="13" t="str">
        <v>Not published</v>
      </c>
      <c r="M241" s="15" t="str">
        <v>Not published</v>
      </c>
      <c r="N241" s="15" t="n">
        <v>46275</v>
      </c>
      <c r="O241" s="13" t="str">
        <v>Prusa Research</v>
      </c>
      <c r="P241" s="10" t="str">
        <v>https://help.prusa3d.com/article/hips_167118</v>
      </c>
      <c r="Q241" s="10" t="str">
        <v>99d957cc7f89d79a383595bcdcdaf9ea94148463a832c092a5017fe935e0a5eb</v>
      </c>
    </row>
    <row r="242" ht="48" customHeight="1">
      <c r="A242" s="14" t="str">
        <v>Prusa Research</v>
      </c>
      <c r="B242" s="14" t="str">
        <v>Guide / product page</v>
      </c>
      <c r="C242" s="14" t="str">
        <v>NGEN | Prusa Knowledge Base</v>
      </c>
      <c r="D242" s="18" t="str">
        <v>Open document</v>
      </c>
      <c r="E242" s="14" t="str">
        <v>Yes</v>
      </c>
      <c r="F242" s="14" t="str">
        <v>PR-ngen</v>
      </c>
      <c r="G242" s="14" t="str">
        <v>Manufacturer product / guide</v>
      </c>
      <c r="H242" s="14" t="str">
        <v>cited</v>
      </c>
      <c r="I242" s="14" t="str">
        <v>Retrieved</v>
      </c>
      <c r="J242" s="14" t="str">
        <v>Family / scope guidance</v>
      </c>
      <c r="K242" s="14" t="str">
        <v>Document / product page</v>
      </c>
      <c r="L242" s="14" t="str">
        <v>Not published</v>
      </c>
      <c r="M242" s="16" t="str">
        <v>Not published</v>
      </c>
      <c r="N242" s="16" t="n">
        <v>46275</v>
      </c>
      <c r="O242" s="14" t="str">
        <v>Prusa Research</v>
      </c>
      <c r="P242" s="2" t="str">
        <v>https://help.prusa3d.com/article/ngen_167174</v>
      </c>
      <c r="Q242" s="2" t="str">
        <v>f242f7f80a5c26b7a90b36f4f20f8061041dd9e42fb18bce0ee9448fbb65ce69</v>
      </c>
    </row>
    <row r="243" ht="48" customHeight="1">
      <c r="A243" s="13" t="str">
        <v>Prusa Research</v>
      </c>
      <c r="B243" s="13" t="str">
        <v>Guide / product page</v>
      </c>
      <c r="C243" s="13" t="str">
        <v>PETG | Prusa Knowledge Base</v>
      </c>
      <c r="D243" s="17" t="str">
        <v>Open document</v>
      </c>
      <c r="E243" s="13" t="str">
        <v>Yes</v>
      </c>
      <c r="F243" s="13" t="str">
        <v>PR-petg</v>
      </c>
      <c r="G243" s="13" t="str">
        <v>Manufacturer product / guide</v>
      </c>
      <c r="H243" s="13" t="str">
        <v>cited</v>
      </c>
      <c r="I243" s="13" t="str">
        <v>Retrieved</v>
      </c>
      <c r="J243" s="13" t="str">
        <v>Family / scope guidance</v>
      </c>
      <c r="K243" s="13" t="str">
        <v>Document / product page</v>
      </c>
      <c r="L243" s="13" t="str">
        <v>Not published</v>
      </c>
      <c r="M243" s="15" t="str">
        <v>Not published</v>
      </c>
      <c r="N243" s="15" t="n">
        <v>46275</v>
      </c>
      <c r="O243" s="13" t="str">
        <v>Prusa Research</v>
      </c>
      <c r="P243" s="10" t="str">
        <v>https://help.prusa3d.com/article/petg_2059</v>
      </c>
      <c r="Q243" s="10" t="str">
        <v>9b73f16567c07c921a1def33e6c8ca4ab8c5463f5170236d8fe8d023cc28f259</v>
      </c>
    </row>
    <row r="244" ht="48" customHeight="1">
      <c r="A244" s="14" t="str">
        <v>Prusa Research</v>
      </c>
      <c r="B244" s="14" t="str">
        <v>Guide / product page</v>
      </c>
      <c r="C244" s="14" t="str">
        <v>PLA | Prusa Knowledge Base</v>
      </c>
      <c r="D244" s="18" t="str">
        <v>Open document</v>
      </c>
      <c r="E244" s="14" t="str">
        <v>Yes</v>
      </c>
      <c r="F244" s="14" t="str">
        <v>PR-pla</v>
      </c>
      <c r="G244" s="14" t="str">
        <v>Manufacturer product / guide</v>
      </c>
      <c r="H244" s="14" t="str">
        <v>cited</v>
      </c>
      <c r="I244" s="14" t="str">
        <v>Retrieved</v>
      </c>
      <c r="J244" s="14" t="str">
        <v>Family / scope guidance</v>
      </c>
      <c r="K244" s="14" t="str">
        <v>Document / product page</v>
      </c>
      <c r="L244" s="14" t="str">
        <v>Not published</v>
      </c>
      <c r="M244" s="16" t="str">
        <v>Not published</v>
      </c>
      <c r="N244" s="16" t="n">
        <v>46275</v>
      </c>
      <c r="O244" s="14" t="str">
        <v>Prusa Research</v>
      </c>
      <c r="P244" s="2" t="str">
        <v>https://help.prusa3d.com/article/pla_2062</v>
      </c>
      <c r="Q244" s="2" t="str">
        <v>1733472c25a2a70775d3558a9ac9dc8cccf1741557323b377b8ea0c5ca1dcc0c</v>
      </c>
    </row>
    <row r="245" ht="48" customHeight="1">
      <c r="A245" s="13" t="str">
        <v>Prusa Research</v>
      </c>
      <c r="B245" s="13" t="str">
        <v>Guide / product page</v>
      </c>
      <c r="C245" s="13" t="str">
        <v>PVB | Prusa Knowledge Base</v>
      </c>
      <c r="D245" s="17" t="str">
        <v>Open document</v>
      </c>
      <c r="E245" s="13" t="str">
        <v>Yes</v>
      </c>
      <c r="F245" s="13" t="str">
        <v>PR-pvb</v>
      </c>
      <c r="G245" s="13" t="str">
        <v>Manufacturer product / guide</v>
      </c>
      <c r="H245" s="13" t="str">
        <v>cited</v>
      </c>
      <c r="I245" s="13" t="str">
        <v>Retrieved</v>
      </c>
      <c r="J245" s="13" t="str">
        <v>Family / scope guidance</v>
      </c>
      <c r="K245" s="13" t="str">
        <v>Document / product page</v>
      </c>
      <c r="L245" s="13" t="str">
        <v>Not published</v>
      </c>
      <c r="M245" s="15" t="str">
        <v>Not published</v>
      </c>
      <c r="N245" s="15" t="n">
        <v>46275</v>
      </c>
      <c r="O245" s="13" t="str">
        <v>Prusa Research</v>
      </c>
      <c r="P245" s="10" t="str">
        <v>https://help.prusa3d.com/article/pvb_196708</v>
      </c>
      <c r="Q245" s="10" t="str">
        <v>1dec08043382f7c4c1132de147eb921e7309b1c6b3df3a6498c5f34c1b5a2551</v>
      </c>
    </row>
    <row r="246" ht="48" customHeight="1">
      <c r="A246" s="14" t="str">
        <v>Prusa Research</v>
      </c>
      <c r="B246" s="14" t="str">
        <v>Guide / product page</v>
      </c>
      <c r="C246" s="14" t="str">
        <v>Polyamide (Nylon) | Prusa Knowledge Base</v>
      </c>
      <c r="D246" s="18" t="str">
        <v>Open document</v>
      </c>
      <c r="E246" s="14" t="str">
        <v>Yes</v>
      </c>
      <c r="F246" s="14" t="str">
        <v>PR-polyamide-nylon</v>
      </c>
      <c r="G246" s="14" t="str">
        <v>Manufacturer product / guide</v>
      </c>
      <c r="H246" s="14" t="str">
        <v>cited</v>
      </c>
      <c r="I246" s="14" t="str">
        <v>Retrieved</v>
      </c>
      <c r="J246" s="14" t="str">
        <v>Family / scope guidance</v>
      </c>
      <c r="K246" s="14" t="str">
        <v>Document / product page</v>
      </c>
      <c r="L246" s="14" t="str">
        <v>Not published</v>
      </c>
      <c r="M246" s="16" t="str">
        <v>Not published</v>
      </c>
      <c r="N246" s="16" t="n">
        <v>46275</v>
      </c>
      <c r="O246" s="14" t="str">
        <v>Prusa Research</v>
      </c>
      <c r="P246" s="2" t="str">
        <v>https://help.prusa3d.com/article/polyamide-nylon_167188</v>
      </c>
      <c r="Q246" s="2" t="str">
        <v>79c77d9559bda72628c7ee5ee05383b65a570d6efa40ec1b9461a77f9997292b</v>
      </c>
    </row>
    <row r="247" ht="48" customHeight="1">
      <c r="A247" s="13" t="str">
        <v>Prusa Research</v>
      </c>
      <c r="B247" s="13" t="str">
        <v>Guide / product page</v>
      </c>
      <c r="C247" s="13" t="str">
        <v>Polycarbonate (PC) | Prusa Knowledge Base</v>
      </c>
      <c r="D247" s="17" t="str">
        <v>Open document</v>
      </c>
      <c r="E247" s="13" t="str">
        <v>Yes</v>
      </c>
      <c r="F247" s="13" t="str">
        <v>PR-polycarbonate-pc</v>
      </c>
      <c r="G247" s="13" t="str">
        <v>Manufacturer product / guide</v>
      </c>
      <c r="H247" s="13" t="str">
        <v>cited</v>
      </c>
      <c r="I247" s="13" t="str">
        <v>Retrieved</v>
      </c>
      <c r="J247" s="13" t="str">
        <v>Family / scope guidance</v>
      </c>
      <c r="K247" s="13" t="str">
        <v>Document / product page</v>
      </c>
      <c r="L247" s="13" t="str">
        <v>Not published</v>
      </c>
      <c r="M247" s="15" t="str">
        <v>Not published</v>
      </c>
      <c r="N247" s="15" t="n">
        <v>46275</v>
      </c>
      <c r="O247" s="13" t="str">
        <v>Prusa Research</v>
      </c>
      <c r="P247" s="10" t="str">
        <v>https://help.prusa3d.com/article/polycarbonate-pc_165812</v>
      </c>
      <c r="Q247" s="10" t="str">
        <v>8c2dbf537b1416e5699951e1225f21d267347a9a396f1c261fb21af3bfaa5d30</v>
      </c>
    </row>
    <row r="248" ht="48" customHeight="1">
      <c r="A248" s="14" t="str">
        <v>Prusa Research</v>
      </c>
      <c r="B248" s="14" t="str">
        <v>Guide / product page</v>
      </c>
      <c r="C248" s="14" t="str">
        <v>Polypropylene (PP) | Prusa Knowledge Base</v>
      </c>
      <c r="D248" s="18" t="str">
        <v>Open document</v>
      </c>
      <c r="E248" s="14" t="str">
        <v>Yes</v>
      </c>
      <c r="F248" s="14" t="str">
        <v>PR-polypropylene-pp</v>
      </c>
      <c r="G248" s="14" t="str">
        <v>Manufacturer product / guide</v>
      </c>
      <c r="H248" s="14" t="str">
        <v>cited</v>
      </c>
      <c r="I248" s="14" t="str">
        <v>Retrieved</v>
      </c>
      <c r="J248" s="14" t="str">
        <v>Family / scope guidance</v>
      </c>
      <c r="K248" s="14" t="str">
        <v>Document / product page</v>
      </c>
      <c r="L248" s="14" t="str">
        <v>Not published</v>
      </c>
      <c r="M248" s="16" t="str">
        <v>Not published</v>
      </c>
      <c r="N248" s="16" t="n">
        <v>46275</v>
      </c>
      <c r="O248" s="14" t="str">
        <v>Prusa Research</v>
      </c>
      <c r="P248" s="2" t="str">
        <v>https://help.prusa3d.com/article/polypropylene-pp_167126</v>
      </c>
      <c r="Q248" s="2" t="str">
        <v>47e2604b7f8ab5035c76813856826ceb75cc8ca9c9c3f51e0f2bcd674e43d055</v>
      </c>
    </row>
    <row r="249" ht="48" customHeight="1">
      <c r="A249" s="13" t="str">
        <v>Prusa Research</v>
      </c>
      <c r="B249" s="13" t="str">
        <v>Guide / product page</v>
      </c>
      <c r="C249" s="13" t="str">
        <v>Water soluble (BVOH/PVA) | Prusa Knowledge Base</v>
      </c>
      <c r="D249" s="17" t="str">
        <v>Open document</v>
      </c>
      <c r="E249" s="13" t="str">
        <v>Yes</v>
      </c>
      <c r="F249" s="13" t="str">
        <v>PR-water-soluble-bvoh-pva</v>
      </c>
      <c r="G249" s="13" t="str">
        <v>Manufacturer product / guide</v>
      </c>
      <c r="H249" s="13" t="str">
        <v>cited</v>
      </c>
      <c r="I249" s="13" t="str">
        <v>Retrieved</v>
      </c>
      <c r="J249" s="13" t="str">
        <v>Family / scope guidance</v>
      </c>
      <c r="K249" s="13" t="str">
        <v>Document / product page</v>
      </c>
      <c r="L249" s="13" t="str">
        <v>Not published</v>
      </c>
      <c r="M249" s="15" t="str">
        <v>Not published</v>
      </c>
      <c r="N249" s="15" t="n">
        <v>46275</v>
      </c>
      <c r="O249" s="13" t="str">
        <v>Prusa Research</v>
      </c>
      <c r="P249" s="10" t="str">
        <v>https://help.prusa3d.com/article/water-soluble-bvoh-pva_167012</v>
      </c>
      <c r="Q249" s="10" t="str">
        <v>7bb79cea6a1b8772888768d2be7aee4107a92d8c9afff966c8871a9906a40252</v>
      </c>
    </row>
    <row r="250" ht="48" customHeight="1">
      <c r="A250" s="14" t="str">
        <v>Flashforge</v>
      </c>
      <c r="B250" s="14" t="str">
        <v>Filament TDS</v>
      </c>
      <c r="C250" s="14" t="str">
        <v>Technical Data Sheet ASAGF10 Filament</v>
      </c>
      <c r="D250" s="18" t="str">
        <v>Open document</v>
      </c>
      <c r="E250" s="14" t="str">
        <v>Yes</v>
      </c>
      <c r="F250" s="14" t="str">
        <v>R-FLASHFORGE-ASA-GF10-TDS</v>
      </c>
      <c r="G250" s="14" t="str">
        <v>Manufacturer TDS</v>
      </c>
      <c r="H250" s="14" t="str">
        <v>cited</v>
      </c>
      <c r="I250" s="14" t="str">
        <v>Retrieved</v>
      </c>
      <c r="J250" s="14" t="str">
        <v>M034 / G034-04</v>
      </c>
      <c r="K250" s="14" t="str">
        <v>Properties; Recommended printing conditions</v>
      </c>
      <c r="L250" s="14" t="str">
        <v>Not published</v>
      </c>
      <c r="M250" s="16" t="str">
        <v>Not published</v>
      </c>
      <c r="N250" s="16" t="n">
        <v>46278</v>
      </c>
      <c r="O250" s="14" t="str">
        <v>Flashforge</v>
      </c>
      <c r="P250" s="2" t="str">
        <v>https://after-support.flashforge.jp/uploads/datasheet/tds/ASA_GF_TDS_EN.pdf</v>
      </c>
      <c r="Q250" s="2" t="str">
        <v>b82515bd92eec4b61acc1fe20ff4145407644964a73d0fdfea4f9306744a49c3</v>
      </c>
    </row>
    <row r="251" ht="48" customHeight="1">
      <c r="A251" s="13" t="str">
        <v>Flashforge</v>
      </c>
      <c r="B251" s="13" t="str">
        <v>Guide / product page</v>
      </c>
      <c r="C251" s="13" t="str">
        <v>Flashforge PET-GF Filament</v>
      </c>
      <c r="D251" s="17" t="str">
        <v>Open document</v>
      </c>
      <c r="E251" s="13" t="str">
        <v>Yes</v>
      </c>
      <c r="F251" s="13" t="str">
        <v>D-FLASH-PETGF</v>
      </c>
      <c r="G251" s="13" t="str">
        <v>Manufacturer product / guide</v>
      </c>
      <c r="H251" s="13" t="str">
        <v>cited</v>
      </c>
      <c r="I251" s="13" t="str">
        <v>Retrieved</v>
      </c>
      <c r="J251" s="13" t="str">
        <v>G068-01</v>
      </c>
      <c r="K251" s="13" t="str">
        <v>Document / product page</v>
      </c>
      <c r="L251" s="13" t="str">
        <v>Not published</v>
      </c>
      <c r="M251" s="15" t="str">
        <v>Not published</v>
      </c>
      <c r="N251" s="15" t="n">
        <v>46281</v>
      </c>
      <c r="O251" s="13" t="str">
        <v>Flashforge</v>
      </c>
      <c r="P251" s="10" t="str">
        <v>https://www.flashforge.com/products/pet-gf</v>
      </c>
      <c r="Q251" s="10" t="str">
        <v>484b74dddee3da5a94bf6621a3aeedd635be4f83743c826d2c0e0f98eb350efb</v>
      </c>
    </row>
    <row r="252" ht="50" customHeight="1">
      <c r="A252" s="14" t="str">
        <v>Raise3D</v>
      </c>
      <c r="B252" s="14" t="str">
        <v>Filament TDS</v>
      </c>
      <c r="C252" s="14" t="str">
        <v>Raise3D Industrial PPA CF Technical Data Sheet</v>
      </c>
      <c r="D252" s="18" t="str">
        <v>Open document</v>
      </c>
      <c r="E252" s="14" t="str">
        <v>Yes</v>
      </c>
      <c r="F252" s="14" t="str">
        <v>D-RAISE3D-Industrial-PPA-CF-TDS-V2-0</v>
      </c>
      <c r="G252" s="14" t="str">
        <v>Manufacturer TDS</v>
      </c>
      <c r="H252" s="14" t="str">
        <v>cited</v>
      </c>
      <c r="I252" s="14" t="str">
        <v>Retrieved; owner-supplied copy, byte-identical to the file Raise3D serves at this URL</v>
      </c>
      <c r="J252" s="14" t="str">
        <v>G070-04 (Raise3D Industrial PPA CF, a fourth PPA-CF formulation)</v>
      </c>
      <c r="K252" s="14" t="str">
        <v>p. 1: product description and filament specifications, including heat deflection at both loads; p. 2: mechanical properties on conditioned specimens and the handling notes; p. 3: the testing specimen drawings</v>
      </c>
      <c r="L252" s="14" t="str">
        <v>Version 2.0</v>
      </c>
      <c r="M252" s="16" t="str">
        <v>2022-04</v>
      </c>
      <c r="N252" s="16" t="n">
        <v>46282</v>
      </c>
      <c r="O252" s="14" t="str">
        <v>Raise3D</v>
      </c>
      <c r="P252" s="2" t="str">
        <v>https://s1.raise3d.com/2022/04/Raise3D-Industrial-PPA-CF_TDS-V21.pdf</v>
      </c>
      <c r="Q252" s="2" t="str">
        <v>e68562eba591df9ac5b1fcf52de58e34152c289c7d529ac70797fca355322850</v>
      </c>
    </row>
    <row r="253" ht="48" customHeight="1">
      <c r="A253" s="13" t="str">
        <v>Raise3D</v>
      </c>
      <c r="B253" s="13" t="str">
        <v>SDS</v>
      </c>
      <c r="C253" s="13" t="str">
        <v>Raise3D Industrial PPA CF Safety Data Sheet</v>
      </c>
      <c r="D253" s="17" t="str">
        <v>Open document</v>
      </c>
      <c r="E253" s="13" t="str">
        <v>Yes</v>
      </c>
      <c r="F253" s="13" t="str">
        <v>D-RAISE3D-Industrial-PPA-CF-SDS-V1-2</v>
      </c>
      <c r="G253" s="13" t="str">
        <v>Manufacturer SDS</v>
      </c>
      <c r="H253" s="13" t="str">
        <v>cited</v>
      </c>
      <c r="I253" s="13" t="str">
        <v>Retrieved</v>
      </c>
      <c r="J253" s="13" t="str">
        <v>G070-04 (Raise3D Industrial PPA CF)</v>
      </c>
      <c r="K253" s="13" t="str">
        <v>p. 2: composition and information on ingredients; p. 4: handling and storage; p. 7: stability and reactivity; p. 9: disposal considerations</v>
      </c>
      <c r="L253" s="13" t="str">
        <v>Version 1.2</v>
      </c>
      <c r="M253" s="15" t="str">
        <v>2023-02</v>
      </c>
      <c r="N253" s="15" t="n">
        <v>46282</v>
      </c>
      <c r="O253" s="13" t="str">
        <v>Raise3D</v>
      </c>
      <c r="P253" s="10" t="str">
        <v>https://s1.raise3d.com/2023/02/Raise3D-Industrial-PPA-CF_SDS_V1.2.pdf</v>
      </c>
      <c r="Q253" s="10" t="str">
        <v>bf2ed4e2595c8225774f6d1d5dc2ab1e1b36254c7bb4155113ce176ba748ba0a</v>
      </c>
    </row>
    <row r="254" ht="48" customHeight="1">
      <c r="A254" s="14" t="str">
        <v>colorFabb</v>
      </c>
      <c r="B254" s="14" t="str">
        <v>Filament TDS</v>
      </c>
      <c r="C254" s="14" t="str">
        <v>Technical datasheet colorFabb_nGen</v>
      </c>
      <c r="D254" s="18" t="str">
        <v>Open document</v>
      </c>
      <c r="E254" s="14" t="str">
        <v>Yes</v>
      </c>
      <c r="F254" s="14" t="str">
        <v>R-COLORFABB-NGEN-TDS-V2</v>
      </c>
      <c r="G254" s="14" t="str">
        <v>Manufacturer TDS</v>
      </c>
      <c r="H254" s="14" t="str">
        <v>cited</v>
      </c>
      <c r="I254" s="14" t="str">
        <v>Retrieved</v>
      </c>
      <c r="J254" s="14" t="str">
        <v>M092 / G092-01</v>
      </c>
      <c r="K254" s="14" t="str">
        <v>Typical properties; guideline for print settings; notes</v>
      </c>
      <c r="L254" s="14" t="str">
        <v>v2.0, 2023-09-01</v>
      </c>
      <c r="M254" s="16" t="str">
        <v>Not published</v>
      </c>
      <c r="N254" s="16" t="n">
        <v>46278</v>
      </c>
      <c r="O254" s="14" t="str">
        <v>colorFabb</v>
      </c>
      <c r="P254" s="2" t="str">
        <v>https://colorfabb.com/media/datasheets/tds/colorfabb/TDS_E_ColorFabb_nGen.pdf</v>
      </c>
      <c r="Q254" s="2" t="str">
        <v>d0a40f96297dcfd4e658dd0ffadeb0e848aafd66c6371b516394f5475b956afa</v>
      </c>
    </row>
    <row r="255" ht="48" customHeight="1">
      <c r="A255" s="13" t="str">
        <v>colorFabb</v>
      </c>
      <c r="B255" s="13" t="str">
        <v>Guide / product page</v>
      </c>
      <c r="C255" s="13" t="str">
        <v>nGen Filament – All-Purpose Co-Polyester for Reliable 3D Printing | colorFabb</v>
      </c>
      <c r="D255" s="17" t="str">
        <v>Open document</v>
      </c>
      <c r="E255" s="13" t="str">
        <v>Yes</v>
      </c>
      <c r="F255" s="13" t="str">
        <v>S-NGEN2</v>
      </c>
      <c r="G255" s="13" t="str">
        <v>Manufacturer product / guide</v>
      </c>
      <c r="H255" s="13" t="str">
        <v>cited</v>
      </c>
      <c r="I255" s="13" t="str">
        <v>Retrieved</v>
      </c>
      <c r="J255" s="13" t="str">
        <v>G092-01</v>
      </c>
      <c r="K255" s="13" t="str">
        <v>Document / product page</v>
      </c>
      <c r="L255" s="13" t="str">
        <v>Not published</v>
      </c>
      <c r="M255" s="15" t="str">
        <v>Not published</v>
      </c>
      <c r="N255" s="15" t="n">
        <v>46275</v>
      </c>
      <c r="O255" s="13" t="str">
        <v>colorFabb</v>
      </c>
      <c r="P255" s="10" t="str">
        <v>https://colorfabb.us/filaments/materials/co-polyester-filaments/ngen</v>
      </c>
      <c r="Q255" s="10" t="str">
        <v>cf5a1e5d27b59f52e98bba5a724930202b446d04fb7d8936f2f90ed7a557f706</v>
      </c>
    </row>
    <row r="256" ht="48" customHeight="1">
      <c r="A256" s="14" t="str">
        <v>BigRep</v>
      </c>
      <c r="B256" s="14" t="str">
        <v>Filament TDS</v>
      </c>
      <c r="C256" s="14" t="str">
        <v>TDS-BigRep-BVOH-web</v>
      </c>
      <c r="D256" s="18" t="str">
        <v>Open document</v>
      </c>
      <c r="E256" s="14" t="str">
        <v>Yes</v>
      </c>
      <c r="F256" s="14" t="str">
        <v>S-BVOH</v>
      </c>
      <c r="G256" s="14" t="str">
        <v>Manufacturer TDS</v>
      </c>
      <c r="H256" s="14" t="str">
        <v>cited</v>
      </c>
      <c r="I256" s="14" t="str">
        <v>Retrieved</v>
      </c>
      <c r="J256" s="14" t="str">
        <v>G076-01</v>
      </c>
      <c r="K256" s="14" t="str">
        <v>Document / product page</v>
      </c>
      <c r="L256" s="14" t="str">
        <v>Not published</v>
      </c>
      <c r="M256" s="16" t="str">
        <v>Not published</v>
      </c>
      <c r="N256" s="16" t="n">
        <v>46275</v>
      </c>
      <c r="O256" s="14" t="str">
        <v>BigRep</v>
      </c>
      <c r="P256" s="2" t="str">
        <v>https://bigrep.com/wp-content/uploads/2023/06/TDS-BigRep-BVOH-web.pdf</v>
      </c>
      <c r="Q256" s="2" t="str">
        <v>d539e76c38536ed5276b8f349dd26fcbf80caec3a65b2b0584dca896e57d28f3</v>
      </c>
    </row>
    <row r="257" ht="48" customHeight="1">
      <c r="A257" s="13" t="str">
        <v>Braskem</v>
      </c>
      <c r="B257" s="13" t="str">
        <v>Filament TDS</v>
      </c>
      <c r="C257" s="13" t="str">
        <v>FL300PE Product Data Sheet</v>
      </c>
      <c r="D257" s="17" t="str">
        <v>Open document</v>
      </c>
      <c r="E257" s="13" t="str">
        <v>Yes</v>
      </c>
      <c r="F257" s="13" t="str">
        <v>R-BRASKEM-FL300PE-PDS</v>
      </c>
      <c r="G257" s="13" t="str">
        <v>Manufacturer TDS</v>
      </c>
      <c r="H257" s="13" t="str">
        <v>cited</v>
      </c>
      <c r="I257" s="13" t="str">
        <v>Retrieved</v>
      </c>
      <c r="J257" s="13" t="str">
        <v>G085-02</v>
      </c>
      <c r="K257" s="13" t="str">
        <v>p. 1: Printed Part Properties and its note (test specimens printed in X-Y direction)</v>
      </c>
      <c r="L257" s="13" t="str">
        <v>Not published</v>
      </c>
      <c r="M257" s="15" t="str">
        <v>Not published</v>
      </c>
      <c r="N257" s="15" t="n">
        <v>46281</v>
      </c>
      <c r="O257" s="13" t="str">
        <v>Braskem</v>
      </c>
      <c r="P257" s="10" t="str">
        <v>https://www.braskem.com.br/portal/usa/arquivos/3DPrinting/Product-Data-Sheet-FL300PE.pdf</v>
      </c>
      <c r="Q257" s="10" t="str">
        <v>ab3c807e5dd2ad621b42205cbf2207658fac0fb8f4d1f5981173ea9741fafff5</v>
      </c>
    </row>
    <row r="258" ht="50" customHeight="1">
      <c r="A258" s="14" t="str">
        <v>DSM / Arnitel</v>
      </c>
      <c r="B258" s="14" t="str">
        <v>Filament TDS</v>
      </c>
      <c r="C258" s="14" t="str">
        <v>Arnitel ID 2045 TPC: Property Data (Provisional)</v>
      </c>
      <c r="D258" s="18" t="str">
        <v>Open document</v>
      </c>
      <c r="E258" s="14" t="str">
        <v>Yes</v>
      </c>
      <c r="F258" s="14" t="str">
        <v>R-DSM-ARNITEL-ID2045-TDS</v>
      </c>
      <c r="G258" s="14" t="str">
        <v>Manufacturer TDS indexed at authorized distributor</v>
      </c>
      <c r="H258" s="14" t="str">
        <v>cited</v>
      </c>
      <c r="I258" s="14" t="str">
        <v>Retrieved</v>
      </c>
      <c r="J258" s="14" t="str">
        <v>G046-03 (the "Technical Data Sheet" link of the MatterHackers DSM Arnitel ID2045 product page)</v>
      </c>
      <c r="K258" s="14" t="str">
        <v>p. 1: Material specific properties (3D printed tensile bars, 0°-90° and 45°-45°)</v>
      </c>
      <c r="L258" s="14" t="str">
        <v>Provisional; print date 2018-12-13</v>
      </c>
      <c r="M258" s="16" t="n">
        <v>43447</v>
      </c>
      <c r="N258" s="16" t="n">
        <v>46281</v>
      </c>
      <c r="O258" s="14" t="str">
        <v>DSM (document hosted by MatterHackers)</v>
      </c>
      <c r="P258" s="2" t="str">
        <v>https://www.matterhackers.com/r/kVK5ym</v>
      </c>
      <c r="Q258" s="2" t="str">
        <v>7af735894d64fa7bd831892bd621c49e0171e343be57c8305983a7ffe8256aeb</v>
      </c>
    </row>
    <row r="259" ht="48" customHeight="1">
      <c r="A259" s="13" t="str">
        <v>Dow / EVOLV3D</v>
      </c>
      <c r="B259" s="13" t="str">
        <v>Filament TDS</v>
      </c>
      <c r="C259" s="13" t="str">
        <v>EVOLV3D OBC</v>
      </c>
      <c r="D259" s="17" t="str">
        <v>Open document</v>
      </c>
      <c r="E259" s="13" t="str">
        <v>Yes</v>
      </c>
      <c r="F259" s="13" t="str">
        <v>X-EVOLV3D-OBC-TDS</v>
      </c>
      <c r="G259" s="13" t="str">
        <v>Manufacturer TDS</v>
      </c>
      <c r="H259" s="13" t="str">
        <v>cited</v>
      </c>
      <c r="I259" s="13" t="str">
        <v>Retrieved</v>
      </c>
      <c r="J259" s="13" t="str">
        <v>G086-01</v>
      </c>
      <c r="K259" s="13" t="str">
        <v>Document / product page</v>
      </c>
      <c r="L259" s="13" t="str">
        <v>Not published</v>
      </c>
      <c r="M259" s="15" t="str">
        <v>Not published</v>
      </c>
      <c r="N259" s="15" t="n">
        <v>46275</v>
      </c>
      <c r="O259" s="13" t="str">
        <v>Dow (TDS hosted by 3DXTECH)</v>
      </c>
      <c r="P259" s="10" t="str">
        <v>https://cdn.shopify.com/s/files/1/0625/4185/6821/files/EVOLV3D_OBC-TDS.pdf?v=1723942766</v>
      </c>
      <c r="Q259" s="10" t="str">
        <v>89a1aa6f71753437e6d68d7b8054b0bba997fca8b77c6169815eaaeb65c00153</v>
      </c>
    </row>
    <row r="260" ht="48" customHeight="1">
      <c r="A260" s="14" t="str">
        <v>Eryone</v>
      </c>
      <c r="B260" s="14" t="str">
        <v>Filament TDS</v>
      </c>
      <c r="C260" s="14" t="str">
        <v>Technical Data Sheet (TDS) PETG-GF</v>
      </c>
      <c r="D260" s="18" t="str">
        <v>Open document</v>
      </c>
      <c r="E260" s="14" t="str">
        <v>Yes</v>
      </c>
      <c r="F260" s="14" t="str">
        <v>R-ERYONE-PETG-GF-TDS</v>
      </c>
      <c r="G260" s="14" t="str">
        <v>Manufacturer TDS</v>
      </c>
      <c r="H260" s="14" t="str">
        <v>cited</v>
      </c>
      <c r="I260" s="14" t="str">
        <v>Retrieved</v>
      </c>
      <c r="J260" s="14" t="str">
        <v>M025 / G025-02</v>
      </c>
      <c r="K260" s="14" t="str">
        <v>Part I Suggested printing parameters; Part II Physical properties; Part III Mechanical properties of printed samples</v>
      </c>
      <c r="L260" s="14" t="str">
        <v>version 1.0, 08/2024</v>
      </c>
      <c r="M260" s="16" t="str">
        <v>Not published</v>
      </c>
      <c r="N260" s="16" t="n">
        <v>46278</v>
      </c>
      <c r="O260" s="14" t="str">
        <v>Shenzhen Eryone Technology</v>
      </c>
      <c r="P260" s="2" t="str">
        <v>https://file.globalso.com/file_manage/3828/20250630/eryone-petg-gf-tds.pdf</v>
      </c>
      <c r="Q260" s="2" t="str">
        <v>8351e38bad369f131d878557886517762e4732eecff5352744c9034dd90b7c5d</v>
      </c>
    </row>
    <row r="261" ht="48" customHeight="1">
      <c r="A261" s="13" t="str">
        <v>Essentium / Nexa3D</v>
      </c>
      <c r="B261" s="13" t="str">
        <v>Filament TDS</v>
      </c>
      <c r="C261" s="13" t="str">
        <v>Essentium PPS-CF Technical Data Sheet</v>
      </c>
      <c r="D261" s="17" t="str">
        <v>Open document</v>
      </c>
      <c r="E261" s="13" t="str">
        <v>Yes</v>
      </c>
      <c r="F261" s="13" t="str">
        <v>R-ESSENTIUM-PPSCF-TDS</v>
      </c>
      <c r="G261" s="13" t="str">
        <v>Manufacturer TDS hosted by current brand owner</v>
      </c>
      <c r="H261" s="13" t="str">
        <v>cited</v>
      </c>
      <c r="I261" s="13" t="str">
        <v>Retrieved</v>
      </c>
      <c r="J261" s="13" t="str">
        <v>M073 / G073-02</v>
      </c>
      <c r="K261" s="13" t="str">
        <v>pp. 1-2</v>
      </c>
      <c r="L261" s="13" t="str">
        <v>Version 1.0</v>
      </c>
      <c r="M261" s="15" t="n">
        <v>44513</v>
      </c>
      <c r="N261" s="15" t="n">
        <v>46278</v>
      </c>
      <c r="O261" s="13" t="str">
        <v>Essentium / Nexa3D</v>
      </c>
      <c r="P261" s="10" t="str">
        <v>https://nexa3d.com/wp-content/uploads/2024/07/TDS-Essentium-PPS-CF.pdf</v>
      </c>
      <c r="Q261" s="10" t="str">
        <v>225419a589be85d566c662f2720339a5eb20b6fa50187e98411bf627dd7b1e15</v>
      </c>
    </row>
    <row r="262" ht="48" customHeight="1">
      <c r="A262" s="14" t="str">
        <v>Grupa Azoty / Tarfuse</v>
      </c>
      <c r="B262" s="14" t="str">
        <v>Filament TDS</v>
      </c>
      <c r="C262" s="14" t="str">
        <v>Preliminary Technical Data Sheet Tarfuse POM 3D Filament</v>
      </c>
      <c r="D262" s="18" t="str">
        <v>Open document</v>
      </c>
      <c r="E262" s="14" t="str">
        <v>Yes</v>
      </c>
      <c r="F262" s="14" t="str">
        <v>R-GRUPA-AZOTY-TARFUSE-POM-TDS</v>
      </c>
      <c r="G262" s="14" t="str">
        <v>Manufacturer TDS</v>
      </c>
      <c r="H262" s="14" t="str">
        <v>cited</v>
      </c>
      <c r="I262" s="14" t="str">
        <v>Retrieved</v>
      </c>
      <c r="J262" s="14" t="str">
        <v>M087 / G087-02</v>
      </c>
      <c r="K262" s="14" t="str">
        <v>p. 2: Recommended print processing parameters; Physical properties; Mechanical properties (XY flat)</v>
      </c>
      <c r="L262" s="14" t="str">
        <v>Version 1.1, April 2021</v>
      </c>
      <c r="M262" s="16" t="str">
        <v>Not published</v>
      </c>
      <c r="N262" s="16" t="n">
        <v>46278</v>
      </c>
      <c r="O262" s="14" t="str">
        <v>Grupa Azoty (document mirrored by filamentworld.de)</v>
      </c>
      <c r="P262" s="2" t="str">
        <v>https://filamentworld.de/fact-sheets/Grupa-Azoty_Tarfuse-POM_Datenblatt_EN.pdf</v>
      </c>
      <c r="Q262" s="2" t="str">
        <v>ef0bbc0dd06cf77c1c14d95f0338d3541e287b36920e5f212492399fcb3263ea</v>
      </c>
    </row>
    <row r="263" ht="48" customHeight="1">
      <c r="A263" s="13" t="str">
        <v>SIDDAMENT</v>
      </c>
      <c r="B263" s="13" t="str">
        <v>Filament TDS</v>
      </c>
      <c r="C263" s="13" t="str">
        <v>PC-GF FILAMENT: 3D Printing Filament · Siddament V2 Range · Technical Data Sheet</v>
      </c>
      <c r="D263" s="17" t="str">
        <v>Open document</v>
      </c>
      <c r="E263" s="13" t="str">
        <v>Yes</v>
      </c>
      <c r="F263" s="13" t="str">
        <v>S-PCGF-TDS-1</v>
      </c>
      <c r="G263" s="13" t="str">
        <v>Manufacturer TDS</v>
      </c>
      <c r="H263" s="13" t="str">
        <v>cited</v>
      </c>
      <c r="I263" s="13" t="str">
        <v>Retrieved</v>
      </c>
      <c r="J263" s="13" t="str">
        <v>G038-01</v>
      </c>
      <c r="K263" s="13" t="str">
        <v>Document / product page</v>
      </c>
      <c r="L263" s="13" t="str">
        <v>Revision: 20260427</v>
      </c>
      <c r="M263" s="15" t="str">
        <v>Not published</v>
      </c>
      <c r="N263" s="15" t="n">
        <v>46275</v>
      </c>
      <c r="O263" s="13" t="str">
        <v>SIDDAMENT</v>
      </c>
      <c r="P263" s="10" t="str">
        <v>https://cdn.shopify.com/s/files/1/0685/9168/1815/files/SIDDAMENT_V2_PC-GF_TDS.pdf?v=1779204053</v>
      </c>
      <c r="Q263" s="10" t="str">
        <v>e1c9715424952ef7f09de55a2235bc2f6541a6ce8e1f848ba398079341023cf7</v>
      </c>
    </row>
    <row r="264" ht="48" customHeight="1">
      <c r="A264" s="14" t="str">
        <v>Yousu</v>
      </c>
      <c r="B264" s="14" t="str">
        <v>Filament TDS</v>
      </c>
      <c r="C264" s="14" t="str">
        <v>Yousu POM 3D Filament Technical Data Sheet</v>
      </c>
      <c r="D264" s="18" t="str">
        <v>Open document</v>
      </c>
      <c r="E264" s="14" t="str">
        <v>Yes</v>
      </c>
      <c r="F264" s="14" t="str">
        <v>R-YOUSU-POM-TDS</v>
      </c>
      <c r="G264" s="14" t="str">
        <v>Manufacturer TDS</v>
      </c>
      <c r="H264" s="14" t="str">
        <v>cited</v>
      </c>
      <c r="I264" s="14" t="str">
        <v>Retrieved</v>
      </c>
      <c r="J264" s="14" t="str">
        <v>G087-03</v>
      </c>
      <c r="K264" s="14" t="str">
        <v>p. 1: Physical, mechanical and thermal properties; p. 2: Basic parameters</v>
      </c>
      <c r="L264" s="14" t="str">
        <v>Version 2.0, revision date 18/12/2020</v>
      </c>
      <c r="M264" s="16" t="n">
        <v>44183</v>
      </c>
      <c r="N264" s="16" t="n">
        <v>46281</v>
      </c>
      <c r="O264" s="14" t="str">
        <v>Guangzhou Yousu 3D Technology</v>
      </c>
      <c r="P264" s="2" t="str">
        <v>https://ysfilament.com/u_file/2206/14/file/YOUSUPOMTDS-ae63.pdf</v>
      </c>
      <c r="Q264" s="2" t="str">
        <v>c22e3d282abb75b28a5662a28ba2ba4e98b356fd6dfa27646707d5fc6a25bbb0</v>
      </c>
    </row>
    <row r="265" ht="64" customHeight="1">
      <c r="A265" s="13" t="str">
        <v>DuPont</v>
      </c>
      <c r="B265" s="13" t="str">
        <v>Polymer supplier datasheet</v>
      </c>
      <c r="C265" s="13" t="str">
        <v>Crastin PBT and Rynite PET Thermoplastic Polyester Resins Design Information Module IV</v>
      </c>
      <c r="D265" s="17" t="str">
        <v>Open document</v>
      </c>
      <c r="E265" s="13" t="str">
        <v>Yes</v>
      </c>
      <c r="F265" s="13" t="str">
        <v>R-DUPONT-RYNITE-MODULE-IV</v>
      </c>
      <c r="G265" s="13" t="str">
        <v>Resin supplier data sheet</v>
      </c>
      <c r="H265" s="13" t="str">
        <v>cited</v>
      </c>
      <c r="I265" s="13" t="str">
        <v>Retrieved</v>
      </c>
      <c r="J265" s="13" t="str">
        <v>Polymer-level environmental behaviour of PET (polymer_environment.csv); Rynite 530 (30 % glass) and 545 (45 % glass) PET resins</v>
      </c>
      <c r="K265" s="13" t="str">
        <v>p. 38-39: 4.3 Weathering; p. 43: 4.4 Chemical Resistance (hydrolysis statement); p. 43-45: Table 4.5 Chemical resistance of Rynite 530 and 545</v>
      </c>
      <c r="L265" s="13" t="str">
        <v>L-10978 05/00</v>
      </c>
      <c r="M265" s="15" t="str">
        <v>2000-05</v>
      </c>
      <c r="N265" s="15" t="n">
        <v>46281</v>
      </c>
      <c r="O265" s="13" t="str">
        <v>DuPont Engineering Polymers (document mirrored by Distrupol)</v>
      </c>
      <c r="P265" s="10" t="str">
        <v>https://www.distrupol.com/Crastin_PBT_and_Rynite_PET_Design_Info_Module_IV.pdf</v>
      </c>
      <c r="Q265" s="10" t="str">
        <v>1884802ba30a468a41b06d687532d51ab61ed474ef95f420bea43d3ed40ba1c6</v>
      </c>
    </row>
    <row r="266" ht="50" customHeight="1">
      <c r="A266" s="14" t="str">
        <v>DuPont</v>
      </c>
      <c r="B266" s="14" t="str">
        <v>Polymer supplier datasheet</v>
      </c>
      <c r="C266" s="14" t="str">
        <v>Delrin acetal resin Design Guide—Module III</v>
      </c>
      <c r="D266" s="18" t="str">
        <v>Open document</v>
      </c>
      <c r="E266" s="14" t="str">
        <v>Yes</v>
      </c>
      <c r="F266" s="14" t="str">
        <v>R-DUPONT-DELRIN-MODULE-III</v>
      </c>
      <c r="G266" s="14" t="str">
        <v>Resin supplier data sheet</v>
      </c>
      <c r="H266" s="14" t="str">
        <v>cited</v>
      </c>
      <c r="I266" s="14" t="str">
        <v>Retrieved</v>
      </c>
      <c r="J266" s="14" t="str">
        <v>Polymer-level environmental behaviour of POM (polymer_environment.csv); Delrin acetal homopolymer</v>
      </c>
      <c r="K266" s="14" t="str">
        <v>p. 5: property limitations and UL 94 class; p. 43: Weathering, Solvents, Gasolines, Chemical Resistance, Acids, Bases and Oxidizing Agents; p. 45-47: Table 11 Chemical Resistance Data for Delrin</v>
      </c>
      <c r="L266" s="14" t="str">
        <v>H-57472 (95.1), 230323C</v>
      </c>
      <c r="M266" s="16" t="str">
        <v>Not published</v>
      </c>
      <c r="N266" s="16" t="n">
        <v>46281</v>
      </c>
      <c r="O266" s="14" t="str">
        <v>DuPont Engineering Polymers (document mirrored by KMS Bearings)</v>
      </c>
      <c r="P266" s="2" t="str">
        <v>https://kmsbearings.com/content/category/pdfs/Delrin_Acetal_Design_Guide.pdf</v>
      </c>
      <c r="Q266" s="2" t="str">
        <v>d513137aca11e63b8aa40b06a5afb226166bddd493b06d7a1b0e97e341377956</v>
      </c>
    </row>
    <row r="267" ht="64" customHeight="1">
      <c r="A267" s="13" t="str">
        <v>DuPont</v>
      </c>
      <c r="B267" s="13" t="str">
        <v>Polymer supplier datasheet</v>
      </c>
      <c r="C267" s="13" t="str">
        <v>DuPont Minlon and Zytel nylon resins Design Information – Module II</v>
      </c>
      <c r="D267" s="17" t="str">
        <v>Open document</v>
      </c>
      <c r="E267" s="13" t="str">
        <v>Yes</v>
      </c>
      <c r="F267" s="13" t="str">
        <v>R-DUPONT-ZYTEL-MODULE-II</v>
      </c>
      <c r="G267" s="13" t="str">
        <v>Resin supplier data sheet</v>
      </c>
      <c r="H267" s="13" t="str">
        <v>cited</v>
      </c>
      <c r="I267" s="13" t="str">
        <v>Retrieved</v>
      </c>
      <c r="J267" s="13" t="str">
        <v>Polymer-level environmental behaviour of PA66 (polymer_environment.csv); Zytel 101 / 101L unreinforced PA66</v>
      </c>
      <c r="K267" s="13" t="str">
        <v>p. 5: 1.1 Introduction (chemical statement, moisture equilibrium); p. 33: Table 4.01 Flammability; p. 39: 5.3 Resistance to hot water and steam; p. 40-41: 5.4 Weathering; p. 44-45: 5.7 chemical resistance (Table 5.12 rating marks lost in extraction, not transcribed)</v>
      </c>
      <c r="L267" s="13" t="str">
        <v>H-56843 05.01</v>
      </c>
      <c r="M267" s="15" t="str">
        <v>2001-05</v>
      </c>
      <c r="N267" s="15" t="n">
        <v>46281</v>
      </c>
      <c r="O267" s="13" t="str">
        <v>DuPont Engineering Polymers (document mirrored by Distrupol)</v>
      </c>
      <c r="P267" s="10" t="str">
        <v>https://www.distrupol.com/Minlon_Zytel_Design__Info_Module_2.pdf</v>
      </c>
      <c r="Q267" s="10" t="str">
        <v>6dce2ddaa6d694fffc1479a4cc2f6662218c42b7e0a4683e8c640e1cb23b95bb</v>
      </c>
    </row>
    <row r="268" ht="48" customHeight="1">
      <c r="A268" s="14" t="str">
        <v>DuPont</v>
      </c>
      <c r="B268" s="14" t="str">
        <v>Polymer supplier datasheet</v>
      </c>
      <c r="C268" s="14" t="str">
        <v>DuPont Zytel nylon resin: product guide and properties</v>
      </c>
      <c r="D268" s="18" t="str">
        <v>Open document</v>
      </c>
      <c r="E268" s="14" t="str">
        <v>Yes</v>
      </c>
      <c r="F268" s="14" t="str">
        <v>R-DUPONT-ZYTEL-GUIDE</v>
      </c>
      <c r="G268" s="14" t="str">
        <v>Resin supplier data sheet</v>
      </c>
      <c r="H268" s="14" t="str">
        <v>cited</v>
      </c>
      <c r="I268" s="14" t="str">
        <v>Retrieved</v>
      </c>
      <c r="J268" s="14" t="str">
        <v>M058 / G058-R1</v>
      </c>
      <c r="K268" s="14" t="str">
        <v>p. 8 Unreinforced PA612, Zytel 151L, DAM column</v>
      </c>
      <c r="L268" s="14" t="str">
        <v>Not published</v>
      </c>
      <c r="M268" s="16" t="str">
        <v>Not published</v>
      </c>
      <c r="N268" s="16" t="n">
        <v>46278</v>
      </c>
      <c r="O268" s="14" t="str">
        <v>DuPont (document mirrored by T-Link)</v>
      </c>
      <c r="P268" s="2" t="str">
        <v>https://t-link.com.hk/MaterialSpec/Nylon66/ALL%20Zytel.pdf</v>
      </c>
      <c r="Q268" s="2" t="str">
        <v>4b28bc3c55f6cebb864463b497521e9dcdca89a1edd82de6fee0bb2a0e820092</v>
      </c>
    </row>
    <row r="269" ht="50" customHeight="1">
      <c r="A269" s="13" t="str">
        <v>DuPont</v>
      </c>
      <c r="B269" s="13" t="str">
        <v>Polymer supplier datasheet</v>
      </c>
      <c r="C269" s="13" t="str">
        <v>Hytrel Thermoplastic Polyester Elastomer Fluid and chemical resistance guide (Technical Report HYT-504)</v>
      </c>
      <c r="D269" s="17" t="str">
        <v>Open document</v>
      </c>
      <c r="E269" s="13" t="str">
        <v>Yes</v>
      </c>
      <c r="F269" s="13" t="str">
        <v>R-DUPONT-HYTREL-HYT504</v>
      </c>
      <c r="G269" s="13" t="str">
        <v>Resin supplier data sheet</v>
      </c>
      <c r="H269" s="13" t="str">
        <v>cited</v>
      </c>
      <c r="I269" s="13" t="str">
        <v>Retrieved</v>
      </c>
      <c r="J269" s="13" t="str">
        <v>Polymer-level environmental behaviour of TPC (polymer_environment.csv); Hytrel 40D, 55D and 72D grades</v>
      </c>
      <c r="K269" s="13" t="str">
        <v>p. 3: Resistance to various classes of fluids; p. 4-6: Table I Chemical resistance guide (ratings A/B/C/T/X at 23 °C unless stated)</v>
      </c>
      <c r="L269" s="13" t="str">
        <v>L-11964 06.99</v>
      </c>
      <c r="M269" s="15" t="str">
        <v>1999-06</v>
      </c>
      <c r="N269" s="15" t="n">
        <v>46281</v>
      </c>
      <c r="O269" s="13" t="str">
        <v>DuPont Engineering Polymers (document mirrored by Material Data Center)</v>
      </c>
      <c r="P269" s="10" t="str">
        <v>https://www.materialdatacenter.com/mb/file/show/52/0/Chemical%20resistance_Hytrel.pdf</v>
      </c>
      <c r="Q269" s="10" t="str">
        <v>6840548a30f84764942d0272157623839d4a9f7918ff084664252c75069a0d57</v>
      </c>
    </row>
    <row r="270" ht="50" customHeight="1">
      <c r="A270" s="14" t="str">
        <v>DuPont</v>
      </c>
      <c r="B270" s="14" t="str">
        <v>Polymer supplier datasheet</v>
      </c>
      <c r="C270" s="14" t="str">
        <v>Hytrel engineering thermoplastic elastomer Design Guide—Module V</v>
      </c>
      <c r="D270" s="18" t="str">
        <v>Open document</v>
      </c>
      <c r="E270" s="14" t="str">
        <v>Yes</v>
      </c>
      <c r="F270" s="14" t="str">
        <v>R-DUPONT-HYTREL-MODULE-V</v>
      </c>
      <c r="G270" s="14" t="str">
        <v>Resin supplier data sheet</v>
      </c>
      <c r="H270" s="14" t="str">
        <v>cited</v>
      </c>
      <c r="I270" s="14" t="str">
        <v>Retrieved</v>
      </c>
      <c r="J270" s="14" t="str">
        <v>Polymer-level environmental behaviour of TPC (polymer_environment.csv); Hytrel resins</v>
      </c>
      <c r="K270" s="14" t="str">
        <v>PDF p. 42: Hytrel 20UV (UV protection recommendation)</v>
      </c>
      <c r="L270" s="14" t="str">
        <v>H-57474 (95.1), 201714C</v>
      </c>
      <c r="M270" s="16" t="str">
        <v>Not published</v>
      </c>
      <c r="N270" s="16" t="n">
        <v>46281</v>
      </c>
      <c r="O270" s="14" t="str">
        <v>DuPont Engineering Polymers (document mirrored by Total Resin)</v>
      </c>
      <c r="P270" s="2" t="str">
        <v>http://www.totalresin.com/product/product/Hytrel_design_guide.pdf</v>
      </c>
      <c r="Q270" s="2" t="str">
        <v>96bc3b4a8356325d923008e9410b5425e5eae70c522c01b0b139f62417c26ec2</v>
      </c>
    </row>
    <row r="271" ht="48" customHeight="1">
      <c r="A271" s="13" t="str">
        <v>DuPont</v>
      </c>
      <c r="B271" s="13" t="str">
        <v>Polymer supplier datasheet</v>
      </c>
      <c r="C271" s="13" t="str">
        <v>Product Information Delrin 100P NC010</v>
      </c>
      <c r="D271" s="17" t="str">
        <v>Open document</v>
      </c>
      <c r="E271" s="13" t="str">
        <v>Yes</v>
      </c>
      <c r="F271" s="13" t="str">
        <v>R-DUPONT-DELRIN-100P</v>
      </c>
      <c r="G271" s="13" t="str">
        <v>Resin supplier data sheet</v>
      </c>
      <c r="H271" s="13" t="str">
        <v>cited</v>
      </c>
      <c r="I271" s="13" t="str">
        <v>Retrieved</v>
      </c>
      <c r="J271" s="13" t="str">
        <v>M087 / G087-R1</v>
      </c>
      <c r="K271" s="13" t="str">
        <v>Mechanical; Thermal; Other</v>
      </c>
      <c r="L271" s="13" t="str">
        <v>060412/060413</v>
      </c>
      <c r="M271" s="15" t="str">
        <v>Not published</v>
      </c>
      <c r="N271" s="15" t="n">
        <v>46278</v>
      </c>
      <c r="O271" s="13" t="str">
        <v>DuPont (document mirrored by Upmold)</v>
      </c>
      <c r="P271" s="10" t="str">
        <v>https://upmold.com/wp-content/uploads/data-sheet/POM-DuPont-Delrin-100P%20NC010.pdf</v>
      </c>
      <c r="Q271" s="10" t="str">
        <v>65ea95a42700a8d69cc0668a50684fadd79ab30480137d1e4c7445e20c3a248f</v>
      </c>
    </row>
    <row r="272" ht="48" customHeight="1">
      <c r="A272" s="14" t="str">
        <v>3D Printing Canada</v>
      </c>
      <c r="B272" s="14" t="str">
        <v>Catalogue / pricing</v>
      </c>
      <c r="C272" s="14" t="str">
        <v>CA 3DPC1</v>
      </c>
      <c r="D272" s="18" t="str">
        <v>Open document</v>
      </c>
      <c r="E272" s="14" t="str">
        <v>Yes</v>
      </c>
      <c r="F272" s="14" t="str">
        <v>CA-3DPC1</v>
      </c>
      <c r="G272" s="14" t="str">
        <v>Canadian retailer catalogue; pricing only</v>
      </c>
      <c r="H272" s="14" t="str">
        <v>cited</v>
      </c>
      <c r="I272" s="14" t="str">
        <v>Retrieved</v>
      </c>
      <c r="J272" s="14" t="str">
        <v>Family / scope guidance</v>
      </c>
      <c r="K272" s="14" t="str">
        <v>Document / product page</v>
      </c>
      <c r="L272" s="14" t="str">
        <v>Not published</v>
      </c>
      <c r="M272" s="16" t="str">
        <v>Not published</v>
      </c>
      <c r="N272" s="16" t="n">
        <v>46275</v>
      </c>
      <c r="O272" s="14" t="str">
        <v>CA-3DPC1</v>
      </c>
      <c r="P272" s="2" t="str">
        <v>https://3dprintingcanada.com/products.json?limit=250&amp;page=1</v>
      </c>
      <c r="Q272" s="2" t="str">
        <v>363ec73ffc5ba644ffa0ac2b4e888d3c087e086f6f64f5841d923fd6ecea8a37</v>
      </c>
    </row>
    <row r="273" ht="48" customHeight="1">
      <c r="A273" s="13" t="str">
        <v>3D Printing Canada</v>
      </c>
      <c r="B273" s="13" t="str">
        <v>Catalogue / pricing</v>
      </c>
      <c r="C273" s="13" t="str">
        <v>CA 3DPC3</v>
      </c>
      <c r="D273" s="17" t="str">
        <v>Open document</v>
      </c>
      <c r="E273" s="13" t="str">
        <v>Yes</v>
      </c>
      <c r="F273" s="13" t="str">
        <v>CA-3DPC3</v>
      </c>
      <c r="G273" s="13" t="str">
        <v>Canadian retailer catalogue; pricing only</v>
      </c>
      <c r="H273" s="13" t="str">
        <v>cited</v>
      </c>
      <c r="I273" s="13" t="str">
        <v>Retrieved</v>
      </c>
      <c r="J273" s="13" t="str">
        <v>Family / scope guidance</v>
      </c>
      <c r="K273" s="13" t="str">
        <v>Document / product page</v>
      </c>
      <c r="L273" s="13" t="str">
        <v>Not published</v>
      </c>
      <c r="M273" s="15" t="str">
        <v>Not published</v>
      </c>
      <c r="N273" s="15" t="n">
        <v>46275</v>
      </c>
      <c r="O273" s="13" t="str">
        <v>CA-3DPC3</v>
      </c>
      <c r="P273" s="10" t="str">
        <v>https://3dprintingcanada.com/products.json?limit=250&amp;page=3</v>
      </c>
      <c r="Q273" s="10" t="str">
        <v>68da294ddd563916295bcf1f2f7cd3365088f95c68c56d217159954f965d194a</v>
      </c>
    </row>
    <row r="274" ht="48" customHeight="1">
      <c r="A274" s="14" t="str">
        <v>3D Printing Canada</v>
      </c>
      <c r="B274" s="14" t="str">
        <v>Catalogue / pricing</v>
      </c>
      <c r="C274" s="14" t="str">
        <v>CA 3DPC4</v>
      </c>
      <c r="D274" s="18" t="str">
        <v>Open document</v>
      </c>
      <c r="E274" s="14" t="str">
        <v>Yes</v>
      </c>
      <c r="F274" s="14" t="str">
        <v>CA-3DPC4</v>
      </c>
      <c r="G274" s="14" t="str">
        <v>Canadian retailer catalogue; pricing only</v>
      </c>
      <c r="H274" s="14" t="str">
        <v>cited</v>
      </c>
      <c r="I274" s="14" t="str">
        <v>Retrieved</v>
      </c>
      <c r="J274" s="14" t="str">
        <v>Family / scope guidance</v>
      </c>
      <c r="K274" s="14" t="str">
        <v>Document / product page</v>
      </c>
      <c r="L274" s="14" t="str">
        <v>Not published</v>
      </c>
      <c r="M274" s="16" t="str">
        <v>Not published</v>
      </c>
      <c r="N274" s="16" t="n">
        <v>46275</v>
      </c>
      <c r="O274" s="14" t="str">
        <v>CA-3DPC4</v>
      </c>
      <c r="P274" s="2" t="str">
        <v>https://3dprintingcanada.com/products.json?limit=250&amp;page=4</v>
      </c>
      <c r="Q274" s="2" t="str">
        <v>0265232350e86a4200a11d2d7b0ac2d33e273fe9ffe2add0f72b24aad65a6427</v>
      </c>
    </row>
    <row r="275" ht="48" customHeight="1">
      <c r="A275" s="13" t="str">
        <v>3D Printing Canada</v>
      </c>
      <c r="B275" s="13" t="str">
        <v>Catalogue / pricing</v>
      </c>
      <c r="C275" s="13" t="str">
        <v>CA ADVANCED</v>
      </c>
      <c r="D275" s="17" t="str">
        <v>Open document</v>
      </c>
      <c r="E275" s="13" t="str">
        <v>Yes</v>
      </c>
      <c r="F275" s="13" t="str">
        <v>CA-ADVANCED</v>
      </c>
      <c r="G275" s="13" t="str">
        <v>Canadian retailer catalogue; pricing only</v>
      </c>
      <c r="H275" s="13" t="str">
        <v>cited</v>
      </c>
      <c r="I275" s="13" t="str">
        <v>Retrieved</v>
      </c>
      <c r="J275" s="13" t="str">
        <v>Family / scope guidance</v>
      </c>
      <c r="K275" s="13" t="str">
        <v>Document / product page</v>
      </c>
      <c r="L275" s="13" t="str">
        <v>Not published</v>
      </c>
      <c r="M275" s="15" t="str">
        <v>Not published</v>
      </c>
      <c r="N275" s="15" t="n">
        <v>46275</v>
      </c>
      <c r="O275" s="13" t="str">
        <v>CA-ADVANCED</v>
      </c>
      <c r="P275" s="10" t="str">
        <v>https://3dprintingcanada.com/collections/advanced-filaments/products.json?limit=250</v>
      </c>
      <c r="Q275" s="10" t="str">
        <v>9734f03a292beb8177f1360a6d214191a5d306ab132bb3220abe8e862af9650f</v>
      </c>
    </row>
    <row r="276" ht="64" customHeight="1">
      <c r="A276" s="14" t="str">
        <v>BASF (polymer data)</v>
      </c>
      <c r="B276" s="14" t="str">
        <v>Polymer supplier datasheet</v>
      </c>
      <c r="C276" s="14" t="str">
        <v>Chemical Resistance of Styrene Copolymers</v>
      </c>
      <c r="D276" s="18" t="str">
        <v>Open document</v>
      </c>
      <c r="E276" s="14" t="str">
        <v>Yes</v>
      </c>
      <c r="F276" s="14" t="str">
        <v>R-BASF-STYRENE-COPOLYMERS-CHEM</v>
      </c>
      <c r="G276" s="14" t="str">
        <v>Resin supplier data sheet</v>
      </c>
      <c r="H276" s="14" t="str">
        <v>cited</v>
      </c>
      <c r="I276" s="14" t="str">
        <v>Retrieved</v>
      </c>
      <c r="J276" s="14" t="str">
        <v>Polymer-level environmental behaviour of ABS and ASA (polymer_environment.csv); Terluran (ABS) and Luran S (ASA) resins, now INEOS Styrolution</v>
      </c>
      <c r="K276" s="14" t="str">
        <v>p. 2: overview table and symbol key; p. 3-11: test substance table (Terluran ABS and Luran S ASA columns, 20 °C and 50 °C)</v>
      </c>
      <c r="L276" s="14" t="str">
        <v>KTCI 9900 e 05.2002</v>
      </c>
      <c r="M276" s="16" t="str">
        <v>2002-05</v>
      </c>
      <c r="N276" s="16" t="n">
        <v>46281</v>
      </c>
      <c r="O276" s="14" t="str">
        <v>BASF Aktiengesellschaft (document mirrored by OKW Gehäusesysteme)</v>
      </c>
      <c r="P276" s="2" t="str">
        <v>https://www.okwenclosures.com/en/media/e1c71e00-cf5c-11e2-896a-0050568225d7</v>
      </c>
      <c r="Q276" s="2" t="str">
        <v>0605fac201af222d6ab0cd02a1dcc8c4f49686dd572077545fa5dbcae8af1427</v>
      </c>
    </row>
    <row r="277" ht="64" customHeight="1">
      <c r="A277" s="13" t="str">
        <v>BASF (polymer data)</v>
      </c>
      <c r="B277" s="13" t="str">
        <v>Polymer supplier datasheet</v>
      </c>
      <c r="C277" s="13" t="str">
        <v>Elastollan – Chemical properties (Elastollan material properties, chapter pages 36-46)</v>
      </c>
      <c r="D277" s="17" t="str">
        <v>Open document</v>
      </c>
      <c r="E277" s="13" t="str">
        <v>Yes</v>
      </c>
      <c r="F277" s="13" t="str">
        <v>R-BASF-ELASTOLLAN-CHEM</v>
      </c>
      <c r="G277" s="13" t="str">
        <v>Resin supplier data sheet</v>
      </c>
      <c r="H277" s="13" t="str">
        <v>cited</v>
      </c>
      <c r="I277" s="13" t="str">
        <v>Retrieved</v>
      </c>
      <c r="J277" s="13" t="str">
        <v>Polymer-level environmental behaviour of TPU (polymer_environment.csv); Elastollan standard ester grades (500, 800), C 85 A and ether grades (1100)</v>
      </c>
      <c r="K277" s="13" t="str">
        <v>PDF p. 2: Chemical resistance (general, acids, hydrocarbons, oils, solvents); PDF p. 5-6: resistance table by reagent code (23 °C / 60 °C); PDF p. 7-8: solvent swelling table; PDF p. 10: Hydrolysis resistance; PDF p. 11: UV radiation</v>
      </c>
      <c r="L277" s="13" t="str">
        <v>Not published</v>
      </c>
      <c r="M277" s="15" t="str">
        <v>Not published</v>
      </c>
      <c r="N277" s="15" t="n">
        <v>46281</v>
      </c>
      <c r="O277" s="13" t="str">
        <v>BASF Polyurethanes GmbH</v>
      </c>
      <c r="P277" s="10" t="str">
        <v>https://www.basf.com/dam/jcr:e42483e4-4087-3544-a6a2-f958427c1030/Elastollan_Properties-Chemical-Properties.pdf</v>
      </c>
      <c r="Q277" s="10" t="str">
        <v>1f535f78c4c04673eed4646a7e535cf9c5e588dccad2c655fd252e73fa5a77dc</v>
      </c>
    </row>
    <row r="278" ht="64" customHeight="1">
      <c r="A278" s="14" t="str">
        <v>BASF (polymer data)</v>
      </c>
      <c r="B278" s="14" t="str">
        <v>Polymer supplier datasheet</v>
      </c>
      <c r="C278" s="14" t="str">
        <v>Polystyrene and Styrolux: General-purpose polystyrene (GPPS), High-impact polystyrene (HIPS), Styrene / butadiene-block copolymer (S/B/S)</v>
      </c>
      <c r="D278" s="18" t="str">
        <v>Open document</v>
      </c>
      <c r="E278" s="14" t="str">
        <v>Yes</v>
      </c>
      <c r="F278" s="14" t="str">
        <v>R-BASF-POLYSTYRENE-STYROLUX</v>
      </c>
      <c r="G278" s="14" t="str">
        <v>Resin supplier data sheet</v>
      </c>
      <c r="H278" s="14" t="str">
        <v>cited</v>
      </c>
      <c r="I278" s="14" t="str">
        <v>Retrieved</v>
      </c>
      <c r="J278" s="14" t="str">
        <v>Polymer-level environmental behaviour of HIPS (polymer_environment.csv); Polystyrol GPPS and HIPS resins, now INEOS Styrolution</v>
      </c>
      <c r="K278" s="14" t="str">
        <v>p. 12: Resistance to chemicals; p. 13: Aging behavior</v>
      </c>
      <c r="L278" s="14" t="str">
        <v>KSEP 1002 BE, September 2010</v>
      </c>
      <c r="M278" s="16" t="str">
        <v>2010-09</v>
      </c>
      <c r="N278" s="16" t="n">
        <v>46281</v>
      </c>
      <c r="O278" s="14" t="str">
        <v>BASF SE (document mirrored by University of Connecticut, physics wiki)</v>
      </c>
      <c r="P278" s="2" t="str">
        <v>https://zeus.phys.uconn.edu/wiki/images/Polystyrene_properties.pdf</v>
      </c>
      <c r="Q278" s="2" t="str">
        <v>0ae31d22fd6123e7740b67d891fa1a2dcba66ce226872aa6490a37da27decfd2</v>
      </c>
    </row>
    <row r="279" ht="64" customHeight="1">
      <c r="A279" s="13" t="str">
        <v>BASF (polymer data)</v>
      </c>
      <c r="B279" s="13" t="str">
        <v>Polymer supplier datasheet</v>
      </c>
      <c r="C279" s="13" t="str">
        <v>Ultramid Nylon Chemical Resistance</v>
      </c>
      <c r="D279" s="17" t="str">
        <v>Open document</v>
      </c>
      <c r="E279" s="13" t="str">
        <v>Yes</v>
      </c>
      <c r="F279" s="13" t="str">
        <v>R-BASF-ULTRAMID-CHEM</v>
      </c>
      <c r="G279" s="13" t="str">
        <v>Resin supplier data sheet</v>
      </c>
      <c r="H279" s="13" t="str">
        <v>cited</v>
      </c>
      <c r="I279" s="13" t="str">
        <v>Retrieved</v>
      </c>
      <c r="J279" s="13" t="str">
        <v>Polymer-level environmental behaviour of PA6 and PA66 (polymer_environment.csv); Ultramid B (PA6) and A (PA66) base resins</v>
      </c>
      <c r="K279" s="13" t="str">
        <v>p. 2: scope (unmodified Ultramid B27E PA6 and A27E PA66); p. 3: symbols and chemical resistance overview; p. 4-17: chemical table</v>
      </c>
      <c r="L279" s="13" t="str">
        <v>© 2021 BASF</v>
      </c>
      <c r="M279" s="15" t="str">
        <v>2021</v>
      </c>
      <c r="N279" s="15" t="n">
        <v>46281</v>
      </c>
      <c r="O279" s="13" t="str">
        <v>BASF Corporation</v>
      </c>
      <c r="P279" s="10" t="str">
        <v>https://chemicals.basf.com/dam/jcr:7c5b6f87-b64c-4974-83d9-b261c5a25032/BASF_Ultramid_Nylon_Chemical_Resistance_Guide.pdf</v>
      </c>
      <c r="Q279" s="10" t="str">
        <v>64fee9ab802f3c1bbfed55bed10ed22825ec9628e8f39ef9fcaefcce36baac24</v>
      </c>
    </row>
    <row r="280" ht="48" customHeight="1">
      <c r="A280" s="14" t="str">
        <v>User-supplied reference</v>
      </c>
      <c r="B280" s="14" t="str">
        <v>Local / scope reference</v>
      </c>
      <c r="C280" s="14" t="str">
        <v>Consolidated H2C material master list</v>
      </c>
      <c r="D280" s="18" t="str">
        <v>Local reference</v>
      </c>
      <c r="E280" s="14" t="str">
        <v>Yes</v>
      </c>
      <c r="F280" s="14" t="str">
        <v>LOCAL-CANON</v>
      </c>
      <c r="G280" s="14" t="str">
        <v>Scope register</v>
      </c>
      <c r="H280" s="14" t="str">
        <v>cited</v>
      </c>
      <c r="I280" s="14" t="str">
        <v>Read only</v>
      </c>
      <c r="J280" s="14" t="str">
        <v>Family / scope guidance</v>
      </c>
      <c r="K280" s="14" t="str">
        <v>Both canonical tables</v>
      </c>
      <c r="L280" s="14" t="str">
        <v>Not published</v>
      </c>
      <c r="M280" s="16" t="str">
        <v>Not published</v>
      </c>
      <c r="N280" s="16" t="n">
        <v>46275</v>
      </c>
      <c r="O280" s="14" t="str">
        <v>User-supplied reference</v>
      </c>
      <c r="P280" s="2" t="str">
        <v>/Users/farid/Downloads/Misc/Bambu_H2C_Consolidated_Filament_Material_Master_List.md</v>
      </c>
      <c r="Q280" s="2" t="str">
        <v>bae94c526f7efe4dd7780f839393330f422f7f88ed228764fa3104b2a263d9f4</v>
      </c>
    </row>
    <row r="281" ht="48" customHeight="1">
      <c r="A281" s="13" t="str">
        <v>User-supplied reference</v>
      </c>
      <c r="B281" s="13" t="str">
        <v>Local / scope reference</v>
      </c>
      <c r="C281" s="13" t="str">
        <v>Legacy material-selection workbook</v>
      </c>
      <c r="D281" s="17" t="str">
        <v>Local reference</v>
      </c>
      <c r="E281" s="13" t="str">
        <v>Yes</v>
      </c>
      <c r="F281" s="13" t="str">
        <v>LOCAL-XLSM</v>
      </c>
      <c r="G281" s="13" t="str">
        <v>Secondary local reference</v>
      </c>
      <c r="H281" s="13" t="str">
        <v>provenance</v>
      </c>
      <c r="I281" s="13" t="str">
        <v>Read only</v>
      </c>
      <c r="J281" s="13" t="str">
        <v>Family / scope guidance</v>
      </c>
      <c r="K281" s="13" t="str">
        <v>Database E:T, MainUi property labels; uncited values excluded</v>
      </c>
      <c r="L281" s="13" t="str">
        <v>Not published</v>
      </c>
      <c r="M281" s="15" t="str">
        <v>Not published</v>
      </c>
      <c r="N281" s="15" t="n">
        <v>46275</v>
      </c>
      <c r="O281" s="13" t="str">
        <v>User-supplied reference</v>
      </c>
      <c r="P281" s="10" t="str">
        <v>/Users/farid/Documents/farid first Obsidian/Material Selection/CAE PROJECTS/Material Selection.xlsm</v>
      </c>
      <c r="Q281" s="10" t="str">
        <v>f4388e09431e3cb5184e84b3b363220107bef0fdc52c82092d2fb29e55f87a49</v>
      </c>
    </row>
    <row r="282" ht="48" customHeight="1">
      <c r="A282" s="14" t="str">
        <v>User-supplied reference</v>
      </c>
      <c r="B282" s="14" t="str">
        <v>Local / scope reference</v>
      </c>
      <c r="C282" s="14" t="str">
        <v>Plastics Engineering: fatigue of reinforced plastics</v>
      </c>
      <c r="D282" s="18" t="str">
        <v>Local reference</v>
      </c>
      <c r="E282" s="14" t="str">
        <v>Yes</v>
      </c>
      <c r="F282" s="14" t="str">
        <v>LOCAL-FATIGUE</v>
      </c>
      <c r="G282" s="14" t="str">
        <v>Secondary local reference</v>
      </c>
      <c r="H282" s="14" t="str">
        <v>cited</v>
      </c>
      <c r="I282" s="14" t="str">
        <v>Read only</v>
      </c>
      <c r="J282" s="14" t="str">
        <v>Family / scope guidance</v>
      </c>
      <c r="K282" s="14" t="str">
        <v>§3.17; raw/c2a09960a68398c3/pe4.md</v>
      </c>
      <c r="L282" s="14" t="str">
        <v>Not published</v>
      </c>
      <c r="M282" s="16" t="str">
        <v>Not published</v>
      </c>
      <c r="N282" s="16" t="n">
        <v>46275</v>
      </c>
      <c r="O282" s="14" t="str">
        <v>User-supplied reference</v>
      </c>
      <c r="P282" s="2" t="str">
        <v>/Users/farid/Documents/farid first Obsidian/Materials Wiki/wiki/pe4/mat-pe4-c-fatigue-behaviour-of-reinforced-plastics.md</v>
      </c>
      <c r="Q282" s="2" t="str">
        <v>bdb1b706976f9d20f3b0267c54a5318817c9fb2042d8f44fdb7e189b5f32d77a</v>
      </c>
    </row>
    <row r="283" ht="48" customHeight="1">
      <c r="A283" s="13" t="str">
        <v>User-supplied reference</v>
      </c>
      <c r="B283" s="13" t="str">
        <v>Local / scope reference</v>
      </c>
      <c r="C283" s="13" t="str">
        <v>Plastics Engineering: pseudo-elastic design</v>
      </c>
      <c r="D283" s="17" t="str">
        <v>Local reference</v>
      </c>
      <c r="E283" s="13" t="str">
        <v>Yes</v>
      </c>
      <c r="F283" s="13" t="str">
        <v>LOCAL-CREEP</v>
      </c>
      <c r="G283" s="13" t="str">
        <v>Secondary local reference</v>
      </c>
      <c r="H283" s="13" t="str">
        <v>cited</v>
      </c>
      <c r="I283" s="13" t="str">
        <v>Read only</v>
      </c>
      <c r="J283" s="13" t="str">
        <v>Family / scope guidance</v>
      </c>
      <c r="K283" s="13" t="str">
        <v>§2.5.2; raw/c2a09960a68398c3/pe4.md</v>
      </c>
      <c r="L283" s="13" t="str">
        <v>Not published</v>
      </c>
      <c r="M283" s="15" t="str">
        <v>Not published</v>
      </c>
      <c r="N283" s="15" t="n">
        <v>46275</v>
      </c>
      <c r="O283" s="13" t="str">
        <v>User-supplied reference</v>
      </c>
      <c r="P283" s="10" t="str">
        <v>/Users/farid/Documents/farid first Obsidian/Materials Wiki/wiki/pe4/mat-pe4-c-pseudo-elastic-design-method-for-plastics.md</v>
      </c>
      <c r="Q283" s="10" t="str">
        <v>173fe3f42a9834ead307b52c9b06a6fe5936ad474c8dc46dac25decf6ea729a2</v>
      </c>
    </row>
    <row r="284" ht="50" customHeight="1">
      <c r="A284" s="14" t="str">
        <v>Kuraray</v>
      </c>
      <c r="B284" s="14" t="str">
        <v>Polymer supplier datasheet</v>
      </c>
      <c r="C284" s="14" t="str">
        <v>KURARAY POVAL, EXCEVAL, ELVANOL Technical Data Sheet</v>
      </c>
      <c r="D284" s="18" t="str">
        <v>Open document</v>
      </c>
      <c r="E284" s="14" t="str">
        <v>Yes</v>
      </c>
      <c r="F284" s="14" t="str">
        <v>R-KURARAY-POVAL-TDS</v>
      </c>
      <c r="G284" s="14" t="str">
        <v>Resin supplier data sheet</v>
      </c>
      <c r="H284" s="14" t="str">
        <v>cited</v>
      </c>
      <c r="I284" s="14" t="str">
        <v>Retrieved</v>
      </c>
      <c r="J284" s="14" t="str">
        <v>Polymer-level environmental behaviour of PVA (polymer_environment.csv); KURARAY POVAL polyvinyl alcohol grades</v>
      </c>
      <c r="K284" s="14" t="str">
        <v>p. 7: Properties; p. 10: barrier properties (insolubility in organic solvents); p. 11: Storage</v>
      </c>
      <c r="L284" s="14" t="str">
        <v>2026/07/15</v>
      </c>
      <c r="M284" s="16" t="n">
        <v>46218</v>
      </c>
      <c r="N284" s="16" t="n">
        <v>46281</v>
      </c>
      <c r="O284" s="14" t="str">
        <v>Kuraray Europe GmbH</v>
      </c>
      <c r="P284" s="2" t="str">
        <v>https://www.kuraray-poval.com/fileadmin/user_upload/KURARAY_POVAL/technical_information/grades_by_region/grades_poval/TDS-KURARAY_POVAL_TM_-EXCEVAL_TM_-ELVANOL_TM-ENGLISH.pdf</v>
      </c>
      <c r="Q284" s="2" t="str">
        <v>b88fcd9a2d6d13dbedd700f8a742cdf12438a3442b4ab4099dc51b9758503ba6</v>
      </c>
    </row>
    <row r="285" ht="64" customHeight="1">
      <c r="A285" s="13" t="str">
        <v>Kuraray</v>
      </c>
      <c r="B285" s="13" t="str">
        <v>Polymer supplier datasheet</v>
      </c>
      <c r="C285" s="13" t="str">
        <v>MOWIFLEX 3D 2000 filament Technical data sheet</v>
      </c>
      <c r="D285" s="17" t="str">
        <v>Open document</v>
      </c>
      <c r="E285" s="13" t="str">
        <v>Yes</v>
      </c>
      <c r="F285" s="13" t="str">
        <v>R-KURARAY-MOWIFLEX-3D2000-TDS</v>
      </c>
      <c r="G285" s="13" t="str">
        <v>Resin supplier data sheet</v>
      </c>
      <c r="H285" s="13" t="str">
        <v>cited</v>
      </c>
      <c r="I285" s="13" t="str">
        <v>Retrieved</v>
      </c>
      <c r="J285" s="13" t="str">
        <v>Polymer-level environmental behaviour of PVA (polymer_environment.csv); MOWIFLEX 3D 2000 polyvinyl alcohol support filament</v>
      </c>
      <c r="K285" s="13" t="str">
        <v>p. 1: Characteristics, 3D printer settings; p. 2: Handling and storage, Dissolving</v>
      </c>
      <c r="L285" s="13" t="str">
        <v>© 2020 Kuraray Europe GmbH, 2020-01-22</v>
      </c>
      <c r="M285" s="15" t="n">
        <v>43852</v>
      </c>
      <c r="N285" s="15" t="n">
        <v>46281</v>
      </c>
      <c r="O285" s="13" t="str">
        <v>Kuraray Europe GmbH (document mirrored by WASP)</v>
      </c>
      <c r="P285" s="10" t="str">
        <v>https://www.3dwasp.shop/wp-content/uploads/2020/03/TDS_MOWIFLEX-3D-2000-filament.pdf</v>
      </c>
      <c r="Q285" s="10" t="str">
        <v>2a000d836cebfebbcedd6482b6744a98ef10b3f987462b3b6aa5490443892c28</v>
      </c>
    </row>
    <row r="286" ht="50" customHeight="1">
      <c r="A286" s="14" t="str">
        <v>Kuraray</v>
      </c>
      <c r="B286" s="14" t="str">
        <v>Polymer supplier datasheet</v>
      </c>
      <c r="C286" s="14" t="str">
        <v>Mowital B Technical Data Sheet</v>
      </c>
      <c r="D286" s="18" t="str">
        <v>Open document</v>
      </c>
      <c r="E286" s="14" t="str">
        <v>Yes</v>
      </c>
      <c r="F286" s="14" t="str">
        <v>R-KURARAY-MOWITAL-B-TDS</v>
      </c>
      <c r="G286" s="14" t="str">
        <v>Resin supplier data sheet</v>
      </c>
      <c r="H286" s="14" t="str">
        <v>cited</v>
      </c>
      <c r="I286" s="14" t="str">
        <v>Retrieved</v>
      </c>
      <c r="J286" s="14" t="str">
        <v>Polymer-level environmental behaviour of PVB (polymer_environment.csv); Mowital B polyvinyl butyral grades</v>
      </c>
      <c r="K286" s="14" t="str">
        <v>p. 2: Characteristics; p. 3: Preparation of solutions</v>
      </c>
      <c r="L286" s="14" t="str">
        <v>Version 4.0, date of revision 23.07.2024</v>
      </c>
      <c r="M286" s="16" t="n">
        <v>45496</v>
      </c>
      <c r="N286" s="16" t="n">
        <v>46281</v>
      </c>
      <c r="O286" s="14" t="str">
        <v>Kuraray Europe GmbH</v>
      </c>
      <c r="P286" s="2" t="str">
        <v>https://www.kuraray.com/content/dam/kuraray/jp/ja/products/mowital/TDS_Mowital_B-EN_0724_3.pdf</v>
      </c>
      <c r="Q286" s="2" t="str">
        <v>c0d2c07de00e341e5af72611f9f7248825c875da52ca468f136f8942d19acee9</v>
      </c>
    </row>
    <row r="287" ht="64" customHeight="1">
      <c r="A287" s="13" t="str">
        <v>Arkema</v>
      </c>
      <c r="B287" s="13" t="str">
        <v>Polymer supplier datasheet</v>
      </c>
      <c r="C287" s="13" t="str">
        <v>Pebax – Chemical Resistance</v>
      </c>
      <c r="D287" s="17" t="str">
        <v>Open document</v>
      </c>
      <c r="E287" s="13" t="str">
        <v>Yes</v>
      </c>
      <c r="F287" s="13" t="str">
        <v>R-ARKEMA-PEBAX-CHEM</v>
      </c>
      <c r="G287" s="13" t="str">
        <v>Resin supplier data sheet</v>
      </c>
      <c r="H287" s="13" t="str">
        <v>cited</v>
      </c>
      <c r="I287" s="13" t="str">
        <v>Retrieved</v>
      </c>
      <c r="J287" s="13" t="str">
        <v>Polymer-level environmental behaviour of PEBA (polymer_environment.csv); Pebax 7233, 7033, 6333, 5533, 4533, 4033, 3533, 2533</v>
      </c>
      <c r="K287" s="13" t="str">
        <v>p. 1: Resistance to solvents table (grades 7233 to 2533; A little or no effect, B moderate effect, C severe effect)</v>
      </c>
      <c r="L287" s="13" t="str">
        <v>202305-017, © 2023</v>
      </c>
      <c r="M287" s="15" t="str">
        <v>2023</v>
      </c>
      <c r="N287" s="15" t="n">
        <v>46281</v>
      </c>
      <c r="O287" s="13" t="str">
        <v>Arkema</v>
      </c>
      <c r="P287" s="10" t="str">
        <v>https://hpp.arkema.com/files/live/sites/shared_arkema/files/downloads/HPP/product-brochures/Pebax%20Chem%20Res.pdf</v>
      </c>
      <c r="Q287" s="10" t="str">
        <v>de8aacf7d5c9aa141d2d7dd0657d627403a8edfcc89b400885c4b7bf961fae79</v>
      </c>
    </row>
    <row r="288" ht="64" customHeight="1">
      <c r="A288" s="14" t="str">
        <v>Arkema</v>
      </c>
      <c r="B288" s="14" t="str">
        <v>Polymer supplier datasheet</v>
      </c>
      <c r="C288" s="14" t="str">
        <v>Polyvinylidene Fluoride Chemical Resistance Chart (Kynar)</v>
      </c>
      <c r="D288" s="18" t="str">
        <v>Open document</v>
      </c>
      <c r="E288" s="14" t="str">
        <v>Yes</v>
      </c>
      <c r="F288" s="14" t="str">
        <v>R-ARKEMA-KYNAR-CHEM</v>
      </c>
      <c r="G288" s="14" t="str">
        <v>Resin supplier data sheet</v>
      </c>
      <c r="H288" s="14" t="str">
        <v>cited</v>
      </c>
      <c r="I288" s="14" t="str">
        <v>Retrieved</v>
      </c>
      <c r="J288" s="14" t="str">
        <v>Polymer-level environmental behaviour of PVDF (polymer_environment.csv); Kynar homopolymer and Kynar Flex 2850 / 2800 copolymers</v>
      </c>
      <c r="K288" s="14" t="str">
        <v>p. 2-11: chemical table (maximum use temperature for Kynar homopolymer, Kynar Flex 2850 and 2800; NR = not recommended); footnotes a-d on p. 2</v>
      </c>
      <c r="L288" s="14" t="str">
        <v>ADV#202204-87, © 2023</v>
      </c>
      <c r="M288" s="16" t="str">
        <v>2023</v>
      </c>
      <c r="N288" s="16" t="n">
        <v>46281</v>
      </c>
      <c r="O288" s="14" t="str">
        <v>Arkema Inc.</v>
      </c>
      <c r="P288" s="2" t="str">
        <v>https://page.arkema.com/rs/253-HSZ-754/images/kynar-pvdf-chemical-resistance-chart.pdf</v>
      </c>
      <c r="Q288" s="2" t="str">
        <v>42e47fc6b3294205e2994fcd0c51405e96e5c4367cae3e5e23927c4bf2aaa47e</v>
      </c>
    </row>
    <row r="289" ht="50" customHeight="1">
      <c r="A289" s="13" t="str">
        <v>NatureWorks LLC</v>
      </c>
      <c r="B289" s="13" t="str">
        <v>Polymer supplier datasheet</v>
      </c>
      <c r="C289" s="13" t="str">
        <v>Ingeo Biopolymer 3D850 Technical Data Sheet</v>
      </c>
      <c r="D289" s="17" t="str">
        <v>Open document</v>
      </c>
      <c r="E289" s="13" t="str">
        <v>Yes</v>
      </c>
      <c r="F289" s="13" t="str">
        <v>R-NATUREWORKS-INGEO-3D850-TDS</v>
      </c>
      <c r="G289" s="13" t="str">
        <v>Resin supplier data sheet</v>
      </c>
      <c r="H289" s="13" t="str">
        <v>cited</v>
      </c>
      <c r="I289" s="13" t="str">
        <v>Retrieved</v>
      </c>
      <c r="J289" s="13" t="str">
        <v>Polymer-level environmental behaviour of PLA (polymer_environment.csv); Ingeo 3D850 resin</v>
      </c>
      <c r="K289" s="13" t="str">
        <v>p. 2: Drying</v>
      </c>
      <c r="L289" s="13" t="str">
        <v>NW3D850_090716V1</v>
      </c>
      <c r="M289" s="15" t="n">
        <v>42620</v>
      </c>
      <c r="N289" s="15" t="n">
        <v>46281</v>
      </c>
      <c r="O289" s="13" t="str">
        <v>NatureWorks LLC</v>
      </c>
      <c r="P289" s="10" t="str">
        <v>https://natureworksllc.com/getContentAsset/6d5ea62c-7872-4297-aff7-67b8a53fe47f/53ffd608-340f-457b-b656-6b8cc0000bd4/TechnicalDataSheet_3D850_monofilament.pdf?language=en</v>
      </c>
      <c r="Q289" s="10" t="str">
        <v>27dda0568119ffd9dcf16e73362dbfe8d7d1335f1c1786cd0235a8a0bbcbe3fe</v>
      </c>
    </row>
    <row r="290" ht="64" customHeight="1">
      <c r="A290" s="14" t="str">
        <v>NatureWorks LLC</v>
      </c>
      <c r="B290" s="14" t="str">
        <v>Polymer supplier datasheet</v>
      </c>
      <c r="C290" s="14" t="str">
        <v>Solubility Study of Ingeo Biopolymer Grades in Common Organic Solvents</v>
      </c>
      <c r="D290" s="18" t="str">
        <v>Open document</v>
      </c>
      <c r="E290" s="14" t="str">
        <v>Yes</v>
      </c>
      <c r="F290" s="14" t="str">
        <v>R-NATUREWORKS-INGEO-SOLUBILITY</v>
      </c>
      <c r="G290" s="14" t="str">
        <v>Resin supplier data sheet</v>
      </c>
      <c r="H290" s="14" t="str">
        <v>cited</v>
      </c>
      <c r="I290" s="14" t="str">
        <v>Retrieved</v>
      </c>
      <c r="J290" s="14" t="str">
        <v>Polymer-level environmental behaviour of PLA (polymer_environment.csv); Ingeo 4060D, 2003D and 4032D pellets and moulded bars, no filament grade</v>
      </c>
      <c r="K290" s="14" t="str">
        <v>p. 1-3: Experimental, Results (Tables 1-3), Conclusions; p. 4: Combustibility</v>
      </c>
      <c r="L290" s="14" t="str">
        <v>NWPD003_100319 V1</v>
      </c>
      <c r="M290" s="16" t="str">
        <v>2019</v>
      </c>
      <c r="N290" s="16" t="n">
        <v>46281</v>
      </c>
      <c r="O290" s="14" t="str">
        <v>NatureWorks LLC</v>
      </c>
      <c r="P290" s="2" t="str">
        <v>https://natureworksllc.com/getContentAsset/83916624-88b9-490c-bab1-74294189824e/53ffd608-340f-457b-b656-6b8cc0000bd4/PropertiesDocument_Solubility-Test-Results_pdf-(1).pdf?language=en</v>
      </c>
      <c r="Q290" s="2" t="str">
        <v>9522d1403034e17686962ddeb5655b6642258d8d8e4f658aab7488307eb805fb</v>
      </c>
    </row>
    <row r="291" ht="48" customHeight="1">
      <c r="A291" s="13" t="str">
        <v>Rodrigues et al. / Polymers</v>
      </c>
      <c r="B291" s="13" t="str">
        <v>Research paper</v>
      </c>
      <c r="C291" s="13" t="str">
        <v>Mechanical, Fatigue, and Thermal Characterization of ASA, Nylon 12, PC, and PC-ABS Manufactured by Fused Filament Fabrication (FFF)</v>
      </c>
      <c r="D291" s="17" t="str">
        <v>Open document</v>
      </c>
      <c r="E291" s="13" t="str">
        <v>Yes</v>
      </c>
      <c r="F291" s="13" t="str">
        <v>R-MDPI-FATIGUE</v>
      </c>
      <c r="G291" s="13" t="str">
        <v>Peer-reviewed study (publisher copy)</v>
      </c>
      <c r="H291" s="13" t="str">
        <v>corroboration</v>
      </c>
      <c r="I291" s="13" t="str">
        <v>Retrieved</v>
      </c>
      <c r="J291" s="13" t="str">
        <v>M031 / M035 / M052 / M094</v>
      </c>
      <c r="K291" s="13" t="str">
        <v>Fatigue limits and ultimate strengths; publisher copy used because the PMC mirror returned a CAPTCHA</v>
      </c>
      <c r="L291" s="13" t="str">
        <v>Not published</v>
      </c>
      <c r="M291" s="15" t="str">
        <v>Not published</v>
      </c>
      <c r="N291" s="15" t="n">
        <v>46276</v>
      </c>
      <c r="O291" s="13" t="str">
        <v>Rodrigues et al., Polymers 18(2), 302</v>
      </c>
      <c r="P291" s="10" t="str">
        <v>https://www.mdpi.com/2073-4360/18/2/302</v>
      </c>
      <c r="Q291" s="10" t="str">
        <v>Not recorded</v>
      </c>
    </row>
    <row r="292" ht="48" customHeight="1">
      <c r="A292" s="14" t="str">
        <v>Rodrigues et al. / Polymers</v>
      </c>
      <c r="B292" s="14" t="str">
        <v>Research paper</v>
      </c>
      <c r="C292" s="14" t="str">
        <v>Mechanical, Fatigue, and Thermal Characterization of ASA, Nylon 12, PC, and PC-ABS Manufactured by Fused Filament Fabrication (FFF) - PMC Lock</v>
      </c>
      <c r="D292" s="18" t="str">
        <v>Open document</v>
      </c>
      <c r="E292" s="14" t="str">
        <v>Yes</v>
      </c>
      <c r="F292" s="14" t="str">
        <v>P-FATIGUE</v>
      </c>
      <c r="G292" s="14" t="str">
        <v>Peer-reviewed original research</v>
      </c>
      <c r="H292" s="14" t="str">
        <v>cited</v>
      </c>
      <c r="I292" s="14" t="str">
        <v>Retrieved</v>
      </c>
      <c r="J292" s="14" t="str">
        <v>G031-R1; G035-R1; G052-R1; G094-R1</v>
      </c>
      <c r="K292" s="14" t="str">
        <v>Document / product page</v>
      </c>
      <c r="L292" s="14" t="str">
        <v>Not published</v>
      </c>
      <c r="M292" s="16" t="str">
        <v>2026-01</v>
      </c>
      <c r="N292" s="16" t="n">
        <v>46275</v>
      </c>
      <c r="O292" s="14" t="str">
        <v>Rodrigues et al., Polymers</v>
      </c>
      <c r="P292" s="2" t="str">
        <v>https://pmc.ncbi.nlm.nih.gov/articles/PMC12845617/</v>
      </c>
      <c r="Q292" s="2" t="str">
        <v>1b720815d6550ec8c649f5aa2a0bb1d64e0a4f11a8d8ce0eab3f3054d201db8b</v>
      </c>
    </row>
    <row r="293" ht="48" customHeight="1">
      <c r="A293" s="13" t="str">
        <v>CDC / NIOSH</v>
      </c>
      <c r="B293" s="13" t="str">
        <v>Safety guidance</v>
      </c>
      <c r="C293" s="13" t="str">
        <v>Potential Hazards of Additive Manufacturing</v>
      </c>
      <c r="D293" s="17" t="str">
        <v>Open document</v>
      </c>
      <c r="E293" s="13" t="str">
        <v>Yes</v>
      </c>
      <c r="F293" s="13" t="str">
        <v>NIOSH-2019</v>
      </c>
      <c r="G293" s="13" t="str">
        <v>Official occupational-safety guidance</v>
      </c>
      <c r="H293" s="13" t="str">
        <v>cited</v>
      </c>
      <c r="I293" s="13" t="str">
        <v>Retrieved with web reader</v>
      </c>
      <c r="J293" s="13" t="str">
        <v>Family / scope guidance</v>
      </c>
      <c r="K293" s="13" t="str">
        <v>Material extrusion row; Risk Management Considerations</v>
      </c>
      <c r="L293" s="13" t="str">
        <v>Not applicable</v>
      </c>
      <c r="M293" s="15" t="n">
        <v>43564</v>
      </c>
      <c r="N293" s="15" t="n">
        <v>46275</v>
      </c>
      <c r="O293" s="13" t="str">
        <v>CDC / NIOSH</v>
      </c>
      <c r="P293" s="10" t="str">
        <v>https://www.cdc.gov/niosh/bulletin/2019/additive-manufacturing.html</v>
      </c>
      <c r="Q293" s="10" t="str">
        <v>Not applicable</v>
      </c>
    </row>
    <row r="294" ht="48" customHeight="1">
      <c r="A294" s="14" t="str">
        <v>Celanese / DuPont (document mirrored by Quickparts)</v>
      </c>
      <c r="B294" s="14" t="str">
        <v>Polymer supplier datasheet</v>
      </c>
      <c r="C294" s="14" t="str">
        <v>Zytel 101L NC010 Nylon Resin</v>
      </c>
      <c r="D294" s="18" t="str">
        <v>Open document</v>
      </c>
      <c r="E294" s="14" t="str">
        <v>Yes</v>
      </c>
      <c r="F294" s="14" t="str">
        <v>R-CELANESE-ZYTEL-101L</v>
      </c>
      <c r="G294" s="14" t="str">
        <v>Resin supplier data sheet</v>
      </c>
      <c r="H294" s="14" t="str">
        <v>cited</v>
      </c>
      <c r="I294" s="14" t="str">
        <v>Retrieved</v>
      </c>
      <c r="J294" s="14" t="str">
        <v>M055 / G055-R1</v>
      </c>
      <c r="K294" s="14" t="str">
        <v>Typical mechanical properties dry/cond.; Thermal properties; Other properties</v>
      </c>
      <c r="L294" s="14" t="str">
        <v>Revised 2023-04-04 (Celanese Materials Database)</v>
      </c>
      <c r="M294" s="16" t="str">
        <v>Not published</v>
      </c>
      <c r="N294" s="16" t="n">
        <v>46278</v>
      </c>
      <c r="O294" s="14" t="str">
        <v>Celanese / DuPont (document mirrored by Quickparts)</v>
      </c>
      <c r="P294" s="2" t="str">
        <v>https://quickparts.com/wp-content/uploads/2023/04/zytel%C2%AE-101l-nc010-gb.pdf</v>
      </c>
      <c r="Q294" s="2" t="str">
        <v>9a201771bddfa931faafbcab2fce64d01c57e6f36303340166bb87c4a62f69e9</v>
      </c>
    </row>
    <row r="295" ht="50" customHeight="1">
      <c r="A295" s="13" t="str">
        <v>Covestro Deutschland AG</v>
      </c>
      <c r="B295" s="13" t="str">
        <v>Polymer supplier datasheet</v>
      </c>
      <c r="C295" s="13" t="str">
        <v>Makrolon – The chemical resistance</v>
      </c>
      <c r="D295" s="17" t="str">
        <v>Open document</v>
      </c>
      <c r="E295" s="13" t="str">
        <v>Yes</v>
      </c>
      <c r="F295" s="13" t="str">
        <v>R-COVESTRO-MAKROLON-CHEM</v>
      </c>
      <c r="G295" s="13" t="str">
        <v>Resin supplier data sheet</v>
      </c>
      <c r="H295" s="13" t="str">
        <v>cited</v>
      </c>
      <c r="I295" s="13" t="str">
        <v>Retrieved</v>
      </c>
      <c r="J295" s="13" t="str">
        <v>Polymer-level environmental behaviour of PC (polymer_environment.csv); Makrolon 2800 test material</v>
      </c>
      <c r="K295" s="13" t="str">
        <v>p. 1: Types of damage; p. 2: Resistance to oils, greases, waxes and fuels; p. 3-4: Resistance to chemicals table (6 days at 23 °C and 50 °C)</v>
      </c>
      <c r="L295" s="13" t="str">
        <v>COV00081341, Edition 2016-12</v>
      </c>
      <c r="M295" s="15" t="str">
        <v>2016-12</v>
      </c>
      <c r="N295" s="15" t="n">
        <v>46281</v>
      </c>
      <c r="O295" s="13" t="str">
        <v>Covestro Deutschland AG</v>
      </c>
      <c r="P295" s="10" t="str">
        <v>https://solutions.covestro.com/-/media/covestro/solution-center/whitepapers/makrolon---the-chemical-resistance.pdf</v>
      </c>
      <c r="Q295" s="10" t="str">
        <v>d4220ccd4677885ec38325b8cde6e171e01db616702999503ed1a435007095ab</v>
      </c>
    </row>
    <row r="296" ht="78" customHeight="1">
      <c r="A296" s="14" t="str">
        <v>EMS-GRIVORY</v>
      </c>
      <c r="B296" s="14" t="str">
        <v>Polymer supplier datasheet</v>
      </c>
      <c r="C296" s="14" t="str">
        <v>Technical Data Sheet Grilon, Grilamid and Grivory – Resistance to Chemicals</v>
      </c>
      <c r="D296" s="18" t="str">
        <v>Open document</v>
      </c>
      <c r="E296" s="14" t="str">
        <v>Yes</v>
      </c>
      <c r="F296" s="14" t="str">
        <v>R-EMS-GRIVORY-RESISTANCE-TO-CHEMICALS</v>
      </c>
      <c r="G296" s="14" t="str">
        <v>Resin supplier data sheet</v>
      </c>
      <c r="H296" s="14" t="str">
        <v>cited</v>
      </c>
      <c r="I296" s="14" t="str">
        <v>Retrieved</v>
      </c>
      <c r="J296" s="14" t="str">
        <v>Polymer-level environmental behaviour of PA, PA6, PA66, PA12, PA612 and PPA (polymer_environment.csv); unreinforced EMS resins, ISO test bars stored up to 12 months at room temperature</v>
      </c>
      <c r="K296" s="14" t="str">
        <v>p. 1: general; p. 2: test conditions and key; p. 3: Hydrolysis resistance; p. 4-11: medium table (columns Grilon PA6/PA66, Grilamid L PA12, Grilamid S and D PA610/1010/612, Grilamid TR, Grivory G, GV, HT PPA)</v>
      </c>
      <c r="L296" s="14" t="str">
        <v>2.006e 7.2022</v>
      </c>
      <c r="M296" s="16" t="str">
        <v>2022-07</v>
      </c>
      <c r="N296" s="16" t="n">
        <v>46281</v>
      </c>
      <c r="O296" s="14" t="str">
        <v>EMS-GRIVORY</v>
      </c>
      <c r="P296" s="2" t="str">
        <v>https://www.emsgrivory.com/fileadmin/user_upload/EMS-GRIVORY/documents/Brochures/English/Technical_Data_Sheet-Resistance-to-Chemicals_en_07-2022.pdf</v>
      </c>
      <c r="Q296" s="2" t="str">
        <v>d4d49f9c739119d8f39bb9b51826eee5992e1466b5643bd7881a357051c0c583</v>
      </c>
    </row>
    <row r="297" ht="50" customHeight="1">
      <c r="A297" s="13" t="str">
        <v>Eastman Chemical Company</v>
      </c>
      <c r="B297" s="13" t="str">
        <v>Polymer supplier datasheet</v>
      </c>
      <c r="C297" s="13" t="str">
        <v>Eastar copolyester 6763 Chemical resistance</v>
      </c>
      <c r="D297" s="17" t="str">
        <v>Open document</v>
      </c>
      <c r="E297" s="13" t="str">
        <v>Yes</v>
      </c>
      <c r="F297" s="13" t="str">
        <v>R-EASTMAN-EASTAR-6763-TRS145</v>
      </c>
      <c r="G297" s="13" t="str">
        <v>Resin supplier data sheet</v>
      </c>
      <c r="H297" s="13" t="str">
        <v>cited</v>
      </c>
      <c r="I297" s="13" t="str">
        <v>Retrieved</v>
      </c>
      <c r="J297" s="13" t="str">
        <v>Polymer-level environmental behaviour of PETG (polymer_environment.csv); Eastar 6763 resin</v>
      </c>
      <c r="K297" s="13" t="str">
        <v>p. 2-3: reagent table (% change in weight and thickness, appearance) after 1 year immersion at 23 °C</v>
      </c>
      <c r="L297" s="13" t="str">
        <v>TR-145D 10/11</v>
      </c>
      <c r="M297" s="15" t="str">
        <v>2011-10</v>
      </c>
      <c r="N297" s="15" t="n">
        <v>46281</v>
      </c>
      <c r="O297" s="13" t="str">
        <v>Eastman Chemical Company</v>
      </c>
      <c r="P297" s="10" t="str">
        <v>https://www.eastman.com/content/dam/eastman/corporate/en/literature/t/trs145.pdf</v>
      </c>
      <c r="Q297" s="10" t="str">
        <v>452624874b98d4a1fd77e506a997502a6a2e94b8ac8780e28c67d87b9463bd4e</v>
      </c>
    </row>
    <row r="298" ht="50" customHeight="1">
      <c r="A298" s="14" t="str">
        <v>Evonik Industries AG (document hosted by AMCO Polymers)</v>
      </c>
      <c r="B298" s="14" t="str">
        <v>Polymer supplier datasheet</v>
      </c>
      <c r="C298" s="14" t="str">
        <v>VESTAMID Polyamide 12 – Innovative and reliable</v>
      </c>
      <c r="D298" s="18" t="str">
        <v>Open document</v>
      </c>
      <c r="E298" s="14" t="str">
        <v>Yes</v>
      </c>
      <c r="F298" s="14" t="str">
        <v>R-EVONIK-VESTAMID-PA12</v>
      </c>
      <c r="G298" s="14" t="str">
        <v>Resin supplier data sheet</v>
      </c>
      <c r="H298" s="14" t="str">
        <v>cited</v>
      </c>
      <c r="I298" s="14" t="str">
        <v>Retrieved</v>
      </c>
      <c r="J298" s="14" t="str">
        <v>Polymer-level environmental behaviour of PA12 (polymer_environment.csv); VESTAMID L compounds</v>
      </c>
      <c r="K298" s="14" t="str">
        <v>p. 5: property bullets; p. 14: Flammability; p. 19: Hydrolysis resistance, UV resistance; p. 20-22: Chemical resistance (rated table is colour-coded and was not transcribed)</v>
      </c>
      <c r="L298" s="14" t="str">
        <v>02/en</v>
      </c>
      <c r="M298" s="16" t="str">
        <v>Not published</v>
      </c>
      <c r="N298" s="16" t="n">
        <v>46281</v>
      </c>
      <c r="O298" s="14" t="str">
        <v>Evonik Industries AG (document hosted by AMCO Polymers)</v>
      </c>
      <c r="P298" s="2" t="str">
        <v>https://s3.amazonaws.com/amcopolymers.com/v3/Vestamid-Brochure.pdf</v>
      </c>
      <c r="Q298" s="2" t="str">
        <v>ccea4d6047f98f8f9dcd0691bbaa0956fcff1862c400b97e20c4ec2d2e9b4d78</v>
      </c>
    </row>
    <row r="299" ht="48" customHeight="1">
      <c r="A299" s="13" t="str">
        <v>Fabru / purefil</v>
      </c>
      <c r="B299" s="13" t="str">
        <v>Guide / product page</v>
      </c>
      <c r="C299" s="13" t="str">
        <v>purefil POM Filament | Fabru GmbH</v>
      </c>
      <c r="D299" s="17" t="str">
        <v>Open document</v>
      </c>
      <c r="E299" s="13" t="str">
        <v>Yes</v>
      </c>
      <c r="F299" s="13" t="str">
        <v>S-POM</v>
      </c>
      <c r="G299" s="13" t="str">
        <v>Manufacturer product / guide</v>
      </c>
      <c r="H299" s="13" t="str">
        <v>cited</v>
      </c>
      <c r="I299" s="13" t="str">
        <v>Retrieved</v>
      </c>
      <c r="J299" s="13" t="str">
        <v>G087-01</v>
      </c>
      <c r="K299" s="13" t="str">
        <v>Document / product page</v>
      </c>
      <c r="L299" s="13" t="str">
        <v>Not published</v>
      </c>
      <c r="M299" s="15" t="str">
        <v>Not published</v>
      </c>
      <c r="N299" s="15" t="n">
        <v>46275</v>
      </c>
      <c r="O299" s="13" t="str">
        <v>Fabru / purefil</v>
      </c>
      <c r="P299" s="10" t="str">
        <v>https://www.purefil.de/purefil-pom-filament_186_2176/</v>
      </c>
      <c r="Q299" s="10" t="str">
        <v>0d15149a86b18c39154422aa95846ed3f0e1cd7a18941110cfc5d2a50ac81caf</v>
      </c>
    </row>
    <row r="300" ht="48" customHeight="1">
      <c r="A300" s="14" t="str">
        <v>Głowacki et al., Polymers</v>
      </c>
      <c r="B300" s="14" t="str">
        <v>Research paper</v>
      </c>
      <c r="C300" s="14" t="str">
        <v>Change in the Low-Cycle Performance on the 3D-Printed Materials ABS, ASA, HIPS, and PLA Exposed to Mineral Oil - PMC Lock</v>
      </c>
      <c r="D300" s="18" t="str">
        <v>Open document</v>
      </c>
      <c r="E300" s="14" t="str">
        <v>Yes</v>
      </c>
      <c r="F300" s="14" t="str">
        <v>P-CHEM</v>
      </c>
      <c r="G300" s="14" t="str">
        <v>Peer-reviewed original research</v>
      </c>
      <c r="H300" s="14" t="str">
        <v>cited</v>
      </c>
      <c r="I300" s="14" t="str">
        <v>Retrieved</v>
      </c>
      <c r="J300" s="14" t="str">
        <v>Family / scope guidance</v>
      </c>
      <c r="K300" s="14" t="str">
        <v>Document / product page</v>
      </c>
      <c r="L300" s="14" t="str">
        <v>Not published</v>
      </c>
      <c r="M300" s="16" t="str">
        <v>Not published</v>
      </c>
      <c r="N300" s="16" t="n">
        <v>46275</v>
      </c>
      <c r="O300" s="14" t="str">
        <v>Głowacki et al., Polymers</v>
      </c>
      <c r="P300" s="2" t="str">
        <v>https://pmc.ncbi.nlm.nih.gov/articles/PMC11054632/</v>
      </c>
      <c r="Q300" s="2" t="str">
        <v>6e642f17ba0bb72902cedba41e7a3c91262ba0da35f0a3a7a557a1c0acc59fa5</v>
      </c>
    </row>
    <row r="301" ht="50" customHeight="1">
      <c r="A301" s="13" t="str">
        <v>INEOS Olefins &amp; Polymers USA</v>
      </c>
      <c r="B301" s="13" t="str">
        <v>Polymer supplier datasheet</v>
      </c>
      <c r="C301" s="13" t="str">
        <v>HDPE Chemical Resistance Guide</v>
      </c>
      <c r="D301" s="17" t="str">
        <v>Open document</v>
      </c>
      <c r="E301" s="13" t="str">
        <v>Yes</v>
      </c>
      <c r="F301" s="13" t="str">
        <v>R-INEOS-HDPE-CHEM</v>
      </c>
      <c r="G301" s="13" t="str">
        <v>Resin supplier data sheet</v>
      </c>
      <c r="H301" s="13" t="str">
        <v>cited</v>
      </c>
      <c r="I301" s="13" t="str">
        <v>Retrieved</v>
      </c>
      <c r="J301" s="13" t="str">
        <v>Polymer-level environmental behaviour of PE (polymer_environment.csv); high-density polyethylene as a class</v>
      </c>
      <c r="K301" s="13" t="str">
        <v>p. 1-5: reagent table at 70 °F (21 °C) and 140 °F (60 °C); legend S / O / U</v>
      </c>
      <c r="L301" s="13" t="str">
        <v>February 2012</v>
      </c>
      <c r="M301" s="15" t="str">
        <v>2012-02</v>
      </c>
      <c r="N301" s="15" t="n">
        <v>46281</v>
      </c>
      <c r="O301" s="13" t="str">
        <v>INEOS Olefins &amp; Polymers USA</v>
      </c>
      <c r="P301" s="10" t="str">
        <v>https://www.ineos.com/globalassets/ineos-group/businesses/ineos-olefins-and-polymers-usa/products/technical-information--patents/ineos-hdpe-chemical-resistance-guide.pdf</v>
      </c>
      <c r="Q301" s="10" t="str">
        <v>f2482a132175b3ef424adf19186083f0fc41efb81e976bc0620b3d644a0d4202</v>
      </c>
    </row>
    <row r="302" ht="50" customHeight="1">
      <c r="A302" s="14" t="str">
        <v>LyondellBasell Industries</v>
      </c>
      <c r="B302" s="14" t="str">
        <v>Polymer supplier datasheet</v>
      </c>
      <c r="C302" s="14" t="str">
        <v>tech.topic: Chemical Resistance of Polypropylene</v>
      </c>
      <c r="D302" s="18" t="str">
        <v>Open document</v>
      </c>
      <c r="E302" s="14" t="str">
        <v>Yes</v>
      </c>
      <c r="F302" s="14" t="str">
        <v>R-LYB-PP-CHEM</v>
      </c>
      <c r="G302" s="14" t="str">
        <v>Resin supplier data sheet</v>
      </c>
      <c r="H302" s="14" t="str">
        <v>cited</v>
      </c>
      <c r="I302" s="14" t="str">
        <v>Retrieved</v>
      </c>
      <c r="J302" s="14" t="str">
        <v>Polymer-level environmental behaviour of PP (polymer_environment.csv); polypropylene as a class</v>
      </c>
      <c r="K302" s="14" t="str">
        <v>p. 1: Specific performance of polypropylene; p. 2: Table 1 General chemical resistance guide for polypropylene (21 °C and 49 °C; S, M, NR)</v>
      </c>
      <c r="L302" s="14" t="str">
        <v>7972 D/0715</v>
      </c>
      <c r="M302" s="16" t="str">
        <v>2015-07</v>
      </c>
      <c r="N302" s="16" t="n">
        <v>46281</v>
      </c>
      <c r="O302" s="14" t="str">
        <v>LyondellBasell Industries</v>
      </c>
      <c r="P302" s="2" t="str">
        <v>https://www.lyondellbasell.com/link/89b9ff6eb5c541b6b90ade5020e644a0.aspx</v>
      </c>
      <c r="Q302" s="2" t="str">
        <v>1aaef511ab7724efc0d2a60de614606f5cc9c523d330fc407dc1c0683458ddf4</v>
      </c>
    </row>
    <row r="303" ht="64" customHeight="1">
      <c r="A303" s="13" t="str">
        <v>Mitsubishi Chemical America</v>
      </c>
      <c r="B303" s="13" t="str">
        <v>Guide / product page</v>
      </c>
      <c r="C303" s="13" t="str">
        <v>Nichigo G-Polymer (Vinyl Alcohol Copolymer)</v>
      </c>
      <c r="D303" s="17" t="str">
        <v>Open document</v>
      </c>
      <c r="E303" s="13" t="str">
        <v>Yes</v>
      </c>
      <c r="F303" s="13" t="str">
        <v>R-MITSUBISHI-GPOLYMER-PAGE</v>
      </c>
      <c r="G303" s="13" t="str">
        <v>Official manufacturer product page</v>
      </c>
      <c r="H303" s="13" t="str">
        <v>cited</v>
      </c>
      <c r="I303" s="13" t="str">
        <v>Retrieved</v>
      </c>
      <c r="J303" s="13" t="str">
        <v>Polymer-level environmental behaviour of BVOH (polymer_environment.csv); Nichigo G-Polymer butenediol vinyl alcohol copolymer</v>
      </c>
      <c r="K303" s="13" t="str">
        <v>Overview paragraph</v>
      </c>
      <c r="L303" s="13" t="str">
        <v>Not published</v>
      </c>
      <c r="M303" s="15" t="str">
        <v>Not published</v>
      </c>
      <c r="N303" s="15" t="n">
        <v>46281</v>
      </c>
      <c r="O303" s="13" t="str">
        <v>Mitsubishi Chemical America</v>
      </c>
      <c r="P303" s="10" t="str">
        <v>https://us.mitsubishi-chemical.com/product/nichigo-g-polymer/</v>
      </c>
      <c r="Q303" s="10" t="str">
        <v>cb022c8b3a4f3bb11fcbe267d20f79d87728c56c8657800354f74d2c705b2693</v>
      </c>
    </row>
    <row r="304" ht="48" customHeight="1">
      <c r="A304" s="14" t="str">
        <v>Shop3D Canada</v>
      </c>
      <c r="B304" s="14" t="str">
        <v>Catalogue / pricing</v>
      </c>
      <c r="C304" s="14" t="str">
        <v>CA SHOP3D1</v>
      </c>
      <c r="D304" s="18" t="str">
        <v>Open document</v>
      </c>
      <c r="E304" s="14" t="str">
        <v>Yes</v>
      </c>
      <c r="F304" s="14" t="str">
        <v>CA-SHOP3D1</v>
      </c>
      <c r="G304" s="14" t="str">
        <v>Canadian retailer catalogue; pricing only</v>
      </c>
      <c r="H304" s="14" t="str">
        <v>cited</v>
      </c>
      <c r="I304" s="14" t="str">
        <v>Retrieved</v>
      </c>
      <c r="J304" s="14" t="str">
        <v>Family / scope guidance</v>
      </c>
      <c r="K304" s="14" t="str">
        <v>Document / product page</v>
      </c>
      <c r="L304" s="14" t="str">
        <v>Not published</v>
      </c>
      <c r="M304" s="16" t="str">
        <v>Not published</v>
      </c>
      <c r="N304" s="16" t="n">
        <v>46275</v>
      </c>
      <c r="O304" s="14" t="str">
        <v>CA-SHOP3D1</v>
      </c>
      <c r="P304" s="2" t="str">
        <v>https://shop3d.ca/products.json?limit=250&amp;page=1</v>
      </c>
      <c r="Q304" s="2" t="str">
        <v>4eac977e929175cc6bfb60de6a1d203fa4d949e652372ebf2b5f8f0682bdaf82</v>
      </c>
    </row>
    <row r="305" ht="64" customHeight="1">
      <c r="A305" s="13" t="str">
        <v>Solvay Specialty Polymers</v>
      </c>
      <c r="B305" s="13" t="str">
        <v>Polymer supplier datasheet</v>
      </c>
      <c r="C305" s="13" t="str">
        <v>Amodel PPA polyphthalamide</v>
      </c>
      <c r="D305" s="17" t="str">
        <v>Open document</v>
      </c>
      <c r="E305" s="13" t="str">
        <v>Yes</v>
      </c>
      <c r="F305" s="13" t="str">
        <v>R-SOLVAY-AMODEL-PPA-OVERVIEW</v>
      </c>
      <c r="G305" s="13" t="str">
        <v>Resin supplier data sheet</v>
      </c>
      <c r="H305" s="13" t="str">
        <v>cited</v>
      </c>
      <c r="I305" s="13" t="str">
        <v>Retrieved</v>
      </c>
      <c r="J305" s="13" t="str">
        <v>Polymer-level environmental behaviour of PPA (polymer_environment.csv); Amodel AT-1002 HS unfilled toughened heat-stabilised PPA</v>
      </c>
      <c r="K305" s="13" t="str">
        <v>p. 7: Resistant to Fuels, Glycols and Harsh Chemicals; Chemical resistance table (Amodel AT-1002 HS vs POM and PA 6,6)</v>
      </c>
      <c r="L305" s="13" t="str">
        <v>D 10/2010 | R 02/2014 | Version 4.2</v>
      </c>
      <c r="M305" s="15" t="str">
        <v>2014-02</v>
      </c>
      <c r="N305" s="15" t="n">
        <v>46281</v>
      </c>
      <c r="O305" s="13" t="str">
        <v>Solvay Specialty Polymers</v>
      </c>
      <c r="P305" s="10" t="str">
        <v>https://www.solvay.com/sites/solvay_solvay/files/tridion/documents/Amodel-PPA-Overview_EN.pdf</v>
      </c>
      <c r="Q305" s="10" t="str">
        <v>3ec52ec56085420ba638fabf7c84ee641b6669713c700aea1371effd41e5852e</v>
      </c>
    </row>
    <row r="306" ht="50" customHeight="1">
      <c r="A306" s="14" t="str">
        <v>The Dow Chemical Company (document hosted by Formerra)</v>
      </c>
      <c r="B306" s="14" t="str">
        <v>Polymer supplier datasheet</v>
      </c>
      <c r="C306" s="14" t="str">
        <v>Chemical Resistance Guide: ENGAGE Polyolefin Elastomers, INFUSE Olefin Block Copolymers and VERSIFY Plastomers and Elastomers</v>
      </c>
      <c r="D306" s="18" t="str">
        <v>Open document</v>
      </c>
      <c r="E306" s="14" t="str">
        <v>Yes</v>
      </c>
      <c r="F306" s="14" t="str">
        <v>R-DOW-ELASTOMERS-CHEM</v>
      </c>
      <c r="G306" s="14" t="str">
        <v>Resin supplier data sheet</v>
      </c>
      <c r="H306" s="14" t="str">
        <v>cited</v>
      </c>
      <c r="I306" s="14" t="str">
        <v>Retrieved</v>
      </c>
      <c r="J306" s="14" t="str">
        <v>Polymer-level environmental behaviour of OBC (polymer_environment.csv); INFUSE 9107 and 9100 among the tested grades</v>
      </c>
      <c r="K306" s="14" t="str">
        <v>p. 2: Interpretation of chemical resistance tables and trends; p. 3: Table 1 (colour-coded ratings, not transcribed)</v>
      </c>
      <c r="L306" s="14" t="str">
        <v>Form No. 777-01501-0713X, July 2013</v>
      </c>
      <c r="M306" s="16" t="str">
        <v>2013-07</v>
      </c>
      <c r="N306" s="16" t="n">
        <v>46281</v>
      </c>
      <c r="O306" s="14" t="str">
        <v>The Dow Chemical Company (document hosted by Formerra)</v>
      </c>
      <c r="P306" s="2" t="str">
        <v>https://www.formerra.com/sites/default/files/2021-07/0901b803808e059f.pdf</v>
      </c>
      <c r="Q306" s="2" t="str">
        <v>2524506e0da13bd3463b4350aeffc8603b2402fca4ec186da859ad28b392c3dd</v>
      </c>
    </row>
    <row r="307" ht="64" customHeight="1">
      <c r="A307" s="13" t="str">
        <v>Toray Industries, Inc. (Toray Plastics)</v>
      </c>
      <c r="B307" s="13" t="str">
        <v>Guide / product page</v>
      </c>
      <c r="C307" s="13" t="str">
        <v>Chemical Resistance of TORELINA</v>
      </c>
      <c r="D307" s="17" t="str">
        <v>Open document</v>
      </c>
      <c r="E307" s="13" t="str">
        <v>Yes</v>
      </c>
      <c r="F307" s="13" t="str">
        <v>R-TORAY-TORELINA-CHEM</v>
      </c>
      <c r="G307" s="13" t="str">
        <v>Official manufacturer product page</v>
      </c>
      <c r="H307" s="13" t="str">
        <v>cited</v>
      </c>
      <c r="I307" s="13" t="str">
        <v>Retrieved</v>
      </c>
      <c r="J307" s="13" t="str">
        <v>Polymer-level environmental behaviour of PPS (polymer_environment.csv); TORELINA PPS compounds A504X90, A310MX04, A575W20</v>
      </c>
      <c r="K307" s="13" t="str">
        <v>Section I.1 Chemical Resistance (General) and Table 8.1 (glass fibre reinforced PPS A504X90, strength retention after immersion); Table 8.2 (high-filler PPS A310MX04); Section 2 Acid Resistance</v>
      </c>
      <c r="L307" s="13" t="str">
        <v>Not published</v>
      </c>
      <c r="M307" s="15" t="str">
        <v>Not published</v>
      </c>
      <c r="N307" s="15" t="n">
        <v>46281</v>
      </c>
      <c r="O307" s="13" t="str">
        <v>Toray Industries, Inc. (Toray Plastics)</v>
      </c>
      <c r="P307" s="10" t="str">
        <v>https://www.plastics.toray/technical/torelina/tec_022.html</v>
      </c>
      <c r="Q307" s="10" t="str">
        <v>45ea39d997ae912fc956b64fc7eaad6d82a0c46ea45896e53178f11fe15fa897</v>
      </c>
    </row>
    <row r="308" ht="48" customHeight="1">
      <c r="A308" s="14" t="str">
        <v>Trinity3DS</v>
      </c>
      <c r="B308" s="14" t="str">
        <v>Guide / product page</v>
      </c>
      <c r="C308" s="14" t="str">
        <v>HyperLite PP [Polypropylene] 3D Printing Filament: product description</v>
      </c>
      <c r="D308" s="18" t="str">
        <v>Open document</v>
      </c>
      <c r="E308" s="14" t="str">
        <v>Yes</v>
      </c>
      <c r="F308" s="14" t="str">
        <v>R-TRINITY3DS-HYPERLITE-PP</v>
      </c>
      <c r="G308" s="14" t="str">
        <v>Manufacturer description at distributor</v>
      </c>
      <c r="H308" s="14" t="str">
        <v>cited</v>
      </c>
      <c r="I308" s="14" t="str">
        <v>Retrieved</v>
      </c>
      <c r="J308" s="14" t="str">
        <v>G103-01; G082-01 until 2026-09-15</v>
      </c>
      <c r="K308" s="14" t="str">
        <v>Product description</v>
      </c>
      <c r="L308" s="14" t="str">
        <v>Not published</v>
      </c>
      <c r="M308" s="16" t="str">
        <v>Not published</v>
      </c>
      <c r="N308" s="16" t="n">
        <v>46279</v>
      </c>
      <c r="O308" s="14" t="str">
        <v>Trinity3DS (authorized 3DXTECH distributor), quoting 3DXTECH</v>
      </c>
      <c r="P308" s="2" t="str">
        <v>https://www.trinity3ds.com/3dxtech-filament/pp</v>
      </c>
      <c r="Q308" s="2" t="str">
        <v>14e5f7cc3b0082deadae376d32fcb15ff558d97d6342b0c16f12075bcc855118</v>
      </c>
    </row>
  </sheetData>
  <conditionalFormatting sqref="E9:E308">
    <cfRule type="containsText" dxfId="0" priority="1" operator="containsText" text="No"/>
  </conditionalFormatting>
  <hyperlinks>
    <hyperlink ref="B6" r:id="rIdRepositoryLink2"/>
    <hyperlink ref="D9" r:id="rIdRepositoryLink3"/>
    <hyperlink ref="D10" r:id="rIdRepositoryLink4"/>
    <hyperlink ref="D11" r:id="rIdRepositoryLink5"/>
    <hyperlink ref="D12" r:id="rIdRepositoryLink6"/>
    <hyperlink ref="D13" r:id="rIdRepositoryLink7"/>
    <hyperlink ref="D14" r:id="rIdRepositoryLink8"/>
    <hyperlink ref="D15" r:id="rIdRepositoryLink9"/>
    <hyperlink ref="D16" r:id="rIdRepositoryLink10"/>
    <hyperlink ref="D17" r:id="rIdRepositoryLink11"/>
    <hyperlink ref="D18" r:id="rIdRepositoryLink12"/>
    <hyperlink ref="D19" r:id="rIdRepositoryLink13"/>
    <hyperlink ref="D20" r:id="rIdRepositoryLink14"/>
    <hyperlink ref="D21" r:id="rIdRepositoryLink15"/>
    <hyperlink ref="D22" r:id="rIdRepositoryLink16"/>
    <hyperlink ref="D23" r:id="rIdRepositoryLink17"/>
    <hyperlink ref="D24" r:id="rIdRepositoryLink18"/>
    <hyperlink ref="D25" r:id="rIdRepositoryLink19"/>
    <hyperlink ref="D26" r:id="rIdRepositoryLink20"/>
    <hyperlink ref="D27" r:id="rIdRepositoryLink21"/>
    <hyperlink ref="D28" r:id="rIdRepositoryLink22"/>
    <hyperlink ref="D29" r:id="rIdRepositoryLink23"/>
    <hyperlink ref="D30" r:id="rIdRepositoryLink24"/>
    <hyperlink ref="D31" r:id="rIdRepositoryLink25"/>
    <hyperlink ref="D32" r:id="rIdRepositoryLink26"/>
    <hyperlink ref="D33" r:id="rIdRepositoryLink27"/>
    <hyperlink ref="D34" r:id="rIdRepositoryLink28"/>
    <hyperlink ref="D35" r:id="rIdRepositoryLink29"/>
    <hyperlink ref="D36" r:id="rIdRepositoryLink30"/>
    <hyperlink ref="D37" r:id="rIdRepositoryLink31"/>
    <hyperlink ref="D38" r:id="rIdRepositoryLink32"/>
    <hyperlink ref="D39" r:id="rIdRepositoryLink33"/>
    <hyperlink ref="D40" r:id="rIdRepositoryLink34"/>
    <hyperlink ref="D41" r:id="rIdRepositoryLink35"/>
    <hyperlink ref="D42" r:id="rIdRepositoryLink36"/>
    <hyperlink ref="D43" r:id="rIdRepositoryLink37"/>
    <hyperlink ref="D44" r:id="rIdRepositoryLink38"/>
    <hyperlink ref="D45" r:id="rIdRepositoryLink39"/>
    <hyperlink ref="D46" r:id="rIdRepositoryLink40"/>
    <hyperlink ref="D47" r:id="rIdRepositoryLink41"/>
    <hyperlink ref="D48" r:id="rIdRepositoryLink42"/>
    <hyperlink ref="D49" r:id="rIdRepositoryLink43"/>
    <hyperlink ref="D50" r:id="rIdRepositoryLink44"/>
    <hyperlink ref="D51" r:id="rIdRepositoryLink45"/>
    <hyperlink ref="D52" r:id="rIdRepositoryLink46"/>
    <hyperlink ref="D53" r:id="rIdRepositoryLink47"/>
    <hyperlink ref="D54" r:id="rIdRepositoryLink48"/>
    <hyperlink ref="D55" r:id="rIdRepositoryLink49"/>
    <hyperlink ref="D56" r:id="rIdRepositoryLink50"/>
    <hyperlink ref="D57" r:id="rIdRepositoryLink51"/>
    <hyperlink ref="D58" r:id="rIdRepositoryLink52"/>
    <hyperlink ref="D59" r:id="rIdRepositoryLink53"/>
    <hyperlink ref="D60" r:id="rIdRepositoryLink54"/>
    <hyperlink ref="D61" r:id="rIdRepositoryLink55"/>
    <hyperlink ref="D62" r:id="rIdRepositoryLink56"/>
    <hyperlink ref="D63" r:id="rIdRepositoryLink57"/>
    <hyperlink ref="D64" r:id="rIdRepositoryLink58"/>
    <hyperlink ref="D65" r:id="rIdRepositoryLink59"/>
    <hyperlink ref="D66" r:id="rIdRepositoryLink60"/>
    <hyperlink ref="D67" r:id="rIdRepositoryLink61"/>
    <hyperlink ref="D68" r:id="rIdRepositoryLink62"/>
    <hyperlink ref="D69" r:id="rIdRepositoryLink63"/>
    <hyperlink ref="D70" r:id="rIdRepositoryLink64"/>
    <hyperlink ref="D71" r:id="rIdRepositoryLink65"/>
    <hyperlink ref="D72" r:id="rIdRepositoryLink66"/>
    <hyperlink ref="D73" r:id="rIdRepositoryLink67"/>
    <hyperlink ref="D74" r:id="rIdRepositoryLink68"/>
    <hyperlink ref="D75" r:id="rIdRepositoryLink69"/>
    <hyperlink ref="D76" r:id="rIdRepositoryLink70"/>
    <hyperlink ref="D77" r:id="rIdRepositoryLink71"/>
    <hyperlink ref="D78" r:id="rIdRepositoryLink72"/>
    <hyperlink ref="D79" r:id="rIdRepositoryLink73"/>
    <hyperlink ref="D80" r:id="rIdRepositoryLink74"/>
    <hyperlink ref="D81" r:id="rIdRepositoryLink75"/>
    <hyperlink ref="D82" r:id="rIdRepositoryLink76"/>
    <hyperlink ref="D83" r:id="rIdRepositoryLink77"/>
    <hyperlink ref="D84" r:id="rIdRepositoryLink78"/>
    <hyperlink ref="D85" r:id="rIdRepositoryLink79"/>
    <hyperlink ref="D86" r:id="rIdRepositoryLink80"/>
    <hyperlink ref="D87" r:id="rIdRepositoryLink81"/>
    <hyperlink ref="D88" r:id="rIdRepositoryLink82"/>
    <hyperlink ref="D89" r:id="rIdRepositoryLink83"/>
    <hyperlink ref="D90" r:id="rIdRepositoryLink84"/>
    <hyperlink ref="D91" r:id="rIdRepositoryLink85"/>
    <hyperlink ref="D92" r:id="rIdRepositoryLink86"/>
    <hyperlink ref="D93" r:id="rIdRepositoryLink87"/>
    <hyperlink ref="D94" r:id="rIdRepositoryLink88"/>
    <hyperlink ref="D95" r:id="rIdRepositoryLink89"/>
    <hyperlink ref="D96" r:id="rIdRepositoryLink90"/>
    <hyperlink ref="D97" r:id="rIdRepositoryLink91"/>
    <hyperlink ref="D98" r:id="rIdRepositoryLink92"/>
    <hyperlink ref="D99" r:id="rIdRepositoryLink93"/>
    <hyperlink ref="D100" r:id="rIdRepositoryLink94"/>
    <hyperlink ref="D101" r:id="rIdRepositoryLink95"/>
    <hyperlink ref="D102" r:id="rIdRepositoryLink96"/>
    <hyperlink ref="D103" r:id="rIdRepositoryLink97"/>
    <hyperlink ref="D104" r:id="rIdRepositoryLink98"/>
    <hyperlink ref="D105" r:id="rIdRepositoryLink99"/>
    <hyperlink ref="D106" r:id="rIdRepositoryLink100"/>
    <hyperlink ref="D107" r:id="rIdRepositoryLink101"/>
    <hyperlink ref="D108" r:id="rIdRepositoryLink102"/>
    <hyperlink ref="D109" r:id="rIdRepositoryLink103"/>
    <hyperlink ref="D110" r:id="rIdRepositoryLink104"/>
    <hyperlink ref="D111" r:id="rIdRepositoryLink105"/>
    <hyperlink ref="D112" r:id="rIdRepositoryLink106"/>
    <hyperlink ref="D113" r:id="rIdRepositoryLink107"/>
    <hyperlink ref="D114" r:id="rIdRepositoryLink108"/>
    <hyperlink ref="D115" r:id="rIdRepositoryLink109"/>
    <hyperlink ref="D116" r:id="rIdRepositoryLink110"/>
    <hyperlink ref="D117" r:id="rIdRepositoryLink111"/>
    <hyperlink ref="D118" r:id="rIdRepositoryLink112"/>
    <hyperlink ref="D119" r:id="rIdRepositoryLink113"/>
    <hyperlink ref="D120" r:id="rIdRepositoryLink114"/>
    <hyperlink ref="D121" r:id="rIdRepositoryLink115"/>
    <hyperlink ref="D122" r:id="rIdRepositoryLink116"/>
    <hyperlink ref="D123" r:id="rIdRepositoryLink117"/>
    <hyperlink ref="D124" r:id="rIdRepositoryLink118"/>
    <hyperlink ref="D125" r:id="rIdRepositoryLink119"/>
    <hyperlink ref="D126" r:id="rIdRepositoryLink120"/>
    <hyperlink ref="D127" r:id="rIdRepositoryLink121"/>
    <hyperlink ref="D128" r:id="rIdRepositoryLink122"/>
    <hyperlink ref="D129" r:id="rIdRepositoryLink123"/>
    <hyperlink ref="D130" r:id="rIdRepositoryLink124"/>
    <hyperlink ref="D131" r:id="rIdRepositoryLink125"/>
    <hyperlink ref="D132" r:id="rIdRepositoryLink126"/>
    <hyperlink ref="D133" r:id="rIdRepositoryLink127"/>
    <hyperlink ref="D134" r:id="rIdRepositoryLink128"/>
    <hyperlink ref="D135" r:id="rIdRepositoryLink129"/>
    <hyperlink ref="D136" r:id="rIdRepositoryLink130"/>
    <hyperlink ref="D137" r:id="rIdRepositoryLink131"/>
    <hyperlink ref="D138" r:id="rIdRepositoryLink132"/>
    <hyperlink ref="D139" r:id="rIdRepositoryLink133"/>
    <hyperlink ref="D140" r:id="rIdRepositoryLink134"/>
    <hyperlink ref="D141" r:id="rIdRepositoryLink135"/>
    <hyperlink ref="D142" r:id="rIdRepositoryLink136"/>
    <hyperlink ref="D143" r:id="rIdRepositoryLink137"/>
    <hyperlink ref="D144" r:id="rIdRepositoryLink138"/>
    <hyperlink ref="D145" r:id="rIdRepositoryLink139"/>
    <hyperlink ref="D146" r:id="rIdRepositoryLink140"/>
    <hyperlink ref="D147" r:id="rIdRepositoryLink141"/>
    <hyperlink ref="D148" r:id="rIdRepositoryLink142"/>
    <hyperlink ref="D149" r:id="rIdRepositoryLink143"/>
    <hyperlink ref="D150" r:id="rIdRepositoryLink144"/>
    <hyperlink ref="D151" r:id="rIdRepositoryLink145"/>
    <hyperlink ref="D152" r:id="rIdRepositoryLink146"/>
    <hyperlink ref="D153" r:id="rIdRepositoryLink147"/>
    <hyperlink ref="D154" r:id="rIdRepositoryLink148"/>
    <hyperlink ref="D155" r:id="rIdRepositoryLink149"/>
    <hyperlink ref="D156" r:id="rIdRepositoryLink150"/>
    <hyperlink ref="D157" r:id="rIdRepositoryLink151"/>
    <hyperlink ref="D158" r:id="rIdRepositoryLink152"/>
    <hyperlink ref="D159" r:id="rIdRepositoryLink153"/>
    <hyperlink ref="D160" r:id="rIdRepositoryLink154"/>
    <hyperlink ref="D161" r:id="rIdRepositoryLink155"/>
    <hyperlink ref="D162" r:id="rIdRepositoryLink156"/>
    <hyperlink ref="D163" r:id="rIdRepositoryLink157"/>
    <hyperlink ref="D164" r:id="rIdRepositoryLink158"/>
    <hyperlink ref="D165" r:id="rIdRepositoryLink159"/>
    <hyperlink ref="D166" r:id="rIdRepositoryLink160"/>
    <hyperlink ref="D167" r:id="rIdRepositoryLink161"/>
    <hyperlink ref="D168" r:id="rIdRepositoryLink162"/>
    <hyperlink ref="D169" r:id="rIdRepositoryLink163"/>
    <hyperlink ref="D170" r:id="rIdRepositoryLink164"/>
    <hyperlink ref="D171" r:id="rIdRepositoryLink165"/>
    <hyperlink ref="D172" r:id="rIdRepositoryLink166"/>
    <hyperlink ref="D173" r:id="rIdRepositoryLink167"/>
    <hyperlink ref="D174" r:id="rIdRepositoryLink168"/>
    <hyperlink ref="D175" r:id="rIdRepositoryLink169"/>
    <hyperlink ref="D176" r:id="rIdRepositoryLink170"/>
    <hyperlink ref="D177" r:id="rIdRepositoryLink171"/>
    <hyperlink ref="D178" r:id="rIdRepositoryLink172"/>
    <hyperlink ref="D179" r:id="rIdRepositoryLink173"/>
    <hyperlink ref="D180" r:id="rIdRepositoryLink174"/>
    <hyperlink ref="D181" r:id="rIdRepositoryLink175"/>
    <hyperlink ref="D182" r:id="rIdRepositoryLink176"/>
    <hyperlink ref="D183" r:id="rIdRepositoryLink177"/>
    <hyperlink ref="D184" r:id="rIdRepositoryLink178"/>
    <hyperlink ref="D185" r:id="rIdRepositoryLink179"/>
    <hyperlink ref="D186" r:id="rIdRepositoryLink180"/>
    <hyperlink ref="D187" r:id="rIdRepositoryLink181"/>
    <hyperlink ref="D188" r:id="rIdRepositoryLink182"/>
    <hyperlink ref="D189" r:id="rIdRepositoryLink183"/>
    <hyperlink ref="D190" r:id="rIdRepositoryLink184"/>
    <hyperlink ref="D191" r:id="rIdRepositoryLink185"/>
    <hyperlink ref="D192" r:id="rIdRepositoryLink186"/>
    <hyperlink ref="D193" r:id="rIdRepositoryLink187"/>
    <hyperlink ref="D194" r:id="rIdRepositoryLink188"/>
    <hyperlink ref="D195" r:id="rIdRepositoryLink189"/>
    <hyperlink ref="D196" r:id="rIdRepositoryLink190"/>
    <hyperlink ref="D197" r:id="rIdRepositoryLink191"/>
    <hyperlink ref="D198" r:id="rIdRepositoryLink192"/>
    <hyperlink ref="D199" r:id="rIdRepositoryLink193"/>
    <hyperlink ref="D200" r:id="rIdRepositoryLink194"/>
    <hyperlink ref="D201" r:id="rIdRepositoryLink195"/>
    <hyperlink ref="D202" r:id="rIdRepositoryLink196"/>
    <hyperlink ref="D203" r:id="rIdRepositoryLink197"/>
    <hyperlink ref="D204" r:id="rIdRepositoryLink198"/>
    <hyperlink ref="D205" r:id="rIdRepositoryLink199"/>
    <hyperlink ref="D206" r:id="rIdRepositoryLink200"/>
    <hyperlink ref="D207" r:id="rIdRepositoryLink201"/>
    <hyperlink ref="D208" r:id="rIdRepositoryLink202"/>
    <hyperlink ref="D209" r:id="rIdRepositoryLink203"/>
    <hyperlink ref="D210" r:id="rIdRepositoryLink204"/>
    <hyperlink ref="D211" r:id="rIdRepositoryLink205"/>
    <hyperlink ref="D212" r:id="rIdRepositoryLink206"/>
    <hyperlink ref="D213" r:id="rIdRepositoryLink207"/>
    <hyperlink ref="D214" r:id="rIdRepositoryLink208"/>
    <hyperlink ref="D215" r:id="rIdRepositoryLink209"/>
    <hyperlink ref="D216" r:id="rIdRepositoryLink210"/>
    <hyperlink ref="D217" r:id="rIdRepositoryLink211"/>
    <hyperlink ref="D218" r:id="rIdRepositoryLink212"/>
    <hyperlink ref="D219" r:id="rIdRepositoryLink213"/>
    <hyperlink ref="D220" r:id="rIdRepositoryLink214"/>
    <hyperlink ref="D221" r:id="rIdRepositoryLink215"/>
    <hyperlink ref="D222" r:id="rIdRepositoryLink216"/>
    <hyperlink ref="D223" r:id="rIdRepositoryLink217"/>
    <hyperlink ref="D224" r:id="rIdRepositoryLink218"/>
    <hyperlink ref="D225" r:id="rIdRepositoryLink219"/>
    <hyperlink ref="D226" r:id="rIdRepositoryLink220"/>
    <hyperlink ref="D227" r:id="rIdRepositoryLink221"/>
    <hyperlink ref="D228" r:id="rIdRepositoryLink222"/>
    <hyperlink ref="D229" r:id="rIdRepositoryLink223"/>
    <hyperlink ref="D230" r:id="rIdRepositoryLink224"/>
    <hyperlink ref="D231" r:id="rIdRepositoryLink225"/>
    <hyperlink ref="D232" r:id="rIdRepositoryLink226"/>
    <hyperlink ref="D233" r:id="rIdRepositoryLink227"/>
    <hyperlink ref="D234" r:id="rIdRepositoryLink228"/>
    <hyperlink ref="D235" r:id="rIdRepositoryLink229"/>
    <hyperlink ref="D236" r:id="rIdRepositoryLink230"/>
    <hyperlink ref="D237" r:id="rIdRepositoryLink231"/>
    <hyperlink ref="D238" r:id="rIdRepositoryLink232"/>
    <hyperlink ref="D239" r:id="rIdRepositoryLink233"/>
    <hyperlink ref="D240" r:id="rIdRepositoryLink234"/>
    <hyperlink ref="D241" r:id="rIdRepositoryLink235"/>
    <hyperlink ref="D242" r:id="rIdRepositoryLink236"/>
    <hyperlink ref="D243" r:id="rIdRepositoryLink237"/>
    <hyperlink ref="D244" r:id="rIdRepositoryLink238"/>
    <hyperlink ref="D245" r:id="rIdRepositoryLink239"/>
    <hyperlink ref="D246" r:id="rIdRepositoryLink240"/>
    <hyperlink ref="D247" r:id="rIdRepositoryLink241"/>
    <hyperlink ref="D248" r:id="rIdRepositoryLink242"/>
    <hyperlink ref="D249" r:id="rIdRepositoryLink243"/>
    <hyperlink ref="D250" r:id="rIdRepositoryLink244"/>
    <hyperlink ref="D251" r:id="rIdRepositoryLink245"/>
    <hyperlink ref="D252" r:id="rIdRepositoryLink246"/>
    <hyperlink ref="D253" r:id="rIdRepositoryLink247"/>
    <hyperlink ref="D254" r:id="rIdRepositoryLink248"/>
    <hyperlink ref="D255" r:id="rIdRepositoryLink249"/>
    <hyperlink ref="D256" r:id="rIdRepositoryLink250"/>
    <hyperlink ref="D257" r:id="rIdRepositoryLink251"/>
    <hyperlink ref="D258" r:id="rIdRepositoryLink252"/>
    <hyperlink ref="D259" r:id="rIdRepositoryLink253"/>
    <hyperlink ref="D260" r:id="rIdRepositoryLink254"/>
    <hyperlink ref="D261" r:id="rIdRepositoryLink255"/>
    <hyperlink ref="D262" r:id="rIdRepositoryLink256"/>
    <hyperlink ref="D263" r:id="rIdRepositoryLink257"/>
    <hyperlink ref="D264" r:id="rIdRepositoryLink258"/>
    <hyperlink ref="D265" r:id="rIdRepositoryLink259"/>
    <hyperlink ref="D266" r:id="rIdRepositoryLink260"/>
    <hyperlink ref="D267" r:id="rIdRepositoryLink261"/>
    <hyperlink ref="D268" r:id="rIdRepositoryLink262"/>
    <hyperlink ref="D269" r:id="rIdRepositoryLink263"/>
    <hyperlink ref="D270" r:id="rIdRepositoryLink264"/>
    <hyperlink ref="D271" r:id="rIdRepositoryLink265"/>
    <hyperlink ref="D272" r:id="rIdRepositoryLink266"/>
    <hyperlink ref="D273" r:id="rIdRepositoryLink267"/>
    <hyperlink ref="D274" r:id="rIdRepositoryLink268"/>
    <hyperlink ref="D275" r:id="rIdRepositoryLink269"/>
    <hyperlink ref="D276" r:id="rIdRepositoryLink270"/>
    <hyperlink ref="D277" r:id="rIdRepositoryLink271"/>
    <hyperlink ref="D278" r:id="rIdRepositoryLink272"/>
    <hyperlink ref="D279" r:id="rIdRepositoryLink273"/>
    <hyperlink ref="D284" r:id="rIdRepositoryLink274"/>
    <hyperlink ref="D285" r:id="rIdRepositoryLink275"/>
    <hyperlink ref="D286" r:id="rIdRepositoryLink276"/>
    <hyperlink ref="D287" r:id="rIdRepositoryLink277"/>
    <hyperlink ref="D288" r:id="rIdRepositoryLink278"/>
    <hyperlink ref="D289" r:id="rIdRepositoryLink279"/>
    <hyperlink ref="D290" r:id="rIdRepositoryLink280"/>
    <hyperlink ref="D291" r:id="rIdRepositoryLink281"/>
    <hyperlink ref="D292" r:id="rIdRepositoryLink282"/>
    <hyperlink ref="D293" r:id="rIdRepositoryLink283"/>
    <hyperlink ref="D294" r:id="rIdRepositoryLink284"/>
    <hyperlink ref="D295" r:id="rIdRepositoryLink285"/>
    <hyperlink ref="D296" r:id="rIdRepositoryLink286"/>
    <hyperlink ref="D297" r:id="rIdRepositoryLink287"/>
    <hyperlink ref="D298" r:id="rIdRepositoryLink288"/>
    <hyperlink ref="D299" r:id="rIdRepositoryLink289"/>
    <hyperlink ref="D300" r:id="rIdRepositoryLink290"/>
    <hyperlink ref="D301" r:id="rIdRepositoryLink291"/>
    <hyperlink ref="D302" r:id="rIdRepositoryLink292"/>
    <hyperlink ref="D303" r:id="rIdRepositoryLink293"/>
    <hyperlink ref="D304" r:id="rIdRepositoryLink294"/>
    <hyperlink ref="D305" r:id="rIdRepositoryLink295"/>
    <hyperlink ref="D306" r:id="rIdRepositoryLink296"/>
    <hyperlink ref="D307" r:id="rIdRepositoryLink297"/>
    <hyperlink ref="D308" r:id="rIdRepositoryLink298"/>
  </hyperlinks>
  <pageMargins left="0.7" right="0.7" top="0.75" bottom="0.75" header="0.3" footer="0.3"/>
  <tableParts count="1">
    <tablePart r:id="Rcaadb39612a14b67"/>
  </tableParts>
</worksheet>
</file>